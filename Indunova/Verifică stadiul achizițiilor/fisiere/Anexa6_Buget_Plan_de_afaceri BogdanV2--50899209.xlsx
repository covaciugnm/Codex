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00. Proiecte\2025.09.11. Puscau Bogdan Sebastian SES\2. Proiect\2. Proiect SES Robot Industrial\2. Varianta Finala\"/>
    </mc:Choice>
  </mc:AlternateContent>
  <xr:revisionPtr revIDLastSave="0" documentId="13_ncr:1_{C8CC612D-ADBD-4F9B-923A-37B047691C36}" xr6:coauthVersionLast="47" xr6:coauthVersionMax="47" xr10:uidLastSave="{00000000-0000-0000-0000-000000000000}"/>
  <bookViews>
    <workbookView xWindow="25950" yWindow="30" windowWidth="25800" windowHeight="20925" xr2:uid="{AF826480-42AB-4D16-8B59-6FAC8A649D4B}"/>
  </bookViews>
  <sheets>
    <sheet name="Buget_plan_afaceri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6" i="1" l="1"/>
  <c r="H45" i="1"/>
  <c r="K45" i="1"/>
  <c r="J45" i="1"/>
  <c r="I44" i="1"/>
  <c r="I46" i="1"/>
  <c r="H46" i="1"/>
  <c r="I12" i="1"/>
  <c r="I13" i="1"/>
  <c r="I14" i="1"/>
  <c r="I15" i="1"/>
  <c r="I16" i="1"/>
  <c r="G37" i="1"/>
  <c r="G44" i="1" l="1"/>
  <c r="H44" i="1"/>
  <c r="K42" i="1"/>
  <c r="K22" i="1"/>
  <c r="J44" i="1" l="1"/>
  <c r="K44" i="1"/>
  <c r="J37" i="1"/>
  <c r="I37" i="1"/>
  <c r="H37" i="1"/>
  <c r="K12" i="1"/>
  <c r="F92" i="1"/>
  <c r="F18" i="1"/>
  <c r="F19" i="1" s="1"/>
  <c r="F20" i="1" s="1"/>
  <c r="F21" i="1" s="1"/>
  <c r="H8" i="1"/>
  <c r="I8" i="1" s="1"/>
  <c r="F9" i="1"/>
  <c r="F10" i="1" s="1"/>
  <c r="F11" i="1" s="1"/>
  <c r="H18" i="1" l="1"/>
  <c r="I18" i="1" s="1"/>
  <c r="G9" i="1"/>
  <c r="G19" i="1"/>
  <c r="G10" i="1" l="1"/>
  <c r="G11" i="1" s="1"/>
  <c r="G20" i="1"/>
  <c r="H9" i="1"/>
  <c r="I9" i="1" s="1"/>
  <c r="H19" i="1"/>
  <c r="I19" i="1" s="1"/>
  <c r="H10" i="1" l="1"/>
  <c r="I10" i="1" s="1"/>
  <c r="G21" i="1"/>
  <c r="H20" i="1"/>
  <c r="I20" i="1" s="1"/>
  <c r="H11" i="1"/>
  <c r="I11" i="1" s="1"/>
  <c r="I7" i="1" s="1"/>
  <c r="H7" i="1" l="1"/>
  <c r="J7" i="1"/>
  <c r="J92" i="1" s="1"/>
  <c r="H21" i="1"/>
  <c r="I21" i="1" s="1"/>
  <c r="I17" i="1" s="1"/>
  <c r="I92" i="1" s="1"/>
  <c r="I94" i="1" l="1"/>
  <c r="I6" i="1"/>
  <c r="J6" i="1"/>
  <c r="H17" i="1"/>
  <c r="H92" i="1" s="1"/>
  <c r="H6" i="1" l="1"/>
  <c r="K21" i="1" l="1"/>
  <c r="K19" i="1"/>
  <c r="K20" i="1"/>
  <c r="K9" i="1"/>
  <c r="K10" i="1"/>
  <c r="K8" i="1"/>
  <c r="K18" i="1"/>
  <c r="K11" i="1"/>
  <c r="K17" i="1" l="1"/>
  <c r="K7" i="1"/>
  <c r="K6" i="1" l="1"/>
  <c r="K37" i="1"/>
  <c r="K92" i="1" s="1"/>
  <c r="K93" i="1" l="1"/>
  <c r="J94" i="1"/>
</calcChain>
</file>

<file path=xl/sharedStrings.xml><?xml version="1.0" encoding="utf-8"?>
<sst xmlns="http://schemas.openxmlformats.org/spreadsheetml/2006/main" count="70" uniqueCount="67">
  <si>
    <t>BUGET PLAN DE AFACERI</t>
  </si>
  <si>
    <t>Nr. crt.</t>
  </si>
  <si>
    <t>Element de investiţie/ Cheltuieli operationale. Denumire</t>
  </si>
  <si>
    <t>Unitate de masura</t>
  </si>
  <si>
    <t>Cantitate</t>
  </si>
  <si>
    <t>Valoare unitară (TVA inclus)</t>
  </si>
  <si>
    <t>Valoare totală (TVA inclus)</t>
  </si>
  <si>
    <t>Suma finanțată din subventii</t>
  </si>
  <si>
    <t>Contribuție proprie</t>
  </si>
  <si>
    <t xml:space="preserve">Valoare totală </t>
  </si>
  <si>
    <t>Cheltuieli cu salariile personalului nou angajat</t>
  </si>
  <si>
    <t>1.1</t>
  </si>
  <si>
    <t>Cheltuieli salariale</t>
  </si>
  <si>
    <t>1.2</t>
  </si>
  <si>
    <t>Venituri asimilate salariilor pentru experti proprii/ cooptați</t>
  </si>
  <si>
    <t>1.3</t>
  </si>
  <si>
    <t>Contributii sociale aferente cheltuielilor salariale si cheltuielilor asimilate acestora (contributii angajati si angajatori)</t>
  </si>
  <si>
    <t xml:space="preserve">Cheltuieli cu deplasarea personalului întreprinderilor sprijinite </t>
  </si>
  <si>
    <t>2.1</t>
  </si>
  <si>
    <t xml:space="preserve">Cheltuieli pentru cazare </t>
  </si>
  <si>
    <t>2.2</t>
  </si>
  <si>
    <t>Cheltuieli cu diurna personalului propriu</t>
  </si>
  <si>
    <t>2.3</t>
  </si>
  <si>
    <t xml:space="preserve">Cheltuieli pentru transportul persoanelor (inclusiv transportul efectuat cu mijloacele de transport în comun sau taxi, gara, autogara sau port şi locul delegarii ori locul de cazare, precum şi transportul efectuat pe distanța dintre locul de cazare si locul delegarii) </t>
  </si>
  <si>
    <t>2.4</t>
  </si>
  <si>
    <t xml:space="preserve">Taxe si asigurari de calatorie si asigurari medicale aferente deplasarii </t>
  </si>
  <si>
    <t>Cheltuieli aferente diverselor achizitii de servicii specializate, pentru care beneficiarul ajutorului de minimis nu are expertiza necesara</t>
  </si>
  <si>
    <t xml:space="preserve">Cheltuieli cu achizitia de active fixe corporale (altele decât terenuri și imobile), obiecte de inventar, materii prime și materiale, inclusiv materiale consumabile, alte cheltuieli pentru investitii necesare functionarii intreprinderilor </t>
  </si>
  <si>
    <t xml:space="preserve">Cheltuieli cu inchirierea de sedii (inclusiv depozite), spatii pentru desfasurarea diverselor activitati ale intreprinderii, echipamente, vehicule, diverse bunuri </t>
  </si>
  <si>
    <t xml:space="preserve">Cheltuieli de leasing fara achizitie (leasing operational) aferente functionarii intreprinderilor (rate de leasing operational platite de intreprindere pentru: echipamente, vehicule, diverse bunuri mobile si imobile) </t>
  </si>
  <si>
    <t xml:space="preserve">Utilitati aferente functionarii intreprinderilor </t>
  </si>
  <si>
    <t xml:space="preserve">Servicii de administrare a cladirilor aferente functionarii intreprinderilor </t>
  </si>
  <si>
    <t xml:space="preserve">Servicii de intretinere si reparare de echipamente si mijloace de transport aferente functionarii intreprinderilor </t>
  </si>
  <si>
    <t xml:space="preserve">Arhivare de documente aferente functionarii intreprinderilor </t>
  </si>
  <si>
    <t>Amortizare de active aferente funcționării întreprinderilor</t>
  </si>
  <si>
    <t>Cheltuieli financiare si juridice (notariale)  aferente funcționării întreprinderilor</t>
  </si>
  <si>
    <t>Conectare la retele informatice aferente funcționării întreprinderilor</t>
  </si>
  <si>
    <t>Cheltuieli de informare si publicitate aferente funcționării întreprinderilor</t>
  </si>
  <si>
    <t xml:space="preserve">Alte cheltuieli aferente functionarii intreprinderilor </t>
  </si>
  <si>
    <t>15.1</t>
  </si>
  <si>
    <t xml:space="preserve">Prelucrare de date </t>
  </si>
  <si>
    <t>15.2</t>
  </si>
  <si>
    <t xml:space="preserve"> Intretinere, actualizare si dezvoltare de aplicatii informatice </t>
  </si>
  <si>
    <t>15.3</t>
  </si>
  <si>
    <t>Achiziționarea de publicații, cărți, reviste de specialitate relevante pentru operațiune, în format tipărit sau electronic</t>
  </si>
  <si>
    <t>15.4</t>
  </si>
  <si>
    <t>Concesiuni, brevete, licente, marci comerciale, drepturi si active similare</t>
  </si>
  <si>
    <t>15.5</t>
  </si>
  <si>
    <t>Cheltuieli aferente garanțiilor oferite de bănci sau alte instituții financiare</t>
  </si>
  <si>
    <t>TOTAL BUGET</t>
  </si>
  <si>
    <t>Post 1- Manager - 4 ore</t>
  </si>
  <si>
    <t>1.1.1</t>
  </si>
  <si>
    <t>1.1.2</t>
  </si>
  <si>
    <t>1.1.3</t>
  </si>
  <si>
    <t>1.1.4</t>
  </si>
  <si>
    <t>1.3.1</t>
  </si>
  <si>
    <t>1.3.2</t>
  </si>
  <si>
    <t>1.3.3</t>
  </si>
  <si>
    <t>1.3.4</t>
  </si>
  <si>
    <t>Bucati</t>
  </si>
  <si>
    <t>Post 2- Programator- 4 ore</t>
  </si>
  <si>
    <t>Post 3- Operator Mentenanță- 4 ore</t>
  </si>
  <si>
    <t>Post 4- Tehnician 4 ore</t>
  </si>
  <si>
    <t>Post 2-  Programator- 4 ore</t>
  </si>
  <si>
    <t>Post 4- Tehnician- 4 ore</t>
  </si>
  <si>
    <t>Robot Humanoi Unitreee</t>
  </si>
  <si>
    <t>Imprimantă Modix BIG-Meter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</si>
</sst>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0.00\ _l_e_i_-;\-* #,##0.00\ _l_e_i_-;_-* &quot;-&quot;??\ _l_e_i_-;_-@_-"/>
    <numFmt numFmtId="166" formatCode="_(* #,##0.000_);_(* \(#,##0.000\);_(* &quot;-&quot;???_);_(@_)"/>
    <numFmt numFmtId="167" formatCode="0.0000%"/>
  </numFmts>
  <fonts count="5" x14ac:knownFonts="1">
    <font>
      <sz val="11"/>
      <color rgb="FF000000"/>
      <name val="Calibri"/>
      <family val="2"/>
    </font>
    <font>
      <sz val="12"/>
      <color theme="1"/>
      <name val="Times New Roman"/>
      <family val="2"/>
      <charset val="238"/>
    </font>
    <font>
      <b/>
      <sz val="14"/>
      <color rgb="FF000000"/>
      <name val="Calibri"/>
      <family val="2"/>
    </font>
    <font>
      <sz val="14"/>
      <color rgb="FF000000"/>
      <name val="Calibri"/>
      <family val="2"/>
    </font>
    <font>
      <sz val="8"/>
      <name val="Calibri"/>
      <family val="2"/>
    </font>
  </fonts>
  <fills count="5">
    <fill>
      <patternFill patternType="none"/>
    </fill>
    <fill>
      <patternFill patternType="gray125"/>
    </fill>
    <fill>
      <patternFill patternType="solid">
        <fgColor rgb="FFFFF2CC"/>
        <bgColor rgb="FFFFF2CC"/>
      </patternFill>
    </fill>
    <fill>
      <patternFill patternType="solid">
        <fgColor rgb="FFAEAAAA"/>
        <bgColor rgb="FFAEAAAA"/>
      </patternFill>
    </fill>
    <fill>
      <patternFill patternType="solid">
        <fgColor rgb="FFF2F2F2"/>
        <bgColor rgb="FFF2F2F2"/>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65">
    <xf numFmtId="0" fontId="0" fillId="0" borderId="0" xfId="0"/>
    <xf numFmtId="0" fontId="3" fillId="0" borderId="0" xfId="0" applyFont="1" applyAlignment="1">
      <alignment horizontal="center" vertical="top"/>
    </xf>
    <xf numFmtId="0" fontId="3" fillId="0" borderId="0" xfId="0" applyFont="1"/>
    <xf numFmtId="9" fontId="3" fillId="0" borderId="0" xfId="0" applyNumberFormat="1" applyFont="1"/>
    <xf numFmtId="165" fontId="3" fillId="0" borderId="0" xfId="0" applyNumberFormat="1" applyFont="1"/>
    <xf numFmtId="10" fontId="3" fillId="0" borderId="0" xfId="0" applyNumberFormat="1" applyFont="1"/>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49" fontId="3" fillId="4" borderId="1" xfId="0" applyNumberFormat="1" applyFont="1" applyFill="1" applyBorder="1" applyAlignment="1">
      <alignment horizontal="center" vertical="top"/>
    </xf>
    <xf numFmtId="0" fontId="3" fillId="4" borderId="1" xfId="0" applyFont="1" applyFill="1" applyBorder="1" applyAlignment="1">
      <alignment horizontal="left" vertical="top"/>
    </xf>
    <xf numFmtId="0" fontId="3" fillId="4" borderId="1" xfId="0" applyFont="1" applyFill="1" applyBorder="1"/>
    <xf numFmtId="49" fontId="3" fillId="0" borderId="1" xfId="0" applyNumberFormat="1" applyFont="1" applyBorder="1" applyAlignment="1">
      <alignment horizontal="center" vertical="top"/>
    </xf>
    <xf numFmtId="0" fontId="3" fillId="0" borderId="1" xfId="0" applyFont="1" applyBorder="1" applyAlignment="1">
      <alignment horizontal="left" vertical="top"/>
    </xf>
    <xf numFmtId="0" fontId="3" fillId="0" borderId="1" xfId="0" applyFont="1" applyBorder="1"/>
    <xf numFmtId="164" fontId="3" fillId="0" borderId="1" xfId="1" applyFont="1" applyBorder="1"/>
    <xf numFmtId="0" fontId="3" fillId="0" borderId="1" xfId="0" applyFont="1" applyBorder="1" applyAlignment="1">
      <alignment horizontal="center" vertical="top"/>
    </xf>
    <xf numFmtId="164" fontId="3" fillId="0" borderId="1" xfId="0" applyNumberFormat="1" applyFont="1" applyBorder="1"/>
    <xf numFmtId="165" fontId="3" fillId="0" borderId="1" xfId="0" applyNumberFormat="1" applyFont="1" applyBorder="1"/>
    <xf numFmtId="0" fontId="3" fillId="4" borderId="1" xfId="0" applyFont="1" applyFill="1" applyBorder="1" applyAlignment="1">
      <alignment horizontal="left" vertical="top" wrapText="1"/>
    </xf>
    <xf numFmtId="164" fontId="3" fillId="0" borderId="1" xfId="1" applyFont="1" applyFill="1" applyBorder="1"/>
    <xf numFmtId="0" fontId="2" fillId="3" borderId="1" xfId="0" applyFont="1" applyFill="1" applyBorder="1" applyAlignment="1">
      <alignment horizontal="center" vertical="top"/>
    </xf>
    <xf numFmtId="0" fontId="2" fillId="3" borderId="1" xfId="0" applyFont="1" applyFill="1" applyBorder="1" applyAlignment="1">
      <alignment horizontal="left" vertical="top" wrapText="1"/>
    </xf>
    <xf numFmtId="0" fontId="3" fillId="3" borderId="1" xfId="0" applyFont="1" applyFill="1" applyBorder="1"/>
    <xf numFmtId="0" fontId="2" fillId="4" borderId="1" xfId="0" applyFont="1" applyFill="1" applyBorder="1"/>
    <xf numFmtId="0" fontId="3" fillId="0" borderId="1" xfId="0" applyFont="1" applyBorder="1" applyAlignment="1">
      <alignment horizontal="left" vertical="top" wrapText="1"/>
    </xf>
    <xf numFmtId="0" fontId="2" fillId="0" borderId="1" xfId="0" applyFont="1" applyBorder="1"/>
    <xf numFmtId="0" fontId="2" fillId="3" borderId="1" xfId="0" applyFont="1" applyFill="1" applyBorder="1"/>
    <xf numFmtId="0" fontId="3" fillId="0" borderId="1" xfId="0" applyFont="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top"/>
    </xf>
    <xf numFmtId="0" fontId="2" fillId="3" borderId="1" xfId="0" applyFont="1" applyFill="1" applyBorder="1" applyAlignment="1">
      <alignment horizontal="left" vertical="top"/>
    </xf>
    <xf numFmtId="0" fontId="3" fillId="2" borderId="1" xfId="0" applyFont="1" applyFill="1" applyBorder="1" applyAlignment="1">
      <alignment horizontal="center" vertical="center"/>
    </xf>
    <xf numFmtId="0" fontId="2" fillId="2" borderId="1" xfId="0" applyFont="1" applyFill="1" applyBorder="1" applyAlignment="1">
      <alignment vertical="center"/>
    </xf>
    <xf numFmtId="0" fontId="3" fillId="2" borderId="1" xfId="0" applyFont="1" applyFill="1" applyBorder="1" applyAlignment="1">
      <alignment vertical="center"/>
    </xf>
    <xf numFmtId="165" fontId="3" fillId="2" borderId="1" xfId="0" applyNumberFormat="1" applyFont="1" applyFill="1" applyBorder="1" applyAlignment="1">
      <alignment vertical="center"/>
    </xf>
    <xf numFmtId="0" fontId="3" fillId="0" borderId="0" xfId="0" applyFont="1" applyAlignment="1">
      <alignment vertical="center"/>
    </xf>
    <xf numFmtId="164" fontId="3" fillId="0" borderId="0" xfId="1" applyFont="1"/>
    <xf numFmtId="10" fontId="3" fillId="0" borderId="0" xfId="2" applyNumberFormat="1" applyFont="1"/>
    <xf numFmtId="43" fontId="3" fillId="0" borderId="0" xfId="0" applyNumberFormat="1" applyFont="1"/>
    <xf numFmtId="0" fontId="2" fillId="3" borderId="3" xfId="0" applyFont="1" applyFill="1" applyBorder="1" applyAlignment="1">
      <alignment horizontal="center" vertical="top"/>
    </xf>
    <xf numFmtId="0" fontId="2" fillId="3" borderId="3" xfId="0" applyFont="1" applyFill="1" applyBorder="1" applyAlignment="1">
      <alignment horizontal="left" vertical="top" wrapText="1"/>
    </xf>
    <xf numFmtId="0" fontId="2" fillId="3" borderId="3" xfId="0" applyFont="1" applyFill="1" applyBorder="1"/>
    <xf numFmtId="0" fontId="3" fillId="0" borderId="4" xfId="0" applyFont="1" applyBorder="1" applyAlignment="1">
      <alignment horizontal="center" vertical="top"/>
    </xf>
    <xf numFmtId="0" fontId="3" fillId="0" borderId="4" xfId="0" applyFont="1" applyBorder="1" applyAlignment="1">
      <alignment horizontal="left" vertical="top"/>
    </xf>
    <xf numFmtId="0" fontId="3" fillId="0" borderId="4" xfId="0" applyFont="1" applyBorder="1"/>
    <xf numFmtId="164" fontId="3" fillId="0" borderId="4" xfId="1" applyFont="1" applyBorder="1"/>
    <xf numFmtId="165" fontId="3" fillId="0" borderId="4" xfId="0" applyNumberFormat="1" applyFont="1" applyBorder="1"/>
    <xf numFmtId="0" fontId="3" fillId="0" borderId="2" xfId="0" applyFont="1" applyBorder="1" applyAlignment="1">
      <alignment horizontal="center" vertical="top"/>
    </xf>
    <xf numFmtId="0" fontId="3" fillId="0" borderId="2" xfId="0" applyFont="1" applyBorder="1" applyAlignment="1">
      <alignment horizontal="left" vertical="top"/>
    </xf>
    <xf numFmtId="0" fontId="3" fillId="0" borderId="2" xfId="0" applyFont="1" applyBorder="1"/>
    <xf numFmtId="3" fontId="3" fillId="0" borderId="2" xfId="0" applyNumberFormat="1" applyFont="1" applyBorder="1"/>
    <xf numFmtId="164" fontId="3" fillId="0" borderId="2" xfId="1" applyFont="1" applyBorder="1"/>
    <xf numFmtId="165" fontId="3" fillId="0" borderId="2" xfId="0" applyNumberFormat="1" applyFont="1" applyBorder="1"/>
    <xf numFmtId="3" fontId="3" fillId="3" borderId="1" xfId="0" applyNumberFormat="1" applyFont="1" applyFill="1" applyBorder="1"/>
    <xf numFmtId="2" fontId="3" fillId="0" borderId="0" xfId="0" applyNumberFormat="1" applyFont="1"/>
    <xf numFmtId="43" fontId="3" fillId="3" borderId="1" xfId="0" applyNumberFormat="1" applyFont="1" applyFill="1" applyBorder="1"/>
    <xf numFmtId="166" fontId="3" fillId="0" borderId="0" xfId="0" applyNumberFormat="1" applyFont="1"/>
    <xf numFmtId="165" fontId="3" fillId="0" borderId="0" xfId="0" applyNumberFormat="1" applyFont="1" applyAlignment="1">
      <alignment wrapText="1"/>
    </xf>
    <xf numFmtId="164" fontId="3" fillId="4" borderId="1" xfId="0" applyNumberFormat="1" applyFont="1" applyFill="1" applyBorder="1"/>
    <xf numFmtId="167" fontId="3" fillId="0" borderId="0" xfId="2" applyNumberFormat="1" applyFont="1"/>
    <xf numFmtId="9" fontId="3" fillId="0" borderId="0" xfId="2" applyFont="1"/>
    <xf numFmtId="0" fontId="2" fillId="0" borderId="0" xfId="0" applyFont="1" applyAlignment="1">
      <alignment horizontal="center" vertical="top"/>
    </xf>
  </cellXfs>
  <cellStyles count="3">
    <cellStyle name="Comma" xfId="1" builtinId="3"/>
    <cellStyle name="Normal" xfId="0" builtinId="0" customBuiltin="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ă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A880-D4DC-43E3-8389-DF07414F30EA}">
  <sheetPr>
    <pageSetUpPr fitToPage="1"/>
  </sheetPr>
  <dimension ref="C1:M103"/>
  <sheetViews>
    <sheetView tabSelected="1" zoomScale="85" zoomScaleNormal="85" workbookViewId="0">
      <pane ySplit="1" topLeftCell="A28" activePane="bottomLeft" state="frozen"/>
      <selection pane="bottomLeft" activeCell="J31" sqref="J31"/>
    </sheetView>
  </sheetViews>
  <sheetFormatPr defaultColWidth="8.7109375" defaultRowHeight="18.75" x14ac:dyDescent="0.3"/>
  <cols>
    <col min="1" max="1" width="8.7109375" style="2" customWidth="1"/>
    <col min="2" max="2" width="6.28515625" style="2" customWidth="1"/>
    <col min="3" max="3" width="8.140625" style="1" customWidth="1"/>
    <col min="4" max="4" width="67.5703125" style="2" customWidth="1"/>
    <col min="5" max="6" width="17.140625" style="2" bestFit="1" customWidth="1"/>
    <col min="7" max="8" width="19.140625" style="2" bestFit="1" customWidth="1"/>
    <col min="9" max="9" width="22.85546875" style="2" bestFit="1" customWidth="1"/>
    <col min="10" max="10" width="20" style="2" customWidth="1"/>
    <col min="11" max="11" width="19.42578125" style="2" customWidth="1"/>
    <col min="12" max="12" width="38" style="2" bestFit="1" customWidth="1"/>
    <col min="13" max="13" width="17.7109375" style="2" bestFit="1" customWidth="1"/>
    <col min="14" max="16384" width="8.7109375" style="2"/>
  </cols>
  <sheetData>
    <row r="1" spans="3:11" x14ac:dyDescent="0.3">
      <c r="F1" s="3"/>
    </row>
    <row r="2" spans="3:11" x14ac:dyDescent="0.3">
      <c r="C2" s="64" t="s">
        <v>0</v>
      </c>
      <c r="D2" s="64"/>
      <c r="E2" s="64"/>
      <c r="F2" s="64"/>
      <c r="G2" s="64"/>
      <c r="H2" s="64"/>
      <c r="I2" s="64"/>
      <c r="J2" s="64"/>
      <c r="K2" s="64"/>
    </row>
    <row r="5" spans="3:11" ht="37.5" x14ac:dyDescent="0.3">
      <c r="C5" s="6" t="s">
        <v>1</v>
      </c>
      <c r="D5" s="7" t="s">
        <v>2</v>
      </c>
      <c r="E5" s="7" t="s">
        <v>3</v>
      </c>
      <c r="F5" s="7" t="s">
        <v>4</v>
      </c>
      <c r="G5" s="7" t="s">
        <v>5</v>
      </c>
      <c r="H5" s="7" t="s">
        <v>6</v>
      </c>
      <c r="I5" s="7" t="s">
        <v>7</v>
      </c>
      <c r="J5" s="7" t="s">
        <v>8</v>
      </c>
      <c r="K5" s="7" t="s">
        <v>9</v>
      </c>
    </row>
    <row r="6" spans="3:11" x14ac:dyDescent="0.3">
      <c r="C6" s="8">
        <v>1</v>
      </c>
      <c r="D6" s="9" t="s">
        <v>10</v>
      </c>
      <c r="E6" s="10"/>
      <c r="F6" s="10"/>
      <c r="G6" s="10"/>
      <c r="H6" s="10">
        <f>SUM(H7,H17)</f>
        <v>115976</v>
      </c>
      <c r="I6" s="10">
        <f t="shared" ref="I6:K6" si="0">SUM(I7,I17)</f>
        <v>115976</v>
      </c>
      <c r="J6" s="10">
        <f t="shared" si="0"/>
        <v>0</v>
      </c>
      <c r="K6" s="10">
        <f t="shared" si="0"/>
        <v>115976</v>
      </c>
    </row>
    <row r="7" spans="3:11" x14ac:dyDescent="0.3">
      <c r="C7" s="11" t="s">
        <v>11</v>
      </c>
      <c r="D7" s="12" t="s">
        <v>12</v>
      </c>
      <c r="E7" s="13"/>
      <c r="F7" s="13"/>
      <c r="G7" s="13"/>
      <c r="H7" s="13">
        <f>SUM(H8:H11)</f>
        <v>72072</v>
      </c>
      <c r="I7" s="61">
        <f>SUM(I8:I11)</f>
        <v>72072</v>
      </c>
      <c r="J7" s="13">
        <f t="shared" ref="J7:K7" si="1">SUM(J8:J11)</f>
        <v>0</v>
      </c>
      <c r="K7" s="13">
        <f t="shared" si="1"/>
        <v>72072</v>
      </c>
    </row>
    <row r="8" spans="3:11" x14ac:dyDescent="0.3">
      <c r="C8" s="14" t="s">
        <v>51</v>
      </c>
      <c r="D8" s="15" t="s">
        <v>50</v>
      </c>
      <c r="E8" s="16"/>
      <c r="F8" s="16">
        <v>14</v>
      </c>
      <c r="G8" s="16">
        <v>1287</v>
      </c>
      <c r="H8" s="16">
        <f>G8*F8</f>
        <v>18018</v>
      </c>
      <c r="I8" s="17">
        <f>H8</f>
        <v>18018</v>
      </c>
      <c r="J8" s="17"/>
      <c r="K8" s="19">
        <f>SUM(I8:J8)</f>
        <v>18018</v>
      </c>
    </row>
    <row r="9" spans="3:11" x14ac:dyDescent="0.3">
      <c r="C9" s="14" t="s">
        <v>52</v>
      </c>
      <c r="D9" s="15" t="s">
        <v>60</v>
      </c>
      <c r="E9" s="16"/>
      <c r="F9" s="16">
        <f>F8</f>
        <v>14</v>
      </c>
      <c r="G9" s="16">
        <f>G8</f>
        <v>1287</v>
      </c>
      <c r="H9" s="16">
        <f t="shared" ref="H9:H11" si="2">G9*F9</f>
        <v>18018</v>
      </c>
      <c r="I9" s="17">
        <f t="shared" ref="I9:I11" si="3">H9</f>
        <v>18018</v>
      </c>
      <c r="J9" s="17"/>
      <c r="K9" s="19">
        <f t="shared" ref="K9:K12" si="4">SUM(I9:J9)</f>
        <v>18018</v>
      </c>
    </row>
    <row r="10" spans="3:11" x14ac:dyDescent="0.3">
      <c r="C10" s="14" t="s">
        <v>53</v>
      </c>
      <c r="D10" s="15" t="s">
        <v>61</v>
      </c>
      <c r="E10" s="16"/>
      <c r="F10" s="16">
        <f t="shared" ref="F10:F11" si="5">F9</f>
        <v>14</v>
      </c>
      <c r="G10" s="16">
        <f t="shared" ref="G10:G11" si="6">G9</f>
        <v>1287</v>
      </c>
      <c r="H10" s="16">
        <f t="shared" si="2"/>
        <v>18018</v>
      </c>
      <c r="I10" s="17">
        <f t="shared" si="3"/>
        <v>18018</v>
      </c>
      <c r="J10" s="17"/>
      <c r="K10" s="19">
        <f t="shared" si="4"/>
        <v>18018</v>
      </c>
    </row>
    <row r="11" spans="3:11" x14ac:dyDescent="0.3">
      <c r="C11" s="14" t="s">
        <v>54</v>
      </c>
      <c r="D11" s="15" t="s">
        <v>62</v>
      </c>
      <c r="E11" s="16"/>
      <c r="F11" s="16">
        <f t="shared" si="5"/>
        <v>14</v>
      </c>
      <c r="G11" s="16">
        <f t="shared" si="6"/>
        <v>1287</v>
      </c>
      <c r="H11" s="16">
        <f t="shared" si="2"/>
        <v>18018</v>
      </c>
      <c r="I11" s="17">
        <f t="shared" si="3"/>
        <v>18018</v>
      </c>
      <c r="J11" s="17"/>
      <c r="K11" s="19">
        <f t="shared" si="4"/>
        <v>18018</v>
      </c>
    </row>
    <row r="12" spans="3:11" x14ac:dyDescent="0.3">
      <c r="C12" s="18"/>
      <c r="D12" s="15"/>
      <c r="E12" s="16"/>
      <c r="F12" s="16"/>
      <c r="G12" s="16"/>
      <c r="H12" s="16"/>
      <c r="I12" s="17">
        <f t="shared" ref="I12:I16" si="7">H12</f>
        <v>0</v>
      </c>
      <c r="J12" s="17"/>
      <c r="K12" s="19">
        <f t="shared" si="4"/>
        <v>0</v>
      </c>
    </row>
    <row r="13" spans="3:11" x14ac:dyDescent="0.3">
      <c r="C13" s="18"/>
      <c r="D13" s="15"/>
      <c r="E13" s="16"/>
      <c r="F13" s="16"/>
      <c r="G13" s="16"/>
      <c r="H13" s="17"/>
      <c r="I13" s="17">
        <f t="shared" si="7"/>
        <v>0</v>
      </c>
      <c r="J13" s="17"/>
      <c r="K13" s="19"/>
    </row>
    <row r="14" spans="3:11" x14ac:dyDescent="0.3">
      <c r="C14" s="11" t="s">
        <v>13</v>
      </c>
      <c r="D14" s="21" t="s">
        <v>14</v>
      </c>
      <c r="E14" s="13"/>
      <c r="F14" s="13"/>
      <c r="G14" s="13"/>
      <c r="H14" s="13"/>
      <c r="I14" s="17">
        <f t="shared" si="7"/>
        <v>0</v>
      </c>
      <c r="J14" s="17"/>
      <c r="K14" s="13"/>
    </row>
    <row r="15" spans="3:11" x14ac:dyDescent="0.3">
      <c r="C15" s="18"/>
      <c r="D15" s="15"/>
      <c r="E15" s="16"/>
      <c r="F15" s="16"/>
      <c r="G15" s="16"/>
      <c r="H15" s="16"/>
      <c r="I15" s="17">
        <f t="shared" si="7"/>
        <v>0</v>
      </c>
      <c r="J15" s="17"/>
      <c r="K15" s="16"/>
    </row>
    <row r="16" spans="3:11" x14ac:dyDescent="0.3">
      <c r="C16" s="18"/>
      <c r="D16" s="15"/>
      <c r="E16" s="16"/>
      <c r="F16" s="16"/>
      <c r="G16" s="16"/>
      <c r="H16" s="16"/>
      <c r="I16" s="17">
        <f t="shared" si="7"/>
        <v>0</v>
      </c>
      <c r="J16" s="17"/>
      <c r="K16" s="16"/>
    </row>
    <row r="17" spans="3:11" ht="56.25" x14ac:dyDescent="0.3">
      <c r="C17" s="11" t="s">
        <v>15</v>
      </c>
      <c r="D17" s="21" t="s">
        <v>16</v>
      </c>
      <c r="E17" s="13"/>
      <c r="F17" s="13"/>
      <c r="G17" s="13"/>
      <c r="H17" s="13">
        <f>SUM(H18:H21)</f>
        <v>43904</v>
      </c>
      <c r="I17" s="17">
        <f>SUM(I18:I22)</f>
        <v>43904</v>
      </c>
      <c r="J17" s="17"/>
      <c r="K17" s="13">
        <f t="shared" ref="K17" si="8">SUM(K18:K21)</f>
        <v>43904</v>
      </c>
    </row>
    <row r="18" spans="3:11" x14ac:dyDescent="0.3">
      <c r="C18" s="11" t="s">
        <v>55</v>
      </c>
      <c r="D18" s="15" t="s">
        <v>50</v>
      </c>
      <c r="E18" s="16"/>
      <c r="F18" s="16">
        <f>F8</f>
        <v>14</v>
      </c>
      <c r="G18" s="16">
        <v>784</v>
      </c>
      <c r="H18" s="16">
        <f>G18*F18</f>
        <v>10976</v>
      </c>
      <c r="I18" s="17">
        <f>H18</f>
        <v>10976</v>
      </c>
      <c r="J18" s="17"/>
      <c r="K18" s="19">
        <f>SUM(I18:J18)</f>
        <v>10976</v>
      </c>
    </row>
    <row r="19" spans="3:11" x14ac:dyDescent="0.3">
      <c r="C19" s="11" t="s">
        <v>56</v>
      </c>
      <c r="D19" s="15" t="s">
        <v>63</v>
      </c>
      <c r="E19" s="16"/>
      <c r="F19" s="16">
        <f>F18</f>
        <v>14</v>
      </c>
      <c r="G19" s="16">
        <f>G18</f>
        <v>784</v>
      </c>
      <c r="H19" s="16">
        <f t="shared" ref="H19:H21" si="9">G19*F19</f>
        <v>10976</v>
      </c>
      <c r="I19" s="17">
        <f t="shared" ref="I19:I21" si="10">H19</f>
        <v>10976</v>
      </c>
      <c r="J19" s="17"/>
      <c r="K19" s="19">
        <f t="shared" ref="K19:K22" si="11">SUM(I19:J19)</f>
        <v>10976</v>
      </c>
    </row>
    <row r="20" spans="3:11" x14ac:dyDescent="0.3">
      <c r="C20" s="11" t="s">
        <v>57</v>
      </c>
      <c r="D20" s="15" t="s">
        <v>61</v>
      </c>
      <c r="E20" s="16"/>
      <c r="F20" s="16">
        <f t="shared" ref="F20:F21" si="12">F19</f>
        <v>14</v>
      </c>
      <c r="G20" s="16">
        <f t="shared" ref="G20:G21" si="13">G19</f>
        <v>784</v>
      </c>
      <c r="H20" s="16">
        <f t="shared" si="9"/>
        <v>10976</v>
      </c>
      <c r="I20" s="17">
        <f t="shared" si="10"/>
        <v>10976</v>
      </c>
      <c r="J20" s="17"/>
      <c r="K20" s="19">
        <f t="shared" si="11"/>
        <v>10976</v>
      </c>
    </row>
    <row r="21" spans="3:11" x14ac:dyDescent="0.3">
      <c r="C21" s="11" t="s">
        <v>58</v>
      </c>
      <c r="D21" s="15" t="s">
        <v>64</v>
      </c>
      <c r="E21" s="16"/>
      <c r="F21" s="16">
        <f t="shared" si="12"/>
        <v>14</v>
      </c>
      <c r="G21" s="16">
        <f t="shared" si="13"/>
        <v>784</v>
      </c>
      <c r="H21" s="16">
        <f t="shared" si="9"/>
        <v>10976</v>
      </c>
      <c r="I21" s="17">
        <f t="shared" si="10"/>
        <v>10976</v>
      </c>
      <c r="J21" s="17"/>
      <c r="K21" s="19">
        <f t="shared" si="11"/>
        <v>10976</v>
      </c>
    </row>
    <row r="22" spans="3:11" x14ac:dyDescent="0.3">
      <c r="C22" s="18"/>
      <c r="D22" s="15"/>
      <c r="E22" s="16"/>
      <c r="F22" s="16"/>
      <c r="G22" s="16"/>
      <c r="H22" s="16"/>
      <c r="I22" s="16"/>
      <c r="J22" s="16"/>
      <c r="K22" s="19">
        <f t="shared" si="11"/>
        <v>0</v>
      </c>
    </row>
    <row r="23" spans="3:11" x14ac:dyDescent="0.3">
      <c r="C23" s="18"/>
      <c r="D23" s="15"/>
      <c r="E23" s="16"/>
      <c r="F23" s="16"/>
      <c r="G23" s="16"/>
      <c r="H23" s="22"/>
      <c r="I23" s="19"/>
      <c r="J23" s="19"/>
      <c r="K23" s="19"/>
    </row>
    <row r="24" spans="3:11" ht="37.5" x14ac:dyDescent="0.3">
      <c r="C24" s="23">
        <v>2</v>
      </c>
      <c r="D24" s="24" t="s">
        <v>17</v>
      </c>
      <c r="E24" s="25"/>
      <c r="F24" s="25"/>
      <c r="G24" s="25"/>
      <c r="H24" s="25"/>
      <c r="I24" s="25"/>
      <c r="J24" s="25"/>
      <c r="K24" s="25"/>
    </row>
    <row r="25" spans="3:11" x14ac:dyDescent="0.3">
      <c r="C25" s="11" t="s">
        <v>18</v>
      </c>
      <c r="D25" s="21" t="s">
        <v>19</v>
      </c>
      <c r="E25" s="13"/>
      <c r="F25" s="13"/>
      <c r="G25" s="13"/>
      <c r="H25" s="13"/>
      <c r="I25" s="13"/>
      <c r="J25" s="13"/>
      <c r="K25" s="13"/>
    </row>
    <row r="26" spans="3:11" x14ac:dyDescent="0.3">
      <c r="C26" s="18"/>
      <c r="D26" s="15"/>
      <c r="E26" s="16"/>
      <c r="F26" s="16"/>
      <c r="G26" s="16"/>
      <c r="H26" s="16"/>
      <c r="I26" s="16"/>
      <c r="J26" s="16"/>
      <c r="K26" s="16"/>
    </row>
    <row r="27" spans="3:11" x14ac:dyDescent="0.3">
      <c r="C27" s="18"/>
      <c r="D27" s="15"/>
      <c r="E27" s="16"/>
      <c r="F27" s="16"/>
      <c r="G27" s="16"/>
      <c r="H27" s="16"/>
      <c r="I27" s="16"/>
      <c r="J27" s="16"/>
      <c r="K27" s="16"/>
    </row>
    <row r="28" spans="3:11" x14ac:dyDescent="0.3">
      <c r="C28" s="11" t="s">
        <v>20</v>
      </c>
      <c r="D28" s="21" t="s">
        <v>21</v>
      </c>
      <c r="E28" s="13"/>
      <c r="F28" s="13"/>
      <c r="G28" s="13"/>
      <c r="H28" s="13"/>
      <c r="I28" s="13"/>
      <c r="J28" s="13"/>
      <c r="K28" s="13"/>
    </row>
    <row r="29" spans="3:11" x14ac:dyDescent="0.3">
      <c r="C29" s="18"/>
      <c r="D29" s="15"/>
      <c r="E29" s="16"/>
      <c r="F29" s="16"/>
      <c r="G29" s="16"/>
      <c r="H29" s="16"/>
      <c r="I29" s="16"/>
      <c r="J29" s="16"/>
      <c r="K29" s="16"/>
    </row>
    <row r="30" spans="3:11" x14ac:dyDescent="0.3">
      <c r="C30" s="18"/>
      <c r="D30" s="15"/>
      <c r="E30" s="16"/>
      <c r="F30" s="16"/>
      <c r="G30" s="16"/>
      <c r="H30" s="16"/>
      <c r="I30" s="16"/>
      <c r="J30" s="16"/>
      <c r="K30" s="16"/>
    </row>
    <row r="31" spans="3:11" ht="93.75" x14ac:dyDescent="0.3">
      <c r="C31" s="11" t="s">
        <v>22</v>
      </c>
      <c r="D31" s="21" t="s">
        <v>23</v>
      </c>
      <c r="E31" s="26"/>
      <c r="F31" s="26"/>
      <c r="G31" s="26"/>
      <c r="H31" s="26"/>
      <c r="I31" s="26"/>
      <c r="J31" s="26"/>
      <c r="K31" s="26"/>
    </row>
    <row r="32" spans="3:11" x14ac:dyDescent="0.3">
      <c r="C32" s="18"/>
      <c r="D32" s="15"/>
      <c r="E32" s="16"/>
      <c r="F32" s="16"/>
      <c r="G32" s="16"/>
      <c r="H32" s="16"/>
      <c r="I32" s="16"/>
      <c r="J32" s="16"/>
      <c r="K32" s="16"/>
    </row>
    <row r="33" spans="3:13" x14ac:dyDescent="0.3">
      <c r="C33" s="18"/>
      <c r="D33" s="15"/>
      <c r="E33" s="16"/>
      <c r="F33" s="16"/>
      <c r="G33" s="16"/>
      <c r="H33" s="16"/>
      <c r="I33" s="16"/>
      <c r="J33" s="16"/>
      <c r="K33" s="16"/>
    </row>
    <row r="34" spans="3:13" ht="37.5" x14ac:dyDescent="0.3">
      <c r="C34" s="11" t="s">
        <v>24</v>
      </c>
      <c r="D34" s="27" t="s">
        <v>25</v>
      </c>
      <c r="E34" s="28"/>
      <c r="F34" s="28"/>
      <c r="G34" s="28"/>
      <c r="H34" s="28"/>
      <c r="I34" s="28"/>
      <c r="J34" s="28"/>
      <c r="K34" s="28"/>
    </row>
    <row r="35" spans="3:13" x14ac:dyDescent="0.3">
      <c r="C35" s="18"/>
      <c r="D35" s="15"/>
      <c r="E35" s="16"/>
      <c r="F35" s="16"/>
      <c r="G35" s="16"/>
      <c r="H35" s="16"/>
      <c r="I35" s="16"/>
      <c r="J35" s="16"/>
      <c r="K35" s="16"/>
    </row>
    <row r="36" spans="3:13" x14ac:dyDescent="0.3">
      <c r="C36" s="18"/>
      <c r="D36" s="15"/>
      <c r="E36" s="16"/>
      <c r="F36" s="16"/>
      <c r="G36" s="16"/>
      <c r="H36" s="16"/>
      <c r="I36" s="16"/>
      <c r="J36" s="16"/>
      <c r="K36" s="16"/>
    </row>
    <row r="37" spans="3:13" ht="56.25" x14ac:dyDescent="0.3">
      <c r="C37" s="42">
        <v>3</v>
      </c>
      <c r="D37" s="43" t="s">
        <v>26</v>
      </c>
      <c r="E37" s="44"/>
      <c r="F37" s="44"/>
      <c r="G37" s="44">
        <f>SUM(G38:G41)</f>
        <v>0</v>
      </c>
      <c r="H37" s="44">
        <f t="shared" ref="H37:K37" si="14">SUM(H38:H41)</f>
        <v>0</v>
      </c>
      <c r="I37" s="44">
        <f t="shared" si="14"/>
        <v>0</v>
      </c>
      <c r="J37" s="44">
        <f t="shared" si="14"/>
        <v>0</v>
      </c>
      <c r="K37" s="44">
        <f t="shared" si="14"/>
        <v>0</v>
      </c>
    </row>
    <row r="38" spans="3:13" x14ac:dyDescent="0.3">
      <c r="C38" s="50"/>
      <c r="D38" s="15"/>
      <c r="E38" s="52"/>
      <c r="F38" s="52"/>
      <c r="G38" s="52"/>
      <c r="H38" s="52"/>
      <c r="I38" s="52"/>
      <c r="J38" s="52"/>
      <c r="K38" s="52"/>
    </row>
    <row r="39" spans="3:13" x14ac:dyDescent="0.3">
      <c r="C39" s="50"/>
      <c r="D39" s="52"/>
      <c r="E39" s="52"/>
      <c r="F39" s="52"/>
      <c r="G39" s="52"/>
      <c r="H39" s="52"/>
      <c r="I39" s="52"/>
      <c r="J39" s="52"/>
      <c r="K39" s="52"/>
    </row>
    <row r="40" spans="3:13" x14ac:dyDescent="0.3">
      <c r="C40" s="50"/>
      <c r="D40" s="51"/>
      <c r="E40" s="52"/>
      <c r="F40" s="52"/>
      <c r="G40" s="53"/>
      <c r="H40" s="54"/>
      <c r="I40" s="52"/>
      <c r="J40" s="52"/>
      <c r="K40" s="55"/>
    </row>
    <row r="41" spans="3:13" x14ac:dyDescent="0.3">
      <c r="C41" s="50"/>
      <c r="D41" s="51"/>
      <c r="E41" s="52"/>
      <c r="F41" s="52"/>
      <c r="G41" s="53"/>
      <c r="H41" s="54"/>
      <c r="I41" s="55"/>
      <c r="J41" s="55"/>
      <c r="K41" s="55"/>
    </row>
    <row r="42" spans="3:13" x14ac:dyDescent="0.3">
      <c r="C42" s="50"/>
      <c r="D42" s="51"/>
      <c r="E42" s="52"/>
      <c r="F42" s="52"/>
      <c r="G42" s="52"/>
      <c r="H42" s="54"/>
      <c r="I42" s="52"/>
      <c r="J42" s="52"/>
      <c r="K42" s="55">
        <f t="shared" ref="K42" si="15">SUM(I42:J42)</f>
        <v>0</v>
      </c>
    </row>
    <row r="43" spans="3:13" x14ac:dyDescent="0.3">
      <c r="C43" s="45"/>
      <c r="D43" s="46"/>
      <c r="E43" s="47"/>
      <c r="F43" s="47"/>
      <c r="G43" s="47"/>
      <c r="H43" s="48"/>
      <c r="I43" s="49"/>
      <c r="J43" s="49"/>
      <c r="K43" s="49"/>
    </row>
    <row r="44" spans="3:13" ht="104.25" customHeight="1" x14ac:dyDescent="0.3">
      <c r="C44" s="23">
        <v>4</v>
      </c>
      <c r="D44" s="24" t="s">
        <v>27</v>
      </c>
      <c r="E44" s="25"/>
      <c r="F44" s="25"/>
      <c r="G44" s="56">
        <f>G45+G46</f>
        <v>276592</v>
      </c>
      <c r="H44" s="56">
        <f t="shared" ref="H44:K44" si="16">H45+H46</f>
        <v>276592</v>
      </c>
      <c r="I44" s="56">
        <f>I45+I46</f>
        <v>192549</v>
      </c>
      <c r="J44" s="56">
        <f t="shared" si="16"/>
        <v>84043</v>
      </c>
      <c r="K44" s="56">
        <f t="shared" si="16"/>
        <v>276592</v>
      </c>
      <c r="M44" s="62"/>
    </row>
    <row r="45" spans="3:13" x14ac:dyDescent="0.3">
      <c r="C45" s="18">
        <v>4.0999999999999996</v>
      </c>
      <c r="D45" s="15" t="s">
        <v>65</v>
      </c>
      <c r="E45" s="16" t="s">
        <v>59</v>
      </c>
      <c r="F45" s="16">
        <v>1</v>
      </c>
      <c r="G45" s="57">
        <v>198973.8</v>
      </c>
      <c r="H45" s="17">
        <f>G45*F45</f>
        <v>198973.8</v>
      </c>
      <c r="I45" s="20">
        <v>114930.8</v>
      </c>
      <c r="J45" s="20">
        <f>49532.64+6039.43</f>
        <v>55572.07</v>
      </c>
      <c r="K45" s="20">
        <f>SUM(I45:J45)</f>
        <v>170502.87</v>
      </c>
      <c r="L45" s="60"/>
      <c r="M45" s="4"/>
    </row>
    <row r="46" spans="3:13" x14ac:dyDescent="0.3">
      <c r="C46" s="18">
        <v>4.2</v>
      </c>
      <c r="D46" s="15" t="s">
        <v>66</v>
      </c>
      <c r="E46" s="16" t="s">
        <v>59</v>
      </c>
      <c r="F46" s="16">
        <v>1</v>
      </c>
      <c r="G46" s="2">
        <v>77618.2</v>
      </c>
      <c r="H46" s="17">
        <f>G46*F46</f>
        <v>77618.2</v>
      </c>
      <c r="I46" s="20">
        <f>H46</f>
        <v>77618.2</v>
      </c>
      <c r="J46" s="20">
        <v>28470.93</v>
      </c>
      <c r="K46" s="20">
        <f>SUM(I46:J46)</f>
        <v>106089.13</v>
      </c>
      <c r="L46" s="60"/>
      <c r="M46" s="4"/>
    </row>
    <row r="47" spans="3:13" ht="42.75" customHeight="1" x14ac:dyDescent="0.3">
      <c r="C47" s="23">
        <v>5</v>
      </c>
      <c r="D47" s="24" t="s">
        <v>28</v>
      </c>
      <c r="E47" s="25"/>
      <c r="F47" s="25"/>
      <c r="G47" s="25"/>
      <c r="H47" s="25"/>
      <c r="I47" s="58"/>
      <c r="J47" s="25"/>
      <c r="K47" s="25"/>
      <c r="L47" s="41"/>
    </row>
    <row r="48" spans="3:13" x14ac:dyDescent="0.3">
      <c r="C48" s="18"/>
      <c r="D48" s="15"/>
      <c r="E48" s="16"/>
      <c r="F48" s="16"/>
      <c r="G48" s="16"/>
      <c r="H48" s="16"/>
      <c r="I48" s="16"/>
      <c r="J48" s="16"/>
      <c r="K48" s="16"/>
    </row>
    <row r="49" spans="3:11" x14ac:dyDescent="0.3">
      <c r="C49" s="18"/>
      <c r="D49" s="15"/>
      <c r="E49" s="16"/>
      <c r="F49" s="16"/>
      <c r="G49" s="16"/>
      <c r="H49" s="16"/>
      <c r="I49" s="16"/>
      <c r="J49" s="16"/>
      <c r="K49" s="16"/>
    </row>
    <row r="50" spans="3:11" x14ac:dyDescent="0.3">
      <c r="C50" s="18"/>
      <c r="D50" s="15"/>
      <c r="E50" s="16"/>
      <c r="F50" s="16"/>
      <c r="G50" s="16"/>
      <c r="H50" s="16"/>
      <c r="I50" s="16"/>
      <c r="J50" s="16"/>
      <c r="K50" s="16"/>
    </row>
    <row r="51" spans="3:11" ht="75" x14ac:dyDescent="0.3">
      <c r="C51" s="23">
        <v>6</v>
      </c>
      <c r="D51" s="24" t="s">
        <v>29</v>
      </c>
      <c r="E51" s="29"/>
      <c r="F51" s="29"/>
      <c r="G51" s="29"/>
      <c r="H51" s="29"/>
      <c r="I51" s="29"/>
      <c r="J51" s="29"/>
      <c r="K51" s="29"/>
    </row>
    <row r="52" spans="3:11" x14ac:dyDescent="0.3">
      <c r="C52" s="30"/>
      <c r="D52" s="15"/>
      <c r="E52" s="16"/>
      <c r="F52" s="16"/>
      <c r="G52" s="16"/>
      <c r="H52" s="16"/>
      <c r="I52" s="16"/>
      <c r="J52" s="16"/>
      <c r="K52" s="16"/>
    </row>
    <row r="53" spans="3:11" x14ac:dyDescent="0.3">
      <c r="C53" s="30"/>
      <c r="D53" s="15"/>
      <c r="E53" s="16"/>
      <c r="F53" s="16"/>
      <c r="G53" s="16"/>
      <c r="H53" s="16"/>
      <c r="I53" s="16"/>
      <c r="J53" s="16"/>
      <c r="K53" s="16"/>
    </row>
    <row r="54" spans="3:11" x14ac:dyDescent="0.3">
      <c r="C54" s="30"/>
      <c r="D54" s="15"/>
      <c r="E54" s="16"/>
      <c r="F54" s="16"/>
      <c r="G54" s="16"/>
      <c r="H54" s="16"/>
      <c r="I54" s="16"/>
      <c r="J54" s="16"/>
      <c r="K54" s="16"/>
    </row>
    <row r="55" spans="3:11" x14ac:dyDescent="0.3">
      <c r="C55" s="31">
        <v>7</v>
      </c>
      <c r="D55" s="24" t="s">
        <v>30</v>
      </c>
      <c r="E55" s="29"/>
      <c r="F55" s="29"/>
      <c r="G55" s="29"/>
      <c r="H55" s="29"/>
      <c r="I55" s="29"/>
      <c r="J55" s="29"/>
      <c r="K55" s="29"/>
    </row>
    <row r="56" spans="3:11" x14ac:dyDescent="0.3">
      <c r="C56" s="30"/>
      <c r="D56" s="15"/>
      <c r="E56" s="16"/>
      <c r="F56" s="16"/>
      <c r="G56" s="16"/>
      <c r="H56" s="16"/>
      <c r="I56" s="16"/>
      <c r="J56" s="16"/>
      <c r="K56" s="16"/>
    </row>
    <row r="57" spans="3:11" x14ac:dyDescent="0.3">
      <c r="C57" s="30"/>
      <c r="D57" s="15"/>
      <c r="E57" s="16"/>
      <c r="F57" s="16"/>
      <c r="G57" s="16"/>
      <c r="H57" s="16"/>
      <c r="I57" s="16"/>
      <c r="J57" s="16"/>
      <c r="K57" s="16"/>
    </row>
    <row r="58" spans="3:11" x14ac:dyDescent="0.3">
      <c r="C58" s="30"/>
      <c r="D58" s="15"/>
      <c r="E58" s="16"/>
      <c r="F58" s="16"/>
      <c r="G58" s="16"/>
      <c r="H58" s="16"/>
      <c r="I58" s="16"/>
      <c r="J58" s="16"/>
      <c r="K58" s="16"/>
    </row>
    <row r="59" spans="3:11" ht="37.5" x14ac:dyDescent="0.3">
      <c r="C59" s="23">
        <v>8</v>
      </c>
      <c r="D59" s="24" t="s">
        <v>31</v>
      </c>
      <c r="E59" s="32"/>
      <c r="F59" s="32"/>
      <c r="G59" s="32"/>
      <c r="H59" s="32"/>
      <c r="I59" s="32"/>
      <c r="J59" s="32"/>
      <c r="K59" s="32"/>
    </row>
    <row r="60" spans="3:11" x14ac:dyDescent="0.3">
      <c r="C60" s="30"/>
      <c r="D60" s="15"/>
      <c r="E60" s="16"/>
      <c r="F60" s="16"/>
      <c r="G60" s="16"/>
      <c r="H60" s="16"/>
      <c r="I60" s="16"/>
      <c r="J60" s="16"/>
      <c r="K60" s="16"/>
    </row>
    <row r="61" spans="3:11" x14ac:dyDescent="0.3">
      <c r="C61" s="30"/>
      <c r="D61" s="15"/>
      <c r="E61" s="16"/>
      <c r="F61" s="16"/>
      <c r="G61" s="16"/>
      <c r="H61" s="16"/>
      <c r="I61" s="16"/>
      <c r="J61" s="16"/>
      <c r="K61" s="16"/>
    </row>
    <row r="62" spans="3:11" ht="56.25" x14ac:dyDescent="0.3">
      <c r="C62" s="31">
        <v>9</v>
      </c>
      <c r="D62" s="24" t="s">
        <v>32</v>
      </c>
      <c r="E62" s="25"/>
      <c r="F62" s="25"/>
      <c r="G62" s="25"/>
      <c r="H62" s="25"/>
      <c r="I62" s="25"/>
      <c r="J62" s="25"/>
      <c r="K62" s="25"/>
    </row>
    <row r="63" spans="3:11" x14ac:dyDescent="0.3">
      <c r="C63" s="30"/>
      <c r="D63" s="15"/>
      <c r="E63" s="16"/>
      <c r="F63" s="16"/>
      <c r="G63" s="16"/>
      <c r="H63" s="16"/>
      <c r="I63" s="16"/>
      <c r="J63" s="16"/>
      <c r="K63" s="16"/>
    </row>
    <row r="64" spans="3:11" x14ac:dyDescent="0.3">
      <c r="C64" s="30"/>
      <c r="D64" s="15"/>
      <c r="E64" s="16"/>
      <c r="F64" s="16"/>
      <c r="G64" s="16"/>
      <c r="H64" s="16"/>
      <c r="I64" s="16"/>
      <c r="J64" s="16"/>
      <c r="K64" s="16"/>
    </row>
    <row r="65" spans="3:11" ht="37.5" x14ac:dyDescent="0.3">
      <c r="C65" s="31">
        <v>10</v>
      </c>
      <c r="D65" s="24" t="s">
        <v>33</v>
      </c>
      <c r="E65" s="29"/>
      <c r="F65" s="29"/>
      <c r="G65" s="29"/>
      <c r="H65" s="29"/>
      <c r="I65" s="29"/>
      <c r="J65" s="29"/>
      <c r="K65" s="29"/>
    </row>
    <row r="66" spans="3:11" x14ac:dyDescent="0.3">
      <c r="C66" s="30"/>
      <c r="D66" s="15"/>
      <c r="E66" s="16"/>
      <c r="F66" s="16"/>
      <c r="G66" s="16"/>
      <c r="H66" s="16"/>
      <c r="I66" s="16"/>
      <c r="J66" s="16"/>
      <c r="K66" s="16"/>
    </row>
    <row r="67" spans="3:11" x14ac:dyDescent="0.3">
      <c r="C67" s="30"/>
      <c r="D67" s="15"/>
      <c r="E67" s="16"/>
      <c r="F67" s="16"/>
      <c r="G67" s="16"/>
      <c r="H67" s="16"/>
      <c r="I67" s="16"/>
      <c r="J67" s="16"/>
      <c r="K67" s="16"/>
    </row>
    <row r="68" spans="3:11" x14ac:dyDescent="0.3">
      <c r="C68" s="31">
        <v>11</v>
      </c>
      <c r="D68" s="33" t="s">
        <v>34</v>
      </c>
      <c r="E68" s="29"/>
      <c r="F68" s="29"/>
      <c r="G68" s="29"/>
      <c r="H68" s="29"/>
      <c r="I68" s="29"/>
      <c r="J68" s="29"/>
      <c r="K68" s="29"/>
    </row>
    <row r="69" spans="3:11" x14ac:dyDescent="0.3">
      <c r="C69" s="30"/>
      <c r="D69" s="15"/>
      <c r="E69" s="16"/>
      <c r="F69" s="16"/>
      <c r="G69" s="16"/>
      <c r="H69" s="16"/>
      <c r="I69" s="16"/>
      <c r="J69" s="16"/>
      <c r="K69" s="16"/>
    </row>
    <row r="70" spans="3:11" x14ac:dyDescent="0.3">
      <c r="C70" s="30"/>
      <c r="D70" s="15"/>
      <c r="E70" s="16"/>
      <c r="F70" s="16"/>
      <c r="G70" s="16"/>
      <c r="H70" s="16"/>
      <c r="I70" s="16"/>
      <c r="J70" s="16"/>
      <c r="K70" s="16"/>
    </row>
    <row r="71" spans="3:11" ht="37.5" x14ac:dyDescent="0.3">
      <c r="C71" s="31">
        <v>12</v>
      </c>
      <c r="D71" s="24" t="s">
        <v>35</v>
      </c>
      <c r="E71" s="29"/>
      <c r="F71" s="29"/>
      <c r="G71" s="29"/>
      <c r="H71" s="29"/>
      <c r="I71" s="29"/>
      <c r="J71" s="29"/>
      <c r="K71" s="29"/>
    </row>
    <row r="72" spans="3:11" x14ac:dyDescent="0.3">
      <c r="C72" s="30"/>
      <c r="D72" s="15"/>
      <c r="E72" s="16"/>
      <c r="F72" s="16"/>
      <c r="G72" s="16"/>
      <c r="H72" s="16"/>
      <c r="I72" s="16"/>
      <c r="J72" s="16"/>
      <c r="K72" s="16"/>
    </row>
    <row r="73" spans="3:11" x14ac:dyDescent="0.3">
      <c r="C73" s="30"/>
      <c r="D73" s="15"/>
      <c r="E73" s="16"/>
      <c r="F73" s="16"/>
      <c r="G73" s="16"/>
      <c r="H73" s="16"/>
      <c r="I73" s="16"/>
      <c r="J73" s="16"/>
      <c r="K73" s="16"/>
    </row>
    <row r="74" spans="3:11" x14ac:dyDescent="0.3">
      <c r="C74" s="31">
        <v>13</v>
      </c>
      <c r="D74" s="33" t="s">
        <v>36</v>
      </c>
      <c r="E74" s="29"/>
      <c r="F74" s="29"/>
      <c r="G74" s="29"/>
      <c r="H74" s="29"/>
      <c r="I74" s="29"/>
      <c r="J74" s="29"/>
      <c r="K74" s="29"/>
    </row>
    <row r="75" spans="3:11" x14ac:dyDescent="0.3">
      <c r="C75" s="30"/>
      <c r="D75" s="15"/>
      <c r="E75" s="16"/>
      <c r="F75" s="16"/>
      <c r="G75" s="16"/>
      <c r="H75" s="16"/>
      <c r="I75" s="16"/>
      <c r="J75" s="16"/>
      <c r="K75" s="16"/>
    </row>
    <row r="76" spans="3:11" x14ac:dyDescent="0.3">
      <c r="C76" s="30"/>
      <c r="D76" s="15"/>
      <c r="E76" s="16"/>
      <c r="F76" s="16"/>
      <c r="G76" s="16"/>
      <c r="H76" s="16"/>
      <c r="I76" s="16"/>
      <c r="J76" s="16"/>
      <c r="K76" s="16"/>
    </row>
    <row r="77" spans="3:11" x14ac:dyDescent="0.3">
      <c r="C77" s="31">
        <v>14</v>
      </c>
      <c r="D77" s="33" t="s">
        <v>37</v>
      </c>
      <c r="E77" s="29"/>
      <c r="F77" s="29"/>
      <c r="G77" s="29"/>
      <c r="H77" s="29"/>
      <c r="I77" s="29"/>
      <c r="J77" s="29"/>
      <c r="K77" s="29"/>
    </row>
    <row r="78" spans="3:11" x14ac:dyDescent="0.3">
      <c r="C78" s="30"/>
      <c r="D78" s="15"/>
      <c r="E78" s="16"/>
      <c r="F78" s="16"/>
      <c r="G78" s="16"/>
      <c r="H78" s="16"/>
      <c r="I78" s="16"/>
      <c r="J78" s="16"/>
      <c r="K78" s="16"/>
    </row>
    <row r="79" spans="3:11" x14ac:dyDescent="0.3">
      <c r="C79" s="30"/>
      <c r="D79" s="15"/>
      <c r="E79" s="16"/>
      <c r="F79" s="16"/>
      <c r="G79" s="16"/>
      <c r="H79" s="16"/>
      <c r="I79" s="16"/>
      <c r="J79" s="16"/>
      <c r="K79" s="16"/>
    </row>
    <row r="80" spans="3:11" x14ac:dyDescent="0.3">
      <c r="C80" s="31">
        <v>15</v>
      </c>
      <c r="D80" s="24" t="s">
        <v>38</v>
      </c>
      <c r="E80" s="29"/>
      <c r="F80" s="29"/>
      <c r="G80" s="29"/>
      <c r="H80" s="29"/>
      <c r="I80" s="29"/>
      <c r="J80" s="29"/>
      <c r="K80" s="29"/>
    </row>
    <row r="81" spans="3:11" x14ac:dyDescent="0.3">
      <c r="C81" s="30"/>
      <c r="D81" s="15"/>
      <c r="E81" s="16"/>
      <c r="F81" s="16"/>
      <c r="G81" s="16"/>
      <c r="H81" s="16"/>
      <c r="I81" s="16"/>
      <c r="J81" s="16"/>
      <c r="K81" s="16"/>
    </row>
    <row r="82" spans="3:11" x14ac:dyDescent="0.3">
      <c r="C82" s="11" t="s">
        <v>39</v>
      </c>
      <c r="D82" s="12" t="s">
        <v>40</v>
      </c>
      <c r="E82" s="13"/>
      <c r="F82" s="13"/>
      <c r="G82" s="13"/>
      <c r="H82" s="13"/>
      <c r="I82" s="13"/>
      <c r="J82" s="13"/>
      <c r="K82" s="13"/>
    </row>
    <row r="83" spans="3:11" x14ac:dyDescent="0.3">
      <c r="C83" s="18"/>
      <c r="D83" s="15"/>
      <c r="E83" s="16"/>
      <c r="F83" s="16"/>
      <c r="G83" s="16"/>
      <c r="H83" s="16"/>
      <c r="I83" s="16"/>
      <c r="J83" s="16"/>
      <c r="K83" s="16"/>
    </row>
    <row r="84" spans="3:11" ht="37.5" x14ac:dyDescent="0.3">
      <c r="C84" s="11" t="s">
        <v>41</v>
      </c>
      <c r="D84" s="21" t="s">
        <v>42</v>
      </c>
      <c r="E84" s="13"/>
      <c r="F84" s="13"/>
      <c r="G84" s="13"/>
      <c r="H84" s="13"/>
      <c r="I84" s="13"/>
      <c r="J84" s="13"/>
      <c r="K84" s="13"/>
    </row>
    <row r="85" spans="3:11" x14ac:dyDescent="0.3">
      <c r="C85" s="18"/>
      <c r="D85" s="27"/>
      <c r="E85" s="16"/>
      <c r="F85" s="16"/>
      <c r="G85" s="16"/>
      <c r="H85" s="16"/>
      <c r="I85" s="16"/>
      <c r="J85" s="16"/>
      <c r="K85" s="16"/>
    </row>
    <row r="86" spans="3:11" ht="56.25" x14ac:dyDescent="0.3">
      <c r="C86" s="11" t="s">
        <v>43</v>
      </c>
      <c r="D86" s="21" t="s">
        <v>44</v>
      </c>
      <c r="E86" s="13"/>
      <c r="F86" s="13"/>
      <c r="G86" s="13"/>
      <c r="H86" s="13"/>
      <c r="I86" s="13"/>
      <c r="J86" s="13"/>
      <c r="K86" s="13"/>
    </row>
    <row r="87" spans="3:11" x14ac:dyDescent="0.3">
      <c r="C87" s="18"/>
      <c r="D87" s="15"/>
      <c r="E87" s="16"/>
      <c r="F87" s="16"/>
      <c r="G87" s="16"/>
      <c r="H87" s="16"/>
      <c r="I87" s="16"/>
      <c r="J87" s="16"/>
      <c r="K87" s="16"/>
    </row>
    <row r="88" spans="3:11" ht="37.5" x14ac:dyDescent="0.3">
      <c r="C88" s="11" t="s">
        <v>45</v>
      </c>
      <c r="D88" s="21" t="s">
        <v>46</v>
      </c>
      <c r="E88" s="13"/>
      <c r="F88" s="13"/>
      <c r="G88" s="13"/>
      <c r="H88" s="13"/>
      <c r="I88" s="13"/>
      <c r="J88" s="13"/>
      <c r="K88" s="13"/>
    </row>
    <row r="89" spans="3:11" x14ac:dyDescent="0.3">
      <c r="C89" s="18"/>
      <c r="D89" s="15"/>
      <c r="E89" s="16"/>
      <c r="F89" s="16"/>
      <c r="G89" s="16"/>
      <c r="H89" s="16"/>
      <c r="I89" s="16"/>
      <c r="J89" s="16"/>
      <c r="K89" s="16"/>
    </row>
    <row r="90" spans="3:11" ht="37.5" x14ac:dyDescent="0.3">
      <c r="C90" s="11" t="s">
        <v>47</v>
      </c>
      <c r="D90" s="21" t="s">
        <v>48</v>
      </c>
      <c r="E90" s="13"/>
      <c r="F90" s="13"/>
      <c r="G90" s="13"/>
      <c r="H90" s="13"/>
      <c r="I90" s="13"/>
      <c r="J90" s="13"/>
      <c r="K90" s="13"/>
    </row>
    <row r="91" spans="3:11" x14ac:dyDescent="0.3">
      <c r="C91" s="18"/>
      <c r="D91" s="16"/>
      <c r="E91" s="16"/>
      <c r="F91" s="16"/>
      <c r="G91" s="16"/>
      <c r="H91" s="16"/>
      <c r="I91" s="16"/>
      <c r="J91" s="16"/>
      <c r="K91" s="16"/>
    </row>
    <row r="92" spans="3:11" s="38" customFormat="1" ht="23.25" customHeight="1" x14ac:dyDescent="0.25">
      <c r="C92" s="34"/>
      <c r="D92" s="35" t="s">
        <v>49</v>
      </c>
      <c r="E92" s="36"/>
      <c r="F92" s="37">
        <f t="shared" ref="F92" si="17">F43+F23+F13</f>
        <v>0</v>
      </c>
      <c r="G92" s="37"/>
      <c r="H92" s="37">
        <f>SUM(H37,H17,H7,H44)</f>
        <v>392568</v>
      </c>
      <c r="I92" s="37">
        <f>SUM(I37,I17,I7,I44)</f>
        <v>308525</v>
      </c>
      <c r="J92" s="37">
        <f t="shared" ref="J92:K92" si="18">SUM(J37,J17,J7,J44)</f>
        <v>84043</v>
      </c>
      <c r="K92" s="37">
        <f t="shared" si="18"/>
        <v>392568</v>
      </c>
    </row>
    <row r="93" spans="3:11" x14ac:dyDescent="0.3">
      <c r="E93" s="39"/>
      <c r="F93" s="40"/>
      <c r="I93" s="4"/>
      <c r="K93" s="41">
        <f>H92-K92</f>
        <v>0</v>
      </c>
    </row>
    <row r="94" spans="3:11" x14ac:dyDescent="0.3">
      <c r="E94" s="39"/>
      <c r="F94" s="40"/>
      <c r="I94" s="4">
        <f>I92-308525</f>
        <v>0</v>
      </c>
      <c r="J94" s="63">
        <f>J92/K92</f>
        <v>0.21408520307309817</v>
      </c>
      <c r="K94" s="63"/>
    </row>
    <row r="95" spans="3:11" x14ac:dyDescent="0.3">
      <c r="E95" s="39"/>
      <c r="F95" s="40"/>
      <c r="H95" s="41"/>
      <c r="I95" s="41"/>
      <c r="J95" s="41"/>
      <c r="K95" s="41"/>
    </row>
    <row r="96" spans="3:11" x14ac:dyDescent="0.3">
      <c r="E96" s="39"/>
      <c r="F96" s="5"/>
      <c r="G96" s="40"/>
      <c r="H96" s="57"/>
      <c r="I96" s="57"/>
      <c r="J96" s="57"/>
      <c r="K96" s="57"/>
    </row>
    <row r="97" spans="5:10" x14ac:dyDescent="0.3">
      <c r="E97" s="39"/>
      <c r="F97" s="4"/>
      <c r="G97" s="4"/>
      <c r="H97" s="57"/>
      <c r="I97" s="57"/>
      <c r="J97" s="57"/>
    </row>
    <row r="98" spans="5:10" x14ac:dyDescent="0.3">
      <c r="E98" s="39"/>
      <c r="F98" s="4"/>
      <c r="G98" s="4"/>
      <c r="H98" s="41"/>
      <c r="I98" s="41"/>
      <c r="J98" s="41"/>
    </row>
    <row r="99" spans="5:10" x14ac:dyDescent="0.3">
      <c r="E99" s="4"/>
      <c r="F99" s="4"/>
      <c r="G99" s="4"/>
      <c r="H99" s="41"/>
      <c r="I99" s="57"/>
      <c r="J99" s="41"/>
    </row>
    <row r="100" spans="5:10" x14ac:dyDescent="0.3">
      <c r="E100" s="41"/>
      <c r="H100" s="41"/>
      <c r="I100" s="59"/>
    </row>
    <row r="101" spans="5:10" x14ac:dyDescent="0.3">
      <c r="E101" s="41"/>
      <c r="H101" s="41"/>
    </row>
    <row r="102" spans="5:10" x14ac:dyDescent="0.3">
      <c r="H102" s="41"/>
    </row>
    <row r="103" spans="5:10" x14ac:dyDescent="0.3">
      <c r="H103" s="41"/>
      <c r="J103" s="41"/>
    </row>
  </sheetData>
  <mergeCells count="1">
    <mergeCell ref="C2:K2"/>
  </mergeCells>
  <phoneticPr fontId="4" type="noConversion"/>
  <pageMargins left="0.70000000000000007" right="0.70000000000000007" top="0.75" bottom="0.75" header="0.30000000000000004" footer="0.30000000000000004"/>
  <pageSetup scale="5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Buget_plan_afaceri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Radu Ros</cp:lastModifiedBy>
  <cp:lastPrinted>2025-06-23T09:48:25Z</cp:lastPrinted>
  <dcterms:created xsi:type="dcterms:W3CDTF">2024-11-28T13:58:24Z</dcterms:created>
  <dcterms:modified xsi:type="dcterms:W3CDTF">2026-01-28T12:14:04Z</dcterms:modified>
</cp:coreProperties>
</file>