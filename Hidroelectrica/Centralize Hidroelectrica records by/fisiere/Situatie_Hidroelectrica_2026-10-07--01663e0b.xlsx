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1560decd6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uatie" sheetId="1" r:id="Rb7e62529195d464a"/>
    <x:sheet xmlns:r="http://schemas.openxmlformats.org/officeDocument/2006/relationships" name="Contracte" sheetId="2" r:id="R1f8814c68fae43d4"/>
    <x:sheet xmlns:r="http://schemas.openxmlformats.org/officeDocument/2006/relationships" name="Facturi" sheetId="3" r:id="R2df7c875a244481a"/>
    <x:sheet xmlns:r="http://schemas.openxmlformats.org/officeDocument/2006/relationships" name="Atasamente" sheetId="4" r:id="Rf30260713d06444c"/>
    <x:sheet xmlns:r="http://schemas.openxmlformats.org/officeDocument/2006/relationships" name="Emailuri" sheetId="5" r:id="R94707dc5a6ea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.mm.yyyy"/>
    <x:numFmt numFmtId="201" formatCode="#,##0.00;[Red](#,##0.00);0.00"/>
    <x:numFmt numFmtId="202" formatCode="#,##0.00"/>
    <x:numFmt numFmtId="203" formatCode="#,##0"/>
    <x:numFmt numFmtId="204" formatCode="@"/>
    <x:numFmt numFmtId="205" formatCode="dd/mm/yyyy"/>
  </x:numFmts>
  <x:fonts count="7">
    <x:font>
      <x:sz val="11"/>
      <x:name val="Carlito"/>
    </x:font>
    <x:font>
      <x:sz val="10"/>
      <x:color rgb="FF203044"/>
      <x:name val="Arial"/>
    </x:font>
    <x:font>
      <x:b/>
      <x:sz val="16"/>
      <x:color rgb="FF203E61"/>
      <x:name val="Arial"/>
    </x:font>
    <x:font>
      <x:b/>
      <x:sz val="10"/>
      <x:color rgb="FFFFFFFF"/>
      <x:name val="Arial"/>
    </x:font>
    <x:font>
      <x:sz val="10"/>
      <x:color rgb="FF205BAD"/>
      <x:name val="Arial"/>
    </x:font>
    <x:font>
      <x:b/>
      <x:sz val="10"/>
      <x:color rgb="FF203044"/>
      <x:name val="Arial"/>
    </x:font>
    <x:font>
      <x:b/>
      <x:sz val="12"/>
      <x:color rgb="FF2030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E61"/>
      </x:patternFill>
    </x:fill>
    <x:fill>
      <x:patternFill patternType="solid">
        <x:fgColor rgb="FFEFF3F8"/>
      </x:patternFill>
    </x:fill>
    <x:fill>
      <x:patternFill patternType="solid">
        <x:fgColor rgb="FFDCE5F0"/>
      </x:patternFill>
    </x:fill>
  </x:fills>
  <x:borders count="2">
    <x:border/>
    <x:border>
      <x:bottom style="thin">
        <x:color rgb="FFAAB9CA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88580B"/>
      </x:font>
      <x:fill>
        <x:patternFill patternType="solid">
          <x:bgColor rgb="FFFFF0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128e21d39483f" /><Relationship Type="http://schemas.openxmlformats.org/officeDocument/2006/relationships/theme" Target="/xl/theme/theme1.xml" Id="Radd6d9d75c0c496d" /><Relationship Type="http://schemas.openxmlformats.org/officeDocument/2006/relationships/sharedStrings" Target="/xl/sharedStrings.xml" Id="Rd5d1db0ec9a14f34" /><Relationship Type="http://schemas.openxmlformats.org/officeDocument/2006/relationships/worksheet" Target="/xl/worksheets/sheet1.xml" Id="Rb7e62529195d464a" /><Relationship Type="http://schemas.openxmlformats.org/officeDocument/2006/relationships/worksheet" Target="/xl/worksheets/sheet2.xml" Id="R1f8814c68fae43d4" /><Relationship Type="http://schemas.openxmlformats.org/officeDocument/2006/relationships/worksheet" Target="/xl/worksheets/sheet3.xml" Id="R2df7c875a244481a" /><Relationship Type="http://schemas.openxmlformats.org/officeDocument/2006/relationships/worksheet" Target="/xl/worksheets/sheet4.xml" Id="Rf30260713d06444c" /><Relationship Type="http://schemas.openxmlformats.org/officeDocument/2006/relationships/worksheet" Target="/xl/worksheets/sheet5.xml" Id="R94707dc5a6ea4f77" /></Relationships>
</file>

<file path=xl/tables/table1.xml><?xml version="1.0" encoding="utf-8"?>
<x:table xmlns:x="http://schemas.openxmlformats.org/spreadsheetml/2006/main" id="2" name="ContracteHidro" displayName="ContracteHidro" ref="A5:H13" headerRowCount="1" totalsRowCount="0" totalsRowShown="0">
  <x:tableColumns count="8">
    <x:tableColumn id="1" name="Loc de consum"/>
    <x:tableColumn id="2" name="Tip"/>
    <x:tableColumn id="3" name="Număr contract"/>
    <x:tableColumn id="4" name="Data document"/>
    <x:tableColumn id="5" name="Început"/>
    <x:tableColumn id="6" name="Termen corelat"/>
    <x:tableColumn id="7" name="Dovadă / observație"/>
    <x:tableColumn id="8" name="Docu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acturiHidro" displayName="FacturiHidro" ref="A5:P16" headerRowCount="1" totalsRowCount="0" totalsRowShown="0">
  <x:tableColumns count="16">
    <x:tableColumn id="1" name="Loc de consum"/>
    <x:tableColumn id="2" name="Factură"/>
    <x:tableColumn id="3" name="Emisă"/>
    <x:tableColumn id="4" name="De la"/>
    <x:tableColumn id="5" name="Până la"/>
    <x:tableColumn id="6" name="Scadență"/>
    <x:tableColumn id="7" name="Valoare curentă (lei)"/>
    <x:tableColumn id="8" name="Total cont la emitere (lei)"/>
    <x:tableColumn id="9" name="Consum (kWh)"/>
    <x:tableColumn id="10" name="Plată confirmată (lei)"/>
    <x:tableColumn id="11" name="Pozitiv neconfirmat (lei)"/>
    <x:tableColumn id="12" name="Scadent neconfirmat (lei)"/>
    <x:tableColumn id="13" name="Dovada / observație"/>
    <x:tableColumn id="14" name="Document PDF"/>
    <x:tableColumn id="15" name="ID email EVA"/>
    <x:tableColumn id="16" name="PO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arAtasamente" displayName="InventarAtasamente" ref="A5:J59" headerRowCount="1" totalsRowCount="0" totalsRowShown="0">
  <x:tableColumns count="10">
    <x:tableColumn id="1" name="Locație"/>
    <x:tableColumn id="2" name="Atașament original"/>
    <x:tableColumn id="3" name="Situație înainte"/>
    <x:tableColumn id="4" name="Acum"/>
    <x:tableColumn id="5" name="Data email"/>
    <x:tableColumn id="6" name="Fișier local"/>
    <x:tableColumn id="7" name="ID atașament EVA"/>
    <x:tableColumn id="8" name="Corespondent local anterior"/>
    <x:tableColumn id="9" name="SHA-256"/>
    <x:tableColumn id="10" name="Copii în emai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mailuriConsultate" displayName="EmailuriConsultate" ref="A5:H42" headerRowCount="1" totalsRowCount="0" totalsRowShown="0">
  <x:tableColumns count="8">
    <x:tableColumn id="1" name="Data UTC"/>
    <x:tableColumn id="2" name="Subiect"/>
    <x:tableColumn id="3" name="Expeditor"/>
    <x:tableColumn id="4" name="Căsuțe"/>
    <x:tableColumn id="5" name="Copii"/>
    <x:tableColumn id="6" name="Export text"/>
    <x:tableColumn id="7" name="Atașamente"/>
    <x:tableColumn id="8" name="ID-uri EV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LocalDoc1" Type="http://schemas.openxmlformats.org/officeDocument/2006/relationships/hyperlink" Target="file:///D:/00.%20Downloads/Hidroelectrica/START_HIDROELECTRICA.html" TargetMode="External" /><ns0:Relationship Id="rIdLocalDoc2" Type="http://schemas.openxmlformats.org/officeDocument/2006/relationships/hyperlink" Target="file:///D:/00.%20Downloads/Hidroelectrica/SITUATIE_HIDROELECTRICA_2026-10-07.txt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1.xml" Id="Rac0f40e35ab249e7" /><ns0:Relationship Id="rIdLocalDoc1" Type="http://schemas.openxmlformats.org/officeDocument/2006/relationships/hyperlink" Target="file:///D:/00.%20Downloads/Hidroelectrica/01.%20Locuri%20de%20consum/02%20Covaciu%20-%20Theodor%20Pallady%205/01%20Contracte%20Hidroelectrica/contract_furnizare_12b43f10-7053-4d28-9a56-193cbb060d0a.pdf" TargetMode="External" /><ns0:Relationship Id="rIdLocalDoc2" Type="http://schemas.openxmlformats.org/officeDocument/2006/relationships/hyperlink" Target="file:///D:/00.%20Downloads/Hidroelectrica/01.%20Locuri%20de%20consum/04%20Vaida%20-%20Stefan%20Luchian%203B%20U3/01%20Contracte%20Hidroelectrica/contract_furnizare_6c80ce3c-961d-4f45-b932-deda8a213585.pdf" TargetMode="External" /><ns0:Relationship Id="rIdLocalDoc3" Type="http://schemas.openxmlformats.org/officeDocument/2006/relationships/hyperlink" Target="file:///D:/00.%20Downloads/Hidroelectrica/01.%20Locuri%20de%20consum/05%20Vaida%20-%20Stefan%20Luchian%203B%20U10/01%20Contracte%20Hidroelectrica/contract_furnizare_85e397fe-05dd-49dc-a78b-0c08916ead6a.pdf" TargetMode="External" /><ns0:Relationship Id="rIdLocalDoc4" Type="http://schemas.openxmlformats.org/officeDocument/2006/relationships/hyperlink" Target="file:///D:/00.%20Downloads/Hidroelectrica/01.%20Locuri%20de%20consum/03%20Covaciu%20-%20Stefan%20Luchian%2018/01%20Contracte%20Hidroelectrica/contract_furnizare_9b97354f-fba2-4da6-9b74-e90b30f26111.pdf" TargetMode="External" /><ns0:Relationship Id="rIdLocalDoc5" Type="http://schemas.openxmlformats.org/officeDocument/2006/relationships/hyperlink" Target="file:///D:/00.%20Downloads/Hidroelectrica/01.%20Locuri%20de%20consum/01%20Covaciu%20-%20Iuliu%20Maniu%201%20ap%2044/01%20Contracte%20Hidroelectrica/contract_furnizare_f8550d4a-4e47-4c2a-a705-d39a53d0b02f.pdf" TargetMode="External" /><ns0:Relationship Id="rIdLocalDoc6" Type="http://schemas.openxmlformats.org/officeDocument/2006/relationships/hyperlink" Target="file:///D:/00.%20Downloads/Hidroelectrica/01.%20Locuri%20de%20consum/05%20Vaida%20-%20Stefan%20Luchian%203B%20U10/01%20Contracte%20Hidroelectrica/contract_prosumator_6bd20f98-dab7-40ed-972d-bd76fc6c19da.pdf" TargetMode="External" /><ns0:Relationship Id="rIdLocalDoc7" Type="http://schemas.openxmlformats.org/officeDocument/2006/relationships/hyperlink" Target="file:///D:/00.%20Downloads/Hidroelectrica/01.%20Locuri%20de%20consum/03%20Covaciu%20-%20Stefan%20Luchian%2018/01%20Contracte%20Hidroelectrica/contract_prosumator_e1f346ad-0d91-4cb0-8471-d474a5de1d10.pdf" TargetMode="External" /><ns0:Relationship Id="rIdLocalDoc8" Type="http://schemas.openxmlformats.org/officeDocument/2006/relationships/hyperlink" Target="file:///D:/00.%20Downloads/Hidroelectrica/01.%20Locuri%20de%20consum/02%20Covaciu%20-%20Theodor%20Pallady%205/01%20Contracte%20Hidroelectrica/Hidroelectrica-2026-06-ContractProsumator.pdf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2.xml" Id="R6f5fbd87799d4546" /><ns0:Relationship Id="rIdLocalDoc1" Type="http://schemas.openxmlformats.org/officeDocument/2006/relationships/hyperlink" Target="file:///D:/00.%20Downloads/Hidroelectrica/01.%20Locuri%20de%20consum/02%20Covaciu%20-%20Theodor%20Pallady%205/02%20Facturi%20Hidroelectrica/FX-26109222509.PDF" TargetMode="External" /><ns0:Relationship Id="rIdLocalDoc2" Type="http://schemas.openxmlformats.org/officeDocument/2006/relationships/hyperlink" Target="file:///D:/00.%20Downloads/Hidroelectrica/01.%20Locuri%20de%20consum/02%20Covaciu%20-%20Theodor%20Pallady%205/02%20Facturi%20Hidroelectrica/FX-26112210655.PDF" TargetMode="External" /><ns0:Relationship Id="rIdLocalDoc3" Type="http://schemas.openxmlformats.org/officeDocument/2006/relationships/hyperlink" Target="file:///D:/00.%20Downloads/Hidroelectrica/01.%20Locuri%20de%20consum/02%20Covaciu%20-%20Theodor%20Pallady%205/02%20Facturi%20Hidroelectrica/FX-26112210656.PDF" TargetMode="External" /><ns0:Relationship Id="rIdLocalDoc4" Type="http://schemas.openxmlformats.org/officeDocument/2006/relationships/hyperlink" Target="file:///D:/00.%20Downloads/Hidroelectrica/01.%20Locuri%20de%20consum/01%20Covaciu%20-%20Iuliu%20Maniu%201%20ap%2044/02%20Facturi%20Hidroelectrica/FX-26108503565.PDF" TargetMode="External" /><ns0:Relationship Id="rIdLocalDoc5" Type="http://schemas.openxmlformats.org/officeDocument/2006/relationships/hyperlink" Target="file:///D:/00.%20Downloads/Hidroelectrica/01.%20Locuri%20de%20consum/01%20Covaciu%20-%20Iuliu%20Maniu%201%20ap%2044/02%20Facturi%20Hidroelectrica/FX-26109613324.PDF" TargetMode="External" /><ns0:Relationship Id="rIdLocalDoc6" Type="http://schemas.openxmlformats.org/officeDocument/2006/relationships/hyperlink" Target="file:///D:/00.%20Downloads/Hidroelectrica/01.%20Locuri%20de%20consum/01%20Covaciu%20-%20Iuliu%20Maniu%201%20ap%2044/02%20Facturi%20Hidroelectrica/FX-26111437678.PDF" TargetMode="External" /><ns0:Relationship Id="rIdLocalDoc7" Type="http://schemas.openxmlformats.org/officeDocument/2006/relationships/hyperlink" Target="file:///D:/00.%20Downloads/Hidroelectrica/01.%20Locuri%20de%20consum/03%20Covaciu%20-%20Stefan%20Luchian%2018/02%20Facturi%20Hidroelectrica/FX-26109491006.PDF" TargetMode="External" /><ns0:Relationship Id="rIdLocalDoc8" Type="http://schemas.openxmlformats.org/officeDocument/2006/relationships/hyperlink" Target="file:///D:/00.%20Downloads/Hidroelectrica/01.%20Locuri%20de%20consum/03%20Covaciu%20-%20Stefan%20Luchian%2018/02%20Facturi%20Hidroelectrica/FX-26112083088.PDF" TargetMode="External" /><ns0:Relationship Id="rIdLocalDoc9" Type="http://schemas.openxmlformats.org/officeDocument/2006/relationships/hyperlink" Target="file:///D:/00.%20Downloads/Hidroelectrica/01.%20Locuri%20de%20consum/05%20Vaida%20-%20Stefan%20Luchian%203B%20U10/02%20Facturi%20Hidroelectrica/FX-26107829179.PDF" TargetMode="External" /><ns0:Relationship Id="rIdLocalDoc10" Type="http://schemas.openxmlformats.org/officeDocument/2006/relationships/hyperlink" Target="file:///D:/00.%20Downloads/Hidroelectrica/01.%20Locuri%20de%20consum/05%20Vaida%20-%20Stefan%20Luchian%203B%20U10/02%20Facturi%20Hidroelectrica/FX-26107829180.PDF" TargetMode="External" /><ns0:Relationship Id="rIdLocalDoc11" Type="http://schemas.openxmlformats.org/officeDocument/2006/relationships/hyperlink" Target="file:///D:/00.%20Downloads/Hidroelectrica/01.%20Locuri%20de%20consum/04%20Vaida%20-%20Stefan%20Luchian%203B%20U3/02%20Facturi%20Hidroelectrica/FX-26108503562.PDF" TargetMode="External" /><ns0:Relationship Id="rIdLocalDoc12" Type="http://schemas.openxmlformats.org/officeDocument/2006/relationships/hyperlink" Target="file:///D:/00.%20Downloads/Hidroelectrica/03.%20Emailuri/2026-08-07_31_Confirmarea%20platii%20pentru%20https___www.hidroelectrica.ro_.txt" TargetMode="External" /><ns0:Relationship Id="rIdLocalDoc13" Type="http://schemas.openxmlformats.org/officeDocument/2006/relationships/hyperlink" Target="file:///D:/00.%20Downloads/Hidroelectrica/01.%20Locuri%20de%20consum/02%20Covaciu%20-%20Theodor%20Pallady%205/02%20Facturi%20Hidroelectrica/FX-26109222509.PDF" TargetMode="External" /><ns0:Relationship Id="rIdLocalDoc14" Type="http://schemas.openxmlformats.org/officeDocument/2006/relationships/hyperlink" Target="file:///D:/00.%20Downloads/Hidroelectrica/01.%20Locuri%20de%20consum/02%20Covaciu%20-%20Theodor%20Pallady%205/02%20Facturi%20Hidroelectrica/FX-26112210655.PDF" TargetMode="External" /><ns0:Relationship Id="rIdLocalDoc15" Type="http://schemas.openxmlformats.org/officeDocument/2006/relationships/hyperlink" Target="file:///D:/00.%20Downloads/Hidroelectrica/01.%20Locuri%20de%20consum/02%20Covaciu%20-%20Theodor%20Pallady%205/02%20Facturi%20Hidroelectrica/FX-26112210656.PDF" TargetMode="External" /><ns0:Relationship Id="rIdLocalDoc16" Type="http://schemas.openxmlformats.org/officeDocument/2006/relationships/hyperlink" Target="file:///D:/00.%20Downloads/Hidroelectrica/01.%20Locuri%20de%20consum/03%20Covaciu%20-%20Stefan%20Luchian%2018/02%20Facturi%20Hidroelectrica/FX-26109491006.PDF" TargetMode="External" /><ns0:Relationship Id="rIdLocalDoc17" Type="http://schemas.openxmlformats.org/officeDocument/2006/relationships/hyperlink" Target="file:///D:/00.%20Downloads/Hidroelectrica/01.%20Locuri%20de%20consum/03%20Covaciu%20-%20Stefan%20Luchian%2018/02%20Facturi%20Hidroelectrica/FX-26112083088.PDF" TargetMode="External" /><ns0:Relationship Id="rIdLocalDoc18" Type="http://schemas.openxmlformats.org/officeDocument/2006/relationships/hyperlink" Target="file:///D:/00.%20Downloads/Hidroelectrica/01.%20Locuri%20de%20consum/05%20Vaida%20-%20Stefan%20Luchian%203B%20U10/02%20Facturi%20Hidroelectrica/FX-26107829179.PDF" TargetMode="External" /><ns0:Relationship Id="rIdLocalDoc19" Type="http://schemas.openxmlformats.org/officeDocument/2006/relationships/hyperlink" Target="file:///D:/00.%20Downloads/Hidroelectrica/01.%20Locuri%20de%20consum/05%20Vaida%20-%20Stefan%20Luchian%203B%20U10/02%20Facturi%20Hidroelectrica/FX-26107829180.PDF" TargetMode="External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table" Target="/xl/tables/table3.xml" Id="Rd6222f5022694592" /><ns0:Relationship Id="rIdLocalDoc1" Type="http://schemas.openxmlformats.org/officeDocument/2006/relationships/hyperlink" Target="file:///D:/00.%20Downloads/Hidroelectrica/01.%20Locuri%20de%20consum/02%20Covaciu%20-%20Theodor%20Pallady%205/02%20Facturi%20Hidroelectrica/FX-26112210656.PDF" TargetMode="External" /><ns0:Relationship Id="rIdLocalDoc2" Type="http://schemas.openxmlformats.org/officeDocument/2006/relationships/hyperlink" Target="file:///D:/00.%20Downloads/Hidroelectrica/01.%20Locuri%20de%20consum/02%20Covaciu%20-%20Theodor%20Pallady%205/02%20Facturi%20Hidroelectrica/FX-26112210655.PDF" TargetMode="External" /><ns0:Relationship Id="rIdLocalDoc3" Type="http://schemas.openxmlformats.org/officeDocument/2006/relationships/hyperlink" Target="file:///D:/00.%20Downloads/Hidroelectrica/01.%20Locuri%20de%20consum/03%20Covaciu%20-%20Stefan%20Luchian%2018/02%20Facturi%20Hidroelectrica/FX-26112083088.PDF" TargetMode="External" /><ns0:Relationship Id="rIdLocalDoc4" Type="http://schemas.openxmlformats.org/officeDocument/2006/relationships/hyperlink" Target="file:///D:/00.%20Downloads/Hidroelectrica/01.%20Locuri%20de%20consum/01%20Covaciu%20-%20Iuliu%20Maniu%201%20ap%2044/02%20Facturi%20Hidroelectrica/FX-26111437678.PDF" TargetMode="External" /><ns0:Relationship Id="rIdLocalDoc5" Type="http://schemas.openxmlformats.org/officeDocument/2006/relationships/hyperlink" Target="file:///D:/00.%20Downloads/Hidroelectrica/01.%20Locuri%20de%20consum/01%20Covaciu%20-%20Iuliu%20Maniu%201%20ap%2044/02%20Facturi%20Hidroelectrica/FX-26109613324.PDF" TargetMode="External" /><ns0:Relationship Id="rIdLocalDoc6" Type="http://schemas.openxmlformats.org/officeDocument/2006/relationships/hyperlink" Target="file:///D:/00.%20Downloads/Hidroelectrica/01.%20Locuri%20de%20consum/03%20Covaciu%20-%20Stefan%20Luchian%2018/02%20Facturi%20Hidroelectrica/FX-26109491006.PDF" TargetMode="External" /><ns0:Relationship Id="rIdLocalDoc7" Type="http://schemas.openxmlformats.org/officeDocument/2006/relationships/hyperlink" Target="file:///D:/00.%20Downloads/Hidroelectrica/01.%20Locuri%20de%20consum/02%20Covaciu%20-%20Theodor%20Pallady%205/02%20Facturi%20Hidroelectrica/FX-26109222509.PDF" TargetMode="External" /><ns0:Relationship Id="rIdLocalDoc8" Type="http://schemas.openxmlformats.org/officeDocument/2006/relationships/hyperlink" Target="file:///D:/00.%20Downloads/Hidroelectrica/02.%20Documente%20comune/Informari/Eticheta_FUI.pdf" TargetMode="External" /><ns0:Relationship Id="rIdLocalDoc9" Type="http://schemas.openxmlformats.org/officeDocument/2006/relationships/hyperlink" Target="file:///D:/00.%20Downloads/Hidroelectrica/02.%20Documente%20comune/Informari/Eticheta_Eligibil.pdf" TargetMode="External" /><ns0:Relationship Id="rIdLocalDoc10" Type="http://schemas.openxmlformats.org/officeDocument/2006/relationships/hyperlink" Target="file:///D:/00.%20Downloads/Hidroelectrica/01.%20Locuri%20de%20consum/04%20Vaida%20-%20Stefan%20Luchian%203B%20U3/02%20Facturi%20Hidroelectrica/FX-26108503562.PDF" TargetMode="External" /><ns0:Relationship Id="rIdLocalDoc11" Type="http://schemas.openxmlformats.org/officeDocument/2006/relationships/hyperlink" Target="file:///D:/00.%20Downloads/Hidroelectrica/01.%20Locuri%20de%20consum/01%20Covaciu%20-%20Iuliu%20Maniu%201%20ap%2044/02%20Facturi%20Hidroelectrica/FX-26108503565.PDF" TargetMode="External" /><ns0:Relationship Id="rIdLocalDoc12" Type="http://schemas.openxmlformats.org/officeDocument/2006/relationships/hyperlink" Target="file:///D:/00.%20Downloads/Hidroelectrica/01.%20Locuri%20de%20consum/05%20Vaida%20-%20Stefan%20Luchian%203B%20U10/02%20Facturi%20Hidroelectrica/FX-26107829180.PDF" TargetMode="External" /><ns0:Relationship Id="rIdLocalDoc13" Type="http://schemas.openxmlformats.org/officeDocument/2006/relationships/hyperlink" Target="file:///D:/00.%20Downloads/Hidroelectrica/01.%20Locuri%20de%20consum/05%20Vaida%20-%20Stefan%20Luchian%203B%20U10/02%20Facturi%20Hidroelectrica/FX-26107829179.PDF" TargetMode="External" /><ns0:Relationship Id="rIdLocalDoc14" Type="http://schemas.openxmlformats.org/officeDocument/2006/relationships/hyperlink" Target="file:///D:/00.%20Downloads/Hidroelectrica/01.%20Locuri%20de%20consum/03%20Covaciu%20-%20Stefan%20Luchian%2018/01%20Contracte%20Hidroelectrica/anexa_4_8305784c-28f4-4515-8421-70e4d992a803.pdf" TargetMode="External" /><ns0:Relationship Id="rIdLocalDoc15" Type="http://schemas.openxmlformats.org/officeDocument/2006/relationships/hyperlink" Target="file:///D:/00.%20Downloads/Hidroelectrica/01.%20Locuri%20de%20consum/03%20Covaciu%20-%20Stefan%20Luchian%2018/01%20Contracte%20Hidroelectrica/anexa_5_fcd3d302-48b9-4461-98f6-c9580f7f443e.pdf" TargetMode="External" /><ns0:Relationship Id="rIdLocalDoc16" Type="http://schemas.openxmlformats.org/officeDocument/2006/relationships/hyperlink" Target="file:///D:/00.%20Downloads/Hidroelectrica/01.%20Locuri%20de%20consum/03%20Covaciu%20-%20Stefan%20Luchian%2018/01%20Contracte%20Hidroelectrica/contract_furnizare_9b97354f-fba2-4da6-9b74-e90b30f26111.pdf" TargetMode="External" /><ns0:Relationship Id="rIdLocalDoc17" Type="http://schemas.openxmlformats.org/officeDocument/2006/relationships/hyperlink" Target="file:///D:/00.%20Downloads/Hidroelectrica/01.%20Locuri%20de%20consum/03%20Covaciu%20-%20Stefan%20Luchian%2018/01%20Contracte%20Hidroelectrica/contract_cerere_f1872f91-b035-4750-8550-aae2c29a4f4d.pdf" TargetMode="External" /><ns0:Relationship Id="rIdLocalDoc18" Type="http://schemas.openxmlformats.org/officeDocument/2006/relationships/hyperlink" Target="file:///D:/00.%20Downloads/Hidroelectrica/01.%20Locuri%20de%20consum/03%20Covaciu%20-%20Stefan%20Luchian%2018/01%20Contracte%20Hidroelectrica/contract_declaratie_96019a87-51b8-4cb3-8643-f10ab8bda38a.pdf" TargetMode="External" /><ns0:Relationship Id="rIdLocalDoc19" Type="http://schemas.openxmlformats.org/officeDocument/2006/relationships/hyperlink" Target="file:///D:/00.%20Downloads/Hidroelectrica/01.%20Locuri%20de%20consum/03%20Covaciu%20-%20Stefan%20Luchian%2018/01%20Contracte%20Hidroelectrica/oferta_de27a588-e02c-4a15-ab48-4ec0006e4074.pdf" TargetMode="External" /><ns0:Relationship Id="rIdLocalDoc20" Type="http://schemas.openxmlformats.org/officeDocument/2006/relationships/hyperlink" Target="file:///D:/00.%20Downloads/Hidroelectrica/01.%20Locuri%20de%20consum/03%20Covaciu%20-%20Stefan%20Luchian%2018/01%20Contracte%20Hidroelectrica/anexa_3_336dc6eb-24da-425e-bf35-42bd71dfbaac.pdf" TargetMode="External" /><ns0:Relationship Id="rIdLocalDoc21" Type="http://schemas.openxmlformats.org/officeDocument/2006/relationships/hyperlink" Target="file:///D:/00.%20Downloads/Hidroelectrica/01.%20Locuri%20de%20consum/03%20Covaciu%20-%20Stefan%20Luchian%2018/01%20Contracte%20Hidroelectrica/contract_prosumator_e1f346ad-0d91-4cb0-8471-d474a5de1d10.pdf" TargetMode="External" /><ns0:Relationship Id="rIdLocalDoc22" Type="http://schemas.openxmlformats.org/officeDocument/2006/relationships/hyperlink" Target="file:///D:/00.%20Downloads/Hidroelectrica/01.%20Locuri%20de%20consum/02%20Covaciu%20-%20Theodor%20Pallady%205/04%20Notificari/Notificare_594020400000040613_12.pdf" TargetMode="External" /><ns0:Relationship Id="rIdLocalDoc23" Type="http://schemas.openxmlformats.org/officeDocument/2006/relationships/hyperlink" Target="file:///D:/00.%20Downloads/Hidroelectrica/01.%20Locuri%20de%20consum/02%20Covaciu%20-%20Theodor%20Pallady%205/04%20Notificari/A4CEDBAD45747D67F5325E16A9331313E8B813DC.jpg" TargetMode="External" /><ns0:Relationship Id="rIdLocalDoc24" Type="http://schemas.openxmlformats.org/officeDocument/2006/relationships/hyperlink" Target="file:///D:/00.%20Downloads/Hidroelectrica/01.%20Locuri%20de%20consum/02%20Covaciu%20-%20Theodor%20Pallady%205/01%20Contracte%20Hidroelectrica/anexa_4_2d242fbb-f7e3-48d8-9578-84768098f402.pdf" TargetMode="External" /><ns0:Relationship Id="rIdLocalDoc25" Type="http://schemas.openxmlformats.org/officeDocument/2006/relationships/hyperlink" Target="file:///D:/00.%20Downloads/Hidroelectrica/01.%20Locuri%20de%20consum/02%20Covaciu%20-%20Theodor%20Pallady%205/01%20Contracte%20Hidroelectrica/anexa_5_9871c85a-0ded-4112-af1c-a016fff8b0da.pdf" TargetMode="External" /><ns0:Relationship Id="rIdLocalDoc26" Type="http://schemas.openxmlformats.org/officeDocument/2006/relationships/hyperlink" Target="file:///D:/00.%20Downloads/Hidroelectrica/01.%20Locuri%20de%20consum/02%20Covaciu%20-%20Theodor%20Pallady%205/01%20Contracte%20Hidroelectrica/contract_furnizare_12b43f10-7053-4d28-9a56-193cbb060d0a.pdf" TargetMode="External" /><ns0:Relationship Id="rIdLocalDoc27" Type="http://schemas.openxmlformats.org/officeDocument/2006/relationships/hyperlink" Target="file:///D:/00.%20Downloads/Hidroelectrica/01.%20Locuri%20de%20consum/02%20Covaciu%20-%20Theodor%20Pallady%205/01%20Contracte%20Hidroelectrica/contract_cerere_d55485b0-308f-4185-aaf2-43b9d2113d27.pdf" TargetMode="External" /><ns0:Relationship Id="rIdLocalDoc28" Type="http://schemas.openxmlformats.org/officeDocument/2006/relationships/hyperlink" Target="file:///D:/00.%20Downloads/Hidroelectrica/01.%20Locuri%20de%20consum/02%20Covaciu%20-%20Theodor%20Pallady%205/01%20Contracte%20Hidroelectrica/contract_declaratie_3437660c-23b8-4b91-8972-106329727eea.pdf" TargetMode="External" /><ns0:Relationship Id="rIdLocalDoc29" Type="http://schemas.openxmlformats.org/officeDocument/2006/relationships/hyperlink" Target="file:///D:/00.%20Downloads/Hidroelectrica/01.%20Locuri%20de%20consum/02%20Covaciu%20-%20Theodor%20Pallady%205/01%20Contracte%20Hidroelectrica/oferta_9baba7cc-e23b-4eff-96ec-6aa3432b452b.pdf" TargetMode="External" /><ns0:Relationship Id="rIdLocalDoc30" Type="http://schemas.openxmlformats.org/officeDocument/2006/relationships/hyperlink" Target="file:///D:/00.%20Downloads/Hidroelectrica/01.%20Locuri%20de%20consum/02%20Covaciu%20-%20Theodor%20Pallady%205/01%20Contracte%20Hidroelectrica/anexa_3_56901d07-263a-4194-adb0-68c42da3557a.pdf" TargetMode="External" /><ns0:Relationship Id="rIdLocalDoc31" Type="http://schemas.openxmlformats.org/officeDocument/2006/relationships/hyperlink" Target="file:///D:/00.%20Downloads/Hidroelectrica/01.%20Locuri%20de%20consum/01%20Covaciu%20-%20Iuliu%20Maniu%201%20ap%2044/01%20Contracte%20Hidroelectrica/oferta_8bbaeff1-055f-46ae-85ae-f6c8f9eef40e.pdf" TargetMode="External" /><ns0:Relationship Id="rIdLocalDoc32" Type="http://schemas.openxmlformats.org/officeDocument/2006/relationships/hyperlink" Target="file:///D:/00.%20Downloads/Hidroelectrica/01.%20Locuri%20de%20consum/01%20Covaciu%20-%20Iuliu%20Maniu%201%20ap%2044/01%20Contracte%20Hidroelectrica/anexa_4_f0a54e79-7107-40bd-8e4d-ebcbfb871e5e.pdf" TargetMode="External" /><ns0:Relationship Id="rIdLocalDoc33" Type="http://schemas.openxmlformats.org/officeDocument/2006/relationships/hyperlink" Target="file:///D:/00.%20Downloads/Hidroelectrica/01.%20Locuri%20de%20consum/01%20Covaciu%20-%20Iuliu%20Maniu%201%20ap%2044/01%20Contracte%20Hidroelectrica/anexa_3_7f544e62-8f10-4641-afec-5a37bfea0c35.pdf" TargetMode="External" /><ns0:Relationship Id="rIdLocalDoc34" Type="http://schemas.openxmlformats.org/officeDocument/2006/relationships/hyperlink" Target="file:///D:/00.%20Downloads/Hidroelectrica/02.%20Documente%20comune/Contractuale/marketing_38b04517-6c06-4655-8ddf-36dfed4732ca.pdf" TargetMode="External" /><ns0:Relationship Id="rIdLocalDoc35" Type="http://schemas.openxmlformats.org/officeDocument/2006/relationships/hyperlink" Target="file:///D:/00.%20Downloads/Hidroelectrica/01.%20Locuri%20de%20consum/01%20Covaciu%20-%20Iuliu%20Maniu%201%20ap%2044/01%20Contracte%20Hidroelectrica/contract_cerere_b326a9ea-3143-490a-a788-ccf4a9854e8f.pdf" TargetMode="External" /><ns0:Relationship Id="rIdLocalDoc36" Type="http://schemas.openxmlformats.org/officeDocument/2006/relationships/hyperlink" Target="file:///D:/00.%20Downloads/Hidroelectrica/01.%20Locuri%20de%20consum/01%20Covaciu%20-%20Iuliu%20Maniu%201%20ap%2044/01%20Contracte%20Hidroelectrica/anexa_5_9860db8f-1c79-4e71-9d54-1c71f3709eb6.pdf" TargetMode="External" /><ns0:Relationship Id="rIdLocalDoc37" Type="http://schemas.openxmlformats.org/officeDocument/2006/relationships/hyperlink" Target="file:///D:/00.%20Downloads/Hidroelectrica/01.%20Locuri%20de%20consum/01%20Covaciu%20-%20Iuliu%20Maniu%201%20ap%2044/01%20Contracte%20Hidroelectrica/contract_declaratie_fc62daa8-8119-4f3a-956f-1702dbbfd642.pdf" TargetMode="External" /><ns0:Relationship Id="rIdLocalDoc38" Type="http://schemas.openxmlformats.org/officeDocument/2006/relationships/hyperlink" Target="file:///D:/00.%20Downloads/Hidroelectrica/01.%20Locuri%20de%20consum/01%20Covaciu%20-%20Iuliu%20Maniu%201%20ap%2044/01%20Contracte%20Hidroelectrica/contract_furnizare_f8550d4a-4e47-4c2a-a705-d39a53d0b02f.pdf" TargetMode="External" /><ns0:Relationship Id="rIdLocalDoc39" Type="http://schemas.openxmlformats.org/officeDocument/2006/relationships/hyperlink" Target="file:///D:/00.%20Downloads/Hidroelectrica/01.%20Locuri%20de%20consum/04%20Vaida%20-%20Stefan%20Luchian%203B%20U3/01%20Contracte%20Hidroelectrica/contract_declaratie_d30c02fd-5eb3-4231-b0cc-bde78e6a8b56.pdf" TargetMode="External" /><ns0:Relationship Id="rIdLocalDoc40" Type="http://schemas.openxmlformats.org/officeDocument/2006/relationships/hyperlink" Target="file:///D:/00.%20Downloads/Hidroelectrica/01.%20Locuri%20de%20consum/04%20Vaida%20-%20Stefan%20Luchian%203B%20U3/01%20Contracte%20Hidroelectrica/anexa_3_b0e33c0d-aaea-4f10-a0c1-dc2eec19796a.pdf" TargetMode="External" /><ns0:Relationship Id="rIdLocalDoc41" Type="http://schemas.openxmlformats.org/officeDocument/2006/relationships/hyperlink" Target="file:///D:/00.%20Downloads/Hidroelectrica/01.%20Locuri%20de%20consum/04%20Vaida%20-%20Stefan%20Luchian%203B%20U3/01%20Contracte%20Hidroelectrica/oferta_dfc67dba-7623-4c27-9f11-c379d3b52975.pdf" TargetMode="External" /><ns0:Relationship Id="rIdLocalDoc42" Type="http://schemas.openxmlformats.org/officeDocument/2006/relationships/hyperlink" Target="file:///D:/00.%20Downloads/Hidroelectrica/01.%20Locuri%20de%20consum/04%20Vaida%20-%20Stefan%20Luchian%203B%20U3/01%20Contracte%20Hidroelectrica/anexa_5_cb36dd8b-9198-4eed-a946-b5e9655135a8.pdf" TargetMode="External" /><ns0:Relationship Id="rIdLocalDoc43" Type="http://schemas.openxmlformats.org/officeDocument/2006/relationships/hyperlink" Target="file:///D:/00.%20Downloads/Hidroelectrica/01.%20Locuri%20de%20consum/04%20Vaida%20-%20Stefan%20Luchian%203B%20U3/01%20Contracte%20Hidroelectrica/contract_cerere_5275d876-4b4e-49a7-9164-801f0e47c2a8.pdf" TargetMode="External" /><ns0:Relationship Id="rIdLocalDoc44" Type="http://schemas.openxmlformats.org/officeDocument/2006/relationships/hyperlink" Target="file:///D:/00.%20Downloads/Hidroelectrica/01.%20Locuri%20de%20consum/04%20Vaida%20-%20Stefan%20Luchian%203B%20U3/01%20Contracte%20Hidroelectrica/contract_furnizare_6c80ce3c-961d-4f45-b932-deda8a213585.pdf" TargetMode="External" /><ns0:Relationship Id="rIdLocalDoc45" Type="http://schemas.openxmlformats.org/officeDocument/2006/relationships/hyperlink" Target="file:///D:/00.%20Downloads/Hidroelectrica/01.%20Locuri%20de%20consum/04%20Vaida%20-%20Stefan%20Luchian%203B%20U3/01%20Contracte%20Hidroelectrica/anexa_4_2d0e95ce-2554-48fc-a621-05c0d80aed73.pdf" TargetMode="External" /><ns0:Relationship Id="rIdLocalDoc46" Type="http://schemas.openxmlformats.org/officeDocument/2006/relationships/hyperlink" Target="file:///D:/00.%20Downloads/Hidroelectrica/01.%20Locuri%20de%20consum/05%20Vaida%20-%20Stefan%20Luchian%203B%20U10/01%20Contracte%20Hidroelectrica/contract_declaratie_3f1e76b4-598f-44fe-b0dd-3fb354e7dfbf.pdf" TargetMode="External" /><ns0:Relationship Id="rIdLocalDoc47" Type="http://schemas.openxmlformats.org/officeDocument/2006/relationships/hyperlink" Target="file:///D:/00.%20Downloads/Hidroelectrica/01.%20Locuri%20de%20consum/05%20Vaida%20-%20Stefan%20Luchian%203B%20U10/01%20Contracte%20Hidroelectrica/anexa_4_172ebe92-9e53-427a-a6bf-2984122bfc82.pdf" TargetMode="External" /><ns0:Relationship Id="rIdLocalDoc48" Type="http://schemas.openxmlformats.org/officeDocument/2006/relationships/hyperlink" Target="file:///D:/00.%20Downloads/Hidroelectrica/01.%20Locuri%20de%20consum/05%20Vaida%20-%20Stefan%20Luchian%203B%20U10/01%20Contracte%20Hidroelectrica/contract_furnizare_85e397fe-05dd-49dc-a78b-0c08916ead6a.pdf" TargetMode="External" /><ns0:Relationship Id="rIdLocalDoc49" Type="http://schemas.openxmlformats.org/officeDocument/2006/relationships/hyperlink" Target="file:///D:/00.%20Downloads/Hidroelectrica/01.%20Locuri%20de%20consum/05%20Vaida%20-%20Stefan%20Luchian%203B%20U10/01%20Contracte%20Hidroelectrica/anexa_3_6521b52e-0944-4818-af01-e2776da2e119.pdf" TargetMode="External" /><ns0:Relationship Id="rIdLocalDoc50" Type="http://schemas.openxmlformats.org/officeDocument/2006/relationships/hyperlink" Target="file:///D:/00.%20Downloads/Hidroelectrica/01.%20Locuri%20de%20consum/05%20Vaida%20-%20Stefan%20Luchian%203B%20U10/01%20Contracte%20Hidroelectrica/anexa_5_d528bbfc-3f01-45f2-8b0b-e07c6b9d38bc.pdf" TargetMode="External" /><ns0:Relationship Id="rIdLocalDoc51" Type="http://schemas.openxmlformats.org/officeDocument/2006/relationships/hyperlink" Target="file:///D:/00.%20Downloads/Hidroelectrica/02.%20Documente%20comune/Contractuale/marketing_0516c581-db29-49f7-929d-56b765984430.pdf" TargetMode="External" /><ns0:Relationship Id="rIdLocalDoc52" Type="http://schemas.openxmlformats.org/officeDocument/2006/relationships/hyperlink" Target="file:///D:/00.%20Downloads/Hidroelectrica/01.%20Locuri%20de%20consum/05%20Vaida%20-%20Stefan%20Luchian%203B%20U10/01%20Contracte%20Hidroelectrica/oferta_d562f03a-88df-422c-93c9-9146e9022ea2.pdf" TargetMode="External" /><ns0:Relationship Id="rIdLocalDoc53" Type="http://schemas.openxmlformats.org/officeDocument/2006/relationships/hyperlink" Target="file:///D:/00.%20Downloads/Hidroelectrica/01.%20Locuri%20de%20consum/05%20Vaida%20-%20Stefan%20Luchian%203B%20U10/01%20Contracte%20Hidroelectrica/contract_cerere_f60f6be5-e580-4c42-9c85-8342e14260d8.pdf" TargetMode="External" /><ns0:Relationship Id="rIdLocalDoc54" Type="http://schemas.openxmlformats.org/officeDocument/2006/relationships/hyperlink" Target="file:///D:/00.%20Downloads/Hidroelectrica/01.%20Locuri%20de%20consum/05%20Vaida%20-%20Stefan%20Luchian%203B%20U10/01%20Contracte%20Hidroelectrica/contract_prosumator_6bd20f98-dab7-40ed-972d-bd76fc6c19da.pdf" TargetMode="External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table" Target="/xl/tables/table4.xml" Id="R840f5d06f3b34e70" /><ns0:Relationship Id="rIdLocalDoc1" Type="http://schemas.openxmlformats.org/officeDocument/2006/relationships/hyperlink" Target="file:///D:/00.%20Downloads/Hidroelectrica/03.%20Emailuri/2026-06-19_01_Cod%20validare.txt" TargetMode="External" /><ns0:Relationship Id="rIdLocalDoc2" Type="http://schemas.openxmlformats.org/officeDocument/2006/relationships/hyperlink" Target="file:///D:/00.%20Downloads/Hidroelectrica/03.%20Emailuri/2026-06-19_02_Bun%20venit%20la%20Hidroelectrica%21.txt" TargetMode="External" /><ns0:Relationship Id="rIdLocalDoc3" Type="http://schemas.openxmlformats.org/officeDocument/2006/relationships/hyperlink" Target="file:///D:/00.%20Downloads/Hidroelectrica/03.%20Emailuri/2026-06-19_03_Cod%20validare.txt" TargetMode="External" /><ns0:Relationship Id="rIdLocalDoc4" Type="http://schemas.openxmlformats.org/officeDocument/2006/relationships/hyperlink" Target="file:///D:/00.%20Downloads/Hidroelectrica/03.%20Emailuri/2026-06-19_04_Cod%20validare.txt" TargetMode="External" /><ns0:Relationship Id="rIdLocalDoc5" Type="http://schemas.openxmlformats.org/officeDocument/2006/relationships/hyperlink" Target="file:///D:/00.%20Downloads/Hidroelectrica/03.%20Emailuri/2026-06-19_05_Bun%20venit%20la%20Hidroelectrica%21.txt" TargetMode="External" /><ns0:Relationship Id="rIdLocalDoc6" Type="http://schemas.openxmlformats.org/officeDocument/2006/relationships/hyperlink" Target="file:///D:/00.%20Downloads/Hidroelectrica/03.%20Emailuri/2026-06-19_06_Transmitere%20documente%20contractuale%20%E2%80%93%20Hidroelectrica.txt" TargetMode="External" /><ns0:Relationship Id="rIdLocalDoc7" Type="http://schemas.openxmlformats.org/officeDocument/2006/relationships/hyperlink" Target="file:///D:/00.%20Downloads/Hidroelectrica/03.%20Emailuri/2026-06-19_07_Transmitere%20documente%20contractuale%20%E2%80%93%20Hidroelectrica.txt" TargetMode="External" /><ns0:Relationship Id="rIdLocalDoc8" Type="http://schemas.openxmlformats.org/officeDocument/2006/relationships/hyperlink" Target="file:///D:/00.%20Downloads/Hidroelectrica/03.%20Emailuri/2026-06-19_08_Transmitere%20documente%20contractuale%20%E2%80%93%20Hidroelectrica.txt" TargetMode="External" /><ns0:Relationship Id="rIdLocalDoc9" Type="http://schemas.openxmlformats.org/officeDocument/2006/relationships/hyperlink" Target="file:///D:/00.%20Downloads/Hidroelectrica/03.%20Emailuri/2026-06-19_09_Transmitere%20documente%20contractuale%20%E2%80%93%20Hidroelectrica.txt" TargetMode="External" /><ns0:Relationship Id="rIdLocalDoc10" Type="http://schemas.openxmlformats.org/officeDocument/2006/relationships/hyperlink" Target="file:///D:/00.%20Downloads/Hidroelectrica/03.%20Emailuri/2026-06-19_10_Transmitere%20documente%20contractuale%20%E2%80%93%20Hidroelectrica.txt" TargetMode="External" /><ns0:Relationship Id="rIdLocalDoc11" Type="http://schemas.openxmlformats.org/officeDocument/2006/relationships/hyperlink" Target="file:///D:/00.%20Downloads/Hidroelectrica/03.%20Emailuri/2026-06-19_11_Transmitere%20documente%20contractuale%20%E2%80%93%20Hidroelectrica.txt" TargetMode="External" /><ns0:Relationship Id="rIdLocalDoc12" Type="http://schemas.openxmlformats.org/officeDocument/2006/relationships/hyperlink" Target="file:///D:/00.%20Downloads/Hidroelectrica/03.%20Emailuri/2026-06-24_12_Notificare%20Hidroelectrica%20-%20Lipsa%20contract%20prosumator%20-%20594020400000040613.txt" TargetMode="External" /><ns0:Relationship Id="rIdLocalDoc13" Type="http://schemas.openxmlformats.org/officeDocument/2006/relationships/hyperlink" Target="file:///D:/00.%20Downloads/Hidroelectrica/03.%20Emailuri/2026-07-01_13_Bun%20venit%20la%20Hidroelectrica%21.txt" TargetMode="External" /><ns0:Relationship Id="rIdLocalDoc14" Type="http://schemas.openxmlformats.org/officeDocument/2006/relationships/hyperlink" Target="file:///D:/00.%20Downloads/Hidroelectrica/03.%20Emailuri/2026-07-01_14_Hidroelectrica%20Activarea%20contului.txt" TargetMode="External" /><ns0:Relationship Id="rIdLocalDoc15" Type="http://schemas.openxmlformats.org/officeDocument/2006/relationships/hyperlink" Target="file:///D:/00.%20Downloads/Hidroelectrica/03.%20Emailuri/2026-07-01_15_Hidroelectrica%20Preferin%C8%9B%C4%83%20de%20notificare.txt" TargetMode="External" /><ns0:Relationship Id="rIdLocalDoc16" Type="http://schemas.openxmlformats.org/officeDocument/2006/relationships/hyperlink" Target="file:///D:/00.%20Downloads/Hidroelectrica/03.%20Emailuri/2026-07-01_16_Transmitere%20documente%20contractuale%20%E2%80%93%20Hidroelectrica.txt" TargetMode="External" /><ns0:Relationship Id="rIdLocalDoc17" Type="http://schemas.openxmlformats.org/officeDocument/2006/relationships/hyperlink" Target="file:///D:/00.%20Downloads/Hidroelectrica/03.%20Emailuri/2026-07-01_17_Transmitere%20documente%20contractuale%20%E2%80%93%20Hidroelectrica.txt" TargetMode="External" /><ns0:Relationship Id="rIdLocalDoc18" Type="http://schemas.openxmlformats.org/officeDocument/2006/relationships/hyperlink" Target="file:///D:/00.%20Downloads/Hidroelectrica/03.%20Emailuri/2026-07-03_18_Informa%C8%9Bii%20esen%C8%9Biale%20despre%20conven%C8%9Bia%20de%20consum.txt" TargetMode="External" /><ns0:Relationship Id="rIdLocalDoc19" Type="http://schemas.openxmlformats.org/officeDocument/2006/relationships/hyperlink" Target="file:///D:/00.%20Downloads/Hidroelectrica/03.%20Emailuri/2026-07-03_19_Informa%C8%9Bii%20esen%C8%9Biale%20despre%20conven%C8%9Bia%20de%20consum.txt" TargetMode="External" /><ns0:Relationship Id="rIdLocalDoc20" Type="http://schemas.openxmlformats.org/officeDocument/2006/relationships/hyperlink" Target="file:///D:/00.%20Downloads/Hidroelectrica/03.%20Emailuri/2026-07-10_20_Factura%20Hidroelectrica%20FX-26107829179%20a%20fost%20generata.txt" TargetMode="External" /><ns0:Relationship Id="rIdLocalDoc21" Type="http://schemas.openxmlformats.org/officeDocument/2006/relationships/hyperlink" Target="file:///D:/00.%20Downloads/Hidroelectrica/03.%20Emailuri/2026-07-10_21_Factura%20Hidroelectrica%20FX-26107829180%20a%20fost%20generata.txt" TargetMode="External" /><ns0:Relationship Id="rIdLocalDoc22" Type="http://schemas.openxmlformats.org/officeDocument/2006/relationships/hyperlink" Target="file:///D:/00.%20Downloads/Hidroelectrica/03.%20Emailuri/2026-07-10_22_Contacta%C8%9Bi-ne%20simplu%20%C8%99i%20eficient%20prin%20Formularul%20Unic%20de%20Contact.txt" TargetMode="External" /><ns0:Relationship Id="rIdLocalDoc23" Type="http://schemas.openxmlformats.org/officeDocument/2006/relationships/hyperlink" Target="file:///D:/00.%20Downloads/Hidroelectrica/03.%20Emailuri/2026-07-15_23_Informa%C8%9Bii%20esen%C8%9Biale%20despre%20conven%C8%9Bia%20de%20consum.txt" TargetMode="External" /><ns0:Relationship Id="rIdLocalDoc24" Type="http://schemas.openxmlformats.org/officeDocument/2006/relationships/hyperlink" Target="file:///D:/00.%20Downloads/Hidroelectrica/03.%20Emailuri/2026-07-16_24_Factura%20Hidroelectrica%20FX-26108503565%20a%20fost%20generata.txt" TargetMode="External" /><ns0:Relationship Id="rIdLocalDoc25" Type="http://schemas.openxmlformats.org/officeDocument/2006/relationships/hyperlink" Target="file:///D:/00.%20Downloads/Hidroelectrica/03.%20Emailuri/2026-07-16_25_Factura%20Hidroelectrica%20FX-26108503562%20a%20fost%20generata.txt" TargetMode="External" /><ns0:Relationship Id="rIdLocalDoc26" Type="http://schemas.openxmlformats.org/officeDocument/2006/relationships/hyperlink" Target="file:///D:/00.%20Downloads/Hidroelectrica/03.%20Emailuri/2026-07-17_26_Pa%C8%99i%20simpli%20c%C4%83tre%20un%20consum%20de%20energie%20responsabil.txt" TargetMode="External" /><ns0:Relationship Id="rIdLocalDoc27" Type="http://schemas.openxmlformats.org/officeDocument/2006/relationships/hyperlink" Target="file:///D:/00.%20Downloads/Hidroelectrica/03.%20Emailuri/2026-07-29_27_Afla%C8%9Bi%20din%20ce%20surse%20provine%20energia%20electric%C4%83%20furnizat%C4%83%20%C3%AEn%20anul%202025.txt" TargetMode="External" /><ns0:Relationship Id="rIdLocalDoc28" Type="http://schemas.openxmlformats.org/officeDocument/2006/relationships/hyperlink" Target="file:///D:/00.%20Downloads/Hidroelectrica/03.%20Emailuri/2026-07-29_28_Afla%C8%9Bi%20din%20ce%20surse%20provine%20energia%20electric%C4%83%20furnizat%C4%83%20%C3%AEn%20anul%202025.txt" TargetMode="External" /><ns0:Relationship Id="rIdLocalDoc29" Type="http://schemas.openxmlformats.org/officeDocument/2006/relationships/hyperlink" Target="file:///D:/00.%20Downloads/Hidroelectrica/03.%20Emailuri/2026-07-29_29_Pa%C8%99i%20simpli%20c%C4%83tre%20un%20consum%20de%20energie%20responsabil.txt" TargetMode="External" /><ns0:Relationship Id="rIdLocalDoc30" Type="http://schemas.openxmlformats.org/officeDocument/2006/relationships/hyperlink" Target="file:///D:/00.%20Downloads/Hidroelectrica/03.%20Emailuri/2026-08-05_30_Factura%20Hidroelectrica%20FX-26109222509%20a%20fost%20generata.txt" TargetMode="External" /><ns0:Relationship Id="rIdLocalDoc31" Type="http://schemas.openxmlformats.org/officeDocument/2006/relationships/hyperlink" Target="file:///D:/00.%20Downloads/Hidroelectrica/03.%20Emailuri/2026-08-07_31_Confirmarea%20platii%20pentru%20https___www.hidroelectrica.ro_.txt" TargetMode="External" /><ns0:Relationship Id="rIdLocalDoc32" Type="http://schemas.openxmlformats.org/officeDocument/2006/relationships/hyperlink" Target="file:///D:/00.%20Downloads/Hidroelectrica/03.%20Emailuri/2026-08-14_32_Factura%20Hidroelectrica%20FX-26109491006%20a%20fost%20generata.txt" TargetMode="External" /><ns0:Relationship Id="rIdLocalDoc33" Type="http://schemas.openxmlformats.org/officeDocument/2006/relationships/hyperlink" Target="file:///D:/00.%20Downloads/Hidroelectrica/03.%20Emailuri/2026-08-18_33_Factura%20Hidroelectrica%20FX-26109613324%20a%20fost%20generata.txt" TargetMode="External" /><ns0:Relationship Id="rIdLocalDoc34" Type="http://schemas.openxmlformats.org/officeDocument/2006/relationships/hyperlink" Target="file:///D:/00.%20Downloads/Hidroelectrica/03.%20Emailuri/2026-09-14_34_Factura%20Hidroelectrica%20FX-26111437678%20a%20fost%20generata.txt" TargetMode="External" /><ns0:Relationship Id="rIdLocalDoc35" Type="http://schemas.openxmlformats.org/officeDocument/2006/relationships/hyperlink" Target="file:///D:/00.%20Downloads/Hidroelectrica/03.%20Emailuri/2026-09-22_35_Factura%20Hidroelectrica%20FX-26112083088%20a%20fost%20generata.txt" TargetMode="External" /><ns0:Relationship Id="rIdLocalDoc36" Type="http://schemas.openxmlformats.org/officeDocument/2006/relationships/hyperlink" Target="file:///D:/00.%20Downloads/Hidroelectrica/03.%20Emailuri/2026-09-28_36_Factura%20Hidroelectrica%20FX-26112210655%20a%20fost%20generata.txt" TargetMode="External" /><ns0:Relationship Id="rIdLocalDoc37" Type="http://schemas.openxmlformats.org/officeDocument/2006/relationships/hyperlink" Target="file:///D:/00.%20Downloads/Hidroelectrica/03.%20Emailuri/2026-09-28_37_Factura%20Hidroelectrica%20FX-26112210656%20a%20fost%20generata.txt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03E61"/>
  </sheetPr>
  <sheetViews>
    <sheetView showGridLines="0" workbookViewId="0"/>
  </sheetViews>
  <sheetFormatPr defaultRowHeight="15"/>
  <cols>
    <col min="1" max="1" width="34.380001068115234" hidden="0" customWidth="1"/>
    <col min="2" max="2" width="19.3799991607666" hidden="0" customWidth="1"/>
    <col min="3" max="3" width="9.380000114440918" hidden="0" customWidth="1"/>
    <col min="4" max="4" width="15.630000114440918" hidden="0" customWidth="1"/>
    <col min="5" max="5" width="15" hidden="0" customWidth="1"/>
    <col min="6" max="6" width="17.5" hidden="0" customWidth="1"/>
    <col min="7" max="7" width="16.8799991607666" hidden="0" customWidth="1"/>
    <col min="8" max="8" width="17.5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</row>
    <row r="2" ht="24" customHeight="1">
      <c r="A2" s="3" t="str">
        <v>Hidroelectrica — situație pe locații</v>
      </c>
      <c r="B2" s="2"/>
      <c r="C2" s="2"/>
      <c r="D2" s="2"/>
      <c r="E2" s="2"/>
      <c r="F2" s="2"/>
      <c r="G2" s="2"/>
      <c r="H2" s="2"/>
    </row>
    <row r="3" ht="24" customHeight="1">
      <c r="A3" s="4"/>
      <c r="B3" s="4"/>
      <c r="C3" s="4"/>
      <c r="D3" s="4"/>
      <c r="E3" s="4"/>
      <c r="F3" s="4"/>
      <c r="G3" s="4"/>
      <c r="H3" s="4"/>
    </row>
    <row r="4" ht="24" customHeight="1">
      <c r="A4" s="2" t="str">
        <v>07.10.2026 · Alba Iulia · date documentare din EVA și fișiere locale</v>
      </c>
      <c r="B4" s="2"/>
      <c r="C4" s="2"/>
      <c r="D4" s="2"/>
      <c r="E4" s="2"/>
      <c r="F4" s="2"/>
      <c r="G4" s="2"/>
      <c r="H4" s="2"/>
    </row>
    <row r="5" ht="24" customHeight="1">
      <c r="A5" s="2"/>
      <c r="B5" s="2"/>
      <c r="C5" s="2"/>
      <c r="D5" s="2"/>
      <c r="E5" s="2"/>
      <c r="F5" s="2"/>
      <c r="G5" s="2"/>
      <c r="H5" s="2"/>
    </row>
    <row r="6" ht="38" customHeight="1">
      <c r="A6" s="9" t="str">
        <v>Loc de consum</v>
      </c>
      <c r="B6" s="9" t="str">
        <v>Titular</v>
      </c>
      <c r="C6" s="9" t="str">
        <v>Facturi</v>
      </c>
      <c r="D6" s="9" t="str">
        <v>Facturi pozitive (lei)</v>
      </c>
      <c r="E6" s="9" t="str">
        <v>Plăți confirmate (lei)</v>
      </c>
      <c r="F6" s="9" t="str">
        <v>Sold documentar pozitiv (lei)</v>
      </c>
      <c r="G6" s="9" t="str">
        <v>Credit separat (lei)</v>
      </c>
      <c r="H6" s="9" t="str">
        <v>Scadent neconfirmat (lei)</v>
      </c>
    </row>
    <row r="7" ht="42" customHeight="1">
      <c r="A7" s="18" t="str">
        <v>Iuliu Maniu 1, bl. 31, et. 11-12, ap. 44</v>
      </c>
      <c r="B7" s="18" t="str">
        <v>Covaciu Cosmin Adrian</v>
      </c>
      <c r="C7" s="10" t="n">
        <f>COUNTIFS(Facturi!$P$6:$P$16,"594020400000324584")</f>
        <v>3</v>
      </c>
      <c r="D7" s="14" t="n">
        <f>SUMIFS(Facturi!$G$6:$G$16,Facturi!$P$6:$P$16,"594020400000324584",Facturi!$G$6:$G$16,"&gt;0")</f>
        <v>12.71</v>
      </c>
      <c r="E7" s="14" t="n">
        <f>SUMIFS(Facturi!$J$6:$J$16,Facturi!$P$6:$P$16,"594020400000324584")</f>
        <v>1.15</v>
      </c>
      <c r="F7" s="14" t="n">
        <f>SUMIFS(Facturi!$K$6:$K$16,Facturi!$P$6:$P$16,"594020400000324584")</f>
        <v>11.56</v>
      </c>
      <c r="G7" s="14" t="n">
        <f>-SUMIFS(Facturi!$G$6:$G$16,Facturi!$P$6:$P$16,"594020400000324584",Facturi!$G$6:$G$16,"&lt;0")</f>
        <v>0</v>
      </c>
      <c r="H7" s="14" t="n">
        <f>SUMIFS(Facturi!$L$6:$L$16,Facturi!$P$6:$P$16,"594020400000324584")</f>
        <v>5.78</v>
      </c>
    </row>
    <row r="8" ht="42" customHeight="1">
      <c r="A8" s="19" t="str">
        <v>Theodor Pallady 5</v>
      </c>
      <c r="B8" s="19" t="str">
        <v>Covaciu Cosmin Adrian</v>
      </c>
      <c r="C8" s="2" t="n">
        <f>COUNTIFS(Facturi!$P$6:$P$16,"594020400000040613")</f>
        <v>3</v>
      </c>
      <c r="D8" s="15" t="n">
        <f>SUMIFS(Facturi!$G$6:$G$16,Facturi!$P$6:$P$16,"594020400000040613",Facturi!$G$6:$G$16,"&gt;0")</f>
        <v>6669.32</v>
      </c>
      <c r="E8" s="15" t="n">
        <f>SUMIFS(Facturi!$J$6:$J$16,Facturi!$P$6:$P$16,"594020400000040613")</f>
        <v>322.57</v>
      </c>
      <c r="F8" s="15" t="n">
        <f>SUMIFS(Facturi!$K$6:$K$16,Facturi!$P$6:$P$16,"594020400000040613")</f>
        <v>6346.75</v>
      </c>
      <c r="G8" s="15" t="n">
        <f>-SUMIFS(Facturi!$G$6:$G$16,Facturi!$P$6:$P$16,"594020400000040613",Facturi!$G$6:$G$16,"&lt;0")</f>
        <v>0</v>
      </c>
      <c r="H8" s="15" t="n">
        <f>SUMIFS(Facturi!$L$6:$L$16,Facturi!$P$6:$P$16,"594020400000040613")</f>
        <v>0</v>
      </c>
    </row>
    <row r="9" ht="42" customHeight="1">
      <c r="A9" s="18" t="str">
        <v>Ștefan Luchian 18</v>
      </c>
      <c r="B9" s="18" t="str">
        <v>Covaciu Cosmin Adrian</v>
      </c>
      <c r="C9" s="10" t="n">
        <f>COUNTIFS(Facturi!$P$6:$P$16,"594020400001637171")</f>
        <v>2</v>
      </c>
      <c r="D9" s="14" t="n">
        <f>SUMIFS(Facturi!$G$6:$G$16,Facturi!$P$6:$P$16,"594020400001637171",Facturi!$G$6:$G$16,"&gt;0")</f>
        <v>620.3</v>
      </c>
      <c r="E9" s="14" t="n">
        <f>SUMIFS(Facturi!$J$6:$J$16,Facturi!$P$6:$P$16,"594020400001637171")</f>
        <v>0</v>
      </c>
      <c r="F9" s="14" t="n">
        <f>SUMIFS(Facturi!$K$6:$K$16,Facturi!$P$6:$P$16,"594020400001637171")</f>
        <v>620.3</v>
      </c>
      <c r="G9" s="14" t="n">
        <f>-SUMIFS(Facturi!$G$6:$G$16,Facturi!$P$6:$P$16,"594020400001637171",Facturi!$G$6:$G$16,"&lt;0")</f>
        <v>0</v>
      </c>
      <c r="H9" s="14" t="n">
        <f>SUMIFS(Facturi!$L$6:$L$16,Facturi!$P$6:$P$16,"594020400001637171")</f>
        <v>303.21</v>
      </c>
    </row>
    <row r="10" ht="42" customHeight="1">
      <c r="A10" s="19" t="str">
        <v>Ștefan Luchian 3B, ap. U3</v>
      </c>
      <c r="B10" s="19" t="str">
        <v>Vaida Elena</v>
      </c>
      <c r="C10" s="2" t="n">
        <f>COUNTIFS(Facturi!$P$6:$P$16,"594020400001732944")</f>
        <v>1</v>
      </c>
      <c r="D10" s="15" t="n">
        <f>SUMIFS(Facturi!$G$6:$G$16,Facturi!$P$6:$P$16,"594020400001732944",Facturi!$G$6:$G$16,"&gt;0")</f>
        <v>15.03</v>
      </c>
      <c r="E10" s="15" t="n">
        <f>SUMIFS(Facturi!$J$6:$J$16,Facturi!$P$6:$P$16,"594020400001732944")</f>
        <v>0</v>
      </c>
      <c r="F10" s="15" t="n">
        <f>SUMIFS(Facturi!$K$6:$K$16,Facturi!$P$6:$P$16,"594020400001732944")</f>
        <v>15.03</v>
      </c>
      <c r="G10" s="15" t="n">
        <f>-SUMIFS(Facturi!$G$6:$G$16,Facturi!$P$6:$P$16,"594020400001732944",Facturi!$G$6:$G$16,"&lt;0")</f>
        <v>0</v>
      </c>
      <c r="H10" s="15" t="n">
        <f>SUMIFS(Facturi!$L$6:$L$16,Facturi!$P$6:$P$16,"594020400001732944")</f>
        <v>15.03</v>
      </c>
    </row>
    <row r="11" ht="42" customHeight="1">
      <c r="A11" s="18" t="str">
        <v>Ștefan Luchian 3B, ap. U10</v>
      </c>
      <c r="B11" s="18" t="str">
        <v>Vaida Elena</v>
      </c>
      <c r="C11" s="10" t="n">
        <f>COUNTIFS(Facturi!$P$6:$P$16,"594020400001732913")</f>
        <v>2</v>
      </c>
      <c r="D11" s="14" t="n">
        <f>SUMIFS(Facturi!$G$6:$G$16,Facturi!$P$6:$P$16,"594020400001732913",Facturi!$G$6:$G$16,"&gt;0")</f>
        <v>0</v>
      </c>
      <c r="E11" s="14" t="n">
        <f>SUMIFS(Facturi!$J$6:$J$16,Facturi!$P$6:$P$16,"594020400001732913")</f>
        <v>0</v>
      </c>
      <c r="F11" s="14" t="n">
        <f>SUMIFS(Facturi!$K$6:$K$16,Facturi!$P$6:$P$16,"594020400001732913")</f>
        <v>0</v>
      </c>
      <c r="G11" s="14" t="n">
        <f>-SUMIFS(Facturi!$G$6:$G$16,Facturi!$P$6:$P$16,"594020400001732913",Facturi!$G$6:$G$16,"&lt;0")</f>
        <v>4261.95</v>
      </c>
      <c r="H11" s="14" t="n">
        <f>SUMIFS(Facturi!$L$6:$L$16,Facturi!$P$6:$P$16,"594020400001732913")</f>
        <v>0</v>
      </c>
    </row>
    <row r="12" ht="24" customHeight="1">
      <c r="A12" s="2"/>
      <c r="B12" s="2"/>
      <c r="C12" s="2"/>
      <c r="D12" s="15"/>
      <c r="E12" s="15"/>
      <c r="F12" s="15"/>
      <c r="G12" s="15"/>
      <c r="H12" s="15"/>
    </row>
    <row r="13" ht="24" customHeight="1">
      <c r="A13" s="23" t="str">
        <v>TOTAL HIDROELECTRICA</v>
      </c>
      <c r="B13" s="23"/>
      <c r="C13" s="23" t="n">
        <f>SUM(C7:C11)</f>
        <v>11</v>
      </c>
      <c r="D13" s="24" t="n">
        <f>SUM(D7:D11)</f>
        <v>7317.36</v>
      </c>
      <c r="E13" s="24" t="n">
        <f>SUM(E7:E11)</f>
        <v>323.71999999999997</v>
      </c>
      <c r="F13" s="24" t="n">
        <f>SUM(F7:F11)</f>
        <v>6993.64</v>
      </c>
      <c r="G13" s="24" t="n">
        <f>SUM(G7:G11)</f>
        <v>4261.95</v>
      </c>
      <c r="H13" s="24" t="n">
        <f>SUM(H7:H11)</f>
        <v>324.0199999999999</v>
      </c>
    </row>
    <row r="14" ht="24" customHeight="1">
      <c r="A14" s="2"/>
      <c r="B14" s="2"/>
      <c r="C14" s="2"/>
      <c r="D14" s="2"/>
      <c r="E14" s="2"/>
      <c r="F14" s="2"/>
      <c r="G14" s="2"/>
      <c r="H14" s="2"/>
    </row>
    <row r="15" ht="24" customHeight="1">
      <c r="A15" s="2"/>
      <c r="B15" s="2"/>
      <c r="C15" s="2"/>
      <c r="D15" s="2"/>
      <c r="E15" s="2"/>
      <c r="F15" s="2"/>
      <c r="G15" s="2"/>
      <c r="H15" s="2"/>
    </row>
    <row r="16" ht="24" customHeight="1">
      <c r="A16" s="2" t="str">
        <v>Soldul documentar pozitiv folosește facturile distincte și plățile confirmate. Nu este un sold live iHidro.</v>
      </c>
      <c r="B16" s="2"/>
      <c r="C16" s="2"/>
      <c r="D16" s="2"/>
      <c r="E16" s="2"/>
      <c r="F16" s="2"/>
      <c r="G16" s="2"/>
      <c r="H16" s="2"/>
    </row>
    <row r="17" ht="24" customHeight="1">
      <c r="A17" s="2" t="str">
        <v>Creditul de prosumator nu se compensează automat cu celelalte locații. Suma scadentă nu dovedește neplata.</v>
      </c>
      <c r="B17" s="2"/>
      <c r="C17" s="2"/>
      <c r="D17" s="2"/>
      <c r="E17" s="2"/>
      <c r="F17" s="2"/>
      <c r="G17" s="2"/>
      <c r="H17" s="2"/>
    </row>
    <row r="18" ht="24" customHeight="1">
      <c r="A18" s="2" t="str">
        <v>10 atașamente existau identic; 29 aveau variante locale diferite; 15 lipseau. Au fost adăugate 44 copii exacte.</v>
      </c>
      <c r="B18" s="2"/>
      <c r="C18" s="2"/>
      <c r="D18" s="2"/>
      <c r="E18" s="2"/>
      <c r="F18" s="2"/>
      <c r="G18" s="2"/>
      <c r="H18" s="2"/>
    </row>
    <row r="19" ht="24" customHeight="1">
      <c r="A19" s="2" t="str">
        <v>Toate cele 54 atașamente sunt disponibile local. Cele 102 fișiere inițiale au fost păstrate și verificate prin SHA-256.</v>
      </c>
      <c r="B19" s="2"/>
      <c r="C19" s="2"/>
      <c r="D19" s="2"/>
      <c r="E19" s="2"/>
      <c r="F19" s="2"/>
      <c r="G19" s="2"/>
      <c r="H19" s="2"/>
    </row>
    <row r="20" ht="24" customHeight="1">
      <c r="A20" s="2"/>
      <c r="B20" s="2"/>
      <c r="C20" s="2"/>
      <c r="D20" s="2"/>
      <c r="E20" s="2"/>
      <c r="F20" s="2"/>
      <c r="G20" s="2"/>
      <c r="H20" s="2"/>
    </row>
    <row r="21" ht="24" customHeight="1">
      <c r="A21" s="2"/>
      <c r="B21" s="2"/>
      <c r="C21" s="2"/>
      <c r="D21" s="2"/>
      <c r="E21" s="2"/>
      <c r="F21" s="2"/>
      <c r="G21" s="2"/>
      <c r="H21" s="2"/>
    </row>
    <row r="22" ht="24" customHeight="1">
      <c r="A22" s="25" t="str">
        <v>Aspecte de verificat</v>
      </c>
      <c r="B22" s="2"/>
      <c r="C22" s="2"/>
      <c r="D22" s="2"/>
      <c r="E22" s="2"/>
      <c r="F22" s="2"/>
      <c r="G22" s="2"/>
      <c r="H22" s="2"/>
    </row>
    <row r="23" ht="24" customHeight="1">
      <c r="A23" s="2" t="str">
        <v>Theodor Pallady 5: document prosumator 2026.492.1440 găsit local; preluarea/compensarea producției trebuie confirmată.</v>
      </c>
      <c r="B23" s="2"/>
      <c r="C23" s="2"/>
      <c r="D23" s="2"/>
      <c r="E23" s="2"/>
      <c r="F23" s="2"/>
      <c r="G23" s="2"/>
      <c r="H23" s="2"/>
    </row>
    <row r="24" ht="24" customHeight="1">
      <c r="A24" s="2" t="str">
        <v>Ștefan Luchian 18: contractele de furnizare și prosumator există; centralizatorul vechi era depășit.</v>
      </c>
      <c r="B24" s="2"/>
      <c r="C24" s="2"/>
      <c r="D24" s="2"/>
      <c r="E24" s="2"/>
      <c r="F24" s="2"/>
      <c r="G24" s="2"/>
      <c r="H24" s="2"/>
    </row>
    <row r="25" ht="24" customHeight="1">
      <c r="A25" s="2" t="str">
        <v>Iuliu Maniu 1 ap. 44: documentele erau în folderul denumit greșit „Simion Bărnuțiu 17B”.</v>
      </c>
      <c r="B25" s="2"/>
      <c r="C25" s="2"/>
      <c r="D25" s="2"/>
      <c r="E25" s="2"/>
      <c r="F25" s="2"/>
      <c r="G25" s="2"/>
      <c r="H25" s="2"/>
    </row>
    <row r="26" ht="24" customHeight="1">
      <c r="A26" s="2" t="str">
        <v>U10: credit 4.261,95 lei pentru 9.471 kWh, scadență 10.07.2028. Nu reprezintă numerar disponibil imediat.</v>
      </c>
      <c r="B26" s="2"/>
      <c r="C26" s="2"/>
      <c r="D26" s="2"/>
      <c r="E26" s="2"/>
      <c r="F26" s="2"/>
      <c r="G26" s="2"/>
      <c r="H26" s="2"/>
    </row>
    <row r="27" ht="24" customHeight="1">
      <c r="A27" s="2" t="str">
        <v>U3 și U10: facturi găsite numai pentru iunie; ultima sincronizare Yahoo raportată este 02.08.2026.</v>
      </c>
      <c r="B27" s="2"/>
      <c r="C27" s="2"/>
      <c r="D27" s="2"/>
      <c r="E27" s="2"/>
      <c r="F27" s="2"/>
      <c r="G27" s="2"/>
      <c r="H27" s="2"/>
    </row>
    <row r="28" ht="24" customHeight="1">
      <c r="A28" s="2" t="str">
        <v>Patru versiuni locale de furnizare au alte numere: sunt păstrate separat; contractele din email corespund facturilor.</v>
      </c>
      <c r="B28" s="2"/>
      <c r="C28" s="2"/>
      <c r="D28" s="2"/>
      <c r="E28" s="2"/>
      <c r="F28" s="2"/>
      <c r="G28" s="2"/>
      <c r="H28" s="2"/>
    </row>
    <row r="29" ht="24" customHeight="1">
      <c r="A29" s="2" t="str">
        <v>Xenopol 3 ap. 2 este în Sibiu: numai document Electrica identificat; sumele lui nu intră în totalurile de mai sus.</v>
      </c>
      <c r="B29" s="2"/>
      <c r="C29" s="2"/>
      <c r="D29" s="2"/>
      <c r="E29" s="2"/>
      <c r="F29" s="2"/>
      <c r="G29" s="2"/>
      <c r="H29" s="2"/>
    </row>
    <row r="30" ht="24" customHeight="1">
      <c r="A30" s="2" t="str">
        <v>Fotografiile contoarelor au rămas separat când seria nu se corelează sigur cu POD-ul.</v>
      </c>
      <c r="B30" s="2"/>
      <c r="C30" s="2"/>
      <c r="D30" s="2"/>
      <c r="E30" s="2"/>
      <c r="F30" s="2"/>
      <c r="G30" s="2"/>
      <c r="H30" s="2"/>
    </row>
    <row r="31" ht="24" customHeight="1">
      <c r="A31" s="2"/>
      <c r="B31" s="2"/>
      <c r="C31" s="2"/>
      <c r="D31" s="2"/>
      <c r="E31" s="2"/>
      <c r="F31" s="2"/>
      <c r="G31" s="2"/>
      <c r="H31" s="2"/>
    </row>
    <row r="32" ht="24" customHeight="1">
      <c r="A32" s="2"/>
      <c r="B32" s="2"/>
      <c r="C32" s="2"/>
      <c r="D32" s="2"/>
      <c r="E32" s="2"/>
      <c r="F32" s="2"/>
      <c r="G32" s="2"/>
      <c r="H32" s="2"/>
    </row>
    <row r="33" ht="24" customHeight="1">
      <c r="A33" s="25" t="str">
        <v>Acoperirea căutării</v>
      </c>
      <c r="B33" s="2"/>
      <c r="C33" s="2"/>
      <c r="D33" s="2"/>
      <c r="E33" s="2"/>
      <c r="F33" s="2"/>
      <c r="G33" s="2"/>
      <c r="H33" s="2"/>
    </row>
    <row r="34" ht="24" customHeight="1">
      <c r="A34" s="2" t="str">
        <v>60 înregistrări Hidroelectrica, 36 mesaje distincte; plus 1 confirmare distinctă de plată. 11 facturi distincte.</v>
      </c>
      <c r="B34" s="2"/>
      <c r="C34" s="2"/>
      <c r="D34" s="2"/>
      <c r="E34" s="2"/>
      <c r="F34" s="2"/>
      <c r="G34" s="2"/>
      <c r="H34" s="2"/>
    </row>
    <row r="35" ht="24" customHeight="1">
      <c r="A35" s="2" t="str">
        <v>17 căsuțe EVA căutabile; 4 căsuțe partajate/de echipă nu sunt căutabile prin această versiune a conectorului.</v>
      </c>
      <c r="B35" s="2"/>
      <c r="C35" s="2"/>
      <c r="D35" s="2"/>
      <c r="E35" s="2"/>
      <c r="F35" s="2"/>
      <c r="G35" s="2"/>
      <c r="H35" s="2"/>
    </row>
    <row r="36" ht="24" customHeight="1">
      <c r="A36" s="2" t="str">
        <v>Sincronizări relevante: Gmail 04.10.2026; Yahoo 02.08.2026; oglinda EVA 05.10.2026.</v>
      </c>
      <c r="B36" s="2"/>
      <c r="C36" s="2"/>
      <c r="D36" s="2"/>
      <c r="E36" s="2"/>
      <c r="F36" s="2"/>
      <c r="G36" s="2"/>
      <c r="H36" s="2"/>
    </row>
    <row r="37" ht="24" customHeight="1">
      <c r="A37" s="2" t="str">
        <v>Căutarea a folosit „hidroelectrica”, „hidro electrica” și expeditorul „hidro”, fără limită de perioadă.</v>
      </c>
      <c r="B37" s="2"/>
      <c r="C37" s="2"/>
      <c r="D37" s="2"/>
      <c r="E37" s="2"/>
      <c r="F37" s="2"/>
      <c r="G37" s="2"/>
      <c r="H37" s="2"/>
    </row>
    <row r="38" ht="24" customHeight="1">
      <c r="A38" s="2" t="str">
        <v>Au fost excluse din situația de furnizare mențiunile istorice despre investiții, licitații și alte proiecte.</v>
      </c>
      <c r="B38" s="2"/>
      <c r="C38" s="2"/>
      <c r="D38" s="2"/>
      <c r="E38" s="2"/>
      <c r="F38" s="2"/>
      <c r="G38" s="2"/>
      <c r="H38" s="2"/>
    </row>
    <row r="39" ht="24" customHeight="1">
      <c r="A39" s="2"/>
      <c r="B39" s="2"/>
      <c r="C39" s="2"/>
      <c r="D39" s="2"/>
      <c r="E39" s="2"/>
      <c r="F39" s="2"/>
      <c r="G39" s="2"/>
      <c r="H39" s="2"/>
    </row>
    <row r="40" ht="24" customHeight="1">
      <c r="A40" s="2"/>
      <c r="B40" s="2"/>
      <c r="C40" s="2"/>
      <c r="D40" s="2"/>
      <c r="E40" s="2"/>
      <c r="F40" s="2"/>
      <c r="G40" s="2"/>
      <c r="H40" s="2"/>
    </row>
    <row r="41" ht="24" customHeight="1">
      <c r="A41" s="2"/>
      <c r="B41" s="2"/>
      <c r="C41" s="2"/>
      <c r="D41" s="2"/>
      <c r="E41" s="2"/>
      <c r="F41" s="2"/>
      <c r="G41" s="2"/>
      <c r="H41" s="2"/>
    </row>
    <row r="42" ht="24" customHeight="1">
      <c r="A42" s="12" t="str">
        <v>Deschide pagina de navigare a dosarului</v>
      </c>
      <c r="B42" s="2"/>
      <c r="C42" s="2"/>
      <c r="D42" s="2"/>
      <c r="E42" s="2"/>
      <c r="F42" s="2"/>
      <c r="G42" s="2"/>
      <c r="H42" s="2"/>
    </row>
    <row r="43" ht="24" customHeight="1">
      <c r="A43" s="12" t="str">
        <v>Deschide raportul complet</v>
      </c>
      <c r="B43" s="2"/>
      <c r="C43" s="2"/>
      <c r="D43" s="2"/>
      <c r="E43" s="2"/>
      <c r="F43" s="2"/>
      <c r="G43" s="2"/>
      <c r="H43" s="2"/>
    </row>
    <row r="44" ht="24" customHeight="1">
      <c r="A44" s="2"/>
      <c r="B44" s="2"/>
      <c r="C44" s="2"/>
      <c r="D44" s="2"/>
      <c r="E44" s="2"/>
      <c r="F44" s="2"/>
      <c r="G44" s="2"/>
      <c r="H44" s="2"/>
    </row>
    <row r="45" ht="24" customHeight="1">
      <c r="A45" s="2" t="str">
        <v>Energia livrată pe fiecare factură: vezi foaia Facturi, secțiunea de la rândul 25. U10: 9.471 kWh / 4.261,95 lei credit distinct.</v>
      </c>
      <c r="B45" s="2"/>
      <c r="C45" s="2"/>
      <c r="D45" s="2"/>
      <c r="E45" s="2"/>
      <c r="F45" s="2"/>
      <c r="G45" s="2"/>
      <c r="H45" s="2"/>
    </row>
    <row r="46" ht="24" customHeight="1">
      <c r="A46" s="2"/>
      <c r="B46" s="2"/>
      <c r="C46" s="2"/>
      <c r="D46" s="2"/>
      <c r="E46" s="2"/>
      <c r="F46" s="2"/>
      <c r="G46" s="2"/>
      <c r="H46" s="2"/>
    </row>
    <row r="47" ht="24" customHeight="1">
      <c r="A47" s="2"/>
      <c r="B47" s="2"/>
      <c r="C47" s="2"/>
      <c r="D47" s="2"/>
      <c r="E47" s="2"/>
      <c r="F47" s="2"/>
      <c r="G47" s="2"/>
      <c r="H47" s="2"/>
    </row>
  </sheetData>
  <hyperlinks>
    <hyperlink ref="A42" r:id="rIdLocalDoc1" display="Deschide pagina de navigare a dosarului"/>
    <hyperlink ref="A43" r:id="rIdLocalDoc2" display="Deschide raportul comple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5" topLeftCell="A6" activePane="bottomLeft" state="frozen"/>
    </sheetView>
  </sheetViews>
  <sheetFormatPr defaultRowHeight="15"/>
  <cols>
    <col min="1" max="1" width="33.75" hidden="0" customWidth="1"/>
    <col min="2" max="2" width="12.5" hidden="0" customWidth="1"/>
    <col min="3" max="3" width="18.75" hidden="0" customWidth="1"/>
    <col min="4" max="4" width="13.130000114440918" hidden="0" customWidth="1"/>
    <col min="5" max="5" width="13.75" hidden="0" customWidth="1"/>
    <col min="6" max="6" width="13.75" hidden="0" customWidth="1"/>
    <col min="7" max="7" width="39.380001068115234" hidden="0" customWidth="1"/>
    <col min="8" max="8" width="18.1299991607666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</row>
    <row r="2" ht="24" customHeight="1">
      <c r="A2" s="3" t="str">
        <v>Contracte și identificatori</v>
      </c>
      <c r="B2" s="2"/>
      <c r="C2" s="2"/>
      <c r="D2" s="2"/>
      <c r="E2" s="2"/>
      <c r="F2" s="2"/>
      <c r="G2" s="2"/>
      <c r="H2" s="2"/>
    </row>
    <row r="3" ht="24" customHeight="1">
      <c r="A3" s="4"/>
      <c r="B3" s="4"/>
      <c r="C3" s="4"/>
      <c r="D3" s="4"/>
      <c r="E3" s="4"/>
      <c r="F3" s="4"/>
      <c r="G3" s="4"/>
      <c r="H3" s="4"/>
    </row>
    <row r="4" ht="24" customHeight="1">
      <c r="A4" s="2"/>
      <c r="B4" s="2"/>
      <c r="C4" s="2"/>
      <c r="D4" s="2"/>
      <c r="E4" s="2"/>
      <c r="F4" s="2"/>
      <c r="G4" s="2"/>
      <c r="H4" s="2"/>
    </row>
    <row r="5" ht="38" customHeight="1">
      <c r="A5" s="9" t="str">
        <v>Loc de consum</v>
      </c>
      <c r="B5" s="9" t="str">
        <v>Tip</v>
      </c>
      <c r="C5" s="9" t="str">
        <v>Număr contract</v>
      </c>
      <c r="D5" s="9" t="str">
        <v>Data document</v>
      </c>
      <c r="E5" s="9" t="str">
        <v>Început</v>
      </c>
      <c r="F5" s="9" t="str">
        <v>Termen corelat</v>
      </c>
      <c r="G5" s="9" t="str">
        <v>Dovadă / observație</v>
      </c>
      <c r="H5" s="9" t="str">
        <v>Document</v>
      </c>
    </row>
    <row r="6" ht="48" customHeight="1">
      <c r="A6" s="10" t="str">
        <v>Theodor Pallady 5</v>
      </c>
      <c r="B6" s="10" t="str">
        <v>Furnizare</v>
      </c>
      <c r="C6" s="10" t="str">
        <v>2026.460.10549</v>
      </c>
      <c r="D6" s="31" t="n">
        <v>46192</v>
      </c>
      <c r="E6" s="31" t="n">
        <v>46196</v>
      </c>
      <c r="F6" s="31" t="n">
        <v>46560</v>
      </c>
      <c r="G6" s="18" t="str">
        <v>Email EVA; campuri PDF verificate</v>
      </c>
      <c r="H6" s="11" t="str">
        <v>Deschide fișier</v>
      </c>
    </row>
    <row r="7" ht="48" customHeight="1">
      <c r="A7" s="2" t="str">
        <v>Ștefan Luchian 3B, ap. U3</v>
      </c>
      <c r="B7" s="2" t="str">
        <v>Furnizare</v>
      </c>
      <c r="C7" s="2" t="str">
        <v>2026.460.10479</v>
      </c>
      <c r="D7" s="30" t="n">
        <v>46192</v>
      </c>
      <c r="E7" s="30" t="n">
        <v>46196</v>
      </c>
      <c r="F7" s="30" t="n">
        <v>46560</v>
      </c>
      <c r="G7" s="19" t="str">
        <v>Email EVA; campuri PDF verificate</v>
      </c>
      <c r="H7" s="12" t="str">
        <v>Deschide fișier</v>
      </c>
    </row>
    <row r="8" ht="48" customHeight="1">
      <c r="A8" s="10" t="str">
        <v>Ștefan Luchian 3B, ap. U10</v>
      </c>
      <c r="B8" s="10" t="str">
        <v>Furnizare</v>
      </c>
      <c r="C8" s="10" t="str">
        <v>2026.460.10416</v>
      </c>
      <c r="D8" s="31" t="n">
        <v>46192</v>
      </c>
      <c r="E8" s="31" t="n">
        <v>46196</v>
      </c>
      <c r="F8" s="31" t="n">
        <v>46560</v>
      </c>
      <c r="G8" s="18" t="str">
        <v>Email EVA; campuri PDF verificate</v>
      </c>
      <c r="H8" s="11" t="str">
        <v>Deschide fișier</v>
      </c>
    </row>
    <row r="9" ht="48" customHeight="1">
      <c r="A9" s="2" t="str">
        <v>Ștefan Luchian 18</v>
      </c>
      <c r="B9" s="2" t="str">
        <v>Furnizare</v>
      </c>
      <c r="C9" s="2" t="str">
        <v>2026.492.6258</v>
      </c>
      <c r="D9" s="30" t="n">
        <v>46204</v>
      </c>
      <c r="E9" s="30" t="n">
        <v>46208</v>
      </c>
      <c r="F9" s="30" t="n">
        <v>46572</v>
      </c>
      <c r="G9" s="19" t="str">
        <v>Email EVA; campuri PDF verificate</v>
      </c>
      <c r="H9" s="12" t="str">
        <v>Deschide fișier</v>
      </c>
    </row>
    <row r="10" ht="48" customHeight="1">
      <c r="A10" s="10" t="str">
        <v>Iuliu Maniu 1, bl. 31, et. 11-12, ap. 44</v>
      </c>
      <c r="B10" s="10" t="str">
        <v>Furnizare</v>
      </c>
      <c r="C10" s="10" t="str">
        <v>2026.460.10518</v>
      </c>
      <c r="D10" s="31" t="n">
        <v>46192</v>
      </c>
      <c r="E10" s="31" t="n">
        <v>46196</v>
      </c>
      <c r="F10" s="31" t="n">
        <v>46560</v>
      </c>
      <c r="G10" s="18" t="str">
        <v>Email EVA; campuri PDF verificate</v>
      </c>
      <c r="H10" s="11" t="str">
        <v>Deschide fișier</v>
      </c>
    </row>
    <row r="11" ht="48" customHeight="1">
      <c r="A11" s="2" t="str">
        <v>Ștefan Luchian 3B, ap. U10</v>
      </c>
      <c r="B11" s="2" t="str">
        <v>Prosumator</v>
      </c>
      <c r="C11" s="2" t="str">
        <v>2026.460.10422</v>
      </c>
      <c r="D11" s="30" t="n">
        <v>46192</v>
      </c>
      <c r="E11" s="30" t="n">
        <v>46196</v>
      </c>
      <c r="F11" s="30" t="n">
        <v>46560</v>
      </c>
      <c r="G11" s="19" t="str">
        <v>Email EVA; campuri PDF verificate</v>
      </c>
      <c r="H11" s="12" t="str">
        <v>Deschide fișier</v>
      </c>
    </row>
    <row r="12" ht="48" customHeight="1">
      <c r="A12" s="10" t="str">
        <v>Ștefan Luchian 18</v>
      </c>
      <c r="B12" s="10" t="str">
        <v>Prosumator</v>
      </c>
      <c r="C12" s="10" t="str">
        <v>2026.492.6259</v>
      </c>
      <c r="D12" s="31" t="n">
        <v>46204</v>
      </c>
      <c r="E12" s="31" t="n">
        <v>46208</v>
      </c>
      <c r="F12" s="31" t="n">
        <v>46572</v>
      </c>
      <c r="G12" s="18" t="str">
        <v>Email EVA; campuri PDF verificate</v>
      </c>
      <c r="H12" s="11" t="str">
        <v>Deschide fișier</v>
      </c>
    </row>
    <row r="13" ht="48" customHeight="1">
      <c r="A13" s="2" t="str">
        <v>Theodor Pallady 5</v>
      </c>
      <c r="B13" s="2" t="str">
        <v>Prosumator</v>
      </c>
      <c r="C13" s="2" t="str">
        <v>2026.492.1440</v>
      </c>
      <c r="D13" s="30" t="n">
        <v>46202</v>
      </c>
      <c r="E13" s="30" t="n">
        <v>46202</v>
      </c>
      <c r="F13" s="30" t="n">
        <v>46560</v>
      </c>
      <c r="G13" s="19" t="str">
        <v>Numai local; negasit in emailurile EVA consultate. Implementare de confirmat.</v>
      </c>
      <c r="H13" s="12" t="str">
        <v>Deschide fișier</v>
      </c>
    </row>
    <row r="14" ht="24" customHeight="1">
      <c r="A14" s="2"/>
      <c r="B14" s="2"/>
      <c r="C14" s="2"/>
      <c r="D14" s="2"/>
      <c r="E14" s="2"/>
      <c r="F14" s="2"/>
      <c r="G14" s="2"/>
      <c r="H14" s="2"/>
    </row>
    <row r="15" ht="24" customHeight="1">
      <c r="A15" s="2"/>
      <c r="B15" s="2"/>
      <c r="C15" s="2"/>
      <c r="D15" s="2"/>
      <c r="E15" s="2"/>
      <c r="F15" s="2"/>
      <c r="G15" s="2"/>
      <c r="H15" s="2"/>
    </row>
    <row r="16" ht="38" customHeight="1">
      <c r="A16" s="9" t="str">
        <v>Loc de consum</v>
      </c>
      <c r="B16" s="9" t="str">
        <v>Cod client</v>
      </c>
      <c r="C16" s="9" t="str">
        <v>Cont contract</v>
      </c>
      <c r="D16" s="9" t="str">
        <v>Cod autocitire</v>
      </c>
      <c r="E16" s="9" t="str">
        <v>Serie contor</v>
      </c>
      <c r="F16" s="9" t="str">
        <v>Consum convenție kWh/an</v>
      </c>
      <c r="G16" s="9" t="str">
        <v>POD</v>
      </c>
      <c r="H16" s="9" t="str">
        <v>Nr. local anterior</v>
      </c>
    </row>
    <row r="17" ht="24" customHeight="1">
      <c r="A17" s="10" t="str">
        <v>Iuliu Maniu 1, bl. 31, et. 11-12, ap. 44</v>
      </c>
      <c r="B17" s="28" t="str">
        <v>9901214192</v>
      </c>
      <c r="C17" s="28" t="str">
        <v>8001808598</v>
      </c>
      <c r="D17" s="28" t="str">
        <v>5001476121</v>
      </c>
      <c r="E17" s="28" t="str">
        <v>1336017</v>
      </c>
      <c r="F17" s="26" t="n">
        <v>60</v>
      </c>
      <c r="G17" s="28" t="str">
        <v>POD 594020400000324584</v>
      </c>
      <c r="H17" s="10" t="str">
        <v>2026.460.10517</v>
      </c>
    </row>
    <row r="18" ht="24" customHeight="1">
      <c r="A18" s="2" t="str">
        <v>Theodor Pallady 5</v>
      </c>
      <c r="B18" s="29" t="str">
        <v>9901214192</v>
      </c>
      <c r="C18" s="29" t="str">
        <v>8001808709</v>
      </c>
      <c r="D18" s="29" t="str">
        <v>5001476142</v>
      </c>
      <c r="E18" s="29" t="str">
        <v>24020090209</v>
      </c>
      <c r="F18" s="27" t="n">
        <v>1200</v>
      </c>
      <c r="G18" s="29" t="str">
        <v>POD 594020400000040613</v>
      </c>
      <c r="H18" s="2" t="str">
        <v>2026.460.10548</v>
      </c>
    </row>
    <row r="19" ht="24" customHeight="1">
      <c r="A19" s="10" t="str">
        <v>Ștefan Luchian 18</v>
      </c>
      <c r="B19" s="28" t="str">
        <v>9901214192</v>
      </c>
      <c r="C19" s="28" t="str">
        <v>8001820701</v>
      </c>
      <c r="D19" s="28" t="str">
        <v>5001486899</v>
      </c>
      <c r="E19" s="28" t="str">
        <v>19300413</v>
      </c>
      <c r="F19" s="26" t="n">
        <v>600</v>
      </c>
      <c r="G19" s="28" t="str">
        <v>POD 594020400001637171</v>
      </c>
      <c r="H19" s="10" t="str">
        <v>Nu este cazul</v>
      </c>
    </row>
    <row r="20" ht="24" customHeight="1">
      <c r="A20" s="2" t="str">
        <v>Ștefan Luchian 3B, ap. U3</v>
      </c>
      <c r="B20" s="29" t="str">
        <v>9901214153</v>
      </c>
      <c r="C20" s="29" t="str">
        <v>8001808681</v>
      </c>
      <c r="D20" s="29" t="str">
        <v>5001476089</v>
      </c>
      <c r="E20" s="29" t="str">
        <v>4074609</v>
      </c>
      <c r="F20" s="27" t="n">
        <v>600</v>
      </c>
      <c r="G20" s="29" t="str">
        <v>POD 594020400001732944</v>
      </c>
      <c r="H20" s="2" t="str">
        <v>2026.460.10478</v>
      </c>
    </row>
    <row r="21" ht="24" customHeight="1">
      <c r="A21" s="10" t="str">
        <v>Ștefan Luchian 3B, ap. U10</v>
      </c>
      <c r="B21" s="28" t="str">
        <v>9901214153</v>
      </c>
      <c r="C21" s="28" t="str">
        <v>8001808668</v>
      </c>
      <c r="D21" s="28" t="str">
        <v>5001476078</v>
      </c>
      <c r="E21" s="28" t="str">
        <v>24020123092</v>
      </c>
      <c r="F21" s="26" t="n">
        <v>2400</v>
      </c>
      <c r="G21" s="28" t="str">
        <v>POD 594020400001732913</v>
      </c>
      <c r="H21" s="10" t="str">
        <v>2026.460.10415</v>
      </c>
    </row>
    <row r="22" ht="24" customHeight="1">
      <c r="A22" s="2"/>
      <c r="B22" s="2"/>
      <c r="C22" s="2"/>
      <c r="D22" s="2"/>
      <c r="E22" s="2"/>
      <c r="F22" s="2"/>
      <c r="G22" s="2"/>
      <c r="H22" s="2"/>
    </row>
    <row r="23" ht="24" customHeight="1">
      <c r="A23" s="2"/>
      <c r="B23" s="2"/>
      <c r="C23" s="2"/>
      <c r="D23" s="2"/>
      <c r="E23" s="2"/>
      <c r="F23" s="2"/>
      <c r="G23" s="2"/>
      <c r="H23" s="2"/>
    </row>
    <row r="24" ht="24" customHeight="1">
      <c r="A24" s="2" t="str">
        <v>Contractele de prosumator au termenul corelat cu încetarea contractului de furnizare; data afișată este termenul furnizării.</v>
      </c>
      <c r="B24" s="2"/>
      <c r="C24" s="2"/>
      <c r="D24" s="2"/>
      <c r="E24" s="2"/>
      <c r="F24" s="2"/>
      <c r="G24" s="2"/>
      <c r="H24" s="2"/>
    </row>
    <row r="25" ht="24" customHeight="1">
      <c r="A25" s="2" t="str">
        <v>Numerele 10517/10548/10478/10415 sunt variantele locale anterioare; versiunile din email sunt 10518/10549/10479/10416.</v>
      </c>
      <c r="B25" s="2"/>
      <c r="C25" s="2"/>
      <c r="D25" s="2"/>
      <c r="E25" s="2"/>
      <c r="F25" s="2"/>
      <c r="G25" s="2"/>
      <c r="H25" s="2"/>
    </row>
    <row r="26" ht="24" customHeight="1">
      <c r="A26" s="2" t="str">
        <v>POD-ul, nu adresa de corespondență, stabilește locul de consum. Codul autocitire Hidroelectrica diferă de NLC-ul Electrica.</v>
      </c>
      <c r="B26" s="2"/>
      <c r="C26" s="2"/>
      <c r="D26" s="2"/>
      <c r="E26" s="2"/>
      <c r="F26" s="2"/>
      <c r="G26" s="2"/>
      <c r="H26" s="2"/>
    </row>
    <row r="27" ht="24" customHeight="1">
      <c r="A27" s="2" t="str">
        <v>Contractul prosumator pentru Pallady a fost citit din PDF-ul local; nu a fost găsit în emailurile EVA consultate.</v>
      </c>
      <c r="B27" s="2"/>
      <c r="C27" s="2"/>
      <c r="D27" s="2"/>
      <c r="E27" s="2"/>
      <c r="F27" s="2"/>
      <c r="G27" s="2"/>
      <c r="H27" s="2"/>
    </row>
    <row r="28" ht="24" customHeight="1">
      <c r="A28" s="2"/>
      <c r="B28" s="2"/>
      <c r="C28" s="2"/>
      <c r="D28" s="2"/>
      <c r="E28" s="2"/>
      <c r="F28" s="2"/>
      <c r="G28" s="2"/>
      <c r="H28" s="2"/>
    </row>
    <row r="29" ht="24" customHeight="1">
      <c r="A29" s="2"/>
      <c r="B29" s="2"/>
      <c r="C29" s="2"/>
      <c r="D29" s="2"/>
      <c r="E29" s="2"/>
      <c r="F29" s="2"/>
      <c r="G29" s="2"/>
      <c r="H29" s="2"/>
    </row>
    <row r="30" ht="24" customHeight="1">
      <c r="A30" s="2"/>
      <c r="B30" s="2"/>
      <c r="C30" s="2"/>
      <c r="D30" s="2"/>
      <c r="E30" s="2"/>
      <c r="F30" s="2"/>
      <c r="G30" s="2"/>
      <c r="H30" s="2"/>
    </row>
    <row r="31" ht="24" customHeight="1">
      <c r="A31" s="2"/>
      <c r="B31" s="2"/>
      <c r="C31" s="2"/>
      <c r="D31" s="2"/>
      <c r="E31" s="2"/>
      <c r="F31" s="2"/>
      <c r="G31" s="2"/>
      <c r="H31" s="2"/>
    </row>
    <row r="32" ht="24" customHeight="1">
      <c r="A32" s="2"/>
      <c r="B32" s="2"/>
      <c r="C32" s="2"/>
      <c r="D32" s="2"/>
      <c r="E32" s="2"/>
      <c r="F32" s="2"/>
      <c r="G32" s="2"/>
      <c r="H32" s="2"/>
    </row>
    <row r="33" ht="24" customHeight="1">
      <c r="A33" s="2"/>
      <c r="B33" s="2"/>
      <c r="C33" s="2"/>
      <c r="D33" s="2"/>
      <c r="E33" s="2"/>
      <c r="F33" s="2"/>
      <c r="G33" s="2"/>
      <c r="H33" s="2"/>
    </row>
    <row r="34" ht="24" customHeight="1">
      <c r="A34" s="2"/>
      <c r="B34" s="2"/>
      <c r="C34" s="2"/>
      <c r="D34" s="2"/>
      <c r="E34" s="2"/>
      <c r="F34" s="2"/>
      <c r="G34" s="2"/>
      <c r="H34" s="2"/>
    </row>
  </sheetData>
  <hyperlinks>
    <hyperlink ref="H6" r:id="rIdLocalDoc1" display="Deschide fișier"/>
    <hyperlink ref="H7" r:id="rIdLocalDoc2" display="Deschide fișier"/>
    <hyperlink ref="H8" r:id="rIdLocalDoc3" display="Deschide fișier"/>
    <hyperlink ref="H9" r:id="rIdLocalDoc4" display="Deschide fișier"/>
    <hyperlink ref="H10" r:id="rIdLocalDoc5" display="Deschide fișier"/>
    <hyperlink ref="H11" r:id="rIdLocalDoc6" display="Deschide fișier"/>
    <hyperlink ref="H12" r:id="rIdLocalDoc7" display="Deschide fișier"/>
    <hyperlink ref="H13" r:id="rIdLocalDoc8" display="Deschide fișier"/>
  </hyperlinks>
  <pageMargins left="0.7" right="0.7" top="0.75" bottom="0.75" header="0.3" footer="0.3"/>
  <tableParts count="1">
    <tablePart r:id="Rac0f40e35ab249e7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5" topLeftCell="C6" activePane="bottomRight" state="frozen"/>
    </sheetView>
  </sheetViews>
  <sheetFormatPr defaultRowHeight="15"/>
  <cols>
    <col min="1" max="1" width="27.5" hidden="0" customWidth="1"/>
    <col min="2" max="2" width="19.3799991607666" hidden="0" customWidth="1"/>
    <col min="3" max="3" width="11.880000114440918" hidden="0" customWidth="1"/>
    <col min="4" max="4" width="11.880000114440918" hidden="0" customWidth="1"/>
    <col min="5" max="5" width="11.880000114440918" hidden="0" customWidth="1"/>
    <col min="6" max="6" width="11.880000114440918" hidden="0" customWidth="1"/>
    <col min="7" max="7" width="13.130000114440918" hidden="0" customWidth="1"/>
    <col min="8" max="8" width="15" hidden="0" customWidth="1"/>
    <col min="9" max="9" width="11.25" hidden="0" customWidth="1"/>
    <col min="10" max="10" width="13.75" hidden="0" customWidth="1"/>
    <col min="11" max="11" width="15" hidden="0" customWidth="1"/>
    <col min="12" max="12" width="15" hidden="0" customWidth="1"/>
    <col min="13" max="13" width="30" hidden="0" customWidth="1"/>
    <col min="14" max="14" width="17.5" hidden="0" customWidth="1"/>
    <col min="15" max="15" width="35" hidden="0" customWidth="1"/>
    <col min="16" max="16" width="21.8799991607666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4" customHeight="1">
      <c r="A2" s="3" t="str">
        <v>Facturi Hidroelectrica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4" customHeight="1">
      <c r="A4" s="2" t="str">
        <v>Data situației</v>
      </c>
      <c r="B4" s="30" t="n">
        <v>46302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8" customHeight="1">
      <c r="A5" s="9" t="str">
        <v>Loc de consum</v>
      </c>
      <c r="B5" s="9" t="str">
        <v>Factură</v>
      </c>
      <c r="C5" s="9" t="str">
        <v>Emisă</v>
      </c>
      <c r="D5" s="9" t="str">
        <v>De la</v>
      </c>
      <c r="E5" s="9" t="str">
        <v>Până la</v>
      </c>
      <c r="F5" s="9" t="str">
        <v>Scadență</v>
      </c>
      <c r="G5" s="9" t="str">
        <v>Valoare curentă (lei)</v>
      </c>
      <c r="H5" s="9" t="str">
        <v>Total cont la emitere (lei)</v>
      </c>
      <c r="I5" s="9" t="str">
        <v>Consum (kWh)</v>
      </c>
      <c r="J5" s="9" t="str">
        <v>Plată confirmată (lei)</v>
      </c>
      <c r="K5" s="9" t="str">
        <v>Pozitiv neconfirmat (lei)</v>
      </c>
      <c r="L5" s="9" t="str">
        <v>Scadent neconfirmat (lei)</v>
      </c>
      <c r="M5" s="9" t="str">
        <v>Dovada / observație</v>
      </c>
      <c r="N5" s="9" t="str">
        <v>Document PDF</v>
      </c>
      <c r="O5" s="9" t="str">
        <v>ID email EVA</v>
      </c>
      <c r="P5" s="9" t="str">
        <v>POD</v>
      </c>
    </row>
    <row r="6" ht="42" customHeight="1">
      <c r="A6" s="18" t="str">
        <v>Theodor Pallady 5</v>
      </c>
      <c r="B6" s="10" t="str">
        <v>FX-26109222509</v>
      </c>
      <c r="C6" s="31" t="n">
        <v>46239</v>
      </c>
      <c r="D6" s="31" t="n">
        <v>46196</v>
      </c>
      <c r="E6" s="31" t="n">
        <v>46203</v>
      </c>
      <c r="F6" s="31" t="n">
        <v>46269</v>
      </c>
      <c r="G6" s="14" t="n">
        <v>322.57</v>
      </c>
      <c r="H6" s="14" t="n">
        <v>322.57</v>
      </c>
      <c r="I6" s="16" t="n">
        <v>279</v>
      </c>
      <c r="J6" s="14" t="n">
        <v>322.57</v>
      </c>
      <c r="K6" s="14" t="n">
        <f>MAX(0,G6-J6)</f>
        <v>0</v>
      </c>
      <c r="L6" s="14" t="n">
        <f>IF(F6&lt;$B$4,K6,0)</f>
        <v>0</v>
      </c>
      <c r="M6" s="18" t="str">
        <v>Plata confirmata prin email</v>
      </c>
      <c r="N6" s="11" t="str">
        <v>Deschide fișier</v>
      </c>
      <c r="O6" s="10" t="str">
        <v>bb7de037-3d78-4168-ac3e-9539944c27cf</v>
      </c>
      <c r="P6" s="28" t="str">
        <v>594020400000040613</v>
      </c>
    </row>
    <row r="7" ht="42" customHeight="1">
      <c r="A7" s="19" t="str">
        <v>Theodor Pallady 5</v>
      </c>
      <c r="B7" s="2" t="str">
        <v>FX-26112210655</v>
      </c>
      <c r="C7" s="30" t="n">
        <v>46293</v>
      </c>
      <c r="D7" s="30" t="n">
        <v>46204</v>
      </c>
      <c r="E7" s="30" t="n">
        <v>46234</v>
      </c>
      <c r="F7" s="30" t="n">
        <v>46323</v>
      </c>
      <c r="G7" s="15" t="n">
        <v>2311.18</v>
      </c>
      <c r="H7" s="15" t="n">
        <v>2311.18</v>
      </c>
      <c r="I7" s="17" t="n">
        <v>1997</v>
      </c>
      <c r="J7" s="15" t="n">
        <v>0</v>
      </c>
      <c r="K7" s="15" t="n">
        <f>MAX(0,G7-J7)</f>
        <v>2311.18</v>
      </c>
      <c r="L7" s="15" t="n">
        <f>IF(F7&lt;$B$4,K7,0)</f>
        <v>0</v>
      </c>
      <c r="M7" s="19" t="str">
        <v>Plata neconfirmata in sursele consultate</v>
      </c>
      <c r="N7" s="12" t="str">
        <v>Deschide fișier</v>
      </c>
      <c r="O7" s="2" t="str">
        <v>3a3cbb0d-2903-405b-a0a7-51cfd4025b09</v>
      </c>
      <c r="P7" s="29" t="str">
        <v>594020400000040613</v>
      </c>
    </row>
    <row r="8" ht="42" customHeight="1">
      <c r="A8" s="18" t="str">
        <v>Theodor Pallady 5</v>
      </c>
      <c r="B8" s="10" t="str">
        <v>FX-26112210656</v>
      </c>
      <c r="C8" s="31" t="n">
        <v>46293</v>
      </c>
      <c r="D8" s="31" t="n">
        <v>46235</v>
      </c>
      <c r="E8" s="31" t="n">
        <v>46265</v>
      </c>
      <c r="F8" s="31" t="n">
        <v>46323</v>
      </c>
      <c r="G8" s="14" t="n">
        <v>4035.57</v>
      </c>
      <c r="H8" s="14" t="n">
        <v>6346.75</v>
      </c>
      <c r="I8" s="16" t="n">
        <v>3487</v>
      </c>
      <c r="J8" s="14" t="n">
        <v>0</v>
      </c>
      <c r="K8" s="14" t="n">
        <f>MAX(0,G8-J8)</f>
        <v>4035.57</v>
      </c>
      <c r="L8" s="14" t="n">
        <f>IF(F8&lt;$B$4,K8,0)</f>
        <v>0</v>
      </c>
      <c r="M8" s="18" t="str">
        <v>Plata neconfirmata in sursele consultate</v>
      </c>
      <c r="N8" s="11" t="str">
        <v>Deschide fișier</v>
      </c>
      <c r="O8" s="10" t="str">
        <v>5ccf8a83-d9b1-4e44-853f-a040312d5636</v>
      </c>
      <c r="P8" s="28" t="str">
        <v>594020400000040613</v>
      </c>
    </row>
    <row r="9" ht="42" customHeight="1">
      <c r="A9" s="19" t="str">
        <v>Iuliu Maniu 1, bl. 31, et. 11-12, ap. 44</v>
      </c>
      <c r="B9" s="2" t="str">
        <v>FX-26108503565</v>
      </c>
      <c r="C9" s="30" t="n">
        <v>46219</v>
      </c>
      <c r="D9" s="30" t="n">
        <v>46196</v>
      </c>
      <c r="E9" s="30" t="n">
        <v>46203</v>
      </c>
      <c r="F9" s="30" t="n">
        <v>46251</v>
      </c>
      <c r="G9" s="15" t="n">
        <v>1.15</v>
      </c>
      <c r="H9" s="15" t="n">
        <v>1.15</v>
      </c>
      <c r="I9" s="17" t="n">
        <v>1</v>
      </c>
      <c r="J9" s="15" t="n">
        <v>1.15</v>
      </c>
      <c r="K9" s="15" t="n">
        <f>MAX(0,G9-J9)</f>
        <v>0</v>
      </c>
      <c r="L9" s="15" t="n">
        <f>IF(F9&lt;$B$4,K9,0)</f>
        <v>0</v>
      </c>
      <c r="M9" s="19" t="str">
        <v>Plata confirmata prin email</v>
      </c>
      <c r="N9" s="12" t="str">
        <v>Deschide fișier</v>
      </c>
      <c r="O9" s="2" t="str">
        <v>cbbb912a-21a1-4490-8140-74af991aec0d</v>
      </c>
      <c r="P9" s="29" t="str">
        <v>594020400000324584</v>
      </c>
    </row>
    <row r="10" ht="42" customHeight="1">
      <c r="A10" s="18" t="str">
        <v>Iuliu Maniu 1, bl. 31, et. 11-12, ap. 44</v>
      </c>
      <c r="B10" s="10" t="str">
        <v>FX-26109613324</v>
      </c>
      <c r="C10" s="31" t="n">
        <v>46251</v>
      </c>
      <c r="D10" s="31" t="n">
        <v>46196</v>
      </c>
      <c r="E10" s="31" t="n">
        <v>46234</v>
      </c>
      <c r="F10" s="31" t="n">
        <v>46281</v>
      </c>
      <c r="G10" s="14" t="n">
        <v>5.78</v>
      </c>
      <c r="H10" s="14" t="n">
        <v>5.78</v>
      </c>
      <c r="I10" s="16" t="n">
        <v>5</v>
      </c>
      <c r="J10" s="14" t="n">
        <v>0</v>
      </c>
      <c r="K10" s="14" t="n">
        <f>MAX(0,G10-J10)</f>
        <v>5.78</v>
      </c>
      <c r="L10" s="14" t="n">
        <f>IF(F10&lt;$B$4,K10,0)</f>
        <v>5.78</v>
      </c>
      <c r="M10" s="18" t="str">
        <v>Plata neconfirmata in sursele consultate</v>
      </c>
      <c r="N10" s="11" t="str">
        <v>Deschide fișier</v>
      </c>
      <c r="O10" s="10" t="str">
        <v>84b120ce-2868-470a-a756-24f74e3e532d</v>
      </c>
      <c r="P10" s="28" t="str">
        <v>594020400000324584</v>
      </c>
    </row>
    <row r="11" ht="42" customHeight="1">
      <c r="A11" s="19" t="str">
        <v>Iuliu Maniu 1, bl. 31, et. 11-12, ap. 44</v>
      </c>
      <c r="B11" s="2" t="str">
        <v>FX-26111437678</v>
      </c>
      <c r="C11" s="30" t="n">
        <v>46279</v>
      </c>
      <c r="D11" s="30" t="n">
        <v>46235</v>
      </c>
      <c r="E11" s="30" t="n">
        <v>46265</v>
      </c>
      <c r="F11" s="30" t="n">
        <v>46309</v>
      </c>
      <c r="G11" s="15" t="n">
        <v>5.78</v>
      </c>
      <c r="H11" s="15" t="n">
        <v>11.56</v>
      </c>
      <c r="I11" s="17" t="n">
        <v>5</v>
      </c>
      <c r="J11" s="15" t="n">
        <v>0</v>
      </c>
      <c r="K11" s="15" t="n">
        <f>MAX(0,G11-J11)</f>
        <v>5.78</v>
      </c>
      <c r="L11" s="15" t="n">
        <f>IF(F11&lt;$B$4,K11,0)</f>
        <v>0</v>
      </c>
      <c r="M11" s="19" t="str">
        <v>Plata neconfirmata in sursele consultate</v>
      </c>
      <c r="N11" s="12" t="str">
        <v>Deschide fișier</v>
      </c>
      <c r="O11" s="2" t="str">
        <v>7a89cfff-e708-4e79-a8f2-b290fb280d9d</v>
      </c>
      <c r="P11" s="29" t="str">
        <v>594020400000324584</v>
      </c>
    </row>
    <row r="12" ht="42" customHeight="1">
      <c r="A12" s="18" t="str">
        <v>Ștefan Luchian 18</v>
      </c>
      <c r="B12" s="10" t="str">
        <v>FX-26109491006</v>
      </c>
      <c r="C12" s="31" t="n">
        <v>46247</v>
      </c>
      <c r="D12" s="31" t="n">
        <v>46208</v>
      </c>
      <c r="E12" s="31" t="n">
        <v>46234</v>
      </c>
      <c r="F12" s="31" t="n">
        <v>46279</v>
      </c>
      <c r="G12" s="14" t="n">
        <v>303.21</v>
      </c>
      <c r="H12" s="14" t="n">
        <v>303.21</v>
      </c>
      <c r="I12" s="16" t="n">
        <v>262</v>
      </c>
      <c r="J12" s="14" t="n">
        <v>0</v>
      </c>
      <c r="K12" s="14" t="n">
        <f>MAX(0,G12-J12)</f>
        <v>303.21</v>
      </c>
      <c r="L12" s="14" t="n">
        <f>IF(F12&lt;$B$4,K12,0)</f>
        <v>303.21</v>
      </c>
      <c r="M12" s="18" t="str">
        <v>Plata neconfirmata in sursele consultate</v>
      </c>
      <c r="N12" s="11" t="str">
        <v>Deschide fișier</v>
      </c>
      <c r="O12" s="10" t="str">
        <v>22ce5b0e-fde8-4727-9871-7cd37288709a</v>
      </c>
      <c r="P12" s="28" t="str">
        <v>594020400001637171</v>
      </c>
    </row>
    <row r="13" ht="42" customHeight="1">
      <c r="A13" s="19" t="str">
        <v>Ștefan Luchian 18</v>
      </c>
      <c r="B13" s="2" t="str">
        <v>FX-26112083088</v>
      </c>
      <c r="C13" s="30" t="n">
        <v>46287</v>
      </c>
      <c r="D13" s="30" t="n">
        <v>46235</v>
      </c>
      <c r="E13" s="30" t="n">
        <v>46265</v>
      </c>
      <c r="F13" s="30" t="n">
        <v>46317</v>
      </c>
      <c r="G13" s="15" t="n">
        <v>317.09</v>
      </c>
      <c r="H13" s="15" t="n">
        <v>620.3</v>
      </c>
      <c r="I13" s="17" t="n">
        <v>274</v>
      </c>
      <c r="J13" s="15" t="n">
        <v>0</v>
      </c>
      <c r="K13" s="15" t="n">
        <f>MAX(0,G13-J13)</f>
        <v>317.09</v>
      </c>
      <c r="L13" s="15" t="n">
        <f>IF(F13&lt;$B$4,K13,0)</f>
        <v>0</v>
      </c>
      <c r="M13" s="19" t="str">
        <v>Plata neconfirmata in sursele consultate</v>
      </c>
      <c r="N13" s="12" t="str">
        <v>Deschide fișier</v>
      </c>
      <c r="O13" s="2" t="str">
        <v>ef0a9a0d-16b9-4e1f-8d62-f187cbc11d3c</v>
      </c>
      <c r="P13" s="29" t="str">
        <v>594020400001637171</v>
      </c>
    </row>
    <row r="14" ht="42" customHeight="1">
      <c r="A14" s="18" t="str">
        <v>Ștefan Luchian 3B, ap. U10</v>
      </c>
      <c r="B14" s="10" t="str">
        <v>FX-26107829179</v>
      </c>
      <c r="C14" s="31" t="n">
        <v>46213</v>
      </c>
      <c r="D14" s="31" t="n">
        <v>46196</v>
      </c>
      <c r="E14" s="31" t="n">
        <v>46203</v>
      </c>
      <c r="F14" s="31" t="n">
        <v>46944</v>
      </c>
      <c r="G14" s="14" t="n">
        <v>-4261.95</v>
      </c>
      <c r="H14" s="14" t="n">
        <v>-4261.95</v>
      </c>
      <c r="I14" s="16"/>
      <c r="J14" s="14" t="n">
        <v>0</v>
      </c>
      <c r="K14" s="14" t="n">
        <f>MAX(0,G14-J14)</f>
        <v>0</v>
      </c>
      <c r="L14" s="14" t="n">
        <f>IF(F14&lt;$B$4,K14,0)</f>
        <v>0</v>
      </c>
      <c r="M14" s="18" t="str">
        <v>Credit prosumator; de reconciliat</v>
      </c>
      <c r="N14" s="11" t="str">
        <v>Deschide fișier</v>
      </c>
      <c r="O14" s="10" t="str">
        <v>0851ab8d-4781-47e0-96a9-801f45c76cfe</v>
      </c>
      <c r="P14" s="28" t="str">
        <v>594020400001732913</v>
      </c>
    </row>
    <row r="15" ht="42" customHeight="1">
      <c r="A15" s="19" t="str">
        <v>Ștefan Luchian 3B, ap. U10</v>
      </c>
      <c r="B15" s="2" t="str">
        <v>FX-26107829180</v>
      </c>
      <c r="C15" s="30" t="n">
        <v>46213</v>
      </c>
      <c r="D15" s="30" t="n">
        <v>46196</v>
      </c>
      <c r="E15" s="30" t="n">
        <v>46203</v>
      </c>
      <c r="F15" s="30" t="n">
        <v>46244</v>
      </c>
      <c r="G15" s="15" t="n">
        <v>0</v>
      </c>
      <c r="H15" s="15" t="n">
        <v>0</v>
      </c>
      <c r="I15" s="17" t="n">
        <v>0</v>
      </c>
      <c r="J15" s="15" t="n">
        <v>0</v>
      </c>
      <c r="K15" s="15" t="n">
        <f>MAX(0,G15-J15)</f>
        <v>0</v>
      </c>
      <c r="L15" s="15" t="n">
        <f>IF(F15&lt;$B$4,K15,0)</f>
        <v>0</v>
      </c>
      <c r="M15" s="19" t="str">
        <v>Factura zero</v>
      </c>
      <c r="N15" s="12" t="str">
        <v>Deschide fișier</v>
      </c>
      <c r="O15" s="2" t="str">
        <v>326b2af2-459c-41bf-86c7-971be9b0412c</v>
      </c>
      <c r="P15" s="29" t="str">
        <v>594020400001732913</v>
      </c>
    </row>
    <row r="16" ht="42" customHeight="1">
      <c r="A16" s="18" t="str">
        <v>Ștefan Luchian 3B, ap. U3</v>
      </c>
      <c r="B16" s="10" t="str">
        <v>FX-26108503562</v>
      </c>
      <c r="C16" s="31" t="n">
        <v>46219</v>
      </c>
      <c r="D16" s="31" t="n">
        <v>46196</v>
      </c>
      <c r="E16" s="31" t="n">
        <v>46203</v>
      </c>
      <c r="F16" s="31" t="n">
        <v>46251</v>
      </c>
      <c r="G16" s="14" t="n">
        <v>15.03</v>
      </c>
      <c r="H16" s="14" t="n">
        <v>15.03</v>
      </c>
      <c r="I16" s="16" t="n">
        <v>13</v>
      </c>
      <c r="J16" s="14" t="n">
        <v>0</v>
      </c>
      <c r="K16" s="14" t="n">
        <f>MAX(0,G16-J16)</f>
        <v>15.03</v>
      </c>
      <c r="L16" s="14" t="n">
        <f>IF(F16&lt;$B$4,K16,0)</f>
        <v>15.03</v>
      </c>
      <c r="M16" s="18" t="str">
        <v>Plata neconfirmata in sursele consultate</v>
      </c>
      <c r="N16" s="11" t="str">
        <v>Deschide fișier</v>
      </c>
      <c r="O16" s="10" t="str">
        <v>46d1827b-097b-411a-a2fb-15f512138694</v>
      </c>
      <c r="P16" s="28" t="str">
        <v>594020400001732944</v>
      </c>
    </row>
    <row r="17" ht="24" customHeight="1">
      <c r="A17" s="2"/>
      <c r="B17" s="2"/>
      <c r="C17" s="2"/>
      <c r="D17" s="2"/>
      <c r="E17" s="2"/>
      <c r="F17" s="2"/>
      <c r="G17" s="15"/>
      <c r="H17" s="15"/>
      <c r="I17" s="2"/>
      <c r="J17" s="15"/>
      <c r="K17" s="15"/>
      <c r="L17" s="15"/>
      <c r="M17" s="2"/>
      <c r="N17" s="2"/>
      <c r="O17" s="2"/>
      <c r="P17" s="2"/>
    </row>
    <row r="18" ht="24" customHeight="1">
      <c r="A18" s="20" t="str">
        <v>TOTAL</v>
      </c>
      <c r="B18" s="20"/>
      <c r="C18" s="20"/>
      <c r="D18" s="20"/>
      <c r="E18" s="20"/>
      <c r="F18" s="20"/>
      <c r="G18" s="21"/>
      <c r="H18" s="21"/>
      <c r="I18" s="20"/>
      <c r="J18" s="21" t="n">
        <f>SUM(J6:J16)</f>
        <v>323.71999999999997</v>
      </c>
      <c r="K18" s="21" t="n">
        <f>SUM(K6:K16)</f>
        <v>6993.639999999999</v>
      </c>
      <c r="L18" s="21" t="n">
        <f>SUM(L6:L16)</f>
        <v>324.0199999999999</v>
      </c>
      <c r="M18" s="2"/>
      <c r="N18" s="2"/>
      <c r="O18" s="2"/>
      <c r="P18" s="2"/>
    </row>
    <row r="19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ht="24" customHeight="1">
      <c r="A20" s="2" t="str">
        <v>Totalul contului (H) este cumulativ și NU se adună ca valoare de factură. Creditul negativ rămâne separat.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ht="24" customHeight="1">
      <c r="A21" s="2" t="str">
        <v>Plăți confirmate la 07.08.2026: 1,15 lei + 322,57 lei = 323,72 lei; RRN 621984414970, comandă EP196039715.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24" customHeight="1">
      <c r="A22" s="12" t="str">
        <v>Confirmarea de plată din email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24" customHeight="1">
      <c r="A25" s="3" t="str">
        <v>Energie produsă și livrată în rețea — pe fiecare factură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>
      <c r="A26" s="1" t="str">
        <v>Cantitățile sunt livrările în rețea înscrise în facturi, nu producția totală a panourilor (autoconsumul nu este inclus).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38" customHeight="1">
      <c r="A28" s="9" t="str">
        <v>Loc de consum</v>
      </c>
      <c r="B28" s="9" t="str">
        <v>Factură</v>
      </c>
      <c r="C28" s="9" t="str">
        <v>De la</v>
      </c>
      <c r="D28" s="9" t="str">
        <v>Până la</v>
      </c>
      <c r="E28" s="9" t="str">
        <v>Livrat / report (kWh)</v>
      </c>
      <c r="F28" s="9" t="str">
        <v>Valoare energie (lei)</v>
      </c>
      <c r="G28" s="9" t="str">
        <v>Linie curentă energie (lei)</v>
      </c>
      <c r="H28" s="9" t="str">
        <v>Observații</v>
      </c>
      <c r="I28" s="32"/>
      <c r="J28" s="32"/>
      <c r="K28" s="32"/>
      <c r="L28" s="32"/>
      <c r="M28" s="32"/>
      <c r="N28" s="33" t="str">
        <v>Sursa PDF</v>
      </c>
    </row>
    <row r="29" ht="60" customHeight="1">
      <c r="A29" s="18" t="str">
        <v>Theodor Pallady 5</v>
      </c>
      <c r="B29" s="18" t="str">
        <v>FX-26109222509</v>
      </c>
      <c r="C29" s="41" t="n">
        <v>46196</v>
      </c>
      <c r="D29" s="41" t="n">
        <v>46203</v>
      </c>
      <c r="E29" s="42" t="str">
        <v>Neînscris</v>
      </c>
      <c r="F29" s="43" t="str">
        <v>Neînscris</v>
      </c>
      <c r="G29" s="43" t="str">
        <v>Neînscris</v>
      </c>
      <c r="H29" s="18" t="str">
        <v>Nu există rubrică de energie produsă/livrată și nici măsurare EA prod. Neînscris nu înseamnă zero produs. Sursa: p. 1–2.</v>
      </c>
      <c r="I29" s="18"/>
      <c r="J29" s="18"/>
      <c r="K29" s="18"/>
      <c r="L29" s="18"/>
      <c r="M29" s="18"/>
      <c r="N29" s="39" t="str">
        <v>Deschide fișier</v>
      </c>
    </row>
    <row r="30" ht="60" customHeight="1">
      <c r="A30" s="18" t="str">
        <v>Theodor Pallady 5</v>
      </c>
      <c r="B30" s="18" t="str">
        <v>FX-26112210655</v>
      </c>
      <c r="C30" s="41" t="n">
        <v>46204</v>
      </c>
      <c r="D30" s="41" t="n">
        <v>46234</v>
      </c>
      <c r="E30" s="42" t="str">
        <v>Neînscris</v>
      </c>
      <c r="F30" s="43" t="str">
        <v>Neînscris</v>
      </c>
      <c r="G30" s="43" t="str">
        <v>Neînscris</v>
      </c>
      <c r="H30" s="19" t="str">
        <v>Nu există rubrică de energie produsă/livrată și nici măsurare EA prod. Neînscris nu înseamnă zero produs. Sursa: p. 1–2.</v>
      </c>
      <c r="I30" s="19"/>
      <c r="J30" s="19"/>
      <c r="K30" s="19"/>
      <c r="L30" s="19"/>
      <c r="M30" s="19"/>
      <c r="N30" s="40" t="str">
        <v>Deschide fișier</v>
      </c>
    </row>
    <row r="31" ht="60" customHeight="1">
      <c r="A31" s="18" t="str">
        <v>Theodor Pallady 5</v>
      </c>
      <c r="B31" s="18" t="str">
        <v>FX-26112210656</v>
      </c>
      <c r="C31" s="41" t="n">
        <v>46235</v>
      </c>
      <c r="D31" s="41" t="n">
        <v>46265</v>
      </c>
      <c r="E31" s="42" t="str">
        <v>Neînscris</v>
      </c>
      <c r="F31" s="43" t="str">
        <v>Neînscris</v>
      </c>
      <c r="G31" s="43" t="str">
        <v>Neînscris</v>
      </c>
      <c r="H31" s="18" t="str">
        <v>Nu există rubrică de energie produsă/livrată și nici măsurare EA prod. Neînscris nu înseamnă zero produs. Sursa: p. 1–2.</v>
      </c>
      <c r="I31" s="18"/>
      <c r="J31" s="18"/>
      <c r="K31" s="18"/>
      <c r="L31" s="18"/>
      <c r="M31" s="18"/>
      <c r="N31" s="39" t="str">
        <v>Deschide fișier</v>
      </c>
    </row>
    <row r="32" ht="60" customHeight="1">
      <c r="A32" s="18" t="str">
        <v>Ștefan Luchian 18</v>
      </c>
      <c r="B32" s="18" t="str">
        <v>FX-26109491006</v>
      </c>
      <c r="C32" s="41" t="n">
        <v>46208</v>
      </c>
      <c r="D32" s="41" t="n">
        <v>46234</v>
      </c>
      <c r="E32" s="42" t="n">
        <v>0</v>
      </c>
      <c r="F32" s="43" t="n">
        <v>0</v>
      </c>
      <c r="G32" s="43" t="n">
        <v>0</v>
      </c>
      <c r="H32" s="19" t="str">
        <v>Linia Energie Activă produsă și livrată în rețea: 0 kWh / 0 lei. Index EA prod 5.075 → 5.075 (citit). Sursa: p. 2.</v>
      </c>
      <c r="I32" s="19"/>
      <c r="J32" s="19"/>
      <c r="K32" s="19"/>
      <c r="L32" s="19"/>
      <c r="M32" s="19"/>
      <c r="N32" s="40" t="str">
        <v>Deschide fișier</v>
      </c>
    </row>
    <row r="33" ht="60" customHeight="1">
      <c r="A33" s="18" t="str">
        <v>Ștefan Luchian 18</v>
      </c>
      <c r="B33" s="18" t="str">
        <v>FX-26112083088</v>
      </c>
      <c r="C33" s="41" t="n">
        <v>46235</v>
      </c>
      <c r="D33" s="41" t="n">
        <v>46265</v>
      </c>
      <c r="E33" s="42" t="n">
        <v>0</v>
      </c>
      <c r="F33" s="43" t="n">
        <v>0</v>
      </c>
      <c r="G33" s="43" t="n">
        <v>0</v>
      </c>
      <c r="H33" s="18" t="str">
        <v>Linia Energie Activă produsă și livrată în rețea: 0 kWh / 0 lei. Index EA prod 5.075 → 5.075 (citit). Sursa: p. 2.</v>
      </c>
      <c r="I33" s="18"/>
      <c r="J33" s="18"/>
      <c r="K33" s="18"/>
      <c r="L33" s="18"/>
      <c r="M33" s="18"/>
      <c r="N33" s="39" t="str">
        <v>Deschide fișier</v>
      </c>
    </row>
    <row r="34" ht="60" customHeight="1">
      <c r="A34" s="18" t="str">
        <v>Ștefan Luchian 3B, ap. U10</v>
      </c>
      <c r="B34" s="18" t="str">
        <v>FX-26107829179</v>
      </c>
      <c r="C34" s="41" t="n">
        <v>46196</v>
      </c>
      <c r="D34" s="41" t="n">
        <v>46203</v>
      </c>
      <c r="E34" s="42" t="n">
        <v>9471</v>
      </c>
      <c r="F34" s="43" t="n">
        <v>-4261.95</v>
      </c>
      <c r="G34" s="43" t="n">
        <v>-4261.95</v>
      </c>
      <c r="H34" s="19" t="str">
        <v>Energie activă livrată report: -9.471 kWh × 0,45 lei/kWh. Aceeași energie din FX-26107829180; nu se adună de două ori. Sursa: p. 2.</v>
      </c>
      <c r="I34" s="19"/>
      <c r="J34" s="19"/>
      <c r="K34" s="19"/>
      <c r="L34" s="19"/>
      <c r="M34" s="19"/>
      <c r="N34" s="40" t="str">
        <v>Deschide fișier</v>
      </c>
    </row>
    <row r="35" ht="60" customHeight="1">
      <c r="A35" s="18" t="str">
        <v>Ștefan Luchian 3B, ap. U10</v>
      </c>
      <c r="B35" s="18" t="str">
        <v>FX-26107829180</v>
      </c>
      <c r="C35" s="41" t="n">
        <v>46196</v>
      </c>
      <c r="D35" s="41" t="n">
        <v>46203</v>
      </c>
      <c r="E35" s="42" t="n">
        <v>9471</v>
      </c>
      <c r="F35" s="43" t="n">
        <v>-4261.95</v>
      </c>
      <c r="G35" s="43" t="n">
        <v>0</v>
      </c>
      <c r="H35" s="18" t="str">
        <v>EA prod: index 0 → 9.471. Linia curentă: 0 kWh / 0 lei; Total report loc livrare: 9.471 kWh / -4.261,95 lei. Același credit ca FX-26107829179. Sursa: p. 2–3.</v>
      </c>
      <c r="I35" s="18"/>
      <c r="J35" s="18"/>
      <c r="K35" s="18"/>
      <c r="L35" s="18"/>
      <c r="M35" s="18"/>
      <c r="N35" s="39" t="str">
        <v>Deschide fișier</v>
      </c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>
      <c r="A37" s="1" t="str">
        <v>U10: cele două documente prezintă aceeași energie. Total distinct: 9.471 kWh și 4.261,95 lei credit; nu se însumează de două ori.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>
      <c r="A38" s="1" t="str">
        <v>U10: pe factura 26107829180 linia curentă este zero; energia și creditul sunt în detaliile de măsurare și în report (p. 2–3).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>
      <c r="A39" s="1" t="str">
        <v>Pallady: „Neînscris” înseamnă lipsa rubricii în factură, nu producție zero. Ștefan Luchian 18: indexul EA prod rămâne 5.075.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>
      <c r="A40" s="1" t="str">
        <v>Valorile negative sunt credite. Tariful înscris pentru energia livrată este 0,45 lei/kWh; TVA este zero pe liniile de prosumator verificate.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</sheetData>
  <mergeCells>
    <mergeCell ref="H28:M28"/>
    <mergeCell ref="H29:M29"/>
    <mergeCell ref="H30:M30"/>
    <mergeCell ref="H31:M31"/>
    <mergeCell ref="H32:M32"/>
    <mergeCell ref="H33:M33"/>
    <mergeCell ref="H34:M34"/>
    <mergeCell ref="H35:M35"/>
  </mergeCells>
  <conditionalFormatting sqref="K6:L16">
    <cfRule type="cellIs" dxfId="0" priority="1" operator="greaterThan">
      <formula>0</formula>
    </cfRule>
  </conditionalFormatting>
  <hyperlinks>
    <hyperlink ref="N6" r:id="rIdLocalDoc1" display="Deschide fișier"/>
    <hyperlink ref="N7" r:id="rIdLocalDoc2" display="Deschide fișier"/>
    <hyperlink ref="N8" r:id="rIdLocalDoc3" display="Deschide fișier"/>
    <hyperlink ref="N9" r:id="rIdLocalDoc4" display="Deschide fișier"/>
    <hyperlink ref="N10" r:id="rIdLocalDoc5" display="Deschide fișier"/>
    <hyperlink ref="N11" r:id="rIdLocalDoc6" display="Deschide fișier"/>
    <hyperlink ref="N12" r:id="rIdLocalDoc7" display="Deschide fișier"/>
    <hyperlink ref="N13" r:id="rIdLocalDoc8" display="Deschide fișier"/>
    <hyperlink ref="N14" r:id="rIdLocalDoc9" display="Deschide fișier"/>
    <hyperlink ref="N15" r:id="rIdLocalDoc10" display="Deschide fișier"/>
    <hyperlink ref="N16" r:id="rIdLocalDoc11" display="Deschide fișier"/>
    <hyperlink ref="A22" r:id="rIdLocalDoc12" display="Confirmarea de plată din email"/>
    <hyperlink ref="N29" r:id="rIdLocalDoc13" display="Deschide fișier"/>
    <hyperlink ref="N30" r:id="rIdLocalDoc14" display="Deschide fișier"/>
    <hyperlink ref="N31" r:id="rIdLocalDoc15" display="Deschide fișier"/>
    <hyperlink ref="N32" r:id="rIdLocalDoc16" display="Deschide fișier"/>
    <hyperlink ref="N33" r:id="rIdLocalDoc17" display="Deschide fișier"/>
    <hyperlink ref="N34" r:id="rIdLocalDoc18" display="Deschide fișier"/>
    <hyperlink ref="N35" r:id="rIdLocalDoc19" display="Deschide fișier"/>
  </hyperlinks>
  <pageMargins left="0.7" right="0.7" top="0.75" bottom="0.75" header="0.3" footer="0.3"/>
  <tableParts count="1">
    <tablePart r:id="R6f5fbd87799d4546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5" topLeftCell="C6" activePane="bottomRight" state="frozen"/>
    </sheetView>
  </sheetViews>
  <sheetFormatPr defaultRowHeight="15"/>
  <cols>
    <col min="1" max="1" width="19.3799991607666" hidden="0" customWidth="1"/>
    <col min="2" max="2" width="56.25" hidden="0" customWidth="1"/>
    <col min="3" max="3" width="30.6299991607666" hidden="0" customWidth="1"/>
    <col min="4" max="4" width="18.75" hidden="0" customWidth="1"/>
    <col min="5" max="5" width="23.75" hidden="0" customWidth="1"/>
    <col min="6" max="6" width="16.8799991607666" hidden="0" customWidth="1"/>
    <col min="7" max="7" width="37.5" hidden="0" customWidth="1"/>
    <col min="8" max="8" width="52.5" hidden="0" customWidth="1"/>
    <col min="9" max="9" width="37.5" hidden="0" customWidth="1"/>
    <col min="10" max="10" width="16.25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24" customHeight="1">
      <c r="A2" s="3" t="str">
        <v>Controlul descărcărilor</v>
      </c>
      <c r="B2" s="2"/>
      <c r="C2" s="2"/>
      <c r="D2" s="2"/>
      <c r="E2" s="2"/>
      <c r="F2" s="2"/>
      <c r="G2" s="2"/>
      <c r="H2" s="2"/>
      <c r="I2" s="2"/>
      <c r="J2" s="2"/>
    </row>
    <row r="3" ht="24" customHeight="1">
      <c r="A3" s="4"/>
      <c r="B3" s="4"/>
      <c r="C3" s="4"/>
      <c r="D3" s="4"/>
      <c r="E3" s="4"/>
      <c r="F3" s="4"/>
      <c r="G3" s="4"/>
      <c r="H3" s="4"/>
      <c r="I3" s="4"/>
      <c r="J3" s="4"/>
    </row>
    <row r="4" ht="24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38" customHeight="1">
      <c r="A5" s="9" t="str">
        <v>Locație</v>
      </c>
      <c r="B5" s="9" t="str">
        <v>Atașament original</v>
      </c>
      <c r="C5" s="9" t="str">
        <v>Situație înainte</v>
      </c>
      <c r="D5" s="9" t="str">
        <v>Acum</v>
      </c>
      <c r="E5" s="9" t="str">
        <v>Data email</v>
      </c>
      <c r="F5" s="9" t="str">
        <v>Fișier local</v>
      </c>
      <c r="G5" s="9" t="str">
        <v>ID atașament EVA</v>
      </c>
      <c r="H5" s="9" t="str">
        <v>Corespondent local anterior</v>
      </c>
      <c r="I5" s="9" t="str">
        <v>SHA-256</v>
      </c>
      <c r="J5" s="9" t="str">
        <v>Copii în email</v>
      </c>
    </row>
    <row r="6" ht="44" customHeight="1">
      <c r="A6" s="18" t="str">
        <v>Theodor Pallady 5</v>
      </c>
      <c r="B6" s="18" t="str">
        <v>FX-26112210656.PDF</v>
      </c>
      <c r="C6" s="18" t="str">
        <v>Nu exista identic</v>
      </c>
      <c r="D6" s="10" t="str">
        <v>Disponibil local</v>
      </c>
      <c r="E6" s="31" t="n">
        <v>46293</v>
      </c>
      <c r="F6" s="11" t="str">
        <v>Deschide fișier</v>
      </c>
      <c r="G6" s="10" t="str">
        <v>77842a7a-8cfe-4b9d-8368-412fb14e3ca4</v>
      </c>
      <c r="H6" s="18" t="str"/>
      <c r="I6" s="18" t="str">
        <v>dd0512909804682c0949de3d89bb9399b11101574acce73ebeeb15efead43fc6</v>
      </c>
      <c r="J6" s="10" t="n">
        <v>2</v>
      </c>
    </row>
    <row r="7" ht="44" customHeight="1">
      <c r="A7" s="19" t="str">
        <v>Theodor Pallady 5</v>
      </c>
      <c r="B7" s="19" t="str">
        <v>FX-26112210655.PDF</v>
      </c>
      <c r="C7" s="19" t="str">
        <v>Nu exista identic</v>
      </c>
      <c r="D7" s="2" t="str">
        <v>Disponibil local</v>
      </c>
      <c r="E7" s="30" t="n">
        <v>46293</v>
      </c>
      <c r="F7" s="12" t="str">
        <v>Deschide fișier</v>
      </c>
      <c r="G7" s="2" t="str">
        <v>d14d4e51-5f85-48ee-83bd-d4fbe560c0be</v>
      </c>
      <c r="H7" s="19" t="str"/>
      <c r="I7" s="19" t="str">
        <v>9c780f7bf6c0cbb11a4b3fe5b42eeca89107a432282dea9bea14ed4fd08e41fb</v>
      </c>
      <c r="J7" s="2" t="n">
        <v>2</v>
      </c>
    </row>
    <row r="8" ht="44" customHeight="1">
      <c r="A8" s="18" t="str">
        <v>Ștefan Luchian 18</v>
      </c>
      <c r="B8" s="18" t="str">
        <v>FX-26112083088.PDF</v>
      </c>
      <c r="C8" s="18" t="str">
        <v>Nu exista identic</v>
      </c>
      <c r="D8" s="10" t="str">
        <v>Disponibil local</v>
      </c>
      <c r="E8" s="31" t="n">
        <v>46287</v>
      </c>
      <c r="F8" s="11" t="str">
        <v>Deschide fișier</v>
      </c>
      <c r="G8" s="10" t="str">
        <v>ec947af2-5cbd-42d0-8cf2-cd744b0df4ba</v>
      </c>
      <c r="H8" s="18" t="str"/>
      <c r="I8" s="18" t="str">
        <v>aaa49fe7fd51ac997d1e8081c0301b1a4204592d2e9be7eefd49a9268c323770</v>
      </c>
      <c r="J8" s="10" t="n">
        <v>2</v>
      </c>
    </row>
    <row r="9" ht="44" customHeight="1">
      <c r="A9" s="19" t="str">
        <v>Iuliu Maniu 1, bl. 31, et. 11-12, ap. 44</v>
      </c>
      <c r="B9" s="19" t="str">
        <v>FX-26111437678.PDF</v>
      </c>
      <c r="C9" s="19" t="str">
        <v>Nu exista identic</v>
      </c>
      <c r="D9" s="2" t="str">
        <v>Disponibil local</v>
      </c>
      <c r="E9" s="30" t="n">
        <v>46279</v>
      </c>
      <c r="F9" s="12" t="str">
        <v>Deschide fișier</v>
      </c>
      <c r="G9" s="2" t="str">
        <v>b3966989-173d-4e89-ae95-6b9ddda97ee2</v>
      </c>
      <c r="H9" s="19" t="str"/>
      <c r="I9" s="19" t="str">
        <v>5c26113a075d5ac71e798dd825ac514f29efea98bd13c331d9fe8cafd6630fc5</v>
      </c>
      <c r="J9" s="2" t="n">
        <v>2</v>
      </c>
    </row>
    <row r="10" ht="44" customHeight="1">
      <c r="A10" s="18" t="str">
        <v>Iuliu Maniu 1, bl. 31, et. 11-12, ap. 44</v>
      </c>
      <c r="B10" s="18" t="str">
        <v>FX-26109613324.PDF</v>
      </c>
      <c r="C10" s="18" t="str">
        <v>Nu exista identic</v>
      </c>
      <c r="D10" s="10" t="str">
        <v>Disponibil local</v>
      </c>
      <c r="E10" s="31" t="n">
        <v>46252</v>
      </c>
      <c r="F10" s="11" t="str">
        <v>Deschide fișier</v>
      </c>
      <c r="G10" s="10" t="str">
        <v>e78539c8-159d-4400-880f-c0ff5879f306</v>
      </c>
      <c r="H10" s="18" t="str"/>
      <c r="I10" s="18" t="str">
        <v>5fb2da30e6f88ffa75b562d313771a392c7769b2fd790961ad61468c30d2acc8</v>
      </c>
      <c r="J10" s="10" t="n">
        <v>2</v>
      </c>
    </row>
    <row r="11" ht="44" customHeight="1">
      <c r="A11" s="19" t="str">
        <v>Ștefan Luchian 18</v>
      </c>
      <c r="B11" s="19" t="str">
        <v>FX-26109491006.PDF</v>
      </c>
      <c r="C11" s="19" t="str">
        <v>Nu exista identic</v>
      </c>
      <c r="D11" s="2" t="str">
        <v>Disponibil local</v>
      </c>
      <c r="E11" s="30" t="n">
        <v>46248</v>
      </c>
      <c r="F11" s="12" t="str">
        <v>Deschide fișier</v>
      </c>
      <c r="G11" s="2" t="str">
        <v>a040b4c3-0b82-4ea4-837e-ffcbae6d819e</v>
      </c>
      <c r="H11" s="19" t="str"/>
      <c r="I11" s="19" t="str">
        <v>0556ba123c2a26d60c52493640c916043d62988f90c849bd12ac8b86bc236fac</v>
      </c>
      <c r="J11" s="2" t="n">
        <v>2</v>
      </c>
    </row>
    <row r="12" ht="44" customHeight="1">
      <c r="A12" s="18" t="str">
        <v>Theodor Pallady 5</v>
      </c>
      <c r="B12" s="18" t="str">
        <v>FX-26109222509.PDF</v>
      </c>
      <c r="C12" s="18" t="str">
        <v>Nu exista identic</v>
      </c>
      <c r="D12" s="10" t="str">
        <v>Disponibil local</v>
      </c>
      <c r="E12" s="31" t="n">
        <v>46239</v>
      </c>
      <c r="F12" s="11" t="str">
        <v>Deschide fișier</v>
      </c>
      <c r="G12" s="10" t="str">
        <v>4d628318-f0f7-45c7-a858-27fe94e3845b</v>
      </c>
      <c r="H12" s="18" t="str"/>
      <c r="I12" s="18" t="str">
        <v>f472464acf72ccfd18fc5af96fe2ac5bacd729b06d9201f0170cec7ac065461e</v>
      </c>
      <c r="J12" s="10" t="n">
        <v>2</v>
      </c>
    </row>
    <row r="13" ht="44" customHeight="1">
      <c r="A13" s="19" t="str">
        <v>Comun</v>
      </c>
      <c r="B13" s="19" t="str">
        <v>Eticheta_FUI.pdf</v>
      </c>
      <c r="C13" s="19" t="str">
        <v>Nu exista identic</v>
      </c>
      <c r="D13" s="2" t="str">
        <v>Disponibil local</v>
      </c>
      <c r="E13" s="30" t="n">
        <v>46232</v>
      </c>
      <c r="F13" s="12" t="str">
        <v>Deschide fișier</v>
      </c>
      <c r="G13" s="2" t="str">
        <v>5de88864-45e0-4c59-ab93-07cd2fb91198</v>
      </c>
      <c r="H13" s="19" t="str"/>
      <c r="I13" s="19" t="str">
        <v>eafd651a9795d62bab9e85f92ecad6b334252f439cd1e5a5e01d12bf3ee7f640</v>
      </c>
      <c r="J13" s="2" t="n">
        <v>3</v>
      </c>
    </row>
    <row r="14" ht="44" customHeight="1">
      <c r="A14" s="18" t="str">
        <v>Comun</v>
      </c>
      <c r="B14" s="18" t="str">
        <v>Eticheta_Eligibil.pdf</v>
      </c>
      <c r="C14" s="18" t="str">
        <v>Nu exista identic</v>
      </c>
      <c r="D14" s="10" t="str">
        <v>Disponibil local</v>
      </c>
      <c r="E14" s="31" t="n">
        <v>46232</v>
      </c>
      <c r="F14" s="11" t="str">
        <v>Deschide fișier</v>
      </c>
      <c r="G14" s="10" t="str">
        <v>bc5f41ab-7d17-4bde-8a70-377d9c4b7d40</v>
      </c>
      <c r="H14" s="18" t="str"/>
      <c r="I14" s="18" t="str">
        <v>f4a064e1cee810c7661ab63113935b7477cf8c025d0d7e8cc74cb114e80c86fa</v>
      </c>
      <c r="J14" s="10" t="n">
        <v>3</v>
      </c>
    </row>
    <row r="15" ht="44" customHeight="1">
      <c r="A15" s="19" t="str">
        <v>Ștefan Luchian 3B, ap. U3</v>
      </c>
      <c r="B15" s="19" t="str">
        <v>FX-26108503562.PDF</v>
      </c>
      <c r="C15" s="19" t="str">
        <v>Nu exista identic</v>
      </c>
      <c r="D15" s="2" t="str">
        <v>Disponibil local</v>
      </c>
      <c r="E15" s="30" t="n">
        <v>46219</v>
      </c>
      <c r="F15" s="12" t="str">
        <v>Deschide fișier</v>
      </c>
      <c r="G15" s="2" t="str">
        <v>dbc191d7-f871-4525-8c14-cf9529dae1da</v>
      </c>
      <c r="H15" s="19" t="str"/>
      <c r="I15" s="19" t="str">
        <v>13318cefc1a02da69ff7f412822d2495e58480b986cc19117604d15982f8804d</v>
      </c>
      <c r="J15" s="2" t="n">
        <v>1</v>
      </c>
    </row>
    <row r="16" ht="44" customHeight="1">
      <c r="A16" s="18" t="str">
        <v>Iuliu Maniu 1, bl. 31, et. 11-12, ap. 44</v>
      </c>
      <c r="B16" s="18" t="str">
        <v>FX-26108503565.PDF</v>
      </c>
      <c r="C16" s="18" t="str">
        <v>Nu exista identic</v>
      </c>
      <c r="D16" s="10" t="str">
        <v>Disponibil local</v>
      </c>
      <c r="E16" s="31" t="n">
        <v>46219</v>
      </c>
      <c r="F16" s="11" t="str">
        <v>Deschide fișier</v>
      </c>
      <c r="G16" s="10" t="str">
        <v>2aac0113-147a-435c-b90f-228e63889f69</v>
      </c>
      <c r="H16" s="18" t="str"/>
      <c r="I16" s="18" t="str">
        <v>27ffad78feb26e59d7f61d371ccf0de8532ae98eef315732085e63cc17a9487a</v>
      </c>
      <c r="J16" s="10" t="n">
        <v>2</v>
      </c>
    </row>
    <row r="17" ht="44" customHeight="1">
      <c r="A17" s="19" t="str">
        <v>Ștefan Luchian 3B, ap. U10</v>
      </c>
      <c r="B17" s="19" t="str">
        <v>FX-26107829180.PDF</v>
      </c>
      <c r="C17" s="19" t="str">
        <v>Nu exista identic</v>
      </c>
      <c r="D17" s="2" t="str">
        <v>Disponibil local</v>
      </c>
      <c r="E17" s="30" t="n">
        <v>46213</v>
      </c>
      <c r="F17" s="12" t="str">
        <v>Deschide fișier</v>
      </c>
      <c r="G17" s="2" t="str">
        <v>2535d467-d735-4714-8a5e-fe1f4fccf15d</v>
      </c>
      <c r="H17" s="19" t="str"/>
      <c r="I17" s="19" t="str">
        <v>409fce8c0beff60215d5cea8f291f53d199ff04a2fd02daf5a788bb1adb81322</v>
      </c>
      <c r="J17" s="2" t="n">
        <v>1</v>
      </c>
    </row>
    <row r="18" ht="44" customHeight="1">
      <c r="A18" s="18" t="str">
        <v>Ștefan Luchian 3B, ap. U10</v>
      </c>
      <c r="B18" s="18" t="str">
        <v>FX-26107829179.PDF</v>
      </c>
      <c r="C18" s="18" t="str">
        <v>Nu exista identic</v>
      </c>
      <c r="D18" s="10" t="str">
        <v>Disponibil local</v>
      </c>
      <c r="E18" s="31" t="n">
        <v>46213</v>
      </c>
      <c r="F18" s="11" t="str">
        <v>Deschide fișier</v>
      </c>
      <c r="G18" s="10" t="str">
        <v>85a9da63-5bfb-4c75-90f4-6127c1e8aeda</v>
      </c>
      <c r="H18" s="18" t="str"/>
      <c r="I18" s="18" t="str">
        <v>a91315e8f03acdfd1016f6cd2bd6d02db2bb65d673c90f13175f2c8269139dfd</v>
      </c>
      <c r="J18" s="10" t="n">
        <v>1</v>
      </c>
    </row>
    <row r="19" ht="44" customHeight="1">
      <c r="A19" s="19" t="str">
        <v>Ștefan Luchian 18</v>
      </c>
      <c r="B19" s="19" t="str">
        <v>anexa_4_8305784c-28f4-4515-8421-70e4d992a803.pdf</v>
      </c>
      <c r="C19" s="19" t="str">
        <v>Exista identic (SHA-256)</v>
      </c>
      <c r="D19" s="2" t="str">
        <v>Disponibil local</v>
      </c>
      <c r="E19" s="30" t="n">
        <v>46204</v>
      </c>
      <c r="F19" s="12" t="str">
        <v>Deschide fișier</v>
      </c>
      <c r="G19" s="2" t="str">
        <v>1a157e55-b5bb-483e-a2a7-aaa528bb5192</v>
      </c>
      <c r="H19" s="19" t="str">
        <v>Covaciu - Stefan Luchian, Nr 18\anexa_4_8305784c-28f4-4515-8421-70e4d992a803.pdf</v>
      </c>
      <c r="I19" s="19" t="str">
        <v>d6962cc0f8dbf38d315118cd20b3cadc63431db5603d7087e290613b80fa9b74</v>
      </c>
      <c r="J19" s="2" t="n">
        <v>2</v>
      </c>
    </row>
    <row r="20" ht="44" customHeight="1">
      <c r="A20" s="18" t="str">
        <v>Ștefan Luchian 18</v>
      </c>
      <c r="B20" s="18" t="str">
        <v>anexa_5_fcd3d302-48b9-4461-98f6-c9580f7f443e.pdf</v>
      </c>
      <c r="C20" s="18" t="str">
        <v>Exista identic (SHA-256)</v>
      </c>
      <c r="D20" s="10" t="str">
        <v>Disponibil local</v>
      </c>
      <c r="E20" s="31" t="n">
        <v>46204</v>
      </c>
      <c r="F20" s="11" t="str">
        <v>Deschide fișier</v>
      </c>
      <c r="G20" s="10" t="str">
        <v>c72b16fc-c497-4a58-b550-b9bf58b3e232</v>
      </c>
      <c r="H20" s="18" t="str">
        <v>Covaciu - Stefan Luchian, Nr 18\anexa_5_fcd3d302-48b9-4461-98f6-c9580f7f443e.pdf</v>
      </c>
      <c r="I20" s="18" t="str">
        <v>3f46d4de5790a9b03a13bc9112fda435e3b46cf365f446635508411f7b0d3db5</v>
      </c>
      <c r="J20" s="10" t="n">
        <v>2</v>
      </c>
    </row>
    <row r="21" ht="44" customHeight="1">
      <c r="A21" s="19" t="str">
        <v>Ștefan Luchian 18</v>
      </c>
      <c r="B21" s="19" t="str">
        <v>contract_furnizare_9b97354f-fba2-4da6-9b74-e90b30f26111.pdf</v>
      </c>
      <c r="C21" s="19" t="str">
        <v>Exista identic (SHA-256)</v>
      </c>
      <c r="D21" s="2" t="str">
        <v>Disponibil local</v>
      </c>
      <c r="E21" s="30" t="n">
        <v>46204</v>
      </c>
      <c r="F21" s="12" t="str">
        <v>Deschide fișier</v>
      </c>
      <c r="G21" s="2" t="str">
        <v>bd06cd54-a7fc-4eba-832f-114c54277ad4</v>
      </c>
      <c r="H21" s="19" t="str">
        <v>Covaciu - Stefan Luchian, Nr 18\contract_furnizare_9b97354f-fba2-4da6-9b74-e90b30f26111.pdf</v>
      </c>
      <c r="I21" s="19" t="str">
        <v>287da085104f122ef235bc2a75d4e45156bd11113050bd57843d3786345602c7</v>
      </c>
      <c r="J21" s="2" t="n">
        <v>2</v>
      </c>
    </row>
    <row r="22" ht="44" customHeight="1">
      <c r="A22" s="18" t="str">
        <v>Ștefan Luchian 18</v>
      </c>
      <c r="B22" s="18" t="str">
        <v>contract_cerere_f1872f91-b035-4750-8550-aae2c29a4f4d.pdf</v>
      </c>
      <c r="C22" s="18" t="str">
        <v>Exista identic (SHA-256)</v>
      </c>
      <c r="D22" s="10" t="str">
        <v>Disponibil local</v>
      </c>
      <c r="E22" s="31" t="n">
        <v>46204</v>
      </c>
      <c r="F22" s="11" t="str">
        <v>Deschide fișier</v>
      </c>
      <c r="G22" s="10" t="str">
        <v>6074af18-55a2-4c34-adfd-fedab9e0e1f6</v>
      </c>
      <c r="H22" s="18" t="str">
        <v>Covaciu - Stefan Luchian, Nr 18\contract_cerere_f1872f91-b035-4750-8550-aae2c29a4f4d.pdf</v>
      </c>
      <c r="I22" s="18" t="str">
        <v>f830b421898fd2f8f504bb04b3017904e22da5e4dabbac623efac7d1323cdacf</v>
      </c>
      <c r="J22" s="10" t="n">
        <v>2</v>
      </c>
    </row>
    <row r="23" ht="44" customHeight="1">
      <c r="A23" s="19" t="str">
        <v>Ștefan Luchian 18</v>
      </c>
      <c r="B23" s="19" t="str">
        <v>contract_declaratie_96019a87-51b8-4cb3-8643-f10ab8bda38a.pdf</v>
      </c>
      <c r="C23" s="19" t="str">
        <v>Exista identic (SHA-256)</v>
      </c>
      <c r="D23" s="2" t="str">
        <v>Disponibil local</v>
      </c>
      <c r="E23" s="30" t="n">
        <v>46204</v>
      </c>
      <c r="F23" s="12" t="str">
        <v>Deschide fișier</v>
      </c>
      <c r="G23" s="2" t="str">
        <v>02ed0a20-cb16-4694-965b-d2a7a874445a</v>
      </c>
      <c r="H23" s="19" t="str">
        <v>Covaciu - Stefan Luchian, Nr 18\contract_declaratie_96019a87-51b8-4cb3-8643-f10ab8bda38a.pdf</v>
      </c>
      <c r="I23" s="19" t="str">
        <v>bc4dee37b42002404f623da5c8382f8753de054c4df285662dfa070ba8559783</v>
      </c>
      <c r="J23" s="2" t="n">
        <v>2</v>
      </c>
    </row>
    <row r="24" ht="44" customHeight="1">
      <c r="A24" s="18" t="str">
        <v>Ștefan Luchian 18</v>
      </c>
      <c r="B24" s="18" t="str">
        <v>oferta_de27a588-e02c-4a15-ab48-4ec0006e4074.pdf</v>
      </c>
      <c r="C24" s="18" t="str">
        <v>Exista identic (SHA-256)</v>
      </c>
      <c r="D24" s="10" t="str">
        <v>Disponibil local</v>
      </c>
      <c r="E24" s="31" t="n">
        <v>46204</v>
      </c>
      <c r="F24" s="11" t="str">
        <v>Deschide fișier</v>
      </c>
      <c r="G24" s="10" t="str">
        <v>7edbc34c-f8f6-43ce-94aa-5f3430c1e7ea</v>
      </c>
      <c r="H24" s="18" t="str">
        <v>Covaciu - Stefan Luchian, Nr 18\oferta_de27a588-e02c-4a15-ab48-4ec0006e4074.pdf</v>
      </c>
      <c r="I24" s="18" t="str">
        <v>ccfcc9d1ce5c19970f6e074979b2294db8057b92acf21cf517b8a8971b38b7e5</v>
      </c>
      <c r="J24" s="10" t="n">
        <v>2</v>
      </c>
    </row>
    <row r="25" ht="44" customHeight="1">
      <c r="A25" s="19" t="str">
        <v>Ștefan Luchian 18</v>
      </c>
      <c r="B25" s="19" t="str">
        <v>anexa_3_336dc6eb-24da-425e-bf35-42bd71dfbaac.pdf</v>
      </c>
      <c r="C25" s="19" t="str">
        <v>Exista identic (SHA-256)</v>
      </c>
      <c r="D25" s="2" t="str">
        <v>Disponibil local</v>
      </c>
      <c r="E25" s="30" t="n">
        <v>46204</v>
      </c>
      <c r="F25" s="12" t="str">
        <v>Deschide fișier</v>
      </c>
      <c r="G25" s="2" t="str">
        <v>c241e4ab-c13a-4cd2-a9f2-193ad2ff1a7a</v>
      </c>
      <c r="H25" s="19" t="str">
        <v>Covaciu - Stefan Luchian, Nr 18\anexa_3_336dc6eb-24da-425e-bf35-42bd71dfbaac.pdf</v>
      </c>
      <c r="I25" s="19" t="str">
        <v>25e88296ee87fb9c1834eecf99c0cb04476d9913992b9b117376116e58435c78</v>
      </c>
      <c r="J25" s="2" t="n">
        <v>2</v>
      </c>
    </row>
    <row r="26" ht="44" customHeight="1">
      <c r="A26" s="18" t="str">
        <v>Ștefan Luchian 18</v>
      </c>
      <c r="B26" s="18" t="str">
        <v>contract_prosumator_e1f346ad-0d91-4cb0-8471-d474a5de1d10.pdf</v>
      </c>
      <c r="C26" s="18" t="str">
        <v>Exista identic (SHA-256)</v>
      </c>
      <c r="D26" s="10" t="str">
        <v>Disponibil local</v>
      </c>
      <c r="E26" s="31" t="n">
        <v>46204</v>
      </c>
      <c r="F26" s="11" t="str">
        <v>Deschide fișier</v>
      </c>
      <c r="G26" s="10" t="str">
        <v>d8e1f397-2054-4141-903d-fbde0b1df73e</v>
      </c>
      <c r="H26" s="18" t="str">
        <v>Covaciu - Stefan Luchian, Nr 18\contract_prosumator_e1f346ad-0d91-4cb0-8471-d474a5de1d10.pdf</v>
      </c>
      <c r="I26" s="18" t="str">
        <v>75e0c7f2fdfb712a5c6eb0a3ea6052e4716a73ea761cae754165630d78a88d9c</v>
      </c>
      <c r="J26" s="10" t="n">
        <v>2</v>
      </c>
    </row>
    <row r="27" ht="44" customHeight="1">
      <c r="A27" s="19" t="str">
        <v>Theodor Pallady 5</v>
      </c>
      <c r="B27" s="19" t="str">
        <v>Notificare_594020400000040613_12.pdf</v>
      </c>
      <c r="C27" s="19" t="str">
        <v>Nu exista identic</v>
      </c>
      <c r="D27" s="2" t="str">
        <v>Disponibil local</v>
      </c>
      <c r="E27" s="30" t="n">
        <v>46197</v>
      </c>
      <c r="F27" s="12" t="str">
        <v>Deschide fișier</v>
      </c>
      <c r="G27" s="2" t="str">
        <v>0ca02ac3-7af8-48cb-bd8a-b1fa2e32fe4c</v>
      </c>
      <c r="H27" s="19" t="str"/>
      <c r="I27" s="19" t="str">
        <v>8a2acdc708ed804fa62a55c5e4164d4c32a070e1ae7f66f120a289237147e2ac</v>
      </c>
      <c r="J27" s="2" t="n">
        <v>2</v>
      </c>
    </row>
    <row r="28" ht="44" customHeight="1">
      <c r="A28" s="18" t="str">
        <v>Theodor Pallady 5</v>
      </c>
      <c r="B28" s="18" t="str">
        <v>A4CEDBAD45747D67F5325E16A9331313E8B813DC.jpg</v>
      </c>
      <c r="C28" s="18" t="str">
        <v>Nu exista identic</v>
      </c>
      <c r="D28" s="10" t="str">
        <v>Disponibil local</v>
      </c>
      <c r="E28" s="31" t="n">
        <v>46197</v>
      </c>
      <c r="F28" s="11" t="str">
        <v>Deschide fișier</v>
      </c>
      <c r="G28" s="10" t="str">
        <v>ca1fa790-d5e3-416b-b127-fb6d7611748e</v>
      </c>
      <c r="H28" s="18" t="str"/>
      <c r="I28" s="18" t="str">
        <v>056b9da4c48125dddbec9c48b5ed068130c057200d6a7feab5e10c0a761fdd45</v>
      </c>
      <c r="J28" s="10" t="n">
        <v>2</v>
      </c>
    </row>
    <row r="29" ht="44" customHeight="1">
      <c r="A29" s="19" t="str">
        <v>Theodor Pallady 5</v>
      </c>
      <c r="B29" s="19" t="str">
        <v>anexa_4_2d242fbb-f7e3-48d8-9578-84768098f402.pdf</v>
      </c>
      <c r="C29" s="19" t="str">
        <v>Exista varianta locala diferita</v>
      </c>
      <c r="D29" s="2" t="str">
        <v>Disponibil local</v>
      </c>
      <c r="E29" s="30" t="n">
        <v>46192</v>
      </c>
      <c r="F29" s="12" t="str">
        <v>Deschide fișier</v>
      </c>
      <c r="G29" s="2" t="str">
        <v>309d4034-de6c-4ac5-b159-509496c71ec8</v>
      </c>
      <c r="H29" s="19" t="str">
        <v>Covaciu - Theodor Palaldy 5 (contract 4842303-02)\Hidroelectrica-2026-06-Anexa4ConditiiGeneraleFurnizare.pdf</v>
      </c>
      <c r="I29" s="19" t="str">
        <v>5813341bba32425080fed5ff5222008be89719c46ea1dd5ac5b03ae45eb02939</v>
      </c>
      <c r="J29" s="2" t="n">
        <v>4</v>
      </c>
    </row>
    <row r="30" ht="44" customHeight="1">
      <c r="A30" s="18" t="str">
        <v>Theodor Pallady 5</v>
      </c>
      <c r="B30" s="18" t="str">
        <v>anexa_5_9871c85a-0ded-4112-af1c-a016fff8b0da.pdf</v>
      </c>
      <c r="C30" s="18" t="str">
        <v>Exista varianta locala diferita</v>
      </c>
      <c r="D30" s="10" t="str">
        <v>Disponibil local</v>
      </c>
      <c r="E30" s="31" t="n">
        <v>46192</v>
      </c>
      <c r="F30" s="11" t="str">
        <v>Deschide fișier</v>
      </c>
      <c r="G30" s="10" t="str">
        <v>d29a19e5-2137-482d-91c6-f96f87d4c0ff</v>
      </c>
      <c r="H30" s="18" t="str">
        <v>Covaciu - Theodor Palaldy 5 (contract 4842303-02)\Hidroelectrica-2026-06-Anexa5ConditiiGeneraleDistributie.pdf</v>
      </c>
      <c r="I30" s="18" t="str">
        <v>5217079549fd0e98c5768e056645be737bf1021a49a8e232d0bc8be1fac1fd8b</v>
      </c>
      <c r="J30" s="10" t="n">
        <v>4</v>
      </c>
    </row>
    <row r="31" ht="44" customHeight="1">
      <c r="A31" s="19" t="str">
        <v>Theodor Pallady 5</v>
      </c>
      <c r="B31" s="19" t="str">
        <v>contract_furnizare_12b43f10-7053-4d28-9a56-193cbb060d0a.pdf</v>
      </c>
      <c r="C31" s="19" t="str">
        <v>Exista varianta locala diferita</v>
      </c>
      <c r="D31" s="2" t="str">
        <v>Disponibil local</v>
      </c>
      <c r="E31" s="30" t="n">
        <v>46192</v>
      </c>
      <c r="F31" s="12" t="str">
        <v>Deschide fișier</v>
      </c>
      <c r="G31" s="2" t="str">
        <v>39b4ad91-42bc-430a-aaaf-7882252924ff</v>
      </c>
      <c r="H31" s="19" t="str">
        <v>Covaciu - Theodor Palaldy 5 (contract 4842303-02)\Hidroelectrica-2026-06-ContractFurnizareEnergie.pdf</v>
      </c>
      <c r="I31" s="19" t="str">
        <v>17eb0dc3dfb8dde40c47aba3c3fcf4403a4a298a24b4d3d6cd614e9575a429bc</v>
      </c>
      <c r="J31" s="2" t="n">
        <v>4</v>
      </c>
    </row>
    <row r="32" ht="44" customHeight="1">
      <c r="A32" s="18" t="str">
        <v>Theodor Pallady 5</v>
      </c>
      <c r="B32" s="18" t="str">
        <v>contract_cerere_d55485b0-308f-4185-aaf2-43b9d2113d27.pdf</v>
      </c>
      <c r="C32" s="18" t="str">
        <v>Exista varianta locala diferita</v>
      </c>
      <c r="D32" s="10" t="str">
        <v>Disponibil local</v>
      </c>
      <c r="E32" s="31" t="n">
        <v>46192</v>
      </c>
      <c r="F32" s="11" t="str">
        <v>Deschide fișier</v>
      </c>
      <c r="G32" s="10" t="str">
        <v>24dfc68d-3827-47f6-a0c3-118317385dcc</v>
      </c>
      <c r="H32" s="18" t="str">
        <v>Covaciu - Theodor Palaldy 5 (contract 4842303-02)\Hidroelectrica-2026-06-CerereContractFurnizare.pdf</v>
      </c>
      <c r="I32" s="18" t="str">
        <v>1e1a99d20327613c0fd24555a37beeb05ef0b640595a914c885a7b72e4a3544f</v>
      </c>
      <c r="J32" s="10" t="n">
        <v>4</v>
      </c>
    </row>
    <row r="33" ht="44" customHeight="1">
      <c r="A33" s="19" t="str">
        <v>Theodor Pallady 5</v>
      </c>
      <c r="B33" s="19" t="str">
        <v>contract_declaratie_3437660c-23b8-4b91-8972-106329727eea.pdf</v>
      </c>
      <c r="C33" s="19" t="str">
        <v>Exista varianta locala diferita</v>
      </c>
      <c r="D33" s="2" t="str">
        <v>Disponibil local</v>
      </c>
      <c r="E33" s="30" t="n">
        <v>46192</v>
      </c>
      <c r="F33" s="12" t="str">
        <v>Deschide fișier</v>
      </c>
      <c r="G33" s="2" t="str">
        <v>5368462d-79ea-4caa-838a-0a6773827b95</v>
      </c>
      <c r="H33" s="19" t="str">
        <v>Covaciu - Theodor Palaldy 5 (contract 4842303-02)\Hidroelectrica-2026-06-DeclaratieProprieRaspundere.pdf</v>
      </c>
      <c r="I33" s="19" t="str">
        <v>cc89d0893ca9663ab2b417023b3a4056b56eb6bbc97bd54d0647ae67ed88455f</v>
      </c>
      <c r="J33" s="2" t="n">
        <v>4</v>
      </c>
    </row>
    <row r="34" ht="44" customHeight="1">
      <c r="A34" s="18" t="str">
        <v>Theodor Pallady 5</v>
      </c>
      <c r="B34" s="18" t="str">
        <v>oferta_9baba7cc-e23b-4eff-96ec-6aa3432b452b.pdf</v>
      </c>
      <c r="C34" s="18" t="str">
        <v>Exista varianta locala diferita</v>
      </c>
      <c r="D34" s="10" t="str">
        <v>Disponibil local</v>
      </c>
      <c r="E34" s="31" t="n">
        <v>46192</v>
      </c>
      <c r="F34" s="11" t="str">
        <v>Deschide fișier</v>
      </c>
      <c r="G34" s="10" t="str">
        <v>48b04e2b-2bd7-45a6-94d8-0416e6199fbe</v>
      </c>
      <c r="H34" s="18" t="str">
        <v>00. Documente comune\Hidroelectrica-2026-04-OfertaVIITORHIDRO-C1-0105-3006-26.pdf</v>
      </c>
      <c r="I34" s="18" t="str">
        <v>db6c14f1bcae558c542d144962014513a1c319cf3e5c51e27ddbbb59dae95a40</v>
      </c>
      <c r="J34" s="10" t="n">
        <v>4</v>
      </c>
    </row>
    <row r="35" ht="44" customHeight="1">
      <c r="A35" s="19" t="str">
        <v>Theodor Pallady 5</v>
      </c>
      <c r="B35" s="19" t="str">
        <v>anexa_3_56901d07-263a-4194-adb0-68c42da3557a.pdf</v>
      </c>
      <c r="C35" s="19" t="str">
        <v>Exista varianta locala diferita</v>
      </c>
      <c r="D35" s="2" t="str">
        <v>Disponibil local</v>
      </c>
      <c r="E35" s="30" t="n">
        <v>46192</v>
      </c>
      <c r="F35" s="12" t="str">
        <v>Deschide fișier</v>
      </c>
      <c r="G35" s="2" t="str">
        <v>68f3b714-adf8-47fb-8533-cbe8ccc5b5db</v>
      </c>
      <c r="H35" s="19" t="str">
        <v>Covaciu - Theodor Palaldy 5 (contract 4842303-02)\Hidroelectrica-2026-06-Anexa3NotaInformareGDPR.pdf</v>
      </c>
      <c r="I35" s="19" t="str">
        <v>7a96f160c9e60d1d0996cab5c25f95b018489064ef0681b649f46182bc2a1994</v>
      </c>
      <c r="J35" s="2" t="n">
        <v>4</v>
      </c>
    </row>
    <row r="36" ht="44" customHeight="1">
      <c r="A36" s="18" t="str">
        <v>Iuliu Maniu 1, bl. 31, et. 11-12, ap. 44</v>
      </c>
      <c r="B36" s="18" t="str">
        <v>oferta_8bbaeff1-055f-46ae-85ae-f6c8f9eef40e.pdf</v>
      </c>
      <c r="C36" s="18" t="str">
        <v>Exista varianta locala diferita</v>
      </c>
      <c r="D36" s="10" t="str">
        <v>Disponibil local</v>
      </c>
      <c r="E36" s="31" t="n">
        <v>46192</v>
      </c>
      <c r="F36" s="11" t="str">
        <v>Deschide fișier</v>
      </c>
      <c r="G36" s="10" t="str">
        <v>50d1e105-4d30-4df4-a14e-e275782d9c0c</v>
      </c>
      <c r="H36" s="18" t="str">
        <v>00. Documente comune\Hidroelectrica-2026-04-OfertaVIITORHIDRO-C1-0105-3006-26.pdf</v>
      </c>
      <c r="I36" s="18" t="str">
        <v>5cd4f71027ef69e70681a8f13c200c8edca29d8b4eadbbde50a7c535286460b2</v>
      </c>
      <c r="J36" s="10" t="n">
        <v>2</v>
      </c>
    </row>
    <row r="37" ht="44" customHeight="1">
      <c r="A37" s="19" t="str">
        <v>Iuliu Maniu 1, bl. 31, et. 11-12, ap. 44</v>
      </c>
      <c r="B37" s="19" t="str">
        <v>anexa_4_f0a54e79-7107-40bd-8e4d-ebcbfb871e5e.pdf</v>
      </c>
      <c r="C37" s="19" t="str">
        <v>Exista varianta locala diferita</v>
      </c>
      <c r="D37" s="2" t="str">
        <v>Disponibil local</v>
      </c>
      <c r="E37" s="30" t="n">
        <v>46192</v>
      </c>
      <c r="F37" s="12" t="str">
        <v>Deschide fișier</v>
      </c>
      <c r="G37" s="2" t="str">
        <v>e5250a2c-c972-4bc3-a7df-ba1010749dde</v>
      </c>
      <c r="H37" s="19" t="str">
        <v>Covaciu - Simion Barnutiu 17B (contract 4870699-02-09)\Hidroelectrica-2026-06-Anexa4ConditiiGeneraleFurnizare.pdf</v>
      </c>
      <c r="I37" s="19" t="str">
        <v>8739f90a85a14534f6f1addef8b19cdcffddd4c0bb3e58863f946396a2370453</v>
      </c>
      <c r="J37" s="2" t="n">
        <v>2</v>
      </c>
    </row>
    <row r="38" ht="44" customHeight="1">
      <c r="A38" s="18" t="str">
        <v>Iuliu Maniu 1, bl. 31, et. 11-12, ap. 44</v>
      </c>
      <c r="B38" s="18" t="str">
        <v>anexa_3_7f544e62-8f10-4641-afec-5a37bfea0c35.pdf</v>
      </c>
      <c r="C38" s="18" t="str">
        <v>Exista varianta locala diferita</v>
      </c>
      <c r="D38" s="10" t="str">
        <v>Disponibil local</v>
      </c>
      <c r="E38" s="31" t="n">
        <v>46192</v>
      </c>
      <c r="F38" s="11" t="str">
        <v>Deschide fișier</v>
      </c>
      <c r="G38" s="10" t="str">
        <v>a044028d-946f-486c-9960-fcc1de25b983</v>
      </c>
      <c r="H38" s="18" t="str">
        <v>Covaciu - Simion Barnutiu 17B (contract 4870699-02-09)\Hidroelectrica-2026-06-Anexa3NotaInformareGDPR.pdf</v>
      </c>
      <c r="I38" s="18" t="str">
        <v>18511327a5d206744faa2af0652243b6edf20edbcfc7903f3d716d35c815127f</v>
      </c>
      <c r="J38" s="10" t="n">
        <v>2</v>
      </c>
    </row>
    <row r="39" ht="44" customHeight="1">
      <c r="A39" s="19" t="str">
        <v>Iuliu Maniu 1, bl. 31, et. 11-12, ap. 44</v>
      </c>
      <c r="B39" s="19" t="str">
        <v>marketing_38b04517-6c06-4655-8ddf-36dfed4732ca.pdf</v>
      </c>
      <c r="C39" s="19" t="str">
        <v>Exista identic (SHA-256)</v>
      </c>
      <c r="D39" s="2" t="str">
        <v>Disponibil local</v>
      </c>
      <c r="E39" s="30" t="n">
        <v>46192</v>
      </c>
      <c r="F39" s="12" t="str">
        <v>Deschide fișier</v>
      </c>
      <c r="G39" s="2" t="str">
        <v>e3b9d6b5-1410-4856-98ce-ceed79957a23</v>
      </c>
      <c r="H39" s="19" t="str">
        <v>00. Documente comune\Hidroelectrica-2026-06-NotaInformareMarketingGDPR-Covaciu.pdf</v>
      </c>
      <c r="I39" s="19" t="str">
        <v>e72fac6bf040bb18ef0b5127100a5b5c6da8b74b9dad0b48a563e65a8abe46d3</v>
      </c>
      <c r="J39" s="2" t="n">
        <v>2</v>
      </c>
    </row>
    <row r="40" ht="44" customHeight="1">
      <c r="A40" s="18" t="str">
        <v>Iuliu Maniu 1, bl. 31, et. 11-12, ap. 44</v>
      </c>
      <c r="B40" s="18" t="str">
        <v>contract_cerere_b326a9ea-3143-490a-a788-ccf4a9854e8f.pdf</v>
      </c>
      <c r="C40" s="18" t="str">
        <v>Exista varianta locala diferita</v>
      </c>
      <c r="D40" s="10" t="str">
        <v>Disponibil local</v>
      </c>
      <c r="E40" s="31" t="n">
        <v>46192</v>
      </c>
      <c r="F40" s="11" t="str">
        <v>Deschide fișier</v>
      </c>
      <c r="G40" s="10" t="str">
        <v>f34fc27f-4bf6-46d3-b1a6-4e2c53e81057</v>
      </c>
      <c r="H40" s="18" t="str">
        <v>Covaciu - Simion Barnutiu 17B (contract 4870699-02-09)\Hidroelectrica-2026-06-CerereContractFurnizare.pdf</v>
      </c>
      <c r="I40" s="18" t="str">
        <v>4088a3909fef6eecec7e0020f6a030e88ac18109858a3da767c7bea4497130a2</v>
      </c>
      <c r="J40" s="10" t="n">
        <v>2</v>
      </c>
    </row>
    <row r="41" ht="44" customHeight="1">
      <c r="A41" s="19" t="str">
        <v>Iuliu Maniu 1, bl. 31, et. 11-12, ap. 44</v>
      </c>
      <c r="B41" s="19" t="str">
        <v>anexa_5_9860db8f-1c79-4e71-9d54-1c71f3709eb6.pdf</v>
      </c>
      <c r="C41" s="19" t="str">
        <v>Exista varianta locala diferita</v>
      </c>
      <c r="D41" s="2" t="str">
        <v>Disponibil local</v>
      </c>
      <c r="E41" s="30" t="n">
        <v>46192</v>
      </c>
      <c r="F41" s="12" t="str">
        <v>Deschide fișier</v>
      </c>
      <c r="G41" s="2" t="str">
        <v>ea4abe9b-8063-4993-9d73-47b19fd97529</v>
      </c>
      <c r="H41" s="19" t="str">
        <v>Covaciu - Simion Barnutiu 17B (contract 4870699-02-09)\Hidroelectrica-2026-06-Anexa5ConditiiGeneraleDistributie.pdf</v>
      </c>
      <c r="I41" s="19" t="str">
        <v>e277feed22ae13d3b5dfec2c9854404e94f4ed6f7a9400aa7ae508d242842412</v>
      </c>
      <c r="J41" s="2" t="n">
        <v>2</v>
      </c>
    </row>
    <row r="42" ht="44" customHeight="1">
      <c r="A42" s="18" t="str">
        <v>Iuliu Maniu 1, bl. 31, et. 11-12, ap. 44</v>
      </c>
      <c r="B42" s="18" t="str">
        <v>contract_declaratie_fc62daa8-8119-4f3a-956f-1702dbbfd642.pdf</v>
      </c>
      <c r="C42" s="18" t="str">
        <v>Exista varianta locala diferita</v>
      </c>
      <c r="D42" s="10" t="str">
        <v>Disponibil local</v>
      </c>
      <c r="E42" s="31" t="n">
        <v>46192</v>
      </c>
      <c r="F42" s="11" t="str">
        <v>Deschide fișier</v>
      </c>
      <c r="G42" s="10" t="str">
        <v>d1b484d0-f019-4a9c-8e4c-f0a36d244e7e</v>
      </c>
      <c r="H42" s="18" t="str">
        <v>Covaciu - Simion Barnutiu 17B (contract 4870699-02-09)\Hidroelectrica-2026-06-DeclaratieProprieRaspundere.pdf</v>
      </c>
      <c r="I42" s="18" t="str">
        <v>1e04f1ea53ca72f3703d6f0b6616f2fe0eff67672c67993ee3fd4cc1d8640c1e</v>
      </c>
      <c r="J42" s="10" t="n">
        <v>2</v>
      </c>
    </row>
    <row r="43" ht="44" customHeight="1">
      <c r="A43" s="19" t="str">
        <v>Iuliu Maniu 1, bl. 31, et. 11-12, ap. 44</v>
      </c>
      <c r="B43" s="19" t="str">
        <v>contract_furnizare_f8550d4a-4e47-4c2a-a705-d39a53d0b02f.pdf</v>
      </c>
      <c r="C43" s="19" t="str">
        <v>Exista varianta locala diferita</v>
      </c>
      <c r="D43" s="2" t="str">
        <v>Disponibil local</v>
      </c>
      <c r="E43" s="30" t="n">
        <v>46192</v>
      </c>
      <c r="F43" s="12" t="str">
        <v>Deschide fișier</v>
      </c>
      <c r="G43" s="2" t="str">
        <v>3533ea65-2ab5-461a-b51d-49202295b631</v>
      </c>
      <c r="H43" s="19" t="str">
        <v>Covaciu - Simion Barnutiu 17B (contract 4870699-02-09)\Hidroelectrica-2026-06-ContractFurnizareEnergie.pdf</v>
      </c>
      <c r="I43" s="19" t="str">
        <v>e1d92181ec96792c683fe61fd7a68ca47c1d84d79e16f4902fc8afdb14021d30</v>
      </c>
      <c r="J43" s="2" t="n">
        <v>2</v>
      </c>
    </row>
    <row r="44" ht="44" customHeight="1">
      <c r="A44" s="18" t="str">
        <v>Ștefan Luchian 3B, ap. U3</v>
      </c>
      <c r="B44" s="18" t="str">
        <v>contract_declaratie_d30c02fd-5eb3-4231-b0cc-bde78e6a8b56.pdf</v>
      </c>
      <c r="C44" s="18" t="str">
        <v>Exista varianta locala diferita</v>
      </c>
      <c r="D44" s="10" t="str">
        <v>Disponibil local</v>
      </c>
      <c r="E44" s="31" t="n">
        <v>46192</v>
      </c>
      <c r="F44" s="11" t="str">
        <v>Deschide fișier</v>
      </c>
      <c r="G44" s="10" t="str">
        <v>da4752f1-6758-474d-827a-783b6a12f43b</v>
      </c>
      <c r="H44" s="18" t="str">
        <v>Vaida - Stefan Luchian 3B ap U3 (contract 5164144-01-20)\Hidroelectrica-2026-06-DeclaratieProprieRaspundere.pdf</v>
      </c>
      <c r="I44" s="18" t="str">
        <v>d377a23e41258241494d944a6c6b5c6082a99585e1ddb3d867c545bcda870199</v>
      </c>
      <c r="J44" s="10" t="n">
        <v>1</v>
      </c>
    </row>
    <row r="45" ht="44" customHeight="1">
      <c r="A45" s="19" t="str">
        <v>Ștefan Luchian 3B, ap. U3</v>
      </c>
      <c r="B45" s="19" t="str">
        <v>anexa_3_b0e33c0d-aaea-4f10-a0c1-dc2eec19796a.pdf</v>
      </c>
      <c r="C45" s="19" t="str">
        <v>Exista varianta locala diferita</v>
      </c>
      <c r="D45" s="2" t="str">
        <v>Disponibil local</v>
      </c>
      <c r="E45" s="30" t="n">
        <v>46192</v>
      </c>
      <c r="F45" s="12" t="str">
        <v>Deschide fișier</v>
      </c>
      <c r="G45" s="2" t="str">
        <v>cab00cf0-95e6-4b72-843c-7fbf2d5ff63d</v>
      </c>
      <c r="H45" s="19" t="str">
        <v>Vaida - Stefan Luchian 3B ap U3 (contract 5164144-01-20)\Hidroelectrica-2026-06-Anexa3NotaInformareGDPR.pdf</v>
      </c>
      <c r="I45" s="19" t="str">
        <v>ce16d0bfffeeef4d5df847d65b7007225c1b04c95e1f351f6d3eecfbd6b25b0e</v>
      </c>
      <c r="J45" s="2" t="n">
        <v>1</v>
      </c>
    </row>
    <row r="46" ht="44" customHeight="1">
      <c r="A46" s="18" t="str">
        <v>Ștefan Luchian 3B, ap. U3</v>
      </c>
      <c r="B46" s="18" t="str">
        <v>oferta_dfc67dba-7623-4c27-9f11-c379d3b52975.pdf</v>
      </c>
      <c r="C46" s="18" t="str">
        <v>Exista varianta locala diferita</v>
      </c>
      <c r="D46" s="10" t="str">
        <v>Disponibil local</v>
      </c>
      <c r="E46" s="31" t="n">
        <v>46192</v>
      </c>
      <c r="F46" s="11" t="str">
        <v>Deschide fișier</v>
      </c>
      <c r="G46" s="10" t="str">
        <v>4ed1bfc2-dbaf-4c17-9456-33f1a0dfe6a8</v>
      </c>
      <c r="H46" s="18" t="str">
        <v>00. Documente comune\Hidroelectrica-2026-04-OfertaVIITORHIDRO-C1-0105-3006-26.pdf</v>
      </c>
      <c r="I46" s="18" t="str">
        <v>a06ee062258850f2c87de4415b628c0944f89f4872c2250d87e105d3ca20e87f</v>
      </c>
      <c r="J46" s="10" t="n">
        <v>1</v>
      </c>
    </row>
    <row r="47" ht="44" customHeight="1">
      <c r="A47" s="19" t="str">
        <v>Ștefan Luchian 3B, ap. U3</v>
      </c>
      <c r="B47" s="19" t="str">
        <v>anexa_5_cb36dd8b-9198-4eed-a946-b5e9655135a8.pdf</v>
      </c>
      <c r="C47" s="19" t="str">
        <v>Exista varianta locala diferita</v>
      </c>
      <c r="D47" s="2" t="str">
        <v>Disponibil local</v>
      </c>
      <c r="E47" s="30" t="n">
        <v>46192</v>
      </c>
      <c r="F47" s="12" t="str">
        <v>Deschide fișier</v>
      </c>
      <c r="G47" s="2" t="str">
        <v>10f8ddef-d509-45d2-a98d-e847a91a0eb7</v>
      </c>
      <c r="H47" s="19" t="str">
        <v>Vaida - Stefan Luchian 3B ap U3 (contract 5164144-01-20)\Hidroelectrica-2026-06-Anexa5ConditiiGeneraleDistributie.pdf</v>
      </c>
      <c r="I47" s="19" t="str">
        <v>85bb053395eb953aa894f7e757d27939b3668875eaff3934d63406dff0334152</v>
      </c>
      <c r="J47" s="2" t="n">
        <v>1</v>
      </c>
    </row>
    <row r="48" ht="44" customHeight="1">
      <c r="A48" s="18" t="str">
        <v>Ștefan Luchian 3B, ap. U3</v>
      </c>
      <c r="B48" s="18" t="str">
        <v>contract_cerere_5275d876-4b4e-49a7-9164-801f0e47c2a8.pdf</v>
      </c>
      <c r="C48" s="18" t="str">
        <v>Exista varianta locala diferita</v>
      </c>
      <c r="D48" s="10" t="str">
        <v>Disponibil local</v>
      </c>
      <c r="E48" s="31" t="n">
        <v>46192</v>
      </c>
      <c r="F48" s="11" t="str">
        <v>Deschide fișier</v>
      </c>
      <c r="G48" s="10" t="str">
        <v>f48b464d-29ca-4a97-b520-f778d5d018da</v>
      </c>
      <c r="H48" s="18" t="str">
        <v>Vaida - Stefan Luchian 3B ap U3 (contract 5164144-01-20)\Hidroelectrica-2026-06-CerereContractFurnizare.pdf</v>
      </c>
      <c r="I48" s="18" t="str">
        <v>83c80e212767becc64c97249456f213faeb4655643176d77c6f3954395f8821e</v>
      </c>
      <c r="J48" s="10" t="n">
        <v>1</v>
      </c>
    </row>
    <row r="49" ht="44" customHeight="1">
      <c r="A49" s="19" t="str">
        <v>Ștefan Luchian 3B, ap. U3</v>
      </c>
      <c r="B49" s="19" t="str">
        <v>contract_furnizare_6c80ce3c-961d-4f45-b932-deda8a213585.pdf</v>
      </c>
      <c r="C49" s="19" t="str">
        <v>Exista varianta locala diferita</v>
      </c>
      <c r="D49" s="2" t="str">
        <v>Disponibil local</v>
      </c>
      <c r="E49" s="30" t="n">
        <v>46192</v>
      </c>
      <c r="F49" s="12" t="str">
        <v>Deschide fișier</v>
      </c>
      <c r="G49" s="2" t="str">
        <v>598d6acf-6676-46e9-a28d-e8f33d2f83ff</v>
      </c>
      <c r="H49" s="19" t="str">
        <v>Vaida - Stefan Luchian 3B ap U3 (contract 5164144-01-20)\Hidroelectrica-2026-06-ContractFurnizareEnergie.pdf</v>
      </c>
      <c r="I49" s="19" t="str">
        <v>fcbc7ae83142185bc691a68bd40716e5e6889560e4c642b751b468c80b72f4e0</v>
      </c>
      <c r="J49" s="2" t="n">
        <v>1</v>
      </c>
    </row>
    <row r="50" ht="44" customHeight="1">
      <c r="A50" s="18" t="str">
        <v>Ștefan Luchian 3B, ap. U3</v>
      </c>
      <c r="B50" s="18" t="str">
        <v>anexa_4_2d0e95ce-2554-48fc-a621-05c0d80aed73.pdf</v>
      </c>
      <c r="C50" s="18" t="str">
        <v>Exista varianta locala diferita</v>
      </c>
      <c r="D50" s="10" t="str">
        <v>Disponibil local</v>
      </c>
      <c r="E50" s="31" t="n">
        <v>46192</v>
      </c>
      <c r="F50" s="11" t="str">
        <v>Deschide fișier</v>
      </c>
      <c r="G50" s="10" t="str">
        <v>76724dcc-00d5-4a34-897a-bfcb57a7034f</v>
      </c>
      <c r="H50" s="18" t="str">
        <v>Vaida - Stefan Luchian 3B ap U3 (contract 5164144-01-20)\Hidroelectrica-2026-06-Anexa4ConditiiGeneraleFurnizare.pdf</v>
      </c>
      <c r="I50" s="18" t="str">
        <v>4c830598629bf9e9e4dfb67d1d6c3fa26cc59aeed4c80d339bd080654c3b5e05</v>
      </c>
      <c r="J50" s="10" t="n">
        <v>1</v>
      </c>
    </row>
    <row r="51" ht="44" customHeight="1">
      <c r="A51" s="19" t="str">
        <v>Ștefan Luchian 3B, ap. U10</v>
      </c>
      <c r="B51" s="19" t="str">
        <v>contract_declaratie_3f1e76b4-598f-44fe-b0dd-3fb354e7dfbf.pdf</v>
      </c>
      <c r="C51" s="19" t="str">
        <v>Exista varianta locala diferita</v>
      </c>
      <c r="D51" s="2" t="str">
        <v>Disponibil local</v>
      </c>
      <c r="E51" s="30" t="n">
        <v>46192</v>
      </c>
      <c r="F51" s="12" t="str">
        <v>Deschide fișier</v>
      </c>
      <c r="G51" s="2" t="str">
        <v>bc803535-3833-4590-bef0-03f06762c89d</v>
      </c>
      <c r="H51" s="19" t="str">
        <v>Vaida - Stefan Luchian 3B ap U10 (contract 5164148-01-19)\Hidroelectrica-2026-06-DeclaratieProprieRaspundere.pdf</v>
      </c>
      <c r="I51" s="19" t="str">
        <v>2fff9951e0096a3c8e736a93dcaef3ca47c1313f06db90fb8a8ee4d4c9ac39a9</v>
      </c>
      <c r="J51" s="2" t="n">
        <v>1</v>
      </c>
    </row>
    <row r="52" ht="44" customHeight="1">
      <c r="A52" s="18" t="str">
        <v>Ștefan Luchian 3B, ap. U10</v>
      </c>
      <c r="B52" s="18" t="str">
        <v>anexa_4_172ebe92-9e53-427a-a6bf-2984122bfc82.pdf</v>
      </c>
      <c r="C52" s="18" t="str">
        <v>Exista varianta locala diferita</v>
      </c>
      <c r="D52" s="10" t="str">
        <v>Disponibil local</v>
      </c>
      <c r="E52" s="31" t="n">
        <v>46192</v>
      </c>
      <c r="F52" s="11" t="str">
        <v>Deschide fișier</v>
      </c>
      <c r="G52" s="10" t="str">
        <v>3eec3f73-e212-4b39-8612-b1946826e272</v>
      </c>
      <c r="H52" s="18" t="str">
        <v>Vaida - Stefan Luchian 3B ap U10 (contract 5164148-01-19)\Hidroelectrica-2026-06-Anexa4ConditiiGeneraleFurnizare.pdf</v>
      </c>
      <c r="I52" s="18" t="str">
        <v>62806d4e14222d67e626b53170ca403cb9904baa513c4c73da2d6603add46e8e</v>
      </c>
      <c r="J52" s="10" t="n">
        <v>1</v>
      </c>
    </row>
    <row r="53" ht="44" customHeight="1">
      <c r="A53" s="19" t="str">
        <v>Ștefan Luchian 3B, ap. U10</v>
      </c>
      <c r="B53" s="19" t="str">
        <v>contract_furnizare_85e397fe-05dd-49dc-a78b-0c08916ead6a.pdf</v>
      </c>
      <c r="C53" s="19" t="str">
        <v>Exista varianta locala diferita</v>
      </c>
      <c r="D53" s="2" t="str">
        <v>Disponibil local</v>
      </c>
      <c r="E53" s="30" t="n">
        <v>46192</v>
      </c>
      <c r="F53" s="12" t="str">
        <v>Deschide fișier</v>
      </c>
      <c r="G53" s="2" t="str">
        <v>a4fe04f3-3346-4761-bd71-ec8da80c86d2</v>
      </c>
      <c r="H53" s="19" t="str">
        <v>Vaida - Stefan Luchian 3B ap U10 (contract 5164148-01-19)\Hidroelectrica-2026-06-ContractFurnizareEnergie.pdf</v>
      </c>
      <c r="I53" s="19" t="str">
        <v>72cc18321c56a32c71ad75bca968c0f317688bbb91cd75a51a5306b61e08264c</v>
      </c>
      <c r="J53" s="2" t="n">
        <v>1</v>
      </c>
    </row>
    <row r="54" ht="44" customHeight="1">
      <c r="A54" s="18" t="str">
        <v>Ștefan Luchian 3B, ap. U10</v>
      </c>
      <c r="B54" s="18" t="str">
        <v>anexa_3_6521b52e-0944-4818-af01-e2776da2e119.pdf</v>
      </c>
      <c r="C54" s="18" t="str">
        <v>Exista varianta locala diferita</v>
      </c>
      <c r="D54" s="10" t="str">
        <v>Disponibil local</v>
      </c>
      <c r="E54" s="31" t="n">
        <v>46192</v>
      </c>
      <c r="F54" s="11" t="str">
        <v>Deschide fișier</v>
      </c>
      <c r="G54" s="10" t="str">
        <v>ba5c6e2f-618b-4a86-b612-1b3a2eb1c9c2</v>
      </c>
      <c r="H54" s="18" t="str">
        <v>Vaida - Stefan Luchian 3B ap U10 (contract 5164148-01-19)\Hidroelectrica-2026-06-Anexa3NotaInformareGDPR.pdf</v>
      </c>
      <c r="I54" s="18" t="str">
        <v>cd780321b0fd0a3639fec7931ffe44c8f70318450744222e1ea819f9afca9729</v>
      </c>
      <c r="J54" s="10" t="n">
        <v>1</v>
      </c>
    </row>
    <row r="55" ht="44" customHeight="1">
      <c r="A55" s="19" t="str">
        <v>Ștefan Luchian 3B, ap. U10</v>
      </c>
      <c r="B55" s="19" t="str">
        <v>anexa_5_d528bbfc-3f01-45f2-8b0b-e07c6b9d38bc.pdf</v>
      </c>
      <c r="C55" s="19" t="str">
        <v>Exista varianta locala diferita</v>
      </c>
      <c r="D55" s="2" t="str">
        <v>Disponibil local</v>
      </c>
      <c r="E55" s="30" t="n">
        <v>46192</v>
      </c>
      <c r="F55" s="12" t="str">
        <v>Deschide fișier</v>
      </c>
      <c r="G55" s="2" t="str">
        <v>6409b083-8ae8-4786-b8f3-0ae8b3444597</v>
      </c>
      <c r="H55" s="19" t="str">
        <v>Vaida - Stefan Luchian 3B ap U10 (contract 5164148-01-19)\Hidroelectrica-2026-06-Anexa5ConditiiGeneraleDistributie.pdf</v>
      </c>
      <c r="I55" s="19" t="str">
        <v>14f664c80c8d61f175f5c3be223bd6c25faa04fece6459c46ec781dc997551ef</v>
      </c>
      <c r="J55" s="2" t="n">
        <v>1</v>
      </c>
    </row>
    <row r="56" ht="44" customHeight="1">
      <c r="A56" s="18" t="str">
        <v>Ștefan Luchian 3B, ap. U10</v>
      </c>
      <c r="B56" s="18" t="str">
        <v>marketing_0516c581-db29-49f7-929d-56b765984430.pdf</v>
      </c>
      <c r="C56" s="18" t="str">
        <v>Exista identic (SHA-256)</v>
      </c>
      <c r="D56" s="10" t="str">
        <v>Disponibil local</v>
      </c>
      <c r="E56" s="31" t="n">
        <v>46192</v>
      </c>
      <c r="F56" s="11" t="str">
        <v>Deschide fișier</v>
      </c>
      <c r="G56" s="10" t="str">
        <v>ec36683a-f932-4ab0-997b-159efe620e9c</v>
      </c>
      <c r="H56" s="18" t="str">
        <v>00. Documente comune\Hidroelectrica-2026-06-NotaInformareMarketingGDPR-Vaida.pdf</v>
      </c>
      <c r="I56" s="18" t="str">
        <v>69b5b632bce5613663164962ceab22f9ab78d363e502db4d6af4f1bd900f3119</v>
      </c>
      <c r="J56" s="10" t="n">
        <v>1</v>
      </c>
    </row>
    <row r="57" ht="44" customHeight="1">
      <c r="A57" s="19" t="str">
        <v>Ștefan Luchian 3B, ap. U10</v>
      </c>
      <c r="B57" s="19" t="str">
        <v>oferta_d562f03a-88df-422c-93c9-9146e9022ea2.pdf</v>
      </c>
      <c r="C57" s="19" t="str">
        <v>Exista varianta locala diferita</v>
      </c>
      <c r="D57" s="2" t="str">
        <v>Disponibil local</v>
      </c>
      <c r="E57" s="30" t="n">
        <v>46192</v>
      </c>
      <c r="F57" s="12" t="str">
        <v>Deschide fișier</v>
      </c>
      <c r="G57" s="2" t="str">
        <v>280b277e-47ec-497f-9243-27c92df310a0</v>
      </c>
      <c r="H57" s="19" t="str">
        <v>00. Documente comune\Hidroelectrica-2026-04-OfertaVIITORHIDRO-C1-0105-3006-26.pdf</v>
      </c>
      <c r="I57" s="19" t="str">
        <v>94c1bdadbbe296cad18005c218dc71f21e213afe92ed130566a76a493526851f</v>
      </c>
      <c r="J57" s="2" t="n">
        <v>1</v>
      </c>
    </row>
    <row r="58" ht="44" customHeight="1">
      <c r="A58" s="18" t="str">
        <v>Ștefan Luchian 3B, ap. U10</v>
      </c>
      <c r="B58" s="18" t="str">
        <v>contract_cerere_f60f6be5-e580-4c42-9c85-8342e14260d8.pdf</v>
      </c>
      <c r="C58" s="18" t="str">
        <v>Exista varianta locala diferita</v>
      </c>
      <c r="D58" s="10" t="str">
        <v>Disponibil local</v>
      </c>
      <c r="E58" s="31" t="n">
        <v>46192</v>
      </c>
      <c r="F58" s="11" t="str">
        <v>Deschide fișier</v>
      </c>
      <c r="G58" s="10" t="str">
        <v>8427c83d-f55b-4837-a551-f4829c6bb7a6</v>
      </c>
      <c r="H58" s="18" t="str">
        <v>Vaida - Stefan Luchian 3B ap U10 (contract 5164148-01-19)\Hidroelectrica-2026-06-CerereContractFurnizare.pdf</v>
      </c>
      <c r="I58" s="18" t="str">
        <v>7aa7893f8e82364f48e0f10ac7b411ecd6ffc7d9dcc93bc6cb8e110c49c947be</v>
      </c>
      <c r="J58" s="10" t="n">
        <v>1</v>
      </c>
    </row>
    <row r="59" ht="44" customHeight="1">
      <c r="A59" s="19" t="str">
        <v>Ștefan Luchian 3B, ap. U10</v>
      </c>
      <c r="B59" s="19" t="str">
        <v>contract_prosumator_6bd20f98-dab7-40ed-972d-bd76fc6c19da.pdf</v>
      </c>
      <c r="C59" s="19" t="str">
        <v>Exista varianta locala diferita</v>
      </c>
      <c r="D59" s="2" t="str">
        <v>Disponibil local</v>
      </c>
      <c r="E59" s="30" t="n">
        <v>46192</v>
      </c>
      <c r="F59" s="12" t="str">
        <v>Deschide fișier</v>
      </c>
      <c r="G59" s="2" t="str">
        <v>7faa518f-9ee4-433e-b10b-dc3d230178ec</v>
      </c>
      <c r="H59" s="19" t="str">
        <v>Vaida - Stefan Luchian 3B ap U10 (contract 5164148-01-19)\Hidroelectrica-2026-06-ContractProsumator.pdf</v>
      </c>
      <c r="I59" s="19" t="str">
        <v>a8a779d45b3a98210f945f2cfe2226d6c52174f1bd7cf83f697e107f3ff262f7</v>
      </c>
      <c r="J59" s="2" t="n">
        <v>1</v>
      </c>
    </row>
    <row r="60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24" customHeight="1">
      <c r="A62" s="2" t="str">
        <v>Identic = SHA-256 egal. Variantă diferită = document corespondent local, dar conținut binar diferit.</v>
      </c>
      <c r="B62" s="2"/>
      <c r="C62" s="2"/>
      <c r="D62" s="2"/>
      <c r="E62" s="2"/>
      <c r="F62" s="2"/>
      <c r="G62" s="2"/>
      <c r="H62" s="2"/>
      <c r="I62" s="2"/>
      <c r="J62" s="2"/>
    </row>
    <row r="63" ht="24" customHeight="1">
      <c r="A63" s="2" t="str">
        <v>Perechile locale sunt păstrate pentru comparație. Toate fișierele din email sunt acum prezente în dosar.</v>
      </c>
      <c r="B63" s="2"/>
      <c r="C63" s="2"/>
      <c r="D63" s="2"/>
      <c r="E63" s="2"/>
      <c r="F63" s="2"/>
      <c r="G63" s="2"/>
      <c r="H63" s="2"/>
      <c r="I63" s="2"/>
      <c r="J63" s="2"/>
    </row>
    <row r="64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</sheetData>
  <hyperlinks>
    <hyperlink ref="F6" r:id="rIdLocalDoc1" display="Deschide fișier"/>
    <hyperlink ref="F7" r:id="rIdLocalDoc2" display="Deschide fișier"/>
    <hyperlink ref="F8" r:id="rIdLocalDoc3" display="Deschide fișier"/>
    <hyperlink ref="F9" r:id="rIdLocalDoc4" display="Deschide fișier"/>
    <hyperlink ref="F10" r:id="rIdLocalDoc5" display="Deschide fișier"/>
    <hyperlink ref="F11" r:id="rIdLocalDoc6" display="Deschide fișier"/>
    <hyperlink ref="F12" r:id="rIdLocalDoc7" display="Deschide fișier"/>
    <hyperlink ref="F13" r:id="rIdLocalDoc8" display="Deschide fișier"/>
    <hyperlink ref="F14" r:id="rIdLocalDoc9" display="Deschide fișier"/>
    <hyperlink ref="F15" r:id="rIdLocalDoc10" display="Deschide fișier"/>
    <hyperlink ref="F16" r:id="rIdLocalDoc11" display="Deschide fișier"/>
    <hyperlink ref="F17" r:id="rIdLocalDoc12" display="Deschide fișier"/>
    <hyperlink ref="F18" r:id="rIdLocalDoc13" display="Deschide fișier"/>
    <hyperlink ref="F19" r:id="rIdLocalDoc14" display="Deschide fișier"/>
    <hyperlink ref="F20" r:id="rIdLocalDoc15" display="Deschide fișier"/>
    <hyperlink ref="F21" r:id="rIdLocalDoc16" display="Deschide fișier"/>
    <hyperlink ref="F22" r:id="rIdLocalDoc17" display="Deschide fișier"/>
    <hyperlink ref="F23" r:id="rIdLocalDoc18" display="Deschide fișier"/>
    <hyperlink ref="F24" r:id="rIdLocalDoc19" display="Deschide fișier"/>
    <hyperlink ref="F25" r:id="rIdLocalDoc20" display="Deschide fișier"/>
    <hyperlink ref="F26" r:id="rIdLocalDoc21" display="Deschide fișier"/>
    <hyperlink ref="F27" r:id="rIdLocalDoc22" display="Deschide fișier"/>
    <hyperlink ref="F28" r:id="rIdLocalDoc23" display="Deschide fișier"/>
    <hyperlink ref="F29" r:id="rIdLocalDoc24" display="Deschide fișier"/>
    <hyperlink ref="F30" r:id="rIdLocalDoc25" display="Deschide fișier"/>
    <hyperlink ref="F31" r:id="rIdLocalDoc26" display="Deschide fișier"/>
    <hyperlink ref="F32" r:id="rIdLocalDoc27" display="Deschide fișier"/>
    <hyperlink ref="F33" r:id="rIdLocalDoc28" display="Deschide fișier"/>
    <hyperlink ref="F34" r:id="rIdLocalDoc29" display="Deschide fișier"/>
    <hyperlink ref="F35" r:id="rIdLocalDoc30" display="Deschide fișier"/>
    <hyperlink ref="F36" r:id="rIdLocalDoc31" display="Deschide fișier"/>
    <hyperlink ref="F37" r:id="rIdLocalDoc32" display="Deschide fișier"/>
    <hyperlink ref="F38" r:id="rIdLocalDoc33" display="Deschide fișier"/>
    <hyperlink ref="F39" r:id="rIdLocalDoc34" display="Deschide fișier"/>
    <hyperlink ref="F40" r:id="rIdLocalDoc35" display="Deschide fișier"/>
    <hyperlink ref="F41" r:id="rIdLocalDoc36" display="Deschide fișier"/>
    <hyperlink ref="F42" r:id="rIdLocalDoc37" display="Deschide fișier"/>
    <hyperlink ref="F43" r:id="rIdLocalDoc38" display="Deschide fișier"/>
    <hyperlink ref="F44" r:id="rIdLocalDoc39" display="Deschide fișier"/>
    <hyperlink ref="F45" r:id="rIdLocalDoc40" display="Deschide fișier"/>
    <hyperlink ref="F46" r:id="rIdLocalDoc41" display="Deschide fișier"/>
    <hyperlink ref="F47" r:id="rIdLocalDoc42" display="Deschide fișier"/>
    <hyperlink ref="F48" r:id="rIdLocalDoc43" display="Deschide fișier"/>
    <hyperlink ref="F49" r:id="rIdLocalDoc44" display="Deschide fișier"/>
    <hyperlink ref="F50" r:id="rIdLocalDoc45" display="Deschide fișier"/>
    <hyperlink ref="F51" r:id="rIdLocalDoc46" display="Deschide fișier"/>
    <hyperlink ref="F52" r:id="rIdLocalDoc47" display="Deschide fișier"/>
    <hyperlink ref="F53" r:id="rIdLocalDoc48" display="Deschide fișier"/>
    <hyperlink ref="F54" r:id="rIdLocalDoc49" display="Deschide fișier"/>
    <hyperlink ref="F55" r:id="rIdLocalDoc50" display="Deschide fișier"/>
    <hyperlink ref="F56" r:id="rIdLocalDoc51" display="Deschide fișier"/>
    <hyperlink ref="F57" r:id="rIdLocalDoc52" display="Deschide fișier"/>
    <hyperlink ref="F58" r:id="rIdLocalDoc53" display="Deschide fișier"/>
    <hyperlink ref="F59" r:id="rIdLocalDoc54" display="Deschide fișier"/>
  </hyperlinks>
  <pageMargins left="0.7" right="0.7" top="0.75" bottom="0.75" header="0.3" footer="0.3"/>
  <tableParts count="1">
    <tablePart r:id="Rd6222f502269459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5" topLeftCell="A6" activePane="bottomLeft" state="frozen"/>
    </sheetView>
  </sheetViews>
  <sheetFormatPr defaultRowHeight="15"/>
  <cols>
    <col min="1" max="1" width="13.130000114440918" hidden="0" customWidth="1"/>
    <col min="2" max="2" width="52.5" hidden="0" customWidth="1"/>
    <col min="3" max="3" width="33.75" hidden="0" customWidth="1"/>
    <col min="4" max="4" width="41.25" hidden="0" customWidth="1"/>
    <col min="5" max="5" width="9.380000114440918" hidden="0" customWidth="1"/>
    <col min="6" max="6" width="18.1299991607666" hidden="0" customWidth="1"/>
    <col min="7" max="7" width="53.75" hidden="0" customWidth="1"/>
    <col min="8" max="8" width="46.25" hidden="0" customWidth="1"/>
  </cols>
  <sheetData>
    <row r="1" ht="24" customHeight="1">
      <c r="A1" s="2"/>
      <c r="B1" s="2"/>
      <c r="C1" s="2"/>
      <c r="D1" s="2"/>
      <c r="E1" s="2"/>
      <c r="F1" s="2"/>
      <c r="G1" s="2"/>
      <c r="H1" s="2"/>
    </row>
    <row r="2" ht="24" customHeight="1">
      <c r="A2" s="3" t="str">
        <v>Emailuri consultate</v>
      </c>
      <c r="B2" s="2"/>
      <c r="C2" s="2"/>
      <c r="D2" s="2"/>
      <c r="E2" s="2"/>
      <c r="F2" s="2"/>
      <c r="G2" s="2"/>
      <c r="H2" s="2"/>
    </row>
    <row r="3" ht="24" customHeight="1">
      <c r="A3" s="4"/>
      <c r="B3" s="4"/>
      <c r="C3" s="4"/>
      <c r="D3" s="4"/>
      <c r="E3" s="4"/>
      <c r="F3" s="4"/>
      <c r="G3" s="4"/>
      <c r="H3" s="4"/>
    </row>
    <row r="4" ht="24" customHeight="1">
      <c r="A4" s="2"/>
      <c r="B4" s="2"/>
      <c r="C4" s="2"/>
      <c r="D4" s="2"/>
      <c r="E4" s="2"/>
      <c r="F4" s="2"/>
      <c r="G4" s="2"/>
      <c r="H4" s="2"/>
    </row>
    <row r="5" ht="38" customHeight="1">
      <c r="A5" s="9" t="str">
        <v>Data UTC</v>
      </c>
      <c r="B5" s="9" t="str">
        <v>Subiect</v>
      </c>
      <c r="C5" s="9" t="str">
        <v>Expeditor</v>
      </c>
      <c r="D5" s="9" t="str">
        <v>Căsuțe</v>
      </c>
      <c r="E5" s="9" t="str">
        <v>Copii</v>
      </c>
      <c r="F5" s="9" t="str">
        <v>Export text</v>
      </c>
      <c r="G5" s="9" t="str">
        <v>Atașamente</v>
      </c>
      <c r="H5" s="9" t="str">
        <v>ID-uri EVA</v>
      </c>
    </row>
    <row r="6" ht="48" customHeight="1">
      <c r="A6" s="31" t="n">
        <v>46192</v>
      </c>
      <c r="B6" s="18" t="str">
        <v>Cod validare</v>
      </c>
      <c r="C6" s="18" t="str">
        <v>noreply@hidroelectrica.ro</v>
      </c>
      <c r="D6" s="18" t="str">
        <v>link_covaciu@yahoo.com</v>
      </c>
      <c r="E6" s="10" t="n">
        <v>1</v>
      </c>
      <c r="F6" s="11" t="str">
        <v>Deschide email</v>
      </c>
      <c r="G6" s="18" t="str"/>
      <c r="H6" s="18" t="str">
        <v>7ee93077-6fa5-4291-993b-89213c89f1d8</v>
      </c>
    </row>
    <row r="7" ht="48" customHeight="1">
      <c r="A7" s="30" t="n">
        <v>46192</v>
      </c>
      <c r="B7" s="19" t="str">
        <v>Bun venit la Hidroelectrica!</v>
      </c>
      <c r="C7" s="19" t="str">
        <v>no-reply@digital.hidroelectrica.ro</v>
      </c>
      <c r="D7" s="19" t="str">
        <v>link_covaciu@yahoo.com</v>
      </c>
      <c r="E7" s="2" t="n">
        <v>1</v>
      </c>
      <c r="F7" s="12" t="str">
        <v>Deschide email</v>
      </c>
      <c r="G7" s="19" t="str"/>
      <c r="H7" s="19" t="str">
        <v>bb0f13d6-3e98-4c43-bef9-6481d1314eea</v>
      </c>
    </row>
    <row r="8" ht="48" customHeight="1">
      <c r="A8" s="31" t="n">
        <v>46192</v>
      </c>
      <c r="B8" s="18" t="str">
        <v>Cod validare</v>
      </c>
      <c r="C8" s="18" t="str">
        <v>noreply@hidroelectrica.ro</v>
      </c>
      <c r="D8" s="18" t="str">
        <v>covaciu.gnm@gmail.com; covaciu.gnm@eva-org.com</v>
      </c>
      <c r="E8" s="10" t="n">
        <v>2</v>
      </c>
      <c r="F8" s="11" t="str">
        <v>Deschide email</v>
      </c>
      <c r="G8" s="18" t="str"/>
      <c r="H8" s="18" t="str">
        <v>b2d594ba-89d1-4a96-b720-3558e7adbbd4; 99b7feb9-8672-4c1c-9b19-2349e516ce33</v>
      </c>
    </row>
    <row r="9" ht="48" customHeight="1">
      <c r="A9" s="30" t="n">
        <v>46192</v>
      </c>
      <c r="B9" s="19" t="str">
        <v>Cod validare</v>
      </c>
      <c r="C9" s="19" t="str">
        <v>noreply@hidroelectrica.ro</v>
      </c>
      <c r="D9" s="19" t="str">
        <v>covaciu.gnm@gmail.com; covaciu.gnm@eva-org.com</v>
      </c>
      <c r="E9" s="2" t="n">
        <v>2</v>
      </c>
      <c r="F9" s="12" t="str">
        <v>Deschide email</v>
      </c>
      <c r="G9" s="19" t="str"/>
      <c r="H9" s="19" t="str">
        <v>94d565ea-9126-4c02-8083-7ef2aa78574d; 8a393d2d-5fcc-452c-80a3-3ae96c49f5b4</v>
      </c>
    </row>
    <row r="10" ht="48" customHeight="1">
      <c r="A10" s="31" t="n">
        <v>46192</v>
      </c>
      <c r="B10" s="18" t="str">
        <v>Bun venit la Hidroelectrica!</v>
      </c>
      <c r="C10" s="18" t="str">
        <v>no-reply@digital.hidroelectrica.ro</v>
      </c>
      <c r="D10" s="18" t="str">
        <v>covaciu.gnm@eva-org.com; covaciu.gnm@gmail.com</v>
      </c>
      <c r="E10" s="10" t="n">
        <v>2</v>
      </c>
      <c r="F10" s="11" t="str">
        <v>Deschide email</v>
      </c>
      <c r="G10" s="18" t="str"/>
      <c r="H10" s="18" t="str">
        <v>e89e13e8-0875-4969-909b-13e1b802fc86; 9838d6ed-198c-44da-b4f2-30792ef3370f</v>
      </c>
    </row>
    <row r="11" ht="48" customHeight="1">
      <c r="A11" s="30" t="n">
        <v>46192</v>
      </c>
      <c r="B11" s="19" t="str">
        <v>Transmitere documente contractuale – Hidroelectrica </v>
      </c>
      <c r="C11" s="19" t="str">
        <v>contractare@hidroelectrica.ro</v>
      </c>
      <c r="D11" s="19" t="str">
        <v>link_covaciu@yahoo.com</v>
      </c>
      <c r="E11" s="2" t="n">
        <v>1</v>
      </c>
      <c r="F11" s="12" t="str">
        <v>Deschide email</v>
      </c>
      <c r="G11" s="19" t="str">
        <v>contract_prosumator_6bd20f98-dab7-40ed-972d-bd76fc6c19da.pdf</v>
      </c>
      <c r="H11" s="19" t="str">
        <v>0161e2a4-bfb6-4db3-bb75-51fa78c47654</v>
      </c>
    </row>
    <row r="12" ht="48" customHeight="1">
      <c r="A12" s="31" t="n">
        <v>46192</v>
      </c>
      <c r="B12" s="18" t="str">
        <v>Transmitere documente contractuale – Hidroelectrica </v>
      </c>
      <c r="C12" s="18" t="str">
        <v>contractare@hidroelectrica.ro</v>
      </c>
      <c r="D12" s="18" t="str">
        <v>link_covaciu@yahoo.com</v>
      </c>
      <c r="E12" s="10" t="n">
        <v>1</v>
      </c>
      <c r="F12" s="11" t="str">
        <v>Deschide email</v>
      </c>
      <c r="G12" s="18" t="str">
        <v>contract_declaratie_3f1e76b4-598f-44fe-b0dd-3fb354e7dfbf.pdf; anexa_4_172ebe92-9e53-427a-a6bf-2984122bfc82.pdf; contract_furnizare_85e397fe-05dd-49dc-a78b-0c08916ead6a.pdf; anexa_3_6521b52e-0944-4818-af01-e2776da2e119.pdf; anexa_5_d528bbfc-3f01-45f2-8b0b-e07c6b9d38bc.pdf; marketing_0516c581-db29-49f7-929d-56b765984430.pdf; oferta_d562f03a-88df-422c-93c9-9146e9022ea2.pdf; contract_cerere_f60f6be5-e580-4c42-9c85-8342e14260d8.pdf</v>
      </c>
      <c r="H12" s="18" t="str">
        <v>2b87ce43-5a61-4161-afea-c1cb142fc875</v>
      </c>
    </row>
    <row r="13" ht="48" customHeight="1">
      <c r="A13" s="30" t="n">
        <v>46192</v>
      </c>
      <c r="B13" s="19" t="str">
        <v>Transmitere documente contractuale – Hidroelectrica </v>
      </c>
      <c r="C13" s="19" t="str">
        <v>contractare@hidroelectrica.ro</v>
      </c>
      <c r="D13" s="19" t="str">
        <v>link_covaciu@yahoo.com</v>
      </c>
      <c r="E13" s="2" t="n">
        <v>1</v>
      </c>
      <c r="F13" s="12" t="str">
        <v>Deschide email</v>
      </c>
      <c r="G13" s="19" t="str">
        <v>contract_declaratie_d30c02fd-5eb3-4231-b0cc-bde78e6a8b56.pdf; anexa_3_b0e33c0d-aaea-4f10-a0c1-dc2eec19796a.pdf; oferta_dfc67dba-7623-4c27-9f11-c379d3b52975.pdf; anexa_5_cb36dd8b-9198-4eed-a946-b5e9655135a8.pdf; contract_cerere_5275d876-4b4e-49a7-9164-801f0e47c2a8.pdf; contract_furnizare_6c80ce3c-961d-4f45-b932-deda8a213585.pdf; anexa_4_2d0e95ce-2554-48fc-a621-05c0d80aed73.pdf</v>
      </c>
      <c r="H13" s="19" t="str">
        <v>dbdbf754-30f1-4f56-82e1-e2d7b12fd6f4</v>
      </c>
    </row>
    <row r="14" ht="48" customHeight="1">
      <c r="A14" s="31" t="n">
        <v>46192</v>
      </c>
      <c r="B14" s="18" t="str">
        <v>Transmitere documente contractuale – Hidroelectrica </v>
      </c>
      <c r="C14" s="18" t="str">
        <v>contractare@hidroelectrica.ro</v>
      </c>
      <c r="D14" s="18" t="str">
        <v>covaciu.gnm@gmail.com; covaciu.gnm@eva-org.com</v>
      </c>
      <c r="E14" s="10" t="n">
        <v>2</v>
      </c>
      <c r="F14" s="11" t="str">
        <v>Deschide email</v>
      </c>
      <c r="G14" s="18" t="str">
        <v>oferta_8bbaeff1-055f-46ae-85ae-f6c8f9eef40e.pdf; anexa_4_f0a54e79-7107-40bd-8e4d-ebcbfb871e5e.pdf; anexa_3_7f544e62-8f10-4641-afec-5a37bfea0c35.pdf; marketing_38b04517-6c06-4655-8ddf-36dfed4732ca.pdf; contract_cerere_b326a9ea-3143-490a-a788-ccf4a9854e8f.pdf; anexa_5_9860db8f-1c79-4e71-9d54-1c71f3709eb6.pdf; contract_declaratie_fc62daa8-8119-4f3a-956f-1702dbbfd642.pdf; contract_furnizare_f8550d4a-4e47-4c2a-a705-d39a53d0b02f.pdf</v>
      </c>
      <c r="H14" s="18" t="str">
        <v>c2f53070-d1f6-4a72-bd44-0e486fcb3322; 057b685b-f1d6-4dc7-b1fa-389a6b8ad7eb</v>
      </c>
    </row>
    <row r="15" ht="48" customHeight="1">
      <c r="A15" s="30" t="n">
        <v>46192</v>
      </c>
      <c r="B15" s="19" t="str">
        <v>Transmitere documente contractuale – Hidroelectrica </v>
      </c>
      <c r="C15" s="19" t="str">
        <v>contractare@hidroelectrica.ro</v>
      </c>
      <c r="D15" s="19" t="str">
        <v>covaciu.gnm@eva-org.com; covaciu.gnm@gmail.com</v>
      </c>
      <c r="E15" s="2" t="n">
        <v>2</v>
      </c>
      <c r="F15" s="12" t="str">
        <v>Deschide email</v>
      </c>
      <c r="G15" s="19" t="str">
        <v>anexa_5_9871c85a-0ded-4112-af1c-a016fff8b0da.pdf; contract_cerere_d55485b0-308f-4185-aaf2-43b9d2113d27.pdf; anexa_4_2d242fbb-f7e3-48d8-9578-84768098f402.pdf; contract_furnizare_12b43f10-7053-4d28-9a56-193cbb060d0a.pdf; oferta_9baba7cc-e23b-4eff-96ec-6aa3432b452b.pdf; anexa_3_56901d07-263a-4194-adb0-68c42da3557a.pdf; contract_declaratie_3437660c-23b8-4b91-8972-106329727eea.pdf</v>
      </c>
      <c r="H15" s="19" t="str">
        <v>b3a5c3a7-9266-4c4a-bfea-dc9f09f4f909; 01fafed9-5251-450b-8388-4a9d51335612</v>
      </c>
    </row>
    <row r="16" ht="48" customHeight="1">
      <c r="A16" s="31" t="n">
        <v>46192</v>
      </c>
      <c r="B16" s="18" t="str">
        <v>Transmitere documente contractuale – Hidroelectrica </v>
      </c>
      <c r="C16" s="18" t="str">
        <v>contractare@hidroelectrica.ro</v>
      </c>
      <c r="D16" s="18" t="str">
        <v>covaciu.gnm@eva-org.com; covaciu.gnm@gmail.com</v>
      </c>
      <c r="E16" s="10" t="n">
        <v>2</v>
      </c>
      <c r="F16" s="11" t="str">
        <v>Deschide email</v>
      </c>
      <c r="G16" s="18" t="str">
        <v>contract_cerere_d55485b0-308f-4185-aaf2-43b9d2113d27.pdf; anexa_3_56901d07-263a-4194-adb0-68c42da3557a.pdf; anexa_5_9871c85a-0ded-4112-af1c-a016fff8b0da.pdf; anexa_4_2d242fbb-f7e3-48d8-9578-84768098f402.pdf; oferta_9baba7cc-e23b-4eff-96ec-6aa3432b452b.pdf; contract_declaratie_3437660c-23b8-4b91-8972-106329727eea.pdf; contract_furnizare_12b43f10-7053-4d28-9a56-193cbb060d0a.pdf</v>
      </c>
      <c r="H16" s="18" t="str">
        <v>eceb49af-762f-4985-92a0-be2339470015; c3ad21c6-bd56-46f3-8e52-1d75bae625ab</v>
      </c>
    </row>
    <row r="17" ht="48" customHeight="1">
      <c r="A17" s="30" t="n">
        <v>46197</v>
      </c>
      <c r="B17" s="19" t="str">
        <v>Notificare Hidroelectrica - Lipsa contract prosumator - 594020400000040613</v>
      </c>
      <c r="C17" s="19" t="str">
        <v>notificari@hidroelectrica.ro</v>
      </c>
      <c r="D17" s="19" t="str">
        <v>covaciu.gnm@gmail.com; covaciu.gnm@eva-org.com</v>
      </c>
      <c r="E17" s="2" t="n">
        <v>2</v>
      </c>
      <c r="F17" s="12" t="str">
        <v>Deschide email</v>
      </c>
      <c r="G17" s="19" t="str">
        <v>Notificare_594020400000040613_12.pdf; A4CEDBAD45747D67F5325E16A9331313E8B813DC.jpg</v>
      </c>
      <c r="H17" s="19" t="str">
        <v>cee633e7-bba8-47a0-8c77-301412713d89; 0a1526af-75e0-4c64-ab43-5797dbccfbe2</v>
      </c>
    </row>
    <row r="18" ht="48" customHeight="1">
      <c r="A18" s="31" t="n">
        <v>46204</v>
      </c>
      <c r="B18" s="18" t="str">
        <v>Bun venit la Hidroelectrica!</v>
      </c>
      <c r="C18" s="18" t="str">
        <v>no-reply@digital.hidroelectrica.ro</v>
      </c>
      <c r="D18" s="18" t="str">
        <v>covaciu.gnm@gmail.com; covaciu.gnm@eva-org.com</v>
      </c>
      <c r="E18" s="10" t="n">
        <v>2</v>
      </c>
      <c r="F18" s="11" t="str">
        <v>Deschide email</v>
      </c>
      <c r="G18" s="18" t="str"/>
      <c r="H18" s="18" t="str">
        <v>8549182f-44ef-4155-94f2-f854d8509de6; 7faa722c-3c9a-4f98-9e96-69b512399cbb</v>
      </c>
    </row>
    <row r="19" ht="48" customHeight="1">
      <c r="A19" s="30" t="n">
        <v>46204</v>
      </c>
      <c r="B19" s="19" t="str">
        <v>Hidroelectrica Activarea contului</v>
      </c>
      <c r="C19" s="19" t="str">
        <v>no-reply@hidroelectrica.ro</v>
      </c>
      <c r="D19" s="19" t="str">
        <v>covaciu.gnm@gmail.com; covaciu.gnm@eva-org.com</v>
      </c>
      <c r="E19" s="2" t="n">
        <v>2</v>
      </c>
      <c r="F19" s="12" t="str">
        <v>Deschide email</v>
      </c>
      <c r="G19" s="19" t="str"/>
      <c r="H19" s="19" t="str">
        <v>de1750b4-f7b4-4603-9782-509640a58990; 8ed6e8f1-0982-4359-9227-e0c00a850ddb</v>
      </c>
    </row>
    <row r="20" ht="48" customHeight="1">
      <c r="A20" s="31" t="n">
        <v>46204</v>
      </c>
      <c r="B20" s="18" t="str">
        <v>Hidroelectrica Preferință de notificare</v>
      </c>
      <c r="C20" s="18" t="str">
        <v>no-reply@hidroelectrica.ro</v>
      </c>
      <c r="D20" s="18" t="str">
        <v>covaciu.gnm@gmail.com; covaciu.gnm@eva-org.com</v>
      </c>
      <c r="E20" s="10" t="n">
        <v>2</v>
      </c>
      <c r="F20" s="11" t="str">
        <v>Deschide email</v>
      </c>
      <c r="G20" s="18" t="str"/>
      <c r="H20" s="18" t="str">
        <v>94c79e16-ac80-4c3e-bfe7-81cf5986d1db; 3bab9fc4-22b8-4d55-8f50-45a283f06033</v>
      </c>
    </row>
    <row r="21" ht="48" customHeight="1">
      <c r="A21" s="30" t="n">
        <v>46204</v>
      </c>
      <c r="B21" s="19" t="str">
        <v>Transmitere documente contractuale – Hidroelectrica </v>
      </c>
      <c r="C21" s="19" t="str">
        <v>contractare@hidroelectrica.ro</v>
      </c>
      <c r="D21" s="19" t="str">
        <v>covaciu.gnm@eva-org.com; covaciu.gnm@gmail.com</v>
      </c>
      <c r="E21" s="2" t="n">
        <v>2</v>
      </c>
      <c r="F21" s="12" t="str">
        <v>Deschide email</v>
      </c>
      <c r="G21" s="19" t="str">
        <v>contract_prosumator_e1f346ad-0d91-4cb0-8471-d474a5de1d10.pdf</v>
      </c>
      <c r="H21" s="19" t="str">
        <v>7d5a29b3-9aee-45ad-89e1-b3174922dcb2; 541cd788-a666-47d7-b82a-6357deeff6b7</v>
      </c>
    </row>
    <row r="22" ht="48" customHeight="1">
      <c r="A22" s="31" t="n">
        <v>46204</v>
      </c>
      <c r="B22" s="18" t="str">
        <v>Transmitere documente contractuale – Hidroelectrica </v>
      </c>
      <c r="C22" s="18" t="str">
        <v>contractare@hidroelectrica.ro</v>
      </c>
      <c r="D22" s="18" t="str">
        <v>covaciu.gnm@eva-org.com; covaciu.gnm@gmail.com</v>
      </c>
      <c r="E22" s="10" t="n">
        <v>2</v>
      </c>
      <c r="F22" s="11" t="str">
        <v>Deschide email</v>
      </c>
      <c r="G22" s="18" t="str">
        <v>contract_furnizare_9b97354f-fba2-4da6-9b74-e90b30f26111.pdf; anexa_4_8305784c-28f4-4515-8421-70e4d992a803.pdf; contract_cerere_f1872f91-b035-4750-8550-aae2c29a4f4d.pdf; oferta_de27a588-e02c-4a15-ab48-4ec0006e4074.pdf; contract_declaratie_96019a87-51b8-4cb3-8643-f10ab8bda38a.pdf; anexa_3_336dc6eb-24da-425e-bf35-42bd71dfbaac.pdf; anexa_5_fcd3d302-48b9-4461-98f6-c9580f7f443e.pdf</v>
      </c>
      <c r="H22" s="18" t="str">
        <v>cf1ac0e3-3434-4ed6-b198-9cf94187c00a; c62179e7-db9b-456b-b3cb-e579acff0a65</v>
      </c>
    </row>
    <row r="23" ht="48" customHeight="1">
      <c r="A23" s="30" t="n">
        <v>46206</v>
      </c>
      <c r="B23" s="19" t="str">
        <v>Informații esențiale despre convenția de consum</v>
      </c>
      <c r="C23" s="19" t="str">
        <v>no-reply@digital.hidroelectrica.ro</v>
      </c>
      <c r="D23" s="19" t="str">
        <v>link_covaciu@yahoo.com</v>
      </c>
      <c r="E23" s="2" t="n">
        <v>1</v>
      </c>
      <c r="F23" s="12" t="str">
        <v>Deschide email</v>
      </c>
      <c r="G23" s="19" t="str"/>
      <c r="H23" s="19" t="str">
        <v>6b9ca0c3-c1d9-4fe2-be17-33474dae43cd</v>
      </c>
    </row>
    <row r="24" ht="48" customHeight="1">
      <c r="A24" s="31" t="n">
        <v>46206</v>
      </c>
      <c r="B24" s="18" t="str">
        <v>Informații esențiale despre convenția de consum</v>
      </c>
      <c r="C24" s="18" t="str">
        <v>no-reply@digital.hidroelectrica.ro</v>
      </c>
      <c r="D24" s="18" t="str">
        <v>covaciu.gnm@eva-org.com; covaciu.gnm@gmail.com</v>
      </c>
      <c r="E24" s="10" t="n">
        <v>2</v>
      </c>
      <c r="F24" s="11" t="str">
        <v>Deschide email</v>
      </c>
      <c r="G24" s="18" t="str"/>
      <c r="H24" s="18" t="str">
        <v>d5db3500-efc5-4151-8552-a657eea3a5eb; 828217a1-26d7-4d34-ae8e-e70529a3ce3b</v>
      </c>
    </row>
    <row r="25" ht="48" customHeight="1">
      <c r="A25" s="30" t="n">
        <v>46213</v>
      </c>
      <c r="B25" s="19" t="str">
        <v>Factura Hidroelectrica FX-26107829179 a fost generata</v>
      </c>
      <c r="C25" s="19" t="str">
        <v>crm@hidroelectrica.ro</v>
      </c>
      <c r="D25" s="19" t="str">
        <v>link_covaciu@yahoo.com</v>
      </c>
      <c r="E25" s="2" t="n">
        <v>1</v>
      </c>
      <c r="F25" s="12" t="str">
        <v>Deschide email</v>
      </c>
      <c r="G25" s="19" t="str">
        <v>FX-26107829179.PDF</v>
      </c>
      <c r="H25" s="19" t="str">
        <v>0851ab8d-4781-47e0-96a9-801f45c76cfe</v>
      </c>
    </row>
    <row r="26" ht="48" customHeight="1">
      <c r="A26" s="31" t="n">
        <v>46213</v>
      </c>
      <c r="B26" s="18" t="str">
        <v>Factura Hidroelectrica FX-26107829180 a fost generata</v>
      </c>
      <c r="C26" s="18" t="str">
        <v>crm@hidroelectrica.ro</v>
      </c>
      <c r="D26" s="18" t="str">
        <v>link_covaciu@yahoo.com</v>
      </c>
      <c r="E26" s="10" t="n">
        <v>1</v>
      </c>
      <c r="F26" s="11" t="str">
        <v>Deschide email</v>
      </c>
      <c r="G26" s="18" t="str">
        <v>FX-26107829180.PDF</v>
      </c>
      <c r="H26" s="18" t="str">
        <v>326b2af2-459c-41bf-86c7-971be9b0412c</v>
      </c>
    </row>
    <row r="27" ht="48" customHeight="1">
      <c r="A27" s="30" t="n">
        <v>46213</v>
      </c>
      <c r="B27" s="19" t="str">
        <v>Contactați-ne simplu și eficient prin Formularul Unic de Contact</v>
      </c>
      <c r="C27" s="19" t="str">
        <v>no-reply@digital.hidroelectrica.ro</v>
      </c>
      <c r="D27" s="19" t="str">
        <v>link_covaciu@yahoo.com</v>
      </c>
      <c r="E27" s="2" t="n">
        <v>1</v>
      </c>
      <c r="F27" s="12" t="str">
        <v>Deschide email</v>
      </c>
      <c r="G27" s="19" t="str"/>
      <c r="H27" s="19" t="str">
        <v>99a83054-f9cd-41b0-8278-b31b53fc9ac6</v>
      </c>
    </row>
    <row r="28" ht="48" customHeight="1">
      <c r="A28" s="31" t="n">
        <v>46218</v>
      </c>
      <c r="B28" s="18" t="str">
        <v>Informații esențiale despre convenția de consum</v>
      </c>
      <c r="C28" s="18" t="str">
        <v>no-reply@digital.hidroelectrica.ro</v>
      </c>
      <c r="D28" s="18" t="str">
        <v>covaciu.gnm@gmail.com; covaciu.gnm@eva-org.com</v>
      </c>
      <c r="E28" s="10" t="n">
        <v>2</v>
      </c>
      <c r="F28" s="11" t="str">
        <v>Deschide email</v>
      </c>
      <c r="G28" s="18" t="str"/>
      <c r="H28" s="18" t="str">
        <v>bf529b36-f403-4dee-83c8-e45d90435f75; 10dd5e1e-7989-4d84-bc6c-8faa5d662283</v>
      </c>
    </row>
    <row r="29" ht="48" customHeight="1">
      <c r="A29" s="30" t="n">
        <v>46219</v>
      </c>
      <c r="B29" s="19" t="str">
        <v>Factura Hidroelectrica FX-26108503565 a fost generata</v>
      </c>
      <c r="C29" s="19" t="str">
        <v>crm@hidroelectrica.ro</v>
      </c>
      <c r="D29" s="19" t="str">
        <v>covaciu.gnm@eva-org.com; covaciu.gnm@gmail.com</v>
      </c>
      <c r="E29" s="2" t="n">
        <v>2</v>
      </c>
      <c r="F29" s="12" t="str">
        <v>Deschide email</v>
      </c>
      <c r="G29" s="19" t="str">
        <v>FX-26108503565.PDF</v>
      </c>
      <c r="H29" s="19" t="str">
        <v>cbbb912a-21a1-4490-8140-74af991aec0d; 3923b593-eeaa-4af2-a6c0-604ebe4f8af1</v>
      </c>
    </row>
    <row r="30" ht="48" customHeight="1">
      <c r="A30" s="31" t="n">
        <v>46219</v>
      </c>
      <c r="B30" s="18" t="str">
        <v>Factura Hidroelectrica FX-26108503562 a fost generata</v>
      </c>
      <c r="C30" s="18" t="str">
        <v>crm@hidroelectrica.ro</v>
      </c>
      <c r="D30" s="18" t="str">
        <v>link_covaciu@yahoo.com</v>
      </c>
      <c r="E30" s="10" t="n">
        <v>1</v>
      </c>
      <c r="F30" s="11" t="str">
        <v>Deschide email</v>
      </c>
      <c r="G30" s="18" t="str">
        <v>FX-26108503562.PDF</v>
      </c>
      <c r="H30" s="18" t="str">
        <v>46d1827b-097b-411a-a2fb-15f512138694</v>
      </c>
    </row>
    <row r="31" ht="48" customHeight="1">
      <c r="A31" s="30" t="n">
        <v>46220</v>
      </c>
      <c r="B31" s="19" t="str">
        <v>Pași simpli către un consum de energie responsabil</v>
      </c>
      <c r="C31" s="19" t="str">
        <v>no-reply@digital.hidroelectrica.ro</v>
      </c>
      <c r="D31" s="19" t="str">
        <v>link_covaciu@yahoo.com</v>
      </c>
      <c r="E31" s="2" t="n">
        <v>1</v>
      </c>
      <c r="F31" s="12" t="str">
        <v>Deschide email</v>
      </c>
      <c r="G31" s="19" t="str"/>
      <c r="H31" s="19" t="str">
        <v>c0354566-fcfe-43bd-9fd8-ec5a6f0fbfa0</v>
      </c>
    </row>
    <row r="32" ht="48" customHeight="1">
      <c r="A32" s="31" t="n">
        <v>46232</v>
      </c>
      <c r="B32" s="18" t="str">
        <v>Aflați din ce surse provine energia electrică furnizată în anul 2025</v>
      </c>
      <c r="C32" s="18" t="str">
        <v>notificari@hidroelectrica.ro</v>
      </c>
      <c r="D32" s="18" t="str">
        <v>link_covaciu@yahoo.com</v>
      </c>
      <c r="E32" s="10" t="n">
        <v>1</v>
      </c>
      <c r="F32" s="11" t="str">
        <v>Deschide email</v>
      </c>
      <c r="G32" s="18" t="str">
        <v>Eticheta_Eligibil.pdf; Eticheta_FUI.pdf</v>
      </c>
      <c r="H32" s="18" t="str">
        <v>0e6e475d-35ea-4c63-8f33-d44dbcd9a700</v>
      </c>
    </row>
    <row r="33" ht="48" customHeight="1">
      <c r="A33" s="30" t="n">
        <v>46232</v>
      </c>
      <c r="B33" s="19" t="str">
        <v>Aflați din ce surse provine energia electrică furnizată în anul 2025</v>
      </c>
      <c r="C33" s="19" t="str">
        <v>notificari@hidroelectrica.ro</v>
      </c>
      <c r="D33" s="19" t="str">
        <v>covaciu.gnm@gmail.com; covaciu.gnm@eva-org.com</v>
      </c>
      <c r="E33" s="2" t="n">
        <v>2</v>
      </c>
      <c r="F33" s="12" t="str">
        <v>Deschide email</v>
      </c>
      <c r="G33" s="19" t="str">
        <v>Eticheta_FUI.pdf; Eticheta_Eligibil.pdf</v>
      </c>
      <c r="H33" s="19" t="str">
        <v>ed4a07aa-4cbf-4dea-b0a9-76cce7fca823; 53fab659-5cdf-4bae-853f-958dd72df617</v>
      </c>
    </row>
    <row r="34" ht="48" customHeight="1">
      <c r="A34" s="31" t="n">
        <v>46232</v>
      </c>
      <c r="B34" s="18" t="str">
        <v>Pași simpli către un consum de energie responsabil</v>
      </c>
      <c r="C34" s="18" t="str">
        <v>no-reply@digital.hidroelectrica.ro</v>
      </c>
      <c r="D34" s="18" t="str">
        <v>covaciu.gnm@gmail.com; covaciu.gnm@eva-org.com</v>
      </c>
      <c r="E34" s="10" t="n">
        <v>2</v>
      </c>
      <c r="F34" s="11" t="str">
        <v>Deschide email</v>
      </c>
      <c r="G34" s="18" t="str"/>
      <c r="H34" s="18" t="str">
        <v>fe75fff1-ffa8-4e31-8d7f-475f5164e167; ddcdc764-ab4f-463e-824d-7e2ac5c68f8a</v>
      </c>
    </row>
    <row r="35" ht="48" customHeight="1">
      <c r="A35" s="30" t="n">
        <v>46239</v>
      </c>
      <c r="B35" s="19" t="str">
        <v>Factura Hidroelectrica FX-26109222509 a fost generata</v>
      </c>
      <c r="C35" s="19" t="str">
        <v>crm@hidroelectrica.ro</v>
      </c>
      <c r="D35" s="19" t="str">
        <v>covaciu.gnm@gmail.com; covaciu.gnm@eva-org.com</v>
      </c>
      <c r="E35" s="2" t="n">
        <v>2</v>
      </c>
      <c r="F35" s="12" t="str">
        <v>Deschide email</v>
      </c>
      <c r="G35" s="19" t="str">
        <v>FX-26109222509.PDF</v>
      </c>
      <c r="H35" s="19" t="str">
        <v>bb7de037-3d78-4168-ac3e-9539944c27cf; 37a6d0ca-b51d-4896-bf13-8e2b2c7cde49</v>
      </c>
    </row>
    <row r="36" ht="48" customHeight="1">
      <c r="A36" s="31" t="n">
        <v>46241</v>
      </c>
      <c r="B36" s="18" t="str">
        <v>Confirmarea platii pentru https://www.hidroelectrica.ro/</v>
      </c>
      <c r="C36" s="18" t="str">
        <v>noreply@euplatesc.ro</v>
      </c>
      <c r="D36" s="18" t="str">
        <v>covaciu.gnm@gmail.com</v>
      </c>
      <c r="E36" s="10" t="n">
        <v>1</v>
      </c>
      <c r="F36" s="11" t="str">
        <v>Deschide email</v>
      </c>
      <c r="G36" s="18" t="str"/>
      <c r="H36" s="18" t="str">
        <v>3e949ba0-0b99-48b5-8d0a-3369b001848b</v>
      </c>
    </row>
    <row r="37" ht="48" customHeight="1">
      <c r="A37" s="30" t="n">
        <v>46248</v>
      </c>
      <c r="B37" s="19" t="str">
        <v>Factura Hidroelectrica FX-26109491006 a fost generata</v>
      </c>
      <c r="C37" s="19" t="str">
        <v>crm@hidroelectrica.ro</v>
      </c>
      <c r="D37" s="19" t="str">
        <v>covaciu.gnm@eva-org.com; covaciu.gnm@gmail.com</v>
      </c>
      <c r="E37" s="2" t="n">
        <v>2</v>
      </c>
      <c r="F37" s="12" t="str">
        <v>Deschide email</v>
      </c>
      <c r="G37" s="19" t="str">
        <v>FX-26109491006.PDF</v>
      </c>
      <c r="H37" s="19" t="str">
        <v>22ce5b0e-fde8-4727-9871-7cd37288709a; 21c1dbd6-7865-4bfe-9cef-19794081118c</v>
      </c>
    </row>
    <row r="38" ht="48" customHeight="1">
      <c r="A38" s="31" t="n">
        <v>46252</v>
      </c>
      <c r="B38" s="18" t="str">
        <v>Factura Hidroelectrica FX-26109613324 a fost generata</v>
      </c>
      <c r="C38" s="18" t="str">
        <v>crm@hidroelectrica.ro</v>
      </c>
      <c r="D38" s="18" t="str">
        <v>covaciu.gnm@eva-org.com; covaciu.gnm@gmail.com</v>
      </c>
      <c r="E38" s="10" t="n">
        <v>2</v>
      </c>
      <c r="F38" s="11" t="str">
        <v>Deschide email</v>
      </c>
      <c r="G38" s="18" t="str">
        <v>FX-26109613324.PDF</v>
      </c>
      <c r="H38" s="18" t="str">
        <v>84b120ce-2868-470a-a756-24f74e3e532d; 03692551-a285-4567-9a23-49f812964096</v>
      </c>
    </row>
    <row r="39" ht="48" customHeight="1">
      <c r="A39" s="30" t="n">
        <v>46279</v>
      </c>
      <c r="B39" s="19" t="str">
        <v>Factura Hidroelectrica FX-26111437678 a fost generata</v>
      </c>
      <c r="C39" s="19" t="str">
        <v>crm@hidroelectrica.ro</v>
      </c>
      <c r="D39" s="19" t="str">
        <v>covaciu.gnm@eva-org.com; covaciu.gnm@gmail.com</v>
      </c>
      <c r="E39" s="2" t="n">
        <v>2</v>
      </c>
      <c r="F39" s="12" t="str">
        <v>Deschide email</v>
      </c>
      <c r="G39" s="19" t="str">
        <v>FX-26111437678.PDF</v>
      </c>
      <c r="H39" s="19" t="str">
        <v>7a89cfff-e708-4e79-a8f2-b290fb280d9d; 0050f590-bb28-40a6-ada2-523021bb8a43</v>
      </c>
    </row>
    <row r="40" ht="48" customHeight="1">
      <c r="A40" s="31" t="n">
        <v>46287</v>
      </c>
      <c r="B40" s="18" t="str">
        <v>Factura Hidroelectrica FX-26112083088 a fost generata</v>
      </c>
      <c r="C40" s="18" t="str">
        <v>crm@hidroelectrica.ro</v>
      </c>
      <c r="D40" s="18" t="str">
        <v>covaciu.gnm@eva-org.com; covaciu.gnm@gmail.com</v>
      </c>
      <c r="E40" s="10" t="n">
        <v>2</v>
      </c>
      <c r="F40" s="11" t="str">
        <v>Deschide email</v>
      </c>
      <c r="G40" s="18" t="str">
        <v>FX-26112083088.PDF</v>
      </c>
      <c r="H40" s="18" t="str">
        <v>ef0a9a0d-16b9-4e1f-8d62-f187cbc11d3c; 0494e964-afd2-465e-b8b4-eaba0c725e90</v>
      </c>
    </row>
    <row r="41" ht="48" customHeight="1">
      <c r="A41" s="30" t="n">
        <v>46293</v>
      </c>
      <c r="B41" s="19" t="str">
        <v>Factura Hidroelectrica FX-26112210655 a fost generata</v>
      </c>
      <c r="C41" s="19" t="str">
        <v>crm@hidroelectrica.ro</v>
      </c>
      <c r="D41" s="19" t="str">
        <v>covaciu.gnm@eva-org.com; covaciu.gnm@gmail.com</v>
      </c>
      <c r="E41" s="2" t="n">
        <v>2</v>
      </c>
      <c r="F41" s="12" t="str">
        <v>Deschide email</v>
      </c>
      <c r="G41" s="19" t="str">
        <v>FX-26112210655.PDF</v>
      </c>
      <c r="H41" s="19" t="str">
        <v>3a3cbb0d-2903-405b-a0a7-51cfd4025b09; 16e0f237-4473-4e9e-9ef4-fd0abf0bc89d</v>
      </c>
    </row>
    <row r="42" ht="48" customHeight="1">
      <c r="A42" s="31" t="n">
        <v>46293</v>
      </c>
      <c r="B42" s="18" t="str">
        <v>Factura Hidroelectrica FX-26112210656 a fost generata</v>
      </c>
      <c r="C42" s="18" t="str">
        <v>crm@hidroelectrica.ro</v>
      </c>
      <c r="D42" s="18" t="str">
        <v>covaciu.gnm@eva-org.com; covaciu.gnm@gmail.com</v>
      </c>
      <c r="E42" s="10" t="n">
        <v>2</v>
      </c>
      <c r="F42" s="11" t="str">
        <v>Deschide email</v>
      </c>
      <c r="G42" s="18" t="str">
        <v>FX-26112210656.PDF</v>
      </c>
      <c r="H42" s="18" t="str">
        <v>5ccf8a83-d9b1-4e44-853f-a040312d5636; 26ad0b5f-959d-4a6a-b370-90d938623873</v>
      </c>
    </row>
    <row r="43" ht="24" customHeight="1">
      <c r="A43" s="2"/>
      <c r="B43" s="2"/>
      <c r="C43" s="2"/>
      <c r="D43" s="2"/>
      <c r="E43" s="2"/>
      <c r="F43" s="2"/>
      <c r="G43" s="2"/>
      <c r="H43" s="2"/>
    </row>
    <row r="44" ht="24" customHeight="1">
      <c r="A44" s="2"/>
      <c r="B44" s="2"/>
      <c r="C44" s="2"/>
      <c r="D44" s="2"/>
      <c r="E44" s="2"/>
      <c r="F44" s="2"/>
      <c r="G44" s="2"/>
      <c r="H44" s="2"/>
    </row>
    <row r="45" ht="24" customHeight="1">
      <c r="A45" s="2"/>
      <c r="B45" s="2"/>
      <c r="C45" s="2"/>
      <c r="D45" s="2"/>
      <c r="E45" s="2"/>
      <c r="F45" s="2"/>
      <c r="G45" s="2"/>
      <c r="H45" s="2"/>
    </row>
    <row r="46" ht="24" customHeight="1">
      <c r="A46" s="2"/>
      <c r="B46" s="2"/>
      <c r="C46" s="2"/>
      <c r="D46" s="2"/>
      <c r="E46" s="2"/>
      <c r="F46" s="2"/>
      <c r="G46" s="2"/>
      <c r="H46" s="2"/>
    </row>
    <row r="47" ht="24" customHeight="1">
      <c r="A47" s="2"/>
      <c r="B47" s="2"/>
      <c r="C47" s="2"/>
      <c r="D47" s="2"/>
      <c r="E47" s="2"/>
      <c r="F47" s="2"/>
      <c r="G47" s="2"/>
      <c r="H47" s="2"/>
    </row>
  </sheetData>
  <hyperlinks>
    <hyperlink ref="F6" r:id="rIdLocalDoc1" display="Deschide email"/>
    <hyperlink ref="F7" r:id="rIdLocalDoc2" display="Deschide email"/>
    <hyperlink ref="F8" r:id="rIdLocalDoc3" display="Deschide email"/>
    <hyperlink ref="F9" r:id="rIdLocalDoc4" display="Deschide email"/>
    <hyperlink ref="F10" r:id="rIdLocalDoc5" display="Deschide email"/>
    <hyperlink ref="F11" r:id="rIdLocalDoc6" display="Deschide email"/>
    <hyperlink ref="F12" r:id="rIdLocalDoc7" display="Deschide email"/>
    <hyperlink ref="F13" r:id="rIdLocalDoc8" display="Deschide email"/>
    <hyperlink ref="F14" r:id="rIdLocalDoc9" display="Deschide email"/>
    <hyperlink ref="F15" r:id="rIdLocalDoc10" display="Deschide email"/>
    <hyperlink ref="F16" r:id="rIdLocalDoc11" display="Deschide email"/>
    <hyperlink ref="F17" r:id="rIdLocalDoc12" display="Deschide email"/>
    <hyperlink ref="F18" r:id="rIdLocalDoc13" display="Deschide email"/>
    <hyperlink ref="F19" r:id="rIdLocalDoc14" display="Deschide email"/>
    <hyperlink ref="F20" r:id="rIdLocalDoc15" display="Deschide email"/>
    <hyperlink ref="F21" r:id="rIdLocalDoc16" display="Deschide email"/>
    <hyperlink ref="F22" r:id="rIdLocalDoc17" display="Deschide email"/>
    <hyperlink ref="F23" r:id="rIdLocalDoc18" display="Deschide email"/>
    <hyperlink ref="F24" r:id="rIdLocalDoc19" display="Deschide email"/>
    <hyperlink ref="F25" r:id="rIdLocalDoc20" display="Deschide email"/>
    <hyperlink ref="F26" r:id="rIdLocalDoc21" display="Deschide email"/>
    <hyperlink ref="F27" r:id="rIdLocalDoc22" display="Deschide email"/>
    <hyperlink ref="F28" r:id="rIdLocalDoc23" display="Deschide email"/>
    <hyperlink ref="F29" r:id="rIdLocalDoc24" display="Deschide email"/>
    <hyperlink ref="F30" r:id="rIdLocalDoc25" display="Deschide email"/>
    <hyperlink ref="F31" r:id="rIdLocalDoc26" display="Deschide email"/>
    <hyperlink ref="F32" r:id="rIdLocalDoc27" display="Deschide email"/>
    <hyperlink ref="F33" r:id="rIdLocalDoc28" display="Deschide email"/>
    <hyperlink ref="F34" r:id="rIdLocalDoc29" display="Deschide email"/>
    <hyperlink ref="F35" r:id="rIdLocalDoc30" display="Deschide email"/>
    <hyperlink ref="F36" r:id="rIdLocalDoc31" display="Deschide email"/>
    <hyperlink ref="F37" r:id="rIdLocalDoc32" display="Deschide email"/>
    <hyperlink ref="F38" r:id="rIdLocalDoc33" display="Deschide email"/>
    <hyperlink ref="F39" r:id="rIdLocalDoc34" display="Deschide email"/>
    <hyperlink ref="F40" r:id="rIdLocalDoc35" display="Deschide email"/>
    <hyperlink ref="F41" r:id="rIdLocalDoc36" display="Deschide email"/>
    <hyperlink ref="F42" r:id="rIdLocalDoc37" display="Deschide email"/>
  </hyperlinks>
  <pageMargins left="0.7" right="0.7" top="0.75" bottom="0.75" header="0.3" footer="0.3"/>
  <tableParts count="1">
    <tablePart r:id="R840f5d06f3b34e70"/>
  </tableParts>
</worksheet>
</file>