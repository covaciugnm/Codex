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3ced24238344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ferta 179" sheetId="1" r:id="R641edd7a1a894eff"/>
    <x:sheet xmlns:r="http://schemas.openxmlformats.org/officeDocument/2006/relationships" name="Preturi istorice" sheetId="2" r:id="R58994108035549ba"/>
    <x:sheet xmlns:r="http://schemas.openxmlformats.org/officeDocument/2006/relationships" name="Catalog echipamente" sheetId="3" r:id="R47f3b3a937e04fe2"/>
    <x:sheet xmlns:r="http://schemas.openxmlformats.org/officeDocument/2006/relationships" name="Index fise" sheetId="4" r:id="Rd04023c2931247a2"/>
    <x:sheet xmlns:r="http://schemas.openxmlformats.org/officeDocument/2006/relationships" name="Conditii si diferente" sheetId="5" r:id="R9f1586fa73ff45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.00"/>
    <x:numFmt numFmtId="202" formatCode="yyyy-mm-dd"/>
  </x:numFmts>
  <x:fonts count="6">
    <x:font>
      <x:sz val="11"/>
      <x:name val="Carlito"/>
    </x:font>
    <x:font>
      <x:b/>
      <x:sz val="15"/>
      <x:color rgb="FF273C32"/>
      <x:name val="Arial"/>
    </x:font>
    <x:font>
      <x:sz val="10"/>
      <x:color rgb="FF5F6368"/>
      <x:name val="Arial"/>
    </x:font>
    <x:font>
      <x:sz val="10"/>
      <x:name val="Arial"/>
    </x:font>
    <x:font>
      <x:b/>
      <x:sz val="10"/>
      <x:color rgb="FFFFFFFF"/>
      <x:name val="Arial"/>
    </x:font>
    <x:font>
      <x:sz val="10"/>
      <x:color rgb="FF2167A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4E41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3" fillId="0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202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9cb6488d174663" /><Relationship Type="http://schemas.openxmlformats.org/officeDocument/2006/relationships/theme" Target="/xl/theme/theme1.xml" Id="R10c6d5c1cb3a405d" /><Relationship Type="http://schemas.openxmlformats.org/officeDocument/2006/relationships/sharedStrings" Target="/xl/sharedStrings.xml" Id="R1b99b8a9756747bc" /><Relationship Type="http://schemas.openxmlformats.org/officeDocument/2006/relationships/worksheet" Target="/xl/worksheets/sheet1.xml" Id="R641edd7a1a894eff" /><Relationship Type="http://schemas.openxmlformats.org/officeDocument/2006/relationships/worksheet" Target="/xl/worksheets/sheet2.xml" Id="R58994108035549ba" /><Relationship Type="http://schemas.openxmlformats.org/officeDocument/2006/relationships/worksheet" Target="/xl/worksheets/sheet3.xml" Id="R47f3b3a937e04fe2" /><Relationship Type="http://schemas.openxmlformats.org/officeDocument/2006/relationships/worksheet" Target="/xl/worksheets/sheet4.xml" Id="Rd04023c2931247a2" /><Relationship Type="http://schemas.openxmlformats.org/officeDocument/2006/relationships/worksheet" Target="/xl/worksheets/sheet5.xml" Id="R9f1586fa73ff4552" /></Relationships>
</file>

<file path=xl/tables/table1.xml><?xml version="1.0" encoding="utf-8"?>
<x:table xmlns:x="http://schemas.openxmlformats.org/spreadsheetml/2006/main" id="1" name="Data5" displayName="Data5" ref="A8:L17" headerRowCount="1" totalsRowCount="0" totalsRowShown="0">
  <x:tableColumns count="12">
    <x:tableColumn id="1" name="Poz."/>
    <x:tableColumn id="2" name="Echipament"/>
    <x:tableColumn id="3" name="Buc."/>
    <x:tableColumn id="4" name="Preț unitar EUR"/>
    <x:tableColumn id="5" name="Total declarat EUR"/>
    <x:tableColumn id="6" name="Total calculat EUR"/>
    <x:tableColumn id="7" name="Diferență EUR"/>
    <x:tableColumn id="8" name="Capacitate declarată"/>
    <x:tableColumn id="9" name="Putere declarată kW"/>
    <x:tableColumn id="10" name="Observații"/>
    <x:tableColumn id="11" name="Ofertă sursă"/>
    <x:tableColumn id="12" name="Pagina PDF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Data6" displayName="Data6" ref="A5:I18" headerRowCount="1" totalsRowCount="0" totalsRowShown="0">
  <x:tableColumns count="9">
    <x:tableColumn id="1" name="Ofertă / variantă"/>
    <x:tableColumn id="2" name="Data ofertei"/>
    <x:tableColumn id="3" name="Echipament"/>
    <x:tableColumn id="4" name="Buc. în lot"/>
    <x:tableColumn id="5" name="Preț declarat lot EUR"/>
    <x:tableColumn id="6" name="Preț unitar derivat EUR"/>
    <x:tableColumn id="7" name="Interpretare"/>
    <x:tableColumn id="8" name="Document sursă"/>
    <x:tableColumn id="9" name="Pagina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Data7" displayName="Data7" ref="A5:M53" headerRowCount="1" totalsRowCount="0" totalsRowShown="0">
  <x:tableColumns count="13">
    <x:tableColumn id="1" name="Nr."/>
    <x:tableColumn id="2" name="Etapă"/>
    <x:tableColumn id="3" name="Echipament"/>
    <x:tableColumn id="4" name="Capacitate"/>
    <x:tableColumn id="5" name="Putere din catalog"/>
    <x:tableColumn id="6" name="Tensiune"/>
    <x:tableColumn id="7" name="Material"/>
    <x:tableColumn id="8" name="Utilizare"/>
    <x:tableColumn id="9" name="Fișier local"/>
    <x:tableColumn id="10" name="Pagina în dosar"/>
    <x:tableColumn id="11" name="Document disponibil"/>
    <x:tableColumn id="12" name="Observații existente"/>
    <x:tableColumn id="13" name="Pagina produ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Data8" displayName="Data8" ref="A5:E70" headerRowCount="1" totalsRowCount="0" totalsRowShown="0">
  <x:tableColumns count="5">
    <x:tableColumn id="1" name="Fișier original"/>
    <x:tableColumn id="2" name="Pagini document"/>
    <x:tableColumn id="3" name="Început în dosar"/>
    <x:tableColumn id="4" name="SHA-256"/>
    <x:tableColumn id="5" name="Tip documen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Data9" displayName="Data9" ref="A5:D17" headerRowCount="1" totalsRowCount="0" totalsRowShown="0">
  <x:tableColumns count="4">
    <x:tableColumn id="1" name="Temă"/>
    <x:tableColumn id="2" name="Constatare"/>
    <x:tableColumn id="3" name="Acțiune necesară"/>
    <x:tableColumn id="4" name="Sursă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table" Target="/xl/tables/table1.xml" Id="Rc82027909ad4410c" /><ns0:Relationship Id="nativeLink1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ns0:Relationship Id="nativeLink2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ns0:Relationship Id="nativeLink3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ns0:Relationship Id="nativeLink4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ns0:Relationship Id="nativeLink5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ns0:Relationship Id="nativeLink6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ns0:Relationship Id="nativeLink7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ns0:Relationship Id="nativeLink8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ns0:Relationship Id="nativeLink9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/ns0:Relationships>
</file>

<file path=xl/worksheets/_rels/sheet2.xml.rels><?xml version='1.0' encoding='utf-8'?>
<ns0:Relationships xmlns:ns0="http://schemas.openxmlformats.org/package/2006/relationships"><ns0:Relationship Type="http://schemas.openxmlformats.org/officeDocument/2006/relationships/table" Target="/xl/tables/table2.xml" Id="Rc1a829adb3414405" /><ns0:Relationship Id="nativeLink1" Type="http://schemas.openxmlformats.org/officeDocument/2006/relationships/hyperlink" Target="Z:/00. Proiecte 2025/AFIR FotoVoltaic 1/50. Fabrica Nuci/nuttechnology.com/02_Oferte/6d433786_Oferta comerciala - CESIRO PRODUCTION - Linie procesare nuci - 200 kg.pdf" TargetMode="External" /><ns0:Relationship Id="nativeLink2" Type="http://schemas.openxmlformats.org/officeDocument/2006/relationships/hyperlink" Target="Z:/00. Proiecte 2025/AFIR FotoVoltaic 1/50. Fabrica Nuci/nuttechnology.com/02_Oferte/6d433786_Oferta comerciala - CESIRO PRODUCTION - Linie procesare nuci - 200 kg.pdf" TargetMode="External" /><ns0:Relationship Id="nativeLink3" Type="http://schemas.openxmlformats.org/officeDocument/2006/relationships/hyperlink" Target="Z:/00. Proiecte 2025/AFIR FotoVoltaic 1/50. Fabrica Nuci/nuttechnology.com/02_Oferte/6d433786_Oferta comerciala - CESIRO PRODUCTION - Linie procesare nuci - 200 kg.pdf" TargetMode="External" /><ns0:Relationship Id="nativeLink4" Type="http://schemas.openxmlformats.org/officeDocument/2006/relationships/hyperlink" Target="Z:/00. Proiecte 2025/AFIR FotoVoltaic 1/50. Fabrica Nuci/nuttechnology.com/02_Oferte/6d433786_Oferta comerciala - CESIRO PRODUCTION - Linie procesare nuci - 200 kg.pdf" TargetMode="External" /><ns0:Relationship Id="nativeLink5" Type="http://schemas.openxmlformats.org/officeDocument/2006/relationships/hyperlink" Target="Z:/00. Proiecte 2025/AFIR FotoVoltaic 1/50. Fabrica Nuci/nuttechnology.com/02_Oferte/6d433786_Oferta comerciala - CESIRO PRODUCTION - Linie procesare nuci - 200 kg.pdf" TargetMode="External" /><ns0:Relationship Id="nativeLink6" Type="http://schemas.openxmlformats.org/officeDocument/2006/relationships/hyperlink" Target="Z:/00. Proiecte 2025/AFIR FotoVoltaic 1/50. Fabrica Nuci/nuttechnology.com/02_Oferte/6d433786_Oferta comerciala - CESIRO PRODUCTION - Linie procesare nuci - 200 kg.pdf" TargetMode="External" /><ns0:Relationship Id="nativeLink7" Type="http://schemas.openxmlformats.org/officeDocument/2006/relationships/hyperlink" Target="Z:/00. Proiecte 2025/AFIR FotoVoltaic 1/50. Fabrica Nuci/nuttechnology.com/02_Oferte/39b20753_Oferta comerciala - CESIRO PRODUCTION - Linie procesare nuci 400 kg - h.pdf" TargetMode="External" /><ns0:Relationship Id="nativeLink8" Type="http://schemas.openxmlformats.org/officeDocument/2006/relationships/hyperlink" Target="Z:/00. Proiecte 2025/AFIR FotoVoltaic 1/50. Fabrica Nuci/nuttechnology.com/02_Oferte/39b20753_Oferta comerciala - CESIRO PRODUCTION - Linie procesare nuci 400 kg - h.pdf" TargetMode="External" /><ns0:Relationship Id="nativeLink9" Type="http://schemas.openxmlformats.org/officeDocument/2006/relationships/hyperlink" Target="Z:/00. Proiecte 2025/AFIR FotoVoltaic 1/50. Fabrica Nuci/nuttechnology.com/02_Oferte/39b20753_Oferta comerciala - CESIRO PRODUCTION - Linie procesare nuci 400 kg - h.pdf" TargetMode="External" /><ns0:Relationship Id="nativeLink10" Type="http://schemas.openxmlformats.org/officeDocument/2006/relationships/hyperlink" Target="Z:/00. Proiecte 2025/AFIR FotoVoltaic 1/50. Fabrica Nuci/nuttechnology.com/02_Oferte/39b20753_Oferta comerciala - CESIRO PRODUCTION - Linie procesare nuci 400 kg - h.pdf" TargetMode="External" /><ns0:Relationship Id="nativeLink11" Type="http://schemas.openxmlformats.org/officeDocument/2006/relationships/hyperlink" Target="Z:/00. Proiecte 2025/AFIR FotoVoltaic 1/50. Fabrica Nuci/nuttechnology.com/02_Oferte/39b20753_Oferta comerciala - CESIRO PRODUCTION - Linie procesare nuci 400 kg - h.pdf" TargetMode="External" /><ns0:Relationship Id="nativeLink12" Type="http://schemas.openxmlformats.org/officeDocument/2006/relationships/hyperlink" Target="Z:/00. Proiecte 2025/AFIR FotoVoltaic 1/50. Fabrica Nuci/nuttechnology.com/02_Oferte/39b20753_Oferta comerciala - CESIRO PRODUCTION - Linie procesare nuci 400 kg - h.pdf" TargetMode="External" /><ns0:Relationship Id="nativeLink13" Type="http://schemas.openxmlformats.org/officeDocument/2006/relationships/hyperlink" Target="Z:/00. Proiecte 2025/AFIR FotoVoltaic 1/50. Fabrica Nuci/nuttechnology.com/02_Oferte/39b20753_Oferta comerciala - CESIRO PRODUCTION - Linie procesare nuci 400 kg - h.pdf" TargetMode="External" /></ns0:Relationships>
</file>

<file path=xl/worksheets/_rels/sheet3.xml.rels><?xml version='1.0' encoding='utf-8'?>
<ns0:Relationships xmlns:ns0="http://schemas.openxmlformats.org/package/2006/relationships"><ns0:Relationship Type="http://schemas.openxmlformats.org/officeDocument/2006/relationships/table" Target="/xl/tables/table3.xml" Id="R3163fbf3256143cd" /><ns0:Relationship Id="nativeLink1" Type="http://schemas.openxmlformats.org/officeDocument/2006/relationships/hyperlink" Target="Z:/00. Proiecte 2025/AFIR FotoVoltaic 1/50. Fabrica Nuci/nuttechnology.com/Brosuri echipamente/01. Recoltare/01. Scutur&#259;tor pentru pomi fructiferi.pdf" TargetMode="External" /><ns0:Relationship Id="nativeLink2" Type="http://schemas.openxmlformats.org/officeDocument/2006/relationships/hyperlink" Target="Z:/00. Proiecte 2025/AFIR FotoVoltaic 1/50. Fabrica Nuci/nuttechnology.com/Brosuri echipamente/02. Decojire coaja verde si spalare/01. Ma&#537;in&#259; de decojire &#537;i cur&#259;&#539;are a nucilor verzi 100 kg-h.pdf" TargetMode="External" /><ns0:Relationship Id="nativeLink3" Type="http://schemas.openxmlformats.org/officeDocument/2006/relationships/hyperlink" Target="Z:/00. Proiecte 2025/AFIR FotoVoltaic 1/50. Fabrica Nuci/nuttechnology.com/Brosuri echipamente/02. Decojire coaja verde si spalare/02. Ma&#537;in&#259; pentru decojirea &#537;i cur&#259;&#539;area nucilor verzi 300 kg-h.pdf" TargetMode="External" /><ns0:Relationship Id="nativeLink4" Type="http://schemas.openxmlformats.org/officeDocument/2006/relationships/hyperlink" Target="Z:/00. Proiecte 2025/AFIR FotoVoltaic 1/50. Fabrica Nuci/nuttechnology.com/Brosuri echipamente/02. Decojire coaja verde si spalare/03. Ma&#537;in&#259; de decojire &#537;i cur&#259;&#539;are a nucilor verzi 700 kg-h.pdf" TargetMode="External" /><ns0:Relationship Id="nativeLink5" Type="http://schemas.openxmlformats.org/officeDocument/2006/relationships/hyperlink" Target="Z:/00. Proiecte 2025/AFIR FotoVoltaic 1/50. Fabrica Nuci/nuttechnology.com/Brosuri echipamente/02. Decojire coaja verde si spalare/04. Ma&#537;in&#259; industrial&#259; de decojire &#537;i sp&#259;lare (1 t-h).pdf" TargetMode="External" /><ns0:Relationship Id="nativeLink6" Type="http://schemas.openxmlformats.org/officeDocument/2006/relationships/hyperlink" Target="Z:/00. Proiecte 2025/AFIR FotoVoltaic 1/50. Fabrica Nuci/nuttechnology.com/Brosuri echipamente/02. Decojire coaja verde si spalare/05. Ma&#537;in&#259; pentru &#238;ndep&#259;rtarea cojii verzi a alunelor.pdf" TargetMode="External" /><ns0:Relationship Id="nativeLink7" Type="http://schemas.openxmlformats.org/officeDocument/2006/relationships/hyperlink" Target="Z:/00. Proiecte 2025/AFIR FotoVoltaic 1/50. Fabrica Nuci/nuttechnology.com/Brosuri echipamente/03. Uscare si incarcare uscator/01. Usc&#259;tor pentru nuci, alune &#537;i migdale &#238;n coaj&#259; (p&#226;n&#259; la 1 ton&#259;-24 ore).pdf" TargetMode="External" /><ns0:Relationship Id="nativeLink8" Type="http://schemas.openxmlformats.org/officeDocument/2006/relationships/hyperlink" Target="Z:/00. Proiecte 2025/AFIR FotoVoltaic 1/50. Fabrica Nuci/nuttechnology.com/Brosuri echipamente/03. Uscare si incarcare uscator/02. Usc&#259;tor pentru nuci, alune &#537;i migdale &#238;n coaj&#259; (p&#226;n&#259; la 2 tone-24 ore).pdf" TargetMode="External" /><ns0:Relationship Id="nativeLink9" Type="http://schemas.openxmlformats.org/officeDocument/2006/relationships/hyperlink" Target="Z:/00. Proiecte 2025/AFIR FotoVoltaic 1/50. Fabrica Nuci/nuttechnology.com/Brosuri echipamente/03. Uscare si incarcare uscator/03. Usc&#259;tor pentru nuci, alune &#537;i migdale &#238;n coaj&#259; (2 tone-zi).pdf" TargetMode="External" /><ns0:Relationship Id="nativeLink10" Type="http://schemas.openxmlformats.org/officeDocument/2006/relationships/hyperlink" Target="Z:/00. Proiecte 2025/AFIR FotoVoltaic 1/50. Fabrica Nuci/nuttechnology.com/Brosuri echipamente/03. Uscare si incarcare uscator/04. Usc&#259;tor pentru nuci, alune &#537;i migdale &#238;n coaj&#259; (4 tone-zi).pdf" TargetMode="External" /><ns0:Relationship Id="nativeLink11" Type="http://schemas.openxmlformats.org/officeDocument/2006/relationships/hyperlink" Target="Z:/00. Proiecte 2025/AFIR FotoVoltaic 1/50. Fabrica Nuci/nuttechnology.com/Brosuri echipamente/03. Uscare si incarcare uscator/05. Conveyor de alimentare pentru usc&#259;tor 2 t-zi.pdf" TargetMode="External" /><ns0:Relationship Id="nativeLink12" Type="http://schemas.openxmlformats.org/officeDocument/2006/relationships/hyperlink" Target="Z:/00. Proiecte 2025/AFIR FotoVoltaic 1/50. Fabrica Nuci/nuttechnology.com/Brosuri echipamente/03. Uscare si incarcare uscator/06. Conveyor de alimentare pentru usc&#259;tor 4 t-h.pdf" TargetMode="External" /><ns0:Relationship Id="nativeLink13" Type="http://schemas.openxmlformats.org/officeDocument/2006/relationships/hyperlink" Target="Z:/00. Proiecte 2025/AFIR FotoVoltaic 1/50. Fabrica Nuci/nuttechnology.com/Brosuri echipamente/03. Uscare si incarcare uscator/07. Elevator cu &#238;nc&#259;rcare-desc&#259;rcare Noria 2 tone pe or&#259;.pdf" TargetMode="External" /><ns0:Relationship Id="nativeLink14" Type="http://schemas.openxmlformats.org/officeDocument/2006/relationships/hyperlink" Target="Z:/00. Proiecte 2025/AFIR FotoVoltaic 1/50. Fabrica Nuci/nuttechnology.com/Brosuri echipamente/03. Uscare si incarcare uscator/08. Elevator cu &#238;nc&#259;rcare-desc&#259;rcare Noria 4 tone pe or&#259;.pdf" TargetMode="External" /><ns0:Relationship Id="nativeLink15" Type="http://schemas.openxmlformats.org/officeDocument/2006/relationships/hyperlink" Target="Z:/00. Proiecte 2025/AFIR FotoVoltaic 1/50. Fabrica Nuci/nuttechnology.com/Brosuri echipamente/04. Calibrare si sortare in coaja/01. Calibrator liniar pentru toate tipurile de nuci.pdf" TargetMode="External" /><ns0:Relationship Id="nativeLink16" Type="http://schemas.openxmlformats.org/officeDocument/2006/relationships/hyperlink" Target="Z:/00. Proiecte 2025/AFIR FotoVoltaic 1/50. Fabrica Nuci/nuttechnology.com/Brosuri echipamente/04. Calibrare si sortare in coaja/02. Ma&#537;in&#259; de calibrare a nucilor &#238;n 4 frac&#539;ii.pdf" TargetMode="External" /><ns0:Relationship Id="nativeLink17" Type="http://schemas.openxmlformats.org/officeDocument/2006/relationships/hyperlink" Target="Z:/00. Proiecte 2025/AFIR FotoVoltaic 1/50. Fabrica Nuci/nuttechnology.com/Brosuri echipamente/04. Calibrare si sortare in coaja/03. Ma&#537;in&#259; de calibrare a nucilor &#238;n 8 frac&#539;ii.pdf" TargetMode="External" /><ns0:Relationship Id="nativeLink18" Type="http://schemas.openxmlformats.org/officeDocument/2006/relationships/hyperlink" Target="Z:/00. Proiecte 2025/AFIR FotoVoltaic 1/50. Fabrica Nuci/nuttechnology.com/Brosuri echipamente/04. Calibrare si sortare in coaja/04. Ma&#537;in&#259; pentru sortarea nucilor goale &#238;n coaj&#259;.pdf" TargetMode="External" /><ns0:Relationship Id="nativeLink19" Type="http://schemas.openxmlformats.org/officeDocument/2006/relationships/hyperlink" Target="Z:/00. Proiecte 2025/AFIR FotoVoltaic 1/50. Fabrica Nuci/nuttechnology.com/Brosuri echipamente/04. Calibrare si sortare in coaja/05. Ma&#537;in&#259; de calibrare a alunelor.pdf" TargetMode="External" /><ns0:Relationship Id="nativeLink20" Type="http://schemas.openxmlformats.org/officeDocument/2006/relationships/hyperlink" Target="Z:/00. Proiecte 2025/AFIR FotoVoltaic 1/50. Fabrica Nuci/nuttechnology.com/Brosuri echipamente/04. Calibrare si sortare in coaja/06. Ma&#537;in&#259; de calibrare a alunelor &#238;n 3 frac&#539;ii.pdf" TargetMode="External" /><ns0:Relationship Id="nativeLink21" Type="http://schemas.openxmlformats.org/officeDocument/2006/relationships/hyperlink" Target="Z:/00. Proiecte 2025/AFIR FotoVoltaic 1/50. Fabrica Nuci/nuttechnology.com/Brosuri echipamente/04. Calibrare si sortare in coaja/07. Ma&#537;in&#259; de calibrare a alunelor &#238;n 8 frac&#539;ii.pdf" TargetMode="External" /><ns0:Relationship Id="nativeLink22" Type="http://schemas.openxmlformats.org/officeDocument/2006/relationships/hyperlink" Target="Z:/00. Proiecte 2025/AFIR FotoVoltaic 1/50. Fabrica Nuci/nuttechnology.com/Brosuri echipamente/05. Spargere/01. Ma&#537;in&#259; de spart nuci 50 kg-h.pdf" TargetMode="External" /><ns0:Relationship Id="nativeLink23" Type="http://schemas.openxmlformats.org/officeDocument/2006/relationships/hyperlink" Target="Z:/00. Proiecte 2025/AFIR FotoVoltaic 1/50. Fabrica Nuci/nuttechnology.com/Brosuri echipamente/05. Spargere/02. Ma&#537;in&#259; de spart nuci 100 kg-h.pdf" TargetMode="External" /><ns0:Relationship Id="nativeLink24" Type="http://schemas.openxmlformats.org/officeDocument/2006/relationships/hyperlink" Target="Z:/00. Proiecte 2025/AFIR FotoVoltaic 1/50. Fabrica Nuci/nuttechnology.com/Brosuri echipamente/05. Spargere/03. Ma&#537;in&#259; de spart nuci 200 kg-h.pdf" TargetMode="External" /><ns0:Relationship Id="nativeLink25" Type="http://schemas.openxmlformats.org/officeDocument/2006/relationships/hyperlink" Target="Z:/00. Proiecte 2025/AFIR FotoVoltaic 1/50. Fabrica Nuci/nuttechnology.com/Brosuri echipamente/05. Spargere/04. Ma&#537;in&#259; industrial&#259; de spart nuci cu coloan&#259; de aspira&#539;ie integrat&#259; (200 kg-h).pdf" TargetMode="External" /><ns0:Relationship Id="nativeLink26" Type="http://schemas.openxmlformats.org/officeDocument/2006/relationships/hyperlink" Target="Z:/00. Proiecte 2025/AFIR FotoVoltaic 1/50. Fabrica Nuci/nuttechnology.com/Brosuri echipamente/05. Spargere/05. Sp&#259;rg&#259;tor de nuci pentru etapa post-sp&#259;rgere.pdf" TargetMode="External" /><ns0:Relationship Id="nativeLink27" Type="http://schemas.openxmlformats.org/officeDocument/2006/relationships/hyperlink" Target="Z:/00. Proiecte 2025/AFIR FotoVoltaic 1/50. Fabrica Nuci/nuttechnology.com/Brosuri echipamente/05. Spargere/06. Sp&#259;rg&#259;tor cu tambur pentru alune &#537;i migdale.pdf" TargetMode="External" /><ns0:Relationship Id="nativeLink28" Type="http://schemas.openxmlformats.org/officeDocument/2006/relationships/hyperlink" Target="Z:/00. Proiecte 2025/AFIR FotoVoltaic 1/50. Fabrica Nuci/nuttechnology.com/Brosuri echipamente/05. Spargere/07. Sp&#259;rg&#259;tor de alune cu aspira&#539;ie (200 kg-h).pdf" TargetMode="External" /><ns0:Relationship Id="nativeLink29" Type="http://schemas.openxmlformats.org/officeDocument/2006/relationships/hyperlink" Target="Z:/00. Proiecte 2025/AFIR FotoVoltaic 1/50. Fabrica Nuci/nuttechnology.com/Brosuri echipamente/06. Separare miez si sortare/01. Ma&#537;in&#259; pentru separarea miezului de coaj&#259; (100 kg-h).pdf" TargetMode="External" /><ns0:Relationship Id="nativeLink30" Type="http://schemas.openxmlformats.org/officeDocument/2006/relationships/hyperlink" Target="Z:/00. Proiecte 2025/AFIR FotoVoltaic 1/50. Fabrica Nuci/nuttechnology.com/Brosuri echipamente/06. Separare miez si sortare/02. Ma&#537;in&#259; pentru separarea miezului de coaj&#259; (300 kg-h).pdf" TargetMode="External" /><ns0:Relationship Id="nativeLink31" Type="http://schemas.openxmlformats.org/officeDocument/2006/relationships/hyperlink" Target="Z:/00. Proiecte 2025/AFIR FotoVoltaic 1/50. Fabrica Nuci/nuttechnology.com/Brosuri echipamente/06. Separare miez si sortare/03. Ma&#537;in&#259; pentru separarea miezului de nuc&#259; (200 kg-h).pdf" TargetMode="External" /><ns0:Relationship Id="nativeLink32" Type="http://schemas.openxmlformats.org/officeDocument/2006/relationships/hyperlink" Target="Z:/00. Proiecte 2025/AFIR FotoVoltaic 1/50. Fabrica Nuci/nuttechnology.com/Brosuri echipamente/06. Separare miez si sortare/04. Sit vibratoare cu aspira&#539;ie pentru sortarea nucilor (200 kg-h).pdf" TargetMode="External" /><ns0:Relationship Id="nativeLink33" Type="http://schemas.openxmlformats.org/officeDocument/2006/relationships/hyperlink" Target="Z:/00. Proiecte 2025/AFIR FotoVoltaic 1/50. Fabrica Nuci/nuttechnology.com/Brosuri echipamente/06. Separare miez si sortare/05. Sit vibratoare cu aspira&#539;ie pentru sortarea nucilor (300 kg-h).pdf" TargetMode="External" /><ns0:Relationship Id="nativeLink34" Type="http://schemas.openxmlformats.org/officeDocument/2006/relationships/hyperlink" Target="Z:/00. Proiecte 2025/AFIR FotoVoltaic 1/50. Fabrica Nuci/nuttechnology.com/Brosuri echipamente/06. Separare miez si sortare/06. Transportor elevatoare pentru nuci.pdf" TargetMode="External" /><ns0:Relationship Id="nativeLink35" Type="http://schemas.openxmlformats.org/officeDocument/2006/relationships/hyperlink" Target="Z:/00. Proiecte 2025/AFIR FotoVoltaic 1/50. Fabrica Nuci/nuttechnology.com/Brosuri echipamente/06. Separare miez si sortare/07. Mas&#259; de inspec&#539;ie cu band&#259;.pdf" TargetMode="External" /><ns0:Relationship Id="nativeLink36" Type="http://schemas.openxmlformats.org/officeDocument/2006/relationships/hyperlink" Target="Z:/00. Proiecte 2025/AFIR FotoVoltaic 1/50. Fabrica Nuci/nuttechnology.com/Brosuri echipamente/06. Separare miez si sortare/08. Mas&#259; de inspec&#539;ie cu band&#259; pe dou&#259; niveluri.pdf" TargetMode="External" /><ns0:Relationship Id="nativeLink37" Type="http://schemas.openxmlformats.org/officeDocument/2006/relationships/hyperlink" Target="Z:/00. Proiecte 2025/AFIR FotoVoltaic 1/50. Fabrica Nuci/nuttechnology.com/Brosuri echipamente/07. Sortatoare optice/02. Sortator optic 3S - imagine (fara brosura).png" TargetMode="External" /><ns0:Relationship Id="nativeLink38" Type="http://schemas.openxmlformats.org/officeDocument/2006/relationships/hyperlink" Target="Z:/00. Proiecte 2025/AFIR FotoVoltaic 1/50. Fabrica Nuci/nuttechnology.com/Brosuri echipamente/07. Sortatoare optice/03. Sortator optic cu band&#259; M600 - imagine (fara brosura).jpg" TargetMode="External" /><ns0:Relationship Id="nativeLink39" Type="http://schemas.openxmlformats.org/officeDocument/2006/relationships/hyperlink" Target="Z:/00. Proiecte 2025/AFIR FotoVoltaic 1/50. Fabrica Nuci/nuttechnology.com/Brosuri echipamente/08. Linii complete de procesare/01. Linie de sp&#259;lare &#537;i uscare a nucilor (500 kg-h).pdf" TargetMode="External" /><ns0:Relationship Id="nativeLink40" Type="http://schemas.openxmlformats.org/officeDocument/2006/relationships/hyperlink" Target="Z:/00. Proiecte 2025/AFIR FotoVoltaic 1/50. Fabrica Nuci/nuttechnology.com/Brosuri echipamente/08. Linii complete de procesare/02. Linie industrial&#259; pentru procesarea nucilor (100 kg-h).pdf" TargetMode="External" /><ns0:Relationship Id="nativeLink41" Type="http://schemas.openxmlformats.org/officeDocument/2006/relationships/hyperlink" Target="Z:/00. Proiecte 2025/AFIR FotoVoltaic 1/50. Fabrica Nuci/nuttechnology.com/Brosuri echipamente/08. Linii complete de procesare/03. Linie industrial&#259; pentru procesarea nucilor (200 kg-h).pdf" TargetMode="External" /><ns0:Relationship Id="nativeLink42" Type="http://schemas.openxmlformats.org/officeDocument/2006/relationships/hyperlink" Target="Z:/00. Proiecte 2025/AFIR FotoVoltaic 1/50. Fabrica Nuci/nuttechnology.com/Brosuri echipamente/08. Linii complete de procesare/04. Linie industrial&#259; automatizat&#259; pentru procesarea nucilor (200 kg-h).pdf" TargetMode="External" /><ns0:Relationship Id="nativeLink43" Type="http://schemas.openxmlformats.org/officeDocument/2006/relationships/hyperlink" Target="Z:/00. Proiecte 2025/AFIR FotoVoltaic 1/50. Fabrica Nuci/nuttechnology.com/Brosuri echipamente/08. Linii complete de procesare/05. Linie industrial&#259; automatizat&#259; de procesare a nucilor, p&#226;n&#259; la 400 kg-h.pdf" TargetMode="External" /><ns0:Relationship Id="nativeLink44" Type="http://schemas.openxmlformats.org/officeDocument/2006/relationships/hyperlink" Target="Z:/00. Proiecte 2025/AFIR FotoVoltaic 1/50. Fabrica Nuci/nuttechnology.com/Brosuri echipamente/08. Linii complete de procesare/06. Linie industrial&#259; pentru procesarea alunelor (200 kg-h).pdf" TargetMode="External" /><ns0:Relationship Id="nativeLink45" Type="http://schemas.openxmlformats.org/officeDocument/2006/relationships/hyperlink" Target="Z:/00. Proiecte 2025/AFIR FotoVoltaic 1/50. Fabrica Nuci/nuttechnology.com/Brosuri echipamente/08. Linii complete de procesare/07. Complex industrial pentru procesarea alunelor (200 kg-h).pdf" TargetMode="External" /><ns0:Relationship Id="nativeLink46" Type="http://schemas.openxmlformats.org/officeDocument/2006/relationships/hyperlink" Target="Z:/00. Proiecte 2025/AFIR FotoVoltaic 1/50. Fabrica Nuci/nuttechnology.com/Brosuri echipamente/08. Linii complete de procesare/08. Linie industrial&#259; pentru procesarea migdalelor (200 kg-h).pdf" TargetMode="External" /><ns0:Relationship Id="nativeLink47" Type="http://schemas.openxmlformats.org/officeDocument/2006/relationships/hyperlink" Target="Z:/00. Proiecte 2025/AFIR FotoVoltaic 1/50. Fabrica Nuci/nuttechnology.com/Brosuri echipamente/08. Linii complete de procesare/09. Complex industrial pentru procesarea migdalelor (200 kg-h).pdf" TargetMode="External" /><ns0:Relationship Id="nativeLink48" Type="http://schemas.openxmlformats.org/officeDocument/2006/relationships/hyperlink" Target="https://nuttechnology.com/ro/produs/agitator-de-pomi-fructiferi/" TargetMode="External" /><ns0:Relationship Id="nativeLink49" Type="http://schemas.openxmlformats.org/officeDocument/2006/relationships/hyperlink" Target="https://nuttechnology.com/ro/produs/ma-in-de-cur-at-i-decojit-nuci-verzi-100-kg-h/" TargetMode="External" /><ns0:Relationship Id="nativeLink50" Type="http://schemas.openxmlformats.org/officeDocument/2006/relationships/hyperlink" Target="https://nuttechnology.com/ro/produs/ma-in-de-cur-at-i-decojit-nuci-verzi-300-kg-h/" TargetMode="External" /><ns0:Relationship Id="nativeLink51" Type="http://schemas.openxmlformats.org/officeDocument/2006/relationships/hyperlink" Target="https://nuttechnology.com/ro/produs/ma-in-de-cur-at-i-decojit-nuci-verzi-700-kg-h/" TargetMode="External" /><ns0:Relationship Id="nativeLink52" Type="http://schemas.openxmlformats.org/officeDocument/2006/relationships/hyperlink" Target="https://nuttechnology.com/ro/produs/ma-in-industrial-de-cur-are-i-sp-lare-1-t-h/" TargetMode="External" /><ns0:Relationship Id="nativeLink53" Type="http://schemas.openxmlformats.org/officeDocument/2006/relationships/hyperlink" Target="https://nuttechnology.com/ro/produs/ma-in-de-cur-at-coaja-verde-de-alune/" TargetMode="External" /><ns0:Relationship Id="nativeLink54" Type="http://schemas.openxmlformats.org/officeDocument/2006/relationships/hyperlink" Target="https://nuttechnology.com/ro/produs/usc-tor-pentru-nuci-nep-jite-alune-migdale-capacitate-p-n-la-1-ton-24-ore/" TargetMode="External" /><ns0:Relationship Id="nativeLink55" Type="http://schemas.openxmlformats.org/officeDocument/2006/relationships/hyperlink" Target="https://nuttechnology.com/ro/produs/usc-tor-pentru-nuci-decojite-alune-migdale-capacitate-p-n-la-2-tone-pe-24-de-ore/" TargetMode="External" /><ns0:Relationship Id="nativeLink56" Type="http://schemas.openxmlformats.org/officeDocument/2006/relationships/hyperlink" Target="https://nuttechnology.com/ro/produs/usc-tor-pentru-nuci-alune-i-migdale-n-coaj/" TargetMode="External" /><ns0:Relationship Id="nativeLink57" Type="http://schemas.openxmlformats.org/officeDocument/2006/relationships/hyperlink" Target="https://nuttechnology.com/ro/produs/usc-tor-pentru-nuci-alune-i-migdale-n-coaj-2/" TargetMode="External" /><ns0:Relationship Id="nativeLink58" Type="http://schemas.openxmlformats.org/officeDocument/2006/relationships/hyperlink" Target="https://nuttechnology.com/ro/produs/band-de-alimentare-usc-tor/" TargetMode="External" /><ns0:Relationship Id="nativeLink59" Type="http://schemas.openxmlformats.org/officeDocument/2006/relationships/hyperlink" Target="https://nuttechnology.com/ro/produs/band-transportoare-de-alimentare-pentru-usc-tor-4-t-h/" TargetMode="External" /><ns0:Relationship Id="nativeLink60" Type="http://schemas.openxmlformats.org/officeDocument/2006/relationships/hyperlink" Target="https://nuttechnology.com/ro/produs/elevator-noria-pentru-nc-rcare-desc-rcare-de-2-tone-pe-or/" TargetMode="External" /><ns0:Relationship Id="nativeLink61" Type="http://schemas.openxmlformats.org/officeDocument/2006/relationships/hyperlink" Target="https://nuttechnology.com/ro/produs/norie-de-nc-rcare-desc-rcare-elevator-4-tone-pe-or/" TargetMode="External" /><ns0:Relationship Id="nativeLink62" Type="http://schemas.openxmlformats.org/officeDocument/2006/relationships/hyperlink" Target="https://nuttechnology.com/ro/produs/calibrator-de-linie-pentru-toate-tipurile-de-piuli-e/" TargetMode="External" /><ns0:Relationship Id="nativeLink63" Type="http://schemas.openxmlformats.org/officeDocument/2006/relationships/hyperlink" Target="https://nuttechnology.com/ro/produs/ma-in-de-calibrare-nuci/" TargetMode="External" /><ns0:Relationship Id="nativeLink64" Type="http://schemas.openxmlformats.org/officeDocument/2006/relationships/hyperlink" Target="https://nuttechnology.com/ro/produs/ma-in-de-calibrat-nuci-8-frac-iuni/" TargetMode="External" /><ns0:Relationship Id="nativeLink65" Type="http://schemas.openxmlformats.org/officeDocument/2006/relationships/hyperlink" Target="https://nuttechnology.com/ro/produs/ma-in-de-sortat-nuci-goale-n-coaj/" TargetMode="External" /><ns0:Relationship Id="nativeLink66" Type="http://schemas.openxmlformats.org/officeDocument/2006/relationships/hyperlink" Target="https://nuttechnology.com/ro/produs/ma-in-de-calibrare-alune/" TargetMode="External" /><ns0:Relationship Id="nativeLink67" Type="http://schemas.openxmlformats.org/officeDocument/2006/relationships/hyperlink" Target="https://nuttechnology.com/ro/produs/ma-in-de-calibrare-alune-3-frac-iuni/" TargetMode="External" /><ns0:Relationship Id="nativeLink68" Type="http://schemas.openxmlformats.org/officeDocument/2006/relationships/hyperlink" Target="https://nuttechnology.com/ro/produs/ma-in-de-calibrat-alune-8-frac-iuni/" TargetMode="External" /><ns0:Relationship Id="nativeLink69" Type="http://schemas.openxmlformats.org/officeDocument/2006/relationships/hyperlink" Target="https://nuttechnology.com/ro/produs/utilaj-spargere-nuci-50-kg-h/" TargetMode="External" /><ns0:Relationship Id="nativeLink70" Type="http://schemas.openxmlformats.org/officeDocument/2006/relationships/hyperlink" Target="https://nuttechnology.com/ro/produs/ma-in-de-spart-nuci-100-kg-h/" TargetMode="External" /><ns0:Relationship Id="nativeLink71" Type="http://schemas.openxmlformats.org/officeDocument/2006/relationships/hyperlink" Target="https://nuttechnology.com/ro/produs/ma-in-de-spart-nuci-200-kg-h/" TargetMode="External" /><ns0:Relationship Id="nativeLink72" Type="http://schemas.openxmlformats.org/officeDocument/2006/relationships/hyperlink" Target="https://nuttechnology.com/ro/produs/sp-rg-tor-de-nuci-industrial-din-lemn-de-nuc-cu-coloan-de-aspira-ie-ncorporat-200-kg-h/" TargetMode="External" /><ns0:Relationship Id="nativeLink73" Type="http://schemas.openxmlformats.org/officeDocument/2006/relationships/hyperlink" Target="https://nuttechnology.com/ro/produs/sp-rg-tor-de-nuci-dup-ma-ina-de-spart/" TargetMode="External" /><ns0:Relationship Id="nativeLink74" Type="http://schemas.openxmlformats.org/officeDocument/2006/relationships/hyperlink" Target="https://nuttechnology.com/ro/produs/fructier-pentru-nuci-alune-i-migdale/" TargetMode="External" /><ns0:Relationship Id="nativeLink75" Type="http://schemas.openxmlformats.org/officeDocument/2006/relationships/hyperlink" Target="https://nuttechnology.com/ro/produs/sp-rg-tor-de-alune-cu-aspira-ie-200-kg-h/" TargetMode="External" /><ns0:Relationship Id="nativeLink76" Type="http://schemas.openxmlformats.org/officeDocument/2006/relationships/hyperlink" Target="https://nuttechnology.com/ro/produs/ma-in-de-separat-miezul-de-coaj-100-kg-h/" TargetMode="External" /><ns0:Relationship Id="nativeLink77" Type="http://schemas.openxmlformats.org/officeDocument/2006/relationships/hyperlink" Target="https://nuttechnology.com/ro/produs/ma-in-pentru-separarea-miezului-de-coaj-300-kg-h/" TargetMode="External" /><ns0:Relationship Id="nativeLink78" Type="http://schemas.openxmlformats.org/officeDocument/2006/relationships/hyperlink" Target="https://nuttechnology.com/ro/produs/ma-in-de-separat-miez-de-nuc-200-kg-h/" TargetMode="External" /><ns0:Relationship Id="nativeLink79" Type="http://schemas.openxmlformats.org/officeDocument/2006/relationships/hyperlink" Target="https://nuttechnology.com/ro/produs/sita-vibratoare-cu-aspiratie-pentru-sortat-nuci-200-kg-h/" TargetMode="External" /><ns0:Relationship Id="nativeLink80" Type="http://schemas.openxmlformats.org/officeDocument/2006/relationships/hyperlink" Target="https://nuttechnology.com/ro/produs/sit-vibrant-cu-aspira-ie-pentru-sortat-nuci-300-kg-h/" TargetMode="External" /><ns0:Relationship Id="nativeLink81" Type="http://schemas.openxmlformats.org/officeDocument/2006/relationships/hyperlink" Target="https://nuttechnology.com/ro/produs/transportor-liftant-pentru-nuci/" TargetMode="External" /><ns0:Relationship Id="nativeLink82" Type="http://schemas.openxmlformats.org/officeDocument/2006/relationships/hyperlink" Target="https://nuttechnology.com/ro/produs/masa-de-inspec-ie-a-curelelor/" TargetMode="External" /><ns0:Relationship Id="nativeLink83" Type="http://schemas.openxmlformats.org/officeDocument/2006/relationships/hyperlink" Target="https://nuttechnology.com/ro/produs/mas-de-inspec-ie-cu-band-cu-dou-niveluri/" TargetMode="External" /><ns0:Relationship Id="nativeLink84" Type="http://schemas.openxmlformats.org/officeDocument/2006/relationships/hyperlink" Target="https://nuttechnology.com/ro/produs/sortator-de-culori-ir-63/" TargetMode="External" /><ns0:Relationship Id="nativeLink85" Type="http://schemas.openxmlformats.org/officeDocument/2006/relationships/hyperlink" Target="https://nuttechnology.com/ro/produs/color-sorter-3s/" TargetMode="External" /><ns0:Relationship Id="nativeLink86" Type="http://schemas.openxmlformats.org/officeDocument/2006/relationships/hyperlink" Target="https://nuttechnology.com/ro/produs/belt-color-sorter-m600/" TargetMode="External" /><ns0:Relationship Id="nativeLink87" Type="http://schemas.openxmlformats.org/officeDocument/2006/relationships/hyperlink" Target="https://nuttechnology.com/ro/produs/linie-de-sp-lare-i-uscare-nuci-500-kg-h/" TargetMode="External" /><ns0:Relationship Id="nativeLink88" Type="http://schemas.openxmlformats.org/officeDocument/2006/relationships/hyperlink" Target="https://nuttechnology.com/ro/produs/linie-industrial-pentru-prelucrarea-nucilor-100-kg-h/" TargetMode="External" /><ns0:Relationship Id="nativeLink89" Type="http://schemas.openxmlformats.org/officeDocument/2006/relationships/hyperlink" Target="https://nuttechnology.com/ro/produs/linie-industrial-de-procesare-nuci-200-kg-h/" TargetMode="External" /><ns0:Relationship Id="nativeLink90" Type="http://schemas.openxmlformats.org/officeDocument/2006/relationships/hyperlink" Target="https://nuttechnology.com/ro/produs/linie-automat-industrial-de-procesare-nuci-200-kg-h/" TargetMode="External" /><ns0:Relationship Id="nativeLink91" Type="http://schemas.openxmlformats.org/officeDocument/2006/relationships/hyperlink" Target="https://nuttechnology.com/ro/produs/industrial-automated-walnut-processing-line-with-a-capacity-of-up-to-400-kg-h/" TargetMode="External" /><ns0:Relationship Id="nativeLink92" Type="http://schemas.openxmlformats.org/officeDocument/2006/relationships/hyperlink" Target="https://nuttechnology.com/ro/produs/linie-industrial-pentru-procesarea-alunelor-200-kg-h/" TargetMode="External" /><ns0:Relationship Id="nativeLink93" Type="http://schemas.openxmlformats.org/officeDocument/2006/relationships/hyperlink" Target="https://nuttechnology.com/ro/produs/complex-industrial-pentru-procesarea-alunelor-200-kg-h/" TargetMode="External" /><ns0:Relationship Id="nativeLink94" Type="http://schemas.openxmlformats.org/officeDocument/2006/relationships/hyperlink" Target="https://nuttechnology.com/ro/produs/linie-industrial-pentru-procesarea-migdalelor-200-kg-h/" TargetMode="External" /><ns0:Relationship Id="nativeLink95" Type="http://schemas.openxmlformats.org/officeDocument/2006/relationships/hyperlink" Target="https://nuttechnology.com/ro/produs/complex-industrial-pentru-procesarea-migdalelor-200-kg-h-2/" TargetMode="External" /></ns0:Relationships>
</file>

<file path=xl/worksheets/_rels/sheet4.xml.rels><?xml version='1.0' encoding='utf-8'?>
<ns0:Relationships xmlns:ns0="http://schemas.openxmlformats.org/package/2006/relationships"><ns0:Relationship Type="http://schemas.openxmlformats.org/officeDocument/2006/relationships/table" Target="/xl/tables/table4.xml" Id="Rdf682820264c4c29" /><ns0:Relationship Id="nativeLink1" Type="http://schemas.openxmlformats.org/officeDocument/2006/relationships/hyperlink" Target="Z:/00. Proiecte 2025/AFIR FotoVoltaic 1/50. Fabrica Nuci/nuttechnology.com/02_Oferte/39b20753_Oferta comerciala - CESIRO PRODUCTION - Linie procesare nuci 400 kg - h.pdf" TargetMode="External" /><ns0:Relationship Id="nativeLink2" Type="http://schemas.openxmlformats.org/officeDocument/2006/relationships/hyperlink" Target="Z:/00. Proiecte 2025/AFIR FotoVoltaic 1/50. Fabrica Nuci/nuttechnology.com/02_Oferte/6d433786_Oferta comerciala - CESIRO PRODUCTION - Linie procesare nuci - 200 kg.pdf" TargetMode="External" /><ns0:Relationship Id="nativeLink3" Type="http://schemas.openxmlformats.org/officeDocument/2006/relationships/hyperlink" Target="Z:/00. Proiecte 2025/AFIR FotoVoltaic 1/50. Fabrica Nuci/nuttechnology.com/02_Oferte/70fd55eb_Oferta comerciala - CESIRO PRODUCTION - Linie procesare nuci 400 kg - h.pdf" TargetMode="External" /><ns0:Relationship Id="nativeLink4" Type="http://schemas.openxmlformats.org/officeDocument/2006/relationships/hyperlink" Target="Z:/00. Proiecte 2025/AFIR FotoVoltaic 1/50. Fabrica Nuci/nuttechnology.com/02_Oferte/82ab706d_Oferta comerciala - CESIRO PRODUCTION - Linie procesare nuci 400 kg v2.pdf" TargetMode="External" /><ns0:Relationship Id="nativeLink5" Type="http://schemas.openxmlformats.org/officeDocument/2006/relationships/hyperlink" Target="Z:/00. Proiecte 2025/AFIR FotoVoltaic 1/50. Fabrica Nuci/nuttechnology.com/02_Oferte/abf91b2f_Oferta comerciala - CESIRO PRODUCTION - Linie procesare nuci - 200 kg.pdf" TargetMode="External" /><ns0:Relationship Id="nativeLink6" Type="http://schemas.openxmlformats.org/officeDocument/2006/relationships/hyperlink" Target="Z:/00. Proiecte 2025/AFIR FotoVoltaic 1/50. Fabrica Nuci/nuttechnology.com/03_Cataloage/AUTOMATED INDUSTRIAL WALNUT PROCESSING LINE 200 KG_H (3).pdf" TargetMode="External" /><ns0:Relationship Id="nativeLink7" Type="http://schemas.openxmlformats.org/officeDocument/2006/relationships/hyperlink" Target="Z:/00. Proiecte 2025/AFIR FotoVoltaic 1/50. Fabrica Nuci/nuttechnology.com/03_Cataloage/Catalog_Nut_technology_ENG_2023 (4).pdf" TargetMode="External" /><ns0:Relationship Id="nativeLink8" Type="http://schemas.openxmlformats.org/officeDocument/2006/relationships/hyperlink" Target="Z:/00. Proiecte 2025/AFIR FotoVoltaic 1/50. Fabrica Nuci/nuttechnology.com/03_Cataloage/Walnut harvesting, peeling and drying line (1).pdf" TargetMode="External" /><ns0:Relationship Id="nativeLink9" Type="http://schemas.openxmlformats.org/officeDocument/2006/relationships/hyperlink" Target="Z:/00. Proiecte 2025/AFIR FotoVoltaic 1/50. Fabrica Nuci/nuttechnology.com/04_Fise_electrice_propuse/088bc401_Fisa electrica propusa - Poz 4b - Uscator nuci in coaja 4 t-24 h nr. 2.pdf" TargetMode="External" /><ns0:Relationship Id="nativeLink10" Type="http://schemas.openxmlformats.org/officeDocument/2006/relationships/hyperlink" Target="Z:/00. Proiecte 2025/AFIR FotoVoltaic 1/50. Fabrica Nuci/nuttechnology.com/04_Fise_electrice_propuse/2a53a261_Fisa electrica propusa - Poz 3 - Elevator Noria incarcare-descarcare 4 t-h.pdf" TargetMode="External" /><ns0:Relationship Id="nativeLink11" Type="http://schemas.openxmlformats.org/officeDocument/2006/relationships/hyperlink" Target="Z:/00. Proiecte 2025/AFIR FotoVoltaic 1/50. Fabrica Nuci/nuttechnology.com/04_Fise_electrice_propuse/356a5d77_Fisa electrica propusa - Poz 6 - Linie automatizata de procesare nuci 400 kg-h.pdf" TargetMode="External" /><ns0:Relationship Id="nativeLink12" Type="http://schemas.openxmlformats.org/officeDocument/2006/relationships/hyperlink" Target="Z:/00. Proiecte 2025/AFIR FotoVoltaic 1/50. Fabrica Nuci/nuttechnology.com/04_Fise_electrice_propuse/510ca500_Fisa electrica propusa - Poz 1 - Masina industriala de spalat nuci 1 t-h.pdf" TargetMode="External" /><ns0:Relationship Id="nativeLink13" Type="http://schemas.openxmlformats.org/officeDocument/2006/relationships/hyperlink" Target="Z:/00. Proiecte 2025/AFIR FotoVoltaic 1/50. Fabrica Nuci/nuttechnology.com/04_Fise_electrice_propuse/5171df45_Fisa electrica propusa - Poz 8a - Transportor elevator calibrator linie de spargere.pdf" TargetMode="External" /><ns0:Relationship Id="nativeLink14" Type="http://schemas.openxmlformats.org/officeDocument/2006/relationships/hyperlink" Target="Z:/00. Proiecte 2025/AFIR FotoVoltaic 1/50. Fabrica Nuci/nuttechnology.com/04_Fise_electrice_propuse/711787fa_Fisa electrica propusa - Poz 5 - Calibrator nuci 8 fractii 500 kg-h.pdf" TargetMode="External" /><ns0:Relationship Id="nativeLink15" Type="http://schemas.openxmlformats.org/officeDocument/2006/relationships/hyperlink" Target="Z:/00. Proiecte 2025/AFIR FotoVoltaic 1/50. Fabrica Nuci/nuttechnology.com/04_Fise_electrice_propuse/84fb006b_Fisa electrica propusa - Poz 10 - Masa de inspectie cu banda pe doua niveluri.pdf" TargetMode="External" /><ns0:Relationship Id="nativeLink16" Type="http://schemas.openxmlformats.org/officeDocument/2006/relationships/hyperlink" Target="Z:/00. Proiecte 2025/AFIR FotoVoltaic 1/50. Fabrica Nuci/nuttechnology.com/04_Fise_electrice_propuse/a85c21b9_Fisa electrica propusa - Poz 9 - Sortator optic cu banda M600.pdf" TargetMode="External" /><ns0:Relationship Id="nativeLink17" Type="http://schemas.openxmlformats.org/officeDocument/2006/relationships/hyperlink" Target="Z:/00. Proiecte 2025/AFIR FotoVoltaic 1/50. Fabrica Nuci/nuttechnology.com/04_Fise_electrice_propuse/ae6ae28d_Fisa electrica propusa - Poz 8b - Transportor elevator linie sortator optic.pdf" TargetMode="External" /><ns0:Relationship Id="nativeLink18" Type="http://schemas.openxmlformats.org/officeDocument/2006/relationships/hyperlink" Target="Z:/00. Proiecte 2025/AFIR FotoVoltaic 1/50. Fabrica Nuci/nuttechnology.com/04_Fise_electrice_propuse/c64b8ab6_Fisa electrica propusa - Poz 4a - Uscator nuci in coaja 4 t-24 h nr. 1.pdf" TargetMode="External" /><ns0:Relationship Id="nativeLink19" Type="http://schemas.openxmlformats.org/officeDocument/2006/relationships/hyperlink" Target="Z:/00. Proiecte 2025/AFIR FotoVoltaic 1/50. Fabrica Nuci/nuttechnology.com/04_Fise_electrice_propuse/f47799fb_Fisa electrica propusa - Poz 7 - Spargator 200 kg-h cu coloana de aspiratie _al 3-lea_.pdf" TargetMode="External" /><ns0:Relationship Id="nativeLink20" Type="http://schemas.openxmlformats.org/officeDocument/2006/relationships/hyperlink" Target="Z:/00. Proiecte 2025/AFIR FotoVoltaic 1/50. Fabrica Nuci/nuttechnology.com/04_Fise_electrice_propuse/f53a967d_Fisa electrica propusa - Poz 2 - Banda de alimentare masina de spalat 4 t-h.pdf" TargetMode="External" /><ns0:Relationship Id="nativeLink21" Type="http://schemas.openxmlformats.org/officeDocument/2006/relationships/hyperlink" Target="Z:/00. Proiecte 2025/AFIR FotoVoltaic 1/50. Fabrica Nuci/nuttechnology.com/Brosuri echipamente/01. Recoltare/01. Scutur&#259;tor pentru pomi fructiferi.pdf" TargetMode="External" /><ns0:Relationship Id="nativeLink22" Type="http://schemas.openxmlformats.org/officeDocument/2006/relationships/hyperlink" Target="Z:/00. Proiecte 2025/AFIR FotoVoltaic 1/50. Fabrica Nuci/nuttechnology.com/Brosuri echipamente/02. Decojire coaja verde si spalare/01. Ma&#537;in&#259; de decojire &#537;i cur&#259;&#539;are a nucilor verzi 100 kg-h.pdf" TargetMode="External" /><ns0:Relationship Id="nativeLink23" Type="http://schemas.openxmlformats.org/officeDocument/2006/relationships/hyperlink" Target="Z:/00. Proiecte 2025/AFIR FotoVoltaic 1/50. Fabrica Nuci/nuttechnology.com/Brosuri echipamente/02. Decojire coaja verde si spalare/02. Ma&#537;in&#259; pentru decojirea &#537;i cur&#259;&#539;area nucilor verzi 300 kg-h.pdf" TargetMode="External" /><ns0:Relationship Id="nativeLink24" Type="http://schemas.openxmlformats.org/officeDocument/2006/relationships/hyperlink" Target="Z:/00. Proiecte 2025/AFIR FotoVoltaic 1/50. Fabrica Nuci/nuttechnology.com/Brosuri echipamente/02. Decojire coaja verde si spalare/03. Ma&#537;in&#259; de decojire &#537;i cur&#259;&#539;are a nucilor verzi 700 kg-h.pdf" TargetMode="External" /><ns0:Relationship Id="nativeLink25" Type="http://schemas.openxmlformats.org/officeDocument/2006/relationships/hyperlink" Target="Z:/00. Proiecte 2025/AFIR FotoVoltaic 1/50. Fabrica Nuci/nuttechnology.com/Brosuri echipamente/02. Decojire coaja verde si spalare/04. Ma&#537;in&#259; industrial&#259; de decojire &#537;i sp&#259;lare (1 t-h).pdf" TargetMode="External" /><ns0:Relationship Id="nativeLink26" Type="http://schemas.openxmlformats.org/officeDocument/2006/relationships/hyperlink" Target="Z:/00. Proiecte 2025/AFIR FotoVoltaic 1/50. Fabrica Nuci/nuttechnology.com/Brosuri echipamente/02. Decojire coaja verde si spalare/05. Ma&#537;in&#259; pentru &#238;ndep&#259;rtarea cojii verzi a alunelor.pdf" TargetMode="External" /><ns0:Relationship Id="nativeLink27" Type="http://schemas.openxmlformats.org/officeDocument/2006/relationships/hyperlink" Target="Z:/00. Proiecte 2025/AFIR FotoVoltaic 1/50. Fabrica Nuci/nuttechnology.com/Brosuri echipamente/03. Uscare si incarcare uscator/01. Usc&#259;tor pentru nuci, alune &#537;i migdale &#238;n coaj&#259; (p&#226;n&#259; la 1 ton&#259;-24 ore).pdf" TargetMode="External" /><ns0:Relationship Id="nativeLink28" Type="http://schemas.openxmlformats.org/officeDocument/2006/relationships/hyperlink" Target="Z:/00. Proiecte 2025/AFIR FotoVoltaic 1/50. Fabrica Nuci/nuttechnology.com/Brosuri echipamente/03. Uscare si incarcare uscator/02. Usc&#259;tor pentru nuci, alune &#537;i migdale &#238;n coaj&#259; (p&#226;n&#259; la 2 tone-24 ore).pdf" TargetMode="External" /><ns0:Relationship Id="nativeLink29" Type="http://schemas.openxmlformats.org/officeDocument/2006/relationships/hyperlink" Target="Z:/00. Proiecte 2025/AFIR FotoVoltaic 1/50. Fabrica Nuci/nuttechnology.com/Brosuri echipamente/03. Uscare si incarcare uscator/03. Usc&#259;tor pentru nuci, alune &#537;i migdale &#238;n coaj&#259; (2 tone-zi).pdf" TargetMode="External" /><ns0:Relationship Id="nativeLink30" Type="http://schemas.openxmlformats.org/officeDocument/2006/relationships/hyperlink" Target="Z:/00. Proiecte 2025/AFIR FotoVoltaic 1/50. Fabrica Nuci/nuttechnology.com/Brosuri echipamente/03. Uscare si incarcare uscator/04. Usc&#259;tor pentru nuci, alune &#537;i migdale &#238;n coaj&#259; (4 tone-zi).pdf" TargetMode="External" /><ns0:Relationship Id="nativeLink31" Type="http://schemas.openxmlformats.org/officeDocument/2006/relationships/hyperlink" Target="Z:/00. Proiecte 2025/AFIR FotoVoltaic 1/50. Fabrica Nuci/nuttechnology.com/Brosuri echipamente/03. Uscare si incarcare uscator/05. Conveyor de alimentare pentru usc&#259;tor 2 t-zi.pdf" TargetMode="External" /><ns0:Relationship Id="nativeLink32" Type="http://schemas.openxmlformats.org/officeDocument/2006/relationships/hyperlink" Target="Z:/00. Proiecte 2025/AFIR FotoVoltaic 1/50. Fabrica Nuci/nuttechnology.com/Brosuri echipamente/03. Uscare si incarcare uscator/06. Conveyor de alimentare pentru usc&#259;tor 4 t-h.pdf" TargetMode="External" /><ns0:Relationship Id="nativeLink33" Type="http://schemas.openxmlformats.org/officeDocument/2006/relationships/hyperlink" Target="Z:/00. Proiecte 2025/AFIR FotoVoltaic 1/50. Fabrica Nuci/nuttechnology.com/Brosuri echipamente/03. Uscare si incarcare uscator/07. Elevator cu &#238;nc&#259;rcare-desc&#259;rcare Noria 2 tone pe or&#259;.pdf" TargetMode="External" /><ns0:Relationship Id="nativeLink34" Type="http://schemas.openxmlformats.org/officeDocument/2006/relationships/hyperlink" Target="Z:/00. Proiecte 2025/AFIR FotoVoltaic 1/50. Fabrica Nuci/nuttechnology.com/Brosuri echipamente/03. Uscare si incarcare uscator/08. Elevator cu &#238;nc&#259;rcare-desc&#259;rcare Noria 4 tone pe or&#259;.pdf" TargetMode="External" /><ns0:Relationship Id="nativeLink35" Type="http://schemas.openxmlformats.org/officeDocument/2006/relationships/hyperlink" Target="Z:/00. Proiecte 2025/AFIR FotoVoltaic 1/50. Fabrica Nuci/nuttechnology.com/Brosuri echipamente/04. Calibrare si sortare in coaja/01. Calibrator liniar pentru toate tipurile de nuci.pdf" TargetMode="External" /><ns0:Relationship Id="nativeLink36" Type="http://schemas.openxmlformats.org/officeDocument/2006/relationships/hyperlink" Target="Z:/00. Proiecte 2025/AFIR FotoVoltaic 1/50. Fabrica Nuci/nuttechnology.com/Brosuri echipamente/04. Calibrare si sortare in coaja/02. Ma&#537;in&#259; de calibrare a nucilor &#238;n 4 frac&#539;ii.pdf" TargetMode="External" /><ns0:Relationship Id="nativeLink37" Type="http://schemas.openxmlformats.org/officeDocument/2006/relationships/hyperlink" Target="Z:/00. Proiecte 2025/AFIR FotoVoltaic 1/50. Fabrica Nuci/nuttechnology.com/Brosuri echipamente/04. Calibrare si sortare in coaja/03. Ma&#537;in&#259; de calibrare a nucilor &#238;n 8 frac&#539;ii.pdf" TargetMode="External" /><ns0:Relationship Id="nativeLink38" Type="http://schemas.openxmlformats.org/officeDocument/2006/relationships/hyperlink" Target="Z:/00. Proiecte 2025/AFIR FotoVoltaic 1/50. Fabrica Nuci/nuttechnology.com/Brosuri echipamente/04. Calibrare si sortare in coaja/04. Ma&#537;in&#259; pentru sortarea nucilor goale &#238;n coaj&#259;.pdf" TargetMode="External" /><ns0:Relationship Id="nativeLink39" Type="http://schemas.openxmlformats.org/officeDocument/2006/relationships/hyperlink" Target="Z:/00. Proiecte 2025/AFIR FotoVoltaic 1/50. Fabrica Nuci/nuttechnology.com/Brosuri echipamente/04. Calibrare si sortare in coaja/05. Ma&#537;in&#259; de calibrare a alunelor.pdf" TargetMode="External" /><ns0:Relationship Id="nativeLink40" Type="http://schemas.openxmlformats.org/officeDocument/2006/relationships/hyperlink" Target="Z:/00. Proiecte 2025/AFIR FotoVoltaic 1/50. Fabrica Nuci/nuttechnology.com/Brosuri echipamente/04. Calibrare si sortare in coaja/06. Ma&#537;in&#259; de calibrare a alunelor &#238;n 3 frac&#539;ii.pdf" TargetMode="External" /><ns0:Relationship Id="nativeLink41" Type="http://schemas.openxmlformats.org/officeDocument/2006/relationships/hyperlink" Target="Z:/00. Proiecte 2025/AFIR FotoVoltaic 1/50. Fabrica Nuci/nuttechnology.com/Brosuri echipamente/04. Calibrare si sortare in coaja/07. Ma&#537;in&#259; de calibrare a alunelor &#238;n 8 frac&#539;ii.pdf" TargetMode="External" /><ns0:Relationship Id="nativeLink42" Type="http://schemas.openxmlformats.org/officeDocument/2006/relationships/hyperlink" Target="Z:/00. Proiecte 2025/AFIR FotoVoltaic 1/50. Fabrica Nuci/nuttechnology.com/Brosuri echipamente/05. Spargere/01. Ma&#537;in&#259; de spart nuci 50 kg-h.pdf" TargetMode="External" /><ns0:Relationship Id="nativeLink43" Type="http://schemas.openxmlformats.org/officeDocument/2006/relationships/hyperlink" Target="Z:/00. Proiecte 2025/AFIR FotoVoltaic 1/50. Fabrica Nuci/nuttechnology.com/Brosuri echipamente/05. Spargere/02. Ma&#537;in&#259; de spart nuci 100 kg-h.pdf" TargetMode="External" /><ns0:Relationship Id="nativeLink44" Type="http://schemas.openxmlformats.org/officeDocument/2006/relationships/hyperlink" Target="Z:/00. Proiecte 2025/AFIR FotoVoltaic 1/50. Fabrica Nuci/nuttechnology.com/Brosuri echipamente/05. Spargere/03. Ma&#537;in&#259; de spart nuci 200 kg-h.pdf" TargetMode="External" /><ns0:Relationship Id="nativeLink45" Type="http://schemas.openxmlformats.org/officeDocument/2006/relationships/hyperlink" Target="Z:/00. Proiecte 2025/AFIR FotoVoltaic 1/50. Fabrica Nuci/nuttechnology.com/Brosuri echipamente/05. Spargere/04. Ma&#537;in&#259; industrial&#259; de spart nuci cu coloan&#259; de aspira&#539;ie integrat&#259; (200 kg-h).pdf" TargetMode="External" /><ns0:Relationship Id="nativeLink46" Type="http://schemas.openxmlformats.org/officeDocument/2006/relationships/hyperlink" Target="Z:/00. Proiecte 2025/AFIR FotoVoltaic 1/50. Fabrica Nuci/nuttechnology.com/Brosuri echipamente/05. Spargere/05. Sp&#259;rg&#259;tor de nuci pentru etapa post-sp&#259;rgere.pdf" TargetMode="External" /><ns0:Relationship Id="nativeLink47" Type="http://schemas.openxmlformats.org/officeDocument/2006/relationships/hyperlink" Target="Z:/00. Proiecte 2025/AFIR FotoVoltaic 1/50. Fabrica Nuci/nuttechnology.com/Brosuri echipamente/05. Spargere/06. Sp&#259;rg&#259;tor cu tambur pentru alune &#537;i migdale.pdf" TargetMode="External" /><ns0:Relationship Id="nativeLink48" Type="http://schemas.openxmlformats.org/officeDocument/2006/relationships/hyperlink" Target="Z:/00. Proiecte 2025/AFIR FotoVoltaic 1/50. Fabrica Nuci/nuttechnology.com/Brosuri echipamente/05. Spargere/07. Sp&#259;rg&#259;tor de alune cu aspira&#539;ie (200 kg-h).pdf" TargetMode="External" /><ns0:Relationship Id="nativeLink49" Type="http://schemas.openxmlformats.org/officeDocument/2006/relationships/hyperlink" Target="Z:/00. Proiecte 2025/AFIR FotoVoltaic 1/50. Fabrica Nuci/nuttechnology.com/Brosuri echipamente/06. Separare miez si sortare/01. Ma&#537;in&#259; pentru separarea miezului de coaj&#259; (100 kg-h).pdf" TargetMode="External" /><ns0:Relationship Id="nativeLink50" Type="http://schemas.openxmlformats.org/officeDocument/2006/relationships/hyperlink" Target="Z:/00. Proiecte 2025/AFIR FotoVoltaic 1/50. Fabrica Nuci/nuttechnology.com/Brosuri echipamente/06. Separare miez si sortare/02. Ma&#537;in&#259; pentru separarea miezului de coaj&#259; (300 kg-h).pdf" TargetMode="External" /><ns0:Relationship Id="nativeLink51" Type="http://schemas.openxmlformats.org/officeDocument/2006/relationships/hyperlink" Target="Z:/00. Proiecte 2025/AFIR FotoVoltaic 1/50. Fabrica Nuci/nuttechnology.com/Brosuri echipamente/06. Separare miez si sortare/03. Ma&#537;in&#259; pentru separarea miezului de nuc&#259; (200 kg-h).pdf" TargetMode="External" /><ns0:Relationship Id="nativeLink52" Type="http://schemas.openxmlformats.org/officeDocument/2006/relationships/hyperlink" Target="Z:/00. Proiecte 2025/AFIR FotoVoltaic 1/50. Fabrica Nuci/nuttechnology.com/Brosuri echipamente/06. Separare miez si sortare/04. Sit vibratoare cu aspira&#539;ie pentru sortarea nucilor (200 kg-h).pdf" TargetMode="External" /><ns0:Relationship Id="nativeLink53" Type="http://schemas.openxmlformats.org/officeDocument/2006/relationships/hyperlink" Target="Z:/00. Proiecte 2025/AFIR FotoVoltaic 1/50. Fabrica Nuci/nuttechnology.com/Brosuri echipamente/06. Separare miez si sortare/05. Sit vibratoare cu aspira&#539;ie pentru sortarea nucilor (300 kg-h).pdf" TargetMode="External" /><ns0:Relationship Id="nativeLink54" Type="http://schemas.openxmlformats.org/officeDocument/2006/relationships/hyperlink" Target="Z:/00. Proiecte 2025/AFIR FotoVoltaic 1/50. Fabrica Nuci/nuttechnology.com/Brosuri echipamente/06. Separare miez si sortare/06. Transportor elevatoare pentru nuci.pdf" TargetMode="External" /><ns0:Relationship Id="nativeLink55" Type="http://schemas.openxmlformats.org/officeDocument/2006/relationships/hyperlink" Target="Z:/00. Proiecte 2025/AFIR FotoVoltaic 1/50. Fabrica Nuci/nuttechnology.com/Brosuri echipamente/06. Separare miez si sortare/07. Mas&#259; de inspec&#539;ie cu band&#259;.pdf" TargetMode="External" /><ns0:Relationship Id="nativeLink56" Type="http://schemas.openxmlformats.org/officeDocument/2006/relationships/hyperlink" Target="Z:/00. Proiecte 2025/AFIR FotoVoltaic 1/50. Fabrica Nuci/nuttechnology.com/Brosuri echipamente/06. Separare miez si sortare/08. Mas&#259; de inspec&#539;ie cu band&#259; pe dou&#259; niveluri.pdf" TargetMode="External" /><ns0:Relationship Id="nativeLink57" Type="http://schemas.openxmlformats.org/officeDocument/2006/relationships/hyperlink" Target="Z:/00. Proiecte 2025/AFIR FotoVoltaic 1/50. Fabrica Nuci/nuttechnology.com/Brosuri echipamente/08. Linii complete de procesare/01. Linie de sp&#259;lare &#537;i uscare a nucilor (500 kg-h).pdf" TargetMode="External" /><ns0:Relationship Id="nativeLink58" Type="http://schemas.openxmlformats.org/officeDocument/2006/relationships/hyperlink" Target="Z:/00. Proiecte 2025/AFIR FotoVoltaic 1/50. Fabrica Nuci/nuttechnology.com/Brosuri echipamente/08. Linii complete de procesare/02. Linie industrial&#259; pentru procesarea nucilor (100 kg-h).pdf" TargetMode="External" /><ns0:Relationship Id="nativeLink59" Type="http://schemas.openxmlformats.org/officeDocument/2006/relationships/hyperlink" Target="Z:/00. Proiecte 2025/AFIR FotoVoltaic 1/50. Fabrica Nuci/nuttechnology.com/Brosuri echipamente/08. Linii complete de procesare/03. Linie industrial&#259; pentru procesarea nucilor (200 kg-h).pdf" TargetMode="External" /><ns0:Relationship Id="nativeLink60" Type="http://schemas.openxmlformats.org/officeDocument/2006/relationships/hyperlink" Target="Z:/00. Proiecte 2025/AFIR FotoVoltaic 1/50. Fabrica Nuci/nuttechnology.com/Brosuri echipamente/08. Linii complete de procesare/04. Linie industrial&#259; automatizat&#259; pentru procesarea nucilor (200 kg-h).pdf" TargetMode="External" /><ns0:Relationship Id="nativeLink61" Type="http://schemas.openxmlformats.org/officeDocument/2006/relationships/hyperlink" Target="Z:/00. Proiecte 2025/AFIR FotoVoltaic 1/50. Fabrica Nuci/nuttechnology.com/Brosuri echipamente/08. Linii complete de procesare/05. Linie industrial&#259; automatizat&#259; de procesare a nucilor, p&#226;n&#259; la 400 kg-h.pdf" TargetMode="External" /><ns0:Relationship Id="nativeLink62" Type="http://schemas.openxmlformats.org/officeDocument/2006/relationships/hyperlink" Target="Z:/00. Proiecte 2025/AFIR FotoVoltaic 1/50. Fabrica Nuci/nuttechnology.com/Brosuri echipamente/08. Linii complete de procesare/06. Linie industrial&#259; pentru procesarea alunelor (200 kg-h).pdf" TargetMode="External" /><ns0:Relationship Id="nativeLink63" Type="http://schemas.openxmlformats.org/officeDocument/2006/relationships/hyperlink" Target="Z:/00. Proiecte 2025/AFIR FotoVoltaic 1/50. Fabrica Nuci/nuttechnology.com/Brosuri echipamente/08. Linii complete de procesare/07. Complex industrial pentru procesarea alunelor (200 kg-h).pdf" TargetMode="External" /><ns0:Relationship Id="nativeLink64" Type="http://schemas.openxmlformats.org/officeDocument/2006/relationships/hyperlink" Target="Z:/00. Proiecte 2025/AFIR FotoVoltaic 1/50. Fabrica Nuci/nuttechnology.com/Brosuri echipamente/08. Linii complete de procesare/08. Linie industrial&#259; pentru procesarea migdalelor (200 kg-h).pdf" TargetMode="External" /><ns0:Relationship Id="nativeLink65" Type="http://schemas.openxmlformats.org/officeDocument/2006/relationships/hyperlink" Target="Z:/00. Proiecte 2025/AFIR FotoVoltaic 1/50. Fabrica Nuci/nuttechnology.com/Brosuri echipamente/08. Linii complete de procesare/09. Complex industrial pentru procesarea migdalelor (200 kg-h).pdf" TargetMode="External" /></ns0: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baeb2e86bed4727" 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2" ySplit="8" topLeftCell="C9" activePane="bottomRight" state="frozen"/>
    </sheetView>
  </sheetViews>
  <sheetFormatPr defaultRowHeight="15"/>
  <cols>
    <col min="1" max="1" width="8" hidden="0" customWidth="1"/>
    <col min="2" max="2" width="58" hidden="0" customWidth="1"/>
    <col min="3" max="3" width="9" hidden="0" customWidth="1"/>
    <col min="4" max="4" width="17" hidden="0" customWidth="1"/>
    <col min="5" max="5" width="19" hidden="0" customWidth="1"/>
    <col min="6" max="6" width="19" hidden="0" customWidth="1"/>
    <col min="7" max="7" width="17" hidden="0" customWidth="1"/>
    <col min="8" max="8" width="40" hidden="0" customWidth="1"/>
    <col min="9" max="9" width="18" hidden="0" customWidth="1"/>
    <col min="10" max="10" width="76" hidden="0" customWidth="1"/>
    <col min="11" max="11" width="65" hidden="0" customWidth="1"/>
    <col min="12" max="12" width="12" hidden="0" customWidth="1"/>
  </cols>
  <sheetData>
    <row r="2">
      <c r="A2" s="1" t="str">
        <v>Oferta 179 / 11.10.2026 - EUR fără TVA</v>
      </c>
    </row>
    <row r="3">
      <c r="A3" s="2" t="str">
        <v>Panourile de comandă sunt excluse. Valabilitate: 60 de zile de la primire. Totalul necesită clarificare.</v>
      </c>
    </row>
    <row r="5">
      <c r="A5" t="str">
        <v>Total declarat EUR</v>
      </c>
      <c r="D5" s="10" t="n">
        <v>320400</v>
      </c>
      <c r="E5" s="10" t="str">
        <v>Recalculat EUR</v>
      </c>
      <c r="F5" s="10" t="n">
        <f>SUM(F9:F17)</f>
        <v>314400</v>
      </c>
      <c r="G5" s="10" t="n">
        <f>D5-F5</f>
        <v>6000</v>
      </c>
      <c r="H5" t="str">
        <v>Diferență de clarificat</v>
      </c>
    </row>
    <row r="8" ht="34" customHeight="1">
      <c r="A8" s="9" t="str">
        <v>Poz.</v>
      </c>
      <c r="B8" s="9" t="str">
        <v>Echipament</v>
      </c>
      <c r="C8" s="9" t="str">
        <v>Buc.</v>
      </c>
      <c r="D8" s="9" t="str">
        <v>Preț unitar EUR</v>
      </c>
      <c r="E8" s="9" t="str">
        <v>Total declarat EUR</v>
      </c>
      <c r="F8" s="9" t="str">
        <v>Total calculat EUR</v>
      </c>
      <c r="G8" s="9" t="str">
        <v>Diferență EUR</v>
      </c>
      <c r="H8" s="9" t="str">
        <v>Capacitate declarată</v>
      </c>
      <c r="I8" s="9" t="str">
        <v>Putere declarată kW</v>
      </c>
      <c r="J8" s="9" t="str">
        <v>Observații</v>
      </c>
      <c r="K8" s="9" t="str">
        <v>Ofertă sursă</v>
      </c>
      <c r="L8" s="9" t="str">
        <v>Pagina PDF</v>
      </c>
    </row>
    <row r="9" ht="48" customHeight="1">
      <c r="A9" s="5" t="n">
        <v>1</v>
      </c>
      <c r="B9" s="5" t="str">
        <v>Mașină industrială de curățat și spălat nucile 1 t/h</v>
      </c>
      <c r="C9" s="5" t="n">
        <v>1</v>
      </c>
      <c r="D9" s="11" t="n">
        <v>34000</v>
      </c>
      <c r="E9" s="11" t="n">
        <v>34000</v>
      </c>
      <c r="F9" s="11" t="n">
        <f>C9*D9</f>
        <v>34000</v>
      </c>
      <c r="G9" s="11" t="n">
        <f>E9-F9</f>
        <v>0</v>
      </c>
      <c r="H9" s="5" t="str">
        <v>1 t/h</v>
      </c>
      <c r="I9" s="12" t="n">
        <v>3.7</v>
      </c>
      <c r="J9" s="5" t="str">
        <v>220 V declarat; specificație electrică de confirmat</v>
      </c>
      <c r="K9" s="13" t="str">
        <v>82ab706d_Oferta comerciala - CESIRO PRODUCTION - Linie procesare nuci 400 kg v2.pdf</v>
      </c>
      <c r="L9" s="5" t="n">
        <v>1</v>
      </c>
    </row>
    <row r="10" ht="48" customHeight="1">
      <c r="A10" s="5" t="n">
        <v>2</v>
      </c>
      <c r="B10" s="5" t="str">
        <v>Uscător nuci, alune, migdale 4 tone/zi</v>
      </c>
      <c r="C10" s="5" t="n">
        <v>2</v>
      </c>
      <c r="D10" s="11" t="n">
        <v>22400</v>
      </c>
      <c r="E10" s="11" t="n">
        <v>44800</v>
      </c>
      <c r="F10" s="11" t="n">
        <f>C10*D10</f>
        <v>44800</v>
      </c>
      <c r="G10" s="11" t="n">
        <f>E10-F10</f>
        <v>0</v>
      </c>
      <c r="H10" s="5" t="str">
        <v>4 t/24 h</v>
      </c>
      <c r="I10" s="12" t="n">
        <v>14</v>
      </c>
      <c r="J10" s="5" t="str">
        <v>14 kW declarat; bilanț termic și putere încălzire de confirmat</v>
      </c>
      <c r="K10" s="13" t="str">
        <v>82ab706d_Oferta comerciala - CESIRO PRODUCTION - Linie procesare nuci 400 kg v2.pdf</v>
      </c>
      <c r="L10" s="5" t="n">
        <v>4</v>
      </c>
    </row>
    <row r="11" ht="48" customHeight="1">
      <c r="A11" s="5" t="n">
        <v>3</v>
      </c>
      <c r="B11" s="5" t="str">
        <v>Elevator Noria 4 tone/oră</v>
      </c>
      <c r="C11" s="5" t="n">
        <v>1</v>
      </c>
      <c r="D11" s="11" t="n">
        <v>9800</v>
      </c>
      <c r="E11" s="11" t="n">
        <v>9800</v>
      </c>
      <c r="F11" s="11" t="n">
        <f>C11*D11</f>
        <v>9800</v>
      </c>
      <c r="G11" s="11" t="n">
        <f>E11-F11</f>
        <v>0</v>
      </c>
      <c r="H11" s="5" t="str">
        <v>4 t/h în tabel; 2 t/h în descriere</v>
      </c>
      <c r="I11" s="12"/>
      <c r="J11" s="5" t="str">
        <v>Capacitate și putere de confirmat</v>
      </c>
      <c r="K11" s="13" t="str">
        <v>82ab706d_Oferta comerciala - CESIRO PRODUCTION - Linie procesare nuci 400 kg v2.pdf</v>
      </c>
      <c r="L11" s="5" t="n">
        <v>3</v>
      </c>
    </row>
    <row r="12" ht="48" customHeight="1">
      <c r="A12" s="5" t="n">
        <v>4</v>
      </c>
      <c r="B12" s="5" t="str">
        <v>Mașină de sortat nuci goale în coajă</v>
      </c>
      <c r="C12" s="5" t="n">
        <v>2</v>
      </c>
      <c r="D12" s="11" t="n">
        <v>8500</v>
      </c>
      <c r="E12" s="11" t="n">
        <v>17000</v>
      </c>
      <c r="F12" s="11" t="n">
        <f>C12*D12</f>
        <v>17000</v>
      </c>
      <c r="G12" s="11" t="n">
        <f>E12-F12</f>
        <v>0</v>
      </c>
      <c r="H12" s="5" t="str">
        <v>300 kg/h; denumire neconcordantă la p. 5</v>
      </c>
      <c r="I12" s="12" t="n">
        <v>4.5</v>
      </c>
      <c r="J12" s="5" t="str">
        <v>Descriere SKU 20 / separare miez 100 kg/h; dimensiuni suspecte</v>
      </c>
      <c r="K12" s="13" t="str">
        <v>82ab706d_Oferta comerciala - CESIRO PRODUCTION - Linie procesare nuci 400 kg v2.pdf</v>
      </c>
      <c r="L12" s="5" t="n">
        <v>5</v>
      </c>
    </row>
    <row r="13" ht="48" customHeight="1">
      <c r="A13" s="5" t="n">
        <v>5</v>
      </c>
      <c r="B13" s="5" t="str">
        <v>Calibrator rotativ nuci 8 fracții</v>
      </c>
      <c r="C13" s="5" t="n">
        <v>2</v>
      </c>
      <c r="D13" s="11" t="n">
        <v>21200</v>
      </c>
      <c r="E13" s="11" t="n">
        <v>42400</v>
      </c>
      <c r="F13" s="11" t="n">
        <f>C13*D13</f>
        <v>42400</v>
      </c>
      <c r="G13" s="11" t="n">
        <f>E13-F13</f>
        <v>0</v>
      </c>
      <c r="H13" s="5" t="str">
        <v>500 kg/h</v>
      </c>
      <c r="I13" s="12" t="n">
        <v>2.95</v>
      </c>
      <c r="J13" s="5" t="str">
        <v>2 bucăți ofertate, 1 solicitată</v>
      </c>
      <c r="K13" s="13" t="str">
        <v>82ab706d_Oferta comerciala - CESIRO PRODUCTION - Linie procesare nuci 400 kg v2.pdf</v>
      </c>
      <c r="L13" s="5" t="n">
        <v>6</v>
      </c>
    </row>
    <row r="14" ht="48" customHeight="1">
      <c r="A14" s="5" t="n">
        <v>6</v>
      </c>
      <c r="B14" s="5" t="str">
        <v>Mașină de îndepărtat coji verzi de alune</v>
      </c>
      <c r="C14" s="5" t="n">
        <v>1</v>
      </c>
      <c r="D14" s="11" t="n">
        <v>4800</v>
      </c>
      <c r="E14" s="11" t="n">
        <v>4800</v>
      </c>
      <c r="F14" s="11" t="n">
        <f>C14*D14</f>
        <v>4800</v>
      </c>
      <c r="G14" s="11" t="n">
        <f>E14-F14</f>
        <v>0</v>
      </c>
      <c r="H14" s="5" t="str">
        <v>până la 300 kg/h</v>
      </c>
      <c r="I14" s="12" t="n">
        <v>2.2</v>
      </c>
      <c r="J14" s="5" t="str">
        <v>Opțiune inclusă în oferta de bază</v>
      </c>
      <c r="K14" s="13" t="str">
        <v>82ab706d_Oferta comerciala - CESIRO PRODUCTION - Linie procesare nuci 400 kg v2.pdf</v>
      </c>
      <c r="L14" s="5" t="n">
        <v>7</v>
      </c>
    </row>
    <row r="15" ht="48" customHeight="1">
      <c r="A15" s="5" t="n">
        <v>7</v>
      </c>
      <c r="B15" s="5" t="str">
        <v>Linie completă 200 kg/h combinată (nuci, alune, migdale)</v>
      </c>
      <c r="C15" s="5" t="n">
        <v>2</v>
      </c>
      <c r="D15" s="11" t="n">
        <v>44900</v>
      </c>
      <c r="E15" s="11" t="n">
        <v>95800</v>
      </c>
      <c r="F15" s="11" t="n">
        <f>C15*D15</f>
        <v>89800</v>
      </c>
      <c r="G15" s="11" t="n">
        <f>E15-F15</f>
        <v>6000</v>
      </c>
      <c r="H15" s="5" t="str">
        <v>200 kg/h per linie</v>
      </c>
      <c r="I15" s="12"/>
      <c r="J15" s="5" t="str">
        <v>Total rând diferă cu 6.000 EUR; două linii 200 kg/h ofertate</v>
      </c>
      <c r="K15" s="13" t="str">
        <v>82ab706d_Oferta comerciala - CESIRO PRODUCTION - Linie procesare nuci 400 kg v2.pdf</v>
      </c>
      <c r="L15" s="5" t="n">
        <v>8</v>
      </c>
    </row>
    <row r="16" ht="48" customHeight="1">
      <c r="A16" s="5" t="n">
        <v>8</v>
      </c>
      <c r="B16" s="5" t="str">
        <v>Separator cromatic 3S</v>
      </c>
      <c r="C16" s="5" t="n">
        <v>1</v>
      </c>
      <c r="D16" s="11" t="n">
        <v>56000</v>
      </c>
      <c r="E16" s="11" t="n">
        <v>56000</v>
      </c>
      <c r="F16" s="11" t="n">
        <f>C16*D16</f>
        <v>56000</v>
      </c>
      <c r="G16" s="11" t="n">
        <f>E16-F16</f>
        <v>0</v>
      </c>
      <c r="H16" s="5" t="str">
        <v>4 t/h, de confirmat pentru nuci</v>
      </c>
      <c r="I16" s="12" t="n">
        <v>2</v>
      </c>
      <c r="J16" s="5" t="str">
        <v>Origine motor Polonia în PDF vs motoare italiene în email</v>
      </c>
      <c r="K16" s="13" t="str">
        <v>82ab706d_Oferta comerciala - CESIRO PRODUCTION - Linie procesare nuci 400 kg v2.pdf</v>
      </c>
      <c r="L16" s="5" t="n">
        <v>15</v>
      </c>
    </row>
    <row r="17" ht="48" customHeight="1">
      <c r="A17" s="5" t="n">
        <v>9</v>
      </c>
      <c r="B17" s="5" t="str">
        <v>Masă de inspecție cu bandă</v>
      </c>
      <c r="C17" s="5" t="n">
        <v>2</v>
      </c>
      <c r="D17" s="11" t="n">
        <v>7900</v>
      </c>
      <c r="E17" s="11" t="n">
        <v>15800</v>
      </c>
      <c r="F17" s="11" t="n">
        <f>C17*D17</f>
        <v>15800</v>
      </c>
      <c r="G17" s="11" t="n">
        <f>E17-F17</f>
        <v>0</v>
      </c>
      <c r="H17" s="5" t="str">
        <v>Bandă 4 m</v>
      </c>
      <c r="I17" s="12" t="n">
        <v>0.55</v>
      </c>
      <c r="J17" s="5" t="str">
        <v>2 mese simple ofertate; cerută una pe două niveluri; dimensiuni de confirmat</v>
      </c>
      <c r="K17" s="13" t="str">
        <v>82ab706d_Oferta comerciala - CESIRO PRODUCTION - Linie procesare nuci 400 kg v2.pdf</v>
      </c>
      <c r="L17" s="5" t="n">
        <v>16</v>
      </c>
    </row>
  </sheetData>
  <conditionalFormatting sqref="G9:G17">
    <cfRule type="cellIs" dxfId="0" priority="1" operator="notEqual">
      <formula>0</formula>
    </cfRule>
  </conditionalFormatting>
  <conditionalFormatting sqref="G5:G5">
    <cfRule type="cellIs" dxfId="1" priority="2" operator="notEqual">
      <formula>0</formula>
    </cfRule>
  </conditionalFormatting>
  <hyperlinks>
    <hyperlink ref="K9" r:id="nativeLink1"/>
    <hyperlink ref="K10" r:id="nativeLink2"/>
    <hyperlink ref="K11" r:id="nativeLink3"/>
    <hyperlink ref="K12" r:id="nativeLink4"/>
    <hyperlink ref="K13" r:id="nativeLink5"/>
    <hyperlink ref="K14" r:id="nativeLink6"/>
    <hyperlink ref="K15" r:id="nativeLink7"/>
    <hyperlink ref="K16" r:id="nativeLink8"/>
    <hyperlink ref="K17" r:id="nativeLink9"/>
  </hyperlinks>
  <pageMargins left="0.7" right="0.7" top="0.75" bottom="0.75" header="0.3" footer="0.3"/>
  <tableParts count="1">
    <tablePart r:id="Rc82027909ad4410c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2" ySplit="5" topLeftCell="C6" activePane="bottomRight" state="frozen"/>
    </sheetView>
  </sheetViews>
  <sheetFormatPr defaultRowHeight="15"/>
  <cols>
    <col min="1" max="1" width="32" hidden="0" customWidth="1"/>
    <col min="2" max="2" width="17" hidden="0" customWidth="1"/>
    <col min="3" max="3" width="63" hidden="0" customWidth="1"/>
    <col min="4" max="4" width="13" hidden="0" customWidth="1"/>
    <col min="5" max="5" width="23" hidden="0" customWidth="1"/>
    <col min="6" max="6" width="24" hidden="0" customWidth="1"/>
    <col min="7" max="7" width="48" hidden="0" customWidth="1"/>
    <col min="8" max="8" width="68" hidden="0" customWidth="1"/>
    <col min="9" max="9" width="11" hidden="0" customWidth="1"/>
  </cols>
  <sheetData>
    <row r="2">
      <c r="A2" s="1" t="str">
        <v>Oferte 82 / 16.04.2026 - EUR fără TVA</v>
      </c>
    </row>
    <row r="3">
      <c r="A3" s="2" t="str">
        <v>Prețuri istorice de reconfirmat. Variantele de linie sunt alternative, nu se însumează.</v>
      </c>
    </row>
    <row r="5" ht="34" customHeight="1">
      <c r="A5" s="9" t="str">
        <v>Ofertă / variantă</v>
      </c>
      <c r="B5" s="9" t="str">
        <v>Data ofertei</v>
      </c>
      <c r="C5" s="9" t="str">
        <v>Echipament</v>
      </c>
      <c r="D5" s="9" t="str">
        <v>Buc. în lot</v>
      </c>
      <c r="E5" s="9" t="str">
        <v>Preț declarat lot EUR</v>
      </c>
      <c r="F5" s="9" t="str">
        <v>Preț unitar derivat EUR</v>
      </c>
      <c r="G5" s="9" t="str">
        <v>Interpretare</v>
      </c>
      <c r="H5" s="9" t="str">
        <v>Document sursă</v>
      </c>
      <c r="I5" s="9" t="str">
        <v>Pagina</v>
      </c>
    </row>
    <row r="6" ht="48" customHeight="1">
      <c r="A6" s="5" t="str">
        <v>82 / 200 kg-h</v>
      </c>
      <c r="B6" s="14" t="n">
        <v>46128</v>
      </c>
      <c r="C6" s="5" t="str">
        <v>Curățare nuci verzi 500 kg/h</v>
      </c>
      <c r="D6" s="5" t="n">
        <v>1</v>
      </c>
      <c r="E6" s="11" t="n">
        <v>8000</v>
      </c>
      <c r="F6" s="11" t="n">
        <f>E6/D6</f>
        <v>8000</v>
      </c>
      <c r="G6" s="5" t="str">
        <v>Preț din tabel; 1 buc. presupusă</v>
      </c>
      <c r="H6" s="13" t="str">
        <v>6d433786_Oferta comerciala - CESIRO PRODUCTION - Linie procesare nuci - 200 kg.pdf</v>
      </c>
      <c r="I6" s="5" t="n">
        <v>1</v>
      </c>
    </row>
    <row r="7" ht="48" customHeight="1">
      <c r="A7" s="5" t="str">
        <v>82 / 200 kg-h</v>
      </c>
      <c r="B7" s="14" t="n">
        <v>46128</v>
      </c>
      <c r="C7" s="5" t="str">
        <v>Uscător 2 tone/zi</v>
      </c>
      <c r="D7" s="5" t="n">
        <v>1</v>
      </c>
      <c r="E7" s="11" t="n">
        <v>16000</v>
      </c>
      <c r="F7" s="11" t="n">
        <f>E7/D7</f>
        <v>16000</v>
      </c>
      <c r="G7" s="5" t="str">
        <v>Preț din tabel; 1 buc. presupusă</v>
      </c>
      <c r="H7" s="13" t="str">
        <v>6d433786_Oferta comerciala - CESIRO PRODUCTION - Linie procesare nuci - 200 kg.pdf</v>
      </c>
      <c r="I7" s="5" t="n">
        <v>1</v>
      </c>
    </row>
    <row r="8" ht="48" customHeight="1">
      <c r="A8" s="5" t="str">
        <v>82 / 200 kg-h</v>
      </c>
      <c r="B8" s="14" t="n">
        <v>46128</v>
      </c>
      <c r="C8" s="5" t="str">
        <v>Elevator Noria 2 t/h</v>
      </c>
      <c r="D8" s="5" t="n">
        <v>1</v>
      </c>
      <c r="E8" s="11" t="n">
        <v>6700</v>
      </c>
      <c r="F8" s="11" t="n">
        <f>E8/D8</f>
        <v>6700</v>
      </c>
      <c r="G8" s="5" t="str">
        <v>Preț din tabel; 1 buc. presupusă</v>
      </c>
      <c r="H8" s="13" t="str">
        <v>6d433786_Oferta comerciala - CESIRO PRODUCTION - Linie procesare nuci - 200 kg.pdf</v>
      </c>
      <c r="I8" s="5" t="n">
        <v>1</v>
      </c>
    </row>
    <row r="9" ht="48" customHeight="1">
      <c r="A9" s="5" t="str">
        <v>82 / 200 kg-h</v>
      </c>
      <c r="B9" s="14" t="n">
        <v>46128</v>
      </c>
      <c r="C9" s="5" t="str">
        <v>Calibrator 4 fracții (2 buc.)</v>
      </c>
      <c r="D9" s="5" t="n">
        <v>2</v>
      </c>
      <c r="E9" s="11" t="n">
        <v>17200</v>
      </c>
      <c r="F9" s="11" t="n">
        <f>E9/D9</f>
        <v>8600</v>
      </c>
      <c r="G9" s="5" t="str">
        <v>Preț unitar derivat din lot</v>
      </c>
      <c r="H9" s="13" t="str">
        <v>6d433786_Oferta comerciala - CESIRO PRODUCTION - Linie procesare nuci - 200 kg.pdf</v>
      </c>
      <c r="I9" s="5" t="n">
        <v>1</v>
      </c>
    </row>
    <row r="10" ht="48" customHeight="1">
      <c r="A10" s="5" t="str">
        <v>82 / 200 kg-h</v>
      </c>
      <c r="B10" s="14" t="n">
        <v>46128</v>
      </c>
      <c r="C10" s="5" t="str">
        <v>Îndepărtare coji verzi alune</v>
      </c>
      <c r="D10" s="5" t="n">
        <v>1</v>
      </c>
      <c r="E10" s="11" t="n">
        <v>4300</v>
      </c>
      <c r="F10" s="11" t="n">
        <f>E10/D10</f>
        <v>4300</v>
      </c>
      <c r="G10" s="5" t="str">
        <v>Preț din tabel; 1 buc. presupusă</v>
      </c>
      <c r="H10" s="13" t="str">
        <v>6d433786_Oferta comerciala - CESIRO PRODUCTION - Linie procesare nuci - 200 kg.pdf</v>
      </c>
      <c r="I10" s="5" t="n">
        <v>1</v>
      </c>
    </row>
    <row r="11" ht="48" customHeight="1">
      <c r="A11" s="5" t="str">
        <v>82 / 200 kg-h</v>
      </c>
      <c r="B11" s="14" t="n">
        <v>46128</v>
      </c>
      <c r="C11" s="5" t="str">
        <v>Linie combinată 200 kg/h</v>
      </c>
      <c r="D11" s="5" t="n">
        <v>1</v>
      </c>
      <c r="E11" s="11" t="n">
        <v>32900</v>
      </c>
      <c r="F11" s="11" t="n">
        <f>E11/D11</f>
        <v>32900</v>
      </c>
      <c r="G11" s="5" t="str">
        <v>Preț din tabel; 1 buc. presupusă</v>
      </c>
      <c r="H11" s="13" t="str">
        <v>6d433786_Oferta comerciala - CESIRO PRODUCTION - Linie procesare nuci - 200 kg.pdf</v>
      </c>
      <c r="I11" s="5" t="n">
        <v>1</v>
      </c>
    </row>
    <row r="12" ht="48" customHeight="1">
      <c r="A12" s="5" t="str">
        <v>82 / 400 kg-h (titlu fișier)</v>
      </c>
      <c r="B12" s="14" t="n">
        <v>46128</v>
      </c>
      <c r="C12" s="5" t="str">
        <v>Mașină industrială de curățat și spălat nucile 1 t/h</v>
      </c>
      <c r="D12" s="5" t="n">
        <v>1</v>
      </c>
      <c r="E12" s="11" t="n">
        <v>29000</v>
      </c>
      <c r="F12" s="11" t="n">
        <f>E12/D12</f>
        <v>29000</v>
      </c>
      <c r="G12" s="5" t="str">
        <v>Preț din tabel; 1 buc. presupusă</v>
      </c>
      <c r="H12" s="13" t="str">
        <v>39b20753_Oferta comerciala - CESIRO PRODUCTION - Linie procesare nuci 400 kg - h.pdf</v>
      </c>
      <c r="I12" s="5" t="n">
        <v>1</v>
      </c>
    </row>
    <row r="13" ht="48" customHeight="1">
      <c r="A13" s="5" t="str">
        <v>82 / 400 kg-h (titlu fișier)</v>
      </c>
      <c r="B13" s="14" t="n">
        <v>46128</v>
      </c>
      <c r="C13" s="5" t="str">
        <v>Uscător nuci, alune, migdale 4 tone/zi</v>
      </c>
      <c r="D13" s="5" t="n">
        <v>1</v>
      </c>
      <c r="E13" s="11" t="n">
        <v>19200</v>
      </c>
      <c r="F13" s="11" t="n">
        <f>E13/D13</f>
        <v>19200</v>
      </c>
      <c r="G13" s="5" t="str">
        <v>Preț din tabel; 1 buc. presupusă</v>
      </c>
      <c r="H13" s="13" t="str">
        <v>39b20753_Oferta comerciala - CESIRO PRODUCTION - Linie procesare nuci 400 kg - h.pdf</v>
      </c>
      <c r="I13" s="5" t="n">
        <v>1</v>
      </c>
    </row>
    <row r="14" ht="48" customHeight="1">
      <c r="A14" s="5" t="str">
        <v>82 / 400 kg-h (titlu fișier)</v>
      </c>
      <c r="B14" s="14" t="n">
        <v>46128</v>
      </c>
      <c r="C14" s="5" t="str">
        <v>Elevator Noria 4 tone/oră</v>
      </c>
      <c r="D14" s="5" t="n">
        <v>1</v>
      </c>
      <c r="E14" s="11" t="n">
        <v>8600</v>
      </c>
      <c r="F14" s="11" t="n">
        <f>E14/D14</f>
        <v>8600</v>
      </c>
      <c r="G14" s="5" t="str">
        <v>Preț din tabel; 1 buc. presupusă</v>
      </c>
      <c r="H14" s="13" t="str">
        <v>39b20753_Oferta comerciala - CESIRO PRODUCTION - Linie procesare nuci 400 kg - h.pdf</v>
      </c>
      <c r="I14" s="5" t="n">
        <v>1</v>
      </c>
    </row>
    <row r="15" ht="48" customHeight="1">
      <c r="A15" s="5" t="str">
        <v>82 / 400 kg-h (titlu fișier)</v>
      </c>
      <c r="B15" s="14" t="n">
        <v>46128</v>
      </c>
      <c r="C15" s="5" t="str">
        <v>Calibrator 4 fracții (2 buc.)</v>
      </c>
      <c r="D15" s="5" t="n">
        <v>2</v>
      </c>
      <c r="E15" s="11" t="n">
        <v>17200</v>
      </c>
      <c r="F15" s="11" t="n">
        <f>E15/D15</f>
        <v>8600</v>
      </c>
      <c r="G15" s="5" t="str">
        <v>Preț unitar derivat din lot</v>
      </c>
      <c r="H15" s="13" t="str">
        <v>39b20753_Oferta comerciala - CESIRO PRODUCTION - Linie procesare nuci 400 kg - h.pdf</v>
      </c>
      <c r="I15" s="5" t="n">
        <v>1</v>
      </c>
    </row>
    <row r="16" ht="48" customHeight="1">
      <c r="A16" s="5" t="str">
        <v>82 / 400 kg-h (titlu fișier)</v>
      </c>
      <c r="B16" s="14" t="n">
        <v>46128</v>
      </c>
      <c r="C16" s="5" t="str">
        <v>Mașină de îndepărtat coji verzi de alune</v>
      </c>
      <c r="D16" s="5" t="n">
        <v>1</v>
      </c>
      <c r="E16" s="11" t="n">
        <v>4300</v>
      </c>
      <c r="F16" s="11" t="n">
        <f>E16/D16</f>
        <v>4300</v>
      </c>
      <c r="G16" s="5" t="str">
        <v>Preț din tabel; 1 buc. presupusă</v>
      </c>
      <c r="H16" s="13" t="str">
        <v>39b20753_Oferta comerciala - CESIRO PRODUCTION - Linie procesare nuci 400 kg - h.pdf</v>
      </c>
      <c r="I16" s="5" t="n">
        <v>1</v>
      </c>
    </row>
    <row r="17" ht="48" customHeight="1">
      <c r="A17" s="5" t="str">
        <v>82 / 400 kg-h (titlu fișier)</v>
      </c>
      <c r="B17" s="14" t="n">
        <v>46128</v>
      </c>
      <c r="C17" s="5" t="str">
        <v>Linie completă nuci 200 kg/h</v>
      </c>
      <c r="D17" s="5" t="n">
        <v>1</v>
      </c>
      <c r="E17" s="11" t="n">
        <v>28600</v>
      </c>
      <c r="F17" s="11" t="n">
        <f>E17/D17</f>
        <v>28600</v>
      </c>
      <c r="G17" s="5" t="str">
        <v>Preț din tabel; 1 buc. presupusă</v>
      </c>
      <c r="H17" s="13" t="str">
        <v>39b20753_Oferta comerciala - CESIRO PRODUCTION - Linie procesare nuci 400 kg - h.pdf</v>
      </c>
      <c r="I17" s="5" t="n">
        <v>1</v>
      </c>
    </row>
    <row r="18" ht="48" customHeight="1">
      <c r="A18" s="5" t="str">
        <v>82 / 400 kg-h (titlu fișier)</v>
      </c>
      <c r="B18" s="14" t="n">
        <v>46128</v>
      </c>
      <c r="C18" s="5" t="str">
        <v>Linie combinată 200 kg/h - alternativă</v>
      </c>
      <c r="D18" s="5" t="n">
        <v>1</v>
      </c>
      <c r="E18" s="11" t="n">
        <v>32900</v>
      </c>
      <c r="F18" s="11" t="n">
        <f>E18/D18</f>
        <v>32900</v>
      </c>
      <c r="G18" s="5" t="str">
        <v>Preț din tabel; 1 buc. presupusă</v>
      </c>
      <c r="H18" s="13" t="str">
        <v>39b20753_Oferta comerciala - CESIRO PRODUCTION - Linie procesare nuci 400 kg - h.pdf</v>
      </c>
      <c r="I18" s="5" t="n">
        <v>1</v>
      </c>
    </row>
  </sheetData>
  <hyperlinks>
    <hyperlink ref="H6" r:id="nativeLink1"/>
    <hyperlink ref="H7" r:id="nativeLink2"/>
    <hyperlink ref="H8" r:id="nativeLink3"/>
    <hyperlink ref="H9" r:id="nativeLink4"/>
    <hyperlink ref="H10" r:id="nativeLink5"/>
    <hyperlink ref="H11" r:id="nativeLink6"/>
    <hyperlink ref="H12" r:id="nativeLink7"/>
    <hyperlink ref="H13" r:id="nativeLink8"/>
    <hyperlink ref="H14" r:id="nativeLink9"/>
    <hyperlink ref="H15" r:id="nativeLink10"/>
    <hyperlink ref="H16" r:id="nativeLink11"/>
    <hyperlink ref="H17" r:id="nativeLink12"/>
    <hyperlink ref="H18" r:id="nativeLink13"/>
  </hyperlinks>
  <pageMargins left="0.7" right="0.7" top="0.75" bottom="0.75" header="0.3" footer="0.3"/>
  <tableParts count="1">
    <tablePart r:id="Rc1a829adb3414405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2" ySplit="5" topLeftCell="C6" activePane="bottomRight" state="frozen"/>
    </sheetView>
  </sheetViews>
  <sheetFormatPr defaultRowHeight="15"/>
  <cols>
    <col min="1" max="1" width="8" hidden="0" customWidth="1"/>
    <col min="2" max="2" width="32" hidden="0" customWidth="1"/>
    <col min="3" max="3" width="62" hidden="0" customWidth="1"/>
    <col min="4" max="4" width="38" hidden="0" customWidth="1"/>
    <col min="5" max="5" width="25" hidden="0" customWidth="1"/>
    <col min="6" max="6" width="17" hidden="0" customWidth="1"/>
    <col min="7" max="7" width="30" hidden="0" customWidth="1"/>
    <col min="8" max="8" width="36" hidden="0" customWidth="1"/>
    <col min="9" max="9" width="68" hidden="0" customWidth="1"/>
    <col min="10" max="10" width="15" hidden="0" customWidth="1"/>
    <col min="11" max="11" width="33" hidden="0" customWidth="1"/>
    <col min="12" max="12" width="65" hidden="0" customWidth="1"/>
    <col min="13" max="13" width="58" hidden="0" customWidth="1"/>
  </cols>
  <sheetData>
    <row r="2">
      <c r="A2" s="1" t="str">
        <v>Catalog echipamente și fișe disponibile</v>
      </c>
    </row>
    <row r="3">
      <c r="A3" s="2" t="str">
        <v>Caracteristici din centralizatorul existent la 28.09.2026. Nu reprezintă confirmarea configurației ofertate.</v>
      </c>
    </row>
    <row r="5" ht="34" customHeight="1">
      <c r="A5" s="9" t="str">
        <v>Nr.</v>
      </c>
      <c r="B5" s="9" t="str">
        <v>Etapă</v>
      </c>
      <c r="C5" s="9" t="str">
        <v>Echipament</v>
      </c>
      <c r="D5" s="9" t="str">
        <v>Capacitate</v>
      </c>
      <c r="E5" s="9" t="str">
        <v>Putere din catalog</v>
      </c>
      <c r="F5" s="9" t="str">
        <v>Tensiune</v>
      </c>
      <c r="G5" s="9" t="str">
        <v>Material</v>
      </c>
      <c r="H5" s="9" t="str">
        <v>Utilizare</v>
      </c>
      <c r="I5" s="9" t="str">
        <v>Fișier local</v>
      </c>
      <c r="J5" s="9" t="str">
        <v>Pagina în dosar</v>
      </c>
      <c r="K5" s="9" t="str">
        <v>Document disponibil</v>
      </c>
      <c r="L5" s="9" t="str">
        <v>Observații existente</v>
      </c>
      <c r="M5" s="9" t="str">
        <v>Pagina produs</v>
      </c>
    </row>
    <row r="6" ht="48" customHeight="1">
      <c r="A6" s="5" t="n">
        <v>1</v>
      </c>
      <c r="B6" s="5" t="str">
        <v>Recoltare</v>
      </c>
      <c r="C6" s="5" t="str">
        <v>Scuturător pentru pomi fructiferi</v>
      </c>
      <c r="D6" s="5"/>
      <c r="E6" s="5"/>
      <c r="F6" s="5"/>
      <c r="G6" s="5" t="str">
        <v>oțel</v>
      </c>
      <c r="H6" s="5" t="str">
        <v>nuci, alune, migdale, mere, pruni și alți pomi fructiferi</v>
      </c>
      <c r="I6" s="13" t="str">
        <v>01. Scuturător pentru pomi fructiferi.pdf</v>
      </c>
      <c r="J6" s="5" t="n">
        <v>86</v>
      </c>
      <c r="K6" s="5" t="str">
        <v>Broșură în dosar</v>
      </c>
      <c r="L6" s="5"/>
      <c r="M6" s="13" t="str">
        <v>Pagina produs</v>
      </c>
    </row>
    <row r="7" ht="48" customHeight="1">
      <c r="A7" s="5" t="n">
        <v>2</v>
      </c>
      <c r="B7" s="5" t="str">
        <v>Decojire coaja verde si spalare</v>
      </c>
      <c r="C7" s="5" t="str">
        <v>Mașină de decojire și curățare a nucilor verzi 100 kg/h</v>
      </c>
      <c r="D7" s="5" t="str">
        <v>până la 100 kg/h</v>
      </c>
      <c r="E7" s="5" t="str">
        <v>0.75 kW</v>
      </c>
      <c r="F7" s="5" t="str">
        <v>220 V</v>
      </c>
      <c r="G7" s="5" t="str">
        <v>oțel</v>
      </c>
      <c r="H7" s="5" t="str">
        <v>nuci, alune, migdale</v>
      </c>
      <c r="I7" s="13" t="str">
        <v>01. Mașină de decojire și curățare a nucilor verzi 100 kg-h.pdf</v>
      </c>
      <c r="J7" s="5" t="n">
        <v>88</v>
      </c>
      <c r="K7" s="5" t="str">
        <v>Broșură în dosar</v>
      </c>
      <c r="L7" s="5"/>
      <c r="M7" s="13" t="str">
        <v>Pagina produs</v>
      </c>
    </row>
    <row r="8" ht="48" customHeight="1">
      <c r="A8" s="5" t="n">
        <v>3</v>
      </c>
      <c r="B8" s="5" t="str">
        <v>Decojire coaja verde si spalare</v>
      </c>
      <c r="C8" s="5" t="str">
        <v>Mașină pentru decojirea și curățarea nucilor verzi 300 kg/h</v>
      </c>
      <c r="D8" s="5" t="str">
        <v>până la 300 kg/h</v>
      </c>
      <c r="E8" s="5" t="str">
        <v>1.1 kW</v>
      </c>
      <c r="F8" s="5" t="str">
        <v>220 V</v>
      </c>
      <c r="G8" s="5" t="str">
        <v>oțel</v>
      </c>
      <c r="H8" s="5" t="str">
        <v>nuci, alune, migdale</v>
      </c>
      <c r="I8" s="13" t="str">
        <v>02. Mașină pentru decojirea și curățarea nucilor verzi 300 kg-h.pdf</v>
      </c>
      <c r="J8" s="5" t="n">
        <v>90</v>
      </c>
      <c r="K8" s="5" t="str">
        <v>Broșură în dosar</v>
      </c>
      <c r="L8" s="5"/>
      <c r="M8" s="13" t="str">
        <v>Pagina produs</v>
      </c>
    </row>
    <row r="9" ht="48" customHeight="1">
      <c r="A9" s="5" t="n">
        <v>4</v>
      </c>
      <c r="B9" s="5" t="str">
        <v>Decojire coaja verde si spalare</v>
      </c>
      <c r="C9" s="5" t="str">
        <v>Mașină de decojire și curățare a nucilor verzi 700 kg/h</v>
      </c>
      <c r="D9" s="5" t="str">
        <v>până la 700 kg/h</v>
      </c>
      <c r="E9" s="5" t="str">
        <v>2.2 kW</v>
      </c>
      <c r="F9" s="5" t="str">
        <v>220 V</v>
      </c>
      <c r="G9" s="5" t="str">
        <v>oțel</v>
      </c>
      <c r="H9" s="5" t="str">
        <v>nuci, alune, migdale</v>
      </c>
      <c r="I9" s="13" t="str">
        <v>03. Mașină de decojire și curățare a nucilor verzi 700 kg-h.pdf</v>
      </c>
      <c r="J9" s="5" t="n">
        <v>92</v>
      </c>
      <c r="K9" s="5" t="str">
        <v>Broșură în dosar</v>
      </c>
      <c r="L9" s="5"/>
      <c r="M9" s="13" t="str">
        <v>Pagina produs</v>
      </c>
    </row>
    <row r="10" ht="48" customHeight="1">
      <c r="A10" s="5" t="n">
        <v>5</v>
      </c>
      <c r="B10" s="5" t="str">
        <v>Decojire coaja verde si spalare</v>
      </c>
      <c r="C10" s="5" t="str">
        <v>Mașină industrială de decojire și spălare (1 t/h)</v>
      </c>
      <c r="D10" s="5" t="str">
        <v>până la 1 t/h</v>
      </c>
      <c r="E10" s="5" t="str">
        <v>3.7 kW</v>
      </c>
      <c r="F10" s="5" t="str">
        <v>220 V</v>
      </c>
      <c r="G10" s="5" t="str">
        <v>oțel</v>
      </c>
      <c r="H10" s="5" t="str">
        <v>nuci, alune, migdale</v>
      </c>
      <c r="I10" s="13" t="str">
        <v>04. Mașină industrială de decojire și spălare (1 t-h).pdf</v>
      </c>
      <c r="J10" s="5" t="n">
        <v>94</v>
      </c>
      <c r="K10" s="5" t="str">
        <v>Broșură în dosar</v>
      </c>
      <c r="L10" s="5"/>
      <c r="M10" s="13" t="str">
        <v>Pagina produs</v>
      </c>
    </row>
    <row r="11" ht="48" customHeight="1">
      <c r="A11" s="5" t="n">
        <v>6</v>
      </c>
      <c r="B11" s="5" t="str">
        <v>Decojire coaja verde si spalare</v>
      </c>
      <c r="C11" s="5" t="str">
        <v>Mașină pentru îndepărtarea cojii verzi a alunelor</v>
      </c>
      <c r="D11" s="5" t="str">
        <v>până la 300 kg/h</v>
      </c>
      <c r="E11" s="5" t="str">
        <v>2.2 kW</v>
      </c>
      <c r="F11" s="5" t="str">
        <v>220 V</v>
      </c>
      <c r="G11" s="5" t="str">
        <v>oțel</v>
      </c>
      <c r="H11" s="5" t="str">
        <v>nuci, alune, migdale</v>
      </c>
      <c r="I11" s="13" t="str">
        <v>05. Mașină pentru îndepărtarea cojii verzi a alunelor.pdf</v>
      </c>
      <c r="J11" s="5" t="n">
        <v>97</v>
      </c>
      <c r="K11" s="5" t="str">
        <v>Broșură în dosar</v>
      </c>
      <c r="L11" s="5"/>
      <c r="M11" s="13" t="str">
        <v>Pagina produs</v>
      </c>
    </row>
    <row r="12" ht="48" customHeight="1">
      <c r="A12" s="5" t="n">
        <v>7</v>
      </c>
      <c r="B12" s="5" t="str">
        <v>Uscare si incarcare uscator</v>
      </c>
      <c r="C12" s="5" t="str">
        <v>Uscător pentru nuci, alune și migdale în coajă (până la 1 tonă/24 ore)</v>
      </c>
      <c r="D12" s="5" t="str">
        <v>până la 1 t/zi</v>
      </c>
      <c r="E12" s="5" t="str">
        <v>12 kW</v>
      </c>
      <c r="F12" s="5" t="str">
        <v>380 V</v>
      </c>
      <c r="G12" s="5" t="str">
        <v>oțel</v>
      </c>
      <c r="H12" s="5" t="str">
        <v>nuci, alune, migdale</v>
      </c>
      <c r="I12" s="13" t="str">
        <v>01. Uscător pentru nuci, alune și migdale în coajă (până la 1 tonă-24 ore).pdf</v>
      </c>
      <c r="J12" s="5" t="n">
        <v>99</v>
      </c>
      <c r="K12" s="5" t="str">
        <v>Broșură în dosar</v>
      </c>
      <c r="L12" s="5"/>
      <c r="M12" s="13" t="str">
        <v>Pagina produs</v>
      </c>
    </row>
    <row r="13" ht="48" customHeight="1">
      <c r="A13" s="5" t="n">
        <v>8</v>
      </c>
      <c r="B13" s="5" t="str">
        <v>Uscare si incarcare uscator</v>
      </c>
      <c r="C13" s="5" t="str">
        <v>Uscător pentru nuci, alune și migdale în coajă (până la 2 tone/24 ore)</v>
      </c>
      <c r="D13" s="5" t="str">
        <v>până la 2 t/24h (titlu); site: 1 t/zi</v>
      </c>
      <c r="E13" s="5" t="str">
        <v>12 kW</v>
      </c>
      <c r="F13" s="5" t="str">
        <v>380 V</v>
      </c>
      <c r="G13" s="5" t="str">
        <v>oțel</v>
      </c>
      <c r="H13" s="5" t="str">
        <v>nuci, alune, migdale</v>
      </c>
      <c r="I13" s="13" t="str">
        <v>02. Uscător pentru nuci, alune și migdale în coajă (până la 2 tone-24 ore).pdf</v>
      </c>
      <c r="J13" s="5" t="n">
        <v>99</v>
      </c>
      <c r="K13" s="5" t="str">
        <v>Broșură în dosar</v>
      </c>
      <c r="L13" s="5" t="str">
        <v>Pe site, broșura atașată este cea a uscătorului de 1 t/24h (nu există broșură separată pt. 2 t). Specificația de pe site indică tot „până la 1 t/zi” – de clarificat cu producătorul.</v>
      </c>
      <c r="M13" s="13" t="str">
        <v>Pagina produs</v>
      </c>
    </row>
    <row r="14" ht="48" customHeight="1">
      <c r="A14" s="5" t="n">
        <v>9</v>
      </c>
      <c r="B14" s="5" t="str">
        <v>Uscare si incarcare uscator</v>
      </c>
      <c r="C14" s="5" t="str">
        <v>Uscător pentru nuci, alune și migdale în coajă (2 tone/zi)</v>
      </c>
      <c r="D14" s="5" t="str">
        <v>până la 2 t/zi</v>
      </c>
      <c r="E14" s="5" t="str">
        <v>14 kW</v>
      </c>
      <c r="F14" s="5" t="str">
        <v>380 V</v>
      </c>
      <c r="G14" s="5" t="str">
        <v>oțel</v>
      </c>
      <c r="H14" s="5" t="str">
        <v>nuci, alune, migdale</v>
      </c>
      <c r="I14" s="13" t="str">
        <v>03. Uscător pentru nuci, alune și migdale în coajă (2 tone-zi).pdf</v>
      </c>
      <c r="J14" s="5" t="n">
        <v>101</v>
      </c>
      <c r="K14" s="5" t="str">
        <v>Broșură în dosar</v>
      </c>
      <c r="L14" s="5"/>
      <c r="M14" s="13" t="str">
        <v>Pagina produs</v>
      </c>
    </row>
    <row r="15" ht="48" customHeight="1">
      <c r="A15" s="5" t="n">
        <v>10</v>
      </c>
      <c r="B15" s="5" t="str">
        <v>Uscare si incarcare uscator</v>
      </c>
      <c r="C15" s="5" t="str">
        <v>Uscător pentru nuci, alune și migdale în coajă (4 tone/zi)</v>
      </c>
      <c r="D15" s="5" t="str">
        <v>până la 4 t/zi</v>
      </c>
      <c r="E15" s="5" t="str">
        <v>14 kW</v>
      </c>
      <c r="F15" s="5" t="str">
        <v>380 V</v>
      </c>
      <c r="G15" s="5" t="str">
        <v>oțel</v>
      </c>
      <c r="H15" s="5" t="str">
        <v>nuci, alune, migdale</v>
      </c>
      <c r="I15" s="13" t="str">
        <v>04. Uscător pentru nuci, alune și migdale în coajă (4 tone-zi).pdf</v>
      </c>
      <c r="J15" s="5" t="n">
        <v>103</v>
      </c>
      <c r="K15" s="5" t="str">
        <v>Broșură în dosar</v>
      </c>
      <c r="L15" s="5" t="str">
        <v>Pe site câmpul „Material” este completat greșit („Ukraine”); corect: oțel.</v>
      </c>
      <c r="M15" s="13" t="str">
        <v>Pagina produs</v>
      </c>
    </row>
    <row r="16" ht="48" customHeight="1">
      <c r="A16" s="5" t="n">
        <v>11</v>
      </c>
      <c r="B16" s="5" t="str">
        <v>Uscare si incarcare uscator</v>
      </c>
      <c r="C16" s="5" t="str">
        <v>Conveyor de alimentare pentru uscător 2 t/zi</v>
      </c>
      <c r="D16" s="5"/>
      <c r="E16" s="5" t="str">
        <v>0.55 kW</v>
      </c>
      <c r="F16" s="5" t="str">
        <v>220 / 380 V</v>
      </c>
      <c r="G16" s="5" t="str">
        <v>oțel, PVC</v>
      </c>
      <c r="H16" s="5" t="str">
        <v>nuci, alune, migdale</v>
      </c>
      <c r="I16" s="13" t="str">
        <v>05. Conveyor de alimentare pentru uscător 2 t-zi.pdf</v>
      </c>
      <c r="J16" s="5" t="n">
        <v>107</v>
      </c>
      <c r="K16" s="5" t="str">
        <v>Broșură în dosar</v>
      </c>
      <c r="L16" s="5" t="str">
        <v>Broșură comună cu banda pentru uscătorul 4 t/h.</v>
      </c>
      <c r="M16" s="13" t="str">
        <v>Pagina produs</v>
      </c>
    </row>
    <row r="17" ht="48" customHeight="1">
      <c r="A17" s="5" t="n">
        <v>12</v>
      </c>
      <c r="B17" s="5" t="str">
        <v>Uscare si incarcare uscator</v>
      </c>
      <c r="C17" s="5" t="str">
        <v>Conveyor de alimentare pentru uscător 4 t/h</v>
      </c>
      <c r="D17" s="5" t="str">
        <v>4 t/h (din denumire)</v>
      </c>
      <c r="E17" s="5" t="str">
        <v>0.55 kW</v>
      </c>
      <c r="F17" s="5" t="str">
        <v>220 / 380 V</v>
      </c>
      <c r="G17" s="5" t="str">
        <v>oțel, PVC</v>
      </c>
      <c r="H17" s="5" t="str">
        <v>nuci, alune, migdale</v>
      </c>
      <c r="I17" s="13" t="str">
        <v>06. Conveyor de alimentare pentru uscător 4 t-h.pdf</v>
      </c>
      <c r="J17" s="5" t="n">
        <v>107</v>
      </c>
      <c r="K17" s="5" t="str">
        <v>Broșură în dosar</v>
      </c>
      <c r="L17" s="5" t="str">
        <v>Broșură comună cu banda pentru uscătorul 2 t/zi.</v>
      </c>
      <c r="M17" s="13" t="str">
        <v>Pagina produs</v>
      </c>
    </row>
    <row r="18" ht="48" customHeight="1">
      <c r="A18" s="5" t="n">
        <v>13</v>
      </c>
      <c r="B18" s="5" t="str">
        <v>Uscare si incarcare uscator</v>
      </c>
      <c r="C18" s="5" t="str">
        <v>Elevator cu încărcare/descărcare Noria 2 tone pe oră</v>
      </c>
      <c r="D18" s="5" t="str">
        <v>2 t/h (din denumire)</v>
      </c>
      <c r="E18" s="5"/>
      <c r="F18" s="5" t="str">
        <v>220 / 380 V</v>
      </c>
      <c r="G18" s="5" t="str">
        <v>oțel</v>
      </c>
      <c r="H18" s="5" t="str">
        <v>nuci, alune, migdale</v>
      </c>
      <c r="I18" s="13" t="str">
        <v>07. Elevator cu încărcare-descărcare Noria 2 tone pe oră.pdf</v>
      </c>
      <c r="J18" s="5" t="n">
        <v>107</v>
      </c>
      <c r="K18" s="5" t="str">
        <v>Broșură în dosar</v>
      </c>
      <c r="L18" s="5" t="str">
        <v>Site-ul trimite la broșura „Loading conveyor” (bandă de alimentare uscător) – nu există broșură dedicată pentru elevatorul Noria.</v>
      </c>
      <c r="M18" s="13" t="str">
        <v>Pagina produs</v>
      </c>
    </row>
    <row r="19" ht="48" customHeight="1">
      <c r="A19" s="5" t="n">
        <v>14</v>
      </c>
      <c r="B19" s="5" t="str">
        <v>Uscare si incarcare uscator</v>
      </c>
      <c r="C19" s="5" t="str">
        <v>Elevator cu încărcare/descărcare Noria 4 tone pe oră</v>
      </c>
      <c r="D19" s="5" t="str">
        <v>4 t/h (din denumire)</v>
      </c>
      <c r="E19" s="5"/>
      <c r="F19" s="5" t="str">
        <v>220 / 380 V</v>
      </c>
      <c r="G19" s="5" t="str">
        <v>oțel</v>
      </c>
      <c r="H19" s="5" t="str">
        <v>nuci, alune, migdale</v>
      </c>
      <c r="I19" s="13" t="str">
        <v>08. Elevator cu încărcare-descărcare Noria 4 tone pe oră.pdf</v>
      </c>
      <c r="J19" s="5" t="n">
        <v>107</v>
      </c>
      <c r="K19" s="5" t="str">
        <v>Broșură în dosar</v>
      </c>
      <c r="L19" s="5" t="str">
        <v>Site-ul trimite la broșura „Loading conveyor” (bandă de alimentare uscător) – nu există broșură dedicată pentru elevatorul Noria.</v>
      </c>
      <c r="M19" s="13" t="str">
        <v>Pagina produs</v>
      </c>
    </row>
    <row r="20" ht="48" customHeight="1">
      <c r="A20" s="5" t="n">
        <v>15</v>
      </c>
      <c r="B20" s="5" t="str">
        <v>Calibrare si sortare in coaja</v>
      </c>
      <c r="C20" s="5" t="str">
        <v>Calibrator liniar pentru toate tipurile de nuci</v>
      </c>
      <c r="D20" s="5" t="str">
        <v>până la 100 kg/h</v>
      </c>
      <c r="E20" s="5" t="str">
        <v>0.55 kW</v>
      </c>
      <c r="F20" s="5" t="str">
        <v>220 / 380 V</v>
      </c>
      <c r="G20" s="5" t="str">
        <v>oțel</v>
      </c>
      <c r="H20" s="5" t="str">
        <v>nuci, migdale</v>
      </c>
      <c r="I20" s="13" t="str">
        <v>01. Calibrator liniar pentru toate tipurile de nuci.pdf</v>
      </c>
      <c r="J20" s="5" t="n">
        <v>109</v>
      </c>
      <c r="K20" s="5" t="str">
        <v>Broșură în dosar</v>
      </c>
      <c r="L20" s="5"/>
      <c r="M20" s="13" t="str">
        <v>Pagina produs</v>
      </c>
    </row>
    <row r="21" ht="48" customHeight="1">
      <c r="A21" s="5" t="n">
        <v>16</v>
      </c>
      <c r="B21" s="5" t="str">
        <v>Calibrare si sortare in coaja</v>
      </c>
      <c r="C21" s="5" t="str">
        <v>Mașină de calibrare a nucilor în 4 fracții</v>
      </c>
      <c r="D21" s="5" t="str">
        <v>până la 300 kg/h</v>
      </c>
      <c r="E21" s="5" t="str">
        <v>0.55 kW</v>
      </c>
      <c r="F21" s="5" t="str">
        <v>220 V</v>
      </c>
      <c r="G21" s="5" t="str">
        <v>oțel</v>
      </c>
      <c r="H21" s="5" t="str">
        <v>nuci</v>
      </c>
      <c r="I21" s="13" t="str">
        <v>02. Mașină de calibrare a nucilor în 4 fracții.pdf</v>
      </c>
      <c r="J21" s="5" t="n">
        <v>111</v>
      </c>
      <c r="K21" s="5" t="str">
        <v>Broșură în dosar</v>
      </c>
      <c r="L21" s="5"/>
      <c r="M21" s="13" t="str">
        <v>Pagina produs</v>
      </c>
    </row>
    <row r="22" ht="48" customHeight="1">
      <c r="A22" s="5" t="n">
        <v>17</v>
      </c>
      <c r="B22" s="5" t="str">
        <v>Calibrare si sortare in coaja</v>
      </c>
      <c r="C22" s="5" t="str">
        <v>Mașină de calibrare a nucilor în 8 fracții</v>
      </c>
      <c r="D22" s="5" t="str">
        <v>până la 500 kg/h</v>
      </c>
      <c r="E22" s="5" t="str">
        <v>2.95 kW</v>
      </c>
      <c r="F22" s="5" t="str">
        <v>380 V</v>
      </c>
      <c r="G22" s="5" t="str">
        <v>oțel</v>
      </c>
      <c r="H22" s="5" t="str">
        <v>nuci</v>
      </c>
      <c r="I22" s="13" t="str">
        <v>03. Mașină de calibrare a nucilor în 8 fracții.pdf</v>
      </c>
      <c r="J22" s="5" t="n">
        <v>113</v>
      </c>
      <c r="K22" s="5" t="str">
        <v>Broșură în dosar</v>
      </c>
      <c r="L22" s="5"/>
      <c r="M22" s="13" t="str">
        <v>Pagina produs</v>
      </c>
    </row>
    <row r="23" ht="48" customHeight="1">
      <c r="A23" s="5" t="n">
        <v>18</v>
      </c>
      <c r="B23" s="5" t="str">
        <v>Calibrare si sortare in coaja</v>
      </c>
      <c r="C23" s="5" t="str">
        <v>Mașină pentru sortarea nucilor goale în coajă</v>
      </c>
      <c r="D23" s="5" t="str">
        <v>până la 300 kg/h</v>
      </c>
      <c r="E23" s="5" t="str">
        <v>4.5 kW</v>
      </c>
      <c r="F23" s="5" t="str">
        <v>380 V</v>
      </c>
      <c r="G23" s="5" t="str">
        <v>oțel</v>
      </c>
      <c r="H23" s="5" t="str">
        <v>nuci, alune, migdale</v>
      </c>
      <c r="I23" s="13" t="str">
        <v>04. Mașină pentru sortarea nucilor goale în coajă.pdf</v>
      </c>
      <c r="J23" s="5" t="n">
        <v>116</v>
      </c>
      <c r="K23" s="5" t="str">
        <v>Broșură în dosar</v>
      </c>
      <c r="L23" s="5"/>
      <c r="M23" s="13" t="str">
        <v>Pagina produs</v>
      </c>
    </row>
    <row r="24" ht="48" customHeight="1">
      <c r="A24" s="5" t="n">
        <v>19</v>
      </c>
      <c r="B24" s="5" t="str">
        <v>Calibrare si sortare in coaja</v>
      </c>
      <c r="C24" s="5" t="str">
        <v>Mașină de calibrare a alunelor</v>
      </c>
      <c r="D24" s="5" t="str">
        <v>până la 200 kg/h</v>
      </c>
      <c r="E24" s="5" t="str">
        <v>1.1 kW</v>
      </c>
      <c r="F24" s="5" t="str">
        <v>220 V</v>
      </c>
      <c r="G24" s="5" t="str">
        <v>oțel</v>
      </c>
      <c r="H24" s="5" t="str">
        <v>nuci, alune, migdale</v>
      </c>
      <c r="I24" s="13" t="str">
        <v>05. Mașină de calibrare a alunelor.pdf</v>
      </c>
      <c r="J24" s="5" t="n">
        <v>118</v>
      </c>
      <c r="K24" s="5" t="str">
        <v>Broșură în dosar</v>
      </c>
      <c r="L24" s="5"/>
      <c r="M24" s="13" t="str">
        <v>Pagina produs</v>
      </c>
    </row>
    <row r="25" ht="48" customHeight="1">
      <c r="A25" s="5" t="n">
        <v>20</v>
      </c>
      <c r="B25" s="5" t="str">
        <v>Calibrare si sortare in coaja</v>
      </c>
      <c r="C25" s="5" t="str">
        <v>Mașină de calibrare a alunelor în 3 fracții</v>
      </c>
      <c r="D25" s="5" t="str">
        <v>până la 200 kg/h</v>
      </c>
      <c r="E25" s="5" t="str">
        <v>0.75 kW</v>
      </c>
      <c r="F25" s="5" t="str">
        <v>380 V</v>
      </c>
      <c r="G25" s="5" t="str">
        <v>oțel</v>
      </c>
      <c r="H25" s="5" t="str">
        <v>alune</v>
      </c>
      <c r="I25" s="13" t="str">
        <v>06. Mașină de calibrare a alunelor în 3 fracții.pdf</v>
      </c>
      <c r="J25" s="5" t="n">
        <v>120</v>
      </c>
      <c r="K25" s="5" t="str">
        <v>Broșură în dosar</v>
      </c>
      <c r="L25" s="5" t="str">
        <v>Site-ul trimite la broșura calibratorului de alune 8 fracții (nu există broșură separată pt. 3 fracții).</v>
      </c>
      <c r="M25" s="13" t="str">
        <v>Pagina produs</v>
      </c>
    </row>
    <row r="26" ht="48" customHeight="1">
      <c r="A26" s="5" t="n">
        <v>21</v>
      </c>
      <c r="B26" s="5" t="str">
        <v>Calibrare si sortare in coaja</v>
      </c>
      <c r="C26" s="5" t="str">
        <v>Mașină de calibrare a alunelor în 8 fracții</v>
      </c>
      <c r="D26" s="5" t="str">
        <v>până la 500 kg/h</v>
      </c>
      <c r="E26" s="5" t="str">
        <v>2.95 kW</v>
      </c>
      <c r="F26" s="5" t="str">
        <v>380 V</v>
      </c>
      <c r="G26" s="5" t="str">
        <v>oțel</v>
      </c>
      <c r="H26" s="5" t="str">
        <v>alune</v>
      </c>
      <c r="I26" s="13" t="str">
        <v>07. Mașină de calibrare a alunelor în 8 fracții.pdf</v>
      </c>
      <c r="J26" s="5" t="n">
        <v>120</v>
      </c>
      <c r="K26" s="5" t="str">
        <v>Broșură în dosar</v>
      </c>
      <c r="L26" s="5" t="str">
        <v>Broșură comună cu calibratorul de alune 3 fracții.</v>
      </c>
      <c r="M26" s="13" t="str">
        <v>Pagina produs</v>
      </c>
    </row>
    <row r="27" ht="48" customHeight="1">
      <c r="A27" s="5" t="n">
        <v>22</v>
      </c>
      <c r="B27" s="5" t="str">
        <v>Spargere</v>
      </c>
      <c r="C27" s="5" t="str">
        <v>Mașină de spart nuci 50 kg/h</v>
      </c>
      <c r="D27" s="5" t="str">
        <v>până la 50 kg/h</v>
      </c>
      <c r="E27" s="5" t="str">
        <v>0.55 kW</v>
      </c>
      <c r="F27" s="5" t="str">
        <v>220 V</v>
      </c>
      <c r="G27" s="5"/>
      <c r="H27" s="5" t="str">
        <v>nuci</v>
      </c>
      <c r="I27" s="13" t="str">
        <v>01. Mașină de spart nuci 50 kg-h.pdf</v>
      </c>
      <c r="J27" s="5" t="n">
        <v>123</v>
      </c>
      <c r="K27" s="5" t="str">
        <v>Broșură în dosar</v>
      </c>
      <c r="L27" s="5"/>
      <c r="M27" s="13" t="str">
        <v>Pagina produs</v>
      </c>
    </row>
    <row r="28" ht="48" customHeight="1">
      <c r="A28" s="5" t="n">
        <v>23</v>
      </c>
      <c r="B28" s="5" t="str">
        <v>Spargere</v>
      </c>
      <c r="C28" s="5" t="str">
        <v>Mașină de spart nuci 100 kg/h</v>
      </c>
      <c r="D28" s="5" t="str">
        <v>până la 100 kg/h</v>
      </c>
      <c r="E28" s="5" t="str">
        <v>0.55 kW</v>
      </c>
      <c r="F28" s="5" t="str">
        <v>220 V</v>
      </c>
      <c r="G28" s="5"/>
      <c r="H28" s="5" t="str">
        <v>nuci</v>
      </c>
      <c r="I28" s="13" t="str">
        <v>02. Mașină de spart nuci 100 kg-h.pdf</v>
      </c>
      <c r="J28" s="5" t="n">
        <v>125</v>
      </c>
      <c r="K28" s="5" t="str">
        <v>Broșură în dosar</v>
      </c>
      <c r="L28" s="5"/>
      <c r="M28" s="13" t="str">
        <v>Pagina produs</v>
      </c>
    </row>
    <row r="29" ht="48" customHeight="1">
      <c r="A29" s="5" t="n">
        <v>24</v>
      </c>
      <c r="B29" s="5" t="str">
        <v>Spargere</v>
      </c>
      <c r="C29" s="5" t="str">
        <v>Mașină de spart nuci 200 kg/h</v>
      </c>
      <c r="D29" s="5" t="str">
        <v>până la 200 kg/h</v>
      </c>
      <c r="E29" s="5" t="str">
        <v>1.5 kW</v>
      </c>
      <c r="F29" s="5" t="str">
        <v>380 V</v>
      </c>
      <c r="G29" s="5"/>
      <c r="H29" s="5" t="str">
        <v>nuci</v>
      </c>
      <c r="I29" s="13" t="str">
        <v>03. Mașină de spart nuci 200 kg-h.pdf</v>
      </c>
      <c r="J29" s="5" t="n">
        <v>127</v>
      </c>
      <c r="K29" s="5" t="str">
        <v>Broșură în dosar</v>
      </c>
      <c r="L29" s="5"/>
      <c r="M29" s="13" t="str">
        <v>Pagina produs</v>
      </c>
    </row>
    <row r="30" ht="48" customHeight="1">
      <c r="A30" s="5" t="n">
        <v>25</v>
      </c>
      <c r="B30" s="5" t="str">
        <v>Spargere</v>
      </c>
      <c r="C30" s="5" t="str">
        <v>Mașină industrială de spart nuci cu coloană de aspirație integrată (200 kg/h)</v>
      </c>
      <c r="D30" s="5" t="str">
        <v>până la 200 kg/h</v>
      </c>
      <c r="E30" s="5" t="str">
        <v>2.05 kW</v>
      </c>
      <c r="F30" s="5" t="str">
        <v>380 V</v>
      </c>
      <c r="G30" s="5"/>
      <c r="H30" s="5" t="str">
        <v>nuci</v>
      </c>
      <c r="I30" s="13" t="str">
        <v>04. Mașină industrială de spart nuci cu coloană de aspirație integrată (200 kg-h).pdf</v>
      </c>
      <c r="J30" s="5" t="n">
        <v>129</v>
      </c>
      <c r="K30" s="5" t="str">
        <v>Broșură în dosar</v>
      </c>
      <c r="L30" s="5"/>
      <c r="M30" s="13" t="str">
        <v>Pagina produs</v>
      </c>
    </row>
    <row r="31" ht="48" customHeight="1">
      <c r="A31" s="5" t="n">
        <v>26</v>
      </c>
      <c r="B31" s="5" t="str">
        <v>Spargere</v>
      </c>
      <c r="C31" s="5" t="str">
        <v>Spărgător de nuci pentru etapa post-spărgere</v>
      </c>
      <c r="D31" s="5" t="str">
        <v>până la 200 kg/h</v>
      </c>
      <c r="E31" s="5" t="str">
        <v>1.1 kW</v>
      </c>
      <c r="F31" s="5" t="str">
        <v>380 V</v>
      </c>
      <c r="G31" s="5"/>
      <c r="H31" s="5" t="str">
        <v>nuci, alune, migdale</v>
      </c>
      <c r="I31" s="13" t="str">
        <v>05. Spărgător de nuci pentru etapa post-spărgere.pdf</v>
      </c>
      <c r="J31" s="5" t="n">
        <v>132</v>
      </c>
      <c r="K31" s="5" t="str">
        <v>Broșură în dosar</v>
      </c>
      <c r="L31" s="5"/>
      <c r="M31" s="13" t="str">
        <v>Pagina produs</v>
      </c>
    </row>
    <row r="32" ht="48" customHeight="1">
      <c r="A32" s="5" t="n">
        <v>27</v>
      </c>
      <c r="B32" s="5" t="str">
        <v>Spargere</v>
      </c>
      <c r="C32" s="5" t="str">
        <v>Spărgător cu tambur pentru alune și migdale</v>
      </c>
      <c r="D32" s="5" t="str">
        <v>până la 200 kg/h</v>
      </c>
      <c r="E32" s="5" t="str">
        <v>1.1 kW</v>
      </c>
      <c r="F32" s="5" t="str">
        <v>380 V</v>
      </c>
      <c r="G32" s="5"/>
      <c r="H32" s="5" t="str">
        <v>alune, migdale</v>
      </c>
      <c r="I32" s="13" t="str">
        <v>06. Spărgător cu tambur pentru alune și migdale.pdf</v>
      </c>
      <c r="J32" s="5" t="n">
        <v>134</v>
      </c>
      <c r="K32" s="5" t="str">
        <v>Broșură în dosar</v>
      </c>
      <c r="L32" s="5" t="str">
        <v>Pe site mai apare o intrare duplicat (ID 6138) cu pagină inexistentă.</v>
      </c>
      <c r="M32" s="13" t="str">
        <v>Pagina produs</v>
      </c>
    </row>
    <row r="33" ht="48" customHeight="1">
      <c r="A33" s="5" t="n">
        <v>28</v>
      </c>
      <c r="B33" s="5" t="str">
        <v>Spargere</v>
      </c>
      <c r="C33" s="5" t="str">
        <v>Spărgător de alune cu aspirație (200 kg/h)</v>
      </c>
      <c r="D33" s="5" t="str">
        <v>până la 200 kg/h</v>
      </c>
      <c r="E33" s="5" t="str">
        <v>1.1 kW</v>
      </c>
      <c r="F33" s="5" t="str">
        <v>380 V</v>
      </c>
      <c r="G33" s="5"/>
      <c r="H33" s="5" t="str">
        <v>alune, migdale</v>
      </c>
      <c r="I33" s="13" t="str">
        <v>07. Spărgător de alune cu aspirație (200 kg-h).pdf</v>
      </c>
      <c r="J33" s="5" t="n">
        <v>134</v>
      </c>
      <c r="K33" s="5" t="str">
        <v>Broșură în dosar</v>
      </c>
      <c r="L33" s="5" t="str">
        <v>Broșură comună cu spărgătorul cu tambur pentru alune și migdale (fără coloană de aspirație).</v>
      </c>
      <c r="M33" s="13" t="str">
        <v>Pagina produs</v>
      </c>
    </row>
    <row r="34" ht="48" customHeight="1">
      <c r="A34" s="5" t="n">
        <v>29</v>
      </c>
      <c r="B34" s="5" t="str">
        <v>Separare miez si sortare</v>
      </c>
      <c r="C34" s="5" t="str">
        <v>Mașină pentru separarea miezului de coajă (100 kg/h)</v>
      </c>
      <c r="D34" s="5" t="str">
        <v>până la 100 kg/h</v>
      </c>
      <c r="E34" s="5" t="str">
        <v>0.55 kW</v>
      </c>
      <c r="F34" s="5" t="str">
        <v>220 V</v>
      </c>
      <c r="G34" s="5" t="str">
        <v>oțel</v>
      </c>
      <c r="H34" s="5" t="str">
        <v>nuci, alune, migdale</v>
      </c>
      <c r="I34" s="13" t="str">
        <v>01. Mașină pentru separarea miezului de coajă (100 kg-h).pdf</v>
      </c>
      <c r="J34" s="5" t="n">
        <v>136</v>
      </c>
      <c r="K34" s="5" t="str">
        <v>Broșură în dosar</v>
      </c>
      <c r="L34" s="5"/>
      <c r="M34" s="13" t="str">
        <v>Pagina produs</v>
      </c>
    </row>
    <row r="35" ht="48" customHeight="1">
      <c r="A35" s="5" t="n">
        <v>30</v>
      </c>
      <c r="B35" s="5" t="str">
        <v>Separare miez si sortare</v>
      </c>
      <c r="C35" s="5" t="str">
        <v>Mașină pentru separarea miezului de coajă (300 kg/h)</v>
      </c>
      <c r="D35" s="5" t="str">
        <v>până la 300 kg/h</v>
      </c>
      <c r="E35" s="5" t="str">
        <v>1.5 kW</v>
      </c>
      <c r="F35" s="5" t="str">
        <v>220 / 380 V</v>
      </c>
      <c r="G35" s="5" t="str">
        <v>oțel</v>
      </c>
      <c r="H35" s="5" t="str">
        <v>nuci, alune, migdale</v>
      </c>
      <c r="I35" s="13" t="str">
        <v>02. Mașină pentru separarea miezului de coajă (300 kg-h).pdf</v>
      </c>
      <c r="J35" s="5" t="n">
        <v>138</v>
      </c>
      <c r="K35" s="5" t="str">
        <v>Broșură în dosar</v>
      </c>
      <c r="L35" s="5"/>
      <c r="M35" s="13" t="str">
        <v>Pagina produs</v>
      </c>
    </row>
    <row r="36" ht="48" customHeight="1">
      <c r="A36" s="5" t="n">
        <v>31</v>
      </c>
      <c r="B36" s="5" t="str">
        <v>Separare miez si sortare</v>
      </c>
      <c r="C36" s="5" t="str">
        <v>Mașină pentru separarea miezului de nucă (200 kg/h)</v>
      </c>
      <c r="D36" s="5" t="str">
        <v>până la 200 kg/h</v>
      </c>
      <c r="E36" s="5" t="str">
        <v>0.55 kW</v>
      </c>
      <c r="F36" s="5" t="str">
        <v>220 / 380 V</v>
      </c>
      <c r="G36" s="5" t="str">
        <v>oțel</v>
      </c>
      <c r="H36" s="5" t="str">
        <v>nuci, alune, migdale</v>
      </c>
      <c r="I36" s="13" t="str">
        <v>03. Mașină pentru separarea miezului de nucă (200 kg-h).pdf</v>
      </c>
      <c r="J36" s="5" t="n">
        <v>140</v>
      </c>
      <c r="K36" s="5" t="str">
        <v>Broșură în dosar</v>
      </c>
      <c r="L36" s="5"/>
      <c r="M36" s="13" t="str">
        <v>Pagina produs</v>
      </c>
    </row>
    <row r="37" ht="48" customHeight="1">
      <c r="A37" s="5" t="n">
        <v>32</v>
      </c>
      <c r="B37" s="5" t="str">
        <v>Separare miez si sortare</v>
      </c>
      <c r="C37" s="5" t="str">
        <v>Sit vibratoare cu aspirație pentru sortarea nucilor (200 kg/h)</v>
      </c>
      <c r="D37" s="5" t="str">
        <v>până la 200 kg/h</v>
      </c>
      <c r="E37" s="5" t="str">
        <v>1.9 kW</v>
      </c>
      <c r="F37" s="5" t="str">
        <v>380 V</v>
      </c>
      <c r="G37" s="5" t="str">
        <v>oțel</v>
      </c>
      <c r="H37" s="5" t="str">
        <v>nuci, alune, migdale</v>
      </c>
      <c r="I37" s="13" t="str">
        <v>04. Sit vibratoare cu aspirație pentru sortarea nucilor (200 kg-h).pdf</v>
      </c>
      <c r="J37" s="5" t="n">
        <v>142</v>
      </c>
      <c r="K37" s="5" t="str">
        <v>Broșură în dosar</v>
      </c>
      <c r="L37" s="5"/>
      <c r="M37" s="13" t="str">
        <v>Pagina produs</v>
      </c>
    </row>
    <row r="38" ht="48" customHeight="1">
      <c r="A38" s="5" t="n">
        <v>33</v>
      </c>
      <c r="B38" s="5" t="str">
        <v>Separare miez si sortare</v>
      </c>
      <c r="C38" s="5" t="str">
        <v>Sit vibratoare cu aspirație pentru sortarea nucilor (300 kg/h)</v>
      </c>
      <c r="D38" s="5" t="str">
        <v>până la 300 kg/h</v>
      </c>
      <c r="E38" s="5" t="str">
        <v>3 kW</v>
      </c>
      <c r="F38" s="5" t="str">
        <v>380 V</v>
      </c>
      <c r="G38" s="5" t="str">
        <v>oțel</v>
      </c>
      <c r="H38" s="5" t="str">
        <v>nuci, alune, migdale</v>
      </c>
      <c r="I38" s="13" t="str">
        <v>05. Sit vibratoare cu aspirație pentru sortarea nucilor (300 kg-h).pdf</v>
      </c>
      <c r="J38" s="5" t="n">
        <v>144</v>
      </c>
      <c r="K38" s="5" t="str">
        <v>Broșură în dosar</v>
      </c>
      <c r="L38" s="5"/>
      <c r="M38" s="13" t="str">
        <v>Pagina produs</v>
      </c>
    </row>
    <row r="39" ht="48" customHeight="1">
      <c r="A39" s="5" t="n">
        <v>34</v>
      </c>
      <c r="B39" s="5" t="str">
        <v>Separare miez si sortare</v>
      </c>
      <c r="C39" s="5" t="str">
        <v>Transportor elevatoare pentru nuci</v>
      </c>
      <c r="D39" s="5"/>
      <c r="E39" s="5" t="str">
        <v>0.55 kW</v>
      </c>
      <c r="F39" s="5" t="str">
        <v>220 / 380 V</v>
      </c>
      <c r="G39" s="5" t="str">
        <v>oțel, PVC</v>
      </c>
      <c r="H39" s="5" t="str">
        <v>nuci, alune, migdale</v>
      </c>
      <c r="I39" s="13" t="str">
        <v>06. Transportor elevatoare pentru nuci.pdf</v>
      </c>
      <c r="J39" s="5" t="n">
        <v>146</v>
      </c>
      <c r="K39" s="5" t="str">
        <v>Broșură în dosar</v>
      </c>
      <c r="L39" s="5"/>
      <c r="M39" s="13" t="str">
        <v>Pagina produs</v>
      </c>
    </row>
    <row r="40" ht="48" customHeight="1">
      <c r="A40" s="5" t="n">
        <v>35</v>
      </c>
      <c r="B40" s="5" t="str">
        <v>Separare miez si sortare</v>
      </c>
      <c r="C40" s="5" t="str">
        <v>Masă de inspecție cu bandă</v>
      </c>
      <c r="D40" s="5"/>
      <c r="E40" s="5" t="str">
        <v>0.55 kW</v>
      </c>
      <c r="F40" s="5" t="str">
        <v>220 / 380 V</v>
      </c>
      <c r="G40" s="5" t="str">
        <v>oțel, PVC</v>
      </c>
      <c r="H40" s="5" t="str">
        <v>nuci, alune, migdale</v>
      </c>
      <c r="I40" s="13" t="str">
        <v>07. Masă de inspecție cu bandă.pdf</v>
      </c>
      <c r="J40" s="5" t="n">
        <v>148</v>
      </c>
      <c r="K40" s="5" t="str">
        <v>Broșură în dosar</v>
      </c>
      <c r="L40" s="5"/>
      <c r="M40" s="13" t="str">
        <v>Pagina produs</v>
      </c>
    </row>
    <row r="41" ht="48" customHeight="1">
      <c r="A41" s="5" t="n">
        <v>36</v>
      </c>
      <c r="B41" s="5" t="str">
        <v>Separare miez si sortare</v>
      </c>
      <c r="C41" s="5" t="str">
        <v>Masă de inspecție cu bandă pe două niveluri</v>
      </c>
      <c r="D41" s="5"/>
      <c r="E41" s="5" t="str">
        <v>1.1 kW</v>
      </c>
      <c r="F41" s="5" t="str">
        <v>220/380 V</v>
      </c>
      <c r="G41" s="5" t="str">
        <v>oțel, PVC</v>
      </c>
      <c r="H41" s="5" t="str">
        <v>nuci</v>
      </c>
      <c r="I41" s="13" t="str">
        <v>08. Masă de inspecție cu bandă pe două niveluri.pdf</v>
      </c>
      <c r="J41" s="5" t="n">
        <v>150</v>
      </c>
      <c r="K41" s="5" t="str">
        <v>Broșură în dosar</v>
      </c>
      <c r="L41" s="5"/>
      <c r="M41" s="13" t="str">
        <v>Pagina produs</v>
      </c>
    </row>
    <row r="42" ht="48" customHeight="1">
      <c r="A42" s="5" t="n">
        <v>37</v>
      </c>
      <c r="B42" s="5" t="str">
        <v>Sortatoare optice</v>
      </c>
      <c r="C42" s="5" t="str">
        <v>Sortator optic IR-63</v>
      </c>
      <c r="D42" s="5" t="str">
        <v>până la 200 kg/h</v>
      </c>
      <c r="E42" s="5" t="str">
        <v>1.1 kW</v>
      </c>
      <c r="F42" s="5" t="str">
        <v>220 V</v>
      </c>
      <c r="G42" s="5"/>
      <c r="H42" s="5" t="str">
        <v>nuci, alune, migdale</v>
      </c>
      <c r="I42" s="5" t="str"/>
      <c r="J42" s="5"/>
      <c r="K42" s="5" t="str">
        <v>Imagine / fișă PDF lipsă</v>
      </c>
      <c r="L42" s="5" t="str">
        <v>Site-ul trimite GREȘIT la broșura spărgătorului cu tambur pt. alune/migdale – nu există broșură PDF pentru acest sortator; de cerut de la producător.</v>
      </c>
      <c r="M42" s="13" t="str">
        <v>Pagina produs</v>
      </c>
    </row>
    <row r="43" ht="48" customHeight="1">
      <c r="A43" s="5" t="n">
        <v>38</v>
      </c>
      <c r="B43" s="5" t="str">
        <v>Sortatoare optice</v>
      </c>
      <c r="C43" s="5" t="str">
        <v>Sortator optic 3S</v>
      </c>
      <c r="D43" s="5" t="str">
        <v>până la 400 kg/h</v>
      </c>
      <c r="E43" s="5" t="str">
        <v>2 kW</v>
      </c>
      <c r="F43" s="5" t="str">
        <v>220 V</v>
      </c>
      <c r="G43" s="5"/>
      <c r="H43" s="5" t="str">
        <v>nuci, alune, migdale</v>
      </c>
      <c r="I43" s="13" t="str">
        <v>02. Sortator optic 3S - imagine (fara brosura).png</v>
      </c>
      <c r="J43" s="5"/>
      <c r="K43" s="5" t="str">
        <v>Imagine / fișă PDF lipsă</v>
      </c>
      <c r="L43" s="5" t="str">
        <v>Nu există broșură PDF – pe site este atașată doar o imagine (salvată în folder).</v>
      </c>
      <c r="M43" s="13" t="str">
        <v>Pagina produs</v>
      </c>
    </row>
    <row r="44" ht="48" customHeight="1">
      <c r="A44" s="5" t="n">
        <v>39</v>
      </c>
      <c r="B44" s="5" t="str">
        <v>Sortatoare optice</v>
      </c>
      <c r="C44" s="5" t="str">
        <v>Sortator optic cu bandă M600</v>
      </c>
      <c r="D44" s="5" t="str">
        <v>până la 600 kg/h</v>
      </c>
      <c r="E44" s="5" t="str">
        <v>1.1 kW</v>
      </c>
      <c r="F44" s="5" t="str">
        <v>220 V</v>
      </c>
      <c r="G44" s="5"/>
      <c r="H44" s="5" t="str">
        <v>nuci, alune, migdale</v>
      </c>
      <c r="I44" s="13" t="str">
        <v>03. Sortator optic cu bandă M600 - imagine (fara brosura).jpg</v>
      </c>
      <c r="J44" s="5"/>
      <c r="K44" s="5" t="str">
        <v>Imagine / fișă PDF lipsă</v>
      </c>
      <c r="L44" s="5" t="str">
        <v>Nu există broșură PDF – pe site este atașată doar o imagine (salvată în folder).</v>
      </c>
      <c r="M44" s="13" t="str">
        <v>Pagina produs</v>
      </c>
    </row>
    <row r="45" ht="48" customHeight="1">
      <c r="A45" s="5" t="n">
        <v>40</v>
      </c>
      <c r="B45" s="5" t="str">
        <v>Linii complete de procesare</v>
      </c>
      <c r="C45" s="5" t="str">
        <v>Linie de spălare și uscare a nucilor (500 kg/h)</v>
      </c>
      <c r="D45" s="5" t="str">
        <v>până la 500 kg/h</v>
      </c>
      <c r="E45" s="5"/>
      <c r="F45" s="5" t="str">
        <v>220 / 380 V</v>
      </c>
      <c r="G45" s="5" t="str">
        <v>oțel</v>
      </c>
      <c r="H45" s="5" t="str">
        <v>nuci</v>
      </c>
      <c r="I45" s="13" t="str">
        <v>01. Linie de spălare și uscare a nucilor (500 kg-h).pdf</v>
      </c>
      <c r="J45" s="5" t="n">
        <v>152</v>
      </c>
      <c r="K45" s="5" t="str">
        <v>Broșură în dosar</v>
      </c>
      <c r="L45" s="5"/>
      <c r="M45" s="13" t="str">
        <v>Pagina produs</v>
      </c>
    </row>
    <row r="46" ht="48" customHeight="1">
      <c r="A46" s="5" t="n">
        <v>41</v>
      </c>
      <c r="B46" s="5" t="str">
        <v>Linii complete de procesare</v>
      </c>
      <c r="C46" s="5" t="str">
        <v>Linie industrială pentru procesarea nucilor (100 kg/h)</v>
      </c>
      <c r="D46" s="5" t="str">
        <v>până la 100 kg/h</v>
      </c>
      <c r="E46" s="5"/>
      <c r="F46" s="5" t="str">
        <v>220 / 380 V</v>
      </c>
      <c r="G46" s="5" t="str">
        <v>oțel</v>
      </c>
      <c r="H46" s="5" t="str">
        <v>nuci</v>
      </c>
      <c r="I46" s="13" t="str">
        <v>02. Linie industrială pentru procesarea nucilor (100 kg-h).pdf</v>
      </c>
      <c r="J46" s="5" t="n">
        <v>157</v>
      </c>
      <c r="K46" s="5" t="str">
        <v>Broșură în dosar</v>
      </c>
      <c r="L46" s="5"/>
      <c r="M46" s="13" t="str">
        <v>Pagina produs</v>
      </c>
    </row>
    <row r="47" ht="48" customHeight="1">
      <c r="A47" s="5" t="n">
        <v>42</v>
      </c>
      <c r="B47" s="5" t="str">
        <v>Linii complete de procesare</v>
      </c>
      <c r="C47" s="5" t="str">
        <v>Linie industrială pentru procesarea nucilor (200 kg/h)</v>
      </c>
      <c r="D47" s="5" t="str">
        <v>până la 200 kg/h</v>
      </c>
      <c r="E47" s="5"/>
      <c r="F47" s="5" t="str">
        <v>380 V</v>
      </c>
      <c r="G47" s="5" t="str">
        <v>oțel</v>
      </c>
      <c r="H47" s="5" t="str">
        <v>nuci</v>
      </c>
      <c r="I47" s="13" t="str">
        <v>03. Linie industrială pentru procesarea nucilor (200 kg-h).pdf</v>
      </c>
      <c r="J47" s="5" t="n">
        <v>163</v>
      </c>
      <c r="K47" s="5" t="str">
        <v>Broșură în dosar</v>
      </c>
      <c r="L47" s="5"/>
      <c r="M47" s="13" t="str">
        <v>Pagina produs</v>
      </c>
    </row>
    <row r="48" ht="48" customHeight="1">
      <c r="A48" s="5" t="n">
        <v>43</v>
      </c>
      <c r="B48" s="5" t="str">
        <v>Linii complete de procesare</v>
      </c>
      <c r="C48" s="5" t="str">
        <v>Linie industrială automatizată pentru procesarea nucilor (200 kg/h)</v>
      </c>
      <c r="D48" s="5" t="str">
        <v>până la 200 kg/h</v>
      </c>
      <c r="E48" s="5"/>
      <c r="F48" s="5" t="str">
        <v>380 V</v>
      </c>
      <c r="G48" s="5" t="str">
        <v>oțel</v>
      </c>
      <c r="H48" s="5" t="str">
        <v>nuci</v>
      </c>
      <c r="I48" s="13" t="str">
        <v>04. Linie industrială automatizată pentru procesarea nucilor (200 kg-h).pdf</v>
      </c>
      <c r="J48" s="5" t="n">
        <v>167</v>
      </c>
      <c r="K48" s="5" t="str">
        <v>Broșură în dosar</v>
      </c>
      <c r="L48" s="5"/>
      <c r="M48" s="13" t="str">
        <v>Pagina produs</v>
      </c>
    </row>
    <row r="49" ht="48" customHeight="1">
      <c r="A49" s="5" t="n">
        <v>44</v>
      </c>
      <c r="B49" s="5" t="str">
        <v>Linii complete de procesare</v>
      </c>
      <c r="C49" s="5" t="str">
        <v>Linie industrială automatizată de procesare a nucilor, până la 400 kg/h</v>
      </c>
      <c r="D49" s="5" t="str">
        <v>până la 400 kg/h</v>
      </c>
      <c r="E49" s="5"/>
      <c r="F49" s="5" t="str">
        <v>380 V</v>
      </c>
      <c r="G49" s="5" t="str">
        <v>oțel</v>
      </c>
      <c r="H49" s="5" t="str">
        <v>nuci</v>
      </c>
      <c r="I49" s="13" t="str">
        <v>05. Linie industrială automatizată de procesare a nucilor, până la 400 kg-h.pdf</v>
      </c>
      <c r="J49" s="5" t="n">
        <v>170</v>
      </c>
      <c r="K49" s="5" t="str">
        <v>Broșură în dosar</v>
      </c>
      <c r="L49" s="5" t="str">
        <v>Pagina RO a produsului nu este tradusă (doar EN).</v>
      </c>
      <c r="M49" s="13" t="str">
        <v>Pagina produs</v>
      </c>
    </row>
    <row r="50" ht="48" customHeight="1">
      <c r="A50" s="5" t="n">
        <v>45</v>
      </c>
      <c r="B50" s="5" t="str">
        <v>Linii complete de procesare</v>
      </c>
      <c r="C50" s="5" t="str">
        <v>Linie industrială pentru procesarea alunelor (200 kg/h)</v>
      </c>
      <c r="D50" s="5" t="str">
        <v>până la 200 kg/h</v>
      </c>
      <c r="E50" s="5"/>
      <c r="F50" s="5" t="str">
        <v>380 V</v>
      </c>
      <c r="G50" s="5" t="str">
        <v>oțel</v>
      </c>
      <c r="H50" s="5" t="str">
        <v>alune</v>
      </c>
      <c r="I50" s="13" t="str">
        <v>06. Linie industrială pentru procesarea alunelor (200 kg-h).pdf</v>
      </c>
      <c r="J50" s="5" t="n">
        <v>175</v>
      </c>
      <c r="K50" s="5" t="str">
        <v>Broșură în dosar</v>
      </c>
      <c r="L50" s="5"/>
      <c r="M50" s="13" t="str">
        <v>Pagina produs</v>
      </c>
    </row>
    <row r="51" ht="48" customHeight="1">
      <c r="A51" s="5" t="n">
        <v>46</v>
      </c>
      <c r="B51" s="5" t="str">
        <v>Linii complete de procesare</v>
      </c>
      <c r="C51" s="5" t="str">
        <v>Complex industrial pentru procesarea alunelor (200 kg/h)</v>
      </c>
      <c r="D51" s="5" t="str">
        <v>până la 200 kg/h</v>
      </c>
      <c r="E51" s="5"/>
      <c r="F51" s="5" t="str">
        <v>380 V</v>
      </c>
      <c r="G51" s="5" t="str">
        <v>oțel</v>
      </c>
      <c r="H51" s="5" t="str">
        <v>alune</v>
      </c>
      <c r="I51" s="13" t="str">
        <v>07. Complex industrial pentru procesarea alunelor (200 kg-h).pdf</v>
      </c>
      <c r="J51" s="5" t="n">
        <v>179</v>
      </c>
      <c r="K51" s="5" t="str">
        <v>Broșură în dosar</v>
      </c>
      <c r="L51" s="5"/>
      <c r="M51" s="13" t="str">
        <v>Pagina produs</v>
      </c>
    </row>
    <row r="52" ht="48" customHeight="1">
      <c r="A52" s="5" t="n">
        <v>47</v>
      </c>
      <c r="B52" s="5" t="str">
        <v>Linii complete de procesare</v>
      </c>
      <c r="C52" s="5" t="str">
        <v>Linie industrială pentru procesarea migdalelor (200 kg/h)</v>
      </c>
      <c r="D52" s="5" t="str">
        <v>până la 200 kg/h</v>
      </c>
      <c r="E52" s="5"/>
      <c r="F52" s="5" t="str">
        <v>380 V</v>
      </c>
      <c r="G52" s="5" t="str">
        <v>oțel</v>
      </c>
      <c r="H52" s="5" t="str">
        <v>migdale</v>
      </c>
      <c r="I52" s="13" t="str">
        <v>08. Linie industrială pentru procesarea migdalelor (200 kg-h).pdf</v>
      </c>
      <c r="J52" s="5" t="n">
        <v>185</v>
      </c>
      <c r="K52" s="5" t="str">
        <v>Broșură în dosar</v>
      </c>
      <c r="L52" s="5"/>
      <c r="M52" s="13" t="str">
        <v>Pagina produs</v>
      </c>
    </row>
    <row r="53" ht="48" customHeight="1">
      <c r="A53" s="5" t="n">
        <v>48</v>
      </c>
      <c r="B53" s="5" t="str">
        <v>Linii complete de procesare</v>
      </c>
      <c r="C53" s="5" t="str">
        <v>Complex industrial pentru procesarea migdalelor (200 kg/h)</v>
      </c>
      <c r="D53" s="5" t="str">
        <v>până la 200 kg/h</v>
      </c>
      <c r="E53" s="5"/>
      <c r="F53" s="5" t="str">
        <v>380 V</v>
      </c>
      <c r="G53" s="5" t="str">
        <v>oțel</v>
      </c>
      <c r="H53" s="5" t="str">
        <v>migdale</v>
      </c>
      <c r="I53" s="13" t="str">
        <v>09. Complex industrial pentru procesarea migdalelor (200 kg-h).pdf</v>
      </c>
      <c r="J53" s="5" t="n">
        <v>185</v>
      </c>
      <c r="K53" s="5" t="str">
        <v>Broșură în dosar</v>
      </c>
      <c r="L53" s="5"/>
      <c r="M53" s="13" t="str">
        <v>Pagina produs</v>
      </c>
    </row>
  </sheetData>
  <hyperlinks>
    <hyperlink ref="I6" r:id="nativeLink1"/>
    <hyperlink ref="I7" r:id="nativeLink2"/>
    <hyperlink ref="I8" r:id="nativeLink3"/>
    <hyperlink ref="I9" r:id="nativeLink4"/>
    <hyperlink ref="I10" r:id="nativeLink5"/>
    <hyperlink ref="I11" r:id="nativeLink6"/>
    <hyperlink ref="I12" r:id="nativeLink7"/>
    <hyperlink ref="I13" r:id="nativeLink8"/>
    <hyperlink ref="I14" r:id="nativeLink9"/>
    <hyperlink ref="I15" r:id="nativeLink10"/>
    <hyperlink ref="I16" r:id="nativeLink11"/>
    <hyperlink ref="I17" r:id="nativeLink12"/>
    <hyperlink ref="I18" r:id="nativeLink13"/>
    <hyperlink ref="I19" r:id="nativeLink14"/>
    <hyperlink ref="I20" r:id="nativeLink15"/>
    <hyperlink ref="I21" r:id="nativeLink16"/>
    <hyperlink ref="I22" r:id="nativeLink17"/>
    <hyperlink ref="I23" r:id="nativeLink18"/>
    <hyperlink ref="I24" r:id="nativeLink19"/>
    <hyperlink ref="I25" r:id="nativeLink20"/>
    <hyperlink ref="I26" r:id="nativeLink21"/>
    <hyperlink ref="I27" r:id="nativeLink22"/>
    <hyperlink ref="I28" r:id="nativeLink23"/>
    <hyperlink ref="I29" r:id="nativeLink24"/>
    <hyperlink ref="I30" r:id="nativeLink25"/>
    <hyperlink ref="I31" r:id="nativeLink26"/>
    <hyperlink ref="I32" r:id="nativeLink27"/>
    <hyperlink ref="I33" r:id="nativeLink28"/>
    <hyperlink ref="I34" r:id="nativeLink29"/>
    <hyperlink ref="I35" r:id="nativeLink30"/>
    <hyperlink ref="I36" r:id="nativeLink31"/>
    <hyperlink ref="I37" r:id="nativeLink32"/>
    <hyperlink ref="I38" r:id="nativeLink33"/>
    <hyperlink ref="I39" r:id="nativeLink34"/>
    <hyperlink ref="I40" r:id="nativeLink35"/>
    <hyperlink ref="I41" r:id="nativeLink36"/>
    <hyperlink ref="I43" r:id="nativeLink37"/>
    <hyperlink ref="I44" r:id="nativeLink38"/>
    <hyperlink ref="I45" r:id="nativeLink39"/>
    <hyperlink ref="I46" r:id="nativeLink40"/>
    <hyperlink ref="I47" r:id="nativeLink41"/>
    <hyperlink ref="I48" r:id="nativeLink42"/>
    <hyperlink ref="I49" r:id="nativeLink43"/>
    <hyperlink ref="I50" r:id="nativeLink44"/>
    <hyperlink ref="I51" r:id="nativeLink45"/>
    <hyperlink ref="I52" r:id="nativeLink46"/>
    <hyperlink ref="I53" r:id="nativeLink47"/>
    <hyperlink ref="M6" r:id="nativeLink48"/>
    <hyperlink ref="M7" r:id="nativeLink49"/>
    <hyperlink ref="M8" r:id="nativeLink50"/>
    <hyperlink ref="M9" r:id="nativeLink51"/>
    <hyperlink ref="M10" r:id="nativeLink52"/>
    <hyperlink ref="M11" r:id="nativeLink53"/>
    <hyperlink ref="M12" r:id="nativeLink54"/>
    <hyperlink ref="M13" r:id="nativeLink55"/>
    <hyperlink ref="M14" r:id="nativeLink56"/>
    <hyperlink ref="M15" r:id="nativeLink57"/>
    <hyperlink ref="M16" r:id="nativeLink58"/>
    <hyperlink ref="M17" r:id="nativeLink59"/>
    <hyperlink ref="M18" r:id="nativeLink60"/>
    <hyperlink ref="M19" r:id="nativeLink61"/>
    <hyperlink ref="M20" r:id="nativeLink62"/>
    <hyperlink ref="M21" r:id="nativeLink63"/>
    <hyperlink ref="M22" r:id="nativeLink64"/>
    <hyperlink ref="M23" r:id="nativeLink65"/>
    <hyperlink ref="M24" r:id="nativeLink66"/>
    <hyperlink ref="M25" r:id="nativeLink67"/>
    <hyperlink ref="M26" r:id="nativeLink68"/>
    <hyperlink ref="M27" r:id="nativeLink69"/>
    <hyperlink ref="M28" r:id="nativeLink70"/>
    <hyperlink ref="M29" r:id="nativeLink71"/>
    <hyperlink ref="M30" r:id="nativeLink72"/>
    <hyperlink ref="M31" r:id="nativeLink73"/>
    <hyperlink ref="M32" r:id="nativeLink74"/>
    <hyperlink ref="M33" r:id="nativeLink75"/>
    <hyperlink ref="M34" r:id="nativeLink76"/>
    <hyperlink ref="M35" r:id="nativeLink77"/>
    <hyperlink ref="M36" r:id="nativeLink78"/>
    <hyperlink ref="M37" r:id="nativeLink79"/>
    <hyperlink ref="M38" r:id="nativeLink80"/>
    <hyperlink ref="M39" r:id="nativeLink81"/>
    <hyperlink ref="M40" r:id="nativeLink82"/>
    <hyperlink ref="M41" r:id="nativeLink83"/>
    <hyperlink ref="M42" r:id="nativeLink84"/>
    <hyperlink ref="M43" r:id="nativeLink85"/>
    <hyperlink ref="M44" r:id="nativeLink86"/>
    <hyperlink ref="M45" r:id="nativeLink87"/>
    <hyperlink ref="M46" r:id="nativeLink88"/>
    <hyperlink ref="M47" r:id="nativeLink89"/>
    <hyperlink ref="M48" r:id="nativeLink90"/>
    <hyperlink ref="M49" r:id="nativeLink91"/>
    <hyperlink ref="M50" r:id="nativeLink92"/>
    <hyperlink ref="M51" r:id="nativeLink93"/>
    <hyperlink ref="M52" r:id="nativeLink94"/>
    <hyperlink ref="M53" r:id="nativeLink95"/>
  </hyperlinks>
  <pageMargins left="0.7" right="0.7" top="0.75" bottom="0.75" header="0.3" footer="0.3"/>
  <tableParts count="1">
    <tablePart r:id="R3163fbf3256143cd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2" ySplit="5" topLeftCell="C6" activePane="bottomRight" state="frozen"/>
    </sheetView>
  </sheetViews>
  <sheetFormatPr defaultRowHeight="15"/>
  <cols>
    <col min="1" max="1" width="85" hidden="0" customWidth="1"/>
    <col min="2" max="2" width="18" hidden="0" customWidth="1"/>
    <col min="3" max="3" width="19" hidden="0" customWidth="1"/>
    <col min="4" max="4" width="70" hidden="0" customWidth="1"/>
    <col min="5" max="5" width="55" hidden="0" customWidth="1"/>
  </cols>
  <sheetData>
    <row r="2">
      <c r="A2" s="1" t="str">
        <v>Index documente din dosarul tehnic</v>
      </c>
    </row>
    <row r="3">
      <c r="A3" s="2" t="str">
        <v>56 PDF-uri unice, 216 pagini în dosar. Copiile identice trimit la aceleași pagini.</v>
      </c>
    </row>
    <row r="5" ht="34" customHeight="1">
      <c r="A5" s="9" t="str">
        <v>Fișier original</v>
      </c>
      <c r="B5" s="9" t="str">
        <v>Pagini document</v>
      </c>
      <c r="C5" s="9" t="str">
        <v>Început în dosar</v>
      </c>
      <c r="D5" s="9" t="str">
        <v>SHA-256</v>
      </c>
      <c r="E5" s="9" t="str">
        <v>Tip document</v>
      </c>
    </row>
    <row r="6" ht="48" customHeight="1">
      <c r="A6" s="13" t="str">
        <v>39b20753_Oferta comerciala - CESIRO PRODUCTION - Linie procesare nuci 400 kg - h.pdf</v>
      </c>
      <c r="B6" s="5" t="n">
        <v>17</v>
      </c>
      <c r="C6" s="5" t="n">
        <v>7</v>
      </c>
      <c r="D6" s="5" t="str">
        <v>143b316d4198fcd2db11244d6897f835b7ac882555361bf4714b2429113bbc3c</v>
      </c>
      <c r="E6" s="5" t="str">
        <v>Document furnizor / broșură existentă</v>
      </c>
    </row>
    <row r="7" ht="48" customHeight="1">
      <c r="A7" s="13" t="str">
        <v>6d433786_Oferta comerciala - CESIRO PRODUCTION - Linie procesare nuci - 200 kg.pdf</v>
      </c>
      <c r="B7" s="5" t="n">
        <v>16</v>
      </c>
      <c r="C7" s="5" t="n">
        <v>24</v>
      </c>
      <c r="D7" s="5" t="str">
        <v>c34cfb7ecc78aa52797f5a09fa835845afcb7b65d3934c2be9eb23dde9adf8c1</v>
      </c>
      <c r="E7" s="5" t="str">
        <v>Document furnizor / broșură existentă</v>
      </c>
    </row>
    <row r="8" ht="48" customHeight="1">
      <c r="A8" s="13" t="str">
        <v>70fd55eb_Oferta comerciala - CESIRO PRODUCTION - Linie procesare nuci 400 kg - h.pdf</v>
      </c>
      <c r="B8" s="5" t="n">
        <v>17</v>
      </c>
      <c r="C8" s="5" t="n">
        <v>7</v>
      </c>
      <c r="D8" s="5" t="str">
        <v>143b316d4198fcd2db11244d6897f835b7ac882555361bf4714b2429113bbc3c</v>
      </c>
      <c r="E8" s="5" t="str">
        <v>Document furnizor / broșură existentă</v>
      </c>
    </row>
    <row r="9" ht="48" customHeight="1">
      <c r="A9" s="13" t="str">
        <v>82ab706d_Oferta comerciala - CESIRO PRODUCTION - Linie procesare nuci 400 kg v2.pdf</v>
      </c>
      <c r="B9" s="5" t="n">
        <v>16</v>
      </c>
      <c r="C9" s="5" t="n">
        <v>40</v>
      </c>
      <c r="D9" s="5" t="str">
        <v>315fc30fba7da2a94582edccb3b7ff5e6a46f00b27479adbc1b5ed81623a7754</v>
      </c>
      <c r="E9" s="5" t="str">
        <v>Document furnizor / broșură existentă</v>
      </c>
    </row>
    <row r="10" ht="48" customHeight="1">
      <c r="A10" s="13" t="str">
        <v>abf91b2f_Oferta comerciala - CESIRO PRODUCTION - Linie procesare nuci - 200 kg.pdf</v>
      </c>
      <c r="B10" s="5" t="n">
        <v>16</v>
      </c>
      <c r="C10" s="5" t="n">
        <v>24</v>
      </c>
      <c r="D10" s="5" t="str">
        <v>c34cfb7ecc78aa52797f5a09fa835845afcb7b65d3934c2be9eb23dde9adf8c1</v>
      </c>
      <c r="E10" s="5" t="str">
        <v>Document furnizor / broșură existentă</v>
      </c>
    </row>
    <row r="11" ht="48" customHeight="1">
      <c r="A11" s="13" t="str">
        <v>AUTOMATED INDUSTRIAL WALNUT PROCESSING LINE 200 KG_H (3).pdf</v>
      </c>
      <c r="B11" s="5" t="n">
        <v>4</v>
      </c>
      <c r="C11" s="5" t="n">
        <v>56</v>
      </c>
      <c r="D11" s="5" t="str">
        <v>e188137ae69834fbaea1d876fb4f184786fba006b0b76779d261059c09ffea72</v>
      </c>
      <c r="E11" s="5" t="str">
        <v>Document furnizor / broșură existentă</v>
      </c>
    </row>
    <row r="12" ht="48" customHeight="1">
      <c r="A12" s="13" t="str">
        <v>Catalog_Nut_technology_ENG_2023 (4).pdf</v>
      </c>
      <c r="B12" s="5" t="n">
        <v>20</v>
      </c>
      <c r="C12" s="5" t="n">
        <v>60</v>
      </c>
      <c r="D12" s="5" t="str">
        <v>b2847c00bb2b4eae65646c285396240a7c66a2b0f03c08744778bb8205763e6b</v>
      </c>
      <c r="E12" s="5" t="str">
        <v>Document furnizor / broșură existentă</v>
      </c>
    </row>
    <row r="13" ht="48" customHeight="1">
      <c r="A13" s="13" t="str">
        <v>Walnut harvesting, peeling and drying line (1).pdf</v>
      </c>
      <c r="B13" s="5" t="n">
        <v>6</v>
      </c>
      <c r="C13" s="5" t="n">
        <v>80</v>
      </c>
      <c r="D13" s="5" t="str">
        <v>fd1ab54861b7c479efe4cfc9e4e3cb4c962e8bfce46d9c746395a8e89b958e76</v>
      </c>
      <c r="E13" s="5" t="str">
        <v>Document furnizor / broșură existentă</v>
      </c>
    </row>
    <row r="14" ht="48" customHeight="1">
      <c r="A14" s="13" t="str">
        <v>088bc401_Fisa electrica propusa - Poz 4b - Uscator nuci in coaja 4 t-24 h nr. 2.pdf</v>
      </c>
      <c r="B14" s="5" t="n">
        <v>2</v>
      </c>
      <c r="C14" s="5" t="n">
        <v>191</v>
      </c>
      <c r="D14" s="5" t="str">
        <v>88773a586f48687cd75a79ce36206725bf7b2c8d7745dc346208e220933522c9</v>
      </c>
      <c r="E14" s="5" t="str">
        <v>Propunere CESIRO - de validat</v>
      </c>
    </row>
    <row r="15" ht="48" customHeight="1">
      <c r="A15" s="13" t="str">
        <v>2a53a261_Fisa electrica propusa - Poz 3 - Elevator Noria incarcare-descarcare 4 t-h.pdf</v>
      </c>
      <c r="B15" s="5" t="n">
        <v>2</v>
      </c>
      <c r="C15" s="5" t="n">
        <v>193</v>
      </c>
      <c r="D15" s="5" t="str">
        <v>7c98b71aec25f741d63c68f52c230fa941ab52ef8093b927769f693fd187d2b3</v>
      </c>
      <c r="E15" s="5" t="str">
        <v>Propunere CESIRO - de validat</v>
      </c>
    </row>
    <row r="16" ht="48" customHeight="1">
      <c r="A16" s="13" t="str">
        <v>356a5d77_Fisa electrica propusa - Poz 6 - Linie automatizata de procesare nuci 400 kg-h.pdf</v>
      </c>
      <c r="B16" s="5" t="n">
        <v>4</v>
      </c>
      <c r="C16" s="5" t="n">
        <v>195</v>
      </c>
      <c r="D16" s="5" t="str">
        <v>a001c26155531ff858bf1dd7953167f0c31eae1e5dd3d2d672f71da42209a9f9</v>
      </c>
      <c r="E16" s="5" t="str">
        <v>Propunere CESIRO - de validat</v>
      </c>
    </row>
    <row r="17" ht="48" customHeight="1">
      <c r="A17" s="13" t="str">
        <v>510ca500_Fisa electrica propusa - Poz 1 - Masina industriala de spalat nuci 1 t-h.pdf</v>
      </c>
      <c r="B17" s="5" t="n">
        <v>2</v>
      </c>
      <c r="C17" s="5" t="n">
        <v>199</v>
      </c>
      <c r="D17" s="5" t="str">
        <v>b45bae3a1f605bdc5c16cb98aee4aa2bded2c03c27527546eb0e7e5f85c3d30d</v>
      </c>
      <c r="E17" s="5" t="str">
        <v>Propunere CESIRO - de validat</v>
      </c>
    </row>
    <row r="18" ht="48" customHeight="1">
      <c r="A18" s="13" t="str">
        <v>5171df45_Fisa electrica propusa - Poz 8a - Transportor elevator calibrator linie de spargere.pdf</v>
      </c>
      <c r="B18" s="5" t="n">
        <v>2</v>
      </c>
      <c r="C18" s="5" t="n">
        <v>201</v>
      </c>
      <c r="D18" s="5" t="str">
        <v>c83e52e22c79599148cf413c5508bf5bad4d9011750f3d886db8ccd76e3b9226</v>
      </c>
      <c r="E18" s="5" t="str">
        <v>Propunere CESIRO - de validat</v>
      </c>
    </row>
    <row r="19" ht="48" customHeight="1">
      <c r="A19" s="13" t="str">
        <v>711787fa_Fisa electrica propusa - Poz 5 - Calibrator nuci 8 fractii 500 kg-h.pdf</v>
      </c>
      <c r="B19" s="5" t="n">
        <v>2</v>
      </c>
      <c r="C19" s="5" t="n">
        <v>203</v>
      </c>
      <c r="D19" s="5" t="str">
        <v>3365128a7896096cddc3aae803fcf8bd8d9109970f65c53e98981eff2e160355</v>
      </c>
      <c r="E19" s="5" t="str">
        <v>Propunere CESIRO - de validat</v>
      </c>
    </row>
    <row r="20" ht="48" customHeight="1">
      <c r="A20" s="13" t="str">
        <v>84fb006b_Fisa electrica propusa - Poz 10 - Masa de inspectie cu banda pe doua niveluri.pdf</v>
      </c>
      <c r="B20" s="5" t="n">
        <v>2</v>
      </c>
      <c r="C20" s="5" t="n">
        <v>205</v>
      </c>
      <c r="D20" s="5" t="str">
        <v>3f53546f76546f19ba895192cdf066afed2ffe3d02e908235322c3399a026a87</v>
      </c>
      <c r="E20" s="5" t="str">
        <v>Propunere CESIRO - de validat</v>
      </c>
    </row>
    <row r="21" ht="48" customHeight="1">
      <c r="A21" s="13" t="str">
        <v>a85c21b9_Fisa electrica propusa - Poz 9 - Sortator optic cu banda M600.pdf</v>
      </c>
      <c r="B21" s="5" t="n">
        <v>2</v>
      </c>
      <c r="C21" s="5" t="n">
        <v>207</v>
      </c>
      <c r="D21" s="5" t="str">
        <v>e4e51824360e0bc8adb9b91cca24dc60b82fb690e039f0c348e639bbb3a70a3a</v>
      </c>
      <c r="E21" s="5" t="str">
        <v>Propunere CESIRO - de validat</v>
      </c>
    </row>
    <row r="22" ht="48" customHeight="1">
      <c r="A22" s="13" t="str">
        <v>ae6ae28d_Fisa electrica propusa - Poz 8b - Transportor elevator linie sortator optic.pdf</v>
      </c>
      <c r="B22" s="5" t="n">
        <v>2</v>
      </c>
      <c r="C22" s="5" t="n">
        <v>209</v>
      </c>
      <c r="D22" s="5" t="str">
        <v>eed6f47ac4a447912a72c50c6b7556e41f9bacfddc5cd71fe2600ed3cc3cd2be</v>
      </c>
      <c r="E22" s="5" t="str">
        <v>Propunere CESIRO - de validat</v>
      </c>
    </row>
    <row r="23" ht="48" customHeight="1">
      <c r="A23" s="13" t="str">
        <v>c64b8ab6_Fisa electrica propusa - Poz 4a - Uscator nuci in coaja 4 t-24 h nr. 1.pdf</v>
      </c>
      <c r="B23" s="5" t="n">
        <v>2</v>
      </c>
      <c r="C23" s="5" t="n">
        <v>211</v>
      </c>
      <c r="D23" s="5" t="str">
        <v>77ffb42524793975b88c4c041e1c986019d90df08438cab9f54b28c4b981d0a4</v>
      </c>
      <c r="E23" s="5" t="str">
        <v>Propunere CESIRO - de validat</v>
      </c>
    </row>
    <row r="24" ht="48" customHeight="1">
      <c r="A24" s="13" t="str">
        <v>f47799fb_Fisa electrica propusa - Poz 7 - Spargator 200 kg-h cu coloana de aspiratie _al 3-lea_.pdf</v>
      </c>
      <c r="B24" s="5" t="n">
        <v>2</v>
      </c>
      <c r="C24" s="5" t="n">
        <v>213</v>
      </c>
      <c r="D24" s="5" t="str">
        <v>0c7c1efb0c88c4252ad967db160d13f14ed8a23ee2857ad47522824a8dd7319d</v>
      </c>
      <c r="E24" s="5" t="str">
        <v>Propunere CESIRO - de validat</v>
      </c>
    </row>
    <row r="25" ht="48" customHeight="1">
      <c r="A25" s="13" t="str">
        <v>f53a967d_Fisa electrica propusa - Poz 2 - Banda de alimentare masina de spalat 4 t-h.pdf</v>
      </c>
      <c r="B25" s="5" t="n">
        <v>2</v>
      </c>
      <c r="C25" s="5" t="n">
        <v>215</v>
      </c>
      <c r="D25" s="5" t="str">
        <v>e57f6d30eb5069398d33966000bdc7a628d240e359a98b4da1e1150e6f74f86a</v>
      </c>
      <c r="E25" s="5" t="str">
        <v>Propunere CESIRO - de validat</v>
      </c>
    </row>
    <row r="26" ht="48" customHeight="1">
      <c r="A26" s="13" t="str">
        <v>01. Scuturător pentru pomi fructiferi.pdf</v>
      </c>
      <c r="B26" s="5" t="n">
        <v>2</v>
      </c>
      <c r="C26" s="5" t="n">
        <v>86</v>
      </c>
      <c r="D26" s="5" t="str">
        <v>65928c928749c0fda3e842a65132d0a7c01c9e1771a23519f30725413dbcf05f</v>
      </c>
      <c r="E26" s="5" t="str">
        <v>Document furnizor / broșură existentă</v>
      </c>
    </row>
    <row r="27" ht="48" customHeight="1">
      <c r="A27" s="13" t="str">
        <v>01. Mașină de decojire și curățare a nucilor verzi 100 kg-h.pdf</v>
      </c>
      <c r="B27" s="5" t="n">
        <v>2</v>
      </c>
      <c r="C27" s="5" t="n">
        <v>88</v>
      </c>
      <c r="D27" s="5" t="str">
        <v>79566ea292cea6e8f463f5e6de45b8524d46b41fbe30ab904c517f3027280b0c</v>
      </c>
      <c r="E27" s="5" t="str">
        <v>Document furnizor / broșură existentă</v>
      </c>
    </row>
    <row r="28" ht="48" customHeight="1">
      <c r="A28" s="13" t="str">
        <v>02. Mașină pentru decojirea și curățarea nucilor verzi 300 kg-h.pdf</v>
      </c>
      <c r="B28" s="5" t="n">
        <v>2</v>
      </c>
      <c r="C28" s="5" t="n">
        <v>90</v>
      </c>
      <c r="D28" s="5" t="str">
        <v>8e7133b6023009879e3ff5b00253b0f62e0353014a797394817f849cbafa14dd</v>
      </c>
      <c r="E28" s="5" t="str">
        <v>Document furnizor / broșură existentă</v>
      </c>
    </row>
    <row r="29" ht="48" customHeight="1">
      <c r="A29" s="13" t="str">
        <v>03. Mașină de decojire și curățare a nucilor verzi 700 kg-h.pdf</v>
      </c>
      <c r="B29" s="5" t="n">
        <v>2</v>
      </c>
      <c r="C29" s="5" t="n">
        <v>92</v>
      </c>
      <c r="D29" s="5" t="str">
        <v>125e4d56d50276a2f8ede3c6120ddb6cbecebe05d21c174b85a8a98f8e894f41</v>
      </c>
      <c r="E29" s="5" t="str">
        <v>Document furnizor / broșură existentă</v>
      </c>
    </row>
    <row r="30" ht="48" customHeight="1">
      <c r="A30" s="13" t="str">
        <v>04. Mașină industrială de decojire și spălare (1 t-h).pdf</v>
      </c>
      <c r="B30" s="5" t="n">
        <v>3</v>
      </c>
      <c r="C30" s="5" t="n">
        <v>94</v>
      </c>
      <c r="D30" s="5" t="str">
        <v>cc40c44b252e8c7c59d13ed6c162f230684accb1fc80200372c388a50162937c</v>
      </c>
      <c r="E30" s="5" t="str">
        <v>Document furnizor / broșură existentă</v>
      </c>
    </row>
    <row r="31" ht="48" customHeight="1">
      <c r="A31" s="13" t="str">
        <v>05. Mașină pentru îndepărtarea cojii verzi a alunelor.pdf</v>
      </c>
      <c r="B31" s="5" t="n">
        <v>2</v>
      </c>
      <c r="C31" s="5" t="n">
        <v>97</v>
      </c>
      <c r="D31" s="5" t="str">
        <v>ce7c54b8811a7cc51472d3b0802c9b12d4f13b67208ecb2b0b7ce59b05794833</v>
      </c>
      <c r="E31" s="5" t="str">
        <v>Document furnizor / broșură existentă</v>
      </c>
    </row>
    <row r="32" ht="48" customHeight="1">
      <c r="A32" s="13" t="str">
        <v>01. Uscător pentru nuci, alune și migdale în coajă (până la 1 tonă-24 ore).pdf</v>
      </c>
      <c r="B32" s="5" t="n">
        <v>2</v>
      </c>
      <c r="C32" s="5" t="n">
        <v>99</v>
      </c>
      <c r="D32" s="5" t="str">
        <v>e678577bfe715903420f2d14ca7388eed0f94ec6df18723caeb1a050c20648b2</v>
      </c>
      <c r="E32" s="5" t="str">
        <v>Document furnizor / broșură existentă</v>
      </c>
    </row>
    <row r="33" ht="48" customHeight="1">
      <c r="A33" s="13" t="str">
        <v>02. Uscător pentru nuci, alune și migdale în coajă (până la 2 tone-24 ore).pdf</v>
      </c>
      <c r="B33" s="5" t="n">
        <v>2</v>
      </c>
      <c r="C33" s="5" t="n">
        <v>99</v>
      </c>
      <c r="D33" s="5" t="str">
        <v>e678577bfe715903420f2d14ca7388eed0f94ec6df18723caeb1a050c20648b2</v>
      </c>
      <c r="E33" s="5" t="str">
        <v>Document furnizor / broșură existentă</v>
      </c>
    </row>
    <row r="34" ht="48" customHeight="1">
      <c r="A34" s="13" t="str">
        <v>03. Uscător pentru nuci, alune și migdale în coajă (2 tone-zi).pdf</v>
      </c>
      <c r="B34" s="5" t="n">
        <v>2</v>
      </c>
      <c r="C34" s="5" t="n">
        <v>101</v>
      </c>
      <c r="D34" s="5" t="str">
        <v>1bdf4be4fd2fbf4c39eaa2bd91f3d2773214d5f48bfc62fe1c745e1af9c68c2c</v>
      </c>
      <c r="E34" s="5" t="str">
        <v>Document furnizor / broșură existentă</v>
      </c>
    </row>
    <row r="35" ht="48" customHeight="1">
      <c r="A35" s="13" t="str">
        <v>04. Uscător pentru nuci, alune și migdale în coajă (4 tone-zi).pdf</v>
      </c>
      <c r="B35" s="5" t="n">
        <v>4</v>
      </c>
      <c r="C35" s="5" t="n">
        <v>103</v>
      </c>
      <c r="D35" s="5" t="str">
        <v>e2ff19d977d02e53e00842449b343ac919891fa3986876a310d2382e5c98053d</v>
      </c>
      <c r="E35" s="5" t="str">
        <v>Document furnizor / broșură existentă</v>
      </c>
    </row>
    <row r="36" ht="48" customHeight="1">
      <c r="A36" s="13" t="str">
        <v>05. Conveyor de alimentare pentru uscător 2 t-zi.pdf</v>
      </c>
      <c r="B36" s="5" t="n">
        <v>2</v>
      </c>
      <c r="C36" s="5" t="n">
        <v>107</v>
      </c>
      <c r="D36" s="5" t="str">
        <v>cfbb5b78069e91fe4af29fdbed38b90dbad0f38d3da17fc5cb25af625e8d478e</v>
      </c>
      <c r="E36" s="5" t="str">
        <v>Document furnizor / broșură existentă</v>
      </c>
    </row>
    <row r="37" ht="48" customHeight="1">
      <c r="A37" s="13" t="str">
        <v>06. Conveyor de alimentare pentru uscător 4 t-h.pdf</v>
      </c>
      <c r="B37" s="5" t="n">
        <v>2</v>
      </c>
      <c r="C37" s="5" t="n">
        <v>107</v>
      </c>
      <c r="D37" s="5" t="str">
        <v>cfbb5b78069e91fe4af29fdbed38b90dbad0f38d3da17fc5cb25af625e8d478e</v>
      </c>
      <c r="E37" s="5" t="str">
        <v>Document furnizor / broșură existentă</v>
      </c>
    </row>
    <row r="38" ht="48" customHeight="1">
      <c r="A38" s="13" t="str">
        <v>07. Elevator cu încărcare-descărcare Noria 2 tone pe oră.pdf</v>
      </c>
      <c r="B38" s="5" t="n">
        <v>2</v>
      </c>
      <c r="C38" s="5" t="n">
        <v>107</v>
      </c>
      <c r="D38" s="5" t="str">
        <v>cfbb5b78069e91fe4af29fdbed38b90dbad0f38d3da17fc5cb25af625e8d478e</v>
      </c>
      <c r="E38" s="5" t="str">
        <v>Document furnizor / broșură existentă</v>
      </c>
    </row>
    <row r="39" ht="48" customHeight="1">
      <c r="A39" s="13" t="str">
        <v>08. Elevator cu încărcare-descărcare Noria 4 tone pe oră.pdf</v>
      </c>
      <c r="B39" s="5" t="n">
        <v>2</v>
      </c>
      <c r="C39" s="5" t="n">
        <v>107</v>
      </c>
      <c r="D39" s="5" t="str">
        <v>cfbb5b78069e91fe4af29fdbed38b90dbad0f38d3da17fc5cb25af625e8d478e</v>
      </c>
      <c r="E39" s="5" t="str">
        <v>Document furnizor / broșură existentă</v>
      </c>
    </row>
    <row r="40" ht="48" customHeight="1">
      <c r="A40" s="13" t="str">
        <v>01. Calibrator liniar pentru toate tipurile de nuci.pdf</v>
      </c>
      <c r="B40" s="5" t="n">
        <v>2</v>
      </c>
      <c r="C40" s="5" t="n">
        <v>109</v>
      </c>
      <c r="D40" s="5" t="str">
        <v>911eaa329286063e18ad8e677a4df2f4c02a014bcea3b5618d62c3ab18a78134</v>
      </c>
      <c r="E40" s="5" t="str">
        <v>Document furnizor / broșură existentă</v>
      </c>
    </row>
    <row r="41" ht="48" customHeight="1">
      <c r="A41" s="13" t="str">
        <v>02. Mașină de calibrare a nucilor în 4 fracții.pdf</v>
      </c>
      <c r="B41" s="5" t="n">
        <v>2</v>
      </c>
      <c r="C41" s="5" t="n">
        <v>111</v>
      </c>
      <c r="D41" s="5" t="str">
        <v>ca906d5c4653eef6d52848473dc1656ba1b2ee7fed47433966fdf950961f8869</v>
      </c>
      <c r="E41" s="5" t="str">
        <v>Document furnizor / broșură existentă</v>
      </c>
    </row>
    <row r="42" ht="48" customHeight="1">
      <c r="A42" s="13" t="str">
        <v>03. Mașină de calibrare a nucilor în 8 fracții.pdf</v>
      </c>
      <c r="B42" s="5" t="n">
        <v>3</v>
      </c>
      <c r="C42" s="5" t="n">
        <v>113</v>
      </c>
      <c r="D42" s="5" t="str">
        <v>8ee7c52f8c7b7b2762bc7b965d797743bb6b27f99414d0b85c4383b8d44e3477</v>
      </c>
      <c r="E42" s="5" t="str">
        <v>Document furnizor / broșură existentă</v>
      </c>
    </row>
    <row r="43" ht="48" customHeight="1">
      <c r="A43" s="13" t="str">
        <v>04. Mașină pentru sortarea nucilor goale în coajă.pdf</v>
      </c>
      <c r="B43" s="5" t="n">
        <v>2</v>
      </c>
      <c r="C43" s="5" t="n">
        <v>116</v>
      </c>
      <c r="D43" s="5" t="str">
        <v>d93438ae4b32922e7a585db7325d69b7b44dc1029be8b17dae63221ee0d52e89</v>
      </c>
      <c r="E43" s="5" t="str">
        <v>Document furnizor / broșură existentă</v>
      </c>
    </row>
    <row r="44" ht="48" customHeight="1">
      <c r="A44" s="13" t="str">
        <v>05. Mașină de calibrare a alunelor.pdf</v>
      </c>
      <c r="B44" s="5" t="n">
        <v>2</v>
      </c>
      <c r="C44" s="5" t="n">
        <v>118</v>
      </c>
      <c r="D44" s="5" t="str">
        <v>11f4e48bf898a4ed6fee409a8fc773fb82718c9cd7dcd8bef8e71840b33a8b28</v>
      </c>
      <c r="E44" s="5" t="str">
        <v>Document furnizor / broșură existentă</v>
      </c>
    </row>
    <row r="45" ht="48" customHeight="1">
      <c r="A45" s="13" t="str">
        <v>06. Mașină de calibrare a alunelor în 3 fracții.pdf</v>
      </c>
      <c r="B45" s="5" t="n">
        <v>3</v>
      </c>
      <c r="C45" s="5" t="n">
        <v>120</v>
      </c>
      <c r="D45" s="5" t="str">
        <v>1ea18106e28a4156fd6dd2543a231fda327d7a52d1492700eff6bc3b59918749</v>
      </c>
      <c r="E45" s="5" t="str">
        <v>Document furnizor / broșură existentă</v>
      </c>
    </row>
    <row r="46" ht="48" customHeight="1">
      <c r="A46" s="13" t="str">
        <v>07. Mașină de calibrare a alunelor în 8 fracții.pdf</v>
      </c>
      <c r="B46" s="5" t="n">
        <v>3</v>
      </c>
      <c r="C46" s="5" t="n">
        <v>120</v>
      </c>
      <c r="D46" s="5" t="str">
        <v>1ea18106e28a4156fd6dd2543a231fda327d7a52d1492700eff6bc3b59918749</v>
      </c>
      <c r="E46" s="5" t="str">
        <v>Document furnizor / broșură existentă</v>
      </c>
    </row>
    <row r="47" ht="48" customHeight="1">
      <c r="A47" s="13" t="str">
        <v>01. Mașină de spart nuci 50 kg-h.pdf</v>
      </c>
      <c r="B47" s="5" t="n">
        <v>2</v>
      </c>
      <c r="C47" s="5" t="n">
        <v>123</v>
      </c>
      <c r="D47" s="5" t="str">
        <v>a3e480f8301156189d1ecf1c1ee36a766467afaada57248b6a02e43e8b8e6024</v>
      </c>
      <c r="E47" s="5" t="str">
        <v>Document furnizor / broșură existentă</v>
      </c>
    </row>
    <row r="48" ht="48" customHeight="1">
      <c r="A48" s="13" t="str">
        <v>02. Mașină de spart nuci 100 kg-h.pdf</v>
      </c>
      <c r="B48" s="5" t="n">
        <v>2</v>
      </c>
      <c r="C48" s="5" t="n">
        <v>125</v>
      </c>
      <c r="D48" s="5" t="str">
        <v>ffc3bb41cf11d1f5efda8c0c076cb6667b11f463f0a6291e807823fe917667fc</v>
      </c>
      <c r="E48" s="5" t="str">
        <v>Document furnizor / broșură existentă</v>
      </c>
    </row>
    <row r="49" ht="48" customHeight="1">
      <c r="A49" s="13" t="str">
        <v>03. Mașină de spart nuci 200 kg-h.pdf</v>
      </c>
      <c r="B49" s="5" t="n">
        <v>2</v>
      </c>
      <c r="C49" s="5" t="n">
        <v>127</v>
      </c>
      <c r="D49" s="5" t="str">
        <v>dbbcdf51fe0325e16eb4a469e6cd994270dd36981f0d257285462472d3fbdc40</v>
      </c>
      <c r="E49" s="5" t="str">
        <v>Document furnizor / broșură existentă</v>
      </c>
    </row>
    <row r="50" ht="48" customHeight="1">
      <c r="A50" s="13" t="str">
        <v>04. Mașină industrială de spart nuci cu coloană de aspirație integrată (200 kg-h).pdf</v>
      </c>
      <c r="B50" s="5" t="n">
        <v>3</v>
      </c>
      <c r="C50" s="5" t="n">
        <v>129</v>
      </c>
      <c r="D50" s="5" t="str">
        <v>ce21855defffc972042309947bfbc52d7eb75e9abe433c5d46b52962756d2e6e</v>
      </c>
      <c r="E50" s="5" t="str">
        <v>Document furnizor / broșură existentă</v>
      </c>
    </row>
    <row r="51" ht="48" customHeight="1">
      <c r="A51" s="13" t="str">
        <v>05. Spărgător de nuci pentru etapa post-spărgere.pdf</v>
      </c>
      <c r="B51" s="5" t="n">
        <v>2</v>
      </c>
      <c r="C51" s="5" t="n">
        <v>132</v>
      </c>
      <c r="D51" s="5" t="str">
        <v>d74f4c61e51021a276f1062d5d94e8947191478be1f55188b8fe1046a6bf6880</v>
      </c>
      <c r="E51" s="5" t="str">
        <v>Document furnizor / broșură existentă</v>
      </c>
    </row>
    <row r="52" ht="48" customHeight="1">
      <c r="A52" s="13" t="str">
        <v>06. Spărgător cu tambur pentru alune și migdale.pdf</v>
      </c>
      <c r="B52" s="5" t="n">
        <v>2</v>
      </c>
      <c r="C52" s="5" t="n">
        <v>134</v>
      </c>
      <c r="D52" s="5" t="str">
        <v>1496509b881a9dd9fd03a24dc9a27bb0ff5348983de9b4f4a2cc22233e4e5b37</v>
      </c>
      <c r="E52" s="5" t="str">
        <v>Document furnizor / broșură existentă</v>
      </c>
    </row>
    <row r="53" ht="48" customHeight="1">
      <c r="A53" s="13" t="str">
        <v>07. Spărgător de alune cu aspirație (200 kg-h).pdf</v>
      </c>
      <c r="B53" s="5" t="n">
        <v>2</v>
      </c>
      <c r="C53" s="5" t="n">
        <v>134</v>
      </c>
      <c r="D53" s="5" t="str">
        <v>1496509b881a9dd9fd03a24dc9a27bb0ff5348983de9b4f4a2cc22233e4e5b37</v>
      </c>
      <c r="E53" s="5" t="str">
        <v>Document furnizor / broșură existentă</v>
      </c>
    </row>
    <row r="54" ht="48" customHeight="1">
      <c r="A54" s="13" t="str">
        <v>01. Mașină pentru separarea miezului de coajă (100 kg-h).pdf</v>
      </c>
      <c r="B54" s="5" t="n">
        <v>2</v>
      </c>
      <c r="C54" s="5" t="n">
        <v>136</v>
      </c>
      <c r="D54" s="5" t="str">
        <v>a703e95726543360ba1b261439e35a321bc8dfa38a3c9a30f51fee1eab3eb5c8</v>
      </c>
      <c r="E54" s="5" t="str">
        <v>Document furnizor / broșură existentă</v>
      </c>
    </row>
    <row r="55" ht="48" customHeight="1">
      <c r="A55" s="13" t="str">
        <v>02. Mașină pentru separarea miezului de coajă (300 kg-h).pdf</v>
      </c>
      <c r="B55" s="5" t="n">
        <v>2</v>
      </c>
      <c r="C55" s="5" t="n">
        <v>138</v>
      </c>
      <c r="D55" s="5" t="str">
        <v>4c7fd0c98508ca9432f88a478e20863e6d4d8fbcb020ca5b8d3d3d69bed373cd</v>
      </c>
      <c r="E55" s="5" t="str">
        <v>Document furnizor / broșură existentă</v>
      </c>
    </row>
    <row r="56" ht="48" customHeight="1">
      <c r="A56" s="13" t="str">
        <v>03. Mașină pentru separarea miezului de nucă (200 kg-h).pdf</v>
      </c>
      <c r="B56" s="5" t="n">
        <v>2</v>
      </c>
      <c r="C56" s="5" t="n">
        <v>140</v>
      </c>
      <c r="D56" s="5" t="str">
        <v>8c6715e05b2c3f5cb7a9aeeb5dde784ef2c338217744dcf24bb58044fe8a13ee</v>
      </c>
      <c r="E56" s="5" t="str">
        <v>Document furnizor / broșură existentă</v>
      </c>
    </row>
    <row r="57" ht="48" customHeight="1">
      <c r="A57" s="13" t="str">
        <v>04. Sit vibratoare cu aspirație pentru sortarea nucilor (200 kg-h).pdf</v>
      </c>
      <c r="B57" s="5" t="n">
        <v>2</v>
      </c>
      <c r="C57" s="5" t="n">
        <v>142</v>
      </c>
      <c r="D57" s="5" t="str">
        <v>65120c4bb5dad4c8dfd90244367dab0d545c16d34b06cb596d245b676dc95241</v>
      </c>
      <c r="E57" s="5" t="str">
        <v>Document furnizor / broșură existentă</v>
      </c>
    </row>
    <row r="58" ht="48" customHeight="1">
      <c r="A58" s="13" t="str">
        <v>05. Sit vibratoare cu aspirație pentru sortarea nucilor (300 kg-h).pdf</v>
      </c>
      <c r="B58" s="5" t="n">
        <v>2</v>
      </c>
      <c r="C58" s="5" t="n">
        <v>144</v>
      </c>
      <c r="D58" s="5" t="str">
        <v>14de1df41473711581e1eebe37e5442bac74efdc0e5547b50bfaec41fd3669d4</v>
      </c>
      <c r="E58" s="5" t="str">
        <v>Document furnizor / broșură existentă</v>
      </c>
    </row>
    <row r="59" ht="48" customHeight="1">
      <c r="A59" s="13" t="str">
        <v>06. Transportor elevatoare pentru nuci.pdf</v>
      </c>
      <c r="B59" s="5" t="n">
        <v>2</v>
      </c>
      <c r="C59" s="5" t="n">
        <v>146</v>
      </c>
      <c r="D59" s="5" t="str">
        <v>2324168ea6f32936792a4ef03337691e4be599f35f051663fad1f2d3294c3091</v>
      </c>
      <c r="E59" s="5" t="str">
        <v>Document furnizor / broșură existentă</v>
      </c>
    </row>
    <row r="60" ht="48" customHeight="1">
      <c r="A60" s="13" t="str">
        <v>07. Masă de inspecție cu bandă.pdf</v>
      </c>
      <c r="B60" s="5" t="n">
        <v>2</v>
      </c>
      <c r="C60" s="5" t="n">
        <v>148</v>
      </c>
      <c r="D60" s="5" t="str">
        <v>2416cff4f363f8a3fbf534de5ae4614ab461402207d687d6efafae8b82f0e5d3</v>
      </c>
      <c r="E60" s="5" t="str">
        <v>Document furnizor / broșură existentă</v>
      </c>
    </row>
    <row r="61" ht="48" customHeight="1">
      <c r="A61" s="13" t="str">
        <v>08. Masă de inspecție cu bandă pe două niveluri.pdf</v>
      </c>
      <c r="B61" s="5" t="n">
        <v>2</v>
      </c>
      <c r="C61" s="5" t="n">
        <v>150</v>
      </c>
      <c r="D61" s="5" t="str">
        <v>bc7b881af485eea449283fba0b5d184674ee4b0487b19458a358a2099b0cb879</v>
      </c>
      <c r="E61" s="5" t="str">
        <v>Document furnizor / broșură existentă</v>
      </c>
    </row>
    <row r="62" ht="48" customHeight="1">
      <c r="A62" s="13" t="str">
        <v>01. Linie de spălare și uscare a nucilor (500 kg-h).pdf</v>
      </c>
      <c r="B62" s="5" t="n">
        <v>5</v>
      </c>
      <c r="C62" s="5" t="n">
        <v>152</v>
      </c>
      <c r="D62" s="5" t="str">
        <v>b1549c4ec269a3cc7d3351ca587f2a49437cc844ff240a3594110aa94fb83626</v>
      </c>
      <c r="E62" s="5" t="str">
        <v>Document furnizor / broșură existentă</v>
      </c>
    </row>
    <row r="63" ht="48" customHeight="1">
      <c r="A63" s="13" t="str">
        <v>02. Linie industrială pentru procesarea nucilor (100 kg-h).pdf</v>
      </c>
      <c r="B63" s="5" t="n">
        <v>6</v>
      </c>
      <c r="C63" s="5" t="n">
        <v>157</v>
      </c>
      <c r="D63" s="5" t="str">
        <v>3e595ec5694d74f2edb5103ebf35eedd99725c75b80eace43cc3f49771f943ea</v>
      </c>
      <c r="E63" s="5" t="str">
        <v>Document furnizor / broșură existentă</v>
      </c>
    </row>
    <row r="64" ht="48" customHeight="1">
      <c r="A64" s="13" t="str">
        <v>03. Linie industrială pentru procesarea nucilor (200 kg-h).pdf</v>
      </c>
      <c r="B64" s="5" t="n">
        <v>4</v>
      </c>
      <c r="C64" s="5" t="n">
        <v>163</v>
      </c>
      <c r="D64" s="5" t="str">
        <v>7f0b5947dfe32ce3a6aacf6a98b58f91f913f97d3f152dfa4baebc78ad068b1e</v>
      </c>
      <c r="E64" s="5" t="str">
        <v>Document furnizor / broșură existentă</v>
      </c>
    </row>
    <row r="65" ht="48" customHeight="1">
      <c r="A65" s="13" t="str">
        <v>04. Linie industrială automatizată pentru procesarea nucilor (200 kg-h).pdf</v>
      </c>
      <c r="B65" s="5" t="n">
        <v>3</v>
      </c>
      <c r="C65" s="5" t="n">
        <v>167</v>
      </c>
      <c r="D65" s="5" t="str">
        <v>adc46e47b3eb36f4865a19c204665e5729ecb5c9e3bf7bd0c95a8ff3a63be399</v>
      </c>
      <c r="E65" s="5" t="str">
        <v>Document furnizor / broșură existentă</v>
      </c>
    </row>
    <row r="66" ht="48" customHeight="1">
      <c r="A66" s="13" t="str">
        <v>05. Linie industrială automatizată de procesare a nucilor, până la 400 kg-h.pdf</v>
      </c>
      <c r="B66" s="5" t="n">
        <v>5</v>
      </c>
      <c r="C66" s="5" t="n">
        <v>170</v>
      </c>
      <c r="D66" s="5" t="str">
        <v>992f317b62828f785a01308cbaa0996c582e9f53e139c20b05131b190ab96294</v>
      </c>
      <c r="E66" s="5" t="str">
        <v>Document furnizor / broșură existentă</v>
      </c>
    </row>
    <row r="67" ht="48" customHeight="1">
      <c r="A67" s="13" t="str">
        <v>06. Linie industrială pentru procesarea alunelor (200 kg-h).pdf</v>
      </c>
      <c r="B67" s="5" t="n">
        <v>4</v>
      </c>
      <c r="C67" s="5" t="n">
        <v>175</v>
      </c>
      <c r="D67" s="5" t="str">
        <v>839d7be93898e9c61c998a962ff9a5a381fce9c21e7f4928440f45b15881db6b</v>
      </c>
      <c r="E67" s="5" t="str">
        <v>Document furnizor / broșură existentă</v>
      </c>
    </row>
    <row r="68" ht="48" customHeight="1">
      <c r="A68" s="13" t="str">
        <v>07. Complex industrial pentru procesarea alunelor (200 kg-h).pdf</v>
      </c>
      <c r="B68" s="5" t="n">
        <v>6</v>
      </c>
      <c r="C68" s="5" t="n">
        <v>179</v>
      </c>
      <c r="D68" s="5" t="str">
        <v>f5ab49de4541d73d90ef02a91512051e2891520763adbdcfed1e017ed372ebfc</v>
      </c>
      <c r="E68" s="5" t="str">
        <v>Document furnizor / broșură existentă</v>
      </c>
    </row>
    <row r="69" ht="48" customHeight="1">
      <c r="A69" s="13" t="str">
        <v>08. Linie industrială pentru procesarea migdalelor (200 kg-h).pdf</v>
      </c>
      <c r="B69" s="5" t="n">
        <v>6</v>
      </c>
      <c r="C69" s="5" t="n">
        <v>185</v>
      </c>
      <c r="D69" s="5" t="str">
        <v>b54d67fa473e0e391087cdde9ead1f290267cab084ea422bbaa9e6101ecdbdd2</v>
      </c>
      <c r="E69" s="5" t="str">
        <v>Document furnizor / broșură existentă</v>
      </c>
    </row>
    <row r="70" ht="48" customHeight="1">
      <c r="A70" s="13" t="str">
        <v>09. Complex industrial pentru procesarea migdalelor (200 kg-h).pdf</v>
      </c>
      <c r="B70" s="5" t="n">
        <v>6</v>
      </c>
      <c r="C70" s="5" t="n">
        <v>185</v>
      </c>
      <c r="D70" s="5" t="str">
        <v>b54d67fa473e0e391087cdde9ead1f290267cab084ea422bbaa9e6101ecdbdd2</v>
      </c>
      <c r="E70" s="5" t="str">
        <v>Document furnizor / broșură existentă</v>
      </c>
    </row>
  </sheetData>
  <hyperlinks>
    <hyperlink ref="A6" r:id="nativeLink1"/>
    <hyperlink ref="A7" r:id="nativeLink2"/>
    <hyperlink ref="A8" r:id="nativeLink3"/>
    <hyperlink ref="A9" r:id="nativeLink4"/>
    <hyperlink ref="A10" r:id="nativeLink5"/>
    <hyperlink ref="A11" r:id="nativeLink6"/>
    <hyperlink ref="A12" r:id="nativeLink7"/>
    <hyperlink ref="A13" r:id="nativeLink8"/>
    <hyperlink ref="A14" r:id="nativeLink9"/>
    <hyperlink ref="A15" r:id="nativeLink10"/>
    <hyperlink ref="A16" r:id="nativeLink11"/>
    <hyperlink ref="A17" r:id="nativeLink12"/>
    <hyperlink ref="A18" r:id="nativeLink13"/>
    <hyperlink ref="A19" r:id="nativeLink14"/>
    <hyperlink ref="A20" r:id="nativeLink15"/>
    <hyperlink ref="A21" r:id="nativeLink16"/>
    <hyperlink ref="A22" r:id="nativeLink17"/>
    <hyperlink ref="A23" r:id="nativeLink18"/>
    <hyperlink ref="A24" r:id="nativeLink19"/>
    <hyperlink ref="A25" r:id="nativeLink20"/>
    <hyperlink ref="A26" r:id="nativeLink21"/>
    <hyperlink ref="A27" r:id="nativeLink22"/>
    <hyperlink ref="A28" r:id="nativeLink23"/>
    <hyperlink ref="A29" r:id="nativeLink24"/>
    <hyperlink ref="A30" r:id="nativeLink25"/>
    <hyperlink ref="A31" r:id="nativeLink26"/>
    <hyperlink ref="A32" r:id="nativeLink27"/>
    <hyperlink ref="A33" r:id="nativeLink28"/>
    <hyperlink ref="A34" r:id="nativeLink29"/>
    <hyperlink ref="A35" r:id="nativeLink30"/>
    <hyperlink ref="A36" r:id="nativeLink31"/>
    <hyperlink ref="A37" r:id="nativeLink32"/>
    <hyperlink ref="A38" r:id="nativeLink33"/>
    <hyperlink ref="A39" r:id="nativeLink34"/>
    <hyperlink ref="A40" r:id="nativeLink35"/>
    <hyperlink ref="A41" r:id="nativeLink36"/>
    <hyperlink ref="A42" r:id="nativeLink37"/>
    <hyperlink ref="A43" r:id="nativeLink38"/>
    <hyperlink ref="A44" r:id="nativeLink39"/>
    <hyperlink ref="A45" r:id="nativeLink40"/>
    <hyperlink ref="A46" r:id="nativeLink41"/>
    <hyperlink ref="A47" r:id="nativeLink42"/>
    <hyperlink ref="A48" r:id="nativeLink43"/>
    <hyperlink ref="A49" r:id="nativeLink44"/>
    <hyperlink ref="A50" r:id="nativeLink45"/>
    <hyperlink ref="A51" r:id="nativeLink46"/>
    <hyperlink ref="A52" r:id="nativeLink47"/>
    <hyperlink ref="A53" r:id="nativeLink48"/>
    <hyperlink ref="A54" r:id="nativeLink49"/>
    <hyperlink ref="A55" r:id="nativeLink50"/>
    <hyperlink ref="A56" r:id="nativeLink51"/>
    <hyperlink ref="A57" r:id="nativeLink52"/>
    <hyperlink ref="A58" r:id="nativeLink53"/>
    <hyperlink ref="A59" r:id="nativeLink54"/>
    <hyperlink ref="A60" r:id="nativeLink55"/>
    <hyperlink ref="A61" r:id="nativeLink56"/>
    <hyperlink ref="A62" r:id="nativeLink57"/>
    <hyperlink ref="A63" r:id="nativeLink58"/>
    <hyperlink ref="A64" r:id="nativeLink59"/>
    <hyperlink ref="A65" r:id="nativeLink60"/>
    <hyperlink ref="A66" r:id="nativeLink61"/>
    <hyperlink ref="A67" r:id="nativeLink62"/>
    <hyperlink ref="A68" r:id="nativeLink63"/>
    <hyperlink ref="A69" r:id="nativeLink64"/>
    <hyperlink ref="A70" r:id="nativeLink65"/>
  </hyperlinks>
  <pageMargins left="0.7" right="0.7" top="0.75" bottom="0.75" header="0.3" footer="0.3"/>
  <tableParts count="1">
    <tablePart r:id="Rdf682820264c4c29"/>
  </tableParts>
</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80" hidden="0" customWidth="1"/>
    <x:col min="3" max="3" width="74" hidden="0" customWidth="1"/>
    <x:col min="4" max="4" width="72" hidden="0" customWidth="1"/>
  </x:cols>
  <x:sheetData>
    <x:row r="2">
      <x:c r="A2" s="1" t="str">
        <x:v>Condiții și diferențe de confirmat</x:v>
      </x:c>
    </x:row>
    <x:row r="5" ht="34" customHeight="1">
      <x:c r="A5" s="9" t="str">
        <x:v>Temă</x:v>
      </x:c>
      <x:c r="B5" s="9" t="str">
        <x:v>Constatare</x:v>
      </x:c>
      <x:c r="C5" s="9" t="str">
        <x:v>Acțiune necesară</x:v>
      </x:c>
      <x:c r="D5" s="9" t="str">
        <x:v>Sursă</x:v>
      </x:c>
    </x:row>
    <x:row r="6" ht="48" customHeight="1">
      <x:c r="A6" s="5" t="str">
        <x:v>Total ofertă</x:v>
      </x:c>
      <x:c r="B6" s="5" t="str">
        <x:v>Poziția 7: 44.900 × 2 = 89.800, dar totalul de rând este 95.800 EUR.</x:v>
      </x:c>
      <x:c r="C6" s="5" t="str">
        <x:v>Confirmare preț unitar sau total și emitere ofertă corectată.</x:v>
      </x:c>
      <x:c r="D6" s="5" t="str">
        <x:v>02_Oferte\82ab706d_Oferta comerciala - CESIRO PRODUCTION - Linie procesare nuci 400 kg v2.pdf p. 1</x:v>
      </x:c>
    </x:row>
    <x:row r="7" ht="48" customHeight="1">
      <x:c r="A7" s="5" t="str">
        <x:v>Configurație</x:v>
      </x:c>
      <x:c r="B7" s="5" t="str">
        <x:v>Solicitare 500 kg/h cu 3 spărgătoare; ofertă două linii de 200 kg/h.</x:v>
      </x:c>
      <x:c r="C7" s="5" t="str">
        <x:v>Confirmare configurație acceptată și debit garantat.</x:v>
      </x:c>
      <x:c r="D7" s="5" t="str">
        <x:v>01_Comunicatii/2026-10-11_5f73380d.txt</x:v>
      </x:c>
    </x:row>
    <x:row r="8" ht="48" customHeight="1">
      <x:c r="A8" s="5" t="str">
        <x:v>Tablouri electrice</x:v>
      </x:c>
      <x:c r="B8" s="5" t="str">
        <x:v>Excluse din preț potrivit emailului din 11.10.2026.</x:v>
      </x:c>
      <x:c r="C8" s="5" t="str">
        <x:v>Buget separat pentru tablouri și automatizare.</x:v>
      </x:c>
      <x:c r="D8" s="5" t="str">
        <x:v>01_Comunicatii/2026-10-11_5f73380d.txt</x:v>
      </x:c>
    </x:row>
    <x:row r="9" ht="48" customHeight="1">
      <x:c r="A9" s="5" t="str">
        <x:v>Lista motoarelor</x:v>
      </x:c>
      <x:c r="B9" s="5" t="str">
        <x:v>Promisă marți, 13.10.2026, în emailul din 11.10.2026.</x:v>
      </x:c>
      <x:c r="C9" s="5" t="str">
        <x:v>Nu am găsit răspunsul cu lista în comunicările disponibile.</x:v>
      </x:c>
      <x:c r="D9" s="5" t="str">
        <x:v>01_Comunicatii/2026-10-11_5f73380d.txt</x:v>
      </x:c>
    </x:row>
    <x:row r="10" ht="48" customHeight="1">
      <x:c r="A10" s="5" t="str">
        <x:v>Noria</x:v>
      </x:c>
      <x:c r="B10" s="5" t="str">
        <x:v>4 t/h în tabel; 2 t/h în descriere.</x:v>
      </x:c>
      <x:c r="C10" s="5" t="str">
        <x:v>Clarificare capacitate, putere și schiță.</x:v>
      </x:c>
      <x:c r="D10" s="5" t="str">
        <x:v>02_Oferte\82ab706d_Oferta comerciala - CESIRO PRODUCTION - Linie procesare nuci 400 kg v2.pdf p. 1, 3</x:v>
      </x:c>
    </x:row>
    <x:row r="11" ht="48" customHeight="1">
      <x:c r="A11" s="5" t="str">
        <x:v>Sortare nuci goale</x:v>
      </x:c>
      <x:c r="B11" s="5" t="str">
        <x:v>Titlu mașină nuci goale; descriere separator miez 100 kg/h și debit 300 kg/h.</x:v>
      </x:c>
      <x:c r="C11" s="5" t="str">
        <x:v>Confirmare model, dimensiuni, debit.</x:v>
      </x:c>
      <x:c r="D11" s="5" t="str">
        <x:v>02_Oferte\82ab706d_Oferta comerciala - CESIRO PRODUCTION - Linie procesare nuci 400 kg v2.pdf p. 5</x:v>
      </x:c>
    </x:row>
    <x:row r="12" ht="48" customHeight="1">
      <x:c r="A12" s="5" t="str">
        <x:v>Sortare optică</x:v>
      </x:c>
      <x:c r="B12" s="5" t="str">
        <x:v>3S ofertat, M600 cerut. Pentru M600 există numai imagine locală și fișă electrică propusă.</x:v>
      </x:c>
      <x:c r="C12" s="5" t="str">
        <x:v>Broșură M600, preț și protocol de comunicație.</x:v>
      </x:c>
      <x:c r="D12" s="5" t="str">
        <x:v>02_Oferte\82ab706d_Oferta comerciala - CESIRO PRODUCTION - Linie procesare nuci 400 kg v2.pdf p. 15-16</x:v>
      </x:c>
    </x:row>
    <x:row r="13" ht="48" customHeight="1">
      <x:c r="A13" s="5" t="str">
        <x:v>Motoare</x:v>
      </x:c>
      <x:c r="B13" s="5" t="str">
        <x:v>Email: toate italiene NERI/MOTOVARIO; 3S în PDF: motor Polonia.</x:v>
      </x:c>
      <x:c r="C13" s="5" t="str">
        <x:v>Confirmare excepții și modele exacte.</x:v>
      </x:c>
      <x:c r="D13" s="5" t="str">
        <x:v>02_Oferte\82ab706d_Oferta comerciala - CESIRO PRODUCTION - Linie procesare nuci 400 kg v2.pdf p. 16</x:v>
      </x:c>
    </x:row>
    <x:row r="14" ht="48" customHeight="1">
      <x:c r="A14" s="5" t="str">
        <x:v>Garanție</x:v>
      </x:c>
      <x:c r="B14" s="5" t="str">
        <x:v>Condiții generale 12 luni; unele poziții 24 luni.</x:v>
      </x:c>
      <x:c r="C14" s="5" t="str">
        <x:v>Clarificare garanție per utilaj.</x:v>
      </x:c>
      <x:c r="D14" s="5" t="str">
        <x:v>02_Oferte\82ab706d_Oferta comerciala - CESIRO PRODUCTION - Linie procesare nuci 400 kg v2.pdf p. 5, 16</x:v>
      </x:c>
    </x:row>
    <x:row r="15" ht="48" customHeight="1">
      <x:c r="A15" s="5" t="str">
        <x:v>Livrare și montaj</x:v>
      </x:c>
      <x:c r="B15" s="5" t="str">
        <x:v>Email include transport, montaj pe poziție și cabluri; descrierea Noria spune livrare exclusă.</x:v>
      </x:c>
      <x:c r="C15" s="5" t="str">
        <x:v>Aliniere ofertă și condiții contractuale; termen de livrare.</x:v>
      </x:c>
      <x:c r="D15" s="5" t="str">
        <x:v>01_Comunicatii/2026-10-11_5f73380d.txt</x:v>
      </x:c>
    </x:row>
    <x:row r="16" ht="48" customHeight="1">
      <x:c r="A16" s="5" t="str">
        <x:v>Uscător</x:v>
      </x:c>
      <x:c r="B16" s="5" t="str">
        <x:v>14 kW menționat; lipsește bilanțul termic cerut.</x:v>
      </x:c>
      <x:c r="C16" s="5" t="str">
        <x:v>Putere electrică totală, umiditate inițială, durată și consum pe șarjă.</x:v>
      </x:c>
      <x:c r="D16" s="5" t="str">
        <x:v>02_Oferte\82ab706d_Oferta comerciala - CESIRO PRODUCTION - Linie procesare nuci 400 kg v2.pdf p. 4-5</x:v>
      </x:c>
    </x:row>
    <x:row r="17" ht="48" customHeight="1">
      <x:c r="A17" s="5" t="str">
        <x:v>Echipamente locale</x:v>
      </x:c>
      <x:c r="B17" s="5" t="str">
        <x:v>Buncăr, benzi și pâlnie apă uzată propuse pentru fabricație locală.</x:v>
      </x:c>
      <x:c r="C17" s="5" t="str">
        <x:v>Dimensiuni, cantități și prețuri separate.</x:v>
      </x:c>
      <x:c r="D17" s="5" t="str">
        <x:v>01_Comunicatii/2026-10-11_5f73380d.txt</x:v>
      </x:c>
    </x:row>
  </x:sheetData>
  <x:pageMargins left="0.7" right="0.7" top="0.75" bottom="0.75" header="0.3" footer="0.3"/>
  <x:tableParts count="1">
    <x:tablePart xmlns:r="http://schemas.openxmlformats.org/officeDocument/2006/relationships" r:id="R3baeb2e86bed4727"/>
  </x:tableParts>
</x:worksheet>
</file>