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8c4d24b8f4c0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tiv preturi" sheetId="10" r:id="R50f09cfad5c34a54"/>
    <sheet name="Matrice echipamente" sheetId="9" r:id="Ra47a4d757874433b"/>
    <sheet name="82 16.04.2026 - 200" sheetId="6" r:id="R5e0b6ac2edff4182"/>
    <sheet name="82 16.04.2026 - 400" sheetId="7" r:id="R7819fb67e3a645ae"/>
    <sheet name="179 11.10.2026 - 400" sheetId="8" r:id="R5f4d75614bf64cca"/>
    <sheet name="Catalog echipamente" sheetId="3" r:id="R8e3bdfa9b4bb4c54"/>
    <sheet name="Index fise" sheetId="4" r:id="Rb510d8c2471245fe"/>
    <sheet name="Conditii si diferente" sheetId="5" r:id="R4f3b61bfb6a04b64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0"/>
    <x:numFmt numFmtId="202" formatCode="yyyy-mm-dd"/>
    <x:numFmt numFmtId="203" formatCode="0"/>
    <x:numFmt numFmtId="204" formatCode="0.0%"/>
  </x:numFmts>
  <x:fonts count="10">
    <x:font>
      <x:sz val="11"/>
      <x:name val="Carlito"/>
    </x:font>
    <x:font>
      <x:b/>
      <x:sz val="15"/>
      <x:color rgb="FF273C32"/>
      <x:name val="Arial"/>
    </x:font>
    <x:font>
      <x:sz val="10"/>
      <x:color rgb="FF5F6368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2167A6"/>
      <x:name val="Arial"/>
    </x:font>
    <x:font>
      <x:sz val="10"/>
      <x:color rgb="FF222222"/>
      <x:name val="Arial"/>
    </x:font>
    <x:font>
      <x:b/>
      <x:sz val="15"/>
      <x:color rgb="FF344E41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E41"/>
      </x:patternFill>
    </x:fill>
    <x:fill>
      <x:patternFill patternType="solid">
        <x:fgColor rgb="FF344E41"/>
      </x:patternFill>
    </x:fill>
    <x:fill>
      <x:patternFill patternType="solid">
        <x:fgColor rgb="FFFFF2CC"/>
      </x:patternFill>
    </x:fill>
    <x:fill>
      <x:patternFill patternType="solid">
        <x:fgColor rgb="FFEEF3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6" fillId="4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204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805600"/>
      </x:font>
      <x:fill>
        <x:patternFill patternType="solid">
          <x:bgColor rgb="FFFFF2CC"/>
        </x:patternFill>
      </x:fill>
    </x:dxf>
    <x:dxf>
      <x:font>
        <x:color rgb="FF805600"/>
      </x:font>
      <x:fill>
        <x:patternFill patternType="solid">
          <x:bgColor rgb="FFFFF2CC"/>
        </x:patternFill>
      </x:fill>
    </x:dxf>
    <x:dxf>
      <x:font>
        <x:color rgb="FF8056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8c432bf92493f" /><Relationship Type="http://schemas.openxmlformats.org/officeDocument/2006/relationships/theme" Target="/xl/theme/theme1.xml" Id="R5b5603fba12e4d8a" /><Relationship Type="http://schemas.openxmlformats.org/officeDocument/2006/relationships/sharedStrings" Target="/xl/sharedStrings.xml" Id="Rf7e0434b59714d88" /><Relationship Type="http://schemas.openxmlformats.org/officeDocument/2006/relationships/worksheet" Target="/xl/worksheets/sheet1.xml" Id="Re4dad098af1744c5" /><Relationship Type="http://schemas.openxmlformats.org/officeDocument/2006/relationships/worksheet" Target="/xl/worksheets/sheet2.xml" Id="R72ff29a57e4b4211" /><Relationship Type="http://schemas.openxmlformats.org/officeDocument/2006/relationships/worksheet" Target="/xl/worksheets/sheet3.xml" Id="R8e3bdfa9b4bb4c54" /><Relationship Type="http://schemas.openxmlformats.org/officeDocument/2006/relationships/worksheet" Target="/xl/worksheets/sheet4.xml" Id="Rb510d8c2471245fe" /><Relationship Type="http://schemas.openxmlformats.org/officeDocument/2006/relationships/worksheet" Target="/xl/worksheets/sheet5.xml" Id="R4f3b61bfb6a04b64" /><Relationship Type="http://schemas.openxmlformats.org/officeDocument/2006/relationships/worksheet" Target="/xl/worksheets/sheet6.xml" Id="R5e0b6ac2edff4182" /><Relationship Type="http://schemas.openxmlformats.org/officeDocument/2006/relationships/worksheet" Target="/xl/worksheets/sheet7.xml" Id="R7819fb67e3a645ae" /><Relationship Type="http://schemas.openxmlformats.org/officeDocument/2006/relationships/worksheet" Target="/xl/worksheets/sheet8.xml" Id="R5f4d75614bf64cca" /><Relationship Type="http://schemas.openxmlformats.org/officeDocument/2006/relationships/worksheet" Target="/xl/worksheets/sheet9.xml" Id="Ra47a4d757874433b" /><Relationship Type="http://schemas.openxmlformats.org/officeDocument/2006/relationships/worksheet" Target="/xl/worksheets/sheet10.xml" Id="R50f09cfad5c34a54" /></Relationships>
</file>

<file path=xl/tables/table1.xml><?xml version="1.0" encoding="utf-8"?>
<x:table xmlns:x="http://schemas.openxmlformats.org/spreadsheetml/2006/main" id="1" name="Data5" displayName="Data5" ref="A8:L17" headerRowCount="1" totalsRowCount="0" totalsRowShown="0">
  <x:tableColumns count="12">
    <x:tableColumn id="1" name="Poz."/>
    <x:tableColumn id="2" name="Echipament"/>
    <x:tableColumn id="3" name="Buc."/>
    <x:tableColumn id="4" name="Preț unitar EUR"/>
    <x:tableColumn id="5" name="Total declarat EUR"/>
    <x:tableColumn id="6" name="Total calculat EUR"/>
    <x:tableColumn id="7" name="Diferență EUR"/>
    <x:tableColumn id="8" name="Capacitate declarată"/>
    <x:tableColumn id="9" name="Putere declarată kW"/>
    <x:tableColumn id="10" name="Observații"/>
    <x:tableColumn id="11" name="Ofertă sursă"/>
    <x:tableColumn id="12" name="Pagina PDF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6" displayName="Data6" ref="A5:I18" headerRowCount="1" totalsRowCount="0" totalsRowShown="0">
  <x:tableColumns count="9">
    <x:tableColumn id="1" name="Ofertă / variantă"/>
    <x:tableColumn id="2" name="Data ofertei"/>
    <x:tableColumn id="3" name="Echipament"/>
    <x:tableColumn id="4" name="Buc. în lot"/>
    <x:tableColumn id="5" name="Preț declarat lot EUR"/>
    <x:tableColumn id="6" name="Preț unitar derivat EUR"/>
    <x:tableColumn id="7" name="Interpretare"/>
    <x:tableColumn id="8" name="Document sursă"/>
    <x:tableColumn id="9" name="Pagin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7" displayName="Data7" ref="A5:M53" headerRowCount="1" totalsRowCount="0" totalsRowShown="0">
  <x:tableColumns count="13">
    <x:tableColumn id="1" name="Nr."/>
    <x:tableColumn id="2" name="Etapă"/>
    <x:tableColumn id="3" name="Echipament"/>
    <x:tableColumn id="4" name="Capacitate"/>
    <x:tableColumn id="5" name="Putere din catalog"/>
    <x:tableColumn id="6" name="Tensiune"/>
    <x:tableColumn id="7" name="Material"/>
    <x:tableColumn id="8" name="Utilizare"/>
    <x:tableColumn id="9" name="Fișier local"/>
    <x:tableColumn id="10" name="Pagina în dosar"/>
    <x:tableColumn id="11" name="Document disponibil"/>
    <x:tableColumn id="12" name="Observații existente"/>
    <x:tableColumn id="13" name="Pagina produ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8" displayName="Data8" ref="A5:E70" headerRowCount="1" totalsRowCount="0" totalsRowShown="0">
  <x:tableColumns count="5">
    <x:tableColumn id="1" name="Fișier original"/>
    <x:tableColumn id="2" name="Pagini document"/>
    <x:tableColumn id="3" name="Început în dosar"/>
    <x:tableColumn id="4" name="SHA-256"/>
    <x:tableColumn id="5" name="Tip documen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9" displayName="Data9" ref="A5:D17" headerRowCount="1" totalsRowCount="0" totalsRowShown="0">
  <x:tableColumns count="4">
    <x:tableColumn id="1" name="Temă"/>
    <x:tableColumn id="2" name="Constatare"/>
    <x:tableColumn id="3" name="Acțiune necesară"/>
    <x:tableColumn id="4" name="Sursă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4ebaa5fe78f54a2d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52640b8f0aba41d2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abf027c0433e413b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114a2ff21bcf4511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9a988bdc827e484e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18a2f0eb25674edf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2bc28dc3a2724951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751302a80c4a47f2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4e43f3c701924d26" /><ns0:Relationship Type="http://schemas.openxmlformats.org/officeDocument/2006/relationships/table" Target="/xl/tables/table1.xml" Id="R9d1e06111b2443bf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b6ad6893eed1413c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f9d8004653fe47cb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efe9a705b5204c3c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5e65cc93b5344e8e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307eb04794a747a2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2cffc3f35f1c4464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4de8766f9ef2483f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ee875c1fd3ec420f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5ced85f9bbaa44d5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ef91173f83ae4e31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5e5972c7511d4813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7f65c8bff5894309" /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6fa6661a8f454d71" /><ns0:Relationship Type="http://schemas.openxmlformats.org/officeDocument/2006/relationships/table" Target="/xl/tables/table2.xml" Id="R0f72b82a3db1410e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hyperlink" Target="Z:/00. Proiecte 2025/AFIR FotoVoltaic 1/50. Fabrica Nuci/nuttechnology.com/Brosuri echipamente/01. Recoltare/01. Scutur&#259;tor pentru pomi fructiferi.pdf" TargetMode="External" Id="Re719460941344d08" /><ns0:Relationship Type="http://schemas.openxmlformats.org/officeDocument/2006/relationships/hyperlink" Target="https://nuttechnology.com/ro/produs/agitator-de-pomi-fructiferi/" TargetMode="External" Id="R8c0abd6199044e81" /><ns0:Relationship Type="http://schemas.openxmlformats.org/officeDocument/2006/relationships/hyperlink" Target="Z:/00. Proiecte 2025/AFIR FotoVoltaic 1/50. Fabrica Nuci/nuttechnology.com/Brosuri echipamente/02. Decojire coaja verde si spalare/01. Ma&#537;in&#259; de decojire &#537;i cur&#259;&#539;are a nucilor verzi 100 kg-h.pdf" TargetMode="External" Id="R8d452f9d1aa84176" /><ns0:Relationship Type="http://schemas.openxmlformats.org/officeDocument/2006/relationships/hyperlink" Target="https://nuttechnology.com/ro/produs/ma-in-de-cur-at-i-decojit-nuci-verzi-100-kg-h/" TargetMode="External" Id="Rf7cbcb675fa54d02" /><ns0:Relationship Type="http://schemas.openxmlformats.org/officeDocument/2006/relationships/hyperlink" Target="Z:/00. Proiecte 2025/AFIR FotoVoltaic 1/50. Fabrica Nuci/nuttechnology.com/Brosuri echipamente/02. Decojire coaja verde si spalare/02. Ma&#537;in&#259; pentru decojirea &#537;i cur&#259;&#539;area nucilor verzi 300 kg-h.pdf" TargetMode="External" Id="R6826b61a26e94ad1" /><ns0:Relationship Type="http://schemas.openxmlformats.org/officeDocument/2006/relationships/hyperlink" Target="https://nuttechnology.com/ro/produs/ma-in-de-cur-at-i-decojit-nuci-verzi-300-kg-h/" TargetMode="External" Id="Rbe8322e38b68430f" /><ns0:Relationship Type="http://schemas.openxmlformats.org/officeDocument/2006/relationships/hyperlink" Target="Z:/00. Proiecte 2025/AFIR FotoVoltaic 1/50. Fabrica Nuci/nuttechnology.com/Brosuri echipamente/02. Decojire coaja verde si spalare/03. Ma&#537;in&#259; de decojire &#537;i cur&#259;&#539;are a nucilor verzi 700 kg-h.pdf" TargetMode="External" Id="Rf3efdc5ec764408b" /><ns0:Relationship Type="http://schemas.openxmlformats.org/officeDocument/2006/relationships/hyperlink" Target="https://nuttechnology.com/ro/produs/ma-in-de-cur-at-i-decojit-nuci-verzi-700-kg-h/" TargetMode="External" Id="R364d8dcb7ebf45b1" /><ns0:Relationship Type="http://schemas.openxmlformats.org/officeDocument/2006/relationships/hyperlink" Target="Z:/00. Proiecte 2025/AFIR FotoVoltaic 1/50. Fabrica Nuci/nuttechnology.com/Brosuri echipamente/02. Decojire coaja verde si spalare/04. Ma&#537;in&#259; industrial&#259; de decojire &#537;i sp&#259;lare (1 t-h).pdf" TargetMode="External" Id="Rc0ebbbb6fe1a4906" /><ns0:Relationship Type="http://schemas.openxmlformats.org/officeDocument/2006/relationships/hyperlink" Target="https://nuttechnology.com/ro/produs/ma-in-industrial-de-cur-are-i-sp-lare-1-t-h/" TargetMode="External" Id="R918b3cab982f4b95" /><ns0:Relationship Type="http://schemas.openxmlformats.org/officeDocument/2006/relationships/hyperlink" Target="Z:/00. Proiecte 2025/AFIR FotoVoltaic 1/50. Fabrica Nuci/nuttechnology.com/Brosuri echipamente/02. Decojire coaja verde si spalare/05. Ma&#537;in&#259; pentru &#238;ndep&#259;rtarea cojii verzi a alunelor.pdf" TargetMode="External" Id="R1f6528ef3ea74438" /><ns0:Relationship Type="http://schemas.openxmlformats.org/officeDocument/2006/relationships/hyperlink" Target="https://nuttechnology.com/ro/produs/ma-in-de-cur-at-coaja-verde-de-alune/" TargetMode="External" Id="Rc5905bf5c82541e8" /><ns0:Relationship Type="http://schemas.openxmlformats.org/officeDocument/2006/relationships/hyperlink" Target="Z:/00. Proiecte 2025/AFIR FotoVoltaic 1/50. Fabrica Nuci/nuttechnology.com/Brosuri echipamente/03. Uscare si incarcare uscator/01. Usc&#259;tor pentru nuci, alune &#537;i migdale &#238;n coaj&#259; (p&#226;n&#259; la 1 ton&#259;-24 ore).pdf" TargetMode="External" Id="R137a08a73ab2425a" /><ns0:Relationship Type="http://schemas.openxmlformats.org/officeDocument/2006/relationships/hyperlink" Target="https://nuttechnology.com/ro/produs/usc-tor-pentru-nuci-nep-jite-alune-migdale-capacitate-p-n-la-1-ton-24-ore/" TargetMode="External" Id="R247332c91bc0450f" /><ns0:Relationship Type="http://schemas.openxmlformats.org/officeDocument/2006/relationships/hyperlink" Target="Z:/00. Proiecte 2025/AFIR FotoVoltaic 1/50. Fabrica Nuci/nuttechnology.com/Brosuri echipamente/03. Uscare si incarcare uscator/02. Usc&#259;tor pentru nuci, alune &#537;i migdale &#238;n coaj&#259; (p&#226;n&#259; la 2 tone-24 ore).pdf" TargetMode="External" Id="Rb091ff8cd4624f41" /><ns0:Relationship Type="http://schemas.openxmlformats.org/officeDocument/2006/relationships/hyperlink" Target="https://nuttechnology.com/ro/produs/usc-tor-pentru-nuci-decojite-alune-migdale-capacitate-p-n-la-2-tone-pe-24-de-ore/" TargetMode="External" Id="R9c013981f41e4519" /><ns0:Relationship Type="http://schemas.openxmlformats.org/officeDocument/2006/relationships/hyperlink" Target="Z:/00. Proiecte 2025/AFIR FotoVoltaic 1/50. Fabrica Nuci/nuttechnology.com/Brosuri echipamente/03. Uscare si incarcare uscator/03. Usc&#259;tor pentru nuci, alune &#537;i migdale &#238;n coaj&#259; (2 tone-zi).pdf" TargetMode="External" Id="R72548a9c1d9d4eb4" /><ns0:Relationship Type="http://schemas.openxmlformats.org/officeDocument/2006/relationships/hyperlink" Target="https://nuttechnology.com/ro/produs/usc-tor-pentru-nuci-alune-i-migdale-n-coaj/" TargetMode="External" Id="R4470eed5094b4a0c" /><ns0:Relationship Type="http://schemas.openxmlformats.org/officeDocument/2006/relationships/hyperlink" Target="Z:/00. Proiecte 2025/AFIR FotoVoltaic 1/50. Fabrica Nuci/nuttechnology.com/Brosuri echipamente/03. Uscare si incarcare uscator/04. Usc&#259;tor pentru nuci, alune &#537;i migdale &#238;n coaj&#259; (4 tone-zi).pdf" TargetMode="External" Id="Ra92f077467164152" /><ns0:Relationship Type="http://schemas.openxmlformats.org/officeDocument/2006/relationships/hyperlink" Target="https://nuttechnology.com/ro/produs/usc-tor-pentru-nuci-alune-i-migdale-n-coaj-2/" TargetMode="External" Id="R87b35ab6a8324a58" /><ns0:Relationship Type="http://schemas.openxmlformats.org/officeDocument/2006/relationships/hyperlink" Target="Z:/00. Proiecte 2025/AFIR FotoVoltaic 1/50. Fabrica Nuci/nuttechnology.com/Brosuri echipamente/03. Uscare si incarcare uscator/05. Conveyor de alimentare pentru usc&#259;tor 2 t-zi.pdf" TargetMode="External" Id="R52f133fb5b784c56" /><ns0:Relationship Type="http://schemas.openxmlformats.org/officeDocument/2006/relationships/hyperlink" Target="https://nuttechnology.com/ro/produs/band-de-alimentare-usc-tor/" TargetMode="External" Id="Raddc85ded61f4416" /><ns0:Relationship Type="http://schemas.openxmlformats.org/officeDocument/2006/relationships/hyperlink" Target="Z:/00. Proiecte 2025/AFIR FotoVoltaic 1/50. Fabrica Nuci/nuttechnology.com/Brosuri echipamente/03. Uscare si incarcare uscator/06. Conveyor de alimentare pentru usc&#259;tor 4 t-h.pdf" TargetMode="External" Id="Redab20bbc0a24afe" /><ns0:Relationship Type="http://schemas.openxmlformats.org/officeDocument/2006/relationships/hyperlink" Target="https://nuttechnology.com/ro/produs/band-transportoare-de-alimentare-pentru-usc-tor-4-t-h/" TargetMode="External" Id="Re0b37257dec742f2" /><ns0:Relationship Type="http://schemas.openxmlformats.org/officeDocument/2006/relationships/hyperlink" Target="Z:/00. Proiecte 2025/AFIR FotoVoltaic 1/50. Fabrica Nuci/nuttechnology.com/Brosuri echipamente/03. Uscare si incarcare uscator/07. Elevator cu &#238;nc&#259;rcare-desc&#259;rcare Noria 2 tone pe or&#259;.pdf" TargetMode="External" Id="R07e4af1465fc47aa" /><ns0:Relationship Type="http://schemas.openxmlformats.org/officeDocument/2006/relationships/hyperlink" Target="https://nuttechnology.com/ro/produs/elevator-noria-pentru-nc-rcare-desc-rcare-de-2-tone-pe-or/" TargetMode="External" Id="R2a5f3f32729547a2" /><ns0:Relationship Type="http://schemas.openxmlformats.org/officeDocument/2006/relationships/hyperlink" Target="Z:/00. Proiecte 2025/AFIR FotoVoltaic 1/50. Fabrica Nuci/nuttechnology.com/Brosuri echipamente/03. Uscare si incarcare uscator/08. Elevator cu &#238;nc&#259;rcare-desc&#259;rcare Noria 4 tone pe or&#259;.pdf" TargetMode="External" Id="R6275ab44fe714665" /><ns0:Relationship Type="http://schemas.openxmlformats.org/officeDocument/2006/relationships/hyperlink" Target="https://nuttechnology.com/ro/produs/norie-de-nc-rcare-desc-rcare-elevator-4-tone-pe-or/" TargetMode="External" Id="R73bd3f6796e64534" /><ns0:Relationship Type="http://schemas.openxmlformats.org/officeDocument/2006/relationships/hyperlink" Target="Z:/00. Proiecte 2025/AFIR FotoVoltaic 1/50. Fabrica Nuci/nuttechnology.com/Brosuri echipamente/04. Calibrare si sortare in coaja/01. Calibrator liniar pentru toate tipurile de nuci.pdf" TargetMode="External" Id="R8a79fe1a6d1a46e2" /><ns0:Relationship Type="http://schemas.openxmlformats.org/officeDocument/2006/relationships/hyperlink" Target="https://nuttechnology.com/ro/produs/calibrator-de-linie-pentru-toate-tipurile-de-piuli-e/" TargetMode="External" Id="Rd14bf1f0085b406f" /><ns0:Relationship Type="http://schemas.openxmlformats.org/officeDocument/2006/relationships/hyperlink" Target="Z:/00. Proiecte 2025/AFIR FotoVoltaic 1/50. Fabrica Nuci/nuttechnology.com/Brosuri echipamente/04. Calibrare si sortare in coaja/02. Ma&#537;in&#259; de calibrare a nucilor &#238;n 4 frac&#539;ii.pdf" TargetMode="External" Id="Rda2c98d1503148c2" /><ns0:Relationship Type="http://schemas.openxmlformats.org/officeDocument/2006/relationships/hyperlink" Target="https://nuttechnology.com/ro/produs/ma-in-de-calibrare-nuci/" TargetMode="External" Id="R5bec1648ddfa4fb9" /><ns0:Relationship Type="http://schemas.openxmlformats.org/officeDocument/2006/relationships/hyperlink" Target="Z:/00. Proiecte 2025/AFIR FotoVoltaic 1/50. Fabrica Nuci/nuttechnology.com/Brosuri echipamente/04. Calibrare si sortare in coaja/03. Ma&#537;in&#259; de calibrare a nucilor &#238;n 8 frac&#539;ii.pdf" TargetMode="External" Id="R2e0e8c0b25e74a15" /><ns0:Relationship Type="http://schemas.openxmlformats.org/officeDocument/2006/relationships/hyperlink" Target="https://nuttechnology.com/ro/produs/ma-in-de-calibrat-nuci-8-frac-iuni/" TargetMode="External" Id="R06a225158fe04433" /><ns0:Relationship Type="http://schemas.openxmlformats.org/officeDocument/2006/relationships/hyperlink" Target="Z:/00. Proiecte 2025/AFIR FotoVoltaic 1/50. Fabrica Nuci/nuttechnology.com/Brosuri echipamente/04. Calibrare si sortare in coaja/04. Ma&#537;in&#259; pentru sortarea nucilor goale &#238;n coaj&#259;.pdf" TargetMode="External" Id="Rb331f457d59d4354" /><ns0:Relationship Type="http://schemas.openxmlformats.org/officeDocument/2006/relationships/hyperlink" Target="https://nuttechnology.com/ro/produs/ma-in-de-sortat-nuci-goale-n-coaj/" TargetMode="External" Id="Rafdf9aa0228e4737" /><ns0:Relationship Type="http://schemas.openxmlformats.org/officeDocument/2006/relationships/hyperlink" Target="Z:/00. Proiecte 2025/AFIR FotoVoltaic 1/50. Fabrica Nuci/nuttechnology.com/Brosuri echipamente/04. Calibrare si sortare in coaja/05. Ma&#537;in&#259; de calibrare a alunelor.pdf" TargetMode="External" Id="Rc03420a9fc1b4a01" /><ns0:Relationship Type="http://schemas.openxmlformats.org/officeDocument/2006/relationships/hyperlink" Target="https://nuttechnology.com/ro/produs/ma-in-de-calibrare-alune/" TargetMode="External" Id="Rffb07127a89d43a8" /><ns0:Relationship Type="http://schemas.openxmlformats.org/officeDocument/2006/relationships/hyperlink" Target="Z:/00. Proiecte 2025/AFIR FotoVoltaic 1/50. Fabrica Nuci/nuttechnology.com/Brosuri echipamente/04. Calibrare si sortare in coaja/06. Ma&#537;in&#259; de calibrare a alunelor &#238;n 3 frac&#539;ii.pdf" TargetMode="External" Id="Rfb16979e1b7b4056" /><ns0:Relationship Type="http://schemas.openxmlformats.org/officeDocument/2006/relationships/hyperlink" Target="https://nuttechnology.com/ro/produs/ma-in-de-calibrare-alune-3-frac-iuni/" TargetMode="External" Id="Rfb55564f222e434b" /><ns0:Relationship Type="http://schemas.openxmlformats.org/officeDocument/2006/relationships/hyperlink" Target="Z:/00. Proiecte 2025/AFIR FotoVoltaic 1/50. Fabrica Nuci/nuttechnology.com/Brosuri echipamente/04. Calibrare si sortare in coaja/07. Ma&#537;in&#259; de calibrare a alunelor &#238;n 8 frac&#539;ii.pdf" TargetMode="External" Id="R981f5b555c7f4983" /><ns0:Relationship Type="http://schemas.openxmlformats.org/officeDocument/2006/relationships/hyperlink" Target="https://nuttechnology.com/ro/produs/ma-in-de-calibrat-alune-8-frac-iuni/" TargetMode="External" Id="R3d8b4a661e104e2e" /><ns0:Relationship Type="http://schemas.openxmlformats.org/officeDocument/2006/relationships/hyperlink" Target="Z:/00. Proiecte 2025/AFIR FotoVoltaic 1/50. Fabrica Nuci/nuttechnology.com/Brosuri echipamente/05. Spargere/01. Ma&#537;in&#259; de spart nuci 50 kg-h.pdf" TargetMode="External" Id="R437448491ba94596" /><ns0:Relationship Type="http://schemas.openxmlformats.org/officeDocument/2006/relationships/hyperlink" Target="https://nuttechnology.com/ro/produs/utilaj-spargere-nuci-50-kg-h/" TargetMode="External" Id="R0146c855840c4147" /><ns0:Relationship Type="http://schemas.openxmlformats.org/officeDocument/2006/relationships/hyperlink" Target="Z:/00. Proiecte 2025/AFIR FotoVoltaic 1/50. Fabrica Nuci/nuttechnology.com/Brosuri echipamente/05. Spargere/02. Ma&#537;in&#259; de spart nuci 100 kg-h.pdf" TargetMode="External" Id="R5f58da1166324322" /><ns0:Relationship Type="http://schemas.openxmlformats.org/officeDocument/2006/relationships/hyperlink" Target="https://nuttechnology.com/ro/produs/ma-in-de-spart-nuci-100-kg-h/" TargetMode="External" Id="Rd0f03d285b6742b7" /><ns0:Relationship Type="http://schemas.openxmlformats.org/officeDocument/2006/relationships/hyperlink" Target="Z:/00. Proiecte 2025/AFIR FotoVoltaic 1/50. Fabrica Nuci/nuttechnology.com/Brosuri echipamente/05. Spargere/03. Ma&#537;in&#259; de spart nuci 200 kg-h.pdf" TargetMode="External" Id="R9bf69d2ea57049c0" /><ns0:Relationship Type="http://schemas.openxmlformats.org/officeDocument/2006/relationships/hyperlink" Target="https://nuttechnology.com/ro/produs/ma-in-de-spart-nuci-200-kg-h/" TargetMode="External" Id="R89ad51baec024f33" /><ns0:Relationship Type="http://schemas.openxmlformats.org/officeDocument/2006/relationships/hyperlink" Target="Z:/00. Proiecte 2025/AFIR FotoVoltaic 1/50. Fabrica Nuci/nuttechnology.com/Brosuri echipamente/05. Spargere/04. Ma&#537;in&#259; industrial&#259; de spart nuci cu coloan&#259; de aspira&#539;ie integrat&#259; (200 kg-h).pdf" TargetMode="External" Id="R48ec4eec0c00456a" /><ns0:Relationship Type="http://schemas.openxmlformats.org/officeDocument/2006/relationships/hyperlink" Target="https://nuttechnology.com/ro/produs/sp-rg-tor-de-nuci-industrial-din-lemn-de-nuc-cu-coloan-de-aspira-ie-ncorporat-200-kg-h/" TargetMode="External" Id="R4429f799bb6543d5" /><ns0:Relationship Type="http://schemas.openxmlformats.org/officeDocument/2006/relationships/hyperlink" Target="Z:/00. Proiecte 2025/AFIR FotoVoltaic 1/50. Fabrica Nuci/nuttechnology.com/Brosuri echipamente/05. Spargere/05. Sp&#259;rg&#259;tor de nuci pentru etapa post-sp&#259;rgere.pdf" TargetMode="External" Id="R1a42168d011447f9" /><ns0:Relationship Type="http://schemas.openxmlformats.org/officeDocument/2006/relationships/hyperlink" Target="https://nuttechnology.com/ro/produs/sp-rg-tor-de-nuci-dup-ma-ina-de-spart/" TargetMode="External" Id="Rbb5b45809be44be6" /><ns0:Relationship Type="http://schemas.openxmlformats.org/officeDocument/2006/relationships/hyperlink" Target="Z:/00. Proiecte 2025/AFIR FotoVoltaic 1/50. Fabrica Nuci/nuttechnology.com/Brosuri echipamente/05. Spargere/06. Sp&#259;rg&#259;tor cu tambur pentru alune &#537;i migdale.pdf" TargetMode="External" Id="Rab9cbd0d460f4d3f" /><ns0:Relationship Type="http://schemas.openxmlformats.org/officeDocument/2006/relationships/hyperlink" Target="https://nuttechnology.com/ro/produs/fructier-pentru-nuci-alune-i-migdale/" TargetMode="External" Id="Reaf8bfd8f21b4cd3" /><ns0:Relationship Type="http://schemas.openxmlformats.org/officeDocument/2006/relationships/hyperlink" Target="Z:/00. Proiecte 2025/AFIR FotoVoltaic 1/50. Fabrica Nuci/nuttechnology.com/Brosuri echipamente/05. Spargere/07. Sp&#259;rg&#259;tor de alune cu aspira&#539;ie (200 kg-h).pdf" TargetMode="External" Id="R729e96c085824191" /><ns0:Relationship Type="http://schemas.openxmlformats.org/officeDocument/2006/relationships/hyperlink" Target="https://nuttechnology.com/ro/produs/sp-rg-tor-de-alune-cu-aspira-ie-200-kg-h/" TargetMode="External" Id="Rbf92b86ad2e54a15" /><ns0:Relationship Type="http://schemas.openxmlformats.org/officeDocument/2006/relationships/hyperlink" Target="Z:/00. Proiecte 2025/AFIR FotoVoltaic 1/50. Fabrica Nuci/nuttechnology.com/Brosuri echipamente/06. Separare miez si sortare/01. Ma&#537;in&#259; pentru separarea miezului de coaj&#259; (100 kg-h).pdf" TargetMode="External" Id="R2413413616d24836" /><ns0:Relationship Type="http://schemas.openxmlformats.org/officeDocument/2006/relationships/hyperlink" Target="https://nuttechnology.com/ro/produs/ma-in-de-separat-miezul-de-coaj-100-kg-h/" TargetMode="External" Id="R0f1ee78a3912415c" /><ns0:Relationship Type="http://schemas.openxmlformats.org/officeDocument/2006/relationships/hyperlink" Target="Z:/00. Proiecte 2025/AFIR FotoVoltaic 1/50. Fabrica Nuci/nuttechnology.com/Brosuri echipamente/06. Separare miez si sortare/02. Ma&#537;in&#259; pentru separarea miezului de coaj&#259; (300 kg-h).pdf" TargetMode="External" Id="R000be279cde84165" /><ns0:Relationship Type="http://schemas.openxmlformats.org/officeDocument/2006/relationships/hyperlink" Target="https://nuttechnology.com/ro/produs/ma-in-pentru-separarea-miezului-de-coaj-300-kg-h/" TargetMode="External" Id="R3b563bfb51594088" /><ns0:Relationship Type="http://schemas.openxmlformats.org/officeDocument/2006/relationships/hyperlink" Target="Z:/00. Proiecte 2025/AFIR FotoVoltaic 1/50. Fabrica Nuci/nuttechnology.com/Brosuri echipamente/06. Separare miez si sortare/03. Ma&#537;in&#259; pentru separarea miezului de nuc&#259; (200 kg-h).pdf" TargetMode="External" Id="R493e34c6c9da4d6a" /><ns0:Relationship Type="http://schemas.openxmlformats.org/officeDocument/2006/relationships/hyperlink" Target="https://nuttechnology.com/ro/produs/ma-in-de-separat-miez-de-nuc-200-kg-h/" TargetMode="External" Id="Rc39f112f24dc4bd6" /><ns0:Relationship Type="http://schemas.openxmlformats.org/officeDocument/2006/relationships/hyperlink" Target="Z:/00. Proiecte 2025/AFIR FotoVoltaic 1/50. Fabrica Nuci/nuttechnology.com/Brosuri echipamente/06. Separare miez si sortare/04. Sit vibratoare cu aspira&#539;ie pentru sortarea nucilor (200 kg-h).pdf" TargetMode="External" Id="Rc5368c031fa24b17" /><ns0:Relationship Type="http://schemas.openxmlformats.org/officeDocument/2006/relationships/hyperlink" Target="https://nuttechnology.com/ro/produs/sita-vibratoare-cu-aspiratie-pentru-sortat-nuci-200-kg-h/" TargetMode="External" Id="R9052dcc8e5af444e" /><ns0:Relationship Type="http://schemas.openxmlformats.org/officeDocument/2006/relationships/hyperlink" Target="Z:/00. Proiecte 2025/AFIR FotoVoltaic 1/50. Fabrica Nuci/nuttechnology.com/Brosuri echipamente/06. Separare miez si sortare/05. Sit vibratoare cu aspira&#539;ie pentru sortarea nucilor (300 kg-h).pdf" TargetMode="External" Id="R8a483eb7c6ac4088" /><ns0:Relationship Type="http://schemas.openxmlformats.org/officeDocument/2006/relationships/hyperlink" Target="https://nuttechnology.com/ro/produs/sit-vibrant-cu-aspira-ie-pentru-sortat-nuci-300-kg-h/" TargetMode="External" Id="Rb724a345489a4bbe" /><ns0:Relationship Type="http://schemas.openxmlformats.org/officeDocument/2006/relationships/hyperlink" Target="Z:/00. Proiecte 2025/AFIR FotoVoltaic 1/50. Fabrica Nuci/nuttechnology.com/Brosuri echipamente/06. Separare miez si sortare/06. Transportor elevatoare pentru nuci.pdf" TargetMode="External" Id="R9bd0c83c4b8647d6" /><ns0:Relationship Type="http://schemas.openxmlformats.org/officeDocument/2006/relationships/hyperlink" Target="https://nuttechnology.com/ro/produs/transportor-liftant-pentru-nuci/" TargetMode="External" Id="R80702dc19a77457b" /><ns0:Relationship Type="http://schemas.openxmlformats.org/officeDocument/2006/relationships/hyperlink" Target="Z:/00. Proiecte 2025/AFIR FotoVoltaic 1/50. Fabrica Nuci/nuttechnology.com/Brosuri echipamente/06. Separare miez si sortare/07. Mas&#259; de inspec&#539;ie cu band&#259;.pdf" TargetMode="External" Id="Rd36710eb21124dc3" /><ns0:Relationship Type="http://schemas.openxmlformats.org/officeDocument/2006/relationships/hyperlink" Target="https://nuttechnology.com/ro/produs/masa-de-inspec-ie-a-curelelor/" TargetMode="External" Id="Re019ce6d3ef142a8" /><ns0:Relationship Type="http://schemas.openxmlformats.org/officeDocument/2006/relationships/hyperlink" Target="Z:/00. Proiecte 2025/AFIR FotoVoltaic 1/50. Fabrica Nuci/nuttechnology.com/Brosuri echipamente/06. Separare miez si sortare/08. Mas&#259; de inspec&#539;ie cu band&#259; pe dou&#259; niveluri.pdf" TargetMode="External" Id="Rfee14f1ff4944370" /><ns0:Relationship Type="http://schemas.openxmlformats.org/officeDocument/2006/relationships/hyperlink" Target="https://nuttechnology.com/ro/produs/mas-de-inspec-ie-cu-band-cu-dou-niveluri/" TargetMode="External" Id="R4101f0a54db34745" /><ns0:Relationship Type="http://schemas.openxmlformats.org/officeDocument/2006/relationships/hyperlink" Target="https://nuttechnology.com/ro/produs/sortator-de-culori-ir-63/" TargetMode="External" Id="Rfaaecb2d3df24c2d" /><ns0:Relationship Type="http://schemas.openxmlformats.org/officeDocument/2006/relationships/hyperlink" Target="Z:/00. Proiecte 2025/AFIR FotoVoltaic 1/50. Fabrica Nuci/nuttechnology.com/Brosuri echipamente/07. Sortatoare optice/02. Sortator optic 3S - imagine (fara brosura).png" TargetMode="External" Id="Rd618e4fe74464ef3" /><ns0:Relationship Type="http://schemas.openxmlformats.org/officeDocument/2006/relationships/hyperlink" Target="https://nuttechnology.com/ro/produs/color-sorter-3s/" TargetMode="External" Id="Ra8cdc06f6ba74618" /><ns0:Relationship Type="http://schemas.openxmlformats.org/officeDocument/2006/relationships/hyperlink" Target="Z:/00. Proiecte 2025/AFIR FotoVoltaic 1/50. Fabrica Nuci/nuttechnology.com/Brosuri echipamente/07. Sortatoare optice/03. Sortator optic cu band&#259; M600 - imagine (fara brosura).jpg" TargetMode="External" Id="R9321fc8c570b4e69" /><ns0:Relationship Type="http://schemas.openxmlformats.org/officeDocument/2006/relationships/hyperlink" Target="https://nuttechnology.com/ro/produs/belt-color-sorter-m600/" TargetMode="External" Id="R392abf4453b94307" /><ns0:Relationship Type="http://schemas.openxmlformats.org/officeDocument/2006/relationships/hyperlink" Target="Z:/00. Proiecte 2025/AFIR FotoVoltaic 1/50. Fabrica Nuci/nuttechnology.com/Brosuri echipamente/08. Linii complete de procesare/01. Linie de sp&#259;lare &#537;i uscare a nucilor (500 kg-h).pdf" TargetMode="External" Id="R6eec92bb517d4803" /><ns0:Relationship Type="http://schemas.openxmlformats.org/officeDocument/2006/relationships/hyperlink" Target="https://nuttechnology.com/ro/produs/linie-de-sp-lare-i-uscare-nuci-500-kg-h/" TargetMode="External" Id="Rfeb870c8d6dd49da" /><ns0:Relationship Type="http://schemas.openxmlformats.org/officeDocument/2006/relationships/hyperlink" Target="Z:/00. Proiecte 2025/AFIR FotoVoltaic 1/50. Fabrica Nuci/nuttechnology.com/Brosuri echipamente/08. Linii complete de procesare/02. Linie industrial&#259; pentru procesarea nucilor (100 kg-h).pdf" TargetMode="External" Id="Ra72002623ff14eea" /><ns0:Relationship Type="http://schemas.openxmlformats.org/officeDocument/2006/relationships/hyperlink" Target="https://nuttechnology.com/ro/produs/linie-industrial-pentru-prelucrarea-nucilor-100-kg-h/" TargetMode="External" Id="R615ec099442c45a3" /><ns0:Relationship Type="http://schemas.openxmlformats.org/officeDocument/2006/relationships/hyperlink" Target="Z:/00. Proiecte 2025/AFIR FotoVoltaic 1/50. Fabrica Nuci/nuttechnology.com/Brosuri echipamente/08. Linii complete de procesare/03. Linie industrial&#259; pentru procesarea nucilor (200 kg-h).pdf" TargetMode="External" Id="Rb01d594abb9446a5" /><ns0:Relationship Type="http://schemas.openxmlformats.org/officeDocument/2006/relationships/hyperlink" Target="https://nuttechnology.com/ro/produs/linie-industrial-de-procesare-nuci-200-kg-h/" TargetMode="External" Id="R3556017a593d4f3d" /><ns0:Relationship Type="http://schemas.openxmlformats.org/officeDocument/2006/relationships/hyperlink" Target="Z:/00. Proiecte 2025/AFIR FotoVoltaic 1/50. Fabrica Nuci/nuttechnology.com/Brosuri echipamente/08. Linii complete de procesare/04. Linie industrial&#259; automatizat&#259; pentru procesarea nucilor (200 kg-h).pdf" TargetMode="External" Id="Re651fd63aa314a1c" /><ns0:Relationship Type="http://schemas.openxmlformats.org/officeDocument/2006/relationships/hyperlink" Target="https://nuttechnology.com/ro/produs/linie-automat-industrial-de-procesare-nuci-200-kg-h/" TargetMode="External" Id="R00c47d467a1a4209" /><ns0:Relationship Type="http://schemas.openxmlformats.org/officeDocument/2006/relationships/hyperlink" Target="Z:/00. Proiecte 2025/AFIR FotoVoltaic 1/50. Fabrica Nuci/nuttechnology.com/Brosuri echipamente/08. Linii complete de procesare/05. Linie industrial&#259; automatizat&#259; de procesare a nucilor, p&#226;n&#259; la 400 kg-h.pdf" TargetMode="External" Id="Rd0027e770c7d4542" /><ns0:Relationship Type="http://schemas.openxmlformats.org/officeDocument/2006/relationships/hyperlink" Target="https://nuttechnology.com/ro/produs/industrial-automated-walnut-processing-line-with-a-capacity-of-up-to-400-kg-h/" TargetMode="External" Id="R363d67beec424d19" /><ns0:Relationship Type="http://schemas.openxmlformats.org/officeDocument/2006/relationships/hyperlink" Target="Z:/00. Proiecte 2025/AFIR FotoVoltaic 1/50. Fabrica Nuci/nuttechnology.com/Brosuri echipamente/08. Linii complete de procesare/06. Linie industrial&#259; pentru procesarea alunelor (200 kg-h).pdf" TargetMode="External" Id="Re780468cdb714cfa" /><ns0:Relationship Type="http://schemas.openxmlformats.org/officeDocument/2006/relationships/hyperlink" Target="https://nuttechnology.com/ro/produs/linie-industrial-pentru-procesarea-alunelor-200-kg-h/" TargetMode="External" Id="R3520b63c16c9410a" /><ns0:Relationship Type="http://schemas.openxmlformats.org/officeDocument/2006/relationships/hyperlink" Target="Z:/00. Proiecte 2025/AFIR FotoVoltaic 1/50. Fabrica Nuci/nuttechnology.com/Brosuri echipamente/08. Linii complete de procesare/07. Complex industrial pentru procesarea alunelor (200 kg-h).pdf" TargetMode="External" Id="R6b62fdc79a06428e" /><ns0:Relationship Type="http://schemas.openxmlformats.org/officeDocument/2006/relationships/hyperlink" Target="https://nuttechnology.com/ro/produs/complex-industrial-pentru-procesarea-alunelor-200-kg-h/" TargetMode="External" Id="R08cf413e955a48bb" /><ns0:Relationship Type="http://schemas.openxmlformats.org/officeDocument/2006/relationships/hyperlink" Target="Z:/00. Proiecte 2025/AFIR FotoVoltaic 1/50. Fabrica Nuci/nuttechnology.com/Brosuri echipamente/08. Linii complete de procesare/08. Linie industrial&#259; pentru procesarea migdalelor (200 kg-h).pdf" TargetMode="External" Id="R10e91941015a453f" /><ns0:Relationship Type="http://schemas.openxmlformats.org/officeDocument/2006/relationships/hyperlink" Target="https://nuttechnology.com/ro/produs/linie-industrial-pentru-procesarea-migdalelor-200-kg-h/" TargetMode="External" Id="Rdc8aa61877734bdd" /><ns0:Relationship Type="http://schemas.openxmlformats.org/officeDocument/2006/relationships/hyperlink" Target="Z:/00. Proiecte 2025/AFIR FotoVoltaic 1/50. Fabrica Nuci/nuttechnology.com/Brosuri echipamente/08. Linii complete de procesare/09. Complex industrial pentru procesarea migdalelor (200 kg-h).pdf" TargetMode="External" Id="Ra7e5b923fa224178" /><ns0:Relationship Type="http://schemas.openxmlformats.org/officeDocument/2006/relationships/hyperlink" Target="https://nuttechnology.com/ro/produs/complex-industrial-pentru-procesarea-migdalelor-200-kg-h-2/" TargetMode="External" Id="R4a5ac57cf9cd4266" /><ns0:Relationship Type="http://schemas.openxmlformats.org/officeDocument/2006/relationships/table" Target="/xl/tables/table3.xml" Id="Rc7605a015a24487c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Id="R77197e185ef942e3" /><ns0:Relationship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Id="R0241de7afa3e473e" /><ns0:Relationship Type="http://schemas.openxmlformats.org/officeDocument/2006/relationships/hyperlink" Target="Z:/00. Proiecte 2025/AFIR FotoVoltaic 1/50. Fabrica Nuci/nuttechnology.com/02_Oferte/70fd55eb_Oferta comerciala - CESIRO PRODUCTION - Linie procesare nuci 400 kg - h.pdf" TargetMode="External" Id="R5689bc9e508b47a0" /><ns0:Relationship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Id="R93d6a2b676aa40a2" /><ns0:Relationship Type="http://schemas.openxmlformats.org/officeDocument/2006/relationships/hyperlink" Target="Z:/00. Proiecte 2025/AFIR FotoVoltaic 1/50. Fabrica Nuci/nuttechnology.com/02_Oferte/abf91b2f_Oferta comerciala - CESIRO PRODUCTION - Linie procesare nuci - 200 kg.pdf" TargetMode="External" Id="Rf64ac560687e4882" /><ns0:Relationship Type="http://schemas.openxmlformats.org/officeDocument/2006/relationships/hyperlink" Target="Z:/00. Proiecte 2025/AFIR FotoVoltaic 1/50. Fabrica Nuci/nuttechnology.com/03_Cataloage/AUTOMATED INDUSTRIAL WALNUT PROCESSING LINE 200 KG_H (3).pdf" TargetMode="External" Id="Rc5d38b1a65844c0c" /><ns0:Relationship Type="http://schemas.openxmlformats.org/officeDocument/2006/relationships/hyperlink" Target="Z:/00. Proiecte 2025/AFIR FotoVoltaic 1/50. Fabrica Nuci/nuttechnology.com/03_Cataloage/Catalog_Nut_technology_ENG_2023 (4).pdf" TargetMode="External" Id="R3ee70462c385487c" /><ns0:Relationship Type="http://schemas.openxmlformats.org/officeDocument/2006/relationships/hyperlink" Target="Z:/00. Proiecte 2025/AFIR FotoVoltaic 1/50. Fabrica Nuci/nuttechnology.com/03_Cataloage/Walnut harvesting, peeling and drying line (1).pdf" TargetMode="External" Id="Re2b0df4b776a4162" /><ns0:Relationship Type="http://schemas.openxmlformats.org/officeDocument/2006/relationships/hyperlink" Target="Z:/00. Proiecte 2025/AFIR FotoVoltaic 1/50. Fabrica Nuci/nuttechnology.com/04_Fise_electrice_propuse/088bc401_Fisa electrica propusa - Poz 4b - Uscator nuci in coaja 4 t-24 h nr. 2.pdf" TargetMode="External" Id="Ra952cbfbd83640b6" /><ns0:Relationship Type="http://schemas.openxmlformats.org/officeDocument/2006/relationships/hyperlink" Target="Z:/00. Proiecte 2025/AFIR FotoVoltaic 1/50. Fabrica Nuci/nuttechnology.com/04_Fise_electrice_propuse/2a53a261_Fisa electrica propusa - Poz 3 - Elevator Noria incarcare-descarcare 4 t-h.pdf" TargetMode="External" Id="R7d8a2c6df9db4582" /><ns0:Relationship Type="http://schemas.openxmlformats.org/officeDocument/2006/relationships/hyperlink" Target="Z:/00. Proiecte 2025/AFIR FotoVoltaic 1/50. Fabrica Nuci/nuttechnology.com/04_Fise_electrice_propuse/356a5d77_Fisa electrica propusa - Poz 6 - Linie automatizata de procesare nuci 400 kg-h.pdf" TargetMode="External" Id="R6ae0f6ff2f254ee3" /><ns0:Relationship Type="http://schemas.openxmlformats.org/officeDocument/2006/relationships/hyperlink" Target="Z:/00. Proiecte 2025/AFIR FotoVoltaic 1/50. Fabrica Nuci/nuttechnology.com/04_Fise_electrice_propuse/510ca500_Fisa electrica propusa - Poz 1 - Masina industriala de spalat nuci 1 t-h.pdf" TargetMode="External" Id="R3df0d4be54af4a02" /><ns0:Relationship Type="http://schemas.openxmlformats.org/officeDocument/2006/relationships/hyperlink" Target="Z:/00. Proiecte 2025/AFIR FotoVoltaic 1/50. Fabrica Nuci/nuttechnology.com/04_Fise_electrice_propuse/5171df45_Fisa electrica propusa - Poz 8a - Transportor elevator calibrator linie de spargere.pdf" TargetMode="External" Id="R590c60c084894548" /><ns0:Relationship Type="http://schemas.openxmlformats.org/officeDocument/2006/relationships/hyperlink" Target="Z:/00. Proiecte 2025/AFIR FotoVoltaic 1/50. Fabrica Nuci/nuttechnology.com/04_Fise_electrice_propuse/711787fa_Fisa electrica propusa - Poz 5 - Calibrator nuci 8 fractii 500 kg-h.pdf" TargetMode="External" Id="R013d11df5dd5447b" /><ns0:Relationship Type="http://schemas.openxmlformats.org/officeDocument/2006/relationships/hyperlink" Target="Z:/00. Proiecte 2025/AFIR FotoVoltaic 1/50. Fabrica Nuci/nuttechnology.com/04_Fise_electrice_propuse/84fb006b_Fisa electrica propusa - Poz 10 - Masa de inspectie cu banda pe doua niveluri.pdf" TargetMode="External" Id="R7c148ac241304d3b" /><ns0:Relationship Type="http://schemas.openxmlformats.org/officeDocument/2006/relationships/hyperlink" Target="Z:/00. Proiecte 2025/AFIR FotoVoltaic 1/50. Fabrica Nuci/nuttechnology.com/04_Fise_electrice_propuse/a85c21b9_Fisa electrica propusa - Poz 9 - Sortator optic cu banda M600.pdf" TargetMode="External" Id="R592a2d01715b43c3" /><ns0:Relationship Type="http://schemas.openxmlformats.org/officeDocument/2006/relationships/hyperlink" Target="Z:/00. Proiecte 2025/AFIR FotoVoltaic 1/50. Fabrica Nuci/nuttechnology.com/04_Fise_electrice_propuse/ae6ae28d_Fisa electrica propusa - Poz 8b - Transportor elevator linie sortator optic.pdf" TargetMode="External" Id="R0b3d66ed538e48f4" /><ns0:Relationship Type="http://schemas.openxmlformats.org/officeDocument/2006/relationships/hyperlink" Target="Z:/00. Proiecte 2025/AFIR FotoVoltaic 1/50. Fabrica Nuci/nuttechnology.com/04_Fise_electrice_propuse/c64b8ab6_Fisa electrica propusa - Poz 4a - Uscator nuci in coaja 4 t-24 h nr. 1.pdf" TargetMode="External" Id="R3e28852c9ef3430b" /><ns0:Relationship Type="http://schemas.openxmlformats.org/officeDocument/2006/relationships/hyperlink" Target="Z:/00. Proiecte 2025/AFIR FotoVoltaic 1/50. Fabrica Nuci/nuttechnology.com/04_Fise_electrice_propuse/f47799fb_Fisa electrica propusa - Poz 7 - Spargator 200 kg-h cu coloana de aspiratie _al 3-lea_.pdf" TargetMode="External" Id="R02ea4debb0e1448e" /><ns0:Relationship Type="http://schemas.openxmlformats.org/officeDocument/2006/relationships/hyperlink" Target="Z:/00. Proiecte 2025/AFIR FotoVoltaic 1/50. Fabrica Nuci/nuttechnology.com/04_Fise_electrice_propuse/f53a967d_Fisa electrica propusa - Poz 2 - Banda de alimentare masina de spalat 4 t-h.pdf" TargetMode="External" Id="R77e5af127e4042aa" /><ns0:Relationship Type="http://schemas.openxmlformats.org/officeDocument/2006/relationships/hyperlink" Target="Z:/00. Proiecte 2025/AFIR FotoVoltaic 1/50. Fabrica Nuci/nuttechnology.com/Brosuri echipamente/01. Recoltare/01. Scutur&#259;tor pentru pomi fructiferi.pdf" TargetMode="External" Id="R2dd4a6246b4241c8" /><ns0:Relationship Type="http://schemas.openxmlformats.org/officeDocument/2006/relationships/hyperlink" Target="Z:/00. Proiecte 2025/AFIR FotoVoltaic 1/50. Fabrica Nuci/nuttechnology.com/Brosuri echipamente/02. Decojire coaja verde si spalare/01. Ma&#537;in&#259; de decojire &#537;i cur&#259;&#539;are a nucilor verzi 100 kg-h.pdf" TargetMode="External" Id="R4e63235e53b649f7" /><ns0:Relationship Type="http://schemas.openxmlformats.org/officeDocument/2006/relationships/hyperlink" Target="Z:/00. Proiecte 2025/AFIR FotoVoltaic 1/50. Fabrica Nuci/nuttechnology.com/Brosuri echipamente/02. Decojire coaja verde si spalare/02. Ma&#537;in&#259; pentru decojirea &#537;i cur&#259;&#539;area nucilor verzi 300 kg-h.pdf" TargetMode="External" Id="Rf15975d6bc0343f9" /><ns0:Relationship Type="http://schemas.openxmlformats.org/officeDocument/2006/relationships/hyperlink" Target="Z:/00. Proiecte 2025/AFIR FotoVoltaic 1/50. Fabrica Nuci/nuttechnology.com/Brosuri echipamente/02. Decojire coaja verde si spalare/03. Ma&#537;in&#259; de decojire &#537;i cur&#259;&#539;are a nucilor verzi 700 kg-h.pdf" TargetMode="External" Id="Re5a52d07239848d5" /><ns0:Relationship Type="http://schemas.openxmlformats.org/officeDocument/2006/relationships/hyperlink" Target="Z:/00. Proiecte 2025/AFIR FotoVoltaic 1/50. Fabrica Nuci/nuttechnology.com/Brosuri echipamente/02. Decojire coaja verde si spalare/04. Ma&#537;in&#259; industrial&#259; de decojire &#537;i sp&#259;lare (1 t-h).pdf" TargetMode="External" Id="Rb4d553b75a8243f6" /><ns0:Relationship Type="http://schemas.openxmlformats.org/officeDocument/2006/relationships/hyperlink" Target="Z:/00. Proiecte 2025/AFIR FotoVoltaic 1/50. Fabrica Nuci/nuttechnology.com/Brosuri echipamente/02. Decojire coaja verde si spalare/05. Ma&#537;in&#259; pentru &#238;ndep&#259;rtarea cojii verzi a alunelor.pdf" TargetMode="External" Id="R62335dbf257047c0" /><ns0:Relationship Type="http://schemas.openxmlformats.org/officeDocument/2006/relationships/hyperlink" Target="Z:/00. Proiecte 2025/AFIR FotoVoltaic 1/50. Fabrica Nuci/nuttechnology.com/Brosuri echipamente/03. Uscare si incarcare uscator/01. Usc&#259;tor pentru nuci, alune &#537;i migdale &#238;n coaj&#259; (p&#226;n&#259; la 1 ton&#259;-24 ore).pdf" TargetMode="External" Id="R2a763123adf140b3" /><ns0:Relationship Type="http://schemas.openxmlformats.org/officeDocument/2006/relationships/hyperlink" Target="Z:/00. Proiecte 2025/AFIR FotoVoltaic 1/50. Fabrica Nuci/nuttechnology.com/Brosuri echipamente/03. Uscare si incarcare uscator/02. Usc&#259;tor pentru nuci, alune &#537;i migdale &#238;n coaj&#259; (p&#226;n&#259; la 2 tone-24 ore).pdf" TargetMode="External" Id="R057b8986583f4135" /><ns0:Relationship Type="http://schemas.openxmlformats.org/officeDocument/2006/relationships/hyperlink" Target="Z:/00. Proiecte 2025/AFIR FotoVoltaic 1/50. Fabrica Nuci/nuttechnology.com/Brosuri echipamente/03. Uscare si incarcare uscator/03. Usc&#259;tor pentru nuci, alune &#537;i migdale &#238;n coaj&#259; (2 tone-zi).pdf" TargetMode="External" Id="R9a1ed7679cb24047" /><ns0:Relationship Type="http://schemas.openxmlformats.org/officeDocument/2006/relationships/hyperlink" Target="Z:/00. Proiecte 2025/AFIR FotoVoltaic 1/50. Fabrica Nuci/nuttechnology.com/Brosuri echipamente/03. Uscare si incarcare uscator/04. Usc&#259;tor pentru nuci, alune &#537;i migdale &#238;n coaj&#259; (4 tone-zi).pdf" TargetMode="External" Id="Re93b65bcef9e4c17" /><ns0:Relationship Type="http://schemas.openxmlformats.org/officeDocument/2006/relationships/hyperlink" Target="Z:/00. Proiecte 2025/AFIR FotoVoltaic 1/50. Fabrica Nuci/nuttechnology.com/Brosuri echipamente/03. Uscare si incarcare uscator/05. Conveyor de alimentare pentru usc&#259;tor 2 t-zi.pdf" TargetMode="External" Id="R61b881b39530478a" /><ns0:Relationship Type="http://schemas.openxmlformats.org/officeDocument/2006/relationships/hyperlink" Target="Z:/00. Proiecte 2025/AFIR FotoVoltaic 1/50. Fabrica Nuci/nuttechnology.com/Brosuri echipamente/03. Uscare si incarcare uscator/06. Conveyor de alimentare pentru usc&#259;tor 4 t-h.pdf" TargetMode="External" Id="R184efed006074dff" /><ns0:Relationship Type="http://schemas.openxmlformats.org/officeDocument/2006/relationships/hyperlink" Target="Z:/00. Proiecte 2025/AFIR FotoVoltaic 1/50. Fabrica Nuci/nuttechnology.com/Brosuri echipamente/03. Uscare si incarcare uscator/07. Elevator cu &#238;nc&#259;rcare-desc&#259;rcare Noria 2 tone pe or&#259;.pdf" TargetMode="External" Id="Rfcbab0a192904e83" /><ns0:Relationship Type="http://schemas.openxmlformats.org/officeDocument/2006/relationships/hyperlink" Target="Z:/00. Proiecte 2025/AFIR FotoVoltaic 1/50. Fabrica Nuci/nuttechnology.com/Brosuri echipamente/03. Uscare si incarcare uscator/08. Elevator cu &#238;nc&#259;rcare-desc&#259;rcare Noria 4 tone pe or&#259;.pdf" TargetMode="External" Id="Rc560bff709d14c96" /><ns0:Relationship Type="http://schemas.openxmlformats.org/officeDocument/2006/relationships/hyperlink" Target="Z:/00. Proiecte 2025/AFIR FotoVoltaic 1/50. Fabrica Nuci/nuttechnology.com/Brosuri echipamente/04. Calibrare si sortare in coaja/01. Calibrator liniar pentru toate tipurile de nuci.pdf" TargetMode="External" Id="R33119c8145d24472" /><ns0:Relationship Type="http://schemas.openxmlformats.org/officeDocument/2006/relationships/hyperlink" Target="Z:/00. Proiecte 2025/AFIR FotoVoltaic 1/50. Fabrica Nuci/nuttechnology.com/Brosuri echipamente/04. Calibrare si sortare in coaja/02. Ma&#537;in&#259; de calibrare a nucilor &#238;n 4 frac&#539;ii.pdf" TargetMode="External" Id="R5f66f0a1d79544d8" /><ns0:Relationship Type="http://schemas.openxmlformats.org/officeDocument/2006/relationships/hyperlink" Target="Z:/00. Proiecte 2025/AFIR FotoVoltaic 1/50. Fabrica Nuci/nuttechnology.com/Brosuri echipamente/04. Calibrare si sortare in coaja/03. Ma&#537;in&#259; de calibrare a nucilor &#238;n 8 frac&#539;ii.pdf" TargetMode="External" Id="R9e614e0304a94f5c" /><ns0:Relationship Type="http://schemas.openxmlformats.org/officeDocument/2006/relationships/hyperlink" Target="Z:/00. Proiecte 2025/AFIR FotoVoltaic 1/50. Fabrica Nuci/nuttechnology.com/Brosuri echipamente/04. Calibrare si sortare in coaja/04. Ma&#537;in&#259; pentru sortarea nucilor goale &#238;n coaj&#259;.pdf" TargetMode="External" Id="Rf5605f634c444836" /><ns0:Relationship Type="http://schemas.openxmlformats.org/officeDocument/2006/relationships/hyperlink" Target="Z:/00. Proiecte 2025/AFIR FotoVoltaic 1/50. Fabrica Nuci/nuttechnology.com/Brosuri echipamente/04. Calibrare si sortare in coaja/05. Ma&#537;in&#259; de calibrare a alunelor.pdf" TargetMode="External" Id="Re0ac9d855d144d7d" /><ns0:Relationship Type="http://schemas.openxmlformats.org/officeDocument/2006/relationships/hyperlink" Target="Z:/00. Proiecte 2025/AFIR FotoVoltaic 1/50. Fabrica Nuci/nuttechnology.com/Brosuri echipamente/04. Calibrare si sortare in coaja/06. Ma&#537;in&#259; de calibrare a alunelor &#238;n 3 frac&#539;ii.pdf" TargetMode="External" Id="R736d4db9e8cd499d" /><ns0:Relationship Type="http://schemas.openxmlformats.org/officeDocument/2006/relationships/hyperlink" Target="Z:/00. Proiecte 2025/AFIR FotoVoltaic 1/50. Fabrica Nuci/nuttechnology.com/Brosuri echipamente/04. Calibrare si sortare in coaja/07. Ma&#537;in&#259; de calibrare a alunelor &#238;n 8 frac&#539;ii.pdf" TargetMode="External" Id="Rc778ac34c86c4bde" /><ns0:Relationship Type="http://schemas.openxmlformats.org/officeDocument/2006/relationships/hyperlink" Target="Z:/00. Proiecte 2025/AFIR FotoVoltaic 1/50. Fabrica Nuci/nuttechnology.com/Brosuri echipamente/05. Spargere/01. Ma&#537;in&#259; de spart nuci 50 kg-h.pdf" TargetMode="External" Id="Re08b29122a244540" /><ns0:Relationship Type="http://schemas.openxmlformats.org/officeDocument/2006/relationships/hyperlink" Target="Z:/00. Proiecte 2025/AFIR FotoVoltaic 1/50. Fabrica Nuci/nuttechnology.com/Brosuri echipamente/05. Spargere/02. Ma&#537;in&#259; de spart nuci 100 kg-h.pdf" TargetMode="External" Id="Ra72f2d075eba48b6" /><ns0:Relationship Type="http://schemas.openxmlformats.org/officeDocument/2006/relationships/hyperlink" Target="Z:/00. Proiecte 2025/AFIR FotoVoltaic 1/50. Fabrica Nuci/nuttechnology.com/Brosuri echipamente/05. Spargere/03. Ma&#537;in&#259; de spart nuci 200 kg-h.pdf" TargetMode="External" Id="R940b38abc48642f3" /><ns0:Relationship Type="http://schemas.openxmlformats.org/officeDocument/2006/relationships/hyperlink" Target="Z:/00. Proiecte 2025/AFIR FotoVoltaic 1/50. Fabrica Nuci/nuttechnology.com/Brosuri echipamente/05. Spargere/04. Ma&#537;in&#259; industrial&#259; de spart nuci cu coloan&#259; de aspira&#539;ie integrat&#259; (200 kg-h).pdf" TargetMode="External" Id="R0a981a7a288e4f78" /><ns0:Relationship Type="http://schemas.openxmlformats.org/officeDocument/2006/relationships/hyperlink" Target="Z:/00. Proiecte 2025/AFIR FotoVoltaic 1/50. Fabrica Nuci/nuttechnology.com/Brosuri echipamente/05. Spargere/05. Sp&#259;rg&#259;tor de nuci pentru etapa post-sp&#259;rgere.pdf" TargetMode="External" Id="Rbc1b806a1ace4b2a" /><ns0:Relationship Type="http://schemas.openxmlformats.org/officeDocument/2006/relationships/hyperlink" Target="Z:/00. Proiecte 2025/AFIR FotoVoltaic 1/50. Fabrica Nuci/nuttechnology.com/Brosuri echipamente/05. Spargere/06. Sp&#259;rg&#259;tor cu tambur pentru alune &#537;i migdale.pdf" TargetMode="External" Id="R42109c179513464c" /><ns0:Relationship Type="http://schemas.openxmlformats.org/officeDocument/2006/relationships/hyperlink" Target="Z:/00. Proiecte 2025/AFIR FotoVoltaic 1/50. Fabrica Nuci/nuttechnology.com/Brosuri echipamente/05. Spargere/07. Sp&#259;rg&#259;tor de alune cu aspira&#539;ie (200 kg-h).pdf" TargetMode="External" Id="Rc018c5eab0e84148" /><ns0:Relationship Type="http://schemas.openxmlformats.org/officeDocument/2006/relationships/hyperlink" Target="Z:/00. Proiecte 2025/AFIR FotoVoltaic 1/50. Fabrica Nuci/nuttechnology.com/Brosuri echipamente/06. Separare miez si sortare/01. Ma&#537;in&#259; pentru separarea miezului de coaj&#259; (100 kg-h).pdf" TargetMode="External" Id="Re77c41e39b6742e0" /><ns0:Relationship Type="http://schemas.openxmlformats.org/officeDocument/2006/relationships/hyperlink" Target="Z:/00. Proiecte 2025/AFIR FotoVoltaic 1/50. Fabrica Nuci/nuttechnology.com/Brosuri echipamente/06. Separare miez si sortare/02. Ma&#537;in&#259; pentru separarea miezului de coaj&#259; (300 kg-h).pdf" TargetMode="External" Id="R4bd6b6f86ba34a52" /><ns0:Relationship Type="http://schemas.openxmlformats.org/officeDocument/2006/relationships/hyperlink" Target="Z:/00. Proiecte 2025/AFIR FotoVoltaic 1/50. Fabrica Nuci/nuttechnology.com/Brosuri echipamente/06. Separare miez si sortare/03. Ma&#537;in&#259; pentru separarea miezului de nuc&#259; (200 kg-h).pdf" TargetMode="External" Id="R7cec315b7214479f" /><ns0:Relationship Type="http://schemas.openxmlformats.org/officeDocument/2006/relationships/hyperlink" Target="Z:/00. Proiecte 2025/AFIR FotoVoltaic 1/50. Fabrica Nuci/nuttechnology.com/Brosuri echipamente/06. Separare miez si sortare/04. Sit vibratoare cu aspira&#539;ie pentru sortarea nucilor (200 kg-h).pdf" TargetMode="External" Id="Rf2223cf591924c6c" /><ns0:Relationship Type="http://schemas.openxmlformats.org/officeDocument/2006/relationships/hyperlink" Target="Z:/00. Proiecte 2025/AFIR FotoVoltaic 1/50. Fabrica Nuci/nuttechnology.com/Brosuri echipamente/06. Separare miez si sortare/05. Sit vibratoare cu aspira&#539;ie pentru sortarea nucilor (300 kg-h).pdf" TargetMode="External" Id="R2907693844454af0" /><ns0:Relationship Type="http://schemas.openxmlformats.org/officeDocument/2006/relationships/hyperlink" Target="Z:/00. Proiecte 2025/AFIR FotoVoltaic 1/50. Fabrica Nuci/nuttechnology.com/Brosuri echipamente/06. Separare miez si sortare/06. Transportor elevatoare pentru nuci.pdf" TargetMode="External" Id="R86f9ba924caa46cc" /><ns0:Relationship Type="http://schemas.openxmlformats.org/officeDocument/2006/relationships/hyperlink" Target="Z:/00. Proiecte 2025/AFIR FotoVoltaic 1/50. Fabrica Nuci/nuttechnology.com/Brosuri echipamente/06. Separare miez si sortare/07. Mas&#259; de inspec&#539;ie cu band&#259;.pdf" TargetMode="External" Id="R06ce41b1284243e9" /><ns0:Relationship Type="http://schemas.openxmlformats.org/officeDocument/2006/relationships/hyperlink" Target="Z:/00. Proiecte 2025/AFIR FotoVoltaic 1/50. Fabrica Nuci/nuttechnology.com/Brosuri echipamente/06. Separare miez si sortare/08. Mas&#259; de inspec&#539;ie cu band&#259; pe dou&#259; niveluri.pdf" TargetMode="External" Id="R553aae03e43f41f8" /><ns0:Relationship Type="http://schemas.openxmlformats.org/officeDocument/2006/relationships/hyperlink" Target="Z:/00. Proiecte 2025/AFIR FotoVoltaic 1/50. Fabrica Nuci/nuttechnology.com/Brosuri echipamente/08. Linii complete de procesare/01. Linie de sp&#259;lare &#537;i uscare a nucilor (500 kg-h).pdf" TargetMode="External" Id="Rcfb6793ecae741af" /><ns0:Relationship Type="http://schemas.openxmlformats.org/officeDocument/2006/relationships/hyperlink" Target="Z:/00. Proiecte 2025/AFIR FotoVoltaic 1/50. Fabrica Nuci/nuttechnology.com/Brosuri echipamente/08. Linii complete de procesare/02. Linie industrial&#259; pentru procesarea nucilor (100 kg-h).pdf" TargetMode="External" Id="Rf7c8343bdbf24a38" /><ns0:Relationship Type="http://schemas.openxmlformats.org/officeDocument/2006/relationships/hyperlink" Target="Z:/00. Proiecte 2025/AFIR FotoVoltaic 1/50. Fabrica Nuci/nuttechnology.com/Brosuri echipamente/08. Linii complete de procesare/03. Linie industrial&#259; pentru procesarea nucilor (200 kg-h).pdf" TargetMode="External" Id="Rcce5694380e7476a" /><ns0:Relationship Type="http://schemas.openxmlformats.org/officeDocument/2006/relationships/hyperlink" Target="Z:/00. Proiecte 2025/AFIR FotoVoltaic 1/50. Fabrica Nuci/nuttechnology.com/Brosuri echipamente/08. Linii complete de procesare/04. Linie industrial&#259; automatizat&#259; pentru procesarea nucilor (200 kg-h).pdf" TargetMode="External" Id="Rd56374f6d07f4d33" /><ns0:Relationship Type="http://schemas.openxmlformats.org/officeDocument/2006/relationships/hyperlink" Target="Z:/00. Proiecte 2025/AFIR FotoVoltaic 1/50. Fabrica Nuci/nuttechnology.com/Brosuri echipamente/08. Linii complete de procesare/05. Linie industrial&#259; automatizat&#259; de procesare a nucilor, p&#226;n&#259; la 400 kg-h.pdf" TargetMode="External" Id="Rece590c1a2104218" /><ns0:Relationship Type="http://schemas.openxmlformats.org/officeDocument/2006/relationships/hyperlink" Target="Z:/00. Proiecte 2025/AFIR FotoVoltaic 1/50. Fabrica Nuci/nuttechnology.com/Brosuri echipamente/08. Linii complete de procesare/06. Linie industrial&#259; pentru procesarea alunelor (200 kg-h).pdf" TargetMode="External" Id="R06aa3d78a88c4805" /><ns0:Relationship Type="http://schemas.openxmlformats.org/officeDocument/2006/relationships/hyperlink" Target="Z:/00. Proiecte 2025/AFIR FotoVoltaic 1/50. Fabrica Nuci/nuttechnology.com/Brosuri echipamente/08. Linii complete de procesare/07. Complex industrial pentru procesarea alunelor (200 kg-h).pdf" TargetMode="External" Id="R7f5801c0dc1b4f64" /><ns0:Relationship Type="http://schemas.openxmlformats.org/officeDocument/2006/relationships/hyperlink" Target="Z:/00. Proiecte 2025/AFIR FotoVoltaic 1/50. Fabrica Nuci/nuttechnology.com/Brosuri echipamente/08. Linii complete de procesare/08. Linie industrial&#259; pentru procesarea migdalelor (200 kg-h).pdf" TargetMode="External" Id="R822ea7a5679443d7" /><ns0:Relationship Type="http://schemas.openxmlformats.org/officeDocument/2006/relationships/hyperlink" Target="Z:/00. Proiecte 2025/AFIR FotoVoltaic 1/50. Fabrica Nuci/nuttechnology.com/Brosuri echipamente/08. Linii complete de procesare/09. Complex industrial pentru procesarea migdalelor (200 kg-h).pdf" TargetMode="External" Id="R6b5daf905be84a44" /><ns0:Relationship Type="http://schemas.openxmlformats.org/officeDocument/2006/relationships/table" Target="/xl/tables/table4.xml" Id="R0111863bbf8c4696" /></ns0: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19fb05bd9244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58" hidden="0" customWidth="1"/>
    <x:col min="3" max="3" width="9" hidden="0" customWidth="1"/>
    <x:col min="4" max="4" width="17" hidden="0" customWidth="1"/>
    <x:col min="5" max="5" width="19" hidden="0" customWidth="1"/>
    <x:col min="6" max="6" width="19" hidden="0" customWidth="1"/>
    <x:col min="7" max="7" width="17" hidden="0" customWidth="1"/>
    <x:col min="8" max="8" width="40" hidden="0" customWidth="1"/>
    <x:col min="9" max="9" width="18" hidden="0" customWidth="1"/>
    <x:col min="10" max="10" width="76" hidden="0" customWidth="1"/>
    <x:col min="11" max="11" width="65" hidden="0" customWidth="1"/>
    <x:col min="12" max="12" width="12" hidden="0" customWidth="1"/>
  </x:cols>
  <x:sheetData>
    <x:row r="2">
      <x:c r="A2" s="1" t="str">
        <x:v>Oferta 179 / 11.10.2026 - EUR fără TVA</x:v>
      </x:c>
    </x:row>
    <x:row r="3">
      <x:c r="A3" s="2" t="str">
        <x:v>Panourile de comandă sunt excluse. Valabilitate: 60 de zile de la primire. Totalul necesită clarificare.</x:v>
      </x:c>
    </x:row>
    <x:row r="5">
      <x:c r="A5" t="str">
        <x:v>Total declarat EUR</x:v>
      </x:c>
      <x:c r="D5" s="10" t="n">
        <x:v>320400</x:v>
      </x:c>
      <x:c r="E5" s="10" t="str">
        <x:v>Recalculat EUR</x:v>
      </x:c>
      <x:c r="F5" s="10" t="n">
        <x:f>SUM(F9:F17)</x:f>
        <x:v>314400</x:v>
      </x:c>
      <x:c r="G5" s="10" t="n">
        <x:f>D5-F5</x:f>
        <x:v>6000</x:v>
      </x:c>
      <x:c r="H5" t="str">
        <x:v>Diferență de clarificat</x:v>
      </x:c>
    </x:row>
    <x:row r="8" ht="34" customHeight="1">
      <x:c r="A8" s="9" t="str">
        <x:v>Poz.</x:v>
      </x:c>
      <x:c r="B8" s="9" t="str">
        <x:v>Echipament</x:v>
      </x:c>
      <x:c r="C8" s="9" t="str">
        <x:v>Buc.</x:v>
      </x:c>
      <x:c r="D8" s="9" t="str">
        <x:v>Preț unitar EUR</x:v>
      </x:c>
      <x:c r="E8" s="9" t="str">
        <x:v>Total declarat EUR</x:v>
      </x:c>
      <x:c r="F8" s="9" t="str">
        <x:v>Total calculat EUR</x:v>
      </x:c>
      <x:c r="G8" s="9" t="str">
        <x:v>Diferență EUR</x:v>
      </x:c>
      <x:c r="H8" s="9" t="str">
        <x:v>Capacitate declarată</x:v>
      </x:c>
      <x:c r="I8" s="9" t="str">
        <x:v>Putere declarată kW</x:v>
      </x:c>
      <x:c r="J8" s="9" t="str">
        <x:v>Observații</x:v>
      </x:c>
      <x:c r="K8" s="9" t="str">
        <x:v>Ofertă sursă</x:v>
      </x:c>
      <x:c r="L8" s="9" t="str">
        <x:v>Pagina PDF</x:v>
      </x:c>
    </x:row>
    <x:row r="9" ht="48" customHeight="1">
      <x:c r="A9" s="5" t="n">
        <x:v>1</x:v>
      </x:c>
      <x:c r="B9" s="5" t="str">
        <x:v>Mașină industrială de curățat și spălat nucile 1 t/h</x:v>
      </x:c>
      <x:c r="C9" s="5" t="n">
        <x:v>1</x:v>
      </x:c>
      <x:c r="D9" s="11" t="n">
        <x:v>34000</x:v>
      </x:c>
      <x:c r="E9" s="11" t="n">
        <x:v>34000</x:v>
      </x:c>
      <x:c r="F9" s="11" t="n">
        <x:f>C9*D9</x:f>
        <x:v>34000</x:v>
      </x:c>
      <x:c r="G9" s="11" t="n">
        <x:f>E9-F9</x:f>
        <x:v>0</x:v>
      </x:c>
      <x:c r="H9" s="5" t="str">
        <x:v>1 t/h</x:v>
      </x:c>
      <x:c r="I9" s="12" t="n">
        <x:v>3.7</x:v>
      </x:c>
      <x:c r="J9" s="5" t="str">
        <x:v>220 V declarat; specificație electrică de confirmat</x:v>
      </x:c>
      <x:c r="K9" s="13" t="str">
        <x:v>82ab706d_Oferta comerciala - CESIRO PRODUCTION - Linie procesare nuci 400 kg v2.pdf</x:v>
      </x:c>
      <x:c r="L9" s="5" t="n">
        <x:v>1</x:v>
      </x:c>
    </x:row>
    <x:row r="10" ht="48" customHeight="1">
      <x:c r="A10" s="5" t="n">
        <x:v>2</x:v>
      </x:c>
      <x:c r="B10" s="5" t="str">
        <x:v>Uscător nuci, alune, migdale 4 tone/zi</x:v>
      </x:c>
      <x:c r="C10" s="5" t="n">
        <x:v>2</x:v>
      </x:c>
      <x:c r="D10" s="11" t="n">
        <x:v>22400</x:v>
      </x:c>
      <x:c r="E10" s="11" t="n">
        <x:v>44800</x:v>
      </x:c>
      <x:c r="F10" s="11" t="n">
        <x:f>C10*D10</x:f>
        <x:v>44800</x:v>
      </x:c>
      <x:c r="G10" s="11" t="n">
        <x:f>E10-F10</x:f>
        <x:v>0</x:v>
      </x:c>
      <x:c r="H10" s="5" t="str">
        <x:v>4 t/24 h</x:v>
      </x:c>
      <x:c r="I10" s="12" t="n">
        <x:v>14</x:v>
      </x:c>
      <x:c r="J10" s="5" t="str">
        <x:v>14 kW declarat; bilanț termic și putere încălzire de confirmat</x:v>
      </x:c>
      <x:c r="K10" s="13" t="str">
        <x:v>82ab706d_Oferta comerciala - CESIRO PRODUCTION - Linie procesare nuci 400 kg v2.pdf</x:v>
      </x:c>
      <x:c r="L10" s="5" t="n">
        <x:v>4</x:v>
      </x:c>
    </x:row>
    <x:row r="11" ht="48" customHeight="1">
      <x:c r="A11" s="5" t="n">
        <x:v>3</x:v>
      </x:c>
      <x:c r="B11" s="5" t="str">
        <x:v>Elevator Noria 4 tone/oră</x:v>
      </x:c>
      <x:c r="C11" s="5" t="n">
        <x:v>1</x:v>
      </x:c>
      <x:c r="D11" s="11" t="n">
        <x:v>9800</x:v>
      </x:c>
      <x:c r="E11" s="11" t="n">
        <x:v>9800</x:v>
      </x:c>
      <x:c r="F11" s="11" t="n">
        <x:f>C11*D11</x:f>
        <x:v>9800</x:v>
      </x:c>
      <x:c r="G11" s="11" t="n">
        <x:f>E11-F11</x:f>
        <x:v>0</x:v>
      </x:c>
      <x:c r="H11" s="5" t="str">
        <x:v>4 t/h în tabel; 2 t/h în descriere</x:v>
      </x:c>
      <x:c r="I11" s="12"/>
      <x:c r="J11" s="5" t="str">
        <x:v>Capacitate și putere de confirmat</x:v>
      </x:c>
      <x:c r="K11" s="13" t="str">
        <x:v>82ab706d_Oferta comerciala - CESIRO PRODUCTION - Linie procesare nuci 400 kg v2.pdf</x:v>
      </x:c>
      <x:c r="L11" s="5" t="n">
        <x:v>3</x:v>
      </x:c>
    </x:row>
    <x:row r="12" ht="48" customHeight="1">
      <x:c r="A12" s="5" t="n">
        <x:v>4</x:v>
      </x:c>
      <x:c r="B12" s="5" t="str">
        <x:v>Mașină de sortat nuci goale în coajă</x:v>
      </x:c>
      <x:c r="C12" s="5" t="n">
        <x:v>2</x:v>
      </x:c>
      <x:c r="D12" s="11" t="n">
        <x:v>8500</x:v>
      </x:c>
      <x:c r="E12" s="11" t="n">
        <x:v>17000</x:v>
      </x:c>
      <x:c r="F12" s="11" t="n">
        <x:f>C12*D12</x:f>
        <x:v>17000</x:v>
      </x:c>
      <x:c r="G12" s="11" t="n">
        <x:f>E12-F12</x:f>
        <x:v>0</x:v>
      </x:c>
      <x:c r="H12" s="5" t="str">
        <x:v>300 kg/h; denumire neconcordantă la p. 5</x:v>
      </x:c>
      <x:c r="I12" s="12" t="n">
        <x:v>4.5</x:v>
      </x:c>
      <x:c r="J12" s="5" t="str">
        <x:v>Descriere SKU 20 / separare miez 100 kg/h; dimensiuni suspecte</x:v>
      </x:c>
      <x:c r="K12" s="13" t="str">
        <x:v>82ab706d_Oferta comerciala - CESIRO PRODUCTION - Linie procesare nuci 400 kg v2.pdf</x:v>
      </x:c>
      <x:c r="L12" s="5" t="n">
        <x:v>5</x:v>
      </x:c>
    </x:row>
    <x:row r="13" ht="48" customHeight="1">
      <x:c r="A13" s="5" t="n">
        <x:v>5</x:v>
      </x:c>
      <x:c r="B13" s="5" t="str">
        <x:v>Calibrator rotativ nuci 8 fracții</x:v>
      </x:c>
      <x:c r="C13" s="5" t="n">
        <x:v>2</x:v>
      </x:c>
      <x:c r="D13" s="11" t="n">
        <x:v>21200</x:v>
      </x:c>
      <x:c r="E13" s="11" t="n">
        <x:v>42400</x:v>
      </x:c>
      <x:c r="F13" s="11" t="n">
        <x:f>C13*D13</x:f>
        <x:v>42400</x:v>
      </x:c>
      <x:c r="G13" s="11" t="n">
        <x:f>E13-F13</x:f>
        <x:v>0</x:v>
      </x:c>
      <x:c r="H13" s="5" t="str">
        <x:v>500 kg/h</x:v>
      </x:c>
      <x:c r="I13" s="12" t="n">
        <x:v>2.95</x:v>
      </x:c>
      <x:c r="J13" s="5" t="str">
        <x:v>2 bucăți ofertate, 1 solicitată</x:v>
      </x:c>
      <x:c r="K13" s="13" t="str">
        <x:v>82ab706d_Oferta comerciala - CESIRO PRODUCTION - Linie procesare nuci 400 kg v2.pdf</x:v>
      </x:c>
      <x:c r="L13" s="5" t="n">
        <x:v>6</x:v>
      </x:c>
    </x:row>
    <x:row r="14" ht="48" customHeight="1">
      <x:c r="A14" s="5" t="n">
        <x:v>6</x:v>
      </x:c>
      <x:c r="B14" s="5" t="str">
        <x:v>Mașină de îndepărtat coji verzi de alune</x:v>
      </x:c>
      <x:c r="C14" s="5" t="n">
        <x:v>1</x:v>
      </x:c>
      <x:c r="D14" s="11" t="n">
        <x:v>4800</x:v>
      </x:c>
      <x:c r="E14" s="11" t="n">
        <x:v>4800</x:v>
      </x:c>
      <x:c r="F14" s="11" t="n">
        <x:f>C14*D14</x:f>
        <x:v>4800</x:v>
      </x:c>
      <x:c r="G14" s="11" t="n">
        <x:f>E14-F14</x:f>
        <x:v>0</x:v>
      </x:c>
      <x:c r="H14" s="5" t="str">
        <x:v>până la 300 kg/h</x:v>
      </x:c>
      <x:c r="I14" s="12" t="n">
        <x:v>2.2</x:v>
      </x:c>
      <x:c r="J14" s="5" t="str">
        <x:v>Opțiune inclusă în oferta de bază</x:v>
      </x:c>
      <x:c r="K14" s="13" t="str">
        <x:v>82ab706d_Oferta comerciala - CESIRO PRODUCTION - Linie procesare nuci 400 kg v2.pdf</x:v>
      </x:c>
      <x:c r="L14" s="5" t="n">
        <x:v>7</x:v>
      </x:c>
    </x:row>
    <x:row r="15" ht="48" customHeight="1">
      <x:c r="A15" s="5" t="n">
        <x:v>7</x:v>
      </x:c>
      <x:c r="B15" s="5" t="str">
        <x:v>Linie completă 200 kg/h combinată (nuci, alune, migdale)</x:v>
      </x:c>
      <x:c r="C15" s="5" t="n">
        <x:v>2</x:v>
      </x:c>
      <x:c r="D15" s="11" t="n">
        <x:v>44900</x:v>
      </x:c>
      <x:c r="E15" s="11" t="n">
        <x:v>95800</x:v>
      </x:c>
      <x:c r="F15" s="11" t="n">
        <x:f>C15*D15</x:f>
        <x:v>89800</x:v>
      </x:c>
      <x:c r="G15" s="11" t="n">
        <x:f>E15-F15</x:f>
        <x:v>6000</x:v>
      </x:c>
      <x:c r="H15" s="5" t="str">
        <x:v>200 kg/h per linie</x:v>
      </x:c>
      <x:c r="I15" s="12"/>
      <x:c r="J15" s="5" t="str">
        <x:v>Total rând diferă cu 6.000 EUR; două linii 200 kg/h ofertate</x:v>
      </x:c>
      <x:c r="K15" s="13" t="str">
        <x:v>82ab706d_Oferta comerciala - CESIRO PRODUCTION - Linie procesare nuci 400 kg v2.pdf</x:v>
      </x:c>
      <x:c r="L15" s="5" t="n">
        <x:v>8</x:v>
      </x:c>
    </x:row>
    <x:row r="16" ht="48" customHeight="1">
      <x:c r="A16" s="5" t="n">
        <x:v>8</x:v>
      </x:c>
      <x:c r="B16" s="5" t="str">
        <x:v>Separator cromatic 3S</x:v>
      </x:c>
      <x:c r="C16" s="5" t="n">
        <x:v>1</x:v>
      </x:c>
      <x:c r="D16" s="11" t="n">
        <x:v>56000</x:v>
      </x:c>
      <x:c r="E16" s="11" t="n">
        <x:v>56000</x:v>
      </x:c>
      <x:c r="F16" s="11" t="n">
        <x:f>C16*D16</x:f>
        <x:v>56000</x:v>
      </x:c>
      <x:c r="G16" s="11" t="n">
        <x:f>E16-F16</x:f>
        <x:v>0</x:v>
      </x:c>
      <x:c r="H16" s="5" t="str">
        <x:v>4 t/h, de confirmat pentru nuci</x:v>
      </x:c>
      <x:c r="I16" s="12" t="n">
        <x:v>2</x:v>
      </x:c>
      <x:c r="J16" s="5" t="str">
        <x:v>Origine motor Polonia în PDF vs motoare italiene în email</x:v>
      </x:c>
      <x:c r="K16" s="13" t="str">
        <x:v>82ab706d_Oferta comerciala - CESIRO PRODUCTION - Linie procesare nuci 400 kg v2.pdf</x:v>
      </x:c>
      <x:c r="L16" s="5" t="n">
        <x:v>15</x:v>
      </x:c>
    </x:row>
    <x:row r="17" ht="48" customHeight="1">
      <x:c r="A17" s="5" t="n">
        <x:v>9</x:v>
      </x:c>
      <x:c r="B17" s="5" t="str">
        <x:v>Masă de inspecție cu bandă</x:v>
      </x:c>
      <x:c r="C17" s="5" t="n">
        <x:v>2</x:v>
      </x:c>
      <x:c r="D17" s="11" t="n">
        <x:v>7900</x:v>
      </x:c>
      <x:c r="E17" s="11" t="n">
        <x:v>15800</x:v>
      </x:c>
      <x:c r="F17" s="11" t="n">
        <x:f>C17*D17</x:f>
        <x:v>15800</x:v>
      </x:c>
      <x:c r="G17" s="11" t="n">
        <x:f>E17-F17</x:f>
        <x:v>0</x:v>
      </x:c>
      <x:c r="H17" s="5" t="str">
        <x:v>Bandă 4 m</x:v>
      </x:c>
      <x:c r="I17" s="12" t="n">
        <x:v>0.55</x:v>
      </x:c>
      <x:c r="J17" s="5" t="str">
        <x:v>2 mese simple ofertate; cerută una pe două niveluri; dimensiuni de confirmat</x:v>
      </x:c>
      <x:c r="K17" s="13" t="str">
        <x:v>82ab706d_Oferta comerciala - CESIRO PRODUCTION - Linie procesare nuci 400 kg v2.pdf</x:v>
      </x:c>
      <x:c r="L17" s="5" t="n">
        <x:v>16</x:v>
      </x:c>
    </x:row>
  </x:sheetData>
  <x:conditionalFormatting sqref="G9:G17">
    <x:cfRule type="cellIs" dxfId="0" priority="1" operator="notEqual">
      <x:formula>0</x:formula>
    </x:cfRule>
  </x:conditionalFormatting>
  <x:conditionalFormatting sqref="G5:G5">
    <x:cfRule type="cellIs" dxfId="1" priority="2" operator="notEqual">
      <x:formula>0</x:formula>
    </x:cfRule>
  </x:conditionalFormatting>
  <x:hyperlinks>
    <x:hyperlink xmlns:r="http://schemas.openxmlformats.org/officeDocument/2006/relationships" ref="K9" r:id="R4ebaa5fe78f54a2d"/>
    <x:hyperlink xmlns:r="http://schemas.openxmlformats.org/officeDocument/2006/relationships" ref="K10" r:id="R52640b8f0aba41d2"/>
    <x:hyperlink xmlns:r="http://schemas.openxmlformats.org/officeDocument/2006/relationships" ref="K11" r:id="Rabf027c0433e413b"/>
    <x:hyperlink xmlns:r="http://schemas.openxmlformats.org/officeDocument/2006/relationships" ref="K12" r:id="R114a2ff21bcf4511"/>
    <x:hyperlink xmlns:r="http://schemas.openxmlformats.org/officeDocument/2006/relationships" ref="K13" r:id="R9a988bdc827e484e"/>
    <x:hyperlink xmlns:r="http://schemas.openxmlformats.org/officeDocument/2006/relationships" ref="K14" r:id="R18a2f0eb25674edf"/>
    <x:hyperlink xmlns:r="http://schemas.openxmlformats.org/officeDocument/2006/relationships" ref="K15" r:id="R2bc28dc3a2724951"/>
    <x:hyperlink xmlns:r="http://schemas.openxmlformats.org/officeDocument/2006/relationships" ref="K16" r:id="R751302a80c4a47f2"/>
    <x:hyperlink xmlns:r="http://schemas.openxmlformats.org/officeDocument/2006/relationships" ref="K17" r:id="R4e43f3c701924d26"/>
  </x:hyperlinks>
  <x:pageMargins left="0.7" right="0.7" top="0.75" bottom="0.75" header="0.3" footer="0.3"/>
  <x:tableParts count="1">
    <x:tablePart xmlns:r="http://schemas.openxmlformats.org/officeDocument/2006/relationships" r:id="R9d1e06111b2443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17" hidden="0" customWidth="1"/>
    <x:col min="3" max="3" width="63" hidden="0" customWidth="1"/>
    <x:col min="4" max="4" width="13" hidden="0" customWidth="1"/>
    <x:col min="5" max="5" width="23" hidden="0" customWidth="1"/>
    <x:col min="6" max="6" width="24" hidden="0" customWidth="1"/>
    <x:col min="7" max="7" width="48" hidden="0" customWidth="1"/>
    <x:col min="8" max="8" width="68" hidden="0" customWidth="1"/>
    <x:col min="9" max="9" width="11" hidden="0" customWidth="1"/>
  </x:cols>
  <x:sheetData>
    <x:row r="2">
      <x:c r="A2" s="1" t="str">
        <x:v>Oferte 82 / 16.04.2026 - EUR fără TVA</x:v>
      </x:c>
    </x:row>
    <x:row r="3">
      <x:c r="A3" s="2" t="str">
        <x:v>Prețuri istorice de reconfirmat. Variantele de linie sunt alternative, nu se însumează.</x:v>
      </x:c>
    </x:row>
    <x:row r="5" ht="34" customHeight="1">
      <x:c r="A5" s="9" t="str">
        <x:v>Ofertă / variantă</x:v>
      </x:c>
      <x:c r="B5" s="9" t="str">
        <x:v>Data ofertei</x:v>
      </x:c>
      <x:c r="C5" s="9" t="str">
        <x:v>Echipament</x:v>
      </x:c>
      <x:c r="D5" s="9" t="str">
        <x:v>Buc. în lot</x:v>
      </x:c>
      <x:c r="E5" s="9" t="str">
        <x:v>Preț declarat lot EUR</x:v>
      </x:c>
      <x:c r="F5" s="9" t="str">
        <x:v>Preț unitar derivat EUR</x:v>
      </x:c>
      <x:c r="G5" s="9" t="str">
        <x:v>Interpretare</x:v>
      </x:c>
      <x:c r="H5" s="9" t="str">
        <x:v>Document sursă</x:v>
      </x:c>
      <x:c r="I5" s="9" t="str">
        <x:v>Pagina</x:v>
      </x:c>
    </x:row>
    <x:row r="6" ht="48" customHeight="1">
      <x:c r="A6" s="5" t="str">
        <x:v>82 / 200 kg-h</x:v>
      </x:c>
      <x:c r="B6" s="14" t="n">
        <x:v>46128</x:v>
      </x:c>
      <x:c r="C6" s="5" t="str">
        <x:v>Curățare nuci verzi 500 kg/h</x:v>
      </x:c>
      <x:c r="D6" s="5" t="n">
        <x:v>1</x:v>
      </x:c>
      <x:c r="E6" s="11" t="n">
        <x:v>8000</x:v>
      </x:c>
      <x:c r="F6" s="11" t="n">
        <x:f>E6/D6</x:f>
        <x:v>8000</x:v>
      </x:c>
      <x:c r="G6" s="5" t="str">
        <x:v>Preț din tabel; 1 buc. presupusă</x:v>
      </x:c>
      <x:c r="H6" s="13" t="str">
        <x:v>6d433786_Oferta comerciala - CESIRO PRODUCTION - Linie procesare nuci - 200 kg.pdf</x:v>
      </x:c>
      <x:c r="I6" s="5" t="n">
        <x:v>1</x:v>
      </x:c>
    </x:row>
    <x:row r="7" ht="48" customHeight="1">
      <x:c r="A7" s="5" t="str">
        <x:v>82 / 200 kg-h</x:v>
      </x:c>
      <x:c r="B7" s="14" t="n">
        <x:v>46128</x:v>
      </x:c>
      <x:c r="C7" s="5" t="str">
        <x:v>Uscător 2 tone/zi</x:v>
      </x:c>
      <x:c r="D7" s="5" t="n">
        <x:v>1</x:v>
      </x:c>
      <x:c r="E7" s="11" t="n">
        <x:v>16000</x:v>
      </x:c>
      <x:c r="F7" s="11" t="n">
        <x:f>E7/D7</x:f>
        <x:v>16000</x:v>
      </x:c>
      <x:c r="G7" s="5" t="str">
        <x:v>Preț din tabel; 1 buc. presupusă</x:v>
      </x:c>
      <x:c r="H7" s="13" t="str">
        <x:v>6d433786_Oferta comerciala - CESIRO PRODUCTION - Linie procesare nuci - 200 kg.pdf</x:v>
      </x:c>
      <x:c r="I7" s="5" t="n">
        <x:v>1</x:v>
      </x:c>
    </x:row>
    <x:row r="8" ht="48" customHeight="1">
      <x:c r="A8" s="5" t="str">
        <x:v>82 / 200 kg-h</x:v>
      </x:c>
      <x:c r="B8" s="14" t="n">
        <x:v>46128</x:v>
      </x:c>
      <x:c r="C8" s="5" t="str">
        <x:v>Elevator Noria 2 t/h</x:v>
      </x:c>
      <x:c r="D8" s="5" t="n">
        <x:v>1</x:v>
      </x:c>
      <x:c r="E8" s="11" t="n">
        <x:v>6700</x:v>
      </x:c>
      <x:c r="F8" s="11" t="n">
        <x:f>E8/D8</x:f>
        <x:v>6700</x:v>
      </x:c>
      <x:c r="G8" s="5" t="str">
        <x:v>Preț din tabel; 1 buc. presupusă</x:v>
      </x:c>
      <x:c r="H8" s="13" t="str">
        <x:v>6d433786_Oferta comerciala - CESIRO PRODUCTION - Linie procesare nuci - 200 kg.pdf</x:v>
      </x:c>
      <x:c r="I8" s="5" t="n">
        <x:v>1</x:v>
      </x:c>
    </x:row>
    <x:row r="9" ht="48" customHeight="1">
      <x:c r="A9" s="5" t="str">
        <x:v>82 / 200 kg-h</x:v>
      </x:c>
      <x:c r="B9" s="14" t="n">
        <x:v>46128</x:v>
      </x:c>
      <x:c r="C9" s="5" t="str">
        <x:v>Calibrator 4 fracții (2 buc.)</x:v>
      </x:c>
      <x:c r="D9" s="5" t="n">
        <x:v>2</x:v>
      </x:c>
      <x:c r="E9" s="11" t="n">
        <x:v>17200</x:v>
      </x:c>
      <x:c r="F9" s="11" t="n">
        <x:f>E9/D9</x:f>
        <x:v>8600</x:v>
      </x:c>
      <x:c r="G9" s="5" t="str">
        <x:v>Preț unitar derivat din lot</x:v>
      </x:c>
      <x:c r="H9" s="13" t="str">
        <x:v>6d433786_Oferta comerciala - CESIRO PRODUCTION - Linie procesare nuci - 200 kg.pdf</x:v>
      </x:c>
      <x:c r="I9" s="5" t="n">
        <x:v>1</x:v>
      </x:c>
    </x:row>
    <x:row r="10" ht="48" customHeight="1">
      <x:c r="A10" s="5" t="str">
        <x:v>82 / 200 kg-h</x:v>
      </x:c>
      <x:c r="B10" s="14" t="n">
        <x:v>46128</x:v>
      </x:c>
      <x:c r="C10" s="5" t="str">
        <x:v>Îndepărtare coji verzi alune</x:v>
      </x:c>
      <x:c r="D10" s="5" t="n">
        <x:v>1</x:v>
      </x:c>
      <x:c r="E10" s="11" t="n">
        <x:v>4300</x:v>
      </x:c>
      <x:c r="F10" s="11" t="n">
        <x:f>E10/D10</x:f>
        <x:v>4300</x:v>
      </x:c>
      <x:c r="G10" s="5" t="str">
        <x:v>Preț din tabel; 1 buc. presupusă</x:v>
      </x:c>
      <x:c r="H10" s="13" t="str">
        <x:v>6d433786_Oferta comerciala - CESIRO PRODUCTION - Linie procesare nuci - 200 kg.pdf</x:v>
      </x:c>
      <x:c r="I10" s="5" t="n">
        <x:v>1</x:v>
      </x:c>
    </x:row>
    <x:row r="11" ht="48" customHeight="1">
      <x:c r="A11" s="5" t="str">
        <x:v>82 / 200 kg-h</x:v>
      </x:c>
      <x:c r="B11" s="14" t="n">
        <x:v>46128</x:v>
      </x:c>
      <x:c r="C11" s="5" t="str">
        <x:v>Linie combinată 200 kg/h</x:v>
      </x:c>
      <x:c r="D11" s="5" t="n">
        <x:v>1</x:v>
      </x:c>
      <x:c r="E11" s="11" t="n">
        <x:v>32900</x:v>
      </x:c>
      <x:c r="F11" s="11" t="n">
        <x:f>E11/D11</x:f>
        <x:v>32900</x:v>
      </x:c>
      <x:c r="G11" s="5" t="str">
        <x:v>Preț din tabel; 1 buc. presupusă</x:v>
      </x:c>
      <x:c r="H11" s="13" t="str">
        <x:v>6d433786_Oferta comerciala - CESIRO PRODUCTION - Linie procesare nuci - 200 kg.pdf</x:v>
      </x:c>
      <x:c r="I11" s="5" t="n">
        <x:v>1</x:v>
      </x:c>
    </x:row>
    <x:row r="12" ht="48" customHeight="1">
      <x:c r="A12" s="5" t="str">
        <x:v>82 / 400 kg-h (titlu fișier)</x:v>
      </x:c>
      <x:c r="B12" s="14" t="n">
        <x:v>46128</x:v>
      </x:c>
      <x:c r="C12" s="5" t="str">
        <x:v>Mașină industrială de curățat și spălat nucile 1 t/h</x:v>
      </x:c>
      <x:c r="D12" s="5" t="n">
        <x:v>1</x:v>
      </x:c>
      <x:c r="E12" s="11" t="n">
        <x:v>29000</x:v>
      </x:c>
      <x:c r="F12" s="11" t="n">
        <x:f>E12/D12</x:f>
        <x:v>29000</x:v>
      </x:c>
      <x:c r="G12" s="5" t="str">
        <x:v>Preț din tabel; 1 buc. presupusă</x:v>
      </x:c>
      <x:c r="H12" s="13" t="str">
        <x:v>39b20753_Oferta comerciala - CESIRO PRODUCTION - Linie procesare nuci 400 kg - h.pdf</x:v>
      </x:c>
      <x:c r="I12" s="5" t="n">
        <x:v>1</x:v>
      </x:c>
    </x:row>
    <x:row r="13" ht="48" customHeight="1">
      <x:c r="A13" s="5" t="str">
        <x:v>82 / 400 kg-h (titlu fișier)</x:v>
      </x:c>
      <x:c r="B13" s="14" t="n">
        <x:v>46128</x:v>
      </x:c>
      <x:c r="C13" s="5" t="str">
        <x:v>Uscător nuci, alune, migdale 4 tone/zi</x:v>
      </x:c>
      <x:c r="D13" s="5" t="n">
        <x:v>1</x:v>
      </x:c>
      <x:c r="E13" s="11" t="n">
        <x:v>19200</x:v>
      </x:c>
      <x:c r="F13" s="11" t="n">
        <x:f>E13/D13</x:f>
        <x:v>19200</x:v>
      </x:c>
      <x:c r="G13" s="5" t="str">
        <x:v>Preț din tabel; 1 buc. presupusă</x:v>
      </x:c>
      <x:c r="H13" s="13" t="str">
        <x:v>39b20753_Oferta comerciala - CESIRO PRODUCTION - Linie procesare nuci 400 kg - h.pdf</x:v>
      </x:c>
      <x:c r="I13" s="5" t="n">
        <x:v>1</x:v>
      </x:c>
    </x:row>
    <x:row r="14" ht="48" customHeight="1">
      <x:c r="A14" s="5" t="str">
        <x:v>82 / 400 kg-h (titlu fișier)</x:v>
      </x:c>
      <x:c r="B14" s="14" t="n">
        <x:v>46128</x:v>
      </x:c>
      <x:c r="C14" s="5" t="str">
        <x:v>Elevator Noria 4 tone/oră</x:v>
      </x:c>
      <x:c r="D14" s="5" t="n">
        <x:v>1</x:v>
      </x:c>
      <x:c r="E14" s="11" t="n">
        <x:v>8600</x:v>
      </x:c>
      <x:c r="F14" s="11" t="n">
        <x:f>E14/D14</x:f>
        <x:v>8600</x:v>
      </x:c>
      <x:c r="G14" s="5" t="str">
        <x:v>Preț din tabel; 1 buc. presupusă</x:v>
      </x:c>
      <x:c r="H14" s="13" t="str">
        <x:v>39b20753_Oferta comerciala - CESIRO PRODUCTION - Linie procesare nuci 400 kg - h.pdf</x:v>
      </x:c>
      <x:c r="I14" s="5" t="n">
        <x:v>1</x:v>
      </x:c>
    </x:row>
    <x:row r="15" ht="48" customHeight="1">
      <x:c r="A15" s="5" t="str">
        <x:v>82 / 400 kg-h (titlu fișier)</x:v>
      </x:c>
      <x:c r="B15" s="14" t="n">
        <x:v>46128</x:v>
      </x:c>
      <x:c r="C15" s="5" t="str">
        <x:v>Calibrator 4 fracții (2 buc.)</x:v>
      </x:c>
      <x:c r="D15" s="5" t="n">
        <x:v>2</x:v>
      </x:c>
      <x:c r="E15" s="11" t="n">
        <x:v>17200</x:v>
      </x:c>
      <x:c r="F15" s="11" t="n">
        <x:f>E15/D15</x:f>
        <x:v>8600</x:v>
      </x:c>
      <x:c r="G15" s="5" t="str">
        <x:v>Preț unitar derivat din lot</x:v>
      </x:c>
      <x:c r="H15" s="13" t="str">
        <x:v>39b20753_Oferta comerciala - CESIRO PRODUCTION - Linie procesare nuci 400 kg - h.pdf</x:v>
      </x:c>
      <x:c r="I15" s="5" t="n">
        <x:v>1</x:v>
      </x:c>
    </x:row>
    <x:row r="16" ht="48" customHeight="1">
      <x:c r="A16" s="5" t="str">
        <x:v>82 / 400 kg-h (titlu fișier)</x:v>
      </x:c>
      <x:c r="B16" s="14" t="n">
        <x:v>46128</x:v>
      </x:c>
      <x:c r="C16" s="5" t="str">
        <x:v>Mașină de îndepărtat coji verzi de alune</x:v>
      </x:c>
      <x:c r="D16" s="5" t="n">
        <x:v>1</x:v>
      </x:c>
      <x:c r="E16" s="11" t="n">
        <x:v>4300</x:v>
      </x:c>
      <x:c r="F16" s="11" t="n">
        <x:f>E16/D16</x:f>
        <x:v>4300</x:v>
      </x:c>
      <x:c r="G16" s="5" t="str">
        <x:v>Preț din tabel; 1 buc. presupusă</x:v>
      </x:c>
      <x:c r="H16" s="13" t="str">
        <x:v>39b20753_Oferta comerciala - CESIRO PRODUCTION - Linie procesare nuci 400 kg - h.pdf</x:v>
      </x:c>
      <x:c r="I16" s="5" t="n">
        <x:v>1</x:v>
      </x:c>
    </x:row>
    <x:row r="17" ht="48" customHeight="1">
      <x:c r="A17" s="5" t="str">
        <x:v>82 / 400 kg-h (titlu fișier)</x:v>
      </x:c>
      <x:c r="B17" s="14" t="n">
        <x:v>46128</x:v>
      </x:c>
      <x:c r="C17" s="5" t="str">
        <x:v>Linie completă nuci 200 kg/h</x:v>
      </x:c>
      <x:c r="D17" s="5" t="n">
        <x:v>1</x:v>
      </x:c>
      <x:c r="E17" s="11" t="n">
        <x:v>28600</x:v>
      </x:c>
      <x:c r="F17" s="11" t="n">
        <x:f>E17/D17</x:f>
        <x:v>28600</x:v>
      </x:c>
      <x:c r="G17" s="5" t="str">
        <x:v>Preț din tabel; 1 buc. presupusă</x:v>
      </x:c>
      <x:c r="H17" s="13" t="str">
        <x:v>39b20753_Oferta comerciala - CESIRO PRODUCTION - Linie procesare nuci 400 kg - h.pdf</x:v>
      </x:c>
      <x:c r="I17" s="5" t="n">
        <x:v>1</x:v>
      </x:c>
    </x:row>
    <x:row r="18" ht="48" customHeight="1">
      <x:c r="A18" s="5" t="str">
        <x:v>82 / 400 kg-h (titlu fișier)</x:v>
      </x:c>
      <x:c r="B18" s="14" t="n">
        <x:v>46128</x:v>
      </x:c>
      <x:c r="C18" s="5" t="str">
        <x:v>Linie combinată 200 kg/h - alternativă</x:v>
      </x:c>
      <x:c r="D18" s="5" t="n">
        <x:v>1</x:v>
      </x:c>
      <x:c r="E18" s="11" t="n">
        <x:v>32900</x:v>
      </x:c>
      <x:c r="F18" s="11" t="n">
        <x:f>E18/D18</x:f>
        <x:v>32900</x:v>
      </x:c>
      <x:c r="G18" s="5" t="str">
        <x:v>Preț din tabel; 1 buc. presupusă</x:v>
      </x:c>
      <x:c r="H18" s="13" t="str">
        <x:v>39b20753_Oferta comerciala - CESIRO PRODUCTION - Linie procesare nuci 400 kg - h.pdf</x:v>
      </x:c>
      <x:c r="I18" s="5" t="n">
        <x:v>1</x:v>
      </x:c>
    </x:row>
  </x:sheetData>
  <x:hyperlinks>
    <x:hyperlink xmlns:r="http://schemas.openxmlformats.org/officeDocument/2006/relationships" ref="H6" r:id="Rb6ad6893eed1413c"/>
    <x:hyperlink xmlns:r="http://schemas.openxmlformats.org/officeDocument/2006/relationships" ref="H7" r:id="Rf9d8004653fe47cb"/>
    <x:hyperlink xmlns:r="http://schemas.openxmlformats.org/officeDocument/2006/relationships" ref="H8" r:id="Refe9a705b5204c3c"/>
    <x:hyperlink xmlns:r="http://schemas.openxmlformats.org/officeDocument/2006/relationships" ref="H9" r:id="R5e65cc93b5344e8e"/>
    <x:hyperlink xmlns:r="http://schemas.openxmlformats.org/officeDocument/2006/relationships" ref="H10" r:id="R307eb04794a747a2"/>
    <x:hyperlink xmlns:r="http://schemas.openxmlformats.org/officeDocument/2006/relationships" ref="H11" r:id="R2cffc3f35f1c4464"/>
    <x:hyperlink xmlns:r="http://schemas.openxmlformats.org/officeDocument/2006/relationships" ref="H12" r:id="R4de8766f9ef2483f"/>
    <x:hyperlink xmlns:r="http://schemas.openxmlformats.org/officeDocument/2006/relationships" ref="H13" r:id="Ree875c1fd3ec420f"/>
    <x:hyperlink xmlns:r="http://schemas.openxmlformats.org/officeDocument/2006/relationships" ref="H14" r:id="R5ced85f9bbaa44d5"/>
    <x:hyperlink xmlns:r="http://schemas.openxmlformats.org/officeDocument/2006/relationships" ref="H15" r:id="Ref91173f83ae4e31"/>
    <x:hyperlink xmlns:r="http://schemas.openxmlformats.org/officeDocument/2006/relationships" ref="H16" r:id="R5e5972c7511d4813"/>
    <x:hyperlink xmlns:r="http://schemas.openxmlformats.org/officeDocument/2006/relationships" ref="H17" r:id="R7f65c8bff5894309"/>
    <x:hyperlink xmlns:r="http://schemas.openxmlformats.org/officeDocument/2006/relationships" ref="H18" r:id="R6fa6661a8f454d71"/>
  </x:hyperlinks>
  <x:pageMargins left="0.7" right="0.7" top="0.75" bottom="0.75" header="0.3" footer="0.3"/>
  <x:tableParts count="1">
    <x:tablePart xmlns:r="http://schemas.openxmlformats.org/officeDocument/2006/relationships" r:id="R0f72b82a3db1410e"/>
  </x:tableParts>
</x: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 tabSelected="0">
      <pane xSplit="2" ySplit="5" topLeftCell="C6" activePane="bottomRight" state="frozen"/>
    </sheetView>
  </sheetViews>
  <sheetFormatPr defaultRowHeight="15"/>
  <cols>
    <col min="1" max="1" width="8" hidden="0" customWidth="1"/>
    <col min="2" max="2" width="32" hidden="0" customWidth="1"/>
    <col min="3" max="3" width="62" hidden="0" customWidth="1"/>
    <col min="4" max="4" width="38" hidden="0" customWidth="1"/>
    <col min="5" max="5" width="25" hidden="0" customWidth="1"/>
    <col min="6" max="6" width="17" hidden="0" customWidth="1"/>
    <col min="7" max="7" width="30" hidden="0" customWidth="1"/>
    <col min="8" max="8" width="36" hidden="0" customWidth="1"/>
    <col min="9" max="9" width="68" hidden="0" customWidth="1"/>
    <col min="10" max="10" width="15" hidden="0" customWidth="1"/>
    <col min="11" max="11" width="33" hidden="0" customWidth="1"/>
    <col min="12" max="12" width="65" hidden="0" customWidth="1"/>
    <col min="13" max="13" width="58" hidden="0" customWidth="1"/>
  </cols>
  <sheetData>
    <row r="2">
      <c r="A2" s="1" t="str">
        <v>Catalog echipamente și fișe disponibile</v>
      </c>
    </row>
    <row r="3">
      <c r="A3" s="2" t="str">
        <v>Caracteristici din centralizatorul existent la 28.09.2026. Nu reprezintă confirmarea configurației ofertate.</v>
      </c>
    </row>
    <row r="5" ht="34" customHeight="1">
      <c r="A5" s="9" t="str">
        <v>Nr.</v>
      </c>
      <c r="B5" s="9" t="str">
        <v>Etapă</v>
      </c>
      <c r="C5" s="9" t="str">
        <v>Echipament</v>
      </c>
      <c r="D5" s="9" t="str">
        <v>Capacitate</v>
      </c>
      <c r="E5" s="9" t="str">
        <v>Putere din catalog</v>
      </c>
      <c r="F5" s="9" t="str">
        <v>Tensiune</v>
      </c>
      <c r="G5" s="9" t="str">
        <v>Material</v>
      </c>
      <c r="H5" s="9" t="str">
        <v>Utilizare</v>
      </c>
      <c r="I5" s="9" t="str">
        <v>Fișier local</v>
      </c>
      <c r="J5" s="9" t="str">
        <v>Pagina în dosar</v>
      </c>
      <c r="K5" s="9" t="str">
        <v>Document disponibil</v>
      </c>
      <c r="L5" s="9" t="str">
        <v>Observații existente</v>
      </c>
      <c r="M5" s="9" t="str">
        <v>Pagina produs</v>
      </c>
    </row>
    <row r="6" ht="48" customHeight="1">
      <c r="A6" s="5" t="n">
        <v>1</v>
      </c>
      <c r="B6" s="5" t="str">
        <v>Recoltare</v>
      </c>
      <c r="C6" s="5" t="str">
        <v>Scuturător pentru pomi fructiferi</v>
      </c>
      <c r="D6" s="5"/>
      <c r="E6" s="5"/>
      <c r="F6" s="5"/>
      <c r="G6" s="5" t="str">
        <v>oțel</v>
      </c>
      <c r="H6" s="5" t="str">
        <v>nuci, alune, migdale, mere, pruni și alți pomi fructiferi</v>
      </c>
      <c r="I6" s="13" t="str">
        <v>01. Scuturător pentru pomi fructiferi.pdf</v>
      </c>
      <c r="J6" s="5" t="n">
        <v>86</v>
      </c>
      <c r="K6" s="5" t="str">
        <v>Broșură în dosar</v>
      </c>
      <c r="L6" s="5"/>
      <c r="M6" s="13" t="str">
        <v>Pagina produs</v>
      </c>
    </row>
    <row r="7" ht="48" customHeight="1">
      <c r="A7" s="5" t="n">
        <v>2</v>
      </c>
      <c r="B7" s="5" t="str">
        <v>Decojire coaja verde si spalare</v>
      </c>
      <c r="C7" s="5" t="str">
        <v>Mașină de decojire și curățare a nucilor verzi 100 kg/h</v>
      </c>
      <c r="D7" s="5" t="str">
        <v>până la 100 kg/h</v>
      </c>
      <c r="E7" s="5" t="str">
        <v>0.75 kW</v>
      </c>
      <c r="F7" s="5" t="str">
        <v>220 V</v>
      </c>
      <c r="G7" s="5" t="str">
        <v>oțel</v>
      </c>
      <c r="H7" s="5" t="str">
        <v>nuci, alune, migdale</v>
      </c>
      <c r="I7" s="13" t="str">
        <v>01. Mașină de decojire și curățare a nucilor verzi 100 kg-h.pdf</v>
      </c>
      <c r="J7" s="5" t="n">
        <v>88</v>
      </c>
      <c r="K7" s="5" t="str">
        <v>Broșură în dosar</v>
      </c>
      <c r="L7" s="5"/>
      <c r="M7" s="13" t="str">
        <v>Pagina produs</v>
      </c>
    </row>
    <row r="8" ht="48" customHeight="1">
      <c r="A8" s="5" t="n">
        <v>3</v>
      </c>
      <c r="B8" s="5" t="str">
        <v>Decojire coaja verde si spalare</v>
      </c>
      <c r="C8" s="5" t="str">
        <v>Mașină pentru decojirea și curățarea nucilor verzi 300 kg/h</v>
      </c>
      <c r="D8" s="5" t="str">
        <v>până la 300 kg/h</v>
      </c>
      <c r="E8" s="5" t="str">
        <v>1.1 kW</v>
      </c>
      <c r="F8" s="5" t="str">
        <v>220 V</v>
      </c>
      <c r="G8" s="5" t="str">
        <v>oțel</v>
      </c>
      <c r="H8" s="5" t="str">
        <v>nuci, alune, migdale</v>
      </c>
      <c r="I8" s="13" t="str">
        <v>02. Mașină pentru decojirea și curățarea nucilor verzi 300 kg-h.pdf</v>
      </c>
      <c r="J8" s="5" t="n">
        <v>90</v>
      </c>
      <c r="K8" s="5" t="str">
        <v>Broșură în dosar</v>
      </c>
      <c r="L8" s="5"/>
      <c r="M8" s="13" t="str">
        <v>Pagina produs</v>
      </c>
    </row>
    <row r="9" ht="48" customHeight="1">
      <c r="A9" s="5" t="n">
        <v>4</v>
      </c>
      <c r="B9" s="5" t="str">
        <v>Decojire coaja verde si spalare</v>
      </c>
      <c r="C9" s="5" t="str">
        <v>Mașină de decojire și curățare a nucilor verzi 700 kg/h</v>
      </c>
      <c r="D9" s="5" t="str">
        <v>până la 700 kg/h</v>
      </c>
      <c r="E9" s="5" t="str">
        <v>2.2 kW</v>
      </c>
      <c r="F9" s="5" t="str">
        <v>220 V</v>
      </c>
      <c r="G9" s="5" t="str">
        <v>oțel</v>
      </c>
      <c r="H9" s="5" t="str">
        <v>nuci, alune, migdale</v>
      </c>
      <c r="I9" s="13" t="str">
        <v>03. Mașină de decojire și curățare a nucilor verzi 700 kg-h.pdf</v>
      </c>
      <c r="J9" s="5" t="n">
        <v>92</v>
      </c>
      <c r="K9" s="5" t="str">
        <v>Broșură în dosar</v>
      </c>
      <c r="L9" s="5"/>
      <c r="M9" s="13" t="str">
        <v>Pagina produs</v>
      </c>
    </row>
    <row r="10" ht="48" customHeight="1">
      <c r="A10" s="5" t="n">
        <v>5</v>
      </c>
      <c r="B10" s="5" t="str">
        <v>Decojire coaja verde si spalare</v>
      </c>
      <c r="C10" s="5" t="str">
        <v>Mașină industrială de decojire și spălare (1 t/h)</v>
      </c>
      <c r="D10" s="5" t="str">
        <v>până la 1 t/h</v>
      </c>
      <c r="E10" s="5" t="str">
        <v>3.7 kW</v>
      </c>
      <c r="F10" s="5" t="str">
        <v>220 V</v>
      </c>
      <c r="G10" s="5" t="str">
        <v>oțel</v>
      </c>
      <c r="H10" s="5" t="str">
        <v>nuci, alune, migdale</v>
      </c>
      <c r="I10" s="13" t="str">
        <v>04. Mașină industrială de decojire și spălare (1 t-h).pdf</v>
      </c>
      <c r="J10" s="5" t="n">
        <v>94</v>
      </c>
      <c r="K10" s="5" t="str">
        <v>Broșură în dosar</v>
      </c>
      <c r="L10" s="5"/>
      <c r="M10" s="13" t="str">
        <v>Pagina produs</v>
      </c>
    </row>
    <row r="11" ht="48" customHeight="1">
      <c r="A11" s="5" t="n">
        <v>6</v>
      </c>
      <c r="B11" s="5" t="str">
        <v>Decojire coaja verde si spalare</v>
      </c>
      <c r="C11" s="5" t="str">
        <v>Mașină pentru îndepărtarea cojii verzi a alunelor</v>
      </c>
      <c r="D11" s="5" t="str">
        <v>până la 300 kg/h</v>
      </c>
      <c r="E11" s="5" t="str">
        <v>2.2 kW</v>
      </c>
      <c r="F11" s="5" t="str">
        <v>220 V</v>
      </c>
      <c r="G11" s="5" t="str">
        <v>oțel</v>
      </c>
      <c r="H11" s="5" t="str">
        <v>nuci, alune, migdale</v>
      </c>
      <c r="I11" s="13" t="str">
        <v>05. Mașină pentru îndepărtarea cojii verzi a alunelor.pdf</v>
      </c>
      <c r="J11" s="5" t="n">
        <v>97</v>
      </c>
      <c r="K11" s="5" t="str">
        <v>Broșură în dosar</v>
      </c>
      <c r="L11" s="5"/>
      <c r="M11" s="13" t="str">
        <v>Pagina produs</v>
      </c>
    </row>
    <row r="12" ht="48" customHeight="1">
      <c r="A12" s="5" t="n">
        <v>7</v>
      </c>
      <c r="B12" s="5" t="str">
        <v>Uscare si incarcare uscator</v>
      </c>
      <c r="C12" s="5" t="str">
        <v>Uscător pentru nuci, alune și migdale în coajă (până la 1 tonă/24 ore)</v>
      </c>
      <c r="D12" s="5" t="str">
        <v>până la 1 t/zi</v>
      </c>
      <c r="E12" s="5" t="str">
        <v>12 kW</v>
      </c>
      <c r="F12" s="5" t="str">
        <v>380 V</v>
      </c>
      <c r="G12" s="5" t="str">
        <v>oțel</v>
      </c>
      <c r="H12" s="5" t="str">
        <v>nuci, alune, migdale</v>
      </c>
      <c r="I12" s="13" t="str">
        <v>01. Uscător pentru nuci, alune și migdale în coajă (până la 1 tonă-24 ore).pdf</v>
      </c>
      <c r="J12" s="5" t="n">
        <v>99</v>
      </c>
      <c r="K12" s="5" t="str">
        <v>Broșură în dosar</v>
      </c>
      <c r="L12" s="5"/>
      <c r="M12" s="13" t="str">
        <v>Pagina produs</v>
      </c>
    </row>
    <row r="13" ht="48" customHeight="1">
      <c r="A13" s="5" t="n">
        <v>8</v>
      </c>
      <c r="B13" s="5" t="str">
        <v>Uscare si incarcare uscator</v>
      </c>
      <c r="C13" s="5" t="str">
        <v>Uscător pentru nuci, alune și migdale în coajă (până la 2 tone/24 ore)</v>
      </c>
      <c r="D13" s="5" t="str">
        <v>până la 2 t/24h (titlu); site: 1 t/zi</v>
      </c>
      <c r="E13" s="5" t="str">
        <v>12 kW</v>
      </c>
      <c r="F13" s="5" t="str">
        <v>380 V</v>
      </c>
      <c r="G13" s="5" t="str">
        <v>oțel</v>
      </c>
      <c r="H13" s="5" t="str">
        <v>nuci, alune, migdale</v>
      </c>
      <c r="I13" s="13" t="str">
        <v>02. Uscător pentru nuci, alune și migdale în coajă (până la 2 tone-24 ore).pdf</v>
      </c>
      <c r="J13" s="5" t="n">
        <v>99</v>
      </c>
      <c r="K13" s="5" t="str">
        <v>Broșură în dosar</v>
      </c>
      <c r="L13" s="5" t="str">
        <v>Pe site, broșura atașată este cea a uscătorului de 1 t/24h (nu există broșură separată pt. 2 t). Specificația de pe site indică tot „până la 1 t/zi” – de clarificat cu producătorul.</v>
      </c>
      <c r="M13" s="13" t="str">
        <v>Pagina produs</v>
      </c>
    </row>
    <row r="14" ht="48" customHeight="1">
      <c r="A14" s="5" t="n">
        <v>9</v>
      </c>
      <c r="B14" s="5" t="str">
        <v>Uscare si incarcare uscator</v>
      </c>
      <c r="C14" s="5" t="str">
        <v>Uscător pentru nuci, alune și migdale în coajă (2 tone/zi)</v>
      </c>
      <c r="D14" s="5" t="str">
        <v>până la 2 t/zi</v>
      </c>
      <c r="E14" s="5" t="str">
        <v>14 kW</v>
      </c>
      <c r="F14" s="5" t="str">
        <v>380 V</v>
      </c>
      <c r="G14" s="5" t="str">
        <v>oțel</v>
      </c>
      <c r="H14" s="5" t="str">
        <v>nuci, alune, migdale</v>
      </c>
      <c r="I14" s="13" t="str">
        <v>03. Uscător pentru nuci, alune și migdale în coajă (2 tone-zi).pdf</v>
      </c>
      <c r="J14" s="5" t="n">
        <v>101</v>
      </c>
      <c r="K14" s="5" t="str">
        <v>Broșură în dosar</v>
      </c>
      <c r="L14" s="5"/>
      <c r="M14" s="13" t="str">
        <v>Pagina produs</v>
      </c>
    </row>
    <row r="15" ht="48" customHeight="1">
      <c r="A15" s="5" t="n">
        <v>10</v>
      </c>
      <c r="B15" s="5" t="str">
        <v>Uscare si incarcare uscator</v>
      </c>
      <c r="C15" s="5" t="str">
        <v>Uscător pentru nuci, alune și migdale în coajă (4 tone/zi)</v>
      </c>
      <c r="D15" s="5" t="str">
        <v>până la 4 t/zi</v>
      </c>
      <c r="E15" s="5" t="str">
        <v>14 kW</v>
      </c>
      <c r="F15" s="5" t="str">
        <v>380 V</v>
      </c>
      <c r="G15" s="5" t="str">
        <v>oțel</v>
      </c>
      <c r="H15" s="5" t="str">
        <v>nuci, alune, migdale</v>
      </c>
      <c r="I15" s="13" t="str">
        <v>04. Uscător pentru nuci, alune și migdale în coajă (4 tone-zi).pdf</v>
      </c>
      <c r="J15" s="5" t="n">
        <v>103</v>
      </c>
      <c r="K15" s="5" t="str">
        <v>Broșură în dosar</v>
      </c>
      <c r="L15" s="5" t="str">
        <v>Pe site câmpul „Material” este completat greșit („Ukraine”); corect: oțel.</v>
      </c>
      <c r="M15" s="13" t="str">
        <v>Pagina produs</v>
      </c>
    </row>
    <row r="16" ht="48" customHeight="1">
      <c r="A16" s="5" t="n">
        <v>11</v>
      </c>
      <c r="B16" s="5" t="str">
        <v>Uscare si incarcare uscator</v>
      </c>
      <c r="C16" s="5" t="str">
        <v>Conveyor de alimentare pentru uscător 2 t/zi</v>
      </c>
      <c r="D16" s="5"/>
      <c r="E16" s="5" t="str">
        <v>0.55 kW</v>
      </c>
      <c r="F16" s="5" t="str">
        <v>220 / 380 V</v>
      </c>
      <c r="G16" s="5" t="str">
        <v>oțel, PVC</v>
      </c>
      <c r="H16" s="5" t="str">
        <v>nuci, alune, migdale</v>
      </c>
      <c r="I16" s="13" t="str">
        <v>05. Conveyor de alimentare pentru uscător 2 t-zi.pdf</v>
      </c>
      <c r="J16" s="5" t="n">
        <v>107</v>
      </c>
      <c r="K16" s="5" t="str">
        <v>Broșură în dosar</v>
      </c>
      <c r="L16" s="5" t="str">
        <v>Broșură comună cu banda pentru uscătorul 4 t/h.</v>
      </c>
      <c r="M16" s="13" t="str">
        <v>Pagina produs</v>
      </c>
    </row>
    <row r="17" ht="48" customHeight="1">
      <c r="A17" s="5" t="n">
        <v>12</v>
      </c>
      <c r="B17" s="5" t="str">
        <v>Uscare si incarcare uscator</v>
      </c>
      <c r="C17" s="5" t="str">
        <v>Conveyor de alimentare pentru uscător 4 t/h</v>
      </c>
      <c r="D17" s="5" t="str">
        <v>4 t/h (din denumire)</v>
      </c>
      <c r="E17" s="5" t="str">
        <v>0.55 kW</v>
      </c>
      <c r="F17" s="5" t="str">
        <v>220 / 380 V</v>
      </c>
      <c r="G17" s="5" t="str">
        <v>oțel, PVC</v>
      </c>
      <c r="H17" s="5" t="str">
        <v>nuci, alune, migdale</v>
      </c>
      <c r="I17" s="13" t="str">
        <v>06. Conveyor de alimentare pentru uscător 4 t-h.pdf</v>
      </c>
      <c r="J17" s="5" t="n">
        <v>107</v>
      </c>
      <c r="K17" s="5" t="str">
        <v>Broșură în dosar</v>
      </c>
      <c r="L17" s="5" t="str">
        <v>Broșură comună cu banda pentru uscătorul 2 t/zi.</v>
      </c>
      <c r="M17" s="13" t="str">
        <v>Pagina produs</v>
      </c>
    </row>
    <row r="18" ht="48" customHeight="1">
      <c r="A18" s="5" t="n">
        <v>13</v>
      </c>
      <c r="B18" s="5" t="str">
        <v>Uscare si incarcare uscator</v>
      </c>
      <c r="C18" s="5" t="str">
        <v>Elevator cu încărcare/descărcare Noria 2 tone pe oră</v>
      </c>
      <c r="D18" s="5" t="str">
        <v>2 t/h (din denumire)</v>
      </c>
      <c r="E18" s="5"/>
      <c r="F18" s="5" t="str">
        <v>220 / 380 V</v>
      </c>
      <c r="G18" s="5" t="str">
        <v>oțel</v>
      </c>
      <c r="H18" s="5" t="str">
        <v>nuci, alune, migdale</v>
      </c>
      <c r="I18" s="13" t="str">
        <v>07. Elevator cu încărcare-descărcare Noria 2 tone pe oră.pdf</v>
      </c>
      <c r="J18" s="5" t="n">
        <v>107</v>
      </c>
      <c r="K18" s="5" t="str">
        <v>Broșură în dosar</v>
      </c>
      <c r="L18" s="5" t="str">
        <v>Site-ul trimite la broșura „Loading conveyor” (bandă de alimentare uscător) – nu există broșură dedicată pentru elevatorul Noria.</v>
      </c>
      <c r="M18" s="13" t="str">
        <v>Pagina produs</v>
      </c>
    </row>
    <row r="19" ht="48" customHeight="1">
      <c r="A19" s="5" t="n">
        <v>14</v>
      </c>
      <c r="B19" s="5" t="str">
        <v>Uscare si incarcare uscator</v>
      </c>
      <c r="C19" s="5" t="str">
        <v>Elevator cu încărcare/descărcare Noria 4 tone pe oră</v>
      </c>
      <c r="D19" s="5" t="str">
        <v>4 t/h (din denumire)</v>
      </c>
      <c r="E19" s="5"/>
      <c r="F19" s="5" t="str">
        <v>220 / 380 V</v>
      </c>
      <c r="G19" s="5" t="str">
        <v>oțel</v>
      </c>
      <c r="H19" s="5" t="str">
        <v>nuci, alune, migdale</v>
      </c>
      <c r="I19" s="13" t="str">
        <v>08. Elevator cu încărcare-descărcare Noria 4 tone pe oră.pdf</v>
      </c>
      <c r="J19" s="5" t="n">
        <v>107</v>
      </c>
      <c r="K19" s="5" t="str">
        <v>Broșură în dosar</v>
      </c>
      <c r="L19" s="5" t="str">
        <v>Site-ul trimite la broșura „Loading conveyor” (bandă de alimentare uscător) – nu există broșură dedicată pentru elevatorul Noria.</v>
      </c>
      <c r="M19" s="13" t="str">
        <v>Pagina produs</v>
      </c>
    </row>
    <row r="20" ht="48" customHeight="1">
      <c r="A20" s="5" t="n">
        <v>15</v>
      </c>
      <c r="B20" s="5" t="str">
        <v>Calibrare si sortare in coaja</v>
      </c>
      <c r="C20" s="5" t="str">
        <v>Calibrator liniar pentru toate tipurile de nuci</v>
      </c>
      <c r="D20" s="5" t="str">
        <v>până la 100 kg/h</v>
      </c>
      <c r="E20" s="5" t="str">
        <v>0.55 kW</v>
      </c>
      <c r="F20" s="5" t="str">
        <v>220 / 380 V</v>
      </c>
      <c r="G20" s="5" t="str">
        <v>oțel</v>
      </c>
      <c r="H20" s="5" t="str">
        <v>nuci, migdale</v>
      </c>
      <c r="I20" s="13" t="str">
        <v>01. Calibrator liniar pentru toate tipurile de nuci.pdf</v>
      </c>
      <c r="J20" s="5" t="n">
        <v>109</v>
      </c>
      <c r="K20" s="5" t="str">
        <v>Broșură în dosar</v>
      </c>
      <c r="L20" s="5"/>
      <c r="M20" s="13" t="str">
        <v>Pagina produs</v>
      </c>
    </row>
    <row r="21" ht="48" customHeight="1">
      <c r="A21" s="5" t="n">
        <v>16</v>
      </c>
      <c r="B21" s="5" t="str">
        <v>Calibrare si sortare in coaja</v>
      </c>
      <c r="C21" s="5" t="str">
        <v>Mașină de calibrare a nucilor în 4 fracții</v>
      </c>
      <c r="D21" s="5" t="str">
        <v>până la 300 kg/h</v>
      </c>
      <c r="E21" s="5" t="str">
        <v>0.55 kW</v>
      </c>
      <c r="F21" s="5" t="str">
        <v>220 V</v>
      </c>
      <c r="G21" s="5" t="str">
        <v>oțel</v>
      </c>
      <c r="H21" s="5" t="str">
        <v>nuci</v>
      </c>
      <c r="I21" s="13" t="str">
        <v>02. Mașină de calibrare a nucilor în 4 fracții.pdf</v>
      </c>
      <c r="J21" s="5" t="n">
        <v>111</v>
      </c>
      <c r="K21" s="5" t="str">
        <v>Broșură în dosar</v>
      </c>
      <c r="L21" s="5"/>
      <c r="M21" s="13" t="str">
        <v>Pagina produs</v>
      </c>
    </row>
    <row r="22" ht="48" customHeight="1">
      <c r="A22" s="5" t="n">
        <v>17</v>
      </c>
      <c r="B22" s="5" t="str">
        <v>Calibrare si sortare in coaja</v>
      </c>
      <c r="C22" s="5" t="str">
        <v>Mașină de calibrare a nucilor în 8 fracții</v>
      </c>
      <c r="D22" s="5" t="str">
        <v>până la 500 kg/h</v>
      </c>
      <c r="E22" s="5" t="str">
        <v>2.95 kW</v>
      </c>
      <c r="F22" s="5" t="str">
        <v>380 V</v>
      </c>
      <c r="G22" s="5" t="str">
        <v>oțel</v>
      </c>
      <c r="H22" s="5" t="str">
        <v>nuci</v>
      </c>
      <c r="I22" s="13" t="str">
        <v>03. Mașină de calibrare a nucilor în 8 fracții.pdf</v>
      </c>
      <c r="J22" s="5" t="n">
        <v>113</v>
      </c>
      <c r="K22" s="5" t="str">
        <v>Broșură în dosar</v>
      </c>
      <c r="L22" s="5"/>
      <c r="M22" s="13" t="str">
        <v>Pagina produs</v>
      </c>
    </row>
    <row r="23" ht="48" customHeight="1">
      <c r="A23" s="5" t="n">
        <v>18</v>
      </c>
      <c r="B23" s="5" t="str">
        <v>Calibrare si sortare in coaja</v>
      </c>
      <c r="C23" s="5" t="str">
        <v>Mașină pentru sortarea nucilor goale în coajă</v>
      </c>
      <c r="D23" s="5" t="str">
        <v>până la 300 kg/h</v>
      </c>
      <c r="E23" s="5" t="str">
        <v>4.5 kW</v>
      </c>
      <c r="F23" s="5" t="str">
        <v>380 V</v>
      </c>
      <c r="G23" s="5" t="str">
        <v>oțel</v>
      </c>
      <c r="H23" s="5" t="str">
        <v>nuci, alune, migdale</v>
      </c>
      <c r="I23" s="13" t="str">
        <v>04. Mașină pentru sortarea nucilor goale în coajă.pdf</v>
      </c>
      <c r="J23" s="5" t="n">
        <v>116</v>
      </c>
      <c r="K23" s="5" t="str">
        <v>Broșură în dosar</v>
      </c>
      <c r="L23" s="5"/>
      <c r="M23" s="13" t="str">
        <v>Pagina produs</v>
      </c>
    </row>
    <row r="24" ht="48" customHeight="1">
      <c r="A24" s="5" t="n">
        <v>19</v>
      </c>
      <c r="B24" s="5" t="str">
        <v>Calibrare si sortare in coaja</v>
      </c>
      <c r="C24" s="5" t="str">
        <v>Mașină de calibrare a alunelor</v>
      </c>
      <c r="D24" s="5" t="str">
        <v>până la 200 kg/h</v>
      </c>
      <c r="E24" s="5" t="str">
        <v>1.1 kW</v>
      </c>
      <c r="F24" s="5" t="str">
        <v>220 V</v>
      </c>
      <c r="G24" s="5" t="str">
        <v>oțel</v>
      </c>
      <c r="H24" s="5" t="str">
        <v>nuci, alune, migdale</v>
      </c>
      <c r="I24" s="13" t="str">
        <v>05. Mașină de calibrare a alunelor.pdf</v>
      </c>
      <c r="J24" s="5" t="n">
        <v>118</v>
      </c>
      <c r="K24" s="5" t="str">
        <v>Broșură în dosar</v>
      </c>
      <c r="L24" s="5"/>
      <c r="M24" s="13" t="str">
        <v>Pagina produs</v>
      </c>
    </row>
    <row r="25" ht="48" customHeight="1">
      <c r="A25" s="5" t="n">
        <v>20</v>
      </c>
      <c r="B25" s="5" t="str">
        <v>Calibrare si sortare in coaja</v>
      </c>
      <c r="C25" s="5" t="str">
        <v>Mașină de calibrare a alunelor în 3 fracții</v>
      </c>
      <c r="D25" s="5" t="str">
        <v>până la 200 kg/h</v>
      </c>
      <c r="E25" s="5" t="str">
        <v>0.75 kW</v>
      </c>
      <c r="F25" s="5" t="str">
        <v>380 V</v>
      </c>
      <c r="G25" s="5" t="str">
        <v>oțel</v>
      </c>
      <c r="H25" s="5" t="str">
        <v>alune</v>
      </c>
      <c r="I25" s="13" t="str">
        <v>06. Mașină de calibrare a alunelor în 3 fracții.pdf</v>
      </c>
      <c r="J25" s="5" t="n">
        <v>120</v>
      </c>
      <c r="K25" s="5" t="str">
        <v>Broșură în dosar</v>
      </c>
      <c r="L25" s="5" t="str">
        <v>Site-ul trimite la broșura calibratorului de alune 8 fracții (nu există broșură separată pt. 3 fracții).</v>
      </c>
      <c r="M25" s="13" t="str">
        <v>Pagina produs</v>
      </c>
    </row>
    <row r="26" ht="48" customHeight="1">
      <c r="A26" s="5" t="n">
        <v>21</v>
      </c>
      <c r="B26" s="5" t="str">
        <v>Calibrare si sortare in coaja</v>
      </c>
      <c r="C26" s="5" t="str">
        <v>Mașină de calibrare a alunelor în 8 fracții</v>
      </c>
      <c r="D26" s="5" t="str">
        <v>până la 500 kg/h</v>
      </c>
      <c r="E26" s="5" t="str">
        <v>2.95 kW</v>
      </c>
      <c r="F26" s="5" t="str">
        <v>380 V</v>
      </c>
      <c r="G26" s="5" t="str">
        <v>oțel</v>
      </c>
      <c r="H26" s="5" t="str">
        <v>alune</v>
      </c>
      <c r="I26" s="13" t="str">
        <v>07. Mașină de calibrare a alunelor în 8 fracții.pdf</v>
      </c>
      <c r="J26" s="5" t="n">
        <v>120</v>
      </c>
      <c r="K26" s="5" t="str">
        <v>Broșură în dosar</v>
      </c>
      <c r="L26" s="5" t="str">
        <v>Broșură comună cu calibratorul de alune 3 fracții.</v>
      </c>
      <c r="M26" s="13" t="str">
        <v>Pagina produs</v>
      </c>
    </row>
    <row r="27" ht="48" customHeight="1">
      <c r="A27" s="5" t="n">
        <v>22</v>
      </c>
      <c r="B27" s="5" t="str">
        <v>Spargere</v>
      </c>
      <c r="C27" s="5" t="str">
        <v>Mașină de spart nuci 50 kg/h</v>
      </c>
      <c r="D27" s="5" t="str">
        <v>până la 50 kg/h</v>
      </c>
      <c r="E27" s="5" t="str">
        <v>0.55 kW</v>
      </c>
      <c r="F27" s="5" t="str">
        <v>220 V</v>
      </c>
      <c r="G27" s="5"/>
      <c r="H27" s="5" t="str">
        <v>nuci</v>
      </c>
      <c r="I27" s="13" t="str">
        <v>01. Mașină de spart nuci 50 kg-h.pdf</v>
      </c>
      <c r="J27" s="5" t="n">
        <v>123</v>
      </c>
      <c r="K27" s="5" t="str">
        <v>Broșură în dosar</v>
      </c>
      <c r="L27" s="5"/>
      <c r="M27" s="13" t="str">
        <v>Pagina produs</v>
      </c>
    </row>
    <row r="28" ht="48" customHeight="1">
      <c r="A28" s="5" t="n">
        <v>23</v>
      </c>
      <c r="B28" s="5" t="str">
        <v>Spargere</v>
      </c>
      <c r="C28" s="5" t="str">
        <v>Mașină de spart nuci 100 kg/h</v>
      </c>
      <c r="D28" s="5" t="str">
        <v>până la 100 kg/h</v>
      </c>
      <c r="E28" s="5" t="str">
        <v>0.55 kW</v>
      </c>
      <c r="F28" s="5" t="str">
        <v>220 V</v>
      </c>
      <c r="G28" s="5"/>
      <c r="H28" s="5" t="str">
        <v>nuci</v>
      </c>
      <c r="I28" s="13" t="str">
        <v>02. Mașină de spart nuci 100 kg-h.pdf</v>
      </c>
      <c r="J28" s="5" t="n">
        <v>125</v>
      </c>
      <c r="K28" s="5" t="str">
        <v>Broșură în dosar</v>
      </c>
      <c r="L28" s="5"/>
      <c r="M28" s="13" t="str">
        <v>Pagina produs</v>
      </c>
    </row>
    <row r="29" ht="48" customHeight="1">
      <c r="A29" s="5" t="n">
        <v>24</v>
      </c>
      <c r="B29" s="5" t="str">
        <v>Spargere</v>
      </c>
      <c r="C29" s="5" t="str">
        <v>Mașină de spart nuci 200 kg/h</v>
      </c>
      <c r="D29" s="5" t="str">
        <v>până la 200 kg/h</v>
      </c>
      <c r="E29" s="5" t="str">
        <v>1.5 kW</v>
      </c>
      <c r="F29" s="5" t="str">
        <v>380 V</v>
      </c>
      <c r="G29" s="5"/>
      <c r="H29" s="5" t="str">
        <v>nuci</v>
      </c>
      <c r="I29" s="13" t="str">
        <v>03. Mașină de spart nuci 200 kg-h.pdf</v>
      </c>
      <c r="J29" s="5" t="n">
        <v>127</v>
      </c>
      <c r="K29" s="5" t="str">
        <v>Broșură în dosar</v>
      </c>
      <c r="L29" s="5"/>
      <c r="M29" s="13" t="str">
        <v>Pagina produs</v>
      </c>
    </row>
    <row r="30" ht="48" customHeight="1">
      <c r="A30" s="5" t="n">
        <v>25</v>
      </c>
      <c r="B30" s="5" t="str">
        <v>Spargere</v>
      </c>
      <c r="C30" s="5" t="str">
        <v>Mașină industrială de spart nuci cu coloană de aspirație integrată (200 kg/h)</v>
      </c>
      <c r="D30" s="5" t="str">
        <v>până la 200 kg/h</v>
      </c>
      <c r="E30" s="5" t="str">
        <v>2.05 kW</v>
      </c>
      <c r="F30" s="5" t="str">
        <v>380 V</v>
      </c>
      <c r="G30" s="5"/>
      <c r="H30" s="5" t="str">
        <v>nuci</v>
      </c>
      <c r="I30" s="13" t="str">
        <v>04. Mașină industrială de spart nuci cu coloană de aspirație integrată (200 kg-h).pdf</v>
      </c>
      <c r="J30" s="5" t="n">
        <v>129</v>
      </c>
      <c r="K30" s="5" t="str">
        <v>Broșură în dosar</v>
      </c>
      <c r="L30" s="5"/>
      <c r="M30" s="13" t="str">
        <v>Pagina produs</v>
      </c>
    </row>
    <row r="31" ht="48" customHeight="1">
      <c r="A31" s="5" t="n">
        <v>26</v>
      </c>
      <c r="B31" s="5" t="str">
        <v>Spargere</v>
      </c>
      <c r="C31" s="5" t="str">
        <v>Spărgător de nuci pentru etapa post-spărgere</v>
      </c>
      <c r="D31" s="5" t="str">
        <v>până la 200 kg/h</v>
      </c>
      <c r="E31" s="5" t="str">
        <v>1.1 kW</v>
      </c>
      <c r="F31" s="5" t="str">
        <v>380 V</v>
      </c>
      <c r="G31" s="5"/>
      <c r="H31" s="5" t="str">
        <v>nuci, alune, migdale</v>
      </c>
      <c r="I31" s="13" t="str">
        <v>05. Spărgător de nuci pentru etapa post-spărgere.pdf</v>
      </c>
      <c r="J31" s="5" t="n">
        <v>132</v>
      </c>
      <c r="K31" s="5" t="str">
        <v>Broșură în dosar</v>
      </c>
      <c r="L31" s="5"/>
      <c r="M31" s="13" t="str">
        <v>Pagina produs</v>
      </c>
    </row>
    <row r="32" ht="48" customHeight="1">
      <c r="A32" s="5" t="n">
        <v>27</v>
      </c>
      <c r="B32" s="5" t="str">
        <v>Spargere</v>
      </c>
      <c r="C32" s="5" t="str">
        <v>Spărgător cu tambur pentru alune și migdale</v>
      </c>
      <c r="D32" s="5" t="str">
        <v>până la 200 kg/h</v>
      </c>
      <c r="E32" s="5" t="str">
        <v>1.1 kW</v>
      </c>
      <c r="F32" s="5" t="str">
        <v>380 V</v>
      </c>
      <c r="G32" s="5"/>
      <c r="H32" s="5" t="str">
        <v>alune, migdale</v>
      </c>
      <c r="I32" s="13" t="str">
        <v>06. Spărgător cu tambur pentru alune și migdale.pdf</v>
      </c>
      <c r="J32" s="5" t="n">
        <v>134</v>
      </c>
      <c r="K32" s="5" t="str">
        <v>Broșură în dosar</v>
      </c>
      <c r="L32" s="5" t="str">
        <v>Pe site mai apare o intrare duplicat (ID 6138) cu pagină inexistentă.</v>
      </c>
      <c r="M32" s="13" t="str">
        <v>Pagina produs</v>
      </c>
    </row>
    <row r="33" ht="48" customHeight="1">
      <c r="A33" s="5" t="n">
        <v>28</v>
      </c>
      <c r="B33" s="5" t="str">
        <v>Spargere</v>
      </c>
      <c r="C33" s="5" t="str">
        <v>Spărgător de alune cu aspirație (200 kg/h)</v>
      </c>
      <c r="D33" s="5" t="str">
        <v>până la 200 kg/h</v>
      </c>
      <c r="E33" s="5" t="str">
        <v>1.1 kW</v>
      </c>
      <c r="F33" s="5" t="str">
        <v>380 V</v>
      </c>
      <c r="G33" s="5"/>
      <c r="H33" s="5" t="str">
        <v>alune, migdale</v>
      </c>
      <c r="I33" s="13" t="str">
        <v>07. Spărgător de alune cu aspirație (200 kg-h).pdf</v>
      </c>
      <c r="J33" s="5" t="n">
        <v>134</v>
      </c>
      <c r="K33" s="5" t="str">
        <v>Broșură în dosar</v>
      </c>
      <c r="L33" s="5" t="str">
        <v>Broșură comună cu spărgătorul cu tambur pentru alune și migdale (fără coloană de aspirație).</v>
      </c>
      <c r="M33" s="13" t="str">
        <v>Pagina produs</v>
      </c>
    </row>
    <row r="34" ht="48" customHeight="1">
      <c r="A34" s="5" t="n">
        <v>29</v>
      </c>
      <c r="B34" s="5" t="str">
        <v>Separare miez si sortare</v>
      </c>
      <c r="C34" s="5" t="str">
        <v>Mașină pentru separarea miezului de coajă (100 kg/h)</v>
      </c>
      <c r="D34" s="5" t="str">
        <v>până la 100 kg/h</v>
      </c>
      <c r="E34" s="5" t="str">
        <v>0.55 kW</v>
      </c>
      <c r="F34" s="5" t="str">
        <v>220 V</v>
      </c>
      <c r="G34" s="5" t="str">
        <v>oțel</v>
      </c>
      <c r="H34" s="5" t="str">
        <v>nuci, alune, migdale</v>
      </c>
      <c r="I34" s="13" t="str">
        <v>01. Mașină pentru separarea miezului de coajă (100 kg-h).pdf</v>
      </c>
      <c r="J34" s="5" t="n">
        <v>136</v>
      </c>
      <c r="K34" s="5" t="str">
        <v>Broșură în dosar</v>
      </c>
      <c r="L34" s="5"/>
      <c r="M34" s="13" t="str">
        <v>Pagina produs</v>
      </c>
    </row>
    <row r="35" ht="48" customHeight="1">
      <c r="A35" s="5" t="n">
        <v>30</v>
      </c>
      <c r="B35" s="5" t="str">
        <v>Separare miez si sortare</v>
      </c>
      <c r="C35" s="5" t="str">
        <v>Mașină pentru separarea miezului de coajă (300 kg/h)</v>
      </c>
      <c r="D35" s="5" t="str">
        <v>până la 300 kg/h</v>
      </c>
      <c r="E35" s="5" t="str">
        <v>1.5 kW</v>
      </c>
      <c r="F35" s="5" t="str">
        <v>220 / 380 V</v>
      </c>
      <c r="G35" s="5" t="str">
        <v>oțel</v>
      </c>
      <c r="H35" s="5" t="str">
        <v>nuci, alune, migdale</v>
      </c>
      <c r="I35" s="13" t="str">
        <v>02. Mașină pentru separarea miezului de coajă (300 kg-h).pdf</v>
      </c>
      <c r="J35" s="5" t="n">
        <v>138</v>
      </c>
      <c r="K35" s="5" t="str">
        <v>Broșură în dosar</v>
      </c>
      <c r="L35" s="5"/>
      <c r="M35" s="13" t="str">
        <v>Pagina produs</v>
      </c>
    </row>
    <row r="36" ht="48" customHeight="1">
      <c r="A36" s="5" t="n">
        <v>31</v>
      </c>
      <c r="B36" s="5" t="str">
        <v>Separare miez si sortare</v>
      </c>
      <c r="C36" s="5" t="str">
        <v>Mașină pentru separarea miezului de nucă (200 kg/h)</v>
      </c>
      <c r="D36" s="5" t="str">
        <v>până la 200 kg/h</v>
      </c>
      <c r="E36" s="5" t="str">
        <v>0.55 kW</v>
      </c>
      <c r="F36" s="5" t="str">
        <v>220 / 380 V</v>
      </c>
      <c r="G36" s="5" t="str">
        <v>oțel</v>
      </c>
      <c r="H36" s="5" t="str">
        <v>nuci, alune, migdale</v>
      </c>
      <c r="I36" s="13" t="str">
        <v>03. Mașină pentru separarea miezului de nucă (200 kg-h).pdf</v>
      </c>
      <c r="J36" s="5" t="n">
        <v>140</v>
      </c>
      <c r="K36" s="5" t="str">
        <v>Broșură în dosar</v>
      </c>
      <c r="L36" s="5"/>
      <c r="M36" s="13" t="str">
        <v>Pagina produs</v>
      </c>
    </row>
    <row r="37" ht="48" customHeight="1">
      <c r="A37" s="5" t="n">
        <v>32</v>
      </c>
      <c r="B37" s="5" t="str">
        <v>Separare miez si sortare</v>
      </c>
      <c r="C37" s="5" t="str">
        <v>Sit vibratoare cu aspirație pentru sortarea nucilor (200 kg/h)</v>
      </c>
      <c r="D37" s="5" t="str">
        <v>până la 200 kg/h</v>
      </c>
      <c r="E37" s="5" t="str">
        <v>1.9 kW</v>
      </c>
      <c r="F37" s="5" t="str">
        <v>380 V</v>
      </c>
      <c r="G37" s="5" t="str">
        <v>oțel</v>
      </c>
      <c r="H37" s="5" t="str">
        <v>nuci, alune, migdale</v>
      </c>
      <c r="I37" s="13" t="str">
        <v>04. Sit vibratoare cu aspirație pentru sortarea nucilor (200 kg-h).pdf</v>
      </c>
      <c r="J37" s="5" t="n">
        <v>142</v>
      </c>
      <c r="K37" s="5" t="str">
        <v>Broșură în dosar</v>
      </c>
      <c r="L37" s="5"/>
      <c r="M37" s="13" t="str">
        <v>Pagina produs</v>
      </c>
    </row>
    <row r="38" ht="48" customHeight="1">
      <c r="A38" s="5" t="n">
        <v>33</v>
      </c>
      <c r="B38" s="5" t="str">
        <v>Separare miez si sortare</v>
      </c>
      <c r="C38" s="5" t="str">
        <v>Sit vibratoare cu aspirație pentru sortarea nucilor (300 kg/h)</v>
      </c>
      <c r="D38" s="5" t="str">
        <v>până la 300 kg/h</v>
      </c>
      <c r="E38" s="5" t="str">
        <v>3 kW</v>
      </c>
      <c r="F38" s="5" t="str">
        <v>380 V</v>
      </c>
      <c r="G38" s="5" t="str">
        <v>oțel</v>
      </c>
      <c r="H38" s="5" t="str">
        <v>nuci, alune, migdale</v>
      </c>
      <c r="I38" s="13" t="str">
        <v>05. Sit vibratoare cu aspirație pentru sortarea nucilor (300 kg-h).pdf</v>
      </c>
      <c r="J38" s="5" t="n">
        <v>144</v>
      </c>
      <c r="K38" s="5" t="str">
        <v>Broșură în dosar</v>
      </c>
      <c r="L38" s="5"/>
      <c r="M38" s="13" t="str">
        <v>Pagina produs</v>
      </c>
    </row>
    <row r="39" ht="48" customHeight="1">
      <c r="A39" s="5" t="n">
        <v>34</v>
      </c>
      <c r="B39" s="5" t="str">
        <v>Separare miez si sortare</v>
      </c>
      <c r="C39" s="5" t="str">
        <v>Transportor elevatoare pentru nuci</v>
      </c>
      <c r="D39" s="5"/>
      <c r="E39" s="5" t="str">
        <v>0.55 kW</v>
      </c>
      <c r="F39" s="5" t="str">
        <v>220 / 380 V</v>
      </c>
      <c r="G39" s="5" t="str">
        <v>oțel, PVC</v>
      </c>
      <c r="H39" s="5" t="str">
        <v>nuci, alune, migdale</v>
      </c>
      <c r="I39" s="13" t="str">
        <v>06. Transportor elevatoare pentru nuci.pdf</v>
      </c>
      <c r="J39" s="5" t="n">
        <v>146</v>
      </c>
      <c r="K39" s="5" t="str">
        <v>Broșură în dosar</v>
      </c>
      <c r="L39" s="5"/>
      <c r="M39" s="13" t="str">
        <v>Pagina produs</v>
      </c>
    </row>
    <row r="40" ht="48" customHeight="1">
      <c r="A40" s="5" t="n">
        <v>35</v>
      </c>
      <c r="B40" s="5" t="str">
        <v>Separare miez si sortare</v>
      </c>
      <c r="C40" s="5" t="str">
        <v>Masă de inspecție cu bandă</v>
      </c>
      <c r="D40" s="5"/>
      <c r="E40" s="5" t="str">
        <v>0.55 kW</v>
      </c>
      <c r="F40" s="5" t="str">
        <v>220 / 380 V</v>
      </c>
      <c r="G40" s="5" t="str">
        <v>oțel, PVC</v>
      </c>
      <c r="H40" s="5" t="str">
        <v>nuci, alune, migdale</v>
      </c>
      <c r="I40" s="13" t="str">
        <v>07. Masă de inspecție cu bandă.pdf</v>
      </c>
      <c r="J40" s="5" t="n">
        <v>148</v>
      </c>
      <c r="K40" s="5" t="str">
        <v>Broșură în dosar</v>
      </c>
      <c r="L40" s="5"/>
      <c r="M40" s="13" t="str">
        <v>Pagina produs</v>
      </c>
    </row>
    <row r="41" ht="48" customHeight="1">
      <c r="A41" s="5" t="n">
        <v>36</v>
      </c>
      <c r="B41" s="5" t="str">
        <v>Separare miez si sortare</v>
      </c>
      <c r="C41" s="5" t="str">
        <v>Masă de inspecție cu bandă pe două niveluri</v>
      </c>
      <c r="D41" s="5"/>
      <c r="E41" s="5" t="str">
        <v>1.1 kW</v>
      </c>
      <c r="F41" s="5" t="str">
        <v>220/380 V</v>
      </c>
      <c r="G41" s="5" t="str">
        <v>oțel, PVC</v>
      </c>
      <c r="H41" s="5" t="str">
        <v>nuci</v>
      </c>
      <c r="I41" s="13" t="str">
        <v>08. Masă de inspecție cu bandă pe două niveluri.pdf</v>
      </c>
      <c r="J41" s="5" t="n">
        <v>150</v>
      </c>
      <c r="K41" s="5" t="str">
        <v>Broșură în dosar</v>
      </c>
      <c r="L41" s="5"/>
      <c r="M41" s="13" t="str">
        <v>Pagina produs</v>
      </c>
    </row>
    <row r="42" ht="48" customHeight="1">
      <c r="A42" s="5" t="n">
        <v>37</v>
      </c>
      <c r="B42" s="5" t="str">
        <v>Sortatoare optice</v>
      </c>
      <c r="C42" s="5" t="str">
        <v>Sortator optic IR-63</v>
      </c>
      <c r="D42" s="5" t="str">
        <v>până la 200 kg/h</v>
      </c>
      <c r="E42" s="5" t="str">
        <v>1.1 kW</v>
      </c>
      <c r="F42" s="5" t="str">
        <v>220 V</v>
      </c>
      <c r="G42" s="5"/>
      <c r="H42" s="5" t="str">
        <v>nuci, alune, migdale</v>
      </c>
      <c r="I42" s="5" t="str"/>
      <c r="J42" s="5"/>
      <c r="K42" s="5" t="str">
        <v>Imagine / fișă PDF lipsă</v>
      </c>
      <c r="L42" s="5" t="str">
        <v>Site-ul trimite GREȘIT la broșura spărgătorului cu tambur pt. alune/migdale – nu există broșură PDF pentru acest sortator; de cerut de la producător.</v>
      </c>
      <c r="M42" s="13" t="str">
        <v>Pagina produs</v>
      </c>
    </row>
    <row r="43" ht="48" customHeight="1">
      <c r="A43" s="5" t="n">
        <v>38</v>
      </c>
      <c r="B43" s="5" t="str">
        <v>Sortatoare optice</v>
      </c>
      <c r="C43" s="5" t="str">
        <v>Sortator optic 3S</v>
      </c>
      <c r="D43" s="5" t="str">
        <v>până la 400 kg/h</v>
      </c>
      <c r="E43" s="5" t="str">
        <v>2 kW</v>
      </c>
      <c r="F43" s="5" t="str">
        <v>220 V</v>
      </c>
      <c r="G43" s="5"/>
      <c r="H43" s="5" t="str">
        <v>nuci, alune, migdale</v>
      </c>
      <c r="I43" s="13" t="str">
        <v>02. Sortator optic 3S - imagine (fara brosura).png</v>
      </c>
      <c r="J43" s="5"/>
      <c r="K43" s="5" t="str">
        <v>Imagine / fișă PDF lipsă</v>
      </c>
      <c r="L43" s="5" t="str">
        <v>Nu există broșură PDF – pe site este atașată doar o imagine (salvată în folder).</v>
      </c>
      <c r="M43" s="13" t="str">
        <v>Pagina produs</v>
      </c>
    </row>
    <row r="44" ht="48" customHeight="1">
      <c r="A44" s="5" t="n">
        <v>39</v>
      </c>
      <c r="B44" s="5" t="str">
        <v>Sortatoare optice</v>
      </c>
      <c r="C44" s="5" t="str">
        <v>Sortator optic cu bandă M600</v>
      </c>
      <c r="D44" s="5" t="str">
        <v>până la 600 kg/h</v>
      </c>
      <c r="E44" s="5" t="str">
        <v>1.1 kW</v>
      </c>
      <c r="F44" s="5" t="str">
        <v>220 V</v>
      </c>
      <c r="G44" s="5"/>
      <c r="H44" s="5" t="str">
        <v>nuci, alune, migdale</v>
      </c>
      <c r="I44" s="13" t="str">
        <v>03. Sortator optic cu bandă M600 - imagine (fara brosura).jpg</v>
      </c>
      <c r="J44" s="5"/>
      <c r="K44" s="5" t="str">
        <v>Imagine / fișă PDF lipsă</v>
      </c>
      <c r="L44" s="5" t="str">
        <v>Nu există broșură PDF – pe site este atașată doar o imagine (salvată în folder).</v>
      </c>
      <c r="M44" s="13" t="str">
        <v>Pagina produs</v>
      </c>
    </row>
    <row r="45" ht="48" customHeight="1">
      <c r="A45" s="5" t="n">
        <v>40</v>
      </c>
      <c r="B45" s="5" t="str">
        <v>Linii complete de procesare</v>
      </c>
      <c r="C45" s="5" t="str">
        <v>Linie de spălare și uscare a nucilor (500 kg/h)</v>
      </c>
      <c r="D45" s="5" t="str">
        <v>până la 500 kg/h</v>
      </c>
      <c r="E45" s="5"/>
      <c r="F45" s="5" t="str">
        <v>220 / 380 V</v>
      </c>
      <c r="G45" s="5" t="str">
        <v>oțel</v>
      </c>
      <c r="H45" s="5" t="str">
        <v>nuci</v>
      </c>
      <c r="I45" s="13" t="str">
        <v>01. Linie de spălare și uscare a nucilor (500 kg-h).pdf</v>
      </c>
      <c r="J45" s="5" t="n">
        <v>152</v>
      </c>
      <c r="K45" s="5" t="str">
        <v>Broșură în dosar</v>
      </c>
      <c r="L45" s="5"/>
      <c r="M45" s="13" t="str">
        <v>Pagina produs</v>
      </c>
    </row>
    <row r="46" ht="48" customHeight="1">
      <c r="A46" s="5" t="n">
        <v>41</v>
      </c>
      <c r="B46" s="5" t="str">
        <v>Linii complete de procesare</v>
      </c>
      <c r="C46" s="5" t="str">
        <v>Linie industrială pentru procesarea nucilor (100 kg/h)</v>
      </c>
      <c r="D46" s="5" t="str">
        <v>până la 100 kg/h</v>
      </c>
      <c r="E46" s="5"/>
      <c r="F46" s="5" t="str">
        <v>220 / 380 V</v>
      </c>
      <c r="G46" s="5" t="str">
        <v>oțel</v>
      </c>
      <c r="H46" s="5" t="str">
        <v>nuci</v>
      </c>
      <c r="I46" s="13" t="str">
        <v>02. Linie industrială pentru procesarea nucilor (100 kg-h).pdf</v>
      </c>
      <c r="J46" s="5" t="n">
        <v>157</v>
      </c>
      <c r="K46" s="5" t="str">
        <v>Broșură în dosar</v>
      </c>
      <c r="L46" s="5"/>
      <c r="M46" s="13" t="str">
        <v>Pagina produs</v>
      </c>
    </row>
    <row r="47" ht="48" customHeight="1">
      <c r="A47" s="5" t="n">
        <v>42</v>
      </c>
      <c r="B47" s="5" t="str">
        <v>Linii complete de procesare</v>
      </c>
      <c r="C47" s="5" t="str">
        <v>Linie industrială pentru procesarea nucilor (200 kg/h)</v>
      </c>
      <c r="D47" s="5" t="str">
        <v>până la 200 kg/h</v>
      </c>
      <c r="E47" s="5"/>
      <c r="F47" s="5" t="str">
        <v>380 V</v>
      </c>
      <c r="G47" s="5" t="str">
        <v>oțel</v>
      </c>
      <c r="H47" s="5" t="str">
        <v>nuci</v>
      </c>
      <c r="I47" s="13" t="str">
        <v>03. Linie industrială pentru procesarea nucilor (200 kg-h).pdf</v>
      </c>
      <c r="J47" s="5" t="n">
        <v>163</v>
      </c>
      <c r="K47" s="5" t="str">
        <v>Broșură în dosar</v>
      </c>
      <c r="L47" s="5"/>
      <c r="M47" s="13" t="str">
        <v>Pagina produs</v>
      </c>
    </row>
    <row r="48" ht="48" customHeight="1">
      <c r="A48" s="5" t="n">
        <v>43</v>
      </c>
      <c r="B48" s="5" t="str">
        <v>Linii complete de procesare</v>
      </c>
      <c r="C48" s="5" t="str">
        <v>Linie industrială automatizată pentru procesarea nucilor (200 kg/h)</v>
      </c>
      <c r="D48" s="5" t="str">
        <v>până la 200 kg/h</v>
      </c>
      <c r="E48" s="5"/>
      <c r="F48" s="5" t="str">
        <v>380 V</v>
      </c>
      <c r="G48" s="5" t="str">
        <v>oțel</v>
      </c>
      <c r="H48" s="5" t="str">
        <v>nuci</v>
      </c>
      <c r="I48" s="13" t="str">
        <v>04. Linie industrială automatizată pentru procesarea nucilor (200 kg-h).pdf</v>
      </c>
      <c r="J48" s="5" t="n">
        <v>167</v>
      </c>
      <c r="K48" s="5" t="str">
        <v>Broșură în dosar</v>
      </c>
      <c r="L48" s="5"/>
      <c r="M48" s="13" t="str">
        <v>Pagina produs</v>
      </c>
    </row>
    <row r="49" ht="48" customHeight="1">
      <c r="A49" s="5" t="n">
        <v>44</v>
      </c>
      <c r="B49" s="5" t="str">
        <v>Linii complete de procesare</v>
      </c>
      <c r="C49" s="5" t="str">
        <v>Linie industrială automatizată de procesare a nucilor, până la 400 kg/h</v>
      </c>
      <c r="D49" s="5" t="str">
        <v>până la 400 kg/h</v>
      </c>
      <c r="E49" s="5"/>
      <c r="F49" s="5" t="str">
        <v>380 V</v>
      </c>
      <c r="G49" s="5" t="str">
        <v>oțel</v>
      </c>
      <c r="H49" s="5" t="str">
        <v>nuci</v>
      </c>
      <c r="I49" s="13" t="str">
        <v>05. Linie industrială automatizată de procesare a nucilor, până la 400 kg-h.pdf</v>
      </c>
      <c r="J49" s="5" t="n">
        <v>170</v>
      </c>
      <c r="K49" s="5" t="str">
        <v>Broșură în dosar</v>
      </c>
      <c r="L49" s="5" t="str">
        <v>Pagina RO a produsului nu este tradusă (doar EN).</v>
      </c>
      <c r="M49" s="13" t="str">
        <v>Pagina produs</v>
      </c>
    </row>
    <row r="50" ht="48" customHeight="1">
      <c r="A50" s="5" t="n">
        <v>45</v>
      </c>
      <c r="B50" s="5" t="str">
        <v>Linii complete de procesare</v>
      </c>
      <c r="C50" s="5" t="str">
        <v>Linie industrială pentru procesarea alunelor (200 kg/h)</v>
      </c>
      <c r="D50" s="5" t="str">
        <v>până la 200 kg/h</v>
      </c>
      <c r="E50" s="5"/>
      <c r="F50" s="5" t="str">
        <v>380 V</v>
      </c>
      <c r="G50" s="5" t="str">
        <v>oțel</v>
      </c>
      <c r="H50" s="5" t="str">
        <v>alune</v>
      </c>
      <c r="I50" s="13" t="str">
        <v>06. Linie industrială pentru procesarea alunelor (200 kg-h).pdf</v>
      </c>
      <c r="J50" s="5" t="n">
        <v>175</v>
      </c>
      <c r="K50" s="5" t="str">
        <v>Broșură în dosar</v>
      </c>
      <c r="L50" s="5"/>
      <c r="M50" s="13" t="str">
        <v>Pagina produs</v>
      </c>
    </row>
    <row r="51" ht="48" customHeight="1">
      <c r="A51" s="5" t="n">
        <v>46</v>
      </c>
      <c r="B51" s="5" t="str">
        <v>Linii complete de procesare</v>
      </c>
      <c r="C51" s="5" t="str">
        <v>Complex industrial pentru procesarea alunelor (200 kg/h)</v>
      </c>
      <c r="D51" s="5" t="str">
        <v>până la 200 kg/h</v>
      </c>
      <c r="E51" s="5"/>
      <c r="F51" s="5" t="str">
        <v>380 V</v>
      </c>
      <c r="G51" s="5" t="str">
        <v>oțel</v>
      </c>
      <c r="H51" s="5" t="str">
        <v>alune</v>
      </c>
      <c r="I51" s="13" t="str">
        <v>07. Complex industrial pentru procesarea alunelor (200 kg-h).pdf</v>
      </c>
      <c r="J51" s="5" t="n">
        <v>179</v>
      </c>
      <c r="K51" s="5" t="str">
        <v>Broșură în dosar</v>
      </c>
      <c r="L51" s="5"/>
      <c r="M51" s="13" t="str">
        <v>Pagina produs</v>
      </c>
    </row>
    <row r="52" ht="48" customHeight="1">
      <c r="A52" s="5" t="n">
        <v>47</v>
      </c>
      <c r="B52" s="5" t="str">
        <v>Linii complete de procesare</v>
      </c>
      <c r="C52" s="5" t="str">
        <v>Linie industrială pentru procesarea migdalelor (200 kg/h)</v>
      </c>
      <c r="D52" s="5" t="str">
        <v>până la 200 kg/h</v>
      </c>
      <c r="E52" s="5"/>
      <c r="F52" s="5" t="str">
        <v>380 V</v>
      </c>
      <c r="G52" s="5" t="str">
        <v>oțel</v>
      </c>
      <c r="H52" s="5" t="str">
        <v>migdale</v>
      </c>
      <c r="I52" s="13" t="str">
        <v>08. Linie industrială pentru procesarea migdalelor (200 kg-h).pdf</v>
      </c>
      <c r="J52" s="5" t="n">
        <v>185</v>
      </c>
      <c r="K52" s="5" t="str">
        <v>Broșură în dosar</v>
      </c>
      <c r="L52" s="5"/>
      <c r="M52" s="13" t="str">
        <v>Pagina produs</v>
      </c>
    </row>
    <row r="53" ht="48" customHeight="1">
      <c r="A53" s="5" t="n">
        <v>48</v>
      </c>
      <c r="B53" s="5" t="str">
        <v>Linii complete de procesare</v>
      </c>
      <c r="C53" s="5" t="str">
        <v>Complex industrial pentru procesarea migdalelor (200 kg/h)</v>
      </c>
      <c r="D53" s="5" t="str">
        <v>până la 200 kg/h</v>
      </c>
      <c r="E53" s="5"/>
      <c r="F53" s="5" t="str">
        <v>380 V</v>
      </c>
      <c r="G53" s="5" t="str">
        <v>oțel</v>
      </c>
      <c r="H53" s="5" t="str">
        <v>migdale</v>
      </c>
      <c r="I53" s="13" t="str">
        <v>09. Complex industrial pentru procesarea migdalelor (200 kg-h).pdf</v>
      </c>
      <c r="J53" s="5" t="n">
        <v>185</v>
      </c>
      <c r="K53" s="5" t="str">
        <v>Broșură în dosar</v>
      </c>
      <c r="L53" s="5"/>
      <c r="M53" s="13" t="str">
        <v>Pagina produs</v>
      </c>
    </row>
  </sheetData>
  <hyperlinks>
    <hyperlink ref="I6" r:id="Re719460941344d08"/>
    <hyperlink ref="M6" r:id="R8c0abd6199044e81"/>
    <hyperlink ref="I7" r:id="R8d452f9d1aa84176"/>
    <hyperlink ref="M7" r:id="Rf7cbcb675fa54d02"/>
    <hyperlink ref="I8" r:id="R6826b61a26e94ad1"/>
    <hyperlink ref="M8" r:id="Rbe8322e38b68430f"/>
    <hyperlink ref="I9" r:id="Rf3efdc5ec764408b"/>
    <hyperlink ref="M9" r:id="R364d8dcb7ebf45b1"/>
    <hyperlink ref="I10" r:id="Rc0ebbbb6fe1a4906"/>
    <hyperlink ref="M10" r:id="R918b3cab982f4b95"/>
    <hyperlink ref="I11" r:id="R1f6528ef3ea74438"/>
    <hyperlink ref="M11" r:id="Rc5905bf5c82541e8"/>
    <hyperlink ref="I12" r:id="R137a08a73ab2425a"/>
    <hyperlink ref="M12" r:id="R247332c91bc0450f"/>
    <hyperlink ref="I13" r:id="Rb091ff8cd4624f41"/>
    <hyperlink ref="M13" r:id="R9c013981f41e4519"/>
    <hyperlink ref="I14" r:id="R72548a9c1d9d4eb4"/>
    <hyperlink ref="M14" r:id="R4470eed5094b4a0c"/>
    <hyperlink ref="I15" r:id="Ra92f077467164152"/>
    <hyperlink ref="M15" r:id="R87b35ab6a8324a58"/>
    <hyperlink ref="I16" r:id="R52f133fb5b784c56"/>
    <hyperlink ref="M16" r:id="Raddc85ded61f4416"/>
    <hyperlink ref="I17" r:id="Redab20bbc0a24afe"/>
    <hyperlink ref="M17" r:id="Re0b37257dec742f2"/>
    <hyperlink ref="I18" r:id="R07e4af1465fc47aa"/>
    <hyperlink ref="M18" r:id="R2a5f3f32729547a2"/>
    <hyperlink ref="I19" r:id="R6275ab44fe714665"/>
    <hyperlink ref="M19" r:id="R73bd3f6796e64534"/>
    <hyperlink ref="I20" r:id="R8a79fe1a6d1a46e2"/>
    <hyperlink ref="M20" r:id="Rd14bf1f0085b406f"/>
    <hyperlink ref="I21" r:id="Rda2c98d1503148c2"/>
    <hyperlink ref="M21" r:id="R5bec1648ddfa4fb9"/>
    <hyperlink ref="I22" r:id="R2e0e8c0b25e74a15"/>
    <hyperlink ref="M22" r:id="R06a225158fe04433"/>
    <hyperlink ref="I23" r:id="Rb331f457d59d4354"/>
    <hyperlink ref="M23" r:id="Rafdf9aa0228e4737"/>
    <hyperlink ref="I24" r:id="Rc03420a9fc1b4a01"/>
    <hyperlink ref="M24" r:id="Rffb07127a89d43a8"/>
    <hyperlink ref="I25" r:id="Rfb16979e1b7b4056"/>
    <hyperlink ref="M25" r:id="Rfb55564f222e434b"/>
    <hyperlink ref="I26" r:id="R981f5b555c7f4983"/>
    <hyperlink ref="M26" r:id="R3d8b4a661e104e2e"/>
    <hyperlink ref="I27" r:id="R437448491ba94596"/>
    <hyperlink ref="M27" r:id="R0146c855840c4147"/>
    <hyperlink ref="I28" r:id="R5f58da1166324322"/>
    <hyperlink ref="M28" r:id="Rd0f03d285b6742b7"/>
    <hyperlink ref="I29" r:id="R9bf69d2ea57049c0"/>
    <hyperlink ref="M29" r:id="R89ad51baec024f33"/>
    <hyperlink ref="I30" r:id="R48ec4eec0c00456a"/>
    <hyperlink ref="M30" r:id="R4429f799bb6543d5"/>
    <hyperlink ref="I31" r:id="R1a42168d011447f9"/>
    <hyperlink ref="M31" r:id="Rbb5b45809be44be6"/>
    <hyperlink ref="I32" r:id="Rab9cbd0d460f4d3f"/>
    <hyperlink ref="M32" r:id="Reaf8bfd8f21b4cd3"/>
    <hyperlink ref="I33" r:id="R729e96c085824191"/>
    <hyperlink ref="M33" r:id="Rbf92b86ad2e54a15"/>
    <hyperlink ref="I34" r:id="R2413413616d24836"/>
    <hyperlink ref="M34" r:id="R0f1ee78a3912415c"/>
    <hyperlink ref="I35" r:id="R000be279cde84165"/>
    <hyperlink ref="M35" r:id="R3b563bfb51594088"/>
    <hyperlink ref="I36" r:id="R493e34c6c9da4d6a"/>
    <hyperlink ref="M36" r:id="Rc39f112f24dc4bd6"/>
    <hyperlink ref="I37" r:id="Rc5368c031fa24b17"/>
    <hyperlink ref="M37" r:id="R9052dcc8e5af444e"/>
    <hyperlink ref="I38" r:id="R8a483eb7c6ac4088"/>
    <hyperlink ref="M38" r:id="Rb724a345489a4bbe"/>
    <hyperlink ref="I39" r:id="R9bd0c83c4b8647d6"/>
    <hyperlink ref="M39" r:id="R80702dc19a77457b"/>
    <hyperlink ref="I40" r:id="Rd36710eb21124dc3"/>
    <hyperlink ref="M40" r:id="Re019ce6d3ef142a8"/>
    <hyperlink ref="I41" r:id="Rfee14f1ff4944370"/>
    <hyperlink ref="M41" r:id="R4101f0a54db34745"/>
    <hyperlink ref="M42" r:id="Rfaaecb2d3df24c2d"/>
    <hyperlink ref="I43" r:id="Rd618e4fe74464ef3"/>
    <hyperlink ref="M43" r:id="Ra8cdc06f6ba74618"/>
    <hyperlink ref="I44" r:id="R9321fc8c570b4e69"/>
    <hyperlink ref="M44" r:id="R392abf4453b94307"/>
    <hyperlink ref="I45" r:id="R6eec92bb517d4803"/>
    <hyperlink ref="M45" r:id="Rfeb870c8d6dd49da"/>
    <hyperlink ref="I46" r:id="Ra72002623ff14eea"/>
    <hyperlink ref="M46" r:id="R615ec099442c45a3"/>
    <hyperlink ref="I47" r:id="Rb01d594abb9446a5"/>
    <hyperlink ref="M47" r:id="R3556017a593d4f3d"/>
    <hyperlink ref="I48" r:id="Re651fd63aa314a1c"/>
    <hyperlink ref="M48" r:id="R00c47d467a1a4209"/>
    <hyperlink ref="I49" r:id="Rd0027e770c7d4542"/>
    <hyperlink ref="M49" r:id="R363d67beec424d19"/>
    <hyperlink ref="I50" r:id="Re780468cdb714cfa"/>
    <hyperlink ref="M50" r:id="R3520b63c16c9410a"/>
    <hyperlink ref="I51" r:id="R6b62fdc79a06428e"/>
    <hyperlink ref="M51" r:id="R08cf413e955a48bb"/>
    <hyperlink ref="I52" r:id="R10e91941015a453f"/>
    <hyperlink ref="M52" r:id="Rdc8aa61877734bdd"/>
    <hyperlink ref="I53" r:id="Ra7e5b923fa224178"/>
    <hyperlink ref="M53" r:id="R4a5ac57cf9cd4266"/>
  </hyperlinks>
  <pageMargins left="0.7" right="0.7" top="0.75" bottom="0.75" header="0.3" footer="0.3"/>
  <tableParts count="1">
    <tablePart r:id="Rc7605a015a24487c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 tabSelected="0">
      <pane xSplit="2" ySplit="5" topLeftCell="C6" activePane="bottomRight" state="frozen"/>
    </sheetView>
  </sheetViews>
  <sheetFormatPr defaultRowHeight="15"/>
  <cols>
    <col min="1" max="1" width="85" hidden="0" customWidth="1"/>
    <col min="2" max="2" width="18" hidden="0" customWidth="1"/>
    <col min="3" max="3" width="19" hidden="0" customWidth="1"/>
    <col min="4" max="4" width="70" hidden="0" customWidth="1"/>
    <col min="5" max="5" width="55" hidden="0" customWidth="1"/>
  </cols>
  <sheetData>
    <row r="2">
      <c r="A2" s="1" t="str">
        <v>Index documente din dosarul tehnic</v>
      </c>
    </row>
    <row r="3">
      <c r="A3" s="2" t="str">
        <v>56 PDF-uri unice, 216 pagini în dosar. Copiile identice trimit la aceleași pagini.</v>
      </c>
    </row>
    <row r="5" ht="34" customHeight="1">
      <c r="A5" s="9" t="str">
        <v>Fișier original</v>
      </c>
      <c r="B5" s="9" t="str">
        <v>Pagini document</v>
      </c>
      <c r="C5" s="9" t="str">
        <v>Început în dosar</v>
      </c>
      <c r="D5" s="9" t="str">
        <v>SHA-256</v>
      </c>
      <c r="E5" s="9" t="str">
        <v>Tip document</v>
      </c>
    </row>
    <row r="6" ht="48" customHeight="1">
      <c r="A6" s="13" t="str">
        <v>39b20753_Oferta comerciala - CESIRO PRODUCTION - Linie procesare nuci 400 kg - h.pdf</v>
      </c>
      <c r="B6" s="5" t="n">
        <v>17</v>
      </c>
      <c r="C6" s="5" t="n">
        <v>7</v>
      </c>
      <c r="D6" s="5" t="str">
        <v>143b316d4198fcd2db11244d6897f835b7ac882555361bf4714b2429113bbc3c</v>
      </c>
      <c r="E6" s="5" t="str">
        <v>Document furnizor / broșură existentă</v>
      </c>
    </row>
    <row r="7" ht="48" customHeight="1">
      <c r="A7" s="13" t="str">
        <v>6d433786_Oferta comerciala - CESIRO PRODUCTION - Linie procesare nuci - 200 kg.pdf</v>
      </c>
      <c r="B7" s="5" t="n">
        <v>16</v>
      </c>
      <c r="C7" s="5" t="n">
        <v>24</v>
      </c>
      <c r="D7" s="5" t="str">
        <v>c34cfb7ecc78aa52797f5a09fa835845afcb7b65d3934c2be9eb23dde9adf8c1</v>
      </c>
      <c r="E7" s="5" t="str">
        <v>Document furnizor / broșură existentă</v>
      </c>
    </row>
    <row r="8" ht="48" customHeight="1">
      <c r="A8" s="13" t="str">
        <v>70fd55eb_Oferta comerciala - CESIRO PRODUCTION - Linie procesare nuci 400 kg - h.pdf</v>
      </c>
      <c r="B8" s="5" t="n">
        <v>17</v>
      </c>
      <c r="C8" s="5" t="n">
        <v>7</v>
      </c>
      <c r="D8" s="5" t="str">
        <v>143b316d4198fcd2db11244d6897f835b7ac882555361bf4714b2429113bbc3c</v>
      </c>
      <c r="E8" s="5" t="str">
        <v>Document furnizor / broșură existentă</v>
      </c>
    </row>
    <row r="9" ht="48" customHeight="1">
      <c r="A9" s="13" t="str">
        <v>82ab706d_Oferta comerciala - CESIRO PRODUCTION - Linie procesare nuci 400 kg v2.pdf</v>
      </c>
      <c r="B9" s="5" t="n">
        <v>16</v>
      </c>
      <c r="C9" s="5" t="n">
        <v>40</v>
      </c>
      <c r="D9" s="5" t="str">
        <v>315fc30fba7da2a94582edccb3b7ff5e6a46f00b27479adbc1b5ed81623a7754</v>
      </c>
      <c r="E9" s="5" t="str">
        <v>Document furnizor / broșură existentă</v>
      </c>
    </row>
    <row r="10" ht="48" customHeight="1">
      <c r="A10" s="13" t="str">
        <v>abf91b2f_Oferta comerciala - CESIRO PRODUCTION - Linie procesare nuci - 200 kg.pdf</v>
      </c>
      <c r="B10" s="5" t="n">
        <v>16</v>
      </c>
      <c r="C10" s="5" t="n">
        <v>24</v>
      </c>
      <c r="D10" s="5" t="str">
        <v>c34cfb7ecc78aa52797f5a09fa835845afcb7b65d3934c2be9eb23dde9adf8c1</v>
      </c>
      <c r="E10" s="5" t="str">
        <v>Document furnizor / broșură existentă</v>
      </c>
    </row>
    <row r="11" ht="48" customHeight="1">
      <c r="A11" s="13" t="str">
        <v>AUTOMATED INDUSTRIAL WALNUT PROCESSING LINE 200 KG_H (3).pdf</v>
      </c>
      <c r="B11" s="5" t="n">
        <v>4</v>
      </c>
      <c r="C11" s="5" t="n">
        <v>56</v>
      </c>
      <c r="D11" s="5" t="str">
        <v>e188137ae69834fbaea1d876fb4f184786fba006b0b76779d261059c09ffea72</v>
      </c>
      <c r="E11" s="5" t="str">
        <v>Document furnizor / broșură existentă</v>
      </c>
    </row>
    <row r="12" ht="48" customHeight="1">
      <c r="A12" s="13" t="str">
        <v>Catalog_Nut_technology_ENG_2023 (4).pdf</v>
      </c>
      <c r="B12" s="5" t="n">
        <v>20</v>
      </c>
      <c r="C12" s="5" t="n">
        <v>60</v>
      </c>
      <c r="D12" s="5" t="str">
        <v>b2847c00bb2b4eae65646c285396240a7c66a2b0f03c08744778bb8205763e6b</v>
      </c>
      <c r="E12" s="5" t="str">
        <v>Document furnizor / broșură existentă</v>
      </c>
    </row>
    <row r="13" ht="48" customHeight="1">
      <c r="A13" s="13" t="str">
        <v>Walnut harvesting, peeling and drying line (1).pdf</v>
      </c>
      <c r="B13" s="5" t="n">
        <v>6</v>
      </c>
      <c r="C13" s="5" t="n">
        <v>80</v>
      </c>
      <c r="D13" s="5" t="str">
        <v>fd1ab54861b7c479efe4cfc9e4e3cb4c962e8bfce46d9c746395a8e89b958e76</v>
      </c>
      <c r="E13" s="5" t="str">
        <v>Document furnizor / broșură existentă</v>
      </c>
    </row>
    <row r="14" ht="48" customHeight="1">
      <c r="A14" s="13" t="str">
        <v>088bc401_Fisa electrica propusa - Poz 4b - Uscator nuci in coaja 4 t-24 h nr. 2.pdf</v>
      </c>
      <c r="B14" s="5" t="n">
        <v>2</v>
      </c>
      <c r="C14" s="5" t="n">
        <v>191</v>
      </c>
      <c r="D14" s="5" t="str">
        <v>88773a586f48687cd75a79ce36206725bf7b2c8d7745dc346208e220933522c9</v>
      </c>
      <c r="E14" s="5" t="str">
        <v>Propunere CESIRO - de validat</v>
      </c>
    </row>
    <row r="15" ht="48" customHeight="1">
      <c r="A15" s="13" t="str">
        <v>2a53a261_Fisa electrica propusa - Poz 3 - Elevator Noria incarcare-descarcare 4 t-h.pdf</v>
      </c>
      <c r="B15" s="5" t="n">
        <v>2</v>
      </c>
      <c r="C15" s="5" t="n">
        <v>193</v>
      </c>
      <c r="D15" s="5" t="str">
        <v>7c98b71aec25f741d63c68f52c230fa941ab52ef8093b927769f693fd187d2b3</v>
      </c>
      <c r="E15" s="5" t="str">
        <v>Propunere CESIRO - de validat</v>
      </c>
    </row>
    <row r="16" ht="48" customHeight="1">
      <c r="A16" s="13" t="str">
        <v>356a5d77_Fisa electrica propusa - Poz 6 - Linie automatizata de procesare nuci 400 kg-h.pdf</v>
      </c>
      <c r="B16" s="5" t="n">
        <v>4</v>
      </c>
      <c r="C16" s="5" t="n">
        <v>195</v>
      </c>
      <c r="D16" s="5" t="str">
        <v>a001c26155531ff858bf1dd7953167f0c31eae1e5dd3d2d672f71da42209a9f9</v>
      </c>
      <c r="E16" s="5" t="str">
        <v>Propunere CESIRO - de validat</v>
      </c>
    </row>
    <row r="17" ht="48" customHeight="1">
      <c r="A17" s="13" t="str">
        <v>510ca500_Fisa electrica propusa - Poz 1 - Masina industriala de spalat nuci 1 t-h.pdf</v>
      </c>
      <c r="B17" s="5" t="n">
        <v>2</v>
      </c>
      <c r="C17" s="5" t="n">
        <v>199</v>
      </c>
      <c r="D17" s="5" t="str">
        <v>b45bae3a1f605bdc5c16cb98aee4aa2bded2c03c27527546eb0e7e5f85c3d30d</v>
      </c>
      <c r="E17" s="5" t="str">
        <v>Propunere CESIRO - de validat</v>
      </c>
    </row>
    <row r="18" ht="48" customHeight="1">
      <c r="A18" s="13" t="str">
        <v>5171df45_Fisa electrica propusa - Poz 8a - Transportor elevator calibrator linie de spargere.pdf</v>
      </c>
      <c r="B18" s="5" t="n">
        <v>2</v>
      </c>
      <c r="C18" s="5" t="n">
        <v>201</v>
      </c>
      <c r="D18" s="5" t="str">
        <v>c83e52e22c79599148cf413c5508bf5bad4d9011750f3d886db8ccd76e3b9226</v>
      </c>
      <c r="E18" s="5" t="str">
        <v>Propunere CESIRO - de validat</v>
      </c>
    </row>
    <row r="19" ht="48" customHeight="1">
      <c r="A19" s="13" t="str">
        <v>711787fa_Fisa electrica propusa - Poz 5 - Calibrator nuci 8 fractii 500 kg-h.pdf</v>
      </c>
      <c r="B19" s="5" t="n">
        <v>2</v>
      </c>
      <c r="C19" s="5" t="n">
        <v>203</v>
      </c>
      <c r="D19" s="5" t="str">
        <v>3365128a7896096cddc3aae803fcf8bd8d9109970f65c53e98981eff2e160355</v>
      </c>
      <c r="E19" s="5" t="str">
        <v>Propunere CESIRO - de validat</v>
      </c>
    </row>
    <row r="20" ht="48" customHeight="1">
      <c r="A20" s="13" t="str">
        <v>84fb006b_Fisa electrica propusa - Poz 10 - Masa de inspectie cu banda pe doua niveluri.pdf</v>
      </c>
      <c r="B20" s="5" t="n">
        <v>2</v>
      </c>
      <c r="C20" s="5" t="n">
        <v>205</v>
      </c>
      <c r="D20" s="5" t="str">
        <v>3f53546f76546f19ba895192cdf066afed2ffe3d02e908235322c3399a026a87</v>
      </c>
      <c r="E20" s="5" t="str">
        <v>Propunere CESIRO - de validat</v>
      </c>
    </row>
    <row r="21" ht="48" customHeight="1">
      <c r="A21" s="13" t="str">
        <v>a85c21b9_Fisa electrica propusa - Poz 9 - Sortator optic cu banda M600.pdf</v>
      </c>
      <c r="B21" s="5" t="n">
        <v>2</v>
      </c>
      <c r="C21" s="5" t="n">
        <v>207</v>
      </c>
      <c r="D21" s="5" t="str">
        <v>e4e51824360e0bc8adb9b91cca24dc60b82fb690e039f0c348e639bbb3a70a3a</v>
      </c>
      <c r="E21" s="5" t="str">
        <v>Propunere CESIRO - de validat</v>
      </c>
    </row>
    <row r="22" ht="48" customHeight="1">
      <c r="A22" s="13" t="str">
        <v>ae6ae28d_Fisa electrica propusa - Poz 8b - Transportor elevator linie sortator optic.pdf</v>
      </c>
      <c r="B22" s="5" t="n">
        <v>2</v>
      </c>
      <c r="C22" s="5" t="n">
        <v>209</v>
      </c>
      <c r="D22" s="5" t="str">
        <v>eed6f47ac4a447912a72c50c6b7556e41f9bacfddc5cd71fe2600ed3cc3cd2be</v>
      </c>
      <c r="E22" s="5" t="str">
        <v>Propunere CESIRO - de validat</v>
      </c>
    </row>
    <row r="23" ht="48" customHeight="1">
      <c r="A23" s="13" t="str">
        <v>c64b8ab6_Fisa electrica propusa - Poz 4a - Uscator nuci in coaja 4 t-24 h nr. 1.pdf</v>
      </c>
      <c r="B23" s="5" t="n">
        <v>2</v>
      </c>
      <c r="C23" s="5" t="n">
        <v>211</v>
      </c>
      <c r="D23" s="5" t="str">
        <v>77ffb42524793975b88c4c041e1c986019d90df08438cab9f54b28c4b981d0a4</v>
      </c>
      <c r="E23" s="5" t="str">
        <v>Propunere CESIRO - de validat</v>
      </c>
    </row>
    <row r="24" ht="48" customHeight="1">
      <c r="A24" s="13" t="str">
        <v>f47799fb_Fisa electrica propusa - Poz 7 - Spargator 200 kg-h cu coloana de aspiratie _al 3-lea_.pdf</v>
      </c>
      <c r="B24" s="5" t="n">
        <v>2</v>
      </c>
      <c r="C24" s="5" t="n">
        <v>213</v>
      </c>
      <c r="D24" s="5" t="str">
        <v>0c7c1efb0c88c4252ad967db160d13f14ed8a23ee2857ad47522824a8dd7319d</v>
      </c>
      <c r="E24" s="5" t="str">
        <v>Propunere CESIRO - de validat</v>
      </c>
    </row>
    <row r="25" ht="48" customHeight="1">
      <c r="A25" s="13" t="str">
        <v>f53a967d_Fisa electrica propusa - Poz 2 - Banda de alimentare masina de spalat 4 t-h.pdf</v>
      </c>
      <c r="B25" s="5" t="n">
        <v>2</v>
      </c>
      <c r="C25" s="5" t="n">
        <v>215</v>
      </c>
      <c r="D25" s="5" t="str">
        <v>e57f6d30eb5069398d33966000bdc7a628d240e359a98b4da1e1150e6f74f86a</v>
      </c>
      <c r="E25" s="5" t="str">
        <v>Propunere CESIRO - de validat</v>
      </c>
    </row>
    <row r="26" ht="48" customHeight="1">
      <c r="A26" s="13" t="str">
        <v>01. Scuturător pentru pomi fructiferi.pdf</v>
      </c>
      <c r="B26" s="5" t="n">
        <v>2</v>
      </c>
      <c r="C26" s="5" t="n">
        <v>86</v>
      </c>
      <c r="D26" s="5" t="str">
        <v>65928c928749c0fda3e842a65132d0a7c01c9e1771a23519f30725413dbcf05f</v>
      </c>
      <c r="E26" s="5" t="str">
        <v>Document furnizor / broșură existentă</v>
      </c>
    </row>
    <row r="27" ht="48" customHeight="1">
      <c r="A27" s="13" t="str">
        <v>01. Mașină de decojire și curățare a nucilor verzi 100 kg-h.pdf</v>
      </c>
      <c r="B27" s="5" t="n">
        <v>2</v>
      </c>
      <c r="C27" s="5" t="n">
        <v>88</v>
      </c>
      <c r="D27" s="5" t="str">
        <v>79566ea292cea6e8f463f5e6de45b8524d46b41fbe30ab904c517f3027280b0c</v>
      </c>
      <c r="E27" s="5" t="str">
        <v>Document furnizor / broșură existentă</v>
      </c>
    </row>
    <row r="28" ht="48" customHeight="1">
      <c r="A28" s="13" t="str">
        <v>02. Mașină pentru decojirea și curățarea nucilor verzi 300 kg-h.pdf</v>
      </c>
      <c r="B28" s="5" t="n">
        <v>2</v>
      </c>
      <c r="C28" s="5" t="n">
        <v>90</v>
      </c>
      <c r="D28" s="5" t="str">
        <v>8e7133b6023009879e3ff5b00253b0f62e0353014a797394817f849cbafa14dd</v>
      </c>
      <c r="E28" s="5" t="str">
        <v>Document furnizor / broșură existentă</v>
      </c>
    </row>
    <row r="29" ht="48" customHeight="1">
      <c r="A29" s="13" t="str">
        <v>03. Mașină de decojire și curățare a nucilor verzi 700 kg-h.pdf</v>
      </c>
      <c r="B29" s="5" t="n">
        <v>2</v>
      </c>
      <c r="C29" s="5" t="n">
        <v>92</v>
      </c>
      <c r="D29" s="5" t="str">
        <v>125e4d56d50276a2f8ede3c6120ddb6cbecebe05d21c174b85a8a98f8e894f41</v>
      </c>
      <c r="E29" s="5" t="str">
        <v>Document furnizor / broșură existentă</v>
      </c>
    </row>
    <row r="30" ht="48" customHeight="1">
      <c r="A30" s="13" t="str">
        <v>04. Mașină industrială de decojire și spălare (1 t-h).pdf</v>
      </c>
      <c r="B30" s="5" t="n">
        <v>3</v>
      </c>
      <c r="C30" s="5" t="n">
        <v>94</v>
      </c>
      <c r="D30" s="5" t="str">
        <v>cc40c44b252e8c7c59d13ed6c162f230684accb1fc80200372c388a50162937c</v>
      </c>
      <c r="E30" s="5" t="str">
        <v>Document furnizor / broșură existentă</v>
      </c>
    </row>
    <row r="31" ht="48" customHeight="1">
      <c r="A31" s="13" t="str">
        <v>05. Mașină pentru îndepărtarea cojii verzi a alunelor.pdf</v>
      </c>
      <c r="B31" s="5" t="n">
        <v>2</v>
      </c>
      <c r="C31" s="5" t="n">
        <v>97</v>
      </c>
      <c r="D31" s="5" t="str">
        <v>ce7c54b8811a7cc51472d3b0802c9b12d4f13b67208ecb2b0b7ce59b05794833</v>
      </c>
      <c r="E31" s="5" t="str">
        <v>Document furnizor / broșură existentă</v>
      </c>
    </row>
    <row r="32" ht="48" customHeight="1">
      <c r="A32" s="13" t="str">
        <v>01. Uscător pentru nuci, alune și migdale în coajă (până la 1 tonă-24 ore).pdf</v>
      </c>
      <c r="B32" s="5" t="n">
        <v>2</v>
      </c>
      <c r="C32" s="5" t="n">
        <v>99</v>
      </c>
      <c r="D32" s="5" t="str">
        <v>e678577bfe715903420f2d14ca7388eed0f94ec6df18723caeb1a050c20648b2</v>
      </c>
      <c r="E32" s="5" t="str">
        <v>Document furnizor / broșură existentă</v>
      </c>
    </row>
    <row r="33" ht="48" customHeight="1">
      <c r="A33" s="13" t="str">
        <v>02. Uscător pentru nuci, alune și migdale în coajă (până la 2 tone-24 ore).pdf</v>
      </c>
      <c r="B33" s="5" t="n">
        <v>2</v>
      </c>
      <c r="C33" s="5" t="n">
        <v>99</v>
      </c>
      <c r="D33" s="5" t="str">
        <v>e678577bfe715903420f2d14ca7388eed0f94ec6df18723caeb1a050c20648b2</v>
      </c>
      <c r="E33" s="5" t="str">
        <v>Document furnizor / broșură existentă</v>
      </c>
    </row>
    <row r="34" ht="48" customHeight="1">
      <c r="A34" s="13" t="str">
        <v>03. Uscător pentru nuci, alune și migdale în coajă (2 tone-zi).pdf</v>
      </c>
      <c r="B34" s="5" t="n">
        <v>2</v>
      </c>
      <c r="C34" s="5" t="n">
        <v>101</v>
      </c>
      <c r="D34" s="5" t="str">
        <v>1bdf4be4fd2fbf4c39eaa2bd91f3d2773214d5f48bfc62fe1c745e1af9c68c2c</v>
      </c>
      <c r="E34" s="5" t="str">
        <v>Document furnizor / broșură existentă</v>
      </c>
    </row>
    <row r="35" ht="48" customHeight="1">
      <c r="A35" s="13" t="str">
        <v>04. Uscător pentru nuci, alune și migdale în coajă (4 tone-zi).pdf</v>
      </c>
      <c r="B35" s="5" t="n">
        <v>4</v>
      </c>
      <c r="C35" s="5" t="n">
        <v>103</v>
      </c>
      <c r="D35" s="5" t="str">
        <v>e2ff19d977d02e53e00842449b343ac919891fa3986876a310d2382e5c98053d</v>
      </c>
      <c r="E35" s="5" t="str">
        <v>Document furnizor / broșură existentă</v>
      </c>
    </row>
    <row r="36" ht="48" customHeight="1">
      <c r="A36" s="13" t="str">
        <v>05. Conveyor de alimentare pentru uscător 2 t-zi.pdf</v>
      </c>
      <c r="B36" s="5" t="n">
        <v>2</v>
      </c>
      <c r="C36" s="5" t="n">
        <v>107</v>
      </c>
      <c r="D36" s="5" t="str">
        <v>cfbb5b78069e91fe4af29fdbed38b90dbad0f38d3da17fc5cb25af625e8d478e</v>
      </c>
      <c r="E36" s="5" t="str">
        <v>Document furnizor / broșură existentă</v>
      </c>
    </row>
    <row r="37" ht="48" customHeight="1">
      <c r="A37" s="13" t="str">
        <v>06. Conveyor de alimentare pentru uscător 4 t-h.pdf</v>
      </c>
      <c r="B37" s="5" t="n">
        <v>2</v>
      </c>
      <c r="C37" s="5" t="n">
        <v>107</v>
      </c>
      <c r="D37" s="5" t="str">
        <v>cfbb5b78069e91fe4af29fdbed38b90dbad0f38d3da17fc5cb25af625e8d478e</v>
      </c>
      <c r="E37" s="5" t="str">
        <v>Document furnizor / broșură existentă</v>
      </c>
    </row>
    <row r="38" ht="48" customHeight="1">
      <c r="A38" s="13" t="str">
        <v>07. Elevator cu încărcare-descărcare Noria 2 tone pe oră.pdf</v>
      </c>
      <c r="B38" s="5" t="n">
        <v>2</v>
      </c>
      <c r="C38" s="5" t="n">
        <v>107</v>
      </c>
      <c r="D38" s="5" t="str">
        <v>cfbb5b78069e91fe4af29fdbed38b90dbad0f38d3da17fc5cb25af625e8d478e</v>
      </c>
      <c r="E38" s="5" t="str">
        <v>Document furnizor / broșură existentă</v>
      </c>
    </row>
    <row r="39" ht="48" customHeight="1">
      <c r="A39" s="13" t="str">
        <v>08. Elevator cu încărcare-descărcare Noria 4 tone pe oră.pdf</v>
      </c>
      <c r="B39" s="5" t="n">
        <v>2</v>
      </c>
      <c r="C39" s="5" t="n">
        <v>107</v>
      </c>
      <c r="D39" s="5" t="str">
        <v>cfbb5b78069e91fe4af29fdbed38b90dbad0f38d3da17fc5cb25af625e8d478e</v>
      </c>
      <c r="E39" s="5" t="str">
        <v>Document furnizor / broșură existentă</v>
      </c>
    </row>
    <row r="40" ht="48" customHeight="1">
      <c r="A40" s="13" t="str">
        <v>01. Calibrator liniar pentru toate tipurile de nuci.pdf</v>
      </c>
      <c r="B40" s="5" t="n">
        <v>2</v>
      </c>
      <c r="C40" s="5" t="n">
        <v>109</v>
      </c>
      <c r="D40" s="5" t="str">
        <v>911eaa329286063e18ad8e677a4df2f4c02a014bcea3b5618d62c3ab18a78134</v>
      </c>
      <c r="E40" s="5" t="str">
        <v>Document furnizor / broșură existentă</v>
      </c>
    </row>
    <row r="41" ht="48" customHeight="1">
      <c r="A41" s="13" t="str">
        <v>02. Mașină de calibrare a nucilor în 4 fracții.pdf</v>
      </c>
      <c r="B41" s="5" t="n">
        <v>2</v>
      </c>
      <c r="C41" s="5" t="n">
        <v>111</v>
      </c>
      <c r="D41" s="5" t="str">
        <v>ca906d5c4653eef6d52848473dc1656ba1b2ee7fed47433966fdf950961f8869</v>
      </c>
      <c r="E41" s="5" t="str">
        <v>Document furnizor / broșură existentă</v>
      </c>
    </row>
    <row r="42" ht="48" customHeight="1">
      <c r="A42" s="13" t="str">
        <v>03. Mașină de calibrare a nucilor în 8 fracții.pdf</v>
      </c>
      <c r="B42" s="5" t="n">
        <v>3</v>
      </c>
      <c r="C42" s="5" t="n">
        <v>113</v>
      </c>
      <c r="D42" s="5" t="str">
        <v>8ee7c52f8c7b7b2762bc7b965d797743bb6b27f99414d0b85c4383b8d44e3477</v>
      </c>
      <c r="E42" s="5" t="str">
        <v>Document furnizor / broșură existentă</v>
      </c>
    </row>
    <row r="43" ht="48" customHeight="1">
      <c r="A43" s="13" t="str">
        <v>04. Mașină pentru sortarea nucilor goale în coajă.pdf</v>
      </c>
      <c r="B43" s="5" t="n">
        <v>2</v>
      </c>
      <c r="C43" s="5" t="n">
        <v>116</v>
      </c>
      <c r="D43" s="5" t="str">
        <v>d93438ae4b32922e7a585db7325d69b7b44dc1029be8b17dae63221ee0d52e89</v>
      </c>
      <c r="E43" s="5" t="str">
        <v>Document furnizor / broșură existentă</v>
      </c>
    </row>
    <row r="44" ht="48" customHeight="1">
      <c r="A44" s="13" t="str">
        <v>05. Mașină de calibrare a alunelor.pdf</v>
      </c>
      <c r="B44" s="5" t="n">
        <v>2</v>
      </c>
      <c r="C44" s="5" t="n">
        <v>118</v>
      </c>
      <c r="D44" s="5" t="str">
        <v>11f4e48bf898a4ed6fee409a8fc773fb82718c9cd7dcd8bef8e71840b33a8b28</v>
      </c>
      <c r="E44" s="5" t="str">
        <v>Document furnizor / broșură existentă</v>
      </c>
    </row>
    <row r="45" ht="48" customHeight="1">
      <c r="A45" s="13" t="str">
        <v>06. Mașină de calibrare a alunelor în 3 fracții.pdf</v>
      </c>
      <c r="B45" s="5" t="n">
        <v>3</v>
      </c>
      <c r="C45" s="5" t="n">
        <v>120</v>
      </c>
      <c r="D45" s="5" t="str">
        <v>1ea18106e28a4156fd6dd2543a231fda327d7a52d1492700eff6bc3b59918749</v>
      </c>
      <c r="E45" s="5" t="str">
        <v>Document furnizor / broșură existentă</v>
      </c>
    </row>
    <row r="46" ht="48" customHeight="1">
      <c r="A46" s="13" t="str">
        <v>07. Mașină de calibrare a alunelor în 8 fracții.pdf</v>
      </c>
      <c r="B46" s="5" t="n">
        <v>3</v>
      </c>
      <c r="C46" s="5" t="n">
        <v>120</v>
      </c>
      <c r="D46" s="5" t="str">
        <v>1ea18106e28a4156fd6dd2543a231fda327d7a52d1492700eff6bc3b59918749</v>
      </c>
      <c r="E46" s="5" t="str">
        <v>Document furnizor / broșură existentă</v>
      </c>
    </row>
    <row r="47" ht="48" customHeight="1">
      <c r="A47" s="13" t="str">
        <v>01. Mașină de spart nuci 50 kg-h.pdf</v>
      </c>
      <c r="B47" s="5" t="n">
        <v>2</v>
      </c>
      <c r="C47" s="5" t="n">
        <v>123</v>
      </c>
      <c r="D47" s="5" t="str">
        <v>a3e480f8301156189d1ecf1c1ee36a766467afaada57248b6a02e43e8b8e6024</v>
      </c>
      <c r="E47" s="5" t="str">
        <v>Document furnizor / broșură existentă</v>
      </c>
    </row>
    <row r="48" ht="48" customHeight="1">
      <c r="A48" s="13" t="str">
        <v>02. Mașină de spart nuci 100 kg-h.pdf</v>
      </c>
      <c r="B48" s="5" t="n">
        <v>2</v>
      </c>
      <c r="C48" s="5" t="n">
        <v>125</v>
      </c>
      <c r="D48" s="5" t="str">
        <v>ffc3bb41cf11d1f5efda8c0c076cb6667b11f463f0a6291e807823fe917667fc</v>
      </c>
      <c r="E48" s="5" t="str">
        <v>Document furnizor / broșură existentă</v>
      </c>
    </row>
    <row r="49" ht="48" customHeight="1">
      <c r="A49" s="13" t="str">
        <v>03. Mașină de spart nuci 200 kg-h.pdf</v>
      </c>
      <c r="B49" s="5" t="n">
        <v>2</v>
      </c>
      <c r="C49" s="5" t="n">
        <v>127</v>
      </c>
      <c r="D49" s="5" t="str">
        <v>dbbcdf51fe0325e16eb4a469e6cd994270dd36981f0d257285462472d3fbdc40</v>
      </c>
      <c r="E49" s="5" t="str">
        <v>Document furnizor / broșură existentă</v>
      </c>
    </row>
    <row r="50" ht="48" customHeight="1">
      <c r="A50" s="13" t="str">
        <v>04. Mașină industrială de spart nuci cu coloană de aspirație integrată (200 kg-h).pdf</v>
      </c>
      <c r="B50" s="5" t="n">
        <v>3</v>
      </c>
      <c r="C50" s="5" t="n">
        <v>129</v>
      </c>
      <c r="D50" s="5" t="str">
        <v>ce21855defffc972042309947bfbc52d7eb75e9abe433c5d46b52962756d2e6e</v>
      </c>
      <c r="E50" s="5" t="str">
        <v>Document furnizor / broșură existentă</v>
      </c>
    </row>
    <row r="51" ht="48" customHeight="1">
      <c r="A51" s="13" t="str">
        <v>05. Spărgător de nuci pentru etapa post-spărgere.pdf</v>
      </c>
      <c r="B51" s="5" t="n">
        <v>2</v>
      </c>
      <c r="C51" s="5" t="n">
        <v>132</v>
      </c>
      <c r="D51" s="5" t="str">
        <v>d74f4c61e51021a276f1062d5d94e8947191478be1f55188b8fe1046a6bf6880</v>
      </c>
      <c r="E51" s="5" t="str">
        <v>Document furnizor / broșură existentă</v>
      </c>
    </row>
    <row r="52" ht="48" customHeight="1">
      <c r="A52" s="13" t="str">
        <v>06. Spărgător cu tambur pentru alune și migdale.pdf</v>
      </c>
      <c r="B52" s="5" t="n">
        <v>2</v>
      </c>
      <c r="C52" s="5" t="n">
        <v>134</v>
      </c>
      <c r="D52" s="5" t="str">
        <v>1496509b881a9dd9fd03a24dc9a27bb0ff5348983de9b4f4a2cc22233e4e5b37</v>
      </c>
      <c r="E52" s="5" t="str">
        <v>Document furnizor / broșură existentă</v>
      </c>
    </row>
    <row r="53" ht="48" customHeight="1">
      <c r="A53" s="13" t="str">
        <v>07. Spărgător de alune cu aspirație (200 kg-h).pdf</v>
      </c>
      <c r="B53" s="5" t="n">
        <v>2</v>
      </c>
      <c r="C53" s="5" t="n">
        <v>134</v>
      </c>
      <c r="D53" s="5" t="str">
        <v>1496509b881a9dd9fd03a24dc9a27bb0ff5348983de9b4f4a2cc22233e4e5b37</v>
      </c>
      <c r="E53" s="5" t="str">
        <v>Document furnizor / broșură existentă</v>
      </c>
    </row>
    <row r="54" ht="48" customHeight="1">
      <c r="A54" s="13" t="str">
        <v>01. Mașină pentru separarea miezului de coajă (100 kg-h).pdf</v>
      </c>
      <c r="B54" s="5" t="n">
        <v>2</v>
      </c>
      <c r="C54" s="5" t="n">
        <v>136</v>
      </c>
      <c r="D54" s="5" t="str">
        <v>a703e95726543360ba1b261439e35a321bc8dfa38a3c9a30f51fee1eab3eb5c8</v>
      </c>
      <c r="E54" s="5" t="str">
        <v>Document furnizor / broșură existentă</v>
      </c>
    </row>
    <row r="55" ht="48" customHeight="1">
      <c r="A55" s="13" t="str">
        <v>02. Mașină pentru separarea miezului de coajă (300 kg-h).pdf</v>
      </c>
      <c r="B55" s="5" t="n">
        <v>2</v>
      </c>
      <c r="C55" s="5" t="n">
        <v>138</v>
      </c>
      <c r="D55" s="5" t="str">
        <v>4c7fd0c98508ca9432f88a478e20863e6d4d8fbcb020ca5b8d3d3d69bed373cd</v>
      </c>
      <c r="E55" s="5" t="str">
        <v>Document furnizor / broșură existentă</v>
      </c>
    </row>
    <row r="56" ht="48" customHeight="1">
      <c r="A56" s="13" t="str">
        <v>03. Mașină pentru separarea miezului de nucă (200 kg-h).pdf</v>
      </c>
      <c r="B56" s="5" t="n">
        <v>2</v>
      </c>
      <c r="C56" s="5" t="n">
        <v>140</v>
      </c>
      <c r="D56" s="5" t="str">
        <v>8c6715e05b2c3f5cb7a9aeeb5dde784ef2c338217744dcf24bb58044fe8a13ee</v>
      </c>
      <c r="E56" s="5" t="str">
        <v>Document furnizor / broșură existentă</v>
      </c>
    </row>
    <row r="57" ht="48" customHeight="1">
      <c r="A57" s="13" t="str">
        <v>04. Sit vibratoare cu aspirație pentru sortarea nucilor (200 kg-h).pdf</v>
      </c>
      <c r="B57" s="5" t="n">
        <v>2</v>
      </c>
      <c r="C57" s="5" t="n">
        <v>142</v>
      </c>
      <c r="D57" s="5" t="str">
        <v>65120c4bb5dad4c8dfd90244367dab0d545c16d34b06cb596d245b676dc95241</v>
      </c>
      <c r="E57" s="5" t="str">
        <v>Document furnizor / broșură existentă</v>
      </c>
    </row>
    <row r="58" ht="48" customHeight="1">
      <c r="A58" s="13" t="str">
        <v>05. Sit vibratoare cu aspirație pentru sortarea nucilor (300 kg-h).pdf</v>
      </c>
      <c r="B58" s="5" t="n">
        <v>2</v>
      </c>
      <c r="C58" s="5" t="n">
        <v>144</v>
      </c>
      <c r="D58" s="5" t="str">
        <v>14de1df41473711581e1eebe37e5442bac74efdc0e5547b50bfaec41fd3669d4</v>
      </c>
      <c r="E58" s="5" t="str">
        <v>Document furnizor / broșură existentă</v>
      </c>
    </row>
    <row r="59" ht="48" customHeight="1">
      <c r="A59" s="13" t="str">
        <v>06. Transportor elevatoare pentru nuci.pdf</v>
      </c>
      <c r="B59" s="5" t="n">
        <v>2</v>
      </c>
      <c r="C59" s="5" t="n">
        <v>146</v>
      </c>
      <c r="D59" s="5" t="str">
        <v>2324168ea6f32936792a4ef03337691e4be599f35f051663fad1f2d3294c3091</v>
      </c>
      <c r="E59" s="5" t="str">
        <v>Document furnizor / broșură existentă</v>
      </c>
    </row>
    <row r="60" ht="48" customHeight="1">
      <c r="A60" s="13" t="str">
        <v>07. Masă de inspecție cu bandă.pdf</v>
      </c>
      <c r="B60" s="5" t="n">
        <v>2</v>
      </c>
      <c r="C60" s="5" t="n">
        <v>148</v>
      </c>
      <c r="D60" s="5" t="str">
        <v>2416cff4f363f8a3fbf534de5ae4614ab461402207d687d6efafae8b82f0e5d3</v>
      </c>
      <c r="E60" s="5" t="str">
        <v>Document furnizor / broșură existentă</v>
      </c>
    </row>
    <row r="61" ht="48" customHeight="1">
      <c r="A61" s="13" t="str">
        <v>08. Masă de inspecție cu bandă pe două niveluri.pdf</v>
      </c>
      <c r="B61" s="5" t="n">
        <v>2</v>
      </c>
      <c r="C61" s="5" t="n">
        <v>150</v>
      </c>
      <c r="D61" s="5" t="str">
        <v>bc7b881af485eea449283fba0b5d184674ee4b0487b19458a358a2099b0cb879</v>
      </c>
      <c r="E61" s="5" t="str">
        <v>Document furnizor / broșură existentă</v>
      </c>
    </row>
    <row r="62" ht="48" customHeight="1">
      <c r="A62" s="13" t="str">
        <v>01. Linie de spălare și uscare a nucilor (500 kg-h).pdf</v>
      </c>
      <c r="B62" s="5" t="n">
        <v>5</v>
      </c>
      <c r="C62" s="5" t="n">
        <v>152</v>
      </c>
      <c r="D62" s="5" t="str">
        <v>b1549c4ec269a3cc7d3351ca587f2a49437cc844ff240a3594110aa94fb83626</v>
      </c>
      <c r="E62" s="5" t="str">
        <v>Document furnizor / broșură existentă</v>
      </c>
    </row>
    <row r="63" ht="48" customHeight="1">
      <c r="A63" s="13" t="str">
        <v>02. Linie industrială pentru procesarea nucilor (100 kg-h).pdf</v>
      </c>
      <c r="B63" s="5" t="n">
        <v>6</v>
      </c>
      <c r="C63" s="5" t="n">
        <v>157</v>
      </c>
      <c r="D63" s="5" t="str">
        <v>3e595ec5694d74f2edb5103ebf35eedd99725c75b80eace43cc3f49771f943ea</v>
      </c>
      <c r="E63" s="5" t="str">
        <v>Document furnizor / broșură existentă</v>
      </c>
    </row>
    <row r="64" ht="48" customHeight="1">
      <c r="A64" s="13" t="str">
        <v>03. Linie industrială pentru procesarea nucilor (200 kg-h).pdf</v>
      </c>
      <c r="B64" s="5" t="n">
        <v>4</v>
      </c>
      <c r="C64" s="5" t="n">
        <v>163</v>
      </c>
      <c r="D64" s="5" t="str">
        <v>7f0b5947dfe32ce3a6aacf6a98b58f91f913f97d3f152dfa4baebc78ad068b1e</v>
      </c>
      <c r="E64" s="5" t="str">
        <v>Document furnizor / broșură existentă</v>
      </c>
    </row>
    <row r="65" ht="48" customHeight="1">
      <c r="A65" s="13" t="str">
        <v>04. Linie industrială automatizată pentru procesarea nucilor (200 kg-h).pdf</v>
      </c>
      <c r="B65" s="5" t="n">
        <v>3</v>
      </c>
      <c r="C65" s="5" t="n">
        <v>167</v>
      </c>
      <c r="D65" s="5" t="str">
        <v>adc46e47b3eb36f4865a19c204665e5729ecb5c9e3bf7bd0c95a8ff3a63be399</v>
      </c>
      <c r="E65" s="5" t="str">
        <v>Document furnizor / broșură existentă</v>
      </c>
    </row>
    <row r="66" ht="48" customHeight="1">
      <c r="A66" s="13" t="str">
        <v>05. Linie industrială automatizată de procesare a nucilor, până la 400 kg-h.pdf</v>
      </c>
      <c r="B66" s="5" t="n">
        <v>5</v>
      </c>
      <c r="C66" s="5" t="n">
        <v>170</v>
      </c>
      <c r="D66" s="5" t="str">
        <v>992f317b62828f785a01308cbaa0996c582e9f53e139c20b05131b190ab96294</v>
      </c>
      <c r="E66" s="5" t="str">
        <v>Document furnizor / broșură existentă</v>
      </c>
    </row>
    <row r="67" ht="48" customHeight="1">
      <c r="A67" s="13" t="str">
        <v>06. Linie industrială pentru procesarea alunelor (200 kg-h).pdf</v>
      </c>
      <c r="B67" s="5" t="n">
        <v>4</v>
      </c>
      <c r="C67" s="5" t="n">
        <v>175</v>
      </c>
      <c r="D67" s="5" t="str">
        <v>839d7be93898e9c61c998a962ff9a5a381fce9c21e7f4928440f45b15881db6b</v>
      </c>
      <c r="E67" s="5" t="str">
        <v>Document furnizor / broșură existentă</v>
      </c>
    </row>
    <row r="68" ht="48" customHeight="1">
      <c r="A68" s="13" t="str">
        <v>07. Complex industrial pentru procesarea alunelor (200 kg-h).pdf</v>
      </c>
      <c r="B68" s="5" t="n">
        <v>6</v>
      </c>
      <c r="C68" s="5" t="n">
        <v>179</v>
      </c>
      <c r="D68" s="5" t="str">
        <v>f5ab49de4541d73d90ef02a91512051e2891520763adbdcfed1e017ed372ebfc</v>
      </c>
      <c r="E68" s="5" t="str">
        <v>Document furnizor / broșură existentă</v>
      </c>
    </row>
    <row r="69" ht="48" customHeight="1">
      <c r="A69" s="13" t="str">
        <v>08. Linie industrială pentru procesarea migdalelor (200 kg-h).pdf</v>
      </c>
      <c r="B69" s="5" t="n">
        <v>6</v>
      </c>
      <c r="C69" s="5" t="n">
        <v>185</v>
      </c>
      <c r="D69" s="5" t="str">
        <v>b54d67fa473e0e391087cdde9ead1f290267cab084ea422bbaa9e6101ecdbdd2</v>
      </c>
      <c r="E69" s="5" t="str">
        <v>Document furnizor / broșură existentă</v>
      </c>
    </row>
    <row r="70" ht="48" customHeight="1">
      <c r="A70" s="13" t="str">
        <v>09. Complex industrial pentru procesarea migdalelor (200 kg-h).pdf</v>
      </c>
      <c r="B70" s="5" t="n">
        <v>6</v>
      </c>
      <c r="C70" s="5" t="n">
        <v>185</v>
      </c>
      <c r="D70" s="5" t="str">
        <v>b54d67fa473e0e391087cdde9ead1f290267cab084ea422bbaa9e6101ecdbdd2</v>
      </c>
      <c r="E70" s="5" t="str">
        <v>Document furnizor / broșură existentă</v>
      </c>
    </row>
  </sheetData>
  <hyperlinks>
    <hyperlink ref="A6" r:id="R77197e185ef942e3"/>
    <hyperlink ref="A7" r:id="R0241de7afa3e473e"/>
    <hyperlink ref="A8" r:id="R5689bc9e508b47a0"/>
    <hyperlink ref="A9" r:id="R93d6a2b676aa40a2"/>
    <hyperlink ref="A10" r:id="Rf64ac560687e4882"/>
    <hyperlink ref="A11" r:id="Rc5d38b1a65844c0c"/>
    <hyperlink ref="A12" r:id="R3ee70462c385487c"/>
    <hyperlink ref="A13" r:id="Re2b0df4b776a4162"/>
    <hyperlink ref="A14" r:id="Ra952cbfbd83640b6"/>
    <hyperlink ref="A15" r:id="R7d8a2c6df9db4582"/>
    <hyperlink ref="A16" r:id="R6ae0f6ff2f254ee3"/>
    <hyperlink ref="A17" r:id="R3df0d4be54af4a02"/>
    <hyperlink ref="A18" r:id="R590c60c084894548"/>
    <hyperlink ref="A19" r:id="R013d11df5dd5447b"/>
    <hyperlink ref="A20" r:id="R7c148ac241304d3b"/>
    <hyperlink ref="A21" r:id="R592a2d01715b43c3"/>
    <hyperlink ref="A22" r:id="R0b3d66ed538e48f4"/>
    <hyperlink ref="A23" r:id="R3e28852c9ef3430b"/>
    <hyperlink ref="A24" r:id="R02ea4debb0e1448e"/>
    <hyperlink ref="A25" r:id="R77e5af127e4042aa"/>
    <hyperlink ref="A26" r:id="R2dd4a6246b4241c8"/>
    <hyperlink ref="A27" r:id="R4e63235e53b649f7"/>
    <hyperlink ref="A28" r:id="Rf15975d6bc0343f9"/>
    <hyperlink ref="A29" r:id="Re5a52d07239848d5"/>
    <hyperlink ref="A30" r:id="Rb4d553b75a8243f6"/>
    <hyperlink ref="A31" r:id="R62335dbf257047c0"/>
    <hyperlink ref="A32" r:id="R2a763123adf140b3"/>
    <hyperlink ref="A33" r:id="R057b8986583f4135"/>
    <hyperlink ref="A34" r:id="R9a1ed7679cb24047"/>
    <hyperlink ref="A35" r:id="Re93b65bcef9e4c17"/>
    <hyperlink ref="A36" r:id="R61b881b39530478a"/>
    <hyperlink ref="A37" r:id="R184efed006074dff"/>
    <hyperlink ref="A38" r:id="Rfcbab0a192904e83"/>
    <hyperlink ref="A39" r:id="Rc560bff709d14c96"/>
    <hyperlink ref="A40" r:id="R33119c8145d24472"/>
    <hyperlink ref="A41" r:id="R5f66f0a1d79544d8"/>
    <hyperlink ref="A42" r:id="R9e614e0304a94f5c"/>
    <hyperlink ref="A43" r:id="Rf5605f634c444836"/>
    <hyperlink ref="A44" r:id="Re0ac9d855d144d7d"/>
    <hyperlink ref="A45" r:id="R736d4db9e8cd499d"/>
    <hyperlink ref="A46" r:id="Rc778ac34c86c4bde"/>
    <hyperlink ref="A47" r:id="Re08b29122a244540"/>
    <hyperlink ref="A48" r:id="Ra72f2d075eba48b6"/>
    <hyperlink ref="A49" r:id="R940b38abc48642f3"/>
    <hyperlink ref="A50" r:id="R0a981a7a288e4f78"/>
    <hyperlink ref="A51" r:id="Rbc1b806a1ace4b2a"/>
    <hyperlink ref="A52" r:id="R42109c179513464c"/>
    <hyperlink ref="A53" r:id="Rc018c5eab0e84148"/>
    <hyperlink ref="A54" r:id="Re77c41e39b6742e0"/>
    <hyperlink ref="A55" r:id="R4bd6b6f86ba34a52"/>
    <hyperlink ref="A56" r:id="R7cec315b7214479f"/>
    <hyperlink ref="A57" r:id="Rf2223cf591924c6c"/>
    <hyperlink ref="A58" r:id="R2907693844454af0"/>
    <hyperlink ref="A59" r:id="R86f9ba924caa46cc"/>
    <hyperlink ref="A60" r:id="R06ce41b1284243e9"/>
    <hyperlink ref="A61" r:id="R553aae03e43f41f8"/>
    <hyperlink ref="A62" r:id="Rcfb6793ecae741af"/>
    <hyperlink ref="A63" r:id="Rf7c8343bdbf24a38"/>
    <hyperlink ref="A64" r:id="Rcce5694380e7476a"/>
    <hyperlink ref="A65" r:id="Rd56374f6d07f4d33"/>
    <hyperlink ref="A66" r:id="Rece590c1a2104218"/>
    <hyperlink ref="A67" r:id="R06aa3d78a88c4805"/>
    <hyperlink ref="A68" r:id="R7f5801c0dc1b4f64"/>
    <hyperlink ref="A69" r:id="R822ea7a5679443d7"/>
    <hyperlink ref="A70" r:id="R6b5daf905be84a44"/>
  </hyperlinks>
  <pageMargins left="0.7" right="0.7" top="0.75" bottom="0.75" header="0.3" footer="0.3"/>
  <tableParts count="1">
    <tablePart r:id="R0111863bbf8c4696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 tabSelected="0">
      <pane xSplit="2" ySplit="5" topLeftCell="C6" activePane="bottomRight" state="frozen"/>
    </sheetView>
  </sheetViews>
  <sheetFormatPr defaultRowHeight="15"/>
  <cols>
    <col min="1" max="1" width="23" hidden="0" customWidth="1"/>
    <col min="2" max="2" width="80" hidden="0" customWidth="1"/>
    <col min="3" max="3" width="74" hidden="0" customWidth="1"/>
    <col min="4" max="4" width="72" hidden="0" customWidth="1"/>
  </cols>
  <sheetData>
    <row r="2">
      <c r="A2" s="1" t="str">
        <v>Condiții și diferențe de confirmat</v>
      </c>
    </row>
    <row r="5" ht="34" customHeight="1">
      <c r="A5" s="9" t="str">
        <v>Temă</v>
      </c>
      <c r="B5" s="9" t="str">
        <v>Constatare</v>
      </c>
      <c r="C5" s="9" t="str">
        <v>Acțiune necesară</v>
      </c>
      <c r="D5" s="9" t="str">
        <v>Sursă</v>
      </c>
    </row>
    <row r="6" ht="48" customHeight="1">
      <c r="A6" s="5" t="str">
        <v>Total ofertă</v>
      </c>
      <c r="B6" s="5" t="str">
        <v>Poziția 7: 44.900 × 2 = 89.800, dar totalul de rând este 95.800 EUR.</v>
      </c>
      <c r="C6" s="5" t="str">
        <v>Confirmare preț unitar sau total și emitere ofertă corectată.</v>
      </c>
      <c r="D6" s="5" t="str">
        <v>02_Oferte\82ab706d_Oferta comerciala - CESIRO PRODUCTION - Linie procesare nuci 400 kg v2.pdf p. 1</v>
      </c>
    </row>
    <row r="7" ht="48" customHeight="1">
      <c r="A7" s="5" t="str">
        <v>Configurație</v>
      </c>
      <c r="B7" s="5" t="str">
        <v>Solicitare 500 kg/h cu 3 spărgătoare; ofertă două linii de 200 kg/h.</v>
      </c>
      <c r="C7" s="5" t="str">
        <v>Confirmare configurație acceptată și debit garantat.</v>
      </c>
      <c r="D7" s="5" t="str">
        <v>01_Comunicatii/2026-10-11_5f73380d.txt</v>
      </c>
    </row>
    <row r="8" ht="48" customHeight="1">
      <c r="A8" s="5" t="str">
        <v>Tablouri electrice</v>
      </c>
      <c r="B8" s="5" t="str">
        <v>Excluse din preț potrivit emailului din 11.10.2026.</v>
      </c>
      <c r="C8" s="5" t="str">
        <v>Buget separat pentru tablouri și automatizare.</v>
      </c>
      <c r="D8" s="5" t="str">
        <v>01_Comunicatii/2026-10-11_5f73380d.txt</v>
      </c>
    </row>
    <row r="9" ht="48" customHeight="1">
      <c r="A9" s="5" t="str">
        <v>Lista motoarelor</v>
      </c>
      <c r="B9" s="5" t="str">
        <v>Promisă marți, 13.10.2026, în emailul din 11.10.2026.</v>
      </c>
      <c r="C9" s="5" t="str">
        <v>Nu am găsit răspunsul cu lista în comunicările disponibile.</v>
      </c>
      <c r="D9" s="5" t="str">
        <v>01_Comunicatii/2026-10-11_5f73380d.txt</v>
      </c>
    </row>
    <row r="10" ht="48" customHeight="1">
      <c r="A10" s="5" t="str">
        <v>Noria</v>
      </c>
      <c r="B10" s="5" t="str">
        <v>4 t/h în tabel; 2 t/h în descriere.</v>
      </c>
      <c r="C10" s="5" t="str">
        <v>Clarificare capacitate, putere și schiță.</v>
      </c>
      <c r="D10" s="5" t="str">
        <v>02_Oferte\82ab706d_Oferta comerciala - CESIRO PRODUCTION - Linie procesare nuci 400 kg v2.pdf p. 1, 3</v>
      </c>
    </row>
    <row r="11" ht="48" customHeight="1">
      <c r="A11" s="5" t="str">
        <v>Sortare nuci goale</v>
      </c>
      <c r="B11" s="5" t="str">
        <v>Titlu mașină nuci goale; descriere separator miez 100 kg/h și debit 300 kg/h.</v>
      </c>
      <c r="C11" s="5" t="str">
        <v>Confirmare model, dimensiuni, debit.</v>
      </c>
      <c r="D11" s="5" t="str">
        <v>02_Oferte\82ab706d_Oferta comerciala - CESIRO PRODUCTION - Linie procesare nuci 400 kg v2.pdf p. 5</v>
      </c>
    </row>
    <row r="12" ht="48" customHeight="1">
      <c r="A12" s="5" t="str">
        <v>Sortare optică</v>
      </c>
      <c r="B12" s="5" t="str">
        <v>3S ofertat, M600 cerut. Pentru M600 există numai imagine locală și fișă electrică propusă.</v>
      </c>
      <c r="C12" s="5" t="str">
        <v>Broșură M600, preț și protocol de comunicație.</v>
      </c>
      <c r="D12" s="5" t="str">
        <v>02_Oferte\82ab706d_Oferta comerciala - CESIRO PRODUCTION - Linie procesare nuci 400 kg v2.pdf p. 15-16</v>
      </c>
    </row>
    <row r="13" ht="48" customHeight="1">
      <c r="A13" s="5" t="str">
        <v>Motoare</v>
      </c>
      <c r="B13" s="5" t="str">
        <v>Email: toate italiene NERI/MOTOVARIO; 3S în PDF: motor Polonia.</v>
      </c>
      <c r="C13" s="5" t="str">
        <v>Confirmare excepții și modele exacte.</v>
      </c>
      <c r="D13" s="5" t="str">
        <v>02_Oferte\82ab706d_Oferta comerciala - CESIRO PRODUCTION - Linie procesare nuci 400 kg v2.pdf p. 16</v>
      </c>
    </row>
    <row r="14" ht="48" customHeight="1">
      <c r="A14" s="5" t="str">
        <v>Garanție</v>
      </c>
      <c r="B14" s="5" t="str">
        <v>Condiții generale 12 luni; unele poziții 24 luni.</v>
      </c>
      <c r="C14" s="5" t="str">
        <v>Clarificare garanție per utilaj.</v>
      </c>
      <c r="D14" s="5" t="str">
        <v>02_Oferte\82ab706d_Oferta comerciala - CESIRO PRODUCTION - Linie procesare nuci 400 kg v2.pdf p. 5, 16</v>
      </c>
    </row>
    <row r="15" ht="48" customHeight="1">
      <c r="A15" s="5" t="str">
        <v>Livrare și montaj</v>
      </c>
      <c r="B15" s="5" t="str">
        <v>Email include transport, montaj pe poziție și cabluri; descrierea Noria spune livrare exclusă.</v>
      </c>
      <c r="C15" s="5" t="str">
        <v>Aliniere ofertă și condiții contractuale; termen de livrare.</v>
      </c>
      <c r="D15" s="5" t="str">
        <v>01_Comunicatii/2026-10-11_5f73380d.txt</v>
      </c>
    </row>
    <row r="16" ht="48" customHeight="1">
      <c r="A16" s="5" t="str">
        <v>Uscător</v>
      </c>
      <c r="B16" s="5" t="str">
        <v>14 kW menționat; lipsește bilanțul termic cerut.</v>
      </c>
      <c r="C16" s="5" t="str">
        <v>Putere electrică totală, umiditate inițială, durată și consum pe șarjă.</v>
      </c>
      <c r="D16" s="5" t="str">
        <v>02_Oferte\82ab706d_Oferta comerciala - CESIRO PRODUCTION - Linie procesare nuci 400 kg v2.pdf p. 4-5</v>
      </c>
    </row>
    <row r="17" ht="48" customHeight="1">
      <c r="A17" s="5" t="str">
        <v>Echipamente locale</v>
      </c>
      <c r="B17" s="5" t="str">
        <v>Buncăr, benzi și pâlnie apă uzată propuse pentru fabricație locală.</v>
      </c>
      <c r="C17" s="5" t="str">
        <v>Dimensiuni, cantități și prețuri separate.</v>
      </c>
      <c r="D17" s="5" t="str">
        <v>01_Comunicatii/2026-10-11_5f73380d.txt</v>
      </c>
    </row>
  </sheetData>
  <pageMargins left="0.7" right="0.7" top="0.75" bottom="0.75" header="0.3" footer="0.3"/>
  <tableParts count="1">
    <tablePart r:id="Rfb19fb05bd92444d"/>
  </tableParts>
</worksheet>
</file>

<file path=xl/worksheets/sheet6.xml><?xml version="1.0" encoding="utf-8"?>
<worksheet xmlns="http://schemas.openxmlformats.org/spreadsheetml/2006/main">
  <sheetPr>
    <tabColor rgb="FF344E41"/>
  </sheetPr>
  <sheetViews>
    <sheetView showGridLines="0" workbookViewId="0" tabSelected="0">
      <pane xSplit="1" ySplit="7" topLeftCell="B8" activePane="bottomRight" state="frozen"/>
    </sheetView>
  </sheetViews>
  <sheetFormatPr defaultRowHeight="15"/>
  <cols>
    <col min="1" max="1" width="65" hidden="0" customWidth="1"/>
    <col min="2" max="2" width="14" hidden="0" customWidth="1"/>
    <col min="3" max="3" width="12" hidden="0" customWidth="1"/>
    <col min="4" max="4" width="12" hidden="0" customWidth="1"/>
    <col min="5" max="5" width="18" hidden="0" customWidth="1"/>
    <col min="6" max="6" width="20" hidden="0" customWidth="1"/>
    <col min="7" max="7" width="20" hidden="0" customWidth="1"/>
    <col min="8" max="8" width="22" hidden="0" customWidth="1"/>
    <col min="9" max="9" width="22" hidden="0" customWidth="1"/>
    <col min="10" max="10" width="20" hidden="0" customWidth="1"/>
    <col min="11" max="11" width="19" hidden="0" customWidth="1"/>
    <col min="12" max="12" width="20" hidden="0" customWidth="1"/>
    <col min="13" max="13" width="76" hidden="0" customWidth="1"/>
    <col min="14" max="14" width="70" hidden="0" customWidth="1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>
      <c r="A2" s="16" t="str">
        <v>Nr. 82 / 16.04.2026 / varianta 200 kg/h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0" customHeight="1">
      <c r="A3" s="18" t="str">
        <v>Prețuri în EUR fără TVA. Cantitățile de 1 buc. din ofertele 82 sunt presupuse unde tabelul nu indică numărul.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30" customHeight="1">
      <c r="A4" s="18" t="str">
        <v>kW = putere declarată, nu consum kWh. Capacitățile se însumează numai pentru utilaje identice în paralel.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30" customHeight="1">
      <c r="A6" s="18" t="str">
        <v>Oferta istorică necesită reconfirmare. Nu se presupune că include automatizarea cerută ulterior.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44" customHeight="1">
      <c r="A7" s="23" t="str">
        <v>Echipament / versiune</v>
      </c>
      <c r="B7" s="23" t="str">
        <v>Unitate capacitate</v>
      </c>
      <c r="C7" s="23" t="str">
        <v>Buc. ofertate</v>
      </c>
      <c r="D7" s="23" t="str">
        <v>Inclus în total (1/0)</v>
      </c>
      <c r="E7" s="23" t="str">
        <v>Capacitate / utilaj</v>
      </c>
      <c r="F7" s="23" t="str">
        <v>Capacitate × buc. incluse</v>
      </c>
      <c r="G7" s="23" t="str">
        <v>Preț unitar EUR</v>
      </c>
      <c r="H7" s="23" t="str">
        <v>Preț calculat EUR</v>
      </c>
      <c r="I7" s="23" t="str">
        <v>Preț declarat rând EUR</v>
      </c>
      <c r="J7" s="23" t="str">
        <v>Diferență EUR</v>
      </c>
      <c r="K7" s="23" t="str">
        <v>Putere / utilaj kW</v>
      </c>
      <c r="L7" s="23" t="str">
        <v>Putere × buc. kW</v>
      </c>
      <c r="M7" s="23" t="str">
        <v>Precizări tehnice / pagină</v>
      </c>
      <c r="N7" s="23" t="str">
        <v>Document sursă</v>
      </c>
    </row>
    <row r="8" ht="44" customHeight="1">
      <c r="A8" s="25" t="str">
        <v>Curățare nuci verzi / ofertă 500 kg/h (descriere 500–600)</v>
      </c>
      <c r="B8" s="25" t="str">
        <v>kg/h</v>
      </c>
      <c r="C8" s="25" t="n">
        <v>1</v>
      </c>
      <c r="D8" s="25" t="n">
        <v>1</v>
      </c>
      <c r="E8" s="25" t="n">
        <v>500</v>
      </c>
      <c r="F8" s="25" t="n">
        <f>IF(D8=0,0,IF(ISNUMBER(E8),C8*D8*E8,"ND"))</f>
        <v>500</v>
      </c>
      <c r="G8" s="26" t="n">
        <v>8000</v>
      </c>
      <c r="H8" s="26" t="n">
        <f>C8*D8*G8</f>
        <v>8000</v>
      </c>
      <c r="I8" s="26" t="n">
        <v>8000</v>
      </c>
      <c r="J8" s="26" t="n">
        <f>IF(D8=0,0,I8-H8)</f>
        <v>0</v>
      </c>
      <c r="K8" s="27" t="n">
        <v>2.2</v>
      </c>
      <c r="L8" s="27" t="n">
        <f>IF(D8=0,0,IF(ISNUMBER(K8),C8*D8*K8,"ND"))</f>
        <v>2.2</v>
      </c>
      <c r="M8" s="25" t="str">
        <v>p. 1; 500 kg/h tabel, 500–600 detalii, 700 descriere.</v>
      </c>
      <c r="N8" s="25" t="str">
        <v>02_Oferte\6d433786_Oferta comerciala - CESIRO PRODUCTION - Linie procesare nuci - 200 kg.pdf</v>
      </c>
    </row>
    <row r="9" ht="44" customHeight="1">
      <c r="A9" s="25" t="str">
        <v>Uscător pentru nuci, alune și migdale în coajă (2 tone/zi)</v>
      </c>
      <c r="B9" s="25" t="str">
        <v>kg/24 h</v>
      </c>
      <c r="C9" s="25" t="n">
        <v>1</v>
      </c>
      <c r="D9" s="25" t="n">
        <v>1</v>
      </c>
      <c r="E9" s="25" t="n">
        <v>2000</v>
      </c>
      <c r="F9" s="25" t="n">
        <f>IF(D9=0,0,IF(ISNUMBER(E9),C9*D9*E9,"ND"))</f>
        <v>2000</v>
      </c>
      <c r="G9" s="26" t="n">
        <v>16000</v>
      </c>
      <c r="H9" s="26" t="n">
        <f>C9*D9*G9</f>
        <v>16000</v>
      </c>
      <c r="I9" s="26" t="n">
        <v>16000</v>
      </c>
      <c r="J9" s="26" t="n">
        <f>IF(D9=0,0,I9-H9)</f>
        <v>0</v>
      </c>
      <c r="K9" s="27" t="n">
        <v>14</v>
      </c>
      <c r="L9" s="27" t="n">
        <f>IF(D9=0,0,IF(ISNUMBER(K9),C9*D9*K9,"ND"))</f>
        <v>14</v>
      </c>
      <c r="M9" s="25" t="str">
        <v>p. 3; uscător 2 t/24 h.</v>
      </c>
      <c r="N9" s="25" t="str">
        <v>02_Oferte\6d433786_Oferta comerciala - CESIRO PRODUCTION - Linie procesare nuci - 200 kg.pdf</v>
      </c>
    </row>
    <row r="10" ht="44" customHeight="1">
      <c r="A10" s="25" t="str">
        <v>Elevator cu încărcare/descărcare Noria 2 tone pe oră</v>
      </c>
      <c r="B10" s="25" t="str">
        <v>kg/h</v>
      </c>
      <c r="C10" s="25" t="n">
        <v>1</v>
      </c>
      <c r="D10" s="25" t="n">
        <v>1</v>
      </c>
      <c r="E10" s="25" t="n">
        <v>2000</v>
      </c>
      <c r="F10" s="25" t="n">
        <f>IF(D10=0,0,IF(ISNUMBER(E10),C10*D10*E10,"ND"))</f>
        <v>2000</v>
      </c>
      <c r="G10" s="26" t="n">
        <v>6700</v>
      </c>
      <c r="H10" s="26" t="n">
        <f>C10*D10*G10</f>
        <v>6700</v>
      </c>
      <c r="I10" s="26" t="n">
        <v>6700</v>
      </c>
      <c r="J10" s="26" t="n">
        <f>IF(D10=0,0,I10-H10)</f>
        <v>0</v>
      </c>
      <c r="K10" s="27" t="str">
        <v>ND</v>
      </c>
      <c r="L10" s="27" t="str">
        <f>IF(D10=0,0,IF(ISNUMBER(K10),C10*D10*K10,"ND"))</f>
        <v>ND</v>
      </c>
      <c r="M10" s="25" t="str">
        <v>Puterea nu este precizată.</v>
      </c>
      <c r="N10" s="25" t="str">
        <v>02_Oferte\6d433786_Oferta comerciala - CESIRO PRODUCTION - Linie procesare nuci - 200 kg.pdf</v>
      </c>
    </row>
    <row r="11" ht="44" customHeight="1">
      <c r="A11" s="25" t="str">
        <v>Calibrator 4 fracții / 300 kg/h / ofertă 1,1 kW</v>
      </c>
      <c r="B11" s="25" t="str">
        <v>kg/h</v>
      </c>
      <c r="C11" s="25" t="n">
        <v>2</v>
      </c>
      <c r="D11" s="25" t="n">
        <v>1</v>
      </c>
      <c r="E11" s="25" t="n">
        <v>300</v>
      </c>
      <c r="F11" s="25" t="n">
        <f>IF(D11=0,0,IF(ISNUMBER(E11),C11*D11*E11,"ND"))</f>
        <v>600</v>
      </c>
      <c r="G11" s="26" t="n">
        <v>8600</v>
      </c>
      <c r="H11" s="26" t="n">
        <f>C11*D11*G11</f>
        <v>17200</v>
      </c>
      <c r="I11" s="26" t="n">
        <v>17200</v>
      </c>
      <c r="J11" s="26" t="n">
        <f>IF(D11=0,0,I11-H11)</f>
        <v>0</v>
      </c>
      <c r="K11" s="27" t="n">
        <v>1.1</v>
      </c>
      <c r="L11" s="27" t="n">
        <f>IF(D11=0,0,IF(ISNUMBER(K11),C11*D11*K11,"ND"))</f>
        <v>2.2</v>
      </c>
      <c r="M11" s="25" t="str">
        <v>p. 6; 17.200 EUR pentru 2 buc.; preț unitar derivat.</v>
      </c>
      <c r="N11" s="25" t="str">
        <v>02_Oferte\6d433786_Oferta comerciala - CESIRO PRODUCTION - Linie procesare nuci - 200 kg.pdf</v>
      </c>
    </row>
    <row r="12" ht="44" customHeight="1">
      <c r="A12" s="25" t="str">
        <v>Mașină pentru îndepărtarea cojii verzi a alunelor</v>
      </c>
      <c r="B12" s="25" t="str">
        <v>kg/h</v>
      </c>
      <c r="C12" s="25" t="n">
        <v>1</v>
      </c>
      <c r="D12" s="25" t="n">
        <v>1</v>
      </c>
      <c r="E12" s="25" t="n">
        <v>300</v>
      </c>
      <c r="F12" s="25" t="n">
        <f>IF(D12=0,0,IF(ISNUMBER(E12),C12*D12*E12,"ND"))</f>
        <v>300</v>
      </c>
      <c r="G12" s="26" t="n">
        <v>4300</v>
      </c>
      <c r="H12" s="26" t="n">
        <f>C12*D12*G12</f>
        <v>4300</v>
      </c>
      <c r="I12" s="26" t="n">
        <v>4300</v>
      </c>
      <c r="J12" s="26" t="n">
        <f>IF(D12=0,0,I12-H12)</f>
        <v>0</v>
      </c>
      <c r="K12" s="27" t="n">
        <v>2.2</v>
      </c>
      <c r="L12" s="27" t="n">
        <f>IF(D12=0,0,IF(ISNUMBER(K12),C12*D12*K12,"ND"))</f>
        <v>2.2</v>
      </c>
      <c r="M12" s="25" t="str">
        <v>p. 6; utilaj pentru alune.</v>
      </c>
      <c r="N12" s="25" t="str">
        <v>02_Oferte\6d433786_Oferta comerciala - CESIRO PRODUCTION - Linie procesare nuci - 200 kg.pdf</v>
      </c>
    </row>
    <row r="13" ht="44" customHeight="1">
      <c r="A13" s="25" t="str">
        <v>Linie completă combinată / 200 kg/h / nuci, alune, migdale</v>
      </c>
      <c r="B13" s="25" t="str">
        <v>kg/h</v>
      </c>
      <c r="C13" s="25" t="n">
        <v>1</v>
      </c>
      <c r="D13" s="25" t="n">
        <v>1</v>
      </c>
      <c r="E13" s="25" t="n">
        <v>200</v>
      </c>
      <c r="F13" s="25" t="n">
        <f>IF(D13=0,0,IF(ISNUMBER(E13),C13*D13*E13,"ND"))</f>
        <v>200</v>
      </c>
      <c r="G13" s="26" t="n">
        <v>32900</v>
      </c>
      <c r="H13" s="26" t="n">
        <f>C13*D13*G13</f>
        <v>32900</v>
      </c>
      <c r="I13" s="26" t="n">
        <v>32900</v>
      </c>
      <c r="J13" s="26" t="n">
        <f>IF(D13=0,0,I13-H13)</f>
        <v>0</v>
      </c>
      <c r="K13" s="27" t="str">
        <v>ND</v>
      </c>
      <c r="L13" s="27" t="str">
        <f>IF(D13=0,0,IF(ISNUMBER(K13),C13*D13*K13,"ND"))</f>
        <v>ND</v>
      </c>
      <c r="M13" s="25" t="str">
        <v>Puterea întregii linii lipsește; puterile componentelor nu sunt un total complet.</v>
      </c>
      <c r="N13" s="25" t="str">
        <v>02_Oferte\6d433786_Oferta comerciala - CESIRO PRODUCTION - Linie procesare nuci - 200 kg.pdf</v>
      </c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25" customHeight="1">
      <c r="A22" s="28" t="str">
        <v>Capacitate de spargere propusă (kg/h), teoretică</v>
      </c>
      <c r="B22" s="29" t="n">
        <f>F13</f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25" customHeight="1">
      <c r="A23" s="28" t="str">
        <v>Capacitate uscare (kg/24 h), declarată</v>
      </c>
      <c r="B23" s="29" t="n">
        <f>F9</f>
        <v>2000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25" customHeight="1">
      <c r="A24" s="28" t="str">
        <v>Preț calculat configurație selectată (EUR fără TVA)</v>
      </c>
      <c r="B24" s="29" t="n">
        <f>SUM(H8:H13)</f>
        <v>85100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ht="25" customHeight="1">
      <c r="A25" s="28" t="str">
        <v>Total general declarat în ofertă (EUR fără TVA)</v>
      </c>
      <c r="B25" s="29" t="n">
        <v>85100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ht="25" customHeight="1">
      <c r="A26" s="28" t="str">
        <v>Diferență total declarat minus calculat (EUR)</v>
      </c>
      <c r="B26" s="29" t="n">
        <f>IF(ISNUMBER(B25),B25-B24,"ND")</f>
        <v>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ht="25" customHeight="1">
      <c r="A27" s="28" t="str">
        <v>Subtotal puteri cunoscute (kW), incomplet</v>
      </c>
      <c r="B27" s="29" t="n">
        <f>SUM(L8:L13)</f>
        <v>20.599999999999998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ht="25" customHeight="1">
      <c r="A28" s="28" t="str">
        <v>Poziții incluse fără putere totală declarată</v>
      </c>
      <c r="B28" s="29" t="n">
        <f>COUNTIF(L8:L13,"ND")</f>
        <v>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ht="25" customHeight="1">
      <c r="A29" s="28" t="str">
        <v>Putere totală completă configurație (kW)</v>
      </c>
      <c r="B29" s="29" t="str">
        <f>IF(B28&gt;0,"ND",B27)</f>
        <v>ND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30" customHeight="1">
      <c r="A31" s="18" t="str">
        <v>ND = informație nedeclarată / incompletă. Subtotalul cunoscut nu include consumatorii fără putere specificată.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ht="30" customHeight="1">
      <c r="A32" s="18" t="str">
        <v>Capacitatea liniei întregi nu este garantată: depinde de alimentare, sortare, umiditate și funcționarea în paralel.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</sheetData>
  <autoFilter ref="A7:N13"/>
  <mergeCells>
    <mergeCell ref="A2:J2"/>
    <mergeCell ref="A3:J3"/>
    <mergeCell ref="A4:J4"/>
    <mergeCell ref="A6:J6"/>
    <mergeCell ref="A31:J31"/>
    <mergeCell ref="A32:J32"/>
  </mergeCells>
  <conditionalFormatting sqref="J8:J13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344E41"/>
  </sheetPr>
  <sheetViews>
    <sheetView showGridLines="0" workbookViewId="0" tabSelected="0">
      <pane xSplit="1" ySplit="7" topLeftCell="B8" activePane="bottomRight" state="frozen"/>
    </sheetView>
  </sheetViews>
  <sheetFormatPr defaultRowHeight="15"/>
  <cols>
    <col min="1" max="1" width="65" hidden="0" customWidth="1"/>
    <col min="2" max="2" width="14" hidden="0" customWidth="1"/>
    <col min="3" max="3" width="12" hidden="0" customWidth="1"/>
    <col min="4" max="4" width="12" hidden="0" customWidth="1"/>
    <col min="5" max="5" width="18" hidden="0" customWidth="1"/>
    <col min="6" max="6" width="20" hidden="0" customWidth="1"/>
    <col min="7" max="7" width="20" hidden="0" customWidth="1"/>
    <col min="8" max="8" width="22" hidden="0" customWidth="1"/>
    <col min="9" max="9" width="22" hidden="0" customWidth="1"/>
    <col min="10" max="10" width="20" hidden="0" customWidth="1"/>
    <col min="11" max="11" width="19" hidden="0" customWidth="1"/>
    <col min="12" max="12" width="20" hidden="0" customWidth="1"/>
    <col min="13" max="13" width="76" hidden="0" customWidth="1"/>
    <col min="14" max="14" width="70" hidden="0" customWidth="1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>
      <c r="A2" s="16" t="str">
        <v>Nr. 82 / 16.04.2026 / fișier 400 kg/h; linie descrisă 200 kg/h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0" customHeight="1">
      <c r="A3" s="18" t="str">
        <v>Prețuri în EUR fără TVA. Cantitățile de 1 buc. din ofertele 82 sunt presupuse unde tabelul nu indică numărul.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30" customHeight="1">
      <c r="A4" s="18" t="str">
        <v>kW = putere declarată, nu consum kWh. Capacitățile se însumează numai pentru utilaje identice în paralel.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15" t="str">
        <v>Linie inclusă în total: 1 = numai nuci, 2 = combinată</v>
      </c>
      <c r="B5" s="15"/>
      <c r="C5" s="30" t="n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30" customHeight="1">
      <c r="A6" s="18" t="str">
        <v>O singură alternativă este inclusă. Selecția se propagă în matrice și în totaluri; prețurile ambelor variante rămân vizibile.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44" customHeight="1">
      <c r="A7" s="23" t="str">
        <v>Echipament / versiune</v>
      </c>
      <c r="B7" s="23" t="str">
        <v>Unitate capacitate</v>
      </c>
      <c r="C7" s="23" t="str">
        <v>Buc. ofertate</v>
      </c>
      <c r="D7" s="23" t="str">
        <v>Inclus în total (1/0)</v>
      </c>
      <c r="E7" s="23" t="str">
        <v>Capacitate / utilaj</v>
      </c>
      <c r="F7" s="23" t="str">
        <v>Capacitate × buc. incluse</v>
      </c>
      <c r="G7" s="23" t="str">
        <v>Preț unitar EUR</v>
      </c>
      <c r="H7" s="23" t="str">
        <v>Preț calculat EUR</v>
      </c>
      <c r="I7" s="23" t="str">
        <v>Preț declarat rând EUR</v>
      </c>
      <c r="J7" s="23" t="str">
        <v>Diferență EUR</v>
      </c>
      <c r="K7" s="23" t="str">
        <v>Putere / utilaj kW</v>
      </c>
      <c r="L7" s="23" t="str">
        <v>Putere × buc. kW</v>
      </c>
      <c r="M7" s="23" t="str">
        <v>Precizări tehnice / pagină</v>
      </c>
      <c r="N7" s="23" t="str">
        <v>Document sursă</v>
      </c>
    </row>
    <row r="8" ht="44" customHeight="1">
      <c r="A8" s="25" t="str">
        <v>Mașină industrială de decojire și spălare (1 t/h)</v>
      </c>
      <c r="B8" s="25" t="str">
        <v>kg/h</v>
      </c>
      <c r="C8" s="25" t="n">
        <v>1</v>
      </c>
      <c r="D8" s="25" t="n">
        <v>1</v>
      </c>
      <c r="E8" s="25" t="n">
        <v>1000</v>
      </c>
      <c r="F8" s="25" t="n">
        <f>IF(D8=0,0,IF(ISNUMBER(E8),C8*D8*E8,"ND"))</f>
        <v>1000</v>
      </c>
      <c r="G8" s="26" t="n">
        <v>29000</v>
      </c>
      <c r="H8" s="26" t="n">
        <f>C8*D8*G8</f>
        <v>29000</v>
      </c>
      <c r="I8" s="26" t="n">
        <v>29000</v>
      </c>
      <c r="J8" s="26" t="n">
        <f>IF(D8=0,0,I8-H8)</f>
        <v>0</v>
      </c>
      <c r="K8" s="27" t="n">
        <v>3.7</v>
      </c>
      <c r="L8" s="27" t="n">
        <f>IF(D8=0,0,IF(ISNUMBER(K8),C8*D8*K8,"ND"))</f>
        <v>3.7</v>
      </c>
      <c r="M8" s="25" t="str">
        <v>p. 1.</v>
      </c>
      <c r="N8" s="25" t="str">
        <v>02_Oferte\39b20753_Oferta comerciala - CESIRO PRODUCTION - Linie procesare nuci 400 kg - h.pdf</v>
      </c>
    </row>
    <row r="9" ht="44" customHeight="1">
      <c r="A9" s="25" t="str">
        <v>Uscător pentru nuci, alune și migdale în coajă (4 tone/zi)</v>
      </c>
      <c r="B9" s="25" t="str">
        <v>kg/24 h</v>
      </c>
      <c r="C9" s="25" t="n">
        <v>1</v>
      </c>
      <c r="D9" s="25" t="n">
        <v>1</v>
      </c>
      <c r="E9" s="25" t="n">
        <v>4000</v>
      </c>
      <c r="F9" s="25" t="n">
        <f>IF(D9=0,0,IF(ISNUMBER(E9),C9*D9*E9,"ND"))</f>
        <v>4000</v>
      </c>
      <c r="G9" s="26" t="n">
        <v>19200</v>
      </c>
      <c r="H9" s="26" t="n">
        <f>C9*D9*G9</f>
        <v>19200</v>
      </c>
      <c r="I9" s="26" t="n">
        <v>19200</v>
      </c>
      <c r="J9" s="26" t="n">
        <f>IF(D9=0,0,I9-H9)</f>
        <v>0</v>
      </c>
      <c r="K9" s="27" t="n">
        <v>14</v>
      </c>
      <c r="L9" s="27" t="n">
        <f>IF(D9=0,0,IF(ISNUMBER(K9),C9*D9*K9,"ND"))</f>
        <v>14</v>
      </c>
      <c r="M9" s="25" t="str">
        <v>p. 4–5; uscător 4 t/24 h.</v>
      </c>
      <c r="N9" s="25" t="str">
        <v>02_Oferte\39b20753_Oferta comerciala - CESIRO PRODUCTION - Linie procesare nuci 400 kg - h.pdf</v>
      </c>
    </row>
    <row r="10" ht="44" customHeight="1">
      <c r="A10" s="25" t="str">
        <v>Elevator cu încărcare/descărcare Noria 4 tone pe oră</v>
      </c>
      <c r="B10" s="25" t="str">
        <v>kg/h</v>
      </c>
      <c r="C10" s="25" t="n">
        <v>1</v>
      </c>
      <c r="D10" s="25" t="n">
        <v>1</v>
      </c>
      <c r="E10" s="25" t="n">
        <v>4000</v>
      </c>
      <c r="F10" s="25" t="n">
        <f>IF(D10=0,0,IF(ISNUMBER(E10),C10*D10*E10,"ND"))</f>
        <v>4000</v>
      </c>
      <c r="G10" s="26" t="n">
        <v>8600</v>
      </c>
      <c r="H10" s="26" t="n">
        <f>C10*D10*G10</f>
        <v>8600</v>
      </c>
      <c r="I10" s="26" t="n">
        <v>8600</v>
      </c>
      <c r="J10" s="26" t="n">
        <f>IF(D10=0,0,I10-H10)</f>
        <v>0</v>
      </c>
      <c r="K10" s="27" t="str">
        <v>ND</v>
      </c>
      <c r="L10" s="27" t="str">
        <f>IF(D10=0,0,IF(ISNUMBER(K10),C10*D10*K10,"ND"))</f>
        <v>ND</v>
      </c>
      <c r="M10" s="25" t="str">
        <v>4 t/h în tabel; puterea lipsește.</v>
      </c>
      <c r="N10" s="25" t="str">
        <v>02_Oferte\39b20753_Oferta comerciala - CESIRO PRODUCTION - Linie procesare nuci 400 kg - h.pdf</v>
      </c>
    </row>
    <row r="11" ht="44" customHeight="1">
      <c r="A11" s="25" t="str">
        <v>Calibrator 4 fracții / 300 kg/h / ofertă 1,1 kW</v>
      </c>
      <c r="B11" s="25" t="str">
        <v>kg/h</v>
      </c>
      <c r="C11" s="25" t="n">
        <v>2</v>
      </c>
      <c r="D11" s="25" t="n">
        <v>1</v>
      </c>
      <c r="E11" s="25" t="n">
        <v>300</v>
      </c>
      <c r="F11" s="25" t="n">
        <f>IF(D11=0,0,IF(ISNUMBER(E11),C11*D11*E11,"ND"))</f>
        <v>600</v>
      </c>
      <c r="G11" s="26" t="n">
        <v>8600</v>
      </c>
      <c r="H11" s="26" t="n">
        <f>C11*D11*G11</f>
        <v>17200</v>
      </c>
      <c r="I11" s="26" t="n">
        <v>17200</v>
      </c>
      <c r="J11" s="26" t="n">
        <f>IF(D11=0,0,I11-H11)</f>
        <v>0</v>
      </c>
      <c r="K11" s="27" t="n">
        <v>1.1</v>
      </c>
      <c r="L11" s="27" t="n">
        <f>IF(D11=0,0,IF(ISNUMBER(K11),C11*D11*K11,"ND"))</f>
        <v>2.2</v>
      </c>
      <c r="M11" s="25" t="str">
        <v>p. 6; 17.200 EUR pentru 2 buc.; preț unitar derivat.</v>
      </c>
      <c r="N11" s="25" t="str">
        <v>02_Oferte\39b20753_Oferta comerciala - CESIRO PRODUCTION - Linie procesare nuci 400 kg - h.pdf</v>
      </c>
    </row>
    <row r="12" ht="44" customHeight="1">
      <c r="A12" s="25" t="str">
        <v>Mașină pentru îndepărtarea cojii verzi a alunelor</v>
      </c>
      <c r="B12" s="25" t="str">
        <v>kg/h</v>
      </c>
      <c r="C12" s="25" t="n">
        <v>1</v>
      </c>
      <c r="D12" s="25" t="n">
        <v>1</v>
      </c>
      <c r="E12" s="25" t="n">
        <v>300</v>
      </c>
      <c r="F12" s="25" t="n">
        <f>IF(D12=0,0,IF(ISNUMBER(E12),C12*D12*E12,"ND"))</f>
        <v>300</v>
      </c>
      <c r="G12" s="26" t="n">
        <v>4300</v>
      </c>
      <c r="H12" s="26" t="n">
        <f>C12*D12*G12</f>
        <v>4300</v>
      </c>
      <c r="I12" s="26" t="n">
        <v>4300</v>
      </c>
      <c r="J12" s="26" t="n">
        <f>IF(D12=0,0,I12-H12)</f>
        <v>0</v>
      </c>
      <c r="K12" s="27" t="n">
        <v>2.2</v>
      </c>
      <c r="L12" s="27" t="n">
        <f>IF(D12=0,0,IF(ISNUMBER(K12),C12*D12*K12,"ND"))</f>
        <v>2.2</v>
      </c>
      <c r="M12" s="25" t="str">
        <v>p. 7; utilaj pentru alune.</v>
      </c>
      <c r="N12" s="25" t="str">
        <v>02_Oferte\39b20753_Oferta comerciala - CESIRO PRODUCTION - Linie procesare nuci 400 kg - h.pdf</v>
      </c>
    </row>
    <row r="13" ht="44" customHeight="1">
      <c r="A13" s="25" t="str">
        <v>Linie industrială pentru procesarea nucilor (200 kg/h)</v>
      </c>
      <c r="B13" s="25" t="str">
        <v>kg/h</v>
      </c>
      <c r="C13" s="25" t="n">
        <v>1</v>
      </c>
      <c r="D13" s="25" t="n">
        <f>IF($C$5=1,1,0)</f>
        <v>0</v>
      </c>
      <c r="E13" s="25" t="n">
        <v>200</v>
      </c>
      <c r="F13" s="25" t="n">
        <f>IF(D13=0,0,IF(ISNUMBER(E13),C13*D13*E13,"ND"))</f>
        <v>0</v>
      </c>
      <c r="G13" s="26" t="n">
        <v>28600</v>
      </c>
      <c r="H13" s="26" t="n">
        <f>C13*D13*G13</f>
        <v>0</v>
      </c>
      <c r="I13" s="26" t="n">
        <v>28600</v>
      </c>
      <c r="J13" s="26" t="n">
        <f>IF(D13=0,0,I13-H13)</f>
        <v>0</v>
      </c>
      <c r="K13" s="27" t="str">
        <v>ND</v>
      </c>
      <c r="L13" s="27" t="n">
        <f>IF(D13=0,0,IF(ISNUMBER(K13),C13*D13*K13,"ND"))</f>
        <v>0</v>
      </c>
      <c r="M13" s="25" t="str">
        <v>Alternativa 1: linie numai nuci, 200 kg/h.</v>
      </c>
      <c r="N13" s="25" t="str">
        <v>02_Oferte\39b20753_Oferta comerciala - CESIRO PRODUCTION - Linie procesare nuci 400 kg - h.pdf</v>
      </c>
    </row>
    <row r="14" ht="44" customHeight="1">
      <c r="A14" s="25" t="str">
        <v>Linie completă combinată / 200 kg/h / nuci, alune, migdale</v>
      </c>
      <c r="B14" s="25" t="str">
        <v>kg/h</v>
      </c>
      <c r="C14" s="25" t="n">
        <v>1</v>
      </c>
      <c r="D14" s="25" t="n">
        <f>IF($C$5=2,1,0)</f>
        <v>1</v>
      </c>
      <c r="E14" s="25" t="n">
        <v>200</v>
      </c>
      <c r="F14" s="25" t="n">
        <f>IF(D14=0,0,IF(ISNUMBER(E14),C14*D14*E14,"ND"))</f>
        <v>200</v>
      </c>
      <c r="G14" s="26" t="n">
        <v>32900</v>
      </c>
      <c r="H14" s="26" t="n">
        <f>C14*D14*G14</f>
        <v>32900</v>
      </c>
      <c r="I14" s="26" t="n">
        <v>32900</v>
      </c>
      <c r="J14" s="26" t="n">
        <f>IF(D14=0,0,I14-H14)</f>
        <v>0</v>
      </c>
      <c r="K14" s="27" t="str">
        <v>ND</v>
      </c>
      <c r="L14" s="27" t="str">
        <f>IF(D14=0,0,IF(ISNUMBER(K14),C14*D14*K14,"ND"))</f>
        <v>ND</v>
      </c>
      <c r="M14" s="25" t="str">
        <v>Alternativa 2: linie combinată, 200 kg/h.</v>
      </c>
      <c r="N14" s="25" t="str">
        <v>02_Oferte\39b20753_Oferta comerciala - CESIRO PRODUCTION - Linie procesare nuci 400 kg - h.pdf</v>
      </c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25" customHeight="1">
      <c r="A22" s="28" t="str">
        <v>Capacitate de spargere propusă (kg/h), teoretică</v>
      </c>
      <c r="B22" s="29" t="n">
        <f>F13+F14</f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25" customHeight="1">
      <c r="A23" s="28" t="str">
        <v>Capacitate uscare (kg/24 h), declarată</v>
      </c>
      <c r="B23" s="29" t="n">
        <f>F9</f>
        <v>4000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25" customHeight="1">
      <c r="A24" s="28" t="str">
        <v>Preț calculat configurație selectată (EUR fără TVA)</v>
      </c>
      <c r="B24" s="29" t="n">
        <f>SUM(H8:H14)</f>
        <v>111200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ht="25" customHeight="1">
      <c r="A25" s="28" t="str">
        <v>Total general declarat în ofertă (EUR fără TVA)</v>
      </c>
      <c r="B25" s="29" t="str">
        <v>Nedeclarat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ht="25" customHeight="1">
      <c r="A26" s="28" t="str">
        <v>Diferență total declarat minus calculat (EUR)</v>
      </c>
      <c r="B26" s="29" t="str">
        <f>IF(ISNUMBER(B25),B25-B24,"ND")</f>
        <v>ND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ht="25" customHeight="1">
      <c r="A27" s="28" t="str">
        <v>Subtotal puteri cunoscute (kW), incomplet</v>
      </c>
      <c r="B27" s="29" t="n">
        <f>SUM(L8:L14)</f>
        <v>22.099999999999998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ht="25" customHeight="1">
      <c r="A28" s="28" t="str">
        <v>Poziții incluse fără putere totală declarată</v>
      </c>
      <c r="B28" s="29" t="n">
        <f>COUNTIF(L8:L14,"ND")</f>
        <v>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ht="25" customHeight="1">
      <c r="A29" s="28" t="str">
        <v>Putere totală completă configurație (kW)</v>
      </c>
      <c r="B29" s="29" t="str">
        <f>IF(B28&gt;0,"ND",B27)</f>
        <v>ND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30" customHeight="1">
      <c r="A31" s="18" t="str">
        <v>ND = informație nedeclarată / incompletă. Subtotalul cunoscut nu include consumatorii fără putere specificată.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ht="30" customHeight="1">
      <c r="A32" s="18" t="str">
        <v>Capacitatea liniei întregi nu este garantată: depinde de alimentare, sortare, umiditate și funcționarea în paralel.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</sheetData>
  <autoFilter ref="A7:N14"/>
  <mergeCells>
    <mergeCell ref="A2:J2"/>
    <mergeCell ref="A3:J3"/>
    <mergeCell ref="A4:J4"/>
    <mergeCell ref="A6:J6"/>
    <mergeCell ref="A31:J31"/>
    <mergeCell ref="A32:J32"/>
  </mergeCells>
  <conditionalFormatting sqref="J8:J14">
    <cfRule type="cellIs" dxfId="3" priority="1" operator="notEqual">
      <formula>0</formula>
    </cfRule>
  </conditionalFormatting>
  <dataValidations count="1">
    <dataValidation type="list" sqref="C5">
      <formula1>"1,2"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344E41"/>
  </sheetPr>
  <sheetViews>
    <sheetView showGridLines="0" workbookViewId="0" tabSelected="0">
      <pane xSplit="1" ySplit="7" topLeftCell="B8" activePane="bottomRight" state="frozen"/>
    </sheetView>
  </sheetViews>
  <sheetFormatPr defaultRowHeight="15"/>
  <cols>
    <col min="1" max="1" width="65" hidden="0" customWidth="1"/>
    <col min="2" max="2" width="14" hidden="0" customWidth="1"/>
    <col min="3" max="3" width="12" hidden="0" customWidth="1"/>
    <col min="4" max="4" width="12" hidden="0" customWidth="1"/>
    <col min="5" max="5" width="18" hidden="0" customWidth="1"/>
    <col min="6" max="6" width="20" hidden="0" customWidth="1"/>
    <col min="7" max="7" width="20" hidden="0" customWidth="1"/>
    <col min="8" max="8" width="22" hidden="0" customWidth="1"/>
    <col min="9" max="9" width="22" hidden="0" customWidth="1"/>
    <col min="10" max="10" width="20" hidden="0" customWidth="1"/>
    <col min="11" max="11" width="19" hidden="0" customWidth="1"/>
    <col min="12" max="12" width="20" hidden="0" customWidth="1"/>
    <col min="13" max="13" width="76" hidden="0" customWidth="1"/>
    <col min="14" max="14" width="70" hidden="0" customWidth="1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>
      <c r="A2" s="16" t="str">
        <v>Nr. 179 / 11.10.2026 / două linii × 200 kg/h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0" customHeight="1">
      <c r="A3" s="18" t="str">
        <v>Prețuri în EUR fără TVA. Cantitățile de 1 buc. din ofertele 82 sunt presupuse unde tabelul nu indică numărul.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30" customHeight="1">
      <c r="A4" s="18" t="str">
        <v>kW = putere declarată, nu consum kWh. Capacitățile se însumează numai pentru utilaje identice în paralel.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30" customHeight="1">
      <c r="A6" s="18" t="str">
        <v>Panourile de comandă sunt excluse. Totalul declarat diferă cu 6.000 EUR de calculul cantitate × preț.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44" customHeight="1">
      <c r="A7" s="23" t="str">
        <v>Echipament / versiune</v>
      </c>
      <c r="B7" s="23" t="str">
        <v>Unitate capacitate</v>
      </c>
      <c r="C7" s="23" t="str">
        <v>Buc. ofertate</v>
      </c>
      <c r="D7" s="23" t="str">
        <v>Inclus în total (1/0)</v>
      </c>
      <c r="E7" s="23" t="str">
        <v>Capacitate / utilaj</v>
      </c>
      <c r="F7" s="23" t="str">
        <v>Capacitate × buc. incluse</v>
      </c>
      <c r="G7" s="23" t="str">
        <v>Preț unitar EUR</v>
      </c>
      <c r="H7" s="23" t="str">
        <v>Preț calculat EUR</v>
      </c>
      <c r="I7" s="23" t="str">
        <v>Preț declarat rând EUR</v>
      </c>
      <c r="J7" s="23" t="str">
        <v>Diferență EUR</v>
      </c>
      <c r="K7" s="23" t="str">
        <v>Putere / utilaj kW</v>
      </c>
      <c r="L7" s="23" t="str">
        <v>Putere × buc. kW</v>
      </c>
      <c r="M7" s="23" t="str">
        <v>Precizări tehnice / pagină</v>
      </c>
      <c r="N7" s="23" t="str">
        <v>Document sursă</v>
      </c>
    </row>
    <row r="8" ht="44" customHeight="1">
      <c r="A8" s="25" t="str">
        <v>Mașină industrială de decojire și spălare (1 t/h)</v>
      </c>
      <c r="B8" s="25" t="str">
        <v>kg/h</v>
      </c>
      <c r="C8" s="25" t="n">
        <v>1</v>
      </c>
      <c r="D8" s="25" t="n">
        <v>1</v>
      </c>
      <c r="E8" s="25" t="n">
        <v>1000</v>
      </c>
      <c r="F8" s="25" t="n">
        <f>IF(D8=0,0,IF(ISNUMBER(E8),C8*D8*E8,"ND"))</f>
        <v>1000</v>
      </c>
      <c r="G8" s="26" t="n">
        <v>34000</v>
      </c>
      <c r="H8" s="26" t="n">
        <f>C8*D8*G8</f>
        <v>34000</v>
      </c>
      <c r="I8" s="26" t="n">
        <v>34000</v>
      </c>
      <c r="J8" s="26" t="n">
        <f>IF(D8=0,0,I8-H8)</f>
        <v>0</v>
      </c>
      <c r="K8" s="27" t="n">
        <v>3.7</v>
      </c>
      <c r="L8" s="27" t="n">
        <f>IF(D8=0,0,IF(ISNUMBER(K8),C8*D8*K8,"ND"))</f>
        <v>3.7</v>
      </c>
      <c r="M8" s="25" t="str">
        <v>p. 1; NERI/MOTOVARIO conform emailului.</v>
      </c>
      <c r="N8" s="25" t="str">
        <v>02_Oferte\82ab706d_Oferta comerciala - CESIRO PRODUCTION - Linie procesare nuci 400 kg v2.pdf</v>
      </c>
    </row>
    <row r="9" ht="44" customHeight="1">
      <c r="A9" s="25" t="str">
        <v>Uscător pentru nuci, alune și migdale în coajă (4 tone/zi)</v>
      </c>
      <c r="B9" s="25" t="str">
        <v>kg/24 h</v>
      </c>
      <c r="C9" s="25" t="n">
        <v>2</v>
      </c>
      <c r="D9" s="25" t="n">
        <v>1</v>
      </c>
      <c r="E9" s="25" t="n">
        <v>4000</v>
      </c>
      <c r="F9" s="25" t="n">
        <f>IF(D9=0,0,IF(ISNUMBER(E9),C9*D9*E9,"ND"))</f>
        <v>8000</v>
      </c>
      <c r="G9" s="26" t="n">
        <v>22400</v>
      </c>
      <c r="H9" s="26" t="n">
        <f>C9*D9*G9</f>
        <v>44800</v>
      </c>
      <c r="I9" s="26" t="n">
        <v>44800</v>
      </c>
      <c r="J9" s="26" t="n">
        <f>IF(D9=0,0,I9-H9)</f>
        <v>0</v>
      </c>
      <c r="K9" s="27" t="n">
        <v>14</v>
      </c>
      <c r="L9" s="27" t="n">
        <f>IF(D9=0,0,IF(ISNUMBER(K9),C9*D9*K9,"ND"))</f>
        <v>28</v>
      </c>
      <c r="M9" s="25" t="str">
        <v>p. 4; necesită bilanț termic și putere totală confirmată.</v>
      </c>
      <c r="N9" s="25" t="str">
        <v>02_Oferte\82ab706d_Oferta comerciala - CESIRO PRODUCTION - Linie procesare nuci 400 kg v2.pdf</v>
      </c>
    </row>
    <row r="10" ht="44" customHeight="1">
      <c r="A10" s="25" t="str">
        <v>Elevator cu încărcare/descărcare Noria 4 tone pe oră</v>
      </c>
      <c r="B10" s="25" t="str">
        <v>kg/h</v>
      </c>
      <c r="C10" s="25" t="n">
        <v>1</v>
      </c>
      <c r="D10" s="25" t="n">
        <v>1</v>
      </c>
      <c r="E10" s="25" t="n">
        <v>4000</v>
      </c>
      <c r="F10" s="25" t="n">
        <f>IF(D10=0,0,IF(ISNUMBER(E10),C10*D10*E10,"ND"))</f>
        <v>4000</v>
      </c>
      <c r="G10" s="26" t="n">
        <v>9800</v>
      </c>
      <c r="H10" s="26" t="n">
        <f>C10*D10*G10</f>
        <v>9800</v>
      </c>
      <c r="I10" s="26" t="n">
        <v>9800</v>
      </c>
      <c r="J10" s="26" t="n">
        <f>IF(D10=0,0,I10-H10)</f>
        <v>0</v>
      </c>
      <c r="K10" s="27" t="str">
        <v>ND</v>
      </c>
      <c r="L10" s="27" t="str">
        <f>IF(D10=0,0,IF(ISNUMBER(K10),C10*D10*K10,"ND"))</f>
        <v>ND</v>
      </c>
      <c r="M10" s="25" t="str">
        <v>p. 3: descriere 2 t/h, tabel 4 t/h.</v>
      </c>
      <c r="N10" s="25" t="str">
        <v>02_Oferte\82ab706d_Oferta comerciala - CESIRO PRODUCTION - Linie procesare nuci 400 kg v2.pdf</v>
      </c>
    </row>
    <row r="11" ht="44" customHeight="1">
      <c r="A11" s="25" t="str">
        <v>Mașină pentru sortarea nucilor goale în coajă</v>
      </c>
      <c r="B11" s="25" t="str">
        <v>kg/h</v>
      </c>
      <c r="C11" s="25" t="n">
        <v>2</v>
      </c>
      <c r="D11" s="25" t="n">
        <v>1</v>
      </c>
      <c r="E11" s="25" t="n">
        <v>300</v>
      </c>
      <c r="F11" s="25" t="n">
        <f>IF(D11=0,0,IF(ISNUMBER(E11),C11*D11*E11,"ND"))</f>
        <v>600</v>
      </c>
      <c r="G11" s="26" t="n">
        <v>8500</v>
      </c>
      <c r="H11" s="26" t="n">
        <f>C11*D11*G11</f>
        <v>17000</v>
      </c>
      <c r="I11" s="26" t="n">
        <v>17000</v>
      </c>
      <c r="J11" s="26" t="n">
        <f>IF(D11=0,0,I11-H11)</f>
        <v>0</v>
      </c>
      <c r="K11" s="27" t="n">
        <v>4.5</v>
      </c>
      <c r="L11" s="27" t="n">
        <f>IF(D11=0,0,IF(ISNUMBER(K11),C11*D11*K11,"ND"))</f>
        <v>9</v>
      </c>
      <c r="M11" s="25" t="str">
        <v>p. 5: denumire/SKU neconcordante.</v>
      </c>
      <c r="N11" s="25" t="str">
        <v>02_Oferte\82ab706d_Oferta comerciala - CESIRO PRODUCTION - Linie procesare nuci 400 kg v2.pdf</v>
      </c>
    </row>
    <row r="12" ht="44" customHeight="1">
      <c r="A12" s="25" t="str">
        <v>Mașină de calibrare a nucilor în 8 fracții</v>
      </c>
      <c r="B12" s="25" t="str">
        <v>kg/h</v>
      </c>
      <c r="C12" s="25" t="n">
        <v>2</v>
      </c>
      <c r="D12" s="25" t="n">
        <v>1</v>
      </c>
      <c r="E12" s="25" t="n">
        <v>500</v>
      </c>
      <c r="F12" s="25" t="n">
        <f>IF(D12=0,0,IF(ISNUMBER(E12),C12*D12*E12,"ND"))</f>
        <v>1000</v>
      </c>
      <c r="G12" s="26" t="n">
        <v>21200</v>
      </c>
      <c r="H12" s="26" t="n">
        <f>C12*D12*G12</f>
        <v>42400</v>
      </c>
      <c r="I12" s="26" t="n">
        <v>42400</v>
      </c>
      <c r="J12" s="26" t="n">
        <f>IF(D12=0,0,I12-H12)</f>
        <v>0</v>
      </c>
      <c r="K12" s="27" t="n">
        <v>2.95</v>
      </c>
      <c r="L12" s="27" t="n">
        <f>IF(D12=0,0,IF(ISNUMBER(K12),C12*D12*K12,"ND"))</f>
        <v>5.9</v>
      </c>
      <c r="M12" s="25" t="str">
        <v>p. 6; 2 buc. în ofertă.</v>
      </c>
      <c r="N12" s="25" t="str">
        <v>02_Oferte\82ab706d_Oferta comerciala - CESIRO PRODUCTION - Linie procesare nuci 400 kg v2.pdf</v>
      </c>
    </row>
    <row r="13" ht="44" customHeight="1">
      <c r="A13" s="25" t="str">
        <v>Mașină pentru îndepărtarea cojii verzi a alunelor</v>
      </c>
      <c r="B13" s="25" t="str">
        <v>kg/h</v>
      </c>
      <c r="C13" s="25" t="n">
        <v>1</v>
      </c>
      <c r="D13" s="25" t="n">
        <v>1</v>
      </c>
      <c r="E13" s="25" t="n">
        <v>300</v>
      </c>
      <c r="F13" s="25" t="n">
        <f>IF(D13=0,0,IF(ISNUMBER(E13),C13*D13*E13,"ND"))</f>
        <v>300</v>
      </c>
      <c r="G13" s="26" t="n">
        <v>4800</v>
      </c>
      <c r="H13" s="26" t="n">
        <f>C13*D13*G13</f>
        <v>4800</v>
      </c>
      <c r="I13" s="26" t="n">
        <v>4800</v>
      </c>
      <c r="J13" s="26" t="n">
        <f>IF(D13=0,0,I13-H13)</f>
        <v>0</v>
      </c>
      <c r="K13" s="27" t="n">
        <v>2.2</v>
      </c>
      <c r="L13" s="27" t="n">
        <f>IF(D13=0,0,IF(ISNUMBER(K13),C13*D13*K13,"ND"))</f>
        <v>2.2</v>
      </c>
      <c r="M13" s="25" t="str">
        <v>p. 7; utilaj pentru alune.</v>
      </c>
      <c r="N13" s="25" t="str">
        <v>02_Oferte\82ab706d_Oferta comerciala - CESIRO PRODUCTION - Linie procesare nuci 400 kg v2.pdf</v>
      </c>
    </row>
    <row r="14" ht="44" customHeight="1">
      <c r="A14" s="25" t="str">
        <v>Linie completă combinată / 200 kg/h / nuci, alune, migdale</v>
      </c>
      <c r="B14" s="25" t="str">
        <v>kg/h</v>
      </c>
      <c r="C14" s="25" t="n">
        <v>2</v>
      </c>
      <c r="D14" s="25" t="n">
        <v>1</v>
      </c>
      <c r="E14" s="25" t="n">
        <v>200</v>
      </c>
      <c r="F14" s="25" t="n">
        <f>IF(D14=0,0,IF(ISNUMBER(E14),C14*D14*E14,"ND"))</f>
        <v>400</v>
      </c>
      <c r="G14" s="26" t="n">
        <v>44900</v>
      </c>
      <c r="H14" s="26" t="n">
        <f>C14*D14*G14</f>
        <v>89800</v>
      </c>
      <c r="I14" s="26" t="n">
        <v>95800</v>
      </c>
      <c r="J14" s="26" t="n">
        <f>IF(D14=0,0,I14-H14)</f>
        <v>6000</v>
      </c>
      <c r="K14" s="27" t="str">
        <v>ND</v>
      </c>
      <c r="L14" s="27" t="str">
        <f>IF(D14=0,0,IF(ISNUMBER(K14),C14*D14*K14,"ND"))</f>
        <v>ND</v>
      </c>
      <c r="M14" s="25" t="str">
        <v>p. 1: 44.900 × 2 = 89.800, dar total declarat 95.800 EUR.</v>
      </c>
      <c r="N14" s="25" t="str">
        <v>02_Oferte\82ab706d_Oferta comerciala - CESIRO PRODUCTION - Linie procesare nuci 400 kg v2.pdf</v>
      </c>
    </row>
    <row r="15" ht="44" customHeight="1">
      <c r="A15" s="25" t="str">
        <v>Separator cromatic 3S / ofertă 4 t/h</v>
      </c>
      <c r="B15" s="25" t="str">
        <v>kg/h</v>
      </c>
      <c r="C15" s="25" t="n">
        <v>1</v>
      </c>
      <c r="D15" s="25" t="n">
        <v>1</v>
      </c>
      <c r="E15" s="25" t="n">
        <v>4000</v>
      </c>
      <c r="F15" s="25" t="n">
        <f>IF(D15=0,0,IF(ISNUMBER(E15),C15*D15*E15,"ND"))</f>
        <v>4000</v>
      </c>
      <c r="G15" s="26" t="n">
        <v>56000</v>
      </c>
      <c r="H15" s="26" t="n">
        <f>C15*D15*G15</f>
        <v>56000</v>
      </c>
      <c r="I15" s="26" t="n">
        <v>56000</v>
      </c>
      <c r="J15" s="26" t="n">
        <f>IF(D15=0,0,I15-H15)</f>
        <v>0</v>
      </c>
      <c r="K15" s="27" t="n">
        <v>2</v>
      </c>
      <c r="L15" s="27" t="n">
        <f>IF(D15=0,0,IF(ISNUMBER(K15),C15*D15*K15,"ND"))</f>
        <v>2</v>
      </c>
      <c r="M15" s="25" t="str">
        <v>p. 15–16: 4 t/h; catalogul indică 400 kg/h, de confirmat.</v>
      </c>
      <c r="N15" s="25" t="str">
        <v>02_Oferte\82ab706d_Oferta comerciala - CESIRO PRODUCTION - Linie procesare nuci 400 kg v2.pdf</v>
      </c>
    </row>
    <row r="16" ht="44" customHeight="1">
      <c r="A16" s="25" t="str">
        <v>Masă de inspecție cu bandă</v>
      </c>
      <c r="B16" s="25" t="str">
        <v>kg/h</v>
      </c>
      <c r="C16" s="25" t="n">
        <v>2</v>
      </c>
      <c r="D16" s="25" t="n">
        <v>1</v>
      </c>
      <c r="E16" s="25" t="str">
        <v>ND</v>
      </c>
      <c r="F16" s="25" t="str">
        <f>IF(D16=0,0,IF(ISNUMBER(E16),C16*D16*E16,"ND"))</f>
        <v>ND</v>
      </c>
      <c r="G16" s="26" t="n">
        <v>7900</v>
      </c>
      <c r="H16" s="26" t="n">
        <f>C16*D16*G16</f>
        <v>15800</v>
      </c>
      <c r="I16" s="26" t="n">
        <v>15800</v>
      </c>
      <c r="J16" s="26" t="n">
        <f>IF(D16=0,0,I16-H16)</f>
        <v>0</v>
      </c>
      <c r="K16" s="27" t="n">
        <v>0.55</v>
      </c>
      <c r="L16" s="27" t="n">
        <f>IF(D16=0,0,IF(ISNUMBER(K16),C16*D16*K16,"ND"))</f>
        <v>1.1</v>
      </c>
      <c r="M16" s="25" t="str">
        <v>p. 16; capacitate kg/h nedeclarată; bandă 4 m.</v>
      </c>
      <c r="N16" s="25" t="str">
        <v>02_Oferte\82ab706d_Oferta comerciala - CESIRO PRODUCTION - Linie procesare nuci 400 kg v2.pdf</v>
      </c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25" customHeight="1">
      <c r="A22" s="28" t="str">
        <v>Capacitate de spargere propusă (kg/h), teoretică</v>
      </c>
      <c r="B22" s="29" t="n">
        <f>F14</f>
        <v>400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25" customHeight="1">
      <c r="A23" s="28" t="str">
        <v>Capacitate uscare (kg/24 h), declarată</v>
      </c>
      <c r="B23" s="29" t="n">
        <f>F9</f>
        <v>8000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25" customHeight="1">
      <c r="A24" s="28" t="str">
        <v>Preț calculat configurație selectată (EUR fără TVA)</v>
      </c>
      <c r="B24" s="29" t="n">
        <f>SUM(H8:H16)</f>
        <v>314400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ht="25" customHeight="1">
      <c r="A25" s="28" t="str">
        <v>Total general declarat în ofertă (EUR fără TVA)</v>
      </c>
      <c r="B25" s="29" t="n">
        <v>320400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ht="25" customHeight="1">
      <c r="A26" s="28" t="str">
        <v>Diferență total declarat minus calculat (EUR)</v>
      </c>
      <c r="B26" s="29" t="n">
        <f>IF(ISNUMBER(B25),B25-B24,"ND")</f>
        <v>6000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ht="25" customHeight="1">
      <c r="A27" s="28" t="str">
        <v>Subtotal puteri cunoscute (kW), incomplet</v>
      </c>
      <c r="B27" s="29" t="n">
        <f>SUM(L8:L16)</f>
        <v>51.900000000000006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ht="25" customHeight="1">
      <c r="A28" s="28" t="str">
        <v>Poziții incluse fără putere totală declarată</v>
      </c>
      <c r="B28" s="29" t="n">
        <f>COUNTIF(L8:L16,"ND")</f>
        <v>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ht="25" customHeight="1">
      <c r="A29" s="28" t="str">
        <v>Putere totală completă configurație (kW)</v>
      </c>
      <c r="B29" s="29" t="str">
        <f>IF(B28&gt;0,"ND",B27)</f>
        <v>ND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30" customHeight="1">
      <c r="A31" s="18" t="str">
        <v>ND = informație nedeclarată / incompletă. Subtotalul cunoscut nu include consumatorii fără putere specificată.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ht="30" customHeight="1">
      <c r="A32" s="18" t="str">
        <v>Capacitatea liniei întregi nu este garantată: depinde de alimentare, sortare, umiditate și funcționarea în paralel.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</sheetData>
  <autoFilter ref="A7:N16"/>
  <mergeCells>
    <mergeCell ref="A2:J2"/>
    <mergeCell ref="A3:J3"/>
    <mergeCell ref="A4:J4"/>
    <mergeCell ref="A6:J6"/>
    <mergeCell ref="A31:J31"/>
    <mergeCell ref="A32:J32"/>
  </mergeCells>
  <conditionalFormatting sqref="J8:J16">
    <cfRule type="cellIs" dxfId="4" priority="1" operator="not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344E41"/>
  </sheetPr>
  <sheetViews>
    <sheetView showGridLines="0" workbookViewId="0" tabSelected="0">
      <pane xSplit="2" ySplit="7" topLeftCell="C8" activePane="bottomRight" state="frozen"/>
    </sheetView>
  </sheetViews>
  <sheetFormatPr defaultRowHeight="15"/>
  <cols>
    <col min="1" max="1" width="65" hidden="0" customWidth="1"/>
    <col min="2" max="2" width="14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  <col min="9" max="9" width="17" hidden="0" customWidth="1"/>
    <col min="10" max="10" width="17" hidden="0" customWidth="1"/>
    <col min="11" max="11" width="17" hidden="0" customWidth="1"/>
    <col min="12" max="12" width="17" hidden="0" customWidth="1"/>
    <col min="13" max="13" width="17" hidden="0" customWidth="1"/>
    <col min="14" max="14" width="17" hidden="0" customWidth="1"/>
    <col min="15" max="15" width="17" hidden="0" customWidth="1"/>
    <col min="16" max="16" width="17" hidden="0" customWidth="1"/>
    <col min="17" max="17" width="17" hidden="0" customWidth="1"/>
    <col min="18" max="18" width="17" hidden="0" customWidth="1"/>
    <col min="19" max="19" width="17" hidden="0" customWidth="1"/>
    <col min="20" max="20" width="17" hidden="0" customWidth="1"/>
    <col min="21" max="21" width="17" hidden="0" customWidth="1"/>
    <col min="22" max="22" width="17" hidden="0" customWidth="1"/>
    <col min="23" max="23" width="17" hidden="0" customWidth="1"/>
    <col min="24" max="24" width="17" hidden="0" customWidth="1"/>
    <col min="25" max="25" width="17" hidden="0" customWidth="1"/>
    <col min="26" max="26" width="17" hidden="0" customWidth="1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8" customHeight="1">
      <c r="A2" s="16" t="str">
        <v>Toate echipamentele și versiunile - cantități, capacități, prețuri și puteri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" customHeight="1">
      <c r="A3" s="18" t="str">
        <v>Celule goale = articol neofertat. ND = parametru nedeclarat. Cantitatea este cea inclusă în configurația selectată.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0" customHeight="1">
      <c r="A4" s="18" t="str">
        <v>Ofertele se compară pe versiuni distincte. Nu se însumează debitele etapelor succesive. Unitățile sunt în coloana B.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6" customHeight="1">
      <c r="A6" s="23" t="str">
        <v>Echipament / versiune</v>
      </c>
      <c r="B6" s="23" t="str">
        <v>Unitate capacitate</v>
      </c>
      <c r="C6" s="23" t="str">
        <v>Nr. 82 / 16.04.2026 / varianta 200 kg/h</v>
      </c>
      <c r="D6" s="23"/>
      <c r="E6" s="23"/>
      <c r="F6" s="23"/>
      <c r="G6" s="23"/>
      <c r="H6" s="23"/>
      <c r="I6" s="23"/>
      <c r="J6" s="23"/>
      <c r="K6" s="23" t="str">
        <v>Nr. 82 / 16.04.2026 / fișier 400 kg/h; linie descrisă 200 kg/h</v>
      </c>
      <c r="L6" s="23"/>
      <c r="M6" s="23"/>
      <c r="N6" s="23"/>
      <c r="O6" s="23"/>
      <c r="P6" s="23"/>
      <c r="Q6" s="23"/>
      <c r="R6" s="23"/>
      <c r="S6" s="23" t="str">
        <v>Nr. 179 / 11.10.2026 / două linii × 200 kg/h</v>
      </c>
      <c r="T6" s="23"/>
      <c r="U6" s="23"/>
      <c r="V6" s="23"/>
      <c r="W6" s="23"/>
      <c r="X6" s="23"/>
      <c r="Y6" s="23"/>
      <c r="Z6" s="23"/>
    </row>
    <row r="7" ht="44" customHeight="1">
      <c r="A7" s="23"/>
      <c r="B7" s="23"/>
      <c r="C7" s="23" t="str">
        <v>Buc. incluse</v>
      </c>
      <c r="D7" s="23" t="str">
        <v>Capacitate / utilaj</v>
      </c>
      <c r="E7" s="23" t="str">
        <v>Capacitate × buc.</v>
      </c>
      <c r="F7" s="23" t="str">
        <v>Preț unitar EUR</v>
      </c>
      <c r="G7" s="23" t="str">
        <v>Preț total EUR</v>
      </c>
      <c r="H7" s="23" t="str">
        <v>Putere / utilaj kW</v>
      </c>
      <c r="I7" s="23" t="str">
        <v>Putere totală kW</v>
      </c>
      <c r="J7" s="23" t="str">
        <v>Total declarat EUR</v>
      </c>
      <c r="K7" s="23" t="str">
        <v>Buc. incluse</v>
      </c>
      <c r="L7" s="23" t="str">
        <v>Capacitate / utilaj</v>
      </c>
      <c r="M7" s="23" t="str">
        <v>Capacitate × buc.</v>
      </c>
      <c r="N7" s="23" t="str">
        <v>Preț unitar EUR</v>
      </c>
      <c r="O7" s="23" t="str">
        <v>Preț total EUR</v>
      </c>
      <c r="P7" s="23" t="str">
        <v>Putere / utilaj kW</v>
      </c>
      <c r="Q7" s="23" t="str">
        <v>Putere totală kW</v>
      </c>
      <c r="R7" s="23" t="str">
        <v>Total declarat EUR</v>
      </c>
      <c r="S7" s="23" t="str">
        <v>Buc. incluse</v>
      </c>
      <c r="T7" s="23" t="str">
        <v>Capacitate / utilaj</v>
      </c>
      <c r="U7" s="23" t="str">
        <v>Capacitate × buc.</v>
      </c>
      <c r="V7" s="23" t="str">
        <v>Preț unitar EUR</v>
      </c>
      <c r="W7" s="23" t="str">
        <v>Preț total EUR</v>
      </c>
      <c r="X7" s="23" t="str">
        <v>Putere / utilaj kW</v>
      </c>
      <c r="Y7" s="23" t="str">
        <v>Putere totală kW</v>
      </c>
      <c r="Z7" s="23" t="str">
        <v>Total declarat EUR</v>
      </c>
    </row>
    <row r="8" ht="44" customHeight="1">
      <c r="A8" s="25" t="str">
        <v>Scuturător pentru pomi fructiferi</v>
      </c>
      <c r="B8" s="25" t="str">
        <v>kg/h</v>
      </c>
      <c r="C8" s="31"/>
      <c r="D8" s="26"/>
      <c r="E8" s="26"/>
      <c r="F8" s="26"/>
      <c r="G8" s="26"/>
      <c r="H8" s="26"/>
      <c r="I8" s="26"/>
      <c r="J8" s="26"/>
      <c r="K8" s="31"/>
      <c r="L8" s="26"/>
      <c r="M8" s="26"/>
      <c r="N8" s="26"/>
      <c r="O8" s="26"/>
      <c r="P8" s="26"/>
      <c r="Q8" s="26"/>
      <c r="R8" s="26"/>
      <c r="S8" s="31"/>
      <c r="T8" s="26"/>
      <c r="U8" s="26"/>
      <c r="V8" s="26"/>
      <c r="W8" s="26"/>
      <c r="X8" s="26"/>
      <c r="Y8" s="26"/>
      <c r="Z8" s="26"/>
    </row>
    <row r="9" ht="44" customHeight="1">
      <c r="A9" s="25" t="str">
        <v>Mașină de decojire și curățare a nucilor verzi 100 kg/h</v>
      </c>
      <c r="B9" s="25" t="str">
        <v>kg/h</v>
      </c>
      <c r="C9" s="31"/>
      <c r="D9" s="26"/>
      <c r="E9" s="26"/>
      <c r="F9" s="26"/>
      <c r="G9" s="26"/>
      <c r="H9" s="26"/>
      <c r="I9" s="26"/>
      <c r="J9" s="26"/>
      <c r="K9" s="31"/>
      <c r="L9" s="26"/>
      <c r="M9" s="26"/>
      <c r="N9" s="26"/>
      <c r="O9" s="26"/>
      <c r="P9" s="26"/>
      <c r="Q9" s="26"/>
      <c r="R9" s="26"/>
      <c r="S9" s="31"/>
      <c r="T9" s="26"/>
      <c r="U9" s="26"/>
      <c r="V9" s="26"/>
      <c r="W9" s="26"/>
      <c r="X9" s="26"/>
      <c r="Y9" s="26"/>
      <c r="Z9" s="26"/>
    </row>
    <row r="10" ht="44" customHeight="1">
      <c r="A10" s="25" t="str">
        <v>Mașină pentru decojirea și curățarea nucilor verzi 300 kg/h</v>
      </c>
      <c r="B10" s="25" t="str">
        <v>kg/h</v>
      </c>
      <c r="C10" s="31"/>
      <c r="D10" s="26"/>
      <c r="E10" s="26"/>
      <c r="F10" s="26"/>
      <c r="G10" s="26"/>
      <c r="H10" s="26"/>
      <c r="I10" s="26"/>
      <c r="J10" s="26"/>
      <c r="K10" s="31"/>
      <c r="L10" s="26"/>
      <c r="M10" s="26"/>
      <c r="N10" s="26"/>
      <c r="O10" s="26"/>
      <c r="P10" s="26"/>
      <c r="Q10" s="26"/>
      <c r="R10" s="26"/>
      <c r="S10" s="31"/>
      <c r="T10" s="26"/>
      <c r="U10" s="26"/>
      <c r="V10" s="26"/>
      <c r="W10" s="26"/>
      <c r="X10" s="26"/>
      <c r="Y10" s="26"/>
      <c r="Z10" s="26"/>
    </row>
    <row r="11" ht="44" customHeight="1">
      <c r="A11" s="25" t="str">
        <v>Curățare nuci verzi / ofertă 500 kg/h (descriere 500–600)</v>
      </c>
      <c r="B11" s="25" t="str">
        <v>kg/h</v>
      </c>
      <c r="C11" s="31" t="n">
        <f>'82 16.04.2026 - 200'!C8*'82 16.04.2026 - 200'!D8</f>
        <v>1</v>
      </c>
      <c r="D11" s="26" t="n">
        <f>'82 16.04.2026 - 200'!E8</f>
        <v>500</v>
      </c>
      <c r="E11" s="26" t="n">
        <f>'82 16.04.2026 - 200'!F8</f>
        <v>500</v>
      </c>
      <c r="F11" s="26" t="n">
        <f>'82 16.04.2026 - 200'!G8</f>
        <v>8000</v>
      </c>
      <c r="G11" s="26" t="n">
        <f>'82 16.04.2026 - 200'!H8</f>
        <v>8000</v>
      </c>
      <c r="H11" s="26" t="n">
        <f>'82 16.04.2026 - 200'!K8</f>
        <v>2.2</v>
      </c>
      <c r="I11" s="26" t="n">
        <f>'82 16.04.2026 - 200'!L8</f>
        <v>2.2</v>
      </c>
      <c r="J11" s="26" t="n">
        <f>IF('82 16.04.2026 - 200'!D8=0,0,'82 16.04.2026 - 200'!I8)</f>
        <v>8000</v>
      </c>
      <c r="K11" s="31"/>
      <c r="L11" s="26"/>
      <c r="M11" s="26"/>
      <c r="N11" s="26"/>
      <c r="O11" s="26"/>
      <c r="P11" s="26"/>
      <c r="Q11" s="26"/>
      <c r="R11" s="26"/>
      <c r="S11" s="31"/>
      <c r="T11" s="26"/>
      <c r="U11" s="26"/>
      <c r="V11" s="26"/>
      <c r="W11" s="26"/>
      <c r="X11" s="26"/>
      <c r="Y11" s="26"/>
      <c r="Z11" s="26"/>
    </row>
    <row r="12" ht="44" customHeight="1">
      <c r="A12" s="25" t="str">
        <v>Mașină de decojire și curățare a nucilor verzi 700 kg/h</v>
      </c>
      <c r="B12" s="25" t="str">
        <v>kg/h</v>
      </c>
      <c r="C12" s="31"/>
      <c r="D12" s="26"/>
      <c r="E12" s="26"/>
      <c r="F12" s="26"/>
      <c r="G12" s="26"/>
      <c r="H12" s="26"/>
      <c r="I12" s="26"/>
      <c r="J12" s="26"/>
      <c r="K12" s="31"/>
      <c r="L12" s="26"/>
      <c r="M12" s="26"/>
      <c r="N12" s="26"/>
      <c r="O12" s="26"/>
      <c r="P12" s="26"/>
      <c r="Q12" s="26"/>
      <c r="R12" s="26"/>
      <c r="S12" s="31"/>
      <c r="T12" s="26"/>
      <c r="U12" s="26"/>
      <c r="V12" s="26"/>
      <c r="W12" s="26"/>
      <c r="X12" s="26"/>
      <c r="Y12" s="26"/>
      <c r="Z12" s="26"/>
    </row>
    <row r="13" ht="44" customHeight="1">
      <c r="A13" s="25" t="str">
        <v>Mașină industrială de decojire și spălare (1 t/h)</v>
      </c>
      <c r="B13" s="25" t="str">
        <v>kg/h</v>
      </c>
      <c r="C13" s="31"/>
      <c r="D13" s="26"/>
      <c r="E13" s="26"/>
      <c r="F13" s="26"/>
      <c r="G13" s="26"/>
      <c r="H13" s="26"/>
      <c r="I13" s="26"/>
      <c r="J13" s="26"/>
      <c r="K13" s="31" t="n">
        <f>'82 16.04.2026 - 400'!C8*'82 16.04.2026 - 400'!D8</f>
        <v>1</v>
      </c>
      <c r="L13" s="26" t="n">
        <f>'82 16.04.2026 - 400'!E8</f>
        <v>1000</v>
      </c>
      <c r="M13" s="26" t="n">
        <f>'82 16.04.2026 - 400'!F8</f>
        <v>1000</v>
      </c>
      <c r="N13" s="26" t="n">
        <f>'82 16.04.2026 - 400'!G8</f>
        <v>29000</v>
      </c>
      <c r="O13" s="26" t="n">
        <f>'82 16.04.2026 - 400'!H8</f>
        <v>29000</v>
      </c>
      <c r="P13" s="26" t="n">
        <f>'82 16.04.2026 - 400'!K8</f>
        <v>3.7</v>
      </c>
      <c r="Q13" s="26" t="n">
        <f>'82 16.04.2026 - 400'!L8</f>
        <v>3.7</v>
      </c>
      <c r="R13" s="26" t="n">
        <f>IF('82 16.04.2026 - 400'!D8=0,0,'82 16.04.2026 - 400'!I8)</f>
        <v>29000</v>
      </c>
      <c r="S13" s="31" t="n">
        <f>'179 11.10.2026 - 400'!C8*'179 11.10.2026 - 400'!D8</f>
        <v>1</v>
      </c>
      <c r="T13" s="26" t="n">
        <f>'179 11.10.2026 - 400'!E8</f>
        <v>1000</v>
      </c>
      <c r="U13" s="26" t="n">
        <f>'179 11.10.2026 - 400'!F8</f>
        <v>1000</v>
      </c>
      <c r="V13" s="26" t="n">
        <f>'179 11.10.2026 - 400'!G8</f>
        <v>34000</v>
      </c>
      <c r="W13" s="26" t="n">
        <f>'179 11.10.2026 - 400'!H8</f>
        <v>34000</v>
      </c>
      <c r="X13" s="26" t="n">
        <f>'179 11.10.2026 - 400'!K8</f>
        <v>3.7</v>
      </c>
      <c r="Y13" s="26" t="n">
        <f>'179 11.10.2026 - 400'!L8</f>
        <v>3.7</v>
      </c>
      <c r="Z13" s="26" t="n">
        <f>IF('179 11.10.2026 - 400'!D8=0,0,'179 11.10.2026 - 400'!I8)</f>
        <v>34000</v>
      </c>
    </row>
    <row r="14" ht="44" customHeight="1">
      <c r="A14" s="25" t="str">
        <v>Mașină pentru îndepărtarea cojii verzi a alunelor</v>
      </c>
      <c r="B14" s="25" t="str">
        <v>kg/h</v>
      </c>
      <c r="C14" s="31" t="n">
        <f>'82 16.04.2026 - 200'!C12*'82 16.04.2026 - 200'!D12</f>
        <v>1</v>
      </c>
      <c r="D14" s="26" t="n">
        <f>'82 16.04.2026 - 200'!E12</f>
        <v>300</v>
      </c>
      <c r="E14" s="26" t="n">
        <f>'82 16.04.2026 - 200'!F12</f>
        <v>300</v>
      </c>
      <c r="F14" s="26" t="n">
        <f>'82 16.04.2026 - 200'!G12</f>
        <v>4300</v>
      </c>
      <c r="G14" s="26" t="n">
        <f>'82 16.04.2026 - 200'!H12</f>
        <v>4300</v>
      </c>
      <c r="H14" s="26" t="n">
        <f>'82 16.04.2026 - 200'!K12</f>
        <v>2.2</v>
      </c>
      <c r="I14" s="26" t="n">
        <f>'82 16.04.2026 - 200'!L12</f>
        <v>2.2</v>
      </c>
      <c r="J14" s="26" t="n">
        <f>IF('82 16.04.2026 - 200'!D12=0,0,'82 16.04.2026 - 200'!I12)</f>
        <v>4300</v>
      </c>
      <c r="K14" s="31" t="n">
        <f>'82 16.04.2026 - 400'!C12*'82 16.04.2026 - 400'!D12</f>
        <v>1</v>
      </c>
      <c r="L14" s="26" t="n">
        <f>'82 16.04.2026 - 400'!E12</f>
        <v>300</v>
      </c>
      <c r="M14" s="26" t="n">
        <f>'82 16.04.2026 - 400'!F12</f>
        <v>300</v>
      </c>
      <c r="N14" s="26" t="n">
        <f>'82 16.04.2026 - 400'!G12</f>
        <v>4300</v>
      </c>
      <c r="O14" s="26" t="n">
        <f>'82 16.04.2026 - 400'!H12</f>
        <v>4300</v>
      </c>
      <c r="P14" s="26" t="n">
        <f>'82 16.04.2026 - 400'!K12</f>
        <v>2.2</v>
      </c>
      <c r="Q14" s="26" t="n">
        <f>'82 16.04.2026 - 400'!L12</f>
        <v>2.2</v>
      </c>
      <c r="R14" s="26" t="n">
        <f>IF('82 16.04.2026 - 400'!D12=0,0,'82 16.04.2026 - 400'!I12)</f>
        <v>4300</v>
      </c>
      <c r="S14" s="31" t="n">
        <f>'179 11.10.2026 - 400'!C13*'179 11.10.2026 - 400'!D13</f>
        <v>1</v>
      </c>
      <c r="T14" s="26" t="n">
        <f>'179 11.10.2026 - 400'!E13</f>
        <v>300</v>
      </c>
      <c r="U14" s="26" t="n">
        <f>'179 11.10.2026 - 400'!F13</f>
        <v>300</v>
      </c>
      <c r="V14" s="26" t="n">
        <f>'179 11.10.2026 - 400'!G13</f>
        <v>4800</v>
      </c>
      <c r="W14" s="26" t="n">
        <f>'179 11.10.2026 - 400'!H13</f>
        <v>4800</v>
      </c>
      <c r="X14" s="26" t="n">
        <f>'179 11.10.2026 - 400'!K13</f>
        <v>2.2</v>
      </c>
      <c r="Y14" s="26" t="n">
        <f>'179 11.10.2026 - 400'!L13</f>
        <v>2.2</v>
      </c>
      <c r="Z14" s="26" t="n">
        <f>IF('179 11.10.2026 - 400'!D13=0,0,'179 11.10.2026 - 400'!I13)</f>
        <v>4800</v>
      </c>
    </row>
    <row r="15" ht="44" customHeight="1">
      <c r="A15" s="25" t="str">
        <v>Uscător pentru nuci, alune și migdale în coajă (până la 1 tonă/24 ore)</v>
      </c>
      <c r="B15" s="25" t="str">
        <v>kg/24 h</v>
      </c>
      <c r="C15" s="31"/>
      <c r="D15" s="26"/>
      <c r="E15" s="26"/>
      <c r="F15" s="26"/>
      <c r="G15" s="26"/>
      <c r="H15" s="26"/>
      <c r="I15" s="26"/>
      <c r="J15" s="26"/>
      <c r="K15" s="31"/>
      <c r="L15" s="26"/>
      <c r="M15" s="26"/>
      <c r="N15" s="26"/>
      <c r="O15" s="26"/>
      <c r="P15" s="26"/>
      <c r="Q15" s="26"/>
      <c r="R15" s="26"/>
      <c r="S15" s="31"/>
      <c r="T15" s="26"/>
      <c r="U15" s="26"/>
      <c r="V15" s="26"/>
      <c r="W15" s="26"/>
      <c r="X15" s="26"/>
      <c r="Y15" s="26"/>
      <c r="Z15" s="26"/>
    </row>
    <row r="16" ht="44" customHeight="1">
      <c r="A16" s="25" t="str">
        <v>Uscător pentru nuci, alune și migdale în coajă (până la 2 tone/24 ore)</v>
      </c>
      <c r="B16" s="25" t="str">
        <v>kg/24 h</v>
      </c>
      <c r="C16" s="31"/>
      <c r="D16" s="26"/>
      <c r="E16" s="26"/>
      <c r="F16" s="26"/>
      <c r="G16" s="26"/>
      <c r="H16" s="26"/>
      <c r="I16" s="26"/>
      <c r="J16" s="26"/>
      <c r="K16" s="31"/>
      <c r="L16" s="26"/>
      <c r="M16" s="26"/>
      <c r="N16" s="26"/>
      <c r="O16" s="26"/>
      <c r="P16" s="26"/>
      <c r="Q16" s="26"/>
      <c r="R16" s="26"/>
      <c r="S16" s="31"/>
      <c r="T16" s="26"/>
      <c r="U16" s="26"/>
      <c r="V16" s="26"/>
      <c r="W16" s="26"/>
      <c r="X16" s="26"/>
      <c r="Y16" s="26"/>
      <c r="Z16" s="26"/>
    </row>
    <row r="17" ht="44" customHeight="1">
      <c r="A17" s="25" t="str">
        <v>Uscător pentru nuci, alune și migdale în coajă (2 tone/zi)</v>
      </c>
      <c r="B17" s="25" t="str">
        <v>kg/24 h</v>
      </c>
      <c r="C17" s="31" t="n">
        <f>'82 16.04.2026 - 200'!C9*'82 16.04.2026 - 200'!D9</f>
        <v>1</v>
      </c>
      <c r="D17" s="26" t="n">
        <f>'82 16.04.2026 - 200'!E9</f>
        <v>2000</v>
      </c>
      <c r="E17" s="26" t="n">
        <f>'82 16.04.2026 - 200'!F9</f>
        <v>2000</v>
      </c>
      <c r="F17" s="26" t="n">
        <f>'82 16.04.2026 - 200'!G9</f>
        <v>16000</v>
      </c>
      <c r="G17" s="26" t="n">
        <f>'82 16.04.2026 - 200'!H9</f>
        <v>16000</v>
      </c>
      <c r="H17" s="26" t="n">
        <f>'82 16.04.2026 - 200'!K9</f>
        <v>14</v>
      </c>
      <c r="I17" s="26" t="n">
        <f>'82 16.04.2026 - 200'!L9</f>
        <v>14</v>
      </c>
      <c r="J17" s="26" t="n">
        <f>IF('82 16.04.2026 - 200'!D9=0,0,'82 16.04.2026 - 200'!I9)</f>
        <v>16000</v>
      </c>
      <c r="K17" s="31"/>
      <c r="L17" s="26"/>
      <c r="M17" s="26"/>
      <c r="N17" s="26"/>
      <c r="O17" s="26"/>
      <c r="P17" s="26"/>
      <c r="Q17" s="26"/>
      <c r="R17" s="26"/>
      <c r="S17" s="31"/>
      <c r="T17" s="26"/>
      <c r="U17" s="26"/>
      <c r="V17" s="26"/>
      <c r="W17" s="26"/>
      <c r="X17" s="26"/>
      <c r="Y17" s="26"/>
      <c r="Z17" s="26"/>
    </row>
    <row r="18" ht="44" customHeight="1">
      <c r="A18" s="25" t="str">
        <v>Uscător pentru nuci, alune și migdale în coajă (4 tone/zi)</v>
      </c>
      <c r="B18" s="25" t="str">
        <v>kg/24 h</v>
      </c>
      <c r="C18" s="31"/>
      <c r="D18" s="26"/>
      <c r="E18" s="26"/>
      <c r="F18" s="26"/>
      <c r="G18" s="26"/>
      <c r="H18" s="26"/>
      <c r="I18" s="26"/>
      <c r="J18" s="26"/>
      <c r="K18" s="31" t="n">
        <f>'82 16.04.2026 - 400'!C9*'82 16.04.2026 - 400'!D9</f>
        <v>1</v>
      </c>
      <c r="L18" s="26" t="n">
        <f>'82 16.04.2026 - 400'!E9</f>
        <v>4000</v>
      </c>
      <c r="M18" s="26" t="n">
        <f>'82 16.04.2026 - 400'!F9</f>
        <v>4000</v>
      </c>
      <c r="N18" s="26" t="n">
        <f>'82 16.04.2026 - 400'!G9</f>
        <v>19200</v>
      </c>
      <c r="O18" s="26" t="n">
        <f>'82 16.04.2026 - 400'!H9</f>
        <v>19200</v>
      </c>
      <c r="P18" s="26" t="n">
        <f>'82 16.04.2026 - 400'!K9</f>
        <v>14</v>
      </c>
      <c r="Q18" s="26" t="n">
        <f>'82 16.04.2026 - 400'!L9</f>
        <v>14</v>
      </c>
      <c r="R18" s="26" t="n">
        <f>IF('82 16.04.2026 - 400'!D9=0,0,'82 16.04.2026 - 400'!I9)</f>
        <v>19200</v>
      </c>
      <c r="S18" s="31" t="n">
        <f>'179 11.10.2026 - 400'!C9*'179 11.10.2026 - 400'!D9</f>
        <v>2</v>
      </c>
      <c r="T18" s="26" t="n">
        <f>'179 11.10.2026 - 400'!E9</f>
        <v>4000</v>
      </c>
      <c r="U18" s="26" t="n">
        <f>'179 11.10.2026 - 400'!F9</f>
        <v>8000</v>
      </c>
      <c r="V18" s="26" t="n">
        <f>'179 11.10.2026 - 400'!G9</f>
        <v>22400</v>
      </c>
      <c r="W18" s="26" t="n">
        <f>'179 11.10.2026 - 400'!H9</f>
        <v>44800</v>
      </c>
      <c r="X18" s="26" t="n">
        <f>'179 11.10.2026 - 400'!K9</f>
        <v>14</v>
      </c>
      <c r="Y18" s="26" t="n">
        <f>'179 11.10.2026 - 400'!L9</f>
        <v>28</v>
      </c>
      <c r="Z18" s="26" t="n">
        <f>IF('179 11.10.2026 - 400'!D9=0,0,'179 11.10.2026 - 400'!I9)</f>
        <v>44800</v>
      </c>
    </row>
    <row r="19" ht="44" customHeight="1">
      <c r="A19" s="25" t="str">
        <v>Conveyor de alimentare pentru uscător 2 t/zi</v>
      </c>
      <c r="B19" s="25" t="str">
        <v>kg/h</v>
      </c>
      <c r="C19" s="31"/>
      <c r="D19" s="26"/>
      <c r="E19" s="26"/>
      <c r="F19" s="26"/>
      <c r="G19" s="26"/>
      <c r="H19" s="26"/>
      <c r="I19" s="26"/>
      <c r="J19" s="26"/>
      <c r="K19" s="31"/>
      <c r="L19" s="26"/>
      <c r="M19" s="26"/>
      <c r="N19" s="26"/>
      <c r="O19" s="26"/>
      <c r="P19" s="26"/>
      <c r="Q19" s="26"/>
      <c r="R19" s="26"/>
      <c r="S19" s="31"/>
      <c r="T19" s="26"/>
      <c r="U19" s="26"/>
      <c r="V19" s="26"/>
      <c r="W19" s="26"/>
      <c r="X19" s="26"/>
      <c r="Y19" s="26"/>
      <c r="Z19" s="26"/>
    </row>
    <row r="20" ht="44" customHeight="1">
      <c r="A20" s="25" t="str">
        <v>Conveyor de alimentare pentru uscător 4 t/h</v>
      </c>
      <c r="B20" s="25" t="str">
        <v>kg/h</v>
      </c>
      <c r="C20" s="31"/>
      <c r="D20" s="26"/>
      <c r="E20" s="26"/>
      <c r="F20" s="26"/>
      <c r="G20" s="26"/>
      <c r="H20" s="26"/>
      <c r="I20" s="26"/>
      <c r="J20" s="26"/>
      <c r="K20" s="31"/>
      <c r="L20" s="26"/>
      <c r="M20" s="26"/>
      <c r="N20" s="26"/>
      <c r="O20" s="26"/>
      <c r="P20" s="26"/>
      <c r="Q20" s="26"/>
      <c r="R20" s="26"/>
      <c r="S20" s="31"/>
      <c r="T20" s="26"/>
      <c r="U20" s="26"/>
      <c r="V20" s="26"/>
      <c r="W20" s="26"/>
      <c r="X20" s="26"/>
      <c r="Y20" s="26"/>
      <c r="Z20" s="26"/>
    </row>
    <row r="21" ht="44" customHeight="1">
      <c r="A21" s="25" t="str">
        <v>Elevator cu încărcare/descărcare Noria 2 tone pe oră</v>
      </c>
      <c r="B21" s="25" t="str">
        <v>kg/h</v>
      </c>
      <c r="C21" s="31" t="n">
        <f>'82 16.04.2026 - 200'!C10*'82 16.04.2026 - 200'!D10</f>
        <v>1</v>
      </c>
      <c r="D21" s="26" t="n">
        <f>'82 16.04.2026 - 200'!E10</f>
        <v>2000</v>
      </c>
      <c r="E21" s="26" t="n">
        <f>'82 16.04.2026 - 200'!F10</f>
        <v>2000</v>
      </c>
      <c r="F21" s="26" t="n">
        <f>'82 16.04.2026 - 200'!G10</f>
        <v>6700</v>
      </c>
      <c r="G21" s="26" t="n">
        <f>'82 16.04.2026 - 200'!H10</f>
        <v>6700</v>
      </c>
      <c r="H21" s="26" t="str">
        <f>'82 16.04.2026 - 200'!K10</f>
        <v>ND</v>
      </c>
      <c r="I21" s="26" t="str">
        <f>'82 16.04.2026 - 200'!L10</f>
        <v>ND</v>
      </c>
      <c r="J21" s="26" t="n">
        <f>IF('82 16.04.2026 - 200'!D10=0,0,'82 16.04.2026 - 200'!I10)</f>
        <v>6700</v>
      </c>
      <c r="K21" s="31"/>
      <c r="L21" s="26"/>
      <c r="M21" s="26"/>
      <c r="N21" s="26"/>
      <c r="O21" s="26"/>
      <c r="P21" s="26"/>
      <c r="Q21" s="26"/>
      <c r="R21" s="26"/>
      <c r="S21" s="31"/>
      <c r="T21" s="26"/>
      <c r="U21" s="26"/>
      <c r="V21" s="26"/>
      <c r="W21" s="26"/>
      <c r="X21" s="26"/>
      <c r="Y21" s="26"/>
      <c r="Z21" s="26"/>
    </row>
    <row r="22" ht="44" customHeight="1">
      <c r="A22" s="25" t="str">
        <v>Elevator cu încărcare/descărcare Noria 4 tone pe oră</v>
      </c>
      <c r="B22" s="25" t="str">
        <v>kg/h</v>
      </c>
      <c r="C22" s="31"/>
      <c r="D22" s="26"/>
      <c r="E22" s="26"/>
      <c r="F22" s="26"/>
      <c r="G22" s="26"/>
      <c r="H22" s="26"/>
      <c r="I22" s="26"/>
      <c r="J22" s="26"/>
      <c r="K22" s="31" t="n">
        <f>'82 16.04.2026 - 400'!C10*'82 16.04.2026 - 400'!D10</f>
        <v>1</v>
      </c>
      <c r="L22" s="26" t="n">
        <f>'82 16.04.2026 - 400'!E10</f>
        <v>4000</v>
      </c>
      <c r="M22" s="26" t="n">
        <f>'82 16.04.2026 - 400'!F10</f>
        <v>4000</v>
      </c>
      <c r="N22" s="26" t="n">
        <f>'82 16.04.2026 - 400'!G10</f>
        <v>8600</v>
      </c>
      <c r="O22" s="26" t="n">
        <f>'82 16.04.2026 - 400'!H10</f>
        <v>8600</v>
      </c>
      <c r="P22" s="26" t="str">
        <f>'82 16.04.2026 - 400'!K10</f>
        <v>ND</v>
      </c>
      <c r="Q22" s="26" t="str">
        <f>'82 16.04.2026 - 400'!L10</f>
        <v>ND</v>
      </c>
      <c r="R22" s="26" t="n">
        <f>IF('82 16.04.2026 - 400'!D10=0,0,'82 16.04.2026 - 400'!I10)</f>
        <v>8600</v>
      </c>
      <c r="S22" s="31" t="n">
        <f>'179 11.10.2026 - 400'!C10*'179 11.10.2026 - 400'!D10</f>
        <v>1</v>
      </c>
      <c r="T22" s="26" t="n">
        <f>'179 11.10.2026 - 400'!E10</f>
        <v>4000</v>
      </c>
      <c r="U22" s="26" t="n">
        <f>'179 11.10.2026 - 400'!F10</f>
        <v>4000</v>
      </c>
      <c r="V22" s="26" t="n">
        <f>'179 11.10.2026 - 400'!G10</f>
        <v>9800</v>
      </c>
      <c r="W22" s="26" t="n">
        <f>'179 11.10.2026 - 400'!H10</f>
        <v>9800</v>
      </c>
      <c r="X22" s="26" t="str">
        <f>'179 11.10.2026 - 400'!K10</f>
        <v>ND</v>
      </c>
      <c r="Y22" s="26" t="str">
        <f>'179 11.10.2026 - 400'!L10</f>
        <v>ND</v>
      </c>
      <c r="Z22" s="26" t="n">
        <f>IF('179 11.10.2026 - 400'!D10=0,0,'179 11.10.2026 - 400'!I10)</f>
        <v>9800</v>
      </c>
    </row>
    <row r="23" ht="44" customHeight="1">
      <c r="A23" s="25" t="str">
        <v>Calibrator liniar pentru toate tipurile de nuci</v>
      </c>
      <c r="B23" s="25" t="str">
        <v>kg/h</v>
      </c>
      <c r="C23" s="31"/>
      <c r="D23" s="26"/>
      <c r="E23" s="26"/>
      <c r="F23" s="26"/>
      <c r="G23" s="26"/>
      <c r="H23" s="26"/>
      <c r="I23" s="26"/>
      <c r="J23" s="26"/>
      <c r="K23" s="31"/>
      <c r="L23" s="26"/>
      <c r="M23" s="26"/>
      <c r="N23" s="26"/>
      <c r="O23" s="26"/>
      <c r="P23" s="26"/>
      <c r="Q23" s="26"/>
      <c r="R23" s="26"/>
      <c r="S23" s="31"/>
      <c r="T23" s="26"/>
      <c r="U23" s="26"/>
      <c r="V23" s="26"/>
      <c r="W23" s="26"/>
      <c r="X23" s="26"/>
      <c r="Y23" s="26"/>
      <c r="Z23" s="26"/>
    </row>
    <row r="24" ht="44" customHeight="1">
      <c r="A24" s="25" t="str">
        <v>Mașină de calibrare a nucilor în 4 fracții</v>
      </c>
      <c r="B24" s="25" t="str">
        <v>kg/h</v>
      </c>
      <c r="C24" s="31"/>
      <c r="D24" s="26"/>
      <c r="E24" s="26"/>
      <c r="F24" s="26"/>
      <c r="G24" s="26"/>
      <c r="H24" s="26"/>
      <c r="I24" s="26"/>
      <c r="J24" s="26"/>
      <c r="K24" s="31"/>
      <c r="L24" s="26"/>
      <c r="M24" s="26"/>
      <c r="N24" s="26"/>
      <c r="O24" s="26"/>
      <c r="P24" s="26"/>
      <c r="Q24" s="26"/>
      <c r="R24" s="26"/>
      <c r="S24" s="31"/>
      <c r="T24" s="26"/>
      <c r="U24" s="26"/>
      <c r="V24" s="26"/>
      <c r="W24" s="26"/>
      <c r="X24" s="26"/>
      <c r="Y24" s="26"/>
      <c r="Z24" s="26"/>
    </row>
    <row r="25" ht="44" customHeight="1">
      <c r="A25" s="25" t="str">
        <v>Calibrator 4 fracții / 300 kg/h / ofertă 1,1 kW</v>
      </c>
      <c r="B25" s="25" t="str">
        <v>kg/h</v>
      </c>
      <c r="C25" s="31" t="n">
        <f>'82 16.04.2026 - 200'!C11*'82 16.04.2026 - 200'!D11</f>
        <v>2</v>
      </c>
      <c r="D25" s="26" t="n">
        <f>'82 16.04.2026 - 200'!E11</f>
        <v>300</v>
      </c>
      <c r="E25" s="26" t="n">
        <f>'82 16.04.2026 - 200'!F11</f>
        <v>600</v>
      </c>
      <c r="F25" s="26" t="n">
        <f>'82 16.04.2026 - 200'!G11</f>
        <v>8600</v>
      </c>
      <c r="G25" s="26" t="n">
        <f>'82 16.04.2026 - 200'!H11</f>
        <v>17200</v>
      </c>
      <c r="H25" s="26" t="n">
        <f>'82 16.04.2026 - 200'!K11</f>
        <v>1.1</v>
      </c>
      <c r="I25" s="26" t="n">
        <f>'82 16.04.2026 - 200'!L11</f>
        <v>2.2</v>
      </c>
      <c r="J25" s="26" t="n">
        <f>IF('82 16.04.2026 - 200'!D11=0,0,'82 16.04.2026 - 200'!I11)</f>
        <v>17200</v>
      </c>
      <c r="K25" s="31" t="n">
        <f>'82 16.04.2026 - 400'!C11*'82 16.04.2026 - 400'!D11</f>
        <v>2</v>
      </c>
      <c r="L25" s="26" t="n">
        <f>'82 16.04.2026 - 400'!E11</f>
        <v>300</v>
      </c>
      <c r="M25" s="26" t="n">
        <f>'82 16.04.2026 - 400'!F11</f>
        <v>600</v>
      </c>
      <c r="N25" s="26" t="n">
        <f>'82 16.04.2026 - 400'!G11</f>
        <v>8600</v>
      </c>
      <c r="O25" s="26" t="n">
        <f>'82 16.04.2026 - 400'!H11</f>
        <v>17200</v>
      </c>
      <c r="P25" s="26" t="n">
        <f>'82 16.04.2026 - 400'!K11</f>
        <v>1.1</v>
      </c>
      <c r="Q25" s="26" t="n">
        <f>'82 16.04.2026 - 400'!L11</f>
        <v>2.2</v>
      </c>
      <c r="R25" s="26" t="n">
        <f>IF('82 16.04.2026 - 400'!D11=0,0,'82 16.04.2026 - 400'!I11)</f>
        <v>17200</v>
      </c>
      <c r="S25" s="31"/>
      <c r="T25" s="26"/>
      <c r="U25" s="26"/>
      <c r="V25" s="26"/>
      <c r="W25" s="26"/>
      <c r="X25" s="26"/>
      <c r="Y25" s="26"/>
      <c r="Z25" s="26"/>
    </row>
    <row r="26" ht="44" customHeight="1">
      <c r="A26" s="25" t="str">
        <v>Mașină de calibrare a nucilor în 8 fracții</v>
      </c>
      <c r="B26" s="25" t="str">
        <v>kg/h</v>
      </c>
      <c r="C26" s="31"/>
      <c r="D26" s="26"/>
      <c r="E26" s="26"/>
      <c r="F26" s="26"/>
      <c r="G26" s="26"/>
      <c r="H26" s="26"/>
      <c r="I26" s="26"/>
      <c r="J26" s="26"/>
      <c r="K26" s="31"/>
      <c r="L26" s="26"/>
      <c r="M26" s="26"/>
      <c r="N26" s="26"/>
      <c r="O26" s="26"/>
      <c r="P26" s="26"/>
      <c r="Q26" s="26"/>
      <c r="R26" s="26"/>
      <c r="S26" s="31" t="n">
        <f>'179 11.10.2026 - 400'!C12*'179 11.10.2026 - 400'!D12</f>
        <v>2</v>
      </c>
      <c r="T26" s="26" t="n">
        <f>'179 11.10.2026 - 400'!E12</f>
        <v>500</v>
      </c>
      <c r="U26" s="26" t="n">
        <f>'179 11.10.2026 - 400'!F12</f>
        <v>1000</v>
      </c>
      <c r="V26" s="26" t="n">
        <f>'179 11.10.2026 - 400'!G12</f>
        <v>21200</v>
      </c>
      <c r="W26" s="26" t="n">
        <f>'179 11.10.2026 - 400'!H12</f>
        <v>42400</v>
      </c>
      <c r="X26" s="26" t="n">
        <f>'179 11.10.2026 - 400'!K12</f>
        <v>2.95</v>
      </c>
      <c r="Y26" s="26" t="n">
        <f>'179 11.10.2026 - 400'!L12</f>
        <v>5.9</v>
      </c>
      <c r="Z26" s="26" t="n">
        <f>IF('179 11.10.2026 - 400'!D12=0,0,'179 11.10.2026 - 400'!I12)</f>
        <v>42400</v>
      </c>
    </row>
    <row r="27" ht="44" customHeight="1">
      <c r="A27" s="25" t="str">
        <v>Mașină pentru sortarea nucilor goale în coajă</v>
      </c>
      <c r="B27" s="25" t="str">
        <v>kg/h</v>
      </c>
      <c r="C27" s="31"/>
      <c r="D27" s="26"/>
      <c r="E27" s="26"/>
      <c r="F27" s="26"/>
      <c r="G27" s="26"/>
      <c r="H27" s="26"/>
      <c r="I27" s="26"/>
      <c r="J27" s="26"/>
      <c r="K27" s="31"/>
      <c r="L27" s="26"/>
      <c r="M27" s="26"/>
      <c r="N27" s="26"/>
      <c r="O27" s="26"/>
      <c r="P27" s="26"/>
      <c r="Q27" s="26"/>
      <c r="R27" s="26"/>
      <c r="S27" s="31" t="n">
        <f>'179 11.10.2026 - 400'!C11*'179 11.10.2026 - 400'!D11</f>
        <v>2</v>
      </c>
      <c r="T27" s="26" t="n">
        <f>'179 11.10.2026 - 400'!E11</f>
        <v>300</v>
      </c>
      <c r="U27" s="26" t="n">
        <f>'179 11.10.2026 - 400'!F11</f>
        <v>600</v>
      </c>
      <c r="V27" s="26" t="n">
        <f>'179 11.10.2026 - 400'!G11</f>
        <v>8500</v>
      </c>
      <c r="W27" s="26" t="n">
        <f>'179 11.10.2026 - 400'!H11</f>
        <v>17000</v>
      </c>
      <c r="X27" s="26" t="n">
        <f>'179 11.10.2026 - 400'!K11</f>
        <v>4.5</v>
      </c>
      <c r="Y27" s="26" t="n">
        <f>'179 11.10.2026 - 400'!L11</f>
        <v>9</v>
      </c>
      <c r="Z27" s="26" t="n">
        <f>IF('179 11.10.2026 - 400'!D11=0,0,'179 11.10.2026 - 400'!I11)</f>
        <v>17000</v>
      </c>
    </row>
    <row r="28" ht="44" customHeight="1">
      <c r="A28" s="25" t="str">
        <v>Mașină de calibrare a alunelor</v>
      </c>
      <c r="B28" s="25" t="str">
        <v>kg/h</v>
      </c>
      <c r="C28" s="31"/>
      <c r="D28" s="26"/>
      <c r="E28" s="26"/>
      <c r="F28" s="26"/>
      <c r="G28" s="26"/>
      <c r="H28" s="26"/>
      <c r="I28" s="26"/>
      <c r="J28" s="26"/>
      <c r="K28" s="31"/>
      <c r="L28" s="26"/>
      <c r="M28" s="26"/>
      <c r="N28" s="26"/>
      <c r="O28" s="26"/>
      <c r="P28" s="26"/>
      <c r="Q28" s="26"/>
      <c r="R28" s="26"/>
      <c r="S28" s="31"/>
      <c r="T28" s="26"/>
      <c r="U28" s="26"/>
      <c r="V28" s="26"/>
      <c r="W28" s="26"/>
      <c r="X28" s="26"/>
      <c r="Y28" s="26"/>
      <c r="Z28" s="26"/>
    </row>
    <row r="29" ht="44" customHeight="1">
      <c r="A29" s="25" t="str">
        <v>Mașină de calibrare a alunelor în 3 fracții</v>
      </c>
      <c r="B29" s="25" t="str">
        <v>kg/h</v>
      </c>
      <c r="C29" s="31"/>
      <c r="D29" s="26"/>
      <c r="E29" s="26"/>
      <c r="F29" s="26"/>
      <c r="G29" s="26"/>
      <c r="H29" s="26"/>
      <c r="I29" s="26"/>
      <c r="J29" s="26"/>
      <c r="K29" s="31"/>
      <c r="L29" s="26"/>
      <c r="M29" s="26"/>
      <c r="N29" s="26"/>
      <c r="O29" s="26"/>
      <c r="P29" s="26"/>
      <c r="Q29" s="26"/>
      <c r="R29" s="26"/>
      <c r="S29" s="31"/>
      <c r="T29" s="26"/>
      <c r="U29" s="26"/>
      <c r="V29" s="26"/>
      <c r="W29" s="26"/>
      <c r="X29" s="26"/>
      <c r="Y29" s="26"/>
      <c r="Z29" s="26"/>
    </row>
    <row r="30" ht="44" customHeight="1">
      <c r="A30" s="25" t="str">
        <v>Mașină de calibrare a alunelor în 8 fracții</v>
      </c>
      <c r="B30" s="25" t="str">
        <v>kg/h</v>
      </c>
      <c r="C30" s="31"/>
      <c r="D30" s="26"/>
      <c r="E30" s="26"/>
      <c r="F30" s="26"/>
      <c r="G30" s="26"/>
      <c r="H30" s="26"/>
      <c r="I30" s="26"/>
      <c r="J30" s="26"/>
      <c r="K30" s="31"/>
      <c r="L30" s="26"/>
      <c r="M30" s="26"/>
      <c r="N30" s="26"/>
      <c r="O30" s="26"/>
      <c r="P30" s="26"/>
      <c r="Q30" s="26"/>
      <c r="R30" s="26"/>
      <c r="S30" s="31"/>
      <c r="T30" s="26"/>
      <c r="U30" s="26"/>
      <c r="V30" s="26"/>
      <c r="W30" s="26"/>
      <c r="X30" s="26"/>
      <c r="Y30" s="26"/>
      <c r="Z30" s="26"/>
    </row>
    <row r="31" ht="44" customHeight="1">
      <c r="A31" s="25" t="str">
        <v>Mașină de spart nuci 50 kg/h</v>
      </c>
      <c r="B31" s="25" t="str">
        <v>kg/h</v>
      </c>
      <c r="C31" s="31"/>
      <c r="D31" s="26"/>
      <c r="E31" s="26"/>
      <c r="F31" s="26"/>
      <c r="G31" s="26"/>
      <c r="H31" s="26"/>
      <c r="I31" s="26"/>
      <c r="J31" s="26"/>
      <c r="K31" s="31"/>
      <c r="L31" s="26"/>
      <c r="M31" s="26"/>
      <c r="N31" s="26"/>
      <c r="O31" s="26"/>
      <c r="P31" s="26"/>
      <c r="Q31" s="26"/>
      <c r="R31" s="26"/>
      <c r="S31" s="31"/>
      <c r="T31" s="26"/>
      <c r="U31" s="26"/>
      <c r="V31" s="26"/>
      <c r="W31" s="26"/>
      <c r="X31" s="26"/>
      <c r="Y31" s="26"/>
      <c r="Z31" s="26"/>
    </row>
    <row r="32" ht="44" customHeight="1">
      <c r="A32" s="25" t="str">
        <v>Mașină de spart nuci 100 kg/h</v>
      </c>
      <c r="B32" s="25" t="str">
        <v>kg/h</v>
      </c>
      <c r="C32" s="31"/>
      <c r="D32" s="26"/>
      <c r="E32" s="26"/>
      <c r="F32" s="26"/>
      <c r="G32" s="26"/>
      <c r="H32" s="26"/>
      <c r="I32" s="26"/>
      <c r="J32" s="26"/>
      <c r="K32" s="31"/>
      <c r="L32" s="26"/>
      <c r="M32" s="26"/>
      <c r="N32" s="26"/>
      <c r="O32" s="26"/>
      <c r="P32" s="26"/>
      <c r="Q32" s="26"/>
      <c r="R32" s="26"/>
      <c r="S32" s="31"/>
      <c r="T32" s="26"/>
      <c r="U32" s="26"/>
      <c r="V32" s="26"/>
      <c r="W32" s="26"/>
      <c r="X32" s="26"/>
      <c r="Y32" s="26"/>
      <c r="Z32" s="26"/>
    </row>
    <row r="33" ht="44" customHeight="1">
      <c r="A33" s="25" t="str">
        <v>Mașină de spart nuci 200 kg/h</v>
      </c>
      <c r="B33" s="25" t="str">
        <v>kg/h</v>
      </c>
      <c r="C33" s="31"/>
      <c r="D33" s="26"/>
      <c r="E33" s="26"/>
      <c r="F33" s="26"/>
      <c r="G33" s="26"/>
      <c r="H33" s="26"/>
      <c r="I33" s="26"/>
      <c r="J33" s="26"/>
      <c r="K33" s="31"/>
      <c r="L33" s="26"/>
      <c r="M33" s="26"/>
      <c r="N33" s="26"/>
      <c r="O33" s="26"/>
      <c r="P33" s="26"/>
      <c r="Q33" s="26"/>
      <c r="R33" s="26"/>
      <c r="S33" s="31"/>
      <c r="T33" s="26"/>
      <c r="U33" s="26"/>
      <c r="V33" s="26"/>
      <c r="W33" s="26"/>
      <c r="X33" s="26"/>
      <c r="Y33" s="26"/>
      <c r="Z33" s="26"/>
    </row>
    <row r="34" ht="44" customHeight="1">
      <c r="A34" s="25" t="str">
        <v>Mașină industrială de spart nuci cu coloană de aspirație integrată (200 kg/h)</v>
      </c>
      <c r="B34" s="25" t="str">
        <v>kg/h</v>
      </c>
      <c r="C34" s="31"/>
      <c r="D34" s="26"/>
      <c r="E34" s="26"/>
      <c r="F34" s="26"/>
      <c r="G34" s="26"/>
      <c r="H34" s="26"/>
      <c r="I34" s="26"/>
      <c r="J34" s="26"/>
      <c r="K34" s="31"/>
      <c r="L34" s="26"/>
      <c r="M34" s="26"/>
      <c r="N34" s="26"/>
      <c r="O34" s="26"/>
      <c r="P34" s="26"/>
      <c r="Q34" s="26"/>
      <c r="R34" s="26"/>
      <c r="S34" s="31"/>
      <c r="T34" s="26"/>
      <c r="U34" s="26"/>
      <c r="V34" s="26"/>
      <c r="W34" s="26"/>
      <c r="X34" s="26"/>
      <c r="Y34" s="26"/>
      <c r="Z34" s="26"/>
    </row>
    <row r="35" ht="44" customHeight="1">
      <c r="A35" s="25" t="str">
        <v>Spărgător de nuci pentru etapa post-spărgere</v>
      </c>
      <c r="B35" s="25" t="str">
        <v>kg/h</v>
      </c>
      <c r="C35" s="31"/>
      <c r="D35" s="26"/>
      <c r="E35" s="26"/>
      <c r="F35" s="26"/>
      <c r="G35" s="26"/>
      <c r="H35" s="26"/>
      <c r="I35" s="26"/>
      <c r="J35" s="26"/>
      <c r="K35" s="31"/>
      <c r="L35" s="26"/>
      <c r="M35" s="26"/>
      <c r="N35" s="26"/>
      <c r="O35" s="26"/>
      <c r="P35" s="26"/>
      <c r="Q35" s="26"/>
      <c r="R35" s="26"/>
      <c r="S35" s="31"/>
      <c r="T35" s="26"/>
      <c r="U35" s="26"/>
      <c r="V35" s="26"/>
      <c r="W35" s="26"/>
      <c r="X35" s="26"/>
      <c r="Y35" s="26"/>
      <c r="Z35" s="26"/>
    </row>
    <row r="36" ht="44" customHeight="1">
      <c r="A36" s="25" t="str">
        <v>Spărgător cu tambur pentru alune și migdale</v>
      </c>
      <c r="B36" s="25" t="str">
        <v>kg/h</v>
      </c>
      <c r="C36" s="31"/>
      <c r="D36" s="26"/>
      <c r="E36" s="26"/>
      <c r="F36" s="26"/>
      <c r="G36" s="26"/>
      <c r="H36" s="26"/>
      <c r="I36" s="26"/>
      <c r="J36" s="26"/>
      <c r="K36" s="31"/>
      <c r="L36" s="26"/>
      <c r="M36" s="26"/>
      <c r="N36" s="26"/>
      <c r="O36" s="26"/>
      <c r="P36" s="26"/>
      <c r="Q36" s="26"/>
      <c r="R36" s="26"/>
      <c r="S36" s="31"/>
      <c r="T36" s="26"/>
      <c r="U36" s="26"/>
      <c r="V36" s="26"/>
      <c r="W36" s="26"/>
      <c r="X36" s="26"/>
      <c r="Y36" s="26"/>
      <c r="Z36" s="26"/>
    </row>
    <row r="37" ht="44" customHeight="1">
      <c r="A37" s="25" t="str">
        <v>Spărgător de alune cu aspirație (200 kg/h)</v>
      </c>
      <c r="B37" s="25" t="str">
        <v>kg/h</v>
      </c>
      <c r="C37" s="31"/>
      <c r="D37" s="26"/>
      <c r="E37" s="26"/>
      <c r="F37" s="26"/>
      <c r="G37" s="26"/>
      <c r="H37" s="26"/>
      <c r="I37" s="26"/>
      <c r="J37" s="26"/>
      <c r="K37" s="31"/>
      <c r="L37" s="26"/>
      <c r="M37" s="26"/>
      <c r="N37" s="26"/>
      <c r="O37" s="26"/>
      <c r="P37" s="26"/>
      <c r="Q37" s="26"/>
      <c r="R37" s="26"/>
      <c r="S37" s="31"/>
      <c r="T37" s="26"/>
      <c r="U37" s="26"/>
      <c r="V37" s="26"/>
      <c r="W37" s="26"/>
      <c r="X37" s="26"/>
      <c r="Y37" s="26"/>
      <c r="Z37" s="26"/>
    </row>
    <row r="38" ht="44" customHeight="1">
      <c r="A38" s="25" t="str">
        <v>Mașină pentru separarea miezului de coajă (100 kg/h)</v>
      </c>
      <c r="B38" s="25" t="str">
        <v>kg/h</v>
      </c>
      <c r="C38" s="31"/>
      <c r="D38" s="26"/>
      <c r="E38" s="26"/>
      <c r="F38" s="26"/>
      <c r="G38" s="26"/>
      <c r="H38" s="26"/>
      <c r="I38" s="26"/>
      <c r="J38" s="26"/>
      <c r="K38" s="31"/>
      <c r="L38" s="26"/>
      <c r="M38" s="26"/>
      <c r="N38" s="26"/>
      <c r="O38" s="26"/>
      <c r="P38" s="26"/>
      <c r="Q38" s="26"/>
      <c r="R38" s="26"/>
      <c r="S38" s="31"/>
      <c r="T38" s="26"/>
      <c r="U38" s="26"/>
      <c r="V38" s="26"/>
      <c r="W38" s="26"/>
      <c r="X38" s="26"/>
      <c r="Y38" s="26"/>
      <c r="Z38" s="26"/>
    </row>
    <row r="39" ht="44" customHeight="1">
      <c r="A39" s="25" t="str">
        <v>Mașină pentru separarea miezului de coajă (300 kg/h)</v>
      </c>
      <c r="B39" s="25" t="str">
        <v>kg/h</v>
      </c>
      <c r="C39" s="31"/>
      <c r="D39" s="26"/>
      <c r="E39" s="26"/>
      <c r="F39" s="26"/>
      <c r="G39" s="26"/>
      <c r="H39" s="26"/>
      <c r="I39" s="26"/>
      <c r="J39" s="26"/>
      <c r="K39" s="31"/>
      <c r="L39" s="26"/>
      <c r="M39" s="26"/>
      <c r="N39" s="26"/>
      <c r="O39" s="26"/>
      <c r="P39" s="26"/>
      <c r="Q39" s="26"/>
      <c r="R39" s="26"/>
      <c r="S39" s="31"/>
      <c r="T39" s="26"/>
      <c r="U39" s="26"/>
      <c r="V39" s="26"/>
      <c r="W39" s="26"/>
      <c r="X39" s="26"/>
      <c r="Y39" s="26"/>
      <c r="Z39" s="26"/>
    </row>
    <row r="40" ht="44" customHeight="1">
      <c r="A40" s="25" t="str">
        <v>Mașină pentru separarea miezului de nucă (200 kg/h)</v>
      </c>
      <c r="B40" s="25" t="str">
        <v>kg/h</v>
      </c>
      <c r="C40" s="31"/>
      <c r="D40" s="26"/>
      <c r="E40" s="26"/>
      <c r="F40" s="26"/>
      <c r="G40" s="26"/>
      <c r="H40" s="26"/>
      <c r="I40" s="26"/>
      <c r="J40" s="26"/>
      <c r="K40" s="31"/>
      <c r="L40" s="26"/>
      <c r="M40" s="26"/>
      <c r="N40" s="26"/>
      <c r="O40" s="26"/>
      <c r="P40" s="26"/>
      <c r="Q40" s="26"/>
      <c r="R40" s="26"/>
      <c r="S40" s="31"/>
      <c r="T40" s="26"/>
      <c r="U40" s="26"/>
      <c r="V40" s="26"/>
      <c r="W40" s="26"/>
      <c r="X40" s="26"/>
      <c r="Y40" s="26"/>
      <c r="Z40" s="26"/>
    </row>
    <row r="41" ht="44" customHeight="1">
      <c r="A41" s="25" t="str">
        <v>Sit vibratoare cu aspirație pentru sortarea nucilor (200 kg/h)</v>
      </c>
      <c r="B41" s="25" t="str">
        <v>kg/h</v>
      </c>
      <c r="C41" s="31"/>
      <c r="D41" s="26"/>
      <c r="E41" s="26"/>
      <c r="F41" s="26"/>
      <c r="G41" s="26"/>
      <c r="H41" s="26"/>
      <c r="I41" s="26"/>
      <c r="J41" s="26"/>
      <c r="K41" s="31"/>
      <c r="L41" s="26"/>
      <c r="M41" s="26"/>
      <c r="N41" s="26"/>
      <c r="O41" s="26"/>
      <c r="P41" s="26"/>
      <c r="Q41" s="26"/>
      <c r="R41" s="26"/>
      <c r="S41" s="31"/>
      <c r="T41" s="26"/>
      <c r="U41" s="26"/>
      <c r="V41" s="26"/>
      <c r="W41" s="26"/>
      <c r="X41" s="26"/>
      <c r="Y41" s="26"/>
      <c r="Z41" s="26"/>
    </row>
    <row r="42" ht="44" customHeight="1">
      <c r="A42" s="25" t="str">
        <v>Sit vibratoare cu aspirație pentru sortarea nucilor (300 kg/h)</v>
      </c>
      <c r="B42" s="25" t="str">
        <v>kg/h</v>
      </c>
      <c r="C42" s="31"/>
      <c r="D42" s="26"/>
      <c r="E42" s="26"/>
      <c r="F42" s="26"/>
      <c r="G42" s="26"/>
      <c r="H42" s="26"/>
      <c r="I42" s="26"/>
      <c r="J42" s="26"/>
      <c r="K42" s="31"/>
      <c r="L42" s="26"/>
      <c r="M42" s="26"/>
      <c r="N42" s="26"/>
      <c r="O42" s="26"/>
      <c r="P42" s="26"/>
      <c r="Q42" s="26"/>
      <c r="R42" s="26"/>
      <c r="S42" s="31"/>
      <c r="T42" s="26"/>
      <c r="U42" s="26"/>
      <c r="V42" s="26"/>
      <c r="W42" s="26"/>
      <c r="X42" s="26"/>
      <c r="Y42" s="26"/>
      <c r="Z42" s="26"/>
    </row>
    <row r="43" ht="44" customHeight="1">
      <c r="A43" s="25" t="str">
        <v>Transportor elevatoare pentru nuci</v>
      </c>
      <c r="B43" s="25" t="str">
        <v>kg/h</v>
      </c>
      <c r="C43" s="31"/>
      <c r="D43" s="26"/>
      <c r="E43" s="26"/>
      <c r="F43" s="26"/>
      <c r="G43" s="26"/>
      <c r="H43" s="26"/>
      <c r="I43" s="26"/>
      <c r="J43" s="26"/>
      <c r="K43" s="31"/>
      <c r="L43" s="26"/>
      <c r="M43" s="26"/>
      <c r="N43" s="26"/>
      <c r="O43" s="26"/>
      <c r="P43" s="26"/>
      <c r="Q43" s="26"/>
      <c r="R43" s="26"/>
      <c r="S43" s="31"/>
      <c r="T43" s="26"/>
      <c r="U43" s="26"/>
      <c r="V43" s="26"/>
      <c r="W43" s="26"/>
      <c r="X43" s="26"/>
      <c r="Y43" s="26"/>
      <c r="Z43" s="26"/>
    </row>
    <row r="44" ht="44" customHeight="1">
      <c r="A44" s="25" t="str">
        <v>Masă de inspecție cu bandă</v>
      </c>
      <c r="B44" s="25" t="str">
        <v>kg/h</v>
      </c>
      <c r="C44" s="31"/>
      <c r="D44" s="26"/>
      <c r="E44" s="26"/>
      <c r="F44" s="26"/>
      <c r="G44" s="26"/>
      <c r="H44" s="26"/>
      <c r="I44" s="26"/>
      <c r="J44" s="26"/>
      <c r="K44" s="31"/>
      <c r="L44" s="26"/>
      <c r="M44" s="26"/>
      <c r="N44" s="26"/>
      <c r="O44" s="26"/>
      <c r="P44" s="26"/>
      <c r="Q44" s="26"/>
      <c r="R44" s="26"/>
      <c r="S44" s="31" t="n">
        <f>'179 11.10.2026 - 400'!C16*'179 11.10.2026 - 400'!D16</f>
        <v>2</v>
      </c>
      <c r="T44" s="26" t="str">
        <f>'179 11.10.2026 - 400'!E16</f>
        <v>ND</v>
      </c>
      <c r="U44" s="26" t="str">
        <f>'179 11.10.2026 - 400'!F16</f>
        <v>ND</v>
      </c>
      <c r="V44" s="26" t="n">
        <f>'179 11.10.2026 - 400'!G16</f>
        <v>7900</v>
      </c>
      <c r="W44" s="26" t="n">
        <f>'179 11.10.2026 - 400'!H16</f>
        <v>15800</v>
      </c>
      <c r="X44" s="26" t="n">
        <f>'179 11.10.2026 - 400'!K16</f>
        <v>0.55</v>
      </c>
      <c r="Y44" s="26" t="n">
        <f>'179 11.10.2026 - 400'!L16</f>
        <v>1.1</v>
      </c>
      <c r="Z44" s="26" t="n">
        <f>IF('179 11.10.2026 - 400'!D16=0,0,'179 11.10.2026 - 400'!I16)</f>
        <v>15800</v>
      </c>
    </row>
    <row r="45" ht="44" customHeight="1">
      <c r="A45" s="25" t="str">
        <v>Masă de inspecție cu bandă pe două niveluri</v>
      </c>
      <c r="B45" s="25" t="str">
        <v>kg/h</v>
      </c>
      <c r="C45" s="31"/>
      <c r="D45" s="26"/>
      <c r="E45" s="26"/>
      <c r="F45" s="26"/>
      <c r="G45" s="26"/>
      <c r="H45" s="26"/>
      <c r="I45" s="26"/>
      <c r="J45" s="26"/>
      <c r="K45" s="31"/>
      <c r="L45" s="26"/>
      <c r="M45" s="26"/>
      <c r="N45" s="26"/>
      <c r="O45" s="26"/>
      <c r="P45" s="26"/>
      <c r="Q45" s="26"/>
      <c r="R45" s="26"/>
      <c r="S45" s="31"/>
      <c r="T45" s="26"/>
      <c r="U45" s="26"/>
      <c r="V45" s="26"/>
      <c r="W45" s="26"/>
      <c r="X45" s="26"/>
      <c r="Y45" s="26"/>
      <c r="Z45" s="26"/>
    </row>
    <row r="46" ht="44" customHeight="1">
      <c r="A46" s="25" t="str">
        <v>Sortator optic IR-63</v>
      </c>
      <c r="B46" s="25" t="str">
        <v>kg/h</v>
      </c>
      <c r="C46" s="31"/>
      <c r="D46" s="26"/>
      <c r="E46" s="26"/>
      <c r="F46" s="26"/>
      <c r="G46" s="26"/>
      <c r="H46" s="26"/>
      <c r="I46" s="26"/>
      <c r="J46" s="26"/>
      <c r="K46" s="31"/>
      <c r="L46" s="26"/>
      <c r="M46" s="26"/>
      <c r="N46" s="26"/>
      <c r="O46" s="26"/>
      <c r="P46" s="26"/>
      <c r="Q46" s="26"/>
      <c r="R46" s="26"/>
      <c r="S46" s="31"/>
      <c r="T46" s="26"/>
      <c r="U46" s="26"/>
      <c r="V46" s="26"/>
      <c r="W46" s="26"/>
      <c r="X46" s="26"/>
      <c r="Y46" s="26"/>
      <c r="Z46" s="26"/>
    </row>
    <row r="47" ht="44" customHeight="1">
      <c r="A47" s="25" t="str">
        <v>Sortator optic 3S</v>
      </c>
      <c r="B47" s="25" t="str">
        <v>kg/h</v>
      </c>
      <c r="C47" s="31"/>
      <c r="D47" s="26"/>
      <c r="E47" s="26"/>
      <c r="F47" s="26"/>
      <c r="G47" s="26"/>
      <c r="H47" s="26"/>
      <c r="I47" s="26"/>
      <c r="J47" s="26"/>
      <c r="K47" s="31"/>
      <c r="L47" s="26"/>
      <c r="M47" s="26"/>
      <c r="N47" s="26"/>
      <c r="O47" s="26"/>
      <c r="P47" s="26"/>
      <c r="Q47" s="26"/>
      <c r="R47" s="26"/>
      <c r="S47" s="31"/>
      <c r="T47" s="26"/>
      <c r="U47" s="26"/>
      <c r="V47" s="26"/>
      <c r="W47" s="26"/>
      <c r="X47" s="26"/>
      <c r="Y47" s="26"/>
      <c r="Z47" s="26"/>
    </row>
    <row r="48" ht="44" customHeight="1">
      <c r="A48" s="25" t="str">
        <v>Separator cromatic 3S / ofertă 4 t/h</v>
      </c>
      <c r="B48" s="25" t="str">
        <v>kg/h</v>
      </c>
      <c r="C48" s="31"/>
      <c r="D48" s="26"/>
      <c r="E48" s="26"/>
      <c r="F48" s="26"/>
      <c r="G48" s="26"/>
      <c r="H48" s="26"/>
      <c r="I48" s="26"/>
      <c r="J48" s="26"/>
      <c r="K48" s="31"/>
      <c r="L48" s="26"/>
      <c r="M48" s="26"/>
      <c r="N48" s="26"/>
      <c r="O48" s="26"/>
      <c r="P48" s="26"/>
      <c r="Q48" s="26"/>
      <c r="R48" s="26"/>
      <c r="S48" s="31" t="n">
        <f>'179 11.10.2026 - 400'!C15*'179 11.10.2026 - 400'!D15</f>
        <v>1</v>
      </c>
      <c r="T48" s="26" t="n">
        <f>'179 11.10.2026 - 400'!E15</f>
        <v>4000</v>
      </c>
      <c r="U48" s="26" t="n">
        <f>'179 11.10.2026 - 400'!F15</f>
        <v>4000</v>
      </c>
      <c r="V48" s="26" t="n">
        <f>'179 11.10.2026 - 400'!G15</f>
        <v>56000</v>
      </c>
      <c r="W48" s="26" t="n">
        <f>'179 11.10.2026 - 400'!H15</f>
        <v>56000</v>
      </c>
      <c r="X48" s="26" t="n">
        <f>'179 11.10.2026 - 400'!K15</f>
        <v>2</v>
      </c>
      <c r="Y48" s="26" t="n">
        <f>'179 11.10.2026 - 400'!L15</f>
        <v>2</v>
      </c>
      <c r="Z48" s="26" t="n">
        <f>IF('179 11.10.2026 - 400'!D15=0,0,'179 11.10.2026 - 400'!I15)</f>
        <v>56000</v>
      </c>
    </row>
    <row r="49" ht="44" customHeight="1">
      <c r="A49" s="25" t="str">
        <v>Sortator optic cu bandă M600</v>
      </c>
      <c r="B49" s="25" t="str">
        <v>kg/h</v>
      </c>
      <c r="C49" s="31"/>
      <c r="D49" s="26"/>
      <c r="E49" s="26"/>
      <c r="F49" s="26"/>
      <c r="G49" s="26"/>
      <c r="H49" s="26"/>
      <c r="I49" s="26"/>
      <c r="J49" s="26"/>
      <c r="K49" s="31"/>
      <c r="L49" s="26"/>
      <c r="M49" s="26"/>
      <c r="N49" s="26"/>
      <c r="O49" s="26"/>
      <c r="P49" s="26"/>
      <c r="Q49" s="26"/>
      <c r="R49" s="26"/>
      <c r="S49" s="31"/>
      <c r="T49" s="26"/>
      <c r="U49" s="26"/>
      <c r="V49" s="26"/>
      <c r="W49" s="26"/>
      <c r="X49" s="26"/>
      <c r="Y49" s="26"/>
      <c r="Z49" s="26"/>
    </row>
    <row r="50" ht="44" customHeight="1">
      <c r="A50" s="25" t="str">
        <v>Linie de spălare și uscare a nucilor (500 kg/h)</v>
      </c>
      <c r="B50" s="25" t="str">
        <v>kg/h</v>
      </c>
      <c r="C50" s="31"/>
      <c r="D50" s="26"/>
      <c r="E50" s="26"/>
      <c r="F50" s="26"/>
      <c r="G50" s="26"/>
      <c r="H50" s="26"/>
      <c r="I50" s="26"/>
      <c r="J50" s="26"/>
      <c r="K50" s="31"/>
      <c r="L50" s="26"/>
      <c r="M50" s="26"/>
      <c r="N50" s="26"/>
      <c r="O50" s="26"/>
      <c r="P50" s="26"/>
      <c r="Q50" s="26"/>
      <c r="R50" s="26"/>
      <c r="S50" s="31"/>
      <c r="T50" s="26"/>
      <c r="U50" s="26"/>
      <c r="V50" s="26"/>
      <c r="W50" s="26"/>
      <c r="X50" s="26"/>
      <c r="Y50" s="26"/>
      <c r="Z50" s="26"/>
    </row>
    <row r="51" ht="44" customHeight="1">
      <c r="A51" s="25" t="str">
        <v>Linie industrială pentru procesarea nucilor (100 kg/h)</v>
      </c>
      <c r="B51" s="25" t="str">
        <v>kg/h</v>
      </c>
      <c r="C51" s="31"/>
      <c r="D51" s="26"/>
      <c r="E51" s="26"/>
      <c r="F51" s="26"/>
      <c r="G51" s="26"/>
      <c r="H51" s="26"/>
      <c r="I51" s="26"/>
      <c r="J51" s="26"/>
      <c r="K51" s="31"/>
      <c r="L51" s="26"/>
      <c r="M51" s="26"/>
      <c r="N51" s="26"/>
      <c r="O51" s="26"/>
      <c r="P51" s="26"/>
      <c r="Q51" s="26"/>
      <c r="R51" s="26"/>
      <c r="S51" s="31"/>
      <c r="T51" s="26"/>
      <c r="U51" s="26"/>
      <c r="V51" s="26"/>
      <c r="W51" s="26"/>
      <c r="X51" s="26"/>
      <c r="Y51" s="26"/>
      <c r="Z51" s="26"/>
    </row>
    <row r="52" ht="44" customHeight="1">
      <c r="A52" s="25" t="str">
        <v>Linie industrială pentru procesarea nucilor (200 kg/h)</v>
      </c>
      <c r="B52" s="25" t="str">
        <v>kg/h</v>
      </c>
      <c r="C52" s="31"/>
      <c r="D52" s="26"/>
      <c r="E52" s="26"/>
      <c r="F52" s="26"/>
      <c r="G52" s="26"/>
      <c r="H52" s="26"/>
      <c r="I52" s="26"/>
      <c r="J52" s="26"/>
      <c r="K52" s="31" t="n">
        <f>'82 16.04.2026 - 400'!C13*'82 16.04.2026 - 400'!D13</f>
        <v>0</v>
      </c>
      <c r="L52" s="26" t="n">
        <f>'82 16.04.2026 - 400'!E13</f>
        <v>200</v>
      </c>
      <c r="M52" s="26" t="n">
        <f>'82 16.04.2026 - 400'!F13</f>
        <v>0</v>
      </c>
      <c r="N52" s="26" t="n">
        <f>'82 16.04.2026 - 400'!G13</f>
        <v>28600</v>
      </c>
      <c r="O52" s="26" t="n">
        <f>'82 16.04.2026 - 400'!H13</f>
        <v>0</v>
      </c>
      <c r="P52" s="26" t="str">
        <f>'82 16.04.2026 - 400'!K13</f>
        <v>ND</v>
      </c>
      <c r="Q52" s="26" t="n">
        <f>'82 16.04.2026 - 400'!L13</f>
        <v>0</v>
      </c>
      <c r="R52" s="26" t="n">
        <f>IF('82 16.04.2026 - 400'!D13=0,0,'82 16.04.2026 - 400'!I13)</f>
        <v>0</v>
      </c>
      <c r="S52" s="31"/>
      <c r="T52" s="26"/>
      <c r="U52" s="26"/>
      <c r="V52" s="26"/>
      <c r="W52" s="26"/>
      <c r="X52" s="26"/>
      <c r="Y52" s="26"/>
      <c r="Z52" s="26"/>
    </row>
    <row r="53" ht="44" customHeight="1">
      <c r="A53" s="25" t="str">
        <v>Linie industrială automatizată pentru procesarea nucilor (200 kg/h)</v>
      </c>
      <c r="B53" s="25" t="str">
        <v>kg/h</v>
      </c>
      <c r="C53" s="31"/>
      <c r="D53" s="26"/>
      <c r="E53" s="26"/>
      <c r="F53" s="26"/>
      <c r="G53" s="26"/>
      <c r="H53" s="26"/>
      <c r="I53" s="26"/>
      <c r="J53" s="26"/>
      <c r="K53" s="31"/>
      <c r="L53" s="26"/>
      <c r="M53" s="26"/>
      <c r="N53" s="26"/>
      <c r="O53" s="26"/>
      <c r="P53" s="26"/>
      <c r="Q53" s="26"/>
      <c r="R53" s="26"/>
      <c r="S53" s="31"/>
      <c r="T53" s="26"/>
      <c r="U53" s="26"/>
      <c r="V53" s="26"/>
      <c r="W53" s="26"/>
      <c r="X53" s="26"/>
      <c r="Y53" s="26"/>
      <c r="Z53" s="26"/>
    </row>
    <row r="54" ht="44" customHeight="1">
      <c r="A54" s="25" t="str">
        <v>Linie completă combinată / 200 kg/h / nuci, alune, migdale</v>
      </c>
      <c r="B54" s="25" t="str">
        <v>kg/h</v>
      </c>
      <c r="C54" s="31" t="n">
        <f>'82 16.04.2026 - 200'!C13*'82 16.04.2026 - 200'!D13</f>
        <v>1</v>
      </c>
      <c r="D54" s="26" t="n">
        <f>'82 16.04.2026 - 200'!E13</f>
        <v>200</v>
      </c>
      <c r="E54" s="26" t="n">
        <f>'82 16.04.2026 - 200'!F13</f>
        <v>200</v>
      </c>
      <c r="F54" s="26" t="n">
        <f>'82 16.04.2026 - 200'!G13</f>
        <v>32900</v>
      </c>
      <c r="G54" s="26" t="n">
        <f>'82 16.04.2026 - 200'!H13</f>
        <v>32900</v>
      </c>
      <c r="H54" s="26" t="str">
        <f>'82 16.04.2026 - 200'!K13</f>
        <v>ND</v>
      </c>
      <c r="I54" s="26" t="str">
        <f>'82 16.04.2026 - 200'!L13</f>
        <v>ND</v>
      </c>
      <c r="J54" s="26" t="n">
        <f>IF('82 16.04.2026 - 200'!D13=0,0,'82 16.04.2026 - 200'!I13)</f>
        <v>32900</v>
      </c>
      <c r="K54" s="31" t="n">
        <f>'82 16.04.2026 - 400'!C14*'82 16.04.2026 - 400'!D14</f>
        <v>1</v>
      </c>
      <c r="L54" s="26" t="n">
        <f>'82 16.04.2026 - 400'!E14</f>
        <v>200</v>
      </c>
      <c r="M54" s="26" t="n">
        <f>'82 16.04.2026 - 400'!F14</f>
        <v>200</v>
      </c>
      <c r="N54" s="26" t="n">
        <f>'82 16.04.2026 - 400'!G14</f>
        <v>32900</v>
      </c>
      <c r="O54" s="26" t="n">
        <f>'82 16.04.2026 - 400'!H14</f>
        <v>32900</v>
      </c>
      <c r="P54" s="26" t="str">
        <f>'82 16.04.2026 - 400'!K14</f>
        <v>ND</v>
      </c>
      <c r="Q54" s="26" t="str">
        <f>'82 16.04.2026 - 400'!L14</f>
        <v>ND</v>
      </c>
      <c r="R54" s="26" t="n">
        <f>IF('82 16.04.2026 - 400'!D14=0,0,'82 16.04.2026 - 400'!I14)</f>
        <v>32900</v>
      </c>
      <c r="S54" s="31" t="n">
        <f>'179 11.10.2026 - 400'!C14*'179 11.10.2026 - 400'!D14</f>
        <v>2</v>
      </c>
      <c r="T54" s="26" t="n">
        <f>'179 11.10.2026 - 400'!E14</f>
        <v>200</v>
      </c>
      <c r="U54" s="26" t="n">
        <f>'179 11.10.2026 - 400'!F14</f>
        <v>400</v>
      </c>
      <c r="V54" s="26" t="n">
        <f>'179 11.10.2026 - 400'!G14</f>
        <v>44900</v>
      </c>
      <c r="W54" s="26" t="n">
        <f>'179 11.10.2026 - 400'!H14</f>
        <v>89800</v>
      </c>
      <c r="X54" s="26" t="str">
        <f>'179 11.10.2026 - 400'!K14</f>
        <v>ND</v>
      </c>
      <c r="Y54" s="26" t="str">
        <f>'179 11.10.2026 - 400'!L14</f>
        <v>ND</v>
      </c>
      <c r="Z54" s="26" t="n">
        <f>IF('179 11.10.2026 - 400'!D14=0,0,'179 11.10.2026 - 400'!I14)</f>
        <v>95800</v>
      </c>
    </row>
    <row r="55" ht="44" customHeight="1">
      <c r="A55" s="25" t="str">
        <v>Linie industrială automatizată de procesare a nucilor, până la 400 kg/h</v>
      </c>
      <c r="B55" s="25" t="str">
        <v>kg/h</v>
      </c>
      <c r="C55" s="31"/>
      <c r="D55" s="26"/>
      <c r="E55" s="26"/>
      <c r="F55" s="26"/>
      <c r="G55" s="26"/>
      <c r="H55" s="26"/>
      <c r="I55" s="26"/>
      <c r="J55" s="26"/>
      <c r="K55" s="31"/>
      <c r="L55" s="26"/>
      <c r="M55" s="26"/>
      <c r="N55" s="26"/>
      <c r="O55" s="26"/>
      <c r="P55" s="26"/>
      <c r="Q55" s="26"/>
      <c r="R55" s="26"/>
      <c r="S55" s="31"/>
      <c r="T55" s="26"/>
      <c r="U55" s="26"/>
      <c r="V55" s="26"/>
      <c r="W55" s="26"/>
      <c r="X55" s="26"/>
      <c r="Y55" s="26"/>
      <c r="Z55" s="26"/>
    </row>
    <row r="56" ht="44" customHeight="1">
      <c r="A56" s="25" t="str">
        <v>Linie industrială pentru procesarea alunelor (200 kg/h)</v>
      </c>
      <c r="B56" s="25" t="str">
        <v>kg/h</v>
      </c>
      <c r="C56" s="31"/>
      <c r="D56" s="26"/>
      <c r="E56" s="26"/>
      <c r="F56" s="26"/>
      <c r="G56" s="26"/>
      <c r="H56" s="26"/>
      <c r="I56" s="26"/>
      <c r="J56" s="26"/>
      <c r="K56" s="31"/>
      <c r="L56" s="26"/>
      <c r="M56" s="26"/>
      <c r="N56" s="26"/>
      <c r="O56" s="26"/>
      <c r="P56" s="26"/>
      <c r="Q56" s="26"/>
      <c r="R56" s="26"/>
      <c r="S56" s="31"/>
      <c r="T56" s="26"/>
      <c r="U56" s="26"/>
      <c r="V56" s="26"/>
      <c r="W56" s="26"/>
      <c r="X56" s="26"/>
      <c r="Y56" s="26"/>
      <c r="Z56" s="26"/>
    </row>
    <row r="57" ht="44" customHeight="1">
      <c r="A57" s="25" t="str">
        <v>Complex industrial pentru procesarea alunelor (200 kg/h)</v>
      </c>
      <c r="B57" s="25" t="str">
        <v>kg/h</v>
      </c>
      <c r="C57" s="31"/>
      <c r="D57" s="26"/>
      <c r="E57" s="26"/>
      <c r="F57" s="26"/>
      <c r="G57" s="26"/>
      <c r="H57" s="26"/>
      <c r="I57" s="26"/>
      <c r="J57" s="26"/>
      <c r="K57" s="31"/>
      <c r="L57" s="26"/>
      <c r="M57" s="26"/>
      <c r="N57" s="26"/>
      <c r="O57" s="26"/>
      <c r="P57" s="26"/>
      <c r="Q57" s="26"/>
      <c r="R57" s="26"/>
      <c r="S57" s="31"/>
      <c r="T57" s="26"/>
      <c r="U57" s="26"/>
      <c r="V57" s="26"/>
      <c r="W57" s="26"/>
      <c r="X57" s="26"/>
      <c r="Y57" s="26"/>
      <c r="Z57" s="26"/>
    </row>
    <row r="58" ht="44" customHeight="1">
      <c r="A58" s="25" t="str">
        <v>Linie industrială pentru procesarea migdalelor (200 kg/h)</v>
      </c>
      <c r="B58" s="25" t="str">
        <v>kg/h</v>
      </c>
      <c r="C58" s="31"/>
      <c r="D58" s="26"/>
      <c r="E58" s="26"/>
      <c r="F58" s="26"/>
      <c r="G58" s="26"/>
      <c r="H58" s="26"/>
      <c r="I58" s="26"/>
      <c r="J58" s="26"/>
      <c r="K58" s="31"/>
      <c r="L58" s="26"/>
      <c r="M58" s="26"/>
      <c r="N58" s="26"/>
      <c r="O58" s="26"/>
      <c r="P58" s="26"/>
      <c r="Q58" s="26"/>
      <c r="R58" s="26"/>
      <c r="S58" s="31"/>
      <c r="T58" s="26"/>
      <c r="U58" s="26"/>
      <c r="V58" s="26"/>
      <c r="W58" s="26"/>
      <c r="X58" s="26"/>
      <c r="Y58" s="26"/>
      <c r="Z58" s="26"/>
    </row>
    <row r="59" ht="44" customHeight="1">
      <c r="A59" s="25" t="str">
        <v>Complex industrial pentru procesarea migdalelor (200 kg/h)</v>
      </c>
      <c r="B59" s="25" t="str">
        <v>kg/h</v>
      </c>
      <c r="C59" s="31"/>
      <c r="D59" s="26"/>
      <c r="E59" s="26"/>
      <c r="F59" s="26"/>
      <c r="G59" s="26"/>
      <c r="H59" s="26"/>
      <c r="I59" s="26"/>
      <c r="J59" s="26"/>
      <c r="K59" s="31"/>
      <c r="L59" s="26"/>
      <c r="M59" s="26"/>
      <c r="N59" s="26"/>
      <c r="O59" s="26"/>
      <c r="P59" s="26"/>
      <c r="Q59" s="26"/>
      <c r="R59" s="26"/>
      <c r="S59" s="31"/>
      <c r="T59" s="26"/>
      <c r="U59" s="26"/>
      <c r="V59" s="26"/>
      <c r="W59" s="26"/>
      <c r="X59" s="26"/>
      <c r="Y59" s="26"/>
      <c r="Z59" s="26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5" customHeight="1">
      <c r="A62" s="33" t="str">
        <v>Capacitate spargere propusă (kg/h), teoretică</v>
      </c>
      <c r="B62" s="33"/>
      <c r="C62" s="34" t="n">
        <f>'82 16.04.2026 - 200'!B22</f>
        <v>200</v>
      </c>
      <c r="D62" s="34"/>
      <c r="E62" s="34"/>
      <c r="F62" s="34"/>
      <c r="G62" s="34"/>
      <c r="H62" s="34"/>
      <c r="I62" s="34"/>
      <c r="J62" s="34"/>
      <c r="K62" s="34" t="n">
        <f>'82 16.04.2026 - 400'!B22</f>
        <v>200</v>
      </c>
      <c r="L62" s="34"/>
      <c r="M62" s="34"/>
      <c r="N62" s="34"/>
      <c r="O62" s="34"/>
      <c r="P62" s="34"/>
      <c r="Q62" s="34"/>
      <c r="R62" s="34"/>
      <c r="S62" s="34" t="n">
        <f>'179 11.10.2026 - 400'!B22</f>
        <v>400</v>
      </c>
      <c r="T62" s="34"/>
      <c r="U62" s="34"/>
      <c r="V62" s="34"/>
      <c r="W62" s="34"/>
      <c r="X62" s="34"/>
      <c r="Y62" s="34"/>
      <c r="Z62" s="34"/>
    </row>
    <row r="63" ht="25" customHeight="1">
      <c r="A63" s="33" t="str">
        <v>Capacitate uscare declarată (kg/24 h)</v>
      </c>
      <c r="B63" s="33"/>
      <c r="C63" s="34" t="n">
        <f>'82 16.04.2026 - 200'!B23</f>
        <v>2000</v>
      </c>
      <c r="D63" s="34"/>
      <c r="E63" s="34"/>
      <c r="F63" s="34"/>
      <c r="G63" s="34"/>
      <c r="H63" s="34"/>
      <c r="I63" s="34"/>
      <c r="J63" s="34"/>
      <c r="K63" s="34" t="n">
        <f>'82 16.04.2026 - 400'!B23</f>
        <v>4000</v>
      </c>
      <c r="L63" s="34"/>
      <c r="M63" s="34"/>
      <c r="N63" s="34"/>
      <c r="O63" s="34"/>
      <c r="P63" s="34"/>
      <c r="Q63" s="34"/>
      <c r="R63" s="34"/>
      <c r="S63" s="34" t="n">
        <f>'179 11.10.2026 - 400'!B23</f>
        <v>8000</v>
      </c>
      <c r="T63" s="34"/>
      <c r="U63" s="34"/>
      <c r="V63" s="34"/>
      <c r="W63" s="34"/>
      <c r="X63" s="34"/>
      <c r="Y63" s="34"/>
      <c r="Z63" s="34"/>
    </row>
    <row r="64" ht="25" customHeight="1">
      <c r="A64" s="33" t="str">
        <v>Preț calculat configurație (EUR fără TVA)</v>
      </c>
      <c r="B64" s="33"/>
      <c r="C64" s="34" t="n">
        <f>'82 16.04.2026 - 200'!B24</f>
        <v>85100</v>
      </c>
      <c r="D64" s="34"/>
      <c r="E64" s="34"/>
      <c r="F64" s="34"/>
      <c r="G64" s="34"/>
      <c r="H64" s="34"/>
      <c r="I64" s="34"/>
      <c r="J64" s="34"/>
      <c r="K64" s="34" t="n">
        <f>'82 16.04.2026 - 400'!B24</f>
        <v>111200</v>
      </c>
      <c r="L64" s="34"/>
      <c r="M64" s="34"/>
      <c r="N64" s="34"/>
      <c r="O64" s="34"/>
      <c r="P64" s="34"/>
      <c r="Q64" s="34"/>
      <c r="R64" s="34"/>
      <c r="S64" s="34" t="n">
        <f>'179 11.10.2026 - 400'!B24</f>
        <v>314400</v>
      </c>
      <c r="T64" s="34"/>
      <c r="U64" s="34"/>
      <c r="V64" s="34"/>
      <c r="W64" s="34"/>
      <c r="X64" s="34"/>
      <c r="Y64" s="34"/>
      <c r="Z64" s="34"/>
    </row>
    <row r="65" ht="25" customHeight="1">
      <c r="A65" s="33" t="str">
        <v>Total general declarat (EUR fără TVA)</v>
      </c>
      <c r="B65" s="33"/>
      <c r="C65" s="34" t="n">
        <f>'82 16.04.2026 - 200'!B25</f>
        <v>85100</v>
      </c>
      <c r="D65" s="34"/>
      <c r="E65" s="34"/>
      <c r="F65" s="34"/>
      <c r="G65" s="34"/>
      <c r="H65" s="34"/>
      <c r="I65" s="34"/>
      <c r="J65" s="34"/>
      <c r="K65" s="34" t="str">
        <f>'82 16.04.2026 - 400'!B25</f>
        <v>Nedeclarat</v>
      </c>
      <c r="L65" s="34"/>
      <c r="M65" s="34"/>
      <c r="N65" s="34"/>
      <c r="O65" s="34"/>
      <c r="P65" s="34"/>
      <c r="Q65" s="34"/>
      <c r="R65" s="34"/>
      <c r="S65" s="34" t="n">
        <f>'179 11.10.2026 - 400'!B25</f>
        <v>320400</v>
      </c>
      <c r="T65" s="34"/>
      <c r="U65" s="34"/>
      <c r="V65" s="34"/>
      <c r="W65" s="34"/>
      <c r="X65" s="34"/>
      <c r="Y65" s="34"/>
      <c r="Z65" s="34"/>
    </row>
    <row r="66" ht="25" customHeight="1">
      <c r="A66" s="33" t="str">
        <v>Diferență declarat minus calculat (EUR)</v>
      </c>
      <c r="B66" s="33"/>
      <c r="C66" s="34" t="n">
        <f>'82 16.04.2026 - 200'!B26</f>
        <v>0</v>
      </c>
      <c r="D66" s="34"/>
      <c r="E66" s="34"/>
      <c r="F66" s="34"/>
      <c r="G66" s="34"/>
      <c r="H66" s="34"/>
      <c r="I66" s="34"/>
      <c r="J66" s="34"/>
      <c r="K66" s="34" t="str">
        <f>'82 16.04.2026 - 400'!B26</f>
        <v>ND</v>
      </c>
      <c r="L66" s="34"/>
      <c r="M66" s="34"/>
      <c r="N66" s="34"/>
      <c r="O66" s="34"/>
      <c r="P66" s="34"/>
      <c r="Q66" s="34"/>
      <c r="R66" s="34"/>
      <c r="S66" s="34" t="n">
        <f>'179 11.10.2026 - 400'!B26</f>
        <v>6000</v>
      </c>
      <c r="T66" s="34"/>
      <c r="U66" s="34"/>
      <c r="V66" s="34"/>
      <c r="W66" s="34"/>
      <c r="X66" s="34"/>
      <c r="Y66" s="34"/>
      <c r="Z66" s="34"/>
    </row>
    <row r="67" ht="25" customHeight="1">
      <c r="A67" s="33" t="str">
        <v>Subtotal puteri cunoscute (kW), incomplet</v>
      </c>
      <c r="B67" s="33"/>
      <c r="C67" s="34" t="n">
        <f>'82 16.04.2026 - 200'!B27</f>
        <v>20.599999999999998</v>
      </c>
      <c r="D67" s="34"/>
      <c r="E67" s="34"/>
      <c r="F67" s="34"/>
      <c r="G67" s="34"/>
      <c r="H67" s="34"/>
      <c r="I67" s="34"/>
      <c r="J67" s="34"/>
      <c r="K67" s="34" t="n">
        <f>'82 16.04.2026 - 400'!B27</f>
        <v>22.099999999999998</v>
      </c>
      <c r="L67" s="34"/>
      <c r="M67" s="34"/>
      <c r="N67" s="34"/>
      <c r="O67" s="34"/>
      <c r="P67" s="34"/>
      <c r="Q67" s="34"/>
      <c r="R67" s="34"/>
      <c r="S67" s="34" t="n">
        <f>'179 11.10.2026 - 400'!B27</f>
        <v>51.900000000000006</v>
      </c>
      <c r="T67" s="34"/>
      <c r="U67" s="34"/>
      <c r="V67" s="34"/>
      <c r="W67" s="34"/>
      <c r="X67" s="34"/>
      <c r="Y67" s="34"/>
      <c r="Z67" s="34"/>
    </row>
    <row r="68" ht="25" customHeight="1">
      <c r="A68" s="33" t="str">
        <v>Poziții incluse fără putere declarată</v>
      </c>
      <c r="B68" s="33"/>
      <c r="C68" s="34" t="n">
        <f>'82 16.04.2026 - 200'!B28</f>
        <v>2</v>
      </c>
      <c r="D68" s="34"/>
      <c r="E68" s="34"/>
      <c r="F68" s="34"/>
      <c r="G68" s="34"/>
      <c r="H68" s="34"/>
      <c r="I68" s="34"/>
      <c r="J68" s="34"/>
      <c r="K68" s="34" t="n">
        <f>'82 16.04.2026 - 400'!B28</f>
        <v>2</v>
      </c>
      <c r="L68" s="34"/>
      <c r="M68" s="34"/>
      <c r="N68" s="34"/>
      <c r="O68" s="34"/>
      <c r="P68" s="34"/>
      <c r="Q68" s="34"/>
      <c r="R68" s="34"/>
      <c r="S68" s="34" t="n">
        <f>'179 11.10.2026 - 400'!B28</f>
        <v>2</v>
      </c>
      <c r="T68" s="34"/>
      <c r="U68" s="34"/>
      <c r="V68" s="34"/>
      <c r="W68" s="34"/>
      <c r="X68" s="34"/>
      <c r="Y68" s="34"/>
      <c r="Z68" s="34"/>
    </row>
    <row r="69" ht="25" customHeight="1">
      <c r="A69" s="33" t="str">
        <v>Putere totală completă configurație (kW)</v>
      </c>
      <c r="B69" s="33"/>
      <c r="C69" s="34" t="str">
        <f>'82 16.04.2026 - 200'!B29</f>
        <v>ND</v>
      </c>
      <c r="D69" s="34"/>
      <c r="E69" s="34"/>
      <c r="F69" s="34"/>
      <c r="G69" s="34"/>
      <c r="H69" s="34"/>
      <c r="I69" s="34"/>
      <c r="J69" s="34"/>
      <c r="K69" s="34" t="str">
        <f>'82 16.04.2026 - 400'!B29</f>
        <v>ND</v>
      </c>
      <c r="L69" s="34"/>
      <c r="M69" s="34"/>
      <c r="N69" s="34"/>
      <c r="O69" s="34"/>
      <c r="P69" s="34"/>
      <c r="Q69" s="34"/>
      <c r="R69" s="34"/>
      <c r="S69" s="34" t="str">
        <f>'179 11.10.2026 - 400'!B29</f>
        <v>ND</v>
      </c>
      <c r="T69" s="34"/>
      <c r="U69" s="34"/>
      <c r="V69" s="34"/>
      <c r="W69" s="34"/>
      <c r="X69" s="34"/>
      <c r="Y69" s="34"/>
      <c r="Z69" s="34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</sheetData>
  <autoFilter ref="A7:Z59"/>
  <mergeCells>
    <mergeCell ref="A2:J2"/>
    <mergeCell ref="A3:J3"/>
    <mergeCell ref="A4:J4"/>
    <mergeCell ref="A6:A7"/>
    <mergeCell ref="B6:B7"/>
    <mergeCell ref="C6:J6"/>
    <mergeCell ref="K6:R6"/>
    <mergeCell ref="S6:Z6"/>
    <mergeCell ref="A62:B62"/>
    <mergeCell ref="C62:J62"/>
    <mergeCell ref="K62:R62"/>
    <mergeCell ref="S62:Z62"/>
    <mergeCell ref="A63:B63"/>
    <mergeCell ref="C63:J63"/>
    <mergeCell ref="K63:R63"/>
    <mergeCell ref="S63:Z63"/>
    <mergeCell ref="A64:B64"/>
    <mergeCell ref="C64:J64"/>
    <mergeCell ref="K64:R64"/>
    <mergeCell ref="S64:Z64"/>
    <mergeCell ref="A65:B65"/>
    <mergeCell ref="C65:J65"/>
    <mergeCell ref="K65:R65"/>
    <mergeCell ref="S65:Z65"/>
    <mergeCell ref="A66:B66"/>
    <mergeCell ref="C66:J66"/>
    <mergeCell ref="K66:R66"/>
    <mergeCell ref="S66:Z66"/>
    <mergeCell ref="A67:B67"/>
    <mergeCell ref="C67:J67"/>
    <mergeCell ref="K67:R67"/>
    <mergeCell ref="S67:Z67"/>
    <mergeCell ref="A68:B68"/>
    <mergeCell ref="C68:J68"/>
    <mergeCell ref="K68:R68"/>
    <mergeCell ref="S68:Z68"/>
    <mergeCell ref="A69:B69"/>
    <mergeCell ref="C69:J69"/>
    <mergeCell ref="K69:R69"/>
    <mergeCell ref="S69:Z69"/>
  </mergeCells>
  <conditionalFormatting sqref="C8:J59">
    <cfRule type="containsText" dxfId="5" priority="1" operator="containsText" text="ND"/>
  </conditionalFormatting>
  <conditionalFormatting sqref="K8:R59">
    <cfRule type="containsText" dxfId="6" priority="2" operator="containsText" text="ND"/>
  </conditionalFormatting>
  <conditionalFormatting sqref="S8:Z59">
    <cfRule type="containsText" dxfId="7" priority="3" operator="containsText" text="ND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344E41"/>
  </sheetPr>
  <sheetViews>
    <sheetView showGridLines="0" workbookViewId="0" tabSelected="1">
      <pane xSplit="1" ySplit="6" topLeftCell="B7" activePane="bottomRight" state="frozen"/>
    </sheetView>
  </sheetViews>
  <sheetFormatPr defaultRowHeight="15"/>
  <cols>
    <col min="1" max="1" width="65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1" hidden="0" customWidth="1"/>
    <col min="7" max="7" width="64" hidden="0" customWidth="1"/>
  </cols>
  <sheetData>
    <row r="1">
      <c r="A1" s="15"/>
      <c r="B1" s="15"/>
      <c r="C1" s="15"/>
      <c r="D1" s="15"/>
      <c r="E1" s="15"/>
      <c r="F1" s="15"/>
      <c r="G1" s="15"/>
    </row>
    <row r="2" ht="28" customHeight="1">
      <c r="A2" s="16" t="str">
        <v>Comparație prețuri unitare - aceleași echipamente și versiuni</v>
      </c>
      <c r="B2" s="15"/>
      <c r="C2" s="15"/>
      <c r="D2" s="15"/>
      <c r="E2" s="15"/>
      <c r="F2" s="15"/>
      <c r="G2" s="15"/>
    </row>
    <row r="3" ht="30" customHeight="1">
      <c r="A3" s="18" t="str">
        <v>EUR fără TVA. Prețurile sunt istorice, nu ajustate cu inflația. O celulă goală înseamnă că modelul nu a fost ofertat.</v>
      </c>
      <c r="B3" s="15"/>
      <c r="C3" s="15"/>
      <c r="D3" s="15"/>
      <c r="E3" s="15"/>
      <c r="F3" s="15"/>
      <c r="G3" s="15"/>
    </row>
    <row r="4" ht="30" customHeight="1">
      <c r="A4" s="18" t="str">
        <v>Diferența compară oferta 179 cu ultima ofertă 82 disponibilă pentru exact aceeași versiune. Configurațiile totale diferă.</v>
      </c>
      <c r="B4" s="15"/>
      <c r="C4" s="15"/>
      <c r="D4" s="15"/>
      <c r="E4" s="15"/>
      <c r="F4" s="15"/>
      <c r="G4" s="15"/>
    </row>
    <row r="5">
      <c r="A5" s="15"/>
      <c r="B5" s="15"/>
      <c r="C5" s="15"/>
      <c r="D5" s="15"/>
      <c r="E5" s="15"/>
      <c r="F5" s="15"/>
      <c r="G5" s="15"/>
    </row>
    <row r="6" ht="44" customHeight="1">
      <c r="A6" s="23" t="str">
        <v>Echipament / versiune</v>
      </c>
      <c r="B6" s="23" t="str">
        <v>82 / 16.04.2026 / 200</v>
      </c>
      <c r="C6" s="23" t="str">
        <v>82 / 16.04.2026 / 400</v>
      </c>
      <c r="D6" s="23" t="str">
        <v>179 / 11.10.2026 / 400</v>
      </c>
      <c r="E6" s="23" t="str">
        <v>Diferență unitară EUR</v>
      </c>
      <c r="F6" s="23" t="str">
        <v>Modificare %</v>
      </c>
      <c r="G6" s="23" t="str">
        <v>Observații</v>
      </c>
    </row>
    <row r="7" ht="44" customHeight="1">
      <c r="A7" s="25" t="str">
        <v>Curățare nuci verzi / ofertă 500 kg/h (descriere 500–600)</v>
      </c>
      <c r="B7" s="26" t="n">
        <f>'82 16.04.2026 - 200'!G8</f>
        <v>8000</v>
      </c>
      <c r="C7" s="26"/>
      <c r="D7" s="26"/>
      <c r="E7" s="26" t="str">
        <f>IF(ISNUMBER(D7),IF(ISNUMBER(C7),D7-C7,IF(ISNUMBER(B7),D7-B7,"")),"")</f>
      </c>
      <c r="F7" s="35" t="str">
        <f>IF(ISNUMBER(E7),IF(ISNUMBER(C7),IF(C7=0,"ND",E7/C7),IF(B7=0,"ND",E7/B7)),"")</f>
      </c>
      <c r="G7" s="25" t="str"/>
    </row>
    <row r="8" ht="44" customHeight="1">
      <c r="A8" s="25" t="str">
        <v>Mașină industrială de decojire și spălare (1 t/h)</v>
      </c>
      <c r="B8" s="26"/>
      <c r="C8" s="26" t="n">
        <f>'82 16.04.2026 - 400'!G8</f>
        <v>29000</v>
      </c>
      <c r="D8" s="26" t="n">
        <f>'179 11.10.2026 - 400'!G8</f>
        <v>34000</v>
      </c>
      <c r="E8" s="26" t="n">
        <f>IF(ISNUMBER(D8),IF(ISNUMBER(C8),D8-C8,IF(ISNUMBER(B8),D8-B8,"")),"")</f>
        <v>5000</v>
      </c>
      <c r="F8" s="35" t="n">
        <f>IF(ISNUMBER(E8),IF(ISNUMBER(C8),IF(C8=0,"ND",E8/C8),IF(B8=0,"ND",E8/B8)),"")</f>
        <v>0.1724137931034483</v>
      </c>
      <c r="G8" s="25" t="str"/>
    </row>
    <row r="9" ht="44" customHeight="1">
      <c r="A9" s="25" t="str">
        <v>Mașină pentru îndepărtarea cojii verzi a alunelor</v>
      </c>
      <c r="B9" s="26" t="n">
        <f>'82 16.04.2026 - 200'!G12</f>
        <v>4300</v>
      </c>
      <c r="C9" s="26" t="n">
        <f>'82 16.04.2026 - 400'!G12</f>
        <v>4300</v>
      </c>
      <c r="D9" s="26" t="n">
        <f>'179 11.10.2026 - 400'!G13</f>
        <v>4800</v>
      </c>
      <c r="E9" s="26" t="n">
        <f>IF(ISNUMBER(D9),IF(ISNUMBER(C9),D9-C9,IF(ISNUMBER(B9),D9-B9,"")),"")</f>
        <v>500</v>
      </c>
      <c r="F9" s="35" t="n">
        <f>IF(ISNUMBER(E9),IF(ISNUMBER(C9),IF(C9=0,"ND",E9/C9),IF(B9=0,"ND",E9/B9)),"")</f>
        <v>0.11627906976744186</v>
      </c>
      <c r="G9" s="25" t="str"/>
    </row>
    <row r="10" ht="44" customHeight="1">
      <c r="A10" s="25" t="str">
        <v>Uscător pentru nuci, alune și migdale în coajă (2 tone/zi)</v>
      </c>
      <c r="B10" s="26" t="n">
        <f>'82 16.04.2026 - 200'!G9</f>
        <v>16000</v>
      </c>
      <c r="C10" s="26"/>
      <c r="D10" s="26"/>
      <c r="E10" s="26" t="str">
        <f>IF(ISNUMBER(D10),IF(ISNUMBER(C10),D10-C10,IF(ISNUMBER(B10),D10-B10,"")),"")</f>
      </c>
      <c r="F10" s="35" t="str">
        <f>IF(ISNUMBER(E10),IF(ISNUMBER(C10),IF(C10=0,"ND",E10/C10),IF(B10=0,"ND",E10/B10)),"")</f>
      </c>
      <c r="G10" s="25" t="str"/>
    </row>
    <row r="11" ht="44" customHeight="1">
      <c r="A11" s="25" t="str">
        <v>Uscător pentru nuci, alune și migdale în coajă (4 tone/zi)</v>
      </c>
      <c r="B11" s="26"/>
      <c r="C11" s="26" t="n">
        <f>'82 16.04.2026 - 400'!G9</f>
        <v>19200</v>
      </c>
      <c r="D11" s="26" t="n">
        <f>'179 11.10.2026 - 400'!G9</f>
        <v>22400</v>
      </c>
      <c r="E11" s="26" t="n">
        <f>IF(ISNUMBER(D11),IF(ISNUMBER(C11),D11-C11,IF(ISNUMBER(B11),D11-B11,"")),"")</f>
        <v>3200</v>
      </c>
      <c r="F11" s="35" t="n">
        <f>IF(ISNUMBER(E11),IF(ISNUMBER(C11),IF(C11=0,"ND",E11/C11),IF(B11=0,"ND",E11/B11)),"")</f>
        <v>0.16666666666666666</v>
      </c>
      <c r="G11" s="25" t="str"/>
    </row>
    <row r="12" ht="44" customHeight="1">
      <c r="A12" s="25" t="str">
        <v>Elevator cu încărcare/descărcare Noria 2 tone pe oră</v>
      </c>
      <c r="B12" s="26" t="n">
        <f>'82 16.04.2026 - 200'!G10</f>
        <v>6700</v>
      </c>
      <c r="C12" s="26"/>
      <c r="D12" s="26"/>
      <c r="E12" s="26" t="str">
        <f>IF(ISNUMBER(D12),IF(ISNUMBER(C12),D12-C12,IF(ISNUMBER(B12),D12-B12,"")),"")</f>
      </c>
      <c r="F12" s="35" t="str">
        <f>IF(ISNUMBER(E12),IF(ISNUMBER(C12),IF(C12=0,"ND",E12/C12),IF(B12=0,"ND",E12/B12)),"")</f>
      </c>
      <c r="G12" s="25" t="str"/>
    </row>
    <row r="13" ht="44" customHeight="1">
      <c r="A13" s="25" t="str">
        <v>Elevator cu încărcare/descărcare Noria 4 tone pe oră</v>
      </c>
      <c r="B13" s="26"/>
      <c r="C13" s="26" t="n">
        <f>'82 16.04.2026 - 400'!G10</f>
        <v>8600</v>
      </c>
      <c r="D13" s="26" t="n">
        <f>'179 11.10.2026 - 400'!G10</f>
        <v>9800</v>
      </c>
      <c r="E13" s="26" t="n">
        <f>IF(ISNUMBER(D13),IF(ISNUMBER(C13),D13-C13,IF(ISNUMBER(B13),D13-B13,"")),"")</f>
        <v>1200</v>
      </c>
      <c r="F13" s="35" t="n">
        <f>IF(ISNUMBER(E13),IF(ISNUMBER(C13),IF(C13=0,"ND",E13/C13),IF(B13=0,"ND",E13/B13)),"")</f>
        <v>0.13953488372093023</v>
      </c>
      <c r="G13" s="25" t="str">
        <v>Capacitate Noria neconcordantă în descriere; de confirmat.</v>
      </c>
    </row>
    <row r="14" ht="44" customHeight="1">
      <c r="A14" s="25" t="str">
        <v>Calibrator 4 fracții / 300 kg/h / ofertă 1,1 kW</v>
      </c>
      <c r="B14" s="26" t="n">
        <f>'82 16.04.2026 - 200'!G11</f>
        <v>8600</v>
      </c>
      <c r="C14" s="26" t="n">
        <f>'82 16.04.2026 - 400'!G11</f>
        <v>8600</v>
      </c>
      <c r="D14" s="26"/>
      <c r="E14" s="26" t="str">
        <f>IF(ISNUMBER(D14),IF(ISNUMBER(C14),D14-C14,IF(ISNUMBER(B14),D14-B14,"")),"")</f>
      </c>
      <c r="F14" s="35" t="str">
        <f>IF(ISNUMBER(E14),IF(ISNUMBER(C14),IF(C14=0,"ND",E14/C14),IF(B14=0,"ND",E14/B14)),"")</f>
      </c>
      <c r="G14" s="25" t="str">
        <v>Preț unitar 8.600 EUR derivat din lot de 2 buc. la 17.200 EUR.</v>
      </c>
    </row>
    <row r="15" ht="44" customHeight="1">
      <c r="A15" s="25" t="str">
        <v>Mașină de calibrare a nucilor în 8 fracții</v>
      </c>
      <c r="B15" s="26"/>
      <c r="C15" s="26"/>
      <c r="D15" s="26" t="n">
        <f>'179 11.10.2026 - 400'!G12</f>
        <v>21200</v>
      </c>
      <c r="E15" s="26" t="str">
        <f>IF(ISNUMBER(D15),IF(ISNUMBER(C15),D15-C15,IF(ISNUMBER(B15),D15-B15,"")),"")</f>
      </c>
      <c r="F15" s="35" t="str">
        <f>IF(ISNUMBER(E15),IF(ISNUMBER(C15),IF(C15=0,"ND",E15/C15),IF(B15=0,"ND",E15/B15)),"")</f>
      </c>
      <c r="G15" s="25" t="str"/>
    </row>
    <row r="16" ht="44" customHeight="1">
      <c r="A16" s="25" t="str">
        <v>Mașină pentru sortarea nucilor goale în coajă</v>
      </c>
      <c r="B16" s="26"/>
      <c r="C16" s="26"/>
      <c r="D16" s="26" t="n">
        <f>'179 11.10.2026 - 400'!G11</f>
        <v>8500</v>
      </c>
      <c r="E16" s="26" t="str">
        <f>IF(ISNUMBER(D16),IF(ISNUMBER(C16),D16-C16,IF(ISNUMBER(B16),D16-B16,"")),"")</f>
      </c>
      <c r="F16" s="35" t="str">
        <f>IF(ISNUMBER(E16),IF(ISNUMBER(C16),IF(C16=0,"ND",E16/C16),IF(B16=0,"ND",E16/B16)),"")</f>
      </c>
      <c r="G16" s="25" t="str"/>
    </row>
    <row r="17" ht="44" customHeight="1">
      <c r="A17" s="25" t="str">
        <v>Masă de inspecție cu bandă</v>
      </c>
      <c r="B17" s="26"/>
      <c r="C17" s="26"/>
      <c r="D17" s="26" t="n">
        <f>'179 11.10.2026 - 400'!G16</f>
        <v>7900</v>
      </c>
      <c r="E17" s="26" t="str">
        <f>IF(ISNUMBER(D17),IF(ISNUMBER(C17),D17-C17,IF(ISNUMBER(B17),D17-B17,"")),"")</f>
      </c>
      <c r="F17" s="35" t="str">
        <f>IF(ISNUMBER(E17),IF(ISNUMBER(C17),IF(C17=0,"ND",E17/C17),IF(B17=0,"ND",E17/B17)),"")</f>
      </c>
      <c r="G17" s="25" t="str"/>
    </row>
    <row r="18" ht="44" customHeight="1">
      <c r="A18" s="25" t="str">
        <v>Separator cromatic 3S / ofertă 4 t/h</v>
      </c>
      <c r="B18" s="26"/>
      <c r="C18" s="26"/>
      <c r="D18" s="26" t="n">
        <f>'179 11.10.2026 - 400'!G15</f>
        <v>56000</v>
      </c>
      <c r="E18" s="26" t="str">
        <f>IF(ISNUMBER(D18),IF(ISNUMBER(C18),D18-C18,IF(ISNUMBER(B18),D18-B18,"")),"")</f>
      </c>
      <c r="F18" s="35" t="str">
        <f>IF(ISNUMBER(E18),IF(ISNUMBER(C18),IF(C18=0,"ND",E18/C18),IF(B18=0,"ND",E18/B18)),"")</f>
      </c>
      <c r="G18" s="25" t="str">
        <v>4 t/h în oferta 179, 400 kg/h în catalog: nu echivalăm automat variantele.</v>
      </c>
    </row>
    <row r="19" ht="44" customHeight="1">
      <c r="A19" s="25" t="str">
        <v>Linie industrială pentru procesarea nucilor (200 kg/h)</v>
      </c>
      <c r="B19" s="26"/>
      <c r="C19" s="26" t="n">
        <f>'82 16.04.2026 - 400'!G13</f>
        <v>28600</v>
      </c>
      <c r="D19" s="26"/>
      <c r="E19" s="26" t="str">
        <f>IF(ISNUMBER(D19),IF(ISNUMBER(C19),D19-C19,IF(ISNUMBER(B19),D19-B19,"")),"")</f>
      </c>
      <c r="F19" s="35" t="str">
        <f>IF(ISNUMBER(E19),IF(ISNUMBER(C19),IF(C19=0,"ND",E19/C19),IF(B19=0,"ND",E19/B19)),"")</f>
      </c>
      <c r="G19" s="25" t="str"/>
    </row>
    <row r="20" ht="44" customHeight="1">
      <c r="A20" s="25" t="str">
        <v>Linie completă combinată / 200 kg/h / nuci, alune, migdale</v>
      </c>
      <c r="B20" s="26" t="n">
        <f>'82 16.04.2026 - 200'!G13</f>
        <v>32900</v>
      </c>
      <c r="C20" s="26" t="n">
        <f>'82 16.04.2026 - 400'!G14</f>
        <v>32900</v>
      </c>
      <c r="D20" s="26" t="n">
        <f>'179 11.10.2026 - 400'!G14</f>
        <v>44900</v>
      </c>
      <c r="E20" s="26" t="n">
        <f>IF(ISNUMBER(D20),IF(ISNUMBER(C20),D20-C20,IF(ISNUMBER(B20),D20-B20,"")),"")</f>
        <v>12000</v>
      </c>
      <c r="F20" s="35" t="n">
        <f>IF(ISNUMBER(E20),IF(ISNUMBER(C20),IF(C20=0,"ND",E20/C20),IF(B20=0,"ND",E20/B20)),"")</f>
        <v>0.364741641337386</v>
      </c>
      <c r="G20" s="25" t="str">
        <v>179: preț unitar 44.900 EUR, total rând neconcordant. Variantele mai vechi nu au aceleași condiții de echipare.</v>
      </c>
    </row>
    <row r="21">
      <c r="A21" s="15"/>
      <c r="B21" s="15"/>
      <c r="C21" s="15"/>
      <c r="D21" s="15"/>
      <c r="E21" s="15"/>
      <c r="F21" s="15"/>
      <c r="G21" s="15"/>
    </row>
    <row r="22">
      <c r="A22" s="15"/>
      <c r="B22" s="15"/>
      <c r="C22" s="15"/>
      <c r="D22" s="15"/>
      <c r="E22" s="15"/>
      <c r="F22" s="15"/>
      <c r="G22" s="15"/>
    </row>
    <row r="23">
      <c r="A23" s="15"/>
      <c r="B23" s="15"/>
      <c r="C23" s="15"/>
      <c r="D23" s="15"/>
      <c r="E23" s="15"/>
      <c r="F23" s="15"/>
      <c r="G23" s="15"/>
    </row>
    <row r="24" ht="44" customHeight="1">
      <c r="A24" s="23" t="str">
        <v>Rezumat configurații</v>
      </c>
      <c r="B24" s="23" t="str">
        <v>82 16.04.2026 - 200</v>
      </c>
      <c r="C24" s="23" t="str">
        <v>82 16.04.2026 - 400</v>
      </c>
      <c r="D24" s="23" t="str">
        <v>179 11.10.2026 - 400</v>
      </c>
      <c r="E24" s="15"/>
      <c r="F24" s="15"/>
      <c r="G24" s="15"/>
    </row>
    <row r="25" ht="26" customHeight="1">
      <c r="A25" s="15" t="str">
        <v>Capacitate spargere propusă (kg/h), teoretică</v>
      </c>
      <c r="B25" s="36" t="n">
        <f>'82 16.04.2026 - 200'!B22</f>
        <v>200</v>
      </c>
      <c r="C25" s="36" t="n">
        <f>'82 16.04.2026 - 400'!B22</f>
        <v>200</v>
      </c>
      <c r="D25" s="36" t="n">
        <f>'179 11.10.2026 - 400'!B22</f>
        <v>400</v>
      </c>
      <c r="E25" s="15"/>
      <c r="F25" s="15"/>
      <c r="G25" s="15"/>
    </row>
    <row r="26" ht="26" customHeight="1">
      <c r="A26" s="15" t="str">
        <v>Capacitate uscare declarată (kg/24 h)</v>
      </c>
      <c r="B26" s="36" t="n">
        <f>'82 16.04.2026 - 200'!B23</f>
        <v>2000</v>
      </c>
      <c r="C26" s="36" t="n">
        <f>'82 16.04.2026 - 400'!B23</f>
        <v>4000</v>
      </c>
      <c r="D26" s="36" t="n">
        <f>'179 11.10.2026 - 400'!B23</f>
        <v>8000</v>
      </c>
      <c r="E26" s="15"/>
      <c r="F26" s="15"/>
      <c r="G26" s="15"/>
    </row>
    <row r="27" ht="26" customHeight="1">
      <c r="A27" s="15" t="str">
        <v>Preț calculat configurație (EUR fără TVA)</v>
      </c>
      <c r="B27" s="36" t="n">
        <f>'82 16.04.2026 - 200'!B24</f>
        <v>85100</v>
      </c>
      <c r="C27" s="36" t="n">
        <f>'82 16.04.2026 - 400'!B24</f>
        <v>111200</v>
      </c>
      <c r="D27" s="36" t="n">
        <f>'179 11.10.2026 - 400'!B24</f>
        <v>314400</v>
      </c>
      <c r="E27" s="15"/>
      <c r="F27" s="15"/>
      <c r="G27" s="15"/>
    </row>
    <row r="28" ht="26" customHeight="1">
      <c r="A28" s="15" t="str">
        <v>Total general declarat (EUR fără TVA)</v>
      </c>
      <c r="B28" s="36" t="n">
        <f>'82 16.04.2026 - 200'!B25</f>
        <v>85100</v>
      </c>
      <c r="C28" s="36" t="str">
        <f>'82 16.04.2026 - 400'!B25</f>
        <v>Nedeclarat</v>
      </c>
      <c r="D28" s="36" t="n">
        <f>'179 11.10.2026 - 400'!B25</f>
        <v>320400</v>
      </c>
      <c r="E28" s="15"/>
      <c r="F28" s="15"/>
      <c r="G28" s="15"/>
    </row>
    <row r="29" ht="26" customHeight="1">
      <c r="A29" s="15" t="str">
        <v>Diferență declarat minus calculat (EUR)</v>
      </c>
      <c r="B29" s="36" t="n">
        <f>'82 16.04.2026 - 200'!B26</f>
        <v>0</v>
      </c>
      <c r="C29" s="36" t="str">
        <f>'82 16.04.2026 - 400'!B26</f>
        <v>ND</v>
      </c>
      <c r="D29" s="36" t="n">
        <f>'179 11.10.2026 - 400'!B26</f>
        <v>6000</v>
      </c>
      <c r="E29" s="15"/>
      <c r="F29" s="15"/>
      <c r="G29" s="15"/>
    </row>
    <row r="30" ht="26" customHeight="1">
      <c r="A30" s="15" t="str">
        <v>Subtotal puteri cunoscute (kW), incomplet</v>
      </c>
      <c r="B30" s="36" t="n">
        <f>'82 16.04.2026 - 200'!B27</f>
        <v>20.599999999999998</v>
      </c>
      <c r="C30" s="36" t="n">
        <f>'82 16.04.2026 - 400'!B27</f>
        <v>22.099999999999998</v>
      </c>
      <c r="D30" s="36" t="n">
        <f>'179 11.10.2026 - 400'!B27</f>
        <v>51.900000000000006</v>
      </c>
      <c r="E30" s="15"/>
      <c r="F30" s="15"/>
      <c r="G30" s="15"/>
    </row>
    <row r="31" ht="26" customHeight="1">
      <c r="A31" s="15" t="str">
        <v>Poziții incluse fără putere declarată</v>
      </c>
      <c r="B31" s="36" t="n">
        <f>'82 16.04.2026 - 200'!B28</f>
        <v>2</v>
      </c>
      <c r="C31" s="36" t="n">
        <f>'82 16.04.2026 - 400'!B28</f>
        <v>2</v>
      </c>
      <c r="D31" s="36" t="n">
        <f>'179 11.10.2026 - 400'!B28</f>
        <v>2</v>
      </c>
      <c r="E31" s="15"/>
      <c r="F31" s="15"/>
      <c r="G31" s="15"/>
    </row>
    <row r="32" ht="26" customHeight="1">
      <c r="A32" s="15" t="str">
        <v>Putere totală completă configurație (kW)</v>
      </c>
      <c r="B32" s="36" t="str">
        <f>'82 16.04.2026 - 200'!B29</f>
        <v>ND</v>
      </c>
      <c r="C32" s="36" t="str">
        <f>'82 16.04.2026 - 400'!B29</f>
        <v>ND</v>
      </c>
      <c r="D32" s="36" t="str">
        <f>'179 11.10.2026 - 400'!B29</f>
        <v>ND</v>
      </c>
      <c r="E32" s="15"/>
      <c r="F32" s="15"/>
      <c r="G32" s="15"/>
    </row>
    <row r="33">
      <c r="A33" s="15"/>
      <c r="B33" s="15"/>
      <c r="C33" s="15"/>
      <c r="D33" s="15"/>
      <c r="E33" s="15"/>
      <c r="F33" s="15"/>
      <c r="G33" s="15"/>
    </row>
    <row r="34" ht="30" customHeight="1">
      <c r="A34" s="18" t="str">
        <v>În oferta 82 / varianta 400: alegerea liniei se face în C5 din tabul ofertei. Totalul nu include ambele alternative.</v>
      </c>
      <c r="B34" s="15"/>
      <c r="C34" s="15"/>
      <c r="D34" s="15"/>
      <c r="E34" s="15"/>
      <c r="F34" s="15"/>
      <c r="G34" s="15"/>
    </row>
    <row r="35">
      <c r="A35" s="15"/>
      <c r="B35" s="15"/>
      <c r="C35" s="15"/>
      <c r="D35" s="15"/>
      <c r="E35" s="15"/>
      <c r="F35" s="15"/>
      <c r="G35" s="15"/>
    </row>
    <row r="36">
      <c r="A36" s="15"/>
      <c r="B36" s="15"/>
      <c r="C36" s="15"/>
      <c r="D36" s="15"/>
      <c r="E36" s="15"/>
      <c r="F36" s="15"/>
      <c r="G36" s="15"/>
    </row>
    <row r="37">
      <c r="A37" s="15"/>
      <c r="B37" s="15"/>
      <c r="C37" s="15"/>
      <c r="D37" s="15"/>
      <c r="E37" s="15"/>
      <c r="F37" s="15"/>
      <c r="G37" s="15"/>
    </row>
    <row r="38">
      <c r="A38" s="15"/>
      <c r="B38" s="15"/>
      <c r="C38" s="15"/>
      <c r="D38" s="15"/>
      <c r="E38" s="15"/>
      <c r="F38" s="15"/>
      <c r="G38" s="15"/>
    </row>
    <row r="39">
      <c r="A39" s="15"/>
      <c r="B39" s="15"/>
      <c r="C39" s="15"/>
      <c r="D39" s="15"/>
      <c r="E39" s="15"/>
      <c r="F39" s="15"/>
      <c r="G39" s="15"/>
    </row>
    <row r="40">
      <c r="A40" s="15"/>
      <c r="B40" s="15"/>
      <c r="C40" s="15"/>
      <c r="D40" s="15"/>
      <c r="E40" s="15"/>
      <c r="F40" s="15"/>
      <c r="G40" s="15"/>
    </row>
    <row r="41">
      <c r="A41" s="15"/>
      <c r="B41" s="15"/>
      <c r="C41" s="15"/>
      <c r="D41" s="15"/>
      <c r="E41" s="15"/>
      <c r="F41" s="15"/>
      <c r="G41" s="15"/>
    </row>
    <row r="42">
      <c r="A42" s="15"/>
      <c r="B42" s="15"/>
      <c r="C42" s="15"/>
      <c r="D42" s="15"/>
      <c r="E42" s="15"/>
      <c r="F42" s="15"/>
      <c r="G42" s="15"/>
    </row>
    <row r="43">
      <c r="A43" s="15"/>
      <c r="B43" s="15"/>
      <c r="C43" s="15"/>
      <c r="D43" s="15"/>
      <c r="E43" s="15"/>
      <c r="F43" s="15"/>
      <c r="G43" s="15"/>
    </row>
    <row r="44">
      <c r="A44" s="15"/>
      <c r="B44" s="15"/>
      <c r="C44" s="15"/>
      <c r="D44" s="15"/>
      <c r="E44" s="15"/>
      <c r="F44" s="15"/>
      <c r="G44" s="15"/>
    </row>
    <row r="45">
      <c r="A45" s="15"/>
      <c r="B45" s="15"/>
      <c r="C45" s="15"/>
      <c r="D45" s="15"/>
      <c r="E45" s="15"/>
      <c r="F45" s="15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5"/>
      <c r="E49" s="15"/>
      <c r="F49" s="15"/>
      <c r="G49" s="15"/>
    </row>
    <row r="50">
      <c r="A50" s="15"/>
      <c r="B50" s="15"/>
      <c r="C50" s="15"/>
      <c r="D50" s="15"/>
      <c r="E50" s="15"/>
      <c r="F50" s="15"/>
      <c r="G50" s="15"/>
    </row>
    <row r="51">
      <c r="A51" s="15"/>
      <c r="B51" s="15"/>
      <c r="C51" s="15"/>
      <c r="D51" s="15"/>
      <c r="E51" s="15"/>
      <c r="F51" s="15"/>
      <c r="G51" s="15"/>
    </row>
    <row r="52">
      <c r="A52" s="15"/>
      <c r="B52" s="15"/>
      <c r="C52" s="15"/>
      <c r="D52" s="15"/>
      <c r="E52" s="15"/>
      <c r="F52" s="15"/>
      <c r="G52" s="15"/>
    </row>
    <row r="53">
      <c r="A53" s="15"/>
      <c r="B53" s="15"/>
      <c r="C53" s="15"/>
      <c r="D53" s="15"/>
      <c r="E53" s="15"/>
      <c r="F53" s="15"/>
      <c r="G53" s="15"/>
    </row>
    <row r="54">
      <c r="A54" s="15"/>
      <c r="B54" s="15"/>
      <c r="C54" s="15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5"/>
      <c r="B65" s="15"/>
      <c r="C65" s="15"/>
      <c r="D65" s="15"/>
      <c r="E65" s="15"/>
      <c r="F65" s="15"/>
      <c r="G65" s="15"/>
    </row>
    <row r="66">
      <c r="A66" s="15"/>
      <c r="B66" s="15"/>
      <c r="C66" s="15"/>
      <c r="D66" s="15"/>
      <c r="E66" s="15"/>
      <c r="F66" s="15"/>
      <c r="G66" s="15"/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5"/>
      <c r="B73" s="15"/>
      <c r="C73" s="15"/>
      <c r="D73" s="15"/>
      <c r="E73" s="15"/>
      <c r="F73" s="15"/>
      <c r="G73" s="15"/>
    </row>
    <row r="74">
      <c r="A74" s="15"/>
      <c r="B74" s="15"/>
      <c r="C74" s="15"/>
      <c r="D74" s="15"/>
      <c r="E74" s="15"/>
      <c r="F74" s="15"/>
      <c r="G74" s="15"/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5"/>
      <c r="B81" s="15"/>
      <c r="C81" s="15"/>
      <c r="D81" s="15"/>
      <c r="E81" s="15"/>
      <c r="F81" s="15"/>
      <c r="G81" s="15"/>
    </row>
    <row r="82">
      <c r="A82" s="15"/>
      <c r="B82" s="15"/>
      <c r="C82" s="15"/>
      <c r="D82" s="15"/>
      <c r="E82" s="15"/>
      <c r="F82" s="15"/>
      <c r="G82" s="15"/>
    </row>
    <row r="83">
      <c r="A83" s="15"/>
      <c r="B83" s="15"/>
      <c r="C83" s="15"/>
      <c r="D83" s="15"/>
      <c r="E83" s="15"/>
      <c r="F83" s="15"/>
      <c r="G83" s="15"/>
    </row>
    <row r="84">
      <c r="A84" s="15"/>
      <c r="B84" s="15"/>
      <c r="C84" s="15"/>
      <c r="D84" s="15"/>
      <c r="E84" s="15"/>
      <c r="F84" s="15"/>
      <c r="G84" s="15"/>
    </row>
    <row r="85">
      <c r="A85" s="15"/>
      <c r="B85" s="15"/>
      <c r="C85" s="15"/>
      <c r="D85" s="15"/>
      <c r="E85" s="15"/>
      <c r="F85" s="15"/>
      <c r="G85" s="15"/>
    </row>
    <row r="86">
      <c r="A86" s="15"/>
      <c r="B86" s="15"/>
      <c r="C86" s="15"/>
      <c r="D86" s="15"/>
      <c r="E86" s="15"/>
      <c r="F86" s="15"/>
      <c r="G86" s="15"/>
    </row>
    <row r="87">
      <c r="A87" s="15"/>
      <c r="B87" s="15"/>
      <c r="C87" s="15"/>
      <c r="D87" s="15"/>
      <c r="E87" s="15"/>
      <c r="F87" s="15"/>
      <c r="G87" s="15"/>
    </row>
    <row r="88">
      <c r="A88" s="15"/>
      <c r="B88" s="15"/>
      <c r="C88" s="15"/>
      <c r="D88" s="15"/>
      <c r="E88" s="15"/>
      <c r="F88" s="15"/>
      <c r="G88" s="15"/>
    </row>
    <row r="89">
      <c r="A89" s="15"/>
      <c r="B89" s="15"/>
      <c r="C89" s="15"/>
      <c r="D89" s="15"/>
      <c r="E89" s="15"/>
      <c r="F89" s="15"/>
      <c r="G89" s="15"/>
    </row>
    <row r="90">
      <c r="A90" s="15"/>
      <c r="B90" s="15"/>
      <c r="C90" s="15"/>
      <c r="D90" s="15"/>
      <c r="E90" s="15"/>
      <c r="F90" s="15"/>
      <c r="G90" s="15"/>
    </row>
  </sheetData>
  <autoFilter ref="A6:G20"/>
  <mergeCells>
    <mergeCell ref="A2:G2"/>
    <mergeCell ref="A3:G3"/>
    <mergeCell ref="A4:G4"/>
    <mergeCell ref="A34:G34"/>
  </mergeCells>
  <pageMargins left="0.7" right="0.7" top="0.75" bottom="0.75" header="0.3" footer="0.3"/>
</worksheet>
</file>