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cb19481dcf64dfd" /></Relationships>
</file>

<file path=xl/workbook.xml><?xml version="1.0" encoding="utf-8"?>
<x:workbook xmlns:x="http://schemas.openxmlformats.org/spreadsheetml/2006/main">
  <x:sheets>
    <x:sheet xmlns:r="http://schemas.openxmlformats.org/officeDocument/2006/relationships" name="Sinteza" sheetId="1" r:id="Re14ff420bac5486a"/>
    <x:sheet xmlns:r="http://schemas.openxmlformats.org/officeDocument/2006/relationships" name="Registru AFIR" sheetId="2" r:id="R0b64f42639e94fd2"/>
    <x:sheet xmlns:r="http://schemas.openxmlformats.org/officeDocument/2006/relationships" name="Documente" sheetId="3" r:id="R7cdb4d7475474056"/>
    <x:sheet xmlns:r="http://schemas.openxmlformats.org/officeDocument/2006/relationships" name="Emailuri" sheetId="4" r:id="Rb53153e4745f4dbd"/>
    <x:sheet xmlns:r="http://schemas.openxmlformats.org/officeDocument/2006/relationships" name="Atasamente email" sheetId="5" r:id="Rb058425a95f04e3c"/>
    <x:sheet xmlns:r="http://schemas.openxmlformats.org/officeDocument/2006/relationships" name="Inventar local" sheetId="6" r:id="Rdfaa57327a3a4a4b"/>
    <x:sheet xmlns:r="http://schemas.openxmlformats.org/officeDocument/2006/relationships" name="Continut arhive" sheetId="7" r:id="R10685c04effe41f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mm.yyyy"/>
    <x:numFmt numFmtId="201" formatCode="@"/>
    <x:numFmt numFmtId="202" formatCode="dd.mm.yyyy hh:mm"/>
  </x:numFmts>
  <x:fonts count="5">
    <x:font>
      <x:sz val="11"/>
      <x:name val="Carlito"/>
    </x:font>
    <x:font>
      <x:b/>
      <x:sz val="15"/>
      <x:color rgb="FF17365D"/>
      <x:name val="Arial"/>
    </x:font>
    <x:font>
      <x:sz val="11"/>
      <x:color rgb="FF8A4B08"/>
      <x:name val="Arial"/>
    </x:font>
    <x:font>
      <x:sz val="11"/>
      <x:color rgb="FF243746"/>
      <x:name val="Arial"/>
    </x:font>
    <x:font>
      <x:b/>
      <x:sz val="11"/>
      <x:color rgb="FFFFFFFF"/>
      <x:name val="Arial"/>
    </x:font>
  </x:fonts>
  <x:fills count="3">
    <x:fill>
      <x:patternFill patternType="none"/>
    </x:fill>
    <x:fill>
      <x:patternFill patternType="gray125"/>
    </x:fill>
    <x:fill>
      <x:patternFill patternType="solid">
        <x:fgColor rgb="FF17365D"/>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2" borderId="0" xfId="0" applyNumberFormat="1" applyFont="1" applyFill="1" applyBorder="1" applyAlignment="1">
      <x:alignment wrapText="1"/>
    </x:xf>
    <x:xf numFmtId="0" fontId="4" fillId="2"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1" fontId="3" fillId="0" borderId="0" xfId="0" applyNumberFormat="1" applyFont="1" applyFill="1" applyBorder="1" applyAlignment="1">
      <x:alignment vertical="top" wrapText="1"/>
    </x:xf>
    <x:xf numFmtId="202"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e85a9fe35e640f0" /><Relationship Type="http://schemas.openxmlformats.org/officeDocument/2006/relationships/theme" Target="/xl/theme/theme1.xml" Id="Re4f2eb5bfe4f4c86" /><Relationship Type="http://schemas.openxmlformats.org/officeDocument/2006/relationships/sharedStrings" Target="/xl/sharedStrings.xml" Id="R979d2757d7274b14" /><Relationship Type="http://schemas.openxmlformats.org/officeDocument/2006/relationships/worksheet" Target="/xl/worksheets/sheet1.xml" Id="Re14ff420bac5486a" /><Relationship Type="http://schemas.openxmlformats.org/officeDocument/2006/relationships/worksheet" Target="/xl/worksheets/sheet2.xml" Id="R0b64f42639e94fd2" /><Relationship Type="http://schemas.openxmlformats.org/officeDocument/2006/relationships/worksheet" Target="/xl/worksheets/sheet3.xml" Id="R7cdb4d7475474056" /><Relationship Type="http://schemas.openxmlformats.org/officeDocument/2006/relationships/worksheet" Target="/xl/worksheets/sheet4.xml" Id="Rb53153e4745f4dbd" /><Relationship Type="http://schemas.openxmlformats.org/officeDocument/2006/relationships/worksheet" Target="/xl/worksheets/sheet5.xml" Id="Rb058425a95f04e3c" /><Relationship Type="http://schemas.openxmlformats.org/officeDocument/2006/relationships/worksheet" Target="/xl/worksheets/sheet6.xml" Id="Rdfaa57327a3a4a4b" /><Relationship Type="http://schemas.openxmlformats.org/officeDocument/2006/relationships/worksheet" Target="/xl/worksheets/sheet7.xml" Id="R10685c04effe41f6" /></Relationships>
</file>

<file path=xl/tables/table1.xml><?xml version="1.0" encoding="utf-8"?>
<x:table xmlns:x="http://schemas.openxmlformats.org/spreadsheetml/2006/main" id="1" name="TRegistruAFIR" displayName="TRegistruAFIR" ref="A4:L47" headerRowCount="1" totalsRowCount="0" totalsRowShown="0">
  <x:tableColumns count="12">
    <x:tableColumn id="1" name="ID"/>
    <x:tableColumn id="2" name="Document / eveniment"/>
    <x:tableColumn id="3" name="Emitent"/>
    <x:tableColumn id="4" name="Nr. Cesiro"/>
    <x:tableColumn id="5" name="Data Cesiro"/>
    <x:tableColumn id="6" name="Nr. AFIR"/>
    <x:tableColumn id="7" name="Data AFIR"/>
    <x:tableColumn id="8" name="Cod contract / alt emitent"/>
    <x:tableColumn id="9" name="Data comunicării / depunerii"/>
    <x:tableColumn id="10" name="Stare / dovadă"/>
    <x:tableColumn id="11" name="Sursă"/>
    <x:tableColumn id="12" name="Observații"/>
  </x:tableColumns>
  <x:tableStyleInfo name="TableStyleMedium2" showFirstColumn="0" showLastColumn="0" showRowStripes="1" showColumnStripes="0"/>
</x:table>
</file>

<file path=xl/tables/table2.xml><?xml version="1.0" encoding="utf-8"?>
<x:table xmlns:x="http://schemas.openxmlformats.org/spreadsheetml/2006/main" id="2" name="TDocumente" displayName="TDocumente" ref="A4:L773" headerRowCount="1" totalsRowCount="0" totalsRowShown="0">
  <x:tableColumns count="12">
    <x:tableColumn id="1" name="ID fișier"/>
    <x:tableColumn id="2" name="Document / versiune"/>
    <x:tableColumn id="3" name="Etapă"/>
    <x:tableColumn id="4" name="Nr. Cesiro"/>
    <x:tableColumn id="5" name="Data Cesiro"/>
    <x:tableColumn id="6" name="Nr. AFIR"/>
    <x:tableColumn id="7" name="Data AFIR"/>
    <x:tableColumn id="8" name="Alt nr. din antet; emitent de verificat"/>
    <x:tableColumn id="9" name="Starea transmiterii"/>
    <x:tableColumn id="10" name="Numere și referințe din text, de verificat în context"/>
    <x:tableColumn id="11" name="Citire / limite"/>
    <x:tableColumn id="12" name="Sursă locală"/>
  </x:tableColumns>
  <x:tableStyleInfo name="TableStyleMedium2" showFirstColumn="0" showLastColumn="0" showRowStripes="1" showColumnStripes="0"/>
</x:table>
</file>

<file path=xl/tables/table3.xml><?xml version="1.0" encoding="utf-8"?>
<x:table xmlns:x="http://schemas.openxmlformats.org/spreadsheetml/2006/main" id="3" name="TEmailuri" displayName="TEmailuri" ref="A4:N78" headerRowCount="1" totalsRowCount="0" totalsRowShown="0">
  <x:tableColumns count="14">
    <x:tableColumn id="1" name="ID"/>
    <x:tableColumn id="2" name="Data email UTC"/>
    <x:tableColumn id="3" name="Sens"/>
    <x:tableColumn id="4" name="Relație"/>
    <x:tableColumn id="5" name="Subiect"/>
    <x:tableColumn id="6" name="Expeditor"/>
    <x:tableColumn id="7" name="Destinatari"/>
    <x:tableColumn id="8" name="CC"/>
    <x:tableColumn id="9" name="Atașamente"/>
    <x:tableColumn id="10" name="Extras corp email"/>
    <x:tableColumn id="11" name="Cont"/>
    <x:tableColumn id="12" name="ID EVA"/>
    <x:tableColumn id="13" name="Sursă text email"/>
    <x:tableColumn id="14" name="Observații"/>
  </x:tableColumns>
  <x:tableStyleInfo name="TableStyleMedium2" showFirstColumn="0" showLastColumn="0" showRowStripes="1" showColumnStripes="0"/>
</x:table>
</file>

<file path=xl/tables/table4.xml><?xml version="1.0" encoding="utf-8"?>
<x:table xmlns:x="http://schemas.openxmlformats.org/spreadsheetml/2006/main" id="4" name="TAtasamenteemail" displayName="TAtasamenteemail" ref="A4:H134" headerRowCount="1" totalsRowCount="0" totalsRowShown="0">
  <x:tableColumns count="8">
    <x:tableColumn id="1" name="ID atașament"/>
    <x:tableColumn id="2" name="ID email"/>
    <x:tableColumn id="3" name="Nume atașament"/>
    <x:tableColumn id="4" name="Dimensiune octeți"/>
    <x:tableColumn id="5" name="ID EVA atașament"/>
    <x:tableColumn id="6" name="Disponibilitate"/>
    <x:tableColumn id="7" name="Sursă text extras"/>
    <x:tableColumn id="8" name="Amprentă text (nu fișier original)"/>
  </x:tableColumns>
  <x:tableStyleInfo name="TableStyleMedium2" showFirstColumn="0" showLastColumn="0" showRowStripes="1" showColumnStripes="0"/>
</x:table>
</file>

<file path=xl/tables/table5.xml><?xml version="1.0" encoding="utf-8"?>
<x:table xmlns:x="http://schemas.openxmlformats.org/spreadsheetml/2006/main" id="5" name="TInventarlocal" displayName="TInventarlocal" ref="A4:J1740" headerRowCount="1" totalsRowCount="0" totalsRowShown="0">
  <x:tableColumns count="10">
    <x:tableColumn id="1" name="ID"/>
    <x:tableColumn id="2" name="Nume fișier"/>
    <x:tableColumn id="3" name="Dosar"/>
    <x:tableColumn id="4" name="Încadrare"/>
    <x:tableColumn id="5" name="Format"/>
    <x:tableColumn id="6" name="Dimensiune octeți"/>
    <x:tableColumn id="7" name="Citire"/>
    <x:tableColumn id="8" name="Stare"/>
    <x:tableColumn id="9" name="Copie identică a ID"/>
    <x:tableColumn id="10" name="Sursă locală"/>
  </x:tableColumns>
  <x:tableStyleInfo name="TableStyleMedium2" showFirstColumn="0" showLastColumn="0" showRowStripes="1" showColumnStripes="0"/>
</x:table>
</file>

<file path=xl/tables/table6.xml><?xml version="1.0" encoding="utf-8"?>
<x:table xmlns:x="http://schemas.openxmlformats.org/spreadsheetml/2006/main" id="6" name="TContinutarhive" displayName="TContinutarhive" ref="A4:C1822" headerRowCount="1" totalsRowCount="0" totalsRowShown="0">
  <x:tableColumns count="3">
    <x:tableColumn id="1" name="Arhiva ZIP"/>
    <x:tableColumn id="2" name="Document în arhivă"/>
    <x:tableColumn id="3" name="Dimensiune octeț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d998f1b8d9d4933" /></Relationships>
</file>

<file path=xl/worksheets/_rels/sheet3.xml.rels>&#65279;<?xml version="1.0" encoding="utf-8"?><Relationships xmlns="http://schemas.openxmlformats.org/package/2006/relationships"><Relationship Type="http://schemas.openxmlformats.org/officeDocument/2006/relationships/table" Target="/xl/tables/table2.xml" Id="Rae96715c0aac4c9e" /></Relationships>
</file>

<file path=xl/worksheets/_rels/sheet4.xml.rels>&#65279;<?xml version="1.0" encoding="utf-8"?><Relationships xmlns="http://schemas.openxmlformats.org/package/2006/relationships"><Relationship Type="http://schemas.openxmlformats.org/officeDocument/2006/relationships/table" Target="/xl/tables/table3.xml" Id="R8b30886c0e2f45e5" /></Relationships>
</file>

<file path=xl/worksheets/_rels/sheet5.xml.rels>&#65279;<?xml version="1.0" encoding="utf-8"?><Relationships xmlns="http://schemas.openxmlformats.org/package/2006/relationships"><Relationship Type="http://schemas.openxmlformats.org/officeDocument/2006/relationships/table" Target="/xl/tables/table4.xml" Id="Rfd6c638f8e184fdc" /></Relationships>
</file>

<file path=xl/worksheets/_rels/sheet6.xml.rels>&#65279;<?xml version="1.0" encoding="utf-8"?><Relationships xmlns="http://schemas.openxmlformats.org/package/2006/relationships"><Relationship Type="http://schemas.openxmlformats.org/officeDocument/2006/relationships/table" Target="/xl/tables/table5.xml" Id="Rf4dc709c8b584449" /></Relationships>
</file>

<file path=xl/worksheets/_rels/sheet7.xml.rels>&#65279;<?xml version="1.0" encoding="utf-8"?><Relationships xmlns="http://schemas.openxmlformats.org/package/2006/relationships"><Relationship Type="http://schemas.openxmlformats.org/officeDocument/2006/relationships/table" Target="/xl/tables/table6.xml" Id="Rabb831b085594fd9" /></Relationships>
</file>

<file path=xl/worksheets/sheet1.xml><?xml version="1.0" encoding="utf-8"?>
<x:worksheet xmlns:x="http://schemas.openxmlformats.org/spreadsheetml/2006/main">
  <x:sheetViews>
    <x:sheetView showGridLines="0" workbookViewId="0"/>
  </x:sheetViews>
  <x:sheetFormatPr defaultRowHeight="15"/>
  <x:cols>
    <x:col min="1" max="1" width="37.5" hidden="0" customWidth="1"/>
    <x:col min="2" max="2" width="108.75" hidden="0" customWidth="1"/>
  </x:cols>
  <x:sheetData>
    <x:row r="2">
      <x:c r="A2" s="1" t="str">
        <x:v>CESIRO PRODUCTION · Registru documente și corespondență AFIR</x:v>
      </x:c>
    </x:row>
    <x:row r="4" ht="38" customHeight="1">
      <x:c r="A4" s="5" t="str">
        <x:v>Actualizat la</x:v>
      </x:c>
      <x:c r="B4" s="5" t="str">
        <x:v>16.10.2026</x:v>
      </x:c>
    </x:row>
    <x:row r="5" ht="38" customHeight="1">
      <x:c r="A5" s="5" t="str">
        <x:v>Proiect</x:v>
      </x:c>
      <x:c r="B5" s="5" t="str">
        <x:v>FMSES011011372801030</x:v>
      </x:c>
    </x:row>
    <x:row r="6" ht="38" customHeight="1">
      <x:c r="A6" s="5" t="str">
        <x:v>Contract</x:v>
      </x:c>
      <x:c r="B6" s="5" t="str">
        <x:v>CFMSES011011372801030 / 30.12.2024</x:v>
      </x:c>
    </x:row>
    <x:row r="7" ht="38" customHeight="1">
      <x:c r="A7" s="5" t="str">
        <x:v>Dosar rambursare</x:v>
      </x:c>
      <x:c r="B7" s="5" t="str">
        <x:v>RFMSES011011372801030.1</x:v>
      </x:c>
    </x:row>
    <x:row r="8" ht="38" customHeight="1">
      <x:c r="A8" s="5" t="str">
        <x:v>Investiție</x:v>
      </x:c>
      <x:c r="B8" s="5" t="str">
        <x:v>Sistem fotovoltaic 1 MW pentru autoconsum – fabrica de prelucrare nuci, alune, pistacio și migdale</x:v>
      </x:c>
    </x:row>
    <x:row r="9" ht="38" customHeight="1">
      <x:c r="A9" s="5"/>
      <x:c r="B9" s="5"/>
    </x:row>
    <x:row r="10" ht="38" customHeight="1">
      <x:c r="A10" s="7" t="str">
        <x:v>Conținut</x:v>
      </x:c>
      <x:c r="B10" s="7" t="str">
        <x:v>Înregistrări</x:v>
      </x:c>
    </x:row>
    <x:row r="11" ht="38" customHeight="1">
      <x:c r="A11" s="5" t="str">
        <x:v>Evenimente / documente AFIR</x:v>
      </x:c>
      <x:c r="B11" s="5" t="n">
        <x:v>43</x:v>
      </x:c>
    </x:row>
    <x:row r="12" ht="38" customHeight="1">
      <x:c r="A12" s="5" t="str">
        <x:v>Documente locale și versiuni fără copii identice</x:v>
      </x:c>
      <x:c r="B12" s="5" t="n">
        <x:v>769</x:v>
      </x:c>
    </x:row>
    <x:row r="13" ht="38" customHeight="1">
      <x:c r="A13" s="5" t="str">
        <x:v>Emailuri păstrate</x:v>
      </x:c>
      <x:c r="B13" s="5" t="n">
        <x:v>74</x:v>
      </x:c>
    </x:row>
    <x:row r="14" ht="38" customHeight="1">
      <x:c r="A14" s="5" t="str">
        <x:v>Atașamente asociate emailurilor</x:v>
      </x:c>
      <x:c r="B14" s="5" t="n">
        <x:v>130</x:v>
      </x:c>
    </x:row>
    <x:row r="15" ht="38" customHeight="1">
      <x:c r="A15" s="5" t="str">
        <x:v>Fișiere inventariate</x:v>
      </x:c>
      <x:c r="B15" s="5" t="n">
        <x:v>1736</x:v>
      </x:c>
    </x:row>
    <x:row r="16" ht="38" customHeight="1">
      <x:c r="A16" s="5" t="str">
        <x:v>Fișiere în arhive ZIP</x:v>
      </x:c>
      <x:c r="B16" s="5" t="n">
        <x:v>1818</x:v>
      </x:c>
    </x:row>
    <x:row r="17" ht="38" customHeight="1">
      <x:c r="A17" s="5"/>
      <x:c r="B17" s="5"/>
    </x:row>
    <x:row r="18" ht="38" customHeight="1">
      <x:c r="A18" s="7" t="str">
        <x:v>Citirea registrului</x:v>
      </x:c>
      <x:c r="B18" s="7" t="str">
        <x:v>Regulă</x:v>
      </x:c>
    </x:row>
    <x:row r="19" ht="38" customHeight="1">
      <x:c r="A19" s="5" t="str">
        <x:v>Numere proprii și AFIR</x:v>
      </x:c>
      <x:c r="B19" s="5" t="str">
        <x:v>Coloane separate. FN = fără număr. Câmp gol = număr/data neidentificate sau neaplicabile; nu înseamnă că nu există.</x:v>
      </x:c>
    </x:row>
    <x:row r="20" ht="38" customHeight="1">
      <x:c r="A20" s="5" t="str">
        <x:v>Data comunicării</x:v>
      </x:c>
      <x:c r="B20" s="5" t="str">
        <x:v>Separată de data documentului și de înregistrare. Emailurile păstrează UTC, exact cum sunt returnate de EVA.</x:v>
      </x:c>
    </x:row>
    <x:row r="21" ht="38" customHeight="1">
      <x:c r="A21" s="5" t="str">
        <x:v>Depunere confirmată</x:v>
      </x:c>
      <x:c r="B21" s="5" t="str">
        <x:v>Numai când există confirmare în email sau document AFIR. Denumirile dosarelor sunt păstrate ca indicii distincte.</x:v>
      </x:c>
    </x:row>
    <x:row r="22" ht="38" customHeight="1">
      <x:c r="A22" s="5" t="str">
        <x:v>Copii și versiuni</x:v>
      </x:c>
      <x:c r="B22" s="5" t="str">
        <x:v>Inventarul păstrează toate fișierele. Copiile PDF/DOCX/TXT identice sunt asociate prin SHA-256; versiunile diferite rămân distincte.</x:v>
      </x:c>
    </x:row>
    <x:row r="23" ht="38" customHeight="1">
      <x:c r="A23" s="5" t="str">
        <x:v>Numere din text</x:v>
      </x:c>
      <x:c r="B23" s="5" t="str">
        <x:v>În Documente, coloana de referințe include și numere citate; nu toate sunt numărul documentului curent. Registru AFIR conține perechile verificate.</x:v>
      </x:c>
    </x:row>
    <x:row r="24" ht="38" customHeight="1">
      <x:c r="A24" s="5" t="str">
        <x:v>Emailuri și atașamente</x:v>
      </x:c>
      <x:c r="B24" s="5" t="str">
        <x:v>Sursele text sunt copii pentru consultare, nu fișiere EML/MIME și nu înlocuiesc originalele semnate. Atașamentele cu text identic pot avea ID-uri distincte.</x:v>
      </x:c>
    </x:row>
    <x:row r="25" ht="38" customHeight="1">
      <x:c r="A25" s="5" t="str">
        <x:v>Acoperire</x:v>
      </x:c>
      <x:c r="B25" s="5" t="str">
        <x:v>Dosarul local și emailurile accesibile prin EVA. Nu a fost consultată direct platforma AFIR. Mesajele nesincronizate și documentele care lipsesc din surse pot lipsi din registru.</x:v>
      </x:c>
    </x:row>
    <x:row r="26" ht="38" customHeight="1">
      <x:c r="A26" s="5"/>
      <x:c r="B26" s="5"/>
    </x:row>
    <x:row r="27" ht="38" customHeight="1">
      <x:c r="A27" s="7" t="str">
        <x:v>De completat / verificat</x:v>
      </x:c>
      <x:c r="B27" s="7" t="str">
        <x:v>Detaliu</x:v>
      </x:c>
    </x:row>
    <x:row r="28" ht="38" customHeight="1">
      <x:c r="A28" s="5" t="str">
        <x:v>Răspuns la 961/15.10.2026</x:v>
      </x:c>
      <x:c r="B28" s="5" t="str">
        <x:v>Documentele locale indică proiect netransmis; număr intern de completat.</x:v>
      </x:c>
    </x:row>
    <x:row r="29" ht="38" customHeight="1">
      <x:c r="A29" s="5" t="str">
        <x:v>AA2 primit 09.10.2026</x:v>
      </x:c>
      <x:c r="B29" s="5" t="str">
        <x:v>Nr. AFIR 1379871; data din antet este necompletată. Dovada semnării bilaterale și retransmiterii rămâne de verificat.</x:v>
      </x:c>
    </x:row>
    <x:row r="30" ht="38" customHeight="1">
      <x:c r="A30" s="5" t="str">
        <x:v>Dovezi platformă</x:v>
      </x:c>
      <x:c r="B30" s="5" t="str">
        <x:v>Recipise, numere de încărcare și date pentru depunerile care sunt documentate doar prin numele dosarului.</x:v>
      </x:c>
    </x:row>
    <x:row r="31" ht="38" customHeight="1">
      <x:c r="A31" s="5" t="str">
        <x:v>Scanuri / formulare XFA</x:v>
      </x:c>
      <x:c r="B31" s="5" t="str">
        <x:v>Documentele cu text insuficient sunt marcate. Numerele nu au fost inventate din numele fișierelor.</x:v>
      </x:c>
    </x:row>
    <x:row r="32" ht="38" customHeight="1">
      <x:c r="A32" s="5" t="str">
        <x:v>Alte proiecte</x:v>
      </x:c>
      <x:c r="B32" s="5" t="str">
        <x:v>Mesajele AFIR despre Marius Code WNK și proiectul Parchetului Alba au fost excluse. Inventarul local marchează separat dosarele conexe.</x:v>
      </x:c>
    </x:row>
    <x:row r="34" ht="44" customHeight="1">
      <x:c r="A34" s="3" t="str">
        <x:v>Sincronizare email</x:v>
      </x:c>
      <x:c r="B34" s="3" t="str">
        <x:v>production@cesiro.ro: ultima sincronizare raportată 16.09.2026. Conturile cosmin.covaciu@cesiro.com / .ro: 16.10.2026. Corespondența recentă din contul production poate lipsi.</x:v>
      </x:c>
    </x:row>
  </x:sheetData>
  <x:pageMargins left="0.7" right="0.7" top="0.75" bottom="0.75" header="0.3" footer="0.3"/>
</x:worksheet>
</file>

<file path=xl/worksheets/sheet2.xml><?xml version="1.0" encoding="utf-8"?>
<x:worksheet xmlns:x="http://schemas.openxmlformats.org/spreadsheetml/2006/main">
  <x:sheetPr>
    <x:tabColor rgb="FF426A8D"/>
  </x:sheetPr>
  <x:sheetViews>
    <x:sheetView showGridLines="0" workbookViewId="0">
      <x:pane xSplit="2" ySplit="4" topLeftCell="C5" activePane="bottomRight" state="frozen"/>
    </x:sheetView>
  </x:sheetViews>
  <x:sheetFormatPr defaultRowHeight="15"/>
  <x:cols>
    <x:col min="1" max="1" width="9.380000114440918" hidden="0" customWidth="1"/>
    <x:col min="2" max="2" width="45" hidden="0" customWidth="1"/>
    <x:col min="3" max="3" width="17.5" hidden="0" customWidth="1"/>
    <x:col min="4" max="4" width="16.25" hidden="0" customWidth="1"/>
    <x:col min="5" max="5" width="13.75" hidden="0" customWidth="1"/>
    <x:col min="6" max="6" width="22.5" hidden="0" customWidth="1"/>
    <x:col min="7" max="7" width="13.75" hidden="0" customWidth="1"/>
    <x:col min="8" max="8" width="28.75" hidden="0" customWidth="1"/>
    <x:col min="9" max="9" width="15" hidden="0" customWidth="1"/>
    <x:col min="10" max="10" width="43.75" hidden="0" customWidth="1"/>
    <x:col min="11" max="11" width="53.75" hidden="0" customWidth="1"/>
    <x:col min="12" max="12" width="58.75" hidden="0" customWidth="1"/>
  </x:cols>
  <x:sheetData>
    <x:row r="2">
      <x:c r="A2" s="1" t="str">
        <x:v>Registru AFIR · Cesiro Production</x:v>
      </x:c>
    </x:row>
    <x:row r="4" ht="45" customHeight="1">
      <x:c r="A4" s="10" t="str">
        <x:v>ID</x:v>
      </x:c>
      <x:c r="B4" s="10" t="str">
        <x:v>Document / eveniment</x:v>
      </x:c>
      <x:c r="C4" s="10" t="str">
        <x:v>Emitent</x:v>
      </x:c>
      <x:c r="D4" s="10" t="str">
        <x:v>Nr. Cesiro</x:v>
      </x:c>
      <x:c r="E4" s="10" t="str">
        <x:v>Data Cesiro</x:v>
      </x:c>
      <x:c r="F4" s="10" t="str">
        <x:v>Nr. AFIR</x:v>
      </x:c>
      <x:c r="G4" s="10" t="str">
        <x:v>Data AFIR</x:v>
      </x:c>
      <x:c r="H4" s="10" t="str">
        <x:v>Cod contract / alt emitent</x:v>
      </x:c>
      <x:c r="I4" s="10" t="str">
        <x:v>Data comunicării / depunerii</x:v>
      </x:c>
      <x:c r="J4" s="10" t="str">
        <x:v>Stare / dovadă</x:v>
      </x:c>
      <x:c r="K4" s="10" t="str">
        <x:v>Sursă</x:v>
      </x:c>
      <x:c r="L4" s="10" t="str">
        <x:v>Observații</x:v>
      </x:c>
    </x:row>
    <x:row r="5" ht="36" customHeight="1">
      <x:c r="A5" s="8" t="str">
        <x:v>R001</x:v>
      </x:c>
      <x:c r="B5" s="8" t="str">
        <x:v>Contract achiziție / furnizare Cesiro – Suntree</x:v>
      </x:c>
      <x:c r="C5" s="8" t="str">
        <x:v>Cesiro / Suntree</x:v>
      </x:c>
      <x:c r="D5" s="12" t="str">
        <x:v>05</x:v>
      </x:c>
      <x:c r="E5" s="11" t="n">
        <x:v>45323</x:v>
      </x:c>
      <x:c r="F5" s="12" t="str"/>
      <x:c r="G5" s="11" t="str"/>
      <x:c r="H5" s="8" t="str">
        <x:v>275/01.02.2024</x:v>
      </x:c>
      <x:c r="I5" s="11" t="str"/>
      <x:c r="J5" s="8" t="str">
        <x:v>Contract citat în notificarea semnată a beneficiarului</x:v>
      </x:c>
      <x:c r="K5" s="8" t="e">
        <x:f>HYPERLINK("file:///Z:/00. Proiecte 2025/AFIR FotoVoltaic 1/outputs/registru-cesiro-2026-10-16/Surse email/E057-A01.txt","Deschide sursa")</x:f>
        <x:v>HYPERLINK is not implemented. linkLocation=file:///Z:/00. Proiecte 2025/AFIR FotoVoltaic 1/outputs/registru-cesiro-2026-10-16/Surse email/E057-A01.txt, friendlyName=Deschide sursa</x:v>
      </x:c>
      <x:c r="L5" s="8" t="str">
        <x:v>05 este numărul de înregistrare Cesiro; 275 este numărul contractului, nu număr AFIR.</x:v>
      </x:c>
    </x:row>
    <x:row r="6" ht="36" customHeight="1">
      <x:c r="A6" s="8" t="str">
        <x:v>R002</x:v>
      </x:c>
      <x:c r="B6" s="8" t="str">
        <x:v>Răspuns Partea II la clarificări evaluare inițială</x:v>
      </x:c>
      <x:c r="C6" s="8" t="str">
        <x:v>Cesiro</x:v>
      </x:c>
      <x:c r="D6" s="12" t="str"/>
      <x:c r="E6" s="11" t="n">
        <x:v>45407</x:v>
      </x:c>
      <x:c r="F6" s="12" t="str"/>
      <x:c r="G6" s="11" t="str"/>
      <x:c r="H6" s="8" t="str"/>
      <x:c r="I6" s="11" t="str"/>
      <x:c r="J6" s="8" t="str">
        <x:v>Document semnat local; data depunerii de verificat</x:v>
      </x:c>
      <x:c r="K6" s="8" t="e">
        <x:f>HYPERLINK("file:///Z:/00. Proiecte 2025/AFIR FotoVoltaic 1/4. Cerere de finantare/0. Raspuns Partea a 2-a Cesiro Production SRL 25.04.2024 semnat.pdf","Deschide sursa")</x:f>
        <x:v>HYPERLINK is not implemented. linkLocation=file:///Z:/00. Proiecte 2025/AFIR FotoVoltaic 1/4. Cerere de finantare/0. Raspuns Partea a 2-a Cesiro Production SRL 25.04.2024 semnat.pdf, friendlyName=Deschide sursa</x:v>
      </x:c>
      <x:c r="L6" s="8" t="str">
        <x:v>Include cererea revizuită, planul de afaceri, documentele de eligibilitate și dosarul achiziției. Fără număr propriu vizibil.</x:v>
      </x:c>
    </x:row>
    <x:row r="7" ht="36" customHeight="1">
      <x:c r="A7" s="8" t="str">
        <x:v>R003</x:v>
      </x:c>
      <x:c r="B7" s="8" t="str">
        <x:v>Notificare selectare cerere de finanțare E6.8.3</x:v>
      </x:c>
      <x:c r="C7" s="8" t="str">
        <x:v>AFIR</x:v>
      </x:c>
      <x:c r="D7" s="12" t="str"/>
      <x:c r="E7" s="11" t="str"/>
      <x:c r="F7" s="12" t="str">
        <x:v>1263007</x:v>
      </x:c>
      <x:c r="G7" s="11" t="n">
        <x:v>45635</x:v>
      </x:c>
      <x:c r="H7" s="8" t="str">
        <x:v>FMSES011011372801030</x:v>
      </x:c>
      <x:c r="I7" s="11" t="n">
        <x:v>45636</x:v>
      </x:c>
      <x:c r="J7" s="8" t="str">
        <x:v>Primit de la AFIR</x:v>
      </x:c>
      <x:c r="K7" s="8" t="e">
        <x:f>HYPERLINK("file:///Z:/00. Proiecte 2025/AFIR FotoVoltaic 1/outputs/registru-cesiro-2026-10-16/Surse email/E004-A01.txt","Deschide sursa")</x:f>
        <x:v>HYPERLINK is not implemented. linkLocation=file:///Z:/00. Proiecte 2025/AFIR FotoVoltaic 1/outputs/registru-cesiro-2026-10-16/Surse email/E004-A01.txt, friendlyName=Deschide sursa</x:v>
      </x:c>
      <x:c r="L7" s="8" t="str"/>
    </x:row>
    <x:row r="8" ht="36" customHeight="1">
      <x:c r="A8" s="8" t="str">
        <x:v>R004</x:v>
      </x:c>
      <x:c r="B8" s="8" t="str">
        <x:v>Contract de finanțare și anexele I–IV</x:v>
      </x:c>
      <x:c r="C8" s="8" t="str">
        <x:v>AFIR / Cesiro</x:v>
      </x:c>
      <x:c r="D8" s="12" t="str"/>
      <x:c r="E8" s="11" t="str"/>
      <x:c r="F8" s="12" t="str"/>
      <x:c r="G8" s="11" t="str"/>
      <x:c r="H8" s="8" t="str">
        <x:v>CFMSES011011372801030</x:v>
      </x:c>
      <x:c r="I8" s="11" t="n">
        <x:v>45656</x:v>
      </x:c>
      <x:c r="J8" s="8" t="str">
        <x:v>Contract transmis de AFIR; copie semnată în proiect</x:v>
      </x:c>
      <x:c r="K8" s="8" t="e">
        <x:f>HYPERLINK("file:///Z:/00. Proiecte 2025/AFIR FotoVoltaic 1/outputs/registru-cesiro-2026-10-16/Surse email/E012-A04.txt","Deschide sursa")</x:f>
        <x:v>HYPERLINK is not implemented. linkLocation=file:///Z:/00. Proiecte 2025/AFIR FotoVoltaic 1/outputs/registru-cesiro-2026-10-16/Surse email/E012-A04.txt, friendlyName=Deschide sursa</x:v>
      </x:c>
      <x:c r="L8" s="8" t="str">
        <x:v>Data contractului 30.12.2024 este confirmată în actele adiționale. Codul nu este număr intern Cesiro.</x:v>
      </x:c>
    </x:row>
    <x:row r="9" ht="36" customHeight="1">
      <x:c r="A9" s="8" t="str">
        <x:v>R005</x:v>
      </x:c>
      <x:c r="B9" s="8" t="str">
        <x:v>Transmitere / clarificări studiu de fezabilitate</x:v>
      </x:c>
      <x:c r="C9" s="8" t="str">
        <x:v>Cesiro</x:v>
      </x:c>
      <x:c r="D9" s="12" t="str"/>
      <x:c r="E9" s="11" t="str"/>
      <x:c r="F9" s="12" t="str"/>
      <x:c r="G9" s="11" t="str"/>
      <x:c r="H9" s="8" t="str"/>
      <x:c r="I9" s="11" t="n">
        <x:v>45716</x:v>
      </x:c>
      <x:c r="J9" s="8" t="str">
        <x:v>Email trimis; încărcarea SF în platformă neconfirmată</x:v>
      </x:c>
      <x:c r="K9" s="8" t="e">
        <x:f>HYPERLINK("file:///Z:/00. Proiecte 2025/AFIR FotoVoltaic 1/outputs/registru-cesiro-2026-10-16/Surse email/E017.txt","Deschide sursa")</x:f>
        <x:v>HYPERLINK is not implemented. linkLocation=file:///Z:/00. Proiecte 2025/AFIR FotoVoltaic 1/outputs/registru-cesiro-2026-10-16/Surse email/E017.txt, friendlyName=Deschide sursa</x:v>
      </x:c>
      <x:c r="L9" s="8" t="str"/>
    </x:row>
    <x:row r="10" ht="36" customHeight="1">
      <x:c r="A10" s="8" t="str">
        <x:v>R006</x:v>
      </x:c>
      <x:c r="B10" s="8" t="str">
        <x:v>Transmitere ATR Prosumator și confirmare primire</x:v>
      </x:c>
      <x:c r="C10" s="8" t="str">
        <x:v>Cesiro / AFIR</x:v>
      </x:c>
      <x:c r="D10" s="12" t="str"/>
      <x:c r="E10" s="11" t="str"/>
      <x:c r="F10" s="12" t="str"/>
      <x:c r="G10" s="11" t="str"/>
      <x:c r="H10" s="8" t="str"/>
      <x:c r="I10" s="11" t="n">
        <x:v>45800</x:v>
      </x:c>
      <x:c r="J10" s="8" t="str">
        <x:v>Primire confirmată în firul email</x:v>
      </x:c>
      <x:c r="K10" s="8" t="e">
        <x:f>HYPERLINK("file:///Z:/00. Proiecte 2025/AFIR FotoVoltaic 1/outputs/registru-cesiro-2026-10-16/Surse email/E021.txt","Deschide sursa")</x:f>
        <x:v>HYPERLINK is not implemented. linkLocation=file:///Z:/00. Proiecte 2025/AFIR FotoVoltaic 1/outputs/registru-cesiro-2026-10-16/Surse email/E021.txt, friendlyName=Deschide sursa</x:v>
      </x:c>
      <x:c r="L10" s="8" t="str"/>
    </x:row>
    <x:row r="11" ht="36" customHeight="1">
      <x:c r="A11" s="8" t="str">
        <x:v>R007</x:v>
      </x:c>
      <x:c r="B11" s="8" t="str">
        <x:v>Act adițional nr. 1 la contractul Cesiro – Suntree</x:v>
      </x:c>
      <x:c r="C11" s="8" t="str">
        <x:v>Cesiro / Suntree</x:v>
      </x:c>
      <x:c r="D11" s="12" t="str"/>
      <x:c r="E11" s="11" t="str"/>
      <x:c r="F11" s="12" t="str"/>
      <x:c r="G11" s="11" t="str"/>
      <x:c r="H11" s="8" t="str">
        <x:v>AA1 / 275</x:v>
      </x:c>
      <x:c r="I11" s="11" t="n">
        <x:v>46021</x:v>
      </x:c>
      <x:c r="J11" s="8" t="str">
        <x:v>Copie semnată transmisă AFIR 24.07.2026</x:v>
      </x:c>
      <x:c r="K11" s="8" t="e">
        <x:f>HYPERLINK("file:///Z:/00. Proiecte 2025/AFIR FotoVoltaic 1/outputs/registru-cesiro-2026-10-16/Surse email/E059-A02.txt","Deschide sursa")</x:f>
        <x:v>HYPERLINK is not implemented. linkLocation=file:///Z:/00. Proiecte 2025/AFIR FotoVoltaic 1/outputs/registru-cesiro-2026-10-16/Surse email/E059-A02.txt, friendlyName=Deschide sursa</x:v>
      </x:c>
      <x:c r="L11" s="8" t="str">
        <x:v>Data încheierii actului: 30.12.2025. Nu se confundă cu AA1 la finanțare.</x:v>
      </x:c>
    </x:row>
    <x:row r="12" ht="36" customHeight="1">
      <x:c r="A12" s="8" t="str">
        <x:v>R008</x:v>
      </x:c>
      <x:c r="B12" s="8" t="str">
        <x:v>Notificare schimbare acționariat și act de identitate</x:v>
      </x:c>
      <x:c r="C12" s="8" t="str">
        <x:v>Cesiro</x:v>
      </x:c>
      <x:c r="D12" s="12" t="str"/>
      <x:c r="E12" s="11" t="n">
        <x:v>46037</x:v>
      </x:c>
      <x:c r="F12" s="12" t="str"/>
      <x:c r="G12" s="11" t="str"/>
      <x:c r="H12" s="8" t="str"/>
      <x:c r="I12" s="11" t="n">
        <x:v>46037</x:v>
      </x:c>
      <x:c r="J12" s="8" t="str">
        <x:v>Trimis prin email; retransmis 19.01.2026</x:v>
      </x:c>
      <x:c r="K12" s="8" t="e">
        <x:f>HYPERLINK("file:///Z:/00. Proiecte 2025/AFIR FotoVoltaic 1/outputs/registru-cesiro-2026-10-16/Surse email/E026-A01.txt","Deschide sursa")</x:f>
        <x:v>HYPERLINK is not implemented. linkLocation=file:///Z:/00. Proiecte 2025/AFIR FotoVoltaic 1/outputs/registru-cesiro-2026-10-16/Surse email/E026-A01.txt, friendlyName=Deschide sursa</x:v>
      </x:c>
      <x:c r="L12" s="8" t="str">
        <x:v>Număr propriu neidentificat în notificare.</x:v>
      </x:c>
    </x:row>
    <x:row r="13" ht="36" customHeight="1">
      <x:c r="A13" s="8" t="str">
        <x:v>R009</x:v>
      </x:c>
      <x:c r="B13" s="8" t="str">
        <x:v>Solicitare avizare actualizare tehnică</x:v>
      </x:c>
      <x:c r="C13" s="8" t="str">
        <x:v>Cesiro</x:v>
      </x:c>
      <x:c r="D13" s="12" t="str"/>
      <x:c r="E13" s="11" t="str"/>
      <x:c r="F13" s="12" t="str"/>
      <x:c r="G13" s="11" t="str"/>
      <x:c r="H13" s="8" t="str">
        <x:v>CFMSES011011372801030</x:v>
      </x:c>
      <x:c r="I13" s="11" t="n">
        <x:v>46072</x:v>
      </x:c>
      <x:c r="J13" s="8" t="str">
        <x:v>Documentație transmisă prin email</x:v>
      </x:c>
      <x:c r="K13" s="8" t="e">
        <x:f>HYPERLINK("file:///Z:/00. Proiecte 2025/AFIR FotoVoltaic 1/outputs/registru-cesiro-2026-10-16/Surse email/E029.txt","Deschide sursa")</x:f>
        <x:v>HYPERLINK is not implemented. linkLocation=file:///Z:/00. Proiecte 2025/AFIR FotoVoltaic 1/outputs/registru-cesiro-2026-10-16/Surse email/E029.txt, friendlyName=Deschide sursa</x:v>
      </x:c>
      <x:c r="L13" s="8" t="str"/>
    </x:row>
    <x:row r="14" ht="36" customHeight="1">
      <x:c r="A14" s="8" t="str">
        <x:v>R010</x:v>
      </x:c>
      <x:c r="B14" s="8" t="str">
        <x:v>Notificare privind diminuarea valorii contractului</x:v>
      </x:c>
      <x:c r="C14" s="8" t="str">
        <x:v>AFIR</x:v>
      </x:c>
      <x:c r="D14" s="12" t="str"/>
      <x:c r="E14" s="11" t="str"/>
      <x:c r="F14" s="12" t="str">
        <x:v>R1 SIBA SE 242</x:v>
      </x:c>
      <x:c r="G14" s="11" t="n">
        <x:v>46105</x:v>
      </x:c>
      <x:c r="H14" s="8" t="str"/>
      <x:c r="I14" s="11" t="n">
        <x:v>46105</x:v>
      </x:c>
      <x:c r="J14" s="8" t="str">
        <x:v>Primit de la AFIR</x:v>
      </x:c>
      <x:c r="K14" s="8" t="e">
        <x:f>HYPERLINK("file:///Z:/00. Proiecte 2025/AFIR FotoVoltaic 1/outputs/registru-cesiro-2026-10-16/Surse email/E032-A02.txt","Deschide sursa")</x:f>
        <x:v>HYPERLINK is not implemented. linkLocation=file:///Z:/00. Proiecte 2025/AFIR FotoVoltaic 1/outputs/registru-cesiro-2026-10-16/Surse email/E032-A02.txt, friendlyName=Deschide sursa</x:v>
      </x:c>
      <x:c r="L14" s="8" t="str"/>
    </x:row>
    <x:row r="15" ht="36" customHeight="1">
      <x:c r="A15" s="8" t="str">
        <x:v>R011</x:v>
      </x:c>
      <x:c r="B15" s="8" t="str">
        <x:v>Notă explicativă – schimbarea structurii acționariatului</x:v>
      </x:c>
      <x:c r="C15" s="8" t="str">
        <x:v>Cesiro</x:v>
      </x:c>
      <x:c r="D15" s="12" t="str">
        <x:v>FN</x:v>
      </x:c>
      <x:c r="E15" s="11" t="n">
        <x:v>46133</x:v>
      </x:c>
      <x:c r="F15" s="12" t="str">
        <x:v>R1-SIBA-SE-450</x:v>
      </x:c>
      <x:c r="G15" s="11" t="n">
        <x:v>46139</x:v>
      </x:c>
      <x:c r="H15" s="8" t="str"/>
      <x:c r="I15" s="11" t="str"/>
      <x:c r="J15" s="8" t="str">
        <x:v>Depunere confirmată prin nota AFIR C3.2.2</x:v>
      </x:c>
      <x:c r="K15" s="8" t="e">
        <x:f>HYPERLINK("file:///Z:/00. Proiecte 2025/AFIR FotoVoltaic 1/outputs/registru-cesiro-2026-10-16/Surse email/E047-A01.txt","Deschide sursa")</x:f>
        <x:v>HYPERLINK is not implemented. linkLocation=file:///Z:/00. Proiecte 2025/AFIR FotoVoltaic 1/outputs/registru-cesiro-2026-10-16/Surse email/E047-A01.txt, friendlyName=Deschide sursa</x:v>
      </x:c>
      <x:c r="L15" s="8" t="str">
        <x:v>FN = fără număr; identificator citat de AFIR.</x:v>
      </x:c>
    </x:row>
    <x:row r="16" ht="36" customHeight="1">
      <x:c r="A16" s="8" t="str">
        <x:v>R012</x:v>
      </x:c>
      <x:c r="B16" s="8" t="str">
        <x:v>Solicitare informații suplimentare – acționariat</x:v>
      </x:c>
      <x:c r="C16" s="8" t="str">
        <x:v>AFIR</x:v>
      </x:c>
      <x:c r="D16" s="12" t="str"/>
      <x:c r="E16" s="11" t="str"/>
      <x:c r="F16" s="12" t="str">
        <x:v>1353061</x:v>
      </x:c>
      <x:c r="G16" s="11" t="str"/>
      <x:c r="H16" s="8" t="str"/>
      <x:c r="I16" s="11" t="n">
        <x:v>46140</x:v>
      </x:c>
      <x:c r="J16" s="8" t="str">
        <x:v>Primit de la AFIR</x:v>
      </x:c>
      <x:c r="K16" s="8" t="e">
        <x:f>HYPERLINK("file:///Z:/00. Proiecte 2025/AFIR FotoVoltaic 1/outputs/registru-cesiro-2026-10-16/Surse email/E037-A01.txt","Deschide sursa")</x:f>
        <x:v>HYPERLINK is not implemented. linkLocation=file:///Z:/00. Proiecte 2025/AFIR FotoVoltaic 1/outputs/registru-cesiro-2026-10-16/Surse email/E037-A01.txt, friendlyName=Deschide sursa</x:v>
      </x:c>
      <x:c r="L16" s="8" t="str">
        <x:v>Data numărului de înregistrare nu apare în text; data emailului este separată.</x:v>
      </x:c>
    </x:row>
    <x:row r="17" ht="36" customHeight="1">
      <x:c r="A17" s="8" t="str">
        <x:v>R013</x:v>
      </x:c>
      <x:c r="B17" s="8" t="str">
        <x:v>Răspuns Partea II – completări ONRC</x:v>
      </x:c>
      <x:c r="C17" s="8" t="str">
        <x:v>Cesiro</x:v>
      </x:c>
      <x:c r="D17" s="12" t="str">
        <x:v>17</x:v>
      </x:c>
      <x:c r="E17" s="11" t="n">
        <x:v>46150</x:v>
      </x:c>
      <x:c r="F17" s="12" t="str"/>
      <x:c r="G17" s="11" t="str"/>
      <x:c r="H17" s="8" t="str"/>
      <x:c r="I17" s="11" t="n">
        <x:v>46150</x:v>
      </x:c>
      <x:c r="J17" s="8" t="str">
        <x:v>Atașament transmis către AFIR</x:v>
      </x:c>
      <x:c r="K17" s="8" t="e">
        <x:f>HYPERLINK("file:///Z:/00. Proiecte 2025/AFIR FotoVoltaic 1/outputs/registru-cesiro-2026-10-16/Surse email/E051-A01.txt","Deschide sursa")</x:f>
        <x:v>HYPERLINK is not implemented. linkLocation=file:///Z:/00. Proiecte 2025/AFIR FotoVoltaic 1/outputs/registru-cesiro-2026-10-16/Surse email/E051-A01.txt, friendlyName=Deschide sursa</x:v>
      </x:c>
      <x:c r="L17" s="8" t="str">
        <x:v>Există retransmiteri / duplicate în mai 2026. Nu reprezintă depuneri distincte demonstrate.</x:v>
      </x:c>
    </x:row>
    <x:row r="18" ht="36" customHeight="1">
      <x:c r="A18" s="8" t="str">
        <x:v>R014</x:v>
      </x:c>
      <x:c r="B18" s="8" t="str">
        <x:v>Notă aprobare schimbare acționariat C3.2.2</x:v>
      </x:c>
      <x:c r="C18" s="8" t="str">
        <x:v>AFIR</x:v>
      </x:c>
      <x:c r="D18" s="12" t="str"/>
      <x:c r="E18" s="11" t="str"/>
      <x:c r="F18" s="12" t="str">
        <x:v>1353060</x:v>
      </x:c>
      <x:c r="G18" s="11" t="str"/>
      <x:c r="H18" s="8" t="str"/>
      <x:c r="I18" s="11" t="n">
        <x:v>46150</x:v>
      </x:c>
      <x:c r="J18" s="8" t="str">
        <x:v>Aprobare primită</x:v>
      </x:c>
      <x:c r="K18" s="8" t="e">
        <x:f>HYPERLINK("file:///Z:/00. Proiecte 2025/AFIR FotoVoltaic 1/outputs/registru-cesiro-2026-10-16/Surse email/E047-A01.txt","Deschide sursa")</x:f>
        <x:v>HYPERLINK is not implemented. linkLocation=file:///Z:/00. Proiecte 2025/AFIR FotoVoltaic 1/outputs/registru-cesiro-2026-10-16/Surse email/E047-A01.txt, friendlyName=Deschide sursa</x:v>
      </x:c>
      <x:c r="L18" s="8" t="str">
        <x:v>Data înregistrării nu este explicită în antet.</x:v>
      </x:c>
    </x:row>
    <x:row r="19" ht="36" customHeight="1">
      <x:c r="A19" s="8" t="str">
        <x:v>R015</x:v>
      </x:c>
      <x:c r="B19" s="8" t="str">
        <x:v>Notă explicativă și memoriu – actualizare tehnică</x:v>
      </x:c>
      <x:c r="C19" s="8" t="str">
        <x:v>Cesiro</x:v>
      </x:c>
      <x:c r="D19" s="12" t="str">
        <x:v>FN</x:v>
      </x:c>
      <x:c r="E19" s="11" t="n">
        <x:v>46184</x:v>
      </x:c>
      <x:c r="F19" s="12" t="str">
        <x:v>R1 SE-SIBA 575</x:v>
      </x:c>
      <x:c r="G19" s="11" t="n">
        <x:v>46184</x:v>
      </x:c>
      <x:c r="H19" s="8" t="str"/>
      <x:c r="I19" s="11" t="str"/>
      <x:c r="J19" s="8" t="str">
        <x:v>Depunere citată în notificarea de rectificare</x:v>
      </x:c>
      <x:c r="K19" s="8" t="e">
        <x:f>HYPERLINK("file:///Z:/00. Proiecte 2025/AFIR FotoVoltaic 1/outputs/registru-cesiro-2026-10-16/Surse email/E057-A01.txt","Deschide sursa")</x:f>
        <x:v>HYPERLINK is not implemented. linkLocation=file:///Z:/00. Proiecte 2025/AFIR FotoVoltaic 1/outputs/registru-cesiro-2026-10-16/Surse email/E057-A01.txt, friendlyName=Deschide sursa</x:v>
      </x:c>
      <x:c r="L19" s="8" t="str"/>
    </x:row>
    <x:row r="20" ht="36" customHeight="1">
      <x:c r="A20" s="8" t="str">
        <x:v>R016</x:v>
      </x:c>
      <x:c r="B20" s="8" t="str">
        <x:v>Raport de analiză – modificări tehnice AA1</x:v>
      </x:c>
      <x:c r="C20" s="8" t="str">
        <x:v>AFIR</x:v>
      </x:c>
      <x:c r="D20" s="12" t="str"/>
      <x:c r="E20" s="11" t="str"/>
      <x:c r="F20" s="12" t="str">
        <x:v>1.359.705</x:v>
      </x:c>
      <x:c r="G20" s="11" t="n">
        <x:v>46195</x:v>
      </x:c>
      <x:c r="H20" s="8" t="str"/>
      <x:c r="I20" s="11" t="str"/>
      <x:c r="J20" s="8" t="str">
        <x:v>Referință explicită în AA1</x:v>
      </x:c>
      <x:c r="K20" s="8" t="e">
        <x:f>HYPERLINK("file:///Z:/00. Proiecte 2025/AFIR FotoVoltaic 1/16.1 Act aditional 1/Act de semnat AFIR/Act Aditional Semnat/C3.3.4_.pdf","Deschide sursa")</x:f>
        <x:v>HYPERLINK is not implemented. linkLocation=file:///Z:/00. Proiecte 2025/AFIR FotoVoltaic 1/16.1 Act aditional 1/Act de semnat AFIR/Act Aditional Semnat/C3.3.4_.pdf, friendlyName=Deschide sursa</x:v>
      </x:c>
      <x:c r="L20" s="8" t="str"/>
    </x:row>
    <x:row r="21" ht="36" customHeight="1">
      <x:c r="A21" s="8" t="str">
        <x:v>R017</x:v>
      </x:c>
      <x:c r="B21" s="8" t="str">
        <x:v>Act adițional nr. 1 la contractul de finanțare</x:v>
      </x:c>
      <x:c r="C21" s="8" t="str">
        <x:v>AFIR / Cesiro</x:v>
      </x:c>
      <x:c r="D21" s="12" t="str"/>
      <x:c r="E21" s="11" t="str"/>
      <x:c r="F21" s="12" t="str">
        <x:v>1.360.244</x:v>
      </x:c>
      <x:c r="G21" s="11" t="n">
        <x:v>46203</x:v>
      </x:c>
      <x:c r="H21" s="8" t="str">
        <x:v>AA1 / CFMSES011011372801030</x:v>
      </x:c>
      <x:c r="I21" s="11" t="n">
        <x:v>46203</x:v>
      </x:c>
      <x:c r="J21" s="8" t="str">
        <x:v>Semnare menționată în notificarea beneficiarului</x:v>
      </x:c>
      <x:c r="K21" s="8" t="e">
        <x:f>HYPERLINK("file:///Z:/00. Proiecte 2025/AFIR FotoVoltaic 1/outputs/registru-cesiro-2026-10-16/Surse email/E057-A01.txt","Deschide sursa")</x:f>
        <x:v>HYPERLINK is not implemented. linkLocation=file:///Z:/00. Proiecte 2025/AFIR FotoVoltaic 1/outputs/registru-cesiro-2026-10-16/Surse email/E057-A01.txt, friendlyName=Deschide sursa</x:v>
      </x:c>
      <x:c r="L21" s="8" t="str"/>
    </x:row>
    <x:row r="22" ht="36" customHeight="1">
      <x:c r="A22" s="8" t="str">
        <x:v>R018</x:v>
      </x:c>
      <x:c r="B22" s="8" t="str">
        <x:v>Adresă de înaintare și notificare rectificare panouri</x:v>
      </x:c>
      <x:c r="C22" s="8" t="str">
        <x:v>Cesiro</x:v>
      </x:c>
      <x:c r="D22" s="12" t="str"/>
      <x:c r="E22" s="11" t="str"/>
      <x:c r="F22" s="12" t="str"/>
      <x:c r="G22" s="11" t="str"/>
      <x:c r="H22" s="8" t="str"/>
      <x:c r="I22" s="11" t="n">
        <x:v>46212</x:v>
      </x:c>
      <x:c r="J22" s="8" t="str">
        <x:v>Transmis AFIR; redirecționat secretariatului 10.07.2026</x:v>
      </x:c>
      <x:c r="K22" s="8" t="e">
        <x:f>HYPERLINK("file:///Z:/00. Proiecte 2025/AFIR FotoVoltaic 1/outputs/registru-cesiro-2026-10-16/Surse email/E057.txt","Deschide sursa")</x:f>
        <x:v>HYPERLINK is not implemented. linkLocation=file:///Z:/00. Proiecte 2025/AFIR FotoVoltaic 1/outputs/registru-cesiro-2026-10-16/Surse email/E057.txt, friendlyName=Deschide sursa</x:v>
      </x:c>
      <x:c r="L22" s="8" t="str">
        <x:v>Numărul 1.360.244 din subiect se referă la AA1, nu la adresa de înaintare.</x:v>
      </x:c>
    </x:row>
    <x:row r="23" ht="36" customHeight="1">
      <x:c r="A23" s="8" t="str">
        <x:v>R019</x:v>
      </x:c>
      <x:c r="B23" s="8" t="str">
        <x:v>Notă explicativă / memoriu pentru rectificare tehnică</x:v>
      </x:c>
      <x:c r="C23" s="8" t="str">
        <x:v>Cesiro</x:v>
      </x:c>
      <x:c r="D23" s="12" t="str">
        <x:v>FN</x:v>
      </x:c>
      <x:c r="E23" s="11" t="n">
        <x:v>46216</x:v>
      </x:c>
      <x:c r="F23" s="12" t="str">
        <x:v>671</x:v>
      </x:c>
      <x:c r="G23" s="11" t="n">
        <x:v>46217</x:v>
      </x:c>
      <x:c r="H23" s="8" t="str"/>
      <x:c r="I23" s="11" t="str"/>
      <x:c r="J23" s="8" t="str">
        <x:v>Depunere confirmată în notificarea AFIR C3.3.8</x:v>
      </x:c>
      <x:c r="K23" s="8" t="e">
        <x:f>HYPERLINK("file:///Z:/00. Proiecte 2025/AFIR FotoVoltaic 1/outputs/registru-cesiro-2026-10-16/Surse email/E061-A01.txt","Deschide sursa")</x:f>
        <x:v>HYPERLINK is not implemented. linkLocation=file:///Z:/00. Proiecte 2025/AFIR FotoVoltaic 1/outputs/registru-cesiro-2026-10-16/Surse email/E061-A01.txt, friendlyName=Deschide sursa</x:v>
      </x:c>
      <x:c r="L23" s="8" t="str"/>
    </x:row>
    <x:row r="24" ht="36" customHeight="1">
      <x:c r="A24" s="8" t="str">
        <x:v>R020</x:v>
      </x:c>
      <x:c r="B24" s="8" t="str">
        <x:v>Contract audit financiar ATTA – Cesiro</x:v>
      </x:c>
      <x:c r="C24" s="8" t="str">
        <x:v>ATTA / Cesiro</x:v>
      </x:c>
      <x:c r="D24" s="12" t="str"/>
      <x:c r="E24" s="11" t="str"/>
      <x:c r="F24" s="12" t="str"/>
      <x:c r="G24" s="11" t="str"/>
      <x:c r="H24" s="8" t="str">
        <x:v>186/15.07.2026</x:v>
      </x:c>
      <x:c r="I24" s="11" t="n">
        <x:v>46218</x:v>
      </x:c>
      <x:c r="J24" s="8" t="str">
        <x:v>Copie contract în corespondența cu auditorul</x:v>
      </x:c>
      <x:c r="K24" s="8" t="e">
        <x:f>HYPERLINK("file:///Z:/00. Proiecte 2025/AFIR FotoVoltaic 1/outputs/registru-cesiro-2026-10-16/Surse email/E065-A01.txt","Deschide sursa")</x:f>
        <x:v>HYPERLINK is not implemented. linkLocation=file:///Z:/00. Proiecte 2025/AFIR FotoVoltaic 1/outputs/registru-cesiro-2026-10-16/Surse email/E065-A01.txt, friendlyName=Deschide sursa</x:v>
      </x:c>
      <x:c r="L24" s="8" t="str">
        <x:v>Număr contractual al prestatorului; număr de registratură Cesiro neidentificat.</x:v>
      </x:c>
    </x:row>
    <x:row r="25" ht="36" customHeight="1">
      <x:c r="A25" s="8" t="str">
        <x:v>R021</x:v>
      </x:c>
      <x:c r="B25" s="8" t="str">
        <x:v>Completări pentru actul adițional tehnic solicitat</x:v>
      </x:c>
      <x:c r="C25" s="8" t="str">
        <x:v>Cesiro</x:v>
      </x:c>
      <x:c r="D25" s="12" t="str"/>
      <x:c r="E25" s="11" t="str"/>
      <x:c r="F25" s="12" t="str"/>
      <x:c r="G25" s="11" t="str"/>
      <x:c r="H25" s="8" t="str"/>
      <x:c r="I25" s="11" t="n">
        <x:v>46227</x:v>
      </x:c>
      <x:c r="J25" s="8" t="str">
        <x:v>Email către Stelian Popa cu 3 atașamente</x:v>
      </x:c>
      <x:c r="K25" s="8" t="e">
        <x:f>HYPERLINK("file:///Z:/00. Proiecte 2025/AFIR FotoVoltaic 1/outputs/registru-cesiro-2026-10-16/Surse email/E059.txt","Deschide sursa")</x:f>
        <x:v>HYPERLINK is not implemented. linkLocation=file:///Z:/00. Proiecte 2025/AFIR FotoVoltaic 1/outputs/registru-cesiro-2026-10-16/Surse email/E059.txt, friendlyName=Deschide sursa</x:v>
      </x:c>
      <x:c r="L25" s="8" t="str"/>
    </x:row>
    <x:row r="26" ht="36" customHeight="1">
      <x:c r="A26" s="8" t="str">
        <x:v>R022</x:v>
      </x:c>
      <x:c r="B26" s="8" t="str">
        <x:v>Notificare neacceptare modificare tehnică C3.3.8</x:v>
      </x:c>
      <x:c r="C26" s="8" t="str">
        <x:v>AFIR</x:v>
      </x:c>
      <x:c r="D26" s="12" t="str"/>
      <x:c r="E26" s="11" t="str"/>
      <x:c r="F26" s="12" t="str">
        <x:v>1.370.394</x:v>
      </x:c>
      <x:c r="G26" s="11" t="str"/>
      <x:c r="H26" s="8" t="str"/>
      <x:c r="I26" s="11" t="n">
        <x:v>46241</x:v>
      </x:c>
      <x:c r="J26" s="8" t="str">
        <x:v>Neacceptat</x:v>
      </x:c>
      <x:c r="K26" s="8" t="e">
        <x:f>HYPERLINK("file:///Z:/00. Proiecte 2025/AFIR FotoVoltaic 1/outputs/registru-cesiro-2026-10-16/Surse email/E061-A01.txt","Deschide sursa")</x:f>
        <x:v>HYPERLINK is not implemented. linkLocation=file:///Z:/00. Proiecte 2025/AFIR FotoVoltaic 1/outputs/registru-cesiro-2026-10-16/Surse email/E061-A01.txt, friendlyName=Deschide sursa</x:v>
      </x:c>
      <x:c r="L26" s="8" t="str">
        <x:v>Distinctă de AA2 pentru prelungire, acceptat în octombrie.</x:v>
      </x:c>
    </x:row>
    <x:row r="27" ht="36" customHeight="1">
      <x:c r="A27" s="8" t="str">
        <x:v>R023</x:v>
      </x:c>
      <x:c r="B27" s="8" t="str">
        <x:v>Raport audit financiar</x:v>
      </x:c>
      <x:c r="C27" s="8" t="str">
        <x:v>ATTA Consulting</x:v>
      </x:c>
      <x:c r="D27" s="12" t="str"/>
      <x:c r="E27" s="11" t="str"/>
      <x:c r="F27" s="12" t="str"/>
      <x:c r="G27" s="11" t="str"/>
      <x:c r="H27" s="8" t="str">
        <x:v>206/12.08.2026</x:v>
      </x:c>
      <x:c r="I27" s="11" t="n">
        <x:v>46246</x:v>
      </x:c>
      <x:c r="J27" s="8" t="str">
        <x:v>Primit de la auditor</x:v>
      </x:c>
      <x:c r="K27" s="8" t="e">
        <x:f>HYPERLINK("file:///Z:/00. Proiecte 2025/AFIR FotoVoltaic 1/outputs/registru-cesiro-2026-10-16/Surse email/E064-A03.txt","Deschide sursa")</x:f>
        <x:v>HYPERLINK is not implemented. linkLocation=file:///Z:/00. Proiecte 2025/AFIR FotoVoltaic 1/outputs/registru-cesiro-2026-10-16/Surse email/E064-A03.txt, friendlyName=Deschide sursa</x:v>
      </x:c>
      <x:c r="L27" s="8" t="str">
        <x:v>Număr al auditorului, nu număr Cesiro sau AFIR.</x:v>
      </x:c>
    </x:row>
    <x:row r="28" ht="36" customHeight="1">
      <x:c r="A28" s="8" t="str">
        <x:v>R024</x:v>
      </x:c>
      <x:c r="B28" s="8" t="str">
        <x:v>Acceptare grafic de eșalonare</x:v>
      </x:c>
      <x:c r="C28" s="8" t="str">
        <x:v>AFIR</x:v>
      </x:c>
      <x:c r="D28" s="12" t="str"/>
      <x:c r="E28" s="11" t="str"/>
      <x:c r="F28" s="12" t="str"/>
      <x:c r="G28" s="11" t="str"/>
      <x:c r="H28" s="8" t="str"/>
      <x:c r="I28" s="11" t="n">
        <x:v>46247</x:v>
      </x:c>
      <x:c r="J28" s="8" t="str">
        <x:v>Grafic acceptat prin email</x:v>
      </x:c>
      <x:c r="K28" s="8" t="e">
        <x:f>HYPERLINK("file:///Z:/00. Proiecte 2025/AFIR FotoVoltaic 1/outputs/registru-cesiro-2026-10-16/Surse email/E066.txt","Deschide sursa")</x:f>
        <x:v>HYPERLINK is not implemented. linkLocation=file:///Z:/00. Proiecte 2025/AFIR FotoVoltaic 1/outputs/registru-cesiro-2026-10-16/Surse email/E066.txt, friendlyName=Deschide sursa</x:v>
      </x:c>
      <x:c r="L28" s="8" t="str">
        <x:v>Fără număr de adresă în corpul mesajului.</x:v>
      </x:c>
    </x:row>
    <x:row r="29" ht="36" customHeight="1">
      <x:c r="A29" s="8" t="str">
        <x:v>R025</x:v>
      </x:c>
      <x:c r="B29" s="8" t="str">
        <x:v>Memoriu justificativ – prelungire termen</x:v>
      </x:c>
      <x:c r="C29" s="8" t="str">
        <x:v>Cesiro</x:v>
      </x:c>
      <x:c r="D29" s="12" t="str">
        <x:v>145</x:v>
      </x:c>
      <x:c r="E29" s="11" t="n">
        <x:v>46252</x:v>
      </x:c>
      <x:c r="F29" s="12" t="str">
        <x:v>R1-SIBA-SE-765</x:v>
      </x:c>
      <x:c r="G29" s="11" t="n">
        <x:v>46253</x:v>
      </x:c>
      <x:c r="H29" s="8" t="str"/>
      <x:c r="I29" s="11" t="str"/>
      <x:c r="J29" s="8" t="str">
        <x:v>Depunere confirmată de AFIR</x:v>
      </x:c>
      <x:c r="K29" s="8" t="e">
        <x:f>HYPERLINK("file:///Z:/00. Proiecte 2025/AFIR FotoVoltaic 1/outputs/registru-cesiro-2026-10-16/Surse email/E072-A01.txt","Deschide sursa")</x:f>
        <x:v>HYPERLINK is not implemented. linkLocation=file:///Z:/00. Proiecte 2025/AFIR FotoVoltaic 1/outputs/registru-cesiro-2026-10-16/Surse email/E072-A01.txt, friendlyName=Deschide sursa</x:v>
      </x:c>
      <x:c r="L29" s="8" t="str">
        <x:v>În AA2 apare și forma R1-SIBA-765; scrisoarea 1382394 folosește R1-SIBA-SE-765.</x:v>
      </x:c>
    </x:row>
    <x:row r="30" ht="36" customHeight="1">
      <x:c r="A30" s="8" t="str">
        <x:v>R026</x:v>
      </x:c>
      <x:c r="B30" s="8" t="str">
        <x:v>Notă explicativă – prelungire termen</x:v>
      </x:c>
      <x:c r="C30" s="8" t="str">
        <x:v>Cesiro</x:v>
      </x:c>
      <x:c r="D30" s="12" t="str">
        <x:v>FN</x:v>
      </x:c>
      <x:c r="E30" s="11" t="n">
        <x:v>46253</x:v>
      </x:c>
      <x:c r="F30" s="12" t="str">
        <x:v>R1-SIBA-765</x:v>
      </x:c>
      <x:c r="G30" s="11" t="n">
        <x:v>46253</x:v>
      </x:c>
      <x:c r="H30" s="8" t="str"/>
      <x:c r="I30" s="11" t="str"/>
      <x:c r="J30" s="8" t="str">
        <x:v>Depunere confirmată de AFIR în AA2</x:v>
      </x:c>
      <x:c r="K30" s="8" t="e">
        <x:f>HYPERLINK("file:///Z:/00. Proiecte 2025/AFIR FotoVoltaic 1/outputs/registru-cesiro-2026-10-16/Surse email/E072-A01.txt","Deschide sursa")</x:f>
        <x:v>HYPERLINK is not implemented. linkLocation=file:///Z:/00. Proiecte 2025/AFIR FotoVoltaic 1/outputs/registru-cesiro-2026-10-16/Surse email/E072-A01.txt, friendlyName=Deschide sursa</x:v>
      </x:c>
      <x:c r="L30" s="8" t="str"/>
    </x:row>
    <x:row r="31" ht="50" customHeight="1">
      <x:c r="A31" s="8" t="str">
        <x:v>R027</x:v>
      </x:c>
      <x:c r="B31" s="8" t="str">
        <x:v>Cerere de rambursare – tranșa 1</x:v>
      </x:c>
      <x:c r="C31" s="8" t="str">
        <x:v>Cesiro</x:v>
      </x:c>
      <x:c r="D31" s="12" t="str">
        <x:v>1</x:v>
      </x:c>
      <x:c r="E31" s="11" t="n">
        <x:v>46246</x:v>
      </x:c>
      <x:c r="F31" s="12" t="str"/>
      <x:c r="G31" s="11" t="str"/>
      <x:c r="H31" s="8" t="str">
        <x:v>RFMSES011011372801030.1</x:v>
      </x:c>
      <x:c r="I31" s="11" t="n">
        <x:v>46259</x:v>
      </x:c>
      <x:c r="J31" s="8" t="str">
        <x:v>Data depunerii confirmată în email AFIR 15.10.2026</x:v>
      </x:c>
      <x:c r="K31" s="8" t="e">
        <x:f>HYPERLINK("file:///Z:/00. Proiecte 2025/AFIR FotoVoltaic 1/outputs/registru-cesiro-2026-10-16/Surse email/E073.txt","Deschide sursa")</x:f>
        <x:v>HYPERLINK is not implemented. linkLocation=file:///Z:/00. Proiecte 2025/AFIR FotoVoltaic 1/outputs/registru-cesiro-2026-10-16/Surse email/E073.txt, friendlyName=Deschide sursa</x:v>
      </x:c>
      <x:c r="L31" s="8" t="str">
        <x:v>Codul dosarului este separat de numerele de corespondență. Număr/data beneficiar: 1/12.08.2026, în formularul AP 1.1 SE v2 și nota explicativă revizuită.</x:v>
      </x:c>
    </x:row>
    <x:row r="32" ht="36" customHeight="1">
      <x:c r="A32" s="8" t="str">
        <x:v>R028</x:v>
      </x:c>
      <x:c r="B32" s="8" t="str">
        <x:v>Notă convocare pentru vizita din 08.09.2026</x:v>
      </x:c>
      <x:c r="C32" s="8" t="str">
        <x:v>AFIR</x:v>
      </x:c>
      <x:c r="D32" s="12" t="str"/>
      <x:c r="E32" s="11" t="str"/>
      <x:c r="F32" s="12" t="str">
        <x:v>815</x:v>
      </x:c>
      <x:c r="G32" s="11" t="n">
        <x:v>46272</x:v>
      </x:c>
      <x:c r="H32" s="8" t="str"/>
      <x:c r="I32" s="11" t="n">
        <x:v>46272</x:v>
      </x:c>
      <x:c r="J32" s="8" t="str">
        <x:v>Primit de la AFIR</x:v>
      </x:c>
      <x:c r="K32" s="8" t="e">
        <x:f>HYPERLINK("file:///Z:/00. Proiecte 2025/AFIR FotoVoltaic 1/outputs/registru-cesiro-2026-10-16/Surse email/E067-A01.txt","Deschide sursa")</x:f>
        <x:v>HYPERLINK is not implemented. linkLocation=file:///Z:/00. Proiecte 2025/AFIR FotoVoltaic 1/outputs/registru-cesiro-2026-10-16/Surse email/E067-A01.txt, friendlyName=Deschide sursa</x:v>
      </x:c>
      <x:c r="L32" s="8" t="str"/>
    </x:row>
    <x:row r="33" ht="36" customHeight="1">
      <x:c r="A33" s="8" t="str">
        <x:v>R029</x:v>
      </x:c>
      <x:c r="B33" s="8" t="str">
        <x:v>Solicitare informații suplimentare – tranșa 1</x:v>
      </x:c>
      <x:c r="C33" s="8" t="str">
        <x:v>AFIR</x:v>
      </x:c>
      <x:c r="D33" s="12" t="str"/>
      <x:c r="E33" s="11" t="str"/>
      <x:c r="F33" s="12" t="str">
        <x:v>816</x:v>
      </x:c>
      <x:c r="G33" s="11" t="n">
        <x:v>46272</x:v>
      </x:c>
      <x:c r="H33" s="8" t="str"/>
      <x:c r="I33" s="11" t="str"/>
      <x:c r="J33" s="8" t="str">
        <x:v>Existență și dată confirmate în solicitarea 961</x:v>
      </x:c>
      <x:c r="K33" s="8" t="e">
        <x:f>HYPERLINK("file:///Z:/00. Proiecte 2025/AFIR FotoVoltaic 1/outputs/registru-cesiro-2026-10-16/Surse email/E073-A02.txt","Deschide sursa")</x:f>
        <x:v>HYPERLINK is not implemented. linkLocation=file:///Z:/00. Proiecte 2025/AFIR FotoVoltaic 1/outputs/registru-cesiro-2026-10-16/Surse email/E073-A02.txt, friendlyName=Deschide sursa</x:v>
      </x:c>
      <x:c r="L33" s="8" t="str">
        <x:v>AFIR confirmă că a primit un răspuns la 816; data acelui răspuns trebuie stabilită din dovada de încărcare.</x:v>
      </x:c>
    </x:row>
    <x:row r="34" ht="36" customHeight="1">
      <x:c r="A34" s="8" t="str">
        <x:v>R030</x:v>
      </x:c>
      <x:c r="B34" s="8" t="str">
        <x:v>Notă corectare eroare materială denumire structură</x:v>
      </x:c>
      <x:c r="C34" s="8" t="str">
        <x:v>Cesiro</x:v>
      </x:c>
      <x:c r="D34" s="12" t="str">
        <x:v>122</x:v>
      </x:c>
      <x:c r="E34" s="11" t="n">
        <x:v>46273</x:v>
      </x:c>
      <x:c r="F34" s="12" t="str"/>
      <x:c r="G34" s="11" t="str"/>
      <x:c r="H34" s="8" t="str"/>
      <x:c r="I34" s="11" t="str"/>
      <x:c r="J34" s="8" t="str">
        <x:v>Inclusă în formularul de răspuns 123</x:v>
      </x:c>
      <x:c r="K34" s="8" t="e">
        <x:f>HYPERLINK("file:///Z:/00. Proiecte 2025/AFIR FotoVoltaic 1/30.1 Cerere Rambursare 1/Clarificare nr.1/4, Nota_eroare_materiala_pct4_Skybase.pdf","Deschide sursa")</x:f>
        <x:v>HYPERLINK is not implemented. linkLocation=file:///Z:/00. Proiecte 2025/AFIR FotoVoltaic 1/30.1 Cerere Rambursare 1/Clarificare nr.1/4, Nota_eroare_materiala_pct4_Skybase.pdf, friendlyName=Deschide sursa</x:v>
      </x:c>
      <x:c r="L34" s="8" t="str"/>
    </x:row>
    <x:row r="35" ht="36" customHeight="1">
      <x:c r="A35" s="8" t="str">
        <x:v>R031</x:v>
      </x:c>
      <x:c r="B35" s="8" t="str">
        <x:v>Decizie asumare traduceri și certificate</x:v>
      </x:c>
      <x:c r="C35" s="8" t="str">
        <x:v>Cesiro</x:v>
      </x:c>
      <x:c r="D35" s="12" t="str">
        <x:v>121</x:v>
      </x:c>
      <x:c r="E35" s="11" t="n">
        <x:v>46273</x:v>
      </x:c>
      <x:c r="F35" s="12" t="str"/>
      <x:c r="G35" s="11" t="str"/>
      <x:c r="H35" s="8" t="str"/>
      <x:c r="I35" s="11" t="str"/>
      <x:c r="J35" s="8" t="str">
        <x:v>Document în pachetul de clarificări tranșa 1</x:v>
      </x:c>
      <x:c r="K35" s="8" t="e">
        <x:f>HYPERLINK("file:///Z:/00. Proiecte 2025/AFIR FotoVoltaic 1/30.1 Cerere Rambursare 1/Clarificare nr.1/3.2 Decizie_121_08092026_rev3_.pdf","Deschide sursa")</x:f>
        <x:v>HYPERLINK is not implemented. linkLocation=file:///Z:/00. Proiecte 2025/AFIR FotoVoltaic 1/30.1 Cerere Rambursare 1/Clarificare nr.1/3.2 Decizie_121_08092026_rev3_.pdf, friendlyName=Deschide sursa</x:v>
      </x:c>
      <x:c r="L35" s="8" t="str"/>
    </x:row>
    <x:row r="36" ht="50" customHeight="1">
      <x:c r="A36" s="8" t="str">
        <x:v>R032</x:v>
      </x:c>
      <x:c r="B36" s="8" t="str">
        <x:v>Răspuns clarificări tranșa 1 – formular AP 1.13</x:v>
      </x:c>
      <x:c r="C36" s="8" t="str">
        <x:v>Cesiro</x:v>
      </x:c>
      <x:c r="D36" s="12" t="str">
        <x:v>123</x:v>
      </x:c>
      <x:c r="E36" s="11" t="n">
        <x:v>46274</x:v>
      </x:c>
      <x:c r="F36" s="12" t="str"/>
      <x:c r="G36" s="11" t="str"/>
      <x:c r="H36" s="8" t="str">
        <x:v>RFMSES011011372801030.1</x:v>
      </x:c>
      <x:c r="I36" s="11" t="str"/>
      <x:c r="J36" s="8" t="str">
        <x:v>Formular local completat; răspunsul la 816 este confirmat de AFIR în 961</x:v>
      </x:c>
      <x:c r="K36" s="8" t="e">
        <x:f>HYPERLINK("file:///Z:/00. Proiecte 2025/AFIR FotoVoltaic 1/30.1 Cerere Rambursare 1/Clarificare nr.1/AP_raspuns_informatii_suplimentare_-.pdf","Deschide sursa")</x:f>
        <x:v>HYPERLINK is not implemented. linkLocation=file:///Z:/00. Proiecte 2025/AFIR FotoVoltaic 1/30.1 Cerere Rambursare 1/Clarificare nr.1/AP_raspuns_informatii_suplimentare_-.pdf, friendlyName=Deschide sursa</x:v>
      </x:c>
      <x:c r="L36" s="8" t="str">
        <x:v>Verificat vizual p. 1. În câmpul solicitării figurează nr. 1 / 09.09.2026, diferit de referința AFIR 816/07.09.2026; de reconciliat cu exemplarul depus.</x:v>
      </x:c>
    </x:row>
    <x:row r="37" ht="36" customHeight="1">
      <x:c r="A37" s="8" t="str">
        <x:v>R033</x:v>
      </x:c>
      <x:c r="B37" s="8" t="str">
        <x:v>Raport de analiză prelungire</x:v>
      </x:c>
      <x:c r="C37" s="8" t="str">
        <x:v>AFIR</x:v>
      </x:c>
      <x:c r="D37" s="12" t="str"/>
      <x:c r="E37" s="11" t="str"/>
      <x:c r="F37" s="12" t="str">
        <x:v>1376937</x:v>
      </x:c>
      <x:c r="G37" s="11" t="n">
        <x:v>46286</x:v>
      </x:c>
      <x:c r="H37" s="8" t="str"/>
      <x:c r="I37" s="11" t="str"/>
      <x:c r="J37" s="8" t="str">
        <x:v>Referință în AA2; original separat neidentificat</x:v>
      </x:c>
      <x:c r="K37" s="8" t="e">
        <x:f>HYPERLINK("file:///Z:/00. Proiecte 2025/AFIR FotoVoltaic 1/outputs/registru-cesiro-2026-10-16/Surse email/E072-A01.txt","Deschide sursa")</x:f>
        <x:v>HYPERLINK is not implemented. linkLocation=file:///Z:/00. Proiecte 2025/AFIR FotoVoltaic 1/outputs/registru-cesiro-2026-10-16/Surse email/E072-A01.txt, friendlyName=Deschide sursa</x:v>
      </x:c>
      <x:c r="L37" s="8" t="str"/>
    </x:row>
    <x:row r="38" ht="36" customHeight="1">
      <x:c r="A38" s="8" t="str">
        <x:v>R034</x:v>
      </x:c>
      <x:c r="B38" s="8" t="str">
        <x:v>Solicitare clarificări privind prelungirea</x:v>
      </x:c>
      <x:c r="C38" s="8" t="str">
        <x:v>AFIR</x:v>
      </x:c>
      <x:c r="D38" s="12" t="str"/>
      <x:c r="E38" s="11" t="str"/>
      <x:c r="F38" s="12" t="str">
        <x:v>1382394</x:v>
      </x:c>
      <x:c r="G38" s="11" t="n">
        <x:v>46294</x:v>
      </x:c>
      <x:c r="H38" s="8" t="str"/>
      <x:c r="I38" s="11" t="n">
        <x:v>46294</x:v>
      </x:c>
      <x:c r="J38" s="8" t="str">
        <x:v>Primit de la AFIR</x:v>
      </x:c>
      <x:c r="K38" s="8" t="e">
        <x:f>HYPERLINK("file:///Z:/00. Proiecte 2025/AFIR FotoVoltaic 1/outputs/registru-cesiro-2026-10-16/Surse email/E069-A01.txt","Deschide sursa")</x:f>
        <x:v>HYPERLINK is not implemented. linkLocation=file:///Z:/00. Proiecte 2025/AFIR FotoVoltaic 1/outputs/registru-cesiro-2026-10-16/Surse email/E069-A01.txt, friendlyName=Deschide sursa</x:v>
      </x:c>
      <x:c r="L38" s="8" t="str">
        <x:v>Data este confirmată explicit prin referința din AA2.</x:v>
      </x:c>
    </x:row>
    <x:row r="39" ht="36" customHeight="1">
      <x:c r="A39" s="8" t="str">
        <x:v>R035</x:v>
      </x:c>
      <x:c r="B39" s="8" t="str">
        <x:v>Confirmare primire și întrebare privind termenul de 8 luni</x:v>
      </x:c>
      <x:c r="C39" s="8" t="str">
        <x:v>Cesiro</x:v>
      </x:c>
      <x:c r="D39" s="12" t="str"/>
      <x:c r="E39" s="11" t="str"/>
      <x:c r="F39" s="12" t="str"/>
      <x:c r="G39" s="11" t="str"/>
      <x:c r="H39" s="8" t="str"/>
      <x:c r="I39" s="11" t="n">
        <x:v>46294</x:v>
      </x:c>
      <x:c r="J39" s="8" t="str">
        <x:v>Email trimis; răspuns AFIR în aceeași zi</x:v>
      </x:c>
      <x:c r="K39" s="8" t="e">
        <x:f>HYPERLINK("file:///Z:/00. Proiecte 2025/AFIR FotoVoltaic 1/outputs/registru-cesiro-2026-10-16/Surse email/E070.txt","Deschide sursa")</x:f>
        <x:v>HYPERLINK is not implemented. linkLocation=file:///Z:/00. Proiecte 2025/AFIR FotoVoltaic 1/outputs/registru-cesiro-2026-10-16/Surse email/E070.txt, friendlyName=Deschide sursa</x:v>
      </x:c>
      <x:c r="L39" s="8" t="str"/>
    </x:row>
    <x:row r="40" ht="36" customHeight="1">
      <x:c r="A40" s="8" t="str">
        <x:v>R036</x:v>
      </x:c>
      <x:c r="B40" s="8" t="str">
        <x:v>Memoriu justificativ revizuit – răspuns clarificări</x:v>
      </x:c>
      <x:c r="C40" s="8" t="str">
        <x:v>Cesiro</x:v>
      </x:c>
      <x:c r="D40" s="12" t="str">
        <x:v>161</x:v>
      </x:c>
      <x:c r="E40" s="11" t="n">
        <x:v>46295</x:v>
      </x:c>
      <x:c r="F40" s="12" t="str">
        <x:v>R1-SIBA-SE-915</x:v>
      </x:c>
      <x:c r="G40" s="11" t="n">
        <x:v>46295</x:v>
      </x:c>
      <x:c r="H40" s="8" t="str"/>
      <x:c r="I40" s="11" t="str"/>
      <x:c r="J40" s="8" t="str">
        <x:v>Depunere confirmată de AFIR în AA2</x:v>
      </x:c>
      <x:c r="K40" s="8" t="e">
        <x:f>HYPERLINK("file:///Z:/00. Proiecte 2025/AFIR FotoVoltaic 1/outputs/registru-cesiro-2026-10-16/Surse email/E072-A01.txt","Deschide sursa")</x:f>
        <x:v>HYPERLINK is not implemented. linkLocation=file:///Z:/00. Proiecte 2025/AFIR FotoVoltaic 1/outputs/registru-cesiro-2026-10-16/Surse email/E072-A01.txt, friendlyName=Deschide sursa</x:v>
      </x:c>
      <x:c r="L40" s="8" t="str"/>
    </x:row>
    <x:row r="41" ht="36" customHeight="1">
      <x:c r="A41" s="8" t="str">
        <x:v>R037</x:v>
      </x:c>
      <x:c r="B41" s="8" t="str">
        <x:v>Notă explicativă revizuită – răspuns clarificări</x:v>
      </x:c>
      <x:c r="C41" s="8" t="str">
        <x:v>Cesiro</x:v>
      </x:c>
      <x:c r="D41" s="12" t="str">
        <x:v>FN</x:v>
      </x:c>
      <x:c r="E41" s="11" t="n">
        <x:v>46295</x:v>
      </x:c>
      <x:c r="F41" s="12" t="str">
        <x:v>R1-SIBA-SE-915</x:v>
      </x:c>
      <x:c r="G41" s="11" t="n">
        <x:v>46295</x:v>
      </x:c>
      <x:c r="H41" s="8" t="str"/>
      <x:c r="I41" s="11" t="str"/>
      <x:c r="J41" s="8" t="str">
        <x:v>Depunere confirmată de AFIR în AA2</x:v>
      </x:c>
      <x:c r="K41" s="8" t="e">
        <x:f>HYPERLINK("file:///Z:/00. Proiecte 2025/AFIR FotoVoltaic 1/outputs/registru-cesiro-2026-10-16/Surse email/E072-A01.txt","Deschide sursa")</x:f>
        <x:v>HYPERLINK is not implemented. linkLocation=file:///Z:/00. Proiecte 2025/AFIR FotoVoltaic 1/outputs/registru-cesiro-2026-10-16/Surse email/E072-A01.txt, friendlyName=Deschide sursa</x:v>
      </x:c>
      <x:c r="L41" s="8" t="str"/>
    </x:row>
    <x:row r="42" ht="36" customHeight="1">
      <x:c r="A42" s="8" t="str">
        <x:v>R038</x:v>
      </x:c>
      <x:c r="B42" s="8" t="str">
        <x:v>Declarație proprie răspundere – prelungire revizuită</x:v>
      </x:c>
      <x:c r="C42" s="8" t="str">
        <x:v>Cesiro</x:v>
      </x:c>
      <x:c r="D42" s="12" t="str">
        <x:v>160</x:v>
      </x:c>
      <x:c r="E42" s="11" t="n">
        <x:v>46295</x:v>
      </x:c>
      <x:c r="F42" s="12" t="str"/>
      <x:c r="G42" s="11" t="str"/>
      <x:c r="H42" s="8" t="str"/>
      <x:c r="I42" s="11" t="str"/>
      <x:c r="J42" s="8" t="str">
        <x:v>Document în pachetul local de răspuns clarificări</x:v>
      </x:c>
      <x:c r="K42" s="8" t="e">
        <x:f>HYPERLINK("file:///Z:/00. Proiecte 2025/AFIR FotoVoltaic 1/16.3 Act aditional 2 - Prelungire termen/Clarificare nr1/5_Declaratie_proprie_raspundere_ss_.pdf","Deschide sursa")</x:f>
        <x:v>HYPERLINK is not implemented. linkLocation=file:///Z:/00. Proiecte 2025/AFIR FotoVoltaic 1/16.3 Act aditional 2 - Prelungire termen/Clarificare nr1/5_Declaratie_proprie_raspundere_ss_.pdf, friendlyName=Deschide sursa</x:v>
      </x:c>
      <x:c r="L42" s="8" t="str">
        <x:v>Versiunile de lucru poartă și nr. 150; păstrate separat în inventar.</x:v>
      </x:c>
    </x:row>
    <x:row r="43" ht="36" customHeight="1">
      <x:c r="A43" s="8" t="str">
        <x:v>R039</x:v>
      </x:c>
      <x:c r="B43" s="8" t="str">
        <x:v>Raport de analiză – completare</x:v>
      </x:c>
      <x:c r="C43" s="8" t="str">
        <x:v>AFIR</x:v>
      </x:c>
      <x:c r="D43" s="12" t="str"/>
      <x:c r="E43" s="11" t="str"/>
      <x:c r="F43" s="12" t="str">
        <x:v>R1-SIBA-SE-919</x:v>
      </x:c>
      <x:c r="G43" s="11" t="n">
        <x:v>46296</x:v>
      </x:c>
      <x:c r="H43" s="8" t="str"/>
      <x:c r="I43" s="11" t="str"/>
      <x:c r="J43" s="8" t="str">
        <x:v>Referință în AA2; original separat neidentificat</x:v>
      </x:c>
      <x:c r="K43" s="8" t="e">
        <x:f>HYPERLINK("file:///Z:/00. Proiecte 2025/AFIR FotoVoltaic 1/outputs/registru-cesiro-2026-10-16/Surse email/E072-A01.txt","Deschide sursa")</x:f>
        <x:v>HYPERLINK is not implemented. linkLocation=file:///Z:/00. Proiecte 2025/AFIR FotoVoltaic 1/outputs/registru-cesiro-2026-10-16/Surse email/E072-A01.txt, friendlyName=Deschide sursa</x:v>
      </x:c>
      <x:c r="L43" s="8" t="str"/>
    </x:row>
    <x:row r="44" ht="36" customHeight="1">
      <x:c r="A44" s="8" t="str">
        <x:v>R040</x:v>
      </x:c>
      <x:c r="B44" s="8" t="str">
        <x:v>Act adițional nr. 2 – prelungire termen</x:v>
      </x:c>
      <x:c r="C44" s="8" t="str">
        <x:v>AFIR / Cesiro</x:v>
      </x:c>
      <x:c r="D44" s="12" t="str"/>
      <x:c r="E44" s="11" t="str"/>
      <x:c r="F44" s="12" t="str">
        <x:v>1379871</x:v>
      </x:c>
      <x:c r="G44" s="11" t="str"/>
      <x:c r="H44" s="8" t="str">
        <x:v>AA2 / CFMSES011011372801030</x:v>
      </x:c>
      <x:c r="I44" s="11" t="n">
        <x:v>46304</x:v>
      </x:c>
      <x:c r="J44" s="8" t="str">
        <x:v>Acceptare comunicată; semnarea bilaterală de verificat</x:v>
      </x:c>
      <x:c r="K44" s="8" t="e">
        <x:f>HYPERLINK("file:///Z:/00. Proiecte 2025/AFIR FotoVoltaic 1/outputs/registru-cesiro-2026-10-16/Surse email/E072-A01.txt","Deschide sursa")</x:f>
        <x:v>HYPERLINK is not implemented. linkLocation=file:///Z:/00. Proiecte 2025/AFIR FotoVoltaic 1/outputs/registru-cesiro-2026-10-16/Surse email/E072-A01.txt, friendlyName=Deschide sursa</x:v>
      </x:c>
      <x:c r="L44" s="8" t="str">
        <x:v>Data AA2 este necompletată în antet. Nu se confundă cu data emailului 09.10.2026.</x:v>
      </x:c>
    </x:row>
    <x:row r="45" ht="36" customHeight="1">
      <x:c r="A45" s="8" t="str">
        <x:v>R041</x:v>
      </x:c>
      <x:c r="B45" s="8" t="str">
        <x:v>Solicitare informații suplimentare – registru-jurnal și 30 panouri</x:v>
      </x:c>
      <x:c r="C45" s="8" t="str">
        <x:v>AFIR</x:v>
      </x:c>
      <x:c r="D45" s="12" t="str"/>
      <x:c r="E45" s="11" t="str"/>
      <x:c r="F45" s="12" t="str">
        <x:v>961</x:v>
      </x:c>
      <x:c r="G45" s="11" t="n">
        <x:v>46310</x:v>
      </x:c>
      <x:c r="H45" s="8" t="str"/>
      <x:c r="I45" s="11" t="n">
        <x:v>46310</x:v>
      </x:c>
      <x:c r="J45" s="8" t="str">
        <x:v>Primit de la AFIR</x:v>
      </x:c>
      <x:c r="K45" s="8" t="e">
        <x:f>HYPERLINK("file:///Z:/00. Proiecte 2025/AFIR FotoVoltaic 1/outputs/registru-cesiro-2026-10-16/Surse email/E073-A02.txt","Deschide sursa")</x:f>
        <x:v>HYPERLINK is not implemented. linkLocation=file:///Z:/00. Proiecte 2025/AFIR FotoVoltaic 1/outputs/registru-cesiro-2026-10-16/Surse email/E073-A02.txt, friendlyName=Deschide sursa</x:v>
      </x:c>
      <x:c r="L45" s="8" t="str"/>
    </x:row>
    <x:row r="46" ht="36" customHeight="1">
      <x:c r="A46" s="8" t="str">
        <x:v>R042</x:v>
      </x:c>
      <x:c r="B46" s="8" t="str">
        <x:v>Proiect răspuns la solicitarea AFIR 961</x:v>
      </x:c>
      <x:c r="C46" s="8" t="str">
        <x:v>Cesiro</x:v>
      </x:c>
      <x:c r="D46" s="12" t="str"/>
      <x:c r="E46" s="11" t="str"/>
      <x:c r="F46" s="12" t="str"/>
      <x:c r="G46" s="11" t="str"/>
      <x:c r="H46" s="8" t="str"/>
      <x:c r="I46" s="11" t="str"/>
      <x:c r="J46" s="8" t="str">
        <x:v>Pregătit local; netransmis conform notei locale</x:v>
      </x:c>
      <x:c r="K46" s="8" t="e">
        <x:f>HYPERLINK("file:///Z:/00. Proiecte 2025/AFIR FotoVoltaic 1/Comunicatii oficiale AFIR/2026-10-15 Solicitare 961 - transa 1/Citeste_inainte_de_depunere.txt","Deschide sursa")</x:f>
        <x:v>HYPERLINK is not implemented. linkLocation=file:///Z:/00. Proiecte 2025/AFIR FotoVoltaic 1/Comunicatii oficiale AFIR/2026-10-15 Solicitare 961 - transa 1/Citeste_inainte_de_depunere.txt, friendlyName=Deschide sursa</x:v>
      </x:c>
      <x:c r="L46" s="8" t="str">
        <x:v>Numărul intern este încă de completat. Nu se preia 961 ca număr Cesiro.</x:v>
      </x:c>
    </x:row>
    <x:row r="47" ht="36" customHeight="1">
      <x:c r="A47" s="8" t="str">
        <x:v>R043</x:v>
      </x:c>
      <x:c r="B47" s="8" t="str">
        <x:v>Solicitare informații suplimentare F3.4 – evaluare inițială</x:v>
      </x:c>
      <x:c r="C47" s="8" t="str">
        <x:v>AFIR</x:v>
      </x:c>
      <x:c r="D47" s="12" t="str"/>
      <x:c r="E47" s="11" t="str"/>
      <x:c r="F47" s="12" t="str">
        <x:v>1193319</x:v>
      </x:c>
      <x:c r="G47" s="11" t="str"/>
      <x:c r="H47" s="8" t="str">
        <x:v>FFMSES011011372801030</x:v>
      </x:c>
      <x:c r="I47" s="11" t="str"/>
      <x:c r="J47" s="8" t="str">
        <x:v>Document AFIR păstrat local</x:v>
      </x:c>
      <x:c r="K47" s="8" t="e">
        <x:f>HYPERLINK("file:///Z:/00. Proiecte 2025/AFIR FotoVoltaic 1/4. Cerere de finantare/F3.4_CRFIR-ALBA-IULIA.pdf","Deschide sursa")</x:f>
        <x:v>HYPERLINK is not implemented. linkLocation=file:///Z:/00. Proiecte 2025/AFIR FotoVoltaic 1/4. Cerere de finantare/F3.4_CRFIR-ALBA-IULIA.pdf, friendlyName=Deschide sursa</x:v>
      </x:c>
      <x:c r="L47" s="8" t="str">
        <x:v>Semnătură vizibilă datată 18.04.2024; nu este atribuită automat datei de înregistrare.</x:v>
      </x:c>
    </x:row>
  </x:sheetData>
  <x:pageMargins left="0.7" right="0.7" top="0.75" bottom="0.75" header="0.3" footer="0.3"/>
  <x:tableParts count="1">
    <x:tablePart xmlns:r="http://schemas.openxmlformats.org/officeDocument/2006/relationships" r:id="Red998f1b8d9d4933"/>
  </x:tableParts>
</x:worksheet>
</file>

<file path=xl/worksheets/sheet3.xml><?xml version="1.0" encoding="utf-8"?>
<x:worksheet xmlns:x="http://schemas.openxmlformats.org/spreadsheetml/2006/main">
  <x:sheetPr>
    <x:tabColor rgb="FF426A8D"/>
  </x:sheetPr>
  <x:sheetViews>
    <x:sheetView showGridLines="0" workbookViewId="0">
      <x:pane xSplit="2" ySplit="4" topLeftCell="C5" activePane="bottomRight" state="frozen"/>
    </x:sheetView>
  </x:sheetViews>
  <x:sheetFormatPr defaultRowHeight="15"/>
  <x:cols>
    <x:col min="1" max="1" width="9.380000114440918" hidden="0" customWidth="1"/>
    <x:col min="2" max="2" width="47.5" hidden="0" customWidth="1"/>
    <x:col min="3" max="3" width="22.5" hidden="0" customWidth="1"/>
    <x:col min="4" max="4" width="16.25" hidden="0" customWidth="1"/>
    <x:col min="5" max="5" width="13.75" hidden="0" customWidth="1"/>
    <x:col min="6" max="6" width="20" hidden="0" customWidth="1"/>
    <x:col min="7" max="7" width="13.75" hidden="0" customWidth="1"/>
    <x:col min="8" max="8" width="27.5" hidden="0" customWidth="1"/>
    <x:col min="9" max="9" width="40" hidden="0" customWidth="1"/>
    <x:col min="10" max="10" width="90" hidden="0" customWidth="1"/>
    <x:col min="11" max="11" width="41.25" hidden="0" customWidth="1"/>
    <x:col min="12" max="12" width="62.5" hidden="0" customWidth="1"/>
  </x:cols>
  <x:sheetData>
    <x:row r="2">
      <x:c r="A2" s="1" t="str">
        <x:v>Documente · Cesiro Production</x:v>
      </x:c>
    </x:row>
    <x:row r="4" ht="45" customHeight="1">
      <x:c r="A4" s="10" t="str">
        <x:v>ID fișier</x:v>
      </x:c>
      <x:c r="B4" s="10" t="str">
        <x:v>Document / versiune</x:v>
      </x:c>
      <x:c r="C4" s="10" t="str">
        <x:v>Etapă</x:v>
      </x:c>
      <x:c r="D4" s="10" t="str">
        <x:v>Nr. Cesiro</x:v>
      </x:c>
      <x:c r="E4" s="10" t="str">
        <x:v>Data Cesiro</x:v>
      </x:c>
      <x:c r="F4" s="10" t="str">
        <x:v>Nr. AFIR</x:v>
      </x:c>
      <x:c r="G4" s="10" t="str">
        <x:v>Data AFIR</x:v>
      </x:c>
      <x:c r="H4" s="10" t="str">
        <x:v>Alt nr. din antet; emitent de verificat</x:v>
      </x:c>
      <x:c r="I4" s="10" t="str">
        <x:v>Starea transmiterii</x:v>
      </x:c>
      <x:c r="J4" s="10" t="str">
        <x:v>Numere și referințe din text, de verificat în context</x:v>
      </x:c>
      <x:c r="K4" s="10" t="str">
        <x:v>Citire / limite</x:v>
      </x:c>
      <x:c r="L4" s="10" t="str">
        <x:v>Sursă locală</x:v>
      </x:c>
    </x:row>
    <x:row r="5" ht="36" customHeight="1">
      <x:c r="A5" s="8" t="str">
        <x:v>F0001</x:v>
      </x:c>
      <x:c r="B5" s="8" t="str">
        <x:v>01_Nota_justificativa_AFIR.pdf</x:v>
      </x:c>
      <x:c r="C5" s="8" t="str">
        <x:v>Implementare / documente suport</x:v>
      </x:c>
      <x:c r="D5" s="12" t="str"/>
      <x:c r="E5" s="11" t="str"/>
      <x:c r="F5" s="12" t="str"/>
      <x:c r="G5" s="11" t="str"/>
      <x:c r="H5" s="8" t="str"/>
      <x:c r="I5" s="8" t="str">
        <x:v>Document local; transmiterea individuală neconfirmată</x:v>
      </x:c>
      <x:c r="J5" s="8" t="str">
        <x:v>nr. CFMSES011011372801030/30.12.2024
nr. 96.</x:v>
      </x:c>
      <x:c r="K5" s="8" t="str">
        <x:v>Text extras; numerele din referințe sunt în coloana separată</x:v>
      </x:c>
      <x:c r="L5" s="8" t="e">
        <x:f>HYPERLINK("file:///Z:/00. Proiecte 2025/AFIR FotoVoltaic 1/01_Nota_justificativa_AFIR.pdf","Deschide sursa")</x:f>
        <x:v>HYPERLINK is not implemented. linkLocation=file:///Z:/00. Proiecte 2025/AFIR FotoVoltaic 1/01_Nota_justificativa_AFIR.pdf, friendlyName=Deschide sursa</x:v>
      </x:c>
    </x:row>
    <x:row r="6" ht="36" customHeight="1">
      <x:c r="A6" s="8" t="str">
        <x:v>F0002</x:v>
      </x:c>
      <x:c r="B6" s="8" t="str">
        <x:v>Act constitutiv Cesiro Production SRL.pdf</x:v>
      </x:c>
      <x:c r="C6" s="8" t="str">
        <x:v>Implementare / documente suport</x:v>
      </x:c>
      <x:c r="D6" s="12" t="str"/>
      <x:c r="E6" s="11" t="str"/>
      <x:c r="F6" s="12" t="str"/>
      <x:c r="G6" s="11" t="str"/>
      <x:c r="H6" s="8" t="str"/>
      <x:c r="I6" s="8" t="str">
        <x:v>Document local; transmiterea individuală neconfirmată</x:v>
      </x:c>
      <x:c r="J6" s="8" t="str"/>
      <x:c r="K6" s="8" t="str">
        <x:v>Text extras; numerele din referințe sunt în coloana separată</x:v>
      </x:c>
      <x:c r="L6" s="8" t="e">
        <x:f>HYPERLINK("file:///Z:/00. Proiecte 2025/AFIR FotoVoltaic 1/Act constitutiv Cesiro Production SRL.pdf","Deschide sursa")</x:f>
        <x:v>HYPERLINK is not implemented. linkLocation=file:///Z:/00. Proiecte 2025/AFIR FotoVoltaic 1/Act constitutiv Cesiro Production SRL.pdf, friendlyName=Deschide sursa</x:v>
      </x:c>
    </x:row>
    <x:row r="7" ht="36" customHeight="1">
      <x:c r="A7" s="8" t="str">
        <x:v>F0003</x:v>
      </x:c>
      <x:c r="B7" s="8" t="str">
        <x:v>AFIR FotoVoltaic 1.zip</x:v>
      </x:c>
      <x:c r="C7" s="8" t="str">
        <x:v>Implementare / documente suport</x:v>
      </x:c>
      <x:c r="D7" s="12" t="str"/>
      <x:c r="E7" s="11" t="str"/>
      <x:c r="F7" s="12" t="str"/>
      <x:c r="G7" s="11" t="str"/>
      <x:c r="H7" s="8" t="str"/>
      <x:c r="I7" s="8" t="str">
        <x:v>Document local; transmiterea individuală neconfirmată</x:v>
      </x:c>
      <x:c r="J7" s="8" t="str"/>
      <x:c r="K7" s="8" t="str">
        <x:v>Necesită citire vizuală / OCR / formular XFA</x:v>
      </x:c>
      <x:c r="L7" s="8" t="e">
        <x:f>HYPERLINK("file:///Z:/00. Proiecte 2025/AFIR FotoVoltaic 1/AFIR FotoVoltaic 1.zip","Deschide sursa")</x:f>
        <x:v>HYPERLINK is not implemented. linkLocation=file:///Z:/00. Proiecte 2025/AFIR FotoVoltaic 1/AFIR FotoVoltaic 1.zip, friendlyName=Deschide sursa</x:v>
      </x:c>
    </x:row>
    <x:row r="8" ht="36" customHeight="1">
      <x:c r="A8" s="8" t="str">
        <x:v>F0004</x:v>
      </x:c>
      <x:c r="B8" s="8" t="str">
        <x:v>Cerere finantare surse regenerabile de energie si stocarea energiei.pdf</x:v>
      </x:c>
      <x:c r="C8" s="8" t="str">
        <x:v>Implementare / documente suport</x:v>
      </x:c>
      <x:c r="D8" s="12" t="str"/>
      <x:c r="E8" s="11" t="str"/>
      <x:c r="F8" s="12" t="str"/>
      <x:c r="G8" s="11" t="str"/>
      <x:c r="H8" s="8" t="str"/>
      <x:c r="I8" s="8" t="str">
        <x:v>Document local; transmiterea individuală neconfirmată</x:v>
      </x:c>
      <x:c r="J8" s="8" t="str"/>
      <x:c r="K8" s="8" t="str">
        <x:v>Necesită citire vizuală / OCR / formular XFA</x:v>
      </x:c>
      <x:c r="L8" s="8" t="e">
        <x:f>HYPERLINK("file:///Z:/00. Proiecte 2025/AFIR FotoVoltaic 1/Cerere finantare surse regenerabile de energie si stocarea energiei.pdf","Deschide sursa")</x:f>
        <x:v>HYPERLINK is not implemented. linkLocation=file:///Z:/00. Proiecte 2025/AFIR FotoVoltaic 1/Cerere finantare surse regenerabile de energie si stocarea energiei.pdf, friendlyName=Deschide sursa</x:v>
      </x:c>
    </x:row>
    <x:row r="9" ht="36" customHeight="1">
      <x:c r="A9" s="8" t="str">
        <x:v>F0005</x:v>
      </x:c>
      <x:c r="B9" s="8" t="str">
        <x:v>Documente.xlsx</x:v>
      </x:c>
      <x:c r="C9" s="8" t="str">
        <x:v>Implementare / documente suport</x:v>
      </x:c>
      <x:c r="D9" s="12" t="str"/>
      <x:c r="E9" s="11" t="str"/>
      <x:c r="F9" s="12" t="str"/>
      <x:c r="G9" s="11" t="str"/>
      <x:c r="H9" s="8" t="str"/>
      <x:c r="I9" s="8" t="str">
        <x:v>Document local; transmiterea individuală neconfirmată</x:v>
      </x:c>
      <x:c r="J9" s="8" t="str"/>
      <x:c r="K9" s="8" t="str">
        <x:v>Necesită citire vizuală / OCR / formular XFA</x:v>
      </x:c>
      <x:c r="L9" s="8" t="e">
        <x:f>HYPERLINK("file:///Z:/00. Proiecte 2025/AFIR FotoVoltaic 1/Documente.xlsx","Deschide sursa")</x:f>
        <x:v>HYPERLINK is not implemented. linkLocation=file:///Z:/00. Proiecte 2025/AFIR FotoVoltaic 1/Documente.xlsx, friendlyName=Deschide sursa</x:v>
      </x:c>
    </x:row>
    <x:row r="10" ht="36" customHeight="1">
      <x:c r="A10" s="8" t="str">
        <x:v>F0006</x:v>
      </x:c>
      <x:c r="B10" s="8" t="str">
        <x:v>Pentru Analiza Cost Beneficiu.docx</x:v>
      </x:c>
      <x:c r="C10" s="8" t="str">
        <x:v>Implementare / documente suport</x:v>
      </x:c>
      <x:c r="D10" s="12" t="str"/>
      <x:c r="E10" s="11" t="str"/>
      <x:c r="F10" s="12" t="str"/>
      <x:c r="G10" s="11" t="str"/>
      <x:c r="H10" s="8" t="str"/>
      <x:c r="I10" s="8" t="str">
        <x:v>Document local; transmiterea individuală neconfirmată</x:v>
      </x:c>
      <x:c r="J10" s="8" t="str">
        <x:v>Nr. crt. | Tip venituri | Factor de conversie | a | b | 1 | 2 | 3 | 4 | 5 | 10 | 15
Nr. crt. | Tip cheltuieli | a | b | 1 | 2 | 3 | 4 | 5 | 10 | 15</x:v>
      </x:c>
      <x:c r="K10" s="8" t="str">
        <x:v>Text extras; numerele din referințe sunt în coloana separată</x:v>
      </x:c>
      <x:c r="L10" s="8" t="e">
        <x:f>HYPERLINK("file:///Z:/00. Proiecte 2025/AFIR FotoVoltaic 1/Pentru Analiza Cost Beneficiu.docx","Deschide sursa")</x:f>
        <x:v>HYPERLINK is not implemented. linkLocation=file:///Z:/00. Proiecte 2025/AFIR FotoVoltaic 1/Pentru Analiza Cost Beneficiu.docx, friendlyName=Deschide sursa</x:v>
      </x:c>
    </x:row>
    <x:row r="11" ht="120" customHeight="1">
      <x:c r="A11" s="8" t="str">
        <x:v>F0007</x:v>
      </x:c>
      <x:c r="B11" s="8" t="str">
        <x:v>Pentru Memoriul tehnic.docx</x:v>
      </x:c>
      <x:c r="C11" s="8" t="str">
        <x:v>Implementare / documente suport</x:v>
      </x:c>
      <x:c r="D11" s="12" t="str"/>
      <x:c r="E11" s="11" t="str"/>
      <x:c r="F11" s="12" t="str"/>
      <x:c r="G11" s="11" t="str"/>
      <x:c r="H11" s="8" t="str"/>
      <x:c r="I11" s="8" t="str">
        <x:v>Document local; transmiterea individuală neconfirmată</x:v>
      </x:c>
      <x:c r="J11" s="8" t="str">
        <x:v>Nr. 109, Cluj-Napoca, Jud. Cluj, România
nregistrat un consum de energie electrică în anul 2021 de 19.086 MWh, defalcat la nivel lunar, conform tabelului de mai jos:
nr. _________ , _________ , și _________ m2 se vor monta 1818 panouri fotovoltaice de 550 Wp orientate spre SUD-VEST, conectate prin cablu de c.c. la 6 invertoare
NRE:Nr. 201814803/2018, Gr. IIIA, IIIB
NRE: Nr. 201814803/2018, Gr. IIIA, IIIB
NRR | 1,743,000.00 | 1,743,000.00 | lei/MWh</x:v>
      </x:c>
      <x:c r="K11" s="8" t="str">
        <x:v>Text extras; numerele din referințe sunt în coloana separată</x:v>
      </x:c>
      <x:c r="L11" s="8" t="e">
        <x:f>HYPERLINK("file:///Z:/00. Proiecte 2025/AFIR FotoVoltaic 1/Pentru Memoriul tehnic.docx","Deschide sursa")</x:f>
        <x:v>HYPERLINK is not implemented. linkLocation=file:///Z:/00. Proiecte 2025/AFIR FotoVoltaic 1/Pentru Memoriul tehnic.docx, friendlyName=Deschide sursa</x:v>
      </x:c>
    </x:row>
    <x:row r="12" ht="36" customHeight="1">
      <x:c r="A12" s="8" t="str">
        <x:v>F0047</x:v>
      </x:c>
      <x:c r="B12" s="8" t="str">
        <x:v>act constitutiv cesiro production.pdf</x:v>
      </x:c>
      <x:c r="C12" s="8" t="str">
        <x:v>Implementare / documente suport</x:v>
      </x:c>
      <x:c r="D12" s="12" t="str"/>
      <x:c r="E12" s="11" t="str"/>
      <x:c r="F12" s="12" t="str"/>
      <x:c r="G12" s="11" t="str"/>
      <x:c r="H12" s="8" t="str"/>
      <x:c r="I12" s="8" t="str">
        <x:v>Document local; transmiterea individuală neconfirmată</x:v>
      </x:c>
      <x:c r="J12" s="8" t="str"/>
      <x:c r="K12" s="8" t="str">
        <x:v>Text extras; numerele din referințe sunt în coloana separată</x:v>
      </x:c>
      <x:c r="L12" s="8" t="e">
        <x:f>HYPERLINK("file:///Z:/00. Proiecte 2025/AFIR FotoVoltaic 1/1. Documente Cesiro Production SRL/act constitutiv cesiro production.pdf","Deschide sursa")</x:f>
        <x:v>HYPERLINK is not implemented. linkLocation=file:///Z:/00. Proiecte 2025/AFIR FotoVoltaic 1/1. Documente Cesiro Production SRL/act constitutiv cesiro production.pdf, friendlyName=Deschide sursa</x:v>
      </x:c>
    </x:row>
    <x:row r="13" ht="36" customHeight="1">
      <x:c r="A13" s="8" t="str">
        <x:v>F0048</x:v>
      </x:c>
      <x:c r="B13" s="8" t="str">
        <x:v>cazier fiscal production 24.01.2024 117823718CF.pdf</x:v>
      </x:c>
      <x:c r="C13" s="8" t="str">
        <x:v>Implementare / documente suport</x:v>
      </x:c>
      <x:c r="D13" s="12" t="str"/>
      <x:c r="E13" s="11" t="str"/>
      <x:c r="F13" s="12" t="str"/>
      <x:c r="G13" s="11" t="str"/>
      <x:c r="H13" s="8" t="str"/>
      <x:c r="I13" s="8" t="str">
        <x:v>Document local; transmiterea individuală neconfirmată</x:v>
      </x:c>
      <x:c r="J13" s="8" t="str">
        <x:v>nr. din data de117823718 24.01.2024 se certifică prin prezenta:
Nr.înregistrare Data 24/01/2024</x:v>
      </x:c>
      <x:c r="K13" s="8" t="str">
        <x:v>Text extras; numerele din referințe sunt în coloana separată</x:v>
      </x:c>
      <x:c r="L13" s="8" t="e">
        <x:f>HYPERLINK("file:///Z:/00. Proiecte 2025/AFIR FotoVoltaic 1/1. Documente Cesiro Production SRL/cazier fiscal production 24.01.2024 117823718CF.pdf","Deschide sursa")</x:f>
        <x:v>HYPERLINK is not implemented. linkLocation=file:///Z:/00. Proiecte 2025/AFIR FotoVoltaic 1/1. Documente Cesiro Production SRL/cazier fiscal production 24.01.2024 117823718CF.pdf, friendlyName=Deschide sursa</x:v>
      </x:c>
    </x:row>
    <x:row r="14" ht="274" customHeight="1">
      <x:c r="A14" s="8" t="str">
        <x:v>F0049</x:v>
      </x:c>
      <x:c r="B14" s="8" t="str">
        <x:v>certificat constatator 29.01.2024.pdf</x:v>
      </x:c>
      <x:c r="C14" s="8" t="str">
        <x:v>Implementare / documente suport</x:v>
      </x:c>
      <x:c r="D14" s="12" t="str"/>
      <x:c r="E14" s="11" t="str"/>
      <x:c r="F14" s="12" t="str"/>
      <x:c r="G14" s="11" t="str"/>
      <x:c r="H14" s="8" t="str">
        <x:v>112166 / 29.01.2024</x:v>
      </x:c>
      <x:c r="I14" s="8" t="str">
        <x:v>Document local; transmiterea individuală neconfirmată</x:v>
      </x:c>
      <x:c r="J14" s="8" t="str">
        <x:v>nrc.ro; E-mail: onrc@onrc.ro;Cod de Identificare Fiscala: 14942091;
Nr.: 112166/29.01.2024
nregistrată sub nr. 112166 din 29.01.2024, Oficiul Naţional al Registrului Comerţului certifică informaţiile referitoare la
NRC.J1/1328/2021
nregistrare: 45050734
nregistrare: B4406217, emis pe data de 13.10.2021 si eliberat la data 14.10.2021
nr. 11067 din data 13.10.2021
nr. înch./dată înch.: 841/26.01.2024
nr. 1 din data 12.10.2021
nr.31/1990
nr. 2 din data 12.01.2021
nr. 45801 din 12.10.2021
nr. 1593 din 25.01.2024
nregistrare este prevăzută de lege, în cel mult 15 zile de la data actelor sau producerii faptelor supuse obligaţiei de înregistrare.
nregistrarea menţiunilor se poate face şi la cererea persoanelor interesate, în cazurile prevăzute de lege, în termen de cel mult 30 de zile de la data la
nr. 679/2016 privind</x:v>
      </x:c>
      <x:c r="K14" s="8" t="str">
        <x:v>Text extras; numerele din referințe sunt în coloana separată</x:v>
      </x:c>
      <x:c r="L14" s="8" t="e">
        <x:f>HYPERLINK("file:///Z:/00. Proiecte 2025/AFIR FotoVoltaic 1/1. Documente Cesiro Production SRL/certificat constatator 29.01.2024.pdf","Deschide sursa")</x:f>
        <x:v>HYPERLINK is not implemented. linkLocation=file:///Z:/00. Proiecte 2025/AFIR FotoVoltaic 1/1. Documente Cesiro Production SRL/certificat constatator 29.01.2024.pdf, friendlyName=Deschide sursa</x:v>
      </x:c>
    </x:row>
    <x:row r="15" ht="260" customHeight="1">
      <x:c r="A15" s="8" t="str">
        <x:v>F0050</x:v>
      </x:c>
      <x:c r="B15" s="8" t="str">
        <x:v>Certificat Constatator Cesiro Production 26.01.2024.pdf</x:v>
      </x:c>
      <x:c r="C15" s="8" t="str">
        <x:v>Implementare / documente suport</x:v>
      </x:c>
      <x:c r="D15" s="12" t="str"/>
      <x:c r="E15" s="11" t="str"/>
      <x:c r="F15" s="12" t="str"/>
      <x:c r="G15" s="11" t="str"/>
      <x:c r="H15" s="8" t="str">
        <x:v>201842 / 14.02.2024</x:v>
      </x:c>
      <x:c r="I15" s="8" t="str">
        <x:v>Document local; transmiterea individuală neconfirmată</x:v>
      </x:c>
      <x:c r="J15" s="8" t="str">
        <x:v>nrc.ro; E-mail: onrc@onrc.ro; Cod de identificare Fiscală: 14942091.
Nr.: 201842/14.02.2024
nregistrată sub nr. 201842 din 14.02.2024, Oficiul Naţional al Registrului Comerţului certifică informaţiile referitoare la
NRC.J1/1328/2021
nregistrare: 45050734
nregistrare: B4836397, emis pe data de 14.02.2024 si eliberat la data 15.02.2024
nr. 11067 din data 13.10.2021
nr. 1 din data 12.10.2021
nr.31/1990
nr. 2 din data 12.01.2021
nr. 3249 din 13.02.2024
nr. 45801 din 12.10.2021
nregistrare este prevăzută de lege, în cel mult 15 zile de la data actelor sau producerii faptelor supuse obligaţiei de înregistrare.
nregistrarea menţiunilor se poate face şi la cererea persoanelor interesate, în cazurile prevăzute de lege, în termen de cel mult 30 de zile de la data la
nr. 679/2016 privind</x:v>
      </x:c>
      <x:c r="K15" s="8" t="str">
        <x:v>Text extras; numerele din referințe sunt în coloana separată</x:v>
      </x:c>
      <x:c r="L15" s="8" t="e">
        <x:f>HYPERLINK("file:///Z:/00. Proiecte 2025/AFIR FotoVoltaic 1/1. Documente Cesiro Production SRL/Certificat Constatator Cesiro Production 26.01.2024.pdf","Deschide sursa")</x:f>
        <x:v>HYPERLINK is not implemented. linkLocation=file:///Z:/00. Proiecte 2025/AFIR FotoVoltaic 1/1. Documente Cesiro Production SRL/Certificat Constatator Cesiro Production 26.01.2024.pdf, friendlyName=Deschide sursa</x:v>
      </x:c>
    </x:row>
    <x:row r="16" ht="36" customHeight="1">
      <x:c r="A16" s="8" t="str">
        <x:v>F0051</x:v>
      </x:c>
      <x:c r="B16" s="8" t="str">
        <x:v>Cesiro Production.pdf</x:v>
      </x:c>
      <x:c r="C16" s="8" t="str">
        <x:v>Implementare / documente suport</x:v>
      </x:c>
      <x:c r="D16" s="12" t="str"/>
      <x:c r="E16" s="11" t="str"/>
      <x:c r="F16" s="12" t="str"/>
      <x:c r="G16" s="11" t="str"/>
      <x:c r="H16" s="8" t="str"/>
      <x:c r="I16" s="8" t="str">
        <x:v>Document local; transmiterea individuală neconfirmată</x:v>
      </x:c>
      <x:c r="J16" s="8" t="str"/>
      <x:c r="K16" s="8" t="str">
        <x:v>Text extras; numerele din referințe sunt în coloana separată</x:v>
      </x:c>
      <x:c r="L16" s="8" t="e">
        <x:f>HYPERLINK("file:///Z:/00. Proiecte 2025/AFIR FotoVoltaic 1/1. Documente Cesiro Production SRL/Cesiro Production.pdf","Deschide sursa")</x:f>
        <x:v>HYPERLINK is not implemented. linkLocation=file:///Z:/00. Proiecte 2025/AFIR FotoVoltaic 1/1. Documente Cesiro Production SRL/Cesiro Production.pdf, friendlyName=Deschide sursa</x:v>
      </x:c>
    </x:row>
    <x:row r="17" ht="36" customHeight="1">
      <x:c r="A17" s="8" t="str">
        <x:v>F0053</x:v>
      </x:c>
      <x:c r="B17" s="8" t="str">
        <x:v>Stampila Cesiro SA.pdf</x:v>
      </x:c>
      <x:c r="C17" s="8" t="str">
        <x:v>Implementare / documente suport</x:v>
      </x:c>
      <x:c r="D17" s="12" t="str"/>
      <x:c r="E17" s="11" t="str"/>
      <x:c r="F17" s="12" t="str"/>
      <x:c r="G17" s="11" t="str"/>
      <x:c r="H17" s="8" t="str"/>
      <x:c r="I17" s="8" t="str">
        <x:v>Document local; transmiterea individuală neconfirmată</x:v>
      </x:c>
      <x:c r="J17" s="8" t="str"/>
      <x:c r="K17" s="8" t="str">
        <x:v>Text extras; numerele din referințe sunt în coloana separată</x:v>
      </x:c>
      <x:c r="L17" s="8" t="e">
        <x:f>HYPERLINK("file:///Z:/00. Proiecte 2025/AFIR FotoVoltaic 1/1. Documente Cesiro Production SRL/Stampila Cesiro SA.pdf","Deschide sursa")</x:f>
        <x:v>HYPERLINK is not implemented. linkLocation=file:///Z:/00. Proiecte 2025/AFIR FotoVoltaic 1/1. Documente Cesiro Production SRL/Stampila Cesiro SA.pdf, friendlyName=Deschide sursa</x:v>
      </x:c>
    </x:row>
    <x:row r="18" ht="36" customHeight="1">
      <x:c r="A18" s="8" t="str">
        <x:v>F0055</x:v>
      </x:c>
      <x:c r="B18" s="8" t="str">
        <x:v>4. Contractare.zip</x:v>
      </x:c>
      <x:c r="C18" s="8" t="str">
        <x:v>Contractare</x:v>
      </x:c>
      <x:c r="D18" s="12" t="str"/>
      <x:c r="E18" s="11" t="str"/>
      <x:c r="F18" s="12" t="str"/>
      <x:c r="G18" s="11" t="str"/>
      <x:c r="H18" s="8" t="str"/>
      <x:c r="I18" s="8" t="str">
        <x:v>Document local; transmiterea individuală neconfirmată</x:v>
      </x:c>
      <x:c r="J18" s="8" t="str"/>
      <x:c r="K18" s="8" t="str">
        <x:v>Necesită citire vizuală / OCR / formular XFA</x:v>
      </x:c>
      <x:c r="L18" s="8" t="e">
        <x:f>HYPERLINK("file:///Z:/00. Proiecte 2025/AFIR FotoVoltaic 1/10. Contractare/4. Contractare.zip","Deschide sursa")</x:f>
        <x:v>HYPERLINK is not implemented. linkLocation=file:///Z:/00. Proiecte 2025/AFIR FotoVoltaic 1/10. Contractare/4. Contractare.zip, friendlyName=Deschide sursa</x:v>
      </x:c>
    </x:row>
    <x:row r="19" ht="36" customHeight="1">
      <x:c r="A19" s="8" t="str">
        <x:v>F0056</x:v>
      </x:c>
      <x:c r="B19" s="8" t="str">
        <x:v>AnexaIII_FM semnat.pdf</x:v>
      </x:c>
      <x:c r="C19" s="8" t="str">
        <x:v>Contractare</x:v>
      </x:c>
      <x:c r="D19" s="12" t="str"/>
      <x:c r="E19" s="11" t="str"/>
      <x:c r="F19" s="12" t="str"/>
      <x:c r="G19" s="11" t="str"/>
      <x:c r="H19" s="8" t="str"/>
      <x:c r="I19" s="8" t="str">
        <x:v>Document local; transmiterea individuală neconfirmată</x:v>
      </x:c>
      <x:c r="J19" s="8" t="str">
        <x:v>nregistrare: 45050734
nr.: CFMSES011011372801030</x:v>
      </x:c>
      <x:c r="K19" s="8" t="str">
        <x:v>Text extras; numerele din referințe sunt în coloana separată</x:v>
      </x:c>
      <x:c r="L19" s="8" t="e">
        <x:f>HYPERLINK("file:///Z:/00. Proiecte 2025/AFIR FotoVoltaic 1/11. Contract Finantare Semnat/AnexaIII_FM semnat.pdf","Deschide sursa")</x:f>
        <x:v>HYPERLINK is not implemented. linkLocation=file:///Z:/00. Proiecte 2025/AFIR FotoVoltaic 1/11. Contract Finantare Semnat/AnexaIII_FM semnat.pdf, friendlyName=Deschide sursa</x:v>
      </x:c>
    </x:row>
    <x:row r="20" ht="36" customHeight="1">
      <x:c r="A20" s="8" t="str">
        <x:v>F0057</x:v>
      </x:c>
      <x:c r="B20" s="8" t="str">
        <x:v>AnexaII_FM semnat.pdf</x:v>
      </x:c>
      <x:c r="C20" s="8" t="str">
        <x:v>Contractare</x:v>
      </x:c>
      <x:c r="D20" s="12" t="str"/>
      <x:c r="E20" s="11" t="str"/>
      <x:c r="F20" s="12" t="str"/>
      <x:c r="G20" s="11" t="str"/>
      <x:c r="H20" s="8" t="str"/>
      <x:c r="I20" s="8" t="str">
        <x:v>Document local; transmiterea individuală neconfirmată</x:v>
      </x:c>
      <x:c r="J20" s="8" t="str">
        <x:v>Nr: 23, Jud: Alba, Tel: 0358 860 245
Nr: 23, Jud: ALBA, Tel: 0258 813 737</x:v>
      </x:c>
      <x:c r="K20" s="8" t="str">
        <x:v>Text extras; numerele din referințe sunt în coloana separată</x:v>
      </x:c>
      <x:c r="L20" s="8" t="e">
        <x:f>HYPERLINK("file:///Z:/00. Proiecte 2025/AFIR FotoVoltaic 1/11. Contract Finantare Semnat/AnexaII_FM semnat.pdf","Deschide sursa")</x:f>
        <x:v>HYPERLINK is not implemented. linkLocation=file:///Z:/00. Proiecte 2025/AFIR FotoVoltaic 1/11. Contract Finantare Semnat/AnexaII_FM semnat.pdf, friendlyName=Deschide sursa</x:v>
      </x:c>
    </x:row>
    <x:row r="21" ht="36" customHeight="1">
      <x:c r="A21" s="8" t="str">
        <x:v>F0058</x:v>
      </x:c>
      <x:c r="B21" s="8" t="str">
        <x:v>AnexaIV_FM semnat.pdf</x:v>
      </x:c>
      <x:c r="C21" s="8" t="str">
        <x:v>Contractare</x:v>
      </x:c>
      <x:c r="D21" s="12" t="str"/>
      <x:c r="E21" s="11" t="str"/>
      <x:c r="F21" s="12" t="str"/>
      <x:c r="G21" s="11" t="str"/>
      <x:c r="H21" s="8" t="str"/>
      <x:c r="I21" s="8" t="str">
        <x:v>Document local; transmiterea individuală neconfirmată</x:v>
      </x:c>
      <x:c r="J21" s="8" t="str">
        <x:v>Nr: 23, Jud: Alba, Tel: 0358 860 245</x:v>
      </x:c>
      <x:c r="K21" s="8" t="str">
        <x:v>Text extras; numerele din referințe sunt în coloana separată</x:v>
      </x:c>
      <x:c r="L21" s="8" t="e">
        <x:f>HYPERLINK("file:///Z:/00. Proiecte 2025/AFIR FotoVoltaic 1/11. Contract Finantare Semnat/AnexaIV_FM semnat.pdf","Deschide sursa")</x:f>
        <x:v>HYPERLINK is not implemented. linkLocation=file:///Z:/00. Proiecte 2025/AFIR FotoVoltaic 1/11. Contract Finantare Semnat/AnexaIV_FM semnat.pdf, friendlyName=Deschide sursa</x:v>
      </x:c>
    </x:row>
    <x:row r="22" ht="176" customHeight="1">
      <x:c r="A22" s="8" t="str">
        <x:v>F0059</x:v>
      </x:c>
      <x:c r="B22" s="8" t="str">
        <x:v>AnexaI_FM semnat.pdf</x:v>
      </x:c>
      <x:c r="C22" s="8" t="str">
        <x:v>Contractare</x:v>
      </x:c>
      <x:c r="D22" s="12" t="str"/>
      <x:c r="E22" s="11" t="str"/>
      <x:c r="F22" s="12" t="str"/>
      <x:c r="G22" s="11" t="str"/>
      <x:c r="H22" s="8" t="str"/>
      <x:c r="I22" s="8" t="str">
        <x:v>Document local; transmiterea individuală neconfirmată</x:v>
      </x:c>
      <x:c r="J22" s="8" t="str">
        <x:v>Nr: 23, Jud: ALBA, Tel: 0258 813 737
nr. 679/2016 privind protecţia persoanelor fizice în
nr. 45/2001 şi a Deciziei nr.
nr.77/2014.
nr. 77/2014.
nr.77/2014, privind procedurile naţionale în domeniul ajutorului
nr. 21/1996, aprobată cu
nr. 20/2015, cu modificările şi completările ulterioare e,
nr.77/2014, cu modificările şi completările ulterioare,
nr.77/2014, cu modificările și completările
nr. 77/2014, cu modificările și completările ulterioare, de la
nr. 77/2014, cu</x:v>
      </x:c>
      <x:c r="K22" s="8" t="str">
        <x:v>Text extras; numerele din referințe sunt în coloana separată</x:v>
      </x:c>
      <x:c r="L22" s="8" t="e">
        <x:f>HYPERLINK("file:///Z:/00. Proiecte 2025/AFIR FotoVoltaic 1/11. Contract Finantare Semnat/AnexaI_FM semnat.pdf","Deschide sursa")</x:f>
        <x:v>HYPERLINK is not implemented. linkLocation=file:///Z:/00. Proiecte 2025/AFIR FotoVoltaic 1/11. Contract Finantare Semnat/AnexaI_FM semnat.pdf, friendlyName=Deschide sursa</x:v>
      </x:c>
    </x:row>
    <x:row r="23" ht="36" customHeight="1">
      <x:c r="A23" s="8" t="str">
        <x:v>F0060</x:v>
      </x:c>
      <x:c r="B23" s="8" t="str">
        <x:v>AnexaI_FM semnat.zip</x:v>
      </x:c>
      <x:c r="C23" s="8" t="str">
        <x:v>Contractare</x:v>
      </x:c>
      <x:c r="D23" s="12" t="str"/>
      <x:c r="E23" s="11" t="str"/>
      <x:c r="F23" s="12" t="str"/>
      <x:c r="G23" s="11" t="str"/>
      <x:c r="H23" s="8" t="str"/>
      <x:c r="I23" s="8" t="str">
        <x:v>Document local; transmiterea individuală neconfirmată</x:v>
      </x:c>
      <x:c r="J23" s="8" t="str"/>
      <x:c r="K23" s="8" t="str">
        <x:v>Necesită citire vizuală / OCR / formular XFA</x:v>
      </x:c>
      <x:c r="L23" s="8" t="e">
        <x:f>HYPERLINK("file:///Z:/00. Proiecte 2025/AFIR FotoVoltaic 1/11. Contract Finantare Semnat/AnexaI_FM semnat.zip","Deschide sursa")</x:f>
        <x:v>HYPERLINK is not implemented. linkLocation=file:///Z:/00. Proiecte 2025/AFIR FotoVoltaic 1/11. Contract Finantare Semnat/AnexaI_FM semnat.zip, friendlyName=Deschide sursa</x:v>
      </x:c>
    </x:row>
    <x:row r="24" ht="120" customHeight="1">
      <x:c r="A24" s="8" t="str">
        <x:v>F0061</x:v>
      </x:c>
      <x:c r="B24" s="8" t="str">
        <x:v>Contract de finatnare Afir Cesiro Production.pdf</x:v>
      </x:c>
      <x:c r="C24" s="8" t="str">
        <x:v>Contractare</x:v>
      </x:c>
      <x:c r="D24" s="12" t="str"/>
      <x:c r="E24" s="11" t="str"/>
      <x:c r="F24" s="12" t="str"/>
      <x:c r="G24" s="11" t="str"/>
      <x:c r="H24" s="8" t="str"/>
      <x:c r="I24" s="8" t="str">
        <x:v>Document local; transmiterea individuală neconfirmată</x:v>
      </x:c>
      <x:c r="J24" s="8" t="str">
        <x:v>Nr: 23, Jud: ALBA, Tel: 0358 860 245
Nr. CFMSES011011372801030
nr. 618936, CNP 1721019120687, în calitate de
nr. FFMSES011011372801030, IMPLEMENTAREA SISTEMULUI
nr. CFMSES011011372801030
nr. III.3 la prezentul Contract de finanțare.
nr. 910/2014, care se află în lista oficială a
nr.679/2016 al Parlamentului European și al Consiliului Uniunii Europene privind protecţia persoanelor fizice</x:v>
      </x:c>
      <x:c r="K24" s="8" t="str">
        <x:v>Text extras; numerele din referințe sunt în coloana separată</x:v>
      </x:c>
      <x:c r="L24" s="8" t="e">
        <x:f>HYPERLINK("file:///Z:/00. Proiecte 2025/AFIR FotoVoltaic 1/11. Contract Finantare Semnat/Contract de finatnare Afir Cesiro Production.pdf","Deschide sursa")</x:f>
        <x:v>HYPERLINK is not implemented. linkLocation=file:///Z:/00. Proiecte 2025/AFIR FotoVoltaic 1/11. Contract Finantare Semnat/Contract de finatnare Afir Cesiro Production.pdf, friendlyName=Deschide sursa</x:v>
      </x:c>
    </x:row>
    <x:row r="25" ht="36" customHeight="1">
      <x:c r="A25" s="8" t="str">
        <x:v>F0062</x:v>
      </x:c>
      <x:c r="B25" s="8" t="str">
        <x:v>Draft sigla si antent cesiro production.docx</x:v>
      </x:c>
      <x:c r="C25" s="8" t="str">
        <x:v>Implementare / documente suport</x:v>
      </x:c>
      <x:c r="D25" s="12" t="str"/>
      <x:c r="E25" s="11" t="str"/>
      <x:c r="F25" s="12" t="str"/>
      <x:c r="G25" s="11" t="str"/>
      <x:c r="H25" s="8" t="str"/>
      <x:c r="I25" s="8" t="str">
        <x:v>Versiune de lucru / arhivă</x:v>
      </x:c>
      <x:c r="J25" s="8" t="str"/>
      <x:c r="K25" s="8" t="str">
        <x:v>Necesită citire vizuală / OCR / formular XFA</x:v>
      </x:c>
      <x:c r="L25" s="8" t="e">
        <x:f>HYPERLINK("file:///Z:/00. Proiecte 2025/AFIR FotoVoltaic 1/15. Implementare Proiect Fotovoltaic/Draft sigla si antent cesiro production.docx","Deschide sursa")</x:f>
        <x:v>HYPERLINK is not implemented. linkLocation=file:///Z:/00. Proiecte 2025/AFIR FotoVoltaic 1/15. Implementare Proiect Fotovoltaic/Draft sigla si antent cesiro production.docx, friendlyName=Deschide sursa</x:v>
      </x:c>
    </x:row>
    <x:row r="26" ht="204" customHeight="1">
      <x:c r="A26" s="8" t="str">
        <x:v>F0063</x:v>
      </x:c>
      <x:c r="B26" s="8" t="str">
        <x:v>INDRUMAR Achizitii Privati ENERGIE E.1 Rev.0 2026.pdf</x:v>
      </x:c>
      <x:c r="C26" s="8" t="str">
        <x:v>Implementare / documente suport</x:v>
      </x:c>
      <x:c r="D26" s="12" t="str"/>
      <x:c r="E26" s="11" t="str"/>
      <x:c r="F26" s="12" t="str"/>
      <x:c r="G26" s="11" t="str"/>
      <x:c r="H26" s="8" t="str"/>
      <x:c r="I26" s="8" t="str">
        <x:v>Document local; transmiterea individuală neconfirmată</x:v>
      </x:c>
      <x:c r="J26" s="8" t="str">
        <x:v>nr. 142/ 2026
nr. 348 din 29 aprilie 2026.
nr. 70/ 2023, cu modificările și completările ulterioare, denumită în continuare Schema de energie
nr. 98/2016 privind achizițiile publice,
nr. 99/2016 privind achizițiile
nr. 287/2009 privind Codul civil, republicată, cu modificările și completările ulterioare, care
nr. 910/ 2014 privind identificarea electronică și serviciile de încredere
nr. 129/ 2019 pentru prevenirea
NRC) din care rezultă beneficiarul real, potrivit Legii nr. 129/2019, cu modificările și
nr. 129/2019, cu modificările și completările ulterioare; declarația se
nr. 129/2019, cu modificările și completările ulterioare.
nr. 45/2001 și a Deciziei nr. 1.247/2002/CE, cu modificările
nr. 41/2014 privind înființarea, organizarea și funcționarea Agenției
nr. 43/2015, cu modificările și completările ulterioare, și</x:v>
      </x:c>
      <x:c r="K26" s="8" t="str">
        <x:v>Text extras; numerele din referințe sunt în coloana separată</x:v>
      </x:c>
      <x:c r="L26" s="8" t="e">
        <x:f>HYPERLINK("file:///Z:/00. Proiecte 2025/AFIR FotoVoltaic 1/15. Implementare Proiect Fotovoltaic/INDRUMAR Achizitii Privati ENERGIE E.1 Rev.0 2026.pdf","Deschide sursa")</x:f>
        <x:v>HYPERLINK is not implemented. linkLocation=file:///Z:/00. Proiecte 2025/AFIR FotoVoltaic 1/15. Implementare Proiect Fotovoltaic/INDRUMAR Achizitii Privati ENERGIE E.1 Rev.0 2026.pdf, friendlyName=Deschide sursa</x:v>
      </x:c>
    </x:row>
    <x:row r="27" ht="50" customHeight="1">
      <x:c r="A27" s="8" t="str">
        <x:v>F0064</x:v>
      </x:c>
      <x:c r="B27" s="8" t="str">
        <x:v>CESIRO PRODUCTION S.R.L. – CFMSES011011372801030, Schema de Energie-Fondul pentru Modernizare.docx</x:v>
      </x:c>
      <x:c r="C27" s="8" t="str">
        <x:v>Implementare / documente suport</x:v>
      </x:c>
      <x:c r="D27" s="12" t="str"/>
      <x:c r="E27" s="11" t="str"/>
      <x:c r="F27" s="12" t="str"/>
      <x:c r="G27" s="11" t="str"/>
      <x:c r="H27" s="8" t="str"/>
      <x:c r="I27" s="8" t="str">
        <x:v>Document local; transmiterea individuală neconfirmată</x:v>
      </x:c>
      <x:c r="J27" s="8" t="str">
        <x:v>nr. 60/2022 privind cadrul de implementare al Fondului pentru Modernizare în România.</x:v>
      </x:c>
      <x:c r="K27" s="8" t="str">
        <x:v>Text extras; numerele din referințe sunt în coloana separată</x:v>
      </x:c>
      <x:c r="L27" s="8" t="e">
        <x:f>HYPERLINK("file:///Z:/00. Proiecte 2025/AFIR FotoVoltaic 1/15.1 Promovare-Informare/CESIRO PRODUCTION S.R.L. – CFMSES011011372801030, Schema de Energie-Fondul pentru Modernizare.docx","Deschide sursa")</x:f>
        <x:v>HYPERLINK is not implemented. linkLocation=file:///Z:/00. Proiecte 2025/AFIR FotoVoltaic 1/15.1 Promovare-Informare/CESIRO PRODUCTION S.R.L. – CFMSES011011372801030, Schema de Energie-Fondul pentru Modernizare.docx, friendlyName=Deschide sursa</x:v>
      </x:c>
    </x:row>
    <x:row r="28" ht="36" customHeight="1">
      <x:c r="A28" s="8" t="str">
        <x:v>F0065</x:v>
      </x:c>
      <x:c r="B28" s="8" t="str">
        <x:v>cesiro_pagina_promovare_fm_final.zip</x:v>
      </x:c>
      <x:c r="C28" s="8" t="str">
        <x:v>Implementare / documente suport</x:v>
      </x:c>
      <x:c r="D28" s="12" t="str"/>
      <x:c r="E28" s="11" t="str"/>
      <x:c r="F28" s="12" t="str"/>
      <x:c r="G28" s="11" t="str"/>
      <x:c r="H28" s="8" t="str"/>
      <x:c r="I28" s="8" t="str">
        <x:v>Document local; transmiterea individuală neconfirmată</x:v>
      </x:c>
      <x:c r="J28" s="8" t="str"/>
      <x:c r="K28" s="8" t="str">
        <x:v>Necesită citire vizuală / OCR / formular XFA</x:v>
      </x:c>
      <x:c r="L28" s="8" t="e">
        <x:f>HYPERLINK("file:///Z:/00. Proiecte 2025/AFIR FotoVoltaic 1/15.1 Promovare-Informare/cesiro_pagina_promovare_fm_final.zip","Deschide sursa")</x:f>
        <x:v>HYPERLINK is not implemented. linkLocation=file:///Z:/00. Proiecte 2025/AFIR FotoVoltaic 1/15.1 Promovare-Informare/cesiro_pagina_promovare_fm_final.zip, friendlyName=Deschide sursa</x:v>
      </x:c>
    </x:row>
    <x:row r="29" ht="36" customHeight="1">
      <x:c r="A29" s="8" t="str">
        <x:v>F0067</x:v>
      </x:c>
      <x:c r="B29" s="8" t="str">
        <x:v>f_27338187_ap26_543_01-07-2026_01072026_145239.pdf</x:v>
      </x:c>
      <x:c r="C29" s="8" t="str">
        <x:v>Implementare / documente suport</x:v>
      </x:c>
      <x:c r="D29" s="12" t="str"/>
      <x:c r="E29" s="11" t="str"/>
      <x:c r="F29" s="12" t="str"/>
      <x:c r="G29" s="11" t="str"/>
      <x:c r="H29" s="8" t="str"/>
      <x:c r="I29" s="8" t="str">
        <x:v>Document local; transmiterea individuală neconfirmată</x:v>
      </x:c>
      <x:c r="J29" s="8" t="str">
        <x:v>NR. 5, jud. ALBA
nr. 12 jud. ALBA</x:v>
      </x:c>
      <x:c r="K29" s="8" t="str">
        <x:v>Text extras; numerele din referințe sunt în coloana separată</x:v>
      </x:c>
      <x:c r="L29" s="8" t="e">
        <x:f>HYPERLINK("file:///Z:/00. Proiecte 2025/AFIR FotoVoltaic 1/15.1 Promovare-Informare/f_27338187_ap26_543_01-07-2026_01072026_145239.pdf","Deschide sursa")</x:f>
        <x:v>HYPERLINK is not implemented. linkLocation=file:///Z:/00. Proiecte 2025/AFIR FotoVoltaic 1/15.1 Promovare-Informare/f_27338187_ap26_543_01-07-2026_01072026_145239.pdf, friendlyName=Deschide sursa</x:v>
      </x:c>
    </x:row>
    <x:row r="30" ht="36" customHeight="1">
      <x:c r="A30" s="8" t="str">
        <x:v>F0068</x:v>
      </x:c>
      <x:c r="B30" s="8" t="str">
        <x:v>f_27338187_ap26_543_30-06-2026_01072026_162334.pdf</x:v>
      </x:c>
      <x:c r="C30" s="8" t="str">
        <x:v>Implementare / documente suport</x:v>
      </x:c>
      <x:c r="D30" s="12" t="str"/>
      <x:c r="E30" s="11" t="str"/>
      <x:c r="F30" s="12" t="str"/>
      <x:c r="G30" s="11" t="str"/>
      <x:c r="H30" s="8" t="str"/>
      <x:c r="I30" s="8" t="str">
        <x:v>Document local; transmiterea individuală neconfirmată</x:v>
      </x:c>
      <x:c r="J30" s="8" t="str">
        <x:v>NR. 5, jud. ALBA
nr. 12 jud. ALBA</x:v>
      </x:c>
      <x:c r="K30" s="8" t="str">
        <x:v>Text extras; numerele din referințe sunt în coloana separată</x:v>
      </x:c>
      <x:c r="L30" s="8" t="e">
        <x:f>HYPERLINK("file:///Z:/00. Proiecte 2025/AFIR FotoVoltaic 1/15.1 Promovare-Informare/f_27338187_ap26_543_30-06-2026_01072026_162334.pdf","Deschide sursa")</x:f>
        <x:v>HYPERLINK is not implemented. linkLocation=file:///Z:/00. Proiecte 2025/AFIR FotoVoltaic 1/15.1 Promovare-Informare/f_27338187_ap26_543_30-06-2026_01072026_162334.pdf, friendlyName=Deschide sursa</x:v>
      </x:c>
    </x:row>
    <x:row r="31" ht="36" customHeight="1">
      <x:c r="A31" s="8" t="str">
        <x:v>F0071</x:v>
      </x:c>
      <x:c r="B31" s="8" t="str">
        <x:v>Contract de achizitie Cesiro Production-Suntree_.pdf</x:v>
      </x:c>
      <x:c r="C31" s="8" t="str">
        <x:v>Modificare contract</x:v>
      </x:c>
      <x:c r="D31" s="12" t="str"/>
      <x:c r="E31" s="11" t="str"/>
      <x:c r="F31" s="12" t="str"/>
      <x:c r="G31" s="11" t="str"/>
      <x:c r="H31" s="8" t="str"/>
      <x:c r="I31" s="8" t="str">
        <x:v>Document local; transmiterea individuală neconfirmată</x:v>
      </x:c>
      <x:c r="J31" s="8" t="str">
        <x:v>nr. 10/1995</x:v>
      </x:c>
      <x:c r="K31" s="8" t="str">
        <x:v>Text extras; numerele din referințe sunt în coloana separată</x:v>
      </x:c>
      <x:c r="L31" s="8" t="e">
        <x:f>HYPERLINK("file:///Z:/00. Proiecte 2025/AFIR FotoVoltaic 1/16.1 Act aditional 1/Contract de achizitie Cesiro Production-Suntree_.pdf","Deschide sursa")</x:f>
        <x:v>HYPERLINK is not implemented. linkLocation=file:///Z:/00. Proiecte 2025/AFIR FotoVoltaic 1/16.1 Act aditional 1/Contract de achizitie Cesiro Production-Suntree_.pdf, friendlyName=Deschide sursa</x:v>
      </x:c>
    </x:row>
    <x:row r="32" ht="50" customHeight="1">
      <x:c r="A32" s="8" t="str">
        <x:v>F0072</x:v>
      </x:c>
      <x:c r="B32" s="8" t="str">
        <x:v>Formular_C3_1_completat (1).docx</x:v>
      </x:c>
      <x:c r="C32" s="8" t="str">
        <x:v>Modificare contract</x:v>
      </x:c>
      <x:c r="D32" s="12" t="str"/>
      <x:c r="E32" s="11" t="str"/>
      <x:c r="F32" s="12" t="str"/>
      <x:c r="G32" s="11" t="str"/>
      <x:c r="H32" s="8" t="str"/>
      <x:c r="I32" s="8" t="str">
        <x:v>Document local; transmiterea individuală neconfirmată</x:v>
      </x:c>
      <x:c r="J32" s="8" t="str">
        <x:v>nr. 275/01.02.2024. | Verificarea și avizarea actualizării soluției tehnice și semnarea actului adițional la contractul de achiziție/furnizare nr. 275/01.02.2024.
nr. 1 | Act adiţional nr. 2 | Bugetul revizuit</x:v>
      </x:c>
      <x:c r="K32" s="8" t="str">
        <x:v>Text extras; numerele din referințe sunt în coloana separată</x:v>
      </x:c>
      <x:c r="L32" s="8" t="e">
        <x:f>HYPERLINK("file:///Z:/00. Proiecte 2025/AFIR FotoVoltaic 1/16.1 Act aditional 1/Formular_C3_1_completat (1).docx","Deschide sursa")</x:f>
        <x:v>HYPERLINK is not implemented. linkLocation=file:///Z:/00. Proiecte 2025/AFIR FotoVoltaic 1/16.1 Act aditional 1/Formular_C3_1_completat (1).docx, friendlyName=Deschide sursa</x:v>
      </x:c>
    </x:row>
    <x:row r="33" ht="50" customHeight="1">
      <x:c r="A33" s="8" t="str">
        <x:v>F0073</x:v>
      </x:c>
      <x:c r="B33" s="8" t="str">
        <x:v>Formular_C3_1_completat (1).pdf</x:v>
      </x:c>
      <x:c r="C33" s="8" t="str">
        <x:v>Modificare contract</x:v>
      </x:c>
      <x:c r="D33" s="12" t="str"/>
      <x:c r="E33" s="11" t="str"/>
      <x:c r="F33" s="12" t="str"/>
      <x:c r="G33" s="11" t="str"/>
      <x:c r="H33" s="8" t="str"/>
      <x:c r="I33" s="8" t="str">
        <x:v>Document local; transmiterea individuală neconfirmată</x:v>
      </x:c>
      <x:c r="J33" s="8" t="str">
        <x:v>nr. 275/01.02.2024.
nr. 1
nr. 2</x:v>
      </x:c>
      <x:c r="K33" s="8" t="str">
        <x:v>Text extras; numerele din referințe sunt în coloana separată</x:v>
      </x:c>
      <x:c r="L33" s="8" t="e">
        <x:f>HYPERLINK("file:///Z:/00. Proiecte 2025/AFIR FotoVoltaic 1/16.1 Act aditional 1/Formular_C3_1_completat (1).pdf","Deschide sursa")</x:f>
        <x:v>HYPERLINK is not implemented. linkLocation=file:///Z:/00. Proiecte 2025/AFIR FotoVoltaic 1/16.1 Act aditional 1/Formular_C3_1_completat (1).pdf, friendlyName=Deschide sursa</x:v>
      </x:c>
    </x:row>
    <x:row r="34" ht="134" customHeight="1">
      <x:c r="A34" s="8" t="str">
        <x:v>F0074</x:v>
      </x:c>
      <x:c r="B34" s="8" t="str">
        <x:v>Memoriu_Justificativ_Consolidat_CESIRO (2).docx</x:v>
      </x:c>
      <x:c r="C34" s="8" t="str">
        <x:v>Modificare contract</x:v>
      </x:c>
      <x:c r="D34" s="12" t="str"/>
      <x:c r="E34" s="11" t="str"/>
      <x:c r="F34" s="12" t="str"/>
      <x:c r="G34" s="11" t="str"/>
      <x:c r="H34" s="8" t="str"/>
      <x:c r="I34" s="8" t="str">
        <x:v>Document local; transmiterea individuală neconfirmată</x:v>
      </x:c>
      <x:c r="J34" s="8" t="str">
        <x:v>Nr. ONRC: J2021001328014
nr. 275/01.02.2214 (nr. înregistrare CESIRO PRODUCTION SRL 05/01.02.2214)
nr. CFMSES011011372801030, în vederea fundamentării tehnice, comerciale și financiare a actualizării punctuale a soluției tehnice aferente sistemului fotovoltaic c
nr. CFMSES011011372801030. Obiectivul proiectului este realizarea unei capacități noi de producere a energiei electrice din surse regenerabile solare, cu putere in
nr. 275/01.02.2214 (nr. înregistrare CESIRO PRODUCTION SRL 05/01.02.2214), având ca obiect furnizarea, montarea/instalarea și punerea în funcțiune a instalațiilor
Nr. de bucati | 20 | 2</x:v>
      </x:c>
      <x:c r="K34" s="8" t="str">
        <x:v>Text extras; numerele din referințe sunt în coloana separată</x:v>
      </x:c>
      <x:c r="L34" s="8" t="e">
        <x:f>HYPERLINK("file:///Z:/00. Proiecte 2025/AFIR FotoVoltaic 1/16.1 Act aditional 1/Memoriu_Justificativ_Consolidat_CESIRO (2).docx","Deschide sursa")</x:f>
        <x:v>HYPERLINK is not implemented. linkLocation=file:///Z:/00. Proiecte 2025/AFIR FotoVoltaic 1/16.1 Act aditional 1/Memoriu_Justificativ_Consolidat_CESIRO (2).docx, friendlyName=Deschide sursa</x:v>
      </x:c>
    </x:row>
    <x:row r="35" ht="92" customHeight="1">
      <x:c r="A35" s="8" t="str">
        <x:v>F0075</x:v>
      </x:c>
      <x:c r="B35" s="8" t="str">
        <x:v>Memoriu_Justificativ_Consolidat_CESIRO (2).pdf</x:v>
      </x:c>
      <x:c r="C35" s="8" t="str">
        <x:v>Modificare contract</x:v>
      </x:c>
      <x:c r="D35" s="12" t="str"/>
      <x:c r="E35" s="11" t="str"/>
      <x:c r="F35" s="12" t="str"/>
      <x:c r="G35" s="11" t="str"/>
      <x:c r="H35" s="8" t="str"/>
      <x:c r="I35" s="8" t="str">
        <x:v>Document local; transmiterea individuală neconfirmată</x:v>
      </x:c>
      <x:c r="J35" s="8" t="str">
        <x:v>Nr. ONRC: J2021001328014
nr. 275/01.02.2214 (nr. înregistrare CESIRO PRODUCTION
nr. CFMSES011011372801030, în vederea
nr. CFMSES011011372801030. Obiectivul proiectului este
nr. 275/01.02.2214 (nr. înregistrare CESIRO PRODUCTION SRL 05/01.02.2214),
Nr. de bucati 20 2</x:v>
      </x:c>
      <x:c r="K35" s="8" t="str">
        <x:v>Text extras; numerele din referințe sunt în coloana separată</x:v>
      </x:c>
      <x:c r="L35" s="8" t="e">
        <x:f>HYPERLINK("file:///Z:/00. Proiecte 2025/AFIR FotoVoltaic 1/16.1 Act aditional 1/Memoriu_Justificativ_Consolidat_CESIRO (2).pdf","Deschide sursa")</x:f>
        <x:v>HYPERLINK is not implemented. linkLocation=file:///Z:/00. Proiecte 2025/AFIR FotoVoltaic 1/16.1 Act aditional 1/Memoriu_Justificativ_Consolidat_CESIRO (2).pdf, friendlyName=Deschide sursa</x:v>
      </x:c>
    </x:row>
    <x:row r="36" ht="120" customHeight="1">
      <x:c r="A36" s="8" t="str">
        <x:v>F0076</x:v>
      </x:c>
      <x:c r="B36" s="8" t="str">
        <x:v>Referat_proiectant_CESIRO__1_-.pdf</x:v>
      </x:c>
      <x:c r="C36" s="8" t="str">
        <x:v>Modificare contract</x:v>
      </x:c>
      <x:c r="D36" s="12" t="str"/>
      <x:c r="E36" s="11" t="str"/>
      <x:c r="F36" s="12" t="str"/>
      <x:c r="G36" s="11" t="str"/>
      <x:c r="H36" s="8" t="str">
        <x:v>275 / 01.02.2214</x:v>
      </x:c>
      <x:c r="I36" s="8" t="str">
        <x:v>Document local; transmiterea individuală neconfirmată</x:v>
      </x:c>
      <x:c r="J36" s="8" t="str">
        <x:v>nr. 5, jud. Alba, cod
nr. CFMSES011011372801030
nr. 275/01.02.2214 SUNTREE SOLAR TECH S.R.L. –
nr. 10/1995 privind calitatea în construcții, republicată, cu modificările și
nr. 907/2016 privind etapele de elaborare și conținutul -cadru al documentațiilor
nr. CFMSES011011372801030 și anexele acestuia;
nr. 265/12.01.2024 și contractul de achiziție/furnizare nr.
Nr de bucati. 20 2 identic</x:v>
      </x:c>
      <x:c r="K36" s="8" t="str">
        <x:v>Text extras; numerele din referințe sunt în coloana separată</x:v>
      </x:c>
      <x:c r="L36" s="8" t="e">
        <x:f>HYPERLINK("file:///Z:/00. Proiecte 2025/AFIR FotoVoltaic 1/16.1 Act aditional 1/Referat_proiectant_CESIRO__1_-.pdf","Deschide sursa")</x:f>
        <x:v>HYPERLINK is not implemented. linkLocation=file:///Z:/00. Proiecte 2025/AFIR FotoVoltaic 1/16.1 Act aditional 1/Referat_proiectant_CESIRO__1_-.pdf, friendlyName=Deschide sursa</x:v>
      </x:c>
    </x:row>
    <x:row r="37" ht="176" customHeight="1">
      <x:c r="A37" s="8" t="str">
        <x:v>F0077</x:v>
      </x:c>
      <x:c r="B37" s="8" t="str">
        <x:v>Referat_proiectant_CESIRO__1_.docx</x:v>
      </x:c>
      <x:c r="C37" s="8" t="str">
        <x:v>Modificare contract</x:v>
      </x:c>
      <x:c r="D37" s="12" t="str"/>
      <x:c r="E37" s="11" t="str"/>
      <x:c r="F37" s="12" t="str"/>
      <x:c r="G37" s="11" t="str"/>
      <x:c r="H37" s="8" t="str"/>
      <x:c r="I37" s="8" t="str">
        <x:v>Document local; transmiterea individuală neconfirmată</x:v>
      </x:c>
      <x:c r="J37" s="8" t="str">
        <x:v>nr. 10/1995 privind calitatea în construcții, republicată, cu modificările și completările ulterioare;
nr. 907/2016 privind etapele de elaborare și conținutul-cadru al documentațiilor tehnico-economice aferente obiectivelor de investiții;
nr. CFMSES011011372801030 și anexele acestuia;
nr. 265/12.01.2024 și contractul de achiziție/furnizare nr. 275/01.02.2214 SUNTREE SOLAR TECH S.R.L. – CESIRO PRODUCTION S.R.L.;
nregistrare CUI | 45050734
nr. 5, jud. Alba, cod 510040
nr. CFMSES011011372801030
nr. 907/2016
nr. 275/01.02.2214 SUNTREE SOLAR TECH S.R.L. – CESIRO PRODUCTION S.R.L.
Nr de bucati. | 20 | 2 | identic</x:v>
      </x:c>
      <x:c r="K37" s="8" t="str">
        <x:v>Text extras; numerele din referințe sunt în coloana separată</x:v>
      </x:c>
      <x:c r="L37" s="8" t="e">
        <x:f>HYPERLINK("file:///Z:/00. Proiecte 2025/AFIR FotoVoltaic 1/16.1 Act aditional 1/Referat_proiectant_CESIRO__1_.docx","Deschide sursa")</x:f>
        <x:v>HYPERLINK is not implemented. linkLocation=file:///Z:/00. Proiecte 2025/AFIR FotoVoltaic 1/16.1 Act aditional 1/Referat_proiectant_CESIRO__1_.docx, friendlyName=Deschide sursa</x:v>
      </x:c>
    </x:row>
    <x:row r="38" ht="36" customHeight="1">
      <x:c r="A38" s="8" t="str">
        <x:v>F0078</x:v>
      </x:c>
      <x:c r="B38" s="8" t="str">
        <x:v>Studiu_Justificativ_Aprofundat_CESIRO (2).docx</x:v>
      </x:c>
      <x:c r="C38" s="8" t="str">
        <x:v>Modificare contract</x:v>
      </x:c>
      <x:c r="D38" s="12" t="str"/>
      <x:c r="E38" s="11" t="str"/>
      <x:c r="F38" s="12" t="str"/>
      <x:c r="G38" s="11" t="str"/>
      <x:c r="H38" s="8" t="str"/>
      <x:c r="I38" s="8" t="str">
        <x:v>Document local; transmiterea individuală neconfirmată</x:v>
      </x:c>
      <x:c r="J38" s="8" t="str">
        <x:v>Nr. ONRC: J2021001328014
nr. 275/01.02.2214, respectiv nr. înregistrare CESIRO PRODUCTION SRL 05/01.02.2214</x:v>
      </x:c>
      <x:c r="K38" s="8" t="str">
        <x:v>Text extras; numerele din referințe sunt în coloana separată</x:v>
      </x:c>
      <x:c r="L38" s="8" t="e">
        <x:f>HYPERLINK("file:///Z:/00. Proiecte 2025/AFIR FotoVoltaic 1/16.1 Act aditional 1/Studiu_Justificativ_Aprofundat_CESIRO (2).docx","Deschide sursa")</x:f>
        <x:v>HYPERLINK is not implemented. linkLocation=file:///Z:/00. Proiecte 2025/AFIR FotoVoltaic 1/16.1 Act aditional 1/Studiu_Justificativ_Aprofundat_CESIRO (2).docx, friendlyName=Deschide sursa</x:v>
      </x:c>
    </x:row>
    <x:row r="39" ht="36" customHeight="1">
      <x:c r="A39" s="8" t="str">
        <x:v>F0079</x:v>
      </x:c>
      <x:c r="B39" s="8" t="str">
        <x:v>Studiu_Justificativ_Aprofundat_CESIRO (2).pdf</x:v>
      </x:c>
      <x:c r="C39" s="8" t="str">
        <x:v>Modificare contract</x:v>
      </x:c>
      <x:c r="D39" s="12" t="str"/>
      <x:c r="E39" s="11" t="str"/>
      <x:c r="F39" s="12" t="str"/>
      <x:c r="G39" s="11" t="str"/>
      <x:c r="H39" s="8" t="str"/>
      <x:c r="I39" s="8" t="str">
        <x:v>Document local; transmiterea individuală neconfirmată</x:v>
      </x:c>
      <x:c r="J39" s="8" t="str">
        <x:v>Nr. ONRC: J2021001328014
nr. 275/01.02.2214, respectiv nr. înregistrare</x:v>
      </x:c>
      <x:c r="K39" s="8" t="str">
        <x:v>Text extras; numerele din referințe sunt în coloana separată</x:v>
      </x:c>
      <x:c r="L39" s="8" t="e">
        <x:f>HYPERLINK("file:///Z:/00. Proiecte 2025/AFIR FotoVoltaic 1/16.1 Act aditional 1/Studiu_Justificativ_Aprofundat_CESIRO (2).pdf","Deschide sursa")</x:f>
        <x:v>HYPERLINK is not implemented. linkLocation=file:///Z:/00. Proiecte 2025/AFIR FotoVoltaic 1/16.1 Act aditional 1/Studiu_Justificativ_Aprofundat_CESIRO (2).pdf, friendlyName=Deschide sursa</x:v>
      </x:c>
    </x:row>
    <x:row r="40" ht="36" customHeight="1">
      <x:c r="A40" s="8" t="str">
        <x:v>F0080</x:v>
      </x:c>
      <x:c r="B40" s="8" t="str">
        <x:v>20. ATR.zip</x:v>
      </x:c>
      <x:c r="C40" s="8" t="str">
        <x:v>Racordare</x:v>
      </x:c>
      <x:c r="D40" s="12" t="str"/>
      <x:c r="E40" s="11" t="str"/>
      <x:c r="F40" s="12" t="str"/>
      <x:c r="G40" s="11" t="str"/>
      <x:c r="H40" s="8" t="str"/>
      <x:c r="I40" s="8" t="str">
        <x:v>Document local; transmiterea individuală neconfirmată</x:v>
      </x:c>
      <x:c r="J40" s="8" t="str"/>
      <x:c r="K40" s="8" t="str">
        <x:v>Necesită citire vizuală / OCR / formular XFA</x:v>
      </x:c>
      <x:c r="L40" s="8" t="e">
        <x:f>HYPERLINK("file:///Z:/00. Proiecte 2025/AFIR FotoVoltaic 1/20. ATR/20. ATR.zip","Deschide sursa")</x:f>
        <x:v>HYPERLINK is not implemented. linkLocation=file:///Z:/00. Proiecte 2025/AFIR FotoVoltaic 1/20. ATR/20. ATR.zip, friendlyName=Deschide sursa</x:v>
      </x:c>
    </x:row>
    <x:row r="41" ht="36" customHeight="1">
      <x:c r="A41" s="8" t="str">
        <x:v>F0081</x:v>
      </x:c>
      <x:c r="B41" s="8" t="str">
        <x:v>Deviz general.xlsx</x:v>
      </x:c>
      <x:c r="C41" s="8" t="str">
        <x:v>Depunere / eligibilitate</x:v>
      </x:c>
      <x:c r="D41" s="12" t="str"/>
      <x:c r="E41" s="11" t="str"/>
      <x:c r="F41" s="12" t="str"/>
      <x:c r="G41" s="11" t="str"/>
      <x:c r="H41" s="8" t="str"/>
      <x:c r="I41" s="8" t="str">
        <x:v>Document local; transmiterea individuală neconfirmată</x:v>
      </x:c>
      <x:c r="J41" s="8" t="str"/>
      <x:c r="K41" s="8" t="str">
        <x:v>Necesită citire vizuală / OCR / formular XFA</x:v>
      </x:c>
      <x:c r="L41" s="8" t="e">
        <x:f>HYPERLINK("file:///Z:/00. Proiecte 2025/AFIR FotoVoltaic 1/3.0. Deviz/Deviz general.xlsx","Deschide sursa")</x:f>
        <x:v>HYPERLINK is not implemented. linkLocation=file:///Z:/00. Proiecte 2025/AFIR FotoVoltaic 1/3.0. Deviz/Deviz general.xlsx, friendlyName=Deschide sursa</x:v>
      </x:c>
    </x:row>
    <x:row r="42" ht="36" customHeight="1">
      <x:c r="A42" s="8" t="str">
        <x:v>F0082</x:v>
      </x:c>
      <x:c r="B42" s="8" t="str">
        <x:v>Analiza Cost Beneficiu.docx</x:v>
      </x:c>
      <x:c r="C42" s="8" t="str">
        <x:v>Depunere / eligibilitate</x:v>
      </x:c>
      <x:c r="D42" s="12" t="str"/>
      <x:c r="E42" s="11" t="str"/>
      <x:c r="F42" s="12" t="str"/>
      <x:c r="G42" s="11" t="str"/>
      <x:c r="H42" s="8" t="str"/>
      <x:c r="I42" s="8" t="str">
        <x:v>Document local; transmiterea individuală neconfirmată</x:v>
      </x:c>
      <x:c r="J42" s="8" t="str">
        <x:v>nr. 60/2022, cu modificările ulterioare, la art. 2 alin.(1) lit. b) din OUG nr. 77/2014, cu modificările și completările ulterioare și la articolul 5 alin (7) din</x:v>
      </x:c>
      <x:c r="K42" s="8" t="str">
        <x:v>Text extras; numerele din referințe sunt în coloana separată</x:v>
      </x:c>
      <x:c r="L42" s="8" t="e">
        <x:f>HYPERLINK("file:///Z:/00. Proiecte 2025/AFIR FotoVoltaic 1/3.1. Analiza Cost Beneficiu/Analiza Cost Beneficiu.docx","Deschide sursa")</x:f>
        <x:v>HYPERLINK is not implemented. linkLocation=file:///Z:/00. Proiecte 2025/AFIR FotoVoltaic 1/3.1. Analiza Cost Beneficiu/Analiza Cost Beneficiu.docx, friendlyName=Deschide sursa</x:v>
      </x:c>
    </x:row>
    <x:row r="43" ht="50" customHeight="1">
      <x:c r="A43" s="8" t="str">
        <x:v>F0083</x:v>
      </x:c>
      <x:c r="B43" s="8" t="str">
        <x:v>Nota justificativa alegere furnizor.docx</x:v>
      </x:c>
      <x:c r="C43" s="8" t="str">
        <x:v>Depunere / eligibilitate</x:v>
      </x:c>
      <x:c r="D43" s="12" t="str">
        <x:v>04</x:v>
      </x:c>
      <x:c r="E43" s="11" t="n">
        <x:v>45307</x:v>
      </x:c>
      <x:c r="F43" s="12" t="str"/>
      <x:c r="G43" s="11" t="str"/>
      <x:c r="H43" s="8" t="str"/>
      <x:c r="I43" s="8" t="str">
        <x:v>Document local; transmiterea individuală neconfirmată</x:v>
      </x:c>
      <x:c r="J43" s="8" t="str">
        <x:v>Nr. 04/16.01.2024
nregistrare: | 45050734
nr. 5, Alba Iulia, jud. Alba</x:v>
      </x:c>
      <x:c r="K43" s="8" t="str">
        <x:v>Text extras; numerele din referințe sunt în coloana separată</x:v>
      </x:c>
      <x:c r="L43" s="8" t="e">
        <x:f>HYPERLINK("file:///Z:/00. Proiecte 2025/AFIR FotoVoltaic 1/3.2. Decizie Alegere Furnizor/Nota justificativa alegere furnizor.docx","Deschide sursa")</x:f>
        <x:v>HYPERLINK is not implemented. linkLocation=file:///Z:/00. Proiecte 2025/AFIR FotoVoltaic 1/3.2. Decizie Alegere Furnizor/Nota justificativa alegere furnizor.docx, friendlyName=Deschide sursa</x:v>
      </x:c>
    </x:row>
    <x:row r="44" ht="36" customHeight="1">
      <x:c r="A44" s="8" t="str">
        <x:v>F0084</x:v>
      </x:c>
      <x:c r="B44" s="8" t="str">
        <x:v>BVC Indicatori 2 - fara investitie.xls</x:v>
      </x:c>
      <x:c r="C44" s="8" t="str">
        <x:v>Depunere / eligibilitate</x:v>
      </x:c>
      <x:c r="D44" s="12" t="str"/>
      <x:c r="E44" s="11" t="str"/>
      <x:c r="F44" s="12" t="str"/>
      <x:c r="G44" s="11" t="str"/>
      <x:c r="H44" s="8" t="str"/>
      <x:c r="I44" s="8" t="str">
        <x:v>Document local; transmiterea individuală neconfirmată</x:v>
      </x:c>
      <x:c r="J44" s="8" t="str"/>
      <x:c r="K44" s="8" t="str">
        <x:v>Necesită citire vizuală / OCR / formular XFA</x:v>
      </x:c>
      <x:c r="L44" s="8" t="e">
        <x:f>HYPERLINK("file:///Z:/00. Proiecte 2025/AFIR FotoVoltaic 1/3.3. Plan de Afaceri/BVC Indicatori 2 - fara investitie.xls","Deschide sursa")</x:f>
        <x:v>HYPERLINK is not implemented. linkLocation=file:///Z:/00. Proiecte 2025/AFIR FotoVoltaic 1/3.3. Plan de Afaceri/BVC Indicatori 2 - fara investitie.xls, friendlyName=Deschide sursa</x:v>
      </x:c>
    </x:row>
    <x:row r="45" ht="36" customHeight="1">
      <x:c r="A45" s="8" t="str">
        <x:v>F0085</x:v>
      </x:c>
      <x:c r="B45" s="8" t="str">
        <x:v>BVC Indicatori 2.xls</x:v>
      </x:c>
      <x:c r="C45" s="8" t="str">
        <x:v>Depunere / eligibilitate</x:v>
      </x:c>
      <x:c r="D45" s="12" t="str"/>
      <x:c r="E45" s="11" t="str"/>
      <x:c r="F45" s="12" t="str"/>
      <x:c r="G45" s="11" t="str"/>
      <x:c r="H45" s="8" t="str"/>
      <x:c r="I45" s="8" t="str">
        <x:v>Document local; transmiterea individuală neconfirmată</x:v>
      </x:c>
      <x:c r="J45" s="8" t="str"/>
      <x:c r="K45" s="8" t="str">
        <x:v>Necesită citire vizuală / OCR / formular XFA</x:v>
      </x:c>
      <x:c r="L45" s="8" t="e">
        <x:f>HYPERLINK("file:///Z:/00. Proiecte 2025/AFIR FotoVoltaic 1/3.3. Plan de Afaceri/BVC Indicatori 2.xls","Deschide sursa")</x:f>
        <x:v>HYPERLINK is not implemented. linkLocation=file:///Z:/00. Proiecte 2025/AFIR FotoVoltaic 1/3.3. Plan de Afaceri/BVC Indicatori 2.xls, friendlyName=Deschide sursa</x:v>
      </x:c>
    </x:row>
    <x:row r="46" ht="120" customHeight="1">
      <x:c r="A46" s="8" t="str">
        <x:v>F0086</x:v>
      </x:c>
      <x:c r="B46" s="8" t="str">
        <x:v>Cesiro Production MEMORIU TEHNIC DE EVALUAREA IMPACTULUI ASUPRA MEDIULUI.docx</x:v>
      </x:c>
      <x:c r="C46" s="8" t="str">
        <x:v>Depunere / eligibilitate</x:v>
      </x:c>
      <x:c r="D46" s="12" t="str"/>
      <x:c r="E46" s="11" t="str"/>
      <x:c r="F46" s="12" t="str"/>
      <x:c r="G46" s="11" t="str"/>
      <x:c r="H46" s="8" t="str"/>
      <x:c r="I46" s="8" t="str">
        <x:v>Document local; transmiterea individuală neconfirmată</x:v>
      </x:c>
      <x:c r="J46" s="8" t="str">
        <x:v>nr. 292/2018 )
NR. 57/2007 APROBATĂ CU LEGEA NR. 49/2011 32
nregistrare. J01 /1328 /2021 · CUI. 45050734
nr. 58300 Sighișoara.
nr. 1 – Amplasarea în zonă a proiectului (sursa: Google Earth)
Nr. 2 Detaliu privind situația propusă (sursa: proiect tehnic)
nr.1 din HG nr.856 / 2002 - modul de gestionarea deșeurilor;
NR. 57/2007 APROBATĂ CU LEGEA NR. 49/2011</x:v>
      </x:c>
      <x:c r="K46" s="8" t="str">
        <x:v>Text extras; numerele din referințe sunt în coloana separată</x:v>
      </x:c>
      <x:c r="L46" s="8" t="e">
        <x:f>HYPERLINK("file:///Z:/00. Proiecte 2025/AFIR FotoVoltaic 1/3.3. Plan de Afaceri/Cesiro Production MEMORIU TEHNIC DE EVALUAREA IMPACTULUI ASUPRA MEDIULUI.docx","Deschide sursa")</x:f>
        <x:v>HYPERLINK is not implemented. linkLocation=file:///Z:/00. Proiecte 2025/AFIR FotoVoltaic 1/3.3. Plan de Afaceri/Cesiro Production MEMORIU TEHNIC DE EVALUAREA IMPACTULUI ASUPRA MEDIULUI.docx, friendlyName=Deschide sursa</x:v>
      </x:c>
    </x:row>
    <x:row r="47" ht="36" customHeight="1">
      <x:c r="A47" s="8" t="str">
        <x:v>F0087</x:v>
      </x:c>
      <x:c r="B47" s="8" t="str">
        <x:v>Copy of BVC Indicatori 2 v1.xls</x:v>
      </x:c>
      <x:c r="C47" s="8" t="str">
        <x:v>Depunere / eligibilitate</x:v>
      </x:c>
      <x:c r="D47" s="12" t="str"/>
      <x:c r="E47" s="11" t="str"/>
      <x:c r="F47" s="12" t="str"/>
      <x:c r="G47" s="11" t="str"/>
      <x:c r="H47" s="8" t="str"/>
      <x:c r="I47" s="8" t="str">
        <x:v>Document local; transmiterea individuală neconfirmată</x:v>
      </x:c>
      <x:c r="J47" s="8" t="str"/>
      <x:c r="K47" s="8" t="str">
        <x:v>Necesită citire vizuală / OCR / formular XFA</x:v>
      </x:c>
      <x:c r="L47" s="8" t="e">
        <x:f>HYPERLINK("file:///Z:/00. Proiecte 2025/AFIR FotoVoltaic 1/3.3. Plan de Afaceri/Copy of BVC Indicatori 2 v1.xls","Deschide sursa")</x:f>
        <x:v>HYPERLINK is not implemented. linkLocation=file:///Z:/00. Proiecte 2025/AFIR FotoVoltaic 1/3.3. Plan de Afaceri/Copy of BVC Indicatori 2 v1.xls, friendlyName=Deschide sursa</x:v>
      </x:c>
    </x:row>
    <x:row r="48" ht="218" customHeight="1">
      <x:c r="A48" s="8" t="str">
        <x:v>F0088</x:v>
      </x:c>
      <x:c r="B48" s="8" t="str">
        <x:v>Plan de Afaceri.docx</x:v>
      </x:c>
      <x:c r="C48" s="8" t="str">
        <x:v>Depunere / eligibilitate</x:v>
      </x:c>
      <x:c r="D48" s="12" t="str"/>
      <x:c r="E48" s="11" t="str"/>
      <x:c r="F48" s="12" t="str"/>
      <x:c r="G48" s="11" t="str"/>
      <x:c r="H48" s="8" t="str"/>
      <x:c r="I48" s="8" t="str">
        <x:v>Document local; transmiterea individuală neconfirmată</x:v>
      </x:c>
      <x:c r="J48" s="8" t="str">
        <x:v>nregistrare : J01 /1328 /2021
Nr. 5 Cod Poștal 510040
Nr. 58300 Sighisoara
Nr. 96, Jud. Mures
Nr. Niveluri – 2, Suprafata construita 9758 mp
nr. 123/2012 a energiei electrice și a gazelor naturale, cu modificările și completările ulterioare.
nr. 60/2022 privind stabilirea cadrului instituțional și financiar de implementare și gestionare a fondurilor alocate României prin Fondul pentru modernizare, prec
nr. 1.076/2021;
nr. 401/2009 și (UE) 2018/1999 ("Legea europeană a climei"), referitor la asigurarea, până cel târziu în 2050, a unui echilibru la nivelul Uniunii între emisiile ș
NRE pentru anul 2021/2022, după caz.
NRE pentru fiecare MWh din surse fosile este 0,6119 tone CO2/MWh.
nr. 60/2022, cu modificările ulterioare, la art. 2 alin.(1) lit. b) din OUG nr. 77/2014, cu modificările și completările ulterioare și la articolul 5 alin (7) din</x:v>
      </x:c>
      <x:c r="K48" s="8" t="str">
        <x:v>Text extras; numerele din referințe sunt în coloana separată</x:v>
      </x:c>
      <x:c r="L48" s="8" t="e">
        <x:f>HYPERLINK("file:///Z:/00. Proiecte 2025/AFIR FotoVoltaic 1/3.3. Plan de Afaceri/Plan de Afaceri.docx","Deschide sursa")</x:f>
        <x:v>HYPERLINK is not implemented. linkLocation=file:///Z:/00. Proiecte 2025/AFIR FotoVoltaic 1/3.3. Plan de Afaceri/Plan de Afaceri.docx, friendlyName=Deschide sursa</x:v>
      </x:c>
    </x:row>
    <x:row r="49" ht="36" customHeight="1">
      <x:c r="A49" s="8" t="str">
        <x:v>F0089</x:v>
      </x:c>
      <x:c r="B49" s="8" t="str">
        <x:v>Prognoza Bilant Cesiro Production 5 ani.pdf</x:v>
      </x:c>
      <x:c r="C49" s="8" t="str">
        <x:v>Depunere / eligibilitate</x:v>
      </x:c>
      <x:c r="D49" s="12" t="str"/>
      <x:c r="E49" s="11" t="str"/>
      <x:c r="F49" s="12" t="str"/>
      <x:c r="G49" s="11" t="str"/>
      <x:c r="H49" s="8" t="str"/>
      <x:c r="I49" s="8" t="str">
        <x:v>Document local; transmiterea individuală neconfirmată</x:v>
      </x:c>
      <x:c r="J49" s="8" t="str"/>
      <x:c r="K49" s="8" t="str">
        <x:v>Text extras; numerele din referințe sunt în coloana separată</x:v>
      </x:c>
      <x:c r="L49" s="8" t="e">
        <x:f>HYPERLINK("file:///Z:/00. Proiecte 2025/AFIR FotoVoltaic 1/3.3. Plan de Afaceri/Prognoza Bilant Cesiro Production 5 ani.pdf","Deschide sursa")</x:f>
        <x:v>HYPERLINK is not implemented. linkLocation=file:///Z:/00. Proiecte 2025/AFIR FotoVoltaic 1/3.3. Plan de Afaceri/Prognoza Bilant Cesiro Production 5 ani.pdf, friendlyName=Deschide sursa</x:v>
      </x:c>
    </x:row>
    <x:row r="50" ht="36" customHeight="1">
      <x:c r="A50" s="8" t="str">
        <x:v>F0090</x:v>
      </x:c>
      <x:c r="B50" s="8" t="str">
        <x:v>Prognoza cheltuieli Cesiro Production 5 ani.pdf</x:v>
      </x:c>
      <x:c r="C50" s="8" t="str">
        <x:v>Depunere / eligibilitate</x:v>
      </x:c>
      <x:c r="D50" s="12" t="str"/>
      <x:c r="E50" s="11" t="str"/>
      <x:c r="F50" s="12" t="str"/>
      <x:c r="G50" s="11" t="str"/>
      <x:c r="H50" s="8" t="str"/>
      <x:c r="I50" s="8" t="str">
        <x:v>Document local; transmiterea individuală neconfirmată</x:v>
      </x:c>
      <x:c r="J50" s="8" t="str"/>
      <x:c r="K50" s="8" t="str">
        <x:v>Text extras; numerele din referințe sunt în coloana separată</x:v>
      </x:c>
      <x:c r="L50" s="8" t="e">
        <x:f>HYPERLINK("file:///Z:/00. Proiecte 2025/AFIR FotoVoltaic 1/3.3. Plan de Afaceri/Prognoza cheltuieli Cesiro Production 5 ani.pdf","Deschide sursa")</x:f>
        <x:v>HYPERLINK is not implemented. linkLocation=file:///Z:/00. Proiecte 2025/AFIR FotoVoltaic 1/3.3. Plan de Afaceri/Prognoza cheltuieli Cesiro Production 5 ani.pdf, friendlyName=Deschide sursa</x:v>
      </x:c>
    </x:row>
    <x:row r="51" ht="36" customHeight="1">
      <x:c r="A51" s="8" t="str">
        <x:v>F0091</x:v>
      </x:c>
      <x:c r="B51" s="8" t="str">
        <x:v>Prognoza CPP Cesiro Production 5 ani.pdf</x:v>
      </x:c>
      <x:c r="C51" s="8" t="str">
        <x:v>Depunere / eligibilitate</x:v>
      </x:c>
      <x:c r="D51" s="12" t="str"/>
      <x:c r="E51" s="11" t="str"/>
      <x:c r="F51" s="12" t="str"/>
      <x:c r="G51" s="11" t="str"/>
      <x:c r="H51" s="8" t="str"/>
      <x:c r="I51" s="8" t="str">
        <x:v>Document local; transmiterea individuală neconfirmată</x:v>
      </x:c>
      <x:c r="J51" s="8" t="str"/>
      <x:c r="K51" s="8" t="str">
        <x:v>Text extras; numerele din referințe sunt în coloana separată</x:v>
      </x:c>
      <x:c r="L51" s="8" t="e">
        <x:f>HYPERLINK("file:///Z:/00. Proiecte 2025/AFIR FotoVoltaic 1/3.3. Plan de Afaceri/Prognoza CPP Cesiro Production 5 ani.pdf","Deschide sursa")</x:f>
        <x:v>HYPERLINK is not implemented. linkLocation=file:///Z:/00. Proiecte 2025/AFIR FotoVoltaic 1/3.3. Plan de Afaceri/Prognoza CPP Cesiro Production 5 ani.pdf, friendlyName=Deschide sursa</x:v>
      </x:c>
    </x:row>
    <x:row r="52" ht="36" customHeight="1">
      <x:c r="A52" s="8" t="str">
        <x:v>F0092</x:v>
      </x:c>
      <x:c r="B52" s="8" t="str">
        <x:v>Prognoza Flux de Numerar Cesiro Production 5 ani.pdf</x:v>
      </x:c>
      <x:c r="C52" s="8" t="str">
        <x:v>Depunere / eligibilitate</x:v>
      </x:c>
      <x:c r="D52" s="12" t="str"/>
      <x:c r="E52" s="11" t="str"/>
      <x:c r="F52" s="12" t="str"/>
      <x:c r="G52" s="11" t="str"/>
      <x:c r="H52" s="8" t="str"/>
      <x:c r="I52" s="8" t="str">
        <x:v>Document local; transmiterea individuală neconfirmată</x:v>
      </x:c>
      <x:c r="J52" s="8" t="str"/>
      <x:c r="K52" s="8" t="str">
        <x:v>Text extras; numerele din referințe sunt în coloana separată</x:v>
      </x:c>
      <x:c r="L52" s="8" t="e">
        <x:f>HYPERLINK("file:///Z:/00. Proiecte 2025/AFIR FotoVoltaic 1/3.3. Plan de Afaceri/Prognoza Flux de Numerar Cesiro Production 5 ani.pdf","Deschide sursa")</x:f>
        <x:v>HYPERLINK is not implemented. linkLocation=file:///Z:/00. Proiecte 2025/AFIR FotoVoltaic 1/3.3. Plan de Afaceri/Prognoza Flux de Numerar Cesiro Production 5 ani.pdf, friendlyName=Deschide sursa</x:v>
      </x:c>
    </x:row>
    <x:row r="53" ht="36" customHeight="1">
      <x:c r="A53" s="8" t="str">
        <x:v>F0093</x:v>
      </x:c>
      <x:c r="B53" s="8" t="str">
        <x:v>Prognoza Flux de Numerar Cesiro Production an 1 din 5 ani.pdf</x:v>
      </x:c>
      <x:c r="C53" s="8" t="str">
        <x:v>Depunere / eligibilitate</x:v>
      </x:c>
      <x:c r="D53" s="12" t="str"/>
      <x:c r="E53" s="11" t="str"/>
      <x:c r="F53" s="12" t="str"/>
      <x:c r="G53" s="11" t="str"/>
      <x:c r="H53" s="8" t="str"/>
      <x:c r="I53" s="8" t="str">
        <x:v>Document local; transmiterea individuală neconfirmată</x:v>
      </x:c>
      <x:c r="J53" s="8" t="str"/>
      <x:c r="K53" s="8" t="str">
        <x:v>Text extras; numerele din referințe sunt în coloana separată</x:v>
      </x:c>
      <x:c r="L53" s="8" t="e">
        <x:f>HYPERLINK("file:///Z:/00. Proiecte 2025/AFIR FotoVoltaic 1/3.3. Plan de Afaceri/Prognoza Flux de Numerar Cesiro Production an 1 din 5 ani.pdf","Deschide sursa")</x:f>
        <x:v>HYPERLINK is not implemented. linkLocation=file:///Z:/00. Proiecte 2025/AFIR FotoVoltaic 1/3.3. Plan de Afaceri/Prognoza Flux de Numerar Cesiro Production an 1 din 5 ani.pdf, friendlyName=Deschide sursa</x:v>
      </x:c>
    </x:row>
    <x:row r="54" ht="36" customHeight="1">
      <x:c r="A54" s="8" t="str">
        <x:v>F0094</x:v>
      </x:c>
      <x:c r="B54" s="8" t="str">
        <x:v>Prognoza Flux de Numerar Cesiro Production an 2 din 5 ani.pdf</x:v>
      </x:c>
      <x:c r="C54" s="8" t="str">
        <x:v>Depunere / eligibilitate</x:v>
      </x:c>
      <x:c r="D54" s="12" t="str"/>
      <x:c r="E54" s="11" t="str"/>
      <x:c r="F54" s="12" t="str"/>
      <x:c r="G54" s="11" t="str"/>
      <x:c r="H54" s="8" t="str"/>
      <x:c r="I54" s="8" t="str">
        <x:v>Document local; transmiterea individuală neconfirmată</x:v>
      </x:c>
      <x:c r="J54" s="8" t="str"/>
      <x:c r="K54" s="8" t="str">
        <x:v>Text extras; numerele din referințe sunt în coloana separată</x:v>
      </x:c>
      <x:c r="L54" s="8" t="e">
        <x:f>HYPERLINK("file:///Z:/00. Proiecte 2025/AFIR FotoVoltaic 1/3.3. Plan de Afaceri/Prognoza Flux de Numerar Cesiro Production an 2 din 5 ani.pdf","Deschide sursa")</x:f>
        <x:v>HYPERLINK is not implemented. linkLocation=file:///Z:/00. Proiecte 2025/AFIR FotoVoltaic 1/3.3. Plan de Afaceri/Prognoza Flux de Numerar Cesiro Production an 2 din 5 ani.pdf, friendlyName=Deschide sursa</x:v>
      </x:c>
    </x:row>
    <x:row r="55" ht="36" customHeight="1">
      <x:c r="A55" s="8" t="str">
        <x:v>F0095</x:v>
      </x:c>
      <x:c r="B55" s="8" t="str">
        <x:v>Prognoza Flux de Numerar Cesiro Production an 3 din 5 ani.pdf</x:v>
      </x:c>
      <x:c r="C55" s="8" t="str">
        <x:v>Depunere / eligibilitate</x:v>
      </x:c>
      <x:c r="D55" s="12" t="str"/>
      <x:c r="E55" s="11" t="str"/>
      <x:c r="F55" s="12" t="str"/>
      <x:c r="G55" s="11" t="str"/>
      <x:c r="H55" s="8" t="str"/>
      <x:c r="I55" s="8" t="str">
        <x:v>Document local; transmiterea individuală neconfirmată</x:v>
      </x:c>
      <x:c r="J55" s="8" t="str"/>
      <x:c r="K55" s="8" t="str">
        <x:v>Text extras; numerele din referințe sunt în coloana separată</x:v>
      </x:c>
      <x:c r="L55" s="8" t="e">
        <x:f>HYPERLINK("file:///Z:/00. Proiecte 2025/AFIR FotoVoltaic 1/3.3. Plan de Afaceri/Prognoza Flux de Numerar Cesiro Production an 3 din 5 ani.pdf","Deschide sursa")</x:f>
        <x:v>HYPERLINK is not implemented. linkLocation=file:///Z:/00. Proiecte 2025/AFIR FotoVoltaic 1/3.3. Plan de Afaceri/Prognoza Flux de Numerar Cesiro Production an 3 din 5 ani.pdf, friendlyName=Deschide sursa</x:v>
      </x:c>
    </x:row>
    <x:row r="56" ht="36" customHeight="1">
      <x:c r="A56" s="8" t="str">
        <x:v>F0096</x:v>
      </x:c>
      <x:c r="B56" s="8" t="str">
        <x:v>Prognoza Indicatori Cesiro Production 5 ani.pdf</x:v>
      </x:c>
      <x:c r="C56" s="8" t="str">
        <x:v>Depunere / eligibilitate</x:v>
      </x:c>
      <x:c r="D56" s="12" t="str"/>
      <x:c r="E56" s="11" t="str"/>
      <x:c r="F56" s="12" t="str"/>
      <x:c r="G56" s="11" t="str"/>
      <x:c r="H56" s="8" t="str"/>
      <x:c r="I56" s="8" t="str">
        <x:v>Document local; transmiterea individuală neconfirmată</x:v>
      </x:c>
      <x:c r="J56" s="8" t="str"/>
      <x:c r="K56" s="8" t="str">
        <x:v>Text extras; numerele din referințe sunt în coloana separată</x:v>
      </x:c>
      <x:c r="L56" s="8" t="e">
        <x:f>HYPERLINK("file:///Z:/00. Proiecte 2025/AFIR FotoVoltaic 1/3.3. Plan de Afaceri/Prognoza Indicatori Cesiro Production 5 ani.pdf","Deschide sursa")</x:f>
        <x:v>HYPERLINK is not implemented. linkLocation=file:///Z:/00. Proiecte 2025/AFIR FotoVoltaic 1/3.3. Plan de Afaceri/Prognoza Indicatori Cesiro Production 5 ani.pdf, friendlyName=Deschide sursa</x:v>
      </x:c>
    </x:row>
    <x:row r="57" ht="36" customHeight="1">
      <x:c r="A57" s="8" t="str">
        <x:v>F0097</x:v>
      </x:c>
      <x:c r="B57" s="8" t="str">
        <x:v>Prognoza venituri Cesiro Production 5 ani.pdf</x:v>
      </x:c>
      <x:c r="C57" s="8" t="str">
        <x:v>Depunere / eligibilitate</x:v>
      </x:c>
      <x:c r="D57" s="12" t="str"/>
      <x:c r="E57" s="11" t="str"/>
      <x:c r="F57" s="12" t="str"/>
      <x:c r="G57" s="11" t="str"/>
      <x:c r="H57" s="8" t="str"/>
      <x:c r="I57" s="8" t="str">
        <x:v>Document local; transmiterea individuală neconfirmată</x:v>
      </x:c>
      <x:c r="J57" s="8" t="str"/>
      <x:c r="K57" s="8" t="str">
        <x:v>Text extras; numerele din referințe sunt în coloana separată</x:v>
      </x:c>
      <x:c r="L57" s="8" t="e">
        <x:f>HYPERLINK("file:///Z:/00. Proiecte 2025/AFIR FotoVoltaic 1/3.3. Plan de Afaceri/Prognoza venituri Cesiro Production 5 ani.pdf","Deschide sursa")</x:f>
        <x:v>HYPERLINK is not implemented. linkLocation=file:///Z:/00. Proiecte 2025/AFIR FotoVoltaic 1/3.3. Plan de Afaceri/Prognoza venituri Cesiro Production 5 ani.pdf, friendlyName=Deschide sursa</x:v>
      </x:c>
    </x:row>
    <x:row r="58" ht="36" customHeight="1">
      <x:c r="A58" s="8" t="str">
        <x:v>F0098</x:v>
      </x:c>
      <x:c r="B58" s="8" t="str">
        <x:v>Contract de achizitie Cesiro Production-Suntree.pdf</x:v>
      </x:c>
      <x:c r="C58" s="8" t="str">
        <x:v>Depunere / eligibilitate</x:v>
      </x:c>
      <x:c r="D58" s="12" t="str"/>
      <x:c r="E58" s="11" t="str"/>
      <x:c r="F58" s="12" t="str"/>
      <x:c r="G58" s="11" t="str"/>
      <x:c r="H58" s="8" t="str"/>
      <x:c r="I58" s="8" t="str">
        <x:v>Document local; transmiterea individuală neconfirmată</x:v>
      </x:c>
      <x:c r="J58" s="8" t="str"/>
      <x:c r="K58" s="8" t="str">
        <x:v>Text extras; numerele din referințe sunt în coloana separată</x:v>
      </x:c>
      <x:c r="L58" s="8" t="e">
        <x:f>HYPERLINK("file:///Z:/00. Proiecte 2025/AFIR FotoVoltaic 1/3.4. Contract de achizitie bunuri si servici/Contract de achizitie Cesiro Production-Suntree.pdf","Deschide sursa")</x:f>
        <x:v>HYPERLINK is not implemented. linkLocation=file:///Z:/00. Proiecte 2025/AFIR FotoVoltaic 1/3.4. Contract de achizitie bunuri si servici/Contract de achizitie Cesiro Production-Suntree.pdf, friendlyName=Deschide sursa</x:v>
      </x:c>
    </x:row>
    <x:row r="59" ht="148" customHeight="1">
      <x:c r="A59" s="8" t="str">
        <x:v>F0099</x:v>
      </x:c>
      <x:c r="B59" s="8" t="str">
        <x:v>Contract Suntree Solar Tech SRL - Cesiro Production SRL.docx</x:v>
      </x:c>
      <x:c r="C59" s="8" t="str">
        <x:v>Depunere / eligibilitate</x:v>
      </x:c>
      <x:c r="D59" s="12" t="str">
        <x:v>05</x:v>
      </x:c>
      <x:c r="E59" s="11" t="n">
        <x:v>45323</x:v>
      </x:c>
      <x:c r="F59" s="12" t="str"/>
      <x:c r="G59" s="11" t="str"/>
      <x:c r="H59" s="8" t="str">
        <x:v>Suntree 275 / 01.02.2024</x:v>
      </x:c>
      <x:c r="I59" s="8" t="str">
        <x:v>Document local; transmiterea individuală neconfirmată</x:v>
      </x:c>
      <x:c r="J59" s="8" t="str">
        <x:v>Nr. înreg. SUNTREE SOLAR TECH SRL 275/01.02.2024
Nr. înreg. CESIRO PRODUCTION SRL 05/01.02.2024
nr. 10/1995 privind calitatea în construcții, republicată, cu modifcările și completările ulterioare. Acesta va executa, testa şi termina Lucrările în conformitate
nr. 319/2006 , a Normelor metodologice de aplicare a Legii nr. 319/2006, aprobate prin H.G. nr. 1425/2006, și a legislației din domeniul securității și sănătății î
nr.319/2006, ale H.G. nr. 1425/2006 pentru aprobarea Normelor metodologice de aplicare a prevederilor Legii securităţii şi sănătăţii în muncă nr. 319/2006 precum s
nr. 300/2006 privind cerinţele minime de securitate şi sănătate, precum și a legislației din domeniul securității și sănătății în muncă aplicabilă.</x:v>
      </x:c>
      <x:c r="K59" s="8" t="str">
        <x:v>Text extras; numerele din referințe sunt în coloana separată</x:v>
      </x:c>
      <x:c r="L59" s="8" t="e">
        <x:f>HYPERLINK("file:///Z:/00. Proiecte 2025/AFIR FotoVoltaic 1/3.4. Contract de achizitie bunuri si servici/Contract Suntree Solar Tech SRL - Cesiro Production SRL.docx","Deschide sursa")</x:f>
        <x:v>HYPERLINK is not implemented. linkLocation=file:///Z:/00. Proiecte 2025/AFIR FotoVoltaic 1/3.4. Contract de achizitie bunuri si servici/Contract Suntree Solar Tech SRL - Cesiro Production SRL.docx, friendlyName=Deschide sursa</x:v>
      </x:c>
    </x:row>
    <x:row r="60" ht="148" customHeight="1">
      <x:c r="A60" s="8" t="str">
        <x:v>F0100</x:v>
      </x:c>
      <x:c r="B60" s="8" t="str">
        <x:v>Act_aditional_1_prelungire_termen_Suntree.docx</x:v>
      </x:c>
      <x:c r="C60" s="8" t="str">
        <x:v>Depunere / eligibilitate</x:v>
      </x:c>
      <x:c r="D60" s="12" t="str"/>
      <x:c r="E60" s="11" t="str"/>
      <x:c r="F60" s="12" t="str"/>
      <x:c r="G60" s="11" t="str"/>
      <x:c r="H60" s="8" t="str"/>
      <x:c r="I60" s="8" t="str">
        <x:v>Document local; transmiterea individuală neconfirmată</x:v>
      </x:c>
      <x:c r="J60" s="8" t="str">
        <x:v>Nr. 1
nr. 275/30.12.2025
nr. 275/01.02.2024 încheiat între părți denumit în continuare „Contractul”;
nr. CFMSES011011372801030 din 30.12.2024, încheiat între CESIRO PRODUCTION SRL și Agenția pentru Finanțarea Investițiilor Rurale, în cadrul Fondului pentru Moderni
nr. CFMSES011011372801030 si nu modifică valoarea Contractului, obiectul acestuia sau celelalte obligații ale părților.
nr. 275/01.02.2024 rămân neschimbate și își produc efectele în continuare.
nr. 275/01.02.2024 și a fost încheiat astăzi, 30.12.2025 în 2 (două) exemplare originale, câte unul pentru fiecare parte.</x:v>
      </x:c>
      <x:c r="K60" s="8" t="str">
        <x:v>Text extras; numerele din referințe sunt în coloana separată</x:v>
      </x:c>
      <x:c r="L60" s="8" t="e">
        <x:f>HYPERLINK("file:///Z:/00. Proiecte 2025/AFIR FotoVoltaic 1/3.4.1 Act Aditional 1/Act_aditional_1_prelungire_termen_Suntree.docx","Deschide sursa")</x:f>
        <x:v>HYPERLINK is not implemented. linkLocation=file:///Z:/00. Proiecte 2025/AFIR FotoVoltaic 1/3.4.1 Act Aditional 1/Act_aditional_1_prelungire_termen_Suntree.docx, friendlyName=Deschide sursa</x:v>
      </x:c>
    </x:row>
    <x:row r="61" ht="204" customHeight="1">
      <x:c r="A61" s="8" t="str">
        <x:v>F0101</x:v>
      </x:c>
      <x:c r="B61" s="8" t="str">
        <x:v>Act_Aditional_2_Achizitie_CESIRO_SUNTREE.docx</x:v>
      </x:c>
      <x:c r="C61" s="8" t="str">
        <x:v>Depunere / eligibilitate</x:v>
      </x:c>
      <x:c r="D61" s="12" t="str"/>
      <x:c r="E61" s="11" t="str"/>
      <x:c r="F61" s="12" t="str"/>
      <x:c r="G61" s="11" t="str"/>
      <x:c r="H61" s="8" t="str"/>
      <x:c r="I61" s="8" t="str">
        <x:v>Document local; transmiterea individuală neconfirmată</x:v>
      </x:c>
      <x:c r="J61" s="8" t="str">
        <x:v>Nr. 2
nr. 275/01.02.2024
nr. 275/01.02.2024 încheiat între părți (denumit în continuare „Contractul”), având ca obiect furnizarea, montarea/instalarea și punerea în funcțiune a instalațiil
nr. 1 la Contract, încheiat la data de 30.12.2025, prin care s-a prelungit durata de execuție și termenul de livrare și punere în funcțiune până la data de 30.09.2
nr. CFMSES011011372801030/30.12.2024, încheiat între CESIRO PRODUCTION SRL și Agenția pentru Finanțarea Investițiilor Rurale (AFIR), în cadrul Fondului pentru Mode
nr. CFMSES011011372801030/30.12.2024.
nr. 1, respectiv 30.09.2026, rămâne neschimbat.
nr. 275/01.02.2024, astfel cum a fost modificat prin Actul Adițional nr. 1 din 30.12.2025, rămân neschimbate și își produc efectele în continuare.
nr. 275/01.02.2024 și a fost încheiat astăzi, 08.06.2026, în 2 (două) exemplare originale, câte unul pentru fiecare parte.</x:v>
      </x:c>
      <x:c r="K61" s="8" t="str">
        <x:v>Text extras; numerele din referințe sunt în coloana separată</x:v>
      </x:c>
      <x:c r="L61" s="8" t="e">
        <x:f>HYPERLINK("file:///Z:/00. Proiecte 2025/AFIR FotoVoltaic 1/3.4.2 Act Aditional 2/Act_Aditional_2_Achizitie_CESIRO_SUNTREE.docx","Deschide sursa")</x:f>
        <x:v>HYPERLINK is not implemented. linkLocation=file:///Z:/00. Proiecte 2025/AFIR FotoVoltaic 1/3.4.2 Act Aditional 2/Act_Aditional_2_Achizitie_CESIRO_SUNTREE.docx, friendlyName=Deschide sursa</x:v>
      </x:c>
    </x:row>
    <x:row r="62" ht="36" customHeight="1">
      <x:c r="A62" s="8" t="str">
        <x:v>F0102</x:v>
      </x:c>
      <x:c r="B62" s="8" t="str">
        <x:v>Cerere de finantare completata.pdf</x:v>
      </x:c>
      <x:c r="C62" s="8" t="str">
        <x:v>Depunere / eligibilitate</x:v>
      </x:c>
      <x:c r="D62" s="12" t="str"/>
      <x:c r="E62" s="11" t="str"/>
      <x:c r="F62" s="12" t="str"/>
      <x:c r="G62" s="11" t="str"/>
      <x:c r="H62" s="8" t="str"/>
      <x:c r="I62" s="8" t="str">
        <x:v>Document local; transmiterea individuală neconfirmată</x:v>
      </x:c>
      <x:c r="J62" s="8" t="str"/>
      <x:c r="K62" s="8" t="str">
        <x:v>Necesită citire vizuală / OCR / formular XFA</x:v>
      </x:c>
      <x:c r="L62" s="8" t="e">
        <x:f>HYPERLINK("file:///Z:/00. Proiecte 2025/AFIR FotoVoltaic 1/3.7. Memoriu Tehnic &amp; Justificativ/Cerere de finantare completata.pdf","Deschide sursa")</x:f>
        <x:v>HYPERLINK is not implemented. linkLocation=file:///Z:/00. Proiecte 2025/AFIR FotoVoltaic 1/3.7. Memoriu Tehnic &amp; Justificativ/Cerere de finantare completata.pdf, friendlyName=Deschide sursa</x:v>
      </x:c>
    </x:row>
    <x:row r="63" ht="36" customHeight="1">
      <x:c r="A63" s="8" t="str">
        <x:v>F0103</x:v>
      </x:c>
      <x:c r="B63" s="8" t="str">
        <x:v>Deviz general 11.02.2024.xlsx</x:v>
      </x:c>
      <x:c r="C63" s="8" t="str">
        <x:v>Depunere / eligibilitate</x:v>
      </x:c>
      <x:c r="D63" s="12" t="str"/>
      <x:c r="E63" s="11" t="str"/>
      <x:c r="F63" s="12" t="str"/>
      <x:c r="G63" s="11" t="str"/>
      <x:c r="H63" s="8" t="str"/>
      <x:c r="I63" s="8" t="str">
        <x:v>Document local; transmiterea individuală neconfirmată</x:v>
      </x:c>
      <x:c r="J63" s="8" t="str"/>
      <x:c r="K63" s="8" t="str">
        <x:v>Necesită citire vizuală / OCR / formular XFA</x:v>
      </x:c>
      <x:c r="L63" s="8" t="e">
        <x:f>HYPERLINK("file:///Z:/00. Proiecte 2025/AFIR FotoVoltaic 1/3.7. Memoriu Tehnic &amp; Justificativ/Deviz general 11.02.2024.xlsx","Deschide sursa")</x:f>
        <x:v>HYPERLINK is not implemented. linkLocation=file:///Z:/00. Proiecte 2025/AFIR FotoVoltaic 1/3.7. Memoriu Tehnic &amp; Justificativ/Deviz general 11.02.2024.xlsx, friendlyName=Deschide sursa</x:v>
      </x:c>
    </x:row>
    <x:row r="64" ht="148" customHeight="1">
      <x:c r="A64" s="8" t="str">
        <x:v>F0104</x:v>
      </x:c>
      <x:c r="B64" s="8" t="str">
        <x:v>Memoriu Tehnic &amp; Justificativ 28.01.2024.docx</x:v>
      </x:c>
      <x:c r="C64" s="8" t="str">
        <x:v>Depunere / eligibilitate</x:v>
      </x:c>
      <x:c r="D64" s="12" t="str"/>
      <x:c r="E64" s="11" t="str"/>
      <x:c r="F64" s="12" t="str"/>
      <x:c r="G64" s="11" t="str"/>
      <x:c r="H64" s="8" t="str"/>
      <x:c r="I64" s="8" t="str">
        <x:v>Document local; transmiterea individuală neconfirmată</x:v>
      </x:c>
      <x:c r="J64" s="8" t="str">
        <x:v>nr. 60/2022 privind stabilirea cadrului instituțional și financiar de implementare și gestionare a fondurilor alocate României prin Fondul pentru modernizare, prec
nr. 1.076/2021;
nr. 401/2009 și (UE) 2018/1999 ("Legea europeană a climei"), referitor la asigurarea, până cel târziu în 2050, a unui echilibru la nivelul Uniunii între emisiile ș
Nr. 58300 Sighisoara
Nr. 96, Jud. Mures
Nr. Niveluri – 2, Suprafata construita
NRE pentru anul 2021/2022, după caz.
NRE pentru fiecare MWh din surse fosile este 0,6119 tone CO2/MWh.</x:v>
      </x:c>
      <x:c r="K64" s="8" t="str">
        <x:v>Text extras; numerele din referințe sunt în coloana separată</x:v>
      </x:c>
      <x:c r="L64" s="8" t="e">
        <x:f>HYPERLINK("file:///Z:/00. Proiecte 2025/AFIR FotoVoltaic 1/3.7. Memoriu Tehnic &amp; Justificativ/Memoriu Tehnic &amp; Justificativ 28.01.2024.docx","Deschide sursa")</x:f>
        <x:v>HYPERLINK is not implemented. linkLocation=file:///Z:/00. Proiecte 2025/AFIR FotoVoltaic 1/3.7. Memoriu Tehnic &amp; Justificativ/Memoriu Tehnic &amp; Justificativ 28.01.2024.docx, friendlyName=Deschide sursa</x:v>
      </x:c>
    </x:row>
    <x:row r="65" ht="36" customHeight="1">
      <x:c r="A65" s="8" t="str">
        <x:v>F0105</x:v>
      </x:c>
      <x:c r="B65" s="8" t="str">
        <x:v>Model amplasare panouri fotovoltaice 10500 mp 210 m X 50 m.pdf</x:v>
      </x:c>
      <x:c r="C65" s="8" t="str">
        <x:v>Depunere / eligibilitate</x:v>
      </x:c>
      <x:c r="D65" s="12" t="str"/>
      <x:c r="E65" s="11" t="str"/>
      <x:c r="F65" s="12" t="str"/>
      <x:c r="G65" s="11" t="str"/>
      <x:c r="H65" s="8" t="str"/>
      <x:c r="I65" s="8" t="str">
        <x:v>Document local; transmiterea individuală neconfirmată</x:v>
      </x:c>
      <x:c r="J65" s="8" t="str"/>
      <x:c r="K65" s="8" t="str">
        <x:v>Text extras; numerele din referințe sunt în coloana separată</x:v>
      </x:c>
      <x:c r="L65" s="8" t="e">
        <x:f>HYPERLINK("file:///Z:/00. Proiecte 2025/AFIR FotoVoltaic 1/3.7. Memoriu Tehnic &amp; Justificativ/Model amplasare panouri fotovoltaice 10500 mp 210 m X 50 m.pdf","Deschide sursa")</x:f>
        <x:v>HYPERLINK is not implemented. linkLocation=file:///Z:/00. Proiecte 2025/AFIR FotoVoltaic 1/3.7. Memoriu Tehnic &amp; Justificativ/Model amplasare panouri fotovoltaice 10500 mp 210 m X 50 m.pdf, friendlyName=Deschide sursa</x:v>
      </x:c>
    </x:row>
    <x:row r="66" ht="36" customHeight="1">
      <x:c r="A66" s="8" t="str">
        <x:v>F0107</x:v>
      </x:c>
      <x:c r="B66" s="8" t="str">
        <x:v>58299.pdf</x:v>
      </x:c>
      <x:c r="C66" s="8" t="str">
        <x:v>Depunere / eligibilitate</x:v>
      </x:c>
      <x:c r="D66" s="12" t="str"/>
      <x:c r="E66" s="11" t="str"/>
      <x:c r="F66" s="12" t="str"/>
      <x:c r="G66" s="11" t="str"/>
      <x:c r="H66" s="8" t="str"/>
      <x:c r="I66" s="8" t="str">
        <x:v>Document local; transmiterea individuală neconfirmată</x:v>
      </x:c>
      <x:c r="J66" s="8" t="str"/>
      <x:c r="K66" s="8" t="str">
        <x:v>Text extras; numerele din referințe sunt în coloana separată</x:v>
      </x:c>
      <x:c r="L66" s="8" t="e">
        <x:f>HYPERLINK("file:///Z:/00. Proiecte 2025/AFIR FotoVoltaic 1/3.8. Contract de concesiune/58299.pdf","Deschide sursa")</x:f>
        <x:v>HYPERLINK is not implemented. linkLocation=file:///Z:/00. Proiecte 2025/AFIR FotoVoltaic 1/3.8. Contract de concesiune/58299.pdf, friendlyName=Deschide sursa</x:v>
      </x:c>
    </x:row>
    <x:row r="67" ht="288" customHeight="1">
      <x:c r="A67" s="8" t="str">
        <x:v>F0108</x:v>
      </x:c>
      <x:c r="B67" s="8" t="str">
        <x:v>58300 IPEC.pdf</x:v>
      </x:c>
      <x:c r="C67" s="8" t="str">
        <x:v>Depunere / eligibilitate</x:v>
      </x:c>
      <x:c r="D67" s="12" t="str"/>
      <x:c r="E67" s="11" t="str"/>
      <x:c r="F67" s="12" t="str"/>
      <x:c r="G67" s="11" t="str"/>
      <x:c r="H67" s="8" t="str"/>
      <x:c r="I67" s="8" t="str">
        <x:v>Document local; transmiterea individuală neconfirmată</x:v>
      </x:c>
      <x:c r="J67" s="8" t="str">
        <x:v>Nr. 58300 Sighişoara
Nr. 96, Jud. Mureș
Nr. niveluri:2; S. construita la sol:9584 mp; C1-HALA
Nr. niveluri:1; S. construita la sol:86 mp; C2-BAZIN
Nr. niveluri:1; S. construita la sol:113 mp; C3-STATIE
Nr. niveluri:1; S. construita la sol:134 mp; C4-CENTRALA
Nr. niveluri:1; S. construita la sol:45 mp; C5-CABINA
Nr. niveluri:1; S. construita la sol:21 mp; C7-STATIE
Nr. niveluri:1; S. construita la sol:28 mp; C9-REZERVOR
Nr. niveluri:1; S. construita la sol:38 mp; C10-MAGAZIE
Nr. niveluri:1; S. construita la sol:38 mp; C11-CANTAR CU
Nr. niveluri:1; S. construita la sol:28 mp; C12-SOPRON CU
nr. 2820, din 13/11/2018 emis de Urian Marcel Cosmin;
nr. CONTRACT DE VANZARE AUT. 42, din 31/01/2024 emis de Puiu Maria Delia;
Nr. 677/2001. Pagina 1 din 3
Nr. 58300 Comuna/Oraş/Municipiu: Sighişoara
Nr. 1 La Partea I
Nr. 677/2001. Pagina 2 din 3
nr.0/05-02-2024 in suma de 62143, pentru
nr. 231.</x:v>
      </x:c>
      <x:c r="K67" s="8" t="str">
        <x:v>Text extras; numerele din referințe sunt în coloana separată</x:v>
      </x:c>
      <x:c r="L67" s="8" t="e">
        <x:f>HYPERLINK("file:///Z:/00. Proiecte 2025/AFIR FotoVoltaic 1/3.8. Contract de concesiune/58300 IPEC.pdf","Deschide sursa")</x:f>
        <x:v>HYPERLINK is not implemented. linkLocation=file:///Z:/00. Proiecte 2025/AFIR FotoVoltaic 1/3.8. Contract de concesiune/58300 IPEC.pdf, friendlyName=Deschide sursa</x:v>
      </x:c>
    </x:row>
    <x:row r="68" ht="36" customHeight="1">
      <x:c r="A68" s="8" t="str">
        <x:v>F0109</x:v>
      </x:c>
      <x:c r="B68" s="8" t="str">
        <x:v>58300.pdf</x:v>
      </x:c>
      <x:c r="C68" s="8" t="str">
        <x:v>Depunere / eligibilitate</x:v>
      </x:c>
      <x:c r="D68" s="12" t="str"/>
      <x:c r="E68" s="11" t="str"/>
      <x:c r="F68" s="12" t="str"/>
      <x:c r="G68" s="11" t="str"/>
      <x:c r="H68" s="8" t="str"/>
      <x:c r="I68" s="8" t="str">
        <x:v>Document local; transmiterea individuală neconfirmată</x:v>
      </x:c>
      <x:c r="J68" s="8" t="str"/>
      <x:c r="K68" s="8" t="str">
        <x:v>Text extras; numerele din referințe sunt în coloana separată</x:v>
      </x:c>
      <x:c r="L68" s="8" t="e">
        <x:f>HYPERLINK("file:///Z:/00. Proiecte 2025/AFIR FotoVoltaic 1/3.8. Contract de concesiune/58300.pdf","Deschide sursa")</x:f>
        <x:v>HYPERLINK is not implemented. linkLocation=file:///Z:/00. Proiecte 2025/AFIR FotoVoltaic 1/3.8. Contract de concesiune/58300.pdf, friendlyName=Deschide sursa</x:v>
      </x:c>
    </x:row>
    <x:row r="69" ht="134" customHeight="1">
      <x:c r="A69" s="8" t="str">
        <x:v>F0110</x:v>
      </x:c>
      <x:c r="B69" s="8" t="str">
        <x:v>ACORD IPOTECAR IPEC.docx</x:v>
      </x:c>
      <x:c r="C69" s="8" t="str">
        <x:v>Depunere / eligibilitate</x:v>
      </x:c>
      <x:c r="D69" s="12" t="str"/>
      <x:c r="E69" s="11" t="str"/>
      <x:c r="F69" s="12" t="str"/>
      <x:c r="G69" s="11" t="str"/>
      <x:c r="H69" s="8" t="str"/>
      <x:c r="I69" s="8" t="str">
        <x:v>Document local; transmiterea individuală neconfirmată</x:v>
      </x:c>
      <x:c r="J69" s="8" t="str">
        <x:v>Nr. Inreg. 3/08.01.2024
nr. 96, jud. Mureș
nr.5
nr. 96 aflate în proprietatea SC CESIRO S.A., ținând cont de drepturile oferite de art. 2343-2479 din Codul Civil, am luat cunoștință de existența contractului de
nr. 2/12.01.2021, cu care suntem de acord. În urma solicitării transmise de către Cesiro Production S.R.L., SC IPEC S.A. își exprimă acordul ferm, ca SC CESIRO PR
nr. 2/12.01.2021 și Actul Adițional nr. 1/01.02.2021 aferent acestui contract pentru Proiectul - Sursă Durabilă de Energie: Implementarea Sistemului Fotovoltaic de</x:v>
      </x:c>
      <x:c r="K69" s="8" t="str">
        <x:v>Text extras; numerele din referințe sunt în coloana separată</x:v>
      </x:c>
      <x:c r="L69" s="8" t="e">
        <x:f>HYPERLINK("file:///Z:/00. Proiecte 2025/AFIR FotoVoltaic 1/3.8. Contract de concesiune/ACORD IPOTECAR IPEC.docx","Deschide sursa")</x:f>
        <x:v>HYPERLINK is not implemented. linkLocation=file:///Z:/00. Proiecte 2025/AFIR FotoVoltaic 1/3.8. Contract de concesiune/ACORD IPOTECAR IPEC.docx, friendlyName=Deschide sursa</x:v>
      </x:c>
    </x:row>
    <x:row r="70" ht="218" customHeight="1">
      <x:c r="A70" s="8" t="str">
        <x:v>F0111</x:v>
      </x:c>
      <x:c r="B70" s="8" t="str">
        <x:v>act aditional la contrractul de comodat nr 2 din 12.01.2021.docx</x:v>
      </x:c>
      <x:c r="C70" s="8" t="str">
        <x:v>Depunere / eligibilitate</x:v>
      </x:c>
      <x:c r="D70" s="12" t="str"/>
      <x:c r="E70" s="11" t="str"/>
      <x:c r="F70" s="12" t="str"/>
      <x:c r="G70" s="11" t="str"/>
      <x:c r="H70" s="8" t="str"/>
      <x:c r="I70" s="8" t="str">
        <x:v>Document local; transmiterea individuală neconfirmată</x:v>
      </x:c>
      <x:c r="J70" s="8" t="str">
        <x:v>nr. 1/01.02.2021
nr. 2/12.01.2021
nr. J26/488/1995, CUI 1224995, reprezentată legal de Covaciu Cosmin Adrian, domiciliat în Alba Iulia, str. Simion Bărnuțiu, nr. 17B, jud. Alba, posesor al CI seria
nr. 618936 emisă de SPCJEP Alba la data de 21.10.2015, având funcția de administrator, proprietar, în calitate de COMODAT
nr. J01/1328/2021, CUI 45050734, reprezentată legal de Covaciu Cosmin Adrian, domiciliat în Alba Iulia, str. Simion Bărnuțiu, nr. 17B, jud. Alba, posesor al CI ser
nr. 618936 emisă de SPCJEP Alba la data de 21.10.2015, având funcția de administrator, in calitate de COMODATAR
nr. 96, jud. Mureș. Comodantul a luat la cunoștință și declară că este de acord ca imobilul sus menționat să constituie sediu secundar acceptând toate consecințele
nr. Cad. 58300-C1 și acces la folosirea întregului acoperiș al imobilului înscris în CF 58300 cu o suprafață de 18596 mp (imagini Anexa 1).
NR. CAD. 58300-C6) a panourilor fotovoltaice care vor fi montate pe acoperișul imobilului din CF 58300.
nr. 1 la Actul Adițional nr. 1/12.01.2021 la Contractul nr. 2/12.01.2021</x:v>
      </x:c>
      <x:c r="K70" s="8" t="str">
        <x:v>Text extras; numerele din referințe sunt în coloana separată</x:v>
      </x:c>
      <x:c r="L70" s="8" t="e">
        <x:f>HYPERLINK("file:///Z:/00. Proiecte 2025/AFIR FotoVoltaic 1/3.8. Contract de concesiune/act aditional la contrractul de comodat nr 2 din 12.01.2021.docx","Deschide sursa")</x:f>
        <x:v>HYPERLINK is not implemented. linkLocation=file:///Z:/00. Proiecte 2025/AFIR FotoVoltaic 1/3.8. Contract de concesiune/act aditional la contrractul de comodat nr 2 din 12.01.2021.docx, friendlyName=Deschide sursa</x:v>
      </x:c>
    </x:row>
    <x:row r="71" ht="246" customHeight="1">
      <x:c r="A71" s="8" t="str">
        <x:v>F0112</x:v>
      </x:c>
      <x:c r="B71" s="8" t="str">
        <x:v>CF 50573 hala de productie fabrica Cesiro 10 10 2017.PDF</x:v>
      </x:c>
      <x:c r="C71" s="8" t="str">
        <x:v>Depunere / eligibilitate</x:v>
      </x:c>
      <x:c r="D71" s="12" t="str"/>
      <x:c r="E71" s="11" t="str"/>
      <x:c r="F71" s="12" t="str"/>
      <x:c r="G71" s="11" t="str"/>
      <x:c r="H71" s="8" t="str"/>
      <x:c r="I71" s="8" t="str">
        <x:v>Document local; transmiterea individuală neconfirmată</x:v>
      </x:c>
      <x:c r="J71" s="8" t="str">
        <x:v>nrqdrltal4i
Nr. 50573 Sighisoara
Nr. 677/2007.
Nr. cerere L8f.30 I
Nr. CF vechi:964314
Nr. 96, Jud. Mures
Nr. 96,
nrsoara, str M.Viteazu, Nr. 96,
Nr. 9b,
nr. 1200/1990 (DOC.TOP. vizata OJCGC Mures si de Primaria Sighisoara.);
nr. 1307-1.31612002
nr. 1006, din2o1L2120l"3 emis de ENESCU OANA;
Nr. 50 57 3 Comu n a/Orag/M u n i ci pi u : S i gh i soa ra
nr.46389/10-Lo-20L7 in suma de 20, pentru serviciul depublicitate imobiliarS cu codul nr. 272.
Nr. 677/2001".
Nr. 50573 Comuna/Orag/Municipiu: Sighisoara
Nr. 677/2001</x:v>
      </x:c>
      <x:c r="K71" s="8" t="str">
        <x:v>Text extras; numerele din referințe sunt în coloana separată</x:v>
      </x:c>
      <x:c r="L71" s="8" t="e">
        <x:f>HYPERLINK("file:///Z:/00. Proiecte 2025/AFIR FotoVoltaic 1/3.8. Contract de concesiune/CF 50573 hala de productie fabrica Cesiro 10 10 2017.PDF","Deschide sursa")</x:f>
        <x:v>HYPERLINK is not implemented. linkLocation=file:///Z:/00. Proiecte 2025/AFIR FotoVoltaic 1/3.8. Contract de concesiune/CF 50573 hala de productie fabrica Cesiro 10 10 2017.PDF, friendlyName=Deschide sursa</x:v>
      </x:c>
    </x:row>
    <x:row r="72" ht="36" customHeight="1">
      <x:c r="A72" s="8" t="str">
        <x:v>F0113</x:v>
      </x:c>
      <x:c r="B72" s="8" t="str">
        <x:v>contract comodat nr 2-2.pdf</x:v>
      </x:c>
      <x:c r="C72" s="8" t="str">
        <x:v>Depunere / eligibilitate</x:v>
      </x:c>
      <x:c r="D72" s="12" t="str"/>
      <x:c r="E72" s="11" t="str"/>
      <x:c r="F72" s="12" t="str"/>
      <x:c r="G72" s="11" t="str"/>
      <x:c r="H72" s="8" t="str"/>
      <x:c r="I72" s="8" t="str">
        <x:v>Document local; transmiterea individuală neconfirmată</x:v>
      </x:c>
      <x:c r="J72" s="8" t="str"/>
      <x:c r="K72" s="8" t="str">
        <x:v>Text extras; numerele din referințe sunt în coloana separată</x:v>
      </x:c>
      <x:c r="L72" s="8" t="e">
        <x:f>HYPERLINK("file:///Z:/00. Proiecte 2025/AFIR FotoVoltaic 1/3.8. Contract de concesiune/contract comodat nr 2-2.pdf","Deschide sursa")</x:f>
        <x:v>HYPERLINK is not implemented. linkLocation=file:///Z:/00. Proiecte 2025/AFIR FotoVoltaic 1/3.8. Contract de concesiune/contract comodat nr 2-2.pdf, friendlyName=Deschide sursa</x:v>
      </x:c>
    </x:row>
    <x:row r="73" ht="36" customHeight="1">
      <x:c r="A73" s="8" t="str">
        <x:v>F0114</x:v>
      </x:c>
      <x:c r="B73" s="8" t="str">
        <x:v>Contract de inchiriere IPEC SA cu Cesiro Production.pdf</x:v>
      </x:c>
      <x:c r="C73" s="8" t="str">
        <x:v>Depunere / eligibilitate</x:v>
      </x:c>
      <x:c r="D73" s="12" t="str"/>
      <x:c r="E73" s="11" t="str"/>
      <x:c r="F73" s="12" t="str"/>
      <x:c r="G73" s="11" t="str"/>
      <x:c r="H73" s="8" t="str"/>
      <x:c r="I73" s="8" t="str">
        <x:v>Document local; transmiterea individuală neconfirmată</x:v>
      </x:c>
      <x:c r="J73" s="8" t="str"/>
      <x:c r="K73" s="8" t="str">
        <x:v>Text extras; numerele din referințe sunt în coloana separată</x:v>
      </x:c>
      <x:c r="L73" s="8" t="e">
        <x:f>HYPERLINK("file:///Z:/00. Proiecte 2025/AFIR FotoVoltaic 1/3.8. Contract de concesiune/Contract de inchiriere IPEC SA cu Cesiro Production.pdf","Deschide sursa")</x:f>
        <x:v>HYPERLINK is not implemented. linkLocation=file:///Z:/00. Proiecte 2025/AFIR FotoVoltaic 1/3.8. Contract de concesiune/Contract de inchiriere IPEC SA cu Cesiro Production.pdf, friendlyName=Deschide sursa</x:v>
      </x:c>
    </x:row>
    <x:row r="74" ht="78" customHeight="1">
      <x:c r="A74" s="8" t="str">
        <x:v>F0121</x:v>
      </x:c>
      <x:c r="B74" s="8" t="str">
        <x:v>Contract Inchiriere Cesiro - Cesiro Productions.docx</x:v>
      </x:c>
      <x:c r="C74" s="8" t="str">
        <x:v>Depunere / eligibilitate</x:v>
      </x:c>
      <x:c r="D74" s="12" t="str">
        <x:v>2</x:v>
      </x:c>
      <x:c r="E74" s="11" t="n">
        <x:v>44208</x:v>
      </x:c>
      <x:c r="F74" s="12" t="str"/>
      <x:c r="G74" s="11" t="str"/>
      <x:c r="H74" s="8" t="str"/>
      <x:c r="I74" s="8" t="str">
        <x:v>Document local; transmiterea individuală neconfirmată</x:v>
      </x:c>
      <x:c r="J74" s="8" t="str">
        <x:v>Nr. 2/12.01.2021
nr. J26/488/1995, CU11224995, reprezentată de Covaciu Cosmin Adrian, domiciliat în Alba fulia, str. Simion Bărnuţiu, nr.17B, jud. Alba, posesor al Cl seria AX 6189
nr.17B, jud. Alba, posesor al Cl seria AX 618936 emisă de SPCJEP Alba la data de 21.10.2015, având funcţia de administrator, in calitate de CHIRIAȘ</x:v>
      </x:c>
      <x:c r="K74" s="8" t="str">
        <x:v>Text extras; numerele din referințe sunt în coloana separată</x:v>
      </x:c>
      <x:c r="L74" s="8" t="e">
        <x:f>HYPERLINK("file:///Z:/00. Proiecte 2025/AFIR FotoVoltaic 1/3.8. Contract de concesiune/Contract Inchiriere Cesiro - Cesiro Productions.docx","Deschide sursa")</x:f>
        <x:v>HYPERLINK is not implemented. linkLocation=file:///Z:/00. Proiecte 2025/AFIR FotoVoltaic 1/3.8. Contract de concesiune/Contract Inchiriere Cesiro - Cesiro Productions.docx, friendlyName=Deschide sursa</x:v>
      </x:c>
    </x:row>
    <x:row r="75" ht="78" customHeight="1">
      <x:c r="A75" s="8" t="str">
        <x:v>F0122</x:v>
      </x:c>
      <x:c r="B75" s="8" t="str">
        <x:v>DECIZIE PASTRARE CONTRACT.docx</x:v>
      </x:c>
      <x:c r="C75" s="8" t="str">
        <x:v>Depunere / eligibilitate</x:v>
      </x:c>
      <x:c r="D75" s="12" t="str"/>
      <x:c r="E75" s="11" t="str"/>
      <x:c r="F75" s="12" t="str"/>
      <x:c r="G75" s="11" t="str"/>
      <x:c r="H75" s="8" t="str"/>
      <x:c r="I75" s="8" t="str">
        <x:v>Document local; transmiterea individuală neconfirmată</x:v>
      </x:c>
      <x:c r="J75" s="8" t="str">
        <x:v>Nr. Inreg. 5/10.01.2024
nr.5
nr. 1835/10.10.2023.
nr. 2/12.01.2021 cu actele adiționale aferente contractului, pe care am decis să îl păstrăm, oferindu-vă drepturile dobândite prin contract.</x:v>
      </x:c>
      <x:c r="K75" s="8" t="str">
        <x:v>Text extras; numerele din referințe sunt în coloana separată</x:v>
      </x:c>
      <x:c r="L75" s="8" t="e">
        <x:f>HYPERLINK("file:///Z:/00. Proiecte 2025/AFIR FotoVoltaic 1/3.8. Contract de concesiune/DECIZIE PASTRARE CONTRACT.docx","Deschide sursa")</x:f>
        <x:v>HYPERLINK is not implemented. linkLocation=file:///Z:/00. Proiecte 2025/AFIR FotoVoltaic 1/3.8. Contract de concesiune/DECIZIE PASTRARE CONTRACT.docx, friendlyName=Deschide sursa</x:v>
      </x:c>
    </x:row>
    <x:row r="76" ht="36" customHeight="1">
      <x:c r="A76" s="8" t="str">
        <x:v>F0123</x:v>
      </x:c>
      <x:c r="B76" s="8" t="str">
        <x:v>SChema de amplasare panouri pe acoperis.xlsx</x:v>
      </x:c>
      <x:c r="C76" s="8" t="str">
        <x:v>Depunere / eligibilitate</x:v>
      </x:c>
      <x:c r="D76" s="12" t="str"/>
      <x:c r="E76" s="11" t="str"/>
      <x:c r="F76" s="12" t="str"/>
      <x:c r="G76" s="11" t="str"/>
      <x:c r="H76" s="8" t="str"/>
      <x:c r="I76" s="8" t="str">
        <x:v>Document local; transmiterea individuală neconfirmată</x:v>
      </x:c>
      <x:c r="J76" s="8" t="str"/>
      <x:c r="K76" s="8" t="str">
        <x:v>Necesită citire vizuală / OCR / formular XFA</x:v>
      </x:c>
      <x:c r="L76" s="8" t="e">
        <x:f>HYPERLINK("file:///Z:/00. Proiecte 2025/AFIR FotoVoltaic 1/3.8. Contract de concesiune/SChema de amplasare panouri pe acoperis.xlsx","Deschide sursa")</x:f>
        <x:v>HYPERLINK is not implemented. linkLocation=file:///Z:/00. Proiecte 2025/AFIR FotoVoltaic 1/3.8. Contract de concesiune/SChema de amplasare panouri pe acoperis.xlsx, friendlyName=Deschide sursa</x:v>
      </x:c>
    </x:row>
    <x:row r="77" ht="176" customHeight="1">
      <x:c r="A77" s="8" t="str">
        <x:v>F0124</x:v>
      </x:c>
      <x:c r="B77" s="8" t="str">
        <x:v>Opis_Cerere_rambursare_nr1_CESIRO (4).docx</x:v>
      </x:c>
      <x:c r="C77" s="8" t="str">
        <x:v>Rambursare tranșa 1</x:v>
      </x:c>
      <x:c r="D77" s="12" t="str"/>
      <x:c r="E77" s="11" t="str"/>
      <x:c r="F77" s="12" t="str"/>
      <x:c r="G77" s="11" t="str"/>
      <x:c r="H77" s="8" t="str"/>
      <x:c r="I77" s="8" t="str">
        <x:v>Document local; transmiterea individuală neconfirmată</x:v>
      </x:c>
      <x:c r="J77" s="8" t="str">
        <x:v>nr. 5, jud. Alba
nr. 96, jud. Mureș
nr. 1
nr.: CFMSES011011372801030/30.12.2024
nr. 1 – Formular AP 1.1-SE
nr. 0033/03.07.2026
nr. 1 – nr. 6
nr. 275/01.02.2024, încheiat cu S.C. SUNTREE SOLAR TECH S.R.L.
nr. 1 la contractul de finanțare, nr. înreg. 1.360.244/30.06.2026 (Formular C3.3.4)
nr. 1, nr. 2 și nr. 3 la contractul de achiziție nr. 275/01.02.2024
nr. 1.370.394/07.08.2026 (Formular C3.3.8)
nr. FN/11.06.2026</x:v>
      </x:c>
      <x:c r="K77" s="8" t="str">
        <x:v>Text extras; numerele din referințe sunt în coloana separată</x:v>
      </x:c>
      <x:c r="L77" s="8" t="e">
        <x:f>HYPERLINK("file:///Z:/00. Proiecte 2025/AFIR FotoVoltaic 1/30.1 Cerere Rambursare 1/Opis_Cerere_rambursare_nr1_CESIRO (4).docx","Deschide sursa")</x:f>
        <x:v>HYPERLINK is not implemented. linkLocation=file:///Z:/00. Proiecte 2025/AFIR FotoVoltaic 1/30.1 Cerere Rambursare 1/Opis_Cerere_rambursare_nr1_CESIRO (4).docx, friendlyName=Deschide sursa</x:v>
      </x:c>
    </x:row>
    <x:row r="78" ht="92" customHeight="1">
      <x:c r="A78" s="8" t="str">
        <x:v>F0125</x:v>
      </x:c>
      <x:c r="B78" s="8" t="str">
        <x:v>0. Raspuns Partea a 2-a Cesiro Production SRL 25.04.2024 semnat.pdf</x:v>
      </x:c>
      <x:c r="C78" s="8" t="str">
        <x:v>Depunere / eligibilitate</x:v>
      </x:c>
      <x:c r="D78" s="12" t="str"/>
      <x:c r="E78" s="11" t="str"/>
      <x:c r="F78" s="12" t="str"/>
      <x:c r="G78" s="11" t="str"/>
      <x:c r="H78" s="8" t="str"/>
      <x:c r="I78" s="8" t="str">
        <x:v>Document local; transmiterea individuală neconfirmată</x:v>
      </x:c>
      <x:c r="J78" s="8" t="str">
        <x:v>nr. 43, Sector 1 ; Tel: 0728.107.516, Tel.: 031 – 860.27.47
nr. 1 / 15.02.2023, care prelungește perioada
nregistrată cu numărul: 9169/24.04.2024 – a
nr. 1 / 15.02.2023 și a Actul
nr. 1 / 15.02.2023, care
nregistrată cu numărul: 9169/24.04.2024 și</x:v>
      </x:c>
      <x:c r="K78" s="8" t="str">
        <x:v>Text extras; numerele din referințe sunt în coloana separată</x:v>
      </x:c>
      <x:c r="L78" s="8" t="e">
        <x:f>HYPERLINK("file:///Z:/00. Proiecte 2025/AFIR FotoVoltaic 1/4. Cerere de finantare/0. Raspuns Partea a 2-a Cesiro Production SRL 25.04.2024 semnat.pdf","Deschide sursa")</x:f>
        <x:v>HYPERLINK is not implemented. linkLocation=file:///Z:/00. Proiecte 2025/AFIR FotoVoltaic 1/4. Cerere de finantare/0. Raspuns Partea a 2-a Cesiro Production SRL 25.04.2024 semnat.pdf, friendlyName=Deschide sursa</x:v>
      </x:c>
    </x:row>
    <x:row r="79" ht="106" customHeight="1">
      <x:c r="A79" s="8" t="str">
        <x:v>F0126</x:v>
      </x:c>
      <x:c r="B79" s="8" t="str">
        <x:v>1. Cerere de finantare Cesiro Production SRL 25.04.2024 semnat.pdf</x:v>
      </x:c>
      <x:c r="C79" s="8" t="str">
        <x:v>Depunere / eligibilitate</x:v>
      </x:c>
      <x:c r="D79" s="12" t="str"/>
      <x:c r="E79" s="11" t="str"/>
      <x:c r="F79" s="12" t="str"/>
      <x:c r="G79" s="11" t="str"/>
      <x:c r="H79" s="8" t="str"/>
      <x:c r="I79" s="8" t="str">
        <x:v>Document local; transmiterea individuală neconfirmată</x:v>
      </x:c>
      <x:c r="J79" s="8" t="str">
        <x:v>Nr. 96, Jud. Mures,CF58300Sighisoara,
nr.85/2014 privind procedura insolvenţei, cu
nr. 46/2013 privind criza financiară şi insolvenţa unităţilor administrativ-
nr. 679/2016 privind
nr. 43, București, Sector 1
nr. 41/2014 privind înființarea, organizarea și funcționarea Agenției pentru Finanțarea
nr. 43/2015. Astfel,</x:v>
      </x:c>
      <x:c r="K79" s="8" t="str">
        <x:v>Text extras; numerele din referințe sunt în coloana separată</x:v>
      </x:c>
      <x:c r="L79" s="8" t="e">
        <x:f>HYPERLINK("file:///Z:/00. Proiecte 2025/AFIR FotoVoltaic 1/4. Cerere de finantare/1. Cerere de finantare Cesiro Production SRL 25.04.2024 semnat.pdf","Deschide sursa")</x:f>
        <x:v>HYPERLINK is not implemented. linkLocation=file:///Z:/00. Proiecte 2025/AFIR FotoVoltaic 1/4. Cerere de finantare/1. Cerere de finantare Cesiro Production SRL 25.04.2024 semnat.pdf, friendlyName=Deschide sursa</x:v>
      </x:c>
    </x:row>
    <x:row r="80" ht="36" customHeight="1">
      <x:c r="A80" s="8" t="str">
        <x:v>F0127</x:v>
      </x:c>
      <x:c r="B80" s="8" t="str">
        <x:v>16. Declaratie asumare dezechilibre.pdf</x:v>
      </x:c>
      <x:c r="C80" s="8" t="str">
        <x:v>Depunere / eligibilitate</x:v>
      </x:c>
      <x:c r="D80" s="12" t="str"/>
      <x:c r="E80" s="11" t="str"/>
      <x:c r="F80" s="12" t="str"/>
      <x:c r="G80" s="11" t="str"/>
      <x:c r="H80" s="8" t="str"/>
      <x:c r="I80" s="8" t="str">
        <x:v>Document local; transmiterea individuală neconfirmată</x:v>
      </x:c>
      <x:c r="J80" s="8" t="str">
        <x:v>nr. 123/2012 a energiei electrice și a</x:v>
      </x:c>
      <x:c r="K80" s="8" t="str">
        <x:v>Text extras; numerele din referințe sunt în coloana separată</x:v>
      </x:c>
      <x:c r="L80" s="8" t="e">
        <x:f>HYPERLINK("file:///Z:/00. Proiecte 2025/AFIR FotoVoltaic 1/4. Cerere de finantare/16. Declaratie asumare dezechilibre.pdf","Deschide sursa")</x:f>
        <x:v>HYPERLINK is not implemented. linkLocation=file:///Z:/00. Proiecte 2025/AFIR FotoVoltaic 1/4. Cerere de finantare/16. Declaratie asumare dezechilibre.pdf, friendlyName=Deschide sursa</x:v>
      </x:c>
    </x:row>
    <x:row r="81" ht="190" customHeight="1">
      <x:c r="A81" s="8" t="str">
        <x:v>F0128</x:v>
      </x:c>
      <x:c r="B81" s="8" t="str">
        <x:v>2. Plan de Afaceri Cesiro Production SRL 25.04.2024 semnat.pdf</x:v>
      </x:c>
      <x:c r="C81" s="8" t="str">
        <x:v>Depunere / eligibilitate</x:v>
      </x:c>
      <x:c r="D81" s="12" t="str"/>
      <x:c r="E81" s="11" t="str"/>
      <x:c r="F81" s="12" t="str"/>
      <x:c r="G81" s="11" t="str"/>
      <x:c r="H81" s="8" t="str"/>
      <x:c r="I81" s="8" t="str">
        <x:v>Document local; transmiterea individuală neconfirmată</x:v>
      </x:c>
      <x:c r="J81" s="8" t="str">
        <x:v>nregistrare. J01 /1328 /2021 · CUI. 45050734
Nr. 5 Cod Poștal 510040
nregistrare : J01 /1328 /2021
Nr. 58300 Sighisoara
Nr. 96, Jud. Mures
Nr. Niveluri – 2, Suprafata construita 9758 mp
nr. 123/2012 a energiei electrice și a
nr. 1.076/2021;
nr. 401/2009 și (UE) 2018/1999 ("Legea europeană a climei"), referitor la asigurarea,
NRE pentru anul 2021/2022, după caz.
NRE pentru fiecare MWh din surse fosile este 0,6119 tone CO2/MWh.
nr. 60/2022, cu modificările ulterioare, la art. 2 alin.(1) lit. b) din OUG
nr. 77/2014, cu modificările și completările ulterioare și la articolul 5 alin (7) din anexa la</x:v>
      </x:c>
      <x:c r="K81" s="8" t="str">
        <x:v>Text extras; numerele din referințe sunt în coloana separată</x:v>
      </x:c>
      <x:c r="L81" s="8" t="e">
        <x:f>HYPERLINK("file:///Z:/00. Proiecte 2025/AFIR FotoVoltaic 1/4. Cerere de finantare/2. Plan de Afaceri Cesiro Production SRL 25.04.2024 semnat.pdf","Deschide sursa")</x:f>
        <x:v>HYPERLINK is not implemented. linkLocation=file:///Z:/00. Proiecte 2025/AFIR FotoVoltaic 1/4. Cerere de finantare/2. Plan de Afaceri Cesiro Production SRL 25.04.2024 semnat.pdf, friendlyName=Deschide sursa</x:v>
      </x:c>
    </x:row>
    <x:row r="82" ht="288" customHeight="1">
      <x:c r="A82" s="8" t="str">
        <x:v>F0129</x:v>
      </x:c>
      <x:c r="B82" s="8" t="str">
        <x:v>3. Doc. 7 - Alte documente care demonstrează eligibilitatea solicitantului și a proiectului Cesiro Production SRL 25.04.2024 semnat.pdf</x:v>
      </x:c>
      <x:c r="C82" s="8" t="str">
        <x:v>Depunere / eligibilitate</x:v>
      </x:c>
      <x:c r="D82" s="12" t="str"/>
      <x:c r="E82" s="11" t="str"/>
      <x:c r="F82" s="12" t="str"/>
      <x:c r="G82" s="11" t="str"/>
      <x:c r="H82" s="8" t="str"/>
      <x:c r="I82" s="8" t="str">
        <x:v>Document local; transmiterea individuală neconfirmată</x:v>
      </x:c>
      <x:c r="J82" s="8" t="str">
        <x:v>Nr. 58300 Sighişoara
Nr. 96, Jud. Mureș
Nr. niveluri:2; S. construita la sol:9584 mp; C1-HALA
Nr. niveluri:1; S. construita la sol:86 mp; C2-BAZIN
Nr. niveluri:1; S. construita la sol:113 mp; C3-STATIE
Nr. niveluri:1; S. construita la sol:134 mp; C4-CENTRALA
Nr. niveluri:1; S. construita la sol:45 mp; C5-CABINA
Nr. niveluri:1; S. construita la sol:21 mp; C7-STATIE
Nr. niveluri:1; S. construita la sol:28 mp; C9-REZERVOR
Nr. niveluri:1; S. construita la sol:38 mp; C10-MAGAZIE
Nr. niveluri:1; S. construita la sol:38 mp; C11-CANTAR CU
Nr. niveluri:1; S. construita la sol:28 mp; C12-SOPRON CU
nr. 2820, din 13/11/2018 emis de Urian Marcel Cosmin;
nr. CONTRACT DE VANZARE AUT. 42, din 31/01/2024 emis de Puiu Maria Delia;
Nr. 677/2001. Pagina 1 din 3
Nr. 58300 Comuna/Oraş/Municipiu: Sighişoara
Nr. 1 La Partea I
Nr. 677/2001. Pagina 2 din 3
nr. 455/2001,
nr. 41/2016, exclusiv în mediul electronic, pentru activități și procese</x:v>
      </x:c>
      <x:c r="K82" s="8" t="str">
        <x:v>Text extras; numerele din referințe sunt în coloana separată</x:v>
      </x:c>
      <x:c r="L82" s="8" t="e">
        <x:f>HYPERLINK("file:///Z:/00. Proiecte 2025/AFIR FotoVoltaic 1/4. Cerere de finantare/3. Doc. 7 - Alte documente care demonstrează eligibilitatea solicitantului și a proiectului Cesiro Production SRL 25.04.2024 semnat.pdf","Deschide sursa")</x:f>
        <x:v>HYPERLINK is not implemented. linkLocation=file:///Z:/00. Proiecte 2025/AFIR FotoVoltaic 1/4. Cerere de finantare/3. Doc. 7 - Alte documente care demonstrează eligibilitatea solicitantului și a proiectului Cesiro Production SRL 25.04.2024 semnat.pdf, friendlyName=Deschide sursa</x:v>
      </x:c>
    </x:row>
    <x:row r="83" ht="36" customHeight="1">
      <x:c r="A83" s="8" t="str">
        <x:v>F0130</x:v>
      </x:c>
      <x:c r="B83" s="8" t="str">
        <x:v>4. Act constitutiv Cesiro Production CAEN 1039 si 3511 semnat.pdf</x:v>
      </x:c>
      <x:c r="C83" s="8" t="str">
        <x:v>Depunere / eligibilitate</x:v>
      </x:c>
      <x:c r="D83" s="12" t="str"/>
      <x:c r="E83" s="11" t="str"/>
      <x:c r="F83" s="12" t="str"/>
      <x:c r="G83" s="11" t="str"/>
      <x:c r="H83" s="8" t="str"/>
      <x:c r="I83" s="8" t="str">
        <x:v>Document local; transmiterea individuală neconfirmată</x:v>
      </x:c>
      <x:c r="J83" s="8" t="str"/>
      <x:c r="K83" s="8" t="str">
        <x:v>Text extras; numerele din referințe sunt în coloana separată</x:v>
      </x:c>
      <x:c r="L83" s="8" t="e">
        <x:f>HYPERLINK("file:///Z:/00. Proiecte 2025/AFIR FotoVoltaic 1/4. Cerere de finantare/4. Act constitutiv Cesiro Production CAEN 1039 si 3511 semnat.pdf","Deschide sursa")</x:f>
        <x:v>HYPERLINK is not implemented. linkLocation=file:///Z:/00. Proiecte 2025/AFIR FotoVoltaic 1/4. Cerere de finantare/4. Act constitutiv Cesiro Production CAEN 1039 si 3511 semnat.pdf, friendlyName=Deschide sursa</x:v>
      </x:c>
    </x:row>
    <x:row r="84" ht="288" customHeight="1">
      <x:c r="A84" s="8" t="str">
        <x:v>F0131</x:v>
      </x:c>
      <x:c r="B84" s="8" t="str">
        <x:v>Certificat constatator Cesiro Production.pdf</x:v>
      </x:c>
      <x:c r="C84" s="8" t="str">
        <x:v>Depunere / eligibilitate</x:v>
      </x:c>
      <x:c r="D84" s="12" t="str"/>
      <x:c r="E84" s="11" t="str"/>
      <x:c r="F84" s="12" t="str"/>
      <x:c r="G84" s="11" t="str"/>
      <x:c r="H84" s="8" t="str">
        <x:v>201842 / 14.02.2024</x:v>
      </x:c>
      <x:c r="I84" s="8" t="str">
        <x:v>Document local; transmiterea individuală neconfirmată</x:v>
      </x:c>
      <x:c r="J84" s="8" t="str">
        <x:v>nrc.ro; E-mail: onrc@onrc.ro; Cod de identificare Fiscală: 14942091.
Nr.: 201842/14.02.2024
nregistrată sub nr. 201842 din 14.02.2024, Oficiul Naţional al Registrului Comerţului certifică informaţiile referitoare la
NRC.J1/1328/2021
nregistrare: 45050734
nregistrare: B4836397, emis pe data de 14.02.2024 si eliberat la data 15.02.2024
nr. 11067 din data 13.10.2021
nr. 1 din data 12.10.2021
nr.31/1990
nr. 2 din data 12.01.2021
nr. 3249 din 13.02.2024
nr. 45801 din 12.10.2021
nregistrare este prevăzută de lege, în cel mult 15 zile de la data actelor sau producerii faptelor supuse obligaţiei de înregistrare.
nregistrarea menţiunilor se poate face şi la cererea persoanelor interesate, în cazurile prevăzute de lege, în termen de cel mult 30 de zile de la data la
nr. 679/2016 privind
nr. 54A, Cladirea nr. 3, sector 1, 012095 Bucuresti, Romania
Nr 5</x:v>
      </x:c>
      <x:c r="K84" s="8" t="str">
        <x:v>Text extras; numerele din referințe sunt în coloana separată</x:v>
      </x:c>
      <x:c r="L84" s="8" t="e">
        <x:f>HYPERLINK("file:///Z:/00. Proiecte 2025/AFIR FotoVoltaic 1/4. Cerere de finantare/Certificat constatator Cesiro Production.pdf","Deschide sursa")</x:f>
        <x:v>HYPERLINK is not implemented. linkLocation=file:///Z:/00. Proiecte 2025/AFIR FotoVoltaic 1/4. Cerere de finantare/Certificat constatator Cesiro Production.pdf, friendlyName=Deschide sursa</x:v>
      </x:c>
    </x:row>
    <x:row r="85" ht="36" customHeight="1">
      <x:c r="A85" s="8" t="str">
        <x:v>F0132</x:v>
      </x:c>
      <x:c r="B85" s="8" t="str">
        <x:v>Clarificari AFIR-CESIRO PRODUCTION SRL (1).zip</x:v>
      </x:c>
      <x:c r="C85" s="8" t="str">
        <x:v>Depunere / eligibilitate</x:v>
      </x:c>
      <x:c r="D85" s="12" t="str"/>
      <x:c r="E85" s="11" t="str"/>
      <x:c r="F85" s="12" t="str"/>
      <x:c r="G85" s="11" t="str"/>
      <x:c r="H85" s="8" t="str"/>
      <x:c r="I85" s="8" t="str">
        <x:v>Document local; transmiterea individuală neconfirmată</x:v>
      </x:c>
      <x:c r="J85" s="8" t="str"/>
      <x:c r="K85" s="8" t="str">
        <x:v>Necesită citire vizuală / OCR / formular XFA</x:v>
      </x:c>
      <x:c r="L85" s="8" t="e">
        <x:f>HYPERLINK("file:///Z:/00. Proiecte 2025/AFIR FotoVoltaic 1/4. Cerere de finantare/Clarificari AFIR-CESIRO PRODUCTION SRL (1).zip","Deschide sursa")</x:f>
        <x:v>HYPERLINK is not implemented. linkLocation=file:///Z:/00. Proiecte 2025/AFIR FotoVoltaic 1/4. Cerere de finantare/Clarificari AFIR-CESIRO PRODUCTION SRL (1).zip, friendlyName=Deschide sursa</x:v>
      </x:c>
    </x:row>
    <x:row r="86" ht="288" customHeight="1">
      <x:c r="A86" s="8" t="str">
        <x:v>F0133</x:v>
      </x:c>
      <x:c r="B86" s="8" t="str">
        <x:v>Declaratie caracteristici cladire.pdf</x:v>
      </x:c>
      <x:c r="C86" s="8" t="str">
        <x:v>Depunere / eligibilitate</x:v>
      </x:c>
      <x:c r="D86" s="12" t="str"/>
      <x:c r="E86" s="11" t="str"/>
      <x:c r="F86" s="12" t="str"/>
      <x:c r="G86" s="11" t="str"/>
      <x:c r="H86" s="8" t="str"/>
      <x:c r="I86" s="8" t="str">
        <x:v>Document local; transmiterea individuală neconfirmată</x:v>
      </x:c>
      <x:c r="J86" s="8" t="str">
        <x:v>Nr. 58300 Sighişoara
Nr. 96, Jud. Mureș
Nr. niveluri:2; S. construita la sol:9584 mp; C1-HALA
Nr. niveluri:1; S. construita la sol:86 mp; C2-BAZIN
Nr. niveluri:1; S. construita la sol:113 mp; C3-STATIE
Nr. niveluri:1; S. construita la sol:134 mp; C4-CENTRALA
Nr. niveluri:1; S. construita la sol:45 mp; C5-CABINA
Nr. niveluri:1; S. construita la sol:21 mp; C7-STATIE
Nr. niveluri:1; S. construita la sol:28 mp; C9-REZERVOR
Nr. niveluri:1; S. construita la sol:38 mp; C10-MAGAZIE
Nr. niveluri:1; S. construita la sol:38 mp; C11-CANTAR CU
Nr. niveluri:1; S. construita la sol:28 mp; C12-SOPRON CU
nr. 2820, din 13/11/2018 emis de Urian Marcel Cosmin;
nr. CONTRACT DE VANZARE AUT. 42, din 31/01/2024 emis de Puiu Maria Delia;
Nr. 677/2001. Pagina 1 din 3
Nr. 58300 Comuna/Oraş/Municipiu: Sighişoara
Nr. 1 La Partea I
Nr. 677/2001. Pagina 2 din 3
nr.0/05-02-2024 in suma de 62143, pentru
nr. 231.</x:v>
      </x:c>
      <x:c r="K86" s="8" t="str">
        <x:v>Text extras; numerele din referințe sunt în coloana separată</x:v>
      </x:c>
      <x:c r="L86" s="8" t="e">
        <x:f>HYPERLINK("file:///Z:/00. Proiecte 2025/AFIR FotoVoltaic 1/4. Cerere de finantare/Declaratie caracteristici cladire.pdf","Deschide sursa")</x:f>
        <x:v>HYPERLINK is not implemented. linkLocation=file:///Z:/00. Proiecte 2025/AFIR FotoVoltaic 1/4. Cerere de finantare/Declaratie caracteristici cladire.pdf, friendlyName=Deschide sursa</x:v>
      </x:c>
    </x:row>
    <x:row r="87" ht="36" customHeight="1">
      <x:c r="A87" s="8" t="str">
        <x:v>F0134</x:v>
      </x:c>
      <x:c r="B87" s="8" t="str">
        <x:v>Declaratie date cu caracter personal semnat.pdf</x:v>
      </x:c>
      <x:c r="C87" s="8" t="str">
        <x:v>Depunere / eligibilitate</x:v>
      </x:c>
      <x:c r="D87" s="12" t="str"/>
      <x:c r="E87" s="11" t="str"/>
      <x:c r="F87" s="12" t="str"/>
      <x:c r="G87" s="11" t="str"/>
      <x:c r="H87" s="8" t="str"/>
      <x:c r="I87" s="8" t="str">
        <x:v>Document local; transmiterea individuală neconfirmată</x:v>
      </x:c>
      <x:c r="J87" s="8" t="str">
        <x:v>nr. 679/2016 privind protecția persoanelor</x:v>
      </x:c>
      <x:c r="K87" s="8" t="str">
        <x:v>Text extras; numerele din referințe sunt în coloana separată</x:v>
      </x:c>
      <x:c r="L87" s="8" t="e">
        <x:f>HYPERLINK("file:///Z:/00. Proiecte 2025/AFIR FotoVoltaic 1/4. Cerere de finantare/Declaratie date cu caracter personal semnat.pdf","Deschide sursa")</x:f>
        <x:v>HYPERLINK is not implemented. linkLocation=file:///Z:/00. Proiecte 2025/AFIR FotoVoltaic 1/4. Cerere de finantare/Declaratie date cu caracter personal semnat.pdf, friendlyName=Deschide sursa</x:v>
      </x:c>
    </x:row>
    <x:row r="88" ht="134" customHeight="1">
      <x:c r="A88" s="8" t="str">
        <x:v>F0135</x:v>
      </x:c>
      <x:c r="B88" s="8" t="str">
        <x:v>F3.4_CRFIR-ALBA-IULIA.pdf</x:v>
      </x:c>
      <x:c r="C88" s="8" t="str">
        <x:v>Depunere / eligibilitate</x:v>
      </x:c>
      <x:c r="D88" s="12" t="str"/>
      <x:c r="E88" s="11" t="str"/>
      <x:c r="F88" s="12" t="str">
        <x:v>1193319</x:v>
      </x:c>
      <x:c r="G88" s="11" t="str"/>
      <x:c r="H88" s="8" t="str"/>
      <x:c r="I88" s="8" t="str">
        <x:v>Document local; transmiterea individuală neconfirmată</x:v>
      </x:c>
      <x:c r="J88" s="8" t="str">
        <x:v>nr. 43, Sector 1 ; Tel: 0728.107.516, Tel.: 031 – 860.27.47
Nr. de înregistrare : 1193319
Nr. de inregistrare a CF: FFMSES011011372801030
numărul de înregistrare FFMSES011011372801030 , faptul ca în
nregistrare/CNP: 45050734
Numărul de înregistrare a cererii de finanţare : FFMSES011011372801030
nr. 1 / 15.02.2023 (art. 3
nr. 1 / 15.02.2023 nu este notat
nr. 58300 Sighișoara.</x:v>
      </x:c>
      <x:c r="K88" s="8" t="str">
        <x:v>Text extras; numerele din referințe sunt în coloana separată</x:v>
      </x:c>
      <x:c r="L88" s="8" t="e">
        <x:f>HYPERLINK("file:///Z:/00. Proiecte 2025/AFIR FotoVoltaic 1/4. Cerere de finantare/F3.4_CRFIR-ALBA-IULIA.pdf","Deschide sursa")</x:f>
        <x:v>HYPERLINK is not implemented. linkLocation=file:///Z:/00. Proiecte 2025/AFIR FotoVoltaic 1/4. Cerere de finantare/F3.4_CRFIR-ALBA-IULIA.pdf, friendlyName=Deschide sursa</x:v>
      </x:c>
    </x:row>
    <x:row r="89" ht="78" customHeight="1">
      <x:c r="A89" s="8" t="str">
        <x:v>F0136</x:v>
      </x:c>
      <x:c r="B89" s="8" t="str">
        <x:v>Memoriu Tehnic Justificativ semnat.pdf</x:v>
      </x:c>
      <x:c r="C89" s="8" t="str">
        <x:v>Depunere / eligibilitate</x:v>
      </x:c>
      <x:c r="D89" s="12" t="str"/>
      <x:c r="E89" s="11" t="str"/>
      <x:c r="F89" s="12" t="str"/>
      <x:c r="G89" s="11" t="str"/>
      <x:c r="H89" s="8" t="str"/>
      <x:c r="I89" s="8" t="str">
        <x:v>Document local; transmiterea individuală neconfirmată</x:v>
      </x:c>
      <x:c r="J89" s="8" t="str">
        <x:v>nr. 1.076/2021;
Nr. 58300 Sighisoara
Nr. 96, Jud. Mures
Nr. Niveluri – 2, Suprafata construita
NRE pentru fiecare MWh din surse fosile este 0,6119 tone CO2/MWh.</x:v>
      </x:c>
      <x:c r="K89" s="8" t="str">
        <x:v>Text extras; numerele din referințe sunt în coloana separată</x:v>
      </x:c>
      <x:c r="L89" s="8" t="e">
        <x:f>HYPERLINK("file:///Z:/00. Proiecte 2025/AFIR FotoVoltaic 1/4. Cerere de finantare/Memoriu Tehnic Justificativ semnat.pdf","Deschide sursa")</x:f>
        <x:v>HYPERLINK is not implemented. linkLocation=file:///Z:/00. Proiecte 2025/AFIR FotoVoltaic 1/4. Cerere de finantare/Memoriu Tehnic Justificativ semnat.pdf, friendlyName=Deschide sursa</x:v>
      </x:c>
    </x:row>
    <x:row r="90" ht="36" customHeight="1">
      <x:c r="A90" s="8" t="str">
        <x:v>F0137</x:v>
      </x:c>
      <x:c r="B90" s="8" t="str">
        <x:v>Nota justificativa de atribuire (1).pdf</x:v>
      </x:c>
      <x:c r="C90" s="8" t="str">
        <x:v>Depunere / eligibilitate</x:v>
      </x:c>
      <x:c r="D90" s="12" t="str"/>
      <x:c r="E90" s="11" t="str"/>
      <x:c r="F90" s="12" t="str"/>
      <x:c r="G90" s="11" t="str"/>
      <x:c r="H90" s="8" t="str"/>
      <x:c r="I90" s="8" t="str">
        <x:v>Document local; transmiterea individuală neconfirmată</x:v>
      </x:c>
      <x:c r="J90" s="8" t="str"/>
      <x:c r="K90" s="8" t="str">
        <x:v>Text extras; numerele din referințe sunt în coloana separată</x:v>
      </x:c>
      <x:c r="L90" s="8" t="e">
        <x:f>HYPERLINK("file:///Z:/00. Proiecte 2025/AFIR FotoVoltaic 1/4. Cerere de finantare/Nota justificativa de atribuire (1).pdf","Deschide sursa")</x:f>
        <x:v>HYPERLINK is not implemented. linkLocation=file:///Z:/00. Proiecte 2025/AFIR FotoVoltaic 1/4. Cerere de finantare/Nota justificativa de atribuire (1).pdf, friendlyName=Deschide sursa</x:v>
      </x:c>
    </x:row>
    <x:row r="91" ht="36" customHeight="1">
      <x:c r="A91" s="8" t="str">
        <x:v>F0138</x:v>
      </x:c>
      <x:c r="B91" s="8" t="str">
        <x:v>Oferte.pdf</x:v>
      </x:c>
      <x:c r="C91" s="8" t="str">
        <x:v>Depunere / eligibilitate</x:v>
      </x:c>
      <x:c r="D91" s="12" t="str"/>
      <x:c r="E91" s="11" t="str"/>
      <x:c r="F91" s="12" t="str"/>
      <x:c r="G91" s="11" t="str"/>
      <x:c r="H91" s="8" t="str"/>
      <x:c r="I91" s="8" t="str">
        <x:v>Document local; transmiterea individuală neconfirmată</x:v>
      </x:c>
      <x:c r="J91" s="8" t="str"/>
      <x:c r="K91" s="8" t="str">
        <x:v>Text extras; numerele din referințe sunt în coloana separată</x:v>
      </x:c>
      <x:c r="L91" s="8" t="e">
        <x:f>HYPERLINK("file:///Z:/00. Proiecte 2025/AFIR FotoVoltaic 1/4. Cerere de finantare/Oferte.pdf","Deschide sursa")</x:f>
        <x:v>HYPERLINK is not implemented. linkLocation=file:///Z:/00. Proiecte 2025/AFIR FotoVoltaic 1/4. Cerere de finantare/Oferte.pdf, friendlyName=Deschide sursa</x:v>
      </x:c>
    </x:row>
    <x:row r="92" ht="190" customHeight="1">
      <x:c r="A92" s="8" t="str">
        <x:v>F0139</x:v>
      </x:c>
      <x:c r="B92" s="8" t="str">
        <x:v>Plan de afaceri.pdf</x:v>
      </x:c>
      <x:c r="C92" s="8" t="str">
        <x:v>Depunere / eligibilitate</x:v>
      </x:c>
      <x:c r="D92" s="12" t="str"/>
      <x:c r="E92" s="11" t="str"/>
      <x:c r="F92" s="12" t="str"/>
      <x:c r="G92" s="11" t="str"/>
      <x:c r="H92" s="8" t="str"/>
      <x:c r="I92" s="8" t="str">
        <x:v>Document local; transmiterea individuală neconfirmată</x:v>
      </x:c>
      <x:c r="J92" s="8" t="str">
        <x:v>nregistrare. J01 /1328 /2021 · CUI. 45050734
Nr. 5 Cod Poștal 510040
nregistrare : J01 /1328 /2021
Nr. 58300 Sighisoara
Nr. 96, Jud. Mures
Nr. Niveluri – 2, Suprafata construita 9758 mp
nr. 123/2012 a energiei electrice și
nr. 1.076/2021;
nr. 401/2009 și (UE) 2018/1999 ("Legea europeană a climei"), referitor la
NRE pentru anul 2021/2022, după caz.
NRE pentru fiecare MWh din surse fosile este 0,6119 tone CO2/MWh.
nr. 60/2022, cu modificările ulterioare, la art. 2
nr. 77/2014, cu modificările și completările ulterioare și la articolul 5</x:v>
      </x:c>
      <x:c r="K92" s="8" t="str">
        <x:v>Text extras; numerele din referințe sunt în coloana separată</x:v>
      </x:c>
      <x:c r="L92" s="8" t="e">
        <x:f>HYPERLINK("file:///Z:/00. Proiecte 2025/AFIR FotoVoltaic 1/4. Cerere de finantare/Plan de afaceri.pdf","Deschide sursa")</x:f>
        <x:v>HYPERLINK is not implemented. linkLocation=file:///Z:/00. Proiecte 2025/AFIR FotoVoltaic 1/4. Cerere de finantare/Plan de afaceri.pdf, friendlyName=Deschide sursa</x:v>
      </x:c>
    </x:row>
    <x:row r="93" ht="36" customHeight="1">
      <x:c r="A93" s="8" t="str">
        <x:v>F0140</x:v>
      </x:c>
      <x:c r="B93" s="8" t="str">
        <x:v>CESIRO - Aga (1).pdf</x:v>
      </x:c>
      <x:c r="C93" s="8" t="str">
        <x:v>Cofinanțare / bancă</x:v>
      </x:c>
      <x:c r="D93" s="12" t="str"/>
      <x:c r="E93" s="11" t="str"/>
      <x:c r="F93" s="12" t="str"/>
      <x:c r="G93" s="11" t="str"/>
      <x:c r="H93" s="8" t="str"/>
      <x:c r="I93" s="8" t="str">
        <x:v>Document local; transmiterea individuală neconfirmată</x:v>
      </x:c>
      <x:c r="J93" s="8" t="str"/>
      <x:c r="K93" s="8" t="str">
        <x:v>Text extras; numerele din referințe sunt în coloana separată</x:v>
      </x:c>
      <x:c r="L93" s="8" t="e">
        <x:f>HYPERLINK("file:///Z:/00. Proiecte 2025/AFIR FotoVoltaic 1/40. Exim Bank/CESIRO - Aga (1).pdf","Deschide sursa")</x:f>
        <x:v>HYPERLINK is not implemented. linkLocation=file:///Z:/00. Proiecte 2025/AFIR FotoVoltaic 1/40. Exim Bank/CESIRO - Aga (1).pdf, friendlyName=Deschide sursa</x:v>
      </x:c>
    </x:row>
    <x:row r="94" ht="36" customHeight="1">
      <x:c r="A94" s="8" t="str">
        <x:v>F0141</x:v>
      </x:c>
      <x:c r="B94" s="8" t="str">
        <x:v>CESIRO - F40 - Solicitare deschidere cont + fond.pdf</x:v>
      </x:c>
      <x:c r="C94" s="8" t="str">
        <x:v>Cofinanțare / bancă</x:v>
      </x:c>
      <x:c r="D94" s="12" t="str"/>
      <x:c r="E94" s="11" t="str"/>
      <x:c r="F94" s="12" t="str"/>
      <x:c r="G94" s="11" t="str"/>
      <x:c r="H94" s="8" t="str"/>
      <x:c r="I94" s="8" t="str">
        <x:v>Document local; transmiterea individuală neconfirmată</x:v>
      </x:c>
      <x:c r="J94" s="8" t="str"/>
      <x:c r="K94" s="8" t="str">
        <x:v>Text extras; numerele din referințe sunt în coloana separată</x:v>
      </x:c>
      <x:c r="L94" s="8" t="e">
        <x:f>HYPERLINK("file:///Z:/00. Proiecte 2025/AFIR FotoVoltaic 1/40. Exim Bank/CESIRO - F40 - Solicitare deschidere cont + fond.pdf","Deschide sursa")</x:f>
        <x:v>HYPERLINK is not implemented. linkLocation=file:///Z:/00. Proiecte 2025/AFIR FotoVoltaic 1/40. Exim Bank/CESIRO - F40 - Solicitare deschidere cont + fond.pdf, friendlyName=Deschide sursa</x:v>
      </x:c>
    </x:row>
    <x:row r="95" ht="36" customHeight="1">
      <x:c r="A95" s="8" t="str">
        <x:v>F0142</x:v>
      </x:c>
      <x:c r="B95" s="8" t="str">
        <x:v>IDENTIFICARE FISCALA.pdf</x:v>
      </x:c>
      <x:c r="C95" s="8" t="str">
        <x:v>Cofinanțare / bancă</x:v>
      </x:c>
      <x:c r="D95" s="12" t="str"/>
      <x:c r="E95" s="11" t="str"/>
      <x:c r="F95" s="12" t="str"/>
      <x:c r="G95" s="11" t="str"/>
      <x:c r="H95" s="8" t="str"/>
      <x:c r="I95" s="8" t="str">
        <x:v>Document local; transmiterea individuală neconfirmată</x:v>
      </x:c>
      <x:c r="J95" s="8" t="str"/>
      <x:c r="K95" s="8" t="str">
        <x:v>Text extras; numerele din referințe sunt în coloana separată</x:v>
      </x:c>
      <x:c r="L95" s="8" t="e">
        <x:f>HYPERLINK("file:///Z:/00. Proiecte 2025/AFIR FotoVoltaic 1/40. Exim Bank/IDENTIFICARE FISCALA.pdf","Deschide sursa")</x:f>
        <x:v>HYPERLINK is not implemented. linkLocation=file:///Z:/00. Proiecte 2025/AFIR FotoVoltaic 1/40. Exim Bank/IDENTIFICARE FISCALA.pdf, friendlyName=Deschide sursa</x:v>
      </x:c>
    </x:row>
    <x:row r="96" ht="36" customHeight="1">
      <x:c r="A96" s="8" t="str">
        <x:v>F0144</x:v>
      </x:c>
      <x:c r="B96" s="8" t="str">
        <x:v>12. Declaratie date cu caracter personal.pdf</x:v>
      </x:c>
      <x:c r="C96" s="8" t="str">
        <x:v>Depunere / eligibilitate</x:v>
      </x:c>
      <x:c r="D96" s="12" t="str"/>
      <x:c r="E96" s="11" t="str"/>
      <x:c r="F96" s="12" t="str"/>
      <x:c r="G96" s="11" t="str"/>
      <x:c r="H96" s="8" t="str"/>
      <x:c r="I96" s="8" t="str">
        <x:v>Pregătit pentru depunere; confirmare de verificat</x:v>
      </x:c>
      <x:c r="J96" s="8" t="str">
        <x:v>nr. 679/2016 privind protecția persoanelor</x:v>
      </x:c>
      <x:c r="K96" s="8" t="str">
        <x:v>Text extras; numerele din referințe sunt în coloana separată</x:v>
      </x:c>
      <x:c r="L96" s="8" t="e">
        <x:f>HYPERLINK("file:///Z:/00. Proiecte 2025/AFIR FotoVoltaic 1/5. De Depus/12. Declaratie date cu caracter personal.pdf","Deschide sursa")</x:f>
        <x:v>HYPERLINK is not implemented. linkLocation=file:///Z:/00. Proiecte 2025/AFIR FotoVoltaic 1/5. De Depus/12. Declaratie date cu caracter personal.pdf, friendlyName=Deschide sursa</x:v>
      </x:c>
    </x:row>
    <x:row r="97" ht="148" customHeight="1">
      <x:c r="A97" s="8" t="str">
        <x:v>F0145</x:v>
      </x:c>
      <x:c r="B97" s="8" t="str">
        <x:v>15. Memoriu tehnic de evaluare a impactului asupra mediului.pdf</x:v>
      </x:c>
      <x:c r="C97" s="8" t="str">
        <x:v>Depunere / eligibilitate</x:v>
      </x:c>
      <x:c r="D97" s="12" t="str"/>
      <x:c r="E97" s="11" t="str"/>
      <x:c r="F97" s="12" t="str"/>
      <x:c r="G97" s="11" t="str"/>
      <x:c r="H97" s="8" t="str"/>
      <x:c r="I97" s="8" t="str">
        <x:v>Pregătit pentru depunere; confirmare de verificat</x:v>
      </x:c>
      <x:c r="J97" s="8" t="str">
        <x:v>nr. 292/2018 )
NR. 57/2007 APROBATĂ CU LEGEA
NR. 49/2011 .......................................................................................................................................... 32
nregistrare. J01 /1328 /2021 · CUI. 45050734
nr. 58300 Sighișoara.
nr. 1 – Amplasarea în zonă a proiectului (sursa: Google Earth)
Nr. 2 Detaliu privind situația propusă (sursa: proiect tehnic)
nr.1 din HG nr.856 /
NR. 57/2007 APROBATĂ CU LEGEA NR. 49/2011</x:v>
      </x:c>
      <x:c r="K97" s="8" t="str">
        <x:v>Text extras; numerele din referințe sunt în coloana separată</x:v>
      </x:c>
      <x:c r="L97" s="8" t="e">
        <x:f>HYPERLINK("file:///Z:/00. Proiecte 2025/AFIR FotoVoltaic 1/5. De Depus/15. Memoriu tehnic de evaluare a impactului asupra mediului.pdf","Deschide sursa")</x:f>
        <x:v>HYPERLINK is not implemented. linkLocation=file:///Z:/00. Proiecte 2025/AFIR FotoVoltaic 1/5. De Depus/15. Memoriu tehnic de evaluare a impactului asupra mediului.pdf, friendlyName=Deschide sursa</x:v>
      </x:c>
    </x:row>
    <x:row r="98" ht="120" customHeight="1">
      <x:c r="A98" s="8" t="str">
        <x:v>F0146</x:v>
      </x:c>
      <x:c r="B98" s="8" t="str">
        <x:v>15. MEMORIU TEHNIC DE EVALUAREA IMPACTULUI ASUPRA MEDIULUI.docx</x:v>
      </x:c>
      <x:c r="C98" s="8" t="str">
        <x:v>Depunere / eligibilitate</x:v>
      </x:c>
      <x:c r="D98" s="12" t="str"/>
      <x:c r="E98" s="11" t="str"/>
      <x:c r="F98" s="12" t="str"/>
      <x:c r="G98" s="11" t="str"/>
      <x:c r="H98" s="8" t="str"/>
      <x:c r="I98" s="8" t="str">
        <x:v>Pregătit pentru depunere; confirmare de verificat</x:v>
      </x:c>
      <x:c r="J98" s="8" t="str">
        <x:v>nr. 292/2018 )
NR. 57/2007 APROBATĂ CU LEGEA NR. 49/2011 32
nregistrare. J01 /1328 /2021 · CUI. 45050734
nr. 58300 Sighișoara.
nr. 1 – Amplasarea în zonă a proiectului (sursa: Google Earth)
Nr. 2 Detaliu privind situația propusă (sursa: proiect tehnic)
nr.1 din HG nr.856 / 2002 - modul de gestionarea deșeurilor;
NR. 57/2007 APROBATĂ CU LEGEA NR. 49/2011</x:v>
      </x:c>
      <x:c r="K98" s="8" t="str">
        <x:v>Text extras; numerele din referințe sunt în coloana separată</x:v>
      </x:c>
      <x:c r="L98" s="8" t="e">
        <x:f>HYPERLINK("file:///Z:/00. Proiecte 2025/AFIR FotoVoltaic 1/5. De Depus/15. MEMORIU TEHNIC DE EVALUAREA IMPACTULUI ASUPRA MEDIULUI.docx","Deschide sursa")</x:f>
        <x:v>HYPERLINK is not implemented. linkLocation=file:///Z:/00. Proiecte 2025/AFIR FotoVoltaic 1/5. De Depus/15. MEMORIU TEHNIC DE EVALUAREA IMPACTULUI ASUPRA MEDIULUI.docx, friendlyName=Deschide sursa</x:v>
      </x:c>
    </x:row>
    <x:row r="99" ht="36" customHeight="1">
      <x:c r="A99" s="8" t="str">
        <x:v>F0148</x:v>
      </x:c>
      <x:c r="B99" s="8" t="str">
        <x:v>17. Document bancar.pdf</x:v>
      </x:c>
      <x:c r="C99" s="8" t="str">
        <x:v>Depunere / eligibilitate</x:v>
      </x:c>
      <x:c r="D99" s="12" t="str"/>
      <x:c r="E99" s="11" t="str"/>
      <x:c r="F99" s="12" t="str"/>
      <x:c r="G99" s="11" t="str"/>
      <x:c r="H99" s="8" t="str"/>
      <x:c r="I99" s="8" t="str">
        <x:v>Pregătit pentru depunere; confirmare de verificat</x:v>
      </x:c>
      <x:c r="J99" s="8" t="str">
        <x:v>nr. 54A, Cladirea nr. 3, sector 1, 012095 Bucuresti, Romania
Nr 5</x:v>
      </x:c>
      <x:c r="K99" s="8" t="str">
        <x:v>Text extras; numerele din referințe sunt în coloana separată</x:v>
      </x:c>
      <x:c r="L99" s="8" t="e">
        <x:f>HYPERLINK("file:///Z:/00. Proiecte 2025/AFIR FotoVoltaic 1/5. De Depus/17. Document bancar.pdf","Deschide sursa")</x:f>
        <x:v>HYPERLINK is not implemented. linkLocation=file:///Z:/00. Proiecte 2025/AFIR FotoVoltaic 1/5. De Depus/17. Document bancar.pdf, friendlyName=Deschide sursa</x:v>
      </x:c>
    </x:row>
    <x:row r="100" ht="36" customHeight="1">
      <x:c r="A100" s="8" t="str">
        <x:v>F0149</x:v>
      </x:c>
      <x:c r="B100" s="8" t="str">
        <x:v>18. CI Cosmin Adrian Covaciu.pdf</x:v>
      </x:c>
      <x:c r="C100" s="8" t="str">
        <x:v>Depunere / eligibilitate</x:v>
      </x:c>
      <x:c r="D100" s="12" t="str"/>
      <x:c r="E100" s="11" t="str"/>
      <x:c r="F100" s="12" t="str"/>
      <x:c r="G100" s="11" t="str"/>
      <x:c r="H100" s="8" t="str"/>
      <x:c r="I100" s="8" t="str">
        <x:v>Pregătit pentru depunere; confirmare de verificat</x:v>
      </x:c>
      <x:c r="J100" s="8" t="str"/>
      <x:c r="K100" s="8" t="str">
        <x:v>Text extras; numerele din referințe sunt în coloana separată</x:v>
      </x:c>
      <x:c r="L100" s="8" t="e">
        <x:f>HYPERLINK("file:///Z:/00. Proiecte 2025/AFIR FotoVoltaic 1/5. De Depus/18. CI Cosmin Adrian Covaciu.pdf","Deschide sursa")</x:f>
        <x:v>HYPERLINK is not implemented. linkLocation=file:///Z:/00. Proiecte 2025/AFIR FotoVoltaic 1/5. De Depus/18. CI Cosmin Adrian Covaciu.pdf, friendlyName=Deschide sursa</x:v>
      </x:c>
    </x:row>
    <x:row r="101" ht="36" customHeight="1">
      <x:c r="A101" s="8" t="str">
        <x:v>F0150</x:v>
      </x:c>
      <x:c r="B101" s="8" t="str">
        <x:v>19. Grafic esalonare plati.pdf</x:v>
      </x:c>
      <x:c r="C101" s="8" t="str">
        <x:v>Depunere / eligibilitate</x:v>
      </x:c>
      <x:c r="D101" s="12" t="str"/>
      <x:c r="E101" s="11" t="str"/>
      <x:c r="F101" s="12" t="str"/>
      <x:c r="G101" s="11" t="str"/>
      <x:c r="H101" s="8" t="str"/>
      <x:c r="I101" s="8" t="str">
        <x:v>Pregătit pentru depunere; confirmare de verificat</x:v>
      </x:c>
      <x:c r="J101" s="8" t="str"/>
      <x:c r="K101" s="8" t="str">
        <x:v>Text extras; numerele din referințe sunt în coloana separată</x:v>
      </x:c>
      <x:c r="L101" s="8" t="e">
        <x:f>HYPERLINK("file:///Z:/00. Proiecte 2025/AFIR FotoVoltaic 1/5. De Depus/19. Grafic esalonare plati.pdf","Deschide sursa")</x:f>
        <x:v>HYPERLINK is not implemented. linkLocation=file:///Z:/00. Proiecte 2025/AFIR FotoVoltaic 1/5. De Depus/19. Grafic esalonare plati.pdf, friendlyName=Deschide sursa</x:v>
      </x:c>
    </x:row>
    <x:row r="102" ht="36" customHeight="1">
      <x:c r="A102" s="8" t="str">
        <x:v>F0156</x:v>
      </x:c>
      <x:c r="B102" s="8" t="str">
        <x:v>9. OFERTE.pdf</x:v>
      </x:c>
      <x:c r="C102" s="8" t="str">
        <x:v>Depunere / eligibilitate</x:v>
      </x:c>
      <x:c r="D102" s="12" t="str"/>
      <x:c r="E102" s="11" t="str"/>
      <x:c r="F102" s="12" t="str"/>
      <x:c r="G102" s="11" t="str"/>
      <x:c r="H102" s="8" t="str"/>
      <x:c r="I102" s="8" t="str">
        <x:v>Pregătit pentru depunere; confirmare de verificat</x:v>
      </x:c>
      <x:c r="J102" s="8" t="str"/>
      <x:c r="K102" s="8" t="str">
        <x:v>Text extras; numerele din referințe sunt în coloana separată</x:v>
      </x:c>
      <x:c r="L102" s="8" t="e">
        <x:f>HYPERLINK("file:///Z:/00. Proiecte 2025/AFIR FotoVoltaic 1/5. De Depus/9. OFERTE.pdf","Deschide sursa")</x:f>
        <x:v>HYPERLINK is not implemented. linkLocation=file:///Z:/00. Proiecte 2025/AFIR FotoVoltaic 1/5. De Depus/9. OFERTE.pdf, friendlyName=Deschide sursa</x:v>
      </x:c>
    </x:row>
    <x:row r="103" ht="36" customHeight="1">
      <x:c r="A103" s="8" t="str">
        <x:v>F0157</x:v>
      </x:c>
      <x:c r="B103" s="8" t="str">
        <x:v>Declaratie asumare dezechilibre.docx</x:v>
      </x:c>
      <x:c r="C103" s="8" t="str">
        <x:v>Depunere / eligibilitate</x:v>
      </x:c>
      <x:c r="D103" s="12" t="str"/>
      <x:c r="E103" s="11" t="str"/>
      <x:c r="F103" s="12" t="str"/>
      <x:c r="G103" s="11" t="str"/>
      <x:c r="H103" s="8" t="str"/>
      <x:c r="I103" s="8" t="str">
        <x:v>Pregătit pentru depunere; confirmare de verificat</x:v>
      </x:c>
      <x:c r="J103" s="8" t="str">
        <x:v>nr. 123/2012 a energiei electrice și a gazelor naturale, cu modificările și completările ulterioare.</x:v>
      </x:c>
      <x:c r="K103" s="8" t="str">
        <x:v>Text extras; numerele din referințe sunt în coloana separată</x:v>
      </x:c>
      <x:c r="L103" s="8" t="e">
        <x:f>HYPERLINK("file:///Z:/00. Proiecte 2025/AFIR FotoVoltaic 1/5. De Depus/Declaratie asumare dezechilibre.docx","Deschide sursa")</x:f>
        <x:v>HYPERLINK is not implemented. linkLocation=file:///Z:/00. Proiecte 2025/AFIR FotoVoltaic 1/5. De Depus/Declaratie asumare dezechilibre.docx, friendlyName=Deschide sursa</x:v>
      </x:c>
    </x:row>
    <x:row r="104" ht="36" customHeight="1">
      <x:c r="A104" s="8" t="str">
        <x:v>F0158</x:v>
      </x:c>
      <x:c r="B104" s="8" t="str">
        <x:v>Declaratie caracteristici clădire.docx</x:v>
      </x:c>
      <x:c r="C104" s="8" t="str">
        <x:v>Depunere / eligibilitate</x:v>
      </x:c>
      <x:c r="D104" s="12" t="str"/>
      <x:c r="E104" s="11" t="str"/>
      <x:c r="F104" s="12" t="str"/>
      <x:c r="G104" s="11" t="str"/>
      <x:c r="H104" s="8" t="str"/>
      <x:c r="I104" s="8" t="str">
        <x:v>Pregătit pentru depunere; confirmare de verificat</x:v>
      </x:c>
      <x:c r="J104" s="8" t="str"/>
      <x:c r="K104" s="8" t="str">
        <x:v>Text extras; numerele din referințe sunt în coloana separată</x:v>
      </x:c>
      <x:c r="L104" s="8" t="e">
        <x:f>HYPERLINK("file:///Z:/00. Proiecte 2025/AFIR FotoVoltaic 1/5. De Depus/Declaratie caracteristici clădire.docx","Deschide sursa")</x:f>
        <x:v>HYPERLINK is not implemented. linkLocation=file:///Z:/00. Proiecte 2025/AFIR FotoVoltaic 1/5. De Depus/Declaratie caracteristici clădire.docx, friendlyName=Deschide sursa</x:v>
      </x:c>
    </x:row>
    <x:row r="105" ht="36" customHeight="1">
      <x:c r="A105" s="8" t="str">
        <x:v>F0159</x:v>
      </x:c>
      <x:c r="B105" s="8" t="str">
        <x:v>Declaratie caracteristici clădire.pdf</x:v>
      </x:c>
      <x:c r="C105" s="8" t="str">
        <x:v>Depunere / eligibilitate</x:v>
      </x:c>
      <x:c r="D105" s="12" t="str"/>
      <x:c r="E105" s="11" t="str"/>
      <x:c r="F105" s="12" t="str"/>
      <x:c r="G105" s="11" t="str"/>
      <x:c r="H105" s="8" t="str"/>
      <x:c r="I105" s="8" t="str">
        <x:v>Pregătit pentru depunere; confirmare de verificat</x:v>
      </x:c>
      <x:c r="J105" s="8" t="str"/>
      <x:c r="K105" s="8" t="str">
        <x:v>Text extras; numerele din referințe sunt în coloana separată</x:v>
      </x:c>
      <x:c r="L105" s="8" t="e">
        <x:f>HYPERLINK("file:///Z:/00. Proiecte 2025/AFIR FotoVoltaic 1/5. De Depus/Declaratie caracteristici clădire.pdf","Deschide sursa")</x:f>
        <x:v>HYPERLINK is not implemented. linkLocation=file:///Z:/00. Proiecte 2025/AFIR FotoVoltaic 1/5. De Depus/Declaratie caracteristici clădire.pdf, friendlyName=Deschide sursa</x:v>
      </x:c>
    </x:row>
    <x:row r="106" ht="36" customHeight="1">
      <x:c r="A106" s="8" t="str">
        <x:v>F0160</x:v>
      </x:c>
      <x:c r="B106" s="8" t="str">
        <x:v>Declaratie date cu caracter personal.docx</x:v>
      </x:c>
      <x:c r="C106" s="8" t="str">
        <x:v>Depunere / eligibilitate</x:v>
      </x:c>
      <x:c r="D106" s="12" t="str"/>
      <x:c r="E106" s="11" t="str"/>
      <x:c r="F106" s="12" t="str"/>
      <x:c r="G106" s="11" t="str"/>
      <x:c r="H106" s="8" t="str"/>
      <x:c r="I106" s="8" t="str">
        <x:v>Pregătit pentru depunere; confirmare de verificat</x:v>
      </x:c>
      <x:c r="J106" s="8" t="str">
        <x:v>nr. 679/2016 privind protecția persoanelor fizice în ceea ce privește prelucrarea datelor cu caracter personal și libera circulație a acestor date.</x:v>
      </x:c>
      <x:c r="K106" s="8" t="str">
        <x:v>Text extras; numerele din referințe sunt în coloana separată</x:v>
      </x:c>
      <x:c r="L106" s="8" t="e">
        <x:f>HYPERLINK("file:///Z:/00. Proiecte 2025/AFIR FotoVoltaic 1/5. De Depus/Declaratie date cu caracter personal.docx","Deschide sursa")</x:f>
        <x:v>HYPERLINK is not implemented. linkLocation=file:///Z:/00. Proiecte 2025/AFIR FotoVoltaic 1/5. De Depus/Declaratie date cu caracter personal.docx, friendlyName=Deschide sursa</x:v>
      </x:c>
    </x:row>
    <x:row r="107" ht="36" customHeight="1">
      <x:c r="A107" s="8" t="str">
        <x:v>F0161</x:v>
      </x:c>
      <x:c r="B107" s="8" t="str">
        <x:v>Grafic esalonare plati.docx</x:v>
      </x:c>
      <x:c r="C107" s="8" t="str">
        <x:v>Depunere / eligibilitate</x:v>
      </x:c>
      <x:c r="D107" s="12" t="str"/>
      <x:c r="E107" s="11" t="str"/>
      <x:c r="F107" s="12" t="str"/>
      <x:c r="G107" s="11" t="str"/>
      <x:c r="H107" s="8" t="str"/>
      <x:c r="I107" s="8" t="str">
        <x:v>Pregătit pentru depunere; confirmare de verificat</x:v>
      </x:c>
      <x:c r="J107" s="8" t="str"/>
      <x:c r="K107" s="8" t="str">
        <x:v>Text extras; numerele din referințe sunt în coloana separată</x:v>
      </x:c>
      <x:c r="L107" s="8" t="e">
        <x:f>HYPERLINK("file:///Z:/00. Proiecte 2025/AFIR FotoVoltaic 1/5. De Depus/Grafic esalonare plati.docx","Deschide sursa")</x:f>
        <x:v>HYPERLINK is not implemented. linkLocation=file:///Z:/00. Proiecte 2025/AFIR FotoVoltaic 1/5. De Depus/Grafic esalonare plati.docx, friendlyName=Deschide sursa</x:v>
      </x:c>
    </x:row>
    <x:row r="108" ht="36" customHeight="1">
      <x:c r="A108" s="8" t="str">
        <x:v>F0239</x:v>
      </x:c>
      <x:c r="B108" s="8" t="str">
        <x:v>Necesar cabluri.docx</x:v>
      </x:c>
      <x:c r="C108" s="8" t="str">
        <x:v>Implementare / documente suport</x:v>
      </x:c>
      <x:c r="D108" s="12" t="str"/>
      <x:c r="E108" s="11" t="str"/>
      <x:c r="F108" s="12" t="str"/>
      <x:c r="G108" s="11" t="str"/>
      <x:c r="H108" s="8" t="str"/>
      <x:c r="I108" s="8" t="str">
        <x:v>Document local; transmiterea individuală neconfirmată</x:v>
      </x:c>
      <x:c r="J108" s="8" t="str">
        <x:v>Nr. crt. Denumire produs Cant. 1 Cablu 6 mmp negru 3000 m 2 Cablu 6 mmp rosu 3000 m 3 Cablu RV-K sau MYF 185 mmp 250 m 4 Cablu RV-K sau MYF 95 mmp 1800 m 5 Cablu R</x:v>
      </x:c>
      <x:c r="K108" s="8" t="str">
        <x:v>Text extras; numerele din referințe sunt în coloana separată</x:v>
      </x:c>
      <x:c r="L108" s="8" t="e">
        <x:f>HYPERLINK("file:///Z:/00. Proiecte 2025/AFIR FotoVoltaic 1/0.1. Fise Tehnice/Cabluri/Necesar cabluri.docx","Deschide sursa")</x:f>
        <x:v>HYPERLINK is not implemented. linkLocation=file:///Z:/00. Proiecte 2025/AFIR FotoVoltaic 1/0.1. Fise Tehnice/Cabluri/Necesar cabluri.docx, friendlyName=Deschide sursa</x:v>
      </x:c>
    </x:row>
    <x:row r="109" ht="50" customHeight="1">
      <x:c r="A109" s="8" t="str">
        <x:v>F0240</x:v>
      </x:c>
      <x:c r="B109" s="8" t="str">
        <x:v>HUAWEI LUNA2000-(107-241) Series Commercial and Industrial Hybrid Cooling Grid Forming ESS Solution User Manual (Microgrid, SmartMGC5000B).pdf</x:v>
      </x:c>
      <x:c r="C109" s="8" t="str">
        <x:v>Implementare / documente suport</x:v>
      </x:c>
      <x:c r="D109" s="12" t="str"/>
      <x:c r="E109" s="11" t="str"/>
      <x:c r="F109" s="12" t="str"/>
      <x:c r="G109" s="11" t="str"/>
      <x:c r="H109" s="8" t="str"/>
      <x:c r="I109" s="8" t="str">
        <x:v>Document local; transmiterea individuală neconfirmată</x:v>
      </x:c>
      <x:c r="J109" s="8" t="str"/>
      <x:c r="K109" s="8" t="str">
        <x:v>Text extras; numerele din referințe sunt în coloana separată</x:v>
      </x:c>
      <x:c r="L109" s="8" t="e">
        <x:f>HYPERLINK("file:///Z:/00. Proiecte 2025/AFIR FotoVoltaic 1/0.1. Fise Tehnice/Huawei/HUAWEI LUNA2000-(107-241) Series Commercial and Industrial Hybrid Cooling Grid Forming ESS Solution User Manual (Microgrid, SmartMGC5000B).pdf","Deschide sursa")</x:f>
        <x:v>HYPERLINK is not implemented. linkLocation=file:///Z:/00. Proiecte 2025/AFIR FotoVoltaic 1/0.1. Fise Tehnice/Huawei/HUAWEI LUNA2000-(107-241) Series Commercial and Industrial Hybrid Cooling Grid Forming ESS Solution User Manual (Microgrid, SmartMGC5000B).pdf, friendlyName=Deschide sursa</x:v>
      </x:c>
    </x:row>
    <x:row r="110" ht="50" customHeight="1">
      <x:c r="A110" s="8" t="str">
        <x:v>F0241</x:v>
      </x:c>
      <x:c r="B110" s="8" t="str">
        <x:v>HUAWEI LUNA2000-(107-241) Series Commercial and Industrial Hybrid Cooling Grid Forming ESS Solution User Manual (On-Grid, SmartMGC5000B and SmartLogger5000B).pdf</x:v>
      </x:c>
      <x:c r="C110" s="8" t="str">
        <x:v>Implementare / documente suport</x:v>
      </x:c>
      <x:c r="D110" s="12" t="str"/>
      <x:c r="E110" s="11" t="str"/>
      <x:c r="F110" s="12" t="str"/>
      <x:c r="G110" s="11" t="str"/>
      <x:c r="H110" s="8" t="str"/>
      <x:c r="I110" s="8" t="str">
        <x:v>Document local; transmiterea individuală neconfirmată</x:v>
      </x:c>
      <x:c r="J110" s="8" t="str"/>
      <x:c r="K110" s="8" t="str">
        <x:v>Text extras; numerele din referințe sunt în coloana separată</x:v>
      </x:c>
      <x:c r="L110" s="8" t="e">
        <x:f>HYPERLINK("file:///Z:/00. Proiecte 2025/AFIR FotoVoltaic 1/0.1. Fise Tehnice/Huawei/HUAWEI LUNA2000-(107-241) Series Commercial and Industrial Hybrid Cooling Grid Forming ESS Solution User Manual (On-Grid, SmartMGC5000B and SmartLogger5000B).pdf","Deschide sursa")</x:f>
        <x:v>HYPERLINK is not implemented. linkLocation=file:///Z:/00. Proiecte 2025/AFIR FotoVoltaic 1/0.1. Fise Tehnice/Huawei/HUAWEI LUNA2000-(107-241) Series Commercial and Industrial Hybrid Cooling Grid Forming ESS Solution User Manual (On-Grid, SmartMGC5000B and SmartLogger5000B).pdf, friendlyName=Deschide sursa</x:v>
      </x:c>
    </x:row>
    <x:row r="111" ht="36" customHeight="1">
      <x:c r="A111" s="8" t="str">
        <x:v>F0242</x:v>
      </x:c>
      <x:c r="B111" s="8" t="str">
        <x:v>HUAWEI-LUNA2000-241-2S1-Datasheet.pdf</x:v>
      </x:c>
      <x:c r="C111" s="8" t="str">
        <x:v>Implementare / documente suport</x:v>
      </x:c>
      <x:c r="D111" s="12" t="str"/>
      <x:c r="E111" s="11" t="str"/>
      <x:c r="F111" s="12" t="str"/>
      <x:c r="G111" s="11" t="str"/>
      <x:c r="H111" s="8" t="str"/>
      <x:c r="I111" s="8" t="str">
        <x:v>Document local; transmiterea individuală neconfirmată</x:v>
      </x:c>
      <x:c r="J111" s="8" t="str"/>
      <x:c r="K111" s="8" t="str">
        <x:v>Text extras; numerele din referințe sunt în coloana separată</x:v>
      </x:c>
      <x:c r="L111" s="8" t="e">
        <x:f>HYPERLINK("file:///Z:/00. Proiecte 2025/AFIR FotoVoltaic 1/0.1. Fise Tehnice/Huawei/HUAWEI-LUNA2000-241-2S1-Datasheet.pdf","Deschide sursa")</x:f>
        <x:v>HYPERLINK is not implemented. linkLocation=file:///Z:/00. Proiecte 2025/AFIR FotoVoltaic 1/0.1. Fise Tehnice/Huawei/HUAWEI-LUNA2000-241-2S1-Datasheet.pdf, friendlyName=Deschide sursa</x:v>
      </x:c>
    </x:row>
    <x:row r="112" ht="36" customHeight="1">
      <x:c r="A112" s="8" t="str">
        <x:v>F0243</x:v>
      </x:c>
      <x:c r="B112" s="8" t="str">
        <x:v>Logistics Solution for N+1 Generation Industrial and Commercial Energy Storage Cabinets.pdf</x:v>
      </x:c>
      <x:c r="C112" s="8" t="str">
        <x:v>Implementare / documente suport</x:v>
      </x:c>
      <x:c r="D112" s="12" t="str"/>
      <x:c r="E112" s="11" t="str"/>
      <x:c r="F112" s="12" t="str"/>
      <x:c r="G112" s="11" t="str"/>
      <x:c r="H112" s="8" t="str"/>
      <x:c r="I112" s="8" t="str">
        <x:v>Document local; transmiterea individuală neconfirmată</x:v>
      </x:c>
      <x:c r="J112" s="8" t="str"/>
      <x:c r="K112" s="8" t="str">
        <x:v>Text extras; numerele din referințe sunt în coloana separată</x:v>
      </x:c>
      <x:c r="L112" s="8" t="e">
        <x:f>HYPERLINK("file:///Z:/00. Proiecte 2025/AFIR FotoVoltaic 1/0.1. Fise Tehnice/Huawei/Logistics Solution for N+1 Generation Industrial and Commercial Energy Storage Cabinets.pdf","Deschide sursa")</x:f>
        <x:v>HYPERLINK is not implemented. linkLocation=file:///Z:/00. Proiecte 2025/AFIR FotoVoltaic 1/0.1. Fise Tehnice/Huawei/Logistics Solution for N+1 Generation Industrial and Commercial Energy Storage Cabinets.pdf, friendlyName=Deschide sursa</x:v>
      </x:c>
    </x:row>
    <x:row r="113" ht="36" customHeight="1">
      <x:c r="A113" s="8" t="str">
        <x:v>F0244</x:v>
      </x:c>
      <x:c r="B113" s="8" t="str">
        <x:v>LUNA2000-(107-215) Series Smart String ESS User Manual.pdf</x:v>
      </x:c>
      <x:c r="C113" s="8" t="str">
        <x:v>Implementare / documente suport</x:v>
      </x:c>
      <x:c r="D113" s="12" t="str"/>
      <x:c r="E113" s="11" t="str"/>
      <x:c r="F113" s="12" t="str"/>
      <x:c r="G113" s="11" t="str"/>
      <x:c r="H113" s="8" t="str"/>
      <x:c r="I113" s="8" t="str">
        <x:v>Document local; transmiterea individuală neconfirmată</x:v>
      </x:c>
      <x:c r="J113" s="8" t="str"/>
      <x:c r="K113" s="8" t="str">
        <x:v>Text extras; numerele din referințe sunt în coloana separată</x:v>
      </x:c>
      <x:c r="L113" s="8" t="e">
        <x:f>HYPERLINK("file:///Z:/00. Proiecte 2025/AFIR FotoVoltaic 1/0.1. Fise Tehnice/Huawei/LUNA2000-(107-215) Series Smart String ESS User Manual.pdf","Deschide sursa")</x:f>
        <x:v>HYPERLINK is not implemented. linkLocation=file:///Z:/00. Proiecte 2025/AFIR FotoVoltaic 1/0.1. Fise Tehnice/Huawei/LUNA2000-(107-215) Series Smart String ESS User Manual.pdf, friendlyName=Deschide sursa</x:v>
      </x:c>
    </x:row>
    <x:row r="114" ht="36" customHeight="1">
      <x:c r="A114" s="8" t="str">
        <x:v>F0245</x:v>
      </x:c>
      <x:c r="B114" s="8" t="str">
        <x:v>SiteRequirements_LUNA2000-215-2S10_V01_2025-11-01_EN.pdf</x:v>
      </x:c>
      <x:c r="C114" s="8" t="str">
        <x:v>Implementare / documente suport</x:v>
      </x:c>
      <x:c r="D114" s="12" t="str"/>
      <x:c r="E114" s="11" t="str"/>
      <x:c r="F114" s="12" t="str"/>
      <x:c r="G114" s="11" t="str"/>
      <x:c r="H114" s="8" t="str"/>
      <x:c r="I114" s="8" t="str">
        <x:v>Document local; transmiterea individuală neconfirmată</x:v>
      </x:c>
      <x:c r="J114" s="8" t="str"/>
      <x:c r="K114" s="8" t="str">
        <x:v>Text extras; numerele din referințe sunt în coloana separată</x:v>
      </x:c>
      <x:c r="L114" s="8" t="e">
        <x:f>HYPERLINK("file:///Z:/00. Proiecte 2025/AFIR FotoVoltaic 1/0.1. Fise Tehnice/Huawei/SiteRequirements_LUNA2000-215-2S10_V01_2025-11-01_EN.pdf","Deschide sursa")</x:f>
        <x:v>HYPERLINK is not implemented. linkLocation=file:///Z:/00. Proiecte 2025/AFIR FotoVoltaic 1/0.1. Fise Tehnice/Huawei/SiteRequirements_LUNA2000-215-2S10_V01_2025-11-01_EN.pdf, friendlyName=Deschide sursa</x:v>
      </x:c>
    </x:row>
    <x:row r="115" ht="36" customHeight="1">
      <x:c r="A115" s="8" t="str">
        <x:v>F0246</x:v>
      </x:c>
      <x:c r="B115" s="8" t="str">
        <x:v>Smart-PCS.pdf</x:v>
      </x:c>
      <x:c r="C115" s="8" t="str">
        <x:v>Implementare / documente suport</x:v>
      </x:c>
      <x:c r="D115" s="12" t="str"/>
      <x:c r="E115" s="11" t="str"/>
      <x:c r="F115" s="12" t="str"/>
      <x:c r="G115" s="11" t="str"/>
      <x:c r="H115" s="8" t="str"/>
      <x:c r="I115" s="8" t="str">
        <x:v>Document local; transmiterea individuală neconfirmată</x:v>
      </x:c>
      <x:c r="J115" s="8" t="str"/>
      <x:c r="K115" s="8" t="str">
        <x:v>Text extras; numerele din referințe sunt în coloana separată</x:v>
      </x:c>
      <x:c r="L115" s="8" t="e">
        <x:f>HYPERLINK("file:///Z:/00. Proiecte 2025/AFIR FotoVoltaic 1/0.1. Fise Tehnice/Huawei/Smart-PCS.pdf","Deschide sursa")</x:f>
        <x:v>HYPERLINK is not implemented. linkLocation=file:///Z:/00. Proiecte 2025/AFIR FotoVoltaic 1/0.1. Fise Tehnice/Huawei/Smart-PCS.pdf, friendlyName=Deschide sursa</x:v>
      </x:c>
    </x:row>
    <x:row r="116" ht="36" customHeight="1">
      <x:c r="A116" s="8" t="str">
        <x:v>F0247</x:v>
      </x:c>
      <x:c r="B116" s="8" t="str">
        <x:v>SmartMGC5000B&amp;SmartLogger5000B Datasheet.pdf</x:v>
      </x:c>
      <x:c r="C116" s="8" t="str">
        <x:v>Implementare / documente suport</x:v>
      </x:c>
      <x:c r="D116" s="12" t="str"/>
      <x:c r="E116" s="11" t="str"/>
      <x:c r="F116" s="12" t="str"/>
      <x:c r="G116" s="11" t="str"/>
      <x:c r="H116" s="8" t="str"/>
      <x:c r="I116" s="8" t="str">
        <x:v>Document local; transmiterea individuală neconfirmată</x:v>
      </x:c>
      <x:c r="J116" s="8" t="str"/>
      <x:c r="K116" s="8" t="str">
        <x:v>Text extras; numerele din referințe sunt în coloana separată</x:v>
      </x:c>
      <x:c r="L116" s="8" t="e">
        <x:f>HYPERLINK("file:///Z:/00. Proiecte 2025/AFIR FotoVoltaic 1/0.1. Fise Tehnice/Huawei/SmartMGC5000B&amp;SmartLogger5000B Datasheet.pdf","Deschide sursa")</x:f>
        <x:v>HYPERLINK is not implemented. linkLocation=file:///Z:/00. Proiecte 2025/AFIR FotoVoltaic 1/0.1. Fise Tehnice/Huawei/SmartMGC5000B&amp;SmartLogger5000B Datasheet.pdf, friendlyName=Deschide sursa</x:v>
      </x:c>
    </x:row>
    <x:row r="117" ht="36" customHeight="1">
      <x:c r="A117" s="8" t="str">
        <x:v>F0248</x:v>
      </x:c>
      <x:c r="B117" s="8" t="str">
        <x:v>SUN2000-30-40KTL-M3.pdf</x:v>
      </x:c>
      <x:c r="C117" s="8" t="str">
        <x:v>Implementare / documente suport</x:v>
      </x:c>
      <x:c r="D117" s="12" t="str"/>
      <x:c r="E117" s="11" t="str"/>
      <x:c r="F117" s="12" t="str"/>
      <x:c r="G117" s="11" t="str"/>
      <x:c r="H117" s="8" t="str"/>
      <x:c r="I117" s="8" t="str">
        <x:v>Document local; transmiterea individuală neconfirmată</x:v>
      </x:c>
      <x:c r="J117" s="8" t="str">
        <x:v>NRS 097-2-1, AS/NZS 4777.2, DEWA</x:v>
      </x:c>
      <x:c r="K117" s="8" t="str">
        <x:v>Text extras; numerele din referințe sunt în coloana separată</x:v>
      </x:c>
      <x:c r="L117" s="8" t="e">
        <x:f>HYPERLINK("file:///Z:/00. Proiecte 2025/AFIR FotoVoltaic 1/0.1. Fise Tehnice/Huawei/SUN2000-30-40KTL-M3.pdf","Deschide sursa")</x:f>
        <x:v>HYPERLINK is not implemented. linkLocation=file:///Z:/00. Proiecte 2025/AFIR FotoVoltaic 1/0.1. Fise Tehnice/Huawei/SUN2000-30-40KTL-M3.pdf, friendlyName=Deschide sursa</x:v>
      </x:c>
    </x:row>
    <x:row r="118" ht="36" customHeight="1">
      <x:c r="A118" s="8" t="str">
        <x:v>F0250</x:v>
      </x:c>
      <x:c r="B118" s="8" t="str">
        <x:v>wetransfer_sistem-de-stocare_2026-03-09_1341.zip</x:v>
      </x:c>
      <x:c r="C118" s="8" t="str">
        <x:v>Implementare / documente suport</x:v>
      </x:c>
      <x:c r="D118" s="12" t="str"/>
      <x:c r="E118" s="11" t="str"/>
      <x:c r="F118" s="12" t="str"/>
      <x:c r="G118" s="11" t="str"/>
      <x:c r="H118" s="8" t="str"/>
      <x:c r="I118" s="8" t="str">
        <x:v>Document local; transmiterea individuală neconfirmată</x:v>
      </x:c>
      <x:c r="J118" s="8" t="str"/>
      <x:c r="K118" s="8" t="str">
        <x:v>Necesită citire vizuală / OCR / formular XFA</x:v>
      </x:c>
      <x:c r="L118" s="8" t="e">
        <x:f>HYPERLINK("file:///Z:/00. Proiecte 2025/AFIR FotoVoltaic 1/0.1. Fise Tehnice/Huawei/wetransfer_sistem-de-stocare_2026-03-09_1341.zip","Deschide sursa")</x:f>
        <x:v>HYPERLINK is not implemented. linkLocation=file:///Z:/00. Proiecte 2025/AFIR FotoVoltaic 1/0.1. Fise Tehnice/Huawei/wetransfer_sistem-de-stocare_2026-03-09_1341.zip, friendlyName=Deschide sursa</x:v>
      </x:c>
    </x:row>
    <x:row r="119" ht="36" customHeight="1">
      <x:c r="A119" s="8" t="str">
        <x:v>F0251</x:v>
      </x:c>
      <x:c r="B119" s="8" t="str">
        <x:v>2025 RUFENG Hydroponic Tower Quotation Sheet.pdf</x:v>
      </x:c>
      <x:c r="C119" s="8" t="str">
        <x:v>Implementare / documente suport</x:v>
      </x:c>
      <x:c r="D119" s="12" t="str"/>
      <x:c r="E119" s="11" t="str"/>
      <x:c r="F119" s="12" t="str"/>
      <x:c r="G119" s="11" t="str"/>
      <x:c r="H119" s="8" t="str"/>
      <x:c r="I119" s="8" t="str">
        <x:v>Document local; transmiterea individuală neconfirmată</x:v>
      </x:c>
      <x:c r="J119" s="8" t="str"/>
      <x:c r="K119" s="8" t="str">
        <x:v>Text extras; numerele din referințe sunt în coloana separată</x:v>
      </x:c>
      <x:c r="L119" s="8" t="e">
        <x:f>HYPERLINK("file:///Z:/00. Proiecte 2025/AFIR FotoVoltaic 1/0.1. Fise Tehnice/Indoor Farming Vertical/2025 RUFENG Hydroponic Tower Quotation Sheet.pdf","Deschide sursa")</x:f>
        <x:v>HYPERLINK is not implemented. linkLocation=file:///Z:/00. Proiecte 2025/AFIR FotoVoltaic 1/0.1. Fise Tehnice/Indoor Farming Vertical/2025 RUFENG Hydroponic Tower Quotation Sheet.pdf, friendlyName=Deschide sursa</x:v>
      </x:c>
    </x:row>
    <x:row r="120" ht="36" customHeight="1">
      <x:c r="A120" s="8" t="str">
        <x:v>F0252</x:v>
      </x:c>
      <x:c r="B120" s="8" t="str">
        <x:v>Catalogue--RUFENG Agriculture.pdf</x:v>
      </x:c>
      <x:c r="C120" s="8" t="str">
        <x:v>Implementare / documente suport</x:v>
      </x:c>
      <x:c r="D120" s="12" t="str"/>
      <x:c r="E120" s="11" t="str"/>
      <x:c r="F120" s="12" t="str"/>
      <x:c r="G120" s="11" t="str"/>
      <x:c r="H120" s="8" t="str"/>
      <x:c r="I120" s="8" t="str">
        <x:v>Document local; transmiterea individuală neconfirmată</x:v>
      </x:c>
      <x:c r="J120" s="8" t="str"/>
      <x:c r="K120" s="8" t="str">
        <x:v>Text extras; numerele din referințe sunt în coloana separată</x:v>
      </x:c>
      <x:c r="L120" s="8" t="e">
        <x:f>HYPERLINK("file:///Z:/00. Proiecte 2025/AFIR FotoVoltaic 1/0.1. Fise Tehnice/Indoor Farming Vertical/Catalogue--RUFENG Agriculture.pdf","Deschide sursa")</x:f>
        <x:v>HYPERLINK is not implemented. linkLocation=file:///Z:/00. Proiecte 2025/AFIR FotoVoltaic 1/0.1. Fise Tehnice/Indoor Farming Vertical/Catalogue--RUFENG Agriculture.pdf, friendlyName=Deschide sursa</x:v>
      </x:c>
    </x:row>
    <x:row r="121" ht="36" customHeight="1">
      <x:c r="A121" s="8" t="str">
        <x:v>F0253</x:v>
      </x:c>
      <x:c r="B121" s="8" t="str">
        <x:v>KSTR-PI-A20260310-04.pdf</x:v>
      </x:c>
      <x:c r="C121" s="8" t="str">
        <x:v>Implementare / documente suport</x:v>
      </x:c>
      <x:c r="D121" s="12" t="str"/>
      <x:c r="E121" s="11" t="str"/>
      <x:c r="F121" s="12" t="str"/>
      <x:c r="G121" s="11" t="str"/>
      <x:c r="H121" s="8" t="str"/>
      <x:c r="I121" s="8" t="str">
        <x:v>Document local; transmiterea individuală neconfirmată</x:v>
      </x:c>
      <x:c r="J121" s="8" t="str"/>
      <x:c r="K121" s="8" t="str">
        <x:v>Text extras; numerele din referințe sunt în coloana separată</x:v>
      </x:c>
      <x:c r="L121" s="8" t="e">
        <x:f>HYPERLINK("file:///Z:/00. Proiecte 2025/AFIR FotoVoltaic 1/0.1. Fise Tehnice/KStar/KSTR-PI-A20260310-04.pdf","Deschide sursa")</x:f>
        <x:v>HYPERLINK is not implemented. linkLocation=file:///Z:/00. Proiecte 2025/AFIR FotoVoltaic 1/0.1. Fise Tehnice/KStar/KSTR-PI-A20260310-04.pdf, friendlyName=Deschide sursa</x:v>
      </x:c>
    </x:row>
    <x:row r="122" ht="36" customHeight="1">
      <x:c r="A122" s="8" t="str">
        <x:v>F0254</x:v>
      </x:c>
      <x:c r="B122" s="8" t="str">
        <x:v>KSTR-PI-A20260310-05.pdf</x:v>
      </x:c>
      <x:c r="C122" s="8" t="str">
        <x:v>Implementare / documente suport</x:v>
      </x:c>
      <x:c r="D122" s="12" t="str"/>
      <x:c r="E122" s="11" t="str"/>
      <x:c r="F122" s="12" t="str"/>
      <x:c r="G122" s="11" t="str"/>
      <x:c r="H122" s="8" t="str"/>
      <x:c r="I122" s="8" t="str">
        <x:v>Document local; transmiterea individuală neconfirmată</x:v>
      </x:c>
      <x:c r="J122" s="8" t="str"/>
      <x:c r="K122" s="8" t="str">
        <x:v>Text extras; numerele din referințe sunt în coloana separată</x:v>
      </x:c>
      <x:c r="L122" s="8" t="e">
        <x:f>HYPERLINK("file:///Z:/00. Proiecte 2025/AFIR FotoVoltaic 1/0.1. Fise Tehnice/KStar/KSTR-PI-A20260310-05.pdf","Deschide sursa")</x:f>
        <x:v>HYPERLINK is not implemented. linkLocation=file:///Z:/00. Proiecte 2025/AFIR FotoVoltaic 1/0.1. Fise Tehnice/KStar/KSTR-PI-A20260310-05.pdf, friendlyName=Deschide sursa</x:v>
      </x:c>
    </x:row>
    <x:row r="123" ht="36" customHeight="1">
      <x:c r="A123" s="8" t="str">
        <x:v>F0255</x:v>
      </x:c>
      <x:c r="B123" s="8" t="str">
        <x:v>Oferta Finala KSTR-PI-A20260327-02.pdf</x:v>
      </x:c>
      <x:c r="C123" s="8" t="str">
        <x:v>Implementare / documente suport</x:v>
      </x:c>
      <x:c r="D123" s="12" t="str"/>
      <x:c r="E123" s="11" t="str"/>
      <x:c r="F123" s="12" t="str"/>
      <x:c r="G123" s="11" t="str"/>
      <x:c r="H123" s="8" t="str"/>
      <x:c r="I123" s="8" t="str">
        <x:v>Document local; transmiterea individuală neconfirmată</x:v>
      </x:c>
      <x:c r="J123" s="8" t="str"/>
      <x:c r="K123" s="8" t="str">
        <x:v>Text extras; numerele din referințe sunt în coloana separată</x:v>
      </x:c>
      <x:c r="L123" s="8" t="e">
        <x:f>HYPERLINK("file:///Z:/00. Proiecte 2025/AFIR FotoVoltaic 1/0.1. Fise Tehnice/KStar/Oferta Finala KSTR-PI-A20260327-02.pdf","Deschide sursa")</x:f>
        <x:v>HYPERLINK is not implemented. linkLocation=file:///Z:/00. Proiecte 2025/AFIR FotoVoltaic 1/0.1. Fise Tehnice/KStar/Oferta Finala KSTR-PI-A20260327-02.pdf, friendlyName=Deschide sursa</x:v>
      </x:c>
    </x:row>
    <x:row r="124" ht="36" customHeight="1">
      <x:c r="A124" s="8" t="str">
        <x:v>F0256</x:v>
      </x:c>
      <x:c r="B124" s="8" t="str">
        <x:v>ZXN7-BD144 183N-2279×1134(30×19)-575-605W-PU Frame-20251112-E.pdf</x:v>
      </x:c>
      <x:c r="C124" s="8" t="str">
        <x:v>Implementare / documente suport</x:v>
      </x:c>
      <x:c r="D124" s="12" t="str"/>
      <x:c r="E124" s="11" t="str"/>
      <x:c r="F124" s="12" t="str"/>
      <x:c r="G124" s="11" t="str"/>
      <x:c r="H124" s="8" t="str"/>
      <x:c r="I124" s="8" t="str">
        <x:v>Document local; transmiterea individuală neconfirmată</x:v>
      </x:c>
      <x:c r="J124" s="8" t="str"/>
      <x:c r="K124" s="8" t="str">
        <x:v>Text extras; numerele din referințe sunt în coloana separată</x:v>
      </x:c>
      <x:c r="L124" s="8" t="e">
        <x:f>HYPERLINK("file:///Z:/00. Proiecte 2025/AFIR FotoVoltaic 1/0.1. Fise Tehnice/Panouri ZXNR/ZXN7-BD144 183N-2279×1134(30×19)-575-605W-PU Frame-20251112-E.pdf","Deschide sursa")</x:f>
        <x:v>HYPERLINK is not implemented. linkLocation=file:///Z:/00. Proiecte 2025/AFIR FotoVoltaic 1/0.1. Fise Tehnice/Panouri ZXNR/ZXN7-BD144 183N-2279×1134(30×19)-575-605W-PU Frame-20251112-E.pdf, friendlyName=Deschide sursa</x:v>
      </x:c>
    </x:row>
    <x:row r="125" ht="36" customHeight="1">
      <x:c r="A125" s="8" t="str">
        <x:v>F0257</x:v>
      </x:c>
      <x:c r="B125" s="8" t="str">
        <x:v>ZXN8-BD132 210_2384×1303(30×19)_695-730W_PU Composite Frame_20251016_E(1).pdf</x:v>
      </x:c>
      <x:c r="C125" s="8" t="str">
        <x:v>Implementare / documente suport</x:v>
      </x:c>
      <x:c r="D125" s="12" t="str"/>
      <x:c r="E125" s="11" t="str"/>
      <x:c r="F125" s="12" t="str"/>
      <x:c r="G125" s="11" t="str"/>
      <x:c r="H125" s="8" t="str"/>
      <x:c r="I125" s="8" t="str">
        <x:v>Document local; transmiterea individuală neconfirmată</x:v>
      </x:c>
      <x:c r="J125" s="8" t="str"/>
      <x:c r="K125" s="8" t="str">
        <x:v>Text extras; numerele din referințe sunt în coloana separată</x:v>
      </x:c>
      <x:c r="L125" s="8" t="e">
        <x:f>HYPERLINK("file:///Z:/00. Proiecte 2025/AFIR FotoVoltaic 1/0.1. Fise Tehnice/Panouri ZXNR/ZXN8-BD132 210_2384×1303(30×19)_695-730W_PU Composite Frame_20251016_E(1).pdf","Deschide sursa")</x:f>
        <x:v>HYPERLINK is not implemented. linkLocation=file:///Z:/00. Proiecte 2025/AFIR FotoVoltaic 1/0.1. Fise Tehnice/Panouri ZXNR/ZXN8-BD132 210_2384×1303(30×19)_695-730W_PU Composite Frame_20251016_E(1).pdf, friendlyName=Deschide sursa</x:v>
      </x:c>
    </x:row>
    <x:row r="126" ht="36" customHeight="1">
      <x:c r="A126" s="8" t="str">
        <x:v>F0258</x:v>
      </x:c>
      <x:c r="B126" s="8" t="str">
        <x:v>ZXNR-BD132 182.2×210-2382×1134(30×19)-620-650W-PU Frame-20251112-E.pdf</x:v>
      </x:c>
      <x:c r="C126" s="8" t="str">
        <x:v>Implementare / documente suport</x:v>
      </x:c>
      <x:c r="D126" s="12" t="str"/>
      <x:c r="E126" s="11" t="str"/>
      <x:c r="F126" s="12" t="str"/>
      <x:c r="G126" s="11" t="str"/>
      <x:c r="H126" s="8" t="str"/>
      <x:c r="I126" s="8" t="str">
        <x:v>Document local; transmiterea individuală neconfirmată</x:v>
      </x:c>
      <x:c r="J126" s="8" t="str">
        <x:v>NR-BD132 Series
NR-BD132 Series SMBB HALF-CELL N-Type Bifacial Double Glass</x:v>
      </x:c>
      <x:c r="K126" s="8" t="str">
        <x:v>Text extras; numerele din referințe sunt în coloana separată</x:v>
      </x:c>
      <x:c r="L126" s="8" t="e">
        <x:f>HYPERLINK("file:///Z:/00. Proiecte 2025/AFIR FotoVoltaic 1/0.1. Fise Tehnice/Panouri ZXNR/ZXNR-BD132 182.2×210-2382×1134(30×19)-620-650W-PU Frame-20251112-E.pdf","Deschide sursa")</x:f>
        <x:v>HYPERLINK is not implemented. linkLocation=file:///Z:/00. Proiecte 2025/AFIR FotoVoltaic 1/0.1. Fise Tehnice/Panouri ZXNR/ZXNR-BD132 182.2×210-2382×1134(30×19)-620-650W-PU Frame-20251112-E.pdf, friendlyName=Deschide sursa</x:v>
      </x:c>
    </x:row>
    <x:row r="127" ht="36" customHeight="1">
      <x:c r="A127" s="8" t="str">
        <x:v>F0259</x:v>
      </x:c>
      <x:c r="B127" s="8" t="str">
        <x:v>Analiză Oferte Sisteme Prindere Panouri.xlsx</x:v>
      </x:c>
      <x:c r="C127" s="8" t="str">
        <x:v>Implementare / documente suport</x:v>
      </x:c>
      <x:c r="D127" s="12" t="str"/>
      <x:c r="E127" s="11" t="str"/>
      <x:c r="F127" s="12" t="str"/>
      <x:c r="G127" s="11" t="str"/>
      <x:c r="H127" s="8" t="str"/>
      <x:c r="I127" s="8" t="str">
        <x:v>Document local; transmiterea individuală neconfirmată</x:v>
      </x:c>
      <x:c r="J127" s="8" t="str"/>
      <x:c r="K127" s="8" t="str">
        <x:v>Necesită citire vizuală / OCR / formular XFA</x:v>
      </x:c>
      <x:c r="L127" s="8" t="e">
        <x:f>HYPERLINK("file:///Z:/00. Proiecte 2025/AFIR FotoVoltaic 1/0.1. Fise Tehnice/Structura/Analiză Oferte Sisteme Prindere Panouri.xlsx","Deschide sursa")</x:f>
        <x:v>HYPERLINK is not implemented. linkLocation=file:///Z:/00. Proiecte 2025/AFIR FotoVoltaic 1/0.1. Fise Tehnice/Structura/Analiză Oferte Sisteme Prindere Panouri.xlsx, friendlyName=Deschide sursa</x:v>
      </x:c>
    </x:row>
    <x:row r="128" ht="36" customHeight="1">
      <x:c r="A128" s="8" t="str">
        <x:v>F0260</x:v>
      </x:c>
      <x:c r="B128" s="8" t="str">
        <x:v>Galvanized ballast 18Â°  1230x130 + EPDM.pdf</x:v>
      </x:c>
      <x:c r="C128" s="8" t="str">
        <x:v>Implementare / documente suport</x:v>
      </x:c>
      <x:c r="D128" s="12" t="str"/>
      <x:c r="E128" s="11" t="str"/>
      <x:c r="F128" s="12" t="str"/>
      <x:c r="G128" s="11" t="str"/>
      <x:c r="H128" s="8" t="str"/>
      <x:c r="I128" s="8" t="str">
        <x:v>Document local; transmiterea individuală neconfirmată</x:v>
      </x:c>
      <x:c r="J128" s="8" t="str"/>
      <x:c r="K128" s="8" t="str">
        <x:v>Text extras; numerele din referințe sunt în coloana separată</x:v>
      </x:c>
      <x:c r="L128" s="8" t="e">
        <x:f>HYPERLINK("file:///Z:/00. Proiecte 2025/AFIR FotoVoltaic 1/0.1. Fise Tehnice/Structura/Galvanized ballast 18Â°  1230x130 + EPDM.pdf","Deschide sursa")</x:f>
        <x:v>HYPERLINK is not implemented. linkLocation=file:///Z:/00. Proiecte 2025/AFIR FotoVoltaic 1/0.1. Fise Tehnice/Structura/Galvanized ballast 18Â°  1230x130 + EPDM.pdf, friendlyName=Deschide sursa</x:v>
      </x:c>
    </x:row>
    <x:row r="129" ht="36" customHeight="1">
      <x:c r="A129" s="8" t="str">
        <x:v>F0261</x:v>
      </x:c>
      <x:c r="B129" s="8" t="str">
        <x:v>INSTALLATION INSTRUCTION.pdf</x:v>
      </x:c>
      <x:c r="C129" s="8" t="str">
        <x:v>Implementare / documente suport</x:v>
      </x:c>
      <x:c r="D129" s="12" t="str"/>
      <x:c r="E129" s="11" t="str"/>
      <x:c r="F129" s="12" t="str"/>
      <x:c r="G129" s="11" t="str"/>
      <x:c r="H129" s="8" t="str"/>
      <x:c r="I129" s="8" t="str">
        <x:v>Document local; transmiterea individuală neconfirmată</x:v>
      </x:c>
      <x:c r="J129" s="8" t="str"/>
      <x:c r="K129" s="8" t="str">
        <x:v>Text extras; numerele din referințe sunt în coloana separată</x:v>
      </x:c>
      <x:c r="L129" s="8" t="e">
        <x:f>HYPERLINK("file:///Z:/00. Proiecte 2025/AFIR FotoVoltaic 1/0.1. Fise Tehnice/Structura/INSTALLATION INSTRUCTION.pdf","Deschide sursa")</x:f>
        <x:v>HYPERLINK is not implemented. linkLocation=file:///Z:/00. Proiecte 2025/AFIR FotoVoltaic 1/0.1. Fise Tehnice/Structura/INSTALLATION INSTRUCTION.pdf, friendlyName=Deschide sursa</x:v>
      </x:c>
    </x:row>
    <x:row r="130" ht="36" customHeight="1">
      <x:c r="A130" s="8" t="str">
        <x:v>F0262</x:v>
      </x:c>
      <x:c r="B130" s="8" t="str">
        <x:v>Price offer, Neets Fotoshooting SRL, V1.pdf</x:v>
      </x:c>
      <x:c r="C130" s="8" t="str">
        <x:v>Implementare / documente suport</x:v>
      </x:c>
      <x:c r="D130" s="12" t="str"/>
      <x:c r="E130" s="11" t="str"/>
      <x:c r="F130" s="12" t="str"/>
      <x:c r="G130" s="11" t="str"/>
      <x:c r="H130" s="8" t="str"/>
      <x:c r="I130" s="8" t="str">
        <x:v>Document local; transmiterea individuală neconfirmată</x:v>
      </x:c>
      <x:c r="J130" s="8" t="str"/>
      <x:c r="K130" s="8" t="str">
        <x:v>Text extras; numerele din referințe sunt în coloana separată</x:v>
      </x:c>
      <x:c r="L130" s="8" t="e">
        <x:f>HYPERLINK("file:///Z:/00. Proiecte 2025/AFIR FotoVoltaic 1/0.1. Fise Tehnice/Structura/Price offer, Neets Fotoshooting SRL, V1.pdf","Deschide sursa")</x:f>
        <x:v>HYPERLINK is not implemented. linkLocation=file:///Z:/00. Proiecte 2025/AFIR FotoVoltaic 1/0.1. Fise Tehnice/Structura/Price offer, Neets Fotoshooting SRL, V1.pdf, friendlyName=Deschide sursa</x:v>
      </x:c>
    </x:row>
    <x:row r="131" ht="36" customHeight="1">
      <x:c r="A131" s="8" t="str">
        <x:v>F0263</x:v>
      </x:c>
      <x:c r="B131" s="8" t="str">
        <x:v>Price offer, Neets Fotoshooting SRL, V1.xlsx</x:v>
      </x:c>
      <x:c r="C131" s="8" t="str">
        <x:v>Implementare / documente suport</x:v>
      </x:c>
      <x:c r="D131" s="12" t="str"/>
      <x:c r="E131" s="11" t="str"/>
      <x:c r="F131" s="12" t="str"/>
      <x:c r="G131" s="11" t="str"/>
      <x:c r="H131" s="8" t="str"/>
      <x:c r="I131" s="8" t="str">
        <x:v>Document local; transmiterea individuală neconfirmată</x:v>
      </x:c>
      <x:c r="J131" s="8" t="str"/>
      <x:c r="K131" s="8" t="str">
        <x:v>Necesită citire vizuală / OCR / formular XFA</x:v>
      </x:c>
      <x:c r="L131" s="8" t="e">
        <x:f>HYPERLINK("file:///Z:/00. Proiecte 2025/AFIR FotoVoltaic 1/0.1. Fise Tehnice/Structura/Price offer, Neets Fotoshooting SRL, V1.xlsx","Deschide sursa")</x:f>
        <x:v>HYPERLINK is not implemented. linkLocation=file:///Z:/00. Proiecte 2025/AFIR FotoVoltaic 1/0.1. Fise Tehnice/Structura/Price offer, Neets Fotoshooting SRL, V1.xlsx, friendlyName=Deschide sursa</x:v>
      </x:c>
    </x:row>
    <x:row r="132" ht="36" customHeight="1">
      <x:c r="A132" s="8" t="str">
        <x:v>F0264</x:v>
      </x:c>
      <x:c r="B132" s="8" t="str">
        <x:v>Structura 7 Sun Oferta.pdf</x:v>
      </x:c>
      <x:c r="C132" s="8" t="str">
        <x:v>Implementare / documente suport</x:v>
      </x:c>
      <x:c r="D132" s="12" t="str"/>
      <x:c r="E132" s="11" t="str"/>
      <x:c r="F132" s="12" t="str"/>
      <x:c r="G132" s="11" t="str"/>
      <x:c r="H132" s="8" t="str"/>
      <x:c r="I132" s="8" t="str">
        <x:v>Document local; transmiterea individuală neconfirmată</x:v>
      </x:c>
      <x:c r="J132" s="8" t="str"/>
      <x:c r="K132" s="8" t="str">
        <x:v>Text extras; numerele din referințe sunt în coloana separată</x:v>
      </x:c>
      <x:c r="L132" s="8" t="e">
        <x:f>HYPERLINK("file:///Z:/00. Proiecte 2025/AFIR FotoVoltaic 1/0.1. Fise Tehnice/Structura/Structura 7 Sun Oferta.pdf","Deschide sursa")</x:f>
        <x:v>HYPERLINK is not implemented. linkLocation=file:///Z:/00. Proiecte 2025/AFIR FotoVoltaic 1/0.1. Fise Tehnice/Structura/Structura 7 Sun Oferta.pdf, friendlyName=Deschide sursa</x:v>
      </x:c>
    </x:row>
    <x:row r="133" ht="36" customHeight="1">
      <x:c r="A133" s="8" t="str">
        <x:v>F0265</x:v>
      </x:c>
      <x:c r="B133" s="8" t="str">
        <x:v>Structura 7 Sun Oferta.xlsx</x:v>
      </x:c>
      <x:c r="C133" s="8" t="str">
        <x:v>Implementare / documente suport</x:v>
      </x:c>
      <x:c r="D133" s="12" t="str"/>
      <x:c r="E133" s="11" t="str"/>
      <x:c r="F133" s="12" t="str"/>
      <x:c r="G133" s="11" t="str"/>
      <x:c r="H133" s="8" t="str"/>
      <x:c r="I133" s="8" t="str">
        <x:v>Document local; transmiterea individuală neconfirmată</x:v>
      </x:c>
      <x:c r="J133" s="8" t="str"/>
      <x:c r="K133" s="8" t="str">
        <x:v>Necesită citire vizuală / OCR / formular XFA</x:v>
      </x:c>
      <x:c r="L133" s="8" t="e">
        <x:f>HYPERLINK("file:///Z:/00. Proiecte 2025/AFIR FotoVoltaic 1/0.1. Fise Tehnice/Structura/Structura 7 Sun Oferta.xlsx","Deschide sursa")</x:f>
        <x:v>HYPERLINK is not implemented. linkLocation=file:///Z:/00. Proiecte 2025/AFIR FotoVoltaic 1/0.1. Fise Tehnice/Structura/Structura 7 Sun Oferta.xlsx, friendlyName=Deschide sursa</x:v>
      </x:c>
    </x:row>
    <x:row r="134" ht="36" customHeight="1">
      <x:c r="A134" s="8" t="str">
        <x:v>F0266</x:v>
      </x:c>
      <x:c r="B134" s="8" t="str">
        <x:v>Ulamex ZK 1043_SYS_2026.pdf</x:v>
      </x:c>
      <x:c r="C134" s="8" t="str">
        <x:v>Implementare / documente suport</x:v>
      </x:c>
      <x:c r="D134" s="12" t="str"/>
      <x:c r="E134" s="11" t="str"/>
      <x:c r="F134" s="12" t="str"/>
      <x:c r="G134" s="11" t="str"/>
      <x:c r="H134" s="8" t="str"/>
      <x:c r="I134" s="8" t="str">
        <x:v>Document local; transmiterea individuală neconfirmată</x:v>
      </x:c>
      <x:c r="J134" s="8" t="str"/>
      <x:c r="K134" s="8" t="str">
        <x:v>Text extras; numerele din referințe sunt în coloana separată</x:v>
      </x:c>
      <x:c r="L134" s="8" t="e">
        <x:f>HYPERLINK("file:///Z:/00. Proiecte 2025/AFIR FotoVoltaic 1/0.1. Fise Tehnice/Structura/Ulamex ZK 1043_SYS_2026.pdf","Deschide sursa")</x:f>
        <x:v>HYPERLINK is not implemented. linkLocation=file:///Z:/00. Proiecte 2025/AFIR FotoVoltaic 1/0.1. Fise Tehnice/Structura/Ulamex ZK 1043_SYS_2026.pdf, friendlyName=Deschide sursa</x:v>
      </x:c>
    </x:row>
    <x:row r="135" ht="36" customHeight="1">
      <x:c r="A135" s="8" t="str">
        <x:v>F0267</x:v>
      </x:c>
      <x:c r="B135" s="8" t="str">
        <x:v>Ulamex ZK 1043_SYS_2026.xlsx</x:v>
      </x:c>
      <x:c r="C135" s="8" t="str">
        <x:v>Implementare / documente suport</x:v>
      </x:c>
      <x:c r="D135" s="12" t="str"/>
      <x:c r="E135" s="11" t="str"/>
      <x:c r="F135" s="12" t="str"/>
      <x:c r="G135" s="11" t="str"/>
      <x:c r="H135" s="8" t="str"/>
      <x:c r="I135" s="8" t="str">
        <x:v>Document local; transmiterea individuală neconfirmată</x:v>
      </x:c>
      <x:c r="J135" s="8" t="str"/>
      <x:c r="K135" s="8" t="str">
        <x:v>Necesită citire vizuală / OCR / formular XFA</x:v>
      </x:c>
      <x:c r="L135" s="8" t="e">
        <x:f>HYPERLINK("file:///Z:/00. Proiecte 2025/AFIR FotoVoltaic 1/0.1. Fise Tehnice/Structura/Ulamex ZK 1043_SYS_2026.xlsx","Deschide sursa")</x:f>
        <x:v>HYPERLINK is not implemented. linkLocation=file:///Z:/00. Proiecte 2025/AFIR FotoVoltaic 1/0.1. Fise Tehnice/Structura/Ulamex ZK 1043_SYS_2026.xlsx, friendlyName=Deschide sursa</x:v>
      </x:c>
    </x:row>
    <x:row r="136" ht="36" customHeight="1">
      <x:c r="A136" s="8" t="str">
        <x:v>F0268</x:v>
      </x:c>
      <x:c r="B136" s="8" t="str">
        <x:v>EN_STP430-450S-H48-Nkh+.pdf</x:v>
      </x:c>
      <x:c r="C136" s="8" t="str">
        <x:v>Implementare / documente suport</x:v>
      </x:c>
      <x:c r="D136" s="12" t="str"/>
      <x:c r="E136" s="11" t="str"/>
      <x:c r="F136" s="12" t="str"/>
      <x:c r="G136" s="11" t="str"/>
      <x:c r="H136" s="8" t="str"/>
      <x:c r="I136" s="8" t="str">
        <x:v>Document local; transmiterea individuală neconfirmată</x:v>
      </x:c>
      <x:c r="J136" s="8" t="str"/>
      <x:c r="K136" s="8" t="str">
        <x:v>Text extras; numerele din referințe sunt în coloana separată</x:v>
      </x:c>
      <x:c r="L136" s="8" t="e">
        <x:f>HYPERLINK("file:///Z:/00. Proiecte 2025/AFIR FotoVoltaic 1/0.1. Fise Tehnice/Suntech/EN_STP430-450S-H48-Nkh+.pdf","Deschide sursa")</x:f>
        <x:v>HYPERLINK is not implemented. linkLocation=file:///Z:/00. Proiecte 2025/AFIR FotoVoltaic 1/0.1. Fise Tehnice/Suntech/EN_STP430-450S-H48-Nkh+.pdf, friendlyName=Deschide sursa</x:v>
      </x:c>
    </x:row>
    <x:row r="137" ht="36" customHeight="1">
      <x:c r="A137" s="8" t="str">
        <x:v>F0269</x:v>
      </x:c>
      <x:c r="B137" s="8" t="str">
        <x:v>EN_STP430-450S-H48-Nth+.pdf</x:v>
      </x:c>
      <x:c r="C137" s="8" t="str">
        <x:v>Implementare / documente suport</x:v>
      </x:c>
      <x:c r="D137" s="12" t="str"/>
      <x:c r="E137" s="11" t="str"/>
      <x:c r="F137" s="12" t="str"/>
      <x:c r="G137" s="11" t="str"/>
      <x:c r="H137" s="8" t="str"/>
      <x:c r="I137" s="8" t="str">
        <x:v>Document local; transmiterea individuală neconfirmată</x:v>
      </x:c>
      <x:c r="J137" s="8" t="str"/>
      <x:c r="K137" s="8" t="str">
        <x:v>Text extras; numerele din referințe sunt în coloana separată</x:v>
      </x:c>
      <x:c r="L137" s="8" t="e">
        <x:f>HYPERLINK("file:///Z:/00. Proiecte 2025/AFIR FotoVoltaic 1/0.1. Fise Tehnice/Suntech/EN_STP430-450S-H48-Nth+.pdf","Deschide sursa")</x:f>
        <x:v>HYPERLINK is not implemented. linkLocation=file:///Z:/00. Proiecte 2025/AFIR FotoVoltaic 1/0.1. Fise Tehnice/Suntech/EN_STP430-450S-H48-Nth+.pdf, friendlyName=Deschide sursa</x:v>
      </x:c>
    </x:row>
    <x:row r="138" ht="36" customHeight="1">
      <x:c r="A138" s="8" t="str">
        <x:v>F0270</x:v>
      </x:c>
      <x:c r="B138" s="8" t="str">
        <x:v>EN_STP690-710S-D66-Nsh+.pdf</x:v>
      </x:c>
      <x:c r="C138" s="8" t="str">
        <x:v>Implementare / documente suport</x:v>
      </x:c>
      <x:c r="D138" s="12" t="str"/>
      <x:c r="E138" s="11" t="str"/>
      <x:c r="F138" s="12" t="str"/>
      <x:c r="G138" s="11" t="str"/>
      <x:c r="H138" s="8" t="str"/>
      <x:c r="I138" s="8" t="str">
        <x:v>Document local; transmiterea individuală neconfirmată</x:v>
      </x:c>
      <x:c r="J138" s="8" t="str"/>
      <x:c r="K138" s="8" t="str">
        <x:v>Text extras; numerele din referințe sunt în coloana separată</x:v>
      </x:c>
      <x:c r="L138" s="8" t="e">
        <x:f>HYPERLINK("file:///Z:/00. Proiecte 2025/AFIR FotoVoltaic 1/0.1. Fise Tehnice/Suntech/EN_STP690-710S-D66-Nsh+.pdf","Deschide sursa")</x:f>
        <x:v>HYPERLINK is not implemented. linkLocation=file:///Z:/00. Proiecte 2025/AFIR FotoVoltaic 1/0.1. Fise Tehnice/Suntech/EN_STP690-710S-D66-Nsh+.pdf, friendlyName=Deschide sursa</x:v>
      </x:c>
    </x:row>
    <x:row r="139" ht="36" customHeight="1">
      <x:c r="A139" s="8" t="str">
        <x:v>F0271</x:v>
      </x:c>
      <x:c r="B139" s="8" t="str">
        <x:v>Fisa Tehnica- EN_STP430-450S-H48-Nkh+.pdf</x:v>
      </x:c>
      <x:c r="C139" s="8" t="str">
        <x:v>Implementare / documente suport</x:v>
      </x:c>
      <x:c r="D139" s="12" t="str"/>
      <x:c r="E139" s="11" t="str"/>
      <x:c r="F139" s="12" t="str"/>
      <x:c r="G139" s="11" t="str"/>
      <x:c r="H139" s="8" t="str"/>
      <x:c r="I139" s="8" t="str">
        <x:v>Document local; transmiterea individuală neconfirmată</x:v>
      </x:c>
      <x:c r="J139" s="8" t="str"/>
      <x:c r="K139" s="8" t="str">
        <x:v>Text extras; numerele din referințe sunt în coloana separată</x:v>
      </x:c>
      <x:c r="L139" s="8" t="e">
        <x:f>HYPERLINK("file:///Z:/00. Proiecte 2025/AFIR FotoVoltaic 1/0.1. Fise Tehnice/Suntech/Fisa Tehnica- EN_STP430-450S-H48-Nkh+.pdf","Deschide sursa")</x:f>
        <x:v>HYPERLINK is not implemented. linkLocation=file:///Z:/00. Proiecte 2025/AFIR FotoVoltaic 1/0.1. Fise Tehnice/Suntech/Fisa Tehnica- EN_STP430-450S-H48-Nkh+.pdf, friendlyName=Deschide sursa</x:v>
      </x:c>
    </x:row>
    <x:row r="140" ht="36" customHeight="1">
      <x:c r="A140" s="8" t="str">
        <x:v>F0273</x:v>
      </x:c>
      <x:c r="B140" s="8" t="str">
        <x:v>SG110CX.pdf</x:v>
      </x:c>
      <x:c r="C140" s="8" t="str">
        <x:v>Implementare / documente suport</x:v>
      </x:c>
      <x:c r="D140" s="12" t="str"/>
      <x:c r="E140" s="11" t="str"/>
      <x:c r="F140" s="12" t="str"/>
      <x:c r="G140" s="11" t="str"/>
      <x:c r="H140" s="8" t="str"/>
      <x:c r="I140" s="8" t="str">
        <x:v>Document local; transmiterea individuală neconfirmată</x:v>
      </x:c>
      <x:c r="J140" s="8" t="str"/>
      <x:c r="K140" s="8" t="str">
        <x:v>Text extras; numerele din referințe sunt în coloana separată</x:v>
      </x:c>
      <x:c r="L140" s="8" t="e">
        <x:f>HYPERLINK("file:///Z:/00. Proiecte 2025/AFIR FotoVoltaic 1/0.1. Fise Tehnice/Suntech/SG110CX.pdf","Deschide sursa")</x:f>
        <x:v>HYPERLINK is not implemented. linkLocation=file:///Z:/00. Proiecte 2025/AFIR FotoVoltaic 1/0.1. Fise Tehnice/Suntech/SG110CX.pdf, friendlyName=Deschide sursa</x:v>
      </x:c>
    </x:row>
    <x:row r="141" ht="36" customHeight="1">
      <x:c r="A141" s="8" t="str">
        <x:v>F0274</x:v>
      </x:c>
      <x:c r="B141" s="8" t="str">
        <x:v>SH10RT.pdf</x:v>
      </x:c>
      <x:c r="C141" s="8" t="str">
        <x:v>Implementare / documente suport</x:v>
      </x:c>
      <x:c r="D141" s="12" t="str"/>
      <x:c r="E141" s="11" t="str"/>
      <x:c r="F141" s="12" t="str"/>
      <x:c r="G141" s="11" t="str"/>
      <x:c r="H141" s="8" t="str"/>
      <x:c r="I141" s="8" t="str">
        <x:v>Document local; transmiterea individuală neconfirmată</x:v>
      </x:c>
      <x:c r="J141" s="8" t="str">
        <x:v>NRS 097-2-1, TOR Generator Type A</x:v>
      </x:c>
      <x:c r="K141" s="8" t="str">
        <x:v>Text extras; numerele din referințe sunt în coloana separată</x:v>
      </x:c>
      <x:c r="L141" s="8" t="e">
        <x:f>HYPERLINK("file:///Z:/00. Proiecte 2025/AFIR FotoVoltaic 1/0.1. Fise Tehnice/Suntech/SH10RT.pdf","Deschide sursa")</x:f>
        <x:v>HYPERLINK is not implemented. linkLocation=file:///Z:/00. Proiecte 2025/AFIR FotoVoltaic 1/0.1. Fise Tehnice/Suntech/SH10RT.pdf, friendlyName=Deschide sursa</x:v>
      </x:c>
    </x:row>
    <x:row r="142" ht="36" customHeight="1">
      <x:c r="A142" s="8" t="str">
        <x:v>F0275</x:v>
      </x:c>
      <x:c r="B142" s="8" t="str">
        <x:v>SKMBT_C28026021213330.pdf</x:v>
      </x:c>
      <x:c r="C142" s="8" t="str">
        <x:v>Implementare / documente suport</x:v>
      </x:c>
      <x:c r="D142" s="12" t="str"/>
      <x:c r="E142" s="11" t="str"/>
      <x:c r="F142" s="12" t="str"/>
      <x:c r="G142" s="11" t="str"/>
      <x:c r="H142" s="8" t="str"/>
      <x:c r="I142" s="8" t="str">
        <x:v>Document local; transmiterea individuală neconfirmată</x:v>
      </x:c>
      <x:c r="J142" s="8" t="str"/>
      <x:c r="K142" s="8" t="str">
        <x:v>Text extras; numerele din referințe sunt în coloana separată</x:v>
      </x:c>
      <x:c r="L142" s="8" t="e">
        <x:f>HYPERLINK("file:///Z:/00. Proiecte 2025/AFIR FotoVoltaic 1/0.1. Fise Tehnice/Suntech/SKMBT_C28026021213330.pdf","Deschide sursa")</x:f>
        <x:v>HYPERLINK is not implemented. linkLocation=file:///Z:/00. Proiecte 2025/AFIR FotoVoltaic 1/0.1. Fise Tehnice/Suntech/SKMBT_C28026021213330.pdf, friendlyName=Deschide sursa</x:v>
      </x:c>
    </x:row>
    <x:row r="143" ht="36" customHeight="1">
      <x:c r="A143" s="8" t="str">
        <x:v>F0276</x:v>
      </x:c>
      <x:c r="B143" s="8" t="str">
        <x:v>SMA SC200.pdf</x:v>
      </x:c>
      <x:c r="C143" s="8" t="str">
        <x:v>Implementare / documente suport</x:v>
      </x:c>
      <x:c r="D143" s="12" t="str"/>
      <x:c r="E143" s="11" t="str"/>
      <x:c r="F143" s="12" t="str"/>
      <x:c r="G143" s="11" t="str"/>
      <x:c r="H143" s="8" t="str"/>
      <x:c r="I143" s="8" t="str">
        <x:v>Document local; transmiterea individuală neconfirmată</x:v>
      </x:c>
      <x:c r="J143" s="8" t="str"/>
      <x:c r="K143" s="8" t="str">
        <x:v>Text extras; numerele din referințe sunt în coloana separată</x:v>
      </x:c>
      <x:c r="L143" s="8" t="e">
        <x:f>HYPERLINK("file:///Z:/00. Proiecte 2025/AFIR FotoVoltaic 1/0.1. Fise Tehnice/Suntech/SMA SC200.pdf","Deschide sursa")</x:f>
        <x:v>HYPERLINK is not implemented. linkLocation=file:///Z:/00. Proiecte 2025/AFIR FotoVoltaic 1/0.1. Fise Tehnice/Suntech/SMA SC200.pdf, friendlyName=Deschide sursa</x:v>
      </x:c>
    </x:row>
    <x:row r="144" ht="36" customHeight="1">
      <x:c r="A144" s="8" t="str">
        <x:v>F0277</x:v>
      </x:c>
      <x:c r="B144" s="8" t="str">
        <x:v>TOPHiKu6.pdf</x:v>
      </x:c>
      <x:c r="C144" s="8" t="str">
        <x:v>Implementare / documente suport</x:v>
      </x:c>
      <x:c r="D144" s="12" t="str"/>
      <x:c r="E144" s="11" t="str"/>
      <x:c r="F144" s="12" t="str"/>
      <x:c r="G144" s="11" t="str"/>
      <x:c r="H144" s="8" t="str"/>
      <x:c r="I144" s="8" t="str">
        <x:v>Document local; transmiterea individuală neconfirmată</x:v>
      </x:c>
      <x:c r="J144" s="8" t="str"/>
      <x:c r="K144" s="8" t="str">
        <x:v>Text extras; numerele din referințe sunt în coloana separată</x:v>
      </x:c>
      <x:c r="L144" s="8" t="e">
        <x:f>HYPERLINK("file:///Z:/00. Proiecte 2025/AFIR FotoVoltaic 1/0.1. Fise Tehnice/Suntech/TOPHiKu6.pdf","Deschide sursa")</x:f>
        <x:v>HYPERLINK is not implemented. linkLocation=file:///Z:/00. Proiecte 2025/AFIR FotoVoltaic 1/0.1. Fise Tehnice/Suntech/TOPHiKu6.pdf, friendlyName=Deschide sursa</x:v>
      </x:c>
    </x:row>
    <x:row r="145" ht="36" customHeight="1">
      <x:c r="A145" s="8" t="str">
        <x:v>F0278</x:v>
      </x:c>
      <x:c r="B145" s="8" t="str">
        <x:v>Agile-1P_20240517.pdf</x:v>
      </x:c>
      <x:c r="C145" s="8" t="str">
        <x:v>Implementare / documente suport</x:v>
      </x:c>
      <x:c r="D145" s="12" t="str"/>
      <x:c r="E145" s="11" t="str"/>
      <x:c r="F145" s="12" t="str"/>
      <x:c r="G145" s="11" t="str"/>
      <x:c r="H145" s="8" t="str"/>
      <x:c r="I145" s="8" t="str">
        <x:v>Document local; transmiterea individuală neconfirmată</x:v>
      </x:c>
      <x:c r="J145" s="8" t="str"/>
      <x:c r="K145" s="8" t="str">
        <x:v>Text extras; numerele din referințe sunt în coloana separată</x:v>
      </x:c>
      <x:c r="L145" s="8" t="e">
        <x:f>HYPERLINK("file:///Z:/00. Proiecte 2025/AFIR FotoVoltaic 1/0.1. Fise Tehnice/Tracker Panouri/Agile-1P_20240517.pdf","Deschide sursa")</x:f>
        <x:v>HYPERLINK is not implemented. linkLocation=file:///Z:/00. Proiecte 2025/AFIR FotoVoltaic 1/0.1. Fise Tehnice/Tracker Panouri/Agile-1P_20240517.pdf, friendlyName=Deschide sursa</x:v>
      </x:c>
    </x:row>
    <x:row r="146" ht="36" customHeight="1">
      <x:c r="A146" s="8" t="str">
        <x:v>F0279</x:v>
      </x:c>
      <x:c r="B146" s="8" t="str">
        <x:v>Operations Presentation_V1.pdf</x:v>
      </x:c>
      <x:c r="C146" s="8" t="str">
        <x:v>Implementare / documente suport</x:v>
      </x:c>
      <x:c r="D146" s="12" t="str"/>
      <x:c r="E146" s="11" t="str"/>
      <x:c r="F146" s="12" t="str"/>
      <x:c r="G146" s="11" t="str"/>
      <x:c r="H146" s="8" t="str"/>
      <x:c r="I146" s="8" t="str">
        <x:v>Document local; transmiterea individuală neconfirmată</x:v>
      </x:c>
      <x:c r="J146" s="8" t="str">
        <x:v>nResolution of technical queries2nd46 trackers3036kW(46*60*2*550W）</x:v>
      </x:c>
      <x:c r="K146" s="8" t="str">
        <x:v>Text extras; numerele din referințe sunt în coloana separată</x:v>
      </x:c>
      <x:c r="L146" s="8" t="e">
        <x:f>HYPERLINK("file:///Z:/00. Proiecte 2025/AFIR FotoVoltaic 1/0.1. Fise Tehnice/Tracker Panouri/Operations Presentation_V1.pdf","Deschide sursa")</x:f>
        <x:v>HYPERLINK is not implemented. linkLocation=file:///Z:/00. Proiecte 2025/AFIR FotoVoltaic 1/0.1. Fise Tehnice/Tracker Panouri/Operations Presentation_V1.pdf, friendlyName=Deschide sursa</x:v>
      </x:c>
    </x:row>
    <x:row r="147" ht="36" customHeight="1">
      <x:c r="A147" s="8" t="str">
        <x:v>F0280</x:v>
      </x:c>
      <x:c r="B147" s="8" t="str">
        <x:v>Smart_Control_System_Solution_EN.pdf</x:v>
      </x:c>
      <x:c r="C147" s="8" t="str">
        <x:v>Implementare / documente suport</x:v>
      </x:c>
      <x:c r="D147" s="12" t="str"/>
      <x:c r="E147" s="11" t="str"/>
      <x:c r="F147" s="12" t="str"/>
      <x:c r="G147" s="11" t="str"/>
      <x:c r="H147" s="8" t="str"/>
      <x:c r="I147" s="8" t="str">
        <x:v>Document local; transmiterea individuală neconfirmată</x:v>
      </x:c>
      <x:c r="J147" s="8" t="str"/>
      <x:c r="K147" s="8" t="str">
        <x:v>Text extras; numerele din referințe sunt în coloana separată</x:v>
      </x:c>
      <x:c r="L147" s="8" t="e">
        <x:f>HYPERLINK("file:///Z:/00. Proiecte 2025/AFIR FotoVoltaic 1/0.1. Fise Tehnice/Tracker Panouri/Smart_Control_System_Solution_EN.pdf","Deschide sursa")</x:f>
        <x:v>HYPERLINK is not implemented. linkLocation=file:///Z:/00. Proiecte 2025/AFIR FotoVoltaic 1/0.1. Fise Tehnice/Tracker Panouri/Smart_Control_System_Solution_EN.pdf, friendlyName=Deschide sursa</x:v>
      </x:c>
    </x:row>
    <x:row r="148" ht="36" customHeight="1">
      <x:c r="A148" s="8" t="str">
        <x:v>F0281</x:v>
      </x:c>
      <x:c r="B148" s="8" t="str">
        <x:v>Vanguard 1P Datasheet_V1.pdf</x:v>
      </x:c>
      <x:c r="C148" s="8" t="str">
        <x:v>Implementare / documente suport</x:v>
      </x:c>
      <x:c r="D148" s="12" t="str"/>
      <x:c r="E148" s="11" t="str"/>
      <x:c r="F148" s="12" t="str"/>
      <x:c r="G148" s="11" t="str"/>
      <x:c r="H148" s="8" t="str"/>
      <x:c r="I148" s="8" t="str">
        <x:v>Document local; transmiterea individuală neconfirmată</x:v>
      </x:c>
      <x:c r="J148" s="8" t="str"/>
      <x:c r="K148" s="8" t="str">
        <x:v>Text extras; numerele din referințe sunt în coloana separată</x:v>
      </x:c>
      <x:c r="L148" s="8" t="e">
        <x:f>HYPERLINK("file:///Z:/00. Proiecte 2025/AFIR FotoVoltaic 1/0.1. Fise Tehnice/Tracker Panouri/Vanguard 1P Datasheet_V1.pdf","Deschide sursa")</x:f>
        <x:v>HYPERLINK is not implemented. linkLocation=file:///Z:/00. Proiecte 2025/AFIR FotoVoltaic 1/0.1. Fise Tehnice/Tracker Panouri/Vanguard 1P Datasheet_V1.pdf, friendlyName=Deschide sursa</x:v>
      </x:c>
    </x:row>
    <x:row r="149" ht="36" customHeight="1">
      <x:c r="A149" s="8" t="str">
        <x:v>F0282</x:v>
      </x:c>
      <x:c r="B149" s="8" t="str">
        <x:v>Vanguard 1P Product Presentation_V1.pdf</x:v>
      </x:c>
      <x:c r="C149" s="8" t="str">
        <x:v>Implementare / documente suport</x:v>
      </x:c>
      <x:c r="D149" s="12" t="str"/>
      <x:c r="E149" s="11" t="str"/>
      <x:c r="F149" s="12" t="str"/>
      <x:c r="G149" s="11" t="str"/>
      <x:c r="H149" s="8" t="str"/>
      <x:c r="I149" s="8" t="str">
        <x:v>Document local; transmiterea individuală neconfirmată</x:v>
      </x:c>
      <x:c r="J149" s="8" t="str"/>
      <x:c r="K149" s="8" t="str">
        <x:v>Text extras; numerele din referințe sunt în coloana separată</x:v>
      </x:c>
      <x:c r="L149" s="8" t="e">
        <x:f>HYPERLINK("file:///Z:/00. Proiecte 2025/AFIR FotoVoltaic 1/0.1. Fise Tehnice/Tracker Panouri/Vanguard 1P Product Presentation_V1.pdf","Deschide sursa")</x:f>
        <x:v>HYPERLINK is not implemented. linkLocation=file:///Z:/00. Proiecte 2025/AFIR FotoVoltaic 1/0.1. Fise Tehnice/Tracker Panouri/Vanguard 1P Product Presentation_V1.pdf, friendlyName=Deschide sursa</x:v>
      </x:c>
    </x:row>
    <x:row r="150" ht="36" customHeight="1">
      <x:c r="A150" s="8" t="str">
        <x:v>F0283</x:v>
      </x:c>
      <x:c r="B150" s="8" t="str">
        <x:v>Vanguard-2P_20240605_EN.pdf</x:v>
      </x:c>
      <x:c r="C150" s="8" t="str">
        <x:v>Implementare / documente suport</x:v>
      </x:c>
      <x:c r="D150" s="12" t="str"/>
      <x:c r="E150" s="11" t="str"/>
      <x:c r="F150" s="12" t="str"/>
      <x:c r="G150" s="11" t="str"/>
      <x:c r="H150" s="8" t="str"/>
      <x:c r="I150" s="8" t="str">
        <x:v>Document local; transmiterea individuală neconfirmată</x:v>
      </x:c>
      <x:c r="J150" s="8" t="str"/>
      <x:c r="K150" s="8" t="str">
        <x:v>Text extras; numerele din referințe sunt în coloana separată</x:v>
      </x:c>
      <x:c r="L150" s="8" t="e">
        <x:f>HYPERLINK("file:///Z:/00. Proiecte 2025/AFIR FotoVoltaic 1/0.1. Fise Tehnice/Tracker Panouri/Vanguard-2P_20240605_EN.pdf","Deschide sursa")</x:f>
        <x:v>HYPERLINK is not implemented. linkLocation=file:///Z:/00. Proiecte 2025/AFIR FotoVoltaic 1/0.1. Fise Tehnice/Tracker Panouri/Vanguard-2P_20240605_EN.pdf, friendlyName=Deschide sursa</x:v>
      </x:c>
    </x:row>
    <x:row r="151" ht="36" customHeight="1">
      <x:c r="A151" s="8" t="str">
        <x:v>F0284</x:v>
      </x:c>
      <x:c r="B151" s="8" t="str">
        <x:v>VertexN_720W brochure_EN.pdf</x:v>
      </x:c>
      <x:c r="C151" s="8" t="str">
        <x:v>Implementare / documente suport</x:v>
      </x:c>
      <x:c r="D151" s="12" t="str"/>
      <x:c r="E151" s="11" t="str"/>
      <x:c r="F151" s="12" t="str"/>
      <x:c r="G151" s="11" t="str"/>
      <x:c r="H151" s="8" t="str"/>
      <x:c r="I151" s="8" t="str">
        <x:v>Document local; transmiterea individuală neconfirmată</x:v>
      </x:c>
      <x:c r="J151" s="8" t="str"/>
      <x:c r="K151" s="8" t="str">
        <x:v>Text extras; numerele din referințe sunt în coloana separată</x:v>
      </x:c>
      <x:c r="L151" s="8" t="e">
        <x:f>HYPERLINK("file:///Z:/00. Proiecte 2025/AFIR FotoVoltaic 1/0.1. Fise Tehnice/Vertex N 720W/VertexN_720W brochure_EN.pdf","Deschide sursa")</x:f>
        <x:v>HYPERLINK is not implemented. linkLocation=file:///Z:/00. Proiecte 2025/AFIR FotoVoltaic 1/0.1. Fise Tehnice/Vertex N 720W/VertexN_720W brochure_EN.pdf, friendlyName=Deschide sursa</x:v>
      </x:c>
    </x:row>
    <x:row r="152" ht="36" customHeight="1">
      <x:c r="A152" s="8" t="str">
        <x:v>F0285</x:v>
      </x:c>
      <x:c r="B152" s="8" t="str">
        <x:v>2025-2-13-核桃-1.pdf</x:v>
      </x:c>
      <x:c r="C152" s="8" t="str">
        <x:v>Implementare / documente suport</x:v>
      </x:c>
      <x:c r="D152" s="12" t="str"/>
      <x:c r="E152" s="11" t="str"/>
      <x:c r="F152" s="12" t="str"/>
      <x:c r="G152" s="11" t="str"/>
      <x:c r="H152" s="8" t="str"/>
      <x:c r="I152" s="8" t="str">
        <x:v>Document local; transmiterea individuală neconfirmată</x:v>
      </x:c>
      <x:c r="J152" s="8" t="str"/>
      <x:c r="K152" s="8" t="str">
        <x:v>Text extras; numerele din referințe sunt în coloana separată</x:v>
      </x:c>
      <x:c r="L152" s="8" t="e">
        <x:f>HYPERLINK("file:///Z:/00. Proiecte 2025/AFIR FotoVoltaic 1/0.1. Fise Tehnice/WallNuts June/2025-2-13-核桃-1.pdf","Deschide sursa")</x:f>
        <x:v>HYPERLINK is not implemented. linkLocation=file:///Z:/00. Proiecte 2025/AFIR FotoVoltaic 1/0.1. Fise Tehnice/WallNuts June/2025-2-13-核桃-1.pdf, friendlyName=Deschide sursa</x:v>
      </x:c>
    </x:row>
    <x:row r="153" ht="36" customHeight="1">
      <x:c r="A153" s="8" t="str">
        <x:v>F0286</x:v>
      </x:c>
      <x:c r="B153" s="8" t="str">
        <x:v>Walnut_en.pdf</x:v>
      </x:c>
      <x:c r="C153" s="8" t="str">
        <x:v>Implementare / documente suport</x:v>
      </x:c>
      <x:c r="D153" s="12" t="str"/>
      <x:c r="E153" s="11" t="str"/>
      <x:c r="F153" s="12" t="str"/>
      <x:c r="G153" s="11" t="str"/>
      <x:c r="H153" s="8" t="str"/>
      <x:c r="I153" s="8" t="str">
        <x:v>Document local; transmiterea individuală neconfirmată</x:v>
      </x:c>
      <x:c r="J153" s="8" t="str"/>
      <x:c r="K153" s="8" t="str">
        <x:v>Text extras; numerele din referințe sunt în coloana separată</x:v>
      </x:c>
      <x:c r="L153" s="8" t="e">
        <x:f>HYPERLINK("file:///Z:/00. Proiecte 2025/AFIR FotoVoltaic 1/0.1. Fise Tehnice/WallNuts June/Walnut_en.pdf","Deschide sursa")</x:f>
        <x:v>HYPERLINK is not implemented. linkLocation=file:///Z:/00. Proiecte 2025/AFIR FotoVoltaic 1/0.1. Fise Tehnice/WallNuts June/Walnut_en.pdf, friendlyName=Deschide sursa</x:v>
      </x:c>
    </x:row>
    <x:row r="154" ht="50" customHeight="1">
      <x:c r="A154" s="8" t="str">
        <x:v>F0287</x:v>
      </x:c>
      <x:c r="B154" s="8" t="str">
        <x:v>LUNA2000-4472-2S DC main power loop single line diagram &amp; AC auxiliary power supply loop single line diagram - 20241010.pdf</x:v>
      </x:c>
      <x:c r="C154" s="8" t="str">
        <x:v>Implementare / documente suport</x:v>
      </x:c>
      <x:c r="D154" s="12" t="str"/>
      <x:c r="E154" s="11" t="str"/>
      <x:c r="F154" s="12" t="str"/>
      <x:c r="G154" s="11" t="str"/>
      <x:c r="H154" s="8" t="str"/>
      <x:c r="I154" s="8" t="str">
        <x:v>Document local; transmiterea individuală neconfirmată</x:v>
      </x:c>
      <x:c r="J154" s="8" t="str"/>
      <x:c r="K154" s="8" t="str">
        <x:v>Text extras; numerele din referințe sunt în coloana separată</x:v>
      </x:c>
      <x:c r="L154" s="8" t="e">
        <x:f>HYPERLINK("file:///Z:/00. Proiecte 2025/AFIR FotoVoltaic 1/0.1. Fise Tehnice/Huawei/Sistem de stocare/Electric Diagram/LUNA2000-4472-2S DC main power loop single line diagram &amp; AC auxiliary power supply loop single line diagram - 20241010.pdf","Deschide sursa")</x:f>
        <x:v>HYPERLINK is not implemented. linkLocation=file:///Z:/00. Proiecte 2025/AFIR FotoVoltaic 1/0.1. Fise Tehnice/Huawei/Sistem de stocare/Electric Diagram/LUNA2000-4472-2S DC main power loop single line diagram &amp; AC auxiliary power supply loop single line diagram - 20241010.pdf, friendlyName=Deschide sursa</x:v>
      </x:c>
    </x:row>
    <x:row r="155" ht="50" customHeight="1">
      <x:c r="A155" s="8" t="str">
        <x:v>F0288</x:v>
      </x:c>
      <x:c r="B155" s="8" t="str">
        <x:v>LUNA2000-5015-2S DC main power loop SLD &amp; AC auxiliary power supply loop SLD &amp; External interface signal loop SLD.pdf</x:v>
      </x:c>
      <x:c r="C155" s="8" t="str">
        <x:v>Implementare / documente suport</x:v>
      </x:c>
      <x:c r="D155" s="12" t="str"/>
      <x:c r="E155" s="11" t="str"/>
      <x:c r="F155" s="12" t="str"/>
      <x:c r="G155" s="11" t="str"/>
      <x:c r="H155" s="8" t="str"/>
      <x:c r="I155" s="8" t="str">
        <x:v>Document local; transmiterea individuală neconfirmată</x:v>
      </x:c>
      <x:c r="J155" s="8" t="str"/>
      <x:c r="K155" s="8" t="str">
        <x:v>Text extras; numerele din referințe sunt în coloana separată</x:v>
      </x:c>
      <x:c r="L155" s="8" t="e">
        <x:f>HYPERLINK("file:///Z:/00. Proiecte 2025/AFIR FotoVoltaic 1/0.1. Fise Tehnice/Huawei/Sistem de stocare/Electric Diagram/LUNA2000-5015-2S DC main power loop SLD &amp; AC auxiliary power supply loop SLD &amp; External interface signal loop SLD.pdf","Deschide sursa")</x:f>
        <x:v>HYPERLINK is not implemented. linkLocation=file:///Z:/00. Proiecte 2025/AFIR FotoVoltaic 1/0.1. Fise Tehnice/Huawei/Sistem de stocare/Electric Diagram/LUNA2000-5015-2S DC main power loop SLD &amp; AC auxiliary power supply loop SLD &amp; External interface signal loop SLD.pdf, friendlyName=Deschide sursa</x:v>
      </x:c>
    </x:row>
    <x:row r="156" ht="36" customHeight="1">
      <x:c r="A156" s="8" t="str">
        <x:v>F0289</x:v>
      </x:c>
      <x:c r="B156" s="8" t="str">
        <x:v>2.5 MW_5 MWh Layout(Oversea).pdf</x:v>
      </x:c>
      <x:c r="C156" s="8" t="str">
        <x:v>Implementare / documente suport</x:v>
      </x:c>
      <x:c r="D156" s="12" t="str"/>
      <x:c r="E156" s="11" t="str"/>
      <x:c r="F156" s="12" t="str"/>
      <x:c r="G156" s="11" t="str"/>
      <x:c r="H156" s="8" t="str"/>
      <x:c r="I156" s="8" t="str">
        <x:v>Document local; transmiterea individuală neconfirmată</x:v>
      </x:c>
      <x:c r="J156" s="8" t="str"/>
      <x:c r="K156" s="8" t="str">
        <x:v>Text extras; numerele din referințe sunt în coloana separată</x:v>
      </x:c>
      <x:c r="L156" s="8" t="e">
        <x:f>HYPERLINK("file:///Z:/00. Proiecte 2025/AFIR FotoVoltaic 1/0.1. Fise Tehnice/Huawei/Sistem de stocare/Foundation &amp; Site requirements/2.5 MW_5 MWh Layout(Oversea).pdf","Deschide sursa")</x:f>
        <x:v>HYPERLINK is not implemented. linkLocation=file:///Z:/00. Proiecte 2025/AFIR FotoVoltaic 1/0.1. Fise Tehnice/Huawei/Sistem de stocare/Foundation &amp; Site requirements/2.5 MW_5 MWh Layout(Oversea).pdf, friendlyName=Deschide sursa</x:v>
      </x:c>
    </x:row>
    <x:row r="157" ht="50" customHeight="1">
      <x:c r="A157" s="8" t="str">
        <x:v>F0290</x:v>
      </x:c>
      <x:c r="B157" s="8" t="str">
        <x:v>V2 Smart String ESS Solution Architectural Layout-ENG.pdf</x:v>
      </x:c>
      <x:c r="C157" s="8" t="str">
        <x:v>Implementare / documente suport</x:v>
      </x:c>
      <x:c r="D157" s="12" t="str"/>
      <x:c r="E157" s="11" t="str"/>
      <x:c r="F157" s="12" t="str"/>
      <x:c r="G157" s="11" t="str"/>
      <x:c r="H157" s="8" t="str"/>
      <x:c r="I157" s="8" t="str">
        <x:v>Document local; transmiterea individuală neconfirmată</x:v>
      </x:c>
      <x:c r="J157" s="8" t="str"/>
      <x:c r="K157" s="8" t="str">
        <x:v>Text extras; numerele din referințe sunt în coloana separată</x:v>
      </x:c>
      <x:c r="L157" s="8" t="e">
        <x:f>HYPERLINK("file:///Z:/00. Proiecte 2025/AFIR FotoVoltaic 1/0.1. Fise Tehnice/Huawei/Sistem de stocare/Foundation &amp; Site requirements/V2 Smart String ESS Solution Architectural Layout-ENG.pdf","Deschide sursa")</x:f>
        <x:v>HYPERLINK is not implemented. linkLocation=file:///Z:/00. Proiecte 2025/AFIR FotoVoltaic 1/0.1. Fise Tehnice/Huawei/Sistem de stocare/Foundation &amp; Site requirements/V2 Smart String ESS Solution Architectural Layout-ENG.pdf, friendlyName=Deschide sursa</x:v>
      </x:c>
    </x:row>
    <x:row r="158" ht="50" customHeight="1">
      <x:c r="A158" s="8" t="str">
        <x:v>F0291</x:v>
      </x:c>
      <x:c r="B158" s="8" t="str">
        <x:v>【01】V2 Smart String ESS Container Structural Layout-ENG.pdf</x:v>
      </x:c>
      <x:c r="C158" s="8" t="str">
        <x:v>Implementare / documente suport</x:v>
      </x:c>
      <x:c r="D158" s="12" t="str"/>
      <x:c r="E158" s="11" t="str"/>
      <x:c r="F158" s="12" t="str"/>
      <x:c r="G158" s="11" t="str"/>
      <x:c r="H158" s="8" t="str"/>
      <x:c r="I158" s="8" t="str">
        <x:v>Document local; transmiterea individuală neconfirmată</x:v>
      </x:c>
      <x:c r="J158" s="8" t="str"/>
      <x:c r="K158" s="8" t="str">
        <x:v>Text extras; numerele din referințe sunt în coloana separată</x:v>
      </x:c>
      <x:c r="L158" s="8" t="e">
        <x:f>HYPERLINK("file:///Z:/00. Proiecte 2025/AFIR FotoVoltaic 1/0.1. Fise Tehnice/Huawei/Sistem de stocare/Foundation &amp; Site requirements/【01】V2 Smart String ESS Container Structural Layout-ENG.pdf","Deschide sursa")</x:f>
        <x:v>HYPERLINK is not implemented. linkLocation=file:///Z:/00. Proiecte 2025/AFIR FotoVoltaic 1/0.1. Fise Tehnice/Huawei/Sistem de stocare/Foundation &amp; Site requirements/【01】V2 Smart String ESS Container Structural Layout-ENG.pdf, friendlyName=Deschide sursa</x:v>
      </x:c>
    </x:row>
    <x:row r="159" ht="50" customHeight="1">
      <x:c r="A159" s="8" t="str">
        <x:v>F0292</x:v>
      </x:c>
      <x:c r="B159" s="8" t="str">
        <x:v>【02】V2 Smart String ESS Earthing Diagram-ENG.pdf</x:v>
      </x:c>
      <x:c r="C159" s="8" t="str">
        <x:v>Implementare / documente suport</x:v>
      </x:c>
      <x:c r="D159" s="12" t="str"/>
      <x:c r="E159" s="11" t="str"/>
      <x:c r="F159" s="12" t="str"/>
      <x:c r="G159" s="11" t="str"/>
      <x:c r="H159" s="8" t="str"/>
      <x:c r="I159" s="8" t="str">
        <x:v>Document local; transmiterea individuală neconfirmată</x:v>
      </x:c>
      <x:c r="J159" s="8" t="str"/>
      <x:c r="K159" s="8" t="str">
        <x:v>Text extras; numerele din referințe sunt în coloana separată</x:v>
      </x:c>
      <x:c r="L159" s="8" t="e">
        <x:f>HYPERLINK("file:///Z:/00. Proiecte 2025/AFIR FotoVoltaic 1/0.1. Fise Tehnice/Huawei/Sistem de stocare/Foundation &amp; Site requirements/【02】V2 Smart String ESS Earthing Diagram-ENG.pdf","Deschide sursa")</x:f>
        <x:v>HYPERLINK is not implemented. linkLocation=file:///Z:/00. Proiecte 2025/AFIR FotoVoltaic 1/0.1. Fise Tehnice/Huawei/Sistem de stocare/Foundation &amp; Site requirements/【02】V2 Smart String ESS Earthing Diagram-ENG.pdf, friendlyName=Deschide sursa</x:v>
      </x:c>
    </x:row>
    <x:row r="160" ht="50" customHeight="1">
      <x:c r="A160" s="8" t="str">
        <x:v>F0293</x:v>
      </x:c>
      <x:c r="B160" s="8" t="str">
        <x:v>【03】V2 Smart String ESS Drain Dimensions-ENG.pdf</x:v>
      </x:c>
      <x:c r="C160" s="8" t="str">
        <x:v>Implementare / documente suport</x:v>
      </x:c>
      <x:c r="D160" s="12" t="str"/>
      <x:c r="E160" s="11" t="str"/>
      <x:c r="F160" s="12" t="str"/>
      <x:c r="G160" s="11" t="str"/>
      <x:c r="H160" s="8" t="str"/>
      <x:c r="I160" s="8" t="str">
        <x:v>Document local; transmiterea individuală neconfirmată</x:v>
      </x:c>
      <x:c r="J160" s="8" t="str"/>
      <x:c r="K160" s="8" t="str">
        <x:v>Text extras; numerele din referințe sunt în coloana separată</x:v>
      </x:c>
      <x:c r="L160" s="8" t="e">
        <x:f>HYPERLINK("file:///Z:/00. Proiecte 2025/AFIR FotoVoltaic 1/0.1. Fise Tehnice/Huawei/Sistem de stocare/Foundation &amp; Site requirements/【03】V2 Smart String ESS Drain Dimensions-ENG.pdf","Deschide sursa")</x:f>
        <x:v>HYPERLINK is not implemented. linkLocation=file:///Z:/00. Proiecte 2025/AFIR FotoVoltaic 1/0.1. Fise Tehnice/Huawei/Sistem de stocare/Foundation &amp; Site requirements/【03】V2 Smart String ESS Drain Dimensions-ENG.pdf, friendlyName=Deschide sursa</x:v>
      </x:c>
    </x:row>
    <x:row r="161" ht="50" customHeight="1">
      <x:c r="A161" s="8" t="str">
        <x:v>F0294</x:v>
      </x:c>
      <x:c r="B161" s="8" t="str">
        <x:v>【04-1】V2 Smart String ESS Foundation Plan-Strip Solution-ENG.pdf</x:v>
      </x:c>
      <x:c r="C161" s="8" t="str">
        <x:v>Implementare / documente suport</x:v>
      </x:c>
      <x:c r="D161" s="12" t="str"/>
      <x:c r="E161" s="11" t="str"/>
      <x:c r="F161" s="12" t="str"/>
      <x:c r="G161" s="11" t="str"/>
      <x:c r="H161" s="8" t="str"/>
      <x:c r="I161" s="8" t="str">
        <x:v>Document local; transmiterea individuală neconfirmată</x:v>
      </x:c>
      <x:c r="J161" s="8" t="str"/>
      <x:c r="K161" s="8" t="str">
        <x:v>Text extras; numerele din referințe sunt în coloana separată</x:v>
      </x:c>
      <x:c r="L161" s="8" t="e">
        <x:f>HYPERLINK("file:///Z:/00. Proiecte 2025/AFIR FotoVoltaic 1/0.1. Fise Tehnice/Huawei/Sistem de stocare/Foundation &amp; Site requirements/【04-1】V2 Smart String ESS Foundation Plan-Strip Solution-ENG.pdf","Deschide sursa")</x:f>
        <x:v>HYPERLINK is not implemented. linkLocation=file:///Z:/00. Proiecte 2025/AFIR FotoVoltaic 1/0.1. Fise Tehnice/Huawei/Sistem de stocare/Foundation &amp; Site requirements/【04-1】V2 Smart String ESS Foundation Plan-Strip Solution-ENG.pdf, friendlyName=Deschide sursa</x:v>
      </x:c>
    </x:row>
    <x:row r="162" ht="50" customHeight="1">
      <x:c r="A162" s="8" t="str">
        <x:v>F0295</x:v>
      </x:c>
      <x:c r="B162" s="8" t="str">
        <x:v>【04-2】V2 Smart String ESS Foundation Plan-Spread Solution-ENG.pdf</x:v>
      </x:c>
      <x:c r="C162" s="8" t="str">
        <x:v>Implementare / documente suport</x:v>
      </x:c>
      <x:c r="D162" s="12" t="str"/>
      <x:c r="E162" s="11" t="str"/>
      <x:c r="F162" s="12" t="str"/>
      <x:c r="G162" s="11" t="str"/>
      <x:c r="H162" s="8" t="str"/>
      <x:c r="I162" s="8" t="str">
        <x:v>Document local; transmiterea individuală neconfirmată</x:v>
      </x:c>
      <x:c r="J162" s="8" t="str"/>
      <x:c r="K162" s="8" t="str">
        <x:v>Text extras; numerele din referințe sunt în coloana separată</x:v>
      </x:c>
      <x:c r="L162" s="8" t="e">
        <x:f>HYPERLINK("file:///Z:/00. Proiecte 2025/AFIR FotoVoltaic 1/0.1. Fise Tehnice/Huawei/Sistem de stocare/Foundation &amp; Site requirements/【04-2】V2 Smart String ESS Foundation Plan-Spread Solution-ENG.pdf","Deschide sursa")</x:f>
        <x:v>HYPERLINK is not implemented. linkLocation=file:///Z:/00. Proiecte 2025/AFIR FotoVoltaic 1/0.1. Fise Tehnice/Huawei/Sistem de stocare/Foundation &amp; Site requirements/【04-2】V2 Smart String ESS Foundation Plan-Spread Solution-ENG.pdf, friendlyName=Deschide sursa</x:v>
      </x:c>
    </x:row>
    <x:row r="163" ht="50" customHeight="1">
      <x:c r="A163" s="8" t="str">
        <x:v>F0296</x:v>
      </x:c>
      <x:c r="B163" s="8" t="str">
        <x:v>【05】V2 Smart String ESS Hoisting Diagram-ENG.pdf</x:v>
      </x:c>
      <x:c r="C163" s="8" t="str">
        <x:v>Implementare / documente suport</x:v>
      </x:c>
      <x:c r="D163" s="12" t="str"/>
      <x:c r="E163" s="11" t="str"/>
      <x:c r="F163" s="12" t="str"/>
      <x:c r="G163" s="11" t="str"/>
      <x:c r="H163" s="8" t="str"/>
      <x:c r="I163" s="8" t="str">
        <x:v>Document local; transmiterea individuală neconfirmată</x:v>
      </x:c>
      <x:c r="J163" s="8" t="str"/>
      <x:c r="K163" s="8" t="str">
        <x:v>Text extras; numerele din referințe sunt în coloana separată</x:v>
      </x:c>
      <x:c r="L163" s="8" t="e">
        <x:f>HYPERLINK("file:///Z:/00. Proiecte 2025/AFIR FotoVoltaic 1/0.1. Fise Tehnice/Huawei/Sistem de stocare/Foundation &amp; Site requirements/【05】V2 Smart String ESS Hoisting Diagram-ENG.pdf","Deschide sursa")</x:f>
        <x:v>HYPERLINK is not implemented. linkLocation=file:///Z:/00. Proiecte 2025/AFIR FotoVoltaic 1/0.1. Fise Tehnice/Huawei/Sistem de stocare/Foundation &amp; Site requirements/【05】V2 Smart String ESS Hoisting Diagram-ENG.pdf, friendlyName=Deschide sursa</x:v>
      </x:c>
    </x:row>
    <x:row r="164" ht="50" customHeight="1">
      <x:c r="A164" s="8" t="str">
        <x:v>F0297</x:v>
      </x:c>
      <x:c r="B164" s="8" t="str">
        <x:v>【06】V2 Smart String ESS Clearance Requirements-ENG.pdf</x:v>
      </x:c>
      <x:c r="C164" s="8" t="str">
        <x:v>Implementare / documente suport</x:v>
      </x:c>
      <x:c r="D164" s="12" t="str"/>
      <x:c r="E164" s="11" t="str"/>
      <x:c r="F164" s="12" t="str"/>
      <x:c r="G164" s="11" t="str"/>
      <x:c r="H164" s="8" t="str"/>
      <x:c r="I164" s="8" t="str">
        <x:v>Document local; transmiterea individuală neconfirmată</x:v>
      </x:c>
      <x:c r="J164" s="8" t="str"/>
      <x:c r="K164" s="8" t="str">
        <x:v>Text extras; numerele din referințe sunt în coloana separată</x:v>
      </x:c>
      <x:c r="L164" s="8" t="e">
        <x:f>HYPERLINK("file:///Z:/00. Proiecte 2025/AFIR FotoVoltaic 1/0.1. Fise Tehnice/Huawei/Sistem de stocare/Foundation &amp; Site requirements/【06】V2 Smart String ESS Clearance Requirements-ENG.pdf","Deschide sursa")</x:f>
        <x:v>HYPERLINK is not implemented. linkLocation=file:///Z:/00. Proiecte 2025/AFIR FotoVoltaic 1/0.1. Fise Tehnice/Huawei/Sistem de stocare/Foundation &amp; Site requirements/【06】V2 Smart String ESS Clearance Requirements-ENG.pdf, friendlyName=Deschide sursa</x:v>
      </x:c>
    </x:row>
    <x:row r="165" ht="50" customHeight="1">
      <x:c r="A165" s="8" t="str">
        <x:v>F0298</x:v>
      </x:c>
      <x:c r="B165" s="8" t="str">
        <x:v>【07】V2 Smart String ESS External Ports Diagram-ENG.pdf</x:v>
      </x:c>
      <x:c r="C165" s="8" t="str">
        <x:v>Implementare / documente suport</x:v>
      </x:c>
      <x:c r="D165" s="12" t="str"/>
      <x:c r="E165" s="11" t="str"/>
      <x:c r="F165" s="12" t="str"/>
      <x:c r="G165" s="11" t="str"/>
      <x:c r="H165" s="8" t="str"/>
      <x:c r="I165" s="8" t="str">
        <x:v>Document local; transmiterea individuală neconfirmată</x:v>
      </x:c>
      <x:c r="J165" s="8" t="str"/>
      <x:c r="K165" s="8" t="str">
        <x:v>Text extras; numerele din referințe sunt în coloana separată</x:v>
      </x:c>
      <x:c r="L165" s="8" t="e">
        <x:f>HYPERLINK("file:///Z:/00. Proiecte 2025/AFIR FotoVoltaic 1/0.1. Fise Tehnice/Huawei/Sistem de stocare/Foundation &amp; Site requirements/【07】V2 Smart String ESS External Ports Diagram-ENG.pdf","Deschide sursa")</x:f>
        <x:v>HYPERLINK is not implemented. linkLocation=file:///Z:/00. Proiecte 2025/AFIR FotoVoltaic 1/0.1. Fise Tehnice/Huawei/Sistem de stocare/Foundation &amp; Site requirements/【07】V2 Smart String ESS External Ports Diagram-ENG.pdf, friendlyName=Deschide sursa</x:v>
      </x:c>
    </x:row>
    <x:row r="166" ht="50" customHeight="1">
      <x:c r="A166" s="8" t="str">
        <x:v>F0299</x:v>
      </x:c>
      <x:c r="B166" s="8" t="str">
        <x:v>HUAWEI LUNA2000-(2236-5015) Series Smart String Grid Forming ESS User Manual.pdf</x:v>
      </x:c>
      <x:c r="C166" s="8" t="str">
        <x:v>Implementare / documente suport</x:v>
      </x:c>
      <x:c r="D166" s="12" t="str"/>
      <x:c r="E166" s="11" t="str"/>
      <x:c r="F166" s="12" t="str"/>
      <x:c r="G166" s="11" t="str"/>
      <x:c r="H166" s="8" t="str"/>
      <x:c r="I166" s="8" t="str">
        <x:v>Document local; transmiterea individuală neconfirmată</x:v>
      </x:c>
      <x:c r="J166" s="8" t="str"/>
      <x:c r="K166" s="8" t="str">
        <x:v>Text extras; numerele din referințe sunt în coloana separată</x:v>
      </x:c>
      <x:c r="L166" s="8" t="e">
        <x:f>HYPERLINK("file:///Z:/00. Proiecte 2025/AFIR FotoVoltaic 1/0.1. Fise Tehnice/Huawei/Sistem de stocare/User manual/HUAWEI LUNA2000-(2236-5015) Series Smart String Grid Forming ESS User Manual.pdf","Deschide sursa")</x:f>
        <x:v>HYPERLINK is not implemented. linkLocation=file:///Z:/00. Proiecte 2025/AFIR FotoVoltaic 1/0.1. Fise Tehnice/Huawei/Sistem de stocare/User manual/HUAWEI LUNA2000-(2236-5015) Series Smart String Grid Forming ESS User Manual.pdf, friendlyName=Deschide sursa</x:v>
      </x:c>
    </x:row>
    <x:row r="167" ht="36" customHeight="1">
      <x:c r="A167" s="8" t="str">
        <x:v>F0300</x:v>
      </x:c>
      <x:c r="B167" s="8" t="str">
        <x:v>LUNA2000-213KTL-H0_datasheet.pdf</x:v>
      </x:c>
      <x:c r="C167" s="8" t="str">
        <x:v>Implementare / documente suport</x:v>
      </x:c>
      <x:c r="D167" s="12" t="str"/>
      <x:c r="E167" s="11" t="str"/>
      <x:c r="F167" s="12" t="str"/>
      <x:c r="G167" s="11" t="str"/>
      <x:c r="H167" s="8" t="str"/>
      <x:c r="I167" s="8" t="str">
        <x:v>Document local; transmiterea individuală neconfirmată</x:v>
      </x:c>
      <x:c r="J167" s="8" t="str"/>
      <x:c r="K167" s="8" t="str">
        <x:v>Text extras; numerele din referințe sunt în coloana separată</x:v>
      </x:c>
      <x:c r="L167" s="8" t="e">
        <x:f>HYPERLINK("file:///Z:/00. Proiecte 2025/AFIR FotoVoltaic 1/0.1. Fise Tehnice/Huawei/Sistem de stocare/PCS/LUNA2000-213KTL-H0/1. Datasheet/LUNA2000-213KTL-H0_datasheet.pdf","Deschide sursa")</x:f>
        <x:v>HYPERLINK is not implemented. linkLocation=file:///Z:/00. Proiecte 2025/AFIR FotoVoltaic 1/0.1. Fise Tehnice/Huawei/Sistem de stocare/PCS/LUNA2000-213KTL-H0/1. Datasheet/LUNA2000-213KTL-H0_datasheet.pdf, friendlyName=Deschide sursa</x:v>
      </x:c>
    </x:row>
    <x:row r="168" ht="50" customHeight="1">
      <x:c r="A168" s="8" t="str">
        <x:v>F0301</x:v>
      </x:c>
      <x:c r="B168" s="8" t="str">
        <x:v>LUNA2000-100KTL, 200KTL, and 213KTL Series Smart Power Control System Alarm Reference.pdf</x:v>
      </x:c>
      <x:c r="C168" s="8" t="str">
        <x:v>Implementare / documente suport</x:v>
      </x:c>
      <x:c r="D168" s="12" t="str"/>
      <x:c r="E168" s="11" t="str"/>
      <x:c r="F168" s="12" t="str"/>
      <x:c r="G168" s="11" t="str"/>
      <x:c r="H168" s="8" t="str"/>
      <x:c r="I168" s="8" t="str">
        <x:v>Document local; transmiterea individuală neconfirmată</x:v>
      </x:c>
      <x:c r="J168" s="8" t="str"/>
      <x:c r="K168" s="8" t="str">
        <x:v>Text extras; numerele din referințe sunt în coloana separată</x:v>
      </x:c>
      <x:c r="L168" s="8" t="e">
        <x:f>HYPERLINK("file:///Z:/00. Proiecte 2025/AFIR FotoVoltaic 1/0.1. Fise Tehnice/Huawei/Sistem de stocare/PCS/LUNA2000-213KTL-H0/2. Manuals/LUNA2000-100KTL, 200KTL, and 213KTL Series Smart Power Control System Alarm Reference.pdf","Deschide sursa")</x:f>
        <x:v>HYPERLINK is not implemented. linkLocation=file:///Z:/00. Proiecte 2025/AFIR FotoVoltaic 1/0.1. Fise Tehnice/Huawei/Sistem de stocare/PCS/LUNA2000-213KTL-H0/2. Manuals/LUNA2000-100KTL, 200KTL, and 213KTL Series Smart Power Control System Alarm Reference.pdf, friendlyName=Deschide sursa</x:v>
      </x:c>
    </x:row>
    <x:row r="169" ht="50" customHeight="1">
      <x:c r="A169" s="8" t="str">
        <x:v>F0302</x:v>
      </x:c>
      <x:c r="B169" s="8" t="str">
        <x:v>LUNA2000-213KTL-H0 Smart Power Control System Quick Guide_issue03.pdf</x:v>
      </x:c>
      <x:c r="C169" s="8" t="str">
        <x:v>Implementare / documente suport</x:v>
      </x:c>
      <x:c r="D169" s="12" t="str"/>
      <x:c r="E169" s="11" t="str"/>
      <x:c r="F169" s="12" t="str"/>
      <x:c r="G169" s="11" t="str"/>
      <x:c r="H169" s="8" t="str"/>
      <x:c r="I169" s="8" t="str">
        <x:v>Document local; transmiterea individuală neconfirmată</x:v>
      </x:c>
      <x:c r="J169" s="8" t="str"/>
      <x:c r="K169" s="8" t="str">
        <x:v>Text extras; numerele din referințe sunt în coloana separată</x:v>
      </x:c>
      <x:c r="L169" s="8" t="e">
        <x:f>HYPERLINK("file:///Z:/00. Proiecte 2025/AFIR FotoVoltaic 1/0.1. Fise Tehnice/Huawei/Sistem de stocare/PCS/LUNA2000-213KTL-H0/2. Manuals/LUNA2000-213KTL-H0 Smart Power Control System Quick Guide_issue03.pdf","Deschide sursa")</x:f>
        <x:v>HYPERLINK is not implemented. linkLocation=file:///Z:/00. Proiecte 2025/AFIR FotoVoltaic 1/0.1. Fise Tehnice/Huawei/Sistem de stocare/PCS/LUNA2000-213KTL-H0/2. Manuals/LUNA2000-213KTL-H0 Smart Power Control System Quick Guide_issue03.pdf, friendlyName=Deschide sursa</x:v>
      </x:c>
    </x:row>
    <x:row r="170" ht="50" customHeight="1">
      <x:c r="A170" s="8" t="str">
        <x:v>F0303</x:v>
      </x:c>
      <x:c r="B170" s="8" t="str">
        <x:v>LUNA2000-213KTL-H0 Smart Power Control System User Manual_issue04.pdf</x:v>
      </x:c>
      <x:c r="C170" s="8" t="str">
        <x:v>Implementare / documente suport</x:v>
      </x:c>
      <x:c r="D170" s="12" t="str"/>
      <x:c r="E170" s="11" t="str"/>
      <x:c r="F170" s="12" t="str"/>
      <x:c r="G170" s="11" t="str"/>
      <x:c r="H170" s="8" t="str"/>
      <x:c r="I170" s="8" t="str">
        <x:v>Document local; transmiterea individuală neconfirmată</x:v>
      </x:c>
      <x:c r="J170" s="8" t="str">
        <x:v>NRS-097-2-1-MV800 South Africa power grid</x:v>
      </x:c>
      <x:c r="K170" s="8" t="str">
        <x:v>Text extras; numerele din referințe sunt în coloana separată</x:v>
      </x:c>
      <x:c r="L170" s="8" t="e">
        <x:f>HYPERLINK("file:///Z:/00. Proiecte 2025/AFIR FotoVoltaic 1/0.1. Fise Tehnice/Huawei/Sistem de stocare/PCS/LUNA2000-213KTL-H0/2. Manuals/LUNA2000-213KTL-H0 Smart Power Control System User Manual_issue04.pdf","Deschide sursa")</x:f>
        <x:v>HYPERLINK is not implemented. linkLocation=file:///Z:/00. Proiecte 2025/AFIR FotoVoltaic 1/0.1. Fise Tehnice/Huawei/Sistem de stocare/PCS/LUNA2000-213KTL-H0/2. Manuals/LUNA2000-213KTL-H0 Smart Power Control System User Manual_issue04.pdf, friendlyName=Deschide sursa</x:v>
      </x:c>
    </x:row>
    <x:row r="171" ht="50" customHeight="1">
      <x:c r="A171" s="8" t="str">
        <x:v>F0304</x:v>
      </x:c>
      <x:c r="B171" s="8" t="str">
        <x:v>Characteristics Curve of LUNA2000-213KTL-H0 - 20240731.docx.pdf</x:v>
      </x:c>
      <x:c r="C171" s="8" t="str">
        <x:v>Implementare / documente suport</x:v>
      </x:c>
      <x:c r="D171" s="12" t="str"/>
      <x:c r="E171" s="11" t="str"/>
      <x:c r="F171" s="12" t="str"/>
      <x:c r="G171" s="11" t="str"/>
      <x:c r="H171" s="8" t="str"/>
      <x:c r="I171" s="8" t="str">
        <x:v>Document local; transmiterea individuală neconfirmată</x:v>
      </x:c>
      <x:c r="J171" s="8" t="str"/>
      <x:c r="K171" s="8" t="str">
        <x:v>Text extras; numerele din referințe sunt în coloana separată</x:v>
      </x:c>
      <x:c r="L171" s="8" t="e">
        <x:f>HYPERLINK("file:///Z:/00. Proiecte 2025/AFIR FotoVoltaic 1/0.1. Fise Tehnice/Huawei/Sistem de stocare/PCS/LUNA2000-213KTL-H0/3. Characteristic curve/Characteristics Curve of LUNA2000-213KTL-H0 - 20240731.docx.pdf","Deschide sursa")</x:f>
        <x:v>HYPERLINK is not implemented. linkLocation=file:///Z:/00. Proiecte 2025/AFIR FotoVoltaic 1/0.1. Fise Tehnice/Huawei/Sistem de stocare/PCS/LUNA2000-213KTL-H0/3. Characteristic curve/Characteristics Curve of LUNA2000-213KTL-H0 - 20240731.docx.pdf, friendlyName=Deschide sursa</x:v>
      </x:c>
    </x:row>
    <x:row r="172" ht="50" customHeight="1">
      <x:c r="A172" s="8" t="str">
        <x:v>F0305</x:v>
      </x:c>
      <x:c r="B172" s="8" t="str">
        <x:v>LUNA2000-213KTL-H0 Efficiency Curve 20240731.pdf</x:v>
      </x:c>
      <x:c r="C172" s="8" t="str">
        <x:v>Implementare / documente suport</x:v>
      </x:c>
      <x:c r="D172" s="12" t="str"/>
      <x:c r="E172" s="11" t="str"/>
      <x:c r="F172" s="12" t="str"/>
      <x:c r="G172" s="11" t="str"/>
      <x:c r="H172" s="8" t="str"/>
      <x:c r="I172" s="8" t="str">
        <x:v>Document local; transmiterea individuală neconfirmată</x:v>
      </x:c>
      <x:c r="J172" s="8" t="str"/>
      <x:c r="K172" s="8" t="str">
        <x:v>Text extras; numerele din referințe sunt în coloana separată</x:v>
      </x:c>
      <x:c r="L172" s="8" t="e">
        <x:f>HYPERLINK("file:///Z:/00. Proiecte 2025/AFIR FotoVoltaic 1/0.1. Fise Tehnice/Huawei/Sistem de stocare/PCS/LUNA2000-213KTL-H0/3. Characteristic curve/LUNA2000-213KTL-H0 Efficiency Curve 20240731.pdf","Deschide sursa")</x:f>
        <x:v>HYPERLINK is not implemented. linkLocation=file:///Z:/00. Proiecte 2025/AFIR FotoVoltaic 1/0.1. Fise Tehnice/Huawei/Sistem de stocare/PCS/LUNA2000-213KTL-H0/3. Characteristic curve/LUNA2000-213KTL-H0 Efficiency Curve 20240731.pdf, friendlyName=Deschide sursa</x:v>
      </x:c>
    </x:row>
    <x:row r="173" ht="50" customHeight="1">
      <x:c r="A173" s="8" t="str">
        <x:v>F0306</x:v>
      </x:c>
      <x:c r="B173" s="8" t="str">
        <x:v>LUNA2000-213KTL-H0 Center of Gravity of PCS Support 20241020.pdf</x:v>
      </x:c>
      <x:c r="C173" s="8" t="str">
        <x:v>Implementare / documente suport</x:v>
      </x:c>
      <x:c r="D173" s="12" t="str"/>
      <x:c r="E173" s="11" t="str"/>
      <x:c r="F173" s="12" t="str"/>
      <x:c r="G173" s="11" t="str"/>
      <x:c r="H173" s="8" t="str"/>
      <x:c r="I173" s="8" t="str">
        <x:v>Document local; transmiterea individuală neconfirmată</x:v>
      </x:c>
      <x:c r="J173" s="8" t="str"/>
      <x:c r="K173" s="8" t="str">
        <x:v>Text extras; numerele din referințe sunt în coloana separată</x:v>
      </x:c>
      <x:c r="L173" s="8" t="e">
        <x:f>HYPERLINK("file:///Z:/00. Proiecte 2025/AFIR FotoVoltaic 1/0.1. Fise Tehnice/Huawei/Sistem de stocare/PCS/LUNA2000-213KTL-H0/4. Foundations &amp; supports/LUNA2000-213KTL-H0 Center of Gravity of PCS Support 20241020.pdf","Deschide sursa")</x:f>
        <x:v>HYPERLINK is not implemented. linkLocation=file:///Z:/00. Proiecte 2025/AFIR FotoVoltaic 1/0.1. Fise Tehnice/Huawei/Sistem de stocare/PCS/LUNA2000-213KTL-H0/4. Foundations &amp; supports/LUNA2000-213KTL-H0 Center of Gravity of PCS Support 20241020.pdf, friendlyName=Deschide sursa</x:v>
      </x:c>
    </x:row>
    <x:row r="174" ht="50" customHeight="1">
      <x:c r="A174" s="8" t="str">
        <x:v>F0307</x:v>
      </x:c>
      <x:c r="B174" s="8" t="str">
        <x:v>LUNA2000-213KTL-H0 PCS Hold hoop installation-20240127.pdf</x:v>
      </x:c>
      <x:c r="C174" s="8" t="str">
        <x:v>Implementare / documente suport</x:v>
      </x:c>
      <x:c r="D174" s="12" t="str"/>
      <x:c r="E174" s="11" t="str"/>
      <x:c r="F174" s="12" t="str"/>
      <x:c r="G174" s="11" t="str"/>
      <x:c r="H174" s="8" t="str"/>
      <x:c r="I174" s="8" t="str">
        <x:v>Document local; transmiterea individuală neconfirmată</x:v>
      </x:c>
      <x:c r="J174" s="8" t="str"/>
      <x:c r="K174" s="8" t="str">
        <x:v>Text extras; numerele din referințe sunt în coloana separată</x:v>
      </x:c>
      <x:c r="L174" s="8" t="e">
        <x:f>HYPERLINK("file:///Z:/00. Proiecte 2025/AFIR FotoVoltaic 1/0.1. Fise Tehnice/Huawei/Sistem de stocare/PCS/LUNA2000-213KTL-H0/4. Foundations &amp; supports/LUNA2000-213KTL-H0 PCS Hold hoop installation-20240127.pdf","Deschide sursa")</x:f>
        <x:v>HYPERLINK is not implemented. linkLocation=file:///Z:/00. Proiecte 2025/AFIR FotoVoltaic 1/0.1. Fise Tehnice/Huawei/Sistem de stocare/PCS/LUNA2000-213KTL-H0/4. Foundations &amp; supports/LUNA2000-213KTL-H0 PCS Hold hoop installation-20240127.pdf, friendlyName=Deschide sursa</x:v>
      </x:c>
    </x:row>
    <x:row r="175" ht="50" customHeight="1">
      <x:c r="A175" s="8" t="str">
        <x:v>F0308</x:v>
      </x:c>
      <x:c r="B175" s="8" t="str">
        <x:v>LUNA2000-213KTL-H0 PCS Support Drawing 20241020.pdf</x:v>
      </x:c>
      <x:c r="C175" s="8" t="str">
        <x:v>Implementare / documente suport</x:v>
      </x:c>
      <x:c r="D175" s="12" t="str"/>
      <x:c r="E175" s="11" t="str"/>
      <x:c r="F175" s="12" t="str"/>
      <x:c r="G175" s="11" t="str"/>
      <x:c r="H175" s="8" t="str"/>
      <x:c r="I175" s="8" t="str">
        <x:v>Document local; transmiterea individuală neconfirmată</x:v>
      </x:c>
      <x:c r="J175" s="8" t="str"/>
      <x:c r="K175" s="8" t="str">
        <x:v>Text extras; numerele din referințe sunt în coloana separată</x:v>
      </x:c>
      <x:c r="L175" s="8" t="e">
        <x:f>HYPERLINK("file:///Z:/00. Proiecte 2025/AFIR FotoVoltaic 1/0.1. Fise Tehnice/Huawei/Sistem de stocare/PCS/LUNA2000-213KTL-H0/4. Foundations &amp; supports/LUNA2000-213KTL-H0 PCS Support Drawing 20241020.pdf","Deschide sursa")</x:f>
        <x:v>HYPERLINK is not implemented. linkLocation=file:///Z:/00. Proiecte 2025/AFIR FotoVoltaic 1/0.1. Fise Tehnice/Huawei/Sistem de stocare/PCS/LUNA2000-213KTL-H0/4. Foundations &amp; supports/LUNA2000-213KTL-H0 PCS Support Drawing 20241020.pdf, friendlyName=Deschide sursa</x:v>
      </x:c>
    </x:row>
    <x:row r="176" ht="50" customHeight="1">
      <x:c r="A176" s="8" t="str">
        <x:v>F0309</x:v>
      </x:c>
      <x:c r="B176" s="8" t="str">
        <x:v>LUNA2000-213KTL-H0 PCS Support Foundation Drawing (Pile) 20241020.pdf</x:v>
      </x:c>
      <x:c r="C176" s="8" t="str">
        <x:v>Implementare / documente suport</x:v>
      </x:c>
      <x:c r="D176" s="12" t="str"/>
      <x:c r="E176" s="11" t="str"/>
      <x:c r="F176" s="12" t="str"/>
      <x:c r="G176" s="11" t="str"/>
      <x:c r="H176" s="8" t="str"/>
      <x:c r="I176" s="8" t="str">
        <x:v>Document local; transmiterea individuală neconfirmată</x:v>
      </x:c>
      <x:c r="J176" s="8" t="str"/>
      <x:c r="K176" s="8" t="str">
        <x:v>Text extras; numerele din referințe sunt în coloana separată</x:v>
      </x:c>
      <x:c r="L176" s="8" t="e">
        <x:f>HYPERLINK("file:///Z:/00. Proiecte 2025/AFIR FotoVoltaic 1/0.1. Fise Tehnice/Huawei/Sistem de stocare/PCS/LUNA2000-213KTL-H0/4. Foundations &amp; supports/LUNA2000-213KTL-H0 PCS Support Foundation Drawing (Pile) 20241020.pdf","Deschide sursa")</x:f>
        <x:v>HYPERLINK is not implemented. linkLocation=file:///Z:/00. Proiecte 2025/AFIR FotoVoltaic 1/0.1. Fise Tehnice/Huawei/Sistem de stocare/PCS/LUNA2000-213KTL-H0/4. Foundations &amp; supports/LUNA2000-213KTL-H0 PCS Support Foundation Drawing (Pile) 20241020.pdf, friendlyName=Deschide sursa</x:v>
      </x:c>
    </x:row>
    <x:row r="177" ht="50" customHeight="1">
      <x:c r="A177" s="8" t="str">
        <x:v>F0310</x:v>
      </x:c>
      <x:c r="B177" s="8" t="str">
        <x:v>LUNA2000-213KTL-H0 PCS Support Foundation Drawing (Strip) 20241020.pdf</x:v>
      </x:c>
      <x:c r="C177" s="8" t="str">
        <x:v>Implementare / documente suport</x:v>
      </x:c>
      <x:c r="D177" s="12" t="str"/>
      <x:c r="E177" s="11" t="str"/>
      <x:c r="F177" s="12" t="str"/>
      <x:c r="G177" s="11" t="str"/>
      <x:c r="H177" s="8" t="str"/>
      <x:c r="I177" s="8" t="str">
        <x:v>Document local; transmiterea individuală neconfirmată</x:v>
      </x:c>
      <x:c r="J177" s="8" t="str"/>
      <x:c r="K177" s="8" t="str">
        <x:v>Text extras; numerele din referințe sunt în coloana separată</x:v>
      </x:c>
      <x:c r="L177" s="8" t="e">
        <x:f>HYPERLINK("file:///Z:/00. Proiecte 2025/AFIR FotoVoltaic 1/0.1. Fise Tehnice/Huawei/Sistem de stocare/PCS/LUNA2000-213KTL-H0/4. Foundations &amp; supports/LUNA2000-213KTL-H0 PCS Support Foundation Drawing (Strip) 20241020.pdf","Deschide sursa")</x:f>
        <x:v>HYPERLINK is not implemented. linkLocation=file:///Z:/00. Proiecte 2025/AFIR FotoVoltaic 1/0.1. Fise Tehnice/Huawei/Sistem de stocare/PCS/LUNA2000-213KTL-H0/4. Foundations &amp; supports/LUNA2000-213KTL-H0 PCS Support Foundation Drawing (Strip) 20241020.pdf, friendlyName=Deschide sursa</x:v>
      </x:c>
    </x:row>
    <x:row r="178" ht="50" customHeight="1">
      <x:c r="A178" s="8" t="str">
        <x:v>F0311</x:v>
      </x:c>
      <x:c r="B178" s="8" t="str">
        <x:v>LUNA2000-213KTL-H0 PCS Support Layout Drawing 20241020.pdf</x:v>
      </x:c>
      <x:c r="C178" s="8" t="str">
        <x:v>Implementare / documente suport</x:v>
      </x:c>
      <x:c r="D178" s="12" t="str"/>
      <x:c r="E178" s="11" t="str"/>
      <x:c r="F178" s="12" t="str"/>
      <x:c r="G178" s="11" t="str"/>
      <x:c r="H178" s="8" t="str"/>
      <x:c r="I178" s="8" t="str">
        <x:v>Document local; transmiterea individuală neconfirmată</x:v>
      </x:c>
      <x:c r="J178" s="8" t="str"/>
      <x:c r="K178" s="8" t="str">
        <x:v>Text extras; numerele din referințe sunt în coloana separată</x:v>
      </x:c>
      <x:c r="L178" s="8" t="e">
        <x:f>HYPERLINK("file:///Z:/00. Proiecte 2025/AFIR FotoVoltaic 1/0.1. Fise Tehnice/Huawei/Sistem de stocare/PCS/LUNA2000-213KTL-H0/4. Foundations &amp; supports/LUNA2000-213KTL-H0 PCS Support Layout Drawing 20241020.pdf","Deschide sursa")</x:f>
        <x:v>HYPERLINK is not implemented. linkLocation=file:///Z:/00. Proiecte 2025/AFIR FotoVoltaic 1/0.1. Fise Tehnice/Huawei/Sistem de stocare/PCS/LUNA2000-213KTL-H0/4. Foundations &amp; supports/LUNA2000-213KTL-H0 PCS Support Layout Drawing 20241020.pdf, friendlyName=Deschide sursa</x:v>
      </x:c>
    </x:row>
    <x:row r="179" ht="36" customHeight="1">
      <x:c r="A179" s="8" t="str">
        <x:v>F0312</x:v>
      </x:c>
      <x:c r="B179" s="8" t="str">
        <x:v>SUPPLY AGREEMENT Avasco-Neets.docx</x:v>
      </x:c>
      <x:c r="C179" s="8" t="str">
        <x:v>Implementare / documente suport</x:v>
      </x:c>
      <x:c r="D179" s="12" t="str"/>
      <x:c r="E179" s="11" t="str"/>
      <x:c r="F179" s="12" t="str"/>
      <x:c r="G179" s="11" t="str"/>
      <x:c r="H179" s="8" t="str"/>
      <x:c r="I179" s="8" t="str">
        <x:v>Document local; transmiterea individuală neconfirmată</x:v>
      </x:c>
      <x:c r="J179" s="8" t="str">
        <x:v>Nr. 3B, Alba Iulia, Jud. Alba, 510042, Romania</x:v>
      </x:c>
      <x:c r="K179" s="8" t="str">
        <x:v>Text extras; numerele din referințe sunt în coloana separată</x:v>
      </x:c>
      <x:c r="L179" s="8" t="e">
        <x:f>HYPERLINK("file:///Z:/00. Proiecte 2025/AFIR FotoVoltaic 1/0.1. Fise Tehnice/Structura/AVASCO/SUPPLY AGREEMENT Avasco-Neets.docx","Deschide sursa")</x:f>
        <x:v>HYPERLINK is not implemented. linkLocation=file:///Z:/00. Proiecte 2025/AFIR FotoVoltaic 1/0.1. Fise Tehnice/Structura/AVASCO/SUPPLY AGREEMENT Avasco-Neets.docx, friendlyName=Deschide sursa</x:v>
      </x:c>
    </x:row>
    <x:row r="180" ht="36" customHeight="1">
      <x:c r="A180" s="8" t="str">
        <x:v>F0313</x:v>
      </x:c>
      <x:c r="B180" s="8" t="str">
        <x:v>Certificate _EN1090FPC_ENG_TUV.pdf</x:v>
      </x:c>
      <x:c r="C180" s="8" t="str">
        <x:v>Implementare / documente suport</x:v>
      </x:c>
      <x:c r="D180" s="12" t="str"/>
      <x:c r="E180" s="11" t="str"/>
      <x:c r="F180" s="12" t="str"/>
      <x:c r="G180" s="11" t="str"/>
      <x:c r="H180" s="8" t="str"/>
      <x:c r="I180" s="8" t="str">
        <x:v>Document local; transmiterea individuală neconfirmată</x:v>
      </x:c>
      <x:c r="J180" s="8" t="str"/>
      <x:c r="K180" s="8" t="str">
        <x:v>Text extras; numerele din referințe sunt în coloana separată</x:v>
      </x:c>
      <x:c r="L180" s="8" t="e">
        <x:f>HYPERLINK("file:///Z:/00. Proiecte 2025/AFIR FotoVoltaic 1/0.1. Fise Tehnice/Structura/K2/Certificate _EN1090FPC_ENG_TUV.pdf","Deschide sursa")</x:f>
        <x:v>HYPERLINK is not implemented. linkLocation=file:///Z:/00. Proiecte 2025/AFIR FotoVoltaic 1/0.1. Fise Tehnice/Structura/K2/Certificate _EN1090FPC_ENG_TUV.pdf, friendlyName=Deschide sursa</x:v>
      </x:c>
    </x:row>
    <x:row r="181" ht="36" customHeight="1">
      <x:c r="A181" s="8" t="str">
        <x:v>F0314</x:v>
      </x:c>
      <x:c r="B181" s="8" t="str">
        <x:v>Certificate _ISO3834_ENG_TUV.pdf</x:v>
      </x:c>
      <x:c r="C181" s="8" t="str">
        <x:v>Implementare / documente suport</x:v>
      </x:c>
      <x:c r="D181" s="12" t="str"/>
      <x:c r="E181" s="11" t="str"/>
      <x:c r="F181" s="12" t="str"/>
      <x:c r="G181" s="11" t="str"/>
      <x:c r="H181" s="8" t="str"/>
      <x:c r="I181" s="8" t="str">
        <x:v>Document local; transmiterea individuală neconfirmată</x:v>
      </x:c>
      <x:c r="J181" s="8" t="str"/>
      <x:c r="K181" s="8" t="str">
        <x:v>Text extras; numerele din referințe sunt în coloana separată</x:v>
      </x:c>
      <x:c r="L181" s="8" t="e">
        <x:f>HYPERLINK("file:///Z:/00. Proiecte 2025/AFIR FotoVoltaic 1/0.1. Fise Tehnice/Structura/K2/Certificate _ISO3834_ENG_TUV.pdf","Deschide sursa")</x:f>
        <x:v>HYPERLINK is not implemented. linkLocation=file:///Z:/00. Proiecte 2025/AFIR FotoVoltaic 1/0.1. Fise Tehnice/Structura/K2/Certificate _ISO3834_ENG_TUV.pdf, friendlyName=Deschide sursa</x:v>
      </x:c>
    </x:row>
    <x:row r="182" ht="36" customHeight="1">
      <x:c r="A182" s="8" t="str">
        <x:v>F0315</x:v>
      </x:c>
      <x:c r="B182" s="8" t="str">
        <x:v>Certificate _ISO9001_ENG_Q&amp;R.pdf</x:v>
      </x:c>
      <x:c r="C182" s="8" t="str">
        <x:v>Implementare / documente suport</x:v>
      </x:c>
      <x:c r="D182" s="12" t="str"/>
      <x:c r="E182" s="11" t="str"/>
      <x:c r="F182" s="12" t="str"/>
      <x:c r="G182" s="11" t="str"/>
      <x:c r="H182" s="8" t="str"/>
      <x:c r="I182" s="8" t="str">
        <x:v>Document local; transmiterea individuală neconfirmată</x:v>
      </x:c>
      <x:c r="J182" s="8" t="str"/>
      <x:c r="K182" s="8" t="str">
        <x:v>Text extras; numerele din referințe sunt în coloana separată</x:v>
      </x:c>
      <x:c r="L182" s="8" t="e">
        <x:f>HYPERLINK("file:///Z:/00. Proiecte 2025/AFIR FotoVoltaic 1/0.1. Fise Tehnice/Structura/K2/Certificate _ISO9001_ENG_Q&amp;R.pdf","Deschide sursa")</x:f>
        <x:v>HYPERLINK is not implemented. linkLocation=file:///Z:/00. Proiecte 2025/AFIR FotoVoltaic 1/0.1. Fise Tehnice/Structura/K2/Certificate _ISO9001_ENG_Q&amp;R.pdf, friendlyName=Deschide sursa</x:v>
      </x:c>
    </x:row>
    <x:row r="183" ht="36" customHeight="1">
      <x:c r="A183" s="8" t="str">
        <x:v>F0316</x:v>
      </x:c>
      <x:c r="B183" s="8" t="str">
        <x:v>Certificate_ISO14001_ENG_Q&amp;R.pdf</x:v>
      </x:c>
      <x:c r="C183" s="8" t="str">
        <x:v>Implementare / documente suport</x:v>
      </x:c>
      <x:c r="D183" s="12" t="str"/>
      <x:c r="E183" s="11" t="str"/>
      <x:c r="F183" s="12" t="str"/>
      <x:c r="G183" s="11" t="str"/>
      <x:c r="H183" s="8" t="str"/>
      <x:c r="I183" s="8" t="str">
        <x:v>Document local; transmiterea individuală neconfirmată</x:v>
      </x:c>
      <x:c r="J183" s="8" t="str"/>
      <x:c r="K183" s="8" t="str">
        <x:v>Text extras; numerele din referințe sunt în coloana separată</x:v>
      </x:c>
      <x:c r="L183" s="8" t="e">
        <x:f>HYPERLINK("file:///Z:/00. Proiecte 2025/AFIR FotoVoltaic 1/0.1. Fise Tehnice/Structura/K2/Certificate_ISO14001_ENG_Q&amp;R.pdf","Deschide sursa")</x:f>
        <x:v>HYPERLINK is not implemented. linkLocation=file:///Z:/00. Proiecte 2025/AFIR FotoVoltaic 1/0.1. Fise Tehnice/Structura/K2/Certificate_ISO14001_ENG_Q&amp;R.pdf, friendlyName=Deschide sursa</x:v>
      </x:c>
    </x:row>
    <x:row r="184" ht="36" customHeight="1">
      <x:c r="A184" s="8" t="str">
        <x:v>F0317</x:v>
      </x:c>
      <x:c r="B184" s="8" t="str">
        <x:v>Corab System FLEXI Datasheet EN.pdf</x:v>
      </x:c>
      <x:c r="C184" s="8" t="str">
        <x:v>Implementare / documente suport</x:v>
      </x:c>
      <x:c r="D184" s="12" t="str"/>
      <x:c r="E184" s="11" t="str"/>
      <x:c r="F184" s="12" t="str"/>
      <x:c r="G184" s="11" t="str"/>
      <x:c r="H184" s="8" t="str"/>
      <x:c r="I184" s="8" t="str">
        <x:v>Document local; transmiterea individuală neconfirmată</x:v>
      </x:c>
      <x:c r="J184" s="8" t="str"/>
      <x:c r="K184" s="8" t="str">
        <x:v>Text extras; numerele din referințe sunt în coloana separată</x:v>
      </x:c>
      <x:c r="L184" s="8" t="e">
        <x:f>HYPERLINK("file:///Z:/00. Proiecte 2025/AFIR FotoVoltaic 1/0.1. Fise Tehnice/Structura/K2/Corab System FLEXI Datasheet EN.pdf","Deschide sursa")</x:f>
        <x:v>HYPERLINK is not implemented. linkLocation=file:///Z:/00. Proiecte 2025/AFIR FotoVoltaic 1/0.1. Fise Tehnice/Structura/K2/Corab System FLEXI Datasheet EN.pdf, friendlyName=Deschide sursa</x:v>
      </x:c>
    </x:row>
    <x:row r="185" ht="36" customHeight="1">
      <x:c r="A185" s="8" t="str">
        <x:v>F0318</x:v>
      </x:c>
      <x:c r="B185" s="8" t="str">
        <x:v>Corab System PB-098 Instrukcja Manual pl en.pdf</x:v>
      </x:c>
      <x:c r="C185" s="8" t="str">
        <x:v>Implementare / documente suport</x:v>
      </x:c>
      <x:c r="D185" s="12" t="str"/>
      <x:c r="E185" s="11" t="str"/>
      <x:c r="F185" s="12" t="str"/>
      <x:c r="G185" s="11" t="str"/>
      <x:c r="H185" s="8" t="str"/>
      <x:c r="I185" s="8" t="str">
        <x:v>Document local; transmiterea individuală neconfirmată</x:v>
      </x:c>
      <x:c r="J185" s="8" t="str">
        <x:v>Nr / No.: INS 001/0002.0017.0000/2024/003</x:v>
      </x:c>
      <x:c r="K185" s="8" t="str">
        <x:v>Text extras; numerele din referințe sunt în coloana separată</x:v>
      </x:c>
      <x:c r="L185" s="8" t="e">
        <x:f>HYPERLINK("file:///Z:/00. Proiecte 2025/AFIR FotoVoltaic 1/0.1. Fise Tehnice/Structura/K2/Corab System PB-098 Instrukcja Manual pl en.pdf","Deschide sursa")</x:f>
        <x:v>HYPERLINK is not implemented. linkLocation=file:///Z:/00. Proiecte 2025/AFIR FotoVoltaic 1/0.1. Fise Tehnice/Structura/K2/Corab System PB-098 Instrukcja Manual pl en.pdf, friendlyName=Deschide sursa</x:v>
      </x:c>
    </x:row>
    <x:row r="186" ht="36" customHeight="1">
      <x:c r="A186" s="8" t="str">
        <x:v>F0319</x:v>
      </x:c>
      <x:c r="B186" s="8" t="str">
        <x:v>Declaration of Performance - Corab Constructions EN.pdf</x:v>
      </x:c>
      <x:c r="C186" s="8" t="str">
        <x:v>Implementare / documente suport</x:v>
      </x:c>
      <x:c r="D186" s="12" t="str"/>
      <x:c r="E186" s="11" t="str"/>
      <x:c r="F186" s="12" t="str"/>
      <x:c r="G186" s="11" t="str"/>
      <x:c r="H186" s="8" t="str"/>
      <x:c r="I186" s="8" t="str">
        <x:v>Document local; transmiterea individuală neconfirmată</x:v>
      </x:c>
      <x:c r="J186" s="8" t="str"/>
      <x:c r="K186" s="8" t="str">
        <x:v>Text extras; numerele din referințe sunt în coloana separată</x:v>
      </x:c>
      <x:c r="L186" s="8" t="e">
        <x:f>HYPERLINK("file:///Z:/00. Proiecte 2025/AFIR FotoVoltaic 1/0.1. Fise Tehnice/Structura/K2/Declaration of Performance - Corab Constructions EN.pdf","Deschide sursa")</x:f>
        <x:v>HYPERLINK is not implemented. linkLocation=file:///Z:/00. Proiecte 2025/AFIR FotoVoltaic 1/0.1. Fise Tehnice/Structura/K2/Declaration of Performance - Corab Constructions EN.pdf, friendlyName=Deschide sursa</x:v>
      </x:c>
    </x:row>
    <x:row r="187" ht="36" customHeight="1">
      <x:c r="A187" s="8" t="str">
        <x:v>F0320</x:v>
      </x:c>
      <x:c r="B187" s="8" t="str">
        <x:v>Oferta CEF 1mW_pr. Cesiro_Suntree_27.02.2026_final.xlsx</x:v>
      </x:c>
      <x:c r="C187" s="8" t="str">
        <x:v>Implementare / documente suport</x:v>
      </x:c>
      <x:c r="D187" s="12" t="str"/>
      <x:c r="E187" s="11" t="str"/>
      <x:c r="F187" s="12" t="str"/>
      <x:c r="G187" s="11" t="str"/>
      <x:c r="H187" s="8" t="str"/>
      <x:c r="I187" s="8" t="str">
        <x:v>Document local; transmiterea individuală neconfirmată</x:v>
      </x:c>
      <x:c r="J187" s="8" t="str"/>
      <x:c r="K187" s="8" t="str">
        <x:v>Necesită citire vizuală / OCR / formular XFA</x:v>
      </x:c>
      <x:c r="L187" s="8" t="e">
        <x:f>HYPERLINK("file:///Z:/00. Proiecte 2025/AFIR FotoVoltaic 1/0.1. Fise Tehnice/Structura/Promelek/Oferta CEF 1mW_pr. Cesiro_Suntree_27.02.2026_final.xlsx","Deschide sursa")</x:f>
        <x:v>HYPERLINK is not implemented. linkLocation=file:///Z:/00. Proiecte 2025/AFIR FotoVoltaic 1/0.1. Fise Tehnice/Structura/Promelek/Oferta CEF 1mW_pr. Cesiro_Suntree_27.02.2026_final.xlsx, friendlyName=Deschide sursa</x:v>
      </x:c>
    </x:row>
    <x:row r="188" ht="36" customHeight="1">
      <x:c r="A188" s="8" t="str">
        <x:v>F0321</x:v>
      </x:c>
      <x:c r="B188" s="8" t="str">
        <x:v>f_260312_062208.pdf</x:v>
      </x:c>
      <x:c r="C188" s="8" t="str">
        <x:v>Implementare / documente suport</x:v>
      </x:c>
      <x:c r="D188" s="12" t="str"/>
      <x:c r="E188" s="11" t="str"/>
      <x:c r="F188" s="12" t="str"/>
      <x:c r="G188" s="11" t="str"/>
      <x:c r="H188" s="8" t="str"/>
      <x:c r="I188" s="8" t="str">
        <x:v>Document local; transmiterea individuală neconfirmată</x:v>
      </x:c>
      <x:c r="J188" s="8" t="str">
        <x:v>Nr. 11.03.2026Data 45842/2813104REF:</x:v>
      </x:c>
      <x:c r="K188" s="8" t="str">
        <x:v>Text extras; numerele din referințe sunt în coloana separată</x:v>
      </x:c>
      <x:c r="L188" s="8" t="e">
        <x:f>HYPERLINK("file:///Z:/00. Proiecte 2025/AFIR FotoVoltaic 1/0.1. Fise Tehnice/Structura/RomStal/f_260312_062208.pdf","Deschide sursa")</x:f>
        <x:v>HYPERLINK is not implemented. linkLocation=file:///Z:/00. Proiecte 2025/AFIR FotoVoltaic 1/0.1. Fise Tehnice/Structura/RomStal/f_260312_062208.pdf, friendlyName=Deschide sursa</x:v>
      </x:c>
    </x:row>
    <x:row r="189" ht="36" customHeight="1">
      <x:c r="A189" s="8" t="str">
        <x:v>F0322</x:v>
      </x:c>
      <x:c r="B189" s="8" t="str">
        <x:v>Romstal.xlsx</x:v>
      </x:c>
      <x:c r="C189" s="8" t="str">
        <x:v>Implementare / documente suport</x:v>
      </x:c>
      <x:c r="D189" s="12" t="str"/>
      <x:c r="E189" s="11" t="str"/>
      <x:c r="F189" s="12" t="str"/>
      <x:c r="G189" s="11" t="str"/>
      <x:c r="H189" s="8" t="str"/>
      <x:c r="I189" s="8" t="str">
        <x:v>Document local; transmiterea individuală neconfirmată</x:v>
      </x:c>
      <x:c r="J189" s="8" t="str"/>
      <x:c r="K189" s="8" t="str">
        <x:v>Necesită citire vizuală / OCR / formular XFA</x:v>
      </x:c>
      <x:c r="L189" s="8" t="e">
        <x:f>HYPERLINK("file:///Z:/00. Proiecte 2025/AFIR FotoVoltaic 1/0.1. Fise Tehnice/Structura/RomStal/Romstal.xlsx","Deschide sursa")</x:f>
        <x:v>HYPERLINK is not implemented. linkLocation=file:///Z:/00. Proiecte 2025/AFIR FotoVoltaic 1/0.1. Fise Tehnice/Structura/RomStal/Romstal.xlsx, friendlyName=Deschide sursa</x:v>
      </x:c>
    </x:row>
    <x:row r="190" ht="36" customHeight="1">
      <x:c r="A190" s="8" t="str">
        <x:v>F0323</x:v>
      </x:c>
      <x:c r="B190" s="8" t="str">
        <x:v>SOLARGROUP Suporti Panouri..pdf</x:v>
      </x:c>
      <x:c r="C190" s="8" t="str">
        <x:v>Implementare / documente suport</x:v>
      </x:c>
      <x:c r="D190" s="12" t="str"/>
      <x:c r="E190" s="11" t="str"/>
      <x:c r="F190" s="12" t="str"/>
      <x:c r="G190" s="11" t="str"/>
      <x:c r="H190" s="8" t="str"/>
      <x:c r="I190" s="8" t="str">
        <x:v>Document local; transmiterea individuală neconfirmată</x:v>
      </x:c>
      <x:c r="J190" s="8" t="str">
        <x:v>nr. 5C jud. BIHOR
NR.14, jud. AB</x:v>
      </x:c>
      <x:c r="K190" s="8" t="str">
        <x:v>Text extras; numerele din referințe sunt în coloana separată</x:v>
      </x:c>
      <x:c r="L190" s="8" t="e">
        <x:f>HYPERLINK("file:///Z:/00. Proiecte 2025/AFIR FotoVoltaic 1/0.1. Fise Tehnice/Structura/RomStal/SOLARGROUP Suporti Panouri..pdf","Deschide sursa")</x:f>
        <x:v>HYPERLINK is not implemented. linkLocation=file:///Z:/00. Proiecte 2025/AFIR FotoVoltaic 1/0.1. Fise Tehnice/Structura/RomStal/SOLARGROUP Suporti Panouri..pdf, friendlyName=Deschide sursa</x:v>
      </x:c>
    </x:row>
    <x:row r="191" ht="36" customHeight="1">
      <x:c r="A191" s="8" t="str">
        <x:v>F0324</x:v>
      </x:c>
      <x:c r="B191" s="8" t="str">
        <x:v>SOLARGROUP Suporti Panouri..xlsx</x:v>
      </x:c>
      <x:c r="C191" s="8" t="str">
        <x:v>Implementare / documente suport</x:v>
      </x:c>
      <x:c r="D191" s="12" t="str"/>
      <x:c r="E191" s="11" t="str"/>
      <x:c r="F191" s="12" t="str"/>
      <x:c r="G191" s="11" t="str"/>
      <x:c r="H191" s="8" t="str"/>
      <x:c r="I191" s="8" t="str">
        <x:v>Document local; transmiterea individuală neconfirmată</x:v>
      </x:c>
      <x:c r="J191" s="8" t="str"/>
      <x:c r="K191" s="8" t="str">
        <x:v>Necesită citire vizuală / OCR / formular XFA</x:v>
      </x:c>
      <x:c r="L191" s="8" t="e">
        <x:f>HYPERLINK("file:///Z:/00. Proiecte 2025/AFIR FotoVoltaic 1/0.1. Fise Tehnice/Structura/RomStal/SOLARGROUP Suporti Panouri..xlsx","Deschide sursa")</x:f>
        <x:v>HYPERLINK is not implemented. linkLocation=file:///Z:/00. Proiecte 2025/AFIR FotoVoltaic 1/0.1. Fise Tehnice/Structura/RomStal/SOLARGROUP Suporti Panouri..xlsx, friendlyName=Deschide sursa</x:v>
      </x:c>
    </x:row>
    <x:row r="192" ht="36" customHeight="1">
      <x:c r="A192" s="8" t="str">
        <x:v>F0325</x:v>
      </x:c>
      <x:c r="B192" s="8" t="str">
        <x:v>02 Suntech Deutschland Gmbh PO Neets Fotoshooting 500W.pdf</x:v>
      </x:c>
      <x:c r="C192" s="8" t="str">
        <x:v>Implementare / documente suport</x:v>
      </x:c>
      <x:c r="D192" s="12" t="str"/>
      <x:c r="E192" s="11" t="str"/>
      <x:c r="F192" s="12" t="str"/>
      <x:c r="G192" s="11" t="str"/>
      <x:c r="H192" s="8" t="str"/>
      <x:c r="I192" s="8" t="str">
        <x:v>Document local; transmiterea individuală neconfirmată</x:v>
      </x:c>
      <x:c r="J192" s="8" t="str">
        <x:v>nr. 3B, ap.10</x:v>
      </x:c>
      <x:c r="K192" s="8" t="str">
        <x:v>Text extras; numerele din referințe sunt în coloana separată</x:v>
      </x:c>
      <x:c r="L192" s="8" t="e">
        <x:f>HYPERLINK("file:///Z:/00. Proiecte 2025/AFIR FotoVoltaic 1/0.1. Fise Tehnice/Structura/SUNTECH/02 Suntech Deutschland Gmbh PO Neets Fotoshooting 500W.pdf","Deschide sursa")</x:f>
        <x:v>HYPERLINK is not implemented. linkLocation=file:///Z:/00. Proiecte 2025/AFIR FotoVoltaic 1/0.1. Fise Tehnice/Structura/SUNTECH/02 Suntech Deutschland Gmbh PO Neets Fotoshooting 500W.pdf, friendlyName=Deschide sursa</x:v>
      </x:c>
    </x:row>
    <x:row r="193" ht="36" customHeight="1">
      <x:c r="A193" s="8" t="str">
        <x:v>F0326</x:v>
      </x:c>
      <x:c r="B193" s="8" t="str">
        <x:v>2025-Special-for-Global-Market-EN.pdf</x:v>
      </x:c>
      <x:c r="C193" s="8" t="str">
        <x:v>Implementare / documente suport</x:v>
      </x:c>
      <x:c r="D193" s="12" t="str"/>
      <x:c r="E193" s="11" t="str"/>
      <x:c r="F193" s="12" t="str"/>
      <x:c r="G193" s="11" t="str"/>
      <x:c r="H193" s="8" t="str"/>
      <x:c r="I193" s="8" t="str">
        <x:v>Document local; transmiterea individuală neconfirmată</x:v>
      </x:c>
      <x:c r="J193" s="8" t="str"/>
      <x:c r="K193" s="8" t="str">
        <x:v>Text extras; numerele din referințe sunt în coloana separată</x:v>
      </x:c>
      <x:c r="L193" s="8" t="e">
        <x:f>HYPERLINK("file:///Z:/00. Proiecte 2025/AFIR FotoVoltaic 1/0.1. Fise Tehnice/Structura/SUNTECH/2025-Special-for-Global-Market-EN.pdf","Deschide sursa")</x:f>
        <x:v>HYPERLINK is not implemented. linkLocation=file:///Z:/00. Proiecte 2025/AFIR FotoVoltaic 1/0.1. Fise Tehnice/Structura/SUNTECH/2025-Special-for-Global-Market-EN.pdf, friendlyName=Deschide sursa</x:v>
      </x:c>
    </x:row>
    <x:row r="194" ht="36" customHeight="1">
      <x:c r="A194" s="8" t="str">
        <x:v>F0327</x:v>
      </x:c>
      <x:c r="B194" s="8" t="str">
        <x:v>Installation-Manual_GLOBAL.pdf</x:v>
      </x:c>
      <x:c r="C194" s="8" t="str">
        <x:v>Implementare / documente suport</x:v>
      </x:c>
      <x:c r="D194" s="12" t="str"/>
      <x:c r="E194" s="11" t="str"/>
      <x:c r="F194" s="12" t="str"/>
      <x:c r="G194" s="11" t="str"/>
      <x:c r="H194" s="8" t="str"/>
      <x:c r="I194" s="8" t="str">
        <x:v>Document local; transmiterea individuală neconfirmată</x:v>
      </x:c>
      <x:c r="J194" s="8" t="str"/>
      <x:c r="K194" s="8" t="str">
        <x:v>Text extras; numerele din referințe sunt în coloana separată</x:v>
      </x:c>
      <x:c r="L194" s="8" t="e">
        <x:f>HYPERLINK("file:///Z:/00. Proiecte 2025/AFIR FotoVoltaic 1/0.1. Fise Tehnice/Structura/SUNTECH/Installation-Manual_GLOBAL.pdf","Deschide sursa")</x:f>
        <x:v>HYPERLINK is not implemented. linkLocation=file:///Z:/00. Proiecte 2025/AFIR FotoVoltaic 1/0.1. Fise Tehnice/Structura/SUNTECH/Installation-Manual_GLOBAL.pdf, friendlyName=Deschide sursa</x:v>
      </x:c>
    </x:row>
    <x:row r="195" ht="36" customHeight="1">
      <x:c r="A195" s="8" t="str">
        <x:v>F0328</x:v>
      </x:c>
      <x:c r="B195" s="8" t="str">
        <x:v>PI_NTFS2601-1.pdf</x:v>
      </x:c>
      <x:c r="C195" s="8" t="str">
        <x:v>Implementare / documente suport</x:v>
      </x:c>
      <x:c r="D195" s="12" t="str"/>
      <x:c r="E195" s="11" t="str"/>
      <x:c r="F195" s="12" t="str"/>
      <x:c r="G195" s="11" t="str"/>
      <x:c r="H195" s="8" t="str"/>
      <x:c r="I195" s="8" t="str">
        <x:v>Document local; transmiterea individuală neconfirmată</x:v>
      </x:c>
      <x:c r="J195" s="8" t="str">
        <x:v>nr. 3B, ap.10 Invoice No : NTFS2601-1</x:v>
      </x:c>
      <x:c r="K195" s="8" t="str">
        <x:v>Text extras; numerele din referințe sunt în coloana separată</x:v>
      </x:c>
      <x:c r="L195" s="8" t="e">
        <x:f>HYPERLINK("file:///Z:/00. Proiecte 2025/AFIR FotoVoltaic 1/0.1. Fise Tehnice/Structura/SUNTECH/PI_NTFS2601-1.pdf","Deschide sursa")</x:f>
        <x:v>HYPERLINK is not implemented. linkLocation=file:///Z:/00. Proiecte 2025/AFIR FotoVoltaic 1/0.1. Fise Tehnice/Structura/SUNTECH/PI_NTFS2601-1.pdf, friendlyName=Deschide sursa</x:v>
      </x:c>
    </x:row>
    <x:row r="196" ht="36" customHeight="1">
      <x:c r="A196" s="8" t="str">
        <x:v>F0329</x:v>
      </x:c>
      <x:c r="B196" s="8" t="str">
        <x:v>PI_NTFS2601-2.pdf</x:v>
      </x:c>
      <x:c r="C196" s="8" t="str">
        <x:v>Implementare / documente suport</x:v>
      </x:c>
      <x:c r="D196" s="12" t="str"/>
      <x:c r="E196" s="11" t="str"/>
      <x:c r="F196" s="12" t="str"/>
      <x:c r="G196" s="11" t="str"/>
      <x:c r="H196" s="8" t="str"/>
      <x:c r="I196" s="8" t="str">
        <x:v>Document local; transmiterea individuală neconfirmată</x:v>
      </x:c>
      <x:c r="J196" s="8" t="str">
        <x:v>nr. 3B, ap.10 Invoice No : NTFS2601-2</x:v>
      </x:c>
      <x:c r="K196" s="8" t="str">
        <x:v>Text extras; numerele din referințe sunt în coloana separată</x:v>
      </x:c>
      <x:c r="L196" s="8" t="e">
        <x:f>HYPERLINK("file:///Z:/00. Proiecte 2025/AFIR FotoVoltaic 1/0.1. Fise Tehnice/Structura/SUNTECH/PI_NTFS2601-2.pdf","Deschide sursa")</x:f>
        <x:v>HYPERLINK is not implemented. linkLocation=file:///Z:/00. Proiecte 2025/AFIR FotoVoltaic 1/0.1. Fise Tehnice/Structura/SUNTECH/PI_NTFS2601-2.pdf, friendlyName=Deschide sursa</x:v>
      </x:c>
    </x:row>
    <x:row r="197" ht="36" customHeight="1">
      <x:c r="A197" s="8" t="str">
        <x:v>F0330</x:v>
      </x:c>
      <x:c r="B197" s="8" t="str">
        <x:v>PI_NTFS2601-3.pdf</x:v>
      </x:c>
      <x:c r="C197" s="8" t="str">
        <x:v>Implementare / documente suport</x:v>
      </x:c>
      <x:c r="D197" s="12" t="str"/>
      <x:c r="E197" s="11" t="str"/>
      <x:c r="F197" s="12" t="str"/>
      <x:c r="G197" s="11" t="str"/>
      <x:c r="H197" s="8" t="str"/>
      <x:c r="I197" s="8" t="str">
        <x:v>Document local; transmiterea individuală neconfirmată</x:v>
      </x:c>
      <x:c r="J197" s="8" t="str">
        <x:v>nr. 3B, ap.10 Invoice No : NTFS2601-3</x:v>
      </x:c>
      <x:c r="K197" s="8" t="str">
        <x:v>Text extras; numerele din referințe sunt în coloana separată</x:v>
      </x:c>
      <x:c r="L197" s="8" t="e">
        <x:f>HYPERLINK("file:///Z:/00. Proiecte 2025/AFIR FotoVoltaic 1/0.1. Fise Tehnice/Structura/SUNTECH/PI_NTFS2601-3.pdf","Deschide sursa")</x:f>
        <x:v>HYPERLINK is not implemented. linkLocation=file:///Z:/00. Proiecte 2025/AFIR FotoVoltaic 1/0.1. Fise Tehnice/Structura/SUNTECH/PI_NTFS2601-3.pdf, friendlyName=Deschide sursa</x:v>
      </x:c>
    </x:row>
    <x:row r="198" ht="36" customHeight="1">
      <x:c r="A198" s="8" t="str">
        <x:v>F0331</x:v>
      </x:c>
      <x:c r="B198" s="8" t="str">
        <x:v>PI_NTFS2602.pdf</x:v>
      </x:c>
      <x:c r="C198" s="8" t="str">
        <x:v>Implementare / documente suport</x:v>
      </x:c>
      <x:c r="D198" s="12" t="str"/>
      <x:c r="E198" s="11" t="str"/>
      <x:c r="F198" s="12" t="str"/>
      <x:c r="G198" s="11" t="str"/>
      <x:c r="H198" s="8" t="str"/>
      <x:c r="I198" s="8" t="str">
        <x:v>Document local; transmiterea individuală neconfirmată</x:v>
      </x:c>
      <x:c r="J198" s="8" t="str">
        <x:v>nr. 3B, ap.10 Invoice No : NTFS2602</x:v>
      </x:c>
      <x:c r="K198" s="8" t="str">
        <x:v>Text extras; numerele din referințe sunt în coloana separată</x:v>
      </x:c>
      <x:c r="L198" s="8" t="e">
        <x:f>HYPERLINK("file:///Z:/00. Proiecte 2025/AFIR FotoVoltaic 1/0.1. Fise Tehnice/Structura/SUNTECH/PI_NTFS2602.pdf","Deschide sursa")</x:f>
        <x:v>HYPERLINK is not implemented. linkLocation=file:///Z:/00. Proiecte 2025/AFIR FotoVoltaic 1/0.1. Fise Tehnice/Structura/SUNTECH/PI_NTFS2602.pdf, friendlyName=Deschide sursa</x:v>
      </x:c>
    </x:row>
    <x:row r="199" ht="36" customHeight="1">
      <x:c r="A199" s="8" t="str">
        <x:v>F0332</x:v>
      </x:c>
      <x:c r="B199" s="8" t="str">
        <x:v>STP435-455S-H48-Nth+.pdf</x:v>
      </x:c>
      <x:c r="C199" s="8" t="str">
        <x:v>Implementare / documente suport</x:v>
      </x:c>
      <x:c r="D199" s="12" t="str"/>
      <x:c r="E199" s="11" t="str"/>
      <x:c r="F199" s="12" t="str"/>
      <x:c r="G199" s="11" t="str"/>
      <x:c r="H199" s="8" t="str"/>
      <x:c r="I199" s="8" t="str">
        <x:v>Document local; transmiterea individuală neconfirmată</x:v>
      </x:c>
      <x:c r="J199" s="8" t="str"/>
      <x:c r="K199" s="8" t="str">
        <x:v>Text extras; numerele din referințe sunt în coloana separată</x:v>
      </x:c>
      <x:c r="L199" s="8" t="e">
        <x:f>HYPERLINK("file:///Z:/00. Proiecte 2025/AFIR FotoVoltaic 1/0.1. Fise Tehnice/Structura/SUNTECH/STP435-455S-H48-Nth+.pdf","Deschide sursa")</x:f>
        <x:v>HYPERLINK is not implemented. linkLocation=file:///Z:/00. Proiecte 2025/AFIR FotoVoltaic 1/0.1. Fise Tehnice/Structura/SUNTECH/STP435-455S-H48-Nth+.pdf, friendlyName=Deschide sursa</x:v>
      </x:c>
    </x:row>
    <x:row r="200" ht="36" customHeight="1">
      <x:c r="A200" s="8" t="str">
        <x:v>F0333</x:v>
      </x:c>
      <x:c r="B200" s="8" t="str">
        <x:v>STP440-460S-H48-Nkh+.pdf</x:v>
      </x:c>
      <x:c r="C200" s="8" t="str">
        <x:v>Implementare / documente suport</x:v>
      </x:c>
      <x:c r="D200" s="12" t="str"/>
      <x:c r="E200" s="11" t="str"/>
      <x:c r="F200" s="12" t="str"/>
      <x:c r="G200" s="11" t="str"/>
      <x:c r="H200" s="8" t="str"/>
      <x:c r="I200" s="8" t="str">
        <x:v>Document local; transmiterea individuală neconfirmată</x:v>
      </x:c>
      <x:c r="J200" s="8" t="str"/>
      <x:c r="K200" s="8" t="str">
        <x:v>Text extras; numerele din referințe sunt în coloana separată</x:v>
      </x:c>
      <x:c r="L200" s="8" t="e">
        <x:f>HYPERLINK("file:///Z:/00. Proiecte 2025/AFIR FotoVoltaic 1/0.1. Fise Tehnice/Structura/SUNTECH/STP440-460S-H48-Nkh+.pdf","Deschide sursa")</x:f>
        <x:v>HYPERLINK is not implemented. linkLocation=file:///Z:/00. Proiecte 2025/AFIR FotoVoltaic 1/0.1. Fise Tehnice/Structura/SUNTECH/STP440-460S-H48-Nkh+.pdf, friendlyName=Deschide sursa</x:v>
      </x:c>
    </x:row>
    <x:row r="201" ht="36" customHeight="1">
      <x:c r="A201" s="8" t="str">
        <x:v>F0334</x:v>
      </x:c>
      <x:c r="B201" s="8" t="str">
        <x:v>STP495-515S-H54-Nfb+_N2.0_F3.0_EN.pdf</x:v>
      </x:c>
      <x:c r="C201" s="8" t="str">
        <x:v>Implementare / documente suport</x:v>
      </x:c>
      <x:c r="D201" s="12" t="str"/>
      <x:c r="E201" s="11" t="str"/>
      <x:c r="F201" s="12" t="str"/>
      <x:c r="G201" s="11" t="str"/>
      <x:c r="H201" s="8" t="str"/>
      <x:c r="I201" s="8" t="str">
        <x:v>Document local; transmiterea individuală neconfirmată</x:v>
      </x:c>
      <x:c r="J201" s="8" t="str"/>
      <x:c r="K201" s="8" t="str">
        <x:v>Text extras; numerele din referințe sunt în coloana separată</x:v>
      </x:c>
      <x:c r="L201" s="8" t="e">
        <x:f>HYPERLINK("file:///Z:/00. Proiecte 2025/AFIR FotoVoltaic 1/0.1. Fise Tehnice/Structura/SUNTECH/STP495-515S-H54-Nfb+_N2.0_F3.0_EN.pdf","Deschide sursa")</x:f>
        <x:v>HYPERLINK is not implemented. linkLocation=file:///Z:/00. Proiecte 2025/AFIR FotoVoltaic 1/0.1. Fise Tehnice/Structura/SUNTECH/STP495-515S-H54-Nfb+_N2.0_F3.0_EN.pdf, friendlyName=Deschide sursa</x:v>
      </x:c>
    </x:row>
    <x:row r="202" ht="36" customHeight="1">
      <x:c r="A202" s="8" t="str">
        <x:v>F0335</x:v>
      </x:c>
      <x:c r="B202" s="8" t="str">
        <x:v>STP700-720S-D66-Nsh+.pdf</x:v>
      </x:c>
      <x:c r="C202" s="8" t="str">
        <x:v>Implementare / documente suport</x:v>
      </x:c>
      <x:c r="D202" s="12" t="str"/>
      <x:c r="E202" s="11" t="str"/>
      <x:c r="F202" s="12" t="str"/>
      <x:c r="G202" s="11" t="str"/>
      <x:c r="H202" s="8" t="str"/>
      <x:c r="I202" s="8" t="str">
        <x:v>Document local; transmiterea individuală neconfirmată</x:v>
      </x:c>
      <x:c r="J202" s="8" t="str"/>
      <x:c r="K202" s="8" t="str">
        <x:v>Text extras; numerele din referințe sunt în coloana separată</x:v>
      </x:c>
      <x:c r="L202" s="8" t="e">
        <x:f>HYPERLINK("file:///Z:/00. Proiecte 2025/AFIR FotoVoltaic 1/0.1. Fise Tehnice/Structura/SUNTECH/STP700-720S-D66-Nsh+.pdf","Deschide sursa")</x:f>
        <x:v>HYPERLINK is not implemented. linkLocation=file:///Z:/00. Proiecte 2025/AFIR FotoVoltaic 1/0.1. Fise Tehnice/Structura/SUNTECH/STP700-720S-D66-Nsh+.pdf, friendlyName=Deschide sursa</x:v>
      </x:c>
    </x:row>
    <x:row r="203" ht="36" customHeight="1">
      <x:c r="A203" s="8" t="str">
        <x:v>F0336</x:v>
      </x:c>
      <x:c r="B203" s="8" t="str">
        <x:v>Duoke核桃设备报价（一小时300kg）.pdf</x:v>
      </x:c>
      <x:c r="C203" s="8" t="str">
        <x:v>Implementare / documente suport</x:v>
      </x:c>
      <x:c r="D203" s="12" t="str"/>
      <x:c r="E203" s="11" t="str"/>
      <x:c r="F203" s="12" t="str"/>
      <x:c r="G203" s="11" t="str"/>
      <x:c r="H203" s="8" t="str"/>
      <x:c r="I203" s="8" t="str">
        <x:v>Document local; transmiterea individuală neconfirmată</x:v>
      </x:c>
      <x:c r="J203" s="8" t="str"/>
      <x:c r="K203" s="8" t="str">
        <x:v>Text extras; numerele din referințe sunt în coloana separată</x:v>
      </x:c>
      <x:c r="L203" s="8" t="e">
        <x:f>HYPERLINK("file:///Z:/00. Proiecte 2025/AFIR FotoVoltaic 1/0.1. Fise Tehnice/WallNuts June/Furnizor 1/Duoke核桃设备报价（一小时300kg）.pdf","Deschide sursa")</x:f>
        <x:v>HYPERLINK is not implemented. linkLocation=file:///Z:/00. Proiecte 2025/AFIR FotoVoltaic 1/0.1. Fise Tehnice/WallNuts June/Furnizor 1/Duoke核桃设备报价（一小时300kg）.pdf, friendlyName=Deschide sursa</x:v>
      </x:c>
    </x:row>
    <x:row r="204" ht="36" customHeight="1">
      <x:c r="A204" s="8" t="str">
        <x:v>F0338</x:v>
      </x:c>
      <x:c r="B204" s="8" t="str">
        <x:v>Cesiro Production SRL BCR 28.000.pdf</x:v>
      </x:c>
      <x:c r="C204" s="8" t="str">
        <x:v>Contractare</x:v>
      </x:c>
      <x:c r="D204" s="12" t="str"/>
      <x:c r="E204" s="11" t="str"/>
      <x:c r="F204" s="12" t="str"/>
      <x:c r="G204" s="11" t="str"/>
      <x:c r="H204" s="8" t="str"/>
      <x:c r="I204" s="8" t="str">
        <x:v>Document local; transmiterea individuală neconfirmată</x:v>
      </x:c>
      <x:c r="J204" s="8" t="str"/>
      <x:c r="K204" s="8" t="str">
        <x:v>Text extras; numerele din referințe sunt în coloana separată</x:v>
      </x:c>
      <x:c r="L204" s="8" t="e">
        <x:f>HYPERLINK("file:///Z:/00. Proiecte 2025/AFIR FotoVoltaic 1/10. Contractare/1. Documente solicitate pentru contractare/Cesiro Production SRL BCR 28.000.pdf","Deschide sursa")</x:f>
        <x:v>HYPERLINK is not implemented. linkLocation=file:///Z:/00. Proiecte 2025/AFIR FotoVoltaic 1/10. Contractare/1. Documente solicitate pentru contractare/Cesiro Production SRL BCR 28.000.pdf, friendlyName=Deschide sursa</x:v>
      </x:c>
    </x:row>
    <x:row r="205" ht="50" customHeight="1">
      <x:c r="A205" s="8" t="str">
        <x:v>F0339</x:v>
      </x:c>
      <x:c r="B205" s="8" t="str">
        <x:v>HOT CESIRO PRODUCTION - ob act 12.02.2024 ONRC .docx</x:v>
      </x:c>
      <x:c r="C205" s="8" t="str">
        <x:v>Contractare</x:v>
      </x:c>
      <x:c r="D205" s="12" t="str"/>
      <x:c r="E205" s="11" t="str"/>
      <x:c r="F205" s="12" t="str"/>
      <x:c r="G205" s="11" t="str"/>
      <x:c r="H205" s="8" t="str"/>
      <x:c r="I205" s="8" t="str">
        <x:v>Document local; transmiterea individuală neconfirmată</x:v>
      </x:c>
      <x:c r="J205" s="8" t="str">
        <x:v>NR. 2/17.12.2024
nr. J1/685/2017, CUI 37705493 reprezentată de Covaciu Cosmin Adrian, cetățean român, născut la data de 19.10.1972 în mun. Alba Iulia, jud. Alba, în conformitate cu</x:v>
      </x:c>
      <x:c r="K205" s="8" t="str">
        <x:v>Text extras; numerele din referințe sunt în coloana separată</x:v>
      </x:c>
      <x:c r="L205" s="8" t="e">
        <x:f>HYPERLINK("file:///Z:/00. Proiecte 2025/AFIR FotoVoltaic 1/10. Contractare/1. Documente solicitate pentru contractare/HOT CESIRO PRODUCTION - ob act 12.02.2024 ONRC .docx","Deschide sursa")</x:f>
        <x:v>HYPERLINK is not implemented. linkLocation=file:///Z:/00. Proiecte 2025/AFIR FotoVoltaic 1/10. Contractare/1. Documente solicitate pentru contractare/HOT CESIRO PRODUCTION - ob act 12.02.2024 ONRC .docx, friendlyName=Deschide sursa</x:v>
      </x:c>
    </x:row>
    <x:row r="206" ht="36" customHeight="1">
      <x:c r="A206" s="8" t="str">
        <x:v>F0340</x:v>
      </x:c>
      <x:c r="B206" s="8" t="str">
        <x:v>Lista documente contractare.xlsx</x:v>
      </x:c>
      <x:c r="C206" s="8" t="str">
        <x:v>Contractare</x:v>
      </x:c>
      <x:c r="D206" s="12" t="str"/>
      <x:c r="E206" s="11" t="str"/>
      <x:c r="F206" s="12" t="str"/>
      <x:c r="G206" s="11" t="str"/>
      <x:c r="H206" s="8" t="str"/>
      <x:c r="I206" s="8" t="str">
        <x:v>Document local; transmiterea individuală neconfirmată</x:v>
      </x:c>
      <x:c r="J206" s="8" t="str"/>
      <x:c r="K206" s="8" t="str">
        <x:v>Necesită citire vizuală / OCR / formular XFA</x:v>
      </x:c>
      <x:c r="L206" s="8" t="e">
        <x:f>HYPERLINK("file:///Z:/00. Proiecte 2025/AFIR FotoVoltaic 1/10. Contractare/1. Documente solicitate pentru contractare/Lista documente contractare.xlsx","Deschide sursa")</x:f>
        <x:v>HYPERLINK is not implemented. linkLocation=file:///Z:/00. Proiecte 2025/AFIR FotoVoltaic 1/10. Contractare/1. Documente solicitate pentru contractare/Lista documente contractare.xlsx, friendlyName=Deschide sursa</x:v>
      </x:c>
    </x:row>
    <x:row r="207" ht="64" customHeight="1">
      <x:c r="A207" s="8" t="str">
        <x:v>F0341</x:v>
      </x:c>
      <x:c r="B207" s="8" t="str">
        <x:v>NotificareSolicitant_E6_8_3_SE.pdf</x:v>
      </x:c>
      <x:c r="C207" s="8" t="str">
        <x:v>Contractare</x:v>
      </x:c>
      <x:c r="D207" s="12" t="str"/>
      <x:c r="E207" s="11" t="str"/>
      <x:c r="F207" s="12" t="str"/>
      <x:c r="G207" s="11" t="str"/>
      <x:c r="H207" s="8" t="str"/>
      <x:c r="I207" s="8" t="str">
        <x:v>Document local; transmiterea individuală neconfirmată</x:v>
      </x:c>
      <x:c r="J207" s="8" t="str">
        <x:v>nr. 43, Sector 1 ; Tel: 0728.107.516, Tel.: 031 – 860.27.47
Nr. de înregistrare: 1263007/09.12.2024
Nr. 5, Cod postal 510040, MUNICIPIUL ALBA IULIA,
nr. 18820/ 06.12.2024, proiectul dumneavoastră nr.</x:v>
      </x:c>
      <x:c r="K207" s="8" t="str">
        <x:v>Text extras; numerele din referințe sunt în coloana separată</x:v>
      </x:c>
      <x:c r="L207" s="8" t="e">
        <x:f>HYPERLINK("file:///Z:/00. Proiecte 2025/AFIR FotoVoltaic 1/10. Contractare/1. Documente solicitate pentru contractare/NotificareSolicitant_E6_8_3_SE.pdf","Deschide sursa")</x:f>
        <x:v>HYPERLINK is not implemented. linkLocation=file:///Z:/00. Proiecte 2025/AFIR FotoVoltaic 1/10. Contractare/1. Documente solicitate pentru contractare/NotificareSolicitant_E6_8_3_SE.pdf, friendlyName=Deschide sursa</x:v>
      </x:c>
    </x:row>
    <x:row r="208" ht="288" customHeight="1">
      <x:c r="A208" s="8" t="str">
        <x:v>F0351</x:v>
      </x:c>
      <x:c r="B208" s="8" t="str">
        <x:v>Extras_Informare_3075 Carte Funciară Nr. 58300 Sighişoara Cesiro Production.pdf</x:v>
      </x:c>
      <x:c r="C208" s="8" t="str">
        <x:v>Contractare</x:v>
      </x:c>
      <x:c r="D208" s="12" t="str"/>
      <x:c r="E208" s="11" t="str"/>
      <x:c r="F208" s="12" t="str"/>
      <x:c r="G208" s="11" t="str"/>
      <x:c r="H208" s="8" t="str"/>
      <x:c r="I208" s="8" t="str">
        <x:v>Document local; transmiterea individuală neconfirmată</x:v>
      </x:c>
      <x:c r="J208" s="8" t="str">
        <x:v>Nr. 58300 Sighişoara
Nr. 96, Jud. Mureș
Nr. niveluri:2; S. construita la sol:9584 mp; C1-HALA
Nr. niveluri:1; S. construita la sol:86 mp; C2-BAZIN
Nr. niveluri:1; S. construita la sol:113 mp; C3-STATIE
Nr. niveluri:1; S. construita la sol:134 mp; C4-CENTRALA
Nr. niveluri:1; S. construita la sol:45 mp; C5-CABINA
Nr. niveluri:1; S. construita la sol:21 mp; C7-STATIE
Nr. niveluri:1; S. construita la sol:28 mp; C9-REZERVOR
Nr. niveluri:1; S. construita la sol:38 mp; C10-MAGAZIE
Nr. niveluri:1; S. construita la sol:38 mp; C11-CANTAR CU
Nr. niveluri:1; S. construita la sol:28 mp; C12-SOPRON CU
nr. 2820, din 13/11/2018 emis de Urian Marcel Cosmin;
nr. CONTRACT DE VANZARE AUT. 42, din 31/01/2024 emis de Puiu Maria Delia;
nr. ANTECONTRACT AUTENTIFICAT SUB NR. 74, din 16/02/2023 emis de PUIU MARIA-DELIA,
nr. ACT ADITIONAL NR 1 AUTENTIFICAT SUB NR. 367, din 18/07/2023 emis de
nr. act aditional nr 2 aut. sub nr. 169, din 05/04/2024 emis
Nr. 677/2001. Pagina 1 din 4
Nr. 58300 Comuna/Oraş/Municipiu: Sighişoara
nr. 1/18.07.2023, la Antecontractul de</x:v>
      </x:c>
      <x:c r="K208" s="8" t="str">
        <x:v>Text extras; numerele din referințe sunt în coloana separată</x:v>
      </x:c>
      <x:c r="L208" s="8" t="e">
        <x:f>HYPERLINK("file:///Z:/00. Proiecte 2025/AFIR FotoVoltaic 1/10. Contractare/3. SF/Extras_Informare_3075 Carte Funciară Nr. 58300 Sighişoara Cesiro Production.pdf","Deschide sursa")</x:f>
        <x:v>HYPERLINK is not implemented. linkLocation=file:///Z:/00. Proiecte 2025/AFIR FotoVoltaic 1/10. Contractare/3. SF/Extras_Informare_3075 Carte Funciară Nr. 58300 Sighişoara Cesiro Production.pdf, friendlyName=Deschide sursa</x:v>
      </x:c>
    </x:row>
    <x:row r="209" ht="36" customHeight="1">
      <x:c r="A209" s="8" t="str">
        <x:v>F0353</x:v>
      </x:c>
      <x:c r="B209" s="8" t="str">
        <x:v>Foaie semnaturi SF Cesiro Production.pdf</x:v>
      </x:c>
      <x:c r="C209" s="8" t="str">
        <x:v>Contractare</x:v>
      </x:c>
      <x:c r="D209" s="12" t="str"/>
      <x:c r="E209" s="11" t="str"/>
      <x:c r="F209" s="12" t="str"/>
      <x:c r="G209" s="11" t="str"/>
      <x:c r="H209" s="8" t="str"/>
      <x:c r="I209" s="8" t="str">
        <x:v>Document local; transmiterea individuală neconfirmată</x:v>
      </x:c>
      <x:c r="J209" s="8" t="str"/>
      <x:c r="K209" s="8" t="str">
        <x:v>Text extras; numerele din referințe sunt în coloana separată</x:v>
      </x:c>
      <x:c r="L209" s="8" t="e">
        <x:f>HYPERLINK("file:///Z:/00. Proiecte 2025/AFIR FotoVoltaic 1/10. Contractare/3. SF/Foaie semnaturi SF Cesiro Production.pdf","Deschide sursa")</x:f>
        <x:v>HYPERLINK is not implemented. linkLocation=file:///Z:/00. Proiecte 2025/AFIR FotoVoltaic 1/10. Contractare/3. SF/Foaie semnaturi SF Cesiro Production.pdf, friendlyName=Deschide sursa</x:v>
      </x:c>
    </x:row>
    <x:row r="210" ht="36" customHeight="1">
      <x:c r="A210" s="8" t="str">
        <x:v>F0354</x:v>
      </x:c>
      <x:c r="B210" s="8" t="str">
        <x:v>Proiect Fotovoltaice Cesiro-Semnat.pdf</x:v>
      </x:c>
      <x:c r="C210" s="8" t="str">
        <x:v>Contractare</x:v>
      </x:c>
      <x:c r="D210" s="12" t="str"/>
      <x:c r="E210" s="11" t="str"/>
      <x:c r="F210" s="12" t="str"/>
      <x:c r="G210" s="11" t="str"/>
      <x:c r="H210" s="8" t="str"/>
      <x:c r="I210" s="8" t="str">
        <x:v>Document local; transmiterea individuală neconfirmată</x:v>
      </x:c>
      <x:c r="J210" s="8" t="str">
        <x:v>Nr. Proiect 1/2025FAZAPT</x:v>
      </x:c>
      <x:c r="K210" s="8" t="str">
        <x:v>Text extras; numerele din referințe sunt în coloana separată</x:v>
      </x:c>
      <x:c r="L210" s="8" t="e">
        <x:f>HYPERLINK("file:///Z:/00. Proiecte 2025/AFIR FotoVoltaic 1/10. Contractare/3. SF/Proiect Fotovoltaice Cesiro-Semnat.pdf","Deschide sursa")</x:f>
        <x:v>HYPERLINK is not implemented. linkLocation=file:///Z:/00. Proiecte 2025/AFIR FotoVoltaic 1/10. Contractare/3. SF/Proiect Fotovoltaice Cesiro-Semnat.pdf, friendlyName=Deschide sursa</x:v>
      </x:c>
    </x:row>
    <x:row r="211" ht="120" customHeight="1">
      <x:c r="A211" s="8" t="str">
        <x:v>F0360</x:v>
      </x:c>
      <x:c r="B211" s="8" t="str">
        <x:v>Studiul de Fezabilitate Cesiro Production .docx</x:v>
      </x:c>
      <x:c r="C211" s="8" t="str">
        <x:v>Contractare</x:v>
      </x:c>
      <x:c r="D211" s="12" t="str"/>
      <x:c r="E211" s="11" t="str"/>
      <x:c r="F211" s="12" t="str"/>
      <x:c r="G211" s="11" t="str"/>
      <x:c r="H211" s="8" t="str"/>
      <x:c r="I211" s="8" t="str">
        <x:v>Document local; transmiterea individuală neconfirmată</x:v>
      </x:c>
      <x:c r="J211" s="8" t="str">
        <x:v>nregistrare. 45050734 ; Nr. Înmatriculare, J01/1328/2021 ; EUID, ROONRC.J01/1328/2021
nr. 907/2016
nregistrează un consum anual de energie electrică de aproximativ 2.299,88 MWh. Prin implementarea sistemului fotovoltaic de 1 MW, se estimează o producție anuală
nr. 39/2021 privind stabilirea măsurilor necesare pentru promovarea utilizării energiei regenerabile în România, prin care se creează stimulente pentru tranziția c
nr. 292/2018 privind evaluarea impactului anumitor proiecte publice și private asupra mediului, conform căreia implementarea acestui proiect a fost analizată din p</x:v>
      </x:c>
      <x:c r="K211" s="8" t="str">
        <x:v>Text extras; numerele din referințe sunt în coloana separată</x:v>
      </x:c>
      <x:c r="L211" s="8" t="e">
        <x:f>HYPERLINK("file:///Z:/00. Proiecte 2025/AFIR FotoVoltaic 1/10. Contractare/3. SF/Studiul de Fezabilitate Cesiro Production .docx","Deschide sursa")</x:f>
        <x:v>HYPERLINK is not implemented. linkLocation=file:///Z:/00. Proiecte 2025/AFIR FotoVoltaic 1/10. Contractare/3. SF/Studiul de Fezabilitate Cesiro Production .docx, friendlyName=Deschide sursa</x:v>
      </x:c>
    </x:row>
    <x:row r="212" ht="260" customHeight="1">
      <x:c r="A212" s="8" t="str">
        <x:v>F0361</x:v>
      </x:c>
      <x:c r="B212" s="8" t="str">
        <x:v>Studiul de Fezabilitate Cesiro Production FINAL.docx</x:v>
      </x:c>
      <x:c r="C212" s="8" t="str">
        <x:v>Contractare</x:v>
      </x:c>
      <x:c r="D212" s="12" t="str"/>
      <x:c r="E212" s="11" t="str"/>
      <x:c r="F212" s="12" t="str"/>
      <x:c r="G212" s="11" t="str"/>
      <x:c r="H212" s="8" t="str"/>
      <x:c r="I212" s="8" t="str">
        <x:v>Document local; transmiterea individuală neconfirmată</x:v>
      </x:c>
      <x:c r="J212" s="8" t="str">
        <x:v>nregistrare. 45050734 ; Nr. Înmatriculare, J01/1328/2021 ; EUID, ROONRC.J01/1328/2021
nr. 907/2016
nregistrează un consum anual de energie electrică de aproximativ 2.299,88 MWh. Prin implementarea sistemului fotovoltaic de 1 MW, se estimează o producție anuală
nr. 39/2021 privind stabilirea măsurilor necesare pentru promovarea utilizării energiei regenerabile în România, prin care se creează stimulente pentru tranziția c
nr. 292/2018 privind evaluarea impactului anumitor proiecte publice și private asupra mediului, conform căreia implementarea acestui proiect a fost analizată din p
nr. 60/2022, cu modificările ulterioare, la art. 2 alin.(1) lit. b) din OUG nr. 77/2014, cu modificările și completările ulterioare și la articolul 5 alin (7) din
nr. 60/2022 privind stabilirea cadrului instituțional și financiar de implementare și gestionare a fondurilor alocate României prin Fondul pentru modernizare, prec
nr. 1.076/2021;
nr. 401/2009 și (UE) 2018/1999 ("Legea europeană a climei"), referitor la asigurarea, până cel târziu în 2050, a unui echilibru la nivelul Uniunii între emisiile ș
Nr. 96, Jud. Mures Observatii Nr. Niveluri – 2, Suprafata construita
NRE pentru anul 2021/2022, după caz.
NRE pentru fiecare MWh din surse fosile este 0,6119 tone CO2/MWh.</x:v>
      </x:c>
      <x:c r="K212" s="8" t="str">
        <x:v>Text extras; numerele din referințe sunt în coloana separată</x:v>
      </x:c>
      <x:c r="L212" s="8" t="e">
        <x:f>HYPERLINK("file:///Z:/00. Proiecte 2025/AFIR FotoVoltaic 1/10. Contractare/3. SF/Studiul de Fezabilitate Cesiro Production FINAL.docx","Deschide sursa")</x:f>
        <x:v>HYPERLINK is not implemented. linkLocation=file:///Z:/00. Proiecte 2025/AFIR FotoVoltaic 1/10. Contractare/3. SF/Studiul de Fezabilitate Cesiro Production FINAL.docx, friendlyName=Deschide sursa</x:v>
      </x:c>
    </x:row>
    <x:row r="213" ht="190" customHeight="1">
      <x:c r="A213" s="8" t="str">
        <x:v>F0362</x:v>
      </x:c>
      <x:c r="B213" s="8" t="str">
        <x:v>Studiul de Fezabilitate Cesiro Production FINAL.pdf</x:v>
      </x:c>
      <x:c r="C213" s="8" t="str">
        <x:v>Contractare</x:v>
      </x:c>
      <x:c r="D213" s="12" t="str"/>
      <x:c r="E213" s="11" t="str"/>
      <x:c r="F213" s="12" t="str"/>
      <x:c r="G213" s="11" t="str"/>
      <x:c r="H213" s="8" t="str"/>
      <x:c r="I213" s="8" t="str">
        <x:v>Document local; transmiterea individuală neconfirmată</x:v>
      </x:c>
      <x:c r="J213" s="8" t="str">
        <x:v>nregistrare. 45050734 ; Nr. Înmatriculare, J01/1328/2021 ; EUID,
NRC.J01/1328/2021
nregistrare. 45050734 ; Nr. Înmatriculare, J01/1328/2021 ;
nr. 907/2016
nr. 39/2021 privind stabilirea măsurilor necesare
nr. 292/2018 privind evaluarea impactului anumitor proiecte
nr. 60/2022, cu modificările ulterioare, la art. 2
nr. 77/2014, cu modificările și completările ulterioare și la articolul 5
nr. 1.076/2021;
Nr. 58300 Sighisoara
Nr. 96, Jud. Mures
Nr. Niveluri – 2, Suprafata construita
NRE pentru fiecare MWh din surse fosile este 0,6119 tone CO2/MWh.</x:v>
      </x:c>
      <x:c r="K213" s="8" t="str">
        <x:v>Text extras; numerele din referințe sunt în coloana separată</x:v>
      </x:c>
      <x:c r="L213" s="8" t="e">
        <x:f>HYPERLINK("file:///Z:/00. Proiecte 2025/AFIR FotoVoltaic 1/10. Contractare/3. SF/Studiul de Fezabilitate Cesiro Production FINAL.pdf","Deschide sursa")</x:f>
        <x:v>HYPERLINK is not implemented. linkLocation=file:///Z:/00. Proiecte 2025/AFIR FotoVoltaic 1/10. Contractare/3. SF/Studiul de Fezabilitate Cesiro Production FINAL.pdf, friendlyName=Deschide sursa</x:v>
      </x:c>
    </x:row>
    <x:row r="214" ht="190" customHeight="1">
      <x:c r="A214" s="8" t="str">
        <x:v>F0363</x:v>
      </x:c>
      <x:c r="B214" s="8" t="str">
        <x:v>Studiul de Fezabilitate Cesiro Production Semnat.pdf</x:v>
      </x:c>
      <x:c r="C214" s="8" t="str">
        <x:v>Contractare</x:v>
      </x:c>
      <x:c r="D214" s="12" t="str"/>
      <x:c r="E214" s="11" t="str"/>
      <x:c r="F214" s="12" t="str"/>
      <x:c r="G214" s="11" t="str"/>
      <x:c r="H214" s="8" t="str"/>
      <x:c r="I214" s="8" t="str">
        <x:v>Document local; transmiterea individuală neconfirmată</x:v>
      </x:c>
      <x:c r="J214" s="8" t="str">
        <x:v>nregistrare. 45050734 ; Nr. Înmatriculare, J01/1328/2021 ; EUID,
NRC.J01/1328/2021
nregistrare. 45050734 ; Nr. Înmatriculare, J01/1328/2021 ;
nr. 907/2016
nr. 39/2021 privind stabilirea măsurilor necesare
nr. 292/2018 privind evaluarea impactului anumitor proiecte
nr. 60/2022, cu modificările ulterioare, la art. 2
nr. 77/2014, cu modificările și completările ulterioare și la articolul 5
nr. 1.076/2021;
Nr. 58300 Sighisoara
Nr. 96, Jud. Mures
Nr. Niveluri – 2, Suprafata construita
NRE pentru fiecare MWh din surse fosile este 0,6119 tone CO2/MWh.</x:v>
      </x:c>
      <x:c r="K214" s="8" t="str">
        <x:v>Text extras; numerele din referințe sunt în coloana separată</x:v>
      </x:c>
      <x:c r="L214" s="8" t="e">
        <x:f>HYPERLINK("file:///Z:/00. Proiecte 2025/AFIR FotoVoltaic 1/10. Contractare/3. SF/Studiul de Fezabilitate Cesiro Production Semnat.pdf","Deschide sursa")</x:f>
        <x:v>HYPERLINK is not implemented. linkLocation=file:///Z:/00. Proiecte 2025/AFIR FotoVoltaic 1/10. Contractare/3. SF/Studiul de Fezabilitate Cesiro Production Semnat.pdf, friendlyName=Deschide sursa</x:v>
      </x:c>
    </x:row>
    <x:row r="215" ht="36" customHeight="1">
      <x:c r="A215" s="8" t="str">
        <x:v>F0364</x:v>
      </x:c>
      <x:c r="B215" s="8" t="str">
        <x:v>Copie a Oferta CEF 1mW Cesiro_Suntree Solar Tech_10.03.2025(1).xlsx</x:v>
      </x:c>
      <x:c r="C215" s="8" t="str">
        <x:v>Contractare</x:v>
      </x:c>
      <x:c r="D215" s="12" t="str"/>
      <x:c r="E215" s="11" t="str"/>
      <x:c r="F215" s="12" t="str"/>
      <x:c r="G215" s="11" t="str"/>
      <x:c r="H215" s="8" t="str"/>
      <x:c r="I215" s="8" t="str">
        <x:v>Document local; transmiterea individuală neconfirmată</x:v>
      </x:c>
      <x:c r="J215" s="8" t="str"/>
      <x:c r="K215" s="8" t="str">
        <x:v>Necesită citire vizuală / OCR / formular XFA</x:v>
      </x:c>
      <x:c r="L215" s="8" t="e">
        <x:f>HYPERLINK("file:///Z:/00. Proiecte 2025/AFIR FotoVoltaic 1/10. Contractare/Oferte/Copie a Oferta CEF 1mW Cesiro_Suntree Solar Tech_10.03.2025(1).xlsx","Deschide sursa")</x:f>
        <x:v>HYPERLINK is not implemented. linkLocation=file:///Z:/00. Proiecte 2025/AFIR FotoVoltaic 1/10. Contractare/Oferte/Copie a Oferta CEF 1mW Cesiro_Suntree Solar Tech_10.03.2025(1).xlsx, friendlyName=Deschide sursa</x:v>
      </x:c>
    </x:row>
    <x:row r="216" ht="64" customHeight="1">
      <x:c r="A216" s="8" t="str">
        <x:v>F0365</x:v>
      </x:c>
      <x:c r="B216" s="8" t="str">
        <x:v>ANEXA-4-ord-19-2022.docx</x:v>
      </x:c>
      <x:c r="C216" s="8" t="str">
        <x:v>Contractare</x:v>
      </x:c>
      <x:c r="D216" s="12" t="str"/>
      <x:c r="E216" s="11" t="str"/>
      <x:c r="F216" s="12" t="str"/>
      <x:c r="G216" s="11" t="str"/>
      <x:c r="H216" s="8" t="str"/>
      <x:c r="I216" s="8" t="str">
        <x:v>Document local; transmiterea individuală neconfirmată</x:v>
      </x:c>
      <x:c r="J216" s="8" t="str">
        <x:v>nr. 4: CERERE DE RACORDARE pentru locul de consum si de producere detinut de prosumatorul care acceseaza programe de finantare privind instalarea de centrale elect
Nr. crt. | Nr. panouri | Tip panou | Pi panou (c.c.) (kW) | Pi total panouri (c.c.) (kW) | Pmax debitat de panouri (c.c.) (kW) | Pi total panouri pe 1 invertor (c.</x:v>
      </x:c>
      <x:c r="K216" s="8" t="str">
        <x:v>Text extras; numerele din referințe sunt în coloana separată</x:v>
      </x:c>
      <x:c r="L216" s="8" t="e">
        <x:f>HYPERLINK("file:///Z:/00. Proiecte 2025/AFIR FotoVoltaic 1/10. Contractare/Studiu de Solutie Documente/ANEXA-4-ord-19-2022.docx","Deschide sursa")</x:f>
        <x:v>HYPERLINK is not implemented. linkLocation=file:///Z:/00. Proiecte 2025/AFIR FotoVoltaic 1/10. Contractare/Studiu de Solutie Documente/ANEXA-4-ord-19-2022.docx, friendlyName=Deschide sursa</x:v>
      </x:c>
    </x:row>
    <x:row r="217" ht="36" customHeight="1">
      <x:c r="A217" s="8" t="str">
        <x:v>F0366</x:v>
      </x:c>
      <x:c r="B217" s="8" t="str">
        <x:v>ANEXA-4-ord-19-2022.pdf</x:v>
      </x:c>
      <x:c r="C217" s="8" t="str">
        <x:v>Contractare</x:v>
      </x:c>
      <x:c r="D217" s="12" t="str"/>
      <x:c r="E217" s="11" t="str"/>
      <x:c r="F217" s="12" t="str"/>
      <x:c r="G217" s="11" t="str"/>
      <x:c r="H217" s="8" t="str"/>
      <x:c r="I217" s="8" t="str">
        <x:v>Document local; transmiterea individuală neconfirmată</x:v>
      </x:c>
      <x:c r="J217" s="8" t="str">
        <x:v>nr. 59/31.03.2016
nr. 4: CERERE DE RACORDARE pentru locul de consum si de producere de tinut de</x:v>
      </x:c>
      <x:c r="K217" s="8" t="str">
        <x:v>Text extras; numerele din referințe sunt în coloana separată</x:v>
      </x:c>
      <x:c r="L217" s="8" t="e">
        <x:f>HYPERLINK("file:///Z:/00. Proiecte 2025/AFIR FotoVoltaic 1/10. Contractare/Studiu de Solutie Documente/ANEXA-4-ord-19-2022.pdf","Deschide sursa")</x:f>
        <x:v>HYPERLINK is not implemented. linkLocation=file:///Z:/00. Proiecte 2025/AFIR FotoVoltaic 1/10. Contractare/Studiu de Solutie Documente/ANEXA-4-ord-19-2022.pdf, friendlyName=Deschide sursa</x:v>
      </x:c>
    </x:row>
    <x:row r="218" ht="50" customHeight="1">
      <x:c r="A218" s="8" t="str">
        <x:v>F0367</x:v>
      </x:c>
      <x:c r="B218" s="8" t="str">
        <x:v>Calendarul cu date exacte din contractul de finanțare nr. CFMSES011011372801030 AFIR.docx</x:v>
      </x:c>
      <x:c r="C218" s="8" t="str">
        <x:v>Contractare</x:v>
      </x:c>
      <x:c r="D218" s="12" t="str"/>
      <x:c r="E218" s="11" t="str"/>
      <x:c r="F218" s="12" t="str"/>
      <x:c r="G218" s="11" t="str"/>
      <x:c r="H218" s="8" t="str"/>
      <x:c r="I218" s="8" t="str">
        <x:v>Document local; transmiterea individuală neconfirmată</x:v>
      </x:c>
      <x:c r="J218" s="8" t="str">
        <x:v>nr. CFMSES011011372801030), trebuie să identificăm termenele specificate în document și să le raportăm la data semnării contractului. Conform Articolului 8(4), con</x:v>
      </x:c>
      <x:c r="K218" s="8" t="str">
        <x:v>Text extras; numerele din referințe sunt în coloana separată</x:v>
      </x:c>
      <x:c r="L218" s="8" t="e">
        <x:f>HYPERLINK("file:///Z:/00. Proiecte 2025/AFIR FotoVoltaic 1/10. Contractare/Studiu de Solutie Documente/Calendarul cu date exacte din contractul de finanțare nr. CFMSES011011372801030 AFIR.docx","Deschide sursa")</x:f>
        <x:v>HYPERLINK is not implemented. linkLocation=file:///Z:/00. Proiecte 2025/AFIR FotoVoltaic 1/10. Contractare/Studiu de Solutie Documente/Calendarul cu date exacte din contractul de finanțare nr. CFMSES011011372801030 AFIR.docx, friendlyName=Deschide sursa</x:v>
      </x:c>
    </x:row>
    <x:row r="219" ht="64" customHeight="1">
      <x:c r="A219" s="8" t="str">
        <x:v>F0368</x:v>
      </x:c>
      <x:c r="B219" s="8" t="str">
        <x:v>Confirmare SF Cesiro Production.pdf</x:v>
      </x:c>
      <x:c r="C219" s="8" t="str">
        <x:v>Contractare</x:v>
      </x:c>
      <x:c r="D219" s="12" t="str"/>
      <x:c r="E219" s="11" t="str"/>
      <x:c r="F219" s="12" t="str"/>
      <x:c r="G219" s="11" t="str"/>
      <x:c r="H219" s="8" t="str"/>
      <x:c r="I219" s="8" t="str">
        <x:v>Document local; transmiterea individuală neconfirmată</x:v>
      </x:c>
      <x:c r="J219" s="8" t="str">
        <x:v>Nr. 23, Tel.: 0358 860 245
Nr. R1 SIBA 926/26.02.2025
nr. CFMSES011011372801030
nregistrat cu nr. R1 SIBA 800/21.02.2025.</x:v>
      </x:c>
      <x:c r="K219" s="8" t="str">
        <x:v>Text extras; numerele din referințe sunt în coloana separată</x:v>
      </x:c>
      <x:c r="L219" s="8" t="e">
        <x:f>HYPERLINK("file:///Z:/00. Proiecte 2025/AFIR FotoVoltaic 1/10. Contractare/Studiu de Solutie Documente/Confirmare SF Cesiro Production.pdf","Deschide sursa")</x:f>
        <x:v>HYPERLINK is not implemented. linkLocation=file:///Z:/00. Proiecte 2025/AFIR FotoVoltaic 1/10. Contractare/Studiu de Solutie Documente/Confirmare SF Cesiro Production.pdf, friendlyName=Deschide sursa</x:v>
      </x:c>
    </x:row>
    <x:row r="220" ht="36" customHeight="1">
      <x:c r="A220" s="8" t="str">
        <x:v>F0369</x:v>
      </x:c>
      <x:c r="B220" s="8" t="str">
        <x:v>Confirmare SF Cesiro Production.zip</x:v>
      </x:c>
      <x:c r="C220" s="8" t="str">
        <x:v>Contractare</x:v>
      </x:c>
      <x:c r="D220" s="12" t="str"/>
      <x:c r="E220" s="11" t="str"/>
      <x:c r="F220" s="12" t="str"/>
      <x:c r="G220" s="11" t="str"/>
      <x:c r="H220" s="8" t="str"/>
      <x:c r="I220" s="8" t="str">
        <x:v>Document local; transmiterea individuală neconfirmată</x:v>
      </x:c>
      <x:c r="J220" s="8" t="str"/>
      <x:c r="K220" s="8" t="str">
        <x:v>Necesită citire vizuală / OCR / formular XFA</x:v>
      </x:c>
      <x:c r="L220" s="8" t="e">
        <x:f>HYPERLINK("file:///Z:/00. Proiecte 2025/AFIR FotoVoltaic 1/10. Contractare/Studiu de Solutie Documente/Confirmare SF Cesiro Production.zip","Deschide sursa")</x:f>
        <x:v>HYPERLINK is not implemented. linkLocation=file:///Z:/00. Proiecte 2025/AFIR FotoVoltaic 1/10. Contractare/Studiu de Solutie Documente/Confirmare SF Cesiro Production.zip, friendlyName=Deschide sursa</x:v>
      </x:c>
    </x:row>
    <x:row r="221" ht="36" customHeight="1">
      <x:c r="A221" s="8" t="str">
        <x:v>F0371</x:v>
      </x:c>
      <x:c r="B221" s="8" t="str">
        <x:v>Schita Monofilara Fotovoltaice Cesiro.pdf</x:v>
      </x:c>
      <x:c r="C221" s="8" t="str">
        <x:v>Contractare</x:v>
      </x:c>
      <x:c r="D221" s="12" t="str"/>
      <x:c r="E221" s="11" t="str"/>
      <x:c r="F221" s="12" t="str"/>
      <x:c r="G221" s="11" t="str"/>
      <x:c r="H221" s="8" t="str"/>
      <x:c r="I221" s="8" t="str">
        <x:v>Document local; transmiterea individuală neconfirmată</x:v>
      </x:c>
      <x:c r="J221" s="8" t="str">
        <x:v>Nr. Proiect 1/2025FAZAPT</x:v>
      </x:c>
      <x:c r="K221" s="8" t="str">
        <x:v>Text extras; numerele din referințe sunt în coloana separată</x:v>
      </x:c>
      <x:c r="L221" s="8" t="e">
        <x:f>HYPERLINK("file:///Z:/00. Proiecte 2025/AFIR FotoVoltaic 1/10. Contractare/Studiu de Solutie Documente/Schita Monofilara Fotovoltaice Cesiro.pdf","Deschide sursa")</x:f>
        <x:v>HYPERLINK is not implemented. linkLocation=file:///Z:/00. Proiecte 2025/AFIR FotoVoltaic 1/10. Contractare/Studiu de Solutie Documente/Schita Monofilara Fotovoltaice Cesiro.pdf, friendlyName=Deschide sursa</x:v>
      </x:c>
    </x:row>
    <x:row r="222" ht="400" customHeight="1">
      <x:c r="A222" s="8" t="str">
        <x:v>F0372</x:v>
      </x:c>
      <x:c r="B222" s="8" t="str">
        <x:v>Anexa nr 5.docx</x:v>
      </x:c>
      <x:c r="C222" s="8" t="str">
        <x:v>Contractare</x:v>
      </x:c>
      <x:c r="D222" s="12" t="str"/>
      <x:c r="E222" s="11" t="str"/>
      <x:c r="F222" s="12" t="str"/>
      <x:c r="G222" s="11" t="str"/>
      <x:c r="H222" s="8" t="str"/>
      <x:c r="I222" s="8" t="str">
        <x:v>Document local; transmiterea individuală neconfirmată</x:v>
      </x:c>
      <x:c r="J222" s="8" t="str">
        <x:v>nr. 5
nr. 195/2005 privind protecţia mediului, aprobată cu modificări prin Legea nr. 265/2006, cu modificările şi completările ulterioare, şi cu competenţele stabilite p
nr. 195/2005, aprobată cu modificări şi completări prin Legea nr. 265/2006, cu modificările şi completările ulterioare, precum şi în legislaţia naţională specifică
nr. 1 și 2 din prezenta lege, pentru cele care intră sub incidența art. 28 din
nr. 57/2007 privind regimul ariilor naturale protejate, conservarea habitatelor naturale, a florei şi faunei sălbatice, aprobată cu modificări și completări prin L
nr. 49/2011, cu modificările şi completările ulterioare, precum și pentru cele care intră sub incidența art. 48 și art. 54 din Legea apelor nr. 107/1996, cu modifi
nr. 195/2005, aprobată cu modificări şi completări prin Legea nr. 265/2006, cu modificările şi completările ulterioare.
nr. 22/2001 pentru ratificarea Convenţiei privind evaluarea impactului asupra mediului în context transfrontieră, adoptată la Espoo la 25 februarie 2001, cu modifi
nr. 5.A
nr. 2 pct. 1 lit. d), titularul depune la autoritatea competentă pentru protecția mediului, alături de documentele prevăzute la alin. (1), avizul favorabil al stru
nr. 49/2011, cu modificările şi completările ulterioare, și nu intră sub incidența art. 48 și art. 54 din Legea Apelor nr. 107/1996 cu modificările și completările
nr. 5.B;
nr. 5.C;
nr. 5.E,
nr. 57/2007, cu modificările şi completările ulterioare și/sau
nr. 5.E.
nr. 5.F.
nr. 22/2001, cu modificările și completările ulterioare, pe baza criteriilor definite de aceasta, şi transmite autorităţii publice centrale pentru protecţia mediul
nr. 22/2001, cu modificările și completările ulterioare, şi pentru care s-a stabilit că nu există un potenţial impact semnificativ transfrontier;
nr. 5.G, precum și prin afișarea la sediul său a anunțului menționat;</x:v>
      </x:c>
      <x:c r="K222" s="8" t="str">
        <x:v>Text extras; numerele din referințe sunt în coloana separată</x:v>
      </x:c>
      <x:c r="L222" s="8" t="e">
        <x:f>HYPERLINK("file:///Z:/00. Proiecte 2025/AFIR FotoVoltaic 1/10. Contractare/1. Documente solicitate pentru contractare/ANPM/Anexa nr 5.docx","Deschide sursa")</x:f>
        <x:v>HYPERLINK is not implemented. linkLocation=file:///Z:/00. Proiecte 2025/AFIR FotoVoltaic 1/10. Contractare/1. Documente solicitate pentru contractare/ANPM/Anexa nr 5.docx, friendlyName=Deschide sursa</x:v>
      </x:c>
    </x:row>
    <x:row r="223" ht="288" customHeight="1">
      <x:c r="A223" s="8" t="str">
        <x:v>F0373</x:v>
      </x:c>
      <x:c r="B223" s="8" t="str">
        <x:v>Anexa nr 5.pdf</x:v>
      </x:c>
      <x:c r="C223" s="8" t="str">
        <x:v>Contractare</x:v>
      </x:c>
      <x:c r="D223" s="12" t="str"/>
      <x:c r="E223" s="11" t="str"/>
      <x:c r="F223" s="12" t="str"/>
      <x:c r="G223" s="11" t="str"/>
      <x:c r="H223" s="8" t="str"/>
      <x:c r="I223" s="8" t="str">
        <x:v>Document local; transmiterea individuală neconfirmată</x:v>
      </x:c>
      <x:c r="J223" s="8" t="str">
        <x:v>nr. 5
nr. 195/2005 privind protecţia mediului, aprobată cu modificări prin Le gea nr. 265/2006, cu
nr. 195/2005, aprobată cu modificări şi completări prin Legea nr. 265/2006, cu modificările şi
nr. 1 și 2 din prezenta lege, pentru cele care intră sub incidența art. 28 din
nr. 57/2007 privind regimul ariilor naturale protejate, conservarea habitatelor naturale, a florei şi faunei
nr. 49/2011, cu modificările şi completările ulterioare,
nr. 107/1996, cu modificăril e și
nr. 195/2005, aprobată cu modificări şi completări prin Legea nr.
nr. 22/2001 pentru ratificarea Convenţiei privind evaluarea impactul ui asupra mediului în context transfrontieră,
nr. 5.A
nr. 2 pct. 1 lit. d), titularul depune la
nr. 57/2007 privind regimul ariilor naturale protejate, conservarea
nr. 49/2011, cu
nr. 107/1996
nr. 5.B;
nr. 5.C;
nr. 5.E,
nr. 5.E.
nr. 5.F.
nr. 22/2001, cu</x:v>
      </x:c>
      <x:c r="K223" s="8" t="str">
        <x:v>Text extras; numerele din referințe sunt în coloana separată</x:v>
      </x:c>
      <x:c r="L223" s="8" t="e">
        <x:f>HYPERLINK("file:///Z:/00. Proiecte 2025/AFIR FotoVoltaic 1/10. Contractare/1. Documente solicitate pentru contractare/ANPM/Anexa nr 5.pdf","Deschide sursa")</x:f>
        <x:v>HYPERLINK is not implemented. linkLocation=file:///Z:/00. Proiecte 2025/AFIR FotoVoltaic 1/10. Contractare/1. Documente solicitate pentru contractare/ANPM/Anexa nr 5.pdf, friendlyName=Deschide sursa</x:v>
      </x:c>
    </x:row>
    <x:row r="224" ht="36" customHeight="1">
      <x:c r="A224" s="8" t="str">
        <x:v>F0374</x:v>
      </x:c>
      <x:c r="B224" s="8" t="str">
        <x:v>Dovada plata APM.pdf</x:v>
      </x:c>
      <x:c r="C224" s="8" t="str">
        <x:v>Contractare</x:v>
      </x:c>
      <x:c r="D224" s="12" t="str"/>
      <x:c r="E224" s="11" t="str"/>
      <x:c r="F224" s="12" t="str"/>
      <x:c r="G224" s="11" t="str"/>
      <x:c r="H224" s="8" t="str"/>
      <x:c r="I224" s="8" t="str">
        <x:v>Document local; transmiterea individuală neconfirmată</x:v>
      </x:c>
      <x:c r="J224" s="8" t="str"/>
      <x:c r="K224" s="8" t="str">
        <x:v>Text extras; numerele din referințe sunt în coloana separată</x:v>
      </x:c>
      <x:c r="L224" s="8" t="e">
        <x:f>HYPERLINK("file:///Z:/00. Proiecte 2025/AFIR FotoVoltaic 1/10. Contractare/1. Documente solicitate pentru contractare/ANPM/Dovada plata APM.pdf","Deschide sursa")</x:f>
        <x:v>HYPERLINK is not implemented. linkLocation=file:///Z:/00. Proiecte 2025/AFIR FotoVoltaic 1/10. Contractare/1. Documente solicitate pentru contractare/ANPM/Dovada plata APM.pdf, friendlyName=Deschide sursa</x:v>
      </x:c>
    </x:row>
    <x:row r="225" ht="36" customHeight="1">
      <x:c r="A225" s="8" t="str">
        <x:v>F0375</x:v>
      </x:c>
      <x:c r="B225" s="8" t="str">
        <x:v>Plan de inacadrare in zona.docx</x:v>
      </x:c>
      <x:c r="C225" s="8" t="str">
        <x:v>Contractare</x:v>
      </x:c>
      <x:c r="D225" s="12" t="str"/>
      <x:c r="E225" s="11" t="str"/>
      <x:c r="F225" s="12" t="str"/>
      <x:c r="G225" s="11" t="str"/>
      <x:c r="H225" s="8" t="str"/>
      <x:c r="I225" s="8" t="str">
        <x:v>Document local; transmiterea individuală neconfirmată</x:v>
      </x:c>
      <x:c r="J225" s="8" t="str"/>
      <x:c r="K225" s="8" t="str">
        <x:v>Text extras; numerele din referințe sunt în coloana separată</x:v>
      </x:c>
      <x:c r="L225" s="8" t="e">
        <x:f>HYPERLINK("file:///Z:/00. Proiecte 2025/AFIR FotoVoltaic 1/10. Contractare/1. Documente solicitate pentru contractare/ANPM/Plan de inacadrare in zona.docx","Deschide sursa")</x:f>
        <x:v>HYPERLINK is not implemented. linkLocation=file:///Z:/00. Proiecte 2025/AFIR FotoVoltaic 1/10. Contractare/1. Documente solicitate pentru contractare/ANPM/Plan de inacadrare in zona.docx, friendlyName=Deschide sursa</x:v>
      </x:c>
    </x:row>
    <x:row r="226" ht="36" customHeight="1">
      <x:c r="A226" s="8" t="str">
        <x:v>F0376</x:v>
      </x:c>
      <x:c r="B226" s="8" t="str">
        <x:v>Plan de inacadrare in zona.pdf</x:v>
      </x:c>
      <x:c r="C226" s="8" t="str">
        <x:v>Contractare</x:v>
      </x:c>
      <x:c r="D226" s="12" t="str"/>
      <x:c r="E226" s="11" t="str"/>
      <x:c r="F226" s="12" t="str"/>
      <x:c r="G226" s="11" t="str"/>
      <x:c r="H226" s="8" t="str"/>
      <x:c r="I226" s="8" t="str">
        <x:v>Document local; transmiterea individuală neconfirmată</x:v>
      </x:c>
      <x:c r="J226" s="8" t="str"/>
      <x:c r="K226" s="8" t="str">
        <x:v>Text extras; numerele din referințe sunt în coloana separată</x:v>
      </x:c>
      <x:c r="L226" s="8" t="e">
        <x:f>HYPERLINK("file:///Z:/00. Proiecte 2025/AFIR FotoVoltaic 1/10. Contractare/1. Documente solicitate pentru contractare/ANPM/Plan de inacadrare in zona.pdf","Deschide sursa")</x:f>
        <x:v>HYPERLINK is not implemented. linkLocation=file:///Z:/00. Proiecte 2025/AFIR FotoVoltaic 1/10. Contractare/1. Documente solicitate pentru contractare/ANPM/Plan de inacadrare in zona.pdf, friendlyName=Deschide sursa</x:v>
      </x:c>
    </x:row>
    <x:row r="227" ht="36" customHeight="1">
      <x:c r="A227" s="8" t="str">
        <x:v>F0377</x:v>
      </x:c>
      <x:c r="B227" s="8" t="str">
        <x:v>Plan de situatie.docx</x:v>
      </x:c>
      <x:c r="C227" s="8" t="str">
        <x:v>Contractare</x:v>
      </x:c>
      <x:c r="D227" s="12" t="str"/>
      <x:c r="E227" s="11" t="str"/>
      <x:c r="F227" s="12" t="str"/>
      <x:c r="G227" s="11" t="str"/>
      <x:c r="H227" s="8" t="str"/>
      <x:c r="I227" s="8" t="str">
        <x:v>Document local; transmiterea individuală neconfirmată</x:v>
      </x:c>
      <x:c r="J227" s="8" t="str"/>
      <x:c r="K227" s="8" t="str">
        <x:v>Text extras; numerele din referințe sunt în coloana separată</x:v>
      </x:c>
      <x:c r="L227" s="8" t="e">
        <x:f>HYPERLINK("file:///Z:/00. Proiecte 2025/AFIR FotoVoltaic 1/10. Contractare/1. Documente solicitate pentru contractare/ANPM/Plan de situatie.docx","Deschide sursa")</x:f>
        <x:v>HYPERLINK is not implemented. linkLocation=file:///Z:/00. Proiecte 2025/AFIR FotoVoltaic 1/10. Contractare/1. Documente solicitate pentru contractare/ANPM/Plan de situatie.docx, friendlyName=Deschide sursa</x:v>
      </x:c>
    </x:row>
    <x:row r="228" ht="36" customHeight="1">
      <x:c r="A228" s="8" t="str">
        <x:v>F0378</x:v>
      </x:c>
      <x:c r="B228" s="8" t="str">
        <x:v>Plan de situatie.pdf</x:v>
      </x:c>
      <x:c r="C228" s="8" t="str">
        <x:v>Contractare</x:v>
      </x:c>
      <x:c r="D228" s="12" t="str"/>
      <x:c r="E228" s="11" t="str"/>
      <x:c r="F228" s="12" t="str"/>
      <x:c r="G228" s="11" t="str"/>
      <x:c r="H228" s="8" t="str"/>
      <x:c r="I228" s="8" t="str">
        <x:v>Document local; transmiterea individuală neconfirmată</x:v>
      </x:c>
      <x:c r="J228" s="8" t="str"/>
      <x:c r="K228" s="8" t="str">
        <x:v>Text extras; numerele din referințe sunt în coloana separată</x:v>
      </x:c>
      <x:c r="L228" s="8" t="e">
        <x:f>HYPERLINK("file:///Z:/00. Proiecte 2025/AFIR FotoVoltaic 1/10. Contractare/1. Documente solicitate pentru contractare/ANPM/Plan de situatie.pdf","Deschide sursa")</x:f>
        <x:v>HYPERLINK is not implemented. linkLocation=file:///Z:/00. Proiecte 2025/AFIR FotoVoltaic 1/10. Contractare/1. Documente solicitate pentru contractare/ANPM/Plan de situatie.pdf, friendlyName=Deschide sursa</x:v>
      </x:c>
    </x:row>
    <x:row r="229" ht="36" customHeight="1">
      <x:c r="A229" s="8" t="str">
        <x:v>F0379</x:v>
      </x:c>
      <x:c r="B229" s="8" t="str">
        <x:v>11. Declaratie prorpie raspundere CAEN.docx</x:v>
      </x:c>
      <x:c r="C229" s="8" t="str">
        <x:v>Contractare</x:v>
      </x:c>
      <x:c r="D229" s="12" t="str"/>
      <x:c r="E229" s="11" t="str"/>
      <x:c r="F229" s="12" t="str"/>
      <x:c r="G229" s="11" t="str"/>
      <x:c r="H229" s="8" t="str"/>
      <x:c r="I229" s="8" t="str">
        <x:v>Versiune de lucru / arhivă</x:v>
      </x:c>
      <x:c r="J229" s="8" t="str">
        <x:v>Nr. 5, Cod Poștal 510040, Municipiul Alba Iulia, Jud. Alba, beneficiar al proiectului nr. FMSES011011372801030, finanțat de către AGENȚIA PENTRU FINANȚAREA INVESTI</x:v>
      </x:c>
      <x:c r="K229" s="8" t="str">
        <x:v>Text extras; numerele din referințe sunt în coloana separată</x:v>
      </x:c>
      <x:c r="L229" s="8" t="e">
        <x:f>HYPERLINK("file:///Z:/00. Proiecte 2025/AFIR FotoVoltaic 1/10. Contractare/1. Documente solicitate pentru contractare/Arhiva/11. Declaratie prorpie raspundere CAEN.docx","Deschide sursa")</x:f>
        <x:v>HYPERLINK is not implemented. linkLocation=file:///Z:/00. Proiecte 2025/AFIR FotoVoltaic 1/10. Contractare/1. Documente solicitate pentru contractare/Arhiva/11. Declaratie prorpie raspundere CAEN.docx, friendlyName=Deschide sursa</x:v>
      </x:c>
    </x:row>
    <x:row r="230" ht="148" customHeight="1">
      <x:c r="A230" s="8" t="str">
        <x:v>F0380</x:v>
      </x:c>
      <x:c r="B230" s="8" t="str">
        <x:v>2. Declaratie proprie raspundere depunere ATR.docx</x:v>
      </x:c>
      <x:c r="C230" s="8" t="str">
        <x:v>Contractare</x:v>
      </x:c>
      <x:c r="D230" s="12" t="str"/>
      <x:c r="E230" s="11" t="str"/>
      <x:c r="F230" s="12" t="str"/>
      <x:c r="G230" s="11" t="str"/>
      <x:c r="H230" s="8" t="str"/>
      <x:c r="I230" s="8" t="str">
        <x:v>Versiune de lucru / arhivă</x:v>
      </x:c>
      <x:c r="J230" s="8" t="str">
        <x:v>Nr. 17, Sighișoara, Jud. Mureș, România, identificat prin CNP 1721019120687, în calitate de reprezentant legal al societății CESIRO PRODUCTION SRL, cu sediul socia
nr. 123/2012 – reglementează activitățile din sectorul energiei electrice, inclusiv procesul de racordare la rețeaua electrică de interes public;
NRE nr. 59/2013 privind aprobarea Regulamentului pentru emiterea avizelor tehnice de racordare la rețeaua electrică de interes public, care stabilește cadrul proc
nr. 41/2016 privind stabilirea unor măsuri de simplificare la nivelul administrației publice centrale și pentru modificarea și completarea unor acte normative, car
nr. 544/2001 privind liberul acces la informațiile de interes public, care garantează transparența și accesibilitatea platformelor publice;</x:v>
      </x:c>
      <x:c r="K230" s="8" t="str">
        <x:v>Text extras; numerele din referințe sunt în coloana separată</x:v>
      </x:c>
      <x:c r="L230" s="8" t="e">
        <x:f>HYPERLINK("file:///Z:/00. Proiecte 2025/AFIR FotoVoltaic 1/10. Contractare/1. Documente solicitate pentru contractare/Arhiva/2. Declaratie proprie raspundere depunere ATR.docx","Deschide sursa")</x:f>
        <x:v>HYPERLINK is not implemented. linkLocation=file:///Z:/00. Proiecte 2025/AFIR FotoVoltaic 1/10. Contractare/1. Documente solicitate pentru contractare/Arhiva/2. Declaratie proprie raspundere depunere ATR.docx, friendlyName=Deschide sursa</x:v>
      </x:c>
    </x:row>
    <x:row r="231" ht="36" customHeight="1">
      <x:c r="A231" s="8" t="str">
        <x:v>F0381</x:v>
      </x:c>
      <x:c r="B231" s="8" t="str">
        <x:v>8. Grafic de eșalonare.docx</x:v>
      </x:c>
      <x:c r="C231" s="8" t="str">
        <x:v>Contractare</x:v>
      </x:c>
      <x:c r="D231" s="12" t="str"/>
      <x:c r="E231" s="11" t="str"/>
      <x:c r="F231" s="12" t="str"/>
      <x:c r="G231" s="11" t="str"/>
      <x:c r="H231" s="8" t="str"/>
      <x:c r="I231" s="8" t="str">
        <x:v>Versiune de lucru / arhivă</x:v>
      </x:c>
      <x:c r="J231" s="8" t="str"/>
      <x:c r="K231" s="8" t="str">
        <x:v>Text extras; numerele din referințe sunt în coloana separată</x:v>
      </x:c>
      <x:c r="L231" s="8" t="e">
        <x:f>HYPERLINK("file:///Z:/00. Proiecte 2025/AFIR FotoVoltaic 1/10. Contractare/1. Documente solicitate pentru contractare/Arhiva/8. Grafic de eșalonare.docx","Deschide sursa")</x:f>
        <x:v>HYPERLINK is not implemented. linkLocation=file:///Z:/00. Proiecte 2025/AFIR FotoVoltaic 1/10. Contractare/1. Documente solicitate pentru contractare/Arhiva/8. Grafic de eșalonare.docx, friendlyName=Deschide sursa</x:v>
      </x:c>
    </x:row>
    <x:row r="232" ht="78" customHeight="1">
      <x:c r="A232" s="8" t="str">
        <x:v>F0382</x:v>
      </x:c>
      <x:c r="B232" s="8" t="str">
        <x:v>act CESIRO PRODUCTION 12.02.2024.pdf</x:v>
      </x:c>
      <x:c r="C232" s="8" t="str">
        <x:v>Contractare</x:v>
      </x:c>
      <x:c r="D232" s="12" t="str"/>
      <x:c r="E232" s="11" t="str"/>
      <x:c r="F232" s="12" t="str"/>
      <x:c r="G232" s="11" t="str"/>
      <x:c r="H232" s="8" t="str"/>
      <x:c r="I232" s="8" t="str">
        <x:v>Versiune de lucru / arhivă</x:v>
      </x:c>
      <x:c r="J232" s="8" t="str">
        <x:v>nr. J1/685/2017, CUI 37705493 , reprezentată de COVACIU COSMIN ADRIAN ,
nr.17B, ju d. Alba, posesor al CI seria AX 618936 emisă de SPCJEP Alba la data de 21.10.2015, CNP
nr.5 , jud.Alba. Societatea va putea
nr.17B, jud. Alba,
nr.31/1990 (modificată).</x:v>
      </x:c>
      <x:c r="K232" s="8" t="str">
        <x:v>Text extras; numerele din referințe sunt în coloana separată</x:v>
      </x:c>
      <x:c r="L232" s="8" t="e">
        <x:f>HYPERLINK("file:///Z:/00. Proiecte 2025/AFIR FotoVoltaic 1/10. Contractare/1. Documente solicitate pentru contractare/Arhiva/act CESIRO PRODUCTION 12.02.2024.pdf","Deschide sursa")</x:f>
        <x:v>HYPERLINK is not implemented. linkLocation=file:///Z:/00. Proiecte 2025/AFIR FotoVoltaic 1/10. Contractare/1. Documente solicitate pentru contractare/Arhiva/act CESIRO PRODUCTION 12.02.2024.pdf, friendlyName=Deschide sursa</x:v>
      </x:c>
    </x:row>
    <x:row r="233" ht="36" customHeight="1">
      <x:c r="A233" s="8" t="str">
        <x:v>F0383</x:v>
      </x:c>
      <x:c r="B233" s="8" t="str">
        <x:v>Anexa AP 1.1- Identificare financiara ING.docx</x:v>
      </x:c>
      <x:c r="C233" s="8" t="str">
        <x:v>Contractare</x:v>
      </x:c>
      <x:c r="D233" s="12" t="str"/>
      <x:c r="E233" s="11" t="str"/>
      <x:c r="F233" s="12" t="str"/>
      <x:c r="G233" s="11" t="str"/>
      <x:c r="H233" s="8" t="str"/>
      <x:c r="I233" s="8" t="str">
        <x:v>Versiune de lucru / arhivă</x:v>
      </x:c>
      <x:c r="J233" s="8" t="str">
        <x:v>nr. 49/2015 se va depune un formular distinct
Nr.16, Alba Iulia | Bulevardul Transilvaniei, Nr.16, Alba Iulia | Bulevardul Transilvaniei, Nr.16, Alba Iulia</x:v>
      </x:c>
      <x:c r="K233" s="8" t="str">
        <x:v>Text extras; numerele din referințe sunt în coloana separată</x:v>
      </x:c>
      <x:c r="L233" s="8" t="e">
        <x:f>HYPERLINK("file:///Z:/00. Proiecte 2025/AFIR FotoVoltaic 1/10. Contractare/1. Documente solicitate pentru contractare/Arhiva/Anexa AP 1.1- Identificare financiara ING.docx","Deschide sursa")</x:f>
        <x:v>HYPERLINK is not implemented. linkLocation=file:///Z:/00. Proiecte 2025/AFIR FotoVoltaic 1/10. Contractare/1. Documente solicitate pentru contractare/Arhiva/Anexa AP 1.1- Identificare financiara ING.docx, friendlyName=Deschide sursa</x:v>
      </x:c>
    </x:row>
    <x:row r="234" ht="50" customHeight="1">
      <x:c r="A234" s="8" t="str">
        <x:v>F0384</x:v>
      </x:c>
      <x:c r="B234" s="8" t="str">
        <x:v>Cerere ATR pentru loc de consum si producere_modificat.doc</x:v>
      </x:c>
      <x:c r="C234" s="8" t="str">
        <x:v>Contractare</x:v>
      </x:c>
      <x:c r="D234" s="12" t="str"/>
      <x:c r="E234" s="11" t="str"/>
      <x:c r="F234" s="12" t="str"/>
      <x:c r="G234" s="11" t="str"/>
      <x:c r="H234" s="8" t="str"/>
      <x:c r="I234" s="8" t="str">
        <x:v>Versiune de lucru / arhivă</x:v>
      </x:c>
      <x:c r="J234" s="8" t="str"/>
      <x:c r="K234" s="8" t="str">
        <x:v>Necesită citire vizuală / OCR / formular XFA</x:v>
      </x:c>
      <x:c r="L234" s="8" t="e">
        <x:f>HYPERLINK("file:///Z:/00. Proiecte 2025/AFIR FotoVoltaic 1/10. Contractare/1. Documente solicitate pentru contractare/Arhiva/Cerere ATR pentru loc de consum si producere_modificat.doc","Deschide sursa")</x:f>
        <x:v>HYPERLINK is not implemented. linkLocation=file:///Z:/00. Proiecte 2025/AFIR FotoVoltaic 1/10. Contractare/1. Documente solicitate pentru contractare/Arhiva/Cerere ATR pentru loc de consum si producere_modificat.doc, friendlyName=Deschide sursa</x:v>
      </x:c>
    </x:row>
    <x:row r="235" ht="92" customHeight="1">
      <x:c r="A235" s="8" t="str">
        <x:v>F0388</x:v>
      </x:c>
      <x:c r="B235" s="8" t="str">
        <x:v>HOTĂRÂREA ADUNĂRII GENERALE A ASOCIAȚILOR Cesiro Production Deschidere Cont Exim Bank.docx</x:v>
      </x:c>
      <x:c r="C235" s="8" t="str">
        <x:v>Contractare</x:v>
      </x:c>
      <x:c r="D235" s="12" t="str"/>
      <x:c r="E235" s="11" t="str"/>
      <x:c r="F235" s="12" t="str"/>
      <x:c r="G235" s="11" t="str"/>
      <x:c r="H235" s="8" t="str"/>
      <x:c r="I235" s="8" t="str">
        <x:v>Versiune de lucru / arhivă</x:v>
      </x:c>
      <x:c r="J235" s="8" t="str">
        <x:v>Nr. 13 din data [13.12.2024]
nr. 31/1990 privind societățile comerciale, actualizată, în cadrul Adunării Generale a Asociaților, întrunită legal la sediul societății din Alba Iulia, str. Theod
nr. 5, jud. Alba, la data de 13.12.2024, cu participarea tuturor asociaților, s-a adoptat următoarea hotărâre:
nr. 618936, CNP 1721019120687, emisă de SPCJEP Alba, cu valabilitate 21.10.2015 – 19.10.2025, domiciliat în Mun. Alba Iulia, str. Simion Bărnuțiu nr. 17B, jud. Alb</x:v>
      </x:c>
      <x:c r="K235" s="8" t="str">
        <x:v>Text extras; numerele din referințe sunt în coloana separată</x:v>
      </x:c>
      <x:c r="L235" s="8" t="e">
        <x:f>HYPERLINK("file:///Z:/00. Proiecte 2025/AFIR FotoVoltaic 1/10. Contractare/1. Documente solicitate pentru contractare/Arhiva/HOTĂRÂREA ADUNĂRII GENERALE A ASOCIAȚILOR Cesiro Production Deschidere Cont Exim Bank.docx","Deschide sursa")</x:f>
        <x:v>HYPERLINK is not implemented. linkLocation=file:///Z:/00. Proiecte 2025/AFIR FotoVoltaic 1/10. Contractare/1. Documente solicitate pentru contractare/Arhiva/HOTĂRÂREA ADUNĂRII GENERALE A ASOCIAȚILOR Cesiro Production Deschidere Cont Exim Bank.docx, friendlyName=Deschide sursa</x:v>
      </x:c>
    </x:row>
    <x:row r="236" ht="64" customHeight="1">
      <x:c r="A236" s="8" t="str">
        <x:v>F0389</x:v>
      </x:c>
      <x:c r="B236" s="8" t="str">
        <x:v>IBAN CESIRO PRODUCTION ING.pdf</x:v>
      </x:c>
      <x:c r="C236" s="8" t="str">
        <x:v>Contractare</x:v>
      </x:c>
      <x:c r="D236" s="12" t="str"/>
      <x:c r="E236" s="11" t="str"/>
      <x:c r="F236" s="12" t="str"/>
      <x:c r="G236" s="11" t="str"/>
      <x:c r="H236" s="8" t="str"/>
      <x:c r="I236" s="8" t="str">
        <x:v>Versiune de lucru / arhivă</x:v>
      </x:c>
      <x:c r="J236" s="8" t="str">
        <x:v>nr. 54A, cladirea nr. 3, sector 1,
nr. 54A,
nr. 3, sector 1, cod poștal 012095, București,
nregistrare fiscală RO6151100, înregistrată în Registrul</x:v>
      </x:c>
      <x:c r="K236" s="8" t="str">
        <x:v>Text extras; numerele din referințe sunt în coloana separată</x:v>
      </x:c>
      <x:c r="L236" s="8" t="e">
        <x:f>HYPERLINK("file:///Z:/00. Proiecte 2025/AFIR FotoVoltaic 1/10. Contractare/1. Documente solicitate pentru contractare/Arhiva/IBAN CESIRO PRODUCTION ING.pdf","Deschide sursa")</x:f>
        <x:v>HYPERLINK is not implemented. linkLocation=file:///Z:/00. Proiecte 2025/AFIR FotoVoltaic 1/10. Contractare/1. Documente solicitate pentru contractare/Arhiva/IBAN CESIRO PRODUCTION ING.pdf, friendlyName=Deschide sursa</x:v>
      </x:c>
    </x:row>
    <x:row r="237" ht="36" customHeight="1">
      <x:c r="A237" s="8" t="str">
        <x:v>F0390</x:v>
      </x:c>
      <x:c r="B237" s="8" t="str">
        <x:v>1. Oferta castigatoare Suntree Solar Tech SRL.pdf</x:v>
      </x:c>
      <x:c r="C237" s="8" t="str">
        <x:v>Contractare</x:v>
      </x:c>
      <x:c r="D237" s="12" t="str"/>
      <x:c r="E237" s="11" t="str"/>
      <x:c r="F237" s="12" t="str"/>
      <x:c r="G237" s="11" t="str"/>
      <x:c r="H237" s="8" t="str"/>
      <x:c r="I237" s="8" t="str">
        <x:v>Document local; transmiterea individuală neconfirmată</x:v>
      </x:c>
      <x:c r="J237" s="8" t="str"/>
      <x:c r="K237" s="8" t="str">
        <x:v>Text extras; numerele din referințe sunt în coloana separată</x:v>
      </x:c>
      <x:c r="L237" s="8" t="e">
        <x:f>HYPERLINK("file:///Z:/00. Proiecte 2025/AFIR FotoVoltaic 1/10. Contractare/1. Documente solicitate pentru contractare/DE SEMNAT/1. Oferta castigatoare Suntree Solar Tech SRL.pdf","Deschide sursa")</x:f>
        <x:v>HYPERLINK is not implemented. linkLocation=file:///Z:/00. Proiecte 2025/AFIR FotoVoltaic 1/10. Contractare/1. Documente solicitate pentru contractare/DE SEMNAT/1. Oferta castigatoare Suntree Solar Tech SRL.pdf, friendlyName=Deschide sursa</x:v>
      </x:c>
    </x:row>
    <x:row r="238" ht="36" customHeight="1">
      <x:c r="A238" s="8" t="str">
        <x:v>F0392</x:v>
      </x:c>
      <x:c r="B238" s="8" t="str">
        <x:v>11. Declaratie prorpie raspundere CAEN.pdf</x:v>
      </x:c>
      <x:c r="C238" s="8" t="str">
        <x:v>Contractare</x:v>
      </x:c>
      <x:c r="D238" s="12" t="str"/>
      <x:c r="E238" s="11" t="str"/>
      <x:c r="F238" s="12" t="str"/>
      <x:c r="G238" s="11" t="str"/>
      <x:c r="H238" s="8" t="str"/>
      <x:c r="I238" s="8" t="str">
        <x:v>Document local; transmiterea individuală neconfirmată</x:v>
      </x:c>
      <x:c r="J238" s="8" t="str">
        <x:v>Nr. 5, Cod Poștal 510040, Municipiul Alba Iulia, Jud. Alba, beneficiar al proiectului nr.</x:v>
      </x:c>
      <x:c r="K238" s="8" t="str">
        <x:v>Text extras; numerele din referințe sunt în coloana separată</x:v>
      </x:c>
      <x:c r="L238" s="8" t="e">
        <x:f>HYPERLINK("file:///Z:/00. Proiecte 2025/AFIR FotoVoltaic 1/10. Contractare/1. Documente solicitate pentru contractare/DE SEMNAT/11. Declaratie prorpie raspundere CAEN.pdf","Deschide sursa")</x:f>
        <x:v>HYPERLINK is not implemented. linkLocation=file:///Z:/00. Proiecte 2025/AFIR FotoVoltaic 1/10. Contractare/1. Documente solicitate pentru contractare/DE SEMNAT/11. Declaratie prorpie raspundere CAEN.pdf, friendlyName=Deschide sursa</x:v>
      </x:c>
    </x:row>
    <x:row r="239" ht="92" customHeight="1">
      <x:c r="A239" s="8" t="str">
        <x:v>F0393</x:v>
      </x:c>
      <x:c r="B239" s="8" t="str">
        <x:v>11.1 Act constitutiv modificat .pdf</x:v>
      </x:c>
      <x:c r="C239" s="8" t="str">
        <x:v>Contractare</x:v>
      </x:c>
      <x:c r="D239" s="12" t="str"/>
      <x:c r="E239" s="11" t="str"/>
      <x:c r="F239" s="12" t="str"/>
      <x:c r="G239" s="11" t="str"/>
      <x:c r="H239" s="8" t="str"/>
      <x:c r="I239" s="8" t="str">
        <x:v>Document local; transmiterea individuală neconfirmată</x:v>
      </x:c>
      <x:c r="J239" s="8" t="str">
        <x:v>nr.5, jud. Alba,
nr. J1/685/2017, CUI 37705493, reprezentată de COVACIU COSMIN ADRIAN ,
nr.17B, jud. Alba, posesor al CI seria AX 618936 emisă de SPCJEP Alba la data de 21.10.2015, CNP
nr.5, jud.Alba . Societatea va putea
nr.17B, jud. Alba,
nr.31/1990 (modificată).</x:v>
      </x:c>
      <x:c r="K239" s="8" t="str">
        <x:v>Text extras; numerele din referințe sunt în coloana separată</x:v>
      </x:c>
      <x:c r="L239" s="8" t="e">
        <x:f>HYPERLINK("file:///Z:/00. Proiecte 2025/AFIR FotoVoltaic 1/10. Contractare/1. Documente solicitate pentru contractare/DE SEMNAT/11.1 Act constitutiv modificat .pdf","Deschide sursa")</x:f>
        <x:v>HYPERLINK is not implemented. linkLocation=file:///Z:/00. Proiecte 2025/AFIR FotoVoltaic 1/10. Contractare/1. Documente solicitate pentru contractare/DE SEMNAT/11.1 Act constitutiv modificat .pdf, friendlyName=Deschide sursa</x:v>
      </x:c>
    </x:row>
    <x:row r="240" ht="36" customHeight="1">
      <x:c r="A240" s="8" t="str">
        <x:v>F0394</x:v>
      </x:c>
      <x:c r="B240" s="8" t="str">
        <x:v>11.2 Cesiro Production declaratie[1] ONRC.pdf</x:v>
      </x:c>
      <x:c r="C240" s="8" t="str">
        <x:v>Contractare</x:v>
      </x:c>
      <x:c r="D240" s="12" t="str"/>
      <x:c r="E240" s="11" t="str"/>
      <x:c r="F240" s="12" t="str"/>
      <x:c r="G240" s="11" t="str"/>
      <x:c r="H240" s="8" t="str"/>
      <x:c r="I240" s="8" t="str">
        <x:v>Document local; transmiterea individuală neconfirmată</x:v>
      </x:c>
      <x:c r="J240" s="8" t="str">
        <x:v>nr. 4
nregistrare(4) .......…..............….....................,</x:v>
      </x:c>
      <x:c r="K240" s="8" t="str">
        <x:v>Text extras; numerele din referințe sunt în coloana separată</x:v>
      </x:c>
      <x:c r="L240" s="8" t="e">
        <x:f>HYPERLINK("file:///Z:/00. Proiecte 2025/AFIR FotoVoltaic 1/10. Contractare/1. Documente solicitate pentru contractare/DE SEMNAT/11.2 Cesiro Production declaratie[1] ONRC.pdf","Deschide sursa")</x:f>
        <x:v>HYPERLINK is not implemented. linkLocation=file:///Z:/00. Proiecte 2025/AFIR FotoVoltaic 1/10. Contractare/1. Documente solicitate pentru contractare/DE SEMNAT/11.2 Cesiro Production declaratie[1] ONRC.pdf, friendlyName=Deschide sursa</x:v>
      </x:c>
    </x:row>
    <x:row r="241" ht="176" customHeight="1">
      <x:c r="A241" s="8" t="str">
        <x:v>F0395</x:v>
      </x:c>
      <x:c r="B241" s="8" t="str">
        <x:v>11.3 Cesiro Production SRL 11-10-150[1]   ONRC.pdf</x:v>
      </x:c>
      <x:c r="C241" s="8" t="str">
        <x:v>Contractare</x:v>
      </x:c>
      <x:c r="D241" s="12" t="str"/>
      <x:c r="E241" s="11" t="str"/>
      <x:c r="F241" s="12" t="str"/>
      <x:c r="G241" s="11" t="str"/>
      <x:c r="H241" s="8" t="str"/>
      <x:c r="I241" s="8" t="str">
        <x:v>Document local; transmiterea individuală neconfirmată</x:v>
      </x:c>
      <x:c r="J241" s="8" t="str">
        <x:v>Nr. 2a
nregistrare sucursală persoană juridică română(3)
nregistrare sucursală persoană juridică străină (3)
nr.31/1990
nr. 265/2022
nr. 1 Declarație pe propria răspundere privind
nr. 2 – referitor la înregistrarea fiscală
nr. 3 – referitor la investiția străină
nregistrare și documentele în susținerea acesteia se depun de către(11):
nr. 265/2022 .
nr. 679/2016 al Parlamentului European și al Consiliului Uniunii Europene privind
nr. 119L/04.05.2016, prin</x:v>
      </x:c>
      <x:c r="K241" s="8" t="str">
        <x:v>Text extras; numerele din referințe sunt în coloana separată</x:v>
      </x:c>
      <x:c r="L241" s="8" t="e">
        <x:f>HYPERLINK("file:///Z:/00. Proiecte 2025/AFIR FotoVoltaic 1/10. Contractare/1. Documente solicitate pentru contractare/DE SEMNAT/11.3 Cesiro Production SRL 11-10-150[1]   ONRC.pdf","Deschide sursa")</x:f>
        <x:v>HYPERLINK is not implemented. linkLocation=file:///Z:/00. Proiecte 2025/AFIR FotoVoltaic 1/10. Contractare/1. Documente solicitate pentru contractare/DE SEMNAT/11.3 Cesiro Production SRL 11-10-150[1]   ONRC.pdf, friendlyName=Deschide sursa</x:v>
      </x:c>
    </x:row>
    <x:row r="242" ht="36" customHeight="1">
      <x:c r="A242" s="8" t="str">
        <x:v>F0396</x:v>
      </x:c>
      <x:c r="B242" s="8" t="str">
        <x:v>11.4 Cesiro Production SRL - Factura ONRC.pdf</x:v>
      </x:c>
      <x:c r="C242" s="8" t="str">
        <x:v>Contractare</x:v>
      </x:c>
      <x:c r="D242" s="12" t="str"/>
      <x:c r="E242" s="11" t="str"/>
      <x:c r="F242" s="12" t="str"/>
      <x:c r="G242" s="11" t="str"/>
      <x:c r="H242" s="8" t="str"/>
      <x:c r="I242" s="8" t="str">
        <x:v>Document local; transmiterea individuală neconfirmată</x:v>
      </x:c>
      <x:c r="J242" s="8" t="str"/>
      <x:c r="K242" s="8" t="str">
        <x:v>Text extras; numerele din referințe sunt în coloana separată</x:v>
      </x:c>
      <x:c r="L242" s="8" t="e">
        <x:f>HYPERLINK("file:///Z:/00. Proiecte 2025/AFIR FotoVoltaic 1/10. Contractare/1. Documente solicitate pentru contractare/DE SEMNAT/11.4 Cesiro Production SRL - Factura ONRC.pdf","Deschide sursa")</x:f>
        <x:v>HYPERLINK is not implemented. linkLocation=file:///Z:/00. Proiecte 2025/AFIR FotoVoltaic 1/10. Contractare/1. Documente solicitate pentru contractare/DE SEMNAT/11.4 Cesiro Production SRL - Factura ONRC.pdf, friendlyName=Deschide sursa</x:v>
      </x:c>
    </x:row>
    <x:row r="243" ht="50" customHeight="1">
      <x:c r="A243" s="8" t="str">
        <x:v>F0397</x:v>
      </x:c>
      <x:c r="B243" s="8" t="str">
        <x:v>11.5 HOT CESIRO PRODUCTION - ob act 12.02.2024 ONRC .pdf</x:v>
      </x:c>
      <x:c r="C243" s="8" t="str">
        <x:v>Contractare</x:v>
      </x:c>
      <x:c r="D243" s="12" t="str"/>
      <x:c r="E243" s="11" t="str"/>
      <x:c r="F243" s="12" t="str"/>
      <x:c r="G243" s="11" t="str"/>
      <x:c r="H243" s="8" t="str"/>
      <x:c r="I243" s="8" t="str">
        <x:v>Document local; transmiterea individuală neconfirmată</x:v>
      </x:c>
      <x:c r="J243" s="8" t="str">
        <x:v>NR. 2/17.12.2024</x:v>
      </x:c>
      <x:c r="K243" s="8" t="str">
        <x:v>Text extras; numerele din referințe sunt în coloana separată</x:v>
      </x:c>
      <x:c r="L243" s="8" t="e">
        <x:f>HYPERLINK("file:///Z:/00. Proiecte 2025/AFIR FotoVoltaic 1/10. Contractare/1. Documente solicitate pentru contractare/DE SEMNAT/11.5 HOT CESIRO PRODUCTION - ob act 12.02.2024 ONRC .pdf","Deschide sursa")</x:f>
        <x:v>HYPERLINK is not implemented. linkLocation=file:///Z:/00. Proiecte 2025/AFIR FotoVoltaic 1/10. Contractare/1. Documente solicitate pentru contractare/DE SEMNAT/11.5 HOT CESIRO PRODUCTION - ob act 12.02.2024 ONRC .pdf, friendlyName=Deschide sursa</x:v>
      </x:c>
    </x:row>
    <x:row r="244" ht="36" customHeight="1">
      <x:c r="A244" s="8" t="str">
        <x:v>F0398</x:v>
      </x:c>
      <x:c r="B244" s="8" t="str">
        <x:v>12. CUI Cesiro Production Color.pdf</x:v>
      </x:c>
      <x:c r="C244" s="8" t="str">
        <x:v>Contractare</x:v>
      </x:c>
      <x:c r="D244" s="12" t="str"/>
      <x:c r="E244" s="11" t="str"/>
      <x:c r="F244" s="12" t="str"/>
      <x:c r="G244" s="11" t="str"/>
      <x:c r="H244" s="8" t="str"/>
      <x:c r="I244" s="8" t="str">
        <x:v>Document local; transmiterea individuală neconfirmată</x:v>
      </x:c>
      <x:c r="J244" s="8" t="str"/>
      <x:c r="K244" s="8" t="str">
        <x:v>Text extras; numerele din referințe sunt în coloana separată</x:v>
      </x:c>
      <x:c r="L244" s="8" t="e">
        <x:f>HYPERLINK("file:///Z:/00. Proiecte 2025/AFIR FotoVoltaic 1/10. Contractare/1. Documente solicitate pentru contractare/DE SEMNAT/12. CUI Cesiro Production Color.pdf","Deschide sursa")</x:f>
        <x:v>HYPERLINK is not implemented. linkLocation=file:///Z:/00. Proiecte 2025/AFIR FotoVoltaic 1/10. Contractare/1. Documente solicitate pentru contractare/DE SEMNAT/12. CUI Cesiro Production Color.pdf, friendlyName=Deschide sursa</x:v>
      </x:c>
    </x:row>
    <x:row r="245" ht="78" customHeight="1">
      <x:c r="A245" s="8" t="str">
        <x:v>F0399</x:v>
      </x:c>
      <x:c r="B245" s="8" t="str">
        <x:v>2. Declaratie proprie raspundere depunere ATR.pdf</x:v>
      </x:c>
      <x:c r="C245" s="8" t="str">
        <x:v>Contractare</x:v>
      </x:c>
      <x:c r="D245" s="12" t="str"/>
      <x:c r="E245" s="11" t="str"/>
      <x:c r="F245" s="12" t="str"/>
      <x:c r="G245" s="11" t="str"/>
      <x:c r="H245" s="8" t="str"/>
      <x:c r="I245" s="8" t="str">
        <x:v>Document local; transmiterea individuală neconfirmată</x:v>
      </x:c>
      <x:c r="J245" s="8" t="str">
        <x:v>Nr. 17,
nr. 123/2012 – reglementează activitățile
NRE nr. 59/2013 privind aprobarea Regulamentului pentru emiterea avizelor
nr. 41/2016 privind stabilirea unor măsuri de simplificare la nivelul administrației
nr. 544/2001 privind liberul acces la informațiile de interes public, care</x:v>
      </x:c>
      <x:c r="K245" s="8" t="str">
        <x:v>Text extras; numerele din referințe sunt în coloana separată</x:v>
      </x:c>
      <x:c r="L245" s="8" t="e">
        <x:f>HYPERLINK("file:///Z:/00. Proiecte 2025/AFIR FotoVoltaic 1/10. Contractare/1. Documente solicitate pentru contractare/DE SEMNAT/2. Declaratie proprie raspundere depunere ATR.pdf","Deschide sursa")</x:f>
        <x:v>HYPERLINK is not implemented. linkLocation=file:///Z:/00. Proiecte 2025/AFIR FotoVoltaic 1/10. Contractare/1. Documente solicitate pentru contractare/DE SEMNAT/2. Declaratie proprie raspundere depunere ATR.pdf, friendlyName=Deschide sursa</x:v>
      </x:c>
    </x:row>
    <x:row r="246" ht="64" customHeight="1">
      <x:c r="A246" s="8" t="str">
        <x:v>F0400</x:v>
      </x:c>
      <x:c r="B246" s="8" t="str">
        <x:v>3. EXIM BANK Extras de cont Cesiro Production SRL.pdf</x:v>
      </x:c>
      <x:c r="C246" s="8" t="str">
        <x:v>Contractare</x:v>
      </x:c>
      <x:c r="D246" s="12" t="str"/>
      <x:c r="E246" s="11" t="str"/>
      <x:c r="F246" s="12" t="str"/>
      <x:c r="G246" s="11" t="str"/>
      <x:c r="H246" s="8" t="str"/>
      <x:c r="I246" s="8" t="str">
        <x:v>Document local; transmiterea individuală neconfirmată</x:v>
      </x:c>
      <x:c r="J246" s="8" t="str">
        <x:v>Nr.5
nregistrata la 20-12-2024
nr. 311/2015 privind schemele de garantare a
nr. 2 la acelasi act normativ. Mai multe detalii se</x:v>
      </x:c>
      <x:c r="K246" s="8" t="str">
        <x:v>Text extras; numerele din referințe sunt în coloana separată</x:v>
      </x:c>
      <x:c r="L246" s="8" t="e">
        <x:f>HYPERLINK("file:///Z:/00. Proiecte 2025/AFIR FotoVoltaic 1/10. Contractare/1. Documente solicitate pentru contractare/DE SEMNAT/3. EXIM BANK Extras de cont Cesiro Production SRL.pdf","Deschide sursa")</x:f>
        <x:v>HYPERLINK is not implemented. linkLocation=file:///Z:/00. Proiecte 2025/AFIR FotoVoltaic 1/10. Contractare/1. Documente solicitate pentru contractare/DE SEMNAT/3. EXIM BANK Extras de cont Cesiro Production SRL.pdf, friendlyName=Deschide sursa</x:v>
      </x:c>
    </x:row>
    <x:row r="247" ht="36" customHeight="1">
      <x:c r="A247" s="8" t="str">
        <x:v>F0401</x:v>
      </x:c>
      <x:c r="B247" s="8" t="str">
        <x:v>4. Notificare APM.pdf</x:v>
      </x:c>
      <x:c r="C247" s="8" t="str">
        <x:v>Contractare</x:v>
      </x:c>
      <x:c r="D247" s="12" t="str"/>
      <x:c r="E247" s="11" t="str"/>
      <x:c r="F247" s="12" t="str"/>
      <x:c r="G247" s="11" t="str"/>
      <x:c r="H247" s="8" t="str"/>
      <x:c r="I247" s="8" t="str">
        <x:v>Document local; transmiterea individuală neconfirmată</x:v>
      </x:c>
      <x:c r="J247" s="8" t="str"/>
      <x:c r="K247" s="8" t="str">
        <x:v>Text extras; numerele din referințe sunt în coloana separată</x:v>
      </x:c>
      <x:c r="L247" s="8" t="e">
        <x:f>HYPERLINK("file:///Z:/00. Proiecte 2025/AFIR FotoVoltaic 1/10. Contractare/1. Documente solicitate pentru contractare/DE SEMNAT/4. Notificare APM.pdf","Deschide sursa")</x:f>
        <x:v>HYPERLINK is not implemented. linkLocation=file:///Z:/00. Proiecte 2025/AFIR FotoVoltaic 1/10. Contractare/1. Documente solicitate pentru contractare/DE SEMNAT/4. Notificare APM.pdf, friendlyName=Deschide sursa</x:v>
      </x:c>
    </x:row>
    <x:row r="248" ht="64" customHeight="1">
      <x:c r="A248" s="8" t="str">
        <x:v>F0402</x:v>
      </x:c>
      <x:c r="B248" s="8" t="str">
        <x:v>5. Certificat de atestare fiscala Cesiro Production SRL.pdf</x:v>
      </x:c>
      <x:c r="C248" s="8" t="str">
        <x:v>Contractare</x:v>
      </x:c>
      <x:c r="D248" s="12" t="str"/>
      <x:c r="E248" s="11" t="str"/>
      <x:c r="F248" s="12" t="str"/>
      <x:c r="G248" s="11" t="str"/>
      <x:c r="H248" s="8" t="str"/>
      <x:c r="I248" s="8" t="str">
        <x:v>Document local; transmiterea individuală neconfirmată</x:v>
      </x:c>
      <x:c r="J248" s="8" t="str">
        <x:v>Nr. 5
nr. 11815602 din data de 12.12.2024
nr. 207/2015 privind Codul de procedura fiscala, cu
nr. 207/2015 privind Codul de</x:v>
      </x:c>
      <x:c r="K248" s="8" t="str">
        <x:v>Text extras; numerele din referințe sunt în coloana separată</x:v>
      </x:c>
      <x:c r="L248" s="8" t="e">
        <x:f>HYPERLINK("file:///Z:/00. Proiecte 2025/AFIR FotoVoltaic 1/10. Contractare/1. Documente solicitate pentru contractare/DE SEMNAT/5. Certificat de atestare fiscala Cesiro Production SRL.pdf","Deschide sursa")</x:f>
        <x:v>HYPERLINK is not implemented. linkLocation=file:///Z:/00. Proiecte 2025/AFIR FotoVoltaic 1/10. Contractare/1. Documente solicitate pentru contractare/DE SEMNAT/5. Certificat de atestare fiscala Cesiro Production SRL.pdf, friendlyName=Deschide sursa</x:v>
      </x:c>
    </x:row>
    <x:row r="249" ht="64" customHeight="1">
      <x:c r="A249" s="8" t="str">
        <x:v>F0403</x:v>
      </x:c>
      <x:c r="B249" s="8" t="str">
        <x:v>6. CESIRO P. ADRESA CONTURI SEMNATA.pdf</x:v>
      </x:c>
      <x:c r="C249" s="8" t="str">
        <x:v>Contractare</x:v>
      </x:c>
      <x:c r="D249" s="12" t="str"/>
      <x:c r="E249" s="11" t="str"/>
      <x:c r="F249" s="12" t="str"/>
      <x:c r="G249" s="11" t="str"/>
      <x:c r="H249" s="8" t="str">
        <x:v>250012 / 20.12.2024</x:v>
      </x:c>
      <x:c r="I249" s="8" t="str">
        <x:v>Document local; transmiterea individuală neconfirmată</x:v>
      </x:c>
      <x:c r="J249" s="8" t="str">
        <x:v>nr. J32/686/05.04.2023 CUI RO47954270 identificator unic la nivel european (EIUD) ROONRC.J40/8799/1992 capital social
Nr. 250012 / 20.12.2024
nr. RO49BRMA114002541825RO01</x:v>
      </x:c>
      <x:c r="K249" s="8" t="str">
        <x:v>Text extras; numerele din referințe sunt în coloana separată</x:v>
      </x:c>
      <x:c r="L249" s="8" t="e">
        <x:f>HYPERLINK("file:///Z:/00. Proiecte 2025/AFIR FotoVoltaic 1/10. Contractare/1. Documente solicitate pentru contractare/DE SEMNAT/6. CESIRO P. ADRESA CONTURI SEMNATA.pdf","Deschide sursa")</x:f>
        <x:v>HYPERLINK is not implemented. linkLocation=file:///Z:/00. Proiecte 2025/AFIR FotoVoltaic 1/10. Contractare/1. Documente solicitate pentru contractare/DE SEMNAT/6. CESIRO P. ADRESA CONTURI SEMNATA.pdf, friendlyName=Deschide sursa</x:v>
      </x:c>
    </x:row>
    <x:row r="250" ht="36" customHeight="1">
      <x:c r="A250" s="8" t="str">
        <x:v>F0405</x:v>
      </x:c>
      <x:c r="B250" s="8" t="str">
        <x:v>8. Grafic de eșalonare.pdf</x:v>
      </x:c>
      <x:c r="C250" s="8" t="str">
        <x:v>Contractare</x:v>
      </x:c>
      <x:c r="D250" s="12" t="str"/>
      <x:c r="E250" s="11" t="str"/>
      <x:c r="F250" s="12" t="str"/>
      <x:c r="G250" s="11" t="str"/>
      <x:c r="H250" s="8" t="str"/>
      <x:c r="I250" s="8" t="str">
        <x:v>Document local; transmiterea individuală neconfirmată</x:v>
      </x:c>
      <x:c r="J250" s="8" t="str"/>
      <x:c r="K250" s="8" t="str">
        <x:v>Text extras; numerele din referințe sunt în coloana separată</x:v>
      </x:c>
      <x:c r="L250" s="8" t="e">
        <x:f>HYPERLINK("file:///Z:/00. Proiecte 2025/AFIR FotoVoltaic 1/10. Contractare/1. Documente solicitate pentru contractare/DE SEMNAT/8. Grafic de eșalonare.pdf","Deschide sursa")</x:f>
        <x:v>HYPERLINK is not implemented. linkLocation=file:///Z:/00. Proiecte 2025/AFIR FotoVoltaic 1/10. Contractare/1. Documente solicitate pentru contractare/DE SEMNAT/8. Grafic de eșalonare.pdf, friendlyName=Deschide sursa</x:v>
      </x:c>
    </x:row>
    <x:row r="251" ht="36" customHeight="1">
      <x:c r="A251" s="8" t="str">
        <x:v>F0406</x:v>
      </x:c>
      <x:c r="B251" s="8" t="str">
        <x:v>9. Modificare ONRC+ Factura.pdf</x:v>
      </x:c>
      <x:c r="C251" s="8" t="str">
        <x:v>Contractare</x:v>
      </x:c>
      <x:c r="D251" s="12" t="str"/>
      <x:c r="E251" s="11" t="str"/>
      <x:c r="F251" s="12" t="str"/>
      <x:c r="G251" s="11" t="str"/>
      <x:c r="H251" s="8" t="str"/>
      <x:c r="I251" s="8" t="str">
        <x:v>Document local; transmiterea individuală neconfirmată</x:v>
      </x:c>
      <x:c r="J251" s="8" t="str"/>
      <x:c r="K251" s="8" t="str">
        <x:v>Text extras; numerele din referințe sunt în coloana separată</x:v>
      </x:c>
      <x:c r="L251" s="8" t="e">
        <x:f>HYPERLINK("file:///Z:/00. Proiecte 2025/AFIR FotoVoltaic 1/10. Contractare/1. Documente solicitate pentru contractare/DE SEMNAT/9. Modificare ONRC+ Factura.pdf","Deschide sursa")</x:f>
        <x:v>HYPERLINK is not implemented. linkLocation=file:///Z:/00. Proiecte 2025/AFIR FotoVoltaic 1/10. Contractare/1. Documente solicitate pentru contractare/DE SEMNAT/9. Modificare ONRC+ Factura.pdf, friendlyName=Deschide sursa</x:v>
      </x:c>
    </x:row>
    <x:row r="252" ht="50" customHeight="1">
      <x:c r="A252" s="8" t="str">
        <x:v>F0407</x:v>
      </x:c>
      <x:c r="B252" s="8" t="str">
        <x:v>1. Oferta castigatoare Suntree Solar Tech SRL semnat.pdf</x:v>
      </x:c>
      <x:c r="C252" s="8" t="str">
        <x:v>Contractare</x:v>
      </x:c>
      <x:c r="D252" s="12" t="str"/>
      <x:c r="E252" s="11" t="str"/>
      <x:c r="F252" s="12" t="str"/>
      <x:c r="G252" s="11" t="str"/>
      <x:c r="H252" s="8" t="str"/>
      <x:c r="I252" s="8" t="str">
        <x:v>Document local; transmiterea individuală neconfirmată</x:v>
      </x:c>
      <x:c r="J252" s="8" t="str"/>
      <x:c r="K252" s="8" t="str">
        <x:v>Text extras; numerele din referințe sunt în coloana separată</x:v>
      </x:c>
      <x:c r="L252" s="8" t="e">
        <x:f>HYPERLINK("file:///Z:/00. Proiecte 2025/AFIR FotoVoltaic 1/10. Contractare/1. Documente solicitate pentru contractare/SEMNATE/1. Oferta castigatoare Suntree Solar Tech SRL semnat.pdf","Deschide sursa")</x:f>
        <x:v>HYPERLINK is not implemented. linkLocation=file:///Z:/00. Proiecte 2025/AFIR FotoVoltaic 1/10. Contractare/1. Documente solicitate pentru contractare/SEMNATE/1. Oferta castigatoare Suntree Solar Tech SRL semnat.pdf, friendlyName=Deschide sursa</x:v>
      </x:c>
    </x:row>
    <x:row r="253" ht="260" customHeight="1">
      <x:c r="A253" s="8" t="str">
        <x:v>F0408</x:v>
      </x:c>
      <x:c r="B253" s="8" t="str">
        <x:v>10. Certificat constatator ONRC  Cesiro Production semnat.pdf</x:v>
      </x:c>
      <x:c r="C253" s="8" t="str">
        <x:v>Contractare</x:v>
      </x:c>
      <x:c r="D253" s="12" t="str"/>
      <x:c r="E253" s="11" t="str"/>
      <x:c r="F253" s="12" t="str"/>
      <x:c r="G253" s="11" t="str"/>
      <x:c r="H253" s="8" t="str"/>
      <x:c r="I253" s="8" t="str">
        <x:v>Document local; transmiterea individuală neconfirmată</x:v>
      </x:c>
      <x:c r="J253" s="8" t="str">
        <x:v>Nr raport: 1428952/13.12.2024
nregistrată sub nr. 3520468 din 13.12.2024, Oficiul Naţional al
NRC.J1/1328/2021
nregistrare : 45050734
nregistrare : B4836397, emis în data de 14.02.2024, eliberat în data de 15.02.2024
nr. 11067 din 13.10.2021
nr. 3249 din 13.02.2024
nr. 1 din 12.10.2021
nr.31/1990
nr. 2 din 12.01.2021
nr. 45801 din 12.10.2021
Nr. intrare: 3249 din 13.02.2024
nr. 31/1990)
Nr. intrare: 45801 din 12.10.2021
nr. 359/2004
nr. 45801 din 12.10.2021 emis de COVACIU
nregistrare este prevăzută de lege, în cel mult 15 zile de la data actelor sau producerii faptelor supuse
nr. 679/2016</x:v>
      </x:c>
      <x:c r="K253" s="8" t="str">
        <x:v>Text extras; numerele din referințe sunt în coloana separată</x:v>
      </x:c>
      <x:c r="L253" s="8" t="e">
        <x:f>HYPERLINK("file:///Z:/00. Proiecte 2025/AFIR FotoVoltaic 1/10. Contractare/1. Documente solicitate pentru contractare/SEMNATE/10. Certificat constatator ONRC  Cesiro Production semnat.pdf","Deschide sursa")</x:f>
        <x:v>HYPERLINK is not implemented. linkLocation=file:///Z:/00. Proiecte 2025/AFIR FotoVoltaic 1/10. Contractare/1. Documente solicitate pentru contractare/SEMNATE/10. Certificat constatator ONRC  Cesiro Production semnat.pdf, friendlyName=Deschide sursa</x:v>
      </x:c>
    </x:row>
    <x:row r="254" ht="36" customHeight="1">
      <x:c r="A254" s="8" t="str">
        <x:v>F0409</x:v>
      </x:c>
      <x:c r="B254" s="8" t="str">
        <x:v>11. Declaratie prorpie raspundere CAEN semnat.pdf</x:v>
      </x:c>
      <x:c r="C254" s="8" t="str">
        <x:v>Contractare</x:v>
      </x:c>
      <x:c r="D254" s="12" t="str"/>
      <x:c r="E254" s="11" t="str"/>
      <x:c r="F254" s="12" t="str"/>
      <x:c r="G254" s="11" t="str"/>
      <x:c r="H254" s="8" t="str"/>
      <x:c r="I254" s="8" t="str">
        <x:v>Document local; transmiterea individuală neconfirmată</x:v>
      </x:c>
      <x:c r="J254" s="8" t="str">
        <x:v>Nr. 5, Cod Poștal 510040, Municipiul Alba Iulia, Jud. Alba, beneficiar al proiectului nr.</x:v>
      </x:c>
      <x:c r="K254" s="8" t="str">
        <x:v>Text extras; numerele din referințe sunt în coloana separată</x:v>
      </x:c>
      <x:c r="L254" s="8" t="e">
        <x:f>HYPERLINK("file:///Z:/00. Proiecte 2025/AFIR FotoVoltaic 1/10. Contractare/1. Documente solicitate pentru contractare/SEMNATE/11. Declaratie prorpie raspundere CAEN semnat.pdf","Deschide sursa")</x:f>
        <x:v>HYPERLINK is not implemented. linkLocation=file:///Z:/00. Proiecte 2025/AFIR FotoVoltaic 1/10. Contractare/1. Documente solicitate pentru contractare/SEMNATE/11. Declaratie prorpie raspundere CAEN semnat.pdf, friendlyName=Deschide sursa</x:v>
      </x:c>
    </x:row>
    <x:row r="255" ht="176" customHeight="1">
      <x:c r="A255" s="8" t="str">
        <x:v>F0410</x:v>
      </x:c>
      <x:c r="B255" s="8" t="str">
        <x:v>11.3 Cesiro Production SRL 11-10-150[1]   ONRC semnat.pdf</x:v>
      </x:c>
      <x:c r="C255" s="8" t="str">
        <x:v>Contractare</x:v>
      </x:c>
      <x:c r="D255" s="12" t="str"/>
      <x:c r="E255" s="11" t="str"/>
      <x:c r="F255" s="12" t="str"/>
      <x:c r="G255" s="11" t="str"/>
      <x:c r="H255" s="8" t="str"/>
      <x:c r="I255" s="8" t="str">
        <x:v>Document local; transmiterea individuală neconfirmată</x:v>
      </x:c>
      <x:c r="J255" s="8" t="str">
        <x:v>Nr. 2a
nregistrare sucursală persoană juridică română(3)
nregistrare sucursală persoană juridică străină (3)
nr.31/1990
nr. 265/2022
nr. 1 Declarație pe propria răspundere privind
nr. 2 – referitor la înregistrarea fiscală
nr. 3 – referitor la investiția străină
nregistrare și documentele în susținerea acesteia se depun de către(11):
nr. 265/2022 .
nr. 679/2016 al Parlamentului European și al Consiliului Uniunii Europene privind
nr. 119L/04.05.2016, prin</x:v>
      </x:c>
      <x:c r="K255" s="8" t="str">
        <x:v>Text extras; numerele din referințe sunt în coloana separată</x:v>
      </x:c>
      <x:c r="L255" s="8" t="e">
        <x:f>HYPERLINK("file:///Z:/00. Proiecte 2025/AFIR FotoVoltaic 1/10. Contractare/1. Documente solicitate pentru contractare/SEMNATE/11.3 Cesiro Production SRL 11-10-150[1]   ONRC semnat.pdf","Deschide sursa")</x:f>
        <x:v>HYPERLINK is not implemented. linkLocation=file:///Z:/00. Proiecte 2025/AFIR FotoVoltaic 1/10. Contractare/1. Documente solicitate pentru contractare/SEMNATE/11.3 Cesiro Production SRL 11-10-150[1]   ONRC semnat.pdf, friendlyName=Deschide sursa</x:v>
      </x:c>
    </x:row>
    <x:row r="256" ht="50" customHeight="1">
      <x:c r="A256" s="8" t="str">
        <x:v>F0411</x:v>
      </x:c>
      <x:c r="B256" s="8" t="str">
        <x:v>11.4 Cesiro Production SRL - Factura ONRC semnat.pdf</x:v>
      </x:c>
      <x:c r="C256" s="8" t="str">
        <x:v>Contractare</x:v>
      </x:c>
      <x:c r="D256" s="12" t="str"/>
      <x:c r="E256" s="11" t="str"/>
      <x:c r="F256" s="12" t="str"/>
      <x:c r="G256" s="11" t="str"/>
      <x:c r="H256" s="8" t="str"/>
      <x:c r="I256" s="8" t="str">
        <x:v>Document local; transmiterea individuală neconfirmată</x:v>
      </x:c>
      <x:c r="J256" s="8" t="str"/>
      <x:c r="K256" s="8" t="str">
        <x:v>Text extras; numerele din referințe sunt în coloana separată</x:v>
      </x:c>
      <x:c r="L256" s="8" t="e">
        <x:f>HYPERLINK("file:///Z:/00. Proiecte 2025/AFIR FotoVoltaic 1/10. Contractare/1. Documente solicitate pentru contractare/SEMNATE/11.4 Cesiro Production SRL - Factura ONRC semnat.pdf","Deschide sursa")</x:f>
        <x:v>HYPERLINK is not implemented. linkLocation=file:///Z:/00. Proiecte 2025/AFIR FotoVoltaic 1/10. Contractare/1. Documente solicitate pentru contractare/SEMNATE/11.4 Cesiro Production SRL - Factura ONRC semnat.pdf, friendlyName=Deschide sursa</x:v>
      </x:c>
    </x:row>
    <x:row r="257" ht="50" customHeight="1">
      <x:c r="A257" s="8" t="str">
        <x:v>F0412</x:v>
      </x:c>
      <x:c r="B257" s="8" t="str">
        <x:v>11.5 HOT CESIRO PRODUCTION - ob act 12.02.2024 ONRC semnat .pdf</x:v>
      </x:c>
      <x:c r="C257" s="8" t="str">
        <x:v>Contractare</x:v>
      </x:c>
      <x:c r="D257" s="12" t="str"/>
      <x:c r="E257" s="11" t="str"/>
      <x:c r="F257" s="12" t="str"/>
      <x:c r="G257" s="11" t="str"/>
      <x:c r="H257" s="8" t="str"/>
      <x:c r="I257" s="8" t="str">
        <x:v>Document local; transmiterea individuală neconfirmată</x:v>
      </x:c>
      <x:c r="J257" s="8" t="str">
        <x:v>NR. 2/17.12.2024</x:v>
      </x:c>
      <x:c r="K257" s="8" t="str">
        <x:v>Text extras; numerele din referințe sunt în coloana separată</x:v>
      </x:c>
      <x:c r="L257" s="8" t="e">
        <x:f>HYPERLINK("file:///Z:/00. Proiecte 2025/AFIR FotoVoltaic 1/10. Contractare/1. Documente solicitate pentru contractare/SEMNATE/11.5 HOT CESIRO PRODUCTION - ob act 12.02.2024 ONRC semnat .pdf","Deschide sursa")</x:f>
        <x:v>HYPERLINK is not implemented. linkLocation=file:///Z:/00. Proiecte 2025/AFIR FotoVoltaic 1/10. Contractare/1. Documente solicitate pentru contractare/SEMNATE/11.5 HOT CESIRO PRODUCTION - ob act 12.02.2024 ONRC semnat .pdf, friendlyName=Deschide sursa</x:v>
      </x:c>
    </x:row>
    <x:row r="258" ht="36" customHeight="1">
      <x:c r="A258" s="8" t="str">
        <x:v>F0413</x:v>
      </x:c>
      <x:c r="B258" s="8" t="str">
        <x:v>12. CUI Cesiro Production Color semnat.pdf</x:v>
      </x:c>
      <x:c r="C258" s="8" t="str">
        <x:v>Contractare</x:v>
      </x:c>
      <x:c r="D258" s="12" t="str"/>
      <x:c r="E258" s="11" t="str"/>
      <x:c r="F258" s="12" t="str"/>
      <x:c r="G258" s="11" t="str"/>
      <x:c r="H258" s="8" t="str"/>
      <x:c r="I258" s="8" t="str">
        <x:v>Document local; transmiterea individuală neconfirmată</x:v>
      </x:c>
      <x:c r="J258" s="8" t="str"/>
      <x:c r="K258" s="8" t="str">
        <x:v>Text extras; numerele din referințe sunt în coloana separată</x:v>
      </x:c>
      <x:c r="L258" s="8" t="e">
        <x:f>HYPERLINK("file:///Z:/00. Proiecte 2025/AFIR FotoVoltaic 1/10. Contractare/1. Documente solicitate pentru contractare/SEMNATE/12. CUI Cesiro Production Color semnat.pdf","Deschide sursa")</x:f>
        <x:v>HYPERLINK is not implemented. linkLocation=file:///Z:/00. Proiecte 2025/AFIR FotoVoltaic 1/10. Contractare/1. Documente solicitate pentru contractare/SEMNATE/12. CUI Cesiro Production Color semnat.pdf, friendlyName=Deschide sursa</x:v>
      </x:c>
    </x:row>
    <x:row r="259" ht="78" customHeight="1">
      <x:c r="A259" s="8" t="str">
        <x:v>F0414</x:v>
      </x:c>
      <x:c r="B259" s="8" t="str">
        <x:v>2. Declaratie proprie raspundere depunere ATR semnat.pdf</x:v>
      </x:c>
      <x:c r="C259" s="8" t="str">
        <x:v>Contractare</x:v>
      </x:c>
      <x:c r="D259" s="12" t="str"/>
      <x:c r="E259" s="11" t="str"/>
      <x:c r="F259" s="12" t="str"/>
      <x:c r="G259" s="11" t="str"/>
      <x:c r="H259" s="8" t="str"/>
      <x:c r="I259" s="8" t="str">
        <x:v>Document local; transmiterea individuală neconfirmată</x:v>
      </x:c>
      <x:c r="J259" s="8" t="str">
        <x:v>Nr. 17,
nr. 123/2012 – reglementează activitățile
NRE nr. 59/2013 privind aprobarea Regulamentului pentru emiterea avizelor
nr. 41/2016 privind stabilirea unor măsuri de simplificare la nivelul administrației
nr. 544/2001 privind liberul acces la informațiile de interes public, care</x:v>
      </x:c>
      <x:c r="K259" s="8" t="str">
        <x:v>Text extras; numerele din referințe sunt în coloana separată</x:v>
      </x:c>
      <x:c r="L259" s="8" t="e">
        <x:f>HYPERLINK("file:///Z:/00. Proiecte 2025/AFIR FotoVoltaic 1/10. Contractare/1. Documente solicitate pentru contractare/SEMNATE/2. Declaratie proprie raspundere depunere ATR semnat.pdf","Deschide sursa")</x:f>
        <x:v>HYPERLINK is not implemented. linkLocation=file:///Z:/00. Proiecte 2025/AFIR FotoVoltaic 1/10. Contractare/1. Documente solicitate pentru contractare/SEMNATE/2. Declaratie proprie raspundere depunere ATR semnat.pdf, friendlyName=Deschide sursa</x:v>
      </x:c>
    </x:row>
    <x:row r="260" ht="64" customHeight="1">
      <x:c r="A260" s="8" t="str">
        <x:v>F0415</x:v>
      </x:c>
      <x:c r="B260" s="8" t="str">
        <x:v>3. EXIM BANK Extras de cont Cesiro Production SRL semnat.pdf</x:v>
      </x:c>
      <x:c r="C260" s="8" t="str">
        <x:v>Contractare</x:v>
      </x:c>
      <x:c r="D260" s="12" t="str"/>
      <x:c r="E260" s="11" t="str"/>
      <x:c r="F260" s="12" t="str"/>
      <x:c r="G260" s="11" t="str"/>
      <x:c r="H260" s="8" t="str"/>
      <x:c r="I260" s="8" t="str">
        <x:v>Document local; transmiterea individuală neconfirmată</x:v>
      </x:c>
      <x:c r="J260" s="8" t="str">
        <x:v>Nr.5
nregistrata la 20-12-2024
nr. 311/2015 privind schemele de garantare a
nr. 2 la acelasi act normativ. Mai multe detalii se</x:v>
      </x:c>
      <x:c r="K260" s="8" t="str">
        <x:v>Text extras; numerele din referințe sunt în coloana separată</x:v>
      </x:c>
      <x:c r="L260" s="8" t="e">
        <x:f>HYPERLINK("file:///Z:/00. Proiecte 2025/AFIR FotoVoltaic 1/10. Contractare/1. Documente solicitate pentru contractare/SEMNATE/3. EXIM BANK Extras de cont Cesiro Production SRL semnat.pdf","Deschide sursa")</x:f>
        <x:v>HYPERLINK is not implemented. linkLocation=file:///Z:/00. Proiecte 2025/AFIR FotoVoltaic 1/10. Contractare/1. Documente solicitate pentru contractare/SEMNATE/3. EXIM BANK Extras de cont Cesiro Production SRL semnat.pdf, friendlyName=Deschide sursa</x:v>
      </x:c>
    </x:row>
    <x:row r="261" ht="36" customHeight="1">
      <x:c r="A261" s="8" t="str">
        <x:v>F0416</x:v>
      </x:c>
      <x:c r="B261" s="8" t="str">
        <x:v>4. Notificare APM semnat.pdf</x:v>
      </x:c>
      <x:c r="C261" s="8" t="str">
        <x:v>Contractare</x:v>
      </x:c>
      <x:c r="D261" s="12" t="str"/>
      <x:c r="E261" s="11" t="str"/>
      <x:c r="F261" s="12" t="str"/>
      <x:c r="G261" s="11" t="str"/>
      <x:c r="H261" s="8" t="str"/>
      <x:c r="I261" s="8" t="str">
        <x:v>Document local; transmiterea individuală neconfirmată</x:v>
      </x:c>
      <x:c r="J261" s="8" t="str"/>
      <x:c r="K261" s="8" t="str">
        <x:v>Text extras; numerele din referințe sunt în coloana separată</x:v>
      </x:c>
      <x:c r="L261" s="8" t="e">
        <x:f>HYPERLINK("file:///Z:/00. Proiecte 2025/AFIR FotoVoltaic 1/10. Contractare/1. Documente solicitate pentru contractare/SEMNATE/4. Notificare APM semnat.pdf","Deschide sursa")</x:f>
        <x:v>HYPERLINK is not implemented. linkLocation=file:///Z:/00. Proiecte 2025/AFIR FotoVoltaic 1/10. Contractare/1. Documente solicitate pentru contractare/SEMNATE/4. Notificare APM semnat.pdf, friendlyName=Deschide sursa</x:v>
      </x:c>
    </x:row>
    <x:row r="262" ht="64" customHeight="1">
      <x:c r="A262" s="8" t="str">
        <x:v>F0417</x:v>
      </x:c>
      <x:c r="B262" s="8" t="str">
        <x:v>5. Certificat de atestare fiscala Cesiro Production SRL semnat.pdf</x:v>
      </x:c>
      <x:c r="C262" s="8" t="str">
        <x:v>Contractare</x:v>
      </x:c>
      <x:c r="D262" s="12" t="str"/>
      <x:c r="E262" s="11" t="str"/>
      <x:c r="F262" s="12" t="str"/>
      <x:c r="G262" s="11" t="str"/>
      <x:c r="H262" s="8" t="str"/>
      <x:c r="I262" s="8" t="str">
        <x:v>Document local; transmiterea individuală neconfirmată</x:v>
      </x:c>
      <x:c r="J262" s="8" t="str">
        <x:v>Nr. 5
nr. 11815602 din data de 12.12.2024
nr. 207/2015 privind Codul de procedura fiscala, cu
nr. 207/2015 privind Codul de</x:v>
      </x:c>
      <x:c r="K262" s="8" t="str">
        <x:v>Text extras; numerele din referințe sunt în coloana separată</x:v>
      </x:c>
      <x:c r="L262" s="8" t="e">
        <x:f>HYPERLINK("file:///Z:/00. Proiecte 2025/AFIR FotoVoltaic 1/10. Contractare/1. Documente solicitate pentru contractare/SEMNATE/5. Certificat de atestare fiscala Cesiro Production SRL semnat.pdf","Deschide sursa")</x:f>
        <x:v>HYPERLINK is not implemented. linkLocation=file:///Z:/00. Proiecte 2025/AFIR FotoVoltaic 1/10. Contractare/1. Documente solicitate pentru contractare/SEMNATE/5. Certificat de atestare fiscala Cesiro Production SRL semnat.pdf, friendlyName=Deschide sursa</x:v>
      </x:c>
    </x:row>
    <x:row r="263" ht="64" customHeight="1">
      <x:c r="A263" s="8" t="str">
        <x:v>F0418</x:v>
      </x:c>
      <x:c r="B263" s="8" t="str">
        <x:v>6. CESIRO P. ADRESA CONTURI SEMNATA semnat.pdf</x:v>
      </x:c>
      <x:c r="C263" s="8" t="str">
        <x:v>Contractare</x:v>
      </x:c>
      <x:c r="D263" s="12" t="str"/>
      <x:c r="E263" s="11" t="str"/>
      <x:c r="F263" s="12" t="str"/>
      <x:c r="G263" s="11" t="str"/>
      <x:c r="H263" s="8" t="str">
        <x:v>250012 / 20.12.2024</x:v>
      </x:c>
      <x:c r="I263" s="8" t="str">
        <x:v>Document local; transmiterea individuală neconfirmată</x:v>
      </x:c>
      <x:c r="J263" s="8" t="str">
        <x:v>nr. J32/686/05.04.2023 CUI RO47954270 identificator unic la nivel european (EIUD) ROONRC.J40/8799/1992 capital social
Nr. 250012 / 20.12.2024
nr. RO49BRMA114002541825RO01</x:v>
      </x:c>
      <x:c r="K263" s="8" t="str">
        <x:v>Text extras; numerele din referințe sunt în coloana separată</x:v>
      </x:c>
      <x:c r="L263" s="8" t="e">
        <x:f>HYPERLINK("file:///Z:/00. Proiecte 2025/AFIR FotoVoltaic 1/10. Contractare/1. Documente solicitate pentru contractare/SEMNATE/6. CESIRO P. ADRESA CONTURI SEMNATA semnat.pdf","Deschide sursa")</x:f>
        <x:v>HYPERLINK is not implemented. linkLocation=file:///Z:/00. Proiecte 2025/AFIR FotoVoltaic 1/10. Contractare/1. Documente solicitate pentru contractare/SEMNATE/6. CESIRO P. ADRESA CONTURI SEMNATA semnat.pdf, friendlyName=Deschide sursa</x:v>
      </x:c>
    </x:row>
    <x:row r="264" ht="36" customHeight="1">
      <x:c r="A264" s="8" t="str">
        <x:v>F0419</x:v>
      </x:c>
      <x:c r="B264" s="8" t="str">
        <x:v>7. CI Cosmin Adrian Covaciu semnat.pdf</x:v>
      </x:c>
      <x:c r="C264" s="8" t="str">
        <x:v>Contractare</x:v>
      </x:c>
      <x:c r="D264" s="12" t="str"/>
      <x:c r="E264" s="11" t="str"/>
      <x:c r="F264" s="12" t="str"/>
      <x:c r="G264" s="11" t="str"/>
      <x:c r="H264" s="8" t="str"/>
      <x:c r="I264" s="8" t="str">
        <x:v>Document local; transmiterea individuală neconfirmată</x:v>
      </x:c>
      <x:c r="J264" s="8" t="str"/>
      <x:c r="K264" s="8" t="str">
        <x:v>Text extras; numerele din referințe sunt în coloana separată</x:v>
      </x:c>
      <x:c r="L264" s="8" t="e">
        <x:f>HYPERLINK("file:///Z:/00. Proiecte 2025/AFIR FotoVoltaic 1/10. Contractare/1. Documente solicitate pentru contractare/SEMNATE/7. CI Cosmin Adrian Covaciu semnat.pdf","Deschide sursa")</x:f>
        <x:v>HYPERLINK is not implemented. linkLocation=file:///Z:/00. Proiecte 2025/AFIR FotoVoltaic 1/10. Contractare/1. Documente solicitate pentru contractare/SEMNATE/7. CI Cosmin Adrian Covaciu semnat.pdf, friendlyName=Deschide sursa</x:v>
      </x:c>
    </x:row>
    <x:row r="265" ht="36" customHeight="1">
      <x:c r="A265" s="8" t="str">
        <x:v>F0420</x:v>
      </x:c>
      <x:c r="B265" s="8" t="str">
        <x:v>8. Grafic de eșalonare semnat.pdf</x:v>
      </x:c>
      <x:c r="C265" s="8" t="str">
        <x:v>Contractare</x:v>
      </x:c>
      <x:c r="D265" s="12" t="str"/>
      <x:c r="E265" s="11" t="str"/>
      <x:c r="F265" s="12" t="str"/>
      <x:c r="G265" s="11" t="str"/>
      <x:c r="H265" s="8" t="str"/>
      <x:c r="I265" s="8" t="str">
        <x:v>Document local; transmiterea individuală neconfirmată</x:v>
      </x:c>
      <x:c r="J265" s="8" t="str"/>
      <x:c r="K265" s="8" t="str">
        <x:v>Text extras; numerele din referințe sunt în coloana separată</x:v>
      </x:c>
      <x:c r="L265" s="8" t="e">
        <x:f>HYPERLINK("file:///Z:/00. Proiecte 2025/AFIR FotoVoltaic 1/10. Contractare/1. Documente solicitate pentru contractare/SEMNATE/8. Grafic de eșalonare semnat.pdf","Deschide sursa")</x:f>
        <x:v>HYPERLINK is not implemented. linkLocation=file:///Z:/00. Proiecte 2025/AFIR FotoVoltaic 1/10. Contractare/1. Documente solicitate pentru contractare/SEMNATE/8. Grafic de eșalonare semnat.pdf, friendlyName=Deschide sursa</x:v>
      </x:c>
    </x:row>
    <x:row r="266" ht="36" customHeight="1">
      <x:c r="A266" s="8" t="str">
        <x:v>F0421</x:v>
      </x:c>
      <x:c r="B266" s="8" t="str">
        <x:v>9. Modificare ONRC+ Factura semnat.pdf</x:v>
      </x:c>
      <x:c r="C266" s="8" t="str">
        <x:v>Contractare</x:v>
      </x:c>
      <x:c r="D266" s="12" t="str"/>
      <x:c r="E266" s="11" t="str"/>
      <x:c r="F266" s="12" t="str"/>
      <x:c r="G266" s="11" t="str"/>
      <x:c r="H266" s="8" t="str"/>
      <x:c r="I266" s="8" t="str">
        <x:v>Document local; transmiterea individuală neconfirmată</x:v>
      </x:c>
      <x:c r="J266" s="8" t="str"/>
      <x:c r="K266" s="8" t="str">
        <x:v>Text extras; numerele din referințe sunt în coloana separată</x:v>
      </x:c>
      <x:c r="L266" s="8" t="e">
        <x:f>HYPERLINK("file:///Z:/00. Proiecte 2025/AFIR FotoVoltaic 1/10. Contractare/1. Documente solicitate pentru contractare/SEMNATE/9. Modificare ONRC+ Factura semnat.pdf","Deschide sursa")</x:f>
        <x:v>HYPERLINK is not implemented. linkLocation=file:///Z:/00. Proiecte 2025/AFIR FotoVoltaic 1/10. Contractare/1. Documente solicitate pentru contractare/SEMNATE/9. Modificare ONRC+ Factura semnat.pdf, friendlyName=Deschide sursa</x:v>
      </x:c>
    </x:row>
    <x:row r="267" ht="36" customHeight="1">
      <x:c r="A267" s="8" t="str">
        <x:v>F0422</x:v>
      </x:c>
      <x:c r="B267" s="8" t="str">
        <x:v>AnexaIII_FM.pdf</x:v>
      </x:c>
      <x:c r="C267" s="8" t="str">
        <x:v>Contractare</x:v>
      </x:c>
      <x:c r="D267" s="12" t="str"/>
      <x:c r="E267" s="11" t="str"/>
      <x:c r="F267" s="12" t="str"/>
      <x:c r="G267" s="11" t="str"/>
      <x:c r="H267" s="8" t="str"/>
      <x:c r="I267" s="8" t="str">
        <x:v>Document local; transmiterea individuală neconfirmată</x:v>
      </x:c>
      <x:c r="J267" s="8" t="str">
        <x:v>nregistrare: 45050734
nr.: CFMSES011011372801030</x:v>
      </x:c>
      <x:c r="K267" s="8" t="str">
        <x:v>Text extras; numerele din referințe sunt în coloana separată</x:v>
      </x:c>
      <x:c r="L267" s="8" t="e">
        <x:f>HYPERLINK("file:///Z:/00. Proiecte 2025/AFIR FotoVoltaic 1/10. Contractare/2. Contractul de Finantare/De Semnat/AnexaIII_FM.pdf","Deschide sursa")</x:f>
        <x:v>HYPERLINK is not implemented. linkLocation=file:///Z:/00. Proiecte 2025/AFIR FotoVoltaic 1/10. Contractare/2. Contractul de Finantare/De Semnat/AnexaIII_FM.pdf, friendlyName=Deschide sursa</x:v>
      </x:c>
    </x:row>
    <x:row r="268" ht="36" customHeight="1">
      <x:c r="A268" s="8" t="str">
        <x:v>F0423</x:v>
      </x:c>
      <x:c r="B268" s="8" t="str">
        <x:v>AnexaII_FM.pdf</x:v>
      </x:c>
      <x:c r="C268" s="8" t="str">
        <x:v>Contractare</x:v>
      </x:c>
      <x:c r="D268" s="12" t="str"/>
      <x:c r="E268" s="11" t="str"/>
      <x:c r="F268" s="12" t="str"/>
      <x:c r="G268" s="11" t="str"/>
      <x:c r="H268" s="8" t="str"/>
      <x:c r="I268" s="8" t="str">
        <x:v>Document local; transmiterea individuală neconfirmată</x:v>
      </x:c>
      <x:c r="J268" s="8" t="str">
        <x:v>Nr: 23, Jud: Alba, Tel: 0358 860 245
Nr: 23, Jud: ALBA, Tel: 0258 813 737</x:v>
      </x:c>
      <x:c r="K268" s="8" t="str">
        <x:v>Text extras; numerele din referințe sunt în coloana separată</x:v>
      </x:c>
      <x:c r="L268" s="8" t="e">
        <x:f>HYPERLINK("file:///Z:/00. Proiecte 2025/AFIR FotoVoltaic 1/10. Contractare/2. Contractul de Finantare/De Semnat/AnexaII_FM.pdf","Deschide sursa")</x:f>
        <x:v>HYPERLINK is not implemented. linkLocation=file:///Z:/00. Proiecte 2025/AFIR FotoVoltaic 1/10. Contractare/2. Contractul de Finantare/De Semnat/AnexaII_FM.pdf, friendlyName=Deschide sursa</x:v>
      </x:c>
    </x:row>
    <x:row r="269" ht="36" customHeight="1">
      <x:c r="A269" s="8" t="str">
        <x:v>F0424</x:v>
      </x:c>
      <x:c r="B269" s="8" t="str">
        <x:v>AnexaIV_FM.pdf</x:v>
      </x:c>
      <x:c r="C269" s="8" t="str">
        <x:v>Contractare</x:v>
      </x:c>
      <x:c r="D269" s="12" t="str"/>
      <x:c r="E269" s="11" t="str"/>
      <x:c r="F269" s="12" t="str"/>
      <x:c r="G269" s="11" t="str"/>
      <x:c r="H269" s="8" t="str"/>
      <x:c r="I269" s="8" t="str">
        <x:v>Document local; transmiterea individuală neconfirmată</x:v>
      </x:c>
      <x:c r="J269" s="8" t="str">
        <x:v>Nr: 23, Jud: Alba, Tel: 0358 860 245</x:v>
      </x:c>
      <x:c r="K269" s="8" t="str">
        <x:v>Text extras; numerele din referințe sunt în coloana separată</x:v>
      </x:c>
      <x:c r="L269" s="8" t="e">
        <x:f>HYPERLINK("file:///Z:/00. Proiecte 2025/AFIR FotoVoltaic 1/10. Contractare/2. Contractul de Finantare/De Semnat/AnexaIV_FM.pdf","Deschide sursa")</x:f>
        <x:v>HYPERLINK is not implemented. linkLocation=file:///Z:/00. Proiecte 2025/AFIR FotoVoltaic 1/10. Contractare/2. Contractul de Finantare/De Semnat/AnexaIV_FM.pdf, friendlyName=Deschide sursa</x:v>
      </x:c>
    </x:row>
    <x:row r="270" ht="176" customHeight="1">
      <x:c r="A270" s="8" t="str">
        <x:v>F0425</x:v>
      </x:c>
      <x:c r="B270" s="8" t="str">
        <x:v>AnexaI_FM.pdf</x:v>
      </x:c>
      <x:c r="C270" s="8" t="str">
        <x:v>Contractare</x:v>
      </x:c>
      <x:c r="D270" s="12" t="str"/>
      <x:c r="E270" s="11" t="str"/>
      <x:c r="F270" s="12" t="str"/>
      <x:c r="G270" s="11" t="str"/>
      <x:c r="H270" s="8" t="str"/>
      <x:c r="I270" s="8" t="str">
        <x:v>Document local; transmiterea individuală neconfirmată</x:v>
      </x:c>
      <x:c r="J270" s="8" t="str">
        <x:v>Nr: 23, Jud: ALBA, Tel: 0258 813 737
nr. 679/2016 privind protecţia persoanelor fizice în
nr. 45/2001 şi a Deciziei nr.
nr.77/2014.
nr. 77/2014.
nr.77/2014, privind procedurile naţionale în domeniul ajutorului
nr. 21/1996, aprobată cu
nr. 20/2015, cu modificările şi completările ulterioare e,
nr.77/2014, cu modificările şi completările ulterioare,
nr.77/2014, cu modificările și completările
nr. 77/2014, cu modificările și completările ulterioare, de la
nr. 77/2014, cu</x:v>
      </x:c>
      <x:c r="K270" s="8" t="str">
        <x:v>Text extras; numerele din referințe sunt în coloana separată</x:v>
      </x:c>
      <x:c r="L270" s="8" t="e">
        <x:f>HYPERLINK("file:///Z:/00. Proiecte 2025/AFIR FotoVoltaic 1/10. Contractare/2. Contractul de Finantare/De Semnat/AnexaI_FM.pdf","Deschide sursa")</x:f>
        <x:v>HYPERLINK is not implemented. linkLocation=file:///Z:/00. Proiecte 2025/AFIR FotoVoltaic 1/10. Contractare/2. Contractul de Finantare/De Semnat/AnexaI_FM.pdf, friendlyName=Deschide sursa</x:v>
      </x:c>
    </x:row>
    <x:row r="271" ht="120" customHeight="1">
      <x:c r="A271" s="8" t="str">
        <x:v>F0426</x:v>
      </x:c>
      <x:c r="B271" s="8" t="str">
        <x:v>C1_1_FM.pdf</x:v>
      </x:c>
      <x:c r="C271" s="8" t="str">
        <x:v>Contractare</x:v>
      </x:c>
      <x:c r="D271" s="12" t="str"/>
      <x:c r="E271" s="11" t="str"/>
      <x:c r="F271" s="12" t="str"/>
      <x:c r="G271" s="11" t="str"/>
      <x:c r="H271" s="8" t="str"/>
      <x:c r="I271" s="8" t="str">
        <x:v>Document local; transmiterea individuală neconfirmată</x:v>
      </x:c>
      <x:c r="J271" s="8" t="str">
        <x:v>Nr: 23, Jud: ALBA, Tel: 0358 860 245
Nr. CFMSES011011372801030
nr. 618936, CNP 1721019120687, în calitate de
nr. FFMSES011011372801030, IMPLEMENTAREA SISTEMULUI
nr. CFMSES011011372801030
nr. III.3 la prezentul Contract de finanțare.
nr. 910/2014, care se află în lista oficială a
nr.679/2016 al Parlamentului European și al Consiliului Uniunii Europene privind protecţia persoanelor fizice</x:v>
      </x:c>
      <x:c r="K271" s="8" t="str">
        <x:v>Text extras; numerele din referințe sunt în coloana separată</x:v>
      </x:c>
      <x:c r="L271" s="8" t="e">
        <x:f>HYPERLINK("file:///Z:/00. Proiecte 2025/AFIR FotoVoltaic 1/10. Contractare/2. Contractul de Finantare/De Semnat/C1_1_FM.pdf","Deschide sursa")</x:f>
        <x:v>HYPERLINK is not implemented. linkLocation=file:///Z:/00. Proiecte 2025/AFIR FotoVoltaic 1/10. Contractare/2. Contractul de Finantare/De Semnat/C1_1_FM.pdf, friendlyName=Deschide sursa</x:v>
      </x:c>
    </x:row>
    <x:row r="272" ht="36" customHeight="1">
      <x:c r="A272" s="8" t="str">
        <x:v>F0431</x:v>
      </x:c>
      <x:c r="B272" s="8" t="str">
        <x:v>AnexaI_FM semnat.zip</x:v>
      </x:c>
      <x:c r="C272" s="8" t="str">
        <x:v>Contractare</x:v>
      </x:c>
      <x:c r="D272" s="12" t="str"/>
      <x:c r="E272" s="11" t="str"/>
      <x:c r="F272" s="12" t="str"/>
      <x:c r="G272" s="11" t="str"/>
      <x:c r="H272" s="8" t="str"/>
      <x:c r="I272" s="8" t="str">
        <x:v>Document local; transmiterea individuală neconfirmată</x:v>
      </x:c>
      <x:c r="J272" s="8" t="str"/>
      <x:c r="K272" s="8" t="str">
        <x:v>Necesită citire vizuală / OCR / formular XFA</x:v>
      </x:c>
      <x:c r="L272" s="8" t="e">
        <x:f>HYPERLINK("file:///Z:/00. Proiecte 2025/AFIR FotoVoltaic 1/10. Contractare/2. Contractul de Finantare/Semnate/AnexaI_FM semnat.zip","Deschide sursa")</x:f>
        <x:v>HYPERLINK is not implemented. linkLocation=file:///Z:/00. Proiecte 2025/AFIR FotoVoltaic 1/10. Contractare/2. Contractul de Finantare/Semnate/AnexaI_FM semnat.zip, friendlyName=Deschide sursa</x:v>
      </x:c>
    </x:row>
    <x:row r="273" ht="50" customHeight="1">
      <x:c r="A273" s="8" t="str">
        <x:v>F0433</x:v>
      </x:c>
      <x:c r="B273" s="8" t="str">
        <x:v>factura_proforma_24022026_145801.pdf</x:v>
      </x:c>
      <x:c r="C273" s="8" t="str">
        <x:v>Contractare</x:v>
      </x:c>
      <x:c r="D273" s="12" t="str"/>
      <x:c r="E273" s="11" t="str"/>
      <x:c r="F273" s="12" t="str"/>
      <x:c r="G273" s="11" t="str"/>
      <x:c r="H273" s="8" t="str"/>
      <x:c r="I273" s="8" t="str">
        <x:v>Document local; transmiterea individuală neconfirmată</x:v>
      </x:c>
      <x:c r="J273" s="8" t="str">
        <x:v>nr. 3B ap. 10 jud. ALBA
NR. 14, jud. AB
NR.1/19.02.2026</x:v>
      </x:c>
      <x:c r="K273" s="8" t="str">
        <x:v>Text extras; numerele din referințe sunt în coloana separată</x:v>
      </x:c>
      <x:c r="L273" s="8" t="e">
        <x:f>HYPERLINK("file:///Z:/00. Proiecte 2025/AFIR FotoVoltaic 1/10. Contractare/2. Contractul de Finantare/Semnate/factura_proforma_24022026_145801.pdf","Deschide sursa")</x:f>
        <x:v>HYPERLINK is not implemented. linkLocation=file:///Z:/00. Proiecte 2025/AFIR FotoVoltaic 1/10. Contractare/2. Contractul de Finantare/Semnate/factura_proforma_24022026_145801.pdf, friendlyName=Deschide sursa</x:v>
      </x:c>
    </x:row>
    <x:row r="274" ht="78" customHeight="1">
      <x:c r="A274" s="8" t="str">
        <x:v>F0434</x:v>
      </x:c>
      <x:c r="B274" s="8" t="str">
        <x:v>Notificare Schimbare Structura Actionariatului Cesiro Production SRL.docx</x:v>
      </x:c>
      <x:c r="C274" s="8" t="str">
        <x:v>Contractare</x:v>
      </x:c>
      <x:c r="D274" s="12" t="str"/>
      <x:c r="E274" s="11" t="str"/>
      <x:c r="F274" s="12" t="str"/>
      <x:c r="G274" s="11" t="str"/>
      <x:c r="H274" s="8" t="str"/>
      <x:c r="I274" s="8" t="str">
        <x:v>Document local; transmiterea individuală neconfirmată</x:v>
      </x:c>
      <x:c r="J274" s="8" t="str">
        <x:v>nr. 1014368, CNP 1721019120687, în calitate de Beneficiar în cadrul Contractului de finanțare nr. CFMSES011011372801030 aferent Proiectului nr. FFMSES0110113728010
nr. 31/1990. Odată cu schimbarea acționariatului, se menține reprezentarea legală a CESIRO PRODUCTION S.R.L. prin dl. Cosmin-Adrian COVACIU, în calitate de Adminis
nr. CFMSES011011372801030, conform procedurilor AFIR.</x:v>
      </x:c>
      <x:c r="K274" s="8" t="str">
        <x:v>Text extras; numerele din referințe sunt în coloana separată</x:v>
      </x:c>
      <x:c r="L274" s="8" t="e">
        <x:f>HYPERLINK("file:///Z:/00. Proiecte 2025/AFIR FotoVoltaic 1/10. Contractare/2. Contractul de Finantare/Semnate/Notificare Schimbare Structura Actionariatului Cesiro Production SRL.docx","Deschide sursa")</x:f>
        <x:v>HYPERLINK is not implemented. linkLocation=file:///Z:/00. Proiecte 2025/AFIR FotoVoltaic 1/10. Contractare/2. Contractul de Finantare/Semnate/Notificare Schimbare Structura Actionariatului Cesiro Production SRL.docx, friendlyName=Deschide sursa</x:v>
      </x:c>
    </x:row>
    <x:row r="275" ht="120" customHeight="1">
      <x:c r="A275" s="8" t="str">
        <x:v>F0435</x:v>
      </x:c>
      <x:c r="B275" s="8" t="str">
        <x:v>Notificare Schimbare Structura Actionariatului Cesiro Production SRL.pdf</x:v>
      </x:c>
      <x:c r="C275" s="8" t="str">
        <x:v>Contractare</x:v>
      </x:c>
      <x:c r="D275" s="12" t="str"/>
      <x:c r="E275" s="11" t="str"/>
      <x:c r="F275" s="12" t="str"/>
      <x:c r="G275" s="11" t="str"/>
      <x:c r="H275" s="8" t="str"/>
      <x:c r="I275" s="8" t="str">
        <x:v>Document local; transmiterea individuală neconfirmată</x:v>
      </x:c>
      <x:c r="J275" s="8" t="str">
        <x:v>nr. CFMSES011011372801030 / Proiect nr.
nr. 1014368, CNP 1721019120687, în calitate de
nr. CFMSES011011372801030 aferent Proiectului
nr. FFMSES011011372801030 , vă aducem la cunoștință mo dificările intervenite în structura
nr. 24/12.01.2026, adoptată în
nr. 31/1990 și a Legii nr. 265/2022 privind
nr. 31/1990. Odată cu schimbarea acționaria tului, se menține reprezentarea legală a
nr. CFMSES011011372801030,</x:v>
      </x:c>
      <x:c r="K275" s="8" t="str">
        <x:v>Text extras; numerele din referințe sunt în coloana separată</x:v>
      </x:c>
      <x:c r="L275" s="8" t="e">
        <x:f>HYPERLINK("file:///Z:/00. Proiecte 2025/AFIR FotoVoltaic 1/10. Contractare/2. Contractul de Finantare/Semnate/Notificare Schimbare Structura Actionariatului Cesiro Production SRL.pdf","Deschide sursa")</x:f>
        <x:v>HYPERLINK is not implemented. linkLocation=file:///Z:/00. Proiecte 2025/AFIR FotoVoltaic 1/10. Contractare/2. Contractul de Finantare/Semnate/Notificare Schimbare Structura Actionariatului Cesiro Production SRL.pdf, friendlyName=Deschide sursa</x:v>
      </x:c>
    </x:row>
    <x:row r="276" ht="50" customHeight="1">
      <x:c r="A276" s="8" t="str">
        <x:v>F0436</x:v>
      </x:c>
      <x:c r="B276" s="8" t="str">
        <x:v>Proforma nr_7.pdf</x:v>
      </x:c>
      <x:c r="C276" s="8" t="str">
        <x:v>Contractare</x:v>
      </x:c>
      <x:c r="D276" s="12" t="str"/>
      <x:c r="E276" s="11" t="str"/>
      <x:c r="F276" s="12" t="str"/>
      <x:c r="G276" s="11" t="str"/>
      <x:c r="H276" s="8" t="str"/>
      <x:c r="I276" s="8" t="str">
        <x:v>Document local; transmiterea individuală neconfirmată</x:v>
      </x:c>
      <x:c r="J276" s="8" t="str">
        <x:v>nr. 3B ap. 10 jud. ALBA
NR. 14, jud. AB
NR.1/19.02.2026</x:v>
      </x:c>
      <x:c r="K276" s="8" t="str">
        <x:v>Text extras; numerele din referințe sunt în coloana separată</x:v>
      </x:c>
      <x:c r="L276" s="8" t="e">
        <x:f>HYPERLINK("file:///Z:/00. Proiecte 2025/AFIR FotoVoltaic 1/10. Contractare/2. Contractul de Finantare/Semnate/Proforma nr_7.pdf","Deschide sursa")</x:f>
        <x:v>HYPERLINK is not implemented. linkLocation=file:///Z:/00. Proiecte 2025/AFIR FotoVoltaic 1/10. Contractare/2. Contractul de Finantare/Semnate/Proforma nr_7.pdf, friendlyName=Deschide sursa</x:v>
      </x:c>
    </x:row>
    <x:row r="277" ht="36" customHeight="1">
      <x:c r="A277" s="8" t="str">
        <x:v>F0448</x:v>
      </x:c>
      <x:c r="B277" s="8" t="str">
        <x:v>AP 1.1 SE Cerere de prefinantare.pdf</x:v>
      </x:c>
      <x:c r="C277" s="8" t="str">
        <x:v>Implementare / documente suport</x:v>
      </x:c>
      <x:c r="D277" s="12" t="str"/>
      <x:c r="E277" s="11" t="str"/>
      <x:c r="F277" s="12" t="str"/>
      <x:c r="G277" s="11" t="str"/>
      <x:c r="H277" s="8" t="str"/>
      <x:c r="I277" s="8" t="str">
        <x:v>Document local; transmiterea individuală neconfirmată</x:v>
      </x:c>
      <x:c r="J277" s="8" t="str"/>
      <x:c r="K277" s="8" t="str">
        <x:v>Necesită citire vizuală / OCR / formular XFA</x:v>
      </x:c>
      <x:c r="L277" s="8" t="e">
        <x:f>HYPERLINK("file:///Z:/00. Proiecte 2025/AFIR FotoVoltaic 1/15. Implementare Proiect Fotovoltaic/0. Formulare plata/AP 1.1 SE Cerere de prefinantare.pdf","Deschide sursa")</x:f>
        <x:v>HYPERLINK is not implemented. linkLocation=file:///Z:/00. Proiecte 2025/AFIR FotoVoltaic 1/15. Implementare Proiect Fotovoltaic/0. Formulare plata/AP 1.1 SE Cerere de prefinantare.pdf, friendlyName=Deschide sursa</x:v>
      </x:c>
    </x:row>
    <x:row r="278" ht="36" customHeight="1">
      <x:c r="A278" s="8" t="str">
        <x:v>F0449</x:v>
      </x:c>
      <x:c r="B278" s="8" t="str">
        <x:v>AP 1.1 SE Cerere de rambursare.pdf</x:v>
      </x:c>
      <x:c r="C278" s="8" t="str">
        <x:v>Implementare / documente suport</x:v>
      </x:c>
      <x:c r="D278" s="12" t="str"/>
      <x:c r="E278" s="11" t="str"/>
      <x:c r="F278" s="12" t="str"/>
      <x:c r="G278" s="11" t="str"/>
      <x:c r="H278" s="8" t="str"/>
      <x:c r="I278" s="8" t="str">
        <x:v>Document local; transmiterea individuală neconfirmată</x:v>
      </x:c>
      <x:c r="J278" s="8" t="str"/>
      <x:c r="K278" s="8" t="str">
        <x:v>Necesită citire vizuală / OCR / formular XFA</x:v>
      </x:c>
      <x:c r="L278" s="8" t="e">
        <x:f>HYPERLINK("file:///Z:/00. Proiecte 2025/AFIR FotoVoltaic 1/15. Implementare Proiect Fotovoltaic/0. Formulare plata/AP 1.1 SE Cerere de rambursare.pdf","Deschide sursa")</x:f>
        <x:v>HYPERLINK is not implemented. linkLocation=file:///Z:/00. Proiecte 2025/AFIR FotoVoltaic 1/15. Implementare Proiect Fotovoltaic/0. Formulare plata/AP 1.1 SE Cerere de rambursare.pdf, friendlyName=Deschide sursa</x:v>
      </x:c>
    </x:row>
    <x:row r="279" ht="36" customHeight="1">
      <x:c r="A279" s="8" t="str">
        <x:v>F0450</x:v>
      </x:c>
      <x:c r="B279" s="8" t="str">
        <x:v>AP 1.3 SE Raport de execuție.docx</x:v>
      </x:c>
      <x:c r="C279" s="8" t="str">
        <x:v>Implementare / documente suport</x:v>
      </x:c>
      <x:c r="D279" s="12" t="str"/>
      <x:c r="E279" s="11" t="str"/>
      <x:c r="F279" s="12" t="str"/>
      <x:c r="G279" s="11" t="str"/>
      <x:c r="H279" s="8" t="str"/>
      <x:c r="I279" s="8" t="str">
        <x:v>Document local; transmiterea individuală neconfirmată</x:v>
      </x:c>
      <x:c r="J279" s="8" t="str"/>
      <x:c r="K279" s="8" t="str">
        <x:v>Text extras; numerele din referințe sunt în coloana separată</x:v>
      </x:c>
      <x:c r="L279" s="8" t="e">
        <x:f>HYPERLINK("file:///Z:/00. Proiecte 2025/AFIR FotoVoltaic 1/15. Implementare Proiect Fotovoltaic/0. Formulare plata/AP 1.3 SE Raport de execuție.docx","Deschide sursa")</x:f>
        <x:v>HYPERLINK is not implemented. linkLocation=file:///Z:/00. Proiecte 2025/AFIR FotoVoltaic 1/15. Implementare Proiect Fotovoltaic/0. Formulare plata/AP 1.3 SE Raport de execuție.docx, friendlyName=Deschide sursa</x:v>
      </x:c>
    </x:row>
    <x:row r="280" ht="36" customHeight="1">
      <x:c r="A280" s="8" t="str">
        <x:v>F0451</x:v>
      </x:c>
      <x:c r="B280" s="8" t="str">
        <x:v>AP 1.3.1 SE Raport de audit.doc</x:v>
      </x:c>
      <x:c r="C280" s="8" t="str">
        <x:v>Implementare / documente suport</x:v>
      </x:c>
      <x:c r="D280" s="12" t="str"/>
      <x:c r="E280" s="11" t="str"/>
      <x:c r="F280" s="12" t="str"/>
      <x:c r="G280" s="11" t="str"/>
      <x:c r="H280" s="8" t="str"/>
      <x:c r="I280" s="8" t="str">
        <x:v>Document local; transmiterea individuală neconfirmată</x:v>
      </x:c>
      <x:c r="J280" s="8" t="str"/>
      <x:c r="K280" s="8" t="str">
        <x:v>Necesită citire vizuală / OCR / formular XFA</x:v>
      </x:c>
      <x:c r="L280" s="8" t="e">
        <x:f>HYPERLINK("file:///Z:/00. Proiecte 2025/AFIR FotoVoltaic 1/15. Implementare Proiect Fotovoltaic/0. Formulare plata/AP 1.3.1 SE Raport de audit.doc","Deschide sursa")</x:f>
        <x:v>HYPERLINK is not implemented. linkLocation=file:///Z:/00. Proiecte 2025/AFIR FotoVoltaic 1/15. Implementare Proiect Fotovoltaic/0. Formulare plata/AP 1.3.1 SE Raport de audit.doc, friendlyName=Deschide sursa</x:v>
      </x:c>
    </x:row>
    <x:row r="281" ht="36" customHeight="1">
      <x:c r="A281" s="8" t="str">
        <x:v>F0452</x:v>
      </x:c>
      <x:c r="B281" s="8" t="str">
        <x:v>AP 1.4 SE Declarație pe propria răspundere.docx</x:v>
      </x:c>
      <x:c r="C281" s="8" t="str">
        <x:v>Implementare / documente suport</x:v>
      </x:c>
      <x:c r="D281" s="12" t="str"/>
      <x:c r="E281" s="11" t="str"/>
      <x:c r="F281" s="12" t="str"/>
      <x:c r="G281" s="11" t="str"/>
      <x:c r="H281" s="8" t="str"/>
      <x:c r="I281" s="8" t="str">
        <x:v>Document local; transmiterea individuală neconfirmată</x:v>
      </x:c>
      <x:c r="J281" s="8" t="str"/>
      <x:c r="K281" s="8" t="str">
        <x:v>Text extras; numerele din referințe sunt în coloana separată</x:v>
      </x:c>
      <x:c r="L281" s="8" t="e">
        <x:f>HYPERLINK("file:///Z:/00. Proiecte 2025/AFIR FotoVoltaic 1/15. Implementare Proiect Fotovoltaic/0. Formulare plata/AP 1.4 SE Declarație pe propria răspundere.docx","Deschide sursa")</x:f>
        <x:v>HYPERLINK is not implemented. linkLocation=file:///Z:/00. Proiecte 2025/AFIR FotoVoltaic 1/15. Implementare Proiect Fotovoltaic/0. Formulare plata/AP 1.4 SE Declarație pe propria răspundere.docx, friendlyName=Deschide sursa</x:v>
      </x:c>
    </x:row>
    <x:row r="282" ht="36" customHeight="1">
      <x:c r="A282" s="8" t="str">
        <x:v>F0453</x:v>
      </x:c>
      <x:c r="B282" s="8" t="str">
        <x:v>AP_0.0_grafic_de_esalonare_SE.pdf</x:v>
      </x:c>
      <x:c r="C282" s="8" t="str">
        <x:v>Implementare / documente suport</x:v>
      </x:c>
      <x:c r="D282" s="12" t="str"/>
      <x:c r="E282" s="11" t="str"/>
      <x:c r="F282" s="12" t="str"/>
      <x:c r="G282" s="11" t="str"/>
      <x:c r="H282" s="8" t="str"/>
      <x:c r="I282" s="8" t="str">
        <x:v>Document local; transmiterea individuală neconfirmată</x:v>
      </x:c>
      <x:c r="J282" s="8" t="str"/>
      <x:c r="K282" s="8" t="str">
        <x:v>Necesită citire vizuală / OCR / formular XFA</x:v>
      </x:c>
      <x:c r="L282" s="8" t="e">
        <x:f>HYPERLINK("file:///Z:/00. Proiecte 2025/AFIR FotoVoltaic 1/15. Implementare Proiect Fotovoltaic/0. Formulare plata/AP_0.0_grafic_de_esalonare_SE.pdf","Deschide sursa")</x:f>
        <x:v>HYPERLINK is not implemented. linkLocation=file:///Z:/00. Proiecte 2025/AFIR FotoVoltaic 1/15. Implementare Proiect Fotovoltaic/0. Formulare plata/AP_0.0_grafic_de_esalonare_SE.pdf, friendlyName=Deschide sursa</x:v>
      </x:c>
    </x:row>
    <x:row r="283" ht="36" customHeight="1">
      <x:c r="A283" s="8" t="str">
        <x:v>F0454</x:v>
      </x:c>
      <x:c r="B283" s="8" t="str">
        <x:v>AP_1.2_SE_declaratie_de_cheltuieli.pdf</x:v>
      </x:c>
      <x:c r="C283" s="8" t="str">
        <x:v>Implementare / documente suport</x:v>
      </x:c>
      <x:c r="D283" s="12" t="str"/>
      <x:c r="E283" s="11" t="str"/>
      <x:c r="F283" s="12" t="str"/>
      <x:c r="G283" s="11" t="str"/>
      <x:c r="H283" s="8" t="str"/>
      <x:c r="I283" s="8" t="str">
        <x:v>Document local; transmiterea individuală neconfirmată</x:v>
      </x:c>
      <x:c r="J283" s="8" t="str"/>
      <x:c r="K283" s="8" t="str">
        <x:v>Necesită citire vizuală / OCR / formular XFA</x:v>
      </x:c>
      <x:c r="L283" s="8" t="e">
        <x:f>HYPERLINK("file:///Z:/00. Proiecte 2025/AFIR FotoVoltaic 1/15. Implementare Proiect Fotovoltaic/0. Formulare plata/AP_1.2_SE_declaratie_de_cheltuieli.pdf","Deschide sursa")</x:f>
        <x:v>HYPERLINK is not implemented. linkLocation=file:///Z:/00. Proiecte 2025/AFIR FotoVoltaic 1/15. Implementare Proiect Fotovoltaic/0. Formulare plata/AP_1.2_SE_declaratie_de_cheltuieli.pdf, friendlyName=Deschide sursa</x:v>
      </x:c>
    </x:row>
    <x:row r="284" ht="36" customHeight="1">
      <x:c r="A284" s="8" t="str">
        <x:v>F0455</x:v>
      </x:c>
      <x:c r="B284" s="8" t="str">
        <x:v>Instr de plată Schema de energie.docx</x:v>
      </x:c>
      <x:c r="C284" s="8" t="str">
        <x:v>Implementare / documente suport</x:v>
      </x:c>
      <x:c r="D284" s="12" t="str"/>
      <x:c r="E284" s="11" t="str"/>
      <x:c r="F284" s="12" t="str"/>
      <x:c r="G284" s="11" t="str"/>
      <x:c r="H284" s="8" t="str"/>
      <x:c r="I284" s="8" t="str">
        <x:v>Document local; transmiterea individuală neconfirmată</x:v>
      </x:c>
      <x:c r="J284" s="8" t="str">
        <x:v>nregistrată pe teritoriul României sau sub formă de scrisoare de garanție emisă în condițiile prevăzute prin OUG nr. 79/2009. Modelul de scrisoare de garanție es</x:v>
      </x:c>
      <x:c r="K284" s="8" t="str">
        <x:v>Text extras; numerele din referințe sunt în coloana separată</x:v>
      </x:c>
      <x:c r="L284" s="8" t="e">
        <x:f>HYPERLINK("file:///Z:/00. Proiecte 2025/AFIR FotoVoltaic 1/15. Implementare Proiect Fotovoltaic/0. Formulare plata/Instr de plată Schema de energie.docx","Deschide sursa")</x:f>
        <x:v>HYPERLINK is not implemented. linkLocation=file:///Z:/00. Proiecte 2025/AFIR FotoVoltaic 1/15. Implementare Proiect Fotovoltaic/0. Formulare plata/Instr de plată Schema de energie.docx, friendlyName=Deschide sursa</x:v>
      </x:c>
    </x:row>
    <x:row r="285" ht="36" customHeight="1">
      <x:c r="A285" s="8" t="str">
        <x:v>F0456</x:v>
      </x:c>
      <x:c r="B285" s="8" t="str">
        <x:v>Model Scrisoare de Garanție Bancară.docx</x:v>
      </x:c>
      <x:c r="C285" s="8" t="str">
        <x:v>Implementare / documente suport</x:v>
      </x:c>
      <x:c r="D285" s="12" t="str"/>
      <x:c r="E285" s="11" t="str"/>
      <x:c r="F285" s="12" t="str"/>
      <x:c r="G285" s="11" t="str"/>
      <x:c r="H285" s="8" t="str"/>
      <x:c r="I285" s="8" t="str">
        <x:v>Document local; transmiterea individuală neconfirmată</x:v>
      </x:c>
      <x:c r="J285" s="8" t="str">
        <x:v>nr. 60/2022 privind stabilirea cadrului institutional și financiar de implementare și gestionare a fondurilor alocate României prin Fondul de Modernizare, precum</x:v>
      </x:c>
      <x:c r="K285" s="8" t="str">
        <x:v>Text extras; numerele din referințe sunt în coloana separată</x:v>
      </x:c>
      <x:c r="L285" s="8" t="e">
        <x:f>HYPERLINK("file:///Z:/00. Proiecte 2025/AFIR FotoVoltaic 1/15. Implementare Proiect Fotovoltaic/0. Formulare plata/Model Scrisoare de Garanție Bancară.docx","Deschide sursa")</x:f>
        <x:v>HYPERLINK is not implemented. linkLocation=file:///Z:/00. Proiecte 2025/AFIR FotoVoltaic 1/15. Implementare Proiect Fotovoltaic/0. Formulare plata/Model Scrisoare de Garanție Bancară.docx, friendlyName=Deschide sursa</x:v>
      </x:c>
    </x:row>
    <x:row r="286" ht="50" customHeight="1">
      <x:c r="A286" s="8" t="str">
        <x:v>F0457</x:v>
      </x:c>
      <x:c r="B286" s="8" t="str">
        <x:v>Calentar Proiect.xlsx</x:v>
      </x:c>
      <x:c r="C286" s="8" t="str">
        <x:v>Implementare / documente suport</x:v>
      </x:c>
      <x:c r="D286" s="12" t="str"/>
      <x:c r="E286" s="11" t="str"/>
      <x:c r="F286" s="12" t="str"/>
      <x:c r="G286" s="11" t="str"/>
      <x:c r="H286" s="8" t="str"/>
      <x:c r="I286" s="8" t="str">
        <x:v>Document local; transmiterea individuală neconfirmată</x:v>
      </x:c>
      <x:c r="J286" s="8" t="str"/>
      <x:c r="K286" s="8" t="str">
        <x:v>Necesită citire vizuală / OCR / formular XFA</x:v>
      </x:c>
      <x:c r="L286" s="8" t="e">
        <x:f>HYPERLINK("file:///Z:/00. Proiecte 2025/AFIR FotoVoltaic 1/15. Implementare Proiect Fotovoltaic/1.Implementare Proiect Production-Ordin de Incepere a Lucrarilor/Calentar Proiect.xlsx","Deschide sursa")</x:f>
        <x:v>HYPERLINK is not implemented. linkLocation=file:///Z:/00. Proiecte 2025/AFIR FotoVoltaic 1/15. Implementare Proiect Fotovoltaic/1.Implementare Proiect Production-Ordin de Incepere a Lucrarilor/Calentar Proiect.xlsx, friendlyName=Deschide sursa</x:v>
      </x:c>
    </x:row>
    <x:row r="287" ht="64" customHeight="1">
      <x:c r="A287" s="8" t="str">
        <x:v>F0458</x:v>
      </x:c>
      <x:c r="B287" s="8" t="str">
        <x:v>CESIRO PRODUCTION Ordin de incepere a lucrarilor.docx</x:v>
      </x:c>
      <x:c r="C287" s="8" t="str">
        <x:v>Implementare / documente suport</x:v>
      </x:c>
      <x:c r="D287" s="12" t="str">
        <x:v>1</x:v>
      </x:c>
      <x:c r="E287" s="11" t="n">
        <x:v>46069</x:v>
      </x:c>
      <x:c r="F287" s="12" t="str"/>
      <x:c r="G287" s="11" t="str"/>
      <x:c r="H287" s="8" t="str"/>
      <x:c r="I287" s="8" t="str">
        <x:v>Document local; transmiterea individuală neconfirmată</x:v>
      </x:c>
      <x:c r="J287" s="8" t="str">
        <x:v>Nr. 1/16.02.2026
nr. CFMSES011011372801030, încheiat cu Agenția pentru Finanțarea Investițiilor Rurale, pentru implementarea proiectului „IMPLEMENTAREA SISTEMULUI FOTOVOLTAIC 1 MW
nr. CFMSES011011372801030.</x:v>
      </x:c>
      <x:c r="K287" s="8" t="str">
        <x:v>Text extras; numerele din referințe sunt în coloana separată</x:v>
      </x:c>
      <x:c r="L287" s="8" t="e">
        <x:f>HYPERLINK("file:///Z:/00. Proiecte 2025/AFIR FotoVoltaic 1/15. Implementare Proiect Fotovoltaic/1.Implementare Proiect Production-Ordin de Incepere a Lucrarilor/CESIRO PRODUCTION Ordin de incepere a lucrarilor.docx","Deschide sursa")</x:f>
        <x:v>HYPERLINK is not implemented. linkLocation=file:///Z:/00. Proiecte 2025/AFIR FotoVoltaic 1/15. Implementare Proiect Fotovoltaic/1.Implementare Proiect Production-Ordin de Incepere a Lucrarilor/CESIRO PRODUCTION Ordin de incepere a lucrarilor.docx, friendlyName=Deschide sursa</x:v>
      </x:c>
    </x:row>
    <x:row r="288" ht="50" customHeight="1">
      <x:c r="A288" s="8" t="str">
        <x:v>F0459</x:v>
      </x:c>
      <x:c r="B288" s="8" t="str">
        <x:v>fisa proiect de incarcat pe site.docx</x:v>
      </x:c>
      <x:c r="C288" s="8" t="str">
        <x:v>Implementare / documente suport</x:v>
      </x:c>
      <x:c r="D288" s="12" t="str"/>
      <x:c r="E288" s="11" t="str"/>
      <x:c r="F288" s="12" t="str"/>
      <x:c r="G288" s="11" t="str"/>
      <x:c r="H288" s="8" t="str"/>
      <x:c r="I288" s="8" t="str">
        <x:v>Document local; transmiterea individuală neconfirmată</x:v>
      </x:c>
      <x:c r="J288" s="8" t="str">
        <x:v>nr. CFMSES011011372801030, încheiat cu Agenția pentru Finanțarea Investițiilor Rurale (AFIR), în cadrul schemei de ajutor de stat privind sprijinirea investițiilor</x:v>
      </x:c>
      <x:c r="K288" s="8" t="str">
        <x:v>Text extras; numerele din referințe sunt în coloana separată</x:v>
      </x:c>
      <x:c r="L288" s="8" t="e">
        <x:f>HYPERLINK("file:///Z:/00. Proiecte 2025/AFIR FotoVoltaic 1/15. Implementare Proiect Fotovoltaic/1.Implementare Proiect Production-Ordin de Incepere a Lucrarilor/fisa proiect de incarcat pe site.docx","Deschide sursa")</x:f>
        <x:v>HYPERLINK is not implemented. linkLocation=file:///Z:/00. Proiecte 2025/AFIR FotoVoltaic 1/15. Implementare Proiect Fotovoltaic/1.Implementare Proiect Production-Ordin de Incepere a Lucrarilor/fisa proiect de incarcat pe site.docx, friendlyName=Deschide sursa</x:v>
      </x:c>
    </x:row>
    <x:row r="289" ht="36" customHeight="1">
      <x:c r="A289" s="8" t="str">
        <x:v>F0461</x:v>
      </x:c>
      <x:c r="B289" s="8" t="str">
        <x:v>Contract Neets-Suntech.pdf</x:v>
      </x:c>
      <x:c r="C289" s="8" t="str">
        <x:v>Implementare / documente suport</x:v>
      </x:c>
      <x:c r="D289" s="12" t="str"/>
      <x:c r="E289" s="11" t="str"/>
      <x:c r="F289" s="12" t="str"/>
      <x:c r="G289" s="11" t="str"/>
      <x:c r="H289" s="8" t="str"/>
      <x:c r="I289" s="8" t="str">
        <x:v>Document local; transmiterea individuală neconfirmată</x:v>
      </x:c>
      <x:c r="J289" s="8" t="str"/>
      <x:c r="K289" s="8" t="str">
        <x:v>Text extras; numerele din referințe sunt în coloana separată</x:v>
      </x:c>
      <x:c r="L289" s="8" t="e">
        <x:f>HYPERLINK("file:///Z:/00. Proiecte 2025/AFIR FotoVoltaic 1/15. Implementare Proiect Fotovoltaic/10.Neets-Suntech/Contract Neets-Suntech.pdf","Deschide sursa")</x:f>
        <x:v>HYPERLINK is not implemented. linkLocation=file:///Z:/00. Proiecte 2025/AFIR FotoVoltaic 1/15. Implementare Proiect Fotovoltaic/10.Neets-Suntech/Contract Neets-Suntech.pdf, friendlyName=Deschide sursa</x:v>
      </x:c>
    </x:row>
    <x:row r="290" ht="36" customHeight="1">
      <x:c r="A290" s="8" t="str">
        <x:v>F0462</x:v>
      </x:c>
      <x:c r="B290" s="8" t="str">
        <x:v>Reconciliere Factura-CMR-Serii Panouri.docx</x:v>
      </x:c>
      <x:c r="C290" s="8" t="str">
        <x:v>Implementare / documente suport</x:v>
      </x:c>
      <x:c r="D290" s="12" t="str"/>
      <x:c r="E290" s="11" t="str"/>
      <x:c r="F290" s="12" t="str"/>
      <x:c r="G290" s="11" t="str"/>
      <x:c r="H290" s="8" t="str"/>
      <x:c r="I290" s="8" t="str">
        <x:v>Document local; transmiterea individuală neconfirmată</x:v>
      </x:c>
      <x:c r="J290" s="8" t="str">
        <x:v>nregistrări serializate unice, fiecare rând util reprezentând, în practică, 1 panou / 1 serie.
nregistrările Excel sunt acoperite documentar | 252 buc. neacoperite în Excel</x:v>
      </x:c>
      <x:c r="K290" s="8" t="str">
        <x:v>Text extras; numerele din referințe sunt în coloana separată</x:v>
      </x:c>
      <x:c r="L290" s="8" t="e">
        <x:f>HYPERLINK("file:///Z:/00. Proiecte 2025/AFIR FotoVoltaic 1/15. Implementare Proiect Fotovoltaic/10.Neets-Suntech/Reconciliere Factura-CMR-Serii Panouri.docx","Deschide sursa")</x:f>
        <x:v>HYPERLINK is not implemented. linkLocation=file:///Z:/00. Proiecte 2025/AFIR FotoVoltaic 1/15. Implementare Proiect Fotovoltaic/10.Neets-Suntech/Reconciliere Factura-CMR-Serii Panouri.docx, friendlyName=Deschide sursa</x:v>
      </x:c>
    </x:row>
    <x:row r="291" ht="36" customHeight="1">
      <x:c r="A291" s="8" t="str">
        <x:v>F0463</x:v>
      </x:c>
      <x:c r="B291" s="8" t="str">
        <x:v>Reconciliere Factura-Serii Panouri.docx</x:v>
      </x:c>
      <x:c r="C291" s="8" t="str">
        <x:v>Implementare / documente suport</x:v>
      </x:c>
      <x:c r="D291" s="12" t="str"/>
      <x:c r="E291" s="11" t="str"/>
      <x:c r="F291" s="12" t="str"/>
      <x:c r="G291" s="11" t="str"/>
      <x:c r="H291" s="8" t="str"/>
      <x:c r="I291" s="8" t="str">
        <x:v>Document local; transmiterea individuală neconfirmată</x:v>
      </x:c>
      <x:c r="J291" s="8" t="str"/>
      <x:c r="K291" s="8" t="str">
        <x:v>Text extras; numerele din referințe sunt în coloana separată</x:v>
      </x:c>
      <x:c r="L291" s="8" t="e">
        <x:f>HYPERLINK("file:///Z:/00. Proiecte 2025/AFIR FotoVoltaic 1/15. Implementare Proiect Fotovoltaic/10.Neets-Suntech/Reconciliere Factura-Serii Panouri.docx","Deschide sursa")</x:f>
        <x:v>HYPERLINK is not implemented. linkLocation=file:///Z:/00. Proiecte 2025/AFIR FotoVoltaic 1/15. Implementare Proiect Fotovoltaic/10.Neets-Suntech/Reconciliere Factura-Serii Panouri.docx, friendlyName=Deschide sursa</x:v>
      </x:c>
    </x:row>
    <x:row r="292" ht="246" customHeight="1">
      <x:c r="A292" s="8" t="str">
        <x:v>F0466</x:v>
      </x:c>
      <x:c r="B292" s="8" t="str">
        <x:v>Contract realizare investitie 1 MW ALNI.docx</x:v>
      </x:c>
      <x:c r="C292" s="8" t="str">
        <x:v>Implementare / documente suport</x:v>
      </x:c>
      <x:c r="D292" s="12" t="str"/>
      <x:c r="E292" s="11" t="str"/>
      <x:c r="F292" s="12" t="str"/>
      <x:c r="G292" s="11" t="str"/>
      <x:c r="H292" s="8" t="str"/>
      <x:c r="I292" s="8" t="str">
        <x:v>Document local; transmiterea individuală neconfirmată</x:v>
      </x:c>
      <x:c r="J292" s="8" t="str">
        <x:v>nr. 3B, jud. Alba, înregistrată la Oficiul Registrului Comerțului sub nr. J01/1916/2022, având CIF 47362309, cont bancar [●], deschis la [●], reprezentată legal pr
nr. 7, înregistrată la Oficiul Registrului Comerțului sub nr. J01/1023/2023, având CUI 48921751, cont bancar [●], deschis la [●], reprezentată legal prin administr
nr. 123/2012, cu modificările și completările ulterioare;
NRE din 12.03.2025 pentru acordarea licențelor și autorizațiilor în sectorul energiei electrice;
NRE nr. 134/2021;
nr. 10/1995 privind calitatea în construcții;
nr. 50/1991 privind autorizarea executării lucrărilor de construcții;
nr. 273/1994 privind recepția construcțiilor;
nr. 319/2006 și HG nr. 300/2006 privind securitatea și sănătatea în muncă pentru șantiere temporare sau mobile;
nr. 307/2006 și Ordinul MAI nr. 129/2016 privind avizarea/autorizarea de securitate la incendiu, în măsura aplicabilității;
nr. 92/2021 privind regimul deșeurilor, OUG nr. 5/2015 privind DEEE, HG nr. 1132/2008 privind bateriile și acumulatorii și HG nr. 1061/2008 privind transportul deș
nr. 3B, Alba Iulia, jud. Alba
nr. 7, J01/1023/2023, CUI 48921751</x:v>
      </x:c>
      <x:c r="K292" s="8" t="str">
        <x:v>Text extras; numerele din referințe sunt în coloana separată</x:v>
      </x:c>
      <x:c r="L292" s="8" t="e">
        <x:f>HYPERLINK("file:///Z:/00. Proiecte 2025/AFIR FotoVoltaic 1/15. Implementare Proiect Fotovoltaic/11.Neets-ALNI/Contract realizare investitie 1 MW ALNI.docx","Deschide sursa")</x:f>
        <x:v>HYPERLINK is not implemented. linkLocation=file:///Z:/00. Proiecte 2025/AFIR FotoVoltaic 1/15. Implementare Proiect Fotovoltaic/11.Neets-ALNI/Contract realizare investitie 1 MW ALNI.docx, friendlyName=Deschide sursa</x:v>
      </x:c>
    </x:row>
    <x:row r="293" ht="36" customHeight="1">
      <x:c r="A293" s="8" t="str">
        <x:v>F0467</x:v>
      </x:c>
      <x:c r="B293" s="8" t="str">
        <x:v>Contract_Neets-Alni Electric_compressed (1) (1).pdf</x:v>
      </x:c>
      <x:c r="C293" s="8" t="str">
        <x:v>Implementare / documente suport</x:v>
      </x:c>
      <x:c r="D293" s="12" t="str"/>
      <x:c r="E293" s="11" t="str"/>
      <x:c r="F293" s="12" t="str"/>
      <x:c r="G293" s="11" t="str"/>
      <x:c r="H293" s="8" t="str"/>
      <x:c r="I293" s="8" t="str">
        <x:v>Document local; transmiterea individuală neconfirmată</x:v>
      </x:c>
      <x:c r="J293" s="8" t="str"/>
      <x:c r="K293" s="8" t="str">
        <x:v>Text extras; numerele din referințe sunt în coloana separată</x:v>
      </x:c>
      <x:c r="L293" s="8" t="e">
        <x:f>HYPERLINK("file:///Z:/00. Proiecte 2025/AFIR FotoVoltaic 1/15. Implementare Proiect Fotovoltaic/11.Neets-ALNI/Contract_Neets-Alni Electric_compressed (1) (1).pdf","Deschide sursa")</x:f>
        <x:v>HYPERLINK is not implemented. linkLocation=file:///Z:/00. Proiecte 2025/AFIR FotoVoltaic 1/15. Implementare Proiect Fotovoltaic/11.Neets-ALNI/Contract_Neets-Alni Electric_compressed (1) (1).pdf, friendlyName=Deschide sursa</x:v>
      </x:c>
    </x:row>
    <x:row r="294" ht="50" customHeight="1">
      <x:c r="A294" s="8" t="str">
        <x:v>F0468</x:v>
      </x:c>
      <x:c r="B294" s="8" t="str">
        <x:v>Declaration of conformity - Neets Fotoshooting SRL - Avasco Solar Signed.pdf</x:v>
      </x:c>
      <x:c r="C294" s="8" t="str">
        <x:v>Implementare / documente suport</x:v>
      </x:c>
      <x:c r="D294" s="12" t="str"/>
      <x:c r="E294" s="11" t="str"/>
      <x:c r="F294" s="12" t="str"/>
      <x:c r="G294" s="11" t="str"/>
      <x:c r="H294" s="8" t="str"/>
      <x:c r="I294" s="8" t="str">
        <x:v>Document local; transmiterea individuală neconfirmată</x:v>
      </x:c>
      <x:c r="J294" s="8" t="str"/>
      <x:c r="K294" s="8" t="str">
        <x:v>Text extras; numerele din referințe sunt în coloana separată</x:v>
      </x:c>
      <x:c r="L294" s="8" t="e">
        <x:f>HYPERLINK("file:///Z:/00. Proiecte 2025/AFIR FotoVoltaic 1/15. Implementare Proiect Fotovoltaic/12.Neets-Avasco/Declaration of conformity - Neets Fotoshooting SRL - Avasco Solar Signed.pdf","Deschide sursa")</x:f>
        <x:v>HYPERLINK is not implemented. linkLocation=file:///Z:/00. Proiecte 2025/AFIR FotoVoltaic 1/15. Implementare Proiect Fotovoltaic/12.Neets-Avasco/Declaration of conformity - Neets Fotoshooting SRL - Avasco Solar Signed.pdf, friendlyName=Deschide sursa</x:v>
      </x:c>
    </x:row>
    <x:row r="295" ht="302" customHeight="1">
      <x:c r="A295" s="8" t="str">
        <x:v>F0469</x:v>
      </x:c>
      <x:c r="B295" s="8" t="str">
        <x:v>P118 - Document oficial.pdf</x:v>
      </x:c>
      <x:c r="C295" s="8" t="str">
        <x:v>Implementare / documente suport</x:v>
      </x:c>
      <x:c r="D295" s="12" t="str"/>
      <x:c r="E295" s="11" t="str"/>
      <x:c r="F295" s="12" t="str"/>
      <x:c r="G295" s="11" t="str"/>
      <x:c r="H295" s="8" t="str"/>
      <x:c r="I295" s="8" t="str">
        <x:v>Document local; transmiterea individuală neconfirmată</x:v>
      </x:c>
      <x:c r="J295" s="8" t="str">
        <x:v>Nr. 204 bis Luni, 10 martie 2025
nr. 267/2025 pentru aprobarea
Nr. 204 bis/10.III.20252
nr. 10/1995 privind calitatea în construcții, republicată, cu modificările și
nr. 203/2003, cu modificările și completările ulterioare, ale art. 5 pct. 31) din Hotărârea
nr. 477/2020 privind organizarea și funcționarea Ministerului Dezvoltării, Lucrărilor Publice și Administrației,
nr. 1.016/2004 privind măsurile pentru organizarea și
nr. 10 din 15.01.2024 al Comitetului tehnic de specialitate CTS B — Siguranță
nr. 10 d in
nr. 3 din 23.10.2024 al Comitetului tehnic de coordonare
nr. 241 din 17.09.2015,
nr. 477/2020 privind organizarea și funcționarea Ministerului Dezvoltării,
nr. 50/1991 privind autorizarea executării lucrărilor
nr. 27/N din 7.04.1999 pentru aprobarea reglementării tehnice
nr. 7/1999, își încetează
Nr. 267.
nr. 267/2025 a fost publicat în Monitorul Oficial al României, Partea I, nr. 204 din 10 martie 2025 și este reprodus și în acest număr bis.
Nr. 204 bis/10.III.2025 3
Nr. 204 bis/10.III.2025
Nr. 204 bis/10.III.2025 5</x:v>
      </x:c>
      <x:c r="K295" s="8" t="str">
        <x:v>Text extras; numerele din referințe sunt în coloana separată</x:v>
      </x:c>
      <x:c r="L295" s="8" t="e">
        <x:f>HYPERLINK("file:///Z:/00. Proiecte 2025/AFIR FotoVoltaic 1/15. Implementare Proiect Fotovoltaic/12.Neets-Avasco/P118 - Document oficial.pdf","Deschide sursa")</x:f>
        <x:v>HYPERLINK is not implemented. linkLocation=file:///Z:/00. Proiecte 2025/AFIR FotoVoltaic 1/15. Implementare Proiect Fotovoltaic/12.Neets-Avasco/P118 - Document oficial.pdf, friendlyName=Deschide sursa</x:v>
      </x:c>
    </x:row>
    <x:row r="296" ht="36" customHeight="1">
      <x:c r="A296" s="8" t="str">
        <x:v>F0470</x:v>
      </x:c>
      <x:c r="B296" s="8" t="str">
        <x:v>P118 - RO.pdf</x:v>
      </x:c>
      <x:c r="C296" s="8" t="str">
        <x:v>Implementare / documente suport</x:v>
      </x:c>
      <x:c r="D296" s="12" t="str"/>
      <x:c r="E296" s="11" t="str"/>
      <x:c r="F296" s="12" t="str"/>
      <x:c r="G296" s="11" t="str"/>
      <x:c r="H296" s="8" t="str"/>
      <x:c r="I296" s="8" t="str">
        <x:v>Document local; transmiterea individuală neconfirmată</x:v>
      </x:c>
      <x:c r="J296" s="8" t="str"/>
      <x:c r="K296" s="8" t="str">
        <x:v>Text extras; numerele din referințe sunt în coloana separată</x:v>
      </x:c>
      <x:c r="L296" s="8" t="e">
        <x:f>HYPERLINK("file:///Z:/00. Proiecte 2025/AFIR FotoVoltaic 1/15. Implementare Proiect Fotovoltaic/12.Neets-Avasco/P118 - RO.pdf","Deschide sursa")</x:f>
        <x:v>HYPERLINK is not implemented. linkLocation=file:///Z:/00. Proiecte 2025/AFIR FotoVoltaic 1/15. Implementare Proiect Fotovoltaic/12.Neets-Avasco/P118 - RO.pdf, friendlyName=Deschide sursa</x:v>
      </x:c>
    </x:row>
    <x:row r="297" ht="36" customHeight="1">
      <x:c r="A297" s="8" t="str">
        <x:v>F0471</x:v>
      </x:c>
      <x:c r="B297" s="8" t="str">
        <x:v>Price offer, Neets Fotoshooting SRL, V1.pdf</x:v>
      </x:c>
      <x:c r="C297" s="8" t="str">
        <x:v>Implementare / documente suport</x:v>
      </x:c>
      <x:c r="D297" s="12" t="str"/>
      <x:c r="E297" s="11" t="str"/>
      <x:c r="F297" s="12" t="str"/>
      <x:c r="G297" s="11" t="str"/>
      <x:c r="H297" s="8" t="str"/>
      <x:c r="I297" s="8" t="str">
        <x:v>Document local; transmiterea individuală neconfirmată</x:v>
      </x:c>
      <x:c r="J297" s="8" t="str"/>
      <x:c r="K297" s="8" t="str">
        <x:v>Text extras; numerele din referințe sunt în coloana separată</x:v>
      </x:c>
      <x:c r="L297" s="8" t="e">
        <x:f>HYPERLINK("file:///Z:/00. Proiecte 2025/AFIR FotoVoltaic 1/15. Implementare Proiect Fotovoltaic/12.Neets-Avasco/Price offer, Neets Fotoshooting SRL, V1.pdf","Deschide sursa")</x:f>
        <x:v>HYPERLINK is not implemented. linkLocation=file:///Z:/00. Proiecte 2025/AFIR FotoVoltaic 1/15. Implementare Proiect Fotovoltaic/12.Neets-Avasco/Price offer, Neets Fotoshooting SRL, V1.pdf, friendlyName=Deschide sursa</x:v>
      </x:c>
    </x:row>
    <x:row r="298" ht="50" customHeight="1">
      <x:c r="A298" s="8" t="str">
        <x:v>F0472</x:v>
      </x:c>
      <x:c r="B298" s="8" t="str">
        <x:v>Product warranty - Neets Fotoshooting SRL - Avasco Solar Signed.pdf</x:v>
      </x:c>
      <x:c r="C298" s="8" t="str">
        <x:v>Implementare / documente suport</x:v>
      </x:c>
      <x:c r="D298" s="12" t="str"/>
      <x:c r="E298" s="11" t="str"/>
      <x:c r="F298" s="12" t="str"/>
      <x:c r="G298" s="11" t="str"/>
      <x:c r="H298" s="8" t="str"/>
      <x:c r="I298" s="8" t="str">
        <x:v>Document local; transmiterea individuală neconfirmată</x:v>
      </x:c>
      <x:c r="J298" s="8" t="str"/>
      <x:c r="K298" s="8" t="str">
        <x:v>Text extras; numerele din referințe sunt în coloana separată</x:v>
      </x:c>
      <x:c r="L298" s="8" t="e">
        <x:f>HYPERLINK("file:///Z:/00. Proiecte 2025/AFIR FotoVoltaic 1/15. Implementare Proiect Fotovoltaic/12.Neets-Avasco/Product warranty - Neets Fotoshooting SRL - Avasco Solar Signed.pdf","Deschide sursa")</x:f>
        <x:v>HYPERLINK is not implemented. linkLocation=file:///Z:/00. Proiecte 2025/AFIR FotoVoltaic 1/15. Implementare Proiect Fotovoltaic/12.Neets-Avasco/Product warranty - Neets Fotoshooting SRL - Avasco Solar Signed.pdf, friendlyName=Deschide sursa</x:v>
      </x:c>
    </x:row>
    <x:row r="299" ht="36" customHeight="1">
      <x:c r="A299" s="8" t="str">
        <x:v>F0473</x:v>
      </x:c>
      <x:c r="B299" s="8" t="str">
        <x:v>Project report - Neets Fotoshooting, V1.pdf</x:v>
      </x:c>
      <x:c r="C299" s="8" t="str">
        <x:v>Implementare / documente suport</x:v>
      </x:c>
      <x:c r="D299" s="12" t="str"/>
      <x:c r="E299" s="11" t="str"/>
      <x:c r="F299" s="12" t="str"/>
      <x:c r="G299" s="11" t="str"/>
      <x:c r="H299" s="8" t="str"/>
      <x:c r="I299" s="8" t="str">
        <x:v>Document local; transmiterea individuală neconfirmată</x:v>
      </x:c>
      <x:c r="J299" s="8" t="str"/>
      <x:c r="K299" s="8" t="str">
        <x:v>Text extras; numerele din referințe sunt în coloana separată</x:v>
      </x:c>
      <x:c r="L299" s="8" t="e">
        <x:f>HYPERLINK("file:///Z:/00. Proiecte 2025/AFIR FotoVoltaic 1/15. Implementare Proiect Fotovoltaic/12.Neets-Avasco/Project report - Neets Fotoshooting, V1.pdf","Deschide sursa")</x:f>
        <x:v>HYPERLINK is not implemented. linkLocation=file:///Z:/00. Proiecte 2025/AFIR FotoVoltaic 1/15. Implementare Proiect Fotovoltaic/12.Neets-Avasco/Project report - Neets Fotoshooting, V1.pdf, friendlyName=Deschide sursa</x:v>
      </x:c>
    </x:row>
    <x:row r="300" ht="36" customHeight="1">
      <x:c r="A300" s="8" t="str">
        <x:v>F0474</x:v>
      </x:c>
      <x:c r="B300" s="8" t="str">
        <x:v>Project report - Neets Fotoshooting, V2 - Neets Fotoshooting.pdf</x:v>
      </x:c>
      <x:c r="C300" s="8" t="str">
        <x:v>Implementare / documente suport</x:v>
      </x:c>
      <x:c r="D300" s="12" t="str"/>
      <x:c r="E300" s="11" t="str"/>
      <x:c r="F300" s="12" t="str"/>
      <x:c r="G300" s="11" t="str"/>
      <x:c r="H300" s="8" t="str"/>
      <x:c r="I300" s="8" t="str">
        <x:v>Document local; transmiterea individuală neconfirmată</x:v>
      </x:c>
      <x:c r="J300" s="8" t="str"/>
      <x:c r="K300" s="8" t="str">
        <x:v>Text extras; numerele din referințe sunt în coloana separată</x:v>
      </x:c>
      <x:c r="L300" s="8" t="e">
        <x:f>HYPERLINK("file:///Z:/00. Proiecte 2025/AFIR FotoVoltaic 1/15. Implementare Proiect Fotovoltaic/12.Neets-Avasco/Project report - Neets Fotoshooting, V2 - Neets Fotoshooting.pdf","Deschide sursa")</x:f>
        <x:v>HYPERLINK is not implemented. linkLocation=file:///Z:/00. Proiecte 2025/AFIR FotoVoltaic 1/15. Implementare Proiect Fotovoltaic/12.Neets-Avasco/Project report - Neets Fotoshooting, V2 - Neets Fotoshooting.pdf, friendlyName=Deschide sursa</x:v>
      </x:c>
    </x:row>
    <x:row r="301" ht="50" customHeight="1">
      <x:c r="A301" s="8" t="str">
        <x:v>F0475</x:v>
      </x:c>
      <x:c r="B301" s="8" t="str">
        <x:v>Structura_Avasco.pdf</x:v>
      </x:c>
      <x:c r="C301" s="8" t="str">
        <x:v>Implementare / documente suport</x:v>
      </x:c>
      <x:c r="D301" s="12" t="str"/>
      <x:c r="E301" s="11" t="str"/>
      <x:c r="F301" s="12" t="str"/>
      <x:c r="G301" s="11" t="str"/>
      <x:c r="H301" s="8" t="str"/>
      <x:c r="I301" s="8" t="str">
        <x:v>Document local; transmiterea individuală neconfirmată</x:v>
      </x:c>
      <x:c r="J301" s="8" t="str">
        <x:v>nr.: BE0721474320
NR. 3B 510042 ALBA IULIA ROMANIA
NR. 510042 ALBA IULIA ROMANIA</x:v>
      </x:c>
      <x:c r="K301" s="8" t="str">
        <x:v>Text extras; numerele din referințe sunt în coloana separată</x:v>
      </x:c>
      <x:c r="L301" s="8" t="e">
        <x:f>HYPERLINK("file:///Z:/00. Proiecte 2025/AFIR FotoVoltaic 1/15. Implementare Proiect Fotovoltaic/12.Neets-Avasco/Structura_Avasco.pdf","Deschide sursa")</x:f>
        <x:v>HYPERLINK is not implemented. linkLocation=file:///Z:/00. Proiecte 2025/AFIR FotoVoltaic 1/15. Implementare Proiect Fotovoltaic/12.Neets-Avasco/Structura_Avasco.pdf, friendlyName=Deschide sursa</x:v>
      </x:c>
    </x:row>
    <x:row r="302" ht="64" customHeight="1">
      <x:c r="A302" s="8" t="str">
        <x:v>F0478</x:v>
      </x:c>
      <x:c r="B302" s="8" t="str">
        <x:v>Elis Pavaje.pdf</x:v>
      </x:c>
      <x:c r="C302" s="8" t="str">
        <x:v>Implementare / documente suport</x:v>
      </x:c>
      <x:c r="D302" s="12" t="str"/>
      <x:c r="E302" s="11" t="str"/>
      <x:c r="F302" s="12" t="str"/>
      <x:c r="G302" s="11" t="str"/>
      <x:c r="H302" s="8" t="str"/>
      <x:c r="I302" s="8" t="str">
        <x:v>Document local; transmiterea individuală neconfirmată</x:v>
      </x:c>
      <x:c r="J302" s="8" t="str">
        <x:v>Nr. RC. Capital social: Sediul: Banca: Contul: Banca: Contul: Punct de Lucru: Cumparator: CUI: Nr.inreg. RC/an: Sediul: Banca: Contul: Nr. crt. 1 2 3 4
nr. 3B Jud. ALBA
Nr. disp. livrare: 90089624</x:v>
      </x:c>
      <x:c r="K302" s="8" t="str">
        <x:v>Text extras; numerele din referințe sunt în coloana separată</x:v>
      </x:c>
      <x:c r="L302" s="8" t="e">
        <x:f>HYPERLINK("file:///Z:/00. Proiecte 2025/AFIR FotoVoltaic 1/15. Implementare Proiect Fotovoltaic/13.Neets-Elis/Elis Pavaje.pdf","Deschide sursa")</x:f>
        <x:v>HYPERLINK is not implemented. linkLocation=file:///Z:/00. Proiecte 2025/AFIR FotoVoltaic 1/15. Implementare Proiect Fotovoltaic/13.Neets-Elis/Elis Pavaje.pdf, friendlyName=Deschide sursa</x:v>
      </x:c>
    </x:row>
    <x:row r="303" ht="36" customHeight="1">
      <x:c r="A303" s="8" t="str">
        <x:v>F0479</x:v>
      </x:c>
      <x:c r="B303" s="8" t="str">
        <x:v>CMR IMPORTURI.pdf</x:v>
      </x:c>
      <x:c r="C303" s="8" t="str">
        <x:v>Implementare / documente suport</x:v>
      </x:c>
      <x:c r="D303" s="12" t="str"/>
      <x:c r="E303" s="11" t="str"/>
      <x:c r="F303" s="12" t="str"/>
      <x:c r="G303" s="11" t="str"/>
      <x:c r="H303" s="8" t="str"/>
      <x:c r="I303" s="8" t="str">
        <x:v>Document local; transmiterea individuală neconfirmată</x:v>
      </x:c>
      <x:c r="J303" s="8" t="str"/>
      <x:c r="K303" s="8" t="str">
        <x:v>Text extras; numerele din referințe sunt în coloana separată</x:v>
      </x:c>
      <x:c r="L303" s="8" t="e">
        <x:f>HYPERLINK("file:///Z:/00. Proiecte 2025/AFIR FotoVoltaic 1/15. Implementare Proiect Fotovoltaic/14.Neets-Edimar Colect Stivuitor/CMR IMPORTURI.pdf","Deschide sursa")</x:f>
        <x:v>HYPERLINK is not implemented. linkLocation=file:///Z:/00. Proiecte 2025/AFIR FotoVoltaic 1/15. Implementare Proiect Fotovoltaic/14.Neets-Edimar Colect Stivuitor/CMR IMPORTURI.pdf, friendlyName=Deschide sursa</x:v>
      </x:c>
    </x:row>
    <x:row r="304" ht="36" customHeight="1">
      <x:c r="A304" s="8" t="str">
        <x:v>F0480</x:v>
      </x:c>
      <x:c r="B304" s="8" t="str">
        <x:v>CMR Skybase 11 Paleti.pdf</x:v>
      </x:c>
      <x:c r="C304" s="8" t="str">
        <x:v>Implementare / documente suport</x:v>
      </x:c>
      <x:c r="D304" s="12" t="str"/>
      <x:c r="E304" s="11" t="str"/>
      <x:c r="F304" s="12" t="str"/>
      <x:c r="G304" s="11" t="str"/>
      <x:c r="H304" s="8" t="str"/>
      <x:c r="I304" s="8" t="str">
        <x:v>Document local; transmiterea individuală neconfirmată</x:v>
      </x:c>
      <x:c r="J304" s="8" t="str"/>
      <x:c r="K304" s="8" t="str">
        <x:v>Text extras; numerele din referințe sunt în coloana separată</x:v>
      </x:c>
      <x:c r="L304" s="8" t="e">
        <x:f>HYPERLINK("file:///Z:/00. Proiecte 2025/AFIR FotoVoltaic 1/15. Implementare Proiect Fotovoltaic/15.Neets-Skybase/CMR Skybase 11 Paleti.pdf","Deschide sursa")</x:f>
        <x:v>HYPERLINK is not implemented. linkLocation=file:///Z:/00. Proiecte 2025/AFIR FotoVoltaic 1/15. Implementare Proiect Fotovoltaic/15.Neets-Skybase/CMR Skybase 11 Paleti.pdf, friendlyName=Deschide sursa</x:v>
      </x:c>
    </x:row>
    <x:row r="305" ht="36" customHeight="1">
      <x:c r="A305" s="8" t="str">
        <x:v>F0481</x:v>
      </x:c>
      <x:c r="B305" s="8" t="str">
        <x:v>dtsu666-h-100a-smartps-80ai-t0-dtsu666-h-datasheet.pdf</x:v>
      </x:c>
      <x:c r="C305" s="8" t="str">
        <x:v>Implementare / documente suport</x:v>
      </x:c>
      <x:c r="D305" s="12" t="str"/>
      <x:c r="E305" s="11" t="str"/>
      <x:c r="F305" s="12" t="str"/>
      <x:c r="G305" s="11" t="str"/>
      <x:c r="H305" s="8" t="str"/>
      <x:c r="I305" s="8" t="str">
        <x:v>Document local; transmiterea individuală neconfirmată</x:v>
      </x:c>
      <x:c r="J305" s="8" t="str"/>
      <x:c r="K305" s="8" t="str">
        <x:v>Text extras; numerele din referințe sunt în coloana separată</x:v>
      </x:c>
      <x:c r="L305" s="8" t="e">
        <x:f>HYPERLINK("file:///Z:/00. Proiecte 2025/AFIR FotoVoltaic 1/15. Implementare Proiect Fotovoltaic/15.Neets-Skybase/dtsu666-h-100a-smartps-80ai-t0-dtsu666-h-datasheet.pdf","Deschide sursa")</x:f>
        <x:v>HYPERLINK is not implemented. linkLocation=file:///Z:/00. Proiecte 2025/AFIR FotoVoltaic 1/15. Implementare Proiect Fotovoltaic/15.Neets-Skybase/dtsu666-h-100a-smartps-80ai-t0-dtsu666-h-datasheet.pdf, friendlyName=Deschide sursa</x:v>
      </x:c>
    </x:row>
    <x:row r="306" ht="36" customHeight="1">
      <x:c r="A306" s="8" t="str">
        <x:v>F0482</x:v>
      </x:c>
      <x:c r="B306" s="8" t="str">
        <x:v>HUAWEI+LUNA2000-241-2S1+Datasheet.pdf</x:v>
      </x:c>
      <x:c r="C306" s="8" t="str">
        <x:v>Implementare / documente suport</x:v>
      </x:c>
      <x:c r="D306" s="12" t="str"/>
      <x:c r="E306" s="11" t="str"/>
      <x:c r="F306" s="12" t="str"/>
      <x:c r="G306" s="11" t="str"/>
      <x:c r="H306" s="8" t="str"/>
      <x:c r="I306" s="8" t="str">
        <x:v>Document local; transmiterea individuală neconfirmată</x:v>
      </x:c>
      <x:c r="J306" s="8" t="str"/>
      <x:c r="K306" s="8" t="str">
        <x:v>Text extras; numerele din referințe sunt în coloana separată</x:v>
      </x:c>
      <x:c r="L306" s="8" t="e">
        <x:f>HYPERLINK("file:///Z:/00. Proiecte 2025/AFIR FotoVoltaic 1/15. Implementare Proiect Fotovoltaic/15.Neets-Skybase/HUAWEI+LUNA2000-241-2S1+Datasheet.pdf","Deschide sursa")</x:f>
        <x:v>HYPERLINK is not implemented. linkLocation=file:///Z:/00. Proiecte 2025/AFIR FotoVoltaic 1/15. Implementare Proiect Fotovoltaic/15.Neets-Skybase/HUAWEI+LUNA2000-241-2S1+Datasheet.pdf, friendlyName=Deschide sursa</x:v>
      </x:c>
    </x:row>
    <x:row r="307" ht="36" customHeight="1">
      <x:c r="A307" s="8" t="str">
        <x:v>F0483</x:v>
      </x:c>
      <x:c r="B307" s="8" t="str">
        <x:v>luna2000-200kwhg-2h1-dtatsheet-20230310.pdf</x:v>
      </x:c>
      <x:c r="C307" s="8" t="str">
        <x:v>Implementare / documente suport</x:v>
      </x:c>
      <x:c r="D307" s="12" t="str"/>
      <x:c r="E307" s="11" t="str"/>
      <x:c r="F307" s="12" t="str"/>
      <x:c r="G307" s="11" t="str"/>
      <x:c r="H307" s="8" t="str"/>
      <x:c r="I307" s="8" t="str">
        <x:v>Document local; transmiterea individuală neconfirmată</x:v>
      </x:c>
      <x:c r="J307" s="8" t="str"/>
      <x:c r="K307" s="8" t="str">
        <x:v>Text extras; numerele din referințe sunt în coloana separată</x:v>
      </x:c>
      <x:c r="L307" s="8" t="e">
        <x:f>HYPERLINK("file:///Z:/00. Proiecte 2025/AFIR FotoVoltaic 1/15. Implementare Proiect Fotovoltaic/15.Neets-Skybase/luna2000-200kwhg-2h1-dtatsheet-20230310.pdf","Deschide sursa")</x:f>
        <x:v>HYPERLINK is not implemented. linkLocation=file:///Z:/00. Proiecte 2025/AFIR FotoVoltaic 1/15. Implementare Proiect Fotovoltaic/15.Neets-Skybase/luna2000-200kwhg-2h1-dtatsheet-20230310.pdf, friendlyName=Deschide sursa</x:v>
      </x:c>
    </x:row>
    <x:row r="308" ht="64" customHeight="1">
      <x:c r="A308" s="8" t="str">
        <x:v>F0484</x:v>
      </x:c>
      <x:c r="B308" s="8" t="str">
        <x:v>ProformaSKY2317.pdf</x:v>
      </x:c>
      <x:c r="C308" s="8" t="str">
        <x:v>Implementare / documente suport</x:v>
      </x:c>
      <x:c r="D308" s="12" t="str"/>
      <x:c r="E308" s="11" t="str"/>
      <x:c r="F308" s="12" t="str"/>
      <x:c r="G308" s="11" t="str"/>
      <x:c r="H308" s="8" t="str"/>
      <x:c r="I308" s="8" t="str">
        <x:v>Document local; transmiterea individuală neconfirmată</x:v>
      </x:c>
      <x:c r="J308" s="8" t="str">
        <x:v>Nr.3b, Ap.10, Alba Iulia
nr. 26-28, etaj 3., Sector 1, Jud.
nr. 2317
NR la data de 25.03.2026, 5.0962 lei / €</x:v>
      </x:c>
      <x:c r="K308" s="8" t="str">
        <x:v>Text extras; numerele din referințe sunt în coloana separată</x:v>
      </x:c>
      <x:c r="L308" s="8" t="e">
        <x:f>HYPERLINK("file:///Z:/00. Proiecte 2025/AFIR FotoVoltaic 1/15. Implementare Proiect Fotovoltaic/15.Neets-Skybase/ProformaSKY2317.pdf","Deschide sursa")</x:f>
        <x:v>HYPERLINK is not implemented. linkLocation=file:///Z:/00. Proiecte 2025/AFIR FotoVoltaic 1/15. Implementare Proiect Fotovoltaic/15.Neets-Skybase/ProformaSKY2317.pdf, friendlyName=Deschide sursa</x:v>
      </x:c>
    </x:row>
    <x:row r="309" ht="36" customHeight="1">
      <x:c r="A309" s="8" t="str">
        <x:v>F0485</x:v>
      </x:c>
      <x:c r="B309" s="8" t="str">
        <x:v>smartmgc-5000b-smartlogger-5000b.pdf</x:v>
      </x:c>
      <x:c r="C309" s="8" t="str">
        <x:v>Implementare / documente suport</x:v>
      </x:c>
      <x:c r="D309" s="12" t="str"/>
      <x:c r="E309" s="11" t="str"/>
      <x:c r="F309" s="12" t="str"/>
      <x:c r="G309" s="11" t="str"/>
      <x:c r="H309" s="8" t="str"/>
      <x:c r="I309" s="8" t="str">
        <x:v>Document local; transmiterea individuală neconfirmată</x:v>
      </x:c>
      <x:c r="J309" s="8" t="str"/>
      <x:c r="K309" s="8" t="str">
        <x:v>Text extras; numerele din referințe sunt în coloana separată</x:v>
      </x:c>
      <x:c r="L309" s="8" t="e">
        <x:f>HYPERLINK("file:///Z:/00. Proiecte 2025/AFIR FotoVoltaic 1/15. Implementare Proiect Fotovoltaic/15.Neets-Skybase/smartmgc-5000b-smartlogger-5000b.pdf","Deschide sursa")</x:f>
        <x:v>HYPERLINK is not implemented. linkLocation=file:///Z:/00. Proiecte 2025/AFIR FotoVoltaic 1/15. Implementare Proiect Fotovoltaic/15.Neets-Skybase/smartmgc-5000b-smartlogger-5000b.pdf, friendlyName=Deschide sursa</x:v>
      </x:c>
    </x:row>
    <x:row r="310" ht="36" customHeight="1">
      <x:c r="A310" s="8" t="str">
        <x:v>F0486</x:v>
      </x:c>
      <x:c r="B310" s="8" t="str">
        <x:v>SUN2000-100KTL-M2-2023.pdf</x:v>
      </x:c>
      <x:c r="C310" s="8" t="str">
        <x:v>Implementare / documente suport</x:v>
      </x:c>
      <x:c r="D310" s="12" t="str"/>
      <x:c r="E310" s="11" t="str"/>
      <x:c r="F310" s="12" t="str"/>
      <x:c r="G310" s="11" t="str"/>
      <x:c r="H310" s="8" t="str"/>
      <x:c r="I310" s="8" t="str">
        <x:v>Document local; transmiterea individuală neconfirmată</x:v>
      </x:c>
      <x:c r="J310" s="8" t="str">
        <x:v>Nr. max. de intrări per MPPT 2</x:v>
      </x:c>
      <x:c r="K310" s="8" t="str">
        <x:v>Text extras; numerele din referințe sunt în coloana separată</x:v>
      </x:c>
      <x:c r="L310" s="8" t="e">
        <x:f>HYPERLINK("file:///Z:/00. Proiecte 2025/AFIR FotoVoltaic 1/15. Implementare Proiect Fotovoltaic/15.Neets-Skybase/SUN2000-100KTL-M2-2023.pdf","Deschide sursa")</x:f>
        <x:v>HYPERLINK is not implemented. linkLocation=file:///Z:/00. Proiecte 2025/AFIR FotoVoltaic 1/15. Implementare Proiect Fotovoltaic/15.Neets-Skybase/SUN2000-100KTL-M2-2023.pdf, friendlyName=Deschide sursa</x:v>
      </x:c>
    </x:row>
    <x:row r="311" ht="36" customHeight="1">
      <x:c r="A311" s="8" t="str">
        <x:v>F0487</x:v>
      </x:c>
      <x:c r="B311" s="8" t="str">
        <x:v>sun2000-100ktl-m2-datasheet-20230210.pdf</x:v>
      </x:c>
      <x:c r="C311" s="8" t="str">
        <x:v>Implementare / documente suport</x:v>
      </x:c>
      <x:c r="D311" s="12" t="str"/>
      <x:c r="E311" s="11" t="str"/>
      <x:c r="F311" s="12" t="str"/>
      <x:c r="G311" s="11" t="str"/>
      <x:c r="H311" s="8" t="str"/>
      <x:c r="I311" s="8" t="str">
        <x:v>Document local; transmiterea individuală neconfirmată</x:v>
      </x:c>
      <x:c r="J311" s="8" t="str"/>
      <x:c r="K311" s="8" t="str">
        <x:v>Text extras; numerele din referințe sunt în coloana separată</x:v>
      </x:c>
      <x:c r="L311" s="8" t="e">
        <x:f>HYPERLINK("file:///Z:/00. Proiecte 2025/AFIR FotoVoltaic 1/15. Implementare Proiect Fotovoltaic/15.Neets-Skybase/sun2000-100ktl-m2-datasheet-20230210.pdf","Deschide sursa")</x:f>
        <x:v>HYPERLINK is not implemented. linkLocation=file:///Z:/00. Proiecte 2025/AFIR FotoVoltaic 1/15. Implementare Proiect Fotovoltaic/15.Neets-Skybase/sun2000-100ktl-m2-datasheet-20230210.pdf, friendlyName=Deschide sursa</x:v>
      </x:c>
    </x:row>
    <x:row r="312" ht="36" customHeight="1">
      <x:c r="A312" s="8" t="str">
        <x:v>F0488</x:v>
      </x:c>
      <x:c r="B312" s="8" t="str">
        <x:v>SUN2000-20303640KTL-M3.pdf</x:v>
      </x:c>
      <x:c r="C312" s="8" t="str">
        <x:v>Implementare / documente suport</x:v>
      </x:c>
      <x:c r="D312" s="12" t="str"/>
      <x:c r="E312" s="11" t="str"/>
      <x:c r="F312" s="12" t="str"/>
      <x:c r="G312" s="11" t="str"/>
      <x:c r="H312" s="8" t="str"/>
      <x:c r="I312" s="8" t="str">
        <x:v>Document local; transmiterea individuală neconfirmată</x:v>
      </x:c>
      <x:c r="J312" s="8" t="str">
        <x:v>NRS 097-2-1, AS/NZS 4777.2, DEWA</x:v>
      </x:c>
      <x:c r="K312" s="8" t="str">
        <x:v>Text extras; numerele din referințe sunt în coloana separată</x:v>
      </x:c>
      <x:c r="L312" s="8" t="e">
        <x:f>HYPERLINK("file:///Z:/00. Proiecte 2025/AFIR FotoVoltaic 1/15. Implementare Proiect Fotovoltaic/15.Neets-Skybase/SUN2000-20303640KTL-M3.pdf","Deschide sursa")</x:f>
        <x:v>HYPERLINK is not implemented. linkLocation=file:///Z:/00. Proiecte 2025/AFIR FotoVoltaic 1/15. Implementare Proiect Fotovoltaic/15.Neets-Skybase/SUN2000-20303640KTL-M3.pdf, friendlyName=Deschide sursa</x:v>
      </x:c>
    </x:row>
    <x:row r="313" ht="36" customHeight="1">
      <x:c r="A313" s="8" t="str">
        <x:v>F0489</x:v>
      </x:c>
      <x:c r="B313" s="8" t="str">
        <x:v>SUN2000-3-10KTL-M1.pdf</x:v>
      </x:c>
      <x:c r="C313" s="8" t="str">
        <x:v>Implementare / documente suport</x:v>
      </x:c>
      <x:c r="D313" s="12" t="str"/>
      <x:c r="E313" s="11" t="str"/>
      <x:c r="F313" s="12" t="str"/>
      <x:c r="G313" s="11" t="str"/>
      <x:c r="H313" s="8" t="str"/>
      <x:c r="I313" s="8" t="str">
        <x:v>Document local; transmiterea individuală neconfirmată</x:v>
      </x:c>
      <x:c r="J313" s="8" t="str">
        <x:v>NRS 097-2-1,</x:v>
      </x:c>
      <x:c r="K313" s="8" t="str">
        <x:v>Text extras; numerele din referințe sunt în coloana separată</x:v>
      </x:c>
      <x:c r="L313" s="8" t="e">
        <x:f>HYPERLINK("file:///Z:/00. Proiecte 2025/AFIR FotoVoltaic 1/15. Implementare Proiect Fotovoltaic/15.Neets-Skybase/SUN2000-3-10KTL-M1.pdf","Deschide sursa")</x:f>
        <x:v>HYPERLINK is not implemented. linkLocation=file:///Z:/00. Proiecte 2025/AFIR FotoVoltaic 1/15. Implementare Proiect Fotovoltaic/15.Neets-Skybase/SUN2000-3-10KTL-M1.pdf, friendlyName=Deschide sursa</x:v>
      </x:c>
    </x:row>
    <x:row r="314" ht="64" customHeight="1">
      <x:c r="A314" s="8" t="str">
        <x:v>F0490</x:v>
      </x:c>
      <x:c r="B314" s="8" t="str">
        <x:v>Neets EXTRAS DE CONT Nr. 2 BCR 01-01-2026 - 31-01-2026 RON.pdf</x:v>
      </x:c>
      <x:c r="C314" s="8" t="str">
        <x:v>Implementare / documente suport</x:v>
      </x:c>
      <x:c r="D314" s="12" t="str"/>
      <x:c r="E314" s="11" t="str"/>
      <x:c r="F314" s="12" t="str"/>
      <x:c r="G314" s="11" t="str"/>
      <x:c r="H314" s="8" t="str"/>
      <x:c r="I314" s="8" t="str">
        <x:v>Document local; transmiterea individuală neconfirmată</x:v>
      </x:c>
      <x:c r="J314" s="8" t="str">
        <x:v>nr. 15D, Cladirea The Bridge 1, etajul 2, Sector 6, cod postal
Nr. RB-PJR-40-008/18.02.1999
nregistrare:RO 361757
Nr. 2 din data: 01-02-2026</x:v>
      </x:c>
      <x:c r="K314" s="8" t="str">
        <x:v>Text extras; numerele din referințe sunt în coloana separată</x:v>
      </x:c>
      <x:c r="L314" s="8" t="e">
        <x:f>HYPERLINK("file:///Z:/00. Proiecte 2025/AFIR FotoVoltaic 1/15. Implementare Proiect Fotovoltaic/19.Neets Extrase cont/Neets EXTRAS DE CONT Nr. 2 BCR 01-01-2026 - 31-01-2026 RON.pdf","Deschide sursa")</x:f>
        <x:v>HYPERLINK is not implemented. linkLocation=file:///Z:/00. Proiecte 2025/AFIR FotoVoltaic 1/15. Implementare Proiect Fotovoltaic/19.Neets Extrase cont/Neets EXTRAS DE CONT Nr. 2 BCR 01-01-2026 - 31-01-2026 RON.pdf, friendlyName=Deschide sursa</x:v>
      </x:c>
    </x:row>
    <x:row r="315" ht="120" customHeight="1">
      <x:c r="A315" s="8" t="str">
        <x:v>F0491</x:v>
      </x:c>
      <x:c r="B315" s="8" t="str">
        <x:v>Neets EXTRAS DE CONT Nr. 4 BCR 01-03-2026 - 31-03-2026 EUR.pdf</x:v>
      </x:c>
      <x:c r="C315" s="8" t="str">
        <x:v>Implementare / documente suport</x:v>
      </x:c>
      <x:c r="D315" s="12" t="str"/>
      <x:c r="E315" s="11" t="str"/>
      <x:c r="F315" s="12" t="str"/>
      <x:c r="G315" s="11" t="str"/>
      <x:c r="H315" s="8" t="str"/>
      <x:c r="I315" s="8" t="str">
        <x:v>Document local; transmiterea individuală neconfirmată</x:v>
      </x:c>
      <x:c r="J315" s="8" t="str">
        <x:v>nr. 15D, Cladirea The Bridge 1, etajul 2, Sector 6, cod postal
Nr. RB-PJR-40-008/18.02.1999
nregistrare:RO 361757
Nr. 4 din data: 01-04-2026
NR: 5,0937
NR: 5,0938
NR: 5,0962
NR: 5,0952</x:v>
      </x:c>
      <x:c r="K315" s="8" t="str">
        <x:v>Text extras; numerele din referințe sunt în coloana separată</x:v>
      </x:c>
      <x:c r="L315" s="8" t="e">
        <x:f>HYPERLINK("file:///Z:/00. Proiecte 2025/AFIR FotoVoltaic 1/15. Implementare Proiect Fotovoltaic/19.Neets Extrase cont/Neets EXTRAS DE CONT Nr. 4 BCR 01-03-2026 - 31-03-2026 EUR.pdf","Deschide sursa")</x:f>
        <x:v>HYPERLINK is not implemented. linkLocation=file:///Z:/00. Proiecte 2025/AFIR FotoVoltaic 1/15. Implementare Proiect Fotovoltaic/19.Neets Extrase cont/Neets EXTRAS DE CONT Nr. 4 BCR 01-03-2026 - 31-03-2026 EUR.pdf, friendlyName=Deschide sursa</x:v>
      </x:c>
    </x:row>
    <x:row r="316" ht="106" customHeight="1">
      <x:c r="A316" s="8" t="str">
        <x:v>F0492</x:v>
      </x:c>
      <x:c r="B316" s="8" t="str">
        <x:v>Neets EXTRAS DE CONT Nr. 5 BCR 01-03-2026 - 31-03-2026 RON.pdf</x:v>
      </x:c>
      <x:c r="C316" s="8" t="str">
        <x:v>Implementare / documente suport</x:v>
      </x:c>
      <x:c r="D316" s="12" t="str"/>
      <x:c r="E316" s="11" t="str"/>
      <x:c r="F316" s="12" t="str"/>
      <x:c r="G316" s="11" t="str"/>
      <x:c r="H316" s="8" t="str"/>
      <x:c r="I316" s="8" t="str">
        <x:v>Document local; transmiterea individuală neconfirmată</x:v>
      </x:c>
      <x:c r="J316" s="8" t="str">
        <x:v>nr. 15D, Cladirea The Bridge 1, etajul 2, Sector 6, cod postal
Nr. RB-PJR-40-008/18.02.1999
nregistrare:RO 361757
Nr. 5 din data: 01-04-2026
nr. 9 din
nr. 1 din 19.02.2026 pentru aprovizionare de bunuri
nr. 10 din</x:v>
      </x:c>
      <x:c r="K316" s="8" t="str">
        <x:v>Text extras; numerele din referințe sunt în coloana separată</x:v>
      </x:c>
      <x:c r="L316" s="8" t="e">
        <x:f>HYPERLINK("file:///Z:/00. Proiecte 2025/AFIR FotoVoltaic 1/15. Implementare Proiect Fotovoltaic/19.Neets Extrase cont/Neets EXTRAS DE CONT Nr. 5 BCR 01-03-2026 - 31-03-2026 RON.pdf","Deschide sursa")</x:f>
        <x:v>HYPERLINK is not implemented. linkLocation=file:///Z:/00. Proiecte 2025/AFIR FotoVoltaic 1/15. Implementare Proiect Fotovoltaic/19.Neets Extrase cont/Neets EXTRAS DE CONT Nr. 5 BCR 01-03-2026 - 31-03-2026 RON.pdf, friendlyName=Deschide sursa</x:v>
      </x:c>
    </x:row>
    <x:row r="317" ht="78" customHeight="1">
      <x:c r="A317" s="8" t="str">
        <x:v>F0493</x:v>
      </x:c>
      <x:c r="B317" s="8" t="str">
        <x:v>Neets EXTRAS DE CONT Nr.6 BCR 01-04-2026 - 27-04-2026 EUR.pdf</x:v>
      </x:c>
      <x:c r="C317" s="8" t="str">
        <x:v>Implementare / documente suport</x:v>
      </x:c>
      <x:c r="D317" s="12" t="str"/>
      <x:c r="E317" s="11" t="str"/>
      <x:c r="F317" s="12" t="str"/>
      <x:c r="G317" s="11" t="str"/>
      <x:c r="H317" s="8" t="str"/>
      <x:c r="I317" s="8" t="str">
        <x:v>Document local; transmiterea individuală neconfirmată</x:v>
      </x:c>
      <x:c r="J317" s="8" t="str">
        <x:v>nr. 15D, Cladirea The Bridge 1, etajul 2, Sector 6, cod postal
Nr. RB-PJR-40-008/18.02.1999
nregistrare:RO 361757
Nr. 6 din data: 27-04-2026
NR: 5,0978</x:v>
      </x:c>
      <x:c r="K317" s="8" t="str">
        <x:v>Text extras; numerele din referințe sunt în coloana separată</x:v>
      </x:c>
      <x:c r="L317" s="8" t="e">
        <x:f>HYPERLINK("file:///Z:/00. Proiecte 2025/AFIR FotoVoltaic 1/15. Implementare Proiect Fotovoltaic/19.Neets Extrase cont/Neets EXTRAS DE CONT Nr.6 BCR 01-04-2026 - 27-04-2026 EUR.pdf","Deschide sursa")</x:f>
        <x:v>HYPERLINK is not implemented. linkLocation=file:///Z:/00. Proiecte 2025/AFIR FotoVoltaic 1/15. Implementare Proiect Fotovoltaic/19.Neets Extrase cont/Neets EXTRAS DE CONT Nr.6 BCR 01-04-2026 - 27-04-2026 EUR.pdf, friendlyName=Deschide sursa</x:v>
      </x:c>
    </x:row>
    <x:row r="318" ht="120" customHeight="1">
      <x:c r="A318" s="8" t="str">
        <x:v>F0494</x:v>
      </x:c>
      <x:c r="B318" s="8" t="str">
        <x:v>Neets EXTRAS DE CONT Nr.6 BCR 01-04-2026 - 27-04-2026 RON.pdf</x:v>
      </x:c>
      <x:c r="C318" s="8" t="str">
        <x:v>Implementare / documente suport</x:v>
      </x:c>
      <x:c r="D318" s="12" t="str"/>
      <x:c r="E318" s="11" t="str"/>
      <x:c r="F318" s="12" t="str"/>
      <x:c r="G318" s="11" t="str"/>
      <x:c r="H318" s="8" t="str"/>
      <x:c r="I318" s="8" t="str">
        <x:v>Document local; transmiterea individuală neconfirmată</x:v>
      </x:c>
      <x:c r="J318" s="8" t="str">
        <x:v>nr. 15D, Cladirea The Bridge 1, etajul 2, Sector 6, cod postal
Nr. RB-PJR-40-008/18.02.1999
nregistrare:RO 361757
Nr. 6 din data: 27-04-2026
nr. 11 din
nr. 1 din 19.02.2026 pentru aprovizionare de bunuri
nr. 12 din
nrep SRL; RO94BACX0000000223329000-Detalii: Proforma</x:v>
      </x:c>
      <x:c r="K318" s="8" t="str">
        <x:v>Text extras; numerele din referințe sunt în coloana separată</x:v>
      </x:c>
      <x:c r="L318" s="8" t="e">
        <x:f>HYPERLINK("file:///Z:/00. Proiecte 2025/AFIR FotoVoltaic 1/15. Implementare Proiect Fotovoltaic/19.Neets Extrase cont/Neets EXTRAS DE CONT Nr.6 BCR 01-04-2026 - 27-04-2026 RON.pdf","Deschide sursa")</x:f>
        <x:v>HYPERLINK is not implemented. linkLocation=file:///Z:/00. Proiecte 2025/AFIR FotoVoltaic 1/15. Implementare Proiect Fotovoltaic/19.Neets Extrase cont/Neets EXTRAS DE CONT Nr.6 BCR 01-04-2026 - 27-04-2026 RON.pdf, friendlyName=Deschide sursa</x:v>
      </x:c>
    </x:row>
    <x:row r="319" ht="162" customHeight="1">
      <x:c r="A319" s="8" t="str">
        <x:v>F0495</x:v>
      </x:c>
      <x:c r="B319" s="8" t="str">
        <x:v>Neets EXTRAS DE CONT Nr.7 BCR 01-01-2026 - 31-03-2026 RON.pdf</x:v>
      </x:c>
      <x:c r="C319" s="8" t="str">
        <x:v>Implementare / documente suport</x:v>
      </x:c>
      <x:c r="D319" s="12" t="str"/>
      <x:c r="E319" s="11" t="str"/>
      <x:c r="F319" s="12" t="str"/>
      <x:c r="G319" s="11" t="str"/>
      <x:c r="H319" s="8" t="str"/>
      <x:c r="I319" s="8" t="str">
        <x:v>Document local; transmiterea individuală neconfirmată</x:v>
      </x:c>
      <x:c r="J319" s="8" t="str">
        <x:v>nr. 15D, Cladirea The Bridge 1, etajul 2, Sector 6, cod postal
Nr. RB-PJR-40-008/18.02.1999
nregistrare:RO 361757
Nr. 7 din data: 27-04-2026
nr. 5 din
nr. 1 din 19.02.2026 pentru aprovizionare de bunuri
nr. 6 din
nr. 7 din
nr. 8 din
nr. 9 din
nr. 10 din</x:v>
      </x:c>
      <x:c r="K319" s="8" t="str">
        <x:v>Text extras; numerele din referințe sunt în coloana separată</x:v>
      </x:c>
      <x:c r="L319" s="8" t="e">
        <x:f>HYPERLINK("file:///Z:/00. Proiecte 2025/AFIR FotoVoltaic 1/15. Implementare Proiect Fotovoltaic/19.Neets Extrase cont/Neets EXTRAS DE CONT Nr.7 BCR 01-01-2026 - 31-03-2026 RON.pdf","Deschide sursa")</x:f>
        <x:v>HYPERLINK is not implemented. linkLocation=file:///Z:/00. Proiecte 2025/AFIR FotoVoltaic 1/15. Implementare Proiect Fotovoltaic/19.Neets Extrase cont/Neets EXTRAS DE CONT Nr.7 BCR 01-01-2026 - 31-03-2026 RON.pdf, friendlyName=Deschide sursa</x:v>
      </x:c>
    </x:row>
    <x:row r="320" ht="92" customHeight="1">
      <x:c r="A320" s="8" t="str">
        <x:v>F0496</x:v>
      </x:c>
      <x:c r="B320" s="8" t="str">
        <x:v>Neets EXTRAS DE CONT Nr.7 BCR 01-04-2026 - 30-04-2026 RON.pdf</x:v>
      </x:c>
      <x:c r="C320" s="8" t="str">
        <x:v>Implementare / documente suport</x:v>
      </x:c>
      <x:c r="D320" s="12" t="str"/>
      <x:c r="E320" s="11" t="str"/>
      <x:c r="F320" s="12" t="str"/>
      <x:c r="G320" s="11" t="str"/>
      <x:c r="H320" s="8" t="str"/>
      <x:c r="I320" s="8" t="str">
        <x:v>Document local; transmiterea individuală neconfirmată</x:v>
      </x:c>
      <x:c r="J320" s="8" t="str">
        <x:v>nr. 15D, Cladirea The Bridge 1, etajul 2, Sector 6, cod postal
Nr. RB-PJR-40-008/18.02.1999
nregistrare:RO 361757
Nr. 7 din data: 05-05-2025
Nr.C-MKTP-4456446/17.04.2025 Nr.C-MKTP-4356341/17.03.2025
Nr.417126941/21.03.2025//RFB/</x:v>
      </x:c>
      <x:c r="K320" s="8" t="str">
        <x:v>Text extras; numerele din referințe sunt în coloana separată</x:v>
      </x:c>
      <x:c r="L320" s="8" t="e">
        <x:f>HYPERLINK("file:///Z:/00. Proiecte 2025/AFIR FotoVoltaic 1/15. Implementare Proiect Fotovoltaic/19.Neets Extrase cont/Neets EXTRAS DE CONT Nr.7 BCR 01-04-2026 - 30-04-2026 RON.pdf","Deschide sursa")</x:f>
        <x:v>HYPERLINK is not implemented. linkLocation=file:///Z:/00. Proiecte 2025/AFIR FotoVoltaic 1/15. Implementare Proiect Fotovoltaic/19.Neets Extrase cont/Neets EXTRAS DE CONT Nr.7 BCR 01-04-2026 - 30-04-2026 RON.pdf, friendlyName=Deschide sursa</x:v>
      </x:c>
    </x:row>
    <x:row r="321" ht="78" customHeight="1">
      <x:c r="A321" s="8" t="str">
        <x:v>F0497</x:v>
      </x:c>
      <x:c r="B321" s="8" t="str">
        <x:v>Neets EXTRAS DE CONT Nr.9 BCR 01-04-2026 - 30-04-2026 RON.pdf</x:v>
      </x:c>
      <x:c r="C321" s="8" t="str">
        <x:v>Implementare / documente suport</x:v>
      </x:c>
      <x:c r="D321" s="12" t="str"/>
      <x:c r="E321" s="11" t="str"/>
      <x:c r="F321" s="12" t="str"/>
      <x:c r="G321" s="11" t="str"/>
      <x:c r="H321" s="8" t="str"/>
      <x:c r="I321" s="8" t="str">
        <x:v>Document local; transmiterea individuală neconfirmată</x:v>
      </x:c>
      <x:c r="J321" s="8" t="str">
        <x:v>nr. 15D, Cladirea The Bridge 1, etajul 2, Sector 6, cod postal
Nr. RB-PJR-40-008/18.02.1999
nregistrare:RO 361757
Nr. 9 din data: 13-05-2026
nrep SRL; RO46INGB0000999906281997-Detalii: Proforma din</x:v>
      </x:c>
      <x:c r="K321" s="8" t="str">
        <x:v>Text extras; numerele din referințe sunt în coloana separată</x:v>
      </x:c>
      <x:c r="L321" s="8" t="e">
        <x:f>HYPERLINK("file:///Z:/00. Proiecte 2025/AFIR FotoVoltaic 1/15. Implementare Proiect Fotovoltaic/19.Neets Extrase cont/Neets EXTRAS DE CONT Nr.9 BCR 01-04-2026 - 30-04-2026 RON.pdf","Deschide sursa")</x:f>
        <x:v>HYPERLINK is not implemented. linkLocation=file:///Z:/00. Proiecte 2025/AFIR FotoVoltaic 1/15. Implementare Proiect Fotovoltaic/19.Neets Extrase cont/Neets EXTRAS DE CONT Nr.9 BCR 01-04-2026 - 30-04-2026 RON.pdf, friendlyName=Deschide sursa</x:v>
      </x:c>
    </x:row>
    <x:row r="322" ht="36" customHeight="1">
      <x:c r="A322" s="8" t="str">
        <x:v>F0498</x:v>
      </x:c>
      <x:c r="B322" s="8" t="str">
        <x:v>AFIR 1 06_Schema electrica monofilara v2.pdf</x:v>
      </x:c>
      <x:c r="C322" s="8" t="str">
        <x:v>Implementare / documente suport</x:v>
      </x:c>
      <x:c r="D322" s="12" t="str"/>
      <x:c r="E322" s="11" t="str"/>
      <x:c r="F322" s="12" t="str"/>
      <x:c r="G322" s="11" t="str"/>
      <x:c r="H322" s="8" t="str"/>
      <x:c r="I322" s="8" t="str">
        <x:v>Document local; transmiterea individuală neconfirmată</x:v>
      </x:c>
      <x:c r="J322" s="8" t="str"/>
      <x:c r="K322" s="8" t="str">
        <x:v>Text extras; numerele din referințe sunt în coloana separată</x:v>
      </x:c>
      <x:c r="L322" s="8" t="e">
        <x:f>HYPERLINK("file:///Z:/00. Proiecte 2025/AFIR FotoVoltaic 1/15. Implementare Proiect Fotovoltaic/2.Production Fise tehnice/AFIR 1 06_Schema electrica monofilara v2.pdf","Deschide sursa")</x:f>
        <x:v>HYPERLINK is not implemented. linkLocation=file:///Z:/00. Proiecte 2025/AFIR FotoVoltaic 1/15. Implementare Proiect Fotovoltaic/2.Production Fise tehnice/AFIR 1 06_Schema electrica monofilara v2.pdf, friendlyName=Deschide sursa</x:v>
      </x:c>
    </x:row>
    <x:row r="323" ht="36" customHeight="1">
      <x:c r="A323" s="8" t="str">
        <x:v>F0499</x:v>
      </x:c>
      <x:c r="B323" s="8" t="str">
        <x:v>AFIR 1 Schema montaj.docx</x:v>
      </x:c>
      <x:c r="C323" s="8" t="str">
        <x:v>Implementare / documente suport</x:v>
      </x:c>
      <x:c r="D323" s="12" t="str"/>
      <x:c r="E323" s="11" t="str"/>
      <x:c r="F323" s="12" t="str"/>
      <x:c r="G323" s="11" t="str"/>
      <x:c r="H323" s="8" t="str"/>
      <x:c r="I323" s="8" t="str">
        <x:v>Document local; transmiterea individuală neconfirmată</x:v>
      </x:c>
      <x:c r="J323" s="8" t="str">
        <x:v>Nr. versiune: 02-202312</x:v>
      </x:c>
      <x:c r="K323" s="8" t="str">
        <x:v>Text extras; numerele din referințe sunt în coloana separată</x:v>
      </x:c>
      <x:c r="L323" s="8" t="e">
        <x:f>HYPERLINK("file:///Z:/00. Proiecte 2025/AFIR FotoVoltaic 1/15. Implementare Proiect Fotovoltaic/2.Production Fise tehnice/AFIR 1 Schema montaj.docx","Deschide sursa")</x:f>
        <x:v>HYPERLINK is not implemented. linkLocation=file:///Z:/00. Proiecte 2025/AFIR FotoVoltaic 1/15. Implementare Proiect Fotovoltaic/2.Production Fise tehnice/AFIR 1 Schema montaj.docx, friendlyName=Deschide sursa</x:v>
      </x:c>
    </x:row>
    <x:row r="324" ht="36" customHeight="1">
      <x:c r="A324" s="8" t="str">
        <x:v>F0500</x:v>
      </x:c>
      <x:c r="B324" s="8" t="str">
        <x:v>AFIR 1 Schema montaj.pdf</x:v>
      </x:c>
      <x:c r="C324" s="8" t="str">
        <x:v>Implementare / documente suport</x:v>
      </x:c>
      <x:c r="D324" s="12" t="str"/>
      <x:c r="E324" s="11" t="str"/>
      <x:c r="F324" s="12" t="str"/>
      <x:c r="G324" s="11" t="str"/>
      <x:c r="H324" s="8" t="str"/>
      <x:c r="I324" s="8" t="str">
        <x:v>Document local; transmiterea individuală neconfirmată</x:v>
      </x:c>
      <x:c r="J324" s="8" t="str">
        <x:v>Nr. versiune: 02-202312</x:v>
      </x:c>
      <x:c r="K324" s="8" t="str">
        <x:v>Text extras; numerele din referințe sunt în coloana separată</x:v>
      </x:c>
      <x:c r="L324" s="8" t="e">
        <x:f>HYPERLINK("file:///Z:/00. Proiecte 2025/AFIR FotoVoltaic 1/15. Implementare Proiect Fotovoltaic/2.Production Fise tehnice/AFIR 1 Schema montaj.pdf","Deschide sursa")</x:f>
        <x:v>HYPERLINK is not implemented. linkLocation=file:///Z:/00. Proiecte 2025/AFIR FotoVoltaic 1/15. Implementare Proiect Fotovoltaic/2.Production Fise tehnice/AFIR 1 Schema montaj.pdf, friendlyName=Deschide sursa</x:v>
      </x:c>
    </x:row>
    <x:row r="325" ht="148" customHeight="1">
      <x:c r="A325" s="8" t="str">
        <x:v>F0501</x:v>
      </x:c>
      <x:c r="B325" s="8" t="str">
        <x:v>Contract de achizitie nr.1 din 19_02_2026_ Neets Fotoshooting SRL.docx</x:v>
      </x:c>
      <x:c r="C325" s="8" t="str">
        <x:v>Implementare / documente suport</x:v>
      </x:c>
      <x:c r="D325" s="12" t="str"/>
      <x:c r="E325" s="11" t="str"/>
      <x:c r="F325" s="12" t="str"/>
      <x:c r="G325" s="11" t="str"/>
      <x:c r="H325" s="8" t="str"/>
      <x:c r="I325" s="8" t="str">
        <x:v>Document local; transmiterea individuală neconfirmată</x:v>
      </x:c>
      <x:c r="J325" s="8" t="str">
        <x:v>Nr. 1 din 19.02.2026
nr. 3B ap. 10, jud. Alba, România, înregistrată la Oficiul Registrului Comerțului sub nr. J1/1916/2022, CIF RO47362309, cont bancar RO68RNCB0003174406350001 deschi
nr. 1, parte integrantă din prezentul contract.
nr. 1.
nr. 96, cod poștal 545400, Jud. Mureș, România, dacă Părțile nu convin altfel în scris, iar cea a prestărilor de servicii conexe la locul de dispunere a parcului f
nr. 1 și sunt apte pentru utilizare.
nr. 1 și să asigure montajul și ambalarea corespunzătoare pentru transport.
nr. 1 face parte integrantă din prezentul contract.</x:v>
      </x:c>
      <x:c r="K325" s="8" t="str">
        <x:v>Text extras; numerele din referințe sunt în coloana separată</x:v>
      </x:c>
      <x:c r="L325" s="8" t="e">
        <x:f>HYPERLINK("file:///Z:/00. Proiecte 2025/AFIR FotoVoltaic 1/15. Implementare Proiect Fotovoltaic/3.Suntree-Neets/Contract de achizitie nr.1 din 19_02_2026_ Neets Fotoshooting SRL.docx","Deschide sursa")</x:f>
        <x:v>HYPERLINK is not implemented. linkLocation=file:///Z:/00. Proiecte 2025/AFIR FotoVoltaic 1/15. Implementare Proiect Fotovoltaic/3.Suntree-Neets/Contract de achizitie nr.1 din 19_02_2026_ Neets Fotoshooting SRL.docx, friendlyName=Deschide sursa</x:v>
      </x:c>
    </x:row>
    <x:row r="326" ht="36" customHeight="1">
      <x:c r="A326" s="8" t="str">
        <x:v>F0502</x:v>
      </x:c>
      <x:c r="B326" s="8" t="str">
        <x:v>Contract de Achizitie.pdf</x:v>
      </x:c>
      <x:c r="C326" s="8" t="str">
        <x:v>Implementare / documente suport</x:v>
      </x:c>
      <x:c r="D326" s="12" t="str"/>
      <x:c r="E326" s="11" t="str"/>
      <x:c r="F326" s="12" t="str"/>
      <x:c r="G326" s="11" t="str"/>
      <x:c r="H326" s="8" t="str"/>
      <x:c r="I326" s="8" t="str">
        <x:v>Document local; transmiterea individuală neconfirmată</x:v>
      </x:c>
      <x:c r="J326" s="8" t="str"/>
      <x:c r="K326" s="8" t="str">
        <x:v>Text extras; numerele din referințe sunt în coloana separată</x:v>
      </x:c>
      <x:c r="L326" s="8" t="e">
        <x:f>HYPERLINK("file:///Z:/00. Proiecte 2025/AFIR FotoVoltaic 1/15. Implementare Proiect Fotovoltaic/3.Suntree-Neets/Contract de Achizitie.pdf","Deschide sursa")</x:f>
        <x:v>HYPERLINK is not implemented. linkLocation=file:///Z:/00. Proiecte 2025/AFIR FotoVoltaic 1/15. Implementare Proiect Fotovoltaic/3.Suntree-Neets/Contract de Achizitie.pdf, friendlyName=Deschide sursa</x:v>
      </x:c>
    </x:row>
    <x:row r="327" ht="36" customHeight="1">
      <x:c r="A327" s="8" t="str">
        <x:v>F0503</x:v>
      </x:c>
      <x:c r="B327" s="8" t="str">
        <x:v>Decontare Neets-Suntree.zip</x:v>
      </x:c>
      <x:c r="C327" s="8" t="str">
        <x:v>Implementare / documente suport</x:v>
      </x:c>
      <x:c r="D327" s="12" t="str"/>
      <x:c r="E327" s="11" t="str"/>
      <x:c r="F327" s="12" t="str"/>
      <x:c r="G327" s="11" t="str"/>
      <x:c r="H327" s="8" t="str"/>
      <x:c r="I327" s="8" t="str">
        <x:v>Document local; transmiterea individuală neconfirmată</x:v>
      </x:c>
      <x:c r="J327" s="8" t="str"/>
      <x:c r="K327" s="8" t="str">
        <x:v>Necesită citire vizuală / OCR / formular XFA</x:v>
      </x:c>
      <x:c r="L327" s="8" t="e">
        <x:f>HYPERLINK("file:///Z:/00. Proiecte 2025/AFIR FotoVoltaic 1/15. Implementare Proiect Fotovoltaic/3.Suntree-Neets/Decontare Neets-Suntree.zip","Deschide sursa")</x:f>
        <x:v>HYPERLINK is not implemented. linkLocation=file:///Z:/00. Proiecte 2025/AFIR FotoVoltaic 1/15. Implementare Proiect Fotovoltaic/3.Suntree-Neets/Decontare Neets-Suntree.zip, friendlyName=Deschide sursa</x:v>
      </x:c>
    </x:row>
    <x:row r="328" ht="36" customHeight="1">
      <x:c r="A328" s="8" t="str">
        <x:v>F0504</x:v>
      </x:c>
      <x:c r="B328" s="8" t="str">
        <x:v>Factura  nr.N-16.docx</x:v>
      </x:c>
      <x:c r="C328" s="8" t="str">
        <x:v>Implementare / documente suport</x:v>
      </x:c>
      <x:c r="D328" s="12" t="str"/>
      <x:c r="E328" s="11" t="str"/>
      <x:c r="F328" s="12" t="str"/>
      <x:c r="G328" s="11" t="str"/>
      <x:c r="H328" s="8" t="str"/>
      <x:c r="I328" s="8" t="str">
        <x:v>Document local; transmiterea individuală neconfirmată</x:v>
      </x:c>
      <x:c r="J328" s="8" t="str">
        <x:v>nr 3B ap. 10 jud. ALBA ALBA IULIA, STR. AUGUSTIN BENA, NR. 14, jud. AB</x:v>
      </x:c>
      <x:c r="K328" s="8" t="str">
        <x:v>Text extras; numerele din referințe sunt în coloana separată</x:v>
      </x:c>
      <x:c r="L328" s="8" t="e">
        <x:f>HYPERLINK("file:///Z:/00. Proiecte 2025/AFIR FotoVoltaic 1/15. Implementare Proiect Fotovoltaic/3.Suntree-Neets/Factura  nr.N-16.docx","Deschide sursa")</x:f>
        <x:v>HYPERLINK is not implemented. linkLocation=file:///Z:/00. Proiecte 2025/AFIR FotoVoltaic 1/15. Implementare Proiect Fotovoltaic/3.Suntree-Neets/Factura  nr.N-16.docx, friendlyName=Deschide sursa</x:v>
      </x:c>
    </x:row>
    <x:row r="329" ht="36" customHeight="1">
      <x:c r="A329" s="8" t="str">
        <x:v>F0505</x:v>
      </x:c>
      <x:c r="B329" s="8" t="str">
        <x:v>Factura Neets N-16 02.09.2026.pdf</x:v>
      </x:c>
      <x:c r="C329" s="8" t="str">
        <x:v>Implementare / documente suport</x:v>
      </x:c>
      <x:c r="D329" s="12" t="str"/>
      <x:c r="E329" s="11" t="str"/>
      <x:c r="F329" s="12" t="str"/>
      <x:c r="G329" s="11" t="str"/>
      <x:c r="H329" s="8" t="str"/>
      <x:c r="I329" s="8" t="str">
        <x:v>Document local; transmiterea individuală neconfirmată</x:v>
      </x:c>
      <x:c r="J329" s="8" t="str">
        <x:v>NR. 14, jud. ALBA
nr. 3B ap. 10 jud. ALBA</x:v>
      </x:c>
      <x:c r="K329" s="8" t="str">
        <x:v>Text extras; numerele din referințe sunt în coloana separată</x:v>
      </x:c>
      <x:c r="L329" s="8" t="e">
        <x:f>HYPERLINK("file:///Z:/00. Proiecte 2025/AFIR FotoVoltaic 1/15. Implementare Proiect Fotovoltaic/3.Suntree-Neets/Factura Neets N-16 02.09.2026.pdf","Deschide sursa")</x:f>
        <x:v>HYPERLINK is not implemented. linkLocation=file:///Z:/00. Proiecte 2025/AFIR FotoVoltaic 1/15. Implementare Proiect Fotovoltaic/3.Suntree-Neets/Factura Neets N-16 02.09.2026.pdf, friendlyName=Deschide sursa</x:v>
      </x:c>
    </x:row>
    <x:row r="330" ht="50" customHeight="1">
      <x:c r="A330" s="8" t="str">
        <x:v>F0506</x:v>
      </x:c>
      <x:c r="B330" s="8" t="str">
        <x:v>Factura Suntree-Neets nr.16.pdf</x:v>
      </x:c>
      <x:c r="C330" s="8" t="str">
        <x:v>Implementare / documente suport</x:v>
      </x:c>
      <x:c r="D330" s="12" t="str"/>
      <x:c r="E330" s="11" t="str"/>
      <x:c r="F330" s="12" t="str"/>
      <x:c r="G330" s="11" t="str"/>
      <x:c r="H330" s="8" t="str"/>
      <x:c r="I330" s="8" t="str">
        <x:v>Document local; transmiterea individuală neconfirmată</x:v>
      </x:c>
      <x:c r="J330" s="8" t="str">
        <x:v>NR. 14, jud. ALBA
nr. 3B ap. 10 jud. ALBA
NR.1/19.02.2026 SI ANEXA NR.1</x:v>
      </x:c>
      <x:c r="K330" s="8" t="str">
        <x:v>Text extras; numerele din referințe sunt în coloana separată</x:v>
      </x:c>
      <x:c r="L330" s="8" t="e">
        <x:f>HYPERLINK("file:///Z:/00. Proiecte 2025/AFIR FotoVoltaic 1/15. Implementare Proiect Fotovoltaic/3.Suntree-Neets/Factura Suntree-Neets nr.16.pdf","Deschide sursa")</x:f>
        <x:v>HYPERLINK is not implemented. linkLocation=file:///Z:/00. Proiecte 2025/AFIR FotoVoltaic 1/15. Implementare Proiect Fotovoltaic/3.Suntree-Neets/Factura Suntree-Neets nr.16.pdf, friendlyName=Deschide sursa</x:v>
      </x:c>
    </x:row>
    <x:row r="331" ht="50" customHeight="1">
      <x:c r="A331" s="8" t="str">
        <x:v>F0507</x:v>
      </x:c>
      <x:c r="B331" s="8" t="str">
        <x:v>Proforma nr.10.pdf</x:v>
      </x:c>
      <x:c r="C331" s="8" t="str">
        <x:v>Implementare / documente suport</x:v>
      </x:c>
      <x:c r="D331" s="12" t="str"/>
      <x:c r="E331" s="11" t="str"/>
      <x:c r="F331" s="12" t="str"/>
      <x:c r="G331" s="11" t="str"/>
      <x:c r="H331" s="8" t="str"/>
      <x:c r="I331" s="8" t="str">
        <x:v>Document local; transmiterea individuală neconfirmată</x:v>
      </x:c>
      <x:c r="J331" s="8" t="str">
        <x:v>nr. 3B ap. 10 jud. ALBA
NR. 14, jud. AB
NR.1/19.02.2026</x:v>
      </x:c>
      <x:c r="K331" s="8" t="str">
        <x:v>Text extras; numerele din referințe sunt în coloana separată</x:v>
      </x:c>
      <x:c r="L331" s="8" t="e">
        <x:f>HYPERLINK("file:///Z:/00. Proiecte 2025/AFIR FotoVoltaic 1/15. Implementare Proiect Fotovoltaic/3.Suntree-Neets/Proforma nr.10.pdf","Deschide sursa")</x:f>
        <x:v>HYPERLINK is not implemented. linkLocation=file:///Z:/00. Proiecte 2025/AFIR FotoVoltaic 1/15. Implementare Proiect Fotovoltaic/3.Suntree-Neets/Proforma nr.10.pdf, friendlyName=Deschide sursa</x:v>
      </x:c>
    </x:row>
    <x:row r="332" ht="50" customHeight="1">
      <x:c r="A332" s="8" t="str">
        <x:v>F0508</x:v>
      </x:c>
      <x:c r="B332" s="8" t="str">
        <x:v>Proforma nr.11.pdf</x:v>
      </x:c>
      <x:c r="C332" s="8" t="str">
        <x:v>Implementare / documente suport</x:v>
      </x:c>
      <x:c r="D332" s="12" t="str"/>
      <x:c r="E332" s="11" t="str"/>
      <x:c r="F332" s="12" t="str"/>
      <x:c r="G332" s="11" t="str"/>
      <x:c r="H332" s="8" t="str"/>
      <x:c r="I332" s="8" t="str">
        <x:v>Document local; transmiterea individuală neconfirmată</x:v>
      </x:c>
      <x:c r="J332" s="8" t="str">
        <x:v>nr. 3B ap. 10 jud. ALBA
NR. 14, jud. AB
NR.1/19.02.2026</x:v>
      </x:c>
      <x:c r="K332" s="8" t="str">
        <x:v>Text extras; numerele din referințe sunt în coloana separată</x:v>
      </x:c>
      <x:c r="L332" s="8" t="e">
        <x:f>HYPERLINK("file:///Z:/00. Proiecte 2025/AFIR FotoVoltaic 1/15. Implementare Proiect Fotovoltaic/3.Suntree-Neets/Proforma nr.11.pdf","Deschide sursa")</x:f>
        <x:v>HYPERLINK is not implemented. linkLocation=file:///Z:/00. Proiecte 2025/AFIR FotoVoltaic 1/15. Implementare Proiect Fotovoltaic/3.Suntree-Neets/Proforma nr.11.pdf, friendlyName=Deschide sursa</x:v>
      </x:c>
    </x:row>
    <x:row r="333" ht="50" customHeight="1">
      <x:c r="A333" s="8" t="str">
        <x:v>F0509</x:v>
      </x:c>
      <x:c r="B333" s="8" t="str">
        <x:v>Proforma nr.12.pdf</x:v>
      </x:c>
      <x:c r="C333" s="8" t="str">
        <x:v>Implementare / documente suport</x:v>
      </x:c>
      <x:c r="D333" s="12" t="str"/>
      <x:c r="E333" s="11" t="str"/>
      <x:c r="F333" s="12" t="str"/>
      <x:c r="G333" s="11" t="str"/>
      <x:c r="H333" s="8" t="str"/>
      <x:c r="I333" s="8" t="str">
        <x:v>Document local; transmiterea individuală neconfirmată</x:v>
      </x:c>
      <x:c r="J333" s="8" t="str">
        <x:v>nr. 3B ap. 10 jud. ALBA
NR. 14, jud. AB
NR.1/19.02.2026</x:v>
      </x:c>
      <x:c r="K333" s="8" t="str">
        <x:v>Text extras; numerele din referințe sunt în coloana separată</x:v>
      </x:c>
      <x:c r="L333" s="8" t="e">
        <x:f>HYPERLINK("file:///Z:/00. Proiecte 2025/AFIR FotoVoltaic 1/15. Implementare Proiect Fotovoltaic/3.Suntree-Neets/Proforma nr.12.pdf","Deschide sursa")</x:f>
        <x:v>HYPERLINK is not implemented. linkLocation=file:///Z:/00. Proiecte 2025/AFIR FotoVoltaic 1/15. Implementare Proiect Fotovoltaic/3.Suntree-Neets/Proforma nr.12.pdf, friendlyName=Deschide sursa</x:v>
      </x:c>
    </x:row>
    <x:row r="334" ht="36" customHeight="1">
      <x:c r="A334" s="8" t="str">
        <x:v>F0510</x:v>
      </x:c>
      <x:c r="B334" s="8" t="str">
        <x:v>Proforma nr.5.pdf</x:v>
      </x:c>
      <x:c r="C334" s="8" t="str">
        <x:v>Implementare / documente suport</x:v>
      </x:c>
      <x:c r="D334" s="12" t="str"/>
      <x:c r="E334" s="11" t="str"/>
      <x:c r="F334" s="12" t="str"/>
      <x:c r="G334" s="11" t="str"/>
      <x:c r="H334" s="8" t="str"/>
      <x:c r="I334" s="8" t="str">
        <x:v>Document local; transmiterea individuală neconfirmată</x:v>
      </x:c>
      <x:c r="J334" s="8" t="str">
        <x:v>nr. 3B ap. 10 jud. ALBA
NR. 14, jud. AB</x:v>
      </x:c>
      <x:c r="K334" s="8" t="str">
        <x:v>Text extras; numerele din referințe sunt în coloana separată</x:v>
      </x:c>
      <x:c r="L334" s="8" t="e">
        <x:f>HYPERLINK("file:///Z:/00. Proiecte 2025/AFIR FotoVoltaic 1/15. Implementare Proiect Fotovoltaic/3.Suntree-Neets/Proforma nr.5.pdf","Deschide sursa")</x:f>
        <x:v>HYPERLINK is not implemented. linkLocation=file:///Z:/00. Proiecte 2025/AFIR FotoVoltaic 1/15. Implementare Proiect Fotovoltaic/3.Suntree-Neets/Proforma nr.5.pdf, friendlyName=Deschide sursa</x:v>
      </x:c>
    </x:row>
    <x:row r="335" ht="50" customHeight="1">
      <x:c r="A335" s="8" t="str">
        <x:v>F0512</x:v>
      </x:c>
      <x:c r="B335" s="8" t="str">
        <x:v>Proforma nr.8.pdf</x:v>
      </x:c>
      <x:c r="C335" s="8" t="str">
        <x:v>Implementare / documente suport</x:v>
      </x:c>
      <x:c r="D335" s="12" t="str"/>
      <x:c r="E335" s="11" t="str"/>
      <x:c r="F335" s="12" t="str"/>
      <x:c r="G335" s="11" t="str"/>
      <x:c r="H335" s="8" t="str"/>
      <x:c r="I335" s="8" t="str">
        <x:v>Document local; transmiterea individuală neconfirmată</x:v>
      </x:c>
      <x:c r="J335" s="8" t="str">
        <x:v>nr. 3B ap. 10 jud. ALBA
NR. 14, jud. AB
NR.1/19.02.2026</x:v>
      </x:c>
      <x:c r="K335" s="8" t="str">
        <x:v>Text extras; numerele din referințe sunt în coloana separată</x:v>
      </x:c>
      <x:c r="L335" s="8" t="e">
        <x:f>HYPERLINK("file:///Z:/00. Proiecte 2025/AFIR FotoVoltaic 1/15. Implementare Proiect Fotovoltaic/3.Suntree-Neets/Proforma nr.8.pdf","Deschide sursa")</x:f>
        <x:v>HYPERLINK is not implemented. linkLocation=file:///Z:/00. Proiecte 2025/AFIR FotoVoltaic 1/15. Implementare Proiect Fotovoltaic/3.Suntree-Neets/Proforma nr.8.pdf, friendlyName=Deschide sursa</x:v>
      </x:c>
    </x:row>
    <x:row r="336" ht="50" customHeight="1">
      <x:c r="A336" s="8" t="str">
        <x:v>F0513</x:v>
      </x:c>
      <x:c r="B336" s="8" t="str">
        <x:v>Proforma nr.9.pdf</x:v>
      </x:c>
      <x:c r="C336" s="8" t="str">
        <x:v>Implementare / documente suport</x:v>
      </x:c>
      <x:c r="D336" s="12" t="str"/>
      <x:c r="E336" s="11" t="str"/>
      <x:c r="F336" s="12" t="str"/>
      <x:c r="G336" s="11" t="str"/>
      <x:c r="H336" s="8" t="str"/>
      <x:c r="I336" s="8" t="str">
        <x:v>Document local; transmiterea individuală neconfirmată</x:v>
      </x:c>
      <x:c r="J336" s="8" t="str">
        <x:v>nr. 3B ap. 10 jud. ALBA
NR. 14, jud. AB
NR.1/19.02.2026</x:v>
      </x:c>
      <x:c r="K336" s="8" t="str">
        <x:v>Text extras; numerele din referințe sunt în coloana separată</x:v>
      </x:c>
      <x:c r="L336" s="8" t="e">
        <x:f>HYPERLINK("file:///Z:/00. Proiecte 2025/AFIR FotoVoltaic 1/15. Implementare Proiect Fotovoltaic/3.Suntree-Neets/Proforma nr.9.pdf","Deschide sursa")</x:f>
        <x:v>HYPERLINK is not implemented. linkLocation=file:///Z:/00. Proiecte 2025/AFIR FotoVoltaic 1/15. Implementare Proiect Fotovoltaic/3.Suntree-Neets/Proforma nr.9.pdf, friendlyName=Deschide sursa</x:v>
      </x:c>
    </x:row>
    <x:row r="337" ht="36" customHeight="1">
      <x:c r="A337" s="8" t="str">
        <x:v>F0515</x:v>
      </x:c>
      <x:c r="B337" s="8" t="str">
        <x:v>Situatie de lucrari Suntree 15.03.docx</x:v>
      </x:c>
      <x:c r="C337" s="8" t="str">
        <x:v>Implementare / documente suport</x:v>
      </x:c>
      <x:c r="D337" s="12" t="str"/>
      <x:c r="E337" s="11" t="str"/>
      <x:c r="F337" s="12" t="str"/>
      <x:c r="G337" s="11" t="str"/>
      <x:c r="H337" s="8" t="str"/>
      <x:c r="I337" s="8" t="str">
        <x:v>Document local; transmiterea individuală neconfirmată</x:v>
      </x:c>
      <x:c r="J337" s="8" t="str">
        <x:v>Nr. XX din 15.03.2026</x:v>
      </x:c>
      <x:c r="K337" s="8" t="str">
        <x:v>Text extras; numerele din referințe sunt în coloana separată</x:v>
      </x:c>
      <x:c r="L337" s="8" t="e">
        <x:f>HYPERLINK("file:///Z:/00. Proiecte 2025/AFIR FotoVoltaic 1/15. Implementare Proiect Fotovoltaic/3.Suntree-Neets/Situatie de lucrari Suntree 15.03.docx","Deschide sursa")</x:f>
        <x:v>HYPERLINK is not implemented. linkLocation=file:///Z:/00. Proiecte 2025/AFIR FotoVoltaic 1/15. Implementare Proiect Fotovoltaic/3.Suntree-Neets/Situatie de lucrari Suntree 15.03.docx, friendlyName=Deschide sursa</x:v>
      </x:c>
    </x:row>
    <x:row r="338" ht="36" customHeight="1">
      <x:c r="A338" s="8" t="str">
        <x:v>F0516</x:v>
      </x:c>
      <x:c r="B338" s="8" t="str">
        <x:v>Situatie de lucrari Suntree 15.04.docx</x:v>
      </x:c>
      <x:c r="C338" s="8" t="str">
        <x:v>Implementare / documente suport</x:v>
      </x:c>
      <x:c r="D338" s="12" t="str"/>
      <x:c r="E338" s="11" t="str"/>
      <x:c r="F338" s="12" t="str"/>
      <x:c r="G338" s="11" t="str"/>
      <x:c r="H338" s="8" t="str"/>
      <x:c r="I338" s="8" t="str">
        <x:v>Document local; transmiterea individuală neconfirmată</x:v>
      </x:c>
      <x:c r="J338" s="8" t="str">
        <x:v>Nr. XX din 15.04.2026</x:v>
      </x:c>
      <x:c r="K338" s="8" t="str">
        <x:v>Text extras; numerele din referințe sunt în coloana separată</x:v>
      </x:c>
      <x:c r="L338" s="8" t="e">
        <x:f>HYPERLINK("file:///Z:/00. Proiecte 2025/AFIR FotoVoltaic 1/15. Implementare Proiect Fotovoltaic/3.Suntree-Neets/Situatie de lucrari Suntree 15.04.docx","Deschide sursa")</x:f>
        <x:v>HYPERLINK is not implemented. linkLocation=file:///Z:/00. Proiecte 2025/AFIR FotoVoltaic 1/15. Implementare Proiect Fotovoltaic/3.Suntree-Neets/Situatie de lucrari Suntree 15.04.docx, friendlyName=Deschide sursa</x:v>
      </x:c>
    </x:row>
    <x:row r="339" ht="36" customHeight="1">
      <x:c r="A339" s="8" t="str">
        <x:v>F0518</x:v>
      </x:c>
      <x:c r="B339" s="8" t="str">
        <x:v>Tablou_General_TEG-PV_1MVA_10zone_MINIMAL_2026.07.31.xlsx</x:v>
      </x:c>
      <x:c r="C339" s="8" t="str">
        <x:v>Implementare / documente suport</x:v>
      </x:c>
      <x:c r="D339" s="12" t="str"/>
      <x:c r="E339" s="11" t="str"/>
      <x:c r="F339" s="12" t="str"/>
      <x:c r="G339" s="11" t="str"/>
      <x:c r="H339" s="8" t="str"/>
      <x:c r="I339" s="8" t="str">
        <x:v>Document local; transmiterea individuală neconfirmată</x:v>
      </x:c>
      <x:c r="J339" s="8" t="str"/>
      <x:c r="K339" s="8" t="str">
        <x:v>Necesită citire vizuală / OCR / formular XFA</x:v>
      </x:c>
      <x:c r="L339" s="8" t="e">
        <x:f>HYPERLINK("file:///Z:/00. Proiecte 2025/AFIR FotoVoltaic 1/15. Implementare Proiect Fotovoltaic/30. Tablouri/Tablou_General_TEG-PV_1MVA_10zone_MINIMAL_2026.07.31.xlsx","Deschide sursa")</x:f>
        <x:v>HYPERLINK is not implemented. linkLocation=file:///Z:/00. Proiecte 2025/AFIR FotoVoltaic 1/15. Implementare Proiect Fotovoltaic/30. Tablouri/Tablou_General_TEG-PV_1MVA_10zone_MINIMAL_2026.07.31.xlsx, friendlyName=Deschide sursa</x:v>
      </x:c>
    </x:row>
    <x:row r="340" ht="50" customHeight="1">
      <x:c r="A340" s="8" t="str">
        <x:v>F0519</x:v>
      </x:c>
      <x:c r="B340" s="8" t="str">
        <x:v>Tablou_TEG-PV_Documentatie_asamblare_2026.08.12.docx</x:v>
      </x:c>
      <x:c r="C340" s="8" t="str">
        <x:v>Implementare / documente suport</x:v>
      </x:c>
      <x:c r="D340" s="12" t="str"/>
      <x:c r="E340" s="11" t="str"/>
      <x:c r="F340" s="12" t="str"/>
      <x:c r="G340" s="11" t="str"/>
      <x:c r="H340" s="8" t="str"/>
      <x:c r="I340" s="8" t="str">
        <x:v>Document local; transmiterea individuală neconfirmată</x:v>
      </x:c>
      <x:c r="J340" s="8" t="str">
        <x:v>nr. 7030260605876/05.08.2026 - DEER Sucursala Targu Mures
NRE 51/2019; notificare + verificare conformitate; obtinere certificat de racordare.
NRE 51/2019 | producator + DEER</x:v>
      </x:c>
      <x:c r="K340" s="8" t="str">
        <x:v>Text extras; numerele din referințe sunt în coloana separată</x:v>
      </x:c>
      <x:c r="L340" s="8" t="e">
        <x:f>HYPERLINK("file:///Z:/00. Proiecte 2025/AFIR FotoVoltaic 1/15. Implementare Proiect Fotovoltaic/30. Tablouri/Tablou_TEG-PV_Documentatie_asamblare_2026.08.12.docx","Deschide sursa")</x:f>
        <x:v>HYPERLINK is not implemented. linkLocation=file:///Z:/00. Proiecte 2025/AFIR FotoVoltaic 1/15. Implementare Proiect Fotovoltaic/30. Tablouri/Tablou_TEG-PV_Documentatie_asamblare_2026.08.12.docx, friendlyName=Deschide sursa</x:v>
      </x:c>
    </x:row>
    <x:row r="341" ht="50" customHeight="1">
      <x:c r="A341" s="8" t="str">
        <x:v>F0520</x:v>
      </x:c>
      <x:c r="B341" s="8" t="str">
        <x:v>Tablou_TEG-PV_Documentatie_asamblare_2026.08.12.pdf</x:v>
      </x:c>
      <x:c r="C341" s="8" t="str">
        <x:v>Implementare / documente suport</x:v>
      </x:c>
      <x:c r="D341" s="12" t="str"/>
      <x:c r="E341" s="11" t="str"/>
      <x:c r="F341" s="12" t="str"/>
      <x:c r="G341" s="11" t="str"/>
      <x:c r="H341" s="8" t="str"/>
      <x:c r="I341" s="8" t="str">
        <x:v>Document local; transmiterea individuală neconfirmată</x:v>
      </x:c>
      <x:c r="J341" s="8" t="str">
        <x:v>nr. 7030260605876/05.08.2026 - DEER Sucursala Targu Mures
NRE 51/2019; notificare + verificare conformitate;
NRE 51/2019 producator + DEER</x:v>
      </x:c>
      <x:c r="K341" s="8" t="str">
        <x:v>Text extras; numerele din referințe sunt în coloana separată</x:v>
      </x:c>
      <x:c r="L341" s="8" t="e">
        <x:f>HYPERLINK("file:///Z:/00. Proiecte 2025/AFIR FotoVoltaic 1/15. Implementare Proiect Fotovoltaic/30. Tablouri/Tablou_TEG-PV_Documentatie_asamblare_2026.08.12.pdf","Deschide sursa")</x:f>
        <x:v>HYPERLINK is not implemented. linkLocation=file:///Z:/00. Proiecte 2025/AFIR FotoVoltaic 1/15. Implementare Proiect Fotovoltaic/30. Tablouri/Tablou_TEG-PV_Documentatie_asamblare_2026.08.12.pdf, friendlyName=Deschide sursa</x:v>
      </x:c>
    </x:row>
    <x:row r="342" ht="36" customHeight="1">
      <x:c r="A342" s="8" t="str">
        <x:v>F0521</x:v>
      </x:c>
      <x:c r="B342" s="8" t="str">
        <x:v>Tablou_TEG-PV_LISTA_MATERIALE_FINALA_2026.08.12.xlsx</x:v>
      </x:c>
      <x:c r="C342" s="8" t="str">
        <x:v>Implementare / documente suport</x:v>
      </x:c>
      <x:c r="D342" s="12" t="str"/>
      <x:c r="E342" s="11" t="str"/>
      <x:c r="F342" s="12" t="str"/>
      <x:c r="G342" s="11" t="str"/>
      <x:c r="H342" s="8" t="str"/>
      <x:c r="I342" s="8" t="str">
        <x:v>Document local; transmiterea individuală neconfirmată</x:v>
      </x:c>
      <x:c r="J342" s="8" t="str"/>
      <x:c r="K342" s="8" t="str">
        <x:v>Necesită citire vizuală / OCR / formular XFA</x:v>
      </x:c>
      <x:c r="L342" s="8" t="e">
        <x:f>HYPERLINK("file:///Z:/00. Proiecte 2025/AFIR FotoVoltaic 1/15. Implementare Proiect Fotovoltaic/30. Tablouri/Tablou_TEG-PV_LISTA_MATERIALE_FINALA_2026.08.12.xlsx","Deschide sursa")</x:f>
        <x:v>HYPERLINK is not implemented. linkLocation=file:///Z:/00. Proiecte 2025/AFIR FotoVoltaic 1/15. Implementare Proiect Fotovoltaic/30. Tablouri/Tablou_TEG-PV_LISTA_MATERIALE_FINALA_2026.08.12.xlsx, friendlyName=Deschide sursa</x:v>
      </x:c>
    </x:row>
    <x:row r="343" ht="64" customHeight="1">
      <x:c r="A343" s="8" t="str">
        <x:v>F0522</x:v>
      </x:c>
      <x:c r="B343" s="8" t="str">
        <x:v>Tablou_TEG-PV_Scheme_electrice_2026.08.12.pdf</x:v>
      </x:c>
      <x:c r="C343" s="8" t="str">
        <x:v>Implementare / documente suport</x:v>
      </x:c>
      <x:c r="D343" s="12" t="str"/>
      <x:c r="E343" s="11" t="str"/>
      <x:c r="F343" s="12" t="str"/>
      <x:c r="G343" s="11" t="str"/>
      <x:c r="H343" s="8" t="str"/>
      <x:c r="I343" s="8" t="str">
        <x:v>Document local; transmiterea individuală neconfirmată</x:v>
      </x:c>
      <x:c r="J343" s="8" t="str">
        <x:v>NRE 3/2023 (scope furnizor PV Suntree)
nr. 7030260605876/05.08.2026 - Proiect AFIR FotoVoltaic 1 - orientativ pt. proiectare/asamblare (nu inlocuieste proiectul PTE-IU verificat Ie)
NRE 208/2018 - reconectare temporizata</x:v>
      </x:c>
      <x:c r="K343" s="8" t="str">
        <x:v>Text extras; numerele din referințe sunt în coloana separată</x:v>
      </x:c>
      <x:c r="L343" s="8" t="e">
        <x:f>HYPERLINK("file:///Z:/00. Proiecte 2025/AFIR FotoVoltaic 1/15. Implementare Proiect Fotovoltaic/30. Tablouri/Tablou_TEG-PV_Scheme_electrice_2026.08.12.pdf","Deschide sursa")</x:f>
        <x:v>HYPERLINK is not implemented. linkLocation=file:///Z:/00. Proiecte 2025/AFIR FotoVoltaic 1/15. Implementare Proiect Fotovoltaic/30. Tablouri/Tablou_TEG-PV_Scheme_electrice_2026.08.12.pdf, friendlyName=Deschide sursa</x:v>
      </x:c>
    </x:row>
    <x:row r="344" ht="92" customHeight="1">
      <x:c r="A344" s="8" t="str">
        <x:v>F0523</x:v>
      </x:c>
      <x:c r="B344" s="8" t="str">
        <x:v>Solicitare de verificare și aprobare actualizare tehnică (2).pdf</x:v>
      </x:c>
      <x:c r="C344" s="8" t="str">
        <x:v>Implementare / documente suport</x:v>
      </x:c>
      <x:c r="D344" s="12" t="str"/>
      <x:c r="E344" s="11" t="str"/>
      <x:c r="F344" s="12" t="str"/>
      <x:c r="G344" s="11" t="str"/>
      <x:c r="H344" s="8" t="str"/>
      <x:c r="I344" s="8" t="str">
        <x:v>Document local; transmiterea individuală neconfirmată</x:v>
      </x:c>
      <x:c r="J344" s="8" t="str">
        <x:v>nr . CFMSES011011372801030
nr . 5,
nr . CFMSES011011372801030, aferent proiectului „Sursă
nr . CFMSES011011372801030 are ca obiect acordarea ajutorului de stat pentru
nr . 275/01.02.2024. Contractul are ca obiect furnizarea și punerea în funcțiune a
nr . CFMSES011011372801030,</x:v>
      </x:c>
      <x:c r="K344" s="8" t="str">
        <x:v>Text extras; numerele din referințe sunt în coloana separată</x:v>
      </x:c>
      <x:c r="L344" s="8" t="e">
        <x:f>HYPERLINK("file:///Z:/00. Proiecte 2025/AFIR FotoVoltaic 1/15. Implementare Proiect Fotovoltaic/4. AFIR Avizare solutie/Solicitare de verificare și aprobare actualizare tehnică (2).pdf","Deschide sursa")</x:f>
        <x:v>HYPERLINK is not implemented. linkLocation=file:///Z:/00. Proiecte 2025/AFIR FotoVoltaic 1/15. Implementare Proiect Fotovoltaic/4. AFIR Avizare solutie/Solicitare de verificare și aprobare actualizare tehnică (2).pdf, friendlyName=Deschide sursa</x:v>
      </x:c>
    </x:row>
    <x:row r="345" ht="64" customHeight="1">
      <x:c r="A345" s="8" t="str">
        <x:v>F0524</x:v>
      </x:c>
      <x:c r="B345" s="8" t="str">
        <x:v>Factura nr.1 Cesiro-Suntree.pdf</x:v>
      </x:c>
      <x:c r="C345" s="8" t="str">
        <x:v>Implementare / documente suport</x:v>
      </x:c>
      <x:c r="D345" s="12" t="str"/>
      <x:c r="E345" s="11" t="str"/>
      <x:c r="F345" s="12" t="str"/>
      <x:c r="G345" s="11" t="str"/>
      <x:c r="H345" s="8" t="str"/>
      <x:c r="I345" s="8" t="str">
        <x:v>Document local; transmiterea individuală neconfirmată</x:v>
      </x:c>
      <x:c r="J345" s="8" t="str">
        <x:v>Nr. inregistrare J01/817/2022
Nr. inregistrare J2021001328014
NR.5
nr. 275 din 01.02.20241 RON 1.0000 1.0000 1185950.41H871185950.41</x:v>
      </x:c>
      <x:c r="K345" s="8" t="str">
        <x:v>Text extras; numerele din referințe sunt în coloana separată</x:v>
      </x:c>
      <x:c r="L345" s="8" t="e">
        <x:f>HYPERLINK("file:///Z:/00. Proiecte 2025/AFIR FotoVoltaic 1/15. Implementare Proiect Fotovoltaic/5.Production-Suntree/Factura nr.1 Cesiro-Suntree.pdf","Deschide sursa")</x:f>
        <x:v>HYPERLINK is not implemented. linkLocation=file:///Z:/00. Proiecte 2025/AFIR FotoVoltaic 1/15. Implementare Proiect Fotovoltaic/5.Production-Suntree/Factura nr.1 Cesiro-Suntree.pdf, friendlyName=Deschide sursa</x:v>
      </x:c>
    </x:row>
    <x:row r="346" ht="78" customHeight="1">
      <x:c r="A346" s="8" t="str">
        <x:v>F0525</x:v>
      </x:c>
      <x:c r="B346" s="8" t="str">
        <x:v>Factura nr.2 Cesiro-Suntree.pdf</x:v>
      </x:c>
      <x:c r="C346" s="8" t="str">
        <x:v>Implementare / documente suport</x:v>
      </x:c>
      <x:c r="D346" s="12" t="str"/>
      <x:c r="E346" s="11" t="str"/>
      <x:c r="F346" s="12" t="str"/>
      <x:c r="G346" s="11" t="str"/>
      <x:c r="H346" s="8" t="str"/>
      <x:c r="I346" s="8" t="str">
        <x:v>Document local; transmiterea individuală neconfirmată</x:v>
      </x:c>
      <x:c r="J346" s="8" t="str">
        <x:v>Nr. inregistrare J01/817/2022
Nr. inregistrare J2021001328014
NR.5
nr. 275 din 01.02.20241 RON 1.0000 1.0000 1800.00H871800.00
nr. 275 din 012 RON 1.0000 1.0000 1279191.74H871279191.74</x:v>
      </x:c>
      <x:c r="K346" s="8" t="str">
        <x:v>Text extras; numerele din referințe sunt în coloana separată</x:v>
      </x:c>
      <x:c r="L346" s="8" t="e">
        <x:f>HYPERLINK("file:///Z:/00. Proiecte 2025/AFIR FotoVoltaic 1/15. Implementare Proiect Fotovoltaic/5.Production-Suntree/Factura nr.2 Cesiro-Suntree.pdf","Deschide sursa")</x:f>
        <x:v>HYPERLINK is not implemented. linkLocation=file:///Z:/00. Proiecte 2025/AFIR FotoVoltaic 1/15. Implementare Proiect Fotovoltaic/5.Production-Suntree/Factura nr.2 Cesiro-Suntree.pdf, friendlyName=Deschide sursa</x:v>
      </x:c>
    </x:row>
    <x:row r="347" ht="36" customHeight="1">
      <x:c r="A347" s="8" t="str">
        <x:v>F0526</x:v>
      </x:c>
      <x:c r="B347" s="8" t="str">
        <x:v>Factura nr.2 Cesiro-Suntree.xlsx</x:v>
      </x:c>
      <x:c r="C347" s="8" t="str">
        <x:v>Implementare / documente suport</x:v>
      </x:c>
      <x:c r="D347" s="12" t="str"/>
      <x:c r="E347" s="11" t="str"/>
      <x:c r="F347" s="12" t="str"/>
      <x:c r="G347" s="11" t="str"/>
      <x:c r="H347" s="8" t="str"/>
      <x:c r="I347" s="8" t="str">
        <x:v>Document local; transmiterea individuală neconfirmată</x:v>
      </x:c>
      <x:c r="J347" s="8" t="str"/>
      <x:c r="K347" s="8" t="str">
        <x:v>Necesită citire vizuală / OCR / formular XFA</x:v>
      </x:c>
      <x:c r="L347" s="8" t="e">
        <x:f>HYPERLINK("file:///Z:/00. Proiecte 2025/AFIR FotoVoltaic 1/15. Implementare Proiect Fotovoltaic/5.Production-Suntree/Factura nr.2 Cesiro-Suntree.xlsx","Deschide sursa")</x:f>
        <x:v>HYPERLINK is not implemented. linkLocation=file:///Z:/00. Proiecte 2025/AFIR FotoVoltaic 1/15. Implementare Proiect Fotovoltaic/5.Production-Suntree/Factura nr.2 Cesiro-Suntree.xlsx, friendlyName=Deschide sursa</x:v>
      </x:c>
    </x:row>
    <x:row r="348" ht="36" customHeight="1">
      <x:c r="A348" s="8" t="str">
        <x:v>F0527</x:v>
      </x:c>
      <x:c r="B348" s="8" t="str">
        <x:v>Situatie Cesiro Production-Suntree.xlsx</x:v>
      </x:c>
      <x:c r="C348" s="8" t="str">
        <x:v>Implementare / documente suport</x:v>
      </x:c>
      <x:c r="D348" s="12" t="str"/>
      <x:c r="E348" s="11" t="str"/>
      <x:c r="F348" s="12" t="str"/>
      <x:c r="G348" s="11" t="str"/>
      <x:c r="H348" s="8" t="str"/>
      <x:c r="I348" s="8" t="str">
        <x:v>Document local; transmiterea individuală neconfirmată</x:v>
      </x:c>
      <x:c r="J348" s="8" t="str"/>
      <x:c r="K348" s="8" t="str">
        <x:v>Necesită citire vizuală / OCR / formular XFA</x:v>
      </x:c>
      <x:c r="L348" s="8" t="e">
        <x:f>HYPERLINK("file:///Z:/00. Proiecte 2025/AFIR FotoVoltaic 1/15. Implementare Proiect Fotovoltaic/5.Production-Suntree/Situatie Cesiro Production-Suntree.xlsx","Deschide sursa")</x:f>
        <x:v>HYPERLINK is not implemented. linkLocation=file:///Z:/00. Proiecte 2025/AFIR FotoVoltaic 1/15. Implementare Proiect Fotovoltaic/5.Production-Suntree/Situatie Cesiro Production-Suntree.xlsx, friendlyName=Deschide sursa</x:v>
      </x:c>
    </x:row>
    <x:row r="349" ht="36" customHeight="1">
      <x:c r="A349" s="8" t="str">
        <x:v>F0530</x:v>
      </x:c>
      <x:c r="B349" s="8" t="str">
        <x:v>CMR 936 STP450S-H48-NKH+ (2).pdf</x:v>
      </x:c>
      <x:c r="C349" s="8" t="str">
        <x:v>Implementare / documente suport</x:v>
      </x:c>
      <x:c r="D349" s="12" t="str"/>
      <x:c r="E349" s="11" t="str"/>
      <x:c r="F349" s="12" t="str"/>
      <x:c r="G349" s="11" t="str"/>
      <x:c r="H349" s="8" t="str"/>
      <x:c r="I349" s="8" t="str">
        <x:v>Document local; transmiterea individuală neconfirmată</x:v>
      </x:c>
      <x:c r="J349" s="8" t="str"/>
      <x:c r="K349" s="8" t="str">
        <x:v>Text extras; numerele din referințe sunt în coloana separată</x:v>
      </x:c>
      <x:c r="L349" s="8" t="e">
        <x:f>HYPERLINK("file:///Z:/00. Proiecte 2025/AFIR FotoVoltaic 1/15. Implementare Proiect Fotovoltaic/10.Neets-Suntech/CMR- transport/CMR 936 STP450S-H48-NKH+ (2).pdf","Deschide sursa")</x:f>
        <x:v>HYPERLINK is not implemented. linkLocation=file:///Z:/00. Proiecte 2025/AFIR FotoVoltaic 1/15. Implementare Proiect Fotovoltaic/10.Neets-Suntech/CMR- transport/CMR 936 STP450S-H48-NKH+ (2).pdf, friendlyName=Deschide sursa</x:v>
      </x:c>
    </x:row>
    <x:row r="350" ht="36" customHeight="1">
      <x:c r="A350" s="8" t="str">
        <x:v>F0531</x:v>
      </x:c>
      <x:c r="B350" s="8" t="str">
        <x:v>CMR 936 STP450S-H48-NKH+ (3).pdf</x:v>
      </x:c>
      <x:c r="C350" s="8" t="str">
        <x:v>Implementare / documente suport</x:v>
      </x:c>
      <x:c r="D350" s="12" t="str"/>
      <x:c r="E350" s="11" t="str"/>
      <x:c r="F350" s="12" t="str"/>
      <x:c r="G350" s="11" t="str"/>
      <x:c r="H350" s="8" t="str"/>
      <x:c r="I350" s="8" t="str">
        <x:v>Document local; transmiterea individuală neconfirmată</x:v>
      </x:c>
      <x:c r="J350" s="8" t="str"/>
      <x:c r="K350" s="8" t="str">
        <x:v>Text extras; numerele din referințe sunt în coloana separată</x:v>
      </x:c>
      <x:c r="L350" s="8" t="e">
        <x:f>HYPERLINK("file:///Z:/00. Proiecte 2025/AFIR FotoVoltaic 1/15. Implementare Proiect Fotovoltaic/10.Neets-Suntech/CMR- transport/CMR 936 STP450S-H48-NKH+ (3).pdf","Deschide sursa")</x:f>
        <x:v>HYPERLINK is not implemented. linkLocation=file:///Z:/00. Proiecte 2025/AFIR FotoVoltaic 1/15. Implementare Proiect Fotovoltaic/10.Neets-Suntech/CMR- transport/CMR 936 STP450S-H48-NKH+ (3).pdf, friendlyName=Deschide sursa</x:v>
      </x:c>
    </x:row>
    <x:row r="351" ht="36" customHeight="1">
      <x:c r="A351" s="8" t="str">
        <x:v>F0532</x:v>
      </x:c>
      <x:c r="B351" s="8" t="str">
        <x:v>CMR 936 STP450S-H48-NKH+.pdf</x:v>
      </x:c>
      <x:c r="C351" s="8" t="str">
        <x:v>Implementare / documente suport</x:v>
      </x:c>
      <x:c r="D351" s="12" t="str"/>
      <x:c r="E351" s="11" t="str"/>
      <x:c r="F351" s="12" t="str"/>
      <x:c r="G351" s="11" t="str"/>
      <x:c r="H351" s="8" t="str"/>
      <x:c r="I351" s="8" t="str">
        <x:v>Document local; transmiterea individuală neconfirmată</x:v>
      </x:c>
      <x:c r="J351" s="8" t="str"/>
      <x:c r="K351" s="8" t="str">
        <x:v>Text extras; numerele din referințe sunt în coloana separată</x:v>
      </x:c>
      <x:c r="L351" s="8" t="e">
        <x:f>HYPERLINK("file:///Z:/00. Proiecte 2025/AFIR FotoVoltaic 1/15. Implementare Proiect Fotovoltaic/10.Neets-Suntech/CMR- transport/CMR 936 STP450S-H48-NKH+.pdf","Deschide sursa")</x:f>
        <x:v>HYPERLINK is not implemented. linkLocation=file:///Z:/00. Proiecte 2025/AFIR FotoVoltaic 1/15. Implementare Proiect Fotovoltaic/10.Neets-Suntech/CMR- transport/CMR 936 STP450S-H48-NKH+.pdf, friendlyName=Deschide sursa</x:v>
      </x:c>
    </x:row>
    <x:row r="352" ht="36" customHeight="1">
      <x:c r="A352" s="8" t="str">
        <x:v>F0535</x:v>
      </x:c>
      <x:c r="B352" s="8" t="str">
        <x:v>CMR 936 STP450S-H48-NTH+.pdf</x:v>
      </x:c>
      <x:c r="C352" s="8" t="str">
        <x:v>Implementare / documente suport</x:v>
      </x:c>
      <x:c r="D352" s="12" t="str"/>
      <x:c r="E352" s="11" t="str"/>
      <x:c r="F352" s="12" t="str"/>
      <x:c r="G352" s="11" t="str"/>
      <x:c r="H352" s="8" t="str"/>
      <x:c r="I352" s="8" t="str">
        <x:v>Document local; transmiterea individuală neconfirmată</x:v>
      </x:c>
      <x:c r="J352" s="8" t="str"/>
      <x:c r="K352" s="8" t="str">
        <x:v>Text extras; numerele din referințe sunt în coloana separată</x:v>
      </x:c>
      <x:c r="L352" s="8" t="e">
        <x:f>HYPERLINK("file:///Z:/00. Proiecte 2025/AFIR FotoVoltaic 1/15. Implementare Proiect Fotovoltaic/10.Neets-Suntech/CMR- transport/CMR 936 STP450S-H48-NTH+.pdf","Deschide sursa")</x:f>
        <x:v>HYPERLINK is not implemented. linkLocation=file:///Z:/00. Proiecte 2025/AFIR FotoVoltaic 1/15. Implementare Proiect Fotovoltaic/10.Neets-Suntech/CMR- transport/CMR 936 STP450S-H48-NTH+.pdf, friendlyName=Deschide sursa</x:v>
      </x:c>
    </x:row>
    <x:row r="353" ht="36" customHeight="1">
      <x:c r="A353" s="8" t="str">
        <x:v>F0539</x:v>
      </x:c>
      <x:c r="B353" s="8" t="str">
        <x:v>01 NTFS2601双章合同_GE-HWDDXSHT-20260205-001 (4).pdf</x:v>
      </x:c>
      <x:c r="C353" s="8" t="str">
        <x:v>Implementare / documente suport</x:v>
      </x:c>
      <x:c r="D353" s="12" t="str"/>
      <x:c r="E353" s="11" t="str"/>
      <x:c r="F353" s="12" t="str"/>
      <x:c r="G353" s="11" t="str"/>
      <x:c r="H353" s="8" t="str"/>
      <x:c r="I353" s="8" t="str">
        <x:v>Document local; transmiterea individuală neconfirmată</x:v>
      </x:c>
      <x:c r="J353" s="8" t="str"/>
      <x:c r="K353" s="8" t="str">
        <x:v>Text extras; numerele din referințe sunt în coloana separată</x:v>
      </x:c>
      <x:c r="L353" s="8" t="e">
        <x:f>HYPERLINK("file:///Z:/00. Proiecte 2025/AFIR FotoVoltaic 1/15. Implementare Proiect Fotovoltaic/10.Neets-Suntech/Comenzi/01 NTFS2601双章合同_GE-HWDDXSHT-20260205-001 (4).pdf","Deschide sursa")</x:f>
        <x:v>HYPERLINK is not implemented. linkLocation=file:///Z:/00. Proiecte 2025/AFIR FotoVoltaic 1/15. Implementare Proiect Fotovoltaic/10.Neets-Suntech/Comenzi/01 NTFS2601双章合同_GE-HWDDXSHT-20260205-001 (4).pdf, friendlyName=Deschide sursa</x:v>
      </x:c>
    </x:row>
    <x:row r="354" ht="36" customHeight="1">
      <x:c r="A354" s="8" t="str">
        <x:v>F0543</x:v>
      </x:c>
      <x:c r="B354" s="8" t="str">
        <x:v>Lista completa panouri furate.xlsx</x:v>
      </x:c>
      <x:c r="C354" s="8" t="str">
        <x:v>Implementare / documente suport</x:v>
      </x:c>
      <x:c r="D354" s="12" t="str"/>
      <x:c r="E354" s="11" t="str"/>
      <x:c r="F354" s="12" t="str"/>
      <x:c r="G354" s="11" t="str"/>
      <x:c r="H354" s="8" t="str"/>
      <x:c r="I354" s="8" t="str">
        <x:v>Document local; transmiterea individuală neconfirmată</x:v>
      </x:c>
      <x:c r="J354" s="8" t="str"/>
      <x:c r="K354" s="8" t="str">
        <x:v>Necesită citire vizuală / OCR / formular XFA</x:v>
      </x:c>
      <x:c r="L354" s="8" t="e">
        <x:f>HYPERLINK("file:///Z:/00. Proiecte 2025/AFIR FotoVoltaic 1/15. Implementare Proiect Fotovoltaic/10.Neets-Suntech/Etichete Erika/Lista completa panouri furate.xlsx","Deschide sursa")</x:f>
        <x:v>HYPERLINK is not implemented. linkLocation=file:///Z:/00. Proiecte 2025/AFIR FotoVoltaic 1/15. Implementare Proiect Fotovoltaic/10.Neets-Suntech/Etichete Erika/Lista completa panouri furate.xlsx, friendlyName=Deschide sursa</x:v>
      </x:c>
    </x:row>
    <x:row r="355" ht="36" customHeight="1">
      <x:c r="A355" s="8" t="str">
        <x:v>F0546</x:v>
      </x:c>
      <x:c r="B355" s="8" t="str">
        <x:v>01 Invoice_NTFS2601-1.pdf</x:v>
      </x:c>
      <x:c r="C355" s="8" t="str">
        <x:v>Implementare / documente suport</x:v>
      </x:c>
      <x:c r="D355" s="12" t="str"/>
      <x:c r="E355" s="11" t="str"/>
      <x:c r="F355" s="12" t="str"/>
      <x:c r="G355" s="11" t="str"/>
      <x:c r="H355" s="8" t="str"/>
      <x:c r="I355" s="8" t="str">
        <x:v>Document local; transmiterea individuală neconfirmată</x:v>
      </x:c>
      <x:c r="J355" s="8" t="str">
        <x:v>nr. 3B, ap.10 Invoice No : NTFS2601-1</x:v>
      </x:c>
      <x:c r="K355" s="8" t="str">
        <x:v>Text extras; numerele din referințe sunt în coloana separată</x:v>
      </x:c>
      <x:c r="L355" s="8" t="e">
        <x:f>HYPERLINK("file:///Z:/00. Proiecte 2025/AFIR FotoVoltaic 1/15. Implementare Proiect Fotovoltaic/10.Neets-Suntech/Facturi si Serii si Avize de Insotire/01 Invoice_NTFS2601-1.pdf","Deschide sursa")</x:f>
        <x:v>HYPERLINK is not implemented. linkLocation=file:///Z:/00. Proiecte 2025/AFIR FotoVoltaic 1/15. Implementare Proiect Fotovoltaic/10.Neets-Suntech/Facturi si Serii si Avize de Insotire/01 Invoice_NTFS2601-1.pdf, friendlyName=Deschide sursa</x:v>
      </x:c>
    </x:row>
    <x:row r="356" ht="36" customHeight="1">
      <x:c r="A356" s="8" t="str">
        <x:v>F0547</x:v>
      </x:c>
      <x:c r="B356" s="8" t="str">
        <x:v>01 Invoice_NTFS2601-2.pdf</x:v>
      </x:c>
      <x:c r="C356" s="8" t="str">
        <x:v>Implementare / documente suport</x:v>
      </x:c>
      <x:c r="D356" s="12" t="str"/>
      <x:c r="E356" s="11" t="str"/>
      <x:c r="F356" s="12" t="str"/>
      <x:c r="G356" s="11" t="str"/>
      <x:c r="H356" s="8" t="str"/>
      <x:c r="I356" s="8" t="str">
        <x:v>Document local; transmiterea individuală neconfirmată</x:v>
      </x:c>
      <x:c r="J356" s="8" t="str">
        <x:v>nr. 3B, ap.10 Invoice No : NTFS2601-2</x:v>
      </x:c>
      <x:c r="K356" s="8" t="str">
        <x:v>Text extras; numerele din referințe sunt în coloana separată</x:v>
      </x:c>
      <x:c r="L356" s="8" t="e">
        <x:f>HYPERLINK("file:///Z:/00. Proiecte 2025/AFIR FotoVoltaic 1/15. Implementare Proiect Fotovoltaic/10.Neets-Suntech/Facturi si Serii si Avize de Insotire/01 Invoice_NTFS2601-2.pdf","Deschide sursa")</x:f>
        <x:v>HYPERLINK is not implemented. linkLocation=file:///Z:/00. Proiecte 2025/AFIR FotoVoltaic 1/15. Implementare Proiect Fotovoltaic/10.Neets-Suntech/Facturi si Serii si Avize de Insotire/01 Invoice_NTFS2601-2.pdf, friendlyName=Deschide sursa</x:v>
      </x:c>
    </x:row>
    <x:row r="357" ht="36" customHeight="1">
      <x:c r="A357" s="8" t="str">
        <x:v>F0548</x:v>
      </x:c>
      <x:c r="B357" s="8" t="str">
        <x:v>01 Invoice_NTFS2601-3.pdf</x:v>
      </x:c>
      <x:c r="C357" s="8" t="str">
        <x:v>Implementare / documente suport</x:v>
      </x:c>
      <x:c r="D357" s="12" t="str"/>
      <x:c r="E357" s="11" t="str"/>
      <x:c r="F357" s="12" t="str"/>
      <x:c r="G357" s="11" t="str"/>
      <x:c r="H357" s="8" t="str"/>
      <x:c r="I357" s="8" t="str">
        <x:v>Document local; transmiterea individuală neconfirmată</x:v>
      </x:c>
      <x:c r="J357" s="8" t="str">
        <x:v>nr. 3B, ap.10 Invoice No : NTFS2601-3</x:v>
      </x:c>
      <x:c r="K357" s="8" t="str">
        <x:v>Text extras; numerele din referințe sunt în coloana separată</x:v>
      </x:c>
      <x:c r="L357" s="8" t="e">
        <x:f>HYPERLINK("file:///Z:/00. Proiecte 2025/AFIR FotoVoltaic 1/15. Implementare Proiect Fotovoltaic/10.Neets-Suntech/Facturi si Serii si Avize de Insotire/01 Invoice_NTFS2601-3.pdf","Deschide sursa")</x:f>
        <x:v>HYPERLINK is not implemented. linkLocation=file:///Z:/00. Proiecte 2025/AFIR FotoVoltaic 1/15. Implementare Proiect Fotovoltaic/10.Neets-Suntech/Facturi si Serii si Avize de Insotire/01 Invoice_NTFS2601-3.pdf, friendlyName=Deschide sursa</x:v>
      </x:c>
    </x:row>
    <x:row r="358" ht="36" customHeight="1">
      <x:c r="A358" s="8" t="str">
        <x:v>F0549</x:v>
      </x:c>
      <x:c r="B358" s="8" t="str">
        <x:v>02 Invoice_NTFS2602.pdf</x:v>
      </x:c>
      <x:c r="C358" s="8" t="str">
        <x:v>Implementare / documente suport</x:v>
      </x:c>
      <x:c r="D358" s="12" t="str"/>
      <x:c r="E358" s="11" t="str"/>
      <x:c r="F358" s="12" t="str"/>
      <x:c r="G358" s="11" t="str"/>
      <x:c r="H358" s="8" t="str"/>
      <x:c r="I358" s="8" t="str">
        <x:v>Document local; transmiterea individuală neconfirmată</x:v>
      </x:c>
      <x:c r="J358" s="8" t="str">
        <x:v>nr. 3B, ap.10 Invoice No : NTFS2602</x:v>
      </x:c>
      <x:c r="K358" s="8" t="str">
        <x:v>Text extras; numerele din referințe sunt în coloana separată</x:v>
      </x:c>
      <x:c r="L358" s="8" t="e">
        <x:f>HYPERLINK("file:///Z:/00. Proiecte 2025/AFIR FotoVoltaic 1/15. Implementare Proiect Fotovoltaic/10.Neets-Suntech/Facturi si Serii si Avize de Insotire/02 Invoice_NTFS2602.pdf","Deschide sursa")</x:f>
        <x:v>HYPERLINK is not implemented. linkLocation=file:///Z:/00. Proiecte 2025/AFIR FotoVoltaic 1/15. Implementare Proiect Fotovoltaic/10.Neets-Suntech/Facturi si Serii si Avize de Insotire/02 Invoice_NTFS2602.pdf, friendlyName=Deschide sursa</x:v>
      </x:c>
    </x:row>
    <x:row r="359" ht="50" customHeight="1">
      <x:c r="A359" s="8" t="str">
        <x:v>F0550</x:v>
      </x:c>
      <x:c r="B359" s="8" t="str">
        <x:v>FR-BEAU4498368_1-Actualizat de la Suntech.xlsx</x:v>
      </x:c>
      <x:c r="C359" s="8" t="str">
        <x:v>Implementare / documente suport</x:v>
      </x:c>
      <x:c r="D359" s="12" t="str"/>
      <x:c r="E359" s="11" t="str"/>
      <x:c r="F359" s="12" t="str"/>
      <x:c r="G359" s="11" t="str"/>
      <x:c r="H359" s="8" t="str"/>
      <x:c r="I359" s="8" t="str">
        <x:v>Document local; transmiterea individuală neconfirmată</x:v>
      </x:c>
      <x:c r="J359" s="8" t="str"/>
      <x:c r="K359" s="8" t="str">
        <x:v>Necesită citire vizuală / OCR / formular XFA</x:v>
      </x:c>
      <x:c r="L359" s="8" t="e">
        <x:f>HYPERLINK("file:///Z:/00. Proiecte 2025/AFIR FotoVoltaic 1/15. Implementare Proiect Fotovoltaic/10.Neets-Suntech/Facturi si Serii si Avize de Insotire/FR-BEAU4498368_1-Actualizat de la Suntech.xlsx","Deschide sursa")</x:f>
        <x:v>HYPERLINK is not implemented. linkLocation=file:///Z:/00. Proiecte 2025/AFIR FotoVoltaic 1/15. Implementare Proiect Fotovoltaic/10.Neets-Suntech/Facturi si Serii si Avize de Insotire/FR-BEAU4498368_1-Actualizat de la Suntech.xlsx, friendlyName=Deschide sursa</x:v>
      </x:c>
    </x:row>
    <x:row r="360" ht="50" customHeight="1">
      <x:c r="A360" s="8" t="str">
        <x:v>F0551</x:v>
      </x:c>
      <x:c r="B360" s="8" t="str">
        <x:v>STP450S-H48-Nkh+_FR-FFAU6252867-1 .xlsx</x:v>
      </x:c>
      <x:c r="C360" s="8" t="str">
        <x:v>Implementare / documente suport</x:v>
      </x:c>
      <x:c r="D360" s="12" t="str"/>
      <x:c r="E360" s="11" t="str"/>
      <x:c r="F360" s="12" t="str"/>
      <x:c r="G360" s="11" t="str"/>
      <x:c r="H360" s="8" t="str"/>
      <x:c r="I360" s="8" t="str">
        <x:v>Document local; transmiterea individuală neconfirmată</x:v>
      </x:c>
      <x:c r="J360" s="8" t="str"/>
      <x:c r="K360" s="8" t="str">
        <x:v>Necesită citire vizuală / OCR / formular XFA</x:v>
      </x:c>
      <x:c r="L360" s="8" t="e">
        <x:f>HYPERLINK("file:///Z:/00. Proiecte 2025/AFIR FotoVoltaic 1/15. Implementare Proiect Fotovoltaic/10.Neets-Suntech/Facturi si Serii si Avize de Insotire/STP450S-H48-Nkh+_FR-FFAU6252867-1 .xlsx","Deschide sursa")</x:f>
        <x:v>HYPERLINK is not implemented. linkLocation=file:///Z:/00. Proiecte 2025/AFIR FotoVoltaic 1/15. Implementare Proiect Fotovoltaic/10.Neets-Suntech/Facturi si Serii si Avize de Insotire/STP450S-H48-Nkh+_FR-FFAU6252867-1 .xlsx, friendlyName=Deschide sursa</x:v>
      </x:c>
    </x:row>
    <x:row r="361" ht="50" customHeight="1">
      <x:c r="A361" s="8" t="str">
        <x:v>F0552</x:v>
      </x:c>
      <x:c r="B361" s="8" t="str">
        <x:v>STP450S-H48-Nkh+_FR-FFAU6252867-935pcs .xlsx</x:v>
      </x:c>
      <x:c r="C361" s="8" t="str">
        <x:v>Implementare / documente suport</x:v>
      </x:c>
      <x:c r="D361" s="12" t="str"/>
      <x:c r="E361" s="11" t="str"/>
      <x:c r="F361" s="12" t="str"/>
      <x:c r="G361" s="11" t="str"/>
      <x:c r="H361" s="8" t="str"/>
      <x:c r="I361" s="8" t="str">
        <x:v>Document local; transmiterea individuală neconfirmată</x:v>
      </x:c>
      <x:c r="J361" s="8" t="str"/>
      <x:c r="K361" s="8" t="str">
        <x:v>Necesită citire vizuală / OCR / formular XFA</x:v>
      </x:c>
      <x:c r="L361" s="8" t="e">
        <x:f>HYPERLINK("file:///Z:/00. Proiecte 2025/AFIR FotoVoltaic 1/15. Implementare Proiect Fotovoltaic/10.Neets-Suntech/Facturi si Serii si Avize de Insotire/STP450S-H48-Nkh+_FR-FFAU6252867-935pcs .xlsx","Deschide sursa")</x:f>
        <x:v>HYPERLINK is not implemented. linkLocation=file:///Z:/00. Proiecte 2025/AFIR FotoVoltaic 1/15. Implementare Proiect Fotovoltaic/10.Neets-Suntech/Facturi si Serii si Avize de Insotire/STP450S-H48-Nkh+_FR-FFAU6252867-935pcs .xlsx, friendlyName=Deschide sursa</x:v>
      </x:c>
    </x:row>
    <x:row r="362" ht="50" customHeight="1">
      <x:c r="A362" s="8" t="str">
        <x:v>F0553</x:v>
      </x:c>
      <x:c r="B362" s="8" t="str">
        <x:v>STP450S-H48-Nkh+_FR-TXGU7791940-1.xlsx</x:v>
      </x:c>
      <x:c r="C362" s="8" t="str">
        <x:v>Implementare / documente suport</x:v>
      </x:c>
      <x:c r="D362" s="12" t="str"/>
      <x:c r="E362" s="11" t="str"/>
      <x:c r="F362" s="12" t="str"/>
      <x:c r="G362" s="11" t="str"/>
      <x:c r="H362" s="8" t="str"/>
      <x:c r="I362" s="8" t="str">
        <x:v>Document local; transmiterea individuală neconfirmată</x:v>
      </x:c>
      <x:c r="J362" s="8" t="str"/>
      <x:c r="K362" s="8" t="str">
        <x:v>Necesită citire vizuală / OCR / formular XFA</x:v>
      </x:c>
      <x:c r="L362" s="8" t="e">
        <x:f>HYPERLINK("file:///Z:/00. Proiecte 2025/AFIR FotoVoltaic 1/15. Implementare Proiect Fotovoltaic/10.Neets-Suntech/Facturi si Serii si Avize de Insotire/STP450S-H48-Nkh+_FR-TXGU7791940-1.xlsx","Deschide sursa")</x:f>
        <x:v>HYPERLINK is not implemented. linkLocation=file:///Z:/00. Proiecte 2025/AFIR FotoVoltaic 1/15. Implementare Proiect Fotovoltaic/10.Neets-Suntech/Facturi si Serii si Avize de Insotire/STP450S-H48-Nkh+_FR-TXGU7791940-1.xlsx, friendlyName=Deschide sursa</x:v>
      </x:c>
    </x:row>
    <x:row r="363" ht="50" customHeight="1">
      <x:c r="A363" s="8" t="str">
        <x:v>F0554</x:v>
      </x:c>
      <x:c r="B363" s="8" t="str">
        <x:v>STP450S-H48-Nkh+_FR-TXGU7791940-939pcs.xlsx</x:v>
      </x:c>
      <x:c r="C363" s="8" t="str">
        <x:v>Implementare / documente suport</x:v>
      </x:c>
      <x:c r="D363" s="12" t="str"/>
      <x:c r="E363" s="11" t="str"/>
      <x:c r="F363" s="12" t="str"/>
      <x:c r="G363" s="11" t="str"/>
      <x:c r="H363" s="8" t="str"/>
      <x:c r="I363" s="8" t="str">
        <x:v>Document local; transmiterea individuală neconfirmată</x:v>
      </x:c>
      <x:c r="J363" s="8" t="str"/>
      <x:c r="K363" s="8" t="str">
        <x:v>Necesită citire vizuală / OCR / formular XFA</x:v>
      </x:c>
      <x:c r="L363" s="8" t="e">
        <x:f>HYPERLINK("file:///Z:/00. Proiecte 2025/AFIR FotoVoltaic 1/15. Implementare Proiect Fotovoltaic/10.Neets-Suntech/Facturi si Serii si Avize de Insotire/STP450S-H48-Nkh+_FR-TXGU7791940-939pcs.xlsx","Deschide sursa")</x:f>
        <x:v>HYPERLINK is not implemented. linkLocation=file:///Z:/00. Proiecte 2025/AFIR FotoVoltaic 1/15. Implementare Proiect Fotovoltaic/10.Neets-Suntech/Facturi si Serii si Avize de Insotire/STP450S-H48-Nkh+_FR-TXGU7791940-939pcs.xlsx, friendlyName=Deschide sursa</x:v>
      </x:c>
    </x:row>
    <x:row r="364" ht="50" customHeight="1">
      <x:c r="A364" s="8" t="str">
        <x:v>F0555</x:v>
      </x:c>
      <x:c r="B364" s="8" t="str">
        <x:v>STP450S-H48-Nkh+_FR-YMLU8562482-1.xlsx</x:v>
      </x:c>
      <x:c r="C364" s="8" t="str">
        <x:v>Implementare / documente suport</x:v>
      </x:c>
      <x:c r="D364" s="12" t="str"/>
      <x:c r="E364" s="11" t="str"/>
      <x:c r="F364" s="12" t="str"/>
      <x:c r="G364" s="11" t="str"/>
      <x:c r="H364" s="8" t="str"/>
      <x:c r="I364" s="8" t="str">
        <x:v>Document local; transmiterea individuală neconfirmată</x:v>
      </x:c>
      <x:c r="J364" s="8" t="str"/>
      <x:c r="K364" s="8" t="str">
        <x:v>Necesită citire vizuală / OCR / formular XFA</x:v>
      </x:c>
      <x:c r="L364" s="8" t="e">
        <x:f>HYPERLINK("file:///Z:/00. Proiecte 2025/AFIR FotoVoltaic 1/15. Implementare Proiect Fotovoltaic/10.Neets-Suntech/Facturi si Serii si Avize de Insotire/STP450S-H48-Nkh+_FR-YMLU8562482-1.xlsx","Deschide sursa")</x:f>
        <x:v>HYPERLINK is not implemented. linkLocation=file:///Z:/00. Proiecte 2025/AFIR FotoVoltaic 1/15. Implementare Proiect Fotovoltaic/10.Neets-Suntech/Facturi si Serii si Avize de Insotire/STP450S-H48-Nkh+_FR-YMLU8562482-1.xlsx, friendlyName=Deschide sursa</x:v>
      </x:c>
    </x:row>
    <x:row r="365" ht="50" customHeight="1">
      <x:c r="A365" s="8" t="str">
        <x:v>F0556</x:v>
      </x:c>
      <x:c r="B365" s="8" t="str">
        <x:v>STP450S-H48-Nkh+_FR-YMLU8562482-939pcs.xlsx</x:v>
      </x:c>
      <x:c r="C365" s="8" t="str">
        <x:v>Implementare / documente suport</x:v>
      </x:c>
      <x:c r="D365" s="12" t="str"/>
      <x:c r="E365" s="11" t="str"/>
      <x:c r="F365" s="12" t="str"/>
      <x:c r="G365" s="11" t="str"/>
      <x:c r="H365" s="8" t="str"/>
      <x:c r="I365" s="8" t="str">
        <x:v>Document local; transmiterea individuală neconfirmată</x:v>
      </x:c>
      <x:c r="J365" s="8" t="str"/>
      <x:c r="K365" s="8" t="str">
        <x:v>Necesită citire vizuală / OCR / formular XFA</x:v>
      </x:c>
      <x:c r="L365" s="8" t="e">
        <x:f>HYPERLINK("file:///Z:/00. Proiecte 2025/AFIR FotoVoltaic 1/15. Implementare Proiect Fotovoltaic/10.Neets-Suntech/Facturi si Serii si Avize de Insotire/STP450S-H48-Nkh+_FR-YMLU8562482-939pcs.xlsx","Deschide sursa")</x:f>
        <x:v>HYPERLINK is not implemented. linkLocation=file:///Z:/00. Proiecte 2025/AFIR FotoVoltaic 1/15. Implementare Proiect Fotovoltaic/10.Neets-Suntech/Facturi si Serii si Avize de Insotire/STP450S-H48-Nkh+_FR-YMLU8562482-939pcs.xlsx, friendlyName=Deschide sursa</x:v>
      </x:c>
    </x:row>
    <x:row r="366" ht="50" customHeight="1">
      <x:c r="A366" s="8" t="str">
        <x:v>F0557</x:v>
      </x:c>
      <x:c r="B366" s="8" t="str">
        <x:v>STP450S-H48-Nkh+_toate seriiles.xlsx</x:v>
      </x:c>
      <x:c r="C366" s="8" t="str">
        <x:v>Implementare / documente suport</x:v>
      </x:c>
      <x:c r="D366" s="12" t="str"/>
      <x:c r="E366" s="11" t="str"/>
      <x:c r="F366" s="12" t="str"/>
      <x:c r="G366" s="11" t="str"/>
      <x:c r="H366" s="8" t="str"/>
      <x:c r="I366" s="8" t="str">
        <x:v>Document local; transmiterea individuală neconfirmată</x:v>
      </x:c>
      <x:c r="J366" s="8" t="str"/>
      <x:c r="K366" s="8" t="str">
        <x:v>Necesită citire vizuală / OCR / formular XFA</x:v>
      </x:c>
      <x:c r="L366" s="8" t="e">
        <x:f>HYPERLINK("file:///Z:/00. Proiecte 2025/AFIR FotoVoltaic 1/15. Implementare Proiect Fotovoltaic/10.Neets-Suntech/Facturi si Serii si Avize de Insotire/STP450S-H48-Nkh+_toate seriiles.xlsx","Deschide sursa")</x:f>
        <x:v>HYPERLINK is not implemented. linkLocation=file:///Z:/00. Proiecte 2025/AFIR FotoVoltaic 1/15. Implementare Proiect Fotovoltaic/10.Neets-Suntech/Facturi si Serii si Avize de Insotire/STP450S-H48-Nkh+_toate seriiles.xlsx, friendlyName=Deschide sursa</x:v>
      </x:c>
    </x:row>
    <x:row r="367" ht="50" customHeight="1">
      <x:c r="A367" s="8" t="str">
        <x:v>F0558</x:v>
      </x:c>
      <x:c r="B367" s="8" t="str">
        <x:v>STP450S-H48-Nth+_FR-BEAU4498368-939pcs.xlsx</x:v>
      </x:c>
      <x:c r="C367" s="8" t="str">
        <x:v>Implementare / documente suport</x:v>
      </x:c>
      <x:c r="D367" s="12" t="str"/>
      <x:c r="E367" s="11" t="str"/>
      <x:c r="F367" s="12" t="str"/>
      <x:c r="G367" s="11" t="str"/>
      <x:c r="H367" s="8" t="str"/>
      <x:c r="I367" s="8" t="str">
        <x:v>Document local; transmiterea individuală neconfirmată</x:v>
      </x:c>
      <x:c r="J367" s="8" t="str"/>
      <x:c r="K367" s="8" t="str">
        <x:v>Necesită citire vizuală / OCR / formular XFA</x:v>
      </x:c>
      <x:c r="L367" s="8" t="e">
        <x:f>HYPERLINK("file:///Z:/00. Proiecte 2025/AFIR FotoVoltaic 1/15. Implementare Proiect Fotovoltaic/10.Neets-Suntech/Facturi si Serii si Avize de Insotire/STP450S-H48-Nth+_FR-BEAU4498368-939pcs.xlsx","Deschide sursa")</x:f>
        <x:v>HYPERLINK is not implemented. linkLocation=file:///Z:/00. Proiecte 2025/AFIR FotoVoltaic 1/15. Implementare Proiect Fotovoltaic/10.Neets-Suntech/Facturi si Serii si Avize de Insotire/STP450S-H48-Nth+_FR-BEAU4498368-939pcs.xlsx, friendlyName=Deschide sursa</x:v>
      </x:c>
    </x:row>
    <x:row r="368" ht="50" customHeight="1">
      <x:c r="A368" s="8" t="str">
        <x:v>F0559</x:v>
      </x:c>
      <x:c r="B368" s="8" t="str">
        <x:v>STP450S-H48-Nth+_FR-TCNU1712047-939pcs.xlsx</x:v>
      </x:c>
      <x:c r="C368" s="8" t="str">
        <x:v>Implementare / documente suport</x:v>
      </x:c>
      <x:c r="D368" s="12" t="str"/>
      <x:c r="E368" s="11" t="str"/>
      <x:c r="F368" s="12" t="str"/>
      <x:c r="G368" s="11" t="str"/>
      <x:c r="H368" s="8" t="str"/>
      <x:c r="I368" s="8" t="str">
        <x:v>Document local; transmiterea individuală neconfirmată</x:v>
      </x:c>
      <x:c r="J368" s="8" t="str"/>
      <x:c r="K368" s="8" t="str">
        <x:v>Necesită citire vizuală / OCR / formular XFA</x:v>
      </x:c>
      <x:c r="L368" s="8" t="e">
        <x:f>HYPERLINK("file:///Z:/00. Proiecte 2025/AFIR FotoVoltaic 1/15. Implementare Proiect Fotovoltaic/10.Neets-Suntech/Facturi si Serii si Avize de Insotire/STP450S-H48-Nth+_FR-TCNU1712047-939pcs.xlsx","Deschide sursa")</x:f>
        <x:v>HYPERLINK is not implemented. linkLocation=file:///Z:/00. Proiecte 2025/AFIR FotoVoltaic 1/15. Implementare Proiect Fotovoltaic/10.Neets-Suntech/Facturi si Serii si Avize de Insotire/STP450S-H48-Nth+_FR-TCNU1712047-939pcs.xlsx, friendlyName=Deschide sursa</x:v>
      </x:c>
    </x:row>
    <x:row r="369" ht="50" customHeight="1">
      <x:c r="A369" s="8" t="str">
        <x:v>F0560</x:v>
      </x:c>
      <x:c r="B369" s="8" t="str">
        <x:v>STP450S-H48-Nth+_FR-YMMU6831992-939pcs.xlsx</x:v>
      </x:c>
      <x:c r="C369" s="8" t="str">
        <x:v>Implementare / documente suport</x:v>
      </x:c>
      <x:c r="D369" s="12" t="str"/>
      <x:c r="E369" s="11" t="str"/>
      <x:c r="F369" s="12" t="str"/>
      <x:c r="G369" s="11" t="str"/>
      <x:c r="H369" s="8" t="str"/>
      <x:c r="I369" s="8" t="str">
        <x:v>Document local; transmiterea individuală neconfirmată</x:v>
      </x:c>
      <x:c r="J369" s="8" t="str"/>
      <x:c r="K369" s="8" t="str">
        <x:v>Necesită citire vizuală / OCR / formular XFA</x:v>
      </x:c>
      <x:c r="L369" s="8" t="e">
        <x:f>HYPERLINK("file:///Z:/00. Proiecte 2025/AFIR FotoVoltaic 1/15. Implementare Proiect Fotovoltaic/10.Neets-Suntech/Facturi si Serii si Avize de Insotire/STP450S-H48-Nth+_FR-YMMU6831992-939pcs.xlsx","Deschide sursa")</x:f>
        <x:v>HYPERLINK is not implemented. linkLocation=file:///Z:/00. Proiecte 2025/AFIR FotoVoltaic 1/15. Implementare Proiect Fotovoltaic/10.Neets-Suntech/Facturi si Serii si Avize de Insotire/STP450S-H48-Nth+_FR-YMMU6831992-939pcs.xlsx, friendlyName=Deschide sursa</x:v>
      </x:c>
    </x:row>
    <x:row r="370" ht="50" customHeight="1">
      <x:c r="A370" s="8" t="str">
        <x:v>F0561</x:v>
      </x:c>
      <x:c r="B370" s="8" t="str">
        <x:v>STP500S-H54-Nfb+_FR-CMAU4743375-867pcs.xlsx</x:v>
      </x:c>
      <x:c r="C370" s="8" t="str">
        <x:v>Implementare / documente suport</x:v>
      </x:c>
      <x:c r="D370" s="12" t="str"/>
      <x:c r="E370" s="11" t="str"/>
      <x:c r="F370" s="12" t="str"/>
      <x:c r="G370" s="11" t="str"/>
      <x:c r="H370" s="8" t="str"/>
      <x:c r="I370" s="8" t="str">
        <x:v>Document local; transmiterea individuală neconfirmată</x:v>
      </x:c>
      <x:c r="J370" s="8" t="str"/>
      <x:c r="K370" s="8" t="str">
        <x:v>Necesită citire vizuală / OCR / formular XFA</x:v>
      </x:c>
      <x:c r="L370" s="8" t="e">
        <x:f>HYPERLINK("file:///Z:/00. Proiecte 2025/AFIR FotoVoltaic 1/15. Implementare Proiect Fotovoltaic/10.Neets-Suntech/Facturi si Serii si Avize de Insotire/STP500S-H54-Nfb+_FR-CMAU4743375-867pcs.xlsx","Deschide sursa")</x:f>
        <x:v>HYPERLINK is not implemented. linkLocation=file:///Z:/00. Proiecte 2025/AFIR FotoVoltaic 1/15. Implementare Proiect Fotovoltaic/10.Neets-Suntech/Facturi si Serii si Avize de Insotire/STP500S-H54-Nfb+_FR-CMAU4743375-867pcs.xlsx, friendlyName=Deschide sursa</x:v>
      </x:c>
    </x:row>
    <x:row r="371" ht="50" customHeight="1">
      <x:c r="A371" s="8" t="str">
        <x:v>F0562</x:v>
      </x:c>
      <x:c r="B371" s="8" t="str">
        <x:v>STP500S-H54-Nfb+_FR-TCNU3081758-867pcs.xlsx</x:v>
      </x:c>
      <x:c r="C371" s="8" t="str">
        <x:v>Implementare / documente suport</x:v>
      </x:c>
      <x:c r="D371" s="12" t="str"/>
      <x:c r="E371" s="11" t="str"/>
      <x:c r="F371" s="12" t="str"/>
      <x:c r="G371" s="11" t="str"/>
      <x:c r="H371" s="8" t="str"/>
      <x:c r="I371" s="8" t="str">
        <x:v>Document local; transmiterea individuală neconfirmată</x:v>
      </x:c>
      <x:c r="J371" s="8" t="str"/>
      <x:c r="K371" s="8" t="str">
        <x:v>Necesită citire vizuală / OCR / formular XFA</x:v>
      </x:c>
      <x:c r="L371" s="8" t="e">
        <x:f>HYPERLINK("file:///Z:/00. Proiecte 2025/AFIR FotoVoltaic 1/15. Implementare Proiect Fotovoltaic/10.Neets-Suntech/Facturi si Serii si Avize de Insotire/STP500S-H54-Nfb+_FR-TCNU3081758-867pcs.xlsx","Deschide sursa")</x:f>
        <x:v>HYPERLINK is not implemented. linkLocation=file:///Z:/00. Proiecte 2025/AFIR FotoVoltaic 1/15. Implementare Proiect Fotovoltaic/10.Neets-Suntech/Facturi si Serii si Avize de Insotire/STP500S-H54-Nfb+_FR-TCNU3081758-867pcs.xlsx, friendlyName=Deschide sursa</x:v>
      </x:c>
    </x:row>
    <x:row r="372" ht="50" customHeight="1">
      <x:c r="A372" s="8" t="str">
        <x:v>F0563</x:v>
      </x:c>
      <x:c r="B372" s="8" t="str">
        <x:v>STP710S-D66-NSh+_FR-HMMU4020366 .xls</x:v>
      </x:c>
      <x:c r="C372" s="8" t="str">
        <x:v>Implementare / documente suport</x:v>
      </x:c>
      <x:c r="D372" s="12" t="str"/>
      <x:c r="E372" s="11" t="str"/>
      <x:c r="F372" s="12" t="str"/>
      <x:c r="G372" s="11" t="str"/>
      <x:c r="H372" s="8" t="str"/>
      <x:c r="I372" s="8" t="str">
        <x:v>Document local; transmiterea individuală neconfirmată</x:v>
      </x:c>
      <x:c r="J372" s="8" t="str"/>
      <x:c r="K372" s="8" t="str">
        <x:v>Necesită citire vizuală / OCR / formular XFA</x:v>
      </x:c>
      <x:c r="L372" s="8" t="e">
        <x:f>HYPERLINK("file:///Z:/00. Proiecte 2025/AFIR FotoVoltaic 1/15. Implementare Proiect Fotovoltaic/10.Neets-Suntech/Facturi si Serii si Avize de Insotire/STP710S-D66-NSh+_FR-HMMU4020366 .xls","Deschide sursa")</x:f>
        <x:v>HYPERLINK is not implemented. linkLocation=file:///Z:/00. Proiecte 2025/AFIR FotoVoltaic 1/15. Implementare Proiect Fotovoltaic/10.Neets-Suntech/Facturi si Serii si Avize de Insotire/STP710S-D66-NSh+_FR-HMMU4020366 .xls, friendlyName=Deschide sursa</x:v>
      </x:c>
    </x:row>
    <x:row r="373" ht="50" customHeight="1">
      <x:c r="A373" s="8" t="str">
        <x:v>F0697</x:v>
      </x:c>
      <x:c r="B373" s="8" t="str">
        <x:v>WhatsApp Image 2026-05-14 at 10.53.06.zip</x:v>
      </x:c>
      <x:c r="C373" s="8" t="str">
        <x:v>Implementare / documente suport</x:v>
      </x:c>
      <x:c r="D373" s="12" t="str"/>
      <x:c r="E373" s="11" t="str"/>
      <x:c r="F373" s="12" t="str"/>
      <x:c r="G373" s="11" t="str"/>
      <x:c r="H373" s="8" t="str"/>
      <x:c r="I373" s="8" t="str">
        <x:v>Document local; transmiterea individuală neconfirmată</x:v>
      </x:c>
      <x:c r="J373" s="8" t="str"/>
      <x:c r="K373" s="8" t="str">
        <x:v>Necesită citire vizuală / OCR / formular XFA</x:v>
      </x:c>
      <x:c r="L373" s="8" t="e">
        <x:f>HYPERLINK("file:///Z:/00. Proiecte 2025/AFIR FotoVoltaic 1/15. Implementare Proiect Fotovoltaic/10.Neets-Suntech/Etichete panouri/Furate 1/WhatsApp Image 2026-05-14 at 10.53.06.zip","Deschide sursa")</x:f>
        <x:v>HYPERLINK is not implemented. linkLocation=file:///Z:/00. Proiecte 2025/AFIR FotoVoltaic 1/15. Implementare Proiect Fotovoltaic/10.Neets-Suntech/Etichete panouri/Furate 1/WhatsApp Image 2026-05-14 at 10.53.06.zip, friendlyName=Deschide sursa</x:v>
      </x:c>
    </x:row>
    <x:row r="374" ht="36" customHeight="1">
      <x:c r="A374" s="8" t="str">
        <x:v>F0732</x:v>
      </x:c>
      <x:c r="B374" s="8" t="str">
        <x:v>lista materiale parc PV 1MVA - 21.04.2026.xlsx</x:v>
      </x:c>
      <x:c r="C374" s="8" t="str">
        <x:v>Implementare / documente suport</x:v>
      </x:c>
      <x:c r="D374" s="12" t="str"/>
      <x:c r="E374" s="11" t="str"/>
      <x:c r="F374" s="12" t="str"/>
      <x:c r="G374" s="11" t="str"/>
      <x:c r="H374" s="8" t="str"/>
      <x:c r="I374" s="8" t="str">
        <x:v>Versiune de lucru / arhivă</x:v>
      </x:c>
      <x:c r="J374" s="8" t="str"/>
      <x:c r="K374" s="8" t="str">
        <x:v>Necesită citire vizuală / OCR / formular XFA</x:v>
      </x:c>
      <x:c r="L374" s="8" t="e">
        <x:f>HYPERLINK("file:///Z:/00. Proiecte 2025/AFIR FotoVoltaic 1/15. Implementare Proiect Fotovoltaic/30. Tablouri/Arhiva/lista materiale parc PV 1MVA - 21.04.2026.xlsx","Deschide sursa")</x:f>
        <x:v>HYPERLINK is not implemented. linkLocation=file:///Z:/00. Proiecte 2025/AFIR FotoVoltaic 1/15. Implementare Proiect Fotovoltaic/30. Tablouri/Arhiva/lista materiale parc PV 1MVA - 21.04.2026.xlsx, friendlyName=Deschide sursa</x:v>
      </x:c>
    </x:row>
    <x:row r="375" ht="36" customHeight="1">
      <x:c r="A375" s="8" t="str">
        <x:v>F0733</x:v>
      </x:c>
      <x:c r="B375" s="8" t="str">
        <x:v>Tablouri_PV_1MVA_2026.07.23.xlsx</x:v>
      </x:c>
      <x:c r="C375" s="8" t="str">
        <x:v>Implementare / documente suport</x:v>
      </x:c>
      <x:c r="D375" s="12" t="str"/>
      <x:c r="E375" s="11" t="str"/>
      <x:c r="F375" s="12" t="str"/>
      <x:c r="G375" s="11" t="str"/>
      <x:c r="H375" s="8" t="str"/>
      <x:c r="I375" s="8" t="str">
        <x:v>Versiune de lucru / arhivă</x:v>
      </x:c>
      <x:c r="J375" s="8" t="str"/>
      <x:c r="K375" s="8" t="str">
        <x:v>Necesită citire vizuală / OCR / formular XFA</x:v>
      </x:c>
      <x:c r="L375" s="8" t="e">
        <x:f>HYPERLINK("file:///Z:/00. Proiecte 2025/AFIR FotoVoltaic 1/15. Implementare Proiect Fotovoltaic/30. Tablouri/Arhiva/Tablouri_PV_1MVA_2026.07.23.xlsx","Deschide sursa")</x:f>
        <x:v>HYPERLINK is not implemented. linkLocation=file:///Z:/00. Proiecte 2025/AFIR FotoVoltaic 1/15. Implementare Proiect Fotovoltaic/30. Tablouri/Arhiva/Tablouri_PV_1MVA_2026.07.23.xlsx, friendlyName=Deschide sursa</x:v>
      </x:c>
    </x:row>
    <x:row r="376" ht="36" customHeight="1">
      <x:c r="A376" s="8" t="str">
        <x:v>F0734</x:v>
      </x:c>
      <x:c r="B376" s="8" t="str">
        <x:v>Tablou_General_TEG-PV_1MVA_10zone_2026.07.30.xlsx</x:v>
      </x:c>
      <x:c r="C376" s="8" t="str">
        <x:v>Implementare / documente suport</x:v>
      </x:c>
      <x:c r="D376" s="12" t="str"/>
      <x:c r="E376" s="11" t="str"/>
      <x:c r="F376" s="12" t="str"/>
      <x:c r="G376" s="11" t="str"/>
      <x:c r="H376" s="8" t="str"/>
      <x:c r="I376" s="8" t="str">
        <x:v>Versiune de lucru / arhivă</x:v>
      </x:c>
      <x:c r="J376" s="8" t="str"/>
      <x:c r="K376" s="8" t="str">
        <x:v>Necesită citire vizuală / OCR / formular XFA</x:v>
      </x:c>
      <x:c r="L376" s="8" t="e">
        <x:f>HYPERLINK("file:///Z:/00. Proiecte 2025/AFIR FotoVoltaic 1/15. Implementare Proiect Fotovoltaic/30. Tablouri/Arhiva/Tablou_General_TEG-PV_1MVA_10zone_2026.07.30.xlsx","Deschide sursa")</x:f>
        <x:v>HYPERLINK is not implemented. linkLocation=file:///Z:/00. Proiecte 2025/AFIR FotoVoltaic 1/15. Implementare Proiect Fotovoltaic/30. Tablouri/Arhiva/Tablou_General_TEG-PV_1MVA_10zone_2026.07.30.xlsx, friendlyName=Deschide sursa</x:v>
      </x:c>
    </x:row>
    <x:row r="377" ht="36" customHeight="1">
      <x:c r="A377" s="8" t="str">
        <x:v>F0735</x:v>
      </x:c>
      <x:c r="B377" s="8" t="str">
        <x:v>Tablou_General_TEG-PV_1MVA_10zone_2026.07.31.xlsx</x:v>
      </x:c>
      <x:c r="C377" s="8" t="str">
        <x:v>Implementare / documente suport</x:v>
      </x:c>
      <x:c r="D377" s="12" t="str"/>
      <x:c r="E377" s="11" t="str"/>
      <x:c r="F377" s="12" t="str"/>
      <x:c r="G377" s="11" t="str"/>
      <x:c r="H377" s="8" t="str"/>
      <x:c r="I377" s="8" t="str">
        <x:v>Versiune de lucru / arhivă</x:v>
      </x:c>
      <x:c r="J377" s="8" t="str"/>
      <x:c r="K377" s="8" t="str">
        <x:v>Necesită citire vizuală / OCR / formular XFA</x:v>
      </x:c>
      <x:c r="L377" s="8" t="e">
        <x:f>HYPERLINK("file:///Z:/00. Proiecte 2025/AFIR FotoVoltaic 1/15. Implementare Proiect Fotovoltaic/30. Tablouri/Arhiva/Tablou_General_TEG-PV_1MVA_10zone_2026.07.31.xlsx","Deschide sursa")</x:f>
        <x:v>HYPERLINK is not implemented. linkLocation=file:///Z:/00. Proiecte 2025/AFIR FotoVoltaic 1/15. Implementare Proiect Fotovoltaic/30. Tablouri/Arhiva/Tablou_General_TEG-PV_1MVA_10zone_2026.07.31.xlsx, friendlyName=Deschide sursa</x:v>
      </x:c>
    </x:row>
    <x:row r="378" ht="50" customHeight="1">
      <x:c r="A378" s="8" t="str">
        <x:v>F0736</x:v>
      </x:c>
      <x:c r="B378" s="8" t="str">
        <x:v>Tablou_General_TEG-PV_1MVA_10zone_MINIMAL_3variante_2026.07.31.xlsx</x:v>
      </x:c>
      <x:c r="C378" s="8" t="str">
        <x:v>Implementare / documente suport</x:v>
      </x:c>
      <x:c r="D378" s="12" t="str"/>
      <x:c r="E378" s="11" t="str"/>
      <x:c r="F378" s="12" t="str"/>
      <x:c r="G378" s="11" t="str"/>
      <x:c r="H378" s="8" t="str"/>
      <x:c r="I378" s="8" t="str">
        <x:v>Versiune de lucru / arhivă</x:v>
      </x:c>
      <x:c r="J378" s="8" t="str"/>
      <x:c r="K378" s="8" t="str">
        <x:v>Necesită citire vizuală / OCR / formular XFA</x:v>
      </x:c>
      <x:c r="L378" s="8" t="e">
        <x:f>HYPERLINK("file:///Z:/00. Proiecte 2025/AFIR FotoVoltaic 1/15. Implementare Proiect Fotovoltaic/30. Tablouri/Arhiva/Tablou_General_TEG-PV_1MVA_10zone_MINIMAL_3variante_2026.07.31.xlsx","Deschide sursa")</x:f>
        <x:v>HYPERLINK is not implemented. linkLocation=file:///Z:/00. Proiecte 2025/AFIR FotoVoltaic 1/15. Implementare Proiect Fotovoltaic/30. Tablouri/Arhiva/Tablou_General_TEG-PV_1MVA_10zone_MINIMAL_3variante_2026.07.31.xlsx, friendlyName=Deschide sursa</x:v>
      </x:c>
    </x:row>
    <x:row r="379" ht="36" customHeight="1">
      <x:c r="A379" s="8" t="str">
        <x:v>F0737</x:v>
      </x:c>
      <x:c r="B379" s="8" t="str">
        <x:v>Tablou_General_TEG-PV_1MVA_10zone_SPARTAN_v2_2026.07.31.xlsx</x:v>
      </x:c>
      <x:c r="C379" s="8" t="str">
        <x:v>Implementare / documente suport</x:v>
      </x:c>
      <x:c r="D379" s="12" t="str"/>
      <x:c r="E379" s="11" t="str"/>
      <x:c r="F379" s="12" t="str"/>
      <x:c r="G379" s="11" t="str"/>
      <x:c r="H379" s="8" t="str"/>
      <x:c r="I379" s="8" t="str">
        <x:v>Versiune de lucru / arhivă</x:v>
      </x:c>
      <x:c r="J379" s="8" t="str"/>
      <x:c r="K379" s="8" t="str">
        <x:v>Necesită citire vizuală / OCR / formular XFA</x:v>
      </x:c>
      <x:c r="L379" s="8" t="e">
        <x:f>HYPERLINK("file:///Z:/00. Proiecte 2025/AFIR FotoVoltaic 1/15. Implementare Proiect Fotovoltaic/30. Tablouri/Arhiva/Tablou_General_TEG-PV_1MVA_10zone_SPARTAN_v2_2026.07.31.xlsx","Deschide sursa")</x:f>
        <x:v>HYPERLINK is not implemented. linkLocation=file:///Z:/00. Proiecte 2025/AFIR FotoVoltaic 1/15. Implementare Proiect Fotovoltaic/30. Tablouri/Arhiva/Tablou_General_TEG-PV_1MVA_10zone_SPARTAN_v2_2026.07.31.xlsx, friendlyName=Deschide sursa</x:v>
      </x:c>
    </x:row>
    <x:row r="380" ht="36" customHeight="1">
      <x:c r="A380" s="8" t="str">
        <x:v>F0738</x:v>
      </x:c>
      <x:c r="B380" s="8" t="str">
        <x:v>Tablou_General_TEG-PV_1MVA_10zone_V3_avizabil_2026.07.31.xlsx</x:v>
      </x:c>
      <x:c r="C380" s="8" t="str">
        <x:v>Implementare / documente suport</x:v>
      </x:c>
      <x:c r="D380" s="12" t="str"/>
      <x:c r="E380" s="11" t="str"/>
      <x:c r="F380" s="12" t="str"/>
      <x:c r="G380" s="11" t="str"/>
      <x:c r="H380" s="8" t="str"/>
      <x:c r="I380" s="8" t="str">
        <x:v>Versiune de lucru / arhivă</x:v>
      </x:c>
      <x:c r="J380" s="8" t="str"/>
      <x:c r="K380" s="8" t="str">
        <x:v>Necesită citire vizuală / OCR / formular XFA</x:v>
      </x:c>
      <x:c r="L380" s="8" t="e">
        <x:f>HYPERLINK("file:///Z:/00. Proiecte 2025/AFIR FotoVoltaic 1/15. Implementare Proiect Fotovoltaic/30. Tablouri/Arhiva/Tablou_General_TEG-PV_1MVA_10zone_V3_avizabil_2026.07.31.xlsx","Deschide sursa")</x:f>
        <x:v>HYPERLINK is not implemented. linkLocation=file:///Z:/00. Proiecte 2025/AFIR FotoVoltaic 1/15. Implementare Proiect Fotovoltaic/30. Tablouri/Arhiva/Tablou_General_TEG-PV_1MVA_10zone_V3_avizabil_2026.07.31.xlsx, friendlyName=Deschide sursa</x:v>
      </x:c>
    </x:row>
    <x:row r="381" ht="274" customHeight="1">
      <x:c r="A381" s="8" t="str">
        <x:v>F0745</x:v>
      </x:c>
      <x:c r="B381" s="8" t="str">
        <x:v>Act Adițional.docx</x:v>
      </x:c>
      <x:c r="C381" s="8" t="str">
        <x:v>Modificare contract</x:v>
      </x:c>
      <x:c r="D381" s="12" t="str"/>
      <x:c r="E381" s="11" t="str"/>
      <x:c r="F381" s="12" t="str"/>
      <x:c r="G381" s="11" t="str"/>
      <x:c r="H381" s="8" t="str"/>
      <x:c r="I381" s="8" t="str">
        <x:v>Versiune de lucru / arhivă</x:v>
      </x:c>
      <x:c r="J381" s="8" t="str">
        <x:v>nr. 275/01.02.2024, respectiv nr. înreg. CESIRO PRODUCTION SRL 05/01.02.2024
nr. 275/01.02.2024, respectiv nr. înregistrare CESIRO PRODUCTION SRL 05/01.02.2024, încheiat între SUNTREE SOLAR TECH SRL și CESIRO PRODUCTION SRL, având ca obiect
nr. CFMSES011011372801030, aferent proiectului menționat mai sus, finanțat prin Fondul pentru Modernizare – Schema de ajutor de stat privind sprijinirea investiții
nr. 275/01.02.2024, Părțile au stabilit realizarea unui sistem fotovoltaic cu puterea instalată de 999,780 kWp, cu echipamente, lucrări de montare/instalare și pun
nr. CFMSES011011372801030, ale Ghidului solicitantului, ale instrucțiunilor aplicabile și ale Îndrumarului metodologic privind achizițiile efectuate de beneficiari
nr. 275/01.02.2024, respectiv în anexele tehnice ale acestuia, prin înlocuirea unor echipamente componente ale sistemului fotovoltaic, după cum urmează:
nr. 275/01.02.2024.
nr. 275/01.02.2024, cu documentația tehnică aplicabilă și cu prevederile legale incidente.
nr. CFMSES011011372801030, inclusiv obligațiile privind durabilitatea investiției, exploatarea, mentenanța, autoconsumul, păstrarea documentelor și punerea documen
nr. 275/01.02.2024, respectiv nr. înregistrare CESIRO PRODUCTION SRL 05/01.02.2024, care nu sunt modificate expres prin prezentul act adițional, rămân neschimbate
nr. CFMSES011011372801030, documentația aprobată a proiectului, instrucțiunile aplicabile finanțării și legislația română în vigoare.</x:v>
      </x:c>
      <x:c r="K381" s="8" t="str">
        <x:v>Text extras; numerele din referințe sunt în coloana separată</x:v>
      </x:c>
      <x:c r="L381" s="8" t="e">
        <x:f>HYPERLINK("file:///Z:/00. Proiecte 2025/AFIR FotoVoltaic 1/16.1 Act aditional 1/DRAFT/Act Adițional.docx","Deschide sursa")</x:f>
        <x:v>HYPERLINK is not implemented. linkLocation=file:///Z:/00. Proiecte 2025/AFIR FotoVoltaic 1/16.1 Act aditional 1/DRAFT/Act Adițional.docx, friendlyName=Deschide sursa</x:v>
      </x:c>
    </x:row>
    <x:row r="382" ht="92" customHeight="1">
      <x:c r="A382" s="8" t="str">
        <x:v>F0746</x:v>
      </x:c>
      <x:c r="B382" s="8" t="str">
        <x:v>Confirmare Tehnico-Comercială.docx</x:v>
      </x:c>
      <x:c r="C382" s="8" t="str">
        <x:v>Modificare contract</x:v>
      </x:c>
      <x:c r="D382" s="12" t="str"/>
      <x:c r="E382" s="11" t="str"/>
      <x:c r="F382" s="12" t="str"/>
      <x:c r="G382" s="11" t="str"/>
      <x:c r="H382" s="8" t="str"/>
      <x:c r="I382" s="8" t="str">
        <x:v>Versiune de lucru / arhivă</x:v>
      </x:c>
      <x:c r="J382" s="8" t="str">
        <x:v>Nr. Reg. Com.: J2019004293408
NRC.J2019004293408
nr. 17, Sector 2, București
Nr. Reg. Com.: J2022000817017
Nr. Reg. Com.: J01/1328/2021 / J2021001328014
nr. CFMSES011011372801030.</x:v>
      </x:c>
      <x:c r="K382" s="8" t="str">
        <x:v>Text extras; numerele din referințe sunt în coloana separată</x:v>
      </x:c>
      <x:c r="L382" s="8" t="e">
        <x:f>HYPERLINK("file:///Z:/00. Proiecte 2025/AFIR FotoVoltaic 1/16.1 Act aditional 1/DRAFT/Confirmare Tehnico-Comercială.docx","Deschide sursa")</x:f>
        <x:v>HYPERLINK is not implemented. linkLocation=file:///Z:/00. Proiecte 2025/AFIR FotoVoltaic 1/16.1 Act aditional 1/DRAFT/Confirmare Tehnico-Comercială.docx, friendlyName=Deschide sursa</x:v>
      </x:c>
    </x:row>
    <x:row r="383" ht="92" customHeight="1">
      <x:c r="A383" s="8" t="str">
        <x:v>F0747</x:v>
      </x:c>
      <x:c r="B383" s="8" t="str">
        <x:v>Confirmare Tehnico-Comercială.pdf</x:v>
      </x:c>
      <x:c r="C383" s="8" t="str">
        <x:v>Modificare contract</x:v>
      </x:c>
      <x:c r="D383" s="12" t="str"/>
      <x:c r="E383" s="11" t="str"/>
      <x:c r="F383" s="12" t="str"/>
      <x:c r="G383" s="11" t="str"/>
      <x:c r="H383" s="8" t="str"/>
      <x:c r="I383" s="8" t="str">
        <x:v>Versiune de lucru / arhivă</x:v>
      </x:c>
      <x:c r="J383" s="8" t="str">
        <x:v>Nr . Reg. Com.: J2019004293408
NRC.J2019004293408
nr . 17, Sector 2, București
Nr . Reg. Com.: J2022000817017
Nr . Reg. Com.: J01/1328/2021 / J2021001328014
nr . CFMSES011011372801030.</x:v>
      </x:c>
      <x:c r="K383" s="8" t="str">
        <x:v>Text extras; numerele din referințe sunt în coloana separată</x:v>
      </x:c>
      <x:c r="L383" s="8" t="e">
        <x:f>HYPERLINK("file:///Z:/00. Proiecte 2025/AFIR FotoVoltaic 1/16.1 Act aditional 1/DRAFT/Confirmare Tehnico-Comercială.pdf","Deschide sursa")</x:f>
        <x:v>HYPERLINK is not implemented. linkLocation=file:///Z:/00. Proiecte 2025/AFIR FotoVoltaic 1/16.1 Act aditional 1/DRAFT/Confirmare Tehnico-Comercială.pdf, friendlyName=Deschide sursa</x:v>
      </x:c>
    </x:row>
    <x:row r="384" ht="36" customHeight="1">
      <x:c r="A384" s="8" t="str">
        <x:v>F0748</x:v>
      </x:c>
      <x:c r="B384" s="8" t="str">
        <x:v>Formular C3.1 Nota Explicativa Modificare Contract De Finantare.docx</x:v>
      </x:c>
      <x:c r="C384" s="8" t="str">
        <x:v>Modificare contract</x:v>
      </x:c>
      <x:c r="D384" s="12" t="str"/>
      <x:c r="E384" s="11" t="str"/>
      <x:c r="F384" s="12" t="str"/>
      <x:c r="G384" s="11" t="str"/>
      <x:c r="H384" s="8" t="str"/>
      <x:c r="I384" s="8" t="str">
        <x:v>Versiune de lucru / arhivă</x:v>
      </x:c>
      <x:c r="J384" s="8" t="str">
        <x:v>nr. 1 | Act adiţional nr. 2 | Bugetul revizuit</x:v>
      </x:c>
      <x:c r="K384" s="8" t="str">
        <x:v>Text extras; numerele din referințe sunt în coloana separată</x:v>
      </x:c>
      <x:c r="L384" s="8" t="e">
        <x:f>HYPERLINK("file:///Z:/00. Proiecte 2025/AFIR FotoVoltaic 1/16.1 Act aditional 1/DRAFT/Formular C3.1 Nota Explicativa Modificare Contract De Finantare.docx","Deschide sursa")</x:f>
        <x:v>HYPERLINK is not implemented. linkLocation=file:///Z:/00. Proiecte 2025/AFIR FotoVoltaic 1/16.1 Act aditional 1/DRAFT/Formular C3.1 Nota Explicativa Modificare Contract De Finantare.docx, friendlyName=Deschide sursa</x:v>
      </x:c>
    </x:row>
    <x:row r="385" ht="162" customHeight="1">
      <x:c r="A385" s="8" t="str">
        <x:v>F0749</x:v>
      </x:c>
      <x:c r="B385" s="8" t="str">
        <x:v>Memoriu Justificativ.docx</x:v>
      </x:c>
      <x:c r="C385" s="8" t="str">
        <x:v>Modificare contract</x:v>
      </x:c>
      <x:c r="D385" s="12" t="str"/>
      <x:c r="E385" s="11" t="str"/>
      <x:c r="F385" s="12" t="str"/>
      <x:c r="G385" s="11" t="str"/>
      <x:c r="H385" s="8" t="str"/>
      <x:c r="I385" s="8" t="str">
        <x:v>Versiune de lucru / arhivă</x:v>
      </x:c>
      <x:c r="J385" s="8" t="str">
        <x:v>nr. 275/01.02.2024 și al Contractului de finanțare nr. CFMSES011011372801030
Nr. ONRC: J2021001328014
nr. 275/01.02.2024, respectiv nr. înregistrare CESIRO PRODUCTION SRL 05/01.02.2024
nr. CFMSES011011372801030, în vederea fundamentării actualizării punctuale a soluției tehnice aferente sistemului fotovoltaic cu puterea instalată aprobată de 999,
nr. 275/01.02.2024.
nr. CFMSES011011372801030.
nr. 275/01.02.2024, respectiv nr. înregistrare CESIRO PRODUCTION SRL 05/01.02.2024.
nr. 275/01.02.2024. Valoarea contractului rămâne neschimbată, respectiv 4.885.057,20 lei fără TVA.
nr. 275/01.02.2024. Obiectul principal rămâne același: furnizarea, montarea, instalarea, testarea și punerea în funcțiune a unui sistem fotovoltaic cu puterea inst</x:v>
      </x:c>
      <x:c r="K385" s="8" t="str">
        <x:v>Text extras; numerele din referințe sunt în coloana separată</x:v>
      </x:c>
      <x:c r="L385" s="8" t="e">
        <x:f>HYPERLINK("file:///Z:/00. Proiecte 2025/AFIR FotoVoltaic 1/16.1 Act aditional 1/DRAFT/Memoriu Justificativ.docx","Deschide sursa")</x:f>
        <x:v>HYPERLINK is not implemented. linkLocation=file:///Z:/00. Proiecte 2025/AFIR FotoVoltaic 1/16.1 Act aditional 1/DRAFT/Memoriu Justificativ.docx, friendlyName=Deschide sursa</x:v>
      </x:c>
    </x:row>
    <x:row r="386" ht="134" customHeight="1">
      <x:c r="A386" s="8" t="str">
        <x:v>F0750</x:v>
      </x:c>
      <x:c r="B386" s="8" t="str">
        <x:v>Memoriu_Justificativ_Consolidat_CESIRO.docx</x:v>
      </x:c>
      <x:c r="C386" s="8" t="str">
        <x:v>Modificare contract</x:v>
      </x:c>
      <x:c r="D386" s="12" t="str"/>
      <x:c r="E386" s="11" t="str"/>
      <x:c r="F386" s="12" t="str"/>
      <x:c r="G386" s="11" t="str"/>
      <x:c r="H386" s="8" t="str"/>
      <x:c r="I386" s="8" t="str">
        <x:v>Versiune de lucru / arhivă</x:v>
      </x:c>
      <x:c r="J386" s="8" t="str">
        <x:v>Nr. ONRC: J2021001328014
nr. 275/01.02.2024 (nr. înregistrare CESIRO PRODUCTION SRL 05/01.02.2024)
nr. CFMSES011011372801030, în vederea fundamentării tehnice, comerciale și financiare a actualizării punctuale a soluției tehnice aferente sistemului fotovoltaic c
nr. CFMSES011011372801030. Obiectivul proiectului este realizarea unei capacități noi de producere a energiei electrice din surse regenerabile solare, cu putere in
nr. 275/01.02.2024 (nr. înregistrare CESIRO PRODUCTION SRL 05/01.02.2024), având ca obiect furnizarea, montarea/instalarea și punerea în funcțiune a instalațiilor
Nr. de bucati | 20 | 2</x:v>
      </x:c>
      <x:c r="K386" s="8" t="str">
        <x:v>Text extras; numerele din referințe sunt în coloana separată</x:v>
      </x:c>
      <x:c r="L386" s="8" t="e">
        <x:f>HYPERLINK("file:///Z:/00. Proiecte 2025/AFIR FotoVoltaic 1/16.1 Act aditional 1/DRAFT/Memoriu_Justificativ_Consolidat_CESIRO.docx","Deschide sursa")</x:f>
        <x:v>HYPERLINK is not implemented. linkLocation=file:///Z:/00. Proiecte 2025/AFIR FotoVoltaic 1/16.1 Act aditional 1/DRAFT/Memoriu_Justificativ_Consolidat_CESIRO.docx, friendlyName=Deschide sursa</x:v>
      </x:c>
    </x:row>
    <x:row r="387" ht="162" customHeight="1">
      <x:c r="A387" s="8" t="str">
        <x:v>F0751</x:v>
      </x:c>
      <x:c r="B387" s="8" t="str">
        <x:v>Notificare tehnică.docx</x:v>
      </x:c>
      <x:c r="C387" s="8" t="str">
        <x:v>Modificare contract</x:v>
      </x:c>
      <x:c r="D387" s="12" t="str"/>
      <x:c r="E387" s="11" t="str"/>
      <x:c r="F387" s="12" t="str"/>
      <x:c r="G387" s="11" t="str"/>
      <x:c r="H387" s="8" t="str"/>
      <x:c r="I387" s="8" t="str">
        <x:v>Versiune de lucru / arhivă</x:v>
      </x:c>
      <x:c r="J387" s="8" t="str">
        <x:v>nr. 14
Nr. ONRC: J01/817/2022
Nr. ONRC: J2021001328014
nr. 275/01.02.2024
nr. 275/01.02.2024, respectiv nr. înregistrare CESIRO PRODUCTION SRL 05/01.02.2024, având ca obiect furnizarea, montarea/instalarea și punerea în funcțiune a insta
nr. CFMSES011011372801030, având în vedere că sistemul contractat trebuie să asigure o putere instalată de 999,780 kWp, funcție de stocare integrată, monitorizare,
nr. 275/01.02.2024, SUNTREE SOLAR TECH SRL s-a obligat să furnizeze, să monteze/instaleze și să pună în funcțiune un sistem fotovoltaic cu puterea instalată de 999
nr. 275/01.02.2024.</x:v>
      </x:c>
      <x:c r="K387" s="8" t="str">
        <x:v>Text extras; numerele din referințe sunt în coloana separată</x:v>
      </x:c>
      <x:c r="L387" s="8" t="e">
        <x:f>HYPERLINK("file:///Z:/00. Proiecte 2025/AFIR FotoVoltaic 1/16.1 Act aditional 1/DRAFT/Notificare tehnică.docx","Deschide sursa")</x:f>
        <x:v>HYPERLINK is not implemented. linkLocation=file:///Z:/00. Proiecte 2025/AFIR FotoVoltaic 1/16.1 Act aditional 1/DRAFT/Notificare tehnică.docx, friendlyName=Deschide sursa</x:v>
      </x:c>
    </x:row>
    <x:row r="388" ht="162" customHeight="1">
      <x:c r="A388" s="8" t="str">
        <x:v>F0752</x:v>
      </x:c>
      <x:c r="B388" s="8" t="str">
        <x:v>Punct de vedere tehnic.docx</x:v>
      </x:c>
      <x:c r="C388" s="8" t="str">
        <x:v>Modificare contract</x:v>
      </x:c>
      <x:c r="D388" s="12" t="str"/>
      <x:c r="E388" s="11" t="str"/>
      <x:c r="F388" s="12" t="str"/>
      <x:c r="G388" s="11" t="str"/>
      <x:c r="H388" s="8" t="str"/>
      <x:c r="I388" s="8" t="str">
        <x:v>Versiune de lucru / arhivă</x:v>
      </x:c>
      <x:c r="J388" s="8" t="str">
        <x:v>Nr. 3 CUI RO 30332737
nregistrare. 45050734 ; Nr. Înmatriculare, J01/1328/2021 ;
NRC.J01/1328/2021
nr. 275/01.02.2024, respectiv nr. înregistrare CESIRO PRODUCTION SRL 05/01.02.2024
nr. 907/2016
nr. CFMSES011011372801030;
nr. 275/01.02.2024, respectiv nr. înregistrare CESIRO PRODUCTION SRL 05/01.02.2024;
nr. 907/2016;
nr. 10/1995 privind calitatea în construcții, republicată, cu modificările și completările ulterioare;
nr. 907/2016 privind etapele de elaborare și conținutul-cadru al documentațiilor tehnico-economice aferente obiectivelor/proiectelor de investiții finanțate din fo</x:v>
      </x:c>
      <x:c r="K388" s="8" t="str">
        <x:v>Text extras; numerele din referințe sunt în coloana separată</x:v>
      </x:c>
      <x:c r="L388" s="8" t="e">
        <x:f>HYPERLINK("file:///Z:/00. Proiecte 2025/AFIR FotoVoltaic 1/16.1 Act aditional 1/DRAFT/Punct de vedere tehnic.docx","Deschide sursa")</x:f>
        <x:v>HYPERLINK is not implemented. linkLocation=file:///Z:/00. Proiecte 2025/AFIR FotoVoltaic 1/16.1 Act aditional 1/DRAFT/Punct de vedere tehnic.docx, friendlyName=Deschide sursa</x:v>
      </x:c>
    </x:row>
    <x:row r="389" ht="176" customHeight="1">
      <x:c r="A389" s="8" t="str">
        <x:v>F0753</x:v>
      </x:c>
      <x:c r="B389" s="8" t="str">
        <x:v>Referat_proiectant_CESIRO (1).docx</x:v>
      </x:c>
      <x:c r="C389" s="8" t="str">
        <x:v>Modificare contract</x:v>
      </x:c>
      <x:c r="D389" s="12" t="str"/>
      <x:c r="E389" s="11" t="str"/>
      <x:c r="F389" s="12" t="str"/>
      <x:c r="G389" s="11" t="str"/>
      <x:c r="H389" s="8" t="str"/>
      <x:c r="I389" s="8" t="str">
        <x:v>Versiune de lucru / arhivă</x:v>
      </x:c>
      <x:c r="J389" s="8" t="str">
        <x:v>nr. 10/1995 privind calitatea în construcții, republicată, cu modificările și completările ulterioare;
nr. 907/2016 privind etapele de elaborare și conținutul-cadru al documentațiilor tehnico-economice aferente obiectivelor de investiții;
nr. CFMSES011011372801030 și anexele acestuia;
nr. 265/12.01.2024 și contractul de achiziție/furnizare nr. 275/01.02.2024 SUNTREE SOLAR TECH S.R.L. – CESIRO PRODUCTION S.R.L.;
nregistrare CUI | 45050734
nr. 5, jud. Alba, cod 510040
nr. CFMSES011011372801030
nr. 907/2016
nr. 275/01.02.2024 SUNTREE SOLAR TECH S.R.L. – CESIRO PRODUCTION S.R.L.
Nr de bucati. | 20 | 2 | identic</x:v>
      </x:c>
      <x:c r="K389" s="8" t="str">
        <x:v>Text extras; numerele din referințe sunt în coloana separată</x:v>
      </x:c>
      <x:c r="L389" s="8" t="e">
        <x:f>HYPERLINK("file:///Z:/00. Proiecte 2025/AFIR FotoVoltaic 1/16.1 Act aditional 1/DRAFT/Referat_proiectant_CESIRO (1).docx","Deschide sursa")</x:f>
        <x:v>HYPERLINK is not implemented. linkLocation=file:///Z:/00. Proiecte 2025/AFIR FotoVoltaic 1/16.1 Act aditional 1/DRAFT/Referat_proiectant_CESIRO (1).docx, friendlyName=Deschide sursa</x:v>
      </x:c>
    </x:row>
    <x:row r="390" ht="134" customHeight="1">
      <x:c r="A390" s="8" t="str">
        <x:v>F0754</x:v>
      </x:c>
      <x:c r="B390" s="8" t="str">
        <x:v>Solicitare de verificare și aprobare actualizare tehnică.docx</x:v>
      </x:c>
      <x:c r="C390" s="8" t="str">
        <x:v>Modificare contract</x:v>
      </x:c>
      <x:c r="D390" s="12" t="str"/>
      <x:c r="E390" s="11" t="str"/>
      <x:c r="F390" s="12" t="str"/>
      <x:c r="G390" s="11" t="str"/>
      <x:c r="H390" s="8" t="str"/>
      <x:c r="I390" s="8" t="str">
        <x:v>Versiune de lucru / arhivă</x:v>
      </x:c>
      <x:c r="J390" s="8" t="str">
        <x:v>nr. CFMSES011011372801030
nr. CFMSES011011372801030, aferent proiectului „ IMPLEMENTAREA SISTEMULUI FOTOVOLTAIC 1 MW PENTRU AUTOCONSUM PENTRU FABRICA DE PRELUCRARE A NUCILOR, ALUNELOR, PIST
nr. CFMSES011011372801030 are ca obiect acordarea ajutorului de stat pentru implementarea proiectului „IMPLEMENTAREA SISTEMULUI FOTOVOLTAIC 1 MW PENTRU AUTOCONSUM
nr. 275/01.02.2024. Contractul are ca obiect furnizarea și punerea în funcțiune a instalațiilor/echipamentelor necesare construirii unei capacități noi de producți
nr. CFMSES011011372801030, aceasta poate fi operată prin act adițional la contractul de achiziție/furnizare, fără a fi necesară modificarea contractului de finanța</x:v>
      </x:c>
      <x:c r="K390" s="8" t="str">
        <x:v>Text extras; numerele din referințe sunt în coloana separată</x:v>
      </x:c>
      <x:c r="L390" s="8" t="e">
        <x:f>HYPERLINK("file:///Z:/00. Proiecte 2025/AFIR FotoVoltaic 1/16.1 Act aditional 1/DRAFT/Solicitare de verificare și aprobare actualizare tehnică.docx","Deschide sursa")</x:f>
        <x:v>HYPERLINK is not implemented. linkLocation=file:///Z:/00. Proiecte 2025/AFIR FotoVoltaic 1/16.1 Act aditional 1/DRAFT/Solicitare de verificare și aprobare actualizare tehnică.docx, friendlyName=Deschide sursa</x:v>
      </x:c>
    </x:row>
    <x:row r="391" ht="36" customHeight="1">
      <x:c r="A391" s="8" t="str">
        <x:v>F0755</x:v>
      </x:c>
      <x:c r="B391" s="8" t="str">
        <x:v>Studiu Justificativ Aprofundat.docx</x:v>
      </x:c>
      <x:c r="C391" s="8" t="str">
        <x:v>Modificare contract</x:v>
      </x:c>
      <x:c r="D391" s="12" t="str"/>
      <x:c r="E391" s="11" t="str"/>
      <x:c r="F391" s="12" t="str"/>
      <x:c r="G391" s="11" t="str"/>
      <x:c r="H391" s="8" t="str"/>
      <x:c r="I391" s="8" t="str">
        <x:v>Versiune de lucru / arhivă</x:v>
      </x:c>
      <x:c r="J391" s="8" t="str">
        <x:v>nr. 275/01.02.2024, respectiv nr. înregistrare CESIRO PRODUCTION SRL 05/01.02.2024</x:v>
      </x:c>
      <x:c r="K391" s="8" t="str">
        <x:v>Text extras; numerele din referințe sunt în coloana separată</x:v>
      </x:c>
      <x:c r="L391" s="8" t="e">
        <x:f>HYPERLINK("file:///Z:/00. Proiecte 2025/AFIR FotoVoltaic 1/16.1 Act aditional 1/DRAFT/Studiu Justificativ Aprofundat.docx","Deschide sursa")</x:f>
        <x:v>HYPERLINK is not implemented. linkLocation=file:///Z:/00. Proiecte 2025/AFIR FotoVoltaic 1/16.1 Act aditional 1/DRAFT/Studiu Justificativ Aprofundat.docx, friendlyName=Deschide sursa</x:v>
      </x:c>
    </x:row>
    <x:row r="392" ht="36" customHeight="1">
      <x:c r="A392" s="8" t="str">
        <x:v>F0756</x:v>
      </x:c>
      <x:c r="B392" s="8" t="str">
        <x:v>Studiu Justificativ Aprofundat.pdf</x:v>
      </x:c>
      <x:c r="C392" s="8" t="str">
        <x:v>Modificare contract</x:v>
      </x:c>
      <x:c r="D392" s="12" t="str"/>
      <x:c r="E392" s="11" t="str"/>
      <x:c r="F392" s="12" t="str"/>
      <x:c r="G392" s="11" t="str"/>
      <x:c r="H392" s="8" t="str"/>
      <x:c r="I392" s="8" t="str">
        <x:v>Versiune de lucru / arhivă</x:v>
      </x:c>
      <x:c r="J392" s="8" t="str">
        <x:v>nr . 275/01.02.2024, respectiv nr . înregistrare CESIRO PRODUCTION SRL</x:v>
      </x:c>
      <x:c r="K392" s="8" t="str">
        <x:v>Text extras; numerele din referințe sunt în coloana separată</x:v>
      </x:c>
      <x:c r="L392" s="8" t="e">
        <x:f>HYPERLINK("file:///Z:/00. Proiecte 2025/AFIR FotoVoltaic 1/16.1 Act aditional 1/DRAFT/Studiu Justificativ Aprofundat.pdf","Deschide sursa")</x:f>
        <x:v>HYPERLINK is not implemented. linkLocation=file:///Z:/00. Proiecte 2025/AFIR FotoVoltaic 1/16.1 Act aditional 1/DRAFT/Studiu Justificativ Aprofundat.pdf, friendlyName=Deschide sursa</x:v>
      </x:c>
    </x:row>
    <x:row r="393" ht="36" customHeight="1">
      <x:c r="A393" s="8" t="str">
        <x:v>F0757</x:v>
      </x:c>
      <x:c r="B393" s="8" t="str">
        <x:v>Studiu_Justificativ_Aprofundat_CESIRO.docx</x:v>
      </x:c>
      <x:c r="C393" s="8" t="str">
        <x:v>Modificare contract</x:v>
      </x:c>
      <x:c r="D393" s="12" t="str"/>
      <x:c r="E393" s="11" t="str"/>
      <x:c r="F393" s="12" t="str"/>
      <x:c r="G393" s="11" t="str"/>
      <x:c r="H393" s="8" t="str"/>
      <x:c r="I393" s="8" t="str">
        <x:v>Versiune de lucru / arhivă</x:v>
      </x:c>
      <x:c r="J393" s="8" t="str">
        <x:v>Nr. ONRC: J2021001328014
nr. 275/01.02.2024, respectiv nr. înregistrare CESIRO PRODUCTION SRL 05/01.02.2024</x:v>
      </x:c>
      <x:c r="K393" s="8" t="str">
        <x:v>Text extras; numerele din referințe sunt în coloana separată</x:v>
      </x:c>
      <x:c r="L393" s="8" t="e">
        <x:f>HYPERLINK("file:///Z:/00. Proiecte 2025/AFIR FotoVoltaic 1/16.1 Act aditional 1/DRAFT/Studiu_Justificativ_Aprofundat_CESIRO.docx","Deschide sursa")</x:f>
        <x:v>HYPERLINK is not implemented. linkLocation=file:///Z:/00. Proiecte 2025/AFIR FotoVoltaic 1/16.1 Act aditional 1/DRAFT/Studiu_Justificativ_Aprofundat_CESIRO.docx, friendlyName=Deschide sursa</x:v>
      </x:c>
    </x:row>
    <x:row r="394" ht="36" customHeight="1">
      <x:c r="A394" s="8" t="str">
        <x:v>F0758</x:v>
      </x:c>
      <x:c r="B394" s="8" t="str">
        <x:v>Studiu_Justificativ_Aprofundat_v3 (1).pdf</x:v>
      </x:c>
      <x:c r="C394" s="8" t="str">
        <x:v>Modificare contract</x:v>
      </x:c>
      <x:c r="D394" s="12" t="str"/>
      <x:c r="E394" s="11" t="str"/>
      <x:c r="F394" s="12" t="str"/>
      <x:c r="G394" s="11" t="str"/>
      <x:c r="H394" s="8" t="str"/>
      <x:c r="I394" s="8" t="str">
        <x:v>Versiune de lucru / arhivă</x:v>
      </x:c>
      <x:c r="J394" s="8" t="str">
        <x:v>Nr. ONRC: J2021001328014
nr. 275/01.02.2024, respectiv nr. înregistrare CESIRO</x:v>
      </x:c>
      <x:c r="K394" s="8" t="str">
        <x:v>Text extras; numerele din referințe sunt în coloana separată</x:v>
      </x:c>
      <x:c r="L394" s="8" t="e">
        <x:f>HYPERLINK("file:///Z:/00. Proiecte 2025/AFIR FotoVoltaic 1/16.1 Act aditional 1/DRAFT/Studiu_Justificativ_Aprofundat_v3 (1).pdf","Deschide sursa")</x:f>
        <x:v>HYPERLINK is not implemented. linkLocation=file:///Z:/00. Proiecte 2025/AFIR FotoVoltaic 1/16.1 Act aditional 1/DRAFT/Studiu_Justificativ_Aprofundat_v3 (1).pdf, friendlyName=Deschide sursa</x:v>
      </x:c>
    </x:row>
    <x:row r="395" ht="50" customHeight="1">
      <x:c r="A395" s="8" t="str">
        <x:v>F0761</x:v>
      </x:c>
      <x:c r="B395" s="8" t="str">
        <x:v>Formular_C3_1_completat _.pdf</x:v>
      </x:c>
      <x:c r="C395" s="8" t="str">
        <x:v>Modificare contract</x:v>
      </x:c>
      <x:c r="D395" s="12" t="str"/>
      <x:c r="E395" s="11" t="str"/>
      <x:c r="F395" s="12" t="str"/>
      <x:c r="G395" s="11" t="str"/>
      <x:c r="H395" s="8" t="str"/>
      <x:c r="I395" s="8" t="str">
        <x:v>Depus conform denumirii dosarului; recipisă neidentificată</x:v>
      </x:c>
      <x:c r="J395" s="8" t="str">
        <x:v>nr. 275/01.02.2024.
nr. 1
nr. 2</x:v>
      </x:c>
      <x:c r="K395" s="8" t="str">
        <x:v>Text extras; numerele din referințe sunt în coloana separată</x:v>
      </x:c>
      <x:c r="L395" s="8" t="e">
        <x:f>HYPERLINK("file:///Z:/00. Proiecte 2025/AFIR FotoVoltaic 1/16.1 Act aditional 1/PDF Semnat si Depus/Formular_C3_1_completat _.pdf","Deschide sursa")</x:f>
        <x:v>HYPERLINK is not implemented. linkLocation=file:///Z:/00. Proiecte 2025/AFIR FotoVoltaic 1/16.1 Act aditional 1/PDF Semnat si Depus/Formular_C3_1_completat _.pdf, friendlyName=Deschide sursa</x:v>
      </x:c>
    </x:row>
    <x:row r="396" ht="36" customHeight="1">
      <x:c r="A396" s="8" t="str">
        <x:v>F0762</x:v>
      </x:c>
      <x:c r="B396" s="8" t="str">
        <x:v>Memoriu Justificativ si Referat Cesiro Production.zip</x:v>
      </x:c>
      <x:c r="C396" s="8" t="str">
        <x:v>Modificare contract</x:v>
      </x:c>
      <x:c r="D396" s="12" t="str"/>
      <x:c r="E396" s="11" t="str"/>
      <x:c r="F396" s="12" t="str"/>
      <x:c r="G396" s="11" t="str"/>
      <x:c r="H396" s="8" t="str"/>
      <x:c r="I396" s="8" t="str">
        <x:v>Depus conform denumirii dosarului; recipisă neidentificată</x:v>
      </x:c>
      <x:c r="J396" s="8" t="str"/>
      <x:c r="K396" s="8" t="str">
        <x:v>Necesită citire vizuală / OCR / formular XFA</x:v>
      </x:c>
      <x:c r="L396" s="8" t="e">
        <x:f>HYPERLINK("file:///Z:/00. Proiecte 2025/AFIR FotoVoltaic 1/16.1 Act aditional 1/PDF Semnat si Depus/Memoriu Justificativ si Referat Cesiro Production.zip","Deschide sursa")</x:f>
        <x:v>HYPERLINK is not implemented. linkLocation=file:///Z:/00. Proiecte 2025/AFIR FotoVoltaic 1/16.1 Act aditional 1/PDF Semnat si Depus/Memoriu Justificativ si Referat Cesiro Production.zip, friendlyName=Deschide sursa</x:v>
      </x:c>
    </x:row>
    <x:row r="397" ht="92" customHeight="1">
      <x:c r="A397" s="8" t="str">
        <x:v>F0763</x:v>
      </x:c>
      <x:c r="B397" s="8" t="str">
        <x:v>Memoriu_Justificativ_Consolidat_CESIRO (2).pdf</x:v>
      </x:c>
      <x:c r="C397" s="8" t="str">
        <x:v>Modificare contract</x:v>
      </x:c>
      <x:c r="D397" s="12" t="str"/>
      <x:c r="E397" s="11" t="str"/>
      <x:c r="F397" s="12" t="str"/>
      <x:c r="G397" s="11" t="str"/>
      <x:c r="H397" s="8" t="str"/>
      <x:c r="I397" s="8" t="str">
        <x:v>Depus conform denumirii dosarului; recipisă neidentificată</x:v>
      </x:c>
      <x:c r="J397" s="8" t="str">
        <x:v>Nr. ONRC: J2021001328014
nr. 275/01.02.2214 (nr. înregistrare CESIRO PRODUCTION
nr. CFMSES011011372801030, în vederea
nr. CFMSES011011372801030. Obiectivul proiectului este
nr. 275/01.02.2214 (nr. înregistrare CESIRO PRODUCTION SRL 05/01.02.2214),
Nr. de bucati 20 2</x:v>
      </x:c>
      <x:c r="K397" s="8" t="str">
        <x:v>Text extras; numerele din referințe sunt în coloana separată</x:v>
      </x:c>
      <x:c r="L397" s="8" t="e">
        <x:f>HYPERLINK("file:///Z:/00. Proiecte 2025/AFIR FotoVoltaic 1/16.1 Act aditional 1/PDF Semnat si Depus/Memoriu_Justificativ_Consolidat_CESIRO (2).pdf","Deschide sursa")</x:f>
        <x:v>HYPERLINK is not implemented. linkLocation=file:///Z:/00. Proiecte 2025/AFIR FotoVoltaic 1/16.1 Act aditional 1/PDF Semnat si Depus/Memoriu_Justificativ_Consolidat_CESIRO (2).pdf, friendlyName=Deschide sursa</x:v>
      </x:c>
    </x:row>
    <x:row r="398" ht="106" customHeight="1">
      <x:c r="A398" s="8" t="str">
        <x:v>F0764</x:v>
      </x:c>
      <x:c r="B398" s="8" t="str">
        <x:v>Referat_proiectant_CESIRO__s.pdf</x:v>
      </x:c>
      <x:c r="C398" s="8" t="str">
        <x:v>Modificare contract</x:v>
      </x:c>
      <x:c r="D398" s="12" t="str"/>
      <x:c r="E398" s="11" t="str"/>
      <x:c r="F398" s="12" t="str"/>
      <x:c r="G398" s="11" t="str"/>
      <x:c r="H398" s="8" t="str">
        <x:v>275 / 01.02.2024</x:v>
      </x:c>
      <x:c r="I398" s="8" t="str">
        <x:v>Depus conform denumirii dosarului; recipisă neidentificată</x:v>
      </x:c>
      <x:c r="J398" s="8" t="str">
        <x:v>Nr.3
nr. 5, jud. Alba, cod
nr. CFMSES011011372801030
nr. 275/01.02.2024 SUNTREE SOLAR TECH S.R.L.
nr. CFMSES011011372801030 �i anexele acestuia;
nr. 265/12.01.2024 �i contractul de achizitie/furnizare nr.
Nr.3 CUI RO 30332737</x:v>
      </x:c>
      <x:c r="K398" s="8" t="str">
        <x:v>Text extras; numerele din referințe sunt în coloana separată</x:v>
      </x:c>
      <x:c r="L398" s="8" t="e">
        <x:f>HYPERLINK("file:///Z:/00. Proiecte 2025/AFIR FotoVoltaic 1/16.1 Act aditional 1/PDF Semnat si Depus/Referat_proiectant_CESIRO__s.pdf","Deschide sursa")</x:f>
        <x:v>HYPERLINK is not implemented. linkLocation=file:///Z:/00. Proiecte 2025/AFIR FotoVoltaic 1/16.1 Act aditional 1/PDF Semnat si Depus/Referat_proiectant_CESIRO__s.pdf, friendlyName=Deschide sursa</x:v>
      </x:c>
    </x:row>
    <x:row r="399" ht="36" customHeight="1">
      <x:c r="A399" s="8" t="str">
        <x:v>F0765</x:v>
      </x:c>
      <x:c r="B399" s="8" t="str">
        <x:v>Studiu_Justificativ_Aprofundat_CESIRO (2).pdf</x:v>
      </x:c>
      <x:c r="C399" s="8" t="str">
        <x:v>Modificare contract</x:v>
      </x:c>
      <x:c r="D399" s="12" t="str"/>
      <x:c r="E399" s="11" t="str"/>
      <x:c r="F399" s="12" t="str"/>
      <x:c r="G399" s="11" t="str"/>
      <x:c r="H399" s="8" t="str"/>
      <x:c r="I399" s="8" t="str">
        <x:v>Depus conform denumirii dosarului; recipisă neidentificată</x:v>
      </x:c>
      <x:c r="J399" s="8" t="str">
        <x:v>Nr. ONRC: J2021001328014
nr. 275/01.02.2214, respectiv nr. înregistrare</x:v>
      </x:c>
      <x:c r="K399" s="8" t="str">
        <x:v>Text extras; numerele din referințe sunt în coloana separată</x:v>
      </x:c>
      <x:c r="L399" s="8" t="e">
        <x:f>HYPERLINK("file:///Z:/00. Proiecte 2025/AFIR FotoVoltaic 1/16.1 Act aditional 1/PDF Semnat si Depus/Studiu_Justificativ_Aprofundat_CESIRO (2).pdf","Deschide sursa")</x:f>
        <x:v>HYPERLINK is not implemented. linkLocation=file:///Z:/00. Proiecte 2025/AFIR FotoVoltaic 1/16.1 Act aditional 1/PDF Semnat si Depus/Studiu_Justificativ_Aprofundat_CESIRO (2).pdf, friendlyName=Deschide sursa</x:v>
      </x:c>
    </x:row>
    <x:row r="400" ht="190" customHeight="1">
      <x:c r="A400" s="8" t="str">
        <x:v>F0766</x:v>
      </x:c>
      <x:c r="B400" s="8" t="str">
        <x:v>C3.3.4.pdf</x:v>
      </x:c>
      <x:c r="C400" s="8" t="str">
        <x:v>Modificare contract</x:v>
      </x:c>
      <x:c r="D400" s="12" t="str"/>
      <x:c r="E400" s="11" t="str"/>
      <x:c r="F400" s="12" t="str">
        <x:v>1.360.244</x:v>
      </x:c>
      <x:c r="G400" s="11" t="str"/>
      <x:c r="H400" s="8" t="str"/>
      <x:c r="I400" s="8" t="str">
        <x:v>Document local; transmiterea individuală neconfirmată</x:v>
      </x:c>
      <x:c r="J400" s="8" t="str">
        <x:v>Nr: 23, Jud: ALBA, Tel: 0358 860 245
Număr de înregistrare electronic: 1.360.244
nr. 1
nr. CFMSES011011372801030/30.12.2024
nr. 43,
nregistrare 45050734, cu sediul
nr. 5, municipiul MUNICIPIUL ALBA IULIA, jud. ALBA, cod po ștal 510040, tel.
nr. 618936, CNP 1721019120687, în calitate de Beneficiar pe de altă parte,
nr. 385/13.11.2025 privind
nr. FN/11.06.2026 și documentele justificative atașate, înregistrate la
nr. R1 SE - SIBA
nr. 1.359.705/22.06.2026, după cum urmează:
nr. 1.359.705/22.06.2026.</x:v>
      </x:c>
      <x:c r="K400" s="8" t="str">
        <x:v>Text extras; numerele din referințe sunt în coloana separată</x:v>
      </x:c>
      <x:c r="L400" s="8" t="e">
        <x:f>HYPERLINK("file:///Z:/00. Proiecte 2025/AFIR FotoVoltaic 1/16.1 Act aditional 1/Act de semnat AFIR/Act Aditional NESEMNAT/C3.3.4.pdf","Deschide sursa")</x:f>
        <x:v>HYPERLINK is not implemented. linkLocation=file:///Z:/00. Proiecte 2025/AFIR FotoVoltaic 1/16.1 Act aditional 1/Act de semnat AFIR/Act Aditional NESEMNAT/C3.3.4.pdf, friendlyName=Deschide sursa</x:v>
      </x:c>
    </x:row>
    <x:row r="401" ht="190" customHeight="1">
      <x:c r="A401" s="8" t="str">
        <x:v>F0767</x:v>
      </x:c>
      <x:c r="B401" s="8" t="str">
        <x:v>C3.3.4_.pdf</x:v>
      </x:c>
      <x:c r="C401" s="8" t="str">
        <x:v>Modificare contract</x:v>
      </x:c>
      <x:c r="D401" s="12" t="str"/>
      <x:c r="E401" s="11" t="str"/>
      <x:c r="F401" s="12" t="str">
        <x:v>1.360.244</x:v>
      </x:c>
      <x:c r="G401" s="11" t="str"/>
      <x:c r="H401" s="8" t="str"/>
      <x:c r="I401" s="8" t="str">
        <x:v>Document local; transmiterea individuală neconfirmată</x:v>
      </x:c>
      <x:c r="J401" s="8" t="str">
        <x:v>Nr: 23, Jud: ALBA, Tel: 0358 860 245
Număr de înregistrare electronic: 1.360.244
nr. 1
nr. CFMSES011011372801030/30.12.2024
nr. 43,
nregistrare 45050734, cu sediul
nr. 5, municipiul MUNICIPIUL ALBA IULIA, jud. ALBA, cod po ștal 510040, tel.
nr. 618936, CNP 1721019120687, în calitate de Beneficiar pe de altă parte,
nr. 385/13.11.2025 privind
nr. FN/11.06.2026 și documentele justificative atașate, înregistrate la
nr. R1 SE - SIBA
nr. 1.359.705/22.06.2026, după cum urmează:
nr. 1.359.705/22.06.2026.</x:v>
      </x:c>
      <x:c r="K401" s="8" t="str">
        <x:v>Text extras; numerele din referințe sunt în coloana separată</x:v>
      </x:c>
      <x:c r="L401" s="8" t="e">
        <x:f>HYPERLINK("file:///Z:/00. Proiecte 2025/AFIR FotoVoltaic 1/16.1 Act aditional 1/Act de semnat AFIR/Act Aditional Semnat/C3.3.4_.pdf","Deschide sursa")</x:f>
        <x:v>HYPERLINK is not implemented. linkLocation=file:///Z:/00. Proiecte 2025/AFIR FotoVoltaic 1/16.1 Act aditional 1/Act de semnat AFIR/Act Aditional Semnat/C3.3.4_.pdf, friendlyName=Deschide sursa</x:v>
      </x:c>
    </x:row>
    <x:row r="402" ht="36" customHeight="1">
      <x:c r="A402" s="8" t="str">
        <x:v>F0772</x:v>
      </x:c>
      <x:c r="B402" s="8" t="str">
        <x:v>SUN2000-5-10KTL-M0-M1.pdf</x:v>
      </x:c>
      <x:c r="C402" s="8" t="str">
        <x:v>Modificare contract</x:v>
      </x:c>
      <x:c r="D402" s="12" t="str"/>
      <x:c r="E402" s="11" t="str"/>
      <x:c r="F402" s="12" t="str"/>
      <x:c r="G402" s="11" t="str"/>
      <x:c r="H402" s="8" t="str"/>
      <x:c r="I402" s="8" t="str">
        <x:v>Document local; transmiterea individuală neconfirmată</x:v>
      </x:c>
      <x:c r="J402" s="8" t="str">
        <x:v>NRS 097-2-1, IEC61727, IEC62116, DEWA 2.0</x:v>
      </x:c>
      <x:c r="K402" s="8" t="str">
        <x:v>Text extras; numerele din referințe sunt în coloana separată</x:v>
      </x:c>
      <x:c r="L402" s="8" t="e">
        <x:f>HYPERLINK("file:///Z:/00. Proiecte 2025/AFIR FotoVoltaic 1/16.1 Act aditional 1/Fise Tehnice/Fise tehnice vechi/SUN2000-5-10KTL-M0-M1.pdf","Deschide sursa")</x:f>
        <x:v>HYPERLINK is not implemented. linkLocation=file:///Z:/00. Proiecte 2025/AFIR FotoVoltaic 1/16.1 Act aditional 1/Fise Tehnice/Fise tehnice vechi/SUN2000-5-10KTL-M0-M1.pdf, friendlyName=Deschide sursa</x:v>
      </x:c>
    </x:row>
    <x:row r="403" ht="302" customHeight="1">
      <x:c r="A403" s="8" t="str">
        <x:v>F0776</x:v>
      </x:c>
      <x:c r="B403" s="8" t="str">
        <x:v>Adresa_Inaintare_CESIRO_AFIR.docx</x:v>
      </x:c>
      <x:c r="C403" s="8" t="str">
        <x:v>Modificare contract</x:v>
      </x:c>
      <x:c r="D403" s="12" t="str"/>
      <x:c r="E403" s="11" t="str"/>
      <x:c r="F403" s="12" t="str"/>
      <x:c r="G403" s="11" t="str"/>
      <x:c r="H403" s="8" t="str"/>
      <x:c r="I403" s="8" t="str">
        <x:v>Document local; transmiterea individuală neconfirmată</x:v>
      </x:c>
      <x:c r="J403" s="8" t="str">
        <x:v>Nr. ONRC: J2021001328014
nr. 5, jud. Alba
Nr. .............. / .................. 2026
nr. 23, jud. Alba
nr. CFMSES011011372801030/30.12.2024
nr. 1, nr. de înregistrare electronic 1.360.244/30.06.2026
nr. CFMSES011011372801030/30.12.2024, vă transmitem alăturat, spre luare la cunoștință și înregistrare, următoarele documente:
nr. 1 la Contractul de finanțare nr. CFMSES011011372801030/30.12.2024;
nr. 2 la Contractul de achiziție/furnizare nr. 275/01.02.2024, încheiat la data de 08.06.2026 între CESIRO PRODUCTION SRL și SUNTREE SOLAR TECH SRL, prin care s-au
nr. FN/11.06.2026, Referatul proiectantului, Studiul justificativ aprofundat), constând în consemnarea eronată a designației comerciale a modulelor fotovoltaice Su
nr. 275/01.02.2024 astfel cum a fost modificat prin Actul Adițional nr. 2 din 08.06.2026, încheiat între CESIRO PRODUCTION SRL și furnizorul SUNTREE SOLAR TECH SRL
nr. 1 la Contractul de finanțare se păstrează în integralitate, toate prevederile tehnice aprobate prin acesta rămânând pe deplin valabile. Cele două designații id
nr. 2 la Contractul de finanțare nr. CFMSES011011372801030/30.12.2024, prin care designația comercială a modulelor fotovoltaice să fie rectificată din STP450S-H48-
nregistrarea prezentei notificări și a documentelor anexate, analizarea solicitării de încheiere a Actului Adițional nr. 2 și luarea acestora în considerare la ve</x:v>
      </x:c>
      <x:c r="K403" s="8" t="str">
        <x:v>Text extras; numerele din referințe sunt în coloana separată</x:v>
      </x:c>
      <x:c r="L403" s="8" t="e">
        <x:f>HYPERLINK("file:///Z:/00. Proiecte 2025/AFIR FotoVoltaic 1/16.2 Act Aditional 2-Neaprobat/.Doc/Adresa_Inaintare_CESIRO_AFIR.docx","Deschide sursa")</x:f>
        <x:v>HYPERLINK is not implemented. linkLocation=file:///Z:/00. Proiecte 2025/AFIR FotoVoltaic 1/16.2 Act Aditional 2-Neaprobat/.Doc/Adresa_Inaintare_CESIRO_AFIR.docx, friendlyName=Deschide sursa</x:v>
      </x:c>
    </x:row>
    <x:row r="404" ht="190" customHeight="1">
      <x:c r="A404" s="8" t="str">
        <x:v>F0777</x:v>
      </x:c>
      <x:c r="B404" s="8" t="str">
        <x:v>Declaratie_proiectant_rectificare_CESIRO_AFIR.docx</x:v>
      </x:c>
      <x:c r="C404" s="8" t="str">
        <x:v>Modificare contract</x:v>
      </x:c>
      <x:c r="D404" s="12" t="str"/>
      <x:c r="E404" s="11" t="str"/>
      <x:c r="F404" s="12" t="str"/>
      <x:c r="G404" s="11" t="str"/>
      <x:c r="H404" s="8" t="str"/>
      <x:c r="I404" s="8" t="str">
        <x:v>Document local; transmiterea individuală neconfirmată</x:v>
      </x:c>
      <x:c r="J404" s="8" t="str">
        <x:v>nr. 3 | office@albaproiectconsulting.ro
nr. CFMSES011011372801030/30.12.2024; Actul Adițional nr. 1, nr. de înregistrare electronic 1.360.244; Formularul C3.1 și documentația justificativă depusă la AFIR
nr. 1 se citește și se interpretează ca „STP450S-H48-Nkh+”, aceasta fiind designația comercială corectă.
nr. 1;
nr. 1
nr. 1. Confirmarea se referă exclusiv la rectificarea/clarificarea designației comerciale a modulelor fotovoltaice menționate în documentația justificativă depusă
nr. 1 rămâne în vigoare, iar echipamentele se interpretează tehnic prin raportare la fișele tehnice oficiale anexate și la prezenta declarație.
nr. CFMSES011011372801030/30.12.2024
nr. 1, nr. de înregistrare electronic 1.360.244, semnat la data de 30.06.2026
nr. 275/01.02.2024, încheiat cu SUNTREE SOLAR TECH S.R.L.</x:v>
      </x:c>
      <x:c r="K404" s="8" t="str">
        <x:v>Text extras; numerele din referințe sunt în coloana separată</x:v>
      </x:c>
      <x:c r="L404" s="8" t="e">
        <x:f>HYPERLINK("file:///Z:/00. Proiecte 2025/AFIR FotoVoltaic 1/16.2 Act Aditional 2-Neaprobat/.Doc/Declaratie_proiectant_rectificare_CESIRO_AFIR.docx","Deschide sursa")</x:f>
        <x:v>HYPERLINK is not implemented. linkLocation=file:///Z:/00. Proiecte 2025/AFIR FotoVoltaic 1/16.2 Act Aditional 2-Neaprobat/.Doc/Declaratie_proiectant_rectificare_CESIRO_AFIR.docx, friendlyName=Deschide sursa</x:v>
      </x:c>
    </x:row>
    <x:row r="405" ht="78" customHeight="1">
      <x:c r="A405" s="8" t="str">
        <x:v>F0778</x:v>
      </x:c>
      <x:c r="B405" s="8" t="str">
        <x:v>Declaratie_SUNTREE_rectificare_garantii_CESIRO_AFIR.docx</x:v>
      </x:c>
      <x:c r="C405" s="8" t="str">
        <x:v>Modificare contract</x:v>
      </x:c>
      <x:c r="D405" s="12" t="str"/>
      <x:c r="E405" s="11" t="str"/>
      <x:c r="F405" s="12" t="str"/>
      <x:c r="G405" s="11" t="str"/>
      <x:c r="H405" s="8" t="str"/>
      <x:c r="I405" s="8" t="str">
        <x:v>Document local; transmiterea individuală neconfirmată</x:v>
      </x:c>
      <x:c r="J405" s="8" t="str">
        <x:v>nr. 14 | CUI: 46361925 | Nr. ORC: J01/817/2022
nr. 275/01.02.2024, încheiat cu CESIRO PRODUCTION SRL pentru implementarea proiectului menționat mai sus, prin reprezentant legal, emite prezenta declarație pentru
nr. 275/01.02.2024, nr. înregistrare CESIRO PRODUCTION SRL 05/01.02.2024
nr. 1, nr. de înregistrare electronic 1.360.244, semnat la data de 30.06.2026</x:v>
      </x:c>
      <x:c r="K405" s="8" t="str">
        <x:v>Text extras; numerele din referințe sunt în coloana separată</x:v>
      </x:c>
      <x:c r="L405" s="8" t="e">
        <x:f>HYPERLINK("file:///Z:/00. Proiecte 2025/AFIR FotoVoltaic 1/16.2 Act Aditional 2-Neaprobat/.Doc/Declaratie_SUNTREE_rectificare_garantii_CESIRO_AFIR.docx","Deschide sursa")</x:f>
        <x:v>HYPERLINK is not implemented. linkLocation=file:///Z:/00. Proiecte 2025/AFIR FotoVoltaic 1/16.2 Act Aditional 2-Neaprobat/.Doc/Declaratie_SUNTREE_rectificare_garantii_CESIRO_AFIR.docx, friendlyName=Deschide sursa</x:v>
      </x:c>
    </x:row>
    <x:row r="406" ht="120" customHeight="1">
      <x:c r="A406" s="8" t="str">
        <x:v>F0779</x:v>
      </x:c>
      <x:c r="B406" s="8" t="str">
        <x:v>Formular_C3_1_completat-de solicitare.docx</x:v>
      </x:c>
      <x:c r="C406" s="8" t="str">
        <x:v>Modificare contract</x:v>
      </x:c>
      <x:c r="D406" s="12" t="str"/>
      <x:c r="E406" s="11" t="str"/>
      <x:c r="F406" s="12" t="str"/>
      <x:c r="G406" s="11" t="str"/>
      <x:c r="H406" s="8" t="str"/>
      <x:c r="I406" s="8" t="str">
        <x:v>Document local; transmiterea individuală neconfirmată</x:v>
      </x:c>
      <x:c r="J406" s="8" t="str">
        <x:v>nr. FN/11.06.2026, designația comercială a modulelor Suntech a fost consemnată eronat ca STP450S-H48-Nth+, în loc de STP450S-H48-Nkh+. Cele două designații identif
nr. 2 la Contractul de finanțare nr. CFMSES011011372801030/30.12.2024, prin care designația comercială a modulelor fotovoltaice se rectifică din STP450S-H48-Nth+ î
nr. 1 rămâne în vigoare în integralitate | Analizarea prezentei note explicative și încheierea Actului Adițional nr. 2 la Contractul de finanțare nr. CFMSES0110113
nr. 1 rămâne în vigoare în integralitate
nr. 1 | Act adiţional nr. 2 | Bugetul revizuit</x:v>
      </x:c>
      <x:c r="K406" s="8" t="str">
        <x:v>Text extras; numerele din referințe sunt în coloana separată</x:v>
      </x:c>
      <x:c r="L406" s="8" t="e">
        <x:f>HYPERLINK("file:///Z:/00. Proiecte 2025/AFIR FotoVoltaic 1/16.2 Act Aditional 2-Neaprobat/.Doc/Formular_C3_1_completat-de solicitare.docx","Deschide sursa")</x:f>
        <x:v>HYPERLINK is not implemented. linkLocation=file:///Z:/00. Proiecte 2025/AFIR FotoVoltaic 1/16.2 Act Aditional 2-Neaprobat/.Doc/Formular_C3_1_completat-de solicitare.docx, friendlyName=Deschide sursa</x:v>
      </x:c>
    </x:row>
    <x:row r="407" ht="400" customHeight="1">
      <x:c r="A407" s="8" t="str">
        <x:v>F0780</x:v>
      </x:c>
      <x:c r="B407" s="8" t="str">
        <x:v>Notificare_Rectificare_CESIRO_AFIR.docx</x:v>
      </x:c>
      <x:c r="C407" s="8" t="str">
        <x:v>Modificare contract</x:v>
      </x:c>
      <x:c r="D407" s="12" t="str"/>
      <x:c r="E407" s="11" t="str"/>
      <x:c r="F407" s="12" t="str"/>
      <x:c r="G407" s="11" t="str"/>
      <x:c r="H407" s="8" t="str"/>
      <x:c r="I407" s="8" t="str">
        <x:v>Document local; transmiterea individuală neconfirmată</x:v>
      </x:c>
      <x:c r="J407" s="8" t="str">
        <x:v>Nr. ONRC: J2021001328014
nr. 5, jud. Alba
nr. 23, jud. Alba
nr. CFMSES011011372801030/30.12.2024
nr. 1 la Contractul de finanțare, nr. de înregistrare electronic 1.360.244, semnat la data de 30.06.2026
nr. 1 la Contractul de finanțare nr. CFMSES011011372801030/30.12.2024
nr. 618936, CNP 1721019120687, în calitate de Beneficiar al Contractului de finanțare nr. CFMSES011011372801030/30.12.2024, formulează prezenta notificare de recti
nr. 1 și nu afectează valabilitatea acestuia, ci are ca obiect exclusiv rectificarea/clarificarea designației comerciale a modulelor fotovoltaice menționate în doc
nr. CFMSES011011372801030 pentru acordarea ajutorului de stat finanțat din Fondul de Modernizare, prin Schema de ajutor de stat privind sprijinirea investițiilor î
nr. FSFMSES011011372801030.
nr. 275/01.02.2024 (nr. înregistrare CESIRO PRODUCTION SRL 05/01.02.2024), având ca obiect furnizarea, montarea/instalarea și punerea în funcțiune a instalațiilor
nr. 1
nr. FN/11.06.2026, împreună cu documentele justificative aferente, înregistrate sub nr. R1 SE-SIBA 575/11.06.2026, prin care a solicitat aprobarea actualizării pun
nr. 1.359.705/22.06.2026 întocmit de CRFIR 7 Centru — SIBA, prin care a aprobat modificările tehnice solicitate.
nr. 1 la Contractul de finanțare nr. CFMSES011011372801030/30.12.2024, cu număr de înregistrare electronic 1.360.244, semnat digital de ambele părți, după cum urme
nr. 7.4, Cecilia-Maria ONIGA, la data de 29.06.2026, ora 12:52:30;
nr. 1, s-au aprobat modificările tehnice, respectiv modificarea caracteristicilor tehnice ale panourilor fotovoltaice și numărul lor (de la 1.754 bucăți × 570 kWp
nr. 1, Beneficiarul a identificat o eroare materială de transcriere în documentația depusă în susținerea solicitării de modificare a soluției tehnice. Prezenta not
nr. FN/11.06.2026, designația comercială a modulelor fotovoltaice Suntech a fost consemnată eronat ca fiind „STP450S-H48-Nth+”, în loc de „STP450S-H48-Nkh+”, aceas
nr. FN/11.06.2026 rămân integral valabile și aplicabile și pentru modulele cu designația corectă STP450S-H48-Nkh+, întrucât cele două designații corespund unor mod</x:v>
      </x:c>
      <x:c r="K407" s="8" t="str">
        <x:v>Text extras; numerele din referințe sunt în coloana separată</x:v>
      </x:c>
      <x:c r="L407" s="8" t="e">
        <x:f>HYPERLINK("file:///Z:/00. Proiecte 2025/AFIR FotoVoltaic 1/16.2 Act Aditional 2-Neaprobat/.Doc/Notificare_Rectificare_CESIRO_AFIR.docx","Deschide sursa")</x:f>
        <x:v>HYPERLINK is not implemented. linkLocation=file:///Z:/00. Proiecte 2025/AFIR FotoVoltaic 1/16.2 Act Aditional 2-Neaprobat/.Doc/Notificare_Rectificare_CESIRO_AFIR.docx, friendlyName=Deschide sursa</x:v>
      </x:c>
    </x:row>
    <x:row r="408" ht="36" customHeight="1">
      <x:c r="A408" s="8" t="str">
        <x:v>F0781</x:v>
      </x:c>
      <x:c r="B408" s="8" t="str">
        <x:v>Declaratia Proiectantului Scan.pdf</x:v>
      </x:c>
      <x:c r="C408" s="8" t="str">
        <x:v>Modificare contract</x:v>
      </x:c>
      <x:c r="D408" s="12" t="str"/>
      <x:c r="E408" s="11" t="str"/>
      <x:c r="F408" s="12" t="str"/>
      <x:c r="G408" s="11" t="str"/>
      <x:c r="H408" s="8" t="str"/>
      <x:c r="I408" s="8" t="str">
        <x:v>Versiune de lucru / arhivă</x:v>
      </x:c>
      <x:c r="J408" s="8" t="str"/>
      <x:c r="K408" s="8" t="str">
        <x:v>Text extras; numerele din referințe sunt în coloana separată</x:v>
      </x:c>
      <x:c r="L408" s="8" t="e">
        <x:f>HYPERLINK("file:///Z:/00. Proiecte 2025/AFIR FotoVoltaic 1/16.2 Act Aditional 2-Neaprobat/Arhiva/Declaratia Proiectantului Scan.pdf","Deschide sursa")</x:f>
        <x:v>HYPERLINK is not implemented. linkLocation=file:///Z:/00. Proiecte 2025/AFIR FotoVoltaic 1/16.2 Act Aditional 2-Neaprobat/Arhiva/Declaratia Proiectantului Scan.pdf, friendlyName=Deschide sursa</x:v>
      </x:c>
    </x:row>
    <x:row r="409" ht="36" customHeight="1">
      <x:c r="A409" s="8" t="str">
        <x:v>F0782</x:v>
      </x:c>
      <x:c r="B409" s="8" t="str">
        <x:v>Declaratia Proiectantului-s.pdf</x:v>
      </x:c>
      <x:c r="C409" s="8" t="str">
        <x:v>Modificare contract</x:v>
      </x:c>
      <x:c r="D409" s="12" t="str"/>
      <x:c r="E409" s="11" t="str"/>
      <x:c r="F409" s="12" t="str"/>
      <x:c r="G409" s="11" t="str"/>
      <x:c r="H409" s="8" t="str"/>
      <x:c r="I409" s="8" t="str">
        <x:v>Versiune de lucru / arhivă</x:v>
      </x:c>
      <x:c r="J409" s="8" t="str"/>
      <x:c r="K409" s="8" t="str">
        <x:v>Text extras; numerele din referințe sunt în coloana separată</x:v>
      </x:c>
      <x:c r="L409" s="8" t="e">
        <x:f>HYPERLINK("file:///Z:/00. Proiecte 2025/AFIR FotoVoltaic 1/16.2 Act Aditional 2-Neaprobat/Arhiva/Declaratia Proiectantului-s.pdf","Deschide sursa")</x:f>
        <x:v>HYPERLINK is not implemented. linkLocation=file:///Z:/00. Proiecte 2025/AFIR FotoVoltaic 1/16.2 Act Aditional 2-Neaprobat/Arhiva/Declaratia Proiectantului-s.pdf, friendlyName=Deschide sursa</x:v>
      </x:c>
    </x:row>
    <x:row r="410" ht="148" customHeight="1">
      <x:c r="A410" s="8" t="str">
        <x:v>F0783</x:v>
      </x:c>
      <x:c r="B410" s="8" t="str">
        <x:v>Declaratie_proiectant_rectificare_CESIRO_AFIR.pdf</x:v>
      </x:c>
      <x:c r="C410" s="8" t="str">
        <x:v>Modificare contract</x:v>
      </x:c>
      <x:c r="D410" s="12" t="str"/>
      <x:c r="E410" s="11" t="str"/>
      <x:c r="F410" s="12" t="str"/>
      <x:c r="G410" s="11" t="str"/>
      <x:c r="H410" s="8" t="str"/>
      <x:c r="I410" s="8" t="str">
        <x:v>Versiune de lucru / arhivă</x:v>
      </x:c>
      <x:c r="J410" s="8" t="str">
        <x:v>nr. 3 | office@albaproiectconsulting.ro
nr. CFMSES011011372801030/30.12.2024
nr. 1, nr. de înregistrare electronic 1.360.244, semnat la data de
nr. 275/01.02.2024, încheiat cu SUNTREE SOLAR TECH S.R.L.
nr. 1, nr. de înregistrare electronic 1.360.244;
nr. 1 se citește și se interpretează ca „STP450S-H48-Nkh+”, aceasta fiind
nr. 1;
nr. 1
nr. 1. Confirmarea se
nr. 1 rămâne în vigoare, iar echipamentele</x:v>
      </x:c>
      <x:c r="K410" s="8" t="str">
        <x:v>Text extras; numerele din referințe sunt în coloana separată</x:v>
      </x:c>
      <x:c r="L410" s="8" t="e">
        <x:f>HYPERLINK("file:///Z:/00. Proiecte 2025/AFIR FotoVoltaic 1/16.2 Act Aditional 2-Neaprobat/Arhiva/Declaratie_proiectant_rectificare_CESIRO_AFIR.pdf","Deschide sursa")</x:f>
        <x:v>HYPERLINK is not implemented. linkLocation=file:///Z:/00. Proiecte 2025/AFIR FotoVoltaic 1/16.2 Act Aditional 2-Neaprobat/Arhiva/Declaratie_proiectant_rectificare_CESIRO_AFIR.pdf, friendlyName=Deschide sursa</x:v>
      </x:c>
    </x:row>
    <x:row r="411" ht="64" customHeight="1">
      <x:c r="A411" s="8" t="str">
        <x:v>F0784</x:v>
      </x:c>
      <x:c r="B411" s="8" t="str">
        <x:v>Declaratie_SUNTREE_rectificare_garantii_CESIRO_AFIR.pdf</x:v>
      </x:c>
      <x:c r="C411" s="8" t="str">
        <x:v>Modificare contract</x:v>
      </x:c>
      <x:c r="D411" s="12" t="str"/>
      <x:c r="E411" s="11" t="str"/>
      <x:c r="F411" s="12" t="str"/>
      <x:c r="G411" s="11" t="str"/>
      <x:c r="H411" s="8" t="str">
        <x:v>275 / 01.02.2024</x:v>
      </x:c>
      <x:c r="I411" s="8" t="str">
        <x:v>Versiune de lucru / arhivă</x:v>
      </x:c>
      <x:c r="J411" s="8" t="str">
        <x:v>nr. 14 | CUI: 46361925 | Nr. ORC: J01/817/2022
nr. 275/01.02.2024, nr. înregistrare CESIRO PRODUCTION SRL 05/01.02.2024
nr. 1, nr. de înregistrare electronic 1.360.244, semnat la data de
nr. 275/01.02.2024, încheiat cu CESIRO PRODUCTION SRL pentru implementarea proiectului menționat mai sus,</x:v>
      </x:c>
      <x:c r="K411" s="8" t="str">
        <x:v>Text extras; numerele din referințe sunt în coloana separată</x:v>
      </x:c>
      <x:c r="L411" s="8" t="e">
        <x:f>HYPERLINK("file:///Z:/00. Proiecte 2025/AFIR FotoVoltaic 1/16.2 Act Aditional 2-Neaprobat/Arhiva/Declaratie_SUNTREE_rectificare_garantii_CESIRO_AFIR.pdf","Deschide sursa")</x:f>
        <x:v>HYPERLINK is not implemented. linkLocation=file:///Z:/00. Proiecte 2025/AFIR FotoVoltaic 1/16.2 Act Aditional 2-Neaprobat/Arhiva/Declaratie_SUNTREE_rectificare_garantii_CESIRO_AFIR.pdf, friendlyName=Deschide sursa</x:v>
      </x:c>
    </x:row>
    <x:row r="412" ht="288" customHeight="1">
      <x:c r="A412" s="8" t="str">
        <x:v>F0785</x:v>
      </x:c>
      <x:c r="B412" s="8" t="str">
        <x:v>Notificare_Rectificare_CESIRO_AFIR semnat.pdf</x:v>
      </x:c>
      <x:c r="C412" s="8" t="str">
        <x:v>Modificare contract</x:v>
      </x:c>
      <x:c r="D412" s="12" t="str"/>
      <x:c r="E412" s="11" t="str"/>
      <x:c r="F412" s="12" t="str"/>
      <x:c r="G412" s="11" t="str"/>
      <x:c r="H412" s="8" t="str"/>
      <x:c r="I412" s="8" t="str">
        <x:v>Versiune de lucru / arhivă</x:v>
      </x:c>
      <x:c r="J412" s="8" t="str">
        <x:v>Nr. ONRC: J2021001328014
nr. 5, jud. Alba
nr. 23, jud. Alba
nr. CFMSES011011372801030/30.12.2024
nr. 1 la Contractul de finanțare, nr. de înregistrare electronic 1.360.244,
nr. 1 la Contractul de finanțare nr. CFMSES011011372801030/30.12.2024
nr. 618936, CNP 1721019120687, în calitate de
nr. CFMSES011011372801030/30.12.2024,
nr. 1 și
nr. 275/01.02.2024 (nr. înregistrare CESIRO
nr. 1
nr. FN/11.06.2026, împreună cu documentele justificative aferente,
nregistrate sub nr. R1 SE-SIBA 575/11.06.2026, prin care a solicitat aprobarea actualizării
nr. 1 la Contractul de
nr. CFMSES011011372801030/30.12.2024, cu număr de înregistrare electronic
nr. 7.4, Cecilia-Maria ONIGA, la data de
nr. 1, s-au aprobat modificările tehnice, respectiv modificarea
nr. 1, Beneficiarul a identificat o eroare materială
nr. 1 și nu afectează valabilitatea
nr. FN/11.06.2026, designația comercială</x:v>
      </x:c>
      <x:c r="K412" s="8" t="str">
        <x:v>Text extras; numerele din referințe sunt în coloana separată</x:v>
      </x:c>
      <x:c r="L412" s="8" t="e">
        <x:f>HYPERLINK("file:///Z:/00. Proiecte 2025/AFIR FotoVoltaic 1/16.2 Act Aditional 2-Neaprobat/Arhiva/Notificare_Rectificare_CESIRO_AFIR semnat.pdf","Deschide sursa")</x:f>
        <x:v>HYPERLINK is not implemented. linkLocation=file:///Z:/00. Proiecte 2025/AFIR FotoVoltaic 1/16.2 Act Aditional 2-Neaprobat/Arhiva/Notificare_Rectificare_CESIRO_AFIR semnat.pdf, friendlyName=Deschide sursa</x:v>
      </x:c>
    </x:row>
    <x:row r="413" ht="288" customHeight="1">
      <x:c r="A413" s="8" t="str">
        <x:v>F0786</x:v>
      </x:c>
      <x:c r="B413" s="8" t="str">
        <x:v>Notificare_Rectificare_CESIRO_AFIR.pdf</x:v>
      </x:c>
      <x:c r="C413" s="8" t="str">
        <x:v>Modificare contract</x:v>
      </x:c>
      <x:c r="D413" s="12" t="str"/>
      <x:c r="E413" s="11" t="str"/>
      <x:c r="F413" s="12" t="str"/>
      <x:c r="G413" s="11" t="str"/>
      <x:c r="H413" s="8" t="str"/>
      <x:c r="I413" s="8" t="str">
        <x:v>Versiune de lucru / arhivă</x:v>
      </x:c>
      <x:c r="J413" s="8" t="str">
        <x:v>Nr. ONRC: J2021001328014
nr. 5, jud. Alba
nr. 23, jud. Alba
nr. CFMSES011011372801030/30.12.2024
nr. 1 la Contractul de finanțare, nr. de înregistrare electronic 1.360.244,
nr. 1 la Contractul de finanțare nr. CFMSES011011372801030/30.12.2024
nr. 618936, CNP 1721019120687, în calitate de
nr. CFMSES011011372801030/30.12.2024,
nr. 1 și
nr. 275/01.02.2024 (nr. înregistrare CESIRO
nr. 1
nr. FN/11.06.2026, împreună cu documentele justificative aferente,
nregistrate sub nr. R1 SE-SIBA 575/11.06.2026, prin care a solicitat aprobarea actualizării
nr. 1 la Contractul de
nr. CFMSES011011372801030/30.12.2024, cu număr de înregistrare electronic
nr. 7.4, Cecilia-Maria ONIGA, la data de
nr. 1, s-au aprobat modificările tehnice, respectiv modificarea
nr. 1, Beneficiarul a identificat o eroare materială
nr. 1 și nu afectează valabilitatea
nr. FN/11.06.2026, designația comercială</x:v>
      </x:c>
      <x:c r="K413" s="8" t="str">
        <x:v>Text extras; numerele din referințe sunt în coloana separată</x:v>
      </x:c>
      <x:c r="L413" s="8" t="e">
        <x:f>HYPERLINK("file:///Z:/00. Proiecte 2025/AFIR FotoVoltaic 1/16.2 Act Aditional 2-Neaprobat/Arhiva/Notificare_Rectificare_CESIRO_AFIR.pdf","Deschide sursa")</x:f>
        <x:v>HYPERLINK is not implemented. linkLocation=file:///Z:/00. Proiecte 2025/AFIR FotoVoltaic 1/16.2 Act Aditional 2-Neaprobat/Arhiva/Notificare_Rectificare_CESIRO_AFIR.pdf, friendlyName=Deschide sursa</x:v>
      </x:c>
    </x:row>
    <x:row r="414" ht="36" customHeight="1">
      <x:c r="A414" s="8" t="str">
        <x:v>F0787</x:v>
      </x:c>
      <x:c r="B414" s="8" t="str">
        <x:v>Act. Aditional Nr.1 Cesiro-Suntree.pdf</x:v>
      </x:c>
      <x:c r="C414" s="8" t="str">
        <x:v>Modificare contract</x:v>
      </x:c>
      <x:c r="D414" s="12" t="str"/>
      <x:c r="E414" s="11" t="str"/>
      <x:c r="F414" s="12" t="str"/>
      <x:c r="G414" s="11" t="str"/>
      <x:c r="H414" s="8" t="str"/>
      <x:c r="I414" s="8" t="str">
        <x:v>Document local; transmiterea individuală neconfirmată</x:v>
      </x:c>
      <x:c r="J414" s="8" t="str"/>
      <x:c r="K414" s="8" t="str">
        <x:v>Text extras; numerele din referințe sunt în coloana separată</x:v>
      </x:c>
      <x:c r="L414" s="8" t="e">
        <x:f>HYPERLINK("file:///Z:/00. Proiecte 2025/AFIR FotoVoltaic 1/16.2 Act Aditional 2-Neaprobat/PDF/Act. Aditional Nr.1 Cesiro-Suntree.pdf","Deschide sursa")</x:f>
        <x:v>HYPERLINK is not implemented. linkLocation=file:///Z:/00. Proiecte 2025/AFIR FotoVoltaic 1/16.2 Act Aditional 2-Neaprobat/PDF/Act. Aditional Nr.1 Cesiro-Suntree.pdf, friendlyName=Deschide sursa</x:v>
      </x:c>
    </x:row>
    <x:row r="415" ht="36" customHeight="1">
      <x:c r="A415" s="8" t="str">
        <x:v>F0788</x:v>
      </x:c>
      <x:c r="B415" s="8" t="str">
        <x:v>Act. Aditional Nr.2- Cesiro-Suntree.pdf</x:v>
      </x:c>
      <x:c r="C415" s="8" t="str">
        <x:v>Modificare contract</x:v>
      </x:c>
      <x:c r="D415" s="12" t="str"/>
      <x:c r="E415" s="11" t="str"/>
      <x:c r="F415" s="12" t="str"/>
      <x:c r="G415" s="11" t="str"/>
      <x:c r="H415" s="8" t="str"/>
      <x:c r="I415" s="8" t="str">
        <x:v>Document local; transmiterea individuală neconfirmată</x:v>
      </x:c>
      <x:c r="J415" s="8" t="str"/>
      <x:c r="K415" s="8" t="str">
        <x:v>Text extras; numerele din referințe sunt în coloana separată</x:v>
      </x:c>
      <x:c r="L415" s="8" t="e">
        <x:f>HYPERLINK("file:///Z:/00. Proiecte 2025/AFIR FotoVoltaic 1/16.2 Act Aditional 2-Neaprobat/PDF/Act. Aditional Nr.2- Cesiro-Suntree.pdf","Deschide sursa")</x:f>
        <x:v>HYPERLINK is not implemented. linkLocation=file:///Z:/00. Proiecte 2025/AFIR FotoVoltaic 1/16.2 Act Aditional 2-Neaprobat/PDF/Act. Aditional Nr.2- Cesiro-Suntree.pdf, friendlyName=Deschide sursa</x:v>
      </x:c>
    </x:row>
    <x:row r="416" ht="204" customHeight="1">
      <x:c r="A416" s="8" t="str">
        <x:v>F0789</x:v>
      </x:c>
      <x:c r="B416" s="8" t="str">
        <x:v>Adresa_Inaintare_CESIRO_AFIR.pdf</x:v>
      </x:c>
      <x:c r="C416" s="8" t="str">
        <x:v>Modificare contract</x:v>
      </x:c>
      <x:c r="D416" s="12" t="str"/>
      <x:c r="E416" s="11" t="str"/>
      <x:c r="F416" s="12" t="str"/>
      <x:c r="G416" s="11" t="str"/>
      <x:c r="H416" s="8" t="str"/>
      <x:c r="I416" s="8" t="str">
        <x:v>Document local; transmiterea individuală neconfirmată</x:v>
      </x:c>
      <x:c r="J416" s="8" t="str">
        <x:v>Nr. ONRC: J2021001328014
nr. 5, jud. Alba
Nr. .............. / .................. 2026
nr. 23, jud. Alba
nr. CFMSES011011372801030/30.12.2024
nr. 1, nr. de înregistrare electronic 1.360.244/30.06.2026
nr. 1 la Contractul de finanțare nr. CFMSES011011372801030/30.12.2024;
nr. 2 la Contractul de achiziție/furnizare nr. 275/01.02.2024, încheiat la
FN/11.06.2026, Referatul proiectantului, Studiul justificativ aprofundat), constând în
nr. 275/01.02.2024 astfel cum a fost modificat prin Actul Adițional nr.
nr. 1 la Contractul de finanțare se păstrează în
nr. 2 la
nr. CFMSES011011372801030/30.12.2024 , prin care designația
nr. 2 și luarea acestora în consider are la</x:v>
      </x:c>
      <x:c r="K416" s="8" t="str">
        <x:v>Text extras; numerele din referințe sunt în coloana separată</x:v>
      </x:c>
      <x:c r="L416" s="8" t="e">
        <x:f>HYPERLINK("file:///Z:/00. Proiecte 2025/AFIR FotoVoltaic 1/16.2 Act Aditional 2-Neaprobat/PDF/Adresa_Inaintare_CESIRO_AFIR.pdf","Deschide sursa")</x:f>
        <x:v>HYPERLINK is not implemented. linkLocation=file:///Z:/00. Proiecte 2025/AFIR FotoVoltaic 1/16.2 Act Aditional 2-Neaprobat/PDF/Adresa_Inaintare_CESIRO_AFIR.pdf, friendlyName=Deschide sursa</x:v>
      </x:c>
    </x:row>
    <x:row r="417" ht="50" customHeight="1">
      <x:c r="A417" s="8" t="str">
        <x:v>F0790</x:v>
      </x:c>
      <x:c r="B417" s="8" t="str">
        <x:v>Declaratia Proiectantului-s_.pdf</x:v>
      </x:c>
      <x:c r="C417" s="8" t="str">
        <x:v>Modificare contract</x:v>
      </x:c>
      <x:c r="D417" s="12" t="str"/>
      <x:c r="E417" s="11" t="str"/>
      <x:c r="F417" s="12" t="str"/>
      <x:c r="G417" s="11" t="str"/>
      <x:c r="H417" s="8" t="str"/>
      <x:c r="I417" s="8" t="str">
        <x:v>Document local; transmiterea individuală neconfirmată</x:v>
      </x:c>
      <x:c r="J417" s="8" t="str">
        <x:v>Nr.3 CUI RO 30332737
nr. 1. Confirmarea se
nr. 1 ramane in vigoare, iar echipamentele</x:v>
      </x:c>
      <x:c r="K417" s="8" t="str">
        <x:v>Text extras; numerele din referințe sunt în coloana separată</x:v>
      </x:c>
      <x:c r="L417" s="8" t="e">
        <x:f>HYPERLINK("file:///Z:/00. Proiecte 2025/AFIR FotoVoltaic 1/16.2 Act Aditional 2-Neaprobat/PDF/Declaratia Proiectantului-s_.pdf","Deschide sursa")</x:f>
        <x:v>HYPERLINK is not implemented. linkLocation=file:///Z:/00. Proiecte 2025/AFIR FotoVoltaic 1/16.2 Act Aditional 2-Neaprobat/PDF/Declaratia Proiectantului-s_.pdf, friendlyName=Deschide sursa</x:v>
      </x:c>
    </x:row>
    <x:row r="418" ht="64" customHeight="1">
      <x:c r="A418" s="8" t="str">
        <x:v>F0793</x:v>
      </x:c>
      <x:c r="B418" s="8" t="str">
        <x:v>Formular_C3_1_completat-de solicitare.pdf</x:v>
      </x:c>
      <x:c r="C418" s="8" t="str">
        <x:v>Modificare contract</x:v>
      </x:c>
      <x:c r="D418" s="12" t="str"/>
      <x:c r="E418" s="11" t="str"/>
      <x:c r="F418" s="12" t="str"/>
      <x:c r="G418" s="11" t="str"/>
      <x:c r="H418" s="8" t="str"/>
      <x:c r="I418" s="8" t="str">
        <x:v>Document local; transmiterea individuală neconfirmată</x:v>
      </x:c>
      <x:c r="J418" s="8" t="str">
        <x:v>nr. FN/11.06.2026,
nr. 2 la Contractul de finanțare nr.
nr. 1
nr. 2</x:v>
      </x:c>
      <x:c r="K418" s="8" t="str">
        <x:v>Text extras; numerele din referințe sunt în coloana separată</x:v>
      </x:c>
      <x:c r="L418" s="8" t="e">
        <x:f>HYPERLINK("file:///Z:/00. Proiecte 2025/AFIR FotoVoltaic 1/16.2 Act Aditional 2-Neaprobat/PDF/Formular_C3_1_completat-de solicitare.pdf","Deschide sursa")</x:f>
        <x:v>HYPERLINK is not implemented. linkLocation=file:///Z:/00. Proiecte 2025/AFIR FotoVoltaic 1/16.2 Act Aditional 2-Neaprobat/PDF/Formular_C3_1_completat-de solicitare.pdf, friendlyName=Deschide sursa</x:v>
      </x:c>
    </x:row>
    <x:row r="419" ht="64" customHeight="1">
      <x:c r="A419" s="8" t="str">
        <x:v>F0794</x:v>
      </x:c>
      <x:c r="B419" s="8" t="str">
        <x:v>Act. Aditional Nr.1 Cesiro-Suntree_.pdf</x:v>
      </x:c>
      <x:c r="C419" s="8" t="str">
        <x:v>Modificare contract</x:v>
      </x:c>
      <x:c r="D419" s="12" t="str"/>
      <x:c r="E419" s="11" t="str"/>
      <x:c r="F419" s="12" t="str"/>
      <x:c r="G419" s="11" t="str"/>
      <x:c r="H419" s="8" t="str"/>
      <x:c r="I419" s="8" t="str">
        <x:v>Document local; transmiterea individuală neconfirmată</x:v>
      </x:c>
      <x:c r="J419" s="8" t="str">
        <x:v>Nr. 1
nr. 273/30.12.2025
nr. 275/01.02.2024 1ncheiat 1ntre parti denumit 1n continuare
nr. CFMSES011011372801030 din 30.12.2024, 1ncheiat 1ntre CESIRO</x:v>
      </x:c>
      <x:c r="K419" s="8" t="str">
        <x:v>Text extras; numerele din referințe sunt în coloana separată</x:v>
      </x:c>
      <x:c r="L419" s="8" t="e">
        <x:f>HYPERLINK("file:///Z:/00. Proiecte 2025/AFIR FotoVoltaic 1/16.2 Act Aditional 2-Neaprobat/PDF - Semnat/Act. Aditional Nr.1 Cesiro-Suntree_.pdf","Deschide sursa")</x:f>
        <x:v>HYPERLINK is not implemented. linkLocation=file:///Z:/00. Proiecte 2025/AFIR FotoVoltaic 1/16.2 Act Aditional 2-Neaprobat/PDF - Semnat/Act. Aditional Nr.1 Cesiro-Suntree_.pdf, friendlyName=Deschide sursa</x:v>
      </x:c>
    </x:row>
    <x:row r="420" ht="78" customHeight="1">
      <x:c r="A420" s="8" t="str">
        <x:v>F0795</x:v>
      </x:c>
      <x:c r="B420" s="8" t="str">
        <x:v>Act. Aditional Nr.2- Cesiro-Suntree__.pdf</x:v>
      </x:c>
      <x:c r="C420" s="8" t="str">
        <x:v>Modificare contract</x:v>
      </x:c>
      <x:c r="D420" s="12" t="str"/>
      <x:c r="E420" s="11" t="str"/>
      <x:c r="F420" s="12" t="str"/>
      <x:c r="G420" s="11" t="str"/>
      <x:c r="H420" s="8" t="str"/>
      <x:c r="I420" s="8" t="str">
        <x:v>Document local; transmiterea individuală neconfirmată</x:v>
      </x:c>
      <x:c r="J420" s="8" t="str">
        <x:v>Nr. 2
nr. 275/01.02.2024
nr. 275/01.02.2024 incheiat intre parti ( denumit in continuare
nr. CFMSES011011372801030/30.12.2024, incheiat intre CESJRO
nr. 1,</x:v>
      </x:c>
      <x:c r="K420" s="8" t="str">
        <x:v>Text extras; numerele din referințe sunt în coloana separată</x:v>
      </x:c>
      <x:c r="L420" s="8" t="e">
        <x:f>HYPERLINK("file:///Z:/00. Proiecte 2025/AFIR FotoVoltaic 1/16.2 Act Aditional 2-Neaprobat/PDF - Semnat/Act. Aditional Nr.2- Cesiro-Suntree__.pdf","Deschide sursa")</x:f>
        <x:v>HYPERLINK is not implemented. linkLocation=file:///Z:/00. Proiecte 2025/AFIR FotoVoltaic 1/16.2 Act Aditional 2-Neaprobat/PDF - Semnat/Act. Aditional Nr.2- Cesiro-Suntree__.pdf, friendlyName=Deschide sursa</x:v>
      </x:c>
    </x:row>
    <x:row r="421" ht="190" customHeight="1">
      <x:c r="A421" s="8" t="str">
        <x:v>F0796</x:v>
      </x:c>
      <x:c r="B421" s="8" t="str">
        <x:v>Adresa_Inaintare_CESIRO_AFIR_.pdf</x:v>
      </x:c>
      <x:c r="C421" s="8" t="str">
        <x:v>Modificare contract</x:v>
      </x:c>
      <x:c r="D421" s="12" t="str"/>
      <x:c r="E421" s="11" t="str"/>
      <x:c r="F421" s="12" t="str"/>
      <x:c r="G421" s="11" t="str"/>
      <x:c r="H421" s="8" t="str"/>
      <x:c r="I421" s="8" t="str">
        <x:v>Document local; transmiterea individuală neconfirmată</x:v>
      </x:c>
      <x:c r="J421" s="8" t="str">
        <x:v>Nr. ONRC: J2021001328014
nr. 5, jud. Alba
nr. 23, jud. Alba
nr. CFMSES011011372801030/30.12.2024
nr. 1, nr. de înregistrare electronic 1.360.244/30.06.2026
nr. 1 la Contractul de finanțare nr. CFMSES011011372801030/30.12.2024;
nr. 2 la Contractul de achiziție/furnizare nr. 275/01.02.2024, încheiat la
FN/11.06.2026, Referatul proiectantului, Studiul justificativ aprofundat), constând în
nr. 275/01.02.2024 astfel cum a fost modificat prin Actul Adițional nr.
nr. 1 la Contractul de finanțare se păstrează în
nr. 2 la
nr. CFMSES011011372801030/30.12.2024 , prin care designația
nr. 2 și luarea acestora în consider are la</x:v>
      </x:c>
      <x:c r="K421" s="8" t="str">
        <x:v>Text extras; numerele din referințe sunt în coloana separată</x:v>
      </x:c>
      <x:c r="L421" s="8" t="e">
        <x:f>HYPERLINK("file:///Z:/00. Proiecte 2025/AFIR FotoVoltaic 1/16.2 Act Aditional 2-Neaprobat/PDF - Semnat/Adresa_Inaintare_CESIRO_AFIR_.pdf","Deschide sursa")</x:f>
        <x:v>HYPERLINK is not implemented. linkLocation=file:///Z:/00. Proiecte 2025/AFIR FotoVoltaic 1/16.2 Act Aditional 2-Neaprobat/PDF - Semnat/Adresa_Inaintare_CESIRO_AFIR_.pdf, friendlyName=Deschide sursa</x:v>
      </x:c>
    </x:row>
    <x:row r="422" ht="120" customHeight="1">
      <x:c r="A422" s="8" t="str">
        <x:v>F0797</x:v>
      </x:c>
      <x:c r="B422" s="8" t="str">
        <x:v>C3.3.8 (2) (1).pdf</x:v>
      </x:c>
      <x:c r="C422" s="8" t="str">
        <x:v>Modificare contract</x:v>
      </x:c>
      <x:c r="D422" s="12" t="str"/>
      <x:c r="E422" s="11" t="str"/>
      <x:c r="F422" s="12" t="str">
        <x:v>1.370.394</x:v>
      </x:c>
      <x:c r="G422" s="11" t="str"/>
      <x:c r="H422" s="8" t="str"/>
      <x:c r="I422" s="8" t="str">
        <x:v>Document local; transmiterea individuală neconfirmată</x:v>
      </x:c>
      <x:c r="J422" s="8" t="str">
        <x:v>Nr: 23, Jud: ALBA, Tel: 0358 860 245
Număr de înregistrare electronic: 1.370.394
Nr. 5, Cod poștal 510040, MUNICIPIUL ALBA IULIA, Jud. ALBA
nr. FN/13.07.2026 și
nregistrate la Centrul Regional pentru Finan țarea Investițiilor Rurale 7 Centru
nr. 671/14.07.2026, vă informăm că aceasta nu a fost aprobată pentru următoarele considerente:
nr. 1 din data de 30.06.2026, rezultă în mod evident
nr. 1, perfectat cu AFIR, fapt care determină lipsa de obiect</x:v>
      </x:c>
      <x:c r="K422" s="8" t="str">
        <x:v>Text extras; numerele din referințe sunt în coloana separată</x:v>
      </x:c>
      <x:c r="L422" s="8" t="e">
        <x:f>HYPERLINK("file:///Z:/00. Proiecte 2025/AFIR FotoVoltaic 1/16.2 Act Aditional 2-Neaprobat/PDF - Semnat/C3.3.8 (2) (1).pdf","Deschide sursa")</x:f>
        <x:v>HYPERLINK is not implemented. linkLocation=file:///Z:/00. Proiecte 2025/AFIR FotoVoltaic 1/16.2 Act Aditional 2-Neaprobat/PDF - Semnat/C3.3.8 (2) (1).pdf, friendlyName=Deschide sursa</x:v>
      </x:c>
    </x:row>
    <x:row r="423" ht="50" customHeight="1">
      <x:c r="A423" s="8" t="str">
        <x:v>F0798</x:v>
      </x:c>
      <x:c r="B423" s="8" t="str">
        <x:v>Declaratia Proiectantului-s__.pdf</x:v>
      </x:c>
      <x:c r="C423" s="8" t="str">
        <x:v>Modificare contract</x:v>
      </x:c>
      <x:c r="D423" s="12" t="str"/>
      <x:c r="E423" s="11" t="str"/>
      <x:c r="F423" s="12" t="str"/>
      <x:c r="G423" s="11" t="str"/>
      <x:c r="H423" s="8" t="str"/>
      <x:c r="I423" s="8" t="str">
        <x:v>Document local; transmiterea individuală neconfirmată</x:v>
      </x:c>
      <x:c r="J423" s="8" t="str">
        <x:v>Nr.3 CUI RO 30332737
nr. 1. Confirmarea se
nr. 1 ramane in vigoare, iar echipamentele</x:v>
      </x:c>
      <x:c r="K423" s="8" t="str">
        <x:v>Text extras; numerele din referințe sunt în coloana separată</x:v>
      </x:c>
      <x:c r="L423" s="8" t="e">
        <x:f>HYPERLINK("file:///Z:/00. Proiecte 2025/AFIR FotoVoltaic 1/16.2 Act Aditional 2-Neaprobat/PDF - Semnat/Declaratia Proiectantului-s__.pdf","Deschide sursa")</x:f>
        <x:v>HYPERLINK is not implemented. linkLocation=file:///Z:/00. Proiecte 2025/AFIR FotoVoltaic 1/16.2 Act Aditional 2-Neaprobat/PDF - Semnat/Declaratia Proiectantului-s__.pdf, friendlyName=Deschide sursa</x:v>
      </x:c>
    </x:row>
    <x:row r="424" ht="36" customHeight="1">
      <x:c r="A424" s="8" t="str">
        <x:v>F0799</x:v>
      </x:c>
      <x:c r="B424" s="8" t="str">
        <x:v>Documente Anexe.zip</x:v>
      </x:c>
      <x:c r="C424" s="8" t="str">
        <x:v>Modificare contract</x:v>
      </x:c>
      <x:c r="D424" s="12" t="str"/>
      <x:c r="E424" s="11" t="str"/>
      <x:c r="F424" s="12" t="str"/>
      <x:c r="G424" s="11" t="str"/>
      <x:c r="H424" s="8" t="str"/>
      <x:c r="I424" s="8" t="str">
        <x:v>Document local; transmiterea individuală neconfirmată</x:v>
      </x:c>
      <x:c r="J424" s="8" t="str"/>
      <x:c r="K424" s="8" t="str">
        <x:v>Necesită citire vizuală / OCR / formular XFA</x:v>
      </x:c>
      <x:c r="L424" s="8" t="e">
        <x:f>HYPERLINK("file:///Z:/00. Proiecte 2025/AFIR FotoVoltaic 1/16.2 Act Aditional 2-Neaprobat/PDF - Semnat/Documente Anexe.zip","Deschide sursa")</x:f>
        <x:v>HYPERLINK is not implemented. linkLocation=file:///Z:/00. Proiecte 2025/AFIR FotoVoltaic 1/16.2 Act Aditional 2-Neaprobat/PDF - Semnat/Documente Anexe.zip, friendlyName=Deschide sursa</x:v>
      </x:c>
    </x:row>
    <x:row r="425" ht="36" customHeight="1">
      <x:c r="A425" s="8" t="str">
        <x:v>F0800</x:v>
      </x:c>
      <x:c r="B425" s="8" t="str">
        <x:v>Fisa Tehnica- EN_STP430-450S-H48-Nkh+.pdf</x:v>
      </x:c>
      <x:c r="C425" s="8" t="str">
        <x:v>Modificare contract</x:v>
      </x:c>
      <x:c r="D425" s="12" t="str"/>
      <x:c r="E425" s="11" t="str"/>
      <x:c r="F425" s="12" t="str"/>
      <x:c r="G425" s="11" t="str"/>
      <x:c r="H425" s="8" t="str"/>
      <x:c r="I425" s="8" t="str">
        <x:v>Document local; transmiterea individuală neconfirmată</x:v>
      </x:c>
      <x:c r="J425" s="8" t="str"/>
      <x:c r="K425" s="8" t="str">
        <x:v>Text extras; numerele din referințe sunt în coloana separată</x:v>
      </x:c>
      <x:c r="L425" s="8" t="e">
        <x:f>HYPERLINK("file:///Z:/00. Proiecte 2025/AFIR FotoVoltaic 1/16.2 Act Aditional 2-Neaprobat/PDF - Semnat/Fisa Tehnica- EN_STP430-450S-H48-Nkh+.pdf","Deschide sursa")</x:f>
        <x:v>HYPERLINK is not implemented. linkLocation=file:///Z:/00. Proiecte 2025/AFIR FotoVoltaic 1/16.2 Act Aditional 2-Neaprobat/PDF - Semnat/Fisa Tehnica- EN_STP430-450S-H48-Nkh+.pdf, friendlyName=Deschide sursa</x:v>
      </x:c>
    </x:row>
    <x:row r="426" ht="36" customHeight="1">
      <x:c r="A426" s="8" t="str">
        <x:v>F0801</x:v>
      </x:c>
      <x:c r="B426" s="8" t="str">
        <x:v>Fisa Tehnica- EN_STP430-450S-H48-Nth+.pdf</x:v>
      </x:c>
      <x:c r="C426" s="8" t="str">
        <x:v>Modificare contract</x:v>
      </x:c>
      <x:c r="D426" s="12" t="str"/>
      <x:c r="E426" s="11" t="str"/>
      <x:c r="F426" s="12" t="str"/>
      <x:c r="G426" s="11" t="str"/>
      <x:c r="H426" s="8" t="str"/>
      <x:c r="I426" s="8" t="str">
        <x:v>Document local; transmiterea individuală neconfirmată</x:v>
      </x:c>
      <x:c r="J426" s="8" t="str"/>
      <x:c r="K426" s="8" t="str">
        <x:v>Text extras; numerele din referințe sunt în coloana separată</x:v>
      </x:c>
      <x:c r="L426" s="8" t="e">
        <x:f>HYPERLINK("file:///Z:/00. Proiecte 2025/AFIR FotoVoltaic 1/16.2 Act Aditional 2-Neaprobat/PDF - Semnat/Fisa Tehnica- EN_STP430-450S-H48-Nth+.pdf","Deschide sursa")</x:f>
        <x:v>HYPERLINK is not implemented. linkLocation=file:///Z:/00. Proiecte 2025/AFIR FotoVoltaic 1/16.2 Act Aditional 2-Neaprobat/PDF - Semnat/Fisa Tehnica- EN_STP430-450S-H48-Nth+.pdf, friendlyName=Deschide sursa</x:v>
      </x:c>
    </x:row>
    <x:row r="427" ht="64" customHeight="1">
      <x:c r="A427" s="8" t="str">
        <x:v>F0802</x:v>
      </x:c>
      <x:c r="B427" s="8" t="str">
        <x:v>Formular_C3_1_completat-de solicitare_.pdf</x:v>
      </x:c>
      <x:c r="C427" s="8" t="str">
        <x:v>Modificare contract</x:v>
      </x:c>
      <x:c r="D427" s="12" t="str"/>
      <x:c r="E427" s="11" t="str"/>
      <x:c r="F427" s="12" t="str"/>
      <x:c r="G427" s="11" t="str"/>
      <x:c r="H427" s="8" t="str"/>
      <x:c r="I427" s="8" t="str">
        <x:v>Document local; transmiterea individuală neconfirmată</x:v>
      </x:c>
      <x:c r="J427" s="8" t="str">
        <x:v>nr. FN/11.06.2026,
nr. 2 la Contractul de finanțare nr.
nr. 1
nr. 2</x:v>
      </x:c>
      <x:c r="K427" s="8" t="str">
        <x:v>Text extras; numerele din referințe sunt în coloana separată</x:v>
      </x:c>
      <x:c r="L427" s="8" t="e">
        <x:f>HYPERLINK("file:///Z:/00. Proiecte 2025/AFIR FotoVoltaic 1/16.2 Act Aditional 2-Neaprobat/PDF - Semnat/Formular_C3_1_completat-de solicitare_.pdf","Deschide sursa")</x:f>
        <x:v>HYPERLINK is not implemented. linkLocation=file:///Z:/00. Proiecte 2025/AFIR FotoVoltaic 1/16.2 Act Aditional 2-Neaprobat/PDF - Semnat/Formular_C3_1_completat-de solicitare_.pdf, friendlyName=Deschide sursa</x:v>
      </x:c>
    </x:row>
    <x:row r="428" ht="148" customHeight="1">
      <x:c r="A428" s="8" t="str">
        <x:v>F0803</x:v>
      </x:c>
      <x:c r="B428" s="8" t="str">
        <x:v>Act_Aditional_Nr1_unificat_Cesiro_Suntree.docx</x:v>
      </x:c>
      <x:c r="C428" s="8" t="str">
        <x:v>Modificare contract</x:v>
      </x:c>
      <x:c r="D428" s="12" t="str"/>
      <x:c r="E428" s="11" t="str"/>
      <x:c r="F428" s="12" t="str"/>
      <x:c r="G428" s="11" t="str"/>
      <x:c r="H428" s="8" t="str"/>
      <x:c r="I428" s="8" t="str">
        <x:v>Versiune de lucru / arhivă</x:v>
      </x:c>
      <x:c r="J428" s="8" t="str">
        <x:v>Nr. 1
nr. 275/01.02.2024
nr. 275/01.02.2024 (denumit în continuare „Contractul”);
nr. CFMSES011011372801030/30.12.2024, încheiat între CESIRO PRODUCTION SRL și Agenția pentru Finanțarea Investițiilor Rurale, în cadrul Fondului pentru Modernizare
nr. CFMSES011011372801030 și nu modifică valoarea Contractului, obiectul acestuia sau celelalte obligații ale părților.
nr. 275/01.02.2024 rămân neschimbate și își produc efectele în continuare.
nr. 275/01.02.2024 și a fost încheiat astăzi, 30.12.2025, în 2 (două) exemplare originale, câte unul pentru fiecare parte.</x:v>
      </x:c>
      <x:c r="K428" s="8" t="str">
        <x:v>Text extras; numerele din referințe sunt în coloana separată</x:v>
      </x:c>
      <x:c r="L428" s="8" t="e">
        <x:f>HYPERLINK("file:///Z:/00. Proiecte 2025/AFIR FotoVoltaic 1/16.2 Act Aditional 2-Neaprobat/Clarificare nr.1/editabile/Act_Aditional_Nr1_unificat_Cesiro_Suntree.docx","Deschide sursa")</x:f>
        <x:v>HYPERLINK is not implemented. linkLocation=file:///Z:/00. Proiecte 2025/AFIR FotoVoltaic 1/16.2 Act Aditional 2-Neaprobat/Clarificare nr.1/editabile/Act_Aditional_Nr1_unificat_Cesiro_Suntree.docx, friendlyName=Deschide sursa</x:v>
      </x:c>
    </x:row>
    <x:row r="429" ht="288" customHeight="1">
      <x:c r="A429" s="8" t="str">
        <x:v>F0804</x:v>
      </x:c>
      <x:c r="B429" s="8" t="str">
        <x:v>Memoriu_justificativ_completare_Nkh (1).docx</x:v>
      </x:c>
      <x:c r="C429" s="8" t="str">
        <x:v>Modificare contract</x:v>
      </x:c>
      <x:c r="D429" s="12" t="str"/>
      <x:c r="E429" s="11" t="str"/>
      <x:c r="F429" s="12" t="str"/>
      <x:c r="G429" s="11" t="str"/>
      <x:c r="H429" s="8" t="str"/>
      <x:c r="I429" s="8" t="str">
        <x:v>Versiune de lucru / arhivă</x:v>
      </x:c>
      <x:c r="J429" s="8" t="str">
        <x:v>nr. 5, jud. Alba Punct de lucru: Sighișoara, str. Mihai Viteazu nr. 96, jud. Mureș
nr. CFMSES011011372801030/30.12.2024, întocmește și își asumă prezentul memoriu justificativ de completare pentru a clarifica designația comercială și tipul constr
nr. 1 la Contractul de finanțare — Memoriul justificativ consolidat nr. FN/11.06.2026, referatul proiectantului și studiul justificativ aprofundat — a identificat
nr. 2/08.06.2026 la Contractul de achiziție/furnizare nr. 275/01.02.2024.
nr. 1, modulele au fost identificate ca Nth+, de tip constructiv bifacial. Beneficiarul precizează că diferența față de modulul efectiv instalat nu se rezumă la su
nr. 1, dimensionarea stringurilor și compatibilitatea cu invertoarele Huawei SUN2000-100KTL-M2 — în configurația avizată de 10 × 100 kW, cu putere totală în curent
nr. 1 nu se modifică.
nr. 1; diferența de tip constructiv monofacial în loc de bifacial nu diminuează capacitatea instalată aprobată de 999,780 kWp și nu afectează dimensionarea stringu
nr. 1 se citește și se interpretează ca „STP450S-H48-Nkh+”, de tip glass-glass monofacial, aceasta fiind designația corectă a modulului efectiv achiziționat și ins
nr. 1 rămâne integral valabilă și pentru modulul cu designația corectă.
nr. CFMSES011011372801030/30.12.2024
nr. 1, nr. semnat la data de 30.06.2026
nr. 275/01.02.2024, încheiat cu SUNTREE SOLAR TECH S.R.L.
nr. 2/08.06.2026 la Contractul nr. 275/01.02.2024</x:v>
      </x:c>
      <x:c r="K429" s="8" t="str">
        <x:v>Text extras; numerele din referințe sunt în coloana separată</x:v>
      </x:c>
      <x:c r="L429" s="8" t="e">
        <x:f>HYPERLINK("file:///Z:/00. Proiecte 2025/AFIR FotoVoltaic 1/16.2 Act Aditional 2-Neaprobat/Clarificare nr.1/editabile/Memoriu_justificativ_completare_Nkh (1).docx","Deschide sursa")</x:f>
        <x:v>HYPERLINK is not implemented. linkLocation=file:///Z:/00. Proiecte 2025/AFIR FotoVoltaic 1/16.2 Act Aditional 2-Neaprobat/Clarificare nr.1/editabile/Memoriu_justificativ_completare_Nkh (1).docx, friendlyName=Deschide sursa</x:v>
      </x:c>
    </x:row>
    <x:row r="430" ht="92" customHeight="1">
      <x:c r="A430" s="8" t="str">
        <x:v>F0805</x:v>
      </x:c>
      <x:c r="B430" s="8" t="str">
        <x:v>Act_Aditional_Nr1_unificat_Cesiro_Suntree.pdf</x:v>
      </x:c>
      <x:c r="C430" s="8" t="str">
        <x:v>Modificare contract</x:v>
      </x:c>
      <x:c r="D430" s="12" t="str"/>
      <x:c r="E430" s="11" t="str"/>
      <x:c r="F430" s="12" t="str"/>
      <x:c r="G430" s="11" t="str"/>
      <x:c r="H430" s="8" t="str"/>
      <x:c r="I430" s="8" t="str">
        <x:v>Document local; transmiterea individuală neconfirmată</x:v>
      </x:c>
      <x:c r="J430" s="8" t="str">
        <x:v>Nr. 1
nr. 275/01.02.2024
nr. 275/01.02.2024 (denumit în continuare
nr. CFMSES011011372801030/30.12.2024, încheiat între
nr. CFMSES011011372801030 ș i nu modifică valoarea Contractului, obiectul
nr. 275/01.02.2024 rămân</x:v>
      </x:c>
      <x:c r="K430" s="8" t="str">
        <x:v>Text extras; numerele din referințe sunt în coloana separată</x:v>
      </x:c>
      <x:c r="L430" s="8" t="e">
        <x:f>HYPERLINK("file:///Z:/00. Proiecte 2025/AFIR FotoVoltaic 1/16.2 Act Aditional 2-Neaprobat/Clarificare nr.1/pdf/Act_Aditional_Nr1_unificat_Cesiro_Suntree.pdf","Deschide sursa")</x:f>
        <x:v>HYPERLINK is not implemented. linkLocation=file:///Z:/00. Proiecte 2025/AFIR FotoVoltaic 1/16.2 Act Aditional 2-Neaprobat/Clarificare nr.1/pdf/Act_Aditional_Nr1_unificat_Cesiro_Suntree.pdf, friendlyName=Deschide sursa</x:v>
      </x:c>
    </x:row>
    <x:row r="431" ht="36" customHeight="1">
      <x:c r="A431" s="8" t="str">
        <x:v>F0806</x:v>
      </x:c>
      <x:c r="B431" s="8" t="str">
        <x:v>Contract de Prestari servicii suntree-cesiro production.pdf</x:v>
      </x:c>
      <x:c r="C431" s="8" t="str">
        <x:v>Modificare contract</x:v>
      </x:c>
      <x:c r="D431" s="12" t="str"/>
      <x:c r="E431" s="11" t="str"/>
      <x:c r="F431" s="12" t="str"/>
      <x:c r="G431" s="11" t="str"/>
      <x:c r="H431" s="8" t="str"/>
      <x:c r="I431" s="8" t="str">
        <x:v>Document local; transmiterea individuală neconfirmată</x:v>
      </x:c>
      <x:c r="J431" s="8" t="str"/>
      <x:c r="K431" s="8" t="str">
        <x:v>Text extras; numerele din referințe sunt în coloana separată</x:v>
      </x:c>
      <x:c r="L431" s="8" t="e">
        <x:f>HYPERLINK("file:///Z:/00. Proiecte 2025/AFIR FotoVoltaic 1/16.2 Act Aditional 2-Neaprobat/Clarificare nr.1/pdf/Contract de Prestari servicii suntree-cesiro production.pdf","Deschide sursa")</x:f>
        <x:v>HYPERLINK is not implemented. linkLocation=file:///Z:/00. Proiecte 2025/AFIR FotoVoltaic 1/16.2 Act Aditional 2-Neaprobat/Clarificare nr.1/pdf/Contract de Prestari servicii suntree-cesiro production.pdf, friendlyName=Deschide sursa</x:v>
      </x:c>
    </x:row>
    <x:row r="432" ht="36" customHeight="1">
      <x:c r="A432" s="8" t="str">
        <x:v>F0807</x:v>
      </x:c>
      <x:c r="B432" s="8" t="str">
        <x:v>Memoriu Justificativ.pdf</x:v>
      </x:c>
      <x:c r="C432" s="8" t="str">
        <x:v>Modificare contract</x:v>
      </x:c>
      <x:c r="D432" s="12" t="str"/>
      <x:c r="E432" s="11" t="str"/>
      <x:c r="F432" s="12" t="str"/>
      <x:c r="G432" s="11" t="str"/>
      <x:c r="H432" s="8" t="str"/>
      <x:c r="I432" s="8" t="str">
        <x:v>Document local; transmiterea individuală neconfirmată</x:v>
      </x:c>
      <x:c r="J432" s="8" t="str"/>
      <x:c r="K432" s="8" t="str">
        <x:v>Text extras; numerele din referințe sunt în coloana separată</x:v>
      </x:c>
      <x:c r="L432" s="8" t="e">
        <x:f>HYPERLINK("file:///Z:/00. Proiecte 2025/AFIR FotoVoltaic 1/16.2 Act Aditional 2-Neaprobat/Clarificare nr.1/pdf/Memoriu Justificativ.pdf","Deschide sursa")</x:f>
        <x:v>HYPERLINK is not implemented. linkLocation=file:///Z:/00. Proiecte 2025/AFIR FotoVoltaic 1/16.2 Act Aditional 2-Neaprobat/Clarificare nr.1/pdf/Memoriu Justificativ.pdf, friendlyName=Deschide sursa</x:v>
      </x:c>
    </x:row>
    <x:row r="433" ht="92" customHeight="1">
      <x:c r="A433" s="8" t="str">
        <x:v>F0808</x:v>
      </x:c>
      <x:c r="B433" s="8" t="str">
        <x:v>Act_Aditional_Nr1_unificat_Cesiro_Suntree_s.pdf</x:v>
      </x:c>
      <x:c r="C433" s="8" t="str">
        <x:v>Modificare contract</x:v>
      </x:c>
      <x:c r="D433" s="12" t="str"/>
      <x:c r="E433" s="11" t="str"/>
      <x:c r="F433" s="12" t="str"/>
      <x:c r="G433" s="11" t="str"/>
      <x:c r="H433" s="8" t="str"/>
      <x:c r="I433" s="8" t="str">
        <x:v>Document local; transmiterea individuală neconfirmată</x:v>
      </x:c>
      <x:c r="J433" s="8" t="str">
        <x:v>Nr. 1
nr. 275/01.02.2024
nr. 275/01.02.2024 (denumit în continuare
nr. CFMSES011011372801030/30.12.2024, încheiat între
nr. CFMSES011011372801030 ș i nu modifică valoarea Contractului, obiectul
nr. 275/01.02.2024 rămân</x:v>
      </x:c>
      <x:c r="K433" s="8" t="str">
        <x:v>Text extras; numerele din referințe sunt în coloana separată</x:v>
      </x:c>
      <x:c r="L433" s="8" t="e">
        <x:f>HYPERLINK("file:///Z:/00. Proiecte 2025/AFIR FotoVoltaic 1/16.2 Act Aditional 2-Neaprobat/Clarificare nr.1/semnat/Act_Aditional_Nr1_unificat_Cesiro_Suntree_s.pdf","Deschide sursa")</x:f>
        <x:v>HYPERLINK is not implemented. linkLocation=file:///Z:/00. Proiecte 2025/AFIR FotoVoltaic 1/16.2 Act Aditional 2-Neaprobat/Clarificare nr.1/semnat/Act_Aditional_Nr1_unificat_Cesiro_Suntree_s.pdf, friendlyName=Deschide sursa</x:v>
      </x:c>
    </x:row>
    <x:row r="434" ht="36" customHeight="1">
      <x:c r="A434" s="8" t="str">
        <x:v>F0809</x:v>
      </x:c>
      <x:c r="B434" s="8" t="str">
        <x:v>Contract de Prestari servicii suntree-cesiro production_s.pdf</x:v>
      </x:c>
      <x:c r="C434" s="8" t="str">
        <x:v>Modificare contract</x:v>
      </x:c>
      <x:c r="D434" s="12" t="str"/>
      <x:c r="E434" s="11" t="str"/>
      <x:c r="F434" s="12" t="str"/>
      <x:c r="G434" s="11" t="str"/>
      <x:c r="H434" s="8" t="str"/>
      <x:c r="I434" s="8" t="str">
        <x:v>Document local; transmiterea individuală neconfirmată</x:v>
      </x:c>
      <x:c r="J434" s="8" t="str"/>
      <x:c r="K434" s="8" t="str">
        <x:v>Text extras; numerele din referințe sunt în coloana separată</x:v>
      </x:c>
      <x:c r="L434" s="8" t="e">
        <x:f>HYPERLINK("file:///Z:/00. Proiecte 2025/AFIR FotoVoltaic 1/16.2 Act Aditional 2-Neaprobat/Clarificare nr.1/semnat/Contract de Prestari servicii suntree-cesiro production_s.pdf","Deschide sursa")</x:f>
        <x:v>HYPERLINK is not implemented. linkLocation=file:///Z:/00. Proiecte 2025/AFIR FotoVoltaic 1/16.2 Act Aditional 2-Neaprobat/Clarificare nr.1/semnat/Contract de Prestari servicii suntree-cesiro production_s.pdf, friendlyName=Deschide sursa</x:v>
      </x:c>
    </x:row>
    <x:row r="435" ht="36" customHeight="1">
      <x:c r="A435" s="8" t="str">
        <x:v>F0810</x:v>
      </x:c>
      <x:c r="B435" s="8" t="str">
        <x:v>Memoriu Justificativ_s.pdf</x:v>
      </x:c>
      <x:c r="C435" s="8" t="str">
        <x:v>Modificare contract</x:v>
      </x:c>
      <x:c r="D435" s="12" t="str"/>
      <x:c r="E435" s="11" t="str"/>
      <x:c r="F435" s="12" t="str"/>
      <x:c r="G435" s="11" t="str"/>
      <x:c r="H435" s="8" t="str"/>
      <x:c r="I435" s="8" t="str">
        <x:v>Document local; transmiterea individuală neconfirmată</x:v>
      </x:c>
      <x:c r="J435" s="8" t="str"/>
      <x:c r="K435" s="8" t="str">
        <x:v>Text extras; numerele din referințe sunt în coloana separată</x:v>
      </x:c>
      <x:c r="L435" s="8" t="e">
        <x:f>HYPERLINK("file:///Z:/00. Proiecte 2025/AFIR FotoVoltaic 1/16.2 Act Aditional 2-Neaprobat/Clarificare nr.1/semnat/Memoriu Justificativ_s.pdf","Deschide sursa")</x:f>
        <x:v>HYPERLINK is not implemented. linkLocation=file:///Z:/00. Proiecte 2025/AFIR FotoVoltaic 1/16.2 Act Aditional 2-Neaprobat/Clarificare nr.1/semnat/Memoriu Justificativ_s.pdf, friendlyName=Deschide sursa</x:v>
      </x:c>
    </x:row>
    <x:row r="436" ht="204" customHeight="1">
      <x:c r="A436" s="8" t="str">
        <x:v>F0811</x:v>
      </x:c>
      <x:c r="B436" s="8" t="str">
        <x:v>Act aditional durata contract C3.3.4 (1) (1).pdf</x:v>
      </x:c>
      <x:c r="C436" s="8" t="str">
        <x:v>Modificare contract</x:v>
      </x:c>
      <x:c r="D436" s="12" t="str"/>
      <x:c r="E436" s="11" t="str"/>
      <x:c r="F436" s="12" t="str">
        <x:v>1379871</x:v>
      </x:c>
      <x:c r="G436" s="11" t="str"/>
      <x:c r="H436" s="8" t="str"/>
      <x:c r="I436" s="8" t="str">
        <x:v>Document local; transmiterea individuală neconfirmată</x:v>
      </x:c>
      <x:c r="J436" s="8" t="str">
        <x:v>Nr: 23, Jud: ALBA, Tel: 0258 813 737
Număr de înregistrare: 1379871
nr. 2/……………
nr. CFMSES011011372801030/30.12.2024
nr 43,
nr. 5, Municipiul ALBA IULIA, jud. ALBA, cod po ștal 510040, tel.
nr 618936, CNP 1721019120687 în calitate de Beneficiar pe de altă parte,
nr. 220/04.08.2026 pentru aprobarea Instrucțiunii de lucru nr. 14, precum
FN/19.08.2026, Memoriul justificativ nr. 145/18.08.2026 și documentele justificative
nregistrate la CRFIR 7 Centru Alba Iulia sub nr. R1 -SIBA-765/19.08.2026, precum și a Notei explicative
FN/30.09.2026, a Memoriului justificativ nr. 161/30.09.2026 și documentele justificative atașate
nregistrate la Centrul Regional pentru Finantarea Investitiilor Rurale 7 Centru Alba Iulia sub nr. R1-SIBA-
nr. 1382394/29.09.2026)
nr. 1376937/21.09.2026 și a Raportului de analiză -completare nr. R1-SIBA-SE-919/01.10.2026 , după</x:v>
      </x:c>
      <x:c r="K436" s="8" t="str">
        <x:v>Text extras; numerele din referințe sunt în coloana separată</x:v>
      </x:c>
      <x:c r="L436" s="8" t="e">
        <x:f>HYPERLINK("file:///Z:/00. Proiecte 2025/AFIR FotoVoltaic 1/16.3 Act aditional 2 - Prelungire termen/Act Aditional nr.2/Act aditional durata contract C3.3.4 (1) (1).pdf","Deschide sursa")</x:f>
        <x:v>HYPERLINK is not implemented. linkLocation=file:///Z:/00. Proiecte 2025/AFIR FotoVoltaic 1/16.3 Act aditional 2 - Prelungire termen/Act Aditional nr.2/Act aditional durata contract C3.3.4 (1) (1).pdf, friendlyName=Deschide sursa</x:v>
      </x:c>
    </x:row>
    <x:row r="437" ht="78" customHeight="1">
      <x:c r="A437" s="8" t="str">
        <x:v>F0812</x:v>
      </x:c>
      <x:c r="B437" s="8" t="str">
        <x:v>1_Formular_C3_1_Nota_explicativa_revizuita_31_05_2027_EXECUTIE_31_08_2027_s.pdf</x:v>
      </x:c>
      <x:c r="C437" s="8" t="str">
        <x:v>Modificare contract</x:v>
      </x:c>
      <x:c r="D437" s="12" t="str"/>
      <x:c r="E437" s="11" t="str"/>
      <x:c r="F437" s="12" t="str"/>
      <x:c r="G437" s="11" t="str"/>
      <x:c r="H437" s="8" t="str"/>
      <x:c r="I437" s="8" t="str">
        <x:v>Document local; transmiterea individuală neconfirmată</x:v>
      </x:c>
      <x:c r="J437" s="8" t="str">
        <x:v>nr. 1/12.08.2026 s-a solicitat autorizarea sumei
nr. 1382394, calendarul a fost
nr. 145/18.08.2026, depusă anterior
nr. 1
nr. 2</x:v>
      </x:c>
      <x:c r="K437" s="8" t="str">
        <x:v>Text extras; numerele din referințe sunt în coloana separată</x:v>
      </x:c>
      <x:c r="L437" s="8" t="e">
        <x:f>HYPERLINK("file:///Z:/00. Proiecte 2025/AFIR FotoVoltaic 1/16.3 Act aditional 2 - Prelungire termen/Clarificare nr1/1_Formular_C3_1_Nota_explicativa_revizuita_31_05_2027_EXECUTIE_31_08_2027_s.pdf","Deschide sursa")</x:f>
        <x:v>HYPERLINK is not implemented. linkLocation=file:///Z:/00. Proiecte 2025/AFIR FotoVoltaic 1/16.3 Act aditional 2 - Prelungire termen/Clarificare nr1/1_Formular_C3_1_Nota_explicativa_revizuita_31_05_2027_EXECUTIE_31_08_2027_s.pdf, friendlyName=Deschide sursa</x:v>
      </x:c>
    </x:row>
    <x:row r="438" ht="274" customHeight="1">
      <x:c r="A438" s="8" t="str">
        <x:v>F0813</x:v>
      </x:c>
      <x:c r="B438" s="8" t="str">
        <x:v>2_Memoriu_justificativ_prelungire_ss.pdf</x:v>
      </x:c>
      <x:c r="C438" s="8" t="str">
        <x:v>Modificare contract</x:v>
      </x:c>
      <x:c r="D438" s="12" t="str">
        <x:v>161</x:v>
      </x:c>
      <x:c r="E438" s="11" t="n">
        <x:v>46295</x:v>
      </x:c>
      <x:c r="F438" s="12" t="str"/>
      <x:c r="G438" s="11" t="str"/>
      <x:c r="H438" s="8" t="str"/>
      <x:c r="I438" s="8" t="str">
        <x:v>Document local; transmiterea individuală neconfirmată</x:v>
      </x:c>
      <x:c r="J438" s="8" t="str">
        <x:v>NRC J01/1328/2021 · Alba Iulia, str. Theodor Pallady nr. 5, jud. Alba
nr. 96, jud. Mureș — Hala de Producție C1
Nr. 161 / 30.09.2026
nr. CFMSES011011372801030/30.12.2024
NRC J01/1328/2021
nr. 5, jud. Alba
nr. CFMSES011011372801030 din 30.12.2024
nr. 96, jud. Mureș — Hala de
nr. 145/18.08.2026, înregistrată sub nr. R1-
nr. 1382394. Documentul completează
nr. 7/30.06.2026 nu au prezentat
nr. 8/03.07.2026.
nr. 1/12.08.2026, cod RFMSES011011372801030, s -a
nr. 206/12.08.2026, emis de S.C.
nr. 1.359.705/22.06.2026, modificarea fiind formalizată prin Actul Adițional nr. 1, înregistrat sub nr.
NRE nr. 51/2019 și nr. 3/2023, cu modificările și completările ulterioare;
nr. 2 – tranșa finală.
nr. 145/18.08.2026 a fost depusă
nr. 2 la Contractul de finanțare nr. CFMSES011011372801030/30.12.2024.</x:v>
      </x:c>
      <x:c r="K438" s="8" t="str">
        <x:v>Text extras; numerele din referințe sunt în coloana separată</x:v>
      </x:c>
      <x:c r="L438" s="8" t="e">
        <x:f>HYPERLINK("file:///Z:/00. Proiecte 2025/AFIR FotoVoltaic 1/16.3 Act aditional 2 - Prelungire termen/Clarificare nr1/2_Memoriu_justificativ_prelungire_ss.pdf","Deschide sursa")</x:f>
        <x:v>HYPERLINK is not implemented. linkLocation=file:///Z:/00. Proiecte 2025/AFIR FotoVoltaic 1/16.3 Act aditional 2 - Prelungire termen/Clarificare nr1/2_Memoriu_justificativ_prelungire_ss.pdf, friendlyName=Deschide sursa</x:v>
      </x:c>
    </x:row>
    <x:row r="439" ht="36" customHeight="1">
      <x:c r="A439" s="8" t="str">
        <x:v>F0814</x:v>
      </x:c>
      <x:c r="B439" s="8" t="str">
        <x:v>3. Referat_proiectant_prelungire_CESIRO_s.pdf</x:v>
      </x:c>
      <x:c r="C439" s="8" t="str">
        <x:v>Modificare contract</x:v>
      </x:c>
      <x:c r="D439" s="12" t="str"/>
      <x:c r="E439" s="11" t="str"/>
      <x:c r="F439" s="12" t="str"/>
      <x:c r="G439" s="11" t="str"/>
      <x:c r="H439" s="8" t="str"/>
      <x:c r="I439" s="8" t="str">
        <x:v>Document local; transmiterea individuală neconfirmată</x:v>
      </x:c>
      <x:c r="J439" s="8" t="str"/>
      <x:c r="K439" s="8" t="str">
        <x:v>Text extras; numerele din referințe sunt în coloana separată</x:v>
      </x:c>
      <x:c r="L439" s="8" t="e">
        <x:f>HYPERLINK("file:///Z:/00. Proiecte 2025/AFIR FotoVoltaic 1/16.3 Act aditional 2 - Prelungire termen/Clarificare nr1/3. Referat_proiectant_prelungire_CESIRO_s.pdf","Deschide sursa")</x:f>
        <x:v>HYPERLINK is not implemented. linkLocation=file:///Z:/00. Proiecte 2025/AFIR FotoVoltaic 1/16.3 Act aditional 2 - Prelungire termen/Clarificare nr1/3. Referat_proiectant_prelungire_CESIRO_s.pdf, friendlyName=Deschide sursa</x:v>
      </x:c>
    </x:row>
    <x:row r="440" ht="36" customHeight="1">
      <x:c r="A440" s="8" t="str">
        <x:v>F0815</x:v>
      </x:c>
      <x:c r="B440" s="8" t="str">
        <x:v>4. AP_0.0_grafic_de_esalonare_SEs__.pdf</x:v>
      </x:c>
      <x:c r="C440" s="8" t="str">
        <x:v>Modificare contract</x:v>
      </x:c>
      <x:c r="D440" s="12" t="str"/>
      <x:c r="E440" s="11" t="str"/>
      <x:c r="F440" s="12" t="str"/>
      <x:c r="G440" s="11" t="str"/>
      <x:c r="H440" s="8" t="str"/>
      <x:c r="I440" s="8" t="str">
        <x:v>Document local; transmiterea individuală neconfirmată</x:v>
      </x:c>
      <x:c r="J440" s="8" t="str"/>
      <x:c r="K440" s="8" t="str">
        <x:v>Text extras; numerele din referințe sunt în coloana separată</x:v>
      </x:c>
      <x:c r="L440" s="8" t="e">
        <x:f>HYPERLINK("file:///Z:/00. Proiecte 2025/AFIR FotoVoltaic 1/16.3 Act aditional 2 - Prelungire termen/Clarificare nr1/4. AP_0.0_grafic_de_esalonare_SEs__.pdf","Deschide sursa")</x:f>
        <x:v>HYPERLINK is not implemented. linkLocation=file:///Z:/00. Proiecte 2025/AFIR FotoVoltaic 1/16.3 Act aditional 2 - Prelungire termen/Clarificare nr1/4. AP_0.0_grafic_de_esalonare_SEs__.pdf, friendlyName=Deschide sursa</x:v>
      </x:c>
    </x:row>
    <x:row r="441" ht="92" customHeight="1">
      <x:c r="A441" s="8" t="str">
        <x:v>F0816</x:v>
      </x:c>
      <x:c r="B441" s="8" t="str">
        <x:v>5_Declaratie_proprie_raspundere_ss_.pdf</x:v>
      </x:c>
      <x:c r="C441" s="8" t="str">
        <x:v>Modificare contract</x:v>
      </x:c>
      <x:c r="D441" s="12" t="str">
        <x:v>160</x:v>
      </x:c>
      <x:c r="E441" s="11" t="n">
        <x:v>46295</x:v>
      </x:c>
      <x:c r="F441" s="12" t="str"/>
      <x:c r="G441" s="11" t="str"/>
      <x:c r="H441" s="8" t="str"/>
      <x:c r="I441" s="8" t="str">
        <x:v>Document local; transmiterea individuală neconfirmată</x:v>
      </x:c>
      <x:c r="J441" s="8" t="str">
        <x:v>NRC J01/1328/2021 · Alba Iulia, str. Theodor Pallady nr. 5, jud. Alba
nr. 96, jud. Mureș — Hala de Producție C1
Nr. 160 / 30.09.2026
nr. CFMSES011011372801030/30.12.2024
NRC J01/1328/2021, cu sediul în Alba Iulia, str. Theodor Pallady nr. 5, jud. Alba,
nr. CFMSES011011372801030/30.12.2024, cunoscând</x:v>
      </x:c>
      <x:c r="K441" s="8" t="str">
        <x:v>Text extras; numerele din referințe sunt în coloana separată</x:v>
      </x:c>
      <x:c r="L441" s="8" t="e">
        <x:f>HYPERLINK("file:///Z:/00. Proiecte 2025/AFIR FotoVoltaic 1/16.3 Act aditional 2 - Prelungire termen/Clarificare nr1/5_Declaratie_proprie_raspundere_ss_.pdf","Deschide sursa")</x:f>
        <x:v>HYPERLINK is not implemented. linkLocation=file:///Z:/00. Proiecte 2025/AFIR FotoVoltaic 1/16.3 Act aditional 2 - Prelungire termen/Clarificare nr1/5_Declaratie_proprie_raspundere_ss_.pdf, friendlyName=Deschide sursa</x:v>
      </x:c>
    </x:row>
    <x:row r="442" ht="50" customHeight="1">
      <x:c r="A442" s="8" t="str">
        <x:v>F0817</x:v>
      </x:c>
      <x:c r="B442" s="8" t="str">
        <x:v>6. Grafic_implementare_fizica_financiara_CESIRO_31_05_2027_.pdf</x:v>
      </x:c>
      <x:c r="C442" s="8" t="str">
        <x:v>Modificare contract</x:v>
      </x:c>
      <x:c r="D442" s="12" t="str"/>
      <x:c r="E442" s="11" t="str"/>
      <x:c r="F442" s="12" t="str"/>
      <x:c r="G442" s="11" t="str"/>
      <x:c r="H442" s="8" t="str"/>
      <x:c r="I442" s="8" t="str">
        <x:v>Document local; transmiterea individuală neconfirmată</x:v>
      </x:c>
      <x:c r="J442" s="8" t="str">
        <x:v>NRC J01/1328/2021 · Alba Iulia, str. Theodor Pallady nr. 5, jud. Alba
nr. 2 Beneficiar / Auditor
nr. 1/12.08.2026; în curs de verificare.</x:v>
      </x:c>
      <x:c r="K442" s="8" t="str">
        <x:v>Text extras; numerele din referințe sunt în coloana separată</x:v>
      </x:c>
      <x:c r="L442" s="8" t="e">
        <x:f>HYPERLINK("file:///Z:/00. Proiecte 2025/AFIR FotoVoltaic 1/16.3 Act aditional 2 - Prelungire termen/Clarificare nr1/6. Grafic_implementare_fizica_financiara_CESIRO_31_05_2027_.pdf","Deschide sursa")</x:f>
        <x:v>HYPERLINK is not implemented. linkLocation=file:///Z:/00. Proiecte 2025/AFIR FotoVoltaic 1/16.3 Act aditional 2 - Prelungire termen/Clarificare nr1/6. Grafic_implementare_fizica_financiara_CESIRO_31_05_2027_.pdf, friendlyName=Deschide sursa</x:v>
      </x:c>
    </x:row>
    <x:row r="443" ht="64" customHeight="1">
      <x:c r="A443" s="8" t="str">
        <x:v>F0818</x:v>
      </x:c>
      <x:c r="B443" s="8" t="str">
        <x:v>a0989908-f627-40d8-b6f0-f5dc56352e9e.pdf</x:v>
      </x:c>
      <x:c r="C443" s="8" t="str">
        <x:v>Modificare contract</x:v>
      </x:c>
      <x:c r="D443" s="12" t="str"/>
      <x:c r="E443" s="11" t="str"/>
      <x:c r="F443" s="12" t="str"/>
      <x:c r="G443" s="11" t="str"/>
      <x:c r="H443" s="8" t="str">
        <x:v>1382394</x:v>
      </x:c>
      <x:c r="I443" s="8" t="str">
        <x:v>Document local; transmiterea individuală neconfirmată</x:v>
      </x:c>
      <x:c r="J443" s="8" t="str">
        <x:v>Nr: 23, Jud: ALBA, Tel: 0258 813 737
Număr de înregistrare: 1382394
nregistrare/CNP: 45050734
nr. 145/18.08.2026 (înregistrată la CRFIR – R1-SIBA-SE-</x:v>
      </x:c>
      <x:c r="K443" s="8" t="str">
        <x:v>Text extras; numerele din referințe sunt în coloana separată</x:v>
      </x:c>
      <x:c r="L443" s="8" t="e">
        <x:f>HYPERLINK("file:///Z:/00. Proiecte 2025/AFIR FotoVoltaic 1/16.3 Act aditional 2 - Prelungire termen/Clarificare nr1/a0989908-f627-40d8-b6f0-f5dc56352e9e.pdf","Deschide sursa")</x:f>
        <x:v>HYPERLINK is not implemented. linkLocation=file:///Z:/00. Proiecte 2025/AFIR FotoVoltaic 1/16.3 Act aditional 2 - Prelungire termen/Clarificare nr1/a0989908-f627-40d8-b6f0-f5dc56352e9e.pdf, friendlyName=Deschide sursa</x:v>
      </x:c>
    </x:row>
    <x:row r="444" ht="36" customHeight="1">
      <x:c r="A444" s="8" t="str">
        <x:v>F0819</x:v>
      </x:c>
      <x:c r="B444" s="8" t="str">
        <x:v>AP_0.0_grafic_de_esalonare_SEs.pdf</x:v>
      </x:c>
      <x:c r="C444" s="8" t="str">
        <x:v>Modificare contract</x:v>
      </x:c>
      <x:c r="D444" s="12" t="str"/>
      <x:c r="E444" s="11" t="str"/>
      <x:c r="F444" s="12" t="str"/>
      <x:c r="G444" s="11" t="str"/>
      <x:c r="H444" s="8" t="str"/>
      <x:c r="I444" s="8" t="str">
        <x:v>Document local; transmiterea individuală neconfirmată</x:v>
      </x:c>
      <x:c r="J444" s="8" t="str"/>
      <x:c r="K444" s="8" t="str">
        <x:v>Necesită citire vizuală / OCR / formular XFA</x:v>
      </x:c>
      <x:c r="L444" s="8" t="e">
        <x:f>HYPERLINK("file:///Z:/00. Proiecte 2025/AFIR FotoVoltaic 1/16.3 Act aditional 2 - Prelungire termen/Clarificare nr1/AP_0.0_grafic_de_esalonare_SEs.pdf","Deschide sursa")</x:f>
        <x:v>HYPERLINK is not implemented. linkLocation=file:///Z:/00. Proiecte 2025/AFIR FotoVoltaic 1/16.3 Act aditional 2 - Prelungire termen/Clarificare nr1/AP_0.0_grafic_de_esalonare_SEs.pdf, friendlyName=Deschide sursa</x:v>
      </x:c>
    </x:row>
    <x:row r="445" ht="36" customHeight="1">
      <x:c r="A445" s="8" t="str">
        <x:v>F0821</x:v>
      </x:c>
      <x:c r="B445" s="8" t="str">
        <x:v>Raspuns Clarificare nr1.zip</x:v>
      </x:c>
      <x:c r="C445" s="8" t="str">
        <x:v>Modificare contract</x:v>
      </x:c>
      <x:c r="D445" s="12" t="str"/>
      <x:c r="E445" s="11" t="str"/>
      <x:c r="F445" s="12" t="str"/>
      <x:c r="G445" s="11" t="str"/>
      <x:c r="H445" s="8" t="str"/>
      <x:c r="I445" s="8" t="str">
        <x:v>Document local; transmiterea individuală neconfirmată</x:v>
      </x:c>
      <x:c r="J445" s="8" t="str"/>
      <x:c r="K445" s="8" t="str">
        <x:v>Necesită citire vizuală / OCR / formular XFA</x:v>
      </x:c>
      <x:c r="L445" s="8" t="e">
        <x:f>HYPERLINK("file:///Z:/00. Proiecte 2025/AFIR FotoVoltaic 1/16.3 Act aditional 2 - Prelungire termen/Clarificare nr1/Raspuns Clarificare nr1.zip","Deschide sursa")</x:f>
        <x:v>HYPERLINK is not implemented. linkLocation=file:///Z:/00. Proiecte 2025/AFIR FotoVoltaic 1/16.3 Act aditional 2 - Prelungire termen/Clarificare nr1/Raspuns Clarificare nr1.zip, friendlyName=Deschide sursa</x:v>
      </x:c>
    </x:row>
    <x:row r="446" ht="274" customHeight="1">
      <x:c r="A446" s="8" t="str">
        <x:v>F0822</x:v>
      </x:c>
      <x:c r="B446" s="8" t="str">
        <x:v>3_Grafic_implementare_revizuit.docx</x:v>
      </x:c>
      <x:c r="C446" s="8" t="str">
        <x:v>Modificare contract</x:v>
      </x:c>
      <x:c r="D446" s="12" t="str"/>
      <x:c r="E446" s="11" t="str"/>
      <x:c r="F446" s="12" t="str"/>
      <x:c r="G446" s="11" t="str"/>
      <x:c r="H446" s="8" t="str"/>
      <x:c r="I446" s="8" t="str">
        <x:v>Versiune de lucru / arhivă</x:v>
      </x:c>
      <x:c r="J446" s="8" t="str">
        <x:v>nr. CFMSES011011372801030/30.12.2024
nr. 1/12.08.2026.
nr. 2,3,6,7 și 9 depind de termenele operatorului de distribuție, iar activitatea nr.8 de procedurile autorității de reglementare. Activitățile nu se pot desfășura
nr. CFMSES011011372801030
nr. 1/16.02.2026; Ordin nr. 1/16.02.2026
nr. 2/17.02.2026
nr. 3/08.04.2026
nr. 4/14.04.2026
nr. 1.359.705/22.06.2026
nr. 5/23.06.2026
nr. 6/28.06.2026
nr. 7/30.06.2026
nr. 1 la Contractul de finanțare | 30.06.2026 | nr. înreg. 1.360.244/30.06.2026
nr. 8/03.07.2026; Factura SST0033/03.07.2026
nr. 7030260605876/05.08.2026
nr. 1 — Tranșa 1 | 12.08.2026 | cod RFMSES011011372801030; 2.466.942,15 lei
NRE nr. 51/2019 și Ordinul ANRE nr. 3/2023) și punerea în funcțiune | Beneficiar / Executant / DEER | 31.03.2028
nr. 2 — tranșa finală | Beneficiar | 30.06.2028</x:v>
      </x:c>
      <x:c r="K446" s="8" t="str">
        <x:v>Text extras; numerele din referințe sunt în coloana separată</x:v>
      </x:c>
      <x:c r="L446" s="8" t="e">
        <x:f>HYPERLINK("file:///Z:/00. Proiecte 2025/AFIR FotoVoltaic 1/16.3 Act aditional 2 - Prelungire termen/draft/3_Grafic_implementare_revizuit.docx","Deschide sursa")</x:f>
        <x:v>HYPERLINK is not implemented. linkLocation=file:///Z:/00. Proiecte 2025/AFIR FotoVoltaic 1/16.3 Act aditional 2 - Prelungire termen/draft/3_Grafic_implementare_revizuit.docx, friendlyName=Deschide sursa</x:v>
      </x:c>
    </x:row>
    <x:row r="447" ht="232" customHeight="1">
      <x:c r="A447" s="8" t="str">
        <x:v>F0823</x:v>
      </x:c>
      <x:c r="B447" s="8" t="str">
        <x:v>4_Nota_stadiu_fizic_financiar.docx</x:v>
      </x:c>
      <x:c r="C447" s="8" t="str">
        <x:v>Modificare contract</x:v>
      </x:c>
      <x:c r="D447" s="12" t="str"/>
      <x:c r="E447" s="11" t="str"/>
      <x:c r="F447" s="12" t="str"/>
      <x:c r="G447" s="11" t="str"/>
      <x:c r="H447" s="8" t="str"/>
      <x:c r="I447" s="8" t="str">
        <x:v>Versiune de lucru / arhivă</x:v>
      </x:c>
      <x:c r="J447" s="8" t="str">
        <x:v>nr. CFMSES011011372801030/30.12.2024
nr. 1/12.08.2026, cod RFMSES011011372801030, a fost solicitată autorizarea sumei de 2.466.942,15 lei fără TVA, reprezentând 50,45% din valoarea totală eligibilă a
nr. 10 și nr. 11. Beneficiarul nu înregistrează obligații de plată restante față de executant.
nr. 2/17.02.2026);
nr. 3/08.04.2026) și montată (PV nr. 4/14.04.2026);
nr. 5/23.06.2026), montate și cablate, împreună cu conexiunea stringurilor (PV nr. 6/28.06.2026);
nr. 7/30.06.2026, constatându-se conformitatea cu proiectul tehnic de execuție și cu soluția tehnică avizată, fără neconformități. Recepția parțială a bunurilor și
nr. 8/03.07.2026.
nr. 1/12.08.2026, respectiv: Raportul de execuție AP 1.3-SE și Anexa 1 — Centralizatorul proceselor-verbale; procesele-verbale nr. 1–8; Situația de lucrări nr. 341
nr. 1/03.07.2026; Factura seria SST nr. 0033/03.07.2026; extrasele de cont BCR nr. 10 și nr. 11; Raportul de audit financiar nr. 206/12.08.2026 emis de S.C. ATTA C
nr. 206/12.08.2026, auditorul financiar independent a concluzionat că suma de 2.466.942,15 lei fără TVA reprezintă cheltuieli reale, exacte și eligibile, în confor</x:v>
      </x:c>
      <x:c r="K447" s="8" t="str">
        <x:v>Text extras; numerele din referințe sunt în coloana separată</x:v>
      </x:c>
      <x:c r="L447" s="8" t="e">
        <x:f>HYPERLINK("file:///Z:/00. Proiecte 2025/AFIR FotoVoltaic 1/16.3 Act aditional 2 - Prelungire termen/draft/4_Nota_stadiu_fizic_financiar.docx","Deschide sursa")</x:f>
        <x:v>HYPERLINK is not implemented. linkLocation=file:///Z:/00. Proiecte 2025/AFIR FotoVoltaic 1/16.3 Act aditional 2 - Prelungire termen/draft/4_Nota_stadiu_fizic_financiar.docx, friendlyName=Deschide sursa</x:v>
      </x:c>
    </x:row>
    <x:row r="448" ht="106" customHeight="1">
      <x:c r="A448" s="8" t="str">
        <x:v>F0824</x:v>
      </x:c>
      <x:c r="B448" s="8" t="str">
        <x:v>1. Formular_C3_1_prelungire_CESIRO_.pdf</x:v>
      </x:c>
      <x:c r="C448" s="8" t="str">
        <x:v>Modificare contract</x:v>
      </x:c>
      <x:c r="D448" s="12" t="str"/>
      <x:c r="E448" s="11" t="str"/>
      <x:c r="F448" s="12" t="str"/>
      <x:c r="G448" s="11" t="str"/>
      <x:c r="H448" s="8" t="str"/>
      <x:c r="I448" s="8" t="str">
        <x:v>Depus conform denumirii dosarului; recipisă neidentificată</x:v>
      </x:c>
      <x:c r="J448" s="8" t="str">
        <x:v>nr. 7030260605876 a fost emis de
nregistrate la 11.06.2026, cu
NRE nr. 51/2019 și cea prevăzută de Ordinul ANRE
nr. 3/2023 pentru instalația de stocare, punerea sub
nr. 2 la Contractul de finanțare nr.
nr. 1
nr. 2</x:v>
      </x:c>
      <x:c r="K448" s="8" t="str">
        <x:v>Text extras; numerele din referințe sunt în coloana separată</x:v>
      </x:c>
      <x:c r="L448" s="8" t="e">
        <x:f>HYPERLINK("file:///Z:/00. Proiecte 2025/AFIR FotoVoltaic 1/16.3 Act aditional 2 - Prelungire termen/PDF_Semnat si Depus/1. Formular_C3_1_prelungire_CESIRO_.pdf","Deschide sursa")</x:f>
        <x:v>HYPERLINK is not implemented. linkLocation=file:///Z:/00. Proiecte 2025/AFIR FotoVoltaic 1/16.3 Act aditional 2 - Prelungire termen/PDF_Semnat si Depus/1. Formular_C3_1_prelungire_CESIRO_.pdf, friendlyName=Deschide sursa</x:v>
      </x:c>
    </x:row>
    <x:row r="449" ht="78" customHeight="1">
      <x:c r="A449" s="8" t="str">
        <x:v>F0825</x:v>
      </x:c>
      <x:c r="B449" s="8" t="str">
        <x:v>2_Memoriu_justificativ_prelungire_S_.pdf</x:v>
      </x:c>
      <x:c r="C449" s="8" t="str">
        <x:v>Modificare contract</x:v>
      </x:c>
      <x:c r="D449" s="12" t="str"/>
      <x:c r="E449" s="11" t="str"/>
      <x:c r="F449" s="12" t="str"/>
      <x:c r="G449" s="11" t="str"/>
      <x:c r="H449" s="8" t="str"/>
      <x:c r="I449" s="8" t="str">
        <x:v>Depus conform denumirii dosarului; recipisă neidentificată</x:v>
      </x:c>
      <x:c r="J449" s="8" t="str">
        <x:v>NRE nr. 51/2019, precum �i a procedurii aprobate prin Ordinul
NRE nr. 3/2023 pentru instalatia de stocare;
NRE nr. 51/2019 �i
NRE nr. 3/2023) �i punerea in funqiune
nr. 2</x:v>
      </x:c>
      <x:c r="K449" s="8" t="str">
        <x:v>Text extras; numerele din referințe sunt în coloana separată</x:v>
      </x:c>
      <x:c r="L449" s="8" t="e">
        <x:f>HYPERLINK("file:///Z:/00. Proiecte 2025/AFIR FotoVoltaic 1/16.3 Act aditional 2 - Prelungire termen/PDF_Semnat si Depus/2_Memoriu_justificativ_prelungire_S_.pdf","Deschide sursa")</x:f>
        <x:v>HYPERLINK is not implemented. linkLocation=file:///Z:/00. Proiecte 2025/AFIR FotoVoltaic 1/16.3 Act aditional 2 - Prelungire termen/PDF_Semnat si Depus/2_Memoriu_justificativ_prelungire_S_.pdf, friendlyName=Deschide sursa</x:v>
      </x:c>
    </x:row>
    <x:row r="450" ht="36" customHeight="1">
      <x:c r="A450" s="8" t="str">
        <x:v>F0826</x:v>
      </x:c>
      <x:c r="B450" s="8" t="str">
        <x:v>3. Referat_proiectant_prelungire_CESIRO (1).pdf</x:v>
      </x:c>
      <x:c r="C450" s="8" t="str">
        <x:v>Modificare contract</x:v>
      </x:c>
      <x:c r="D450" s="12" t="str"/>
      <x:c r="E450" s="11" t="str"/>
      <x:c r="F450" s="12" t="str"/>
      <x:c r="G450" s="11" t="str"/>
      <x:c r="H450" s="8" t="str"/>
      <x:c r="I450" s="8" t="str">
        <x:v>Depus conform denumirii dosarului; recipisă neidentificată</x:v>
      </x:c>
      <x:c r="J450" s="8" t="str"/>
      <x:c r="K450" s="8" t="str">
        <x:v>Text extras; numerele din referințe sunt în coloana separată</x:v>
      </x:c>
      <x:c r="L450" s="8" t="e">
        <x:f>HYPERLINK("file:///Z:/00. Proiecte 2025/AFIR FotoVoltaic 1/16.3 Act aditional 2 - Prelungire termen/PDF_Semnat si Depus/3. Referat_proiectant_prelungire_CESIRO (1).pdf","Deschide sursa")</x:f>
        <x:v>HYPERLINK is not implemented. linkLocation=file:///Z:/00. Proiecte 2025/AFIR FotoVoltaic 1/16.3 Act aditional 2 - Prelungire termen/PDF_Semnat si Depus/3. Referat_proiectant_prelungire_CESIRO (1).pdf, friendlyName=Deschide sursa</x:v>
      </x:c>
    </x:row>
    <x:row r="451" ht="36" customHeight="1">
      <x:c r="A451" s="8" t="str">
        <x:v>F0827</x:v>
      </x:c>
      <x:c r="B451" s="8" t="str">
        <x:v>5_Declaratie_proprie_raspundere_s.pdf</x:v>
      </x:c>
      <x:c r="C451" s="8" t="str">
        <x:v>Modificare contract</x:v>
      </x:c>
      <x:c r="D451" s="12" t="str"/>
      <x:c r="E451" s="11" t="str"/>
      <x:c r="F451" s="12" t="str"/>
      <x:c r="G451" s="11" t="str"/>
      <x:c r="H451" s="8" t="str"/>
      <x:c r="I451" s="8" t="str">
        <x:v>Depus conform denumirii dosarului; recipisă neidentificată</x:v>
      </x:c>
      <x:c r="J451" s="8" t="str"/>
      <x:c r="K451" s="8" t="str">
        <x:v>Text extras; numerele din referințe sunt în coloana separată</x:v>
      </x:c>
      <x:c r="L451" s="8" t="e">
        <x:f>HYPERLINK("file:///Z:/00. Proiecte 2025/AFIR FotoVoltaic 1/16.3 Act aditional 2 - Prelungire termen/PDF_Semnat si Depus/5_Declaratie_proprie_raspundere_s.pdf","Deschide sursa")</x:f>
        <x:v>HYPERLINK is not implemented. linkLocation=file:///Z:/00. Proiecte 2025/AFIR FotoVoltaic 1/16.3 Act aditional 2 - Prelungire termen/PDF_Semnat si Depus/5_Declaratie_proprie_raspundere_s.pdf, friendlyName=Deschide sursa</x:v>
      </x:c>
    </x:row>
    <x:row r="452" ht="36" customHeight="1">
      <x:c r="A452" s="8" t="str">
        <x:v>F0828</x:v>
      </x:c>
      <x:c r="B452" s="8" t="str">
        <x:v>AP_0.0_grafic_de_esalonare_s_.pdf</x:v>
      </x:c>
      <x:c r="C452" s="8" t="str">
        <x:v>Modificare contract</x:v>
      </x:c>
      <x:c r="D452" s="12" t="str"/>
      <x:c r="E452" s="11" t="str"/>
      <x:c r="F452" s="12" t="str"/>
      <x:c r="G452" s="11" t="str"/>
      <x:c r="H452" s="8" t="str"/>
      <x:c r="I452" s="8" t="str">
        <x:v>Depus conform denumirii dosarului; recipisă neidentificată</x:v>
      </x:c>
      <x:c r="J452" s="8" t="str"/>
      <x:c r="K452" s="8" t="str">
        <x:v>Necesită citire vizuală / OCR / formular XFA</x:v>
      </x:c>
      <x:c r="L452" s="8" t="e">
        <x:f>HYPERLINK("file:///Z:/00. Proiecte 2025/AFIR FotoVoltaic 1/16.3 Act aditional 2 - Prelungire termen/PDF_Semnat si Depus/AP_0.0_grafic_de_esalonare_s_.pdf","Deschide sursa")</x:f>
        <x:v>HYPERLINK is not implemented. linkLocation=file:///Z:/00. Proiecte 2025/AFIR FotoVoltaic 1/16.3 Act aditional 2 - Prelungire termen/PDF_Semnat si Depus/AP_0.0_grafic_de_esalonare_s_.pdf, friendlyName=Deschide sursa</x:v>
      </x:c>
    </x:row>
    <x:row r="453" ht="162" customHeight="1">
      <x:c r="A453" s="8" t="str">
        <x:v>F0829</x:v>
      </x:c>
      <x:c r="B453" s="8" t="str">
        <x:v>1. Formular_C3_1_prelungire_CESIRO.docx</x:v>
      </x:c>
      <x:c r="C453" s="8" t="str">
        <x:v>Modificare contract</x:v>
      </x:c>
      <x:c r="D453" s="12" t="str"/>
      <x:c r="E453" s="11" t="str"/>
      <x:c r="F453" s="12" t="str"/>
      <x:c r="G453" s="11" t="str"/>
      <x:c r="H453" s="8" t="str"/>
      <x:c r="I453" s="8" t="str">
        <x:v>Versiune de lucru / arhivă</x:v>
      </x:c>
      <x:c r="J453" s="8" t="str">
        <x:v>nr. CFMSES011011372801030/30.12.2024 are, potrivit art. 2(2), o durată de implementare de 21 de luni, cu termen 30.09.2026, și o durată de execuție de 24 de luni,
nr. 1/12.08.2026 a fost solicitată autorizarea sumei de 2.466.942,15 lei, reprezentând 50,45% din valoarea totală eligibilă a proiectului. Finalizarea investiției
nr. 7030260605876 a fost emis de Distribuție Energie Electrică România S.A. la data de 05.08.2026, ca urmare a cererii înregistrate la 11.06.2026, cu documentația
NRE nr. 51/2019 și cea prevăzută de Ordinul ANRE nr. 3/2023 pentru instalația de stocare, punerea sub tensiune și emiterea certificatului de racordare — depind de
nr. 2 la Contractul de finanțare nr. CFMSES011011372801030/30.12.2024, prin care durata de implementare se prelungește de la 21 la 42 de luni, respectiv până la da
nr. 1 | Act adiţional nr. 2 | Bugetul revizuit</x:v>
      </x:c>
      <x:c r="K453" s="8" t="str">
        <x:v>Text extras; numerele din referințe sunt în coloana separată</x:v>
      </x:c>
      <x:c r="L453" s="8" t="e">
        <x:f>HYPERLINK("file:///Z:/00. Proiecte 2025/AFIR FotoVoltaic 1/16.3 Act aditional 2 - Prelungire termen/word/1. Formular_C3_1_prelungire_CESIRO.docx","Deschide sursa")</x:f>
        <x:v>HYPERLINK is not implemented. linkLocation=file:///Z:/00. Proiecte 2025/AFIR FotoVoltaic 1/16.3 Act aditional 2 - Prelungire termen/word/1. Formular_C3_1_prelungire_CESIRO.docx, friendlyName=Deschide sursa</x:v>
      </x:c>
    </x:row>
    <x:row r="454" ht="358" customHeight="1">
      <x:c r="A454" s="8" t="str">
        <x:v>F0830</x:v>
      </x:c>
      <x:c r="B454" s="8" t="str">
        <x:v>2_Memoriu_justificativ_prelungire.docx</x:v>
      </x:c>
      <x:c r="C454" s="8" t="str">
        <x:v>Modificare contract</x:v>
      </x:c>
      <x:c r="D454" s="12" t="str">
        <x:v>145</x:v>
      </x:c>
      <x:c r="E454" s="11" t="n">
        <x:v>46252</x:v>
      </x:c>
      <x:c r="F454" s="12" t="str"/>
      <x:c r="G454" s="11" t="str"/>
      <x:c r="H454" s="8" t="str"/>
      <x:c r="I454" s="8" t="str">
        <x:v>Versiune de lucru / arhivă</x:v>
      </x:c>
      <x:c r="J454" s="8" t="str">
        <x:v>NRC J01/1328/2021 · Alba Iulia, str. Theodor Pallady nr. 5, jud. Alba
nr. 96, jud. Mureș — Hala de Producție C1
Nr. 145 / 18.08.2026
nr. CFMSES011011372801030/30.12.2024
nr. CFMSES011011372801030/30.12.2024 și de încheiere a Actului Adițional nr. 2 la acesta. Memoriul prezintă stadiul fizic și financiar al proiectului, cauzele obie
nr. 7/30.06.2026, fără neconformități, iar recepția parțială a Tranșei 1 a fost consemnată prin Procesul-verbal nr. 8/03.07.2026.
nr. 1/12.08.2026, cod RFMSES011011372801030, a fost solicitată autorizarea sumei de 2.466.942,15 lei fără TVA, reprezentând 50,45% din valoarea totală eligibilă a
nr. 206/12.08.2026, emis de S.C. ATTA CONSULTING S.R.L., care a concluzionat că suma solicitată reprezintă cheltuieli reale, exacte și eligibile și că nu au fost i
nr. 1.359.705/22.06.2026, iar modificarea a fost formalizată prin Actul Adițional nr. 1 la contractul de finanțare, nr. înreg. 1.360.244/30.06.2026. Comanda, livra
nregistrată la Distribuție Energie Electrică România S.A. sub nr. 7030260605876/11.06.2026, documentația fiind depusă complet la data de 15.06.2026. Avizul tehnic
nr. 7030250503872/21.05.2025. La data emiterii avizului mai rămăseseră 56 de zile calendaristice până la termenul de implementare de 30.09.2026 — interval în care
NRE nr. 51/2019, precum și a procedurii aprobate prin Ordinul ANRE nr. 3/2023 pentru instalația de stocare;
nr. 2 la Contractul de finanțare nr. CFMSES011011372801030/30.12.2024.
NRC J01/1328/2021
nr. 5, jud. Alba
nr. CFMSES011011372801030 din 30.12.2024
NRE nr. 51/2019 și Ordinul ANRE nr. 3/2023) și punerea în funcțiune | Beneficiar / Executant / DEER | 31.03.2028
nr. 2 — tranșa finală | Beneficiar | 30.06.2028</x:v>
      </x:c>
      <x:c r="K454" s="8" t="str">
        <x:v>Text extras; numerele din referințe sunt în coloana separată</x:v>
      </x:c>
      <x:c r="L454" s="8" t="e">
        <x:f>HYPERLINK("file:///Z:/00. Proiecte 2025/AFIR FotoVoltaic 1/16.3 Act aditional 2 - Prelungire termen/word/2_Memoriu_justificativ_prelungire.docx","Deschide sursa")</x:f>
        <x:v>HYPERLINK is not implemented. linkLocation=file:///Z:/00. Proiecte 2025/AFIR FotoVoltaic 1/16.3 Act aditional 2 - Prelungire termen/word/2_Memoriu_justificativ_prelungire.docx, friendlyName=Deschide sursa</x:v>
      </x:c>
    </x:row>
    <x:row r="455" ht="218" customHeight="1">
      <x:c r="A455" s="8" t="str">
        <x:v>F0831</x:v>
      </x:c>
      <x:c r="B455" s="8" t="str">
        <x:v>3. Referat_proiectant_prelungire_CESIRO (1).docx</x:v>
      </x:c>
      <x:c r="C455" s="8" t="str">
        <x:v>Modificare contract</x:v>
      </x:c>
      <x:c r="D455" s="12" t="str"/>
      <x:c r="E455" s="11" t="str"/>
      <x:c r="F455" s="12" t="str"/>
      <x:c r="G455" s="11" t="str"/>
      <x:c r="H455" s="8" t="str"/>
      <x:c r="I455" s="8" t="str">
        <x:v>Versiune de lucru / arhivă</x:v>
      </x:c>
      <x:c r="J455" s="8" t="str">
        <x:v>NRC J01/1328/2021 · Alba Iulia, str. Theodor Pallady nr. 5, jud. Alba
nr. CFMSES011011372801030/30.12.2024, și stabilește, din perspectiva proiectantului: situația tehnică a investiției la data prezentei, etapele tehnice rămase până
nr. 96, jud. Mureș;
nr. 1.359.705/22.06.2026, prin care a fost avizată actualizarea soluției tehnice;
nr. 7030260605876/05.08.2026, POD 594020300002482063, care anulează avizul tehnic de racordare nr. 7030250503872/21.05.2025;
nr. 7/30.06.2026;
nr. 1–8, din perioada 16.02.2026 – 03.07.2026;
nr. 7/30.06.2026, întocmit cu participarea proiectantului.
NRE nr. 208/2018, cu modificările și completările ulterioare.
nr. 7030260605876/05.08.2026 și din reglementările tehnice aplicabile. Duratele indicate reprezintă estimări realiste, bazate pe practica curentă a operatorului de
NRE nr. 51/2019) și notificarea instalației de stocare (Ordinul ANRE nr. 3/2023) | Beneficiar / Executant + DEER | 1–2 luni</x:v>
      </x:c>
      <x:c r="K455" s="8" t="str">
        <x:v>Text extras; numerele din referințe sunt în coloana separată</x:v>
      </x:c>
      <x:c r="L455" s="8" t="e">
        <x:f>HYPERLINK("file:///Z:/00. Proiecte 2025/AFIR FotoVoltaic 1/16.3 Act aditional 2 - Prelungire termen/word/3. Referat_proiectant_prelungire_CESIRO (1).docx","Deschide sursa")</x:f>
        <x:v>HYPERLINK is not implemented. linkLocation=file:///Z:/00. Proiecte 2025/AFIR FotoVoltaic 1/16.3 Act aditional 2 - Prelungire termen/word/3. Referat_proiectant_prelungire_CESIRO (1).docx, friendlyName=Deschide sursa</x:v>
      </x:c>
    </x:row>
    <x:row r="456" ht="302" customHeight="1">
      <x:c r="A456" s="8" t="str">
        <x:v>F0832</x:v>
      </x:c>
      <x:c r="B456" s="8" t="str">
        <x:v>4. Nota_justificativa_Suntree_prelungire_v2.docx</x:v>
      </x:c>
      <x:c r="C456" s="8" t="str">
        <x:v>Modificare contract</x:v>
      </x:c>
      <x:c r="D456" s="12" t="str"/>
      <x:c r="E456" s="11" t="str"/>
      <x:c r="F456" s="12" t="str"/>
      <x:c r="G456" s="11" t="str"/>
      <x:c r="H456" s="8" t="str"/>
      <x:c r="I456" s="8" t="str">
        <x:v>Versiune de lucru / arhivă</x:v>
      </x:c>
      <x:c r="J456" s="8" t="str">
        <x:v>NRC J01/817/2022 · Alba Iulia, str. Augustin Bena nr. 14, jud. Alba
Nr. 148 / 18/08/2026
NRC J01/1328/2021 · Alba Iulia, str. Theodor Pallady nr. 5, jud. Alba
nr. 275/01.02.2024
nr. CFMSES011011372801030/30.12.2024, și prezintă, din perspectiva executantului: stadiul fizic al lucrărilor la data prezentei, lucrările și livrările rămase de r
nr. 341/03.07.2026 și Facturii seria SST nr. 0033/03.07.2026:
nr. 7/30.06.2026, fără neconformități.
nr. 275/01.02.2024, linia „Dotări/bunuri pentru producerea de energie electrică”: 1.663.784,26 lei fără TVA:
nr. 1.359.705/22.06.2026. Comanda, livrarea și montajul echipamentelor din configurația actualizată nu puteau fi angajate anterior acestei avizări, executantul fii
nregistrată la Distribuție Energie Electrică România S.A. sub nr. 7030260605876/11.06.2026, documentația aferentă fiind depusă complet la data de 15.06.2026. Aviz
NRE nr. 51/2019, precum și, pentru instalația de stocare, a procedurii aprobate prin Ordinul ANRE nr. 3/2023;
nr. 275/01.02.2024.
NRE nr. 208/2018.
nr. 275/01.02.2024 rămân neschimbate; prelungirea termenului nu generează costuri suplimentare pentru Beneficiar și nu conduce la majorarea valorii contractului.
nr. 275/01.02.2024, corelat cu noul termen de implementare aprobat de Agenția pentru Finanțarea Investițiilor Rurale.
NRE nr. 51/2019 și de Ordinul ANRE nr. 3/2023 și punerea în funcțiune a sistemului fotovoltaic | 31.03.2028</x:v>
      </x:c>
      <x:c r="K456" s="8" t="str">
        <x:v>Text extras; numerele din referințe sunt în coloana separată</x:v>
      </x:c>
      <x:c r="L456" s="8" t="e">
        <x:f>HYPERLINK("file:///Z:/00. Proiecte 2025/AFIR FotoVoltaic 1/16.3 Act aditional 2 - Prelungire termen/word/4. Nota_justificativa_Suntree_prelungire_v2.docx","Deschide sursa")</x:f>
        <x:v>HYPERLINK is not implemented. linkLocation=file:///Z:/00. Proiecte 2025/AFIR FotoVoltaic 1/16.3 Act aditional 2 - Prelungire termen/word/4. Nota_justificativa_Suntree_prelungire_v2.docx, friendlyName=Deschide sursa</x:v>
      </x:c>
    </x:row>
    <x:row r="457" ht="92" customHeight="1">
      <x:c r="A457" s="8" t="str">
        <x:v>F0833</x:v>
      </x:c>
      <x:c r="B457" s="8" t="str">
        <x:v>5_Declaratie_proprie_raspundere.docx</x:v>
      </x:c>
      <x:c r="C457" s="8" t="str">
        <x:v>Modificare contract</x:v>
      </x:c>
      <x:c r="D457" s="12" t="str">
        <x:v>150</x:v>
      </x:c>
      <x:c r="E457" s="11" t="n">
        <x:v>46295</x:v>
      </x:c>
      <x:c r="F457" s="12" t="str"/>
      <x:c r="G457" s="11" t="str"/>
      <x:c r="H457" s="8" t="str"/>
      <x:c r="I457" s="8" t="str">
        <x:v>Versiune de lucru / arhivă</x:v>
      </x:c>
      <x:c r="J457" s="8" t="str">
        <x:v>NRC J01/1328/2021 · Alba Iulia, str. Theodor Pallady nr. 5, jud. Alba
nr. 96, jud. Mureș — Hala de Producție C1
Nr. 150 / 30.09.2026
nr. CFMSES011011372801030/30.12.2024
NRC J01/1328/2021, cu sediul în Alba Iulia, str. Theodor Pallady nr. 5, jud. Alba, în calitate de beneficiar al Contractului de finanțare nr. CFMSES01101137280103</x:v>
      </x:c>
      <x:c r="K457" s="8" t="str">
        <x:v>Text extras; numerele din referințe sunt în coloana separată</x:v>
      </x:c>
      <x:c r="L457" s="8" t="e">
        <x:f>HYPERLINK("file:///Z:/00. Proiecte 2025/AFIR FotoVoltaic 1/16.3 Act aditional 2 - Prelungire termen/word/5_Declaratie_proprie_raspundere.docx","Deschide sursa")</x:f>
        <x:v>HYPERLINK is not implemented. linkLocation=file:///Z:/00. Proiecte 2025/AFIR FotoVoltaic 1/16.3 Act aditional 2 - Prelungire termen/word/5_Declaratie_proprie_raspundere.docx, friendlyName=Deschide sursa</x:v>
      </x:c>
    </x:row>
    <x:row r="458" ht="232" customHeight="1">
      <x:c r="A458" s="8" t="str">
        <x:v>F0834</x:v>
      </x:c>
      <x:c r="B458" s="8" t="str">
        <x:v>6_Act_aditional_nr4_contract_275.docx</x:v>
      </x:c>
      <x:c r="C458" s="8" t="str">
        <x:v>Modificare contract</x:v>
      </x:c>
      <x:c r="D458" s="12" t="str"/>
      <x:c r="E458" s="11" t="str"/>
      <x:c r="F458" s="12" t="str"/>
      <x:c r="G458" s="11" t="str"/>
      <x:c r="H458" s="8" t="str"/>
      <x:c r="I458" s="8" t="str">
        <x:v>Versiune de lucru / arhivă</x:v>
      </x:c>
      <x:c r="J458" s="8" t="str">
        <x:v>Nr. 4
nr. 275/01.02.2024
nr. 5, jud. Alba, CUI 45050734, ONRC J01/1328/2021, reprezentată legal prin domnul Covaciu Cosmin-Adrian, în calitate de administrator, denumită în continuare Bene
nr. 14, jud. Alba, CUI RO46361925, ONRC J01/817/2022, reprezentată legal prin domnul Nicolae Fenișer Florin, în calitate de administrator, denumită în continuare E
nr. 275/01.02.2024 (nr. înreg. beneficiar 05/01.02.2024), denumit în continuare Contractul, în următoarele condiții:
nr. CFMSES011011372801030/30.12.2024, încheiat cu Agenția pentru Finanțarea Investițiilor Rurale;
nr. 7030260605876 a fost emis de Distribuție Energie Electrică România S.A. la data de 05.08.2026, etapele obligatorii ulterioare emiterii acestuia depinzând de te
nr. CFMSES011011372801030/30.12.2024, astfel cum aceasta va fi aprobată de Autoritatea Contractantă prin act adițional. În situația în care Autoritatea Contractant
nr. 1, nr. 2 și nr. 3 rămân neschimbate și își produc efectele în continuare.
nr. 275/01.02.2024, intră în vigoare la data semnării de către ambele părți și a fost încheiat în 2 (două) exemplare originale, câte unul pentru fiecare parte.</x:v>
      </x:c>
      <x:c r="K458" s="8" t="str">
        <x:v>Text extras; numerele din referințe sunt în coloana separată</x:v>
      </x:c>
      <x:c r="L458" s="8" t="e">
        <x:f>HYPERLINK("file:///Z:/00. Proiecte 2025/AFIR FotoVoltaic 1/16.3 Act aditional 2 - Prelungire termen/word/6_Act_aditional_nr4_contract_275.docx","Deschide sursa")</x:f>
        <x:v>HYPERLINK is not implemented. linkLocation=file:///Z:/00. Proiecte 2025/AFIR FotoVoltaic 1/16.3 Act aditional 2 - Prelungire termen/word/6_Act_aditional_nr4_contract_275.docx, friendlyName=Deschide sursa</x:v>
      </x:c>
    </x:row>
    <x:row r="459" ht="204" customHeight="1">
      <x:c r="A459" s="8" t="str">
        <x:v>F0835</x:v>
      </x:c>
      <x:c r="B459" s="8" t="str">
        <x:v>Act_aditional_nr4_contract_275.docx</x:v>
      </x:c>
      <x:c r="C459" s="8" t="str">
        <x:v>Modificare contract</x:v>
      </x:c>
      <x:c r="D459" s="12" t="str"/>
      <x:c r="E459" s="11" t="str"/>
      <x:c r="F459" s="12" t="str"/>
      <x:c r="G459" s="11" t="str"/>
      <x:c r="H459" s="8" t="str"/>
      <x:c r="I459" s="8" t="str">
        <x:v>Versiune de lucru / arhivă</x:v>
      </x:c>
      <x:c r="J459" s="8" t="str">
        <x:v>NR. 4
nr. 275/01.02.2024
nr. 14, jud. Alba, CUI RO46361925, ONRC J01/817/2022, reprezentată legal prin Administrator, dl. Fenișer Nicolae Florin, în calitate de Furnizor,
nr. 5, jud. Alba, CUI 45050734, ONRC J01/1328/2021, reprezentată legal prin Administrator, dl. Covaciu Cosmin Adrian, în calitate de Beneficiar,
nr. 7030260605876 fiind emis de Distribuție Energie Electrică România S.A. la data de 05.08.2026, iar etapele ulterioare depinzând de termene aflate în competența
nr. CFMSES011011372801030/30.12.2024, au convenit următoarele:
nr. 1 până la data de 30.09.2026, se prelungește până la data de 30.06.2028. Potrivit art. 3.1 din Contract, acesta rămâne valabil până la îndeplinirea integrală a
nr. 2, rămân nemodificate. Prelungirea nu generează costuri suplimentare pentru Beneficiar.
nr. 1, nr. 2 și nr. 3 rămân neschimbate. Prezentul act adițional face parte integrantă din Contract, intră în vigoare la data semnării de către ambele părți și s-a</x:v>
      </x:c>
      <x:c r="K459" s="8" t="str">
        <x:v>Text extras; numerele din referințe sunt în coloana separată</x:v>
      </x:c>
      <x:c r="L459" s="8" t="e">
        <x:f>HYPERLINK("file:///Z:/00. Proiecte 2025/AFIR FotoVoltaic 1/16.3 Act aditional 2 - Prelungire termen/word/Act_aditional_nr4_contract_275.docx","Deschide sursa")</x:f>
        <x:v>HYPERLINK is not implemented. linkLocation=file:///Z:/00. Proiecte 2025/AFIR FotoVoltaic 1/16.3 Act aditional 2 - Prelungire termen/word/Act_aditional_nr4_contract_275.docx, friendlyName=Deschide sursa</x:v>
      </x:c>
    </x:row>
    <x:row r="460" ht="190" customHeight="1">
      <x:c r="A460" s="8" t="str">
        <x:v>F0836</x:v>
      </x:c>
      <x:c r="B460" s="8" t="str">
        <x:v>1_Formular_C3_1_Nota_explicativa_revizuita_31_05_2027_EXECUTIE_31_08_2027.docx</x:v>
      </x:c>
      <x:c r="C460" s="8" t="str">
        <x:v>Modificare contract</x:v>
      </x:c>
      <x:c r="D460" s="12" t="str"/>
      <x:c r="E460" s="11" t="str"/>
      <x:c r="F460" s="12" t="str"/>
      <x:c r="G460" s="11" t="str"/>
      <x:c r="H460" s="8" t="str"/>
      <x:c r="I460" s="8" t="str">
        <x:v>Versiune de lucru / arhivă</x:v>
      </x:c>
      <x:c r="J460" s="8" t="str">
        <x:v>nr. CFMSES011011372801030/30.12.2024 are, potrivit art. 2(2), o durată de implementare de 21 de luni, cu termen 30.09.2026, și o durată de execuție de 24 de luni,
nr. 1/12.08.2026 s-a solicitat autorizarea sumei de 2.466.942,15 lei, reprezentând 50,45% din valoarea totală eligibilă. Rămân de finalizat livrările și montajul e
nr. 1382394, calendarul a fost revizuit pentru perioada 01.10.2026–31.05.2027. Elaborarea și verificarea PTE-IU, precum și depunerea documentației spre avizare su
nr. 145/18.08.2026, depusă anterior expirării duratei de implementare, fără efect retroactiv și fără majorarea ajutorului de stat aprobat. | Contractul de finanțar
nr. 145/18.08.2026, depusă anterior expirării duratei de implementare, fără efect retroactiv și fără majorarea ajutorului de stat aprobat.
nr. CFMSES011011372801030/30.12.2024, astfel încât durata de implementare să fie prelungită cu 8 luni, de la 21 la 29 de luni, respectiv până la data de 31.05.2027
nr. 1 | Act adiţional nr. 2 | Bugetul revizuit</x:v>
      </x:c>
      <x:c r="K460" s="8" t="str">
        <x:v>Text extras; numerele din referințe sunt în coloana separată</x:v>
      </x:c>
      <x:c r="L460" s="8" t="e">
        <x:f>HYPERLINK("file:///Z:/00. Proiecte 2025/AFIR FotoVoltaic 1/16.3 Act aditional 2 - Prelungire termen/Clarificare nr1/draft/1_Formular_C3_1_Nota_explicativa_revizuita_31_05_2027_EXECUTIE_31_08_2027.docx","Deschide sursa")</x:f>
        <x:v>HYPERLINK is not implemented. linkLocation=file:///Z:/00. Proiecte 2025/AFIR FotoVoltaic 1/16.3 Act aditional 2 - Prelungire termen/Clarificare nr1/draft/1_Formular_C3_1_Nota_explicativa_revizuita_31_05_2027_EXECUTIE_31_08_2027.docx, friendlyName=Deschide sursa</x:v>
      </x:c>
    </x:row>
    <x:row r="461" ht="78" customHeight="1">
      <x:c r="A461" s="8" t="str">
        <x:v>F0837</x:v>
      </x:c>
      <x:c r="B461" s="8" t="str">
        <x:v>1_Formular_C3_1_Nota_explicativa_revizuita_31_05_2027_EXECUTIE_31_08_2027.pdf</x:v>
      </x:c>
      <x:c r="C461" s="8" t="str">
        <x:v>Modificare contract</x:v>
      </x:c>
      <x:c r="D461" s="12" t="str"/>
      <x:c r="E461" s="11" t="str"/>
      <x:c r="F461" s="12" t="str"/>
      <x:c r="G461" s="11" t="str"/>
      <x:c r="H461" s="8" t="str"/>
      <x:c r="I461" s="8" t="str">
        <x:v>Versiune de lucru / arhivă</x:v>
      </x:c>
      <x:c r="J461" s="8" t="str">
        <x:v>nr. 1/12.08.2026 s-a solicitat autorizarea sumei
nr. 1382394, calendarul a fost
nr. 145/18.08.2026, depusă anterior
nr. 1
nr. 2</x:v>
      </x:c>
      <x:c r="K461" s="8" t="str">
        <x:v>Text extras; numerele din referințe sunt în coloana separată</x:v>
      </x:c>
      <x:c r="L461" s="8" t="e">
        <x:f>HYPERLINK("file:///Z:/00. Proiecte 2025/AFIR FotoVoltaic 1/16.3 Act aditional 2 - Prelungire termen/Clarificare nr1/draft/1_Formular_C3_1_Nota_explicativa_revizuita_31_05_2027_EXECUTIE_31_08_2027.pdf","Deschide sursa")</x:f>
        <x:v>HYPERLINK is not implemented. linkLocation=file:///Z:/00. Proiecte 2025/AFIR FotoVoltaic 1/16.3 Act aditional 2 - Prelungire termen/Clarificare nr1/draft/1_Formular_C3_1_Nota_explicativa_revizuita_31_05_2027_EXECUTIE_31_08_2027.pdf, friendlyName=Deschide sursa</x:v>
      </x:c>
    </x:row>
    <x:row r="462" ht="274" customHeight="1">
      <x:c r="A462" s="8" t="str">
        <x:v>F0838</x:v>
      </x:c>
      <x:c r="B462" s="8" t="str">
        <x:v>2_Memoriu_justificativ_prelungire_S_.pdf</x:v>
      </x:c>
      <x:c r="C462" s="8" t="str">
        <x:v>Modificare contract</x:v>
      </x:c>
      <x:c r="D462" s="12" t="str">
        <x:v>161</x:v>
      </x:c>
      <x:c r="E462" s="11" t="n">
        <x:v>46295</x:v>
      </x:c>
      <x:c r="F462" s="12" t="str"/>
      <x:c r="G462" s="11" t="str"/>
      <x:c r="H462" s="8" t="str"/>
      <x:c r="I462" s="8" t="str">
        <x:v>Versiune de lucru / arhivă</x:v>
      </x:c>
      <x:c r="J462" s="8" t="str">
        <x:v>NRC J01/1328/2021 · Alba Iulia, str. Theodor Pallady nr. 5, jud. Alba
nr. 96, jud. Mureș — Hala de Producție C1
Nr. 161 / 30.09.2026
nr. CFMSES011011372801030/30.12.2024
NRC J01/1328/2021
nr. 5, jud. Alba
nr. CFMSES011011372801030 din 30.12.2024
nr. 96, jud. Mureș — Hala de
nr. 145/18.08.2026, înregistrată sub nr. R1-
nr. 1382394. Documentul completează
nr. 7/30.06.2026 nu au prezentat
nr. 8/03.07.2026.
nr. 1/12.08.2026, cod RFMSES011011372801030, s -a
nr. 206/12.08.2026, emis de S.C.
nr. 1.359.705/22.06.2026, modificarea fiind formalizată prin Actul Adițional nr. 1, înregistrat sub nr.
NRE nr. 51/2019 și nr. 3/2023, cu modificările și completările ulterioare;
nr. 2 – tranșa finală.
nr. 145/18.08.2026 a fost depusă
nr. 2 la Contractul de finanțare nr. CFMSES011011372801030/30.12.2024.</x:v>
      </x:c>
      <x:c r="K462" s="8" t="str">
        <x:v>Text extras; numerele din referințe sunt în coloana separată</x:v>
      </x:c>
      <x:c r="L462" s="8" t="e">
        <x:f>HYPERLINK("file:///Z:/00. Proiecte 2025/AFIR FotoVoltaic 1/16.3 Act aditional 2 - Prelungire termen/Clarificare nr1/draft/2_Memoriu_justificativ_prelungire_S_.pdf","Deschide sursa")</x:f>
        <x:v>HYPERLINK is not implemented. linkLocation=file:///Z:/00. Proiecte 2025/AFIR FotoVoltaic 1/16.3 Act aditional 2 - Prelungire termen/Clarificare nr1/draft/2_Memoriu_justificativ_prelungire_S_.pdf, friendlyName=Deschide sursa</x:v>
      </x:c>
    </x:row>
    <x:row r="463" ht="330" customHeight="1">
      <x:c r="A463" s="8" t="str">
        <x:v>F0839</x:v>
      </x:c>
      <x:c r="B463" s="8" t="str">
        <x:v>2_Memoriu_justificativ_revizuit_31_05_2027.docx</x:v>
      </x:c>
      <x:c r="C463" s="8" t="str">
        <x:v>Modificare contract</x:v>
      </x:c>
      <x:c r="D463" s="12" t="str"/>
      <x:c r="E463" s="11" t="str"/>
      <x:c r="F463" s="12" t="str"/>
      <x:c r="G463" s="11" t="str"/>
      <x:c r="H463" s="8" t="str">
        <x:v>161 / 30.09.2026</x:v>
      </x:c>
      <x:c r="I463" s="8" t="str">
        <x:v>Versiune de lucru / arhivă</x:v>
      </x:c>
      <x:c r="J463" s="8" t="str">
        <x:v>NRC J01/1328/2021 · Alba Iulia, str. Theodor Pallady nr. 5, jud. Alba
nr. 96, jud. Mureș — Hala de Producție C1
Nr. 161 / 30.09.2026
nr. CFMSES011011372801030/30.12.2024
nr. 145/18.08.2026, înregistrată sub nr. R1-SIBA-SE-765/19.08.2026, în cadrul răspunsului la Scrisoarea AFIR nr. 1382394. Documentul completează memoriul inițial ș
nr. 7/30.06.2026 nu au prezentat neconformități, iar recepția parțială a Tranșei 1 este consemnată prin Procesul-verbal nr. 8/03.07.2026. Rămân de finalizat livrăr
nr. 1/12.08.2026, cod RFMSES011011372801030, s-a solicitat autorizarea sumei de 2.466.942,15 lei fără TVA, reprezentând 50,45% din valoarea totală eligibilă. Tranș
nr. 206/12.08.2026, emis de S.C. ATTA CONSULTING S.R.L., fără identificarea unor cheltuieli neeligibile. Plățile documentate către furnizor, în valoare de 2.985.00
nr. 1.359.705/22.06.2026, modificarea fiind formalizată prin Actul Adițional nr. 1, înregistrat sub nr. 1.360.244/30.06.2026. Finalizarea investiției presupune com
NRE nr. 51/2019 și nr. 3/2023, cu modificările și completările ulterioare;
nr. 145/18.08.2026 a fost depusă înainte de expirarea duratei de implementare; prezentul memoriu actualizează fundamentarea acesteia în cadrul răspunsului la solic
nr. 2 la Contractul de finanțare nr. CFMSES011011372801030/30.12.2024. Noul calendar înlocuiește calendarul prezentat inițial și menține obligația realizării inves
NRC J01/1328/2021
nr. 5, jud. Alba
nr. CFMSES011011372801030 din 30.12.2024
nr. 2 – tranșa finală. | Beneficiar / Auditor | până la 31.05.2027</x:v>
      </x:c>
      <x:c r="K463" s="8" t="str">
        <x:v>Text extras; numerele din referințe sunt în coloana separată</x:v>
      </x:c>
      <x:c r="L463" s="8" t="e">
        <x:f>HYPERLINK("file:///Z:/00. Proiecte 2025/AFIR FotoVoltaic 1/16.3 Act aditional 2 - Prelungire termen/Clarificare nr1/draft/2_Memoriu_justificativ_revizuit_31_05_2027.docx","Deschide sursa")</x:f>
        <x:v>HYPERLINK is not implemented. linkLocation=file:///Z:/00. Proiecte 2025/AFIR FotoVoltaic 1/16.3 Act aditional 2 - Prelungire termen/Clarificare nr1/draft/2_Memoriu_justificativ_revizuit_31_05_2027.docx, friendlyName=Deschide sursa</x:v>
      </x:c>
    </x:row>
    <x:row r="464" ht="36" customHeight="1">
      <x:c r="A464" s="8" t="str">
        <x:v>F0840</x:v>
      </x:c>
      <x:c r="B464" s="8" t="str">
        <x:v>3. Referat_proiectant_prelungire_CESIRO (1).pdf</x:v>
      </x:c>
      <x:c r="C464" s="8" t="str">
        <x:v>Modificare contract</x:v>
      </x:c>
      <x:c r="D464" s="12" t="str"/>
      <x:c r="E464" s="11" t="str"/>
      <x:c r="F464" s="12" t="str"/>
      <x:c r="G464" s="11" t="str"/>
      <x:c r="H464" s="8" t="str"/>
      <x:c r="I464" s="8" t="str">
        <x:v>Versiune de lucru / arhivă</x:v>
      </x:c>
      <x:c r="J464" s="8" t="str"/>
      <x:c r="K464" s="8" t="str">
        <x:v>Text extras; numerele din referințe sunt în coloana separată</x:v>
      </x:c>
      <x:c r="L464" s="8" t="e">
        <x:f>HYPERLINK("file:///Z:/00. Proiecte 2025/AFIR FotoVoltaic 1/16.3 Act aditional 2 - Prelungire termen/Clarificare nr1/draft/3. Referat_proiectant_prelungire_CESIRO (1).pdf","Deschide sursa")</x:f>
        <x:v>HYPERLINK is not implemented. linkLocation=file:///Z:/00. Proiecte 2025/AFIR FotoVoltaic 1/16.3 Act aditional 2 - Prelungire termen/Clarificare nr1/draft/3. Referat_proiectant_prelungire_CESIRO (1).pdf, friendlyName=Deschide sursa</x:v>
      </x:c>
    </x:row>
    <x:row r="465" ht="204" customHeight="1">
      <x:c r="A465" s="8" t="str">
        <x:v>F0841</x:v>
      </x:c>
      <x:c r="B465" s="8" t="str">
        <x:v>3_Referat_tehnic_revizuit_31_05_2027.docx</x:v>
      </x:c>
      <x:c r="C465" s="8" t="str">
        <x:v>Modificare contract</x:v>
      </x:c>
      <x:c r="D465" s="12" t="str"/>
      <x:c r="E465" s="11" t="str"/>
      <x:c r="F465" s="12" t="str"/>
      <x:c r="G465" s="11" t="str"/>
      <x:c r="H465" s="8" t="str"/>
      <x:c r="I465" s="8" t="str">
        <x:v>Versiune de lucru / arhivă</x:v>
      </x:c>
      <x:c r="J465" s="8" t="str">
        <x:v>NRC J01/1328/2021 · Alba Iulia, str. Theodor Pallady nr. 5, jud. Alba
nr. CFMSES011011372801030/30.12.2024, în cadrul răspunsului la Scrisoarea AFIR nr. 1382394. Sunt analizate stadiul investiției, lucrările și procedurile rămase, pr
nr. 96, jud. Mureș;
nr. 1.359.705/22.06.2026 și Actul Adițional nr. 1, înregistrat sub nr. 1.360.244/30.06.2026, privind actualizarea soluției tehnice;
nr. 1382394 privind reanalizarea duratei de implementare și urgentarea elaborării și depunerii PTE-IU;
nr. 7/30.06.2026;
nr. 1–8, din perioada 16.02.2026–03.07.2026;
nr. 7/30.06.2026, întocmit cu participarea proiectantului, consemnează conformitatea lucrărilor verificate. Recepția parțială este consemnată prin Procesul-verbal
nr. 8/03.07.2026 și privește lucrările aferente Tranșei 1.
NRE nr. 51/2019 și nr. 3/2023, cu modificările ulterioare; probe funcționale. | Beneficiar / Executant / DEER | notificare:</x:v>
      </x:c>
      <x:c r="K465" s="8" t="str">
        <x:v>Text extras; numerele din referințe sunt în coloana separată</x:v>
      </x:c>
      <x:c r="L465" s="8" t="e">
        <x:f>HYPERLINK("file:///Z:/00. Proiecte 2025/AFIR FotoVoltaic 1/16.3 Act aditional 2 - Prelungire termen/Clarificare nr1/draft/3_Referat_tehnic_revizuit_31_05_2027.docx","Deschide sursa")</x:f>
        <x:v>HYPERLINK is not implemented. linkLocation=file:///Z:/00. Proiecte 2025/AFIR FotoVoltaic 1/16.3 Act aditional 2 - Prelungire termen/Clarificare nr1/draft/3_Referat_tehnic_revizuit_31_05_2027.docx, friendlyName=Deschide sursa</x:v>
      </x:c>
    </x:row>
    <x:row r="466" ht="92" customHeight="1">
      <x:c r="A466" s="8" t="str">
        <x:v>F0842</x:v>
      </x:c>
      <x:c r="B466" s="8" t="str">
        <x:v>5_Declaratie_proprie_raspundere_s.pdf</x:v>
      </x:c>
      <x:c r="C466" s="8" t="str">
        <x:v>Modificare contract</x:v>
      </x:c>
      <x:c r="D466" s="12" t="str">
        <x:v>150</x:v>
      </x:c>
      <x:c r="E466" s="11" t="n">
        <x:v>46295</x:v>
      </x:c>
      <x:c r="F466" s="12" t="str"/>
      <x:c r="G466" s="11" t="str"/>
      <x:c r="H466" s="8" t="str"/>
      <x:c r="I466" s="8" t="str">
        <x:v>Versiune de lucru / arhivă</x:v>
      </x:c>
      <x:c r="J466" s="8" t="str">
        <x:v>NRC J01/1328/2021 · Alba Iulia, str. Theodor Pallady nr. 5, jud. Alba
nr. 96, jud. Mureș — Hala de Producție C1
Nr. 150 / 30.09.2026
nr. CFMSES011011372801030/30.12.2024
NRC J01/1328/2021, cu sediul în Alba Iulia, str. Theodor Pallady nr. 5, jud. Alba,
nr. CFMSES011011372801030/30.12.2024, cunoscând</x:v>
      </x:c>
      <x:c r="K466" s="8" t="str">
        <x:v>Text extras; numerele din referințe sunt în coloana separată</x:v>
      </x:c>
      <x:c r="L466" s="8" t="e">
        <x:f>HYPERLINK("file:///Z:/00. Proiecte 2025/AFIR FotoVoltaic 1/16.3 Act aditional 2 - Prelungire termen/Clarificare nr1/draft/5_Declaratie_proprie_raspundere_s.pdf","Deschide sursa")</x:f>
        <x:v>HYPERLINK is not implemented. linkLocation=file:///Z:/00. Proiecte 2025/AFIR FotoVoltaic 1/16.3 Act aditional 2 - Prelungire termen/Clarificare nr1/draft/5_Declaratie_proprie_raspundere_s.pdf, friendlyName=Deschide sursa</x:v>
      </x:c>
    </x:row>
    <x:row r="467" ht="92" customHeight="1">
      <x:c r="A467" s="8" t="str">
        <x:v>F0843</x:v>
      </x:c>
      <x:c r="B467" s="8" t="str">
        <x:v>5_Declaratie_proprie_raspundere_ss.pdf</x:v>
      </x:c>
      <x:c r="C467" s="8" t="str">
        <x:v>Modificare contract</x:v>
      </x:c>
      <x:c r="D467" s="12" t="str">
        <x:v>150</x:v>
      </x:c>
      <x:c r="E467" s="11" t="n">
        <x:v>46295</x:v>
      </x:c>
      <x:c r="F467" s="12" t="str"/>
      <x:c r="G467" s="11" t="str"/>
      <x:c r="H467" s="8" t="str"/>
      <x:c r="I467" s="8" t="str">
        <x:v>Versiune de lucru / arhivă</x:v>
      </x:c>
      <x:c r="J467" s="8" t="str">
        <x:v>NRC J01/1328/2021 · Alba Iulia, str. Theodor Pallady nr. 5, jud. Alba
nr. 96, jud. Mureș — Hala de Producție C1
Nr. 150 / 30.09.2026
nr. CFMSES011011372801030/30.12.2024
NRC J01/1328/2021, cu sediul în Alba Iulia, str. Theodor Pallady nr. 5, jud. Alba,
nr. CFMSES011011372801030/30.12.2024, cunoscând</x:v>
      </x:c>
      <x:c r="K467" s="8" t="str">
        <x:v>Text extras; numerele din referințe sunt în coloana separată</x:v>
      </x:c>
      <x:c r="L467" s="8" t="e">
        <x:f>HYPERLINK("file:///Z:/00. Proiecte 2025/AFIR FotoVoltaic 1/16.3 Act aditional 2 - Prelungire termen/Clarificare nr1/draft/5_Declaratie_proprie_raspundere_ss.pdf","Deschide sursa")</x:f>
        <x:v>HYPERLINK is not implemented. linkLocation=file:///Z:/00. Proiecte 2025/AFIR FotoVoltaic 1/16.3 Act aditional 2 - Prelungire termen/Clarificare nr1/draft/5_Declaratie_proprie_raspundere_ss.pdf, friendlyName=Deschide sursa</x:v>
      </x:c>
    </x:row>
    <x:row r="468" ht="36" customHeight="1">
      <x:c r="A468" s="8" t="str">
        <x:v>F0844</x:v>
      </x:c>
      <x:c r="B468" s="8" t="str">
        <x:v>SKMBT_C28026093013200.pdf</x:v>
      </x:c>
      <x:c r="C468" s="8" t="str">
        <x:v>Modificare contract</x:v>
      </x:c>
      <x:c r="D468" s="12" t="str"/>
      <x:c r="E468" s="11" t="str"/>
      <x:c r="F468" s="12" t="str"/>
      <x:c r="G468" s="11" t="str"/>
      <x:c r="H468" s="8" t="str"/>
      <x:c r="I468" s="8" t="str">
        <x:v>Versiune de lucru / arhivă</x:v>
      </x:c>
      <x:c r="J468" s="8" t="str"/>
      <x:c r="K468" s="8" t="str">
        <x:v>Text extras; numerele din referințe sunt în coloana separată</x:v>
      </x:c>
      <x:c r="L468" s="8" t="e">
        <x:f>HYPERLINK("file:///Z:/00. Proiecte 2025/AFIR FotoVoltaic 1/16.3 Act aditional 2 - Prelungire termen/Clarificare nr1/draft/SKMBT_C28026093013200.pdf","Deschide sursa")</x:f>
        <x:v>HYPERLINK is not implemented. linkLocation=file:///Z:/00. Proiecte 2025/AFIR FotoVoltaic 1/16.3 Act aditional 2 - Prelungire termen/Clarificare nr1/draft/SKMBT_C28026093013200.pdf, friendlyName=Deschide sursa</x:v>
      </x:c>
    </x:row>
    <x:row r="469" ht="36" customHeight="1">
      <x:c r="A469" s="8" t="str">
        <x:v>F0848</x:v>
      </x:c>
      <x:c r="B469" s="8" t="str">
        <x:v>AP_0.0_grafic_de_esalonare_s_.pdf</x:v>
      </x:c>
      <x:c r="C469" s="8" t="str">
        <x:v>Modificare contract</x:v>
      </x:c>
      <x:c r="D469" s="12" t="str"/>
      <x:c r="E469" s="11" t="str"/>
      <x:c r="F469" s="12" t="str"/>
      <x:c r="G469" s="11" t="str"/>
      <x:c r="H469" s="8" t="str"/>
      <x:c r="I469" s="8" t="str">
        <x:v>Copie din dosar etichetat descărcat de pe AFIR</x:v>
      </x:c>
      <x:c r="J469" s="8" t="str"/>
      <x:c r="K469" s="8" t="str">
        <x:v>Text extras; numerele din referințe sunt în coloana separată</x:v>
      </x:c>
      <x:c r="L469" s="8" t="e">
        <x:f>HYPERLINK("file:///Z:/00. Proiecte 2025/AFIR FotoVoltaic 1/16.3 Act aditional 2 - Prelungire termen/PDF_Semnat si Depus/Descarcate de pe AFIR-/AP_0.0_grafic_de_esalonare_s_.pdf","Deschide sursa")</x:f>
        <x:v>HYPERLINK is not implemented. linkLocation=file:///Z:/00. Proiecte 2025/AFIR FotoVoltaic 1/16.3 Act aditional 2 - Prelungire termen/PDF_Semnat si Depus/Descarcate de pe AFIR-/AP_0.0_grafic_de_esalonare_s_.pdf, friendlyName=Deschide sursa</x:v>
      </x:c>
    </x:row>
    <x:row r="470" ht="36" customHeight="1">
      <x:c r="A470" s="8" t="str">
        <x:v>F0849</x:v>
      </x:c>
      <x:c r="B470" s="8" t="str">
        <x:v>ARTFIL PLAN ETAJ.pdf</x:v>
      </x:c>
      <x:c r="C470" s="8" t="str">
        <x:v>Racordare</x:v>
      </x:c>
      <x:c r="D470" s="12" t="str"/>
      <x:c r="E470" s="11" t="str"/>
      <x:c r="F470" s="12" t="str"/>
      <x:c r="G470" s="11" t="str"/>
      <x:c r="H470" s="8" t="str"/>
      <x:c r="I470" s="8" t="str">
        <x:v>Document local; transmiterea individuală neconfirmată</x:v>
      </x:c>
      <x:c r="J470" s="8" t="str"/>
      <x:c r="K470" s="8" t="str">
        <x:v>Text extras; numerele din referințe sunt în coloana separată</x:v>
      </x:c>
      <x:c r="L470" s="8" t="e">
        <x:f>HYPERLINK("file:///Z:/00. Proiecte 2025/AFIR FotoVoltaic 1/20. ATR/1. Documente Solicitare ATR/ARTFIL PLAN ETAJ.pdf","Deschide sursa")</x:f>
        <x:v>HYPERLINK is not implemented. linkLocation=file:///Z:/00. Proiecte 2025/AFIR FotoVoltaic 1/20. ATR/1. Documente Solicitare ATR/ARTFIL PLAN ETAJ.pdf, friendlyName=Deschide sursa</x:v>
      </x:c>
    </x:row>
    <x:row r="471" ht="36" customHeight="1">
      <x:c r="A471" s="8" t="str">
        <x:v>F0850</x:v>
      </x:c>
      <x:c r="B471" s="8" t="str">
        <x:v>ARTFIL PLAN PARTER.pdf</x:v>
      </x:c>
      <x:c r="C471" s="8" t="str">
        <x:v>Racordare</x:v>
      </x:c>
      <x:c r="D471" s="12" t="str"/>
      <x:c r="E471" s="11" t="str"/>
      <x:c r="F471" s="12" t="str"/>
      <x:c r="G471" s="11" t="str"/>
      <x:c r="H471" s="8" t="str"/>
      <x:c r="I471" s="8" t="str">
        <x:v>Document local; transmiterea individuală neconfirmată</x:v>
      </x:c>
      <x:c r="J471" s="8" t="str"/>
      <x:c r="K471" s="8" t="str">
        <x:v>Text extras; numerele din referințe sunt în coloana separată</x:v>
      </x:c>
      <x:c r="L471" s="8" t="e">
        <x:f>HYPERLINK("file:///Z:/00. Proiecte 2025/AFIR FotoVoltaic 1/20. ATR/1. Documente Solicitare ATR/ARTFIL PLAN PARTER.pdf","Deschide sursa")</x:f>
        <x:v>HYPERLINK is not implemented. linkLocation=file:///Z:/00. Proiecte 2025/AFIR FotoVoltaic 1/20. ATR/1. Documente Solicitare ATR/ARTFIL PLAN PARTER.pdf, friendlyName=Deschide sursa</x:v>
      </x:c>
    </x:row>
    <x:row r="472" ht="36" customHeight="1">
      <x:c r="A472" s="8" t="str">
        <x:v>F0851</x:v>
      </x:c>
      <x:c r="B472" s="8" t="str">
        <x:v>artfil utilat.pdf</x:v>
      </x:c>
      <x:c r="C472" s="8" t="str">
        <x:v>Racordare</x:v>
      </x:c>
      <x:c r="D472" s="12" t="str"/>
      <x:c r="E472" s="11" t="str"/>
      <x:c r="F472" s="12" t="str"/>
      <x:c r="G472" s="11" t="str"/>
      <x:c r="H472" s="8" t="str"/>
      <x:c r="I472" s="8" t="str">
        <x:v>Document local; transmiterea individuală neconfirmată</x:v>
      </x:c>
      <x:c r="J472" s="8" t="str"/>
      <x:c r="K472" s="8" t="str">
        <x:v>Text extras; numerele din referințe sunt în coloana separată</x:v>
      </x:c>
      <x:c r="L472" s="8" t="e">
        <x:f>HYPERLINK("file:///Z:/00. Proiecte 2025/AFIR FotoVoltaic 1/20. ATR/1. Documente Solicitare ATR/artfil utilat.pdf","Deschide sursa")</x:f>
        <x:v>HYPERLINK is not implemented. linkLocation=file:///Z:/00. Proiecte 2025/AFIR FotoVoltaic 1/20. ATR/1. Documente Solicitare ATR/artfil utilat.pdf, friendlyName=Deschide sursa</x:v>
      </x:c>
    </x:row>
    <x:row r="473" ht="36" customHeight="1">
      <x:c r="A473" s="8" t="str">
        <x:v>F0852</x:v>
      </x:c>
      <x:c r="B473" s="8" t="str">
        <x:v>ATR Cesiro.pdf</x:v>
      </x:c>
      <x:c r="C473" s="8" t="str">
        <x:v>Racordare</x:v>
      </x:c>
      <x:c r="D473" s="12" t="str"/>
      <x:c r="E473" s="11" t="str"/>
      <x:c r="F473" s="12" t="str"/>
      <x:c r="G473" s="11" t="str"/>
      <x:c r="H473" s="8" t="str"/>
      <x:c r="I473" s="8" t="str">
        <x:v>Document local; transmiterea individuală neconfirmată</x:v>
      </x:c>
      <x:c r="J473" s="8" t="str"/>
      <x:c r="K473" s="8" t="str">
        <x:v>Text extras; numerele din referințe sunt în coloana separată</x:v>
      </x:c>
      <x:c r="L473" s="8" t="e">
        <x:f>HYPERLINK("file:///Z:/00. Proiecte 2025/AFIR FotoVoltaic 1/20. ATR/1. Documente Solicitare ATR/ATR Cesiro.pdf","Deschide sursa")</x:f>
        <x:v>HYPERLINK is not implemented. linkLocation=file:///Z:/00. Proiecte 2025/AFIR FotoVoltaic 1/20. ATR/1. Documente Solicitare ATR/ATR Cesiro.pdf, friendlyName=Deschide sursa</x:v>
      </x:c>
    </x:row>
    <x:row r="474" ht="78" customHeight="1">
      <x:c r="A474" s="8" t="str">
        <x:v>F0853</x:v>
      </x:c>
      <x:c r="B474" s="8" t="str">
        <x:v>CERERE DE EMITERE A DOUĂ AVIZE TEHNICE DE RACORDARE.docx</x:v>
      </x:c>
      <x:c r="C474" s="8" t="str">
        <x:v>Racordare</x:v>
      </x:c>
      <x:c r="D474" s="12" t="str"/>
      <x:c r="E474" s="11" t="str"/>
      <x:c r="F474" s="12" t="str"/>
      <x:c r="G474" s="11" t="str"/>
      <x:c r="H474" s="8" t="str"/>
      <x:c r="I474" s="8" t="str">
        <x:v>Document local; transmiterea individuală neconfirmată</x:v>
      </x:c>
      <x:c r="J474" s="8" t="str">
        <x:v>nr. 42 din 31.01.2024, Cesiro SA a vândut imobilul și terenul către IPEC SA.
nr. 1/15.02.2024.
nr. 70301114803/02.09.2011.
nr. 42 din 31.01.2024 între Cesiro SA și IPEC SA.
nr. 96.</x:v>
      </x:c>
      <x:c r="K474" s="8" t="str">
        <x:v>Text extras; numerele din referințe sunt în coloana separată</x:v>
      </x:c>
      <x:c r="L474" s="8" t="e">
        <x:f>HYPERLINK("file:///Z:/00. Proiecte 2025/AFIR FotoVoltaic 1/20. ATR/1. Documente Solicitare ATR/CERERE DE EMITERE A DOUĂ AVIZE TEHNICE DE RACORDARE.docx","Deschide sursa")</x:f>
        <x:v>HYPERLINK is not implemented. linkLocation=file:///Z:/00. Proiecte 2025/AFIR FotoVoltaic 1/20. ATR/1. Documente Solicitare ATR/CERERE DE EMITERE A DOUĂ AVIZE TEHNICE DE RACORDARE.docx, friendlyName=Deschide sursa</x:v>
      </x:c>
    </x:row>
    <x:row r="475" ht="50" customHeight="1">
      <x:c r="A475" s="8" t="str">
        <x:v>F0854</x:v>
      </x:c>
      <x:c r="B475" s="8" t="str">
        <x:v>cerere-si-chestionar-pentru-obtinere-atr-cu-o-putere-mai-mare-de-100-kw.pdf</x:v>
      </x:c>
      <x:c r="C475" s="8" t="str">
        <x:v>Racordare</x:v>
      </x:c>
      <x:c r="D475" s="12" t="str"/>
      <x:c r="E475" s="11" t="str"/>
      <x:c r="F475" s="12" t="str"/>
      <x:c r="G475" s="11" t="str"/>
      <x:c r="H475" s="8" t="str"/>
      <x:c r="I475" s="8" t="str">
        <x:v>Document local; transmiterea individuală neconfirmată</x:v>
      </x:c>
      <x:c r="J475" s="8" t="str">
        <x:v>nr. 59/31.03.2016
nregistrat la O.R.C. (2) cu nr. _________________, cod de inregistrare
NRE(4) privind aprobarea tarifelor de emitere</x:v>
      </x:c>
      <x:c r="K475" s="8" t="str">
        <x:v>Text extras; numerele din referințe sunt în coloana separată</x:v>
      </x:c>
      <x:c r="L475" s="8" t="e">
        <x:f>HYPERLINK("file:///Z:/00. Proiecte 2025/AFIR FotoVoltaic 1/20. ATR/1. Documente Solicitare ATR/cerere-si-chestionar-pentru-obtinere-atr-cu-o-putere-mai-mare-de-100-kw.pdf","Deschide sursa")</x:f>
        <x:v>HYPERLINK is not implemented. linkLocation=file:///Z:/00. Proiecte 2025/AFIR FotoVoltaic 1/20. ATR/1. Documente Solicitare ATR/cerere-si-chestionar-pentru-obtinere-atr-cu-o-putere-mai-mare-de-100-kw.pdf, friendlyName=Deschide sursa</x:v>
      </x:c>
    </x:row>
    <x:row r="476" ht="36" customHeight="1">
      <x:c r="A476" s="8" t="str">
        <x:v>F0855</x:v>
      </x:c>
      <x:c r="B476" s="8" t="str">
        <x:v>GDPR ATR Distributie Energie Electrica Mures.docx</x:v>
      </x:c>
      <x:c r="C476" s="8" t="str">
        <x:v>Racordare</x:v>
      </x:c>
      <x:c r="D476" s="12" t="str"/>
      <x:c r="E476" s="11" t="str"/>
      <x:c r="F476" s="12" t="str"/>
      <x:c r="G476" s="11" t="str"/>
      <x:c r="H476" s="8" t="str"/>
      <x:c r="I476" s="8" t="str">
        <x:v>Document local; transmiterea individuală neconfirmată</x:v>
      </x:c>
      <x:c r="J476" s="8" t="str">
        <x:v>nr. 17B</x:v>
      </x:c>
      <x:c r="K476" s="8" t="str">
        <x:v>Text extras; numerele din referințe sunt în coloana separată</x:v>
      </x:c>
      <x:c r="L476" s="8" t="e">
        <x:f>HYPERLINK("file:///Z:/00. Proiecte 2025/AFIR FotoVoltaic 1/20. ATR/1. Documente Solicitare ATR/GDPR ATR Distributie Energie Electrica Mures.docx","Deschide sursa")</x:f>
        <x:v>HYPERLINK is not implemented. linkLocation=file:///Z:/00. Proiecte 2025/AFIR FotoVoltaic 1/20. ATR/1. Documente Solicitare ATR/GDPR ATR Distributie Energie Electrica Mures.docx, friendlyName=Deschide sursa</x:v>
      </x:c>
    </x:row>
    <x:row r="477" ht="36" customHeight="1">
      <x:c r="A477" s="8" t="str">
        <x:v>F0856</x:v>
      </x:c>
      <x:c r="B477" s="8" t="str">
        <x:v>GDPR ATR Distributie Energie Electrica Mures.pdf</x:v>
      </x:c>
      <x:c r="C477" s="8" t="str">
        <x:v>Racordare</x:v>
      </x:c>
      <x:c r="D477" s="12" t="str"/>
      <x:c r="E477" s="11" t="str"/>
      <x:c r="F477" s="12" t="str"/>
      <x:c r="G477" s="11" t="str"/>
      <x:c r="H477" s="8" t="str"/>
      <x:c r="I477" s="8" t="str">
        <x:v>Document local; transmiterea individuală neconfirmată</x:v>
      </x:c>
      <x:c r="J477" s="8" t="str">
        <x:v>nr. 17B</x:v>
      </x:c>
      <x:c r="K477" s="8" t="str">
        <x:v>Text extras; numerele din referințe sunt în coloana separată</x:v>
      </x:c>
      <x:c r="L477" s="8" t="e">
        <x:f>HYPERLINK("file:///Z:/00. Proiecte 2025/AFIR FotoVoltaic 1/20. ATR/1. Documente Solicitare ATR/GDPR ATR Distributie Energie Electrica Mures.pdf","Deschide sursa")</x:f>
        <x:v>HYPERLINK is not implemented. linkLocation=file:///Z:/00. Proiecte 2025/AFIR FotoVoltaic 1/20. ATR/1. Documente Solicitare ATR/GDPR ATR Distributie Energie Electrica Mures.pdf, friendlyName=Deschide sursa</x:v>
      </x:c>
    </x:row>
    <x:row r="478" ht="36" customHeight="1">
      <x:c r="A478" s="8" t="str">
        <x:v>F0857</x:v>
      </x:c>
      <x:c r="B478" s="8" t="str">
        <x:v>GDPR Nota-informare-clienti-DEER-final.pdf</x:v>
      </x:c>
      <x:c r="C478" s="8" t="str">
        <x:v>Racordare</x:v>
      </x:c>
      <x:c r="D478" s="12" t="str"/>
      <x:c r="E478" s="11" t="str"/>
      <x:c r="F478" s="12" t="str"/>
      <x:c r="G478" s="11" t="str"/>
      <x:c r="H478" s="8" t="str"/>
      <x:c r="I478" s="8" t="str">
        <x:v>Document local; transmiterea individuală neconfirmată</x:v>
      </x:c>
      <x:c r="J478" s="8" t="str">
        <x:v>nr. 123/2012, Ordine ANRE,</x:v>
      </x:c>
      <x:c r="K478" s="8" t="str">
        <x:v>Text extras; numerele din referințe sunt în coloana separată</x:v>
      </x:c>
      <x:c r="L478" s="8" t="e">
        <x:f>HYPERLINK("file:///Z:/00. Proiecte 2025/AFIR FotoVoltaic 1/20. ATR/1. Documente Solicitare ATR/GDPR Nota-informare-clienti-DEER-final.pdf","Deschide sursa")</x:f>
        <x:v>HYPERLINK is not implemented. linkLocation=file:///Z:/00. Proiecte 2025/AFIR FotoVoltaic 1/20. ATR/1. Documente Solicitare ATR/GDPR Nota-informare-clienti-DEER-final.pdf, friendlyName=Deschide sursa</x:v>
      </x:c>
    </x:row>
    <x:row r="479" ht="36" customHeight="1">
      <x:c r="A479" s="8" t="str">
        <x:v>F0858</x:v>
      </x:c>
      <x:c r="B479" s="8" t="str">
        <x:v>Plan ARTFIL scara 1 la 1000.doc</x:v>
      </x:c>
      <x:c r="C479" s="8" t="str">
        <x:v>Racordare</x:v>
      </x:c>
      <x:c r="D479" s="12" t="str"/>
      <x:c r="E479" s="11" t="str"/>
      <x:c r="F479" s="12" t="str"/>
      <x:c r="G479" s="11" t="str"/>
      <x:c r="H479" s="8" t="str"/>
      <x:c r="I479" s="8" t="str">
        <x:v>Document local; transmiterea individuală neconfirmată</x:v>
      </x:c>
      <x:c r="J479" s="8" t="str"/>
      <x:c r="K479" s="8" t="str">
        <x:v>Necesită citire vizuală / OCR / formular XFA</x:v>
      </x:c>
      <x:c r="L479" s="8" t="e">
        <x:f>HYPERLINK("file:///Z:/00. Proiecte 2025/AFIR FotoVoltaic 1/20. ATR/1. Documente Solicitare ATR/Plan ARTFIL scara 1 la 1000.doc","Deschide sursa")</x:f>
        <x:v>HYPERLINK is not implemented. linkLocation=file:///Z:/00. Proiecte 2025/AFIR FotoVoltaic 1/20. ATR/1. Documente Solicitare ATR/Plan ARTFIL scara 1 la 1000.doc, friendlyName=Deschide sursa</x:v>
      </x:c>
    </x:row>
    <x:row r="480" ht="36" customHeight="1">
      <x:c r="A480" s="8" t="str">
        <x:v>F0859</x:v>
      </x:c>
      <x:c r="B480" s="8" t="str">
        <x:v>Proiect Fotovoltaice Cesiro.pdf</x:v>
      </x:c>
      <x:c r="C480" s="8" t="str">
        <x:v>Racordare</x:v>
      </x:c>
      <x:c r="D480" s="12" t="str"/>
      <x:c r="E480" s="11" t="str"/>
      <x:c r="F480" s="12" t="str"/>
      <x:c r="G480" s="11" t="str"/>
      <x:c r="H480" s="8" t="str"/>
      <x:c r="I480" s="8" t="str">
        <x:v>Document local; transmiterea individuală neconfirmată</x:v>
      </x:c>
      <x:c r="J480" s="8" t="str">
        <x:v>Nr. Proiect 1/2025FAZAPT</x:v>
      </x:c>
      <x:c r="K480" s="8" t="str">
        <x:v>Text extras; numerele din referințe sunt în coloana separată</x:v>
      </x:c>
      <x:c r="L480" s="8" t="e">
        <x:f>HYPERLINK("file:///Z:/00. Proiecte 2025/AFIR FotoVoltaic 1/20. ATR/1. Documente Solicitare ATR/Proiect Fotovoltaice Cesiro.pdf","Deschide sursa")</x:f>
        <x:v>HYPERLINK is not implemented. linkLocation=file:///Z:/00. Proiecte 2025/AFIR FotoVoltaic 1/20. ATR/1. Documente Solicitare ATR/Proiect Fotovoltaice Cesiro.pdf, friendlyName=Deschide sursa</x:v>
      </x:c>
    </x:row>
    <x:row r="481" ht="50" customHeight="1">
      <x:c r="A481" s="8" t="str">
        <x:v>F0860</x:v>
      </x:c>
      <x:c r="B481" s="8" t="str">
        <x:v>PROTOCOL DE ÎMPĂRȚIRE A CONSUMULUI ȘI RACORDĂRII ÎNTRE IPEC SA ȘI CESIRO PRODUCTION SRL.docx</x:v>
      </x:c>
      <x:c r="C481" s="8" t="str">
        <x:v>Racordare</x:v>
      </x:c>
      <x:c r="D481" s="12" t="str"/>
      <x:c r="E481" s="11" t="str"/>
      <x:c r="F481" s="12" t="str"/>
      <x:c r="G481" s="11" t="str"/>
      <x:c r="H481" s="8" t="str"/>
      <x:c r="I481" s="8" t="str">
        <x:v>Document local; transmiterea individuală neconfirmată</x:v>
      </x:c>
      <x:c r="J481" s="8" t="str"/>
      <x:c r="K481" s="8" t="str">
        <x:v>Text extras; numerele din referințe sunt în coloana separată</x:v>
      </x:c>
      <x:c r="L481" s="8" t="e">
        <x:f>HYPERLINK("file:///Z:/00. Proiecte 2025/AFIR FotoVoltaic 1/20. ATR/1. Documente Solicitare ATR/PROTOCOL DE ÎMPĂRȚIRE A CONSUMULUI ȘI RACORDĂRII ÎNTRE IPEC SA ȘI CESIRO PRODUCTION SRL.docx","Deschide sursa")</x:f>
        <x:v>HYPERLINK is not implemented. linkLocation=file:///Z:/00. Proiecte 2025/AFIR FotoVoltaic 1/20. ATR/1. Documente Solicitare ATR/PROTOCOL DE ÎMPĂRȚIRE A CONSUMULUI ȘI RACORDĂRII ÎNTRE IPEC SA ȘI CESIRO PRODUCTION SRL.docx, friendlyName=Deschide sursa</x:v>
      </x:c>
    </x:row>
    <x:row r="482" ht="162" customHeight="1">
      <x:c r="A482" s="8" t="str">
        <x:v>F0861</x:v>
      </x:c>
      <x:c r="B482" s="8" t="str">
        <x:v>SaCERERE DE MODIFICARE ATR.docx</x:v>
      </x:c>
      <x:c r="C482" s="8" t="str">
        <x:v>Racordare</x:v>
      </x:c>
      <x:c r="D482" s="12" t="str"/>
      <x:c r="E482" s="11" t="str"/>
      <x:c r="F482" s="12" t="str"/>
      <x:c r="G482" s="11" t="str"/>
      <x:c r="H482" s="8" t="str"/>
      <x:c r="I482" s="8" t="str">
        <x:v>Document local; transmiterea individuală neconfirmată</x:v>
      </x:c>
      <x:c r="J482" s="8" t="str">
        <x:v>Nr. 5, Jud. Alba
nr. 70301114803/02.09.2011, emis inițial pentru CESIRO SA, astfel încât noul titular să fie CESIRO PRODUCTION SRL​.
nr. 42/31.01.2024, CESIRO SA a transferat dreptul de proprietate asupra terenului și clădirilor situate la Sighișoara, Str. Mihai Viteazu nr. 96, către IPEC SA​.
nr. 58300​.
nr. 1/15.02.2024, IPEC SA a închiriat terenul și clădirea către CESIRO PRODUCTION SRL​.
nr. CFMSES011011372801030, acest proiect este finanțat prin Fondul pentru Modernizare​.
nr. 70301114803/02.09.2011​.
nr. 96​.
nr. 1/15.02.2024 dintre IPEC SA și CESIRO PRODUCTION SRL​.</x:v>
      </x:c>
      <x:c r="K482" s="8" t="str">
        <x:v>Text extras; numerele din referințe sunt în coloana separată</x:v>
      </x:c>
      <x:c r="L482" s="8" t="e">
        <x:f>HYPERLINK("file:///Z:/00. Proiecte 2025/AFIR FotoVoltaic 1/20. ATR/1. Documente Solicitare ATR/SaCERERE DE MODIFICARE ATR.docx","Deschide sursa")</x:f>
        <x:v>HYPERLINK is not implemented. linkLocation=file:///Z:/00. Proiecte 2025/AFIR FotoVoltaic 1/20. ATR/1. Documente Solicitare ATR/SaCERERE DE MODIFICARE ATR.docx, friendlyName=Deschide sursa</x:v>
      </x:c>
    </x:row>
    <x:row r="483" ht="36" customHeight="1">
      <x:c r="A483" s="8" t="str">
        <x:v>F0862</x:v>
      </x:c>
      <x:c r="B483" s="8" t="str">
        <x:v>Tema de proiectare schema monofilara sistemului fotovoltaic CESIRO 1MW.docx</x:v>
      </x:c>
      <x:c r="C483" s="8" t="str">
        <x:v>Racordare</x:v>
      </x:c>
      <x:c r="D483" s="12" t="str"/>
      <x:c r="E483" s="11" t="str"/>
      <x:c r="F483" s="12" t="str"/>
      <x:c r="G483" s="11" t="str"/>
      <x:c r="H483" s="8" t="str"/>
      <x:c r="I483" s="8" t="str">
        <x:v>Document local; transmiterea individuală neconfirmată</x:v>
      </x:c>
      <x:c r="J483" s="8" t="str"/>
      <x:c r="K483" s="8" t="str">
        <x:v>Text extras; numerele din referințe sunt în coloana separată</x:v>
      </x:c>
      <x:c r="L483" s="8" t="e">
        <x:f>HYPERLINK("file:///Z:/00. Proiecte 2025/AFIR FotoVoltaic 1/20. ATR/1. Documente Solicitare ATR/Tema de proiectare schema monofilara sistemului fotovoltaic CESIRO 1MW.docx","Deschide sursa")</x:f>
        <x:v>HYPERLINK is not implemented. linkLocation=file:///Z:/00. Proiecte 2025/AFIR FotoVoltaic 1/20. ATR/1. Documente Solicitare ATR/Tema de proiectare schema monofilara sistemului fotovoltaic CESIRO 1MW.docx, friendlyName=Deschide sursa</x:v>
      </x:c>
    </x:row>
    <x:row r="484" ht="36" customHeight="1">
      <x:c r="A484" s="8" t="str">
        <x:v>F0863</x:v>
      </x:c>
      <x:c r="B484" s="8" t="str">
        <x:v>CI Nou Cosmin Covaciu 2025 semnat (1) (1).pdf</x:v>
      </x:c>
      <x:c r="C484" s="8" t="str">
        <x:v>Racordare</x:v>
      </x:c>
      <x:c r="D484" s="12" t="str"/>
      <x:c r="E484" s="11" t="str"/>
      <x:c r="F484" s="12" t="str"/>
      <x:c r="G484" s="11" t="str"/>
      <x:c r="H484" s="8" t="str"/>
      <x:c r="I484" s="8" t="str">
        <x:v>Document local; transmiterea individuală neconfirmată</x:v>
      </x:c>
      <x:c r="J484" s="8" t="str"/>
      <x:c r="K484" s="8" t="str">
        <x:v>Text extras; numerele din referințe sunt în coloana separată</x:v>
      </x:c>
      <x:c r="L484" s="8" t="e">
        <x:f>HYPERLINK("file:///Z:/00. Proiecte 2025/AFIR FotoVoltaic 1/20. ATR/2026.05.19 de semnat/CI Nou Cosmin Covaciu 2025 semnat (1) (1).pdf","Deschide sursa")</x:f>
        <x:v>HYPERLINK is not implemented. linkLocation=file:///Z:/00. Proiecte 2025/AFIR FotoVoltaic 1/20. ATR/2026.05.19 de semnat/CI Nou Cosmin Covaciu 2025 semnat (1) (1).pdf, friendlyName=Deschide sursa</x:v>
      </x:c>
    </x:row>
    <x:row r="485" ht="64" customHeight="1">
      <x:c r="A485" s="8" t="str">
        <x:v>F0864</x:v>
      </x:c>
      <x:c r="B485" s="8" t="str">
        <x:v>Contract de prestări servicii.pdf</x:v>
      </x:c>
      <x:c r="C485" s="8" t="str">
        <x:v>Racordare</x:v>
      </x:c>
      <x:c r="D485" s="12" t="str"/>
      <x:c r="E485" s="11" t="str"/>
      <x:c r="F485" s="12" t="str"/>
      <x:c r="G485" s="11" t="str"/>
      <x:c r="H485" s="8" t="str">
        <x:v>282 / 19.05.2026</x:v>
      </x:c>
      <x:c r="I485" s="8" t="str">
        <x:v>Document local; transmiterea individuală neconfirmată</x:v>
      </x:c>
      <x:c r="J485" s="8" t="str">
        <x:v>Nr. 282/ 19.05.2026
nr.7,
nregistrat la Oficiul Registrului Comertului sub nr J1/1023/2023, Cod fiscal
Nr. 5, Bl.-, Sc. -, Ap. -,</x:v>
      </x:c>
      <x:c r="K485" s="8" t="str">
        <x:v>Text extras; numerele din referințe sunt în coloana separată</x:v>
      </x:c>
      <x:c r="L485" s="8" t="e">
        <x:f>HYPERLINK("file:///Z:/00. Proiecte 2025/AFIR FotoVoltaic 1/20. ATR/2026.05.19 de semnat/Contract de prestări servicii.pdf","Deschide sursa")</x:f>
        <x:v>HYPERLINK is not implemented. linkLocation=file:///Z:/00. Proiecte 2025/AFIR FotoVoltaic 1/20. ATR/2026.05.19 de semnat/Contract de prestări servicii.pdf, friendlyName=Deschide sursa</x:v>
      </x:c>
    </x:row>
    <x:row r="486" ht="36" customHeight="1">
      <x:c r="A486" s="8" t="str">
        <x:v>F0865</x:v>
      </x:c>
      <x:c r="B486" s="8" t="str">
        <x:v>CUI Cesiro Production.pdf</x:v>
      </x:c>
      <x:c r="C486" s="8" t="str">
        <x:v>Racordare</x:v>
      </x:c>
      <x:c r="D486" s="12" t="str"/>
      <x:c r="E486" s="11" t="str"/>
      <x:c r="F486" s="12" t="str"/>
      <x:c r="G486" s="11" t="str"/>
      <x:c r="H486" s="8" t="str"/>
      <x:c r="I486" s="8" t="str">
        <x:v>Document local; transmiterea individuală neconfirmată</x:v>
      </x:c>
      <x:c r="J486" s="8" t="str"/>
      <x:c r="K486" s="8" t="str">
        <x:v>Text extras; numerele din referințe sunt în coloana separată</x:v>
      </x:c>
      <x:c r="L486" s="8" t="e">
        <x:f>HYPERLINK("file:///Z:/00. Proiecte 2025/AFIR FotoVoltaic 1/20. ATR/2026.05.19 de semnat/CUI Cesiro Production.pdf","Deschide sursa")</x:f>
        <x:v>HYPERLINK is not implemented. linkLocation=file:///Z:/00. Proiecte 2025/AFIR FotoVoltaic 1/20. ATR/2026.05.19 de semnat/CUI Cesiro Production.pdf, friendlyName=Deschide sursa</x:v>
      </x:c>
    </x:row>
    <x:row r="487" ht="302" customHeight="1">
      <x:c r="A487" s="8" t="str">
        <x:v>F0866</x:v>
      </x:c>
      <x:c r="B487" s="8" t="str">
        <x:v>DATR011 ProsumatorPJ.pdf</x:v>
      </x:c>
      <x:c r="C487" s="8" t="str">
        <x:v>Racordare</x:v>
      </x:c>
      <x:c r="D487" s="12" t="str"/>
      <x:c r="E487" s="11" t="str"/>
      <x:c r="F487" s="12" t="str"/>
      <x:c r="G487" s="11" t="str"/>
      <x:c r="H487" s="8" t="str"/>
      <x:c r="I487" s="8" t="str">
        <x:v>Document local; transmiterea individuală neconfirmată</x:v>
      </x:c>
      <x:c r="J487" s="8" t="str">
        <x:v>Nr. 28A, 400380, Cluj-Napoca, Jud. Cluj
nr. 7030250503872/data 21.05.2025
Nr 7030250503872 din 21.05.2025
nregistrate cu nr. 7030250503872 din data 07.05.2025, având ca scop Spor de putere adresată de CESIRO
NRE nr. 59/2013, cu modificarile si completarile ulterioare, denumit în continuare Regulament, se
nr. 96, bloc -, scara -, ap. -, nr.
nr. 703020142982 /
NRE nr. 51/2019.
nr.50/1991 actualizată, Legii 10/1995, cu modificările şi completările ulterioare, respectiv Legii
nr.227/2015: refaceri pavaje 0,00 lei+ subtraversări 0,00 lei + 0 lei (Integrare SCADA) + 0 lei (grup masura);
NRE 11/2014);
nr.50/1991 art.30, completata si
nr. 839/2009, art.70, alin.1);
nr.10/1995 art.40 si Ordinului nr.
nr.227/2015 art.474, alin.(6)).
nr. 220/2008 pentru stabilirea sistemului de promovare a
nr. 220/2008 pentru stabilirea sistemului de promovare a producerii energiei din surse regenerabile de energie, republicată, cu modificările
nr. 2.741/2011.
NRE nr. 208 / 2018 cu modficarile si completarile ulterioare;
NRE nr. 51 / 2019;</x:v>
      </x:c>
      <x:c r="K487" s="8" t="str">
        <x:v>Text extras; numerele din referințe sunt în coloana separată</x:v>
      </x:c>
      <x:c r="L487" s="8" t="e">
        <x:f>HYPERLINK("file:///Z:/00. Proiecte 2025/AFIR FotoVoltaic 1/20. ATR/2026.05.19 de semnat/DATR011 ProsumatorPJ.pdf","Deschide sursa")</x:f>
        <x:v>HYPERLINK is not implemented. linkLocation=file:///Z:/00. Proiecte 2025/AFIR FotoVoltaic 1/20. ATR/2026.05.19 de semnat/DATR011 ProsumatorPJ.pdf, friendlyName=Deschide sursa</x:v>
      </x:c>
    </x:row>
    <x:row r="488" ht="106" customHeight="1">
      <x:c r="A488" s="8" t="str">
        <x:v>F0867</x:v>
      </x:c>
      <x:c r="B488" s="8" t="str">
        <x:v>Notificare-utilizator-incheiere-contract-cu-tert-Ordin-181 (1).pdf</x:v>
      </x:c>
      <x:c r="C488" s="8" t="str">
        <x:v>Racordare</x:v>
      </x:c>
      <x:c r="D488" s="12" t="str"/>
      <x:c r="E488" s="11" t="str"/>
      <x:c r="F488" s="12" t="str"/>
      <x:c r="G488" s="11" t="str"/>
      <x:c r="H488" s="8" t="str"/>
      <x:c r="I488" s="8" t="str">
        <x:v>Document local; transmiterea individuală neconfirmată</x:v>
      </x:c>
      <x:c r="J488" s="8" t="str">
        <x:v>NRE nr. 18/2022
Nr. 5, Bl.-,
NR 1014368,
nr. 7030250503872/21.05.2025, eliberat de DEER Suc.ALBA. , pentru Pi
nr. 7, cod postal 510002, tel./fax 0757467353, e-mail alniservice@yahoo.com la
nr. 282/19.05.2026, în conformitate cu prevederile
NRE nr. 18/2022 cu modificările și completările ulterioare.</x:v>
      </x:c>
      <x:c r="K488" s="8" t="str">
        <x:v>Text extras; numerele din referințe sunt în coloana separată</x:v>
      </x:c>
      <x:c r="L488" s="8" t="e">
        <x:f>HYPERLINK("file:///Z:/00. Proiecte 2025/AFIR FotoVoltaic 1/20. ATR/2026.05.19 de semnat/Notificare-utilizator-incheiere-contract-cu-tert-Ordin-181 (1).pdf","Deschide sursa")</x:f>
        <x:v>HYPERLINK is not implemented. linkLocation=file:///Z:/00. Proiecte 2025/AFIR FotoVoltaic 1/20. ATR/2026.05.19 de semnat/Notificare-utilizator-incheiere-contract-cu-tert-Ordin-181 (1).pdf, friendlyName=Deschide sursa</x:v>
      </x:c>
    </x:row>
    <x:row r="489" ht="36" customHeight="1">
      <x:c r="A489" s="8" t="str">
        <x:v>F0868</x:v>
      </x:c>
      <x:c r="B489" s="8" t="str">
        <x:v>Reglare Protectii.pdf</x:v>
      </x:c>
      <x:c r="C489" s="8" t="str">
        <x:v>Racordare</x:v>
      </x:c>
      <x:c r="D489" s="12" t="str"/>
      <x:c r="E489" s="11" t="str"/>
      <x:c r="F489" s="12" t="str"/>
      <x:c r="G489" s="11" t="str"/>
      <x:c r="H489" s="8" t="str"/>
      <x:c r="I489" s="8" t="str">
        <x:v>Document local; transmiterea individuală neconfirmată</x:v>
      </x:c>
      <x:c r="J489" s="8" t="str"/>
      <x:c r="K489" s="8" t="str">
        <x:v>Text extras; numerele din referințe sunt în coloana separată</x:v>
      </x:c>
      <x:c r="L489" s="8" t="e">
        <x:f>HYPERLINK("file:///Z:/00. Proiecte 2025/AFIR FotoVoltaic 1/20. ATR/2026.05.19 de semnat/Reglare Protectii.pdf","Deschide sursa")</x:f>
        <x:v>HYPERLINK is not implemented. linkLocation=file:///Z:/00. Proiecte 2025/AFIR FotoVoltaic 1/20. ATR/2026.05.19 de semnat/Reglare Protectii.pdf, friendlyName=Deschide sursa</x:v>
      </x:c>
    </x:row>
    <x:row r="490" ht="64" customHeight="1">
      <x:c r="A490" s="8" t="str">
        <x:v>F0870</x:v>
      </x:c>
      <x:c r="B490" s="8" t="str">
        <x:v>Contract de prestări servicii.pdf</x:v>
      </x:c>
      <x:c r="C490" s="8" t="str">
        <x:v>Racordare</x:v>
      </x:c>
      <x:c r="D490" s="12" t="str"/>
      <x:c r="E490" s="11" t="str"/>
      <x:c r="F490" s="12" t="str"/>
      <x:c r="G490" s="11" t="str"/>
      <x:c r="H490" s="8" t="str">
        <x:v>282 / 19.05.2026</x:v>
      </x:c>
      <x:c r="I490" s="8" t="str">
        <x:v>Document local; transmiterea individuală neconfirmată</x:v>
      </x:c>
      <x:c r="J490" s="8" t="str">
        <x:v>Nr. 282/ 19.05.2026
nr.7,
nregistrat la Oficiul Registrului Comertului sub nr J1/1023/2023, Cod fiscal
Nr. 5, Bl.-, Sc. -, Ap. -,</x:v>
      </x:c>
      <x:c r="K490" s="8" t="str">
        <x:v>Text extras; numerele din referințe sunt în coloana separată</x:v>
      </x:c>
      <x:c r="L490" s="8" t="e">
        <x:f>HYPERLINK("file:///Z:/00. Proiecte 2025/AFIR FotoVoltaic 1/20. ATR/2026.05.19 semnat/Contract de prestări servicii.pdf","Deschide sursa")</x:f>
        <x:v>HYPERLINK is not implemented. linkLocation=file:///Z:/00. Proiecte 2025/AFIR FotoVoltaic 1/20. ATR/2026.05.19 semnat/Contract de prestări servicii.pdf, friendlyName=Deschide sursa</x:v>
      </x:c>
    </x:row>
    <x:row r="491" ht="36" customHeight="1">
      <x:c r="A491" s="8" t="str">
        <x:v>F0871</x:v>
      </x:c>
      <x:c r="B491" s="8" t="str">
        <x:v>CUI Cesiro Production.pdf</x:v>
      </x:c>
      <x:c r="C491" s="8" t="str">
        <x:v>Racordare</x:v>
      </x:c>
      <x:c r="D491" s="12" t="str"/>
      <x:c r="E491" s="11" t="str"/>
      <x:c r="F491" s="12" t="str"/>
      <x:c r="G491" s="11" t="str"/>
      <x:c r="H491" s="8" t="str"/>
      <x:c r="I491" s="8" t="str">
        <x:v>Document local; transmiterea individuală neconfirmată</x:v>
      </x:c>
      <x:c r="J491" s="8" t="str"/>
      <x:c r="K491" s="8" t="str">
        <x:v>Text extras; numerele din referințe sunt în coloana separată</x:v>
      </x:c>
      <x:c r="L491" s="8" t="e">
        <x:f>HYPERLINK("file:///Z:/00. Proiecte 2025/AFIR FotoVoltaic 1/20. ATR/2026.05.19 semnat/CUI Cesiro Production.pdf","Deschide sursa")</x:f>
        <x:v>HYPERLINK is not implemented. linkLocation=file:///Z:/00. Proiecte 2025/AFIR FotoVoltaic 1/20. ATR/2026.05.19 semnat/CUI Cesiro Production.pdf, friendlyName=Deschide sursa</x:v>
      </x:c>
    </x:row>
    <x:row r="492" ht="302" customHeight="1">
      <x:c r="A492" s="8" t="str">
        <x:v>F0872</x:v>
      </x:c>
      <x:c r="B492" s="8" t="str">
        <x:v>DATR011 ProsumatorPJ.pdf</x:v>
      </x:c>
      <x:c r="C492" s="8" t="str">
        <x:v>Racordare</x:v>
      </x:c>
      <x:c r="D492" s="12" t="str"/>
      <x:c r="E492" s="11" t="str"/>
      <x:c r="F492" s="12" t="str"/>
      <x:c r="G492" s="11" t="str"/>
      <x:c r="H492" s="8" t="str"/>
      <x:c r="I492" s="8" t="str">
        <x:v>Document local; transmiterea individuală neconfirmată</x:v>
      </x:c>
      <x:c r="J492" s="8" t="str">
        <x:v>Nr. 28A, 400380, Cluj-Napoca, Jud. Cluj
nr. 7030250503872/data 21.05.2025
Nr 7030250503872 din 21.05.2025
nregistrate cu nr. 7030250503872 din data 07.05.2025, având ca scop Spor de putere adresată de CESIRO
NRE nr. 59/2013, cu modificarile si completarile ulterioare, denumit în continuare Regulament, se
nr. 96, bloc -, scara -, ap. -, nr.
nr. 703020142982 /
NRE nr. 51/2019.
nr.50/1991 actualizată, Legii 10/1995, cu modificările şi completările ulterioare, respectiv Legii
nr.227/2015: refaceri pavaje 0,00 lei+ subtraversări 0,00 lei + 0 lei (Integrare SCADA) + 0 lei (grup masura);
NRE 11/2014);
nr.50/1991 art.30, completata si
nr. 839/2009, art.70, alin.1);
nr.10/1995 art.40 si Ordinului nr.
nr.227/2015 art.474, alin.(6)).
nr. 220/2008 pentru stabilirea sistemului de promovare a
nr. 220/2008 pentru stabilirea sistemului de promovare a producerii energiei din surse regenerabile de energie, republicată, cu modificările
nr. 2.741/2011.
NRE nr. 208 / 2018 cu modficarile si completarile ulterioare;
NRE nr. 51 / 2019;</x:v>
      </x:c>
      <x:c r="K492" s="8" t="str">
        <x:v>Text extras; numerele din referințe sunt în coloana separată</x:v>
      </x:c>
      <x:c r="L492" s="8" t="e">
        <x:f>HYPERLINK("file:///Z:/00. Proiecte 2025/AFIR FotoVoltaic 1/20. ATR/2026.05.19 semnat/DATR011 ProsumatorPJ.pdf","Deschide sursa")</x:f>
        <x:v>HYPERLINK is not implemented. linkLocation=file:///Z:/00. Proiecte 2025/AFIR FotoVoltaic 1/20. ATR/2026.05.19 semnat/DATR011 ProsumatorPJ.pdf, friendlyName=Deschide sursa</x:v>
      </x:c>
    </x:row>
    <x:row r="493" ht="106" customHeight="1">
      <x:c r="A493" s="8" t="str">
        <x:v>F0873</x:v>
      </x:c>
      <x:c r="B493" s="8" t="str">
        <x:v>Notificare-utilizator-incheiere-contract-cu-tert-Ordin-181 (1).pdf</x:v>
      </x:c>
      <x:c r="C493" s="8" t="str">
        <x:v>Racordare</x:v>
      </x:c>
      <x:c r="D493" s="12" t="str"/>
      <x:c r="E493" s="11" t="str"/>
      <x:c r="F493" s="12" t="str"/>
      <x:c r="G493" s="11" t="str"/>
      <x:c r="H493" s="8" t="str"/>
      <x:c r="I493" s="8" t="str">
        <x:v>Document local; transmiterea individuală neconfirmată</x:v>
      </x:c>
      <x:c r="J493" s="8" t="str">
        <x:v>NRE nr. 18/2022
Nr. 5, Bl.-,
NR 1014368,
nr. 7030250503872/21.05.2025, eliberat de DEER Suc.ALBA. , pentru Pi
nr. 7, cod postal 510002, tel./fax 0757467353, e-mail alniservice@yahoo.com la
nr. 282/19.05.2026, în conformitate cu prevederile
NRE nr. 18/2022 cu modificările și completările ulterioare.</x:v>
      </x:c>
      <x:c r="K493" s="8" t="str">
        <x:v>Text extras; numerele din referințe sunt în coloana separată</x:v>
      </x:c>
      <x:c r="L493" s="8" t="e">
        <x:f>HYPERLINK("file:///Z:/00. Proiecte 2025/AFIR FotoVoltaic 1/20. ATR/2026.05.19 semnat/Notificare-utilizator-incheiere-contract-cu-tert-Ordin-181 (1).pdf","Deschide sursa")</x:f>
        <x:v>HYPERLINK is not implemented. linkLocation=file:///Z:/00. Proiecte 2025/AFIR FotoVoltaic 1/20. ATR/2026.05.19 semnat/Notificare-utilizator-incheiere-contract-cu-tert-Ordin-181 (1).pdf, friendlyName=Deschide sursa</x:v>
      </x:c>
    </x:row>
    <x:row r="494" ht="36" customHeight="1">
      <x:c r="A494" s="8" t="str">
        <x:v>F0874</x:v>
      </x:c>
      <x:c r="B494" s="8" t="str">
        <x:v>Reglare Protectii.pdf</x:v>
      </x:c>
      <x:c r="C494" s="8" t="str">
        <x:v>Racordare</x:v>
      </x:c>
      <x:c r="D494" s="12" t="str"/>
      <x:c r="E494" s="11" t="str"/>
      <x:c r="F494" s="12" t="str"/>
      <x:c r="G494" s="11" t="str"/>
      <x:c r="H494" s="8" t="str"/>
      <x:c r="I494" s="8" t="str">
        <x:v>Document local; transmiterea individuală neconfirmată</x:v>
      </x:c>
      <x:c r="J494" s="8" t="str"/>
      <x:c r="K494" s="8" t="str">
        <x:v>Text extras; numerele din referințe sunt în coloana separată</x:v>
      </x:c>
      <x:c r="L494" s="8" t="e">
        <x:f>HYPERLINK("file:///Z:/00. Proiecte 2025/AFIR FotoVoltaic 1/20. ATR/2026.05.19 semnat/Reglare Protectii.pdf","Deschide sursa")</x:f>
        <x:v>HYPERLINK is not implemented. linkLocation=file:///Z:/00. Proiecte 2025/AFIR FotoVoltaic 1/20. ATR/2026.05.19 semnat/Reglare Protectii.pdf, friendlyName=Deschide sursa</x:v>
      </x:c>
    </x:row>
    <x:row r="495" ht="78" customHeight="1">
      <x:c r="A495" s="8" t="str">
        <x:v>F0875</x:v>
      </x:c>
      <x:c r="B495" s="8" t="str">
        <x:v>F_8016085802_MS2250036875_05-08-2026.pdf</x:v>
      </x:c>
      <x:c r="C495" s="8" t="str">
        <x:v>Racordare</x:v>
      </x:c>
      <x:c r="D495" s="12" t="str"/>
      <x:c r="E495" s="11" t="str"/>
      <x:c r="F495" s="12" t="str"/>
      <x:c r="G495" s="11" t="str"/>
      <x:c r="H495" s="8" t="str"/>
      <x:c r="I495" s="8" t="str">
        <x:v>Document local; transmiterea individuală neconfirmată</x:v>
      </x:c>
      <x:c r="J495" s="8" t="str">
        <x:v>Nr. inregistrare J2002000352121
Nr. inregistrare 45050734
nr.5, CP.510040, jud.Alba
NRE nr.114/2014 cu modif. si comp.ulterioare - cererea nr. 7030260605876 pentru obiectivul amplasat in
Nr. 96</x:v>
      </x:c>
      <x:c r="K495" s="8" t="str">
        <x:v>Text extras; numerele din referințe sunt în coloana separată</x:v>
      </x:c>
      <x:c r="L495" s="8" t="e">
        <x:f>HYPERLINK("file:///Z:/00. Proiecte 2025/AFIR FotoVoltaic 1/20. ATR/2026.08.11/F_8016085802_MS2250036875_05-08-2026.pdf","Deschide sursa")</x:f>
        <x:v>HYPERLINK is not implemented. linkLocation=file:///Z:/00. Proiecte 2025/AFIR FotoVoltaic 1/20. ATR/2026.08.11/F_8016085802_MS2250036875_05-08-2026.pdf, friendlyName=Deschide sursa</x:v>
      </x:c>
    </x:row>
    <x:row r="496" ht="64" customHeight="1">
      <x:c r="A496" s="8" t="str">
        <x:v>F0876</x:v>
      </x:c>
      <x:c r="B496" s="8" t="str">
        <x:v>F_8100240401_MS2250036867_05-08-2026.pdf</x:v>
      </x:c>
      <x:c r="C496" s="8" t="str">
        <x:v>Racordare</x:v>
      </x:c>
      <x:c r="D496" s="12" t="str"/>
      <x:c r="E496" s="11" t="str"/>
      <x:c r="F496" s="12" t="str"/>
      <x:c r="G496" s="11" t="str"/>
      <x:c r="H496" s="8" t="str"/>
      <x:c r="I496" s="8" t="str">
        <x:v>Document local; transmiterea individuală neconfirmată</x:v>
      </x:c>
      <x:c r="J496" s="8" t="str">
        <x:v>Nr. inregistrare J2002000352121
Nr. inregistrare 45050734
nr.5, CP.510040, jud.Alba
Nr. 96 contract:</x:v>
      </x:c>
      <x:c r="K496" s="8" t="str">
        <x:v>Text extras; numerele din referințe sunt în coloana separată</x:v>
      </x:c>
      <x:c r="L496" s="8" t="e">
        <x:f>HYPERLINK("file:///Z:/00. Proiecte 2025/AFIR FotoVoltaic 1/20. ATR/2026.08.11/F_8100240401_MS2250036867_05-08-2026.pdf","Deschide sursa")</x:f>
        <x:v>HYPERLINK is not implemented. linkLocation=file:///Z:/00. Proiecte 2025/AFIR FotoVoltaic 1/20. ATR/2026.08.11/F_8100240401_MS2250036867_05-08-2026.pdf, friendlyName=Deschide sursa</x:v>
      </x:c>
    </x:row>
    <x:row r="497" ht="64" customHeight="1">
      <x:c r="A497" s="8" t="str">
        <x:v>F0877</x:v>
      </x:c>
      <x:c r="B497" s="8" t="str">
        <x:v>F_8100240715_MS2250036868_05-08-2026.pdf</x:v>
      </x:c>
      <x:c r="C497" s="8" t="str">
        <x:v>Racordare</x:v>
      </x:c>
      <x:c r="D497" s="12" t="str"/>
      <x:c r="E497" s="11" t="str"/>
      <x:c r="F497" s="12" t="str"/>
      <x:c r="G497" s="11" t="str"/>
      <x:c r="H497" s="8" t="str"/>
      <x:c r="I497" s="8" t="str">
        <x:v>Document local; transmiterea individuală neconfirmată</x:v>
      </x:c>
      <x:c r="J497" s="8" t="str">
        <x:v>Nr. inregistrare J2002000352121
Nr. inregistrare 45050734
nr.5, CP.510040, jud.Alba
Nr. 96 contract:</x:v>
      </x:c>
      <x:c r="K497" s="8" t="str">
        <x:v>Text extras; numerele din referințe sunt în coloana separată</x:v>
      </x:c>
      <x:c r="L497" s="8" t="e">
        <x:f>HYPERLINK("file:///Z:/00. Proiecte 2025/AFIR FotoVoltaic 1/20. ATR/2026.08.11/F_8100240715_MS2250036868_05-08-2026.pdf","Deschide sursa")</x:f>
        <x:v>HYPERLINK is not implemented. linkLocation=file:///Z:/00. Proiecte 2025/AFIR FotoVoltaic 1/20. ATR/2026.08.11/F_8100240715_MS2250036868_05-08-2026.pdf, friendlyName=Deschide sursa</x:v>
      </x:c>
    </x:row>
    <x:row r="498" ht="232" customHeight="1">
      <x:c r="A498" s="8" t="str">
        <x:v>F0878</x:v>
      </x:c>
      <x:c r="B498" s="8" t="str">
        <x:v>DATR006 Prosumator Ord.pdf</x:v>
      </x:c>
      <x:c r="C498" s="8" t="str">
        <x:v>Racordare</x:v>
      </x:c>
      <x:c r="D498" s="12" t="str"/>
      <x:c r="E498" s="11" t="str"/>
      <x:c r="F498" s="12" t="str"/>
      <x:c r="G498" s="11" t="str"/>
      <x:c r="H498" s="8" t="str"/>
      <x:c r="I498" s="8" t="str">
        <x:v>Document local; transmiterea individuală neconfirmată</x:v>
      </x:c>
      <x:c r="J498" s="8" t="str">
        <x:v>Nr. 1, 510096, Alba Iulia, jud. Alba
nr. 7040250503563/data 19.06.2025
Nr 7040250503563 din 19.06.2025
nregistrate cu nr. 7040250503563 din data 21.05.2025, având ca scop Spor de putere adresată de VAIDA ELENA,
NRE nr. 59/2013, cu modificarile si completarile ulterioare, denumit în continuare Regulament, se
nr. 3b, bloc -, scara -,
nr 3B racordata la PTA 132 20/0,4 KV ALBA
nr.50/1991 actualizată, Legii 10/1995, cu modificările şi completările ulterioare, respectiv Legii
nr.227/2015: refaceri pavaje 0,00 lei+ subtraversări 0,00 lei + 0 lei (Integrare SCADA) + 0 lei (grup masura);
NRE 11/2014);
nr.50/1991 art.30, completata si
nr. 839/2009, art.70, alin.1);
nr.10/1995 art.40 si Ordinului nr.
nr.227/2015 art.474, alin.(6)).
nr. 123/2012, cu modificările
nr. 2.741/2011.</x:v>
      </x:c>
      <x:c r="K498" s="8" t="str">
        <x:v>Text extras; numerele din referințe sunt în coloana separată</x:v>
      </x:c>
      <x:c r="L498" s="8" t="e">
        <x:f>HYPERLINK("file:///Z:/00. Proiecte 2025/AFIR FotoVoltaic 1/20. ATR/2026.08.12/DATR006 Prosumator Ord.pdf","Deschide sursa")</x:f>
        <x:v>HYPERLINK is not implemented. linkLocation=file:///Z:/00. Proiecte 2025/AFIR FotoVoltaic 1/20. ATR/2026.08.12/DATR006 Prosumator Ord.pdf, friendlyName=Deschide sursa</x:v>
      </x:c>
    </x:row>
    <x:row r="499" ht="288" customHeight="1">
      <x:c r="A499" s="8" t="str">
        <x:v>F0879</x:v>
      </x:c>
      <x:c r="B499" s="8" t="str">
        <x:v>DATR011 ProsumatorPJ v0.pdf</x:v>
      </x:c>
      <x:c r="C499" s="8" t="str">
        <x:v>Racordare</x:v>
      </x:c>
      <x:c r="D499" s="12" t="str"/>
      <x:c r="E499" s="11" t="str"/>
      <x:c r="F499" s="12" t="str"/>
      <x:c r="G499" s="11" t="str"/>
      <x:c r="H499" s="8" t="str"/>
      <x:c r="I499" s="8" t="str">
        <x:v>Document local; transmiterea individuală neconfirmată</x:v>
      </x:c>
      <x:c r="J499" s="8" t="str">
        <x:v>Nr. 28A, 400380, Cluj-Napoca, Jud. Cluj
nr. 7030260605876/data 05.08.2026
Nr 7030260605876 din 05.08.2026
nregistrate cu nr. 7030260605876 din data 11.06.2026, având ca scop Spor de putere
NRE nr. 59/2013, cu modificarile si completarile ulterioare, denumit în continuare
nr. 96,
nr. 7030260605876/05.08.2026 sau studiul de soluţie nr. avizat CTA DEER cu documentul nr. / :
NRE nr. 51/2019
nr.50/1991 actualizată, Legii 10/1995, cu modificările şi completările ulterioare, respectiv Legii
nr.227/2015: refaceri pavaje 0,00 lei+ subtraversări 0,00 lei + 0 lei (Integrare SCADA) + 0 lei (grup masura);
NRE 11/2014);
nr.50/1991 art.30, completata si
nr. 839/2009, art.70, alin.1);
nr.10/1995 art.40 si Ordinului nr.
nr.227/2015 art.474, alin.(6)).
nr. 220/2008 pentru stabilirea sistemului de promovare a producerii energiei
nr. 2.741/2011.
NRE nr. 208 / 2018 cu modficarile si
NRE nr. 51 / 2019;
NRE nr. 3 / 2023;</x:v>
      </x:c>
      <x:c r="K499" s="8" t="str">
        <x:v>Text extras; numerele din referințe sunt în coloana separată</x:v>
      </x:c>
      <x:c r="L499" s="8" t="e">
        <x:f>HYPERLINK("file:///Z:/00. Proiecte 2025/AFIR FotoVoltaic 1/20. ATR/2026.08.12/DATR011 ProsumatorPJ v0.pdf","Deschide sursa")</x:f>
        <x:v>HYPERLINK is not implemented. linkLocation=file:///Z:/00. Proiecte 2025/AFIR FotoVoltaic 1/20. ATR/2026.08.12/DATR011 ProsumatorPJ v0.pdf, friendlyName=Deschide sursa</x:v>
      </x:c>
    </x:row>
    <x:row r="500" ht="288" customHeight="1">
      <x:c r="A500" s="8" t="str">
        <x:v>F0880</x:v>
      </x:c>
      <x:c r="B500" s="8" t="str">
        <x:v>DATR011 ProsumatorPJ.pdf</x:v>
      </x:c>
      <x:c r="C500" s="8" t="str">
        <x:v>Racordare</x:v>
      </x:c>
      <x:c r="D500" s="12" t="str"/>
      <x:c r="E500" s="11" t="str"/>
      <x:c r="F500" s="12" t="str"/>
      <x:c r="G500" s="11" t="str"/>
      <x:c r="H500" s="8" t="str"/>
      <x:c r="I500" s="8" t="str">
        <x:v>Document local; transmiterea individuală neconfirmată</x:v>
      </x:c>
      <x:c r="J500" s="8" t="str">
        <x:v>Nr. 28A, 400380, Cluj-Napoca, Jud. Cluj
nr. 7030260605876/data 05.08.2026
Nr 7030260605876 din 05.08.2026
nregistrate cu nr. 7030260605876 din data 11.06.2026, având ca scop Spor de putere
NRE nr. 59/2013, cu modificarile si completarile ulterioare, denumit în continuare
nr. 96,
nr. 7030260605876/05.08.2026 sau studiul de soluţie nr. avizat CTA DEER cu documentul nr. / :
NRE nr. 51/2019
nr.50/1991 actualizată, Legii 10/1995, cu modificările şi completările ulterioare, respectiv Legii
nr.227/2015: refaceri pavaje 0,00 lei+ subtraversări 0,00 lei + 0 lei (Integrare SCADA) + 0 lei (grup masura);
NRE 11/2014);
nr.50/1991 art.30, completata si
nr. 839/2009, art.70, alin.1);
nr.10/1995 art.40 si Ordinului nr.
nr.227/2015 art.474, alin.(6)).
nr. 220/2008 pentru stabilirea sistemului de promovare a producerii energiei
nr. 2.741/2011.
NRE nr. 208 / 2018 cu modficarile si
NRE nr. 51 / 2019;
NRE nr. 3 / 2023;</x:v>
      </x:c>
      <x:c r="K500" s="8" t="str">
        <x:v>Text extras; numerele din referințe sunt în coloana separată</x:v>
      </x:c>
      <x:c r="L500" s="8" t="e">
        <x:f>HYPERLINK("file:///Z:/00. Proiecte 2025/AFIR FotoVoltaic 1/20. ATR/2026.08.12/DATR011 ProsumatorPJ.pdf","Deschide sursa")</x:f>
        <x:v>HYPERLINK is not implemented. linkLocation=file:///Z:/00. Proiecte 2025/AFIR FotoVoltaic 1/20. ATR/2026.08.12/DATR011 ProsumatorPJ.pdf, friendlyName=Deschide sursa</x:v>
      </x:c>
    </x:row>
    <x:row r="501" ht="78" customHeight="1">
      <x:c r="A501" s="8" t="str">
        <x:v>F0881</x:v>
      </x:c>
      <x:c r="B501" s="8" t="str">
        <x:v>Obligațiile conform ATR.docx</x:v>
      </x:c>
      <x:c r="C501" s="8" t="str">
        <x:v>Racordare</x:v>
      </x:c>
      <x:c r="D501" s="12" t="str"/>
      <x:c r="E501" s="11" t="str"/>
      <x:c r="F501" s="12" t="str"/>
      <x:c r="G501" s="11" t="str"/>
      <x:c r="H501" s="8" t="str"/>
      <x:c r="I501" s="8" t="str">
        <x:v>Document local; transmiterea individuală neconfirmată</x:v>
      </x:c>
      <x:c r="J501" s="8" t="str">
        <x:v>NRC emis cu max. 30 zile înainte, devizul instalației, contractul cu executantul atestat, împuternicirea (pct. 7).
NRE 51/2019 (procedura de notificare și conformitate a unităților generatoare) + respectarea Ord. 208/2018 (module generatoare) și Ord. 3/2023 (instalații de stoc
nr. 1 (cererea către DEER a fost depusă pe 11.06.2026, în plin proces de avizare la AFIR). Pe teren aveți 2.222 × Suntech 450 W și veți avea 10 × 100KTL-M2. Puteri</x:v>
      </x:c>
      <x:c r="K501" s="8" t="str">
        <x:v>Text extras; numerele din referințe sunt în coloana separată</x:v>
      </x:c>
      <x:c r="L501" s="8" t="e">
        <x:f>HYPERLINK("file:///Z:/00. Proiecte 2025/AFIR FotoVoltaic 1/20. ATR/2026.08.12/Obligațiile conform ATR.docx","Deschide sursa")</x:f>
        <x:v>HYPERLINK is not implemented. linkLocation=file:///Z:/00. Proiecte 2025/AFIR FotoVoltaic 1/20. ATR/2026.08.12/Obligațiile conform ATR.docx, friendlyName=Deschide sursa</x:v>
      </x:c>
    </x:row>
    <x:row r="502" ht="50" customHeight="1">
      <x:c r="A502" s="8" t="str">
        <x:v>F0882</x:v>
      </x:c>
      <x:c r="B502" s="8" t="str">
        <x:v>5.-Cerere-de-racordare-prosumator-–-prin-programe-de-finantare-Anexa-4.docx</x:v>
      </x:c>
      <x:c r="C502" s="8" t="str">
        <x:v>Racordare</x:v>
      </x:c>
      <x:c r="D502" s="12" t="str"/>
      <x:c r="E502" s="11" t="str"/>
      <x:c r="F502" s="12" t="str"/>
      <x:c r="G502" s="11" t="str"/>
      <x:c r="H502" s="8" t="str"/>
      <x:c r="I502" s="8" t="str">
        <x:v>Document local; transmiterea individuală neconfirmată</x:v>
      </x:c>
      <x:c r="J502" s="8" t="str">
        <x:v>Nr. crt. | Nr. panouri | Tip panou | Pi panou (c.c.) (kW) | Pi total panouri (c.c.) (kW) | Pmax debitat de panouri (c.c.) (kW) | Pi total panouri pe 1 invertor (c.</x:v>
      </x:c>
      <x:c r="K502" s="8" t="str">
        <x:v>Text extras; numerele din referințe sunt în coloana separată</x:v>
      </x:c>
      <x:c r="L502" s="8" t="e">
        <x:f>HYPERLINK("file:///Z:/00. Proiecte 2025/AFIR FotoVoltaic 1/20. ATR/1. Documente Solicitare ATR/2025.05.05 cerere de inscriere nume in ATR/5.-Cerere-de-racordare-prosumator-–-prin-programe-de-finantare-Anexa-4.docx","Deschide sursa")</x:f>
        <x:v>HYPERLINK is not implemented. linkLocation=file:///Z:/00. Proiecte 2025/AFIR FotoVoltaic 1/20. ATR/1. Documente Solicitare ATR/2025.05.05 cerere de inscriere nume in ATR/5.-Cerere-de-racordare-prosumator-–-prin-programe-de-finantare-Anexa-4.docx, friendlyName=Deschide sursa</x:v>
      </x:c>
    </x:row>
    <x:row r="503" ht="36" customHeight="1">
      <x:c r="A503" s="8" t="str">
        <x:v>F0883</x:v>
      </x:c>
      <x:c r="B503" s="8" t="str">
        <x:v>2. Loc de consum existent_Anexa nr 2.docx</x:v>
      </x:c>
      <x:c r="C503" s="8" t="str">
        <x:v>Racordare</x:v>
      </x:c>
      <x:c r="D503" s="12" t="str"/>
      <x:c r="E503" s="11" t="str"/>
      <x:c r="F503" s="12" t="str"/>
      <x:c r="G503" s="11" t="str"/>
      <x:c r="H503" s="8" t="str"/>
      <x:c r="I503" s="8" t="str">
        <x:v>Document local; transmiterea individuală neconfirmată</x:v>
      </x:c>
      <x:c r="J503" s="8" t="str"/>
      <x:c r="K503" s="8" t="str">
        <x:v>Text extras; numerele din referințe sunt în coloana separată</x:v>
      </x:c>
      <x:c r="L503" s="8" t="e">
        <x:f>HYPERLINK("file:///Z:/00. Proiecte 2025/AFIR FotoVoltaic 1/20. ATR/1. Documente Solicitare ATR/ACTE Tg. Mures/2. Loc de consum existent_Anexa nr 2.docx","Deschide sursa")</x:f>
        <x:v>HYPERLINK is not implemented. linkLocation=file:///Z:/00. Proiecte 2025/AFIR FotoVoltaic 1/20. ATR/1. Documente Solicitare ATR/ACTE Tg. Mures/2. Loc de consum existent_Anexa nr 2.docx, friendlyName=Deschide sursa</x:v>
      </x:c>
    </x:row>
    <x:row r="504" ht="134" customHeight="1">
      <x:c r="A504" s="8" t="str">
        <x:v>F0884</x:v>
      </x:c>
      <x:c r="B504" s="8" t="str">
        <x:v>atr sigh 2.pdf</x:v>
      </x:c>
      <x:c r="C504" s="8" t="str">
        <x:v>Racordare</x:v>
      </x:c>
      <x:c r="D504" s="12" t="str"/>
      <x:c r="E504" s="11" t="str"/>
      <x:c r="F504" s="12" t="str"/>
      <x:c r="G504" s="11" t="str"/>
      <x:c r="H504" s="8" t="str"/>
      <x:c r="I504" s="8" t="str">
        <x:v>Document local; transmiterea individuală neconfirmată</x:v>
      </x:c>
      <x:c r="J504" s="8" t="str">
        <x:v>nr. 703020142982 / 17.01.2020 Cod FTS-2.2-04 1 / 3
Nr 703020142982 din 17.01.2020
nregistrate cu nr. 703020142982 din data 15.01.2020, având ca scop ACTUALIZARE ATR, adresată
NRE nr. 59/2013, denumit în continuare Regulament, se
nr. 96,
nr. 1: la fereastra de trecere
nr. 2: bornele LES 20 kV plecare din celula trafo a PT 11. Elementele
nr. 703020142982 / 17.01.2020 Cod FTS-2.2-04 2 / 3
nr. 703020142982 / 17.01.2020 Cod FTS-2.2-04 3 / 3</x:v>
      </x:c>
      <x:c r="K504" s="8" t="str">
        <x:v>Text extras; numerele din referințe sunt în coloana separată</x:v>
      </x:c>
      <x:c r="L504" s="8" t="e">
        <x:f>HYPERLINK("file:///Z:/00. Proiecte 2025/AFIR FotoVoltaic 1/20. ATR/1. Documente Solicitare ATR/ACTE Tg. Mures/atr sigh 2.pdf","Deschide sursa")</x:f>
        <x:v>HYPERLINK is not implemented. linkLocation=file:///Z:/00. Proiecte 2025/AFIR FotoVoltaic 1/20. ATR/1. Documente Solicitare ATR/ACTE Tg. Mures/atr sigh 2.pdf, friendlyName=Deschide sursa</x:v>
      </x:c>
    </x:row>
    <x:row r="505" ht="106" customHeight="1">
      <x:c r="A505" s="8" t="str">
        <x:v>F0885</x:v>
      </x:c>
      <x:c r="B505" s="8" t="str">
        <x:v>atr sigh.pdf</x:v>
      </x:c>
      <x:c r="C505" s="8" t="str">
        <x:v>Racordare</x:v>
      </x:c>
      <x:c r="D505" s="12" t="str"/>
      <x:c r="E505" s="11" t="str"/>
      <x:c r="F505" s="12" t="str"/>
      <x:c r="G505" s="11" t="str"/>
      <x:c r="H505" s="8" t="str"/>
      <x:c r="I505" s="8" t="str">
        <x:v>Document local; transmiterea individuală neconfirmată</x:v>
      </x:c>
      <x:c r="J505" s="8" t="str">
        <x:v>nr. 703020142981 / 17.01.2020 Cod FTS-2.2-04 1 / 3
Nr 703020142981 din 17.01.2020
nregistrate cu nr. 703020142981 din data 15.01.2020, având ca scop ACTUALIZARE ATR, adresată
NRE nr. 59/2013, denumit în continuare Regulament, se
nr. 96,
nr. 703020142981 / 17.01.2020 Cod FTS-2.2-04 2 / 3
nr. 703020142981 / 17.01.2020 Cod FTS-2.2-04 3 / 3</x:v>
      </x:c>
      <x:c r="K505" s="8" t="str">
        <x:v>Text extras; numerele din referințe sunt în coloana separată</x:v>
      </x:c>
      <x:c r="L505" s="8" t="e">
        <x:f>HYPERLINK("file:///Z:/00. Proiecte 2025/AFIR FotoVoltaic 1/20. ATR/1. Documente Solicitare ATR/ACTE Tg. Mures/atr sigh.pdf","Deschide sursa")</x:f>
        <x:v>HYPERLINK is not implemented. linkLocation=file:///Z:/00. Proiecte 2025/AFIR FotoVoltaic 1/20. ATR/1. Documente Solicitare ATR/ACTE Tg. Mures/atr sigh.pdf, friendlyName=Deschide sursa</x:v>
      </x:c>
    </x:row>
    <x:row r="506" ht="106" customHeight="1">
      <x:c r="A506" s="8" t="str">
        <x:v>F0886</x:v>
      </x:c>
      <x:c r="B506" s="8" t="str">
        <x:v>crr sigh 2.pdf</x:v>
      </x:c>
      <x:c r="C506" s="8" t="str">
        <x:v>Racordare</x:v>
      </x:c>
      <x:c r="D506" s="12" t="str"/>
      <x:c r="E506" s="11" t="str"/>
      <x:c r="F506" s="12" t="str"/>
      <x:c r="G506" s="11" t="str"/>
      <x:c r="H506" s="8" t="str"/>
      <x:c r="I506" s="8" t="str">
        <x:v>Document local; transmiterea individuală neconfirmată</x:v>
      </x:c>
      <x:c r="J506" s="8" t="str">
        <x:v>nr. 703020142982 / 17.01.2020 Cod FTS-2.2-04 1 / 2
nr. 703020142982 din data de 17.01.2020
nr. 1: la
nr. 2: bornele LES 20 kV plecare
nr. 11/2016, denumit în
nr. 703020142982 / 17.01.2020 Cod FTS-2.2-04 2 / 2
nr. 59/2013 cu modificãrile şi</x:v>
      </x:c>
      <x:c r="K506" s="8" t="str">
        <x:v>Text extras; numerele din referințe sunt în coloana separată</x:v>
      </x:c>
      <x:c r="L506" s="8" t="e">
        <x:f>HYPERLINK("file:///Z:/00. Proiecte 2025/AFIR FotoVoltaic 1/20. ATR/1. Documente Solicitare ATR/ACTE Tg. Mures/crr sigh 2.pdf","Deschide sursa")</x:f>
        <x:v>HYPERLINK is not implemented. linkLocation=file:///Z:/00. Proiecte 2025/AFIR FotoVoltaic 1/20. ATR/1. Documente Solicitare ATR/ACTE Tg. Mures/crr sigh 2.pdf, friendlyName=Deschide sursa</x:v>
      </x:c>
    </x:row>
    <x:row r="507" ht="78" customHeight="1">
      <x:c r="A507" s="8" t="str">
        <x:v>F0887</x:v>
      </x:c>
      <x:c r="B507" s="8" t="str">
        <x:v>crr sighisoara.pdf</x:v>
      </x:c>
      <x:c r="C507" s="8" t="str">
        <x:v>Racordare</x:v>
      </x:c>
      <x:c r="D507" s="12" t="str"/>
      <x:c r="E507" s="11" t="str"/>
      <x:c r="F507" s="12" t="str"/>
      <x:c r="G507" s="11" t="str"/>
      <x:c r="H507" s="8" t="str"/>
      <x:c r="I507" s="8" t="str">
        <x:v>Document local; transmiterea individuală neconfirmată</x:v>
      </x:c>
      <x:c r="J507" s="8" t="str">
        <x:v>nr. 703020142981 / 17.01.2020 Cod FTS-2.2-04 1 / 2
nr. 703020142981 din data de 17.01.2020
nr. 11/2016, denumit în
nr. 703020142981 / 17.01.2020 Cod FTS-2.2-04 2 / 2
nr. 59/2013 cu modificãrile şi</x:v>
      </x:c>
      <x:c r="K507" s="8" t="str">
        <x:v>Text extras; numerele din referințe sunt în coloana separată</x:v>
      </x:c>
      <x:c r="L507" s="8" t="e">
        <x:f>HYPERLINK("file:///Z:/00. Proiecte 2025/AFIR FotoVoltaic 1/20. ATR/1. Documente Solicitare ATR/ACTE Tg. Mures/crr sighisoara.pdf","Deschide sursa")</x:f>
        <x:v>HYPERLINK is not implemented. linkLocation=file:///Z:/00. Proiecte 2025/AFIR FotoVoltaic 1/20. ATR/1. Documente Solicitare ATR/ACTE Tg. Mures/crr sighisoara.pdf, friendlyName=Deschide sursa</x:v>
      </x:c>
    </x:row>
    <x:row r="508" ht="36" customHeight="1">
      <x:c r="A508" s="8" t="str">
        <x:v>F0888</x:v>
      </x:c>
      <x:c r="B508" s="8" t="str">
        <x:v>Declaratie autenticitate date  RACORDARE.doc</x:v>
      </x:c>
      <x:c r="C508" s="8" t="str">
        <x:v>Racordare</x:v>
      </x:c>
      <x:c r="D508" s="12" t="str"/>
      <x:c r="E508" s="11" t="str"/>
      <x:c r="F508" s="12" t="str"/>
      <x:c r="G508" s="11" t="str"/>
      <x:c r="H508" s="8" t="str"/>
      <x:c r="I508" s="8" t="str">
        <x:v>Document local; transmiterea individuală neconfirmată</x:v>
      </x:c>
      <x:c r="J508" s="8" t="str"/>
      <x:c r="K508" s="8" t="str">
        <x:v>Necesită citire vizuală / OCR / formular XFA</x:v>
      </x:c>
      <x:c r="L508" s="8" t="e">
        <x:f>HYPERLINK("file:///Z:/00. Proiecte 2025/AFIR FotoVoltaic 1/20. ATR/1. Documente Solicitare ATR/ACTE Tg. Mures/Declaratie autenticitate date  RACORDARE.doc","Deschide sursa")</x:f>
        <x:v>HYPERLINK is not implemented. linkLocation=file:///Z:/00. Proiecte 2025/AFIR FotoVoltaic 1/20. ATR/1. Documente Solicitare ATR/ACTE Tg. Mures/Declaratie autenticitate date  RACORDARE.doc, friendlyName=Deschide sursa</x:v>
      </x:c>
    </x:row>
    <x:row r="509" ht="36" customHeight="1">
      <x:c r="A509" s="8" t="str">
        <x:v>F0889</x:v>
      </x:c>
      <x:c r="B509" s="8" t="str">
        <x:v>model imputernicire.pdf</x:v>
      </x:c>
      <x:c r="C509" s="8" t="str">
        <x:v>Racordare</x:v>
      </x:c>
      <x:c r="D509" s="12" t="str"/>
      <x:c r="E509" s="11" t="str"/>
      <x:c r="F509" s="12" t="str"/>
      <x:c r="G509" s="11" t="str"/>
      <x:c r="H509" s="8" t="str"/>
      <x:c r="I509" s="8" t="str">
        <x:v>Document local; transmiterea individuală neconfirmată</x:v>
      </x:c>
      <x:c r="J509" s="8" t="str"/>
      <x:c r="K509" s="8" t="str">
        <x:v>Text extras; numerele din referințe sunt în coloana separată</x:v>
      </x:c>
      <x:c r="L509" s="8" t="e">
        <x:f>HYPERLINK("file:///Z:/00. Proiecte 2025/AFIR FotoVoltaic 1/20. ATR/1. Documente Solicitare ATR/ACTE Tg. Mures/model imputernicire.pdf","Deschide sursa")</x:f>
        <x:v>HYPERLINK is not implemented. linkLocation=file:///Z:/00. Proiecte 2025/AFIR FotoVoltaic 1/20. ATR/1. Documente Solicitare ATR/ACTE Tg. Mures/model imputernicire.pdf, friendlyName=Deschide sursa</x:v>
      </x:c>
    </x:row>
    <x:row r="510" ht="36" customHeight="1">
      <x:c r="A510" s="8" t="str">
        <x:v>F0890</x:v>
      </x:c>
      <x:c r="B510" s="8" t="str">
        <x:v>Nota-informare-clienti-DEER.doc</x:v>
      </x:c>
      <x:c r="C510" s="8" t="str">
        <x:v>Racordare</x:v>
      </x:c>
      <x:c r="D510" s="12" t="str"/>
      <x:c r="E510" s="11" t="str"/>
      <x:c r="F510" s="12" t="str"/>
      <x:c r="G510" s="11" t="str"/>
      <x:c r="H510" s="8" t="str"/>
      <x:c r="I510" s="8" t="str">
        <x:v>Document local; transmiterea individuală neconfirmată</x:v>
      </x:c>
      <x:c r="J510" s="8" t="str"/>
      <x:c r="K510" s="8" t="str">
        <x:v>Necesită citire vizuală / OCR / formular XFA</x:v>
      </x:c>
      <x:c r="L510" s="8" t="e">
        <x:f>HYPERLINK("file:///Z:/00. Proiecte 2025/AFIR FotoVoltaic 1/20. ATR/1. Documente Solicitare ATR/ACTE Tg. Mures/Nota-informare-clienti-DEER.doc","Deschide sursa")</x:f>
        <x:v>HYPERLINK is not implemented. linkLocation=file:///Z:/00. Proiecte 2025/AFIR FotoVoltaic 1/20. ATR/1. Documente Solicitare ATR/ACTE Tg. Mures/Nota-informare-clienti-DEER.doc, friendlyName=Deschide sursa</x:v>
      </x:c>
    </x:row>
    <x:row r="511" ht="36" customHeight="1">
      <x:c r="A511" s="8" t="str">
        <x:v>F0901</x:v>
      </x:c>
      <x:c r="B511" s="8" t="str">
        <x:v>CUI Cesiro Production 2025.pdf</x:v>
      </x:c>
      <x:c r="C511" s="8" t="str">
        <x:v>Racordare</x:v>
      </x:c>
      <x:c r="D511" s="12" t="str"/>
      <x:c r="E511" s="11" t="str"/>
      <x:c r="F511" s="12" t="str"/>
      <x:c r="G511" s="11" t="str"/>
      <x:c r="H511" s="8" t="str"/>
      <x:c r="I511" s="8" t="str">
        <x:v>Pregătit pentru depunere; confirmare de verificat</x:v>
      </x:c>
      <x:c r="J511" s="8" t="str"/>
      <x:c r="K511" s="8" t="str">
        <x:v>Text extras; numerele din referințe sunt în coloana separată</x:v>
      </x:c>
      <x:c r="L511" s="8" t="e">
        <x:f>HYPERLINK("file:///Z:/00. Proiecte 2025/AFIR FotoVoltaic 1/20. ATR/1. Documente Solicitare ATR/De Depus/CUI Cesiro Production 2025.pdf","Deschide sursa")</x:f>
        <x:v>HYPERLINK is not implemented. linkLocation=file:///Z:/00. Proiecte 2025/AFIR FotoVoltaic 1/20. ATR/1. Documente Solicitare ATR/De Depus/CUI Cesiro Production 2025.pdf, friendlyName=Deschide sursa</x:v>
      </x:c>
    </x:row>
    <x:row r="512" ht="36" customHeight="1">
      <x:c r="A512" s="8" t="str">
        <x:v>F0902</x:v>
      </x:c>
      <x:c r="B512" s="8" t="str">
        <x:v>GDPR ATR Distributie Energie Electrica Mures.pdf</x:v>
      </x:c>
      <x:c r="C512" s="8" t="str">
        <x:v>Racordare</x:v>
      </x:c>
      <x:c r="D512" s="12" t="str"/>
      <x:c r="E512" s="11" t="str"/>
      <x:c r="F512" s="12" t="str"/>
      <x:c r="G512" s="11" t="str"/>
      <x:c r="H512" s="8" t="str"/>
      <x:c r="I512" s="8" t="str">
        <x:v>Pregătit pentru depunere; confirmare de verificat</x:v>
      </x:c>
      <x:c r="J512" s="8" t="str">
        <x:v>nr. 17B</x:v>
      </x:c>
      <x:c r="K512" s="8" t="str">
        <x:v>Text extras; numerele din referințe sunt în coloana separată</x:v>
      </x:c>
      <x:c r="L512" s="8" t="e">
        <x:f>HYPERLINK("file:///Z:/00. Proiecte 2025/AFIR FotoVoltaic 1/20. ATR/1. Documente Solicitare ATR/De Depus/GDPR ATR Distributie Energie Electrica Mures.pdf","Deschide sursa")</x:f>
        <x:v>HYPERLINK is not implemented. linkLocation=file:///Z:/00. Proiecte 2025/AFIR FotoVoltaic 1/20. ATR/1. Documente Solicitare ATR/De Depus/GDPR ATR Distributie Energie Electrica Mures.pdf, friendlyName=Deschide sursa</x:v>
      </x:c>
    </x:row>
    <x:row r="513" ht="50" customHeight="1">
      <x:c r="A513" s="8" t="str">
        <x:v>F0903</x:v>
      </x:c>
      <x:c r="B513" s="8" t="str">
        <x:v>1.-Loc-consum-si-producere-nou-_Anexa-nr-1.docx</x:v>
      </x:c>
      <x:c r="C513" s="8" t="str">
        <x:v>Racordare</x:v>
      </x:c>
      <x:c r="D513" s="12" t="str"/>
      <x:c r="E513" s="11" t="str"/>
      <x:c r="F513" s="12" t="str"/>
      <x:c r="G513" s="11" t="str"/>
      <x:c r="H513" s="8" t="str"/>
      <x:c r="I513" s="8" t="str">
        <x:v>Document local; transmiterea individuală neconfirmată</x:v>
      </x:c>
      <x:c r="J513" s="8" t="str">
        <x:v>nr.1
Nr. crt. | Nr. panouri | Tip panou | Pi panou (c.c.) (kW) | Pi total panouri (c.c.) (kW) | Pmax debitat de panouri (c.c.) (kW) | Pi total panouri pe 1 invertor (c.</x:v>
      </x:c>
      <x:c r="K513" s="8" t="str">
        <x:v>Text extras; numerele din referințe sunt în coloana separată</x:v>
      </x:c>
      <x:c r="L513" s="8" t="e">
        <x:f>HYPERLINK("file:///Z:/00. Proiecte 2025/AFIR FotoVoltaic 1/20. ATR/1. Documente Solicitare ATR/Prosumator/1.-Loc-consum-si-producere-nou-_Anexa-nr-1.docx","Deschide sursa")</x:f>
        <x:v>HYPERLINK is not implemented. linkLocation=file:///Z:/00. Proiecte 2025/AFIR FotoVoltaic 1/20. ATR/1. Documente Solicitare ATR/Prosumator/1.-Loc-consum-si-producere-nou-_Anexa-nr-1.docx, friendlyName=Deschide sursa</x:v>
      </x:c>
    </x:row>
    <x:row r="514" ht="36" customHeight="1">
      <x:c r="A514" s="8" t="str">
        <x:v>F0904</x:v>
      </x:c>
      <x:c r="B514" s="8" t="str">
        <x:v>2.-Loc-de-consum-existent_Anexa-nr-2.docx</x:v>
      </x:c>
      <x:c r="C514" s="8" t="str">
        <x:v>Racordare</x:v>
      </x:c>
      <x:c r="D514" s="12" t="str"/>
      <x:c r="E514" s="11" t="str"/>
      <x:c r="F514" s="12" t="str"/>
      <x:c r="G514" s="11" t="str"/>
      <x:c r="H514" s="8" t="str"/>
      <x:c r="I514" s="8" t="str">
        <x:v>Document local; transmiterea individuală neconfirmată</x:v>
      </x:c>
      <x:c r="J514" s="8" t="str"/>
      <x:c r="K514" s="8" t="str">
        <x:v>Text extras; numerele din referințe sunt în coloana separată</x:v>
      </x:c>
      <x:c r="L514" s="8" t="e">
        <x:f>HYPERLINK("file:///Z:/00. Proiecte 2025/AFIR FotoVoltaic 1/20. ATR/1. Documente Solicitare ATR/Prosumator/2.-Loc-de-consum-existent_Anexa-nr-2.docx","Deschide sursa")</x:f>
        <x:v>HYPERLINK is not implemented. linkLocation=file:///Z:/00. Proiecte 2025/AFIR FotoVoltaic 1/20. ATR/1. Documente Solicitare ATR/Prosumator/2.-Loc-de-consum-existent_Anexa-nr-2.docx, friendlyName=Deschide sursa</x:v>
      </x:c>
    </x:row>
    <x:row r="515" ht="36" customHeight="1">
      <x:c r="A515" s="8" t="str">
        <x:v>F0905</x:v>
      </x:c>
      <x:c r="B515" s="8" t="str">
        <x:v>Autoproducator.doc</x:v>
      </x:c>
      <x:c r="C515" s="8" t="str">
        <x:v>Racordare</x:v>
      </x:c>
      <x:c r="D515" s="12" t="str"/>
      <x:c r="E515" s="11" t="str"/>
      <x:c r="F515" s="12" t="str"/>
      <x:c r="G515" s="11" t="str"/>
      <x:c r="H515" s="8" t="str"/>
      <x:c r="I515" s="8" t="str">
        <x:v>Document local; transmiterea individuală neconfirmată</x:v>
      </x:c>
      <x:c r="J515" s="8" t="str"/>
      <x:c r="K515" s="8" t="str">
        <x:v>Necesită citire vizuală / OCR / formular XFA</x:v>
      </x:c>
      <x:c r="L515" s="8" t="e">
        <x:f>HYPERLINK("file:///Z:/00. Proiecte 2025/AFIR FotoVoltaic 1/20. ATR/1. Documente Solicitare ATR/Prosumator/Autoproducator.doc","Deschide sursa")</x:f>
        <x:v>HYPERLINK is not implemented. linkLocation=file:///Z:/00. Proiecte 2025/AFIR FotoVoltaic 1/20. ATR/1. Documente Solicitare ATR/Prosumator/Autoproducator.doc, friendlyName=Deschide sursa</x:v>
      </x:c>
    </x:row>
    <x:row r="516" ht="50" customHeight="1">
      <x:c r="A516" s="8" t="str">
        <x:v>F0906</x:v>
      </x:c>
      <x:c r="B516" s="8" t="str">
        <x:v>Persoane fizice si juridice care au puterea instalata pe producere mai mare de  400kW.doc</x:v>
      </x:c>
      <x:c r="C516" s="8" t="str">
        <x:v>Racordare</x:v>
      </x:c>
      <x:c r="D516" s="12" t="str"/>
      <x:c r="E516" s="11" t="str"/>
      <x:c r="F516" s="12" t="str"/>
      <x:c r="G516" s="11" t="str"/>
      <x:c r="H516" s="8" t="str"/>
      <x:c r="I516" s="8" t="str">
        <x:v>Document local; transmiterea individuală neconfirmată</x:v>
      </x:c>
      <x:c r="J516" s="8" t="str"/>
      <x:c r="K516" s="8" t="str">
        <x:v>Necesită citire vizuală / OCR / formular XFA</x:v>
      </x:c>
      <x:c r="L516" s="8" t="e">
        <x:f>HYPERLINK("file:///Z:/00. Proiecte 2025/AFIR FotoVoltaic 1/20. ATR/1. Documente Solicitare ATR/Prosumator/Persoane fizice si juridice care au puterea instalata pe producere mai mare de  400kW.doc","Deschide sursa")</x:f>
        <x:v>HYPERLINK is not implemented. linkLocation=file:///Z:/00. Proiecte 2025/AFIR FotoVoltaic 1/20. ATR/1. Documente Solicitare ATR/Prosumator/Persoane fizice si juridice care au puterea instalata pe producere mai mare de  400kW.doc, friendlyName=Deschide sursa</x:v>
      </x:c>
    </x:row>
    <x:row r="517" ht="106" customHeight="1">
      <x:c r="A517" s="8" t="str">
        <x:v>F0908</x:v>
      </x:c>
      <x:c r="B517" s="8" t="str">
        <x:v>Analiza cost-beneficiu.pdf</x:v>
      </x:c>
      <x:c r="C517" s="8" t="str">
        <x:v>Depunere / eligibilitate</x:v>
      </x:c>
      <x:c r="D517" s="12" t="str"/>
      <x:c r="E517" s="11" t="str"/>
      <x:c r="F517" s="12" t="str"/>
      <x:c r="G517" s="11" t="str"/>
      <x:c r="H517" s="8" t="str"/>
      <x:c r="I517" s="8" t="str">
        <x:v>Document local; transmiterea individuală neconfirmată</x:v>
      </x:c>
      <x:c r="J517" s="8" t="str">
        <x:v>nr. 117/2015.
nr. 61/
nr. 202/2002 privind egalitatea de şanse
nr. 2
nr.4
nr. 5 din 6 martie 2000);
nr. 240</x:v>
      </x:c>
      <x:c r="K517" s="8" t="str">
        <x:v>Text extras; numerele din referințe sunt în coloana separată</x:v>
      </x:c>
      <x:c r="L517" s="8" t="e">
        <x:f>HYPERLINK("file:///Z:/00. Proiecte 2025/AFIR FotoVoltaic 1/3.1. Analiza Cost Beneficiu/Modele pentru Analiza CB/Analiza cost-beneficiu.pdf","Deschide sursa")</x:f>
        <x:v>HYPERLINK is not implemented. linkLocation=file:///Z:/00. Proiecte 2025/AFIR FotoVoltaic 1/3.1. Analiza Cost Beneficiu/Modele pentru Analiza CB/Analiza cost-beneficiu.pdf, friendlyName=Deschide sursa</x:v>
      </x:c>
    </x:row>
    <x:row r="518" ht="134" customHeight="1">
      <x:c r="A518" s="8" t="str">
        <x:v>F0909</x:v>
      </x:c>
      <x:c r="B518" s="8" t="str">
        <x:v>Memoriu pentru APM Parc fotovoltaic.pdf</x:v>
      </x:c>
      <x:c r="C518" s="8" t="str">
        <x:v>Depunere / eligibilitate</x:v>
      </x:c>
      <x:c r="D518" s="12" t="str"/>
      <x:c r="E518" s="11" t="str"/>
      <x:c r="F518" s="12" t="str"/>
      <x:c r="G518" s="11" t="str"/>
      <x:c r="H518" s="8" t="str"/>
      <x:c r="I518" s="8" t="str">
        <x:v>Document local; transmiterea individuală neconfirmată</x:v>
      </x:c>
      <x:c r="J518" s="8" t="str">
        <x:v>nr. 5E la Legea 292/2018
Nr. PV18/ 25.03.2022
Nr 87, Felix Office Buiding, Birou 4, Secțiune
nr 25, 26, 27, 28 toate e mise de Primăria
nr. 22/2001, cu completările ulterioare.
nr. 2.314/2004, cu modificările
nr. 57/2007 privind regimul ariilor
nr. 49/2011, cu modificările și
nr. 3 la Legea nr. ..... privind evaluarea impactului</x:v>
      </x:c>
      <x:c r="K518" s="8" t="str">
        <x:v>Text extras; numerele din referințe sunt în coloana separată</x:v>
      </x:c>
      <x:c r="L518" s="8" t="e">
        <x:f>HYPERLINK("file:///Z:/00. Proiecte 2025/AFIR FotoVoltaic 1/3.1. Analiza Cost Beneficiu/Modele pentru Analiza CB/Memoriu pentru APM Parc fotovoltaic.pdf","Deschide sursa")</x:f>
        <x:v>HYPERLINK is not implemented. linkLocation=file:///Z:/00. Proiecte 2025/AFIR FotoVoltaic 1/3.1. Analiza Cost Beneficiu/Modele pentru Analiza CB/Memoriu pentru APM Parc fotovoltaic.pdf, friendlyName=Deschide sursa</x:v>
      </x:c>
    </x:row>
    <x:row r="519" ht="358" customHeight="1">
      <x:c r="A519" s="8" t="str">
        <x:v>F0910</x:v>
      </x:c>
      <x:c r="B519" s="8" t="str">
        <x:v>SF Sf Gheorghe.docx</x:v>
      </x:c>
      <x:c r="C519" s="8" t="str">
        <x:v>Depunere / eligibilitate</x:v>
      </x:c>
      <x:c r="D519" s="12" t="str"/>
      <x:c r="E519" s="11" t="str"/>
      <x:c r="F519" s="12" t="str"/>
      <x:c r="G519" s="11" t="str"/>
      <x:c r="H519" s="8" t="str"/>
      <x:c r="I519" s="8" t="str">
        <x:v>Document local; transmiterea individuală neconfirmată</x:v>
      </x:c>
      <x:c r="J519" s="8" t="str">
        <x:v>nr.2,
nr. 33, Bucuresti,sector 3 CIF: RO23029090, RC: J40/219/2008
nr.16/C, Cluj Napoca, jud.Cluj CIF: RO17750961, RC: J12/2507/05.07.2005.
nr. 215/2001 republicată, unităţile administrativ – teritoriale sunt persoane juridice de drept public, cu capacitate juridică deplină şi patrimoniu propriu.
nregistrat şi facturat în anul 2012:
nr. 443/2003, cu modificarea din HG 958/2005) şi- a stabilit ţinta orientativă pentru anul 2012 de 33%, reprezentând ponderea E-SRE din consumul intern brut de ene
nr. tarla 6, parcela P 53/2, înscris în titlul de proprietate 43949/22.05.2007. şi are următoarele vecinătăţi:
nr.28595 (43100 mp) si 33479 ( 20000 mp) nr.cad 28595 si 33479 , tarlaua 6 , parcela 57.
nr.57 cu o suprafaţă totală de 46,9 ha.
nr.2142/20.04.2010 conform Normativului privind principiile, exigenţele şi metodele cercetării geotehnice pentru terenul de fundare, indicativ NP 074/2007.
nr. 162/2002 privind depozitarea deseurilor, deseurile menajere si cele asimilabile acestora vor fi colectate in interiorul organizarii de santier in puncte de col
nr.5
nr. 9 - Napsugár
nr. 7 - Árvácska
nr. 7 - Árvácska | 13,860.00
nr. 9 - Napsugár | 15,945.00
nr.7.
nr.7 identificat în Planul de acţiune locală aferentă Strategiei de dezvoltare locală, prin faptul că se realizează protecţia mediului înconjurător, se reduc costu
Nr. crt. | Tip cheltuieli | a | b | 1 | 2 | 3 | 4 | 5 | 10 | 15
Nr. crt. | Tip venituri | a | b | 1 | 2 | 3 | 4 | 5 | 10 | 15</x:v>
      </x:c>
      <x:c r="K519" s="8" t="str">
        <x:v>Text extras; numerele din referințe sunt în coloana separată</x:v>
      </x:c>
      <x:c r="L519" s="8" t="e">
        <x:f>HYPERLINK("file:///Z:/00. Proiecte 2025/AFIR FotoVoltaic 1/3.1. Analiza Cost Beneficiu/Modele pentru Analiza CB/SF Sf Gheorghe.docx","Deschide sursa")</x:f>
        <x:v>HYPERLINK is not implemented. linkLocation=file:///Z:/00. Proiecte 2025/AFIR FotoVoltaic 1/3.1. Analiza Cost Beneficiu/Modele pentru Analiza CB/SF Sf Gheorghe.docx, friendlyName=Deschide sursa</x:v>
      </x:c>
    </x:row>
    <x:row r="520" ht="288" customHeight="1">
      <x:c r="A520" s="8" t="str">
        <x:v>F0911</x:v>
      </x:c>
      <x:c r="B520" s="8" t="str">
        <x:v>SF Sf Gheorghe.pdf</x:v>
      </x:c>
      <x:c r="C520" s="8" t="str">
        <x:v>Depunere / eligibilitate</x:v>
      </x:c>
      <x:c r="D520" s="12" t="str"/>
      <x:c r="E520" s="11" t="str"/>
      <x:c r="F520" s="12" t="str"/>
      <x:c r="G520" s="11" t="str"/>
      <x:c r="H520" s="8" t="str"/>
      <x:c r="I520" s="8" t="str">
        <x:v>Document local; transmiterea individuală neconfirmată</x:v>
      </x:c>
      <x:c r="J520" s="8" t="str">
        <x:v>nr.2,
nr. 33, Bucuresti,sector 3
nr.16/C, Cluj Napoca, jud.Cluj
nr. 215/2001
nregistrat şi facturat în anul 2012:
nr. 7 - Árvácska 13,860.00
nr. 9 - Napsugár 15,945.00
nr. 443/2003, cu modificarea din HG 958/2005) şi -
nr.7.
nr.7 identificat în
nr. tarla 6, parcela P 53/2, înscris în titlul de proprietate 43949/22.05.2007. şi are următoarele
nr.5/19.01.2002.
nr.28595 (43100 mp) si 33479 ( 20000 mp)
nr.cad 28595 si 33479 , tarlaua 6 , parcela 57.
nr.57 cu o suprafaţă totală de 46,9 ha.
nr.2142/20.04.2010 conform Normativului privind principiile, exigenţele şi metodele
nr. 162/2002 privind depozitarea deseurilor, deseurile menajere si cele
nr.5
nr. 9 - Napsugár
nr. 7 - Árvácska</x:v>
      </x:c>
      <x:c r="K520" s="8" t="str">
        <x:v>Text extras; numerele din referințe sunt în coloana separată</x:v>
      </x:c>
      <x:c r="L520" s="8" t="e">
        <x:f>HYPERLINK("file:///Z:/00. Proiecte 2025/AFIR FotoVoltaic 1/3.1. Analiza Cost Beneficiu/Modele pentru Analiza CB/SF Sf Gheorghe.pdf","Deschide sursa")</x:f>
        <x:v>HYPERLINK is not implemented. linkLocation=file:///Z:/00. Proiecte 2025/AFIR FotoVoltaic 1/3.1. Analiza Cost Beneficiu/Modele pentru Analiza CB/SF Sf Gheorghe.pdf, friendlyName=Deschide sursa</x:v>
      </x:c>
    </x:row>
    <x:row r="521" ht="36" customHeight="1">
      <x:c r="A521" s="8" t="str">
        <x:v>F0912</x:v>
      </x:c>
      <x:c r="B521" s="8" t="str">
        <x:v>Cerere_de_Credit_Cesiro_Production[1].docx</x:v>
      </x:c>
      <x:c r="C521" s="8" t="str">
        <x:v>Depunere / eligibilitate</x:v>
      </x:c>
      <x:c r="D521" s="12" t="str"/>
      <x:c r="E521" s="11" t="str"/>
      <x:c r="F521" s="12" t="str"/>
      <x:c r="G521" s="11" t="str"/>
      <x:c r="H521" s="8" t="str"/>
      <x:c r="I521" s="8" t="str">
        <x:v>Document local; transmiterea individuală neconfirmată</x:v>
      </x:c>
      <x:c r="J521" s="8" t="str">
        <x:v>nregistrată sub numărul J01/1328/2021, societatea operează sub codul unic de înregistrare (CUI) 45050734 și își desfășoară activitatea dintr-un sediu modern, situ</x:v>
      </x:c>
      <x:c r="K521" s="8" t="str">
        <x:v>Text extras; numerele din referințe sunt în coloana separată</x:v>
      </x:c>
      <x:c r="L521" s="8" t="e">
        <x:f>HYPERLINK("file:///Z:/00. Proiecte 2025/AFIR FotoVoltaic 1/3.5. Dovada Cofinantare/1. EximBank/Cerere_de_Credit_Cesiro_Production[1].docx","Deschide sursa")</x:f>
        <x:v>HYPERLINK is not implemented. linkLocation=file:///Z:/00. Proiecte 2025/AFIR FotoVoltaic 1/3.5. Dovada Cofinantare/1. EximBank/Cerere_de_Credit_Cesiro_Production[1].docx, friendlyName=Deschide sursa</x:v>
      </x:c>
    </x:row>
    <x:row r="522" ht="78" customHeight="1">
      <x:c r="A522" s="8" t="str">
        <x:v>F0913</x:v>
      </x:c>
      <x:c r="B522" s="8" t="str">
        <x:v>Declaratie conflict de interese Suntree Solar Tech SRL.docx</x:v>
      </x:c>
      <x:c r="C522" s="8" t="str">
        <x:v>Depunere / eligibilitate</x:v>
      </x:c>
      <x:c r="D522" s="12" t="str"/>
      <x:c r="E522" s="11" t="str"/>
      <x:c r="F522" s="12" t="str"/>
      <x:c r="G522" s="11" t="str"/>
      <x:c r="H522" s="8" t="str">
        <x:v>266 / 12.01.2024</x:v>
      </x:c>
      <x:c r="I522" s="8" t="str">
        <x:v>Document local; transmiterea individuală neconfirmată</x:v>
      </x:c>
      <x:c r="J522" s="8" t="str">
        <x:v>Nr. 266/12.01.2024
nr. 890501, CNP 1980514011156, deținând funcția de Administrator în cadrul SUNTREE SOLAR TECH SRL, declar pe proprie răspundere sub sancțiunea de fals și uz de fal
nregistrare: | 45050734
nr. 5, Alba Iulia, jud. Alba</x:v>
      </x:c>
      <x:c r="K522" s="8" t="str">
        <x:v>Text extras; numerele din referințe sunt în coloana separată</x:v>
      </x:c>
      <x:c r="L522" s="8" t="e">
        <x:f>HYPERLINK("file:///Z:/00. Proiecte 2025/AFIR FotoVoltaic 1/3.6. Oferte/1. Suntree Solar Tech SRL/Declaratie conflict de interese Suntree Solar Tech SRL.docx","Deschide sursa")</x:f>
        <x:v>HYPERLINK is not implemented. linkLocation=file:///Z:/00. Proiecte 2025/AFIR FotoVoltaic 1/3.6. Oferte/1. Suntree Solar Tech SRL/Declaratie conflict de interese Suntree Solar Tech SRL.docx, friendlyName=Deschide sursa</x:v>
      </x:c>
    </x:row>
    <x:row r="523" ht="36" customHeight="1">
      <x:c r="A523" s="8" t="str">
        <x:v>F0914</x:v>
      </x:c>
      <x:c r="B523" s="8" t="str">
        <x:v>Declaratie conflict de interese Suntree Solar Tech SRL.pdf</x:v>
      </x:c>
      <x:c r="C523" s="8" t="str">
        <x:v>Depunere / eligibilitate</x:v>
      </x:c>
      <x:c r="D523" s="12" t="str"/>
      <x:c r="E523" s="11" t="str"/>
      <x:c r="F523" s="12" t="str"/>
      <x:c r="G523" s="11" t="str"/>
      <x:c r="H523" s="8" t="str"/>
      <x:c r="I523" s="8" t="str">
        <x:v>Document local; transmiterea individuală neconfirmată</x:v>
      </x:c>
      <x:c r="J523" s="8" t="str"/>
      <x:c r="K523" s="8" t="str">
        <x:v>Text extras; numerele din referințe sunt în coloana separată</x:v>
      </x:c>
      <x:c r="L523" s="8" t="e">
        <x:f>HYPERLINK("file:///Z:/00. Proiecte 2025/AFIR FotoVoltaic 1/3.6. Oferte/1. Suntree Solar Tech SRL/Declaratie conflict de interese Suntree Solar Tech SRL.pdf","Deschide sursa")</x:f>
        <x:v>HYPERLINK is not implemented. linkLocation=file:///Z:/00. Proiecte 2025/AFIR FotoVoltaic 1/3.6. Oferte/1. Suntree Solar Tech SRL/Declaratie conflict de interese Suntree Solar Tech SRL.pdf, friendlyName=Deschide sursa</x:v>
      </x:c>
    </x:row>
    <x:row r="524" ht="36" customHeight="1">
      <x:c r="A524" s="8" t="str">
        <x:v>F0916</x:v>
      </x:c>
      <x:c r="B524" s="8" t="str">
        <x:v>Oferta Suntree Solar Tech SRL.docx</x:v>
      </x:c>
      <x:c r="C524" s="8" t="str">
        <x:v>Depunere / eligibilitate</x:v>
      </x:c>
      <x:c r="D524" s="12" t="str"/>
      <x:c r="E524" s="11" t="str"/>
      <x:c r="F524" s="12" t="str"/>
      <x:c r="G524" s="11" t="str"/>
      <x:c r="H524" s="8" t="str"/>
      <x:c r="I524" s="8" t="str">
        <x:v>Document local; transmiterea individuală neconfirmată</x:v>
      </x:c>
      <x:c r="J524" s="8" t="str">
        <x:v>Nr. 265 din 12.01.2024</x:v>
      </x:c>
      <x:c r="K524" s="8" t="str">
        <x:v>Text extras; numerele din referințe sunt în coloana separată</x:v>
      </x:c>
      <x:c r="L524" s="8" t="e">
        <x:f>HYPERLINK("file:///Z:/00. Proiecte 2025/AFIR FotoVoltaic 1/3.6. Oferte/1. Suntree Solar Tech SRL/Oferta Suntree Solar Tech SRL.docx","Deschide sursa")</x:f>
        <x:v>HYPERLINK is not implemented. linkLocation=file:///Z:/00. Proiecte 2025/AFIR FotoVoltaic 1/3.6. Oferte/1. Suntree Solar Tech SRL/Oferta Suntree Solar Tech SRL.docx, friendlyName=Deschide sursa</x:v>
      </x:c>
    </x:row>
    <x:row r="525" ht="36" customHeight="1">
      <x:c r="A525" s="8" t="str">
        <x:v>F0917</x:v>
      </x:c>
      <x:c r="B525" s="8" t="str">
        <x:v>Oferta Suntree Solar Tech SRL.pdf</x:v>
      </x:c>
      <x:c r="C525" s="8" t="str">
        <x:v>Depunere / eligibilitate</x:v>
      </x:c>
      <x:c r="D525" s="12" t="str"/>
      <x:c r="E525" s="11" t="str"/>
      <x:c r="F525" s="12" t="str"/>
      <x:c r="G525" s="11" t="str"/>
      <x:c r="H525" s="8" t="str"/>
      <x:c r="I525" s="8" t="str">
        <x:v>Document local; transmiterea individuală neconfirmată</x:v>
      </x:c>
      <x:c r="J525" s="8" t="str"/>
      <x:c r="K525" s="8" t="str">
        <x:v>Text extras; numerele din referințe sunt în coloana separată</x:v>
      </x:c>
      <x:c r="L525" s="8" t="e">
        <x:f>HYPERLINK("file:///Z:/00. Proiecte 2025/AFIR FotoVoltaic 1/3.6. Oferte/1. Suntree Solar Tech SRL/Oferta Suntree Solar Tech SRL.pdf","Deschide sursa")</x:f>
        <x:v>HYPERLINK is not implemented. linkLocation=file:///Z:/00. Proiecte 2025/AFIR FotoVoltaic 1/3.6. Oferte/1. Suntree Solar Tech SRL/Oferta Suntree Solar Tech SRL.pdf, friendlyName=Deschide sursa</x:v>
      </x:c>
    </x:row>
    <x:row r="526" ht="64" customHeight="1">
      <x:c r="A526" s="8" t="str">
        <x:v>F0918</x:v>
      </x:c>
      <x:c r="B526" s="8" t="str">
        <x:v>Solicitare oferta Suntree Solar Tech SRL.docx</x:v>
      </x:c>
      <x:c r="C526" s="8" t="str">
        <x:v>Depunere / eligibilitate</x:v>
      </x:c>
      <x:c r="D526" s="12" t="str">
        <x:v>02</x:v>
      </x:c>
      <x:c r="E526" s="11" t="n">
        <x:v>45296</x:v>
      </x:c>
      <x:c r="F526" s="12" t="str"/>
      <x:c r="G526" s="11" t="str"/>
      <x:c r="H526" s="8" t="str"/>
      <x:c r="I526" s="8" t="str">
        <x:v>Document local; transmiterea individuală neconfirmată</x:v>
      </x:c>
      <x:c r="J526" s="8" t="str">
        <x:v>Nr. 02/05.01.2024
nregistrare: | 45050734
nr. 5, Alba Iulia, jud. Alba
nr. 14, Alba Iulia, jud. Alba</x:v>
      </x:c>
      <x:c r="K526" s="8" t="str">
        <x:v>Text extras; numerele din referințe sunt în coloana separată</x:v>
      </x:c>
      <x:c r="L526" s="8" t="e">
        <x:f>HYPERLINK("file:///Z:/00. Proiecte 2025/AFIR FotoVoltaic 1/3.6. Oferte/1. Suntree Solar Tech SRL/Solicitare oferta Suntree Solar Tech SRL.docx","Deschide sursa")</x:f>
        <x:v>HYPERLINK is not implemented. linkLocation=file:///Z:/00. Proiecte 2025/AFIR FotoVoltaic 1/3.6. Oferte/1. Suntree Solar Tech SRL/Solicitare oferta Suntree Solar Tech SRL.docx, friendlyName=Deschide sursa</x:v>
      </x:c>
    </x:row>
    <x:row r="527" ht="78" customHeight="1">
      <x:c r="A527" s="8" t="str">
        <x:v>F0919</x:v>
      </x:c>
      <x:c r="B527" s="8" t="str">
        <x:v>Declaratie conflict de interese Albaco Exim SRL.docx</x:v>
      </x:c>
      <x:c r="C527" s="8" t="str">
        <x:v>Depunere / eligibilitate</x:v>
      </x:c>
      <x:c r="D527" s="12" t="str"/>
      <x:c r="E527" s="11" t="str"/>
      <x:c r="F527" s="12" t="str"/>
      <x:c r="G527" s="11" t="str"/>
      <x:c r="H527" s="8" t="str">
        <x:v>18 / 10.01.2024</x:v>
      </x:c>
      <x:c r="I527" s="8" t="str">
        <x:v>Document local; transmiterea individuală neconfirmată</x:v>
      </x:c>
      <x:c r="J527" s="8" t="str">
        <x:v>Nr. 18/10.01.2024
nr. 662741, CNP 1570206011098, deținând funcția de Administrator în cadrul ALBACO EXIM SRL, declar pe proprie răspundere sub sancțiunea de fals și uz de fals în de
nregistrare: | 45050734
nr. 5, Alba Iulia, jud. Alba</x:v>
      </x:c>
      <x:c r="K527" s="8" t="str">
        <x:v>Text extras; numerele din referințe sunt în coloana separată</x:v>
      </x:c>
      <x:c r="L527" s="8" t="e">
        <x:f>HYPERLINK("file:///Z:/00. Proiecte 2025/AFIR FotoVoltaic 1/3.6. Oferte/2. Albaco Exim SRL/Declaratie conflict de interese Albaco Exim SRL.docx","Deschide sursa")</x:f>
        <x:v>HYPERLINK is not implemented. linkLocation=file:///Z:/00. Proiecte 2025/AFIR FotoVoltaic 1/3.6. Oferte/2. Albaco Exim SRL/Declaratie conflict de interese Albaco Exim SRL.docx, friendlyName=Deschide sursa</x:v>
      </x:c>
    </x:row>
    <x:row r="528" ht="36" customHeight="1">
      <x:c r="A528" s="8" t="str">
        <x:v>F0920</x:v>
      </x:c>
      <x:c r="B528" s="8" t="str">
        <x:v>Declaratie conflict de interese Albaco Exim SRL.pdf</x:v>
      </x:c>
      <x:c r="C528" s="8" t="str">
        <x:v>Depunere / eligibilitate</x:v>
      </x:c>
      <x:c r="D528" s="12" t="str"/>
      <x:c r="E528" s="11" t="str"/>
      <x:c r="F528" s="12" t="str"/>
      <x:c r="G528" s="11" t="str"/>
      <x:c r="H528" s="8" t="str"/>
      <x:c r="I528" s="8" t="str">
        <x:v>Document local; transmiterea individuală neconfirmată</x:v>
      </x:c>
      <x:c r="J528" s="8" t="str"/>
      <x:c r="K528" s="8" t="str">
        <x:v>Text extras; numerele din referințe sunt în coloana separată</x:v>
      </x:c>
      <x:c r="L528" s="8" t="e">
        <x:f>HYPERLINK("file:///Z:/00. Proiecte 2025/AFIR FotoVoltaic 1/3.6. Oferte/2. Albaco Exim SRL/Declaratie conflict de interese Albaco Exim SRL.pdf","Deschide sursa")</x:f>
        <x:v>HYPERLINK is not implemented. linkLocation=file:///Z:/00. Proiecte 2025/AFIR FotoVoltaic 1/3.6. Oferte/2. Albaco Exim SRL/Declaratie conflict de interese Albaco Exim SRL.pdf, friendlyName=Deschide sursa</x:v>
      </x:c>
    </x:row>
    <x:row r="529" ht="36" customHeight="1">
      <x:c r="A529" s="8" t="str">
        <x:v>F0921</x:v>
      </x:c>
      <x:c r="B529" s="8" t="str">
        <x:v>Oferta Albaco Exim SRL.docx</x:v>
      </x:c>
      <x:c r="C529" s="8" t="str">
        <x:v>Depunere / eligibilitate</x:v>
      </x:c>
      <x:c r="D529" s="12" t="str"/>
      <x:c r="E529" s="11" t="str"/>
      <x:c r="F529" s="12" t="str"/>
      <x:c r="G529" s="11" t="str"/>
      <x:c r="H529" s="8" t="str"/>
      <x:c r="I529" s="8" t="str">
        <x:v>Document local; transmiterea individuală neconfirmată</x:v>
      </x:c>
      <x:c r="J529" s="8" t="str">
        <x:v>Nr. de inregistrare 17 din data 10.01.2024
nr. RC J01/1328/2021.</x:v>
      </x:c>
      <x:c r="K529" s="8" t="str">
        <x:v>Text extras; numerele din referințe sunt în coloana separată</x:v>
      </x:c>
      <x:c r="L529" s="8" t="e">
        <x:f>HYPERLINK("file:///Z:/00. Proiecte 2025/AFIR FotoVoltaic 1/3.6. Oferte/2. Albaco Exim SRL/Oferta Albaco Exim SRL.docx","Deschide sursa")</x:f>
        <x:v>HYPERLINK is not implemented. linkLocation=file:///Z:/00. Proiecte 2025/AFIR FotoVoltaic 1/3.6. Oferte/2. Albaco Exim SRL/Oferta Albaco Exim SRL.docx, friendlyName=Deschide sursa</x:v>
      </x:c>
    </x:row>
    <x:row r="530" ht="36" customHeight="1">
      <x:c r="A530" s="8" t="str">
        <x:v>F0922</x:v>
      </x:c>
      <x:c r="B530" s="8" t="str">
        <x:v>Oferta Albaco Exim SRL.pdf</x:v>
      </x:c>
      <x:c r="C530" s="8" t="str">
        <x:v>Depunere / eligibilitate</x:v>
      </x:c>
      <x:c r="D530" s="12" t="str"/>
      <x:c r="E530" s="11" t="str"/>
      <x:c r="F530" s="12" t="str"/>
      <x:c r="G530" s="11" t="str"/>
      <x:c r="H530" s="8" t="str"/>
      <x:c r="I530" s="8" t="str">
        <x:v>Document local; transmiterea individuală neconfirmată</x:v>
      </x:c>
      <x:c r="J530" s="8" t="str"/>
      <x:c r="K530" s="8" t="str">
        <x:v>Text extras; numerele din referințe sunt în coloana separată</x:v>
      </x:c>
      <x:c r="L530" s="8" t="e">
        <x:f>HYPERLINK("file:///Z:/00. Proiecte 2025/AFIR FotoVoltaic 1/3.6. Oferte/2. Albaco Exim SRL/Oferta Albaco Exim SRL.pdf","Deschide sursa")</x:f>
        <x:v>HYPERLINK is not implemented. linkLocation=file:///Z:/00. Proiecte 2025/AFIR FotoVoltaic 1/3.6. Oferte/2. Albaco Exim SRL/Oferta Albaco Exim SRL.pdf, friendlyName=Deschide sursa</x:v>
      </x:c>
    </x:row>
    <x:row r="531" ht="36" customHeight="1">
      <x:c r="A531" s="8" t="str">
        <x:v>F0923</x:v>
      </x:c>
      <x:c r="B531" s="8" t="str">
        <x:v>Oferta completa Albaco Exim SRL.pdf</x:v>
      </x:c>
      <x:c r="C531" s="8" t="str">
        <x:v>Depunere / eligibilitate</x:v>
      </x:c>
      <x:c r="D531" s="12" t="str"/>
      <x:c r="E531" s="11" t="str"/>
      <x:c r="F531" s="12" t="str"/>
      <x:c r="G531" s="11" t="str"/>
      <x:c r="H531" s="8" t="str"/>
      <x:c r="I531" s="8" t="str">
        <x:v>Document local; transmiterea individuală neconfirmată</x:v>
      </x:c>
      <x:c r="J531" s="8" t="str"/>
      <x:c r="K531" s="8" t="str">
        <x:v>Text extras; numerele din referințe sunt în coloana separată</x:v>
      </x:c>
      <x:c r="L531" s="8" t="e">
        <x:f>HYPERLINK("file:///Z:/00. Proiecte 2025/AFIR FotoVoltaic 1/3.6. Oferte/2. Albaco Exim SRL/Oferta completa Albaco Exim SRL.pdf","Deschide sursa")</x:f>
        <x:v>HYPERLINK is not implemented. linkLocation=file:///Z:/00. Proiecte 2025/AFIR FotoVoltaic 1/3.6. Oferte/2. Albaco Exim SRL/Oferta completa Albaco Exim SRL.pdf, friendlyName=Deschide sursa</x:v>
      </x:c>
    </x:row>
    <x:row r="532" ht="64" customHeight="1">
      <x:c r="A532" s="8" t="str">
        <x:v>F0924</x:v>
      </x:c>
      <x:c r="B532" s="8" t="str">
        <x:v>Solicitare oferta Albaco Exim SRL.docx</x:v>
      </x:c>
      <x:c r="C532" s="8" t="str">
        <x:v>Depunere / eligibilitate</x:v>
      </x:c>
      <x:c r="D532" s="12" t="str">
        <x:v>01</x:v>
      </x:c>
      <x:c r="E532" s="11" t="n">
        <x:v>45296</x:v>
      </x:c>
      <x:c r="F532" s="12" t="str"/>
      <x:c r="G532" s="11" t="str"/>
      <x:c r="H532" s="8" t="str"/>
      <x:c r="I532" s="8" t="str">
        <x:v>Document local; transmiterea individuală neconfirmată</x:v>
      </x:c>
      <x:c r="J532" s="8" t="str">
        <x:v>Nr. 01/05.01.2024
nregistrare: | 45050734
nr. 5, Alba Iulia, jud. Alba
nr. 46, loc. Oarda, jud. Alba</x:v>
      </x:c>
      <x:c r="K532" s="8" t="str">
        <x:v>Text extras; numerele din referințe sunt în coloana separată</x:v>
      </x:c>
      <x:c r="L532" s="8" t="e">
        <x:f>HYPERLINK("file:///Z:/00. Proiecte 2025/AFIR FotoVoltaic 1/3.6. Oferte/2. Albaco Exim SRL/Solicitare oferta Albaco Exim SRL.docx","Deschide sursa")</x:f>
        <x:v>HYPERLINK is not implemented. linkLocation=file:///Z:/00. Proiecte 2025/AFIR FotoVoltaic 1/3.6. Oferte/2. Albaco Exim SRL/Solicitare oferta Albaco Exim SRL.docx, friendlyName=Deschide sursa</x:v>
      </x:c>
    </x:row>
    <x:row r="533" ht="78" customHeight="1">
      <x:c r="A533" s="8" t="str">
        <x:v>F0925</x:v>
      </x:c>
      <x:c r="B533" s="8" t="str">
        <x:v>Declaratie conflict de interese Energotehnica SRL.docx</x:v>
      </x:c>
      <x:c r="C533" s="8" t="str">
        <x:v>Depunere / eligibilitate</x:v>
      </x:c>
      <x:c r="D533" s="12" t="str"/>
      <x:c r="E533" s="11" t="str"/>
      <x:c r="F533" s="12" t="str"/>
      <x:c r="G533" s="11" t="str"/>
      <x:c r="H533" s="8" t="str"/>
      <x:c r="I533" s="8" t="str">
        <x:v>Document local; transmiterea individuală neconfirmată</x:v>
      </x:c>
      <x:c r="J533" s="8" t="str">
        <x:v>Nr. OFR-ENG-240018/13.01.2024
nr. 502790, CNP 1590210323911, deținând funcția de Administrator în cadrul Energotehnica SRL, declar pe proprie răspundere sub sancțiunea de fals și uz de fals în
nregistrare: | 45050734
nr. 5, Alba Iulia, jud. Alba</x:v>
      </x:c>
      <x:c r="K533" s="8" t="str">
        <x:v>Text extras; numerele din referințe sunt în coloana separată</x:v>
      </x:c>
      <x:c r="L533" s="8" t="e">
        <x:f>HYPERLINK("file:///Z:/00. Proiecte 2025/AFIR FotoVoltaic 1/3.6. Oferte/3. Energotehnica SRL/Declaratie conflict de interese Energotehnica SRL.docx","Deschide sursa")</x:f>
        <x:v>HYPERLINK is not implemented. linkLocation=file:///Z:/00. Proiecte 2025/AFIR FotoVoltaic 1/3.6. Oferte/3. Energotehnica SRL/Declaratie conflict de interese Energotehnica SRL.docx, friendlyName=Deschide sursa</x:v>
      </x:c>
    </x:row>
    <x:row r="534" ht="36" customHeight="1">
      <x:c r="A534" s="8" t="str">
        <x:v>F0926</x:v>
      </x:c>
      <x:c r="B534" s="8" t="str">
        <x:v>Declaratie conflict de interese Energotehnica SRL.pdf</x:v>
      </x:c>
      <x:c r="C534" s="8" t="str">
        <x:v>Depunere / eligibilitate</x:v>
      </x:c>
      <x:c r="D534" s="12" t="str"/>
      <x:c r="E534" s="11" t="str"/>
      <x:c r="F534" s="12" t="str"/>
      <x:c r="G534" s="11" t="str"/>
      <x:c r="H534" s="8" t="str"/>
      <x:c r="I534" s="8" t="str">
        <x:v>Document local; transmiterea individuală neconfirmată</x:v>
      </x:c>
      <x:c r="J534" s="8" t="str"/>
      <x:c r="K534" s="8" t="str">
        <x:v>Text extras; numerele din referințe sunt în coloana separată</x:v>
      </x:c>
      <x:c r="L534" s="8" t="e">
        <x:f>HYPERLINK("file:///Z:/00. Proiecte 2025/AFIR FotoVoltaic 1/3.6. Oferte/3. Energotehnica SRL/Declaratie conflict de interese Energotehnica SRL.pdf","Deschide sursa")</x:f>
        <x:v>HYPERLINK is not implemented. linkLocation=file:///Z:/00. Proiecte 2025/AFIR FotoVoltaic 1/3.6. Oferte/3. Energotehnica SRL/Declaratie conflict de interese Energotehnica SRL.pdf, friendlyName=Deschide sursa</x:v>
      </x:c>
    </x:row>
    <x:row r="535" ht="36" customHeight="1">
      <x:c r="A535" s="8" t="str">
        <x:v>F0927</x:v>
      </x:c>
      <x:c r="B535" s="8" t="str">
        <x:v>Oferta completa Energotehnica SRL.pdf</x:v>
      </x:c>
      <x:c r="C535" s="8" t="str">
        <x:v>Depunere / eligibilitate</x:v>
      </x:c>
      <x:c r="D535" s="12" t="str"/>
      <x:c r="E535" s="11" t="str"/>
      <x:c r="F535" s="12" t="str"/>
      <x:c r="G535" s="11" t="str"/>
      <x:c r="H535" s="8" t="str"/>
      <x:c r="I535" s="8" t="str">
        <x:v>Document local; transmiterea individuală neconfirmată</x:v>
      </x:c>
      <x:c r="J535" s="8" t="str"/>
      <x:c r="K535" s="8" t="str">
        <x:v>Text extras; numerele din referințe sunt în coloana separată</x:v>
      </x:c>
      <x:c r="L535" s="8" t="e">
        <x:f>HYPERLINK("file:///Z:/00. Proiecte 2025/AFIR FotoVoltaic 1/3.6. Oferte/3. Energotehnica SRL/Oferta completa Energotehnica SRL.pdf","Deschide sursa")</x:f>
        <x:v>HYPERLINK is not implemented. linkLocation=file:///Z:/00. Proiecte 2025/AFIR FotoVoltaic 1/3.6. Oferte/3. Energotehnica SRL/Oferta completa Energotehnica SRL.pdf, friendlyName=Deschide sursa</x:v>
      </x:c>
    </x:row>
    <x:row r="536" ht="36" customHeight="1">
      <x:c r="A536" s="8" t="str">
        <x:v>F0928</x:v>
      </x:c>
      <x:c r="B536" s="8" t="str">
        <x:v>Oferta Energotehnica SRL.docx</x:v>
      </x:c>
      <x:c r="C536" s="8" t="str">
        <x:v>Depunere / eligibilitate</x:v>
      </x:c>
      <x:c r="D536" s="12" t="str"/>
      <x:c r="E536" s="11" t="str"/>
      <x:c r="F536" s="12" t="str"/>
      <x:c r="G536" s="11" t="str"/>
      <x:c r="H536" s="8" t="str"/>
      <x:c r="I536" s="8" t="str">
        <x:v>Document local; transmiterea individuală neconfirmată</x:v>
      </x:c>
      <x:c r="J536" s="8" t="str"/>
      <x:c r="K536" s="8" t="str">
        <x:v>Text extras; numerele din referințe sunt în coloana separată</x:v>
      </x:c>
      <x:c r="L536" s="8" t="e">
        <x:f>HYPERLINK("file:///Z:/00. Proiecte 2025/AFIR FotoVoltaic 1/3.6. Oferte/3. Energotehnica SRL/Oferta Energotehnica SRL.docx","Deschide sursa")</x:f>
        <x:v>HYPERLINK is not implemented. linkLocation=file:///Z:/00. Proiecte 2025/AFIR FotoVoltaic 1/3.6. Oferte/3. Energotehnica SRL/Oferta Energotehnica SRL.docx, friendlyName=Deschide sursa</x:v>
      </x:c>
    </x:row>
    <x:row r="537" ht="36" customHeight="1">
      <x:c r="A537" s="8" t="str">
        <x:v>F0929</x:v>
      </x:c>
      <x:c r="B537" s="8" t="str">
        <x:v>Oferta Energotehnica SRL.pdf</x:v>
      </x:c>
      <x:c r="C537" s="8" t="str">
        <x:v>Depunere / eligibilitate</x:v>
      </x:c>
      <x:c r="D537" s="12" t="str"/>
      <x:c r="E537" s="11" t="str"/>
      <x:c r="F537" s="12" t="str"/>
      <x:c r="G537" s="11" t="str"/>
      <x:c r="H537" s="8" t="str"/>
      <x:c r="I537" s="8" t="str">
        <x:v>Document local; transmiterea individuală neconfirmată</x:v>
      </x:c>
      <x:c r="J537" s="8" t="str"/>
      <x:c r="K537" s="8" t="str">
        <x:v>Text extras; numerele din referințe sunt în coloana separată</x:v>
      </x:c>
      <x:c r="L537" s="8" t="e">
        <x:f>HYPERLINK("file:///Z:/00. Proiecte 2025/AFIR FotoVoltaic 1/3.6. Oferte/3. Energotehnica SRL/Oferta Energotehnica SRL.pdf","Deschide sursa")</x:f>
        <x:v>HYPERLINK is not implemented. linkLocation=file:///Z:/00. Proiecte 2025/AFIR FotoVoltaic 1/3.6. Oferte/3. Energotehnica SRL/Oferta Energotehnica SRL.pdf, friendlyName=Deschide sursa</x:v>
      </x:c>
    </x:row>
    <x:row r="538" ht="64" customHeight="1">
      <x:c r="A538" s="8" t="str">
        <x:v>F0930</x:v>
      </x:c>
      <x:c r="B538" s="8" t="str">
        <x:v>Solicitare oferta Energotehnica SRL.docx</x:v>
      </x:c>
      <x:c r="C538" s="8" t="str">
        <x:v>Depunere / eligibilitate</x:v>
      </x:c>
      <x:c r="D538" s="12" t="str">
        <x:v>03</x:v>
      </x:c>
      <x:c r="E538" s="11" t="n">
        <x:v>45296</x:v>
      </x:c>
      <x:c r="F538" s="12" t="str"/>
      <x:c r="G538" s="11" t="str"/>
      <x:c r="H538" s="8" t="str"/>
      <x:c r="I538" s="8" t="str">
        <x:v>Document local; transmiterea individuală neconfirmată</x:v>
      </x:c>
      <x:c r="J538" s="8" t="str">
        <x:v>Nr. 03/05.01.2024
nregistrare: | 45050734
nr. 5, Alba Iulia, jud. Alba
nr. 1, et. 1, ap. Birou 1, loc. Sibiu, jud. Sibiu</x:v>
      </x:c>
      <x:c r="K538" s="8" t="str">
        <x:v>Text extras; numerele din referințe sunt în coloana separată</x:v>
      </x:c>
      <x:c r="L538" s="8" t="e">
        <x:f>HYPERLINK("file:///Z:/00. Proiecte 2025/AFIR FotoVoltaic 1/3.6. Oferte/3. Energotehnica SRL/Solicitare oferta Energotehnica SRL.docx","Deschide sursa")</x:f>
        <x:v>HYPERLINK is not implemented. linkLocation=file:///Z:/00. Proiecte 2025/AFIR FotoVoltaic 1/3.6. Oferte/3. Energotehnica SRL/Solicitare oferta Energotehnica SRL.docx, friendlyName=Deschide sursa</x:v>
      </x:c>
    </x:row>
    <x:row r="539" ht="36" customHeight="1">
      <x:c r="A539" s="8" t="str">
        <x:v>F0931</x:v>
      </x:c>
      <x:c r="B539" s="8" t="str">
        <x:v>Certificat constatator Suntree Solar Tech SRL.pdf</x:v>
      </x:c>
      <x:c r="C539" s="8" t="str">
        <x:v>Depunere / eligibilitate</x:v>
      </x:c>
      <x:c r="D539" s="12" t="str"/>
      <x:c r="E539" s="11" t="str"/>
      <x:c r="F539" s="12" t="str"/>
      <x:c r="G539" s="11" t="str"/>
      <x:c r="H539" s="8" t="str"/>
      <x:c r="I539" s="8" t="str">
        <x:v>Document local; transmiterea individuală neconfirmată</x:v>
      </x:c>
      <x:c r="J539" s="8" t="str"/>
      <x:c r="K539" s="8" t="str">
        <x:v>Text extras; numerele din referințe sunt în coloana separată</x:v>
      </x:c>
      <x:c r="L539" s="8" t="e">
        <x:f>HYPERLINK("file:///Z:/00. Proiecte 2025/AFIR FotoVoltaic 1/3.6. Oferte/1. Suntree Solar Tech SRL/Anexe/Acte societate/Certificat constatator Suntree Solar Tech SRL.pdf","Deschide sursa")</x:f>
        <x:v>HYPERLINK is not implemented. linkLocation=file:///Z:/00. Proiecte 2025/AFIR FotoVoltaic 1/3.6. Oferte/1. Suntree Solar Tech SRL/Anexe/Acte societate/Certificat constatator Suntree Solar Tech SRL.pdf, friendlyName=Deschide sursa</x:v>
      </x:c>
    </x:row>
    <x:row r="540" ht="36" customHeight="1">
      <x:c r="A540" s="8" t="str">
        <x:v>F0932</x:v>
      </x:c>
      <x:c r="B540" s="8" t="str">
        <x:v>Certificat de inregistrare Suntree Solar Tech SRL.pdf</x:v>
      </x:c>
      <x:c r="C540" s="8" t="str">
        <x:v>Depunere / eligibilitate</x:v>
      </x:c>
      <x:c r="D540" s="12" t="str"/>
      <x:c r="E540" s="11" t="str"/>
      <x:c r="F540" s="12" t="str"/>
      <x:c r="G540" s="11" t="str"/>
      <x:c r="H540" s="8" t="str"/>
      <x:c r="I540" s="8" t="str">
        <x:v>Document local; transmiterea individuală neconfirmată</x:v>
      </x:c>
      <x:c r="J540" s="8" t="str"/>
      <x:c r="K540" s="8" t="str">
        <x:v>Text extras; numerele din referințe sunt în coloana separată</x:v>
      </x:c>
      <x:c r="L540" s="8" t="e">
        <x:f>HYPERLINK("file:///Z:/00. Proiecte 2025/AFIR FotoVoltaic 1/3.6. Oferte/1. Suntree Solar Tech SRL/Anexe/Acte societate/Certificat de inregistrare Suntree Solar Tech SRL.pdf","Deschide sursa")</x:f>
        <x:v>HYPERLINK is not implemented. linkLocation=file:///Z:/00. Proiecte 2025/AFIR FotoVoltaic 1/3.6. Oferte/1. Suntree Solar Tech SRL/Anexe/Acte societate/Certificat de inregistrare Suntree Solar Tech SRL.pdf, friendlyName=Deschide sursa</x:v>
      </x:c>
    </x:row>
    <x:row r="541" ht="36" customHeight="1">
      <x:c r="A541" s="8" t="str">
        <x:v>F0935</x:v>
      </x:c>
      <x:c r="B541" s="8" t="str">
        <x:v>SUN2000-10KTL-M1.pdf</x:v>
      </x:c>
      <x:c r="C541" s="8" t="str">
        <x:v>Depunere / eligibilitate</x:v>
      </x:c>
      <x:c r="D541" s="12" t="str"/>
      <x:c r="E541" s="11" t="str"/>
      <x:c r="F541" s="12" t="str"/>
      <x:c r="G541" s="11" t="str"/>
      <x:c r="H541" s="8" t="str"/>
      <x:c r="I541" s="8" t="str">
        <x:v>Document local; transmiterea individuală neconfirmată</x:v>
      </x:c>
      <x:c r="J541" s="8" t="str"/>
      <x:c r="K541" s="8" t="str">
        <x:v>Text extras; numerele din referințe sunt în coloana separată</x:v>
      </x:c>
      <x:c r="L541" s="8" t="e">
        <x:f>HYPERLINK("file:///Z:/00. Proiecte 2025/AFIR FotoVoltaic 1/3.6. Oferte/1. Suntree Solar Tech SRL/Anexe/Fise tehnice echipamente ofertate/SUN2000-10KTL-M1.pdf","Deschide sursa")</x:f>
        <x:v>HYPERLINK is not implemented. linkLocation=file:///Z:/00. Proiecte 2025/AFIR FotoVoltaic 1/3.6. Oferte/1. Suntree Solar Tech SRL/Anexe/Fise tehnice echipamente ofertate/SUN2000-10KTL-M1.pdf, friendlyName=Deschide sursa</x:v>
      </x:c>
    </x:row>
    <x:row r="542" ht="36" customHeight="1">
      <x:c r="A542" s="8" t="str">
        <x:v>F0939</x:v>
      </x:c>
      <x:c r="B542" s="8" t="str">
        <x:v>Certificat constatator Albaco Exim SRL.pdf</x:v>
      </x:c>
      <x:c r="C542" s="8" t="str">
        <x:v>Depunere / eligibilitate</x:v>
      </x:c>
      <x:c r="D542" s="12" t="str"/>
      <x:c r="E542" s="11" t="str"/>
      <x:c r="F542" s="12" t="str"/>
      <x:c r="G542" s="11" t="str"/>
      <x:c r="H542" s="8" t="str"/>
      <x:c r="I542" s="8" t="str">
        <x:v>Document local; transmiterea individuală neconfirmată</x:v>
      </x:c>
      <x:c r="J542" s="8" t="str"/>
      <x:c r="K542" s="8" t="str">
        <x:v>Text extras; numerele din referințe sunt în coloana separată</x:v>
      </x:c>
      <x:c r="L542" s="8" t="e">
        <x:f>HYPERLINK("file:///Z:/00. Proiecte 2025/AFIR FotoVoltaic 1/3.6. Oferte/2. Albaco Exim SRL/Anexe/Acte societate/Certificat constatator Albaco Exim SRL.pdf","Deschide sursa")</x:f>
        <x:v>HYPERLINK is not implemented. linkLocation=file:///Z:/00. Proiecte 2025/AFIR FotoVoltaic 1/3.6. Oferte/2. Albaco Exim SRL/Anexe/Acte societate/Certificat constatator Albaco Exim SRL.pdf, friendlyName=Deschide sursa</x:v>
      </x:c>
    </x:row>
    <x:row r="543" ht="36" customHeight="1">
      <x:c r="A543" s="8" t="str">
        <x:v>F0940</x:v>
      </x:c>
      <x:c r="B543" s="8" t="str">
        <x:v>Certificat de inregistrare Albaco Exim SRL.pdf</x:v>
      </x:c>
      <x:c r="C543" s="8" t="str">
        <x:v>Depunere / eligibilitate</x:v>
      </x:c>
      <x:c r="D543" s="12" t="str"/>
      <x:c r="E543" s="11" t="str"/>
      <x:c r="F543" s="12" t="str"/>
      <x:c r="G543" s="11" t="str"/>
      <x:c r="H543" s="8" t="str"/>
      <x:c r="I543" s="8" t="str">
        <x:v>Document local; transmiterea individuală neconfirmată</x:v>
      </x:c>
      <x:c r="J543" s="8" t="str"/>
      <x:c r="K543" s="8" t="str">
        <x:v>Text extras; numerele din referințe sunt în coloana separată</x:v>
      </x:c>
      <x:c r="L543" s="8" t="e">
        <x:f>HYPERLINK("file:///Z:/00. Proiecte 2025/AFIR FotoVoltaic 1/3.6. Oferte/2. Albaco Exim SRL/Anexe/Acte societate/Certificat de inregistrare Albaco Exim SRL.pdf","Deschide sursa")</x:f>
        <x:v>HYPERLINK is not implemented. linkLocation=file:///Z:/00. Proiecte 2025/AFIR FotoVoltaic 1/3.6. Oferte/2. Albaco Exim SRL/Anexe/Acte societate/Certificat de inregistrare Albaco Exim SRL.pdf, friendlyName=Deschide sursa</x:v>
      </x:c>
    </x:row>
    <x:row r="544" ht="36" customHeight="1">
      <x:c r="A544" s="8" t="str">
        <x:v>F0941</x:v>
      </x:c>
      <x:c r="B544" s="8" t="str">
        <x:v>JKM570N-72HL4-BDV.pdf</x:v>
      </x:c>
      <x:c r="C544" s="8" t="str">
        <x:v>Depunere / eligibilitate</x:v>
      </x:c>
      <x:c r="D544" s="12" t="str"/>
      <x:c r="E544" s="11" t="str"/>
      <x:c r="F544" s="12" t="str"/>
      <x:c r="G544" s="11" t="str"/>
      <x:c r="H544" s="8" t="str"/>
      <x:c r="I544" s="8" t="str">
        <x:v>Document local; transmiterea individuală neconfirmată</x:v>
      </x:c>
      <x:c r="J544" s="8" t="str"/>
      <x:c r="K544" s="8" t="str">
        <x:v>Text extras; numerele din referințe sunt în coloana separată</x:v>
      </x:c>
      <x:c r="L544" s="8" t="e">
        <x:f>HYPERLINK("file:///Z:/00. Proiecte 2025/AFIR FotoVoltaic 1/3.6. Oferte/2. Albaco Exim SRL/Anexe/Fise tehnice echipamente ofertate/JKM570N-72HL4-BDV.pdf","Deschide sursa")</x:f>
        <x:v>HYPERLINK is not implemented. linkLocation=file:///Z:/00. Proiecte 2025/AFIR FotoVoltaic 1/3.6. Oferte/2. Albaco Exim SRL/Anexe/Fise tehnice echipamente ofertate/JKM570N-72HL4-BDV.pdf, friendlyName=Deschide sursa</x:v>
      </x:c>
    </x:row>
    <x:row r="545" ht="218" customHeight="1">
      <x:c r="A545" s="8" t="str">
        <x:v>F0945</x:v>
      </x:c>
      <x:c r="B545" s="8" t="str">
        <x:v>Certificat constatator Energotehnica SRL.pdf</x:v>
      </x:c>
      <x:c r="C545" s="8" t="str">
        <x:v>Depunere / eligibilitate</x:v>
      </x:c>
      <x:c r="D545" s="12" t="str"/>
      <x:c r="E545" s="11" t="str"/>
      <x:c r="F545" s="12" t="str"/>
      <x:c r="G545" s="11" t="str"/>
      <x:c r="H545" s="8" t="str">
        <x:v>23700 / 09.01.2024</x:v>
      </x:c>
      <x:c r="I545" s="8" t="str">
        <x:v>Document local; transmiterea individuală neconfirmată</x:v>
      </x:c>
      <x:c r="J545" s="8" t="str">
        <x:v>nrc.ro; E-mail: onrc@onrc.ro;Cod de Identificare Fiscala: 14942091;
Nr.: 23700/09.01.2024
nregistrată sub nr. 23700 din 09.01.2024, Oficiul Naţional al Registrului Comerţului certifică informaţiile referitoare la
NRC.J32/616/1998
nregistrare: 11050284
nregistrare: B1565550, emis pe data de 11.08.2008 si eliberat la data 13.08.2008
nr. 54312 din data 22.07.2008
nr.31/1990
nr. 800 din 12.01.2021
nregistrare este prevăzută de lege, în cel mult 15 zile de la data actelor sau producerii faptelor supuse obligaţiei de înregistrare.
nregistrarea menţiunilor se poate face şi la cererea persoanelor interesate, în cazurile prevăzute de lege, în termen de cel mult 30 de zile de la data la
nr. 679/2016 privind</x:v>
      </x:c>
      <x:c r="K545" s="8" t="str">
        <x:v>Text extras; numerele din referințe sunt în coloana separată</x:v>
      </x:c>
      <x:c r="L545" s="8" t="e">
        <x:f>HYPERLINK("file:///Z:/00. Proiecte 2025/AFIR FotoVoltaic 1/3.6. Oferte/3. Energotehnica SRL/Anexe/Acte societate/Certificat constatator Energotehnica SRL.pdf","Deschide sursa")</x:f>
        <x:v>HYPERLINK is not implemented. linkLocation=file:///Z:/00. Proiecte 2025/AFIR FotoVoltaic 1/3.6. Oferte/3. Energotehnica SRL/Anexe/Acte societate/Certificat constatator Energotehnica SRL.pdf, friendlyName=Deschide sursa</x:v>
      </x:c>
    </x:row>
    <x:row r="546" ht="36" customHeight="1">
      <x:c r="A546" s="8" t="str">
        <x:v>F0946</x:v>
      </x:c>
      <x:c r="B546" s="8" t="str">
        <x:v>Certificat de inregsitrare Energotehnica SRL.pdf</x:v>
      </x:c>
      <x:c r="C546" s="8" t="str">
        <x:v>Depunere / eligibilitate</x:v>
      </x:c>
      <x:c r="D546" s="12" t="str"/>
      <x:c r="E546" s="11" t="str"/>
      <x:c r="F546" s="12" t="str"/>
      <x:c r="G546" s="11" t="str"/>
      <x:c r="H546" s="8" t="str"/>
      <x:c r="I546" s="8" t="str">
        <x:v>Document local; transmiterea individuală neconfirmată</x:v>
      </x:c>
      <x:c r="J546" s="8" t="str"/>
      <x:c r="K546" s="8" t="str">
        <x:v>Text extras; numerele din referințe sunt în coloana separată</x:v>
      </x:c>
      <x:c r="L546" s="8" t="e">
        <x:f>HYPERLINK("file:///Z:/00. Proiecte 2025/AFIR FotoVoltaic 1/3.6. Oferte/3. Energotehnica SRL/Anexe/Acte societate/Certificat de inregsitrare Energotehnica SRL.pdf","Deschide sursa")</x:f>
        <x:v>HYPERLINK is not implemented. linkLocation=file:///Z:/00. Proiecte 2025/AFIR FotoVoltaic 1/3.6. Oferte/3. Energotehnica SRL/Anexe/Acte societate/Certificat de inregsitrare Energotehnica SRL.pdf, friendlyName=Deschide sursa</x:v>
      </x:c>
    </x:row>
    <x:row r="547" ht="36" customHeight="1">
      <x:c r="A547" s="8" t="str">
        <x:v>F0951</x:v>
      </x:c>
      <x:c r="B547" s="8" t="str">
        <x:v>Deviz General 1 MW.xlsx</x:v>
      </x:c>
      <x:c r="C547" s="8" t="str">
        <x:v>Depunere / eligibilitate</x:v>
      </x:c>
      <x:c r="D547" s="12" t="str"/>
      <x:c r="E547" s="11" t="str"/>
      <x:c r="F547" s="12" t="str"/>
      <x:c r="G547" s="11" t="str"/>
      <x:c r="H547" s="8" t="str"/>
      <x:c r="I547" s="8" t="str">
        <x:v>Versiune de lucru / arhivă</x:v>
      </x:c>
      <x:c r="J547" s="8" t="str"/>
      <x:c r="K547" s="8" t="str">
        <x:v>Necesită citire vizuală / OCR / formular XFA</x:v>
      </x:c>
      <x:c r="L547" s="8" t="e">
        <x:f>HYPERLINK("file:///Z:/00. Proiecte 2025/AFIR FotoVoltaic 1/3.7. Memoriu Tehnic &amp; Justificativ/Arhiva/Deviz General 1 MW.xlsx","Deschide sursa")</x:f>
        <x:v>HYPERLINK is not implemented. linkLocation=file:///Z:/00. Proiecte 2025/AFIR FotoVoltaic 1/3.7. Memoriu Tehnic &amp; Justificativ/Arhiva/Deviz General 1 MW.xlsx, friendlyName=Deschide sursa</x:v>
      </x:c>
    </x:row>
    <x:row r="548" ht="36" customHeight="1">
      <x:c r="A548" s="8" t="str">
        <x:v>F0952</x:v>
      </x:c>
      <x:c r="B548" s="8" t="str">
        <x:v>Deviz impecabil facut de Nicos.docx</x:v>
      </x:c>
      <x:c r="C548" s="8" t="str">
        <x:v>Depunere / eligibilitate</x:v>
      </x:c>
      <x:c r="D548" s="12" t="str"/>
      <x:c r="E548" s="11" t="str"/>
      <x:c r="F548" s="12" t="str"/>
      <x:c r="G548" s="11" t="str"/>
      <x:c r="H548" s="8" t="str"/>
      <x:c r="I548" s="8" t="str">
        <x:v>Versiune de lucru / arhivă</x:v>
      </x:c>
      <x:c r="J548" s="8" t="str"/>
      <x:c r="K548" s="8" t="str">
        <x:v>Text extras; numerele din referințe sunt în coloana separată</x:v>
      </x:c>
      <x:c r="L548" s="8" t="e">
        <x:f>HYPERLINK("file:///Z:/00. Proiecte 2025/AFIR FotoVoltaic 1/3.7. Memoriu Tehnic &amp; Justificativ/Arhiva/Deviz impecabil facut de Nicos.docx","Deschide sursa")</x:f>
        <x:v>HYPERLINK is not implemented. linkLocation=file:///Z:/00. Proiecte 2025/AFIR FotoVoltaic 1/3.7. Memoriu Tehnic &amp; Justificativ/Arhiva/Deviz impecabil facut de Nicos.docx, friendlyName=Deschide sursa</x:v>
      </x:c>
    </x:row>
    <x:row r="549" ht="36" customHeight="1">
      <x:c r="A549" s="8" t="str">
        <x:v>F0953</x:v>
      </x:c>
      <x:c r="B549" s="8" t="str">
        <x:v>DOCX Document nou.docx</x:v>
      </x:c>
      <x:c r="C549" s="8" t="str">
        <x:v>Depunere / eligibilitate</x:v>
      </x:c>
      <x:c r="D549" s="12" t="str"/>
      <x:c r="E549" s="11" t="str"/>
      <x:c r="F549" s="12" t="str"/>
      <x:c r="G549" s="11" t="str"/>
      <x:c r="H549" s="8" t="str"/>
      <x:c r="I549" s="8" t="str">
        <x:v>Versiune de lucru / arhivă</x:v>
      </x:c>
      <x:c r="J549" s="8" t="str">
        <x:v>NR 1818
NR 1754</x:v>
      </x:c>
      <x:c r="K549" s="8" t="str">
        <x:v>Text extras; numerele din referințe sunt în coloana separată</x:v>
      </x:c>
      <x:c r="L549" s="8" t="e">
        <x:f>HYPERLINK("file:///Z:/00. Proiecte 2025/AFIR FotoVoltaic 1/3.7. Memoriu Tehnic &amp; Justificativ/Arhiva/DOCX Document nou.docx","Deschide sursa")</x:f>
        <x:v>HYPERLINK is not implemented. linkLocation=file:///Z:/00. Proiecte 2025/AFIR FotoVoltaic 1/3.7. Memoriu Tehnic &amp; Justificativ/Arhiva/DOCX Document nou.docx, friendlyName=Deschide sursa</x:v>
      </x:c>
    </x:row>
    <x:row r="550" ht="36" customHeight="1">
      <x:c r="A550" s="8" t="str">
        <x:v>F0954</x:v>
      </x:c>
      <x:c r="B550" s="8" t="str">
        <x:v>Exemplu deviz.docx</x:v>
      </x:c>
      <x:c r="C550" s="8" t="str">
        <x:v>Depunere / eligibilitate</x:v>
      </x:c>
      <x:c r="D550" s="12" t="str"/>
      <x:c r="E550" s="11" t="str"/>
      <x:c r="F550" s="12" t="str"/>
      <x:c r="G550" s="11" t="str"/>
      <x:c r="H550" s="8" t="str"/>
      <x:c r="I550" s="8" t="str">
        <x:v>Versiune de lucru / arhivă</x:v>
      </x:c>
      <x:c r="J550" s="8" t="str"/>
      <x:c r="K550" s="8" t="str">
        <x:v>Text extras; numerele din referințe sunt în coloana separată</x:v>
      </x:c>
      <x:c r="L550" s="8" t="e">
        <x:f>HYPERLINK("file:///Z:/00. Proiecte 2025/AFIR FotoVoltaic 1/3.7. Memoriu Tehnic &amp; Justificativ/Arhiva/Exemplu deviz.docx","Deschide sursa")</x:f>
        <x:v>HYPERLINK is not implemented. linkLocation=file:///Z:/00. Proiecte 2025/AFIR FotoVoltaic 1/3.7. Memoriu Tehnic &amp; Justificativ/Arhiva/Exemplu deviz.docx, friendlyName=Deschide sursa</x:v>
      </x:c>
    </x:row>
    <x:row r="551" ht="36" customHeight="1">
      <x:c r="A551" s="8" t="str">
        <x:v>F0955</x:v>
      </x:c>
      <x:c r="B551" s="8" t="str">
        <x:v>Memoriu Justificativ 26.01.2024.docx</x:v>
      </x:c>
      <x:c r="C551" s="8" t="str">
        <x:v>Depunere / eligibilitate</x:v>
      </x:c>
      <x:c r="D551" s="12" t="str"/>
      <x:c r="E551" s="11" t="str"/>
      <x:c r="F551" s="12" t="str"/>
      <x:c r="G551" s="11" t="str"/>
      <x:c r="H551" s="8" t="str"/>
      <x:c r="I551" s="8" t="str">
        <x:v>Versiune de lucru / arhivă</x:v>
      </x:c>
      <x:c r="J551" s="8" t="str"/>
      <x:c r="K551" s="8" t="str">
        <x:v>Text extras; numerele din referințe sunt în coloana separată</x:v>
      </x:c>
      <x:c r="L551" s="8" t="e">
        <x:f>HYPERLINK("file:///Z:/00. Proiecte 2025/AFIR FotoVoltaic 1/3.7. Memoriu Tehnic &amp; Justificativ/Arhiva/Memoriu Justificativ 26.01.2024.docx","Deschide sursa")</x:f>
        <x:v>HYPERLINK is not implemented. linkLocation=file:///Z:/00. Proiecte 2025/AFIR FotoVoltaic 1/3.7. Memoriu Tehnic &amp; Justificativ/Arhiva/Memoriu Justificativ 26.01.2024.docx, friendlyName=Deschide sursa</x:v>
      </x:c>
    </x:row>
    <x:row r="552" ht="148" customHeight="1">
      <x:c r="A552" s="8" t="str">
        <x:v>F0956</x:v>
      </x:c>
      <x:c r="B552" s="8" t="str">
        <x:v>Memoriu Tehnic &amp; Justificativ 28.01.2024 (AutoRecovered).docx</x:v>
      </x:c>
      <x:c r="C552" s="8" t="str">
        <x:v>Depunere / eligibilitate</x:v>
      </x:c>
      <x:c r="D552" s="12" t="str"/>
      <x:c r="E552" s="11" t="str"/>
      <x:c r="F552" s="12" t="str"/>
      <x:c r="G552" s="11" t="str"/>
      <x:c r="H552" s="8" t="str"/>
      <x:c r="I552" s="8" t="str">
        <x:v>Versiune de lucru / arhivă</x:v>
      </x:c>
      <x:c r="J552" s="8" t="str">
        <x:v>nr. 60/2022 privind stabilirea cadrului instituțional și financiar de implementare și gestionare a fondurilor alocate României prin Fondul pentru modernizare, prec
nr. 1.076/2021;
nr. 401/2009 și (UE) 2018/1999 ("Legea europeană a climei"), referitor la asigurarea, până cel târziu în 2050, a unui echilibru la nivelul Uniunii între emisiile ș
Nr. 58300 Sighisoara
Nr. 96, Jud. Mures
Nr. Niveluri – 2, Suprafata construita 9758 mp
NRE pentru anul 2021/2022, după caz.
NRE pentru fiecare MWh din surse fosile este 0,6119 tone CO2/MWh.</x:v>
      </x:c>
      <x:c r="K552" s="8" t="str">
        <x:v>Text extras; numerele din referințe sunt în coloana separată</x:v>
      </x:c>
      <x:c r="L552" s="8" t="e">
        <x:f>HYPERLINK("file:///Z:/00. Proiecte 2025/AFIR FotoVoltaic 1/3.7. Memoriu Tehnic &amp; Justificativ/Arhiva/Memoriu Tehnic &amp; Justificativ 28.01.2024 (AutoRecovered).docx","Deschide sursa")</x:f>
        <x:v>HYPERLINK is not implemented. linkLocation=file:///Z:/00. Proiecte 2025/AFIR FotoVoltaic 1/3.7. Memoriu Tehnic &amp; Justificativ/Arhiva/Memoriu Tehnic &amp; Justificativ 28.01.2024 (AutoRecovered).docx, friendlyName=Deschide sursa</x:v>
      </x:c>
    </x:row>
    <x:row r="553" ht="148" customHeight="1">
      <x:c r="A553" s="8" t="str">
        <x:v>F0957</x:v>
      </x:c>
      <x:c r="B553" s="8" t="str">
        <x:v>Memoriu Tehnic &amp; Justificativ 28.01.2024.docx</x:v>
      </x:c>
      <x:c r="C553" s="8" t="str">
        <x:v>Depunere / eligibilitate</x:v>
      </x:c>
      <x:c r="D553" s="12" t="str"/>
      <x:c r="E553" s="11" t="str"/>
      <x:c r="F553" s="12" t="str"/>
      <x:c r="G553" s="11" t="str"/>
      <x:c r="H553" s="8" t="str"/>
      <x:c r="I553" s="8" t="str">
        <x:v>Versiune de lucru / arhivă</x:v>
      </x:c>
      <x:c r="J553" s="8" t="str">
        <x:v>nr. 60/2022 privind stabilirea cadrului instituțional și financiar de implementare și gestionare a fondurilor alocate României prin Fondul pentru modernizare, prec
nr. 1.076/2021;
nr. 401/2009 și (UE) 2018/1999 ("Legea europeană a climei"), referitor la asigurarea, până cel târziu în 2050, a unui echilibru la nivelul Uniunii între emisiile ș
Nr. 58300 Sighisoara
Nr. 96, Jud. Mures
Nr. Niveluri – 2, Suprafata construita 9758 mp
NRE pentru anul 2021/2022, după caz.
NRE pentru fiecare MWh din surse fosile este 0,6119 tone CO2/MWh.</x:v>
      </x:c>
      <x:c r="K553" s="8" t="str">
        <x:v>Text extras; numerele din referințe sunt în coloana separată</x:v>
      </x:c>
      <x:c r="L553" s="8" t="e">
        <x:f>HYPERLINK("file:///Z:/00. Proiecte 2025/AFIR FotoVoltaic 1/3.7. Memoriu Tehnic &amp; Justificativ/Arhiva/Memoriu Tehnic &amp; Justificativ 28.01.2024.docx","Deschide sursa")</x:f>
        <x:v>HYPERLINK is not implemented. linkLocation=file:///Z:/00. Proiecte 2025/AFIR FotoVoltaic 1/3.7. Memoriu Tehnic &amp; Justificativ/Arhiva/Memoriu Tehnic &amp; Justificativ 28.01.2024.docx, friendlyName=Deschide sursa</x:v>
      </x:c>
    </x:row>
    <x:row r="554" ht="148" customHeight="1">
      <x:c r="A554" s="8" t="str">
        <x:v>F0958</x:v>
      </x:c>
      <x:c r="B554" s="8" t="str">
        <x:v>Memoriu Tehnic 26.01.2024.docx</x:v>
      </x:c>
      <x:c r="C554" s="8" t="str">
        <x:v>Depunere / eligibilitate</x:v>
      </x:c>
      <x:c r="D554" s="12" t="str"/>
      <x:c r="E554" s="11" t="str"/>
      <x:c r="F554" s="12" t="str"/>
      <x:c r="G554" s="11" t="str"/>
      <x:c r="H554" s="8" t="str"/>
      <x:c r="I554" s="8" t="str">
        <x:v>Versiune de lucru / arhivă</x:v>
      </x:c>
      <x:c r="J554" s="8" t="str">
        <x:v>nr. 60/2022 privind stabilirea cadrului instituțional și financiar de implementare și gestionare a fondurilor alocate României prin Fondul pentru modernizare, prec
nr. 1.076/2021;
nr. 401/2009 și (UE) 2018/1999 ("Legea europeană a climei"), referitor la asigurarea, până cel târziu în 2050, a unui echilibru la nivelul Uniunii între emisiile ș
Nr. 58300 Sighisoara
Nr. 96, Jud. Mures
Nr. Niveluri – 2, Suprafata construita 9758 mp
NRE pentru anul 2021/2022, după caz.
NRE pentru fiecare MWh din surse fosile este 0,6119 tone CO2/MWh.</x:v>
      </x:c>
      <x:c r="K554" s="8" t="str">
        <x:v>Text extras; numerele din referințe sunt în coloana separată</x:v>
      </x:c>
      <x:c r="L554" s="8" t="e">
        <x:f>HYPERLINK("file:///Z:/00. Proiecte 2025/AFIR FotoVoltaic 1/3.7. Memoriu Tehnic &amp; Justificativ/Arhiva/Memoriu Tehnic 26.01.2024.docx","Deschide sursa")</x:f>
        <x:v>HYPERLINK is not implemented. linkLocation=file:///Z:/00. Proiecte 2025/AFIR FotoVoltaic 1/3.7. Memoriu Tehnic &amp; Justificativ/Arhiva/Memoriu Tehnic 26.01.2024.docx, friendlyName=Deschide sursa</x:v>
      </x:c>
    </x:row>
    <x:row r="555" ht="148" customHeight="1">
      <x:c r="A555" s="8" t="str">
        <x:v>F0959</x:v>
      </x:c>
      <x:c r="B555" s="8" t="str">
        <x:v>Memoriu Tehnic 27.01.2024.docx</x:v>
      </x:c>
      <x:c r="C555" s="8" t="str">
        <x:v>Depunere / eligibilitate</x:v>
      </x:c>
      <x:c r="D555" s="12" t="str"/>
      <x:c r="E555" s="11" t="str"/>
      <x:c r="F555" s="12" t="str"/>
      <x:c r="G555" s="11" t="str"/>
      <x:c r="H555" s="8" t="str"/>
      <x:c r="I555" s="8" t="str">
        <x:v>Versiune de lucru / arhivă</x:v>
      </x:c>
      <x:c r="J555" s="8" t="str">
        <x:v>nr. 60/2022 privind stabilirea cadrului instituțional și financiar de implementare și gestionare a fondurilor alocate României prin Fondul pentru modernizare, prec
nr. 1.076/2021;
nr. 401/2009 și (UE) 2018/1999 ("Legea europeană a climei"), referitor la asigurarea, până cel târziu în 2050, a unui echilibru la nivelul Uniunii între emisiile ș
Nr. 58300 Sighisoara
Nr. 96, Jud. Mures
Nr. Niveluri – 2, Suprafata construita 9758 mp
NRE pentru anul 2021/2022, după caz.
NRE pentru fiecare MWh din surse fosile este 0,6119 tone CO2/MWh.</x:v>
      </x:c>
      <x:c r="K555" s="8" t="str">
        <x:v>Text extras; numerele din referințe sunt în coloana separată</x:v>
      </x:c>
      <x:c r="L555" s="8" t="e">
        <x:f>HYPERLINK("file:///Z:/00. Proiecte 2025/AFIR FotoVoltaic 1/3.7. Memoriu Tehnic &amp; Justificativ/Arhiva/Memoriu Tehnic 27.01.2024.docx","Deschide sursa")</x:f>
        <x:v>HYPERLINK is not implemented. linkLocation=file:///Z:/00. Proiecte 2025/AFIR FotoVoltaic 1/3.7. Memoriu Tehnic &amp; Justificativ/Arhiva/Memoriu Tehnic 27.01.2024.docx, friendlyName=Deschide sursa</x:v>
      </x:c>
    </x:row>
    <x:row r="556" ht="64" customHeight="1">
      <x:c r="A556" s="8" t="str">
        <x:v>F0966</x:v>
      </x:c>
      <x:c r="B556" s="8" t="str">
        <x:v>Solicitare oferta Suntree Solar Tech SRL.docx</x:v>
      </x:c>
      <x:c r="C556" s="8" t="str">
        <x:v>Depunere / eligibilitate</x:v>
      </x:c>
      <x:c r="D556" s="12" t="str"/>
      <x:c r="E556" s="11" t="str"/>
      <x:c r="F556" s="12" t="str"/>
      <x:c r="G556" s="11" t="str"/>
      <x:c r="H556" s="8" t="str"/>
      <x:c r="I556" s="8" t="str">
        <x:v>Document local; transmiterea individuală neconfirmată</x:v>
      </x:c>
      <x:c r="J556" s="8" t="str">
        <x:v>Nr. XX/05.01.2024
nregistrare: | 45050734
nr. 5, Alba Iulia, jud. Alba
nr. 14, Alba Iulia, jud. Alba</x:v>
      </x:c>
      <x:c r="K556" s="8" t="str">
        <x:v>Text extras; numerele din referințe sunt în coloana separată</x:v>
      </x:c>
      <x:c r="L556" s="8" t="e">
        <x:f>HYPERLINK("file:///Z:/00. Proiecte 2025/AFIR FotoVoltaic 1/3.7. Memoriu Tehnic &amp; Justificativ/Oferte/1. Suntree Solar Tech SRL/Solicitare oferta Suntree Solar Tech SRL.docx","Deschide sursa")</x:f>
        <x:v>HYPERLINK is not implemented. linkLocation=file:///Z:/00. Proiecte 2025/AFIR FotoVoltaic 1/3.7. Memoriu Tehnic &amp; Justificativ/Oferte/1. Suntree Solar Tech SRL/Solicitare oferta Suntree Solar Tech SRL.docx, friendlyName=Deschide sursa</x:v>
      </x:c>
    </x:row>
    <x:row r="557" ht="64" customHeight="1">
      <x:c r="A557" s="8" t="str">
        <x:v>F0972</x:v>
      </x:c>
      <x:c r="B557" s="8" t="str">
        <x:v>Solicitare oferta Albaco Exim SRL.docx</x:v>
      </x:c>
      <x:c r="C557" s="8" t="str">
        <x:v>Depunere / eligibilitate</x:v>
      </x:c>
      <x:c r="D557" s="12" t="str"/>
      <x:c r="E557" s="11" t="str"/>
      <x:c r="F557" s="12" t="str"/>
      <x:c r="G557" s="11" t="str"/>
      <x:c r="H557" s="8" t="str"/>
      <x:c r="I557" s="8" t="str">
        <x:v>Document local; transmiterea individuală neconfirmată</x:v>
      </x:c>
      <x:c r="J557" s="8" t="str">
        <x:v>Nr. XX/05.01.2024
nregistrare: | 45050734
nr. 5, Alba Iulia, jud. Alba
nr. 46, loc. Oarda, jud. Alba</x:v>
      </x:c>
      <x:c r="K557" s="8" t="str">
        <x:v>Text extras; numerele din referințe sunt în coloana separată</x:v>
      </x:c>
      <x:c r="L557" s="8" t="e">
        <x:f>HYPERLINK("file:///Z:/00. Proiecte 2025/AFIR FotoVoltaic 1/3.7. Memoriu Tehnic &amp; Justificativ/Oferte/2. Albaco Exim SRL/Solicitare oferta Albaco Exim SRL.docx","Deschide sursa")</x:f>
        <x:v>HYPERLINK is not implemented. linkLocation=file:///Z:/00. Proiecte 2025/AFIR FotoVoltaic 1/3.7. Memoriu Tehnic &amp; Justificativ/Oferte/2. Albaco Exim SRL/Solicitare oferta Albaco Exim SRL.docx, friendlyName=Deschide sursa</x:v>
      </x:c>
    </x:row>
    <x:row r="558" ht="36" customHeight="1">
      <x:c r="A558" s="8" t="str">
        <x:v>F0975</x:v>
      </x:c>
      <x:c r="B558" s="8" t="str">
        <x:v>Oferta completa Energotehnica SRL.pdf</x:v>
      </x:c>
      <x:c r="C558" s="8" t="str">
        <x:v>Depunere / eligibilitate</x:v>
      </x:c>
      <x:c r="D558" s="12" t="str"/>
      <x:c r="E558" s="11" t="str"/>
      <x:c r="F558" s="12" t="str"/>
      <x:c r="G558" s="11" t="str"/>
      <x:c r="H558" s="8" t="str"/>
      <x:c r="I558" s="8" t="str">
        <x:v>Document local; transmiterea individuală neconfirmată</x:v>
      </x:c>
      <x:c r="J558" s="8" t="str"/>
      <x:c r="K558" s="8" t="str">
        <x:v>Text extras; numerele din referințe sunt în coloana separată</x:v>
      </x:c>
      <x:c r="L558" s="8" t="e">
        <x:f>HYPERLINK("file:///Z:/00. Proiecte 2025/AFIR FotoVoltaic 1/3.7. Memoriu Tehnic &amp; Justificativ/Oferte/3. Energotehnica SRL/Oferta completa Energotehnica SRL.pdf","Deschide sursa")</x:f>
        <x:v>HYPERLINK is not implemented. linkLocation=file:///Z:/00. Proiecte 2025/AFIR FotoVoltaic 1/3.7. Memoriu Tehnic &amp; Justificativ/Oferte/3. Energotehnica SRL/Oferta completa Energotehnica SRL.pdf, friendlyName=Deschide sursa</x:v>
      </x:c>
    </x:row>
    <x:row r="559" ht="36" customHeight="1">
      <x:c r="A559" s="8" t="str">
        <x:v>F0977</x:v>
      </x:c>
      <x:c r="B559" s="8" t="str">
        <x:v>Oferta Energotehnica SRL.pdf</x:v>
      </x:c>
      <x:c r="C559" s="8" t="str">
        <x:v>Depunere / eligibilitate</x:v>
      </x:c>
      <x:c r="D559" s="12" t="str"/>
      <x:c r="E559" s="11" t="str"/>
      <x:c r="F559" s="12" t="str"/>
      <x:c r="G559" s="11" t="str"/>
      <x:c r="H559" s="8" t="str"/>
      <x:c r="I559" s="8" t="str">
        <x:v>Document local; transmiterea individuală neconfirmată</x:v>
      </x:c>
      <x:c r="J559" s="8" t="str"/>
      <x:c r="K559" s="8" t="str">
        <x:v>Text extras; numerele din referințe sunt în coloana separată</x:v>
      </x:c>
      <x:c r="L559" s="8" t="e">
        <x:f>HYPERLINK("file:///Z:/00. Proiecte 2025/AFIR FotoVoltaic 1/3.7. Memoriu Tehnic &amp; Justificativ/Oferte/3. Energotehnica SRL/Oferta Energotehnica SRL.pdf","Deschide sursa")</x:f>
        <x:v>HYPERLINK is not implemented. linkLocation=file:///Z:/00. Proiecte 2025/AFIR FotoVoltaic 1/3.7. Memoriu Tehnic &amp; Justificativ/Oferte/3. Energotehnica SRL/Oferta Energotehnica SRL.pdf, friendlyName=Deschide sursa</x:v>
      </x:c>
    </x:row>
    <x:row r="560" ht="64" customHeight="1">
      <x:c r="A560" s="8" t="str">
        <x:v>F0978</x:v>
      </x:c>
      <x:c r="B560" s="8" t="str">
        <x:v>Solicitare oferta Energotehnica SRL.docx</x:v>
      </x:c>
      <x:c r="C560" s="8" t="str">
        <x:v>Depunere / eligibilitate</x:v>
      </x:c>
      <x:c r="D560" s="12" t="str"/>
      <x:c r="E560" s="11" t="str"/>
      <x:c r="F560" s="12" t="str"/>
      <x:c r="G560" s="11" t="str"/>
      <x:c r="H560" s="8" t="str"/>
      <x:c r="I560" s="8" t="str">
        <x:v>Document local; transmiterea individuală neconfirmată</x:v>
      </x:c>
      <x:c r="J560" s="8" t="str">
        <x:v>Nr. XX/05.01.2024
nregistrare: | 45050734
nr. 5, Alba Iulia, jud. Alba
nr. 1, et. 1, ap. Birou 1, loc. Sibiu, jud. Sibiu</x:v>
      </x:c>
      <x:c r="K560" s="8" t="str">
        <x:v>Text extras; numerele din referințe sunt în coloana separată</x:v>
      </x:c>
      <x:c r="L560" s="8" t="e">
        <x:f>HYPERLINK("file:///Z:/00. Proiecte 2025/AFIR FotoVoltaic 1/3.7. Memoriu Tehnic &amp; Justificativ/Oferte/3. Energotehnica SRL/Solicitare oferta Energotehnica SRL.docx","Deschide sursa")</x:f>
        <x:v>HYPERLINK is not implemented. linkLocation=file:///Z:/00. Proiecte 2025/AFIR FotoVoltaic 1/3.7. Memoriu Tehnic &amp; Justificativ/Oferte/3. Energotehnica SRL/Solicitare oferta Energotehnica SRL.docx, friendlyName=Deschide sursa</x:v>
      </x:c>
    </x:row>
    <x:row r="561" ht="36" customHeight="1">
      <x:c r="A561" s="8" t="str">
        <x:v>F0997</x:v>
      </x:c>
      <x:c r="B561" s="8" t="str">
        <x:v>AP_0.0_grafic_de_esalonare_SEV4.pdf</x:v>
      </x:c>
      <x:c r="C561" s="8" t="str">
        <x:v>Rambursare tranșa 1</x:v>
      </x:c>
      <x:c r="D561" s="12" t="str"/>
      <x:c r="E561" s="11" t="str"/>
      <x:c r="F561" s="12" t="str"/>
      <x:c r="G561" s="11" t="str"/>
      <x:c r="H561" s="8" t="str"/>
      <x:c r="I561" s="8" t="str">
        <x:v>Document local; transmiterea individuală neconfirmată</x:v>
      </x:c>
      <x:c r="J561" s="8" t="str"/>
      <x:c r="K561" s="8" t="str">
        <x:v>Text extras; numerele din referințe sunt în coloana separată</x:v>
      </x:c>
      <x:c r="L561" s="8" t="e">
        <x:f>HYPERLINK("file:///Z:/00. Proiecte 2025/AFIR FotoVoltaic 1/30.1 Cerere Rambursare 1/1. Graficul de Esalonare a platilor/AP_0.0_grafic_de_esalonare_SEV4.pdf","Deschide sursa")</x:f>
        <x:v>HYPERLINK is not implemented. linkLocation=file:///Z:/00. Proiecte 2025/AFIR FotoVoltaic 1/30.1 Cerere Rambursare 1/1. Graficul de Esalonare a platilor/AP_0.0_grafic_de_esalonare_SEV4.pdf, friendlyName=Deschide sursa</x:v>
      </x:c>
    </x:row>
    <x:row r="562" ht="36" customHeight="1">
      <x:c r="A562" s="8" t="str">
        <x:v>F0998</x:v>
      </x:c>
      <x:c r="B562" s="8" t="str">
        <x:v>Contract de prestari servicii Atta-Cesiro Production.pdf</x:v>
      </x:c>
      <x:c r="C562" s="8" t="str">
        <x:v>Rambursare tranșa 1</x:v>
      </x:c>
      <x:c r="D562" s="12" t="str"/>
      <x:c r="E562" s="11" t="str"/>
      <x:c r="F562" s="12" t="str"/>
      <x:c r="G562" s="11" t="str"/>
      <x:c r="H562" s="8" t="str"/>
      <x:c r="I562" s="8" t="str">
        <x:v>Document local; transmiterea individuală neconfirmată</x:v>
      </x:c>
      <x:c r="J562" s="8" t="str"/>
      <x:c r="K562" s="8" t="str">
        <x:v>Text extras; numerele din referințe sunt în coloana separată</x:v>
      </x:c>
      <x:c r="L562" s="8" t="e">
        <x:f>HYPERLINK("file:///Z:/00. Proiecte 2025/AFIR FotoVoltaic 1/30.1 Cerere Rambursare 1/12. Raportul de audit financiar/Contract de prestari servicii Atta-Cesiro Production.pdf","Deschide sursa")</x:f>
        <x:v>HYPERLINK is not implemented. linkLocation=file:///Z:/00. Proiecte 2025/AFIR FotoVoltaic 1/30.1 Cerere Rambursare 1/12. Raportul de audit financiar/Contract de prestari servicii Atta-Cesiro Production.pdf, friendlyName=Deschide sursa</x:v>
      </x:c>
    </x:row>
    <x:row r="563" ht="36" customHeight="1">
      <x:c r="A563" s="8" t="str">
        <x:v>F0999</x:v>
      </x:c>
      <x:c r="B563" s="8" t="str">
        <x:v>Documente  Acreditare Auditor.pdf</x:v>
      </x:c>
      <x:c r="C563" s="8" t="str">
        <x:v>Rambursare tranșa 1</x:v>
      </x:c>
      <x:c r="D563" s="12" t="str"/>
      <x:c r="E563" s="11" t="str"/>
      <x:c r="F563" s="12" t="str"/>
      <x:c r="G563" s="11" t="str"/>
      <x:c r="H563" s="8" t="str"/>
      <x:c r="I563" s="8" t="str">
        <x:v>Document local; transmiterea individuală neconfirmată</x:v>
      </x:c>
      <x:c r="J563" s="8" t="str"/>
      <x:c r="K563" s="8" t="str">
        <x:v>Text extras; numerele din referințe sunt în coloana separată</x:v>
      </x:c>
      <x:c r="L563" s="8" t="e">
        <x:f>HYPERLINK("file:///Z:/00. Proiecte 2025/AFIR FotoVoltaic 1/30.1 Cerere Rambursare 1/12. Raportul de audit financiar/Documente  Acreditare Auditor.pdf","Deschide sursa")</x:f>
        <x:v>HYPERLINK is not implemented. linkLocation=file:///Z:/00. Proiecte 2025/AFIR FotoVoltaic 1/30.1 Cerere Rambursare 1/12. Raportul de audit financiar/Documente  Acreditare Auditor.pdf, friendlyName=Deschide sursa</x:v>
      </x:c>
    </x:row>
    <x:row r="564" ht="36" customHeight="1">
      <x:c r="A564" s="8" t="str">
        <x:v>F1000</x:v>
      </x:c>
      <x:c r="B564" s="8" t="str">
        <x:v>pv predare primire (1).pdf</x:v>
      </x:c>
      <x:c r="C564" s="8" t="str">
        <x:v>Rambursare tranșa 1</x:v>
      </x:c>
      <x:c r="D564" s="12" t="str"/>
      <x:c r="E564" s="11" t="str"/>
      <x:c r="F564" s="12" t="str"/>
      <x:c r="G564" s="11" t="str"/>
      <x:c r="H564" s="8" t="str"/>
      <x:c r="I564" s="8" t="str">
        <x:v>Document local; transmiterea individuală neconfirmată</x:v>
      </x:c>
      <x:c r="J564" s="8" t="str"/>
      <x:c r="K564" s="8" t="str">
        <x:v>Text extras; numerele din referințe sunt în coloana separată</x:v>
      </x:c>
      <x:c r="L564" s="8" t="e">
        <x:f>HYPERLINK("file:///Z:/00. Proiecte 2025/AFIR FotoVoltaic 1/30.1 Cerere Rambursare 1/12. Raportul de audit financiar/pv predare primire (1).pdf","Deschide sursa")</x:f>
        <x:v>HYPERLINK is not implemented. linkLocation=file:///Z:/00. Proiecte 2025/AFIR FotoVoltaic 1/30.1 Cerere Rambursare 1/12. Raportul de audit financiar/pv predare primire (1).pdf, friendlyName=Deschide sursa</x:v>
      </x:c>
    </x:row>
    <x:row r="565" ht="92" customHeight="1">
      <x:c r="A565" s="8" t="str">
        <x:v>F1001</x:v>
      </x:c>
      <x:c r="B565" s="8" t="str">
        <x:v>Raport de Audit Atta-Consulting_.pdf</x:v>
      </x:c>
      <x:c r="C565" s="8" t="str">
        <x:v>Rambursare tranșa 1</x:v>
      </x:c>
      <x:c r="D565" s="12" t="str"/>
      <x:c r="E565" s="11" t="str"/>
      <x:c r="F565" s="12" t="str"/>
      <x:c r="G565" s="11" t="str"/>
      <x:c r="H565" s="8" t="str"/>
      <x:c r="I565" s="8" t="str">
        <x:v>Document local; transmiterea individuală neconfirmată</x:v>
      </x:c>
      <x:c r="J565" s="8" t="str">
        <x:v>NRC.J2003001050016,
nr.9, bl.32E, ap.2-3
nr.9, jud. Alba,CUI RO 15977969, ROONRC.J20030010500I6, prin administratorul sau
nr.5, jucl. Alba,
nr. 186 din
nr.1 /12.08.2026-transa 1 111 conformitate cu prevederi]e Contractului de finantare , respectiv</x:v>
      </x:c>
      <x:c r="K565" s="8" t="str">
        <x:v>Text extras; numerele din referințe sunt în coloana separată</x:v>
      </x:c>
      <x:c r="L565" s="8" t="e">
        <x:f>HYPERLINK("file:///Z:/00. Proiecte 2025/AFIR FotoVoltaic 1/30.1 Cerere Rambursare 1/12. Raportul de audit financiar/Raport de Audit Atta-Consulting_.pdf","Deschide sursa")</x:f>
        <x:v>HYPERLINK is not implemented. linkLocation=file:///Z:/00. Proiecte 2025/AFIR FotoVoltaic 1/30.1 Cerere Rambursare 1/12. Raportul de audit financiar/Raport de Audit Atta-Consulting_.pdf, friendlyName=Deschide sursa</x:v>
      </x:c>
    </x:row>
    <x:row r="566" ht="50" customHeight="1">
      <x:c r="A566" s="8" t="str">
        <x:v>F1002</x:v>
      </x:c>
      <x:c r="B566" s="8" t="str">
        <x:v>AP 1.4 SE Declarație pe propria răspundere.docx</x:v>
      </x:c>
      <x:c r="C566" s="8" t="str">
        <x:v>Rambursare tranșa 1</x:v>
      </x:c>
      <x:c r="D566" s="12" t="str"/>
      <x:c r="E566" s="11" t="str"/>
      <x:c r="F566" s="12" t="str"/>
      <x:c r="G566" s="11" t="str"/>
      <x:c r="H566" s="8" t="str"/>
      <x:c r="I566" s="8" t="str">
        <x:v>Document local; transmiterea individuală neconfirmată</x:v>
      </x:c>
      <x:c r="J566" s="8" t="str"/>
      <x:c r="K566" s="8" t="str">
        <x:v>Text extras; numerele din referințe sunt în coloana separată</x:v>
      </x:c>
      <x:c r="L566" s="8" t="e">
        <x:f>HYPERLINK("file:///Z:/00. Proiecte 2025/AFIR FotoVoltaic 1/30.1 Cerere Rambursare 1/13. Declarația pe propria raspundere a  beneficiarului/AP 1.4 SE Declarație pe propria răspundere.docx","Deschide sursa")</x:f>
        <x:v>HYPERLINK is not implemented. linkLocation=file:///Z:/00. Proiecte 2025/AFIR FotoVoltaic 1/30.1 Cerere Rambursare 1/13. Declarația pe propria raspundere a  beneficiarului/AP 1.4 SE Declarație pe propria răspundere.docx, friendlyName=Deschide sursa</x:v>
      </x:c>
    </x:row>
    <x:row r="567" ht="50" customHeight="1">
      <x:c r="A567" s="8" t="str">
        <x:v>F1003</x:v>
      </x:c>
      <x:c r="B567" s="8" t="str">
        <x:v>AP 1.4 SE Declarație pe propria răspundere_v3.pdf</x:v>
      </x:c>
      <x:c r="C567" s="8" t="str">
        <x:v>Rambursare tranșa 1</x:v>
      </x:c>
      <x:c r="D567" s="12" t="str"/>
      <x:c r="E567" s="11" t="str"/>
      <x:c r="F567" s="12" t="str"/>
      <x:c r="G567" s="11" t="str"/>
      <x:c r="H567" s="8" t="str"/>
      <x:c r="I567" s="8" t="str">
        <x:v>Document local; transmiterea individuală neconfirmată</x:v>
      </x:c>
      <x:c r="J567" s="8" t="str"/>
      <x:c r="K567" s="8" t="str">
        <x:v>Text extras; numerele din referințe sunt în coloana separată</x:v>
      </x:c>
      <x:c r="L567" s="8" t="e">
        <x:f>HYPERLINK("file:///Z:/00. Proiecte 2025/AFIR FotoVoltaic 1/30.1 Cerere Rambursare 1/13. Declarația pe propria raspundere a  beneficiarului/AP 1.4 SE Declarație pe propria răspundere_v3.pdf","Deschide sursa")</x:f>
        <x:v>HYPERLINK is not implemented. linkLocation=file:///Z:/00. Proiecte 2025/AFIR FotoVoltaic 1/30.1 Cerere Rambursare 1/13. Declarația pe propria raspundere a  beneficiarului/AP 1.4 SE Declarație pe propria răspundere_v3.pdf, friendlyName=Deschide sursa</x:v>
      </x:c>
    </x:row>
    <x:row r="568" ht="36" customHeight="1">
      <x:c r="A568" s="8" t="str">
        <x:v>F1004</x:v>
      </x:c>
      <x:c r="B568" s="8" t="str">
        <x:v>CESIRO_Ordin_incepere_lucrari-v1.pdf</x:v>
      </x:c>
      <x:c r="C568" s="8" t="str">
        <x:v>Rambursare tranșa 1</x:v>
      </x:c>
      <x:c r="D568" s="12" t="str"/>
      <x:c r="E568" s="11" t="str"/>
      <x:c r="F568" s="12" t="str"/>
      <x:c r="G568" s="11" t="str"/>
      <x:c r="H568" s="8" t="str"/>
      <x:c r="I568" s="8" t="str">
        <x:v>Document local; transmiterea individuală neconfirmată</x:v>
      </x:c>
      <x:c r="J568" s="8" t="str"/>
      <x:c r="K568" s="8" t="str">
        <x:v>Text extras; numerele din referințe sunt în coloana separată</x:v>
      </x:c>
      <x:c r="L568" s="8" t="e">
        <x:f>HYPERLINK("file:///Z:/00. Proiecte 2025/AFIR FotoVoltaic 1/30.1 Cerere Rambursare 1/14. Ordinul de începere a lucrărilor/CESIRO_Ordin_incepere_lucrari-v1.pdf","Deschide sursa")</x:f>
        <x:v>HYPERLINK is not implemented. linkLocation=file:///Z:/00. Proiecte 2025/AFIR FotoVoltaic 1/30.1 Cerere Rambursare 1/14. Ordinul de începere a lucrărilor/CESIRO_Ordin_incepere_lucrari-v1.pdf, friendlyName=Deschide sursa</x:v>
      </x:c>
    </x:row>
    <x:row r="569" ht="120" customHeight="1">
      <x:c r="A569" s="8" t="str">
        <x:v>F1005</x:v>
      </x:c>
      <x:c r="B569" s="8" t="str">
        <x:v>CESIRO_Ordin_incepere_lucrari.docx</x:v>
      </x:c>
      <x:c r="C569" s="8" t="str">
        <x:v>Rambursare tranșa 1</x:v>
      </x:c>
      <x:c r="D569" s="12" t="str">
        <x:v>1</x:v>
      </x:c>
      <x:c r="E569" s="11" t="n">
        <x:v>46069</x:v>
      </x:c>
      <x:c r="F569" s="12" t="str"/>
      <x:c r="G569" s="11" t="str"/>
      <x:c r="H569" s="8" t="str"/>
      <x:c r="I569" s="8" t="str">
        <x:v>Document local; transmiterea individuală neconfirmată</x:v>
      </x:c>
      <x:c r="J569" s="8" t="str">
        <x:v>Nr. 1/16.02.2026
nr. CFMSES011011372801030, încheiat cu Agenția pentru Finanțarea Investițiilor Rurale, pentru implementarea proiectului „IMPLEMENTAREA SISTEMULUI FOTOVOLTAIC 1 MW
nr. 275/01.02.2024 încheiat cu executantul S.C. SUNTREE SOLAR TECH S.R.L., precum și necesitatea emiterii documentului care atestă momentul începerii executării lu
nr. CFMSES011011372801030. Lucrările se execută la amplasamentul din Municipiul Sighișoara, str. Mihai Viteazu nr. 96, jud. Mureș (C1 – Hala Producție), de către e
nr. 275/01.02.2024.</x:v>
      </x:c>
      <x:c r="K569" s="8" t="str">
        <x:v>Text extras; numerele din referințe sunt în coloana separată</x:v>
      </x:c>
      <x:c r="L569" s="8" t="e">
        <x:f>HYPERLINK("file:///Z:/00. Proiecte 2025/AFIR FotoVoltaic 1/30.1 Cerere Rambursare 1/14. Ordinul de începere a lucrărilor/CESIRO_Ordin_incepere_lucrari.docx","Deschide sursa")</x:f>
        <x:v>HYPERLINK is not implemented. linkLocation=file:///Z:/00. Proiecte 2025/AFIR FotoVoltaic 1/30.1 Cerere Rambursare 1/14. Ordinul de începere a lucrărilor/CESIRO_Ordin_incepere_lucrari.docx, friendlyName=Deschide sursa</x:v>
      </x:c>
    </x:row>
    <x:row r="570" ht="50" customHeight="1">
      <x:c r="A570" s="8" t="str">
        <x:v>F1007</x:v>
      </x:c>
      <x:c r="B570" s="8" t="str">
        <x:v>Comunicat_inceput_CESIRO_PRODUCTION_FM_AFIR.pdf</x:v>
      </x:c>
      <x:c r="C570" s="8" t="str">
        <x:v>Rambursare tranșa 1</x:v>
      </x:c>
      <x:c r="D570" s="12" t="str"/>
      <x:c r="E570" s="11" t="str"/>
      <x:c r="F570" s="12" t="str"/>
      <x:c r="G570" s="11" t="str"/>
      <x:c r="H570" s="8" t="str"/>
      <x:c r="I570" s="8" t="str">
        <x:v>Document local; transmiterea individuală neconfirmată</x:v>
      </x:c>
      <x:c r="J570" s="8" t="str">
        <x:v>nr. CFMSES011011372801030
nregistrare 45050734
nr. FSFMSES011011372801030 / Proiect nr.</x:v>
      </x:c>
      <x:c r="K570" s="8" t="str">
        <x:v>Text extras; numerele din referințe sunt în coloana separată</x:v>
      </x:c>
      <x:c r="L570" s="8" t="e">
        <x:f>HYPERLINK("file:///Z:/00. Proiecte 2025/AFIR FotoVoltaic 1/30.1 Cerere Rambursare 1/16. Documente privind informarea și publicitatea/Comunicat_inceput_CESIRO_PRODUCTION_FM_AFIR.pdf","Deschide sursa")</x:f>
        <x:v>HYPERLINK is not implemented. linkLocation=file:///Z:/00. Proiecte 2025/AFIR FotoVoltaic 1/30.1 Cerere Rambursare 1/16. Documente privind informarea și publicitatea/Comunicat_inceput_CESIRO_PRODUCTION_FM_AFIR.pdf, friendlyName=Deschide sursa</x:v>
      </x:c>
    </x:row>
    <x:row r="571" ht="36" customHeight="1">
      <x:c r="A571" s="8" t="str">
        <x:v>F1008</x:v>
      </x:c>
      <x:c r="B571" s="8" t="str">
        <x:v>Balante Ianuarie - Iunie.pdf</x:v>
      </x:c>
      <x:c r="C571" s="8" t="str">
        <x:v>Rambursare tranșa 1</x:v>
      </x:c>
      <x:c r="D571" s="12" t="str"/>
      <x:c r="E571" s="11" t="str"/>
      <x:c r="F571" s="12" t="str"/>
      <x:c r="G571" s="11" t="str"/>
      <x:c r="H571" s="8" t="str"/>
      <x:c r="I571" s="8" t="str">
        <x:v>Document local; transmiterea individuală neconfirmată</x:v>
      </x:c>
      <x:c r="J571" s="8" t="str">
        <x:v>nr. 5 jud. ALBA tel. 0731307903</x:v>
      </x:c>
      <x:c r="K571" s="8" t="str">
        <x:v>Text extras; numerele din referințe sunt în coloana separată</x:v>
      </x:c>
      <x:c r="L571" s="8" t="e">
        <x:f>HYPERLINK("file:///Z:/00. Proiecte 2025/AFIR FotoVoltaic 1/30.1 Cerere Rambursare 1/17. Documente contabile și evidență analitică-/Balante Ianuarie - Iunie.pdf","Deschide sursa")</x:f>
        <x:v>HYPERLINK is not implemented. linkLocation=file:///Z:/00. Proiecte 2025/AFIR FotoVoltaic 1/30.1 Cerere Rambursare 1/17. Documente contabile și evidență analitică-/Balante Ianuarie - Iunie.pdf, friendlyName=Deschide sursa</x:v>
      </x:c>
    </x:row>
    <x:row r="572" ht="176" customHeight="1">
      <x:c r="A572" s="8" t="str">
        <x:v>F1009</x:v>
      </x:c>
      <x:c r="B572" s="8" t="str">
        <x:v>jurnal banca ian-iulie 2026.pdf</x:v>
      </x:c>
      <x:c r="C572" s="8" t="str">
        <x:v>Rambursare tranșa 1</x:v>
      </x:c>
      <x:c r="D572" s="12" t="str"/>
      <x:c r="E572" s="11" t="str"/>
      <x:c r="F572" s="12" t="str"/>
      <x:c r="G572" s="11" t="str"/>
      <x:c r="H572" s="8" t="str"/>
      <x:c r="I572" s="8" t="str">
        <x:v>Document local; transmiterea individuală neconfirmată</x:v>
      </x:c>
      <x:c r="J572" s="8" t="str">
        <x:v>nr. 5 jud. ALBA tel. 0731307903
nr.: ISAB0013
nr.: R -6
nr.: CP 16
nr.: FGO255188
nr.: CP 18
nr.: 264
nr.: HAN0111
nr.: SS773570,SS773617
NR. 275
nr.: CP 16,CP 19
nr.: CP 19</x:v>
      </x:c>
      <x:c r="K572" s="8" t="str">
        <x:v>Text extras; numerele din referințe sunt în coloana separată</x:v>
      </x:c>
      <x:c r="L572" s="8" t="e">
        <x:f>HYPERLINK("file:///Z:/00. Proiecte 2025/AFIR FotoVoltaic 1/30.1 Cerere Rambursare 1/17. Documente contabile și evidență analitică-/jurnal banca ian-iulie 2026.pdf","Deschide sursa")</x:f>
        <x:v>HYPERLINK is not implemented. linkLocation=file:///Z:/00. Proiecte 2025/AFIR FotoVoltaic 1/30.1 Cerere Rambursare 1/17. Documente contabile și evidență analitică-/jurnal banca ian-iulie 2026.pdf, friendlyName=Deschide sursa</x:v>
      </x:c>
    </x:row>
    <x:row r="573" ht="232" customHeight="1">
      <x:c r="A573" s="8" t="str">
        <x:v>F1010</x:v>
      </x:c>
      <x:c r="B573" s="8" t="str">
        <x:v>reg jurnal ian-iul 2026.pdf</x:v>
      </x:c>
      <x:c r="C573" s="8" t="str">
        <x:v>Rambursare tranșa 1</x:v>
      </x:c>
      <x:c r="D573" s="12" t="str"/>
      <x:c r="E573" s="11" t="str"/>
      <x:c r="F573" s="12" t="str"/>
      <x:c r="G573" s="11" t="str"/>
      <x:c r="H573" s="8" t="str"/>
      <x:c r="I573" s="8" t="str">
        <x:v>Document local; transmiterea individuală neconfirmată</x:v>
      </x:c>
      <x:c r="J573" s="8" t="str">
        <x:v>nr. 5 jud. ALBA tel. 0731307903
nr.: R -6
nr.: CP 16
nr.: FSR26030099
nr.: CP 18
nr.: 264
nr.: CP 4/2026
nr.: CP 3/2026
nr.: 1253569
nr.: S19410408
nr.: S19410788
nr.: CP 6/2026
NR. 275
nr.: CP 5/2026
nr.: CP 19
nr.: CP 7/2026</x:v>
      </x:c>
      <x:c r="K573" s="8" t="str">
        <x:v>Text extras; numerele din referințe sunt în coloana separată</x:v>
      </x:c>
      <x:c r="L573" s="8" t="e">
        <x:f>HYPERLINK("file:///Z:/00. Proiecte 2025/AFIR FotoVoltaic 1/30.1 Cerere Rambursare 1/17. Documente contabile și evidență analitică-/reg jurnal ian-iul 2026.pdf","Deschide sursa")</x:f>
        <x:v>HYPERLINK is not implemented. linkLocation=file:///Z:/00. Proiecte 2025/AFIR FotoVoltaic 1/30.1 Cerere Rambursare 1/17. Documente contabile și evidență analitică-/reg jurnal ian-iul 2026.pdf, friendlyName=Deschide sursa</x:v>
      </x:c>
    </x:row>
    <x:row r="574" ht="78" customHeight="1">
      <x:c r="A574" s="8" t="str">
        <x:v>F1011</x:v>
      </x:c>
      <x:c r="B574" s="8" t="str">
        <x:v>PV_01_Predare_primire_amplasament_16_02_2026 (1).docx</x:v>
      </x:c>
      <x:c r="C574" s="8" t="str">
        <x:v>Rambursare tranșa 1</x:v>
      </x:c>
      <x:c r="D574" s="12" t="str">
        <x:v>1</x:v>
      </x:c>
      <x:c r="E574" s="11" t="n">
        <x:v>46069</x:v>
      </x:c>
      <x:c r="F574" s="12" t="str"/>
      <x:c r="G574" s="11" t="str"/>
      <x:c r="H574" s="8" t="str"/>
      <x:c r="I574" s="8" t="str">
        <x:v>Document local; transmiterea individuală neconfirmată</x:v>
      </x:c>
      <x:c r="J574" s="8" t="str">
        <x:v>nr. 5, jud. Alba
nr. 96, jud. Mureș — Hala de Producție C1
Nr. 1 / 16.02.2026
nr. 1/16.02.2026.
nr. 275/01.02.2024 (nr. înreg. beneficiar 05/01.02.2024) · Finanțare nr. CFMSES011011372801030/30.12.2024</x:v>
      </x:c>
      <x:c r="K574" s="8" t="str">
        <x:v>Text extras; numerele din referințe sunt în coloana separată</x:v>
      </x:c>
      <x:c r="L574" s="8" t="e">
        <x:f>HYPERLINK("file:///Z:/00. Proiecte 2025/AFIR FotoVoltaic 1/30.1 Cerere Rambursare 1/18. PV_predare primire  16_02_2026/PV_01_Predare_primire_amplasament_16_02_2026 (1).docx","Deschide sursa")</x:f>
        <x:v>HYPERLINK is not implemented. linkLocation=file:///Z:/00. Proiecte 2025/AFIR FotoVoltaic 1/30.1 Cerere Rambursare 1/18. PV_predare primire  16_02_2026/PV_01_Predare_primire_amplasament_16_02_2026 (1).docx, friendlyName=Deschide sursa</x:v>
      </x:c>
    </x:row>
    <x:row r="575" ht="78" customHeight="1">
      <x:c r="A575" s="8" t="str">
        <x:v>F1012</x:v>
      </x:c>
      <x:c r="B575" s="8" t="str">
        <x:v>PV_01_Predare_primire_amplasament_16_02_2026v3.pdf</x:v>
      </x:c>
      <x:c r="C575" s="8" t="str">
        <x:v>Rambursare tranșa 1</x:v>
      </x:c>
      <x:c r="D575" s="12" t="str">
        <x:v>1</x:v>
      </x:c>
      <x:c r="E575" s="11" t="n">
        <x:v>46069</x:v>
      </x:c>
      <x:c r="F575" s="12" t="str"/>
      <x:c r="G575" s="11" t="str"/>
      <x:c r="H575" s="8" t="str"/>
      <x:c r="I575" s="8" t="str">
        <x:v>Document local; transmiterea individuală neconfirmată</x:v>
      </x:c>
      <x:c r="J575" s="8" t="str">
        <x:v>nr. 5,jud. Alba
nr. 96, jud. Mures - Hal a de Productie C 1
Nr. 1 / 16.02.2026
nr. 275/01.02.2024 (nr. inreg. beneficiar 05/01.02.2024) · Finantare nr.
nr. 1/16.02.2026.</x:v>
      </x:c>
      <x:c r="K575" s="8" t="str">
        <x:v>Text extras; numerele din referințe sunt în coloana separată</x:v>
      </x:c>
      <x:c r="L575" s="8" t="e">
        <x:f>HYPERLINK("file:///Z:/00. Proiecte 2025/AFIR FotoVoltaic 1/30.1 Cerere Rambursare 1/18. PV_predare primire  16_02_2026/PV_01_Predare_primire_amplasament_16_02_2026v3.pdf","Deschide sursa")</x:f>
        <x:v>HYPERLINK is not implemented. linkLocation=file:///Z:/00. Proiecte 2025/AFIR FotoVoltaic 1/30.1 Cerere Rambursare 1/18. PV_predare primire  16_02_2026/PV_01_Predare_primire_amplasament_16_02_2026v3.pdf, friendlyName=Deschide sursa</x:v>
      </x:c>
    </x:row>
    <x:row r="576" ht="78" customHeight="1">
      <x:c r="A576" s="8" t="str">
        <x:v>F1013</x:v>
      </x:c>
      <x:c r="B576" s="8" t="str">
        <x:v>PV_02_Organizare_santier_17_02_2026 (1).docx</x:v>
      </x:c>
      <x:c r="C576" s="8" t="str">
        <x:v>Rambursare tranșa 1</x:v>
      </x:c>
      <x:c r="D576" s="12" t="str">
        <x:v>2</x:v>
      </x:c>
      <x:c r="E576" s="11" t="n">
        <x:v>46070</x:v>
      </x:c>
      <x:c r="F576" s="12" t="str"/>
      <x:c r="G576" s="11" t="str"/>
      <x:c r="H576" s="8" t="str"/>
      <x:c r="I576" s="8" t="str">
        <x:v>Document local; transmiterea individuală neconfirmată</x:v>
      </x:c>
      <x:c r="J576" s="8" t="str">
        <x:v>nr. 5, jud. Alba
nr. 96, jud. Mureș — Hala de Producție C1
Nr. 2 / 17.02.2026
nr. 275/01.02.2024 (nr. înreg. beneficiar 05/01.02.2024) · Finanțare nr. CFMSES011011372801030/30.12.2024
nr. 0033/03.07.2026</x:v>
      </x:c>
      <x:c r="K576" s="8" t="str">
        <x:v>Text extras; numerele din referințe sunt în coloana separată</x:v>
      </x:c>
      <x:c r="L576" s="8" t="e">
        <x:f>HYPERLINK("file:///Z:/00. Proiecte 2025/AFIR FotoVoltaic 1/30.1 Cerere Rambursare 1/19. PV Organizare Santier 16_02_2026/PV_02_Organizare_santier_17_02_2026 (1).docx","Deschide sursa")</x:f>
        <x:v>HYPERLINK is not implemented. linkLocation=file:///Z:/00. Proiecte 2025/AFIR FotoVoltaic 1/30.1 Cerere Rambursare 1/19. PV Organizare Santier 16_02_2026/PV_02_Organizare_santier_17_02_2026 (1).docx, friendlyName=Deschide sursa</x:v>
      </x:c>
    </x:row>
    <x:row r="577" ht="36" customHeight="1">
      <x:c r="A577" s="8" t="str">
        <x:v>F1014</x:v>
      </x:c>
      <x:c r="B577" s="8" t="str">
        <x:v>PV_02_Organizare_santier_17_02_2026v1.pdf</x:v>
      </x:c>
      <x:c r="C577" s="8" t="str">
        <x:v>Rambursare tranșa 1</x:v>
      </x:c>
      <x:c r="D577" s="12" t="str"/>
      <x:c r="E577" s="11" t="str"/>
      <x:c r="F577" s="12" t="str"/>
      <x:c r="G577" s="11" t="str"/>
      <x:c r="H577" s="8" t="str"/>
      <x:c r="I577" s="8" t="str">
        <x:v>Document local; transmiterea individuală neconfirmată</x:v>
      </x:c>
      <x:c r="J577" s="8" t="str"/>
      <x:c r="K577" s="8" t="str">
        <x:v>Text extras; numerele din referințe sunt în coloana separată</x:v>
      </x:c>
      <x:c r="L577" s="8" t="e">
        <x:f>HYPERLINK("file:///Z:/00. Proiecte 2025/AFIR FotoVoltaic 1/30.1 Cerere Rambursare 1/19. PV Organizare Santier 16_02_2026/PV_02_Organizare_santier_17_02_2026v1.pdf","Deschide sursa")</x:f>
        <x:v>HYPERLINK is not implemented. linkLocation=file:///Z:/00. Proiecte 2025/AFIR FotoVoltaic 1/30.1 Cerere Rambursare 1/19. PV Organizare Santier 16_02_2026/PV_02_Organizare_santier_17_02_2026v1.pdf, friendlyName=Deschide sursa</x:v>
      </x:c>
    </x:row>
    <x:row r="578" ht="36" customHeight="1">
      <x:c r="A578" s="8" t="str">
        <x:v>F1015</x:v>
      </x:c>
      <x:c r="B578" s="8" t="str">
        <x:v>AP 1.1 SE Cerere de rambursare-v1.pdf</x:v>
      </x:c>
      <x:c r="C578" s="8" t="str">
        <x:v>Rambursare tranșa 1</x:v>
      </x:c>
      <x:c r="D578" s="12" t="str"/>
      <x:c r="E578" s="11" t="str"/>
      <x:c r="F578" s="12" t="str"/>
      <x:c r="G578" s="11" t="str"/>
      <x:c r="H578" s="8" t="str"/>
      <x:c r="I578" s="8" t="str">
        <x:v>Document local; transmiterea individuală neconfirmată</x:v>
      </x:c>
      <x:c r="J578" s="8" t="str"/>
      <x:c r="K578" s="8" t="str">
        <x:v>Necesită citire vizuală / OCR / formular XFA</x:v>
      </x:c>
      <x:c r="L578" s="8" t="e">
        <x:f>HYPERLINK("file:///Z:/00. Proiecte 2025/AFIR FotoVoltaic 1/30.1 Cerere Rambursare 1/2.1  Cererea de rambursare propriu-zisă/AP 1.1 SE Cerere de rambursare-v1.pdf","Deschide sursa")</x:f>
        <x:v>HYPERLINK is not implemented. linkLocation=file:///Z:/00. Proiecte 2025/AFIR FotoVoltaic 1/30.1 Cerere Rambursare 1/2.1  Cererea de rambursare propriu-zisă/AP 1.1 SE Cerere de rambursare-v1.pdf, friendlyName=Deschide sursa</x:v>
      </x:c>
    </x:row>
    <x:row r="579" ht="232" customHeight="1">
      <x:c r="A579" s="8" t="str">
        <x:v>F1016</x:v>
      </x:c>
      <x:c r="B579" s="8" t="str">
        <x:v>AP 1.1 SE Cerere de rambursare-v2.pdf</x:v>
      </x:c>
      <x:c r="C579" s="8" t="str">
        <x:v>Rambursare tranșa 1</x:v>
      </x:c>
      <x:c r="D579" s="12" t="str">
        <x:v>1</x:v>
      </x:c>
      <x:c r="E579" s="11" t="n">
        <x:v>46246</x:v>
      </x:c>
      <x:c r="F579" s="12" t="str"/>
      <x:c r="G579" s="11" t="str"/>
      <x:c r="H579" s="8" t="str"/>
      <x:c r="I579" s="8" t="str">
        <x:v>Document local; transmiterea individuală neconfirmată</x:v>
      </x:c>
      <x:c r="J579" s="8" t="str">
        <x:v>Nr. 96
Nr. tranșă 1
nr. SST0033 din data 03/07/2026 emisă de Suntree Solar Tech S.R.L. CUI
NRC J01 /81 7/2022
nr. 10 din data 23/03/2026
nr. 10 din data 18/02/2026
nr. 10 din data 23/02/2026
nr. 10 din data 24/02/2026
nr. 10 din data 25/02/2026
nr. 11 din data 06/04/2026
nr. 275/01.02.202 9
nr. 1 la contractul de finanțare, nr. înreg. 1.360.244/30.06.2026 2
nr. FN/11.06.2026 9
nr. 1.359.705/22.06.2026 2
nr. 1.370.394/07.08.2026 1
nr. 1, 2 și 3 la contractul de achiziție 6</x:v>
      </x:c>
      <x:c r="K579" s="8" t="str">
        <x:v>Text extras; numerele din referințe sunt în coloana separată</x:v>
      </x:c>
      <x:c r="L579" s="8" t="e">
        <x:f>HYPERLINK("file:///Z:/00. Proiecte 2025/AFIR FotoVoltaic 1/30.1 Cerere Rambursare 1/2.1  Cererea de rambursare propriu-zisă/AP 1.1 SE Cerere de rambursare-v2.pdf","Deschide sursa")</x:f>
        <x:v>HYPERLINK is not implemented. linkLocation=file:///Z:/00. Proiecte 2025/AFIR FotoVoltaic 1/30.1 Cerere Rambursare 1/2.1  Cererea de rambursare propriu-zisă/AP 1.1 SE Cerere de rambursare-v2.pdf, friendlyName=Deschide sursa</x:v>
      </x:c>
    </x:row>
    <x:row r="580" ht="246" customHeight="1">
      <x:c r="A580" s="8" t="str">
        <x:v>F1017</x:v>
      </x:c>
      <x:c r="B580" s="8" t="str">
        <x:v>Extras de cont_factura_situatie_de_lucrari_furnizor.pdf</x:v>
      </x:c>
      <x:c r="C580" s="8" t="str">
        <x:v>Rambursare tranșa 1</x:v>
      </x:c>
      <x:c r="D580" s="12" t="str"/>
      <x:c r="E580" s="11" t="str"/>
      <x:c r="F580" s="12" t="str"/>
      <x:c r="G580" s="11" t="str"/>
      <x:c r="H580" s="8" t="str"/>
      <x:c r="I580" s="8" t="str">
        <x:v>Document local; transmiterea individuală neconfirmată</x:v>
      </x:c>
      <x:c r="J580" s="8" t="str">
        <x:v>Nr card 510161XXXXXX6014, Ref 900012162498,
Nr card 510161XXXXXX6014, Ref 900455693041,
Nr card 510161XXXXXX6014, Ref 900938344085,
nr. 5/01.02.2024-AFIR -CF-
Nr card 510161XXXXXX6014, Ref 901408742619,
Nr card 510161XXXXXX6014, token
Nr card 510161XXXXXX6014, Ref 901895191223,
Nr card 510161XXXXXX6014, Ref 901946698523,
Nr card 510161XXXXXX6014, Ref 901964870501,
Nr card 510161XXXXXX6014, Ref 902046703151,
Nr card 510161XXXXXX6014, Ref 902541772806,
NR. 0033 Data emiterii: 03.07.2026
Nr. Reg. Com.: J01 /81 7/2022
NR.5, Mun. Alba Iulia, Alba, Romania
Nr. Reg. Com.: J2021 001 32801 4
nr. 275 din 01.02.2024 BUC 1,00 1.279.191,74 268.630,26 21% 1.547.822,00
nr 275 din 01.02.2024 BUC 1,00 1.185.950,41 249.049,59 21% 1.435.000,00</x:v>
      </x:c>
      <x:c r="K580" s="8" t="str">
        <x:v>Text extras; numerele din referințe sunt în coloana separată</x:v>
      </x:c>
      <x:c r="L580" s="8" t="e">
        <x:f>HYPERLINK("file:///Z:/00. Proiecte 2025/AFIR FotoVoltaic 1/30.1 Cerere Rambursare 1/2.2 Facturi si Extrase de cont- DE EDITAT/Extras de cont_factura_situatie_de_lucrari_furnizor.pdf","Deschide sursa")</x:f>
        <x:v>HYPERLINK is not implemented. linkLocation=file:///Z:/00. Proiecte 2025/AFIR FotoVoltaic 1/30.1 Cerere Rambursare 1/2.2 Facturi si Extrase de cont- DE EDITAT/Extras de cont_factura_situatie_de_lucrari_furnizor.pdf, friendlyName=Deschide sursa</x:v>
      </x:c>
    </x:row>
    <x:row r="581" ht="64" customHeight="1">
      <x:c r="A581" s="8" t="str">
        <x:v>F1018</x:v>
      </x:c>
      <x:c r="B581" s="8" t="str">
        <x:v>Centralizator_2222_panouri_montate_CD1 v2.pdf</x:v>
      </x:c>
      <x:c r="C581" s="8" t="str">
        <x:v>Rambursare tranșa 1</x:v>
      </x:c>
      <x:c r="D581" s="12" t="str"/>
      <x:c r="E581" s="11" t="str"/>
      <x:c r="F581" s="12" t="str"/>
      <x:c r="G581" s="11" t="str"/>
      <x:c r="H581" s="8" t="str"/>
      <x:c r="I581" s="8" t="str">
        <x:v>Document local; transmiterea individuală neconfirmată</x:v>
      </x:c>
      <x:c r="J581" s="8" t="str">
        <x:v>Nr. ORC: J01/1328/2021
nr.: CFMSES011011372801030 din 30.12.2024
nr. 96, jud. Mureș
nr. 275/01.02.2024</x:v>
      </x:c>
      <x:c r="K581" s="8" t="str">
        <x:v>Text extras; numerele din referințe sunt în coloana separată</x:v>
      </x:c>
      <x:c r="L581" s="8" t="e">
        <x:f>HYPERLINK("file:///Z:/00. Proiecte 2025/AFIR FotoVoltaic 1/30.1 Cerere Rambursare 1/20. PV Receptie Structura  08_04_2026/Centralizator_2222_panouri_montate_CD1 v2.pdf","Deschide sursa")</x:f>
        <x:v>HYPERLINK is not implemented. linkLocation=file:///Z:/00. Proiecte 2025/AFIR FotoVoltaic 1/30.1 Cerere Rambursare 1/20. PV Receptie Structura  08_04_2026/Centralizator_2222_panouri_montate_CD1 v2.pdf, friendlyName=Deschide sursa</x:v>
      </x:c>
    </x:row>
    <x:row r="582" ht="176" customHeight="1">
      <x:c r="A582" s="8" t="str">
        <x:v>F1019</x:v>
      </x:c>
      <x:c r="B582" s="8" t="str">
        <x:v>Opis_Cerere_rambursare_nr1_CESIRO (4).docx</x:v>
      </x:c>
      <x:c r="C582" s="8" t="str">
        <x:v>Rambursare tranșa 1</x:v>
      </x:c>
      <x:c r="D582" s="12" t="str"/>
      <x:c r="E582" s="11" t="str"/>
      <x:c r="F582" s="12" t="str"/>
      <x:c r="G582" s="11" t="str"/>
      <x:c r="H582" s="8" t="str"/>
      <x:c r="I582" s="8" t="str">
        <x:v>Document local; transmiterea individuală neconfirmată</x:v>
      </x:c>
      <x:c r="J582" s="8" t="str">
        <x:v>nr. 5, jud. Alba
nr. 96, jud. Mureș
nr. 1
nr.: CFMSES011011372801030/30.12.2024
nr. 1 – Formular AP 1.1-SE
nr. 0033/03.07.2026
nr. 1 – nr. 6
nr. 275/01.02.2024, încheiat cu S.C. SUNTREE SOLAR TECH S.R.L.
nr. 1 la contractul de finanțare, nr. înreg. 1.360.244/30.06.2026 (Formular C3.3.4)
nr. 1, nr. 2 și nr. 3 la contractul de achiziție nr. 275/01.02.2024
nr. 1.370.394/07.08.2026 (Formular C3.3.8)
nr. FN/11.06.2026</x:v>
      </x:c>
      <x:c r="K582" s="8" t="str">
        <x:v>Text extras; numerele din referințe sunt în coloana separată</x:v>
      </x:c>
      <x:c r="L582" s="8" t="e">
        <x:f>HYPERLINK("file:///Z:/00. Proiecte 2025/AFIR FotoVoltaic 1/30.1 Cerere Rambursare 1/20. PV Receptie Structura  08_04_2026/Opis_Cerere_rambursare_nr1_CESIRO (4).docx","Deschide sursa")</x:f>
        <x:v>HYPERLINK is not implemented. linkLocation=file:///Z:/00. Proiecte 2025/AFIR FotoVoltaic 1/30.1 Cerere Rambursare 1/20. PV Receptie Structura  08_04_2026/Opis_Cerere_rambursare_nr1_CESIRO (4).docx, friendlyName=Deschide sursa</x:v>
      </x:c>
    </x:row>
    <x:row r="583" ht="64" customHeight="1">
      <x:c r="A583" s="8" t="str">
        <x:v>F1020</x:v>
      </x:c>
      <x:c r="B583" s="8" t="str">
        <x:v>PV_03_Receptie_structura_08_04_2026 (2).docx</x:v>
      </x:c>
      <x:c r="C583" s="8" t="str">
        <x:v>Rambursare tranșa 1</x:v>
      </x:c>
      <x:c r="D583" s="12" t="str">
        <x:v>3</x:v>
      </x:c>
      <x:c r="E583" s="11" t="n">
        <x:v>46120</x:v>
      </x:c>
      <x:c r="F583" s="12" t="str"/>
      <x:c r="G583" s="11" t="str"/>
      <x:c r="H583" s="8" t="str"/>
      <x:c r="I583" s="8" t="str">
        <x:v>Document local; transmiterea individuală neconfirmată</x:v>
      </x:c>
      <x:c r="J583" s="8" t="str">
        <x:v>nr. 5, jud. Alba
nr. 96, jud. Mureș — Hala de Producție C1
Nr. 3 / 08.04.2026
nr. 275/01.02.2024 (nr. înreg. beneficiar 05/01.02.2024) · Finanțare nr. CFMSES011011372801030/30.12.2024</x:v>
      </x:c>
      <x:c r="K583" s="8" t="str">
        <x:v>Text extras; numerele din referințe sunt în coloana separată</x:v>
      </x:c>
      <x:c r="L583" s="8" t="e">
        <x:f>HYPERLINK("file:///Z:/00. Proiecte 2025/AFIR FotoVoltaic 1/30.1 Cerere Rambursare 1/20. PV Receptie Structura  08_04_2026/PV_03_Receptie_structura_08_04_2026 (2).docx","Deschide sursa")</x:f>
        <x:v>HYPERLINK is not implemented. linkLocation=file:///Z:/00. Proiecte 2025/AFIR FotoVoltaic 1/30.1 Cerere Rambursare 1/20. PV Receptie Structura  08_04_2026/PV_03_Receptie_structura_08_04_2026 (2).docx, friendlyName=Deschide sursa</x:v>
      </x:c>
    </x:row>
    <x:row r="584" ht="64" customHeight="1">
      <x:c r="A584" s="8" t="str">
        <x:v>F1021</x:v>
      </x:c>
      <x:c r="B584" s="8" t="str">
        <x:v>PV_03_Receptie_structura_08_04_2026 (2).v1.pdf</x:v>
      </x:c>
      <x:c r="C584" s="8" t="str">
        <x:v>Rambursare tranșa 1</x:v>
      </x:c>
      <x:c r="D584" s="12" t="str"/>
      <x:c r="E584" s="11" t="str"/>
      <x:c r="F584" s="12" t="str"/>
      <x:c r="G584" s="11" t="str"/>
      <x:c r="H584" s="8" t="str"/>
      <x:c r="I584" s="8" t="str">
        <x:v>Document local; transmiterea individuală neconfirmată</x:v>
      </x:c>
      <x:c r="J584" s="8" t="str">
        <x:v>nr. 5,jud. Alba
nr. 96. jud. Mures - Hal a de Produc(ie CI
Nr. 3 I 08.04.2026
nr. 275/01.02.2024 (nr. inreg. beneficiar 05/01.02.2024) Finan(are nr.</x:v>
      </x:c>
      <x:c r="K584" s="8" t="str">
        <x:v>Text extras; numerele din referințe sunt în coloana separată</x:v>
      </x:c>
      <x:c r="L584" s="8" t="e">
        <x:f>HYPERLINK("file:///Z:/00. Proiecte 2025/AFIR FotoVoltaic 1/30.1 Cerere Rambursare 1/20. PV Receptie Structura  08_04_2026/PV_03_Receptie_structura_08_04_2026 (2).v1.pdf","Deschide sursa")</x:f>
        <x:v>HYPERLINK is not implemented. linkLocation=file:///Z:/00. Proiecte 2025/AFIR FotoVoltaic 1/30.1 Cerere Rambursare 1/20. PV Receptie Structura  08_04_2026/PV_03_Receptie_structura_08_04_2026 (2).v1.pdf, friendlyName=Deschide sursa</x:v>
      </x:c>
    </x:row>
    <x:row r="585" ht="78" customHeight="1">
      <x:c r="A585" s="8" t="str">
        <x:v>F1022</x:v>
      </x:c>
      <x:c r="B585" s="8" t="str">
        <x:v>PV_04_Montaj_structura_14_04_2026 (1).docx</x:v>
      </x:c>
      <x:c r="C585" s="8" t="str">
        <x:v>Rambursare tranșa 1</x:v>
      </x:c>
      <x:c r="D585" s="12" t="str">
        <x:v>4</x:v>
      </x:c>
      <x:c r="E585" s="11" t="n">
        <x:v>46126</x:v>
      </x:c>
      <x:c r="F585" s="12" t="str"/>
      <x:c r="G585" s="11" t="str"/>
      <x:c r="H585" s="8" t="str"/>
      <x:c r="I585" s="8" t="str">
        <x:v>Document local; transmiterea individuală neconfirmată</x:v>
      </x:c>
      <x:c r="J585" s="8" t="str">
        <x:v>nr. 5, jud. Alba
nr. 96, jud. Mureș — Hala de Producție C1
Nr. 4 / 14.04.2026
nr. 275/01.02.2024 (nr. înreg. beneficiar 05/01.02.2024) · Finanțare nr. CFMSES011011372801030/30.12.2024
nr. 341/03.07.2026 · Situația de plată nr. 1/03.07.2026, art. 1 · Cap. 4.2</x:v>
      </x:c>
      <x:c r="K585" s="8" t="str">
        <x:v>Text extras; numerele din referințe sunt în coloana separată</x:v>
      </x:c>
      <x:c r="L585" s="8" t="e">
        <x:f>HYPERLINK("file:///Z:/00. Proiecte 2025/AFIR FotoVoltaic 1/30.1 Cerere Rambursare 1/21. Montaj Structura 14_04_2026/PV_04_Montaj_structura_14_04_2026 (1).docx","Deschide sursa")</x:f>
        <x:v>HYPERLINK is not implemented. linkLocation=file:///Z:/00. Proiecte 2025/AFIR FotoVoltaic 1/30.1 Cerere Rambursare 1/21. Montaj Structura 14_04_2026/PV_04_Montaj_structura_14_04_2026 (1).docx, friendlyName=Deschide sursa</x:v>
      </x:c>
    </x:row>
    <x:row r="586" ht="78" customHeight="1">
      <x:c r="A586" s="8" t="str">
        <x:v>F1023</x:v>
      </x:c>
      <x:c r="B586" s="8" t="str">
        <x:v>PV_04_Montaj_structura_14_04_2026 (1).v3.pdf</x:v>
      </x:c>
      <x:c r="C586" s="8" t="str">
        <x:v>Rambursare tranșa 1</x:v>
      </x:c>
      <x:c r="D586" s="12" t="str">
        <x:v>4</x:v>
      </x:c>
      <x:c r="E586" s="11" t="n">
        <x:v>46126</x:v>
      </x:c>
      <x:c r="F586" s="12" t="str"/>
      <x:c r="G586" s="11" t="str"/>
      <x:c r="H586" s="8" t="str"/>
      <x:c r="I586" s="8" t="str">
        <x:v>Document local; transmiterea individuală neconfirmată</x:v>
      </x:c>
      <x:c r="J586" s="8" t="str">
        <x:v>nr. 5,jud. Alba
nr. 96, jud. Mu res -Hal a de Productie Cl
Nr. 4 / 14.04.2026
nr. 275/01.02.2024 (nr. inreg. beneficiar 05/01.02.2024) · Finantare nr.
nr. 341/03.07.2026 · Situatia de plata nr. 1/03.07.2026,art. I · Cap. 4.2</x:v>
      </x:c>
      <x:c r="K586" s="8" t="str">
        <x:v>Text extras; numerele din referințe sunt în coloana separată</x:v>
      </x:c>
      <x:c r="L586" s="8" t="e">
        <x:f>HYPERLINK("file:///Z:/00. Proiecte 2025/AFIR FotoVoltaic 1/30.1 Cerere Rambursare 1/21. Montaj Structura 14_04_2026/PV_04_Montaj_structura_14_04_2026 (1).v3.pdf","Deschide sursa")</x:f>
        <x:v>HYPERLINK is not implemented. linkLocation=file:///Z:/00. Proiecte 2025/AFIR FotoVoltaic 1/30.1 Cerere Rambursare 1/21. Montaj Structura 14_04_2026/PV_04_Montaj_structura_14_04_2026 (1).v3.pdf, friendlyName=Deschide sursa</x:v>
      </x:c>
    </x:row>
    <x:row r="587" ht="64" customHeight="1">
      <x:c r="A587" s="8" t="str">
        <x:v>F1024</x:v>
      </x:c>
      <x:c r="B587" s="8" t="str">
        <x:v>Centralizator_2222_panouri_montate_CD1 v2.pdf</x:v>
      </x:c>
      <x:c r="C587" s="8" t="str">
        <x:v>Rambursare tranșa 1</x:v>
      </x:c>
      <x:c r="D587" s="12" t="str"/>
      <x:c r="E587" s="11" t="str"/>
      <x:c r="F587" s="12" t="str"/>
      <x:c r="G587" s="11" t="str"/>
      <x:c r="H587" s="8" t="str"/>
      <x:c r="I587" s="8" t="str">
        <x:v>Document local; transmiterea individuală neconfirmată</x:v>
      </x:c>
      <x:c r="J587" s="8" t="str">
        <x:v>Nr. ORC: J01/1328/2021
nr.: CFMSES011011372801030 din 30.12.2024
nr. 96, jud. Mureș
nr. 275/01.02.2024</x:v>
      </x:c>
      <x:c r="K587" s="8" t="str">
        <x:v>Text extras; numerele din referințe sunt în coloana separată</x:v>
      </x:c>
      <x:c r="L587" s="8" t="e">
        <x:f>HYPERLINK("file:///Z:/00. Proiecte 2025/AFIR FotoVoltaic 1/30.1 Cerere Rambursare 1/22. PV Receptie Panouri 23_06_2026/Centralizator_2222_panouri_montate_CD1 v2.pdf","Deschide sursa")</x:f>
        <x:v>HYPERLINK is not implemented. linkLocation=file:///Z:/00. Proiecte 2025/AFIR FotoVoltaic 1/30.1 Cerere Rambursare 1/22. PV Receptie Panouri 23_06_2026/Centralizator_2222_panouri_montate_CD1 v2.pdf, friendlyName=Deschide sursa</x:v>
      </x:c>
    </x:row>
    <x:row r="588" ht="64" customHeight="1">
      <x:c r="A588" s="8" t="str">
        <x:v>F1025</x:v>
      </x:c>
      <x:c r="B588" s="8" t="str">
        <x:v>PV_05_Receptie_panouri_23_06_2026v1.pdf</x:v>
      </x:c>
      <x:c r="C588" s="8" t="str">
        <x:v>Rambursare tranșa 1</x:v>
      </x:c>
      <x:c r="D588" s="12" t="str">
        <x:v>5</x:v>
      </x:c>
      <x:c r="E588" s="11" t="n">
        <x:v>46196</x:v>
      </x:c>
      <x:c r="F588" s="12" t="str"/>
      <x:c r="G588" s="11" t="str"/>
      <x:c r="H588" s="8" t="str"/>
      <x:c r="I588" s="8" t="str">
        <x:v>Document local; transmiterea individuală neconfirmată</x:v>
      </x:c>
      <x:c r="J588" s="8" t="str">
        <x:v>nr. 5, jud. Alba
nr. 96. jud. Mures -Hal a de Productie CI
Nr. 5 / 23.06.2026
nr. 275/01.02.2024 (nr. inreg. beneficiar 05/01.02.2024) Finantare nr.</x:v>
      </x:c>
      <x:c r="K588" s="8" t="str">
        <x:v>Text extras; numerele din referințe sunt în coloana separată</x:v>
      </x:c>
      <x:c r="L588" s="8" t="e">
        <x:f>HYPERLINK("file:///Z:/00. Proiecte 2025/AFIR FotoVoltaic 1/30.1 Cerere Rambursare 1/22. PV Receptie Panouri 23_06_2026/PV_05_Receptie_panouri_23_06_2026v1.pdf","Deschide sursa")</x:f>
        <x:v>HYPERLINK is not implemented. linkLocation=file:///Z:/00. Proiecte 2025/AFIR FotoVoltaic 1/30.1 Cerere Rambursare 1/22. PV Receptie Panouri 23_06_2026/PV_05_Receptie_panouri_23_06_2026v1.pdf, friendlyName=Deschide sursa</x:v>
      </x:c>
    </x:row>
    <x:row r="589" ht="92" customHeight="1">
      <x:c r="A589" s="8" t="str">
        <x:v>F1026</x:v>
      </x:c>
      <x:c r="B589" s="8" t="str">
        <x:v>PV_06_Montaj_module_28_06_2026 (1).docx</x:v>
      </x:c>
      <x:c r="C589" s="8" t="str">
        <x:v>Rambursare tranșa 1</x:v>
      </x:c>
      <x:c r="D589" s="12" t="str">
        <x:v>6</x:v>
      </x:c>
      <x:c r="E589" s="11" t="n">
        <x:v>46201</x:v>
      </x:c>
      <x:c r="F589" s="12" t="str"/>
      <x:c r="G589" s="11" t="str"/>
      <x:c r="H589" s="8" t="str"/>
      <x:c r="I589" s="8" t="str">
        <x:v>Document local; transmiterea individuală neconfirmată</x:v>
      </x:c>
      <x:c r="J589" s="8" t="str">
        <x:v>nr. 5, jud. Alba
nr. 96, jud. Mureș — Hala de Producție C1
Nr. 6 / 28.06.2026
nr. 275/01.02.2024 (nr. înreg. beneficiar 05/01.02.2024) · Finanțare nr. CFMSES011011372801030/30.12.2024
nr. 341/03.07.2026 · Situația de plată nr. 1/03.07.2026, art. 2 și 3 · Cap. 4.2 · Centralizatorul seriilor de panouri montate</x:v>
      </x:c>
      <x:c r="K589" s="8" t="str">
        <x:v>Text extras; numerele din referințe sunt în coloana separată</x:v>
      </x:c>
      <x:c r="L589" s="8" t="e">
        <x:f>HYPERLINK("file:///Z:/00. Proiecte 2025/AFIR FotoVoltaic 1/30.1 Cerere Rambursare 1/23. PV  Montaj Panouri 28_06_2026/PV_06_Montaj_module_28_06_2026 (1).docx","Deschide sursa")</x:f>
        <x:v>HYPERLINK is not implemented. linkLocation=file:///Z:/00. Proiecte 2025/AFIR FotoVoltaic 1/30.1 Cerere Rambursare 1/23. PV  Montaj Panouri 28_06_2026/PV_06_Montaj_module_28_06_2026 (1).docx, friendlyName=Deschide sursa</x:v>
      </x:c>
    </x:row>
    <x:row r="590" ht="92" customHeight="1">
      <x:c r="A590" s="8" t="str">
        <x:v>F1027</x:v>
      </x:c>
      <x:c r="B590" s="8" t="str">
        <x:v>PV_06_Montaj_module_28_06_2026 v1.pdf</x:v>
      </x:c>
      <x:c r="C590" s="8" t="str">
        <x:v>Rambursare tranșa 1</x:v>
      </x:c>
      <x:c r="D590" s="12" t="str">
        <x:v>6</x:v>
      </x:c>
      <x:c r="E590" s="11" t="n">
        <x:v>46201</x:v>
      </x:c>
      <x:c r="F590" s="12" t="str"/>
      <x:c r="G590" s="11" t="str"/>
      <x:c r="H590" s="8" t="str"/>
      <x:c r="I590" s="8" t="str">
        <x:v>Document local; transmiterea individuală neconfirmată</x:v>
      </x:c>
      <x:c r="J590" s="8" t="str">
        <x:v>nr. 5, jud. Alba
nr. 96, jud. Mures- Hal a de Produqie Cl
Nr. 6 / 28.06.2026
nr. 275/0 l .02.2024 (nr. 1nreg. beneficiar 05/01.02.2024) · Finantare nr.
Nr� 1- - - Lucrar-e-executat� U.M. - - Can� T Valoare (lei fiiri
nr. 341 /03 .07 .2026 · Situatia de plata nr. 1 /03.07 .2026, art. 2 si 3 · Cap. 4.2 ·</x:v>
      </x:c>
      <x:c r="K590" s="8" t="str">
        <x:v>Text extras; numerele din referințe sunt în coloana separată</x:v>
      </x:c>
      <x:c r="L590" s="8" t="e">
        <x:f>HYPERLINK("file:///Z:/00. Proiecte 2025/AFIR FotoVoltaic 1/30.1 Cerere Rambursare 1/23. PV  Montaj Panouri 28_06_2026/PV_06_Montaj_module_28_06_2026 v1.pdf","Deschide sursa")</x:f>
        <x:v>HYPERLINK is not implemented. linkLocation=file:///Z:/00. Proiecte 2025/AFIR FotoVoltaic 1/30.1 Cerere Rambursare 1/23. PV  Montaj Panouri 28_06_2026/PV_06_Montaj_module_28_06_2026 v1.pdf, friendlyName=Deschide sursa</x:v>
      </x:c>
    </x:row>
    <x:row r="591" ht="120" customHeight="1">
      <x:c r="A591" s="8" t="str">
        <x:v>F1028</x:v>
      </x:c>
      <x:c r="B591" s="8" t="str">
        <x:v>PV_07_Verificare_faze_determinante_30_06_2026 (1).docx</x:v>
      </x:c>
      <x:c r="C591" s="8" t="str">
        <x:v>Rambursare tranșa 1</x:v>
      </x:c>
      <x:c r="D591" s="12" t="str">
        <x:v>7</x:v>
      </x:c>
      <x:c r="E591" s="11" t="n">
        <x:v>46203</x:v>
      </x:c>
      <x:c r="F591" s="12" t="str"/>
      <x:c r="G591" s="11" t="str"/>
      <x:c r="H591" s="8" t="str"/>
      <x:c r="I591" s="8" t="str">
        <x:v>Document local; transmiterea individuală neconfirmată</x:v>
      </x:c>
      <x:c r="J591" s="8" t="str">
        <x:v>nr. 5, jud. Alba
nr. 96, jud. Mureș — Hala de Producție C1
Nr. 7 / 30.06.2026
nr. 275/01.02.2024 (nr. înreg. beneficiar 05/01.02.2024) · Finanțare nr. CFMSES011011372801030/30.12.2024
nr. 3 — șef proiect ing. Mihai Fleșer; proiectanți atestați ANRE: ing. Raul Zane, ing. Alpar Koncz
nr. 4/14.04.2026 | Conform proiectului tehnic de execuție
nr. 6/28.06.2026 | Conform schemei electrice avizate
nr. 6/28.06.2026 | Conform proiectului; fără neconformități</x:v>
      </x:c>
      <x:c r="K591" s="8" t="str">
        <x:v>Text extras; numerele din referințe sunt în coloana separată</x:v>
      </x:c>
      <x:c r="L591" s="8" t="e">
        <x:f>HYPERLINK("file:///Z:/00. Proiecte 2025/AFIR FotoVoltaic 1/30.1 Cerere Rambursare 1/24. PV Verificare faze determinante/PV_07_Verificare_faze_determinante_30_06_2026 (1).docx","Deschide sursa")</x:f>
        <x:v>HYPERLINK is not implemented. linkLocation=file:///Z:/00. Proiecte 2025/AFIR FotoVoltaic 1/30.1 Cerere Rambursare 1/24. PV Verificare faze determinante/PV_07_Verificare_faze_determinante_30_06_2026 (1).docx, friendlyName=Deschide sursa</x:v>
      </x:c>
    </x:row>
    <x:row r="592" ht="120" customHeight="1">
      <x:c r="A592" s="8" t="str">
        <x:v>F1029</x:v>
      </x:c>
      <x:c r="B592" s="8" t="str">
        <x:v>PV_07_Verificare_faze_determinante_30_06_2026 v1.pdf</x:v>
      </x:c>
      <x:c r="C592" s="8" t="str">
        <x:v>Rambursare tranșa 1</x:v>
      </x:c>
      <x:c r="D592" s="12" t="str">
        <x:v>7</x:v>
      </x:c>
      <x:c r="E592" s="11" t="n">
        <x:v>46203</x:v>
      </x:c>
      <x:c r="F592" s="12" t="str"/>
      <x:c r="G592" s="11" t="str"/>
      <x:c r="H592" s="8" t="str"/>
      <x:c r="I592" s="8" t="str">
        <x:v>Document local; transmiterea individuală neconfirmată</x:v>
      </x:c>
      <x:c r="J592" s="8" t="str">
        <x:v>nr. 5, jud. Alba
nr. 96, jud. Mures- Hala de Productie Cl
Nr. 7 / 30.06.2026
nr. 275/01.02.2024 (nr. inreg. beneficiar 05/01.02.2024) · Finant-ar_e_n_r __ -- - -- - -­
nr. 3 - sef Proiectant
NRE: ing. Raul Zane, ing. Alpar Ko_11c;_�_ ·
nr. 4/14.04.2026
nr. 6/28.06.2026</x:v>
      </x:c>
      <x:c r="K592" s="8" t="str">
        <x:v>Text extras; numerele din referințe sunt în coloana separată</x:v>
      </x:c>
      <x:c r="L592" s="8" t="e">
        <x:f>HYPERLINK("file:///Z:/00. Proiecte 2025/AFIR FotoVoltaic 1/30.1 Cerere Rambursare 1/24. PV Verificare faze determinante/PV_07_Verificare_faze_determinante_30_06_2026 v1.pdf","Deschide sursa")</x:f>
        <x:v>HYPERLINK is not implemented. linkLocation=file:///Z:/00. Proiecte 2025/AFIR FotoVoltaic 1/30.1 Cerere Rambursare 1/24. PV Verificare faze determinante/PV_07_Verificare_faze_determinante_30_06_2026 v1.pdf, friendlyName=Deschide sursa</x:v>
      </x:c>
    </x:row>
    <x:row r="593" ht="78" customHeight="1">
      <x:c r="A593" s="8" t="str">
        <x:v>F1030</x:v>
      </x:c>
      <x:c r="B593" s="8" t="str">
        <x:v>Procese verbale de receptie provizorie_partiala_s.pdf</x:v>
      </x:c>
      <x:c r="C593" s="8" t="str">
        <x:v>Rambursare tranșa 1</x:v>
      </x:c>
      <x:c r="D593" s="12" t="str">
        <x:v>1</x:v>
      </x:c>
      <x:c r="E593" s="11" t="n">
        <x:v>46069</x:v>
      </x:c>
      <x:c r="F593" s="12" t="str"/>
      <x:c r="G593" s="11" t="str"/>
      <x:c r="H593" s="8" t="str"/>
      <x:c r="I593" s="8" t="str">
        <x:v>Document local; transmiterea individuală neconfirmată</x:v>
      </x:c>
      <x:c r="J593" s="8" t="str">
        <x:v>nr. 5,jud. Alba
nr. 96, jud. Mures - Hal a de Productie C 1
Nr. 1 / 16.02.2026
nr. 275/01.02.2024 (nr. inreg. beneficiar 05/01.02.2024) · Finantare nr.
nr. 1/16.02.2026.</x:v>
      </x:c>
      <x:c r="K593" s="8" t="str">
        <x:v>Text extras; numerele din referințe sunt în coloana separată</x:v>
      </x:c>
      <x:c r="L593" s="8" t="e">
        <x:f>HYPERLINK("file:///Z:/00. Proiecte 2025/AFIR FotoVoltaic 1/30.1 Cerere Rambursare 1/25. PV receptie partiala CD 1 03_07_2026/Procese verbale de receptie provizorie_partiala_s.pdf","Deschide sursa")</x:f>
        <x:v>HYPERLINK is not implemented. linkLocation=file:///Z:/00. Proiecte 2025/AFIR FotoVoltaic 1/30.1 Cerere Rambursare 1/25. PV receptie partiala CD 1 03_07_2026/Procese verbale de receptie provizorie_partiala_s.pdf, friendlyName=Deschide sursa</x:v>
      </x:c>
    </x:row>
    <x:row r="594" ht="162" customHeight="1">
      <x:c r="A594" s="8" t="str">
        <x:v>F1031</x:v>
      </x:c>
      <x:c r="B594" s="8" t="str">
        <x:v>PV_08_Receptie_partiala_transa1_03_07_2026 v1.docx</x:v>
      </x:c>
      <x:c r="C594" s="8" t="str">
        <x:v>Rambursare tranșa 1</x:v>
      </x:c>
      <x:c r="D594" s="12" t="str">
        <x:v>8</x:v>
      </x:c>
      <x:c r="E594" s="11" t="n">
        <x:v>46206</x:v>
      </x:c>
      <x:c r="F594" s="12" t="str"/>
      <x:c r="G594" s="11" t="str"/>
      <x:c r="H594" s="8" t="str"/>
      <x:c r="I594" s="8" t="str">
        <x:v>Document local; transmiterea individuală neconfirmată</x:v>
      </x:c>
      <x:c r="J594" s="8" t="str">
        <x:v>nr. 5, jud. Alba
nr. 96, jud. Mureș — Hala de Producție C1
Nr. 8 / 03.07.2026
nr. 275/01.02.2024 (nr. înreg. beneficiar 05/01.02.2024) · Finanțare nr. CFMSES011011372801030/30.12.2024
Nr. 1/07.08.2026, cod RFMSES011011372801030 — tranșa 1
nr. 2/17.02.2026 | 1.800,00
nr. 3/08.04.2026 | 312.621,74
nr. 4/14.04.2026 | 585.000,00
nr. 5/23.06.2026 | 966.570,00
nr. 6/28.06.2026 | 542.950,41
nr. 6/28.06.2026 | 58.000,00</x:v>
      </x:c>
      <x:c r="K594" s="8" t="str">
        <x:v>Text extras; numerele din referințe sunt în coloana separată</x:v>
      </x:c>
      <x:c r="L594" s="8" t="e">
        <x:f>HYPERLINK("file:///Z:/00. Proiecte 2025/AFIR FotoVoltaic 1/30.1 Cerere Rambursare 1/25. PV receptie partiala CD 1 03_07_2026/PV_08_Receptie_partiala_transa1_03_07_2026 v1.docx","Deschide sursa")</x:f>
        <x:v>HYPERLINK is not implemented. linkLocation=file:///Z:/00. Proiecte 2025/AFIR FotoVoltaic 1/30.1 Cerere Rambursare 1/25. PV receptie partiala CD 1 03_07_2026/PV_08_Receptie_partiala_transa1_03_07_2026 v1.docx, friendlyName=Deschide sursa</x:v>
      </x:c>
    </x:row>
    <x:row r="595" ht="176" customHeight="1">
      <x:c r="A595" s="8" t="str">
        <x:v>F1032</x:v>
      </x:c>
      <x:c r="B595" s="8" t="str">
        <x:v>PV_08_Receptie_partiala_transa1_03_07_2026 v1.pdf</x:v>
      </x:c>
      <x:c r="C595" s="8" t="str">
        <x:v>Rambursare tranșa 1</x:v>
      </x:c>
      <x:c r="D595" s="12" t="str">
        <x:v>8</x:v>
      </x:c>
      <x:c r="E595" s="11" t="n">
        <x:v>46206</x:v>
      </x:c>
      <x:c r="F595" s="12" t="str"/>
      <x:c r="G595" s="11" t="str"/>
      <x:c r="H595" s="8" t="str"/>
      <x:c r="I595" s="8" t="str">
        <x:v>Document local; transmiterea individuală neconfirmată</x:v>
      </x:c>
      <x:c r="J595" s="8" t="str">
        <x:v>nr. 5,j ud. Alba
nr. 96. jud. Mures - Hal a de Produc(ie C 1
Nr. 8 / 03.07.2026
nr.-275/01.02.2024 (nr. in11:-g-:-benefi-ciar 05/01.(J2.°f024) . Finan tare nr.
Nr. 1/07. 08.2026, cod RFMSESOl 1011372801030 -transa 1
Nr. ---Bun 7iucrare -receptionat . --Cantitate
nr. 2/17.02.2026
nr. 3/08.04.2026
nr. 4/14.04.2026 585.000,00
nr. 5/23.06.2026
nr. 6/28.06.2026 542.950,4 l
nr�_0i2? _.0��02_6 ···-- __ _ _ _ _ _ _ 28.Q_QQ,QQ _</x:v>
      </x:c>
      <x:c r="K595" s="8" t="str">
        <x:v>Text extras; numerele din referințe sunt în coloana separată</x:v>
      </x:c>
      <x:c r="L595" s="8" t="e">
        <x:f>HYPERLINK("file:///Z:/00. Proiecte 2025/AFIR FotoVoltaic 1/30.1 Cerere Rambursare 1/25. PV receptie partiala CD 1 03_07_2026/PV_08_Receptie_partiala_transa1_03_07_2026 v1.pdf","Deschide sursa")</x:f>
        <x:v>HYPERLINK is not implemented. linkLocation=file:///Z:/00. Proiecte 2025/AFIR FotoVoltaic 1/30.1 Cerere Rambursare 1/25. PV receptie partiala CD 1 03_07_2026/PV_08_Receptie_partiala_transa1_03_07_2026 v1.pdf, friendlyName=Deschide sursa</x:v>
      </x:c>
    </x:row>
    <x:row r="596" ht="120" customHeight="1">
      <x:c r="A596" s="8" t="str">
        <x:v>F1043</x:v>
      </x:c>
      <x:c r="B596" s="8" t="str">
        <x:v>Notificare C3.3.8 (4).pdf</x:v>
      </x:c>
      <x:c r="C596" s="8" t="str">
        <x:v>Rambursare tranșa 1</x:v>
      </x:c>
      <x:c r="D596" s="12" t="str"/>
      <x:c r="E596" s="11" t="str"/>
      <x:c r="F596" s="12" t="str">
        <x:v>1.370.394</x:v>
      </x:c>
      <x:c r="G596" s="11" t="str"/>
      <x:c r="H596" s="8" t="str"/>
      <x:c r="I596" s="8" t="str">
        <x:v>Document local; transmiterea individuală neconfirmată</x:v>
      </x:c>
      <x:c r="J596" s="8" t="str">
        <x:v>Nr: 23, Jud: ALBA, Tel: 0358 860 245
Număr de înregistrare electronic: 1.370.394
Nr. 5, Cod poștal 510040, MUNICIPIUL ALBA IULIA, Jud. ALBA
nr. FN/13.07.2026 și
nregistrate la Centrul Regional pentru Finan țarea Investițiilor Rurale 7 Centru
nr. 671/14.07.2026, vă informăm că aceasta nu a fost aprobată pentru următoarele considerente:
nr. 1 din data de 30.06.2026, rezultă în mod evident
nr. 1, perfectat cu AFIR, fapt care determină lipsa de obiect</x:v>
      </x:c>
      <x:c r="K596" s="8" t="str">
        <x:v>Text extras; numerele din referințe sunt în coloana separată</x:v>
      </x:c>
      <x:c r="L596" s="8" t="e">
        <x:f>HYPERLINK("file:///Z:/00. Proiecte 2025/AFIR FotoVoltaic 1/30.1 Cerere Rambursare 1/27. Avizare Notificare Nr.2/Notificare C3.3.8 (4).pdf","Deschide sursa")</x:f>
        <x:v>HYPERLINK is not implemented. linkLocation=file:///Z:/00. Proiecte 2025/AFIR FotoVoltaic 1/30.1 Cerere Rambursare 1/27. Avizare Notificare Nr.2/Notificare C3.3.8 (4).pdf, friendlyName=Deschide sursa</x:v>
      </x:c>
    </x:row>
    <x:row r="597" ht="120" customHeight="1">
      <x:c r="A597" s="8" t="str">
        <x:v>F1044</x:v>
      </x:c>
      <x:c r="B597" s="8" t="str">
        <x:v>Notificare C3.3.8_.pdf</x:v>
      </x:c>
      <x:c r="C597" s="8" t="str">
        <x:v>Rambursare tranșa 1</x:v>
      </x:c>
      <x:c r="D597" s="12" t="str"/>
      <x:c r="E597" s="11" t="str"/>
      <x:c r="F597" s="12" t="str">
        <x:v>1.370.394</x:v>
      </x:c>
      <x:c r="G597" s="11" t="str"/>
      <x:c r="H597" s="8" t="str"/>
      <x:c r="I597" s="8" t="str">
        <x:v>Document local; transmiterea individuală neconfirmată</x:v>
      </x:c>
      <x:c r="J597" s="8" t="str">
        <x:v>Nr: 23, Jud: ALBA, Tel: 0358 860 245
Număr de înregistrare electronic: 1.370.394
Nr. 5, Cod poștal 510040, MUNICIPIUL ALBA IULIA, Jud. ALBA
nr. FN/13.07.2026 și
nregistrate la Centrul Regional pentru Finan țarea Investițiilor Rurale 7 Centru
nr. 671/14.07.2026, vă informăm că aceasta nu a fost aprobată pentru următoarele considerente:
nr. 1 din data de 30.06.2026, rezultă în mod evident
nr. 1, perfectat cu AFIR, fapt care determină lipsa de obiect</x:v>
      </x:c>
      <x:c r="K597" s="8" t="str">
        <x:v>Text extras; numerele din referințe sunt în coloana separată</x:v>
      </x:c>
      <x:c r="L597" s="8" t="e">
        <x:f>HYPERLINK("file:///Z:/00. Proiecte 2025/AFIR FotoVoltaic 1/30.1 Cerere Rambursare 1/27. Avizare Notificare Nr.2/Notificare C3.3.8_.pdf","Deschide sursa")</x:f>
        <x:v>HYPERLINK is not implemented. linkLocation=file:///Z:/00. Proiecte 2025/AFIR FotoVoltaic 1/30.1 Cerere Rambursare 1/27. Avizare Notificare Nr.2/Notificare C3.3.8_.pdf, friendlyName=Deschide sursa</x:v>
      </x:c>
    </x:row>
    <x:row r="598" ht="218" customHeight="1">
      <x:c r="A598" s="8" t="str">
        <x:v>F1045</x:v>
      </x:c>
      <x:c r="B598" s="8" t="str">
        <x:v>Opis_Cerere_rambursare_nr1_CESIRO (1).docx</x:v>
      </x:c>
      <x:c r="C598" s="8" t="str">
        <x:v>Rambursare tranșa 1</x:v>
      </x:c>
      <x:c r="D598" s="12" t="str"/>
      <x:c r="E598" s="11" t="str"/>
      <x:c r="F598" s="12" t="str"/>
      <x:c r="G598" s="11" t="str"/>
      <x:c r="H598" s="8" t="str"/>
      <x:c r="I598" s="8" t="str">
        <x:v>Document local; transmiterea individuală neconfirmată</x:v>
      </x:c>
      <x:c r="J598" s="8" t="str">
        <x:v>nr. 5, jud. Alba
nr. 96, jud. Mureș
nr. 23, jud. Alba
nr. 1
nr.: CFMSES011011372801030/30.12.2024
nr. 1 și că sunt conforme cu originalele aflate la sediul beneficiarului.
nr. 1 – Formular AP 1.1-SE |
nr. 0033/03.07.2026, emisă de S.C. SUNTREE SOLAR TECH S.R.L. – copie |
nr. 1 – nr. 6, emise de S.C. SUNTREE SOLAR TECH S.R.L. – copii |
nr. 1.359.705/22.06.2026 (Formular C3.3.8) |
nr. 275/01.02.2024, încheiat cu S.C. SUNTREE SOLAR TECH S.R.L. |
nr. 1 la contractul de finanțare, nr. înreg. 1.360.244/30.06.2026 (Formular C3.3.4) |
nr. 1.370.394/07.08.2026 (Formular C3.3.8) |
nr. 1, nr. 2 și nr. 3 la contractul de achiziție nr. 275/01.02.2024 |
nr. FN/11.06.2026 |</x:v>
      </x:c>
      <x:c r="K598" s="8" t="str">
        <x:v>Text extras; numerele din referințe sunt în coloana separată</x:v>
      </x:c>
      <x:c r="L598" s="8" t="e">
        <x:f>HYPERLINK("file:///Z:/00. Proiecte 2025/AFIR FotoVoltaic 1/30.1 Cerere Rambursare 1/27. Avizare Notificare Nr.2/Opis_Cerere_rambursare_nr1_CESIRO (1).docx","Deschide sursa")</x:f>
        <x:v>HYPERLINK is not implemented. linkLocation=file:///Z:/00. Proiecte 2025/AFIR FotoVoltaic 1/30.1 Cerere Rambursare 1/27. Avizare Notificare Nr.2/Opis_Cerere_rambursare_nr1_CESIRO (1).docx, friendlyName=Deschide sursa</x:v>
      </x:c>
    </x:row>
    <x:row r="599" ht="36" customHeight="1">
      <x:c r="A599" s="8" t="str">
        <x:v>F1046</x:v>
      </x:c>
      <x:c r="B599" s="8" t="str">
        <x:v>AP_1.2_SE_declaratie_de_cheltuieli--_v1.pdf</x:v>
      </x:c>
      <x:c r="C599" s="8" t="str">
        <x:v>Rambursare tranșa 1</x:v>
      </x:c>
      <x:c r="D599" s="12" t="str"/>
      <x:c r="E599" s="11" t="str"/>
      <x:c r="F599" s="12" t="str"/>
      <x:c r="G599" s="11" t="str"/>
      <x:c r="H599" s="8" t="str"/>
      <x:c r="I599" s="8" t="str">
        <x:v>Document local; transmiterea individuală neconfirmată</x:v>
      </x:c>
      <x:c r="J599" s="8" t="str"/>
      <x:c r="K599" s="8" t="str">
        <x:v>Text extras; numerele din referințe sunt în coloana separată</x:v>
      </x:c>
      <x:c r="L599" s="8" t="e">
        <x:f>HYPERLINK("file:///Z:/00. Proiecte 2025/AFIR FotoVoltaic 1/30.1 Cerere Rambursare 1/3. Declarația de cheltuieli/AP_1.2_SE_declaratie_de_cheltuieli--_v1.pdf","Deschide sursa")</x:f>
        <x:v>HYPERLINK is not implemented. linkLocation=file:///Z:/00. Proiecte 2025/AFIR FotoVoltaic 1/30.1 Cerere Rambursare 1/3. Declarația de cheltuieli/AP_1.2_SE_declaratie_de_cheltuieli--_v1.pdf, friendlyName=Deschide sursa</x:v>
      </x:c>
    </x:row>
    <x:row r="600" ht="36" customHeight="1">
      <x:c r="A600" s="8" t="str">
        <x:v>F1047</x:v>
      </x:c>
      <x:c r="B600" s="8" t="str">
        <x:v>Acte aditionale 1-2-3_.pdf</x:v>
      </x:c>
      <x:c r="C600" s="8" t="str">
        <x:v>Rambursare tranșa 1</x:v>
      </x:c>
      <x:c r="D600" s="12" t="str"/>
      <x:c r="E600" s="11" t="str"/>
      <x:c r="F600" s="12" t="str"/>
      <x:c r="G600" s="11" t="str"/>
      <x:c r="H600" s="8" t="str"/>
      <x:c r="I600" s="8" t="str">
        <x:v>Document local; transmiterea individuală neconfirmată</x:v>
      </x:c>
      <x:c r="J600" s="8" t="str"/>
      <x:c r="K600" s="8" t="str">
        <x:v>Text extras; numerele din referințe sunt în coloana separată</x:v>
      </x:c>
      <x:c r="L600" s="8" t="e">
        <x:f>HYPERLINK("file:///Z:/00. Proiecte 2025/AFIR FotoVoltaic 1/30.1 Cerere Rambursare 1/4. Contracte, achiziții și documente suport pentru cheltuieli/Acte aditionale 1-2-3_.pdf","Deschide sursa")</x:f>
        <x:v>HYPERLINK is not implemented. linkLocation=file:///Z:/00. Proiecte 2025/AFIR FotoVoltaic 1/30.1 Cerere Rambursare 1/4. Contracte, achiziții și documente suport pentru cheltuieli/Acte aditionale 1-2-3_.pdf, friendlyName=Deschide sursa</x:v>
      </x:c>
    </x:row>
    <x:row r="601" ht="50" customHeight="1">
      <x:c r="A601" s="8" t="str">
        <x:v>F1049</x:v>
      </x:c>
      <x:c r="B601" s="8" t="str">
        <x:v>Contract de achizitie Cesiro Production-Suntree_.pdf</x:v>
      </x:c>
      <x:c r="C601" s="8" t="str">
        <x:v>Rambursare tranșa 1</x:v>
      </x:c>
      <x:c r="D601" s="12" t="str"/>
      <x:c r="E601" s="11" t="str"/>
      <x:c r="F601" s="12" t="str"/>
      <x:c r="G601" s="11" t="str"/>
      <x:c r="H601" s="8" t="str"/>
      <x:c r="I601" s="8" t="str">
        <x:v>Document local; transmiterea individuală neconfirmată</x:v>
      </x:c>
      <x:c r="J601" s="8" t="str"/>
      <x:c r="K601" s="8" t="str">
        <x:v>Text extras; numerele din referințe sunt în coloana separată</x:v>
      </x:c>
      <x:c r="L601" s="8" t="e">
        <x:f>HYPERLINK("file:///Z:/00. Proiecte 2025/AFIR FotoVoltaic 1/30.1 Cerere Rambursare 1/4. Contracte, achiziții și documente suport pentru cheltuieli/Contract de achizitie Cesiro Production-Suntree_.pdf","Deschide sursa")</x:f>
        <x:v>HYPERLINK is not implemented. linkLocation=file:///Z:/00. Proiecte 2025/AFIR FotoVoltaic 1/30.1 Cerere Rambursare 1/4. Contracte, achiziții și documente suport pentru cheltuieli/Contract de achizitie Cesiro Production-Suntree_.pdf, friendlyName=Deschide sursa</x:v>
      </x:c>
    </x:row>
    <x:row r="602" ht="400" customHeight="1">
      <x:c r="A602" s="8" t="str">
        <x:v>F1050</x:v>
      </x:c>
      <x:c r="B602" s="8" t="str">
        <x:v>AP_1_3_SE_Raport_executie_Transa1_v2.docx</x:v>
      </x:c>
      <x:c r="C602" s="8" t="str">
        <x:v>Rambursare tranșa 1</x:v>
      </x:c>
      <x:c r="D602" s="12" t="str"/>
      <x:c r="E602" s="11" t="str"/>
      <x:c r="F602" s="12" t="str"/>
      <x:c r="G602" s="11" t="str"/>
      <x:c r="H602" s="8" t="str"/>
      <x:c r="I602" s="8" t="str">
        <x:v>Document local; transmiterea individuală neconfirmată</x:v>
      </x:c>
      <x:c r="J602" s="8" t="str">
        <x:v>nr. 5, jud. Alba
nr. 96, jud. Mureș — Hala de Producție C1
nr. 1/07.08.2026 — Tranșa 1
nr. CFMSES011011372801030, semnat cu Agenția pentru Finanțarea Investițiilor Rurale la data de 30.12.2024, pentru proiectul „IMPLEMENTAREA SISTEMULUI FOTOVOLTAIC 1
nr. 1, realizările în cadrul proiectului se prezintă astfel:
nr. 275/01.02.2024 (nr. înreg. beneficiar 05/01.02.2024), încheiat cu SUNTREE SOLAR TECH S.R.L., cuprinse în Situația de lucrări nr. 341/03.07.2026 și facturate pr
nr. 0033/03.07.2026:
nr. 275/01.02.2024 (linia „Lucrări de montare/instalare și punere în funcțiune” = 1.940.281,20 lei fără TVA) este de 754.330,79 lei fără TVA și se va executa și de
nr. 0033/03.07.2026, nu constituie lucrare de montaj și se încadrează la Cap. 5.1.2 din bugetul indicativ; aceasta este prezentată la pct. 1.3 — Servicii achizițio
nr. 341/03.07.2026 și nu este facturată prin Factura seria SST nr. 0033/03.07.2026, urmând a fi decontată în tranșa următoare.
nr. 1.359.705/22.06.2026. Stadiul de realizare este confirmat prin procesele-verbale enumerate în Anexa 1 la prezentul raport — Centralizatorul proceselor-verbale.
nr. 275/01.02.2024 (linia „Dotări/bunuri pentru producerea de energie electrică” = 2.942.976,00 lei fără TVA) este de 1.663.784,26 lei fără TVA, care urmează a fi
nr. 0033/03.07.2026 și nu sunt solicitate la plată prin prezenta cerere.
nr. 5/23.06.2026.
nr. 275/01.02.2024 (nr. înreg. beneficiar 05/01.02.2024), încheiat cu SUNTREE SOLAR TECH S.R.L., poziția „Servicii de organizare de șantier” = 1.800,00 lei fără TV
nr. 0033/03.07.2026, poziția 1 — 1.800,00 lei fără TVA, 378,00 lei TVA.
nr. 2/17.02.2026, în valoare de 1.800,00 lei fără TVA. Factura seria SST nr. 0033/03.07.2026 a fost achitată integral către furnizor prin transfer bancar, conform
nr. CFMSES011011372801030 (coloana „Cheltuieli neeligibile” = 0,00 lei). Valoarea solicitată de 1.800,00 lei fără TVA se încadrează în plafonul subcapitolului buge
nr. 96, jud. Mureș.
nr. 4/14.04.2026 | 14.04.2026</x:v>
      </x:c>
      <x:c r="K602" s="8" t="str">
        <x:v>Text extras; numerele din referințe sunt în coloana separată</x:v>
      </x:c>
      <x:c r="L602" s="8" t="e">
        <x:f>HYPERLINK("file:///Z:/00. Proiecte 2025/AFIR FotoVoltaic 1/30.1 Cerere Rambursare 1/5. Raportul de execuție si procese verbale si centralizator panouri si invertore/AP_1_3_SE_Raport_executie_Transa1_v2.docx","Deschide sursa")</x:f>
        <x:v>HYPERLINK is not implemented. linkLocation=file:///Z:/00. Proiecte 2025/AFIR FotoVoltaic 1/30.1 Cerere Rambursare 1/5. Raportul de execuție si procese verbale si centralizator panouri si invertore/AP_1_3_SE_Raport_executie_Transa1_v2.docx, friendlyName=Deschide sursa</x:v>
      </x:c>
    </x:row>
    <x:row r="603" ht="274" customHeight="1">
      <x:c r="A603" s="8" t="str">
        <x:v>F1051</x:v>
      </x:c>
      <x:c r="B603" s="8" t="str">
        <x:v>AP_1_3_SE_Raport_executie_Transa1_v4.pdf</x:v>
      </x:c>
      <x:c r="C603" s="8" t="str">
        <x:v>Rambursare tranșa 1</x:v>
      </x:c>
      <x:c r="D603" s="12" t="str"/>
      <x:c r="E603" s="11" t="str"/>
      <x:c r="F603" s="12" t="str"/>
      <x:c r="G603" s="11" t="str"/>
      <x:c r="H603" s="8" t="str">
        <x:v>275 / 01.02.2024</x:v>
      </x:c>
      <x:c r="I603" s="8" t="str">
        <x:v>Document local; transmiterea individuală neconfirmată</x:v>
      </x:c>
      <x:c r="J603" s="8" t="str">
        <x:v>nr. 5,jud. Alba
nr. 96, jud. Mure� - Ha l a de Produqie Cl
nr. 1/12.08.2026 - Tran�a 1
nr. CFMS ESO 11011372801030,
nr. 1, realizarile in ca drul
nr. 275/01.02.2024 (nr. inreg. beneficiar 05/01.02.2024), incheiat cu SUNTREE SOL AR TECH S. R.L., cuprinse in Situa tia de
nr. 341/03.07.2026 �i fa cturate prin Factura seria SST nr. 0033 /03.07.20 26:
nr. 275/0 I .02.2024 (linia ., Lucrari de montare/instalare iji pun ere fn funcfiune" = 1. 940.281,20 lei fora TVA) este
nr. 0033/03.07.2026,
nr. 341 /03 .07 .2026 �i nu este facturata prin Factura
nr. 0033/03.07.2026, urmand a fi decontata in tran�a unnatoare.
nr. I .359.705/22.06.2026. Stadiul de realizare este confirmat prin procesele-verbale
nr. 23.06.2026
nr. 08.04.2026
nr. 275/01.02.202 4 (linia ,,Dotari/bu nuri pentru
nr. 0033/03.07.2026 �i nu sunt solicitate la plata prin prezenta cerere.
nr. 5/23.06.2026.</x:v>
      </x:c>
      <x:c r="K603" s="8" t="str">
        <x:v>Text extras; numerele din referințe sunt în coloana separată</x:v>
      </x:c>
      <x:c r="L603" s="8" t="e">
        <x:f>HYPERLINK("file:///Z:/00. Proiecte 2025/AFIR FotoVoltaic 1/30.1 Cerere Rambursare 1/5. Raportul de execuție si procese verbale si centralizator panouri si invertore/AP_1_3_SE_Raport_executie_Transa1_v4.pdf","Deschide sursa")</x:f>
        <x:v>HYPERLINK is not implemented. linkLocation=file:///Z:/00. Proiecte 2025/AFIR FotoVoltaic 1/30.1 Cerere Rambursare 1/5. Raportul de execuție si procese verbale si centralizator panouri si invertore/AP_1_3_SE_Raport_executie_Transa1_v4.pdf, friendlyName=Deschide sursa</x:v>
      </x:c>
    </x:row>
    <x:row r="604" ht="92" customHeight="1">
      <x:c r="A604" s="8" t="str">
        <x:v>F1052</x:v>
      </x:c>
      <x:c r="B604" s="8" t="str">
        <x:v>Anexa_1_Centralizator_procese_verbale_Transa1 (1).docx</x:v>
      </x:c>
      <x:c r="C604" s="8" t="str">
        <x:v>Rambursare tranșa 1</x:v>
      </x:c>
      <x:c r="D604" s="12" t="str"/>
      <x:c r="E604" s="11" t="str"/>
      <x:c r="F604" s="12" t="str"/>
      <x:c r="G604" s="11" t="str"/>
      <x:c r="H604" s="8" t="str"/>
      <x:c r="I604" s="8" t="str">
        <x:v>Document local; transmiterea individuală neconfirmată</x:v>
      </x:c>
      <x:c r="J604" s="8" t="str">
        <x:v>nr. 5, jud. Alba
nr. 96, jud. Mureș — Hala de Producție C1
nr. 1/07.08.2026 — Tranșa 1
nr. 1 sunt conforme realizărilor din teren. Stadiul de realizare din Raportul de execuție este confirmat de:
nr. 58300, nr. cad. 58300-C1 | Amplasament predat liber de sarcini; executantul poate începe lucrările de la 16.02.2026</x:v>
      </x:c>
      <x:c r="K604" s="8" t="str">
        <x:v>Text extras; numerele din referințe sunt în coloana separată</x:v>
      </x:c>
      <x:c r="L604" s="8" t="e">
        <x:f>HYPERLINK("file:///Z:/00. Proiecte 2025/AFIR FotoVoltaic 1/30.1 Cerere Rambursare 1/6. Anexa 1 cu centralizatorul proceselor verbale/Anexa_1_Centralizator_procese_verbale_Transa1 (1).docx","Deschide sursa")</x:f>
        <x:v>HYPERLINK is not implemented. linkLocation=file:///Z:/00. Proiecte 2025/AFIR FotoVoltaic 1/30.1 Cerere Rambursare 1/6. Anexa 1 cu centralizatorul proceselor verbale/Anexa_1_Centralizator_procese_verbale_Transa1 (1).docx, friendlyName=Deschide sursa</x:v>
      </x:c>
    </x:row>
    <x:row r="605" ht="78" customHeight="1">
      <x:c r="A605" s="8" t="str">
        <x:v>F1053</x:v>
      </x:c>
      <x:c r="B605" s="8" t="str">
        <x:v>Anexa_1_Centralizator_procese_verbale_Transa1v1.pdf</x:v>
      </x:c>
      <x:c r="C605" s="8" t="str">
        <x:v>Rambursare tranșa 1</x:v>
      </x:c>
      <x:c r="D605" s="12" t="str"/>
      <x:c r="E605" s="11" t="str"/>
      <x:c r="F605" s="12" t="str"/>
      <x:c r="G605" s="11" t="str"/>
      <x:c r="H605" s="8" t="str"/>
      <x:c r="I605" s="8" t="str">
        <x:v>Document local; transmiterea individuală neconfirmată</x:v>
      </x:c>
      <x:c r="J605" s="8" t="str">
        <x:v>nr. 5, jud. Alba
nr. 96, jud. Mureș — Hala de Producție C1
nr. 1/12.08.2026 — Tranșa 1
nr. 1 sunt conforme realizărilor din teren. Stadiul de realizare din Raportul de execuție este confirmat de:
nr. 58300, nr. cad. 58300-C1</x:v>
      </x:c>
      <x:c r="K605" s="8" t="str">
        <x:v>Text extras; numerele din referințe sunt în coloana separată</x:v>
      </x:c>
      <x:c r="L605" s="8" t="e">
        <x:f>HYPERLINK("file:///Z:/00. Proiecte 2025/AFIR FotoVoltaic 1/30.1 Cerere Rambursare 1/6. Anexa 1 cu centralizatorul proceselor verbale/Anexa_1_Centralizator_procese_verbale_Transa1v1.pdf","Deschide sursa")</x:f>
        <x:v>HYPERLINK is not implemented. linkLocation=file:///Z:/00. Proiecte 2025/AFIR FotoVoltaic 1/30.1 Cerere Rambursare 1/6. Anexa 1 cu centralizatorul proceselor verbale/Anexa_1_Centralizator_procese_verbale_Transa1v1.pdf, friendlyName=Deschide sursa</x:v>
      </x:c>
    </x:row>
    <x:row r="606" ht="358" customHeight="1">
      <x:c r="A606" s="8" t="str">
        <x:v>F1054</x:v>
      </x:c>
      <x:c r="B606" s="8" t="str">
        <x:v>Situatie_de_plata_transa_V2_v3.pdf</x:v>
      </x:c>
      <x:c r="C606" s="8" t="str">
        <x:v>Rambursare tranșa 1</x:v>
      </x:c>
      <x:c r="D606" s="12" t="str"/>
      <x:c r="E606" s="11" t="str"/>
      <x:c r="F606" s="12" t="str"/>
      <x:c r="G606" s="11" t="str"/>
      <x:c r="H606" s="8" t="str"/>
      <x:c r="I606" s="8" t="str">
        <x:v>Document local; transmiterea individuală neconfirmată</x:v>
      </x:c>
      <x:c r="J606" s="8" t="str">
        <x:v>NRC JO I /8 l 7 /2022 · Alba Iulia, str. Augustin Bena nr. 14, jud. Alba
nr. 96,jud. Mures- Hala de Productie Cl
NRC JOl/ 1328/2021
nr. 5, jud. Alba
nr. 1 / 03.07.2026
nr. 1/12.08.2026, cod RFMSES011011372801030
nr. 275/0 I .02.2024 Contract de fin an tare nr. CFMSES0 110113 7280 I 030/30.12.2024 Ord in de 1ncepere a lucr arilor nr. I /16.0 2.202 6
nr. 341/03.07.2026 Factura seria SST nr. 0033/03.07.2026 · Perioada de execut ie a lucr arilor decontate: 14.04.2026 - 28.0 6.2026
nr. 34//03.07.2026 · PVnr. d) transport: 0,00
nr. 341/03.07.2026 · PVnr. Justif. dif.: - c) utilaje: 0,00 I l
nr. 34J/03.07.2026 · PV nr. Justif. dif.: - c) utilaje: 0,00 I [ : '6 /28.06.2026,iPf'nr. 7130.06.2026 d)transport:0,00 1 1 ,
nr, 1 /03.07.2026 - Tran�a 1 - CESIRO PRODUCTION S.R.L. · Contract de finantare nr, CFMSES0 1 1011372801030 I pagina 1 din 4
nr. 1 /03.07.2026 - Tran$a I - CESIRO PRODUCTION S.R.L. · Contract de finan(are nr. CFMSES0 1101137280 I 030 I pagina 2 din 4
nr. 1/12.08.2026
nr. CFMSES0
nr. 1/03.07.2026; Situatia de lucrari nr.
nr. 4/14.04.2026, nr. 6/28.06.2026, nr.
nr. 3/08.04.2026 (structura), nr. 5/23.06.2026 1.279.191,74 :,
nr. 2/17.02.2026 de recep\ie a organizarii de �antier; 1.800,00 1
Nr. CFMSES0l 101 1372801030•·</x:v>
      </x:c>
      <x:c r="K606" s="8" t="str">
        <x:v>Text extras; numerele din referințe sunt în coloana separată</x:v>
      </x:c>
      <x:c r="L606" s="8" t="e">
        <x:f>HYPERLINK("file:///Z:/00. Proiecte 2025/AFIR FotoVoltaic 1/30.1 Cerere Rambursare 1/7. Situații de plată pentru lucrări_Situatie de lucrari/Situatie_de_plata_transa_V2_v3.pdf","Deschide sursa")</x:f>
        <x:v>HYPERLINK is not implemented. linkLocation=file:///Z:/00. Proiecte 2025/AFIR FotoVoltaic 1/30.1 Cerere Rambursare 1/7. Situații de plată pentru lucrări_Situatie de lucrari/Situatie_de_plata_transa_V2_v3.pdf, friendlyName=Deschide sursa</x:v>
      </x:c>
    </x:row>
    <x:row r="607" ht="36" customHeight="1">
      <x:c r="A607" s="8" t="str">
        <x:v>F1055</x:v>
      </x:c>
      <x:c r="B607" s="8" t="str">
        <x:v>Fise Tehnice Huawei.pdf</x:v>
      </x:c>
      <x:c r="C607" s="8" t="str">
        <x:v>Rambursare tranșa 1</x:v>
      </x:c>
      <x:c r="D607" s="12" t="str"/>
      <x:c r="E607" s="11" t="str"/>
      <x:c r="F607" s="12" t="str"/>
      <x:c r="G607" s="11" t="str"/>
      <x:c r="H607" s="8" t="str"/>
      <x:c r="I607" s="8" t="str">
        <x:v>Document local; transmiterea individuală neconfirmată</x:v>
      </x:c>
      <x:c r="J607" s="8" t="str"/>
      <x:c r="K607" s="8" t="str">
        <x:v>Text extras; numerele din referințe sunt în coloana separată</x:v>
      </x:c>
      <x:c r="L607" s="8" t="e">
        <x:f>HYPERLINK("file:///Z:/00. Proiecte 2025/AFIR FotoVoltaic 1/30.1 Cerere Rambursare 1/8. Certificate, conformitate, calitate, garanții- DE FACUT/Fise Tehnice Huawei.pdf","Deschide sursa")</x:f>
        <x:v>HYPERLINK is not implemented. linkLocation=file:///Z:/00. Proiecte 2025/AFIR FotoVoltaic 1/30.1 Cerere Rambursare 1/8. Certificate, conformitate, calitate, garanții- DE FACUT/Fise Tehnice Huawei.pdf, friendlyName=Deschide sursa</x:v>
      </x:c>
    </x:row>
    <x:row r="608" ht="36" customHeight="1">
      <x:c r="A608" s="8" t="str">
        <x:v>F1056</x:v>
      </x:c>
      <x:c r="B608" s="8" t="str">
        <x:v>Fise Tehnice Panouri.pdf</x:v>
      </x:c>
      <x:c r="C608" s="8" t="str">
        <x:v>Rambursare tranșa 1</x:v>
      </x:c>
      <x:c r="D608" s="12" t="str"/>
      <x:c r="E608" s="11" t="str"/>
      <x:c r="F608" s="12" t="str"/>
      <x:c r="G608" s="11" t="str"/>
      <x:c r="H608" s="8" t="str"/>
      <x:c r="I608" s="8" t="str">
        <x:v>Document local; transmiterea individuală neconfirmată</x:v>
      </x:c>
      <x:c r="J608" s="8" t="str">
        <x:v>nren15 copyr动 t口otecled and any unauthonzed alteration. forgemy or fatof,刁bon of the content or</x:v>
      </x:c>
      <x:c r="K608" s="8" t="str">
        <x:v>Text extras; numerele din referințe sunt în coloana separată</x:v>
      </x:c>
      <x:c r="L608" s="8" t="e">
        <x:f>HYPERLINK("file:///Z:/00. Proiecte 2025/AFIR FotoVoltaic 1/30.1 Cerere Rambursare 1/8. Certificate, conformitate, calitate, garanții- DE FACUT/Fise Tehnice Panouri.pdf","Deschide sursa")</x:f>
        <x:v>HYPERLINK is not implemented. linkLocation=file:///Z:/00. Proiecte 2025/AFIR FotoVoltaic 1/30.1 Cerere Rambursare 1/8. Certificate, conformitate, calitate, garanții- DE FACUT/Fise Tehnice Panouri.pdf, friendlyName=Deschide sursa</x:v>
      </x:c>
    </x:row>
    <x:row r="609" ht="50" customHeight="1">
      <x:c r="A609" s="8" t="str">
        <x:v>F1057</x:v>
      </x:c>
      <x:c r="B609" s="8" t="str">
        <x:v>Fise tehnice Producatori Huawei_Panouri_Avasco_s.pdf</x:v>
      </x:c>
      <x:c r="C609" s="8" t="str">
        <x:v>Rambursare tranșa 1</x:v>
      </x:c>
      <x:c r="D609" s="12" t="str"/>
      <x:c r="E609" s="11" t="str"/>
      <x:c r="F609" s="12" t="str"/>
      <x:c r="G609" s="11" t="str"/>
      <x:c r="H609" s="8" t="str"/>
      <x:c r="I609" s="8" t="str">
        <x:v>Document local; transmiterea individuală neconfirmată</x:v>
      </x:c>
      <x:c r="J609" s="8" t="str">
        <x:v>nren15 copyr动 t口otecled and any unauthonzed alteration. forgemy or fatof,刁bon of the content or</x:v>
      </x:c>
      <x:c r="K609" s="8" t="str">
        <x:v>Text extras; numerele din referințe sunt în coloana separată</x:v>
      </x:c>
      <x:c r="L609" s="8" t="e">
        <x:f>HYPERLINK("file:///Z:/00. Proiecte 2025/AFIR FotoVoltaic 1/30.1 Cerere Rambursare 1/8. Certificate, conformitate, calitate, garanții- DE FACUT/Fise tehnice Producatori Huawei_Panouri_Avasco_s.pdf","Deschide sursa")</x:f>
        <x:v>HYPERLINK is not implemented. linkLocation=file:///Z:/00. Proiecte 2025/AFIR FotoVoltaic 1/30.1 Cerere Rambursare 1/8. Certificate, conformitate, calitate, garanții- DE FACUT/Fise tehnice Producatori Huawei_Panouri_Avasco_s.pdf, friendlyName=Deschide sursa</x:v>
      </x:c>
    </x:row>
    <x:row r="610" ht="50" customHeight="1">
      <x:c r="A610" s="8" t="str">
        <x:v>F1058</x:v>
      </x:c>
      <x:c r="B610" s="8" t="str">
        <x:v>Fise tehnice si garantie Avasco.pdf</x:v>
      </x:c>
      <x:c r="C610" s="8" t="str">
        <x:v>Rambursare tranșa 1</x:v>
      </x:c>
      <x:c r="D610" s="12" t="str"/>
      <x:c r="E610" s="11" t="str"/>
      <x:c r="F610" s="12" t="str"/>
      <x:c r="G610" s="11" t="str"/>
      <x:c r="H610" s="8" t="str"/>
      <x:c r="I610" s="8" t="str">
        <x:v>Document local; transmiterea individuală neconfirmată</x:v>
      </x:c>
      <x:c r="J610" s="8" t="str"/>
      <x:c r="K610" s="8" t="str">
        <x:v>Text extras; numerele din referințe sunt în coloana separată</x:v>
      </x:c>
      <x:c r="L610" s="8" t="e">
        <x:f>HYPERLINK("file:///Z:/00. Proiecte 2025/AFIR FotoVoltaic 1/30.1 Cerere Rambursare 1/8. Certificate, conformitate, calitate, garanții- DE FACUT/Fise tehnice si garantie Avasco.pdf","Deschide sursa")</x:f>
        <x:v>HYPERLINK is not implemented. linkLocation=file:///Z:/00. Proiecte 2025/AFIR FotoVoltaic 1/30.1 Cerere Rambursare 1/8. Certificate, conformitate, calitate, garanții- DE FACUT/Fise tehnice si garantie Avasco.pdf, friendlyName=Deschide sursa</x:v>
      </x:c>
    </x:row>
    <x:row r="611" ht="148" customHeight="1">
      <x:c r="A611" s="8" t="str">
        <x:v>F1059</x:v>
      </x:c>
      <x:c r="B611" s="8" t="str">
        <x:v>Documentar_fotografic_CESIRO_Transa1_REVIZUITv1.pdf</x:v>
      </x:c>
      <x:c r="C611" s="8" t="str">
        <x:v>Rambursare tranșa 1</x:v>
      </x:c>
      <x:c r="D611" s="12" t="str"/>
      <x:c r="E611" s="11" t="str"/>
      <x:c r="F611" s="12" t="str"/>
      <x:c r="G611" s="11" t="str"/>
      <x:c r="H611" s="8" t="str"/>
      <x:c r="I611" s="8" t="str">
        <x:v>Document local; transmiterea individuală neconfirmată</x:v>
      </x:c>
      <x:c r="J611" s="8" t="str">
        <x:v>nr. 5, jud. Alba
nr. 96, jud. Mureș
nr. CFMSES011011372801030
Nr. reg. com. 45050734 / J01/1328/2021
nr. 96, jud. Mureș — Hala de Producție
nr. CFMSES011011372801030 / 30.12.2024 (CRFIR 7 Centru — Alba Iulia)
nr. 275/01.02.2024
Nr.1
Nr.2
nr. 96,</x:v>
      </x:c>
      <x:c r="K611" s="8" t="str">
        <x:v>Text extras; numerele din referințe sunt în coloana separată</x:v>
      </x:c>
      <x:c r="L611" s="8" t="e">
        <x:f>HYPERLINK("file:///Z:/00. Proiecte 2025/AFIR FotoVoltaic 1/30.1 Cerere Rambursare 1/9-10. Fotografii relevante ale investiției/Documentar_fotografic_CESIRO_Transa1_REVIZUITv1.pdf","Deschide sursa")</x:f>
        <x:v>HYPERLINK is not implemented. linkLocation=file:///Z:/00. Proiecte 2025/AFIR FotoVoltaic 1/30.1 Cerere Rambursare 1/9-10. Fotografii relevante ale investiției/Documentar_fotografic_CESIRO_Transa1_REVIZUITv1.pdf, friendlyName=Deschide sursa</x:v>
      </x:c>
    </x:row>
    <x:row r="612" ht="148" customHeight="1">
      <x:c r="A612" s="8" t="str">
        <x:v>F1060</x:v>
      </x:c>
      <x:c r="B612" s="8" t="str">
        <x:v>1. Documentar_fotografic_CESIRO_Transa1_REVIZUITv1__.pdf</x:v>
      </x:c>
      <x:c r="C612" s="8" t="str">
        <x:v>Rambursare tranșa 1</x:v>
      </x:c>
      <x:c r="D612" s="12" t="str"/>
      <x:c r="E612" s="11" t="str"/>
      <x:c r="F612" s="12" t="str"/>
      <x:c r="G612" s="11" t="str"/>
      <x:c r="H612" s="8" t="str"/>
      <x:c r="I612" s="8" t="str">
        <x:v>Document local; transmiterea individuală neconfirmată</x:v>
      </x:c>
      <x:c r="J612" s="8" t="str">
        <x:v>nr. 5, jud. Alba
nr. 96, jud. Mureș
nr. CFMSES011011372801030
Nr. reg. com. 45050734 / J01/1328/2021
nr. 96, jud. Mureș — Hala de Producție
nr. CFMSES011011372801030 / 30.12.2024 (CRFIR 7 Centru — Alba Iulia)
nr. 275/01.02.2024
Nr.1
Nr.2
nr. 96,</x:v>
      </x:c>
      <x:c r="K612" s="8" t="str">
        <x:v>Text extras; numerele din referințe sunt în coloana separată</x:v>
      </x:c>
      <x:c r="L612" s="8" t="e">
        <x:f>HYPERLINK("file:///Z:/00. Proiecte 2025/AFIR FotoVoltaic 1/30.1 Cerere Rambursare 1/Clarificare nr.1/1. Documentar_fotografic_CESIRO_Transa1_REVIZUITv1__.pdf","Deschide sursa")</x:f>
        <x:v>HYPERLINK is not implemented. linkLocation=file:///Z:/00. Proiecte 2025/AFIR FotoVoltaic 1/30.1 Cerere Rambursare 1/Clarificare nr.1/1. Documentar_fotografic_CESIRO_Transa1_REVIZUITv1__.pdf, friendlyName=Deschide sursa</x:v>
      </x:c>
    </x:row>
    <x:row r="613" ht="36" customHeight="1">
      <x:c r="A613" s="8" t="str">
        <x:v>F1061</x:v>
      </x:c>
      <x:c r="B613" s="8" t="str">
        <x:v>2.1 Traducere_Certificat_TUV_PV50721072 (2).pdf</x:v>
      </x:c>
      <x:c r="C613" s="8" t="str">
        <x:v>Rambursare tranșa 1</x:v>
      </x:c>
      <x:c r="D613" s="12" t="str"/>
      <x:c r="E613" s="11" t="str"/>
      <x:c r="F613" s="12" t="str"/>
      <x:c r="G613" s="11" t="str"/>
      <x:c r="H613" s="8" t="str"/>
      <x:c r="I613" s="8" t="str">
        <x:v>Document local; transmiterea individuală neconfirmată</x:v>
      </x:c>
      <x:c r="J613" s="8" t="str">
        <x:v>nr. PV 50721072</x:v>
      </x:c>
      <x:c r="K613" s="8" t="str">
        <x:v>Text extras; numerele din referințe sunt în coloana separată</x:v>
      </x:c>
      <x:c r="L613" s="8" t="e">
        <x:f>HYPERLINK("file:///Z:/00. Proiecte 2025/AFIR FotoVoltaic 1/30.1 Cerere Rambursare 1/Clarificare nr.1/2.1 Traducere_Certificat_TUV_PV50721072 (2).pdf","Deschide sursa")</x:f>
        <x:v>HYPERLINK is not implemented. linkLocation=file:///Z:/00. Proiecte 2025/AFIR FotoVoltaic 1/30.1 Cerere Rambursare 1/Clarificare nr.1/2.1 Traducere_Certificat_TUV_PV50721072 (2).pdf, friendlyName=Deschide sursa</x:v>
      </x:c>
    </x:row>
    <x:row r="614" ht="36" customHeight="1">
      <x:c r="A614" s="8" t="str">
        <x:v>F1062</x:v>
      </x:c>
      <x:c r="B614" s="8" t="str">
        <x:v>2.2 Certificate de calitate engelza.pdf</x:v>
      </x:c>
      <x:c r="C614" s="8" t="str">
        <x:v>Rambursare tranșa 1</x:v>
      </x:c>
      <x:c r="D614" s="12" t="str"/>
      <x:c r="E614" s="11" t="str"/>
      <x:c r="F614" s="12" t="str"/>
      <x:c r="G614" s="11" t="str"/>
      <x:c r="H614" s="8" t="str"/>
      <x:c r="I614" s="8" t="str">
        <x:v>Document local; transmiterea individuală neconfirmată</x:v>
      </x:c>
      <x:c r="J614" s="8" t="str"/>
      <x:c r="K614" s="8" t="str">
        <x:v>Text extras; numerele din referințe sunt în coloana separată</x:v>
      </x:c>
      <x:c r="L614" s="8" t="e">
        <x:f>HYPERLINK("file:///Z:/00. Proiecte 2025/AFIR FotoVoltaic 1/30.1 Cerere Rambursare 1/Clarificare nr.1/2.2 Certificate de calitate engelza.pdf","Deschide sursa")</x:f>
        <x:v>HYPERLINK is not implemented. linkLocation=file:///Z:/00. Proiecte 2025/AFIR FotoVoltaic 1/30.1 Cerere Rambursare 1/Clarificare nr.1/2.2 Certificate de calitate engelza.pdf, friendlyName=Deschide sursa</x:v>
      </x:c>
    </x:row>
    <x:row r="615" ht="106" customHeight="1">
      <x:c r="A615" s="8" t="str">
        <x:v>F1063</x:v>
      </x:c>
      <x:c r="B615" s="8" t="str">
        <x:v>3.1 Certificat de Calitate si Conformitate-traduse__.pdf</x:v>
      </x:c>
      <x:c r="C615" s="8" t="str">
        <x:v>Rambursare tranșa 1</x:v>
      </x:c>
      <x:c r="D615" s="12" t="str"/>
      <x:c r="E615" s="11" t="str"/>
      <x:c r="F615" s="12" t="str"/>
      <x:c r="G615" s="11" t="str"/>
      <x:c r="H615" s="8" t="str"/>
      <x:c r="I615" s="8" t="str">
        <x:v>Document local; transmiterea individuală neconfirmată</x:v>
      </x:c>
      <x:c r="J615" s="8" t="str">
        <x:v>Nr. N8A 041829 3912 Rev. 02
nr. 1008 în UE
nr. NAH-6-0035/2024/K.
nr. 6138142.50
nr.: 6138142.01COC
nr. 6138142.51
nr.: 6138142.02COC</x:v>
      </x:c>
      <x:c r="K615" s="8" t="str">
        <x:v>Text extras; numerele din referințe sunt în coloana separată</x:v>
      </x:c>
      <x:c r="L615" s="8" t="e">
        <x:f>HYPERLINK("file:///Z:/00. Proiecte 2025/AFIR FotoVoltaic 1/30.1 Cerere Rambursare 1/Clarificare nr.1/3.1 Certificat de Calitate si Conformitate-traduse__.pdf","Deschide sursa")</x:f>
        <x:v>HYPERLINK is not implemented. linkLocation=file:///Z:/00. Proiecte 2025/AFIR FotoVoltaic 1/30.1 Cerere Rambursare 1/Clarificare nr.1/3.1 Certificat de Calitate si Conformitate-traduse__.pdf, friendlyName=Deschide sursa</x:v>
      </x:c>
    </x:row>
    <x:row r="616" ht="148" customHeight="1">
      <x:c r="A616" s="8" t="str">
        <x:v>F1064</x:v>
      </x:c>
      <x:c r="B616" s="8" t="str">
        <x:v>3.2 Decizie_121_08092026_rev3_.pdf</x:v>
      </x:c>
      <x:c r="C616" s="8" t="str">
        <x:v>Rambursare tranșa 1</x:v>
      </x:c>
      <x:c r="D616" s="12" t="str">
        <x:v>121</x:v>
      </x:c>
      <x:c r="E616" s="11" t="n">
        <x:v>46273</x:v>
      </x:c>
      <x:c r="F616" s="12" t="str"/>
      <x:c r="G616" s="11" t="str"/>
      <x:c r="H616" s="8" t="str"/>
      <x:c r="I616" s="8" t="str">
        <x:v>Document local; transmiterea individuală neconfirmată</x:v>
      </x:c>
      <x:c r="J616" s="8" t="str">
        <x:v>nr. 5, jud. Alba
nr. 96, jud. Mureș
nr. 121 din 08.09.2026
nr. CFMSES011011372801030/30.12.2024, încheiat cu AFIR – CRFIR 7 Centru Alba Iulia, pentru
nr. 816/07.09.2026, emis în
nr. RFMSES011011372801030.1, prin care se solicită certificatele/declarațiile de calitate
nr. PV 50721072 (paginile 01/02 și 02/02) și marca de test ID 1111315507, pentru
nr. 816/07.09.2026.
nr. PV 50721072, titular Suntech Power Co., Ltd., figurează în baza de date cu
nr. RFMSES011011372801030.1, depus la AFIR — CRFIR 7</x:v>
      </x:c>
      <x:c r="K616" s="8" t="str">
        <x:v>Text extras; numerele din referințe sunt în coloana separată</x:v>
      </x:c>
      <x:c r="L616" s="8" t="e">
        <x:f>HYPERLINK("file:///Z:/00. Proiecte 2025/AFIR FotoVoltaic 1/30.1 Cerere Rambursare 1/Clarificare nr.1/3.2 Decizie_121_08092026_rev3_.pdf","Deschide sursa")</x:f>
        <x:v>HYPERLINK is not implemented. linkLocation=file:///Z:/00. Proiecte 2025/AFIR FotoVoltaic 1/30.1 Cerere Rambursare 1/Clarificare nr.1/3.2 Decizie_121_08092026_rev3_.pdf, friendlyName=Deschide sursa</x:v>
      </x:c>
    </x:row>
    <x:row r="617" ht="50" customHeight="1">
      <x:c r="A617" s="8" t="str">
        <x:v>F1065</x:v>
      </x:c>
      <x:c r="B617" s="8" t="str">
        <x:v>4, Nota_eroare_materiala_pct4_Skybase.pdf</x:v>
      </x:c>
      <x:c r="C617" s="8" t="str">
        <x:v>Rambursare tranșa 1</x:v>
      </x:c>
      <x:c r="D617" s="12" t="str">
        <x:v>122</x:v>
      </x:c>
      <x:c r="E617" s="11" t="n">
        <x:v>46273</x:v>
      </x:c>
      <x:c r="F617" s="12" t="str"/>
      <x:c r="G617" s="11" t="str"/>
      <x:c r="H617" s="8" t="str"/>
      <x:c r="I617" s="8" t="str">
        <x:v>Document local; transmiterea individuală neconfirmată</x:v>
      </x:c>
      <x:c r="J617" s="8" t="str">
        <x:v>nr. 5, jud. Alba
nr. 96, jud. Mureș
Nr. 122 / 08.09.2026</x:v>
      </x:c>
      <x:c r="K617" s="8" t="str">
        <x:v>Text extras; numerele din referințe sunt în coloana separată</x:v>
      </x:c>
      <x:c r="L617" s="8" t="e">
        <x:f>HYPERLINK("file:///Z:/00. Proiecte 2025/AFIR FotoVoltaic 1/30.1 Cerere Rambursare 1/Clarificare nr.1/4, Nota_eroare_materiala_pct4_Skybase.pdf","Deschide sursa")</x:f>
        <x:v>HYPERLINK is not implemented. linkLocation=file:///Z:/00. Proiecte 2025/AFIR FotoVoltaic 1/30.1 Cerere Rambursare 1/Clarificare nr.1/4, Nota_eroare_materiala_pct4_Skybase.pdf, friendlyName=Deschide sursa</x:v>
      </x:c>
    </x:row>
    <x:row r="618" ht="36" customHeight="1">
      <x:c r="A618" s="8" t="str">
        <x:v>F1066</x:v>
      </x:c>
      <x:c r="B618" s="8" t="str">
        <x:v>5. Documente financiar-contabile.pdf</x:v>
      </x:c>
      <x:c r="C618" s="8" t="str">
        <x:v>Rambursare tranșa 1</x:v>
      </x:c>
      <x:c r="D618" s="12" t="str"/>
      <x:c r="E618" s="11" t="str"/>
      <x:c r="F618" s="12" t="str"/>
      <x:c r="G618" s="11" t="str"/>
      <x:c r="H618" s="8" t="str"/>
      <x:c r="I618" s="8" t="str">
        <x:v>Document local; transmiterea individuală neconfirmată</x:v>
      </x:c>
      <x:c r="J618" s="8" t="str"/>
      <x:c r="K618" s="8" t="str">
        <x:v>Text extras; numerele din referințe sunt în coloana separată</x:v>
      </x:c>
      <x:c r="L618" s="8" t="e">
        <x:f>HYPERLINK("file:///Z:/00. Proiecte 2025/AFIR FotoVoltaic 1/30.1 Cerere Rambursare 1/Clarificare nr.1/5. Documente financiar-contabile.pdf","Deschide sursa")</x:f>
        <x:v>HYPERLINK is not implemented. linkLocation=file:///Z:/00. Proiecte 2025/AFIR FotoVoltaic 1/30.1 Cerere Rambursare 1/Clarificare nr.1/5. Documente financiar-contabile.pdf, friendlyName=Deschide sursa</x:v>
      </x:c>
    </x:row>
    <x:row r="619" ht="36" customHeight="1">
      <x:c r="A619" s="8" t="str">
        <x:v>F1067</x:v>
      </x:c>
      <x:c r="B619" s="8" t="str">
        <x:v>6, Facturi proforme SST_ nr_1_8.pdf</x:v>
      </x:c>
      <x:c r="C619" s="8" t="str">
        <x:v>Rambursare tranșa 1</x:v>
      </x:c>
      <x:c r="D619" s="12" t="str"/>
      <x:c r="E619" s="11" t="str"/>
      <x:c r="F619" s="12" t="str"/>
      <x:c r="G619" s="11" t="str"/>
      <x:c r="H619" s="8" t="str"/>
      <x:c r="I619" s="8" t="str">
        <x:v>Document local; transmiterea individuală neconfirmată</x:v>
      </x:c>
      <x:c r="J619" s="8" t="str"/>
      <x:c r="K619" s="8" t="str">
        <x:v>Text extras; numerele din referințe sunt în coloana separată</x:v>
      </x:c>
      <x:c r="L619" s="8" t="e">
        <x:f>HYPERLINK("file:///Z:/00. Proiecte 2025/AFIR FotoVoltaic 1/30.1 Cerere Rambursare 1/Clarificare nr.1/6, Facturi proforme SST_ nr_1_8.pdf","Deschide sursa")</x:f>
        <x:v>HYPERLINK is not implemented. linkLocation=file:///Z:/00. Proiecte 2025/AFIR FotoVoltaic 1/30.1 Cerere Rambursare 1/Clarificare nr.1/6, Facturi proforme SST_ nr_1_8.pdf, friendlyName=Deschide sursa</x:v>
      </x:c>
    </x:row>
    <x:row r="620" ht="36" customHeight="1">
      <x:c r="A620" s="8" t="str">
        <x:v>F1068</x:v>
      </x:c>
      <x:c r="B620" s="8" t="str">
        <x:v>AP_1.2_SE_declaratie_de_cheltuieli--_.pdf</x:v>
      </x:c>
      <x:c r="C620" s="8" t="str">
        <x:v>Rambursare tranșa 1</x:v>
      </x:c>
      <x:c r="D620" s="12" t="str"/>
      <x:c r="E620" s="11" t="str"/>
      <x:c r="F620" s="12" t="str"/>
      <x:c r="G620" s="11" t="str"/>
      <x:c r="H620" s="8" t="str"/>
      <x:c r="I620" s="8" t="str">
        <x:v>Document local; transmiterea individuală neconfirmată</x:v>
      </x:c>
      <x:c r="J620" s="8" t="str"/>
      <x:c r="K620" s="8" t="str">
        <x:v>Text extras; numerele din referințe sunt în coloana separată</x:v>
      </x:c>
      <x:c r="L620" s="8" t="e">
        <x:f>HYPERLINK("file:///Z:/00. Proiecte 2025/AFIR FotoVoltaic 1/30.1 Cerere Rambursare 1/Clarificare nr.1/AP_1.2_SE_declaratie_de_cheltuieli--_.pdf","Deschide sursa")</x:f>
        <x:v>HYPERLINK is not implemented. linkLocation=file:///Z:/00. Proiecte 2025/AFIR FotoVoltaic 1/30.1 Cerere Rambursare 1/Clarificare nr.1/AP_1.2_SE_declaratie_de_cheltuieli--_.pdf, friendlyName=Deschide sursa</x:v>
      </x:c>
    </x:row>
    <x:row r="621" ht="64" customHeight="1">
      <x:c r="A621" s="8" t="str">
        <x:v>F1069</x:v>
      </x:c>
      <x:c r="B621" s="8" t="str">
        <x:v>AP_raspuns_informatii_suplimentare_-.pdf</x:v>
      </x:c>
      <x:c r="C621" s="8" t="str">
        <x:v>Rambursare tranșa 1</x:v>
      </x:c>
      <x:c r="D621" s="12" t="str">
        <x:v>123</x:v>
      </x:c>
      <x:c r="E621" s="11" t="n">
        <x:v>46274</x:v>
      </x:c>
      <x:c r="F621" s="12" t="str"/>
      <x:c r="G621" s="11" t="str"/>
      <x:c r="H621" s="8" t="str"/>
      <x:c r="I621" s="8" t="str">
        <x:v>Document local; transmiterea individuală neconfirmată</x:v>
      </x:c>
      <x:c r="J621" s="8" t="str">
        <x:v>Nr. 1 din data 09/09/2026
Nr. de înregistrare beneficiar: 123
nr. 122/08.09.2026
nr. 01–08</x:v>
      </x:c>
      <x:c r="K621" s="8" t="str">
        <x:v>Text extras; numerele din referințe sunt în coloana separată</x:v>
      </x:c>
      <x:c r="L621" s="8" t="e">
        <x:f>HYPERLINK("file:///Z:/00. Proiecte 2025/AFIR FotoVoltaic 1/30.1 Cerere Rambursare 1/Clarificare nr.1/AP_raspuns_informatii_suplimentare_-.pdf","Deschide sursa")</x:f>
        <x:v>HYPERLINK is not implemented. linkLocation=file:///Z:/00. Proiecte 2025/AFIR FotoVoltaic 1/30.1 Cerere Rambursare 1/Clarificare nr.1/AP_raspuns_informatii_suplimentare_-.pdf, friendlyName=Deschide sursa</x:v>
      </x:c>
    </x:row>
    <x:row r="622" ht="36" customHeight="1">
      <x:c r="A622" s="8" t="str">
        <x:v>F1070</x:v>
      </x:c>
      <x:c r="B622" s="8" t="str">
        <x:v>Formular de raspuns Informatii Suplimentare .zip</x:v>
      </x:c>
      <x:c r="C622" s="8" t="str">
        <x:v>Rambursare tranșa 1</x:v>
      </x:c>
      <x:c r="D622" s="12" t="str"/>
      <x:c r="E622" s="11" t="str"/>
      <x:c r="F622" s="12" t="str"/>
      <x:c r="G622" s="11" t="str"/>
      <x:c r="H622" s="8" t="str"/>
      <x:c r="I622" s="8" t="str">
        <x:v>Document local; transmiterea individuală neconfirmată</x:v>
      </x:c>
      <x:c r="J622" s="8" t="str"/>
      <x:c r="K622" s="8" t="str">
        <x:v>Necesită citire vizuală / OCR / formular XFA</x:v>
      </x:c>
      <x:c r="L622" s="8" t="e">
        <x:f>HYPERLINK("file:///Z:/00. Proiecte 2025/AFIR FotoVoltaic 1/30.1 Cerere Rambursare 1/Clarificare nr.1/Formular de raspuns Informatii Suplimentare .zip","Deschide sursa")</x:f>
        <x:v>HYPERLINK is not implemented. linkLocation=file:///Z:/00. Proiecte 2025/AFIR FotoVoltaic 1/30.1 Cerere Rambursare 1/Clarificare nr.1/Formular de raspuns Informatii Suplimentare .zip, friendlyName=Deschide sursa</x:v>
      </x:c>
    </x:row>
    <x:row r="623" ht="372" customHeight="1">
      <x:c r="A623" s="8" t="str">
        <x:v>F1071</x:v>
      </x:c>
      <x:c r="B623" s="8" t="str">
        <x:v>0. VERIFICARE_SEVERA_PRE-AUDIT_si_Fisa_date_auditor.docx</x:v>
      </x:c>
      <x:c r="C623" s="8" t="str">
        <x:v>Rambursare tranșa 1</x:v>
      </x:c>
      <x:c r="D623" s="12" t="str"/>
      <x:c r="E623" s="11" t="str"/>
      <x:c r="F623" s="12" t="str"/>
      <x:c r="G623" s="11" t="str"/>
      <x:c r="H623" s="8" t="str"/>
      <x:c r="I623" s="8" t="str">
        <x:v>Versiune de lucru / arhivă</x:v>
      </x:c>
      <x:c r="J623" s="8" t="str">
        <x:v>nr. CFMSES011011372801030/30.12.2024 · Fondul pentru Modernizare
nr. 1/07.08.2026 — Tranșa 1 · pachetul din folderul „12. Raportul de audit financiar” (versiunile v2–v4 din 11.08.2026) · verificare efectuată la 11.08.2026
nr. 341/03.07.2026 (6 poziții) = AP 1.2 v3 = Situația de plată v4 = PV nr. 8 v2 = Raportul de execuție v4 = Anexa 1 v2 = balanța analitică = graficul AP 0.0 v3 = A
nr. 5 și a actelor adiționale la contractul de achiziție, refacerea balanței analitice (soldul creditor 5121) + completarea dosarului contabil, înlocuirea notei ju
nr. 1/07.08.2026
nr. 1) – 03.07.2026 (PV nr. 8 recepție parțială)
nr. 10 și 11, cont RO58RNCB0191172697420001) | 18.02: 500.000 · 23.02: 400.000 · 24.02: 500.000 · 25.02: 150.000 · 23.03: 500.000 + 400.000 · 06.04: 500.000 + 35.0
nregistrări contabile (balanța analitică SAGA, 01.01–30.07.2026) | 231 = 2.466.942,15 · 4426 = 518.057,85 · 401/4091 rulate și închise la 2.985.000 · subvenție 44
nr. 275/01.02.2024 (înreg. beneficiar 05/01.02.2024) — 4.885.057,20 lei fără TVA; AA1/30.12.2025 (prelungire 30.09.2026, plăți eșalonate, TVA 21%); AA2/08.06.2026
nr. 1 la contractul de finanțare | C3.3.4 nr. înreg. 1.360.244/30.06.2026 — aprobă 2.222 module × 450 W și invertoare 2 × 100 kW (raport SIBA nr. 1.359.705/22.06.2
nr. 5/23.06.2026 (recepția celor 2.222 de panouri — documentul-cheie pentru poziția de 966.570,00 lei): fișierele „20.2” și „22.1” sunt duplicate ale PV nr. 3, res
nr. 4, încărcate din greșeală sub alt număr. Fișierul corect există în folderul 22 al dosarului. | BLOCANT
nr. 1–3 la contractul de achiziție (AP 1.1 v3 le declară, 6 pagini). AA2/08.06.2026 conține defalcarea prețului contractual pe cele 3 categorii — document indispen
nr. 275/01.02.202” (lipsește „4”). Corectate față de v1: extrasele „15” ✓, dublura contractului eliminată ✓.
nr. 3 v2 — câmpul „CMR / aviz de însoțire Skybase nr. ______” rămâne necompletat (numerele se obțin de la furnizor/transportator).
nr. 22–23 din secvență; 23 poziții pe 17 pagini); de renumerotat sau de corelat cu AP 1.1.</x:v>
      </x:c>
      <x:c r="K623" s="8" t="str">
        <x:v>Text extras; numerele din referințe sunt în coloana separată</x:v>
      </x:c>
      <x:c r="L623" s="8" t="e">
        <x:f>HYPERLINK("file:///Z:/00. Proiecte 2025/AFIR FotoVoltaic 1/30.1 Cerere Rambursare 1/draft/0. VERIFICARE_SEVERA_PRE-AUDIT_si_Fisa_date_auditor.docx","Deschide sursa")</x:f>
        <x:v>HYPERLINK is not implemented. linkLocation=file:///Z:/00. Proiecte 2025/AFIR FotoVoltaic 1/30.1 Cerere Rambursare 1/draft/0. VERIFICARE_SEVERA_PRE-AUDIT_si_Fisa_date_auditor.docx, friendlyName=Deschide sursa</x:v>
      </x:c>
    </x:row>
    <x:row r="624" ht="232" customHeight="1">
      <x:c r="A624" s="8" t="str">
        <x:v>F1072</x:v>
      </x:c>
      <x:c r="B624" s="8" t="str">
        <x:v>0. VERIFICARE_SEVERA_PRE-AUDIT_si_Fisa_date_auditor.pdf</x:v>
      </x:c>
      <x:c r="C624" s="8" t="str">
        <x:v>Rambursare tranșa 1</x:v>
      </x:c>
      <x:c r="D624" s="12" t="str"/>
      <x:c r="E624" s="11" t="str"/>
      <x:c r="F624" s="12" t="str"/>
      <x:c r="G624" s="11" t="str"/>
      <x:c r="H624" s="8" t="str"/>
      <x:c r="I624" s="8" t="str">
        <x:v>Versiune de lucru / arhivă</x:v>
      </x:c>
      <x:c r="J624" s="8" t="str">
        <x:v>nr. CFMSES011011372801030/30.12.2024 · Fondul pentru
nr. 1/07.08.2026 — Tranșa 1 · pachetul din folderul „12. Raportul de audit financiar” (versiunile v2–v4
nr. 1/07.08.2026
nr. 1) – 03.07.2026 (PV nr. 8 recepție
nr. 10 și 11, cont
nr. 275/01.02.2024 (înreg. beneficiar 05/01.02.2024) — 4.885.057,20 lei
nr. 1 la contractul de finanțare C3.3.4 nr. înreg. 1.360.244/30.06.2026 — aprobă 2.222 module × 450 W și
nr. 1.359.705/22.06.2026)
nr. 341/03.07.2026 (6
nr. 8 v2 = Raportul de execuție v4 = Anexa 1 v2 = balanța analitică = grafic ul
nr. 5/23.06.2026 (recepția celor 2.222 de panouri —
nr. 3, respectiv PV nr. 4, încărcate din greșeală sub alt număr. Fișierul
nr. 1–3 la contractul de achiziție (AP 1.1 v3 le declară, 6
nr. 3 v2 — câmpul „CMR / aviz de însoțire Skybase nr. ______” rămâne necompletat (numerele se obțin
nr. 22–23 din secvență; 23 poziții
nr. 5 și a actelor adiționale la contractul de achiziție,</x:v>
      </x:c>
      <x:c r="K624" s="8" t="str">
        <x:v>Text extras; numerele din referințe sunt în coloana separată</x:v>
      </x:c>
      <x:c r="L624" s="8" t="e">
        <x:f>HYPERLINK("file:///Z:/00. Proiecte 2025/AFIR FotoVoltaic 1/30.1 Cerere Rambursare 1/draft/0. VERIFICARE_SEVERA_PRE-AUDIT_si_Fisa_date_auditor.pdf","Deschide sursa")</x:f>
        <x:v>HYPERLINK is not implemented. linkLocation=file:///Z:/00. Proiecte 2025/AFIR FotoVoltaic 1/30.1 Cerere Rambursare 1/draft/0. VERIFICARE_SEVERA_PRE-AUDIT_si_Fisa_date_auditor.pdf, friendlyName=Deschide sursa</x:v>
      </x:c>
    </x:row>
    <x:row r="625" ht="190" customHeight="1">
      <x:c r="A625" s="8" t="str">
        <x:v>F1073</x:v>
      </x:c>
      <x:c r="B625" s="8" t="str">
        <x:v>Nota_justificativa_stadiu_investitie_Transa1.docx</x:v>
      </x:c>
      <x:c r="C625" s="8" t="str">
        <x:v>Rambursare tranșa 1</x:v>
      </x:c>
      <x:c r="D625" s="12" t="str"/>
      <x:c r="E625" s="11" t="str"/>
      <x:c r="F625" s="12" t="str"/>
      <x:c r="G625" s="11" t="str"/>
      <x:c r="H625" s="8" t="str"/>
      <x:c r="I625" s="8" t="str">
        <x:v>Versiune de lucru / arhivă</x:v>
      </x:c>
      <x:c r="J625" s="8" t="str">
        <x:v>nr. 5, jud. Alba
nr. CFMSES011011372801030/30.12.2024 · Fondul pentru Modernizare · Contract de achiziție nr. 275/01.02.2024 — SUNTREE SOLAR TECH S.R.L.
nr. 1/07.08.2026 (cod RFMSES011011372801030) · Data: 11.08.2026
nr. 275/01.02.2024, în valoare de 4.885.057,20 lei fără TVA (cu 5.012,23 lei sub plafonul bugetar eligibil), defalcat prin oferta nr. 265/12.01.2024 și Actul adiți
nr. 2/08.06.2026 astfel: organizare de șantier 1.800,00 lei · lucrări de montare/instalare/PIF 1.940.281,20 lei · dotări/bunuri 2.942.976,00 lei.
nr. 0033/03.07.2026 și din Situația de lucrări nr. 341/03.07.2026, fiind recepționate prin procesele-verbale nr. 1–8:
nr. 1 la contractul de achiziție.
nr. 275/01.02.2024 cu AA 1–3; oferta nr. 265/12.01.2024; factura SST0033/03.07.2026; Situația de lucrări nr. 341/03.07.2026; PV nr. 1–8; AP 1.1/1.2/0.0. Estimările</x:v>
      </x:c>
      <x:c r="K625" s="8" t="str">
        <x:v>Text extras; numerele din referințe sunt în coloana separată</x:v>
      </x:c>
      <x:c r="L625" s="8" t="e">
        <x:f>HYPERLINK("file:///Z:/00. Proiecte 2025/AFIR FotoVoltaic 1/30.1 Cerere Rambursare 1/draft/Nota_justificativa_stadiu_investitie_Transa1.docx","Deschide sursa")</x:f>
        <x:v>HYPERLINK is not implemented. linkLocation=file:///Z:/00. Proiecte 2025/AFIR FotoVoltaic 1/30.1 Cerere Rambursare 1/draft/Nota_justificativa_stadiu_investitie_Transa1.docx, friendlyName=Deschide sursa</x:v>
      </x:c>
    </x:row>
    <x:row r="626" ht="162" customHeight="1">
      <x:c r="A626" s="8" t="str">
        <x:v>F1074</x:v>
      </x:c>
      <x:c r="B626" s="8" t="str">
        <x:v>Nota_justificativa_stadiu_investitie_Transa1.pdf</x:v>
      </x:c>
      <x:c r="C626" s="8" t="str">
        <x:v>Rambursare tranșa 1</x:v>
      </x:c>
      <x:c r="D626" s="12" t="str"/>
      <x:c r="E626" s="11" t="str"/>
      <x:c r="F626" s="12" t="str"/>
      <x:c r="G626" s="11" t="str"/>
      <x:c r="H626" s="8" t="str"/>
      <x:c r="I626" s="8" t="str">
        <x:v>Versiune de lucru / arhivă</x:v>
      </x:c>
      <x:c r="J626" s="8" t="str">
        <x:v>nr. 5, jud. Alba
nr. CFMSES011011372801030/30.12.2024 · Fondul pentru Modernizare · Contract de achiziție nr.
nr. 1/07.08.2026 (cod RFMSES011011372801030) · Data: 11.08.2026
nr. 275/01.02.2024, în valoare de
nr. 265/12.01.2024 și
nr. 2/08.06.2026 astfel: organizare de șantier 1.800,00 lei · lucrări de montare/instalare/PIF
nr. 0033/03.07.2026 și din Situația de lucrări nr.
nr. 1–8:
nr. 1 la contractul de achiziție.
nr. 275/01.02.2024 cu AA 1–3; oferta nr. 265/12.01.2024;
nr. 341/03.07.2026; PV nr. 1–8; AP 1.1/1.2/0.0. Estimările din secțiunea 5 (intervale) sunt</x:v>
      </x:c>
      <x:c r="K626" s="8" t="str">
        <x:v>Text extras; numerele din referințe sunt în coloana separată</x:v>
      </x:c>
      <x:c r="L626" s="8" t="e">
        <x:f>HYPERLINK("file:///Z:/00. Proiecte 2025/AFIR FotoVoltaic 1/30.1 Cerere Rambursare 1/draft/Nota_justificativa_stadiu_investitie_Transa1.pdf","Deschide sursa")</x:f>
        <x:v>HYPERLINK is not implemented. linkLocation=file:///Z:/00. Proiecte 2025/AFIR FotoVoltaic 1/30.1 Cerere Rambursare 1/draft/Nota_justificativa_stadiu_investitie_Transa1.pdf, friendlyName=Deschide sursa</x:v>
      </x:c>
    </x:row>
    <x:row r="627" ht="232" customHeight="1">
      <x:c r="A627" s="8" t="str">
        <x:v>F1075</x:v>
      </x:c>
      <x:c r="B627" s="8" t="str">
        <x:v>Nota_justificativa_stadiu_investitie_Transa1_v2.docx</x:v>
      </x:c>
      <x:c r="C627" s="8" t="str">
        <x:v>Rambursare tranșa 1</x:v>
      </x:c>
      <x:c r="D627" s="12" t="str"/>
      <x:c r="E627" s="11" t="str"/>
      <x:c r="F627" s="12" t="str"/>
      <x:c r="G627" s="11" t="str"/>
      <x:c r="H627" s="8" t="str"/>
      <x:c r="I627" s="8" t="str">
        <x:v>Versiune de lucru / arhivă</x:v>
      </x:c>
      <x:c r="J627" s="8" t="str">
        <x:v>nr. 5, jud. Alba
nr. CFMSES011011372801030/30.12.2024 · Fondul pentru Modernizare · Contract de achiziție nr. 275/01.02.2024 — SUNTREE SOLAR TECH S.R.L.
nr. 1/07.08.2026 (cod RFMSES011011372801030) · Data: 11.08.2026 · Înlocuiește versiunea din 10.08.2026
nr. 275/01.02.2024 — 4.885.057,20 lei fără TVA, defalcat prin oferta nr. 265/12.01.2024 și Actul adițional nr. 2/08.06.2026: organizare de șantier 1.800,00 lei · l
nr. 0033/03.07.2026 și Situația de lucrări nr. 341/03.07.2026, recepționate prin procesele-verbale nr. 1–8:
NREL) și (B) defalcarea analitică internă întocmită de beneficiar (26 de poziții). Medierea s-a făcut pe 10 grupe majore, normalizat la 100%:
nr. 3), estimat la 13–14% din CAPEX conform intervalului de piață (12–18%); referința mediată se comprimă proporțional. Comparația cu valorile reale documentate:
nr. 275/01.02.2024 cu AA 1–3; oferta nr. 265/12.01.2024; factura SST0033/03.07.2026; Situația de lucrări nr. 341/03.07.2026; PV nr. 1–8; Solar Data Atlas — Solar C
NREL — U.S. Solar PV System Cost Benchmarks Q1-2024/2025; Fraunhofer ISE — Photovoltaics Report 2025; defalcarea analitică internă a beneficiarului (aug. 2026). S
Nr. | Lucrări / materiale / echipamente | % mediat | Valoare la 800.000 €</x:v>
      </x:c>
      <x:c r="K627" s="8" t="str">
        <x:v>Text extras; numerele din referințe sunt în coloana separată</x:v>
      </x:c>
      <x:c r="L627" s="8" t="e">
        <x:f>HYPERLINK("file:///Z:/00. Proiecte 2025/AFIR FotoVoltaic 1/30.1 Cerere Rambursare 1/draft/Nota_justificativa_stadiu_investitie_Transa1_v2.docx","Deschide sursa")</x:f>
        <x:v>HYPERLINK is not implemented. linkLocation=file:///Z:/00. Proiecte 2025/AFIR FotoVoltaic 1/30.1 Cerere Rambursare 1/draft/Nota_justificativa_stadiu_investitie_Transa1_v2.docx, friendlyName=Deschide sursa</x:v>
      </x:c>
    </x:row>
    <x:row r="628" ht="176" customHeight="1">
      <x:c r="A628" s="8" t="str">
        <x:v>F1076</x:v>
      </x:c>
      <x:c r="B628" s="8" t="str">
        <x:v>Nota_justificativa_stadiu_investitie_Transa1_v2.pdf</x:v>
      </x:c>
      <x:c r="C628" s="8" t="str">
        <x:v>Rambursare tranșa 1</x:v>
      </x:c>
      <x:c r="D628" s="12" t="str"/>
      <x:c r="E628" s="11" t="str"/>
      <x:c r="F628" s="12" t="str"/>
      <x:c r="G628" s="11" t="str"/>
      <x:c r="H628" s="8" t="str"/>
      <x:c r="I628" s="8" t="str">
        <x:v>Versiune de lucru / arhivă</x:v>
      </x:c>
      <x:c r="J628" s="8" t="str">
        <x:v>nr. 5, jud. Alba
nr. CFMSES011011372801030/30.12.2024 · Fondul pentru Modernizare · Contract de achiziție nr.
nr. 1/07.08.2026 (cod RFMSES011011372801030) · Data: 11.08.2026 · Înlocuiește versiunea
nr. 275/01.02.2024 — 4.885.057,20 lei fără TVA, defalcat prin
nr. 265/12.01.2024 și Actul adițional nr. 2/08.06.2026: organizare de șantier 1.800,00 lei · lucrări de
nr. 0033/03.07.2026 și Situația de lucrări nr. 341/03.07.2026, recepționate
nr. 1–8:
nr. 3), estimat la 13–14% din
nr. 275/01.02.2024 cu AA 1–3; oferta nr. 265/12.01.2024; factura
nr. 341/03.07.2026; PV nr. 1–8; Solar Data Atlas — Solar CAPEX Europe 2026 (agregat IRENA/Fraunhofer
NREL — U.S. Solar PV System Cost Benchmarks Q1-2024/2025; Fraunhofer ISE — Photovoltaics Report 2025; defalcarea analitică internă a</x:v>
      </x:c>
      <x:c r="K628" s="8" t="str">
        <x:v>Text extras; numerele din referințe sunt în coloana separată</x:v>
      </x:c>
      <x:c r="L628" s="8" t="e">
        <x:f>HYPERLINK("file:///Z:/00. Proiecte 2025/AFIR FotoVoltaic 1/30.1 Cerere Rambursare 1/draft/Nota_justificativa_stadiu_investitie_Transa1_v2.pdf","Deschide sursa")</x:f>
        <x:v>HYPERLINK is not implemented. linkLocation=file:///Z:/00. Proiecte 2025/AFIR FotoVoltaic 1/30.1 Cerere Rambursare 1/draft/Nota_justificativa_stadiu_investitie_Transa1_v2.pdf, friendlyName=Deschide sursa</x:v>
      </x:c>
    </x:row>
    <x:row r="629" ht="330" customHeight="1">
      <x:c r="A629" s="8" t="str">
        <x:v>F1077</x:v>
      </x:c>
      <x:c r="B629" s="8" t="str">
        <x:v>Opis_documentatie_Cerere_rambursare_Transa1 v1.docx</x:v>
      </x:c>
      <x:c r="C629" s="8" t="str">
        <x:v>Rambursare tranșa 1</x:v>
      </x:c>
      <x:c r="D629" s="12" t="str"/>
      <x:c r="E629" s="11" t="str"/>
      <x:c r="F629" s="12" t="str"/>
      <x:c r="G629" s="11" t="str"/>
      <x:c r="H629" s="8" t="str"/>
      <x:c r="I629" s="8" t="str">
        <x:v>Versiune de lucru / arhivă</x:v>
      </x:c>
      <x:c r="J629" s="8" t="str">
        <x:v>nr. 5, jud. Alba
nr. 96, jud. Mureș — Hala de Producție C1
nr. 1 — Tranșa 1
nr. CFMSES011011372801030/30.12.2024 · cod cerere RFMSES011011372801030 · valoare solicitată spre autorizare 2.465.142,15 lei fără TVA
nr. 1/______ | 5 | data se corelează cu restul dosarului
nr. 0033 | 03.07.2026 | 1 | 3 poziții; total 2.466.942,15 lei fără TVA
nr. 10 (01.01–31.03.2026) | 02.07.2026 | 7 | plățile nr. 1–6
nr. 11 (01.04–30.06.2026) | 02.07.2026 | 8 | plățile nr. 7–8
nr. 1 la Contractul de finanțare | nr. înreg. 1.360.244 / 30.06.2026 | 2 | aprobă 2.222 buc. × 450 W și 2 invertoare × 100 kW
nr. 275/01.02.2024 (înreg. beneficiar 05/01.02.2024) | 9 |
nr. 1, 2 și 3 la Contractul de achiziție | 30.12.2025 · 08.06.2026 · 15.07.2026 | 6 | AA2 stabilește modulul Suntech STP450S-H48-Nkh+, 2.222 buc.
nr. 1/16.02.2026 | 2 |
nr. FN/11.06.2026 | 9 |
nr. 1.359.705 / 22.06.2026 | 2 |
nr. 1.370.394 / 07.08.2026 | 1 | AFIR: cererea este lipsită de obiect, designația nu figurează în AA nr. 1
nr. 1 și centralizatorul plăților efectuate | nr. 1/03.07.2026 | 5 |
nr. 341/03.07.2026 | 1 |
nr. 1 / 16.02.2026 | 1 |
nr. 2 / 17.02.2026 | 1 |
nr. 3 / 08.04.2026 | 1 | de completat nr. CMR/aviz</x:v>
      </x:c>
      <x:c r="K629" s="8" t="str">
        <x:v>Text extras; numerele din referințe sunt în coloana separată</x:v>
      </x:c>
      <x:c r="L629" s="8" t="e">
        <x:f>HYPERLINK("file:///Z:/00. Proiecte 2025/AFIR FotoVoltaic 1/30.1 Cerere Rambursare 1/draft/Opis_documentatie_Cerere_rambursare_Transa1 v1.docx","Deschide sursa")</x:f>
        <x:v>HYPERLINK is not implemented. linkLocation=file:///Z:/00. Proiecte 2025/AFIR FotoVoltaic 1/30.1 Cerere Rambursare 1/draft/Opis_documentatie_Cerere_rambursare_Transa1 v1.docx, friendlyName=Deschide sursa</x:v>
      </x:c>
    </x:row>
    <x:row r="630" ht="330" customHeight="1">
      <x:c r="A630" s="8" t="str">
        <x:v>F1078</x:v>
      </x:c>
      <x:c r="B630" s="8" t="str">
        <x:v>Opis_documentatie_Cerere_rambursare_Transa1.docx</x:v>
      </x:c>
      <x:c r="C630" s="8" t="str">
        <x:v>Rambursare tranșa 1</x:v>
      </x:c>
      <x:c r="D630" s="12" t="str"/>
      <x:c r="E630" s="11" t="str"/>
      <x:c r="F630" s="12" t="str"/>
      <x:c r="G630" s="11" t="str"/>
      <x:c r="H630" s="8" t="str"/>
      <x:c r="I630" s="8" t="str">
        <x:v>Versiune de lucru / arhivă</x:v>
      </x:c>
      <x:c r="J630" s="8" t="str">
        <x:v>nr. 5, jud. Alba
nr. 96, jud. Mureș — Hala de Producție C1
nr. 1 — Tranșa 1
nr. CFMSES011011372801030/30.12.2024 · cod cerere RFMSES011011372801030 · valoare solicitată spre autorizare 2.465.142,15 lei fără TVA
nr. 1/______ | 5 | data se corelează cu restul dosarului
nr. 0033 | 03.07.2026 | 1 | 3 poziții; total 2.466.942,15 lei fără TVA
nr. 10 (01.01–31.03.2026) | 02.07.2026 | 7 | plățile nr. 1–6
nr. 11 (01.04–30.06.2026) | 02.07.2026 | 8 | plățile nr. 7–8
nr. 1 la Contractul de finanțare | nr. înreg. 1.360.244 / 30.06.2026 | 2 | aprobă 2.222 buc. × 450 W și 2 invertoare × 100 kW
nr. 275/01.02.2024 (înreg. beneficiar 05/01.02.2024) | 9 |
nr. 1, 2 și 3 la Contractul de achiziție | 30.12.2025 · 08.06.2026 · 15.07.2026 | 6 | AA2 stabilește modulul Suntech STP450S-H48-Nkh+, 2.222 buc.
nr. 1/16.02.2026 | 2 |
nr. FN/11.06.2026 | 9 |
nr. 1.359.705 / 22.06.2026 | 2 |
nr. 1.370.394 / 07.08.2026 | 1 | AFIR: cererea este lipsită de obiect, designația nu figurează în AA nr. 1
nr. 1 și centralizatorul plăților efectuate | nr. 1/03.07.2026 | 5 |
nr. 341/03.07.2026 | 1 |
nr. 1 / 16.02.2026 | 1 |
nr. 2 / 17.02.2026 | 1 |
nr. 3 / 08.04.2026 | 1 | de completat nr. CMR/aviz</x:v>
      </x:c>
      <x:c r="K630" s="8" t="str">
        <x:v>Text extras; numerele din referințe sunt în coloana separată</x:v>
      </x:c>
      <x:c r="L630" s="8" t="e">
        <x:f>HYPERLINK("file:///Z:/00. Proiecte 2025/AFIR FotoVoltaic 1/30.1 Cerere Rambursare 1/draft/Opis_documentatie_Cerere_rambursare_Transa1.docx","Deschide sursa")</x:f>
        <x:v>HYPERLINK is not implemented. linkLocation=file:///Z:/00. Proiecte 2025/AFIR FotoVoltaic 1/30.1 Cerere Rambursare 1/draft/Opis_documentatie_Cerere_rambursare_Transa1.docx, friendlyName=Deschide sursa</x:v>
      </x:c>
    </x:row>
    <x:row r="631" ht="36" customHeight="1">
      <x:c r="A631" s="8" t="str">
        <x:v>F1079</x:v>
      </x:c>
      <x:c r="B631" s="8" t="str">
        <x:v>PANOURI MONTATE 2222 BUCATI - PROIECT.xlsx</x:v>
      </x:c>
      <x:c r="C631" s="8" t="str">
        <x:v>Rambursare tranșa 1</x:v>
      </x:c>
      <x:c r="D631" s="12" t="str"/>
      <x:c r="E631" s="11" t="str"/>
      <x:c r="F631" s="12" t="str"/>
      <x:c r="G631" s="11" t="str"/>
      <x:c r="H631" s="8" t="str"/>
      <x:c r="I631" s="8" t="str">
        <x:v>Versiune de lucru / arhivă</x:v>
      </x:c>
      <x:c r="J631" s="8" t="str"/>
      <x:c r="K631" s="8" t="str">
        <x:v>Necesită citire vizuală / OCR / formular XFA</x:v>
      </x:c>
      <x:c r="L631" s="8" t="e">
        <x:f>HYPERLINK("file:///Z:/00. Proiecte 2025/AFIR FotoVoltaic 1/30.1 Cerere Rambursare 1/draft/PANOURI MONTATE 2222 BUCATI - PROIECT.xlsx","Deschide sursa")</x:f>
        <x:v>HYPERLINK is not implemented. linkLocation=file:///Z:/00. Proiecte 2025/AFIR FotoVoltaic 1/30.1 Cerere Rambursare 1/draft/PANOURI MONTATE 2222 BUCATI - PROIECT.xlsx, friendlyName=Deschide sursa</x:v>
      </x:c>
    </x:row>
    <x:row r="632" ht="36" customHeight="1">
      <x:c r="A632" s="8" t="str">
        <x:v>F1080</x:v>
      </x:c>
      <x:c r="B632" s="8" t="str">
        <x:v>PANOURI MONTATE IN PLIS 30 BUCATI.xlsx</x:v>
      </x:c>
      <x:c r="C632" s="8" t="str">
        <x:v>Rambursare tranșa 1</x:v>
      </x:c>
      <x:c r="D632" s="12" t="str"/>
      <x:c r="E632" s="11" t="str"/>
      <x:c r="F632" s="12" t="str"/>
      <x:c r="G632" s="11" t="str"/>
      <x:c r="H632" s="8" t="str"/>
      <x:c r="I632" s="8" t="str">
        <x:v>Versiune de lucru / arhivă</x:v>
      </x:c>
      <x:c r="J632" s="8" t="str"/>
      <x:c r="K632" s="8" t="str">
        <x:v>Necesită citire vizuală / OCR / formular XFA</x:v>
      </x:c>
      <x:c r="L632" s="8" t="e">
        <x:f>HYPERLINK("file:///Z:/00. Proiecte 2025/AFIR FotoVoltaic 1/30.1 Cerere Rambursare 1/draft/PANOURI MONTATE IN PLIS 30 BUCATI.xlsx","Deschide sursa")</x:f>
        <x:v>HYPERLINK is not implemented. linkLocation=file:///Z:/00. Proiecte 2025/AFIR FotoVoltaic 1/30.1 Cerere Rambursare 1/draft/PANOURI MONTATE IN PLIS 30 BUCATI.xlsx, friendlyName=Deschide sursa</x:v>
      </x:c>
    </x:row>
    <x:row r="633" ht="36" customHeight="1">
      <x:c r="A633" s="8" t="str">
        <x:v>F1081</x:v>
      </x:c>
      <x:c r="B633" s="8" t="str">
        <x:v>panouri nkh.xlsx</x:v>
      </x:c>
      <x:c r="C633" s="8" t="str">
        <x:v>Rambursare tranșa 1</x:v>
      </x:c>
      <x:c r="D633" s="12" t="str"/>
      <x:c r="E633" s="11" t="str"/>
      <x:c r="F633" s="12" t="str"/>
      <x:c r="G633" s="11" t="str"/>
      <x:c r="H633" s="8" t="str"/>
      <x:c r="I633" s="8" t="str">
        <x:v>Versiune de lucru / arhivă</x:v>
      </x:c>
      <x:c r="J633" s="8" t="str"/>
      <x:c r="K633" s="8" t="str">
        <x:v>Necesită citire vizuală / OCR / formular XFA</x:v>
      </x:c>
      <x:c r="L633" s="8" t="e">
        <x:f>HYPERLINK("file:///Z:/00. Proiecte 2025/AFIR FotoVoltaic 1/30.1 Cerere Rambursare 1/draft/panouri nkh.xlsx","Deschide sursa")</x:f>
        <x:v>HYPERLINK is not implemented. linkLocation=file:///Z:/00. Proiecte 2025/AFIR FotoVoltaic 1/30.1 Cerere Rambursare 1/draft/panouri nkh.xlsx, friendlyName=Deschide sursa</x:v>
      </x:c>
    </x:row>
    <x:row r="634" ht="36" customHeight="1">
      <x:c r="A634" s="8" t="str">
        <x:v>F1082</x:v>
      </x:c>
      <x:c r="B634" s="8" t="str">
        <x:v>Plan detaliat de implementare pentru proiectul fotovoltaic CESIRO PRODUCTION S.docx</x:v>
      </x:c>
      <x:c r="C634" s="8" t="str">
        <x:v>Rambursare tranșa 1</x:v>
      </x:c>
      <x:c r="D634" s="12" t="str"/>
      <x:c r="E634" s="11" t="str"/>
      <x:c r="F634" s="12" t="str"/>
      <x:c r="G634" s="11" t="str"/>
      <x:c r="H634" s="8" t="str"/>
      <x:c r="I634" s="8" t="str">
        <x:v>Versiune de lucru / arhivă</x:v>
      </x:c>
      <x:c r="J634" s="8" t="str">
        <x:v>nr. 96. Contractul AFIR și bugetul aprobat mențin indicatorul de capacitate instalată la 999,780 kWp, în timp ce raportul Avasco indică 999,9 kWp pentru configuraț</x:v>
      </x:c>
      <x:c r="K634" s="8" t="str">
        <x:v>Text extras; numerele din referințe sunt în coloana separată</x:v>
      </x:c>
      <x:c r="L634" s="8" t="e">
        <x:f>HYPERLINK("file:///Z:/00. Proiecte 2025/AFIR FotoVoltaic 1/30.1 Cerere Rambursare 1/draft/Plan detaliat de implementare pentru proiectul fotovoltaic CESIRO PRODUCTION S.docx","Deschide sursa")</x:f>
        <x:v>HYPERLINK is not implemented. linkLocation=file:///Z:/00. Proiecte 2025/AFIR FotoVoltaic 1/30.1 Cerere Rambursare 1/draft/Plan detaliat de implementare pentru proiectul fotovoltaic CESIRO PRODUCTION S.docx, friendlyName=Deschide sursa</x:v>
      </x:c>
    </x:row>
    <x:row r="635" ht="302" customHeight="1">
      <x:c r="A635" s="8" t="str">
        <x:v>F1083</x:v>
      </x:c>
      <x:c r="B635" s="8" t="str">
        <x:v>RAPORT AUDIT Cerere Rambursare 1 - CESIRO.docx</x:v>
      </x:c>
      <x:c r="C635" s="8" t="str">
        <x:v>Rambursare tranșa 1</x:v>
      </x:c>
      <x:c r="D635" s="12" t="str"/>
      <x:c r="E635" s="11" t="str"/>
      <x:c r="F635" s="12" t="str"/>
      <x:c r="G635" s="11" t="str"/>
      <x:c r="H635" s="8" t="str"/>
      <x:c r="I635" s="8" t="str">
        <x:v>Versiune de lucru / arhivă</x:v>
      </x:c>
      <x:c r="J635" s="8" t="str">
        <x:v>NR. 1 (TRANȘA 1)
nr. 1 este complet și coerent înainte de depunerea online către AFIR. Au fost analizate trei surse: (a) cerințele procedurale AFIR (manualele oficiale de plată din
nr. 1 (schimbarea proprietarului și a soluției tehnice); (c) fiecare document deja pregătit în dosar.
nr. 275/01.02.2024, valoare 4.885.057,20 lei fără TVA.
nr. 24/12.01.2026, cele 20 părți sociale (100%) au fost cesionate integral de la CESIRO TRADING SRL (fostul asociat unic) către dl. Covaciu Cosmin-Adrian, persoană
nr. 1, semnat 30.06.2026)
nr. 10 (ian–mar 2026) și nr. 11 (apr–iun 2026) evidențiază 8 plăți către Suntree Solar Tech totalizând 2.985.000,00 lei (= total facturat, TVA inclus). Furnizorul
nr. 5 (recepție cabluri) — „Data recepției” și „CMR nr. ___ din ___” goale.
nr. 7 (recepție panouri) — „Data recepției la Sighișoara: de completat”.
nr. 10 (verificare faze determinante) — numele proiectantului/inginerului atestat ANRE „prin ing. ______” necompletat.
nr. 5, jud. Alba
nr./data contractului (vezi cap. 6).
nr. 1/16.02.2026 complet și coerent. Semnătură necompletată (format editabil).
NRE lipsă la PV10.
nr. 11) | 30.06.2026 (desfășurător, pct. 10)
Nr./data contract achiziție în actul adițional furnizor | 275/01.02.2024 (corect, folosit peste tot) | 275/30.12.2025 (greșit, în antetul actului adițional)</x:v>
      </x:c>
      <x:c r="K635" s="8" t="str">
        <x:v>Text extras; numerele din referințe sunt în coloana separată</x:v>
      </x:c>
      <x:c r="L635" s="8" t="e">
        <x:f>HYPERLINK("file:///Z:/00. Proiecte 2025/AFIR FotoVoltaic 1/30.1 Cerere Rambursare 1/draft/RAPORT AUDIT Cerere Rambursare 1 - CESIRO.docx","Deschide sursa")</x:f>
        <x:v>HYPERLINK is not implemented. linkLocation=file:///Z:/00. Proiecte 2025/AFIR FotoVoltaic 1/30.1 Cerere Rambursare 1/draft/RAPORT AUDIT Cerere Rambursare 1 - CESIRO.docx, friendlyName=Deschide sursa</x:v>
      </x:c>
    </x:row>
    <x:row r="636" ht="204" customHeight="1">
      <x:c r="A636" s="8" t="str">
        <x:v>F1084</x:v>
      </x:c>
      <x:c r="B636" s="8" t="str">
        <x:v>RAPORT AUDIT Cerere Rambursare 1 - CESIRO.pdf</x:v>
      </x:c>
      <x:c r="C636" s="8" t="str">
        <x:v>Rambursare tranșa 1</x:v>
      </x:c>
      <x:c r="D636" s="12" t="str"/>
      <x:c r="E636" s="11" t="str"/>
      <x:c r="F636" s="12" t="str"/>
      <x:c r="G636" s="11" t="str"/>
      <x:c r="H636" s="8" t="str"/>
      <x:c r="I636" s="8" t="str">
        <x:v>Versiune de lucru / arhivă</x:v>
      </x:c>
      <x:c r="J636" s="8" t="str">
        <x:v>NR. 1 (TRANȘA 1)
nr. 5, jud. Alba
nr. 1, semnat 30.06.2026) .............................. 3
nr. 1 este complet și coerent înainte de
nr. 1 (schimbarea
nr. 275/01.02.2024, valoare
nr. 24/12.01.2026, cele 20 părți sociale (100%) au fost cesionate integral de la CESIRO
nr. 1, semnat 30.06.2026)
nr. 10 (ian–mar 2026) și nr. 11 (apr–iun 2026) evidențiază 8 plăți către Suntree Solar
nr. 1/16.02.2026 complet și coerent.
nr. 5 (recepție cabluri) — „Data recepției” și „CMR nr. ___ din ___” goale.
nr. 7 (recepție panouri) — „Data recepției la Sighișoara: de completat”.
nr. 10 (verificare faze determinante) — numele proiectantului/inginerului atestat ANRE „prin ing.
nr. 11) 30.06.2026 (desfășurător, pct. 10)</x:v>
      </x:c>
      <x:c r="K636" s="8" t="str">
        <x:v>Text extras; numerele din referințe sunt în coloana separată</x:v>
      </x:c>
      <x:c r="L636" s="8" t="e">
        <x:f>HYPERLINK("file:///Z:/00. Proiecte 2025/AFIR FotoVoltaic 1/30.1 Cerere Rambursare 1/draft/RAPORT AUDIT Cerere Rambursare 1 - CESIRO.pdf","Deschide sursa")</x:f>
        <x:v>HYPERLINK is not implemented. linkLocation=file:///Z:/00. Proiecte 2025/AFIR FotoVoltaic 1/30.1 Cerere Rambursare 1/draft/RAPORT AUDIT Cerere Rambursare 1 - CESIRO.pdf, friendlyName=Deschide sursa</x:v>
      </x:c>
    </x:row>
    <x:row r="637" ht="218" customHeight="1">
      <x:c r="A637" s="8" t="str">
        <x:v>F1085</x:v>
      </x:c>
      <x:c r="B637" s="8" t="str">
        <x:v>RAPORT_AUDIT_v2_CR1_CESIRO_10.08.2026.docx</x:v>
      </x:c>
      <x:c r="C637" s="8" t="str">
        <x:v>Rambursare tranșa 1</x:v>
      </x:c>
      <x:c r="D637" s="12" t="str"/>
      <x:c r="E637" s="11" t="str"/>
      <x:c r="F637" s="12" t="str"/>
      <x:c r="G637" s="11" t="str"/>
      <x:c r="H637" s="8" t="str"/>
      <x:c r="I637" s="8" t="str">
        <x:v>Versiune de lucru / arhivă</x:v>
      </x:c>
      <x:c r="J637" s="8" t="str">
        <x:v>nr. CFMSES011011372801030/30.12.2024 · Fondul pentru Modernizare
nr. 1/07.08.2026 — Tranșa 1
nr. 275/01.02.2024 cu actele adiționale 1–3 și Actul adițional nr. 1 la contractul de finanțare (C3.3.4 nr. 1.360.244/30.06.2026).
nr. 341/03.07.2026 (6 poziții, OCR verificat) = AP 1.2 = balanța analitică (cont 231 = 2.466.942,15; TVA 4426 = 518.057,85) = PV nr. 8.
nr. 10 și 11 (referințe bancare 260218S212509380 … 260406S232205463); total 2.985.000,00 lei; furnizor achitat integral (sold 401 = 0).
nr. 1–7: valori, date și trimiteri încrucișate corecte (PV7 include participarea proiectantului ALBA PROIECT CONSULTING).
nr. 1/16.02.2026 și PV predare amplasament — corelate cu contractul și cu CF nr. 58300 Sighișoara.
nr. 1.370.394/07.08.2026. Notă: motivarea AFIR („lipsă de obiect” — AA1 nu conține denumirea comercială) susține implicit poziția că livrarea Nkh+ nu contravine AA
nr. 3: câmp necompletat „CMR / aviz de însoțire Skybase nr. ______”; PV nr. 5: lipsesc numerele CMR și cantitățile pe lot (packing-listurile celor 9 containere exi</x:v>
      </x:c>
      <x:c r="K637" s="8" t="str">
        <x:v>Text extras; numerele din referințe sunt în coloana separată</x:v>
      </x:c>
      <x:c r="L637" s="8" t="e">
        <x:f>HYPERLINK("file:///Z:/00. Proiecte 2025/AFIR FotoVoltaic 1/30.1 Cerere Rambursare 1/draft/RAPORT_AUDIT_v2_CR1_CESIRO_10.08.2026.docx","Deschide sursa")</x:f>
        <x:v>HYPERLINK is not implemented. linkLocation=file:///Z:/00. Proiecte 2025/AFIR FotoVoltaic 1/30.1 Cerere Rambursare 1/draft/RAPORT_AUDIT_v2_CR1_CESIRO_10.08.2026.docx, friendlyName=Deschide sursa</x:v>
      </x:c>
    </x:row>
    <x:row r="638" ht="176" customHeight="1">
      <x:c r="A638" s="8" t="str">
        <x:v>F1086</x:v>
      </x:c>
      <x:c r="B638" s="8" t="str">
        <x:v>RAPORT_AUDIT_v2_CR1_CESIRO_10.08.2026.pdf</x:v>
      </x:c>
      <x:c r="C638" s="8" t="str">
        <x:v>Rambursare tranșa 1</x:v>
      </x:c>
      <x:c r="D638" s="12" t="str"/>
      <x:c r="E638" s="11" t="str"/>
      <x:c r="F638" s="12" t="str"/>
      <x:c r="G638" s="11" t="str"/>
      <x:c r="H638" s="8" t="str"/>
      <x:c r="I638" s="8" t="str">
        <x:v>Versiune de lucru / arhivă</x:v>
      </x:c>
      <x:c r="J638" s="8" t="str">
        <x:v>nr. CFMSES011011372801030/30.12.2024 · Fondul pentru Modernizare
nr. 1/07.08.2026 — Tranșa 1
nr. 275/01.02.2024 cu actele adiționale 1–3 și Actul adițional nr. 1 la contractul
nr. 1.360.244/30.06.2026).
nr. 341/03.07.2026 (6 poziții,
nr. 8.
nr. 10 și 11 (referințe bancare
nr. 1–7: valori, date și trimiteri încrucișate corecte (PV7 include participarea proiectantului
nr. 1/16.02.2026 și PV predare amplasament — corelate cu contractul și cu CF nr.
nr. 3: câmp necompletat „CMR / aviz de însoțire Skybase
nr. ______”; PV nr. 5: lipsesc numerele CMR și cantitățile pe
nr. 1.370.394/07.08.2026.</x:v>
      </x:c>
      <x:c r="K638" s="8" t="str">
        <x:v>Text extras; numerele din referințe sunt în coloana separată</x:v>
      </x:c>
      <x:c r="L638" s="8" t="e">
        <x:f>HYPERLINK("file:///Z:/00. Proiecte 2025/AFIR FotoVoltaic 1/30.1 Cerere Rambursare 1/draft/RAPORT_AUDIT_v2_CR1_CESIRO_10.08.2026.pdf","Deschide sursa")</x:f>
        <x:v>HYPERLINK is not implemented. linkLocation=file:///Z:/00. Proiecte 2025/AFIR FotoVoltaic 1/30.1 Cerere Rambursare 1/draft/RAPORT_AUDIT_v2_CR1_CESIRO_10.08.2026.pdf, friendlyName=Deschide sursa</x:v>
      </x:c>
    </x:row>
    <x:row r="639" ht="36" customHeight="1">
      <x:c r="A639" s="8" t="str">
        <x:v>F1087</x:v>
      </x:c>
      <x:c r="B639" s="8" t="str">
        <x:v>Situatie de Lucrari Suntree_Production.pdf</x:v>
      </x:c>
      <x:c r="C639" s="8" t="str">
        <x:v>Rambursare tranșa 1</x:v>
      </x:c>
      <x:c r="D639" s="12" t="str"/>
      <x:c r="E639" s="11" t="str"/>
      <x:c r="F639" s="12" t="str"/>
      <x:c r="G639" s="11" t="str"/>
      <x:c r="H639" s="8" t="str"/>
      <x:c r="I639" s="8" t="str">
        <x:v>Versiune de lucru / arhivă</x:v>
      </x:c>
      <x:c r="J639" s="8" t="str"/>
      <x:c r="K639" s="8" t="str">
        <x:v>Text extras; numerele din referințe sunt în coloana separată</x:v>
      </x:c>
      <x:c r="L639" s="8" t="e">
        <x:f>HYPERLINK("file:///Z:/00. Proiecte 2025/AFIR FotoVoltaic 1/30.1 Cerere Rambursare 1/draft/Situatie de Lucrari Suntree_Production.pdf","Deschide sursa")</x:f>
        <x:v>HYPERLINK is not implemented. linkLocation=file:///Z:/00. Proiecte 2025/AFIR FotoVoltaic 1/30.1 Cerere Rambursare 1/draft/Situatie de Lucrari Suntree_Production.pdf, friendlyName=Deschide sursa</x:v>
      </x:c>
    </x:row>
    <x:row r="640" ht="36" customHeight="1">
      <x:c r="A640" s="8" t="str">
        <x:v>F1088</x:v>
      </x:c>
      <x:c r="B640" s="8" t="str">
        <x:v>1. AP_0.0_grafic_de_esalonare_SEV3.pdf</x:v>
      </x:c>
      <x:c r="C640" s="8" t="str">
        <x:v>Rambursare tranșa 1</x:v>
      </x:c>
      <x:c r="D640" s="12" t="str"/>
      <x:c r="E640" s="11" t="str"/>
      <x:c r="F640" s="12" t="str"/>
      <x:c r="G640" s="11" t="str"/>
      <x:c r="H640" s="8" t="str"/>
      <x:c r="I640" s="8" t="str">
        <x:v>Pachet pentru auditor; nu dovedește depunere AFIR</x:v>
      </x:c>
      <x:c r="J640" s="8" t="str"/>
      <x:c r="K640" s="8" t="str">
        <x:v>Text extras; numerele din referințe sunt în coloana separată</x:v>
      </x:c>
      <x:c r="L640" s="8" t="e">
        <x:f>HYPERLINK("file:///Z:/00. Proiecte 2025/AFIR FotoVoltaic 1/30.1 Cerere Rambursare 1/12. Raportul de audit financiar/Ce s-a trimis la Tamas/1. AP_0.0_grafic_de_esalonare_SEV3.pdf","Deschide sursa")</x:f>
        <x:v>HYPERLINK is not implemented. linkLocation=file:///Z:/00. Proiecte 2025/AFIR FotoVoltaic 1/30.1 Cerere Rambursare 1/12. Raportul de audit financiar/Ce s-a trimis la Tamas/1. AP_0.0_grafic_de_esalonare_SEV3.pdf, friendlyName=Deschide sursa</x:v>
      </x:c>
    </x:row>
    <x:row r="641" ht="36" customHeight="1">
      <x:c r="A641" s="8" t="str">
        <x:v>F1089</x:v>
      </x:c>
      <x:c r="B641" s="8" t="str">
        <x:v>11. 1.3.1 SE Raport de audit.doc</x:v>
      </x:c>
      <x:c r="C641" s="8" t="str">
        <x:v>Rambursare tranșa 1</x:v>
      </x:c>
      <x:c r="D641" s="12" t="str"/>
      <x:c r="E641" s="11" t="str"/>
      <x:c r="F641" s="12" t="str"/>
      <x:c r="G641" s="11" t="str"/>
      <x:c r="H641" s="8" t="str"/>
      <x:c r="I641" s="8" t="str">
        <x:v>Pachet pentru auditor; nu dovedește depunere AFIR</x:v>
      </x:c>
      <x:c r="J641" s="8" t="str"/>
      <x:c r="K641" s="8" t="str">
        <x:v>Necesită citire vizuală / OCR / formular XFA</x:v>
      </x:c>
      <x:c r="L641" s="8" t="e">
        <x:f>HYPERLINK("file:///Z:/00. Proiecte 2025/AFIR FotoVoltaic 1/30.1 Cerere Rambursare 1/12. Raportul de audit financiar/Ce s-a trimis la Tamas/11. 1.3.1 SE Raport de audit.doc","Deschide sursa")</x:f>
        <x:v>HYPERLINK is not implemented. linkLocation=file:///Z:/00. Proiecte 2025/AFIR FotoVoltaic 1/30.1 Cerere Rambursare 1/12. Raportul de audit financiar/Ce s-a trimis la Tamas/11. 1.3.1 SE Raport de audit.doc, friendlyName=Deschide sursa</x:v>
      </x:c>
    </x:row>
    <x:row r="642" ht="50" customHeight="1">
      <x:c r="A642" s="8" t="str">
        <x:v>F1090</x:v>
      </x:c>
      <x:c r="B642" s="8" t="str">
        <x:v>13. AP 1.4 SE Declarație pe propria răspundere_v2.pdf</x:v>
      </x:c>
      <x:c r="C642" s="8" t="str">
        <x:v>Rambursare tranșa 1</x:v>
      </x:c>
      <x:c r="D642" s="12" t="str"/>
      <x:c r="E642" s="11" t="str"/>
      <x:c r="F642" s="12" t="str"/>
      <x:c r="G642" s="11" t="str"/>
      <x:c r="H642" s="8" t="str"/>
      <x:c r="I642" s="8" t="str">
        <x:v>Pachet pentru auditor; nu dovedește depunere AFIR</x:v>
      </x:c>
      <x:c r="J642" s="8" t="str"/>
      <x:c r="K642" s="8" t="str">
        <x:v>Text extras; numerele din referințe sunt în coloana separată</x:v>
      </x:c>
      <x:c r="L642" s="8" t="e">
        <x:f>HYPERLINK("file:///Z:/00. Proiecte 2025/AFIR FotoVoltaic 1/30.1 Cerere Rambursare 1/12. Raportul de audit financiar/Ce s-a trimis la Tamas/13. AP 1.4 SE Declarație pe propria răspundere_v2.pdf","Deschide sursa")</x:f>
        <x:v>HYPERLINK is not implemented. linkLocation=file:///Z:/00. Proiecte 2025/AFIR FotoVoltaic 1/30.1 Cerere Rambursare 1/12. Raportul de audit financiar/Ce s-a trimis la Tamas/13. AP 1.4 SE Declarație pe propria răspundere_v2.pdf, friendlyName=Deschide sursa</x:v>
      </x:c>
    </x:row>
    <x:row r="643" ht="50" customHeight="1">
      <x:c r="A643" s="8" t="str">
        <x:v>F1091</x:v>
      </x:c>
      <x:c r="B643" s="8" t="str">
        <x:v>14. CESIRO_Ordin_incepere_lucrari-v2.pdf</x:v>
      </x:c>
      <x:c r="C643" s="8" t="str">
        <x:v>Rambursare tranșa 1</x:v>
      </x:c>
      <x:c r="D643" s="12" t="str"/>
      <x:c r="E643" s="11" t="str"/>
      <x:c r="F643" s="12" t="str"/>
      <x:c r="G643" s="11" t="str"/>
      <x:c r="H643" s="8" t="str"/>
      <x:c r="I643" s="8" t="str">
        <x:v>Pachet pentru auditor; nu dovedește depunere AFIR</x:v>
      </x:c>
      <x:c r="J643" s="8" t="str"/>
      <x:c r="K643" s="8" t="str">
        <x:v>Text extras; numerele din referințe sunt în coloana separată</x:v>
      </x:c>
      <x:c r="L643" s="8" t="e">
        <x:f>HYPERLINK("file:///Z:/00. Proiecte 2025/AFIR FotoVoltaic 1/30.1 Cerere Rambursare 1/12. Raportul de audit financiar/Ce s-a trimis la Tamas/14. CESIRO_Ordin_incepere_lucrari-v2.pdf","Deschide sursa")</x:f>
        <x:v>HYPERLINK is not implemented. linkLocation=file:///Z:/00. Proiecte 2025/AFIR FotoVoltaic 1/30.1 Cerere Rambursare 1/12. Raportul de audit financiar/Ce s-a trimis la Tamas/14. CESIRO_Ordin_incepere_lucrari-v2.pdf, friendlyName=Deschide sursa</x:v>
      </x:c>
    </x:row>
    <x:row r="644" ht="50" customHeight="1">
      <x:c r="A644" s="8" t="str">
        <x:v>F1094</x:v>
      </x:c>
      <x:c r="B644" s="8" t="str">
        <x:v>17. balanta_de_verificare_10082026_125949v2.pdf</x:v>
      </x:c>
      <x:c r="C644" s="8" t="str">
        <x:v>Rambursare tranșa 1</x:v>
      </x:c>
      <x:c r="D644" s="12" t="str"/>
      <x:c r="E644" s="11" t="str"/>
      <x:c r="F644" s="12" t="str"/>
      <x:c r="G644" s="11" t="str"/>
      <x:c r="H644" s="8" t="str"/>
      <x:c r="I644" s="8" t="str">
        <x:v>Pachet pentru auditor; nu dovedește depunere AFIR</x:v>
      </x:c>
      <x:c r="J644" s="8" t="str"/>
      <x:c r="K644" s="8" t="str">
        <x:v>Text extras; numerele din referințe sunt în coloana separată</x:v>
      </x:c>
      <x:c r="L644" s="8" t="e">
        <x:f>HYPERLINK("file:///Z:/00. Proiecte 2025/AFIR FotoVoltaic 1/30.1 Cerere Rambursare 1/12. Raportul de audit financiar/Ce s-a trimis la Tamas/17. balanta_de_verificare_10082026_125949v2.pdf","Deschide sursa")</x:f>
        <x:v>HYPERLINK is not implemented. linkLocation=file:///Z:/00. Proiecte 2025/AFIR FotoVoltaic 1/30.1 Cerere Rambursare 1/12. Raportul de audit financiar/Ce s-a trimis la Tamas/17. balanta_de_verificare_10082026_125949v2.pdf, friendlyName=Deschide sursa</x:v>
      </x:c>
    </x:row>
    <x:row r="645" ht="78" customHeight="1">
      <x:c r="A645" s="8" t="str">
        <x:v>F1095</x:v>
      </x:c>
      <x:c r="B645" s="8" t="str">
        <x:v>18. PV_01_Predare_primire_amplasament_16_02_2026v2.pdf</x:v>
      </x:c>
      <x:c r="C645" s="8" t="str">
        <x:v>Rambursare tranșa 1</x:v>
      </x:c>
      <x:c r="D645" s="12" t="str">
        <x:v>1</x:v>
      </x:c>
      <x:c r="E645" s="11" t="n">
        <x:v>46069</x:v>
      </x:c>
      <x:c r="F645" s="12" t="str"/>
      <x:c r="G645" s="11" t="str"/>
      <x:c r="H645" s="8" t="str"/>
      <x:c r="I645" s="8" t="str">
        <x:v>Pachet pentru auditor; nu dovedește depunere AFIR</x:v>
      </x:c>
      <x:c r="J645" s="8" t="str">
        <x:v>nr. 5,jud. Alba
nr. 96, jud. Mures - Hal a de Productie C 1
Nr. 1 / 16.02.2026
nr. 275/01.02.2024 (nr. inreg. beneficiar 05/01.02.2024) · Finantare nr.
nr. 1/16.02.2026.</x:v>
      </x:c>
      <x:c r="K645" s="8" t="str">
        <x:v>Text extras; numerele din referințe sunt în coloana separată</x:v>
      </x:c>
      <x:c r="L645" s="8" t="e">
        <x:f>HYPERLINK("file:///Z:/00. Proiecte 2025/AFIR FotoVoltaic 1/30.1 Cerere Rambursare 1/12. Raportul de audit financiar/Ce s-a trimis la Tamas/18. PV_01_Predare_primire_amplasament_16_02_2026v2.pdf","Deschide sursa")</x:f>
        <x:v>HYPERLINK is not implemented. linkLocation=file:///Z:/00. Proiecte 2025/AFIR FotoVoltaic 1/30.1 Cerere Rambursare 1/12. Raportul de audit financiar/Ce s-a trimis la Tamas/18. PV_01_Predare_primire_amplasament_16_02_2026v2.pdf, friendlyName=Deschide sursa</x:v>
      </x:c>
    </x:row>
    <x:row r="646" ht="78" customHeight="1">
      <x:c r="A646" s="8" t="str">
        <x:v>F1096</x:v>
      </x:c>
      <x:c r="B646" s="8" t="str">
        <x:v>19. PV_02_Organizare_santier_17_02_2026 (1).pdf</x:v>
      </x:c>
      <x:c r="C646" s="8" t="str">
        <x:v>Rambursare tranșa 1</x:v>
      </x:c>
      <x:c r="D646" s="12" t="str">
        <x:v>2</x:v>
      </x:c>
      <x:c r="E646" s="11" t="n">
        <x:v>46070</x:v>
      </x:c>
      <x:c r="F646" s="12" t="str"/>
      <x:c r="G646" s="11" t="str"/>
      <x:c r="H646" s="8" t="str"/>
      <x:c r="I646" s="8" t="str">
        <x:v>Pachet pentru auditor; nu dovedește depunere AFIR</x:v>
      </x:c>
      <x:c r="J646" s="8" t="str">
        <x:v>nr. 5, jud. Alba
nr. 96, jud. Mureș — Hala de Producție C1
Nr. 2 / 17.02.2026
nr. 275/01.02.2024 (nr. înreg. beneficiar 05/01.02.2024) · Finanțare nr.
nr. 0033/03.07.2026</x:v>
      </x:c>
      <x:c r="K646" s="8" t="str">
        <x:v>Text extras; numerele din referințe sunt în coloana separată</x:v>
      </x:c>
      <x:c r="L646" s="8" t="e">
        <x:f>HYPERLINK("file:///Z:/00. Proiecte 2025/AFIR FotoVoltaic 1/30.1 Cerere Rambursare 1/12. Raportul de audit financiar/Ce s-a trimis la Tamas/19. PV_02_Organizare_santier_17_02_2026 (1).pdf","Deschide sursa")</x:f>
        <x:v>HYPERLINK is not implemented. linkLocation=file:///Z:/00. Proiecte 2025/AFIR FotoVoltaic 1/30.1 Cerere Rambursare 1/12. Raportul de audit financiar/Ce s-a trimis la Tamas/19. PV_02_Organizare_santier_17_02_2026 (1).pdf, friendlyName=Deschide sursa</x:v>
      </x:c>
    </x:row>
    <x:row r="647" ht="232" customHeight="1">
      <x:c r="A647" s="8" t="str">
        <x:v>F1097</x:v>
      </x:c>
      <x:c r="B647" s="8" t="str">
        <x:v>2.1. AP 1.1 SE Cerere de rambursare-v3.pdf</x:v>
      </x:c>
      <x:c r="C647" s="8" t="str">
        <x:v>Rambursare tranșa 1</x:v>
      </x:c>
      <x:c r="D647" s="12" t="str"/>
      <x:c r="E647" s="11" t="str"/>
      <x:c r="F647" s="12" t="str"/>
      <x:c r="G647" s="11" t="str"/>
      <x:c r="H647" s="8" t="str"/>
      <x:c r="I647" s="8" t="str">
        <x:v>Pachet pentru auditor; nu dovedește depunere AFIR</x:v>
      </x:c>
      <x:c r="J647" s="8" t="str">
        <x:v>Nr. 96
Nr. tranșă 1
nr. SST0033 din data 03/07/2026 emisă de Suntree Solar Tech S.R.L. CUI
NRC J01 /81 7/2022
nr. 10 din data 23/03/2026
nr. 10 din data 18/02/2026
nr. 10 din data 23/02/2026
nr. 10 din data 24/02/2026
nr. 10 din data 25/02/2026
nr. 11 din data 06/04/2026
nr. 275/01.02.202 9
nr. 1 la contractul de finanțare, nr. înreg. 1.360.244/30.06.2026 2
nr. FN/11.06.2026 9
nr. 1.359.705/22.06.2026 2
nr. 1.370.394/07.08.2026 1
nr. 1, 2 și 3 la contractul de achiziție 6</x:v>
      </x:c>
      <x:c r="K647" s="8" t="str">
        <x:v>Text extras; numerele din referințe sunt în coloana separată</x:v>
      </x:c>
      <x:c r="L647" s="8" t="e">
        <x:f>HYPERLINK("file:///Z:/00. Proiecte 2025/AFIR FotoVoltaic 1/30.1 Cerere Rambursare 1/12. Raportul de audit financiar/Ce s-a trimis la Tamas/2.1. AP 1.1 SE Cerere de rambursare-v3.pdf","Deschide sursa")</x:f>
        <x:v>HYPERLINK is not implemented. linkLocation=file:///Z:/00. Proiecte 2025/AFIR FotoVoltaic 1/30.1 Cerere Rambursare 1/12. Raportul de audit financiar/Ce s-a trimis la Tamas/2.1. AP 1.1 SE Cerere de rambursare-v3.pdf, friendlyName=Deschide sursa</x:v>
      </x:c>
    </x:row>
    <x:row r="648" ht="92" customHeight="1">
      <x:c r="A648" s="8" t="str">
        <x:v>F1098</x:v>
      </x:c>
      <x:c r="B648" s="8" t="str">
        <x:v>2.2 Factura SST 33.pdf</x:v>
      </x:c>
      <x:c r="C648" s="8" t="str">
        <x:v>Rambursare tranșa 1</x:v>
      </x:c>
      <x:c r="D648" s="12" t="str"/>
      <x:c r="E648" s="11" t="str"/>
      <x:c r="F648" s="12" t="str"/>
      <x:c r="G648" s="11" t="str"/>
      <x:c r="H648" s="8" t="str"/>
      <x:c r="I648" s="8" t="str">
        <x:v>Pachet pentru auditor; nu dovedește depunere AFIR</x:v>
      </x:c>
      <x:c r="J648" s="8" t="str">
        <x:v>NR. 0033 Data emiterii: 03.07.2026
Nr. Reg. Com.: J01 /81 7/2022
NR.5, Mun. Alba Iulia, Alba, Romania
Nr. Reg. Com.: J2021 001 32801 4
nr. 275 din 01.02.2024 BUC 1,00 1.279.191,74 268.630,26 21% 1.547.822,00
nr 275 din 01.02.2024 BUC 1,00 1.185.950,41 249.049,59 21% 1.435.000,00</x:v>
      </x:c>
      <x:c r="K648" s="8" t="str">
        <x:v>Text extras; numerele din referințe sunt în coloana separată</x:v>
      </x:c>
      <x:c r="L648" s="8" t="e">
        <x:f>HYPERLINK("file:///Z:/00. Proiecte 2025/AFIR FotoVoltaic 1/30.1 Cerere Rambursare 1/12. Raportul de audit financiar/Ce s-a trimis la Tamas/2.2 Factura SST 33.pdf","Deschide sursa")</x:f>
        <x:v>HYPERLINK is not implemented. linkLocation=file:///Z:/00. Proiecte 2025/AFIR FotoVoltaic 1/30.1 Cerere Rambursare 1/12. Raportul de audit financiar/Ce s-a trimis la Tamas/2.2 Factura SST 33.pdf, friendlyName=Deschide sursa</x:v>
      </x:c>
    </x:row>
    <x:row r="649" ht="50" customHeight="1">
      <x:c r="A649" s="8" t="str">
        <x:v>F1099</x:v>
      </x:c>
      <x:c r="B649" s="8" t="str">
        <x:v>2.3 Extras Cont BCR 1.pdf</x:v>
      </x:c>
      <x:c r="C649" s="8" t="str">
        <x:v>Rambursare tranșa 1</x:v>
      </x:c>
      <x:c r="D649" s="12" t="str"/>
      <x:c r="E649" s="11" t="str"/>
      <x:c r="F649" s="12" t="str"/>
      <x:c r="G649" s="11" t="str"/>
      <x:c r="H649" s="8" t="str"/>
      <x:c r="I649" s="8" t="str">
        <x:v>Pachet pentru auditor; nu dovedește depunere AFIR</x:v>
      </x:c>
      <x:c r="J649" s="8" t="str">
        <x:v>Nr card 510161XXXXXX6014, Ref 900012162498,
Nr card 510161XXXXXX6014, Ref 900455693041,
Nr card 510161XXXXXX6014, Ref 900938344085,</x:v>
      </x:c>
      <x:c r="K649" s="8" t="str">
        <x:v>Text extras; numerele din referințe sunt în coloana separată</x:v>
      </x:c>
      <x:c r="L649" s="8" t="e">
        <x:f>HYPERLINK("file:///Z:/00. Proiecte 2025/AFIR FotoVoltaic 1/30.1 Cerere Rambursare 1/12. Raportul de audit financiar/Ce s-a trimis la Tamas/2.3 Extras Cont BCR 1.pdf","Deschide sursa")</x:f>
        <x:v>HYPERLINK is not implemented. linkLocation=file:///Z:/00. Proiecte 2025/AFIR FotoVoltaic 1/30.1 Cerere Rambursare 1/12. Raportul de audit financiar/Ce s-a trimis la Tamas/2.3 Extras Cont BCR 1.pdf, friendlyName=Deschide sursa</x:v>
      </x:c>
    </x:row>
    <x:row r="650" ht="120" customHeight="1">
      <x:c r="A650" s="8" t="str">
        <x:v>F1100</x:v>
      </x:c>
      <x:c r="B650" s="8" t="str">
        <x:v>2.4 Extras Cont BCR 2.pdf</x:v>
      </x:c>
      <x:c r="C650" s="8" t="str">
        <x:v>Rambursare tranșa 1</x:v>
      </x:c>
      <x:c r="D650" s="12" t="str"/>
      <x:c r="E650" s="11" t="str"/>
      <x:c r="F650" s="12" t="str"/>
      <x:c r="G650" s="11" t="str"/>
      <x:c r="H650" s="8" t="str"/>
      <x:c r="I650" s="8" t="str">
        <x:v>Pachet pentru auditor; nu dovedește depunere AFIR</x:v>
      </x:c>
      <x:c r="J650" s="8" t="str">
        <x:v>nr. 5/01.02.2024-AFIR -CF-
Nr card 510161XXXXXX6014, Ref 901408742619,
Nr card 510161XXXXXX6014, token
Nr card 510161XXXXXX6014, Ref 901895191223,
Nr card 510161XXXXXX6014, Ref 901946698523,
Nr card 510161XXXXXX6014, Ref 901964870501,
Nr card 510161XXXXXX6014, Ref 902046703151,
Nr card 510161XXXXXX6014, Ref 902541772806,</x:v>
      </x:c>
      <x:c r="K650" s="8" t="str">
        <x:v>Text extras; numerele din referințe sunt în coloana separată</x:v>
      </x:c>
      <x:c r="L650" s="8" t="e">
        <x:f>HYPERLINK("file:///Z:/00. Proiecte 2025/AFIR FotoVoltaic 1/30.1 Cerere Rambursare 1/12. Raportul de audit financiar/Ce s-a trimis la Tamas/2.4 Extras Cont BCR 2.pdf","Deschide sursa")</x:f>
        <x:v>HYPERLINK is not implemented. linkLocation=file:///Z:/00. Proiecte 2025/AFIR FotoVoltaic 1/30.1 Cerere Rambursare 1/12. Raportul de audit financiar/Ce s-a trimis la Tamas/2.4 Extras Cont BCR 2.pdf, friendlyName=Deschide sursa</x:v>
      </x:c>
    </x:row>
    <x:row r="651" ht="64" customHeight="1">
      <x:c r="A651" s="8" t="str">
        <x:v>F1101</x:v>
      </x:c>
      <x:c r="B651" s="8" t="str">
        <x:v>20.1 PV_03_Receptie_structura_08_04_2026 (2).v2.pdf</x:v>
      </x:c>
      <x:c r="C651" s="8" t="str">
        <x:v>Rambursare tranșa 1</x:v>
      </x:c>
      <x:c r="D651" s="12" t="str"/>
      <x:c r="E651" s="11" t="str"/>
      <x:c r="F651" s="12" t="str"/>
      <x:c r="G651" s="11" t="str"/>
      <x:c r="H651" s="8" t="str"/>
      <x:c r="I651" s="8" t="str">
        <x:v>Pachet pentru auditor; nu dovedește depunere AFIR</x:v>
      </x:c>
      <x:c r="J651" s="8" t="str">
        <x:v>nr. 5,jud. Alba
nr. 96. jud. Mures - Hal a de Produc(ie CI
Nr. 3 I 08.04.2026
nr. 275/01.02.2024 (nr. inreg. beneficiar 05/01.02.2024) Finan(are nr.</x:v>
      </x:c>
      <x:c r="K651" s="8" t="str">
        <x:v>Text extras; numerele din referințe sunt în coloana separată</x:v>
      </x:c>
      <x:c r="L651" s="8" t="e">
        <x:f>HYPERLINK("file:///Z:/00. Proiecte 2025/AFIR FotoVoltaic 1/30.1 Cerere Rambursare 1/12. Raportul de audit financiar/Ce s-a trimis la Tamas/20.1 PV_03_Receptie_structura_08_04_2026 (2).v2.pdf","Deschide sursa")</x:f>
        <x:v>HYPERLINK is not implemented. linkLocation=file:///Z:/00. Proiecte 2025/AFIR FotoVoltaic 1/30.1 Cerere Rambursare 1/12. Raportul de audit financiar/Ce s-a trimis la Tamas/20.1 PV_03_Receptie_structura_08_04_2026 (2).v2.pdf, friendlyName=Deschide sursa</x:v>
      </x:c>
    </x:row>
    <x:row r="652" ht="78" customHeight="1">
      <x:c r="A652" s="8" t="str">
        <x:v>F1103</x:v>
      </x:c>
      <x:c r="B652" s="8" t="str">
        <x:v>21 PV_04_Montaj_structura_14_04_2026 (1).v2.pdf</x:v>
      </x:c>
      <x:c r="C652" s="8" t="str">
        <x:v>Rambursare tranșa 1</x:v>
      </x:c>
      <x:c r="D652" s="12" t="str">
        <x:v>4</x:v>
      </x:c>
      <x:c r="E652" s="11" t="n">
        <x:v>46126</x:v>
      </x:c>
      <x:c r="F652" s="12" t="str"/>
      <x:c r="G652" s="11" t="str"/>
      <x:c r="H652" s="8" t="str"/>
      <x:c r="I652" s="8" t="str">
        <x:v>Pachet pentru auditor; nu dovedește depunere AFIR</x:v>
      </x:c>
      <x:c r="J652" s="8" t="str">
        <x:v>nr. 5,jud. Alba
nr. 96, jud. Mu res -Hal a de Productie Cl
Nr. 4 / 14.04.2026
nr. 275/01.02.2024 (nr. inreg. beneficiar 05/01.02.2024) · Finantare nr.
nr. 341/03.07.2026 · Situatia de plata nr. 1/03.07.2026,art. I · Cap. 4.2</x:v>
      </x:c>
      <x:c r="K652" s="8" t="str">
        <x:v>Text extras; numerele din referințe sunt în coloana separată</x:v>
      </x:c>
      <x:c r="L652" s="8" t="e">
        <x:f>HYPERLINK("file:///Z:/00. Proiecte 2025/AFIR FotoVoltaic 1/30.1 Cerere Rambursare 1/12. Raportul de audit financiar/Ce s-a trimis la Tamas/21 PV_04_Montaj_structura_14_04_2026 (1).v2.pdf","Deschide sursa")</x:f>
        <x:v>HYPERLINK is not implemented. linkLocation=file:///Z:/00. Proiecte 2025/AFIR FotoVoltaic 1/30.1 Cerere Rambursare 1/12. Raportul de audit financiar/Ce s-a trimis la Tamas/21 PV_04_Montaj_structura_14_04_2026 (1).v2.pdf, friendlyName=Deschide sursa</x:v>
      </x:c>
    </x:row>
    <x:row r="653" ht="64" customHeight="1">
      <x:c r="A653" s="8" t="str">
        <x:v>F1105</x:v>
      </x:c>
      <x:c r="B653" s="8" t="str">
        <x:v>22.2 Centralizator_2222_panouri_montate_CD1 v1.pdf</x:v>
      </x:c>
      <x:c r="C653" s="8" t="str">
        <x:v>Rambursare tranșa 1</x:v>
      </x:c>
      <x:c r="D653" s="12" t="str"/>
      <x:c r="E653" s="11" t="str"/>
      <x:c r="F653" s="12" t="str"/>
      <x:c r="G653" s="11" t="str"/>
      <x:c r="H653" s="8" t="str"/>
      <x:c r="I653" s="8" t="str">
        <x:v>Pachet pentru auditor; nu dovedește depunere AFIR</x:v>
      </x:c>
      <x:c r="J653" s="8" t="str">
        <x:v>Nr. ORC: J01/1328/2021
nr.: CFMSES011011372801030 din 30.12.2024
nr. 96, jud. Mureș
nr. 275/01.02.2024</x:v>
      </x:c>
      <x:c r="K653" s="8" t="str">
        <x:v>Text extras; numerele din referințe sunt în coloana separată</x:v>
      </x:c>
      <x:c r="L653" s="8" t="e">
        <x:f>HYPERLINK("file:///Z:/00. Proiecte 2025/AFIR FotoVoltaic 1/30.1 Cerere Rambursare 1/12. Raportul de audit financiar/Ce s-a trimis la Tamas/22.2 Centralizator_2222_panouri_montate_CD1 v1.pdf","Deschide sursa")</x:f>
        <x:v>HYPERLINK is not implemented. linkLocation=file:///Z:/00. Proiecte 2025/AFIR FotoVoltaic 1/30.1 Cerere Rambursare 1/12. Raportul de audit financiar/Ce s-a trimis la Tamas/22.2 Centralizator_2222_panouri_montate_CD1 v1.pdf, friendlyName=Deschide sursa</x:v>
      </x:c>
    </x:row>
    <x:row r="654" ht="92" customHeight="1">
      <x:c r="A654" s="8" t="str">
        <x:v>F1106</x:v>
      </x:c>
      <x:c r="B654" s="8" t="str">
        <x:v>23. PV_06_Montaj_module_28_06_2026 v2.pdf</x:v>
      </x:c>
      <x:c r="C654" s="8" t="str">
        <x:v>Rambursare tranșa 1</x:v>
      </x:c>
      <x:c r="D654" s="12" t="str">
        <x:v>6</x:v>
      </x:c>
      <x:c r="E654" s="11" t="n">
        <x:v>46201</x:v>
      </x:c>
      <x:c r="F654" s="12" t="str"/>
      <x:c r="G654" s="11" t="str"/>
      <x:c r="H654" s="8" t="str"/>
      <x:c r="I654" s="8" t="str">
        <x:v>Pachet pentru auditor; nu dovedește depunere AFIR</x:v>
      </x:c>
      <x:c r="J654" s="8" t="str">
        <x:v>nr. 5, jud. Alba
nr. 96, jud. Mures- Hal a de Produqie Cl
Nr. 6 / 28.06.2026
nr. 275/0 l .02.2024 (nr. 1nreg. beneficiar 05/01.02.2024) · Finantare nr.
Nr� 1- - - Lucrar-e-executat� U.M. - - Can� T Valoare (lei fiiri
nr. 341 /03 .07 .2026 · Situatia de plata nr. 1 /03.07 .2026, art. 2 si 3 · Cap. 4.2 ·</x:v>
      </x:c>
      <x:c r="K654" s="8" t="str">
        <x:v>Text extras; numerele din referințe sunt în coloana separată</x:v>
      </x:c>
      <x:c r="L654" s="8" t="e">
        <x:f>HYPERLINK("file:///Z:/00. Proiecte 2025/AFIR FotoVoltaic 1/30.1 Cerere Rambursare 1/12. Raportul de audit financiar/Ce s-a trimis la Tamas/23. PV_06_Montaj_module_28_06_2026 v2.pdf","Deschide sursa")</x:f>
        <x:v>HYPERLINK is not implemented. linkLocation=file:///Z:/00. Proiecte 2025/AFIR FotoVoltaic 1/30.1 Cerere Rambursare 1/12. Raportul de audit financiar/Ce s-a trimis la Tamas/23. PV_06_Montaj_module_28_06_2026 v2.pdf, friendlyName=Deschide sursa</x:v>
      </x:c>
    </x:row>
    <x:row r="655" ht="120" customHeight="1">
      <x:c r="A655" s="8" t="str">
        <x:v>F1107</x:v>
      </x:c>
      <x:c r="B655" s="8" t="str">
        <x:v>24. PV_07_Verificare_faze_determinante_30_06_2026 v3.pdf</x:v>
      </x:c>
      <x:c r="C655" s="8" t="str">
        <x:v>Rambursare tranșa 1</x:v>
      </x:c>
      <x:c r="D655" s="12" t="str">
        <x:v>7</x:v>
      </x:c>
      <x:c r="E655" s="11" t="n">
        <x:v>46203</x:v>
      </x:c>
      <x:c r="F655" s="12" t="str"/>
      <x:c r="G655" s="11" t="str"/>
      <x:c r="H655" s="8" t="str"/>
      <x:c r="I655" s="8" t="str">
        <x:v>Pachet pentru auditor; nu dovedește depunere AFIR</x:v>
      </x:c>
      <x:c r="J655" s="8" t="str">
        <x:v>nr. 5, jud. Alba
nr. 96, jud. Mures- Hala de Productie Cl
Nr. 7 / 30.06.2026
nr. 275/01.02.2024 (nr. inreg. beneficiar 05/01.02.2024) · Finant-ar_e_n_r __ -- - -- - -­
nr. 3 - sef Proiectant
NRE: ing. Raul Zane, ing. Alpar Ko_11c;_�_ ·
nr. 4/14.04.2026
nr. 6/28.06.2026</x:v>
      </x:c>
      <x:c r="K655" s="8" t="str">
        <x:v>Text extras; numerele din referințe sunt în coloana separată</x:v>
      </x:c>
      <x:c r="L655" s="8" t="e">
        <x:f>HYPERLINK("file:///Z:/00. Proiecte 2025/AFIR FotoVoltaic 1/30.1 Cerere Rambursare 1/12. Raportul de audit financiar/Ce s-a trimis la Tamas/24. PV_07_Verificare_faze_determinante_30_06_2026 v3.pdf","Deschide sursa")</x:f>
        <x:v>HYPERLINK is not implemented. linkLocation=file:///Z:/00. Proiecte 2025/AFIR FotoVoltaic 1/30.1 Cerere Rambursare 1/12. Raportul de audit financiar/Ce s-a trimis la Tamas/24. PV_07_Verificare_faze_determinante_30_06_2026 v3.pdf, friendlyName=Deschide sursa</x:v>
      </x:c>
    </x:row>
    <x:row r="656" ht="176" customHeight="1">
      <x:c r="A656" s="8" t="str">
        <x:v>F1108</x:v>
      </x:c>
      <x:c r="B656" s="8" t="str">
        <x:v>25. PV_08_Receptie_partiala_transa1_03_07_2026 v2.pdf</x:v>
      </x:c>
      <x:c r="C656" s="8" t="str">
        <x:v>Rambursare tranșa 1</x:v>
      </x:c>
      <x:c r="D656" s="12" t="str">
        <x:v>8</x:v>
      </x:c>
      <x:c r="E656" s="11" t="n">
        <x:v>46206</x:v>
      </x:c>
      <x:c r="F656" s="12" t="str"/>
      <x:c r="G656" s="11" t="str"/>
      <x:c r="H656" s="8" t="str"/>
      <x:c r="I656" s="8" t="str">
        <x:v>Pachet pentru auditor; nu dovedește depunere AFIR</x:v>
      </x:c>
      <x:c r="J656" s="8" t="str">
        <x:v>nr. 5,j ud. Alba
nr. 96. jud. Mures - Hal a de Produc(ie C 1
Nr. 8 / 03.07.2026
nr.-275/01.02.2024 (nr. in11:-g-:-benefi-ciar 05/01.(J2.°f024) . Finan tare nr.
Nr. 1/07. 08.2026, cod RFMSESOl 1011372801030 -transa 1
Nr. ---Bun 7iucrare -receptionat . --Cantitate
nr. 2/17.02.2026
nr. 3/08.04.2026
nr. 4/14.04.2026 585.000,00
nr. 5/23.06.2026
nr. 6/28.06.2026 542.950,4 l
nr�_0i2? _.0��02_6 ···-- __ _ _ _ _ _ _ 28.Q_QQ,QQ _</x:v>
      </x:c>
      <x:c r="K656" s="8" t="str">
        <x:v>Text extras; numerele din referințe sunt în coloana separată</x:v>
      </x:c>
      <x:c r="L656" s="8" t="e">
        <x:f>HYPERLINK("file:///Z:/00. Proiecte 2025/AFIR FotoVoltaic 1/30.1 Cerere Rambursare 1/12. Raportul de audit financiar/Ce s-a trimis la Tamas/25. PV_08_Receptie_partiala_transa1_03_07_2026 v2.pdf","Deschide sursa")</x:f>
        <x:v>HYPERLINK is not implemented. linkLocation=file:///Z:/00. Proiecte 2025/AFIR FotoVoltaic 1/30.1 Cerere Rambursare 1/12. Raportul de audit financiar/Ce s-a trimis la Tamas/25. PV_08_Receptie_partiala_transa1_03_07_2026 v2.pdf, friendlyName=Deschide sursa</x:v>
      </x:c>
    </x:row>
    <x:row r="657" ht="50" customHeight="1">
      <x:c r="A657" s="8" t="str">
        <x:v>F1109</x:v>
      </x:c>
      <x:c r="B657" s="8" t="str">
        <x:v>3. AP_1.2_SE_declaratie_de_cheltuieli--_V3.pdf</x:v>
      </x:c>
      <x:c r="C657" s="8" t="str">
        <x:v>Rambursare tranșa 1</x:v>
      </x:c>
      <x:c r="D657" s="12" t="str"/>
      <x:c r="E657" s="11" t="str"/>
      <x:c r="F657" s="12" t="str"/>
      <x:c r="G657" s="11" t="str"/>
      <x:c r="H657" s="8" t="str"/>
      <x:c r="I657" s="8" t="str">
        <x:v>Pachet pentru auditor; nu dovedește depunere AFIR</x:v>
      </x:c>
      <x:c r="J657" s="8" t="str"/>
      <x:c r="K657" s="8" t="str">
        <x:v>Text extras; numerele din referințe sunt în coloana separată</x:v>
      </x:c>
      <x:c r="L657" s="8" t="e">
        <x:f>HYPERLINK("file:///Z:/00. Proiecte 2025/AFIR FotoVoltaic 1/30.1 Cerere Rambursare 1/12. Raportul de audit financiar/Ce s-a trimis la Tamas/3. AP_1.2_SE_declaratie_de_cheltuieli--_V3.pdf","Deschide sursa")</x:f>
        <x:v>HYPERLINK is not implemented. linkLocation=file:///Z:/00. Proiecte 2025/AFIR FotoVoltaic 1/30.1 Cerere Rambursare 1/12. Raportul de audit financiar/Ce s-a trimis la Tamas/3. AP_1.2_SE_declaratie_de_cheltuieli--_V3.pdf, friendlyName=Deschide sursa</x:v>
      </x:c>
    </x:row>
    <x:row r="658" ht="50" customHeight="1">
      <x:c r="A658" s="8" t="str">
        <x:v>F1110</x:v>
      </x:c>
      <x:c r="B658" s="8" t="str">
        <x:v>4. 2 Acte Aditionale Contract de Achizitie.pdf</x:v>
      </x:c>
      <x:c r="C658" s="8" t="str">
        <x:v>Rambursare tranșa 1</x:v>
      </x:c>
      <x:c r="D658" s="12" t="str"/>
      <x:c r="E658" s="11" t="str"/>
      <x:c r="F658" s="12" t="str"/>
      <x:c r="G658" s="11" t="str"/>
      <x:c r="H658" s="8" t="str"/>
      <x:c r="I658" s="8" t="str">
        <x:v>Pachet pentru auditor; nu dovedește depunere AFIR</x:v>
      </x:c>
      <x:c r="J658" s="8" t="str"/>
      <x:c r="K658" s="8" t="str">
        <x:v>Text extras; numerele din referințe sunt în coloana separată</x:v>
      </x:c>
      <x:c r="L658" s="8" t="e">
        <x:f>HYPERLINK("file:///Z:/00. Proiecte 2025/AFIR FotoVoltaic 1/30.1 Cerere Rambursare 1/12. Raportul de audit financiar/Ce s-a trimis la Tamas/4. 2 Acte Aditionale Contract de Achizitie.pdf","Deschide sursa")</x:f>
        <x:v>HYPERLINK is not implemented. linkLocation=file:///Z:/00. Proiecte 2025/AFIR FotoVoltaic 1/30.1 Cerere Rambursare 1/12. Raportul de audit financiar/Ce s-a trimis la Tamas/4. 2 Acte Aditionale Contract de Achizitie.pdf, friendlyName=Deschide sursa</x:v>
      </x:c>
    </x:row>
    <x:row r="659" ht="50" customHeight="1">
      <x:c r="A659" s="8" t="str">
        <x:v>F1112</x:v>
      </x:c>
      <x:c r="B659" s="8" t="str">
        <x:v>5. AP_1_3_SE_Raport_executie_Transa1_v4.pdf</x:v>
      </x:c>
      <x:c r="C659" s="8" t="str">
        <x:v>Rambursare tranșa 1</x:v>
      </x:c>
      <x:c r="D659" s="12" t="str"/>
      <x:c r="E659" s="11" t="str"/>
      <x:c r="F659" s="12" t="str"/>
      <x:c r="G659" s="11" t="str"/>
      <x:c r="H659" s="8" t="str"/>
      <x:c r="I659" s="8" t="str">
        <x:v>Pachet pentru auditor; nu dovedește depunere AFIR</x:v>
      </x:c>
      <x:c r="J659" s="8" t="str"/>
      <x:c r="K659" s="8" t="str">
        <x:v>Text extras; numerele din referințe sunt în coloana separată</x:v>
      </x:c>
      <x:c r="L659" s="8" t="e">
        <x:f>HYPERLINK("file:///Z:/00. Proiecte 2025/AFIR FotoVoltaic 1/30.1 Cerere Rambursare 1/12. Raportul de audit financiar/Ce s-a trimis la Tamas/5. AP_1_3_SE_Raport_executie_Transa1_v4.pdf","Deschide sursa")</x:f>
        <x:v>HYPERLINK is not implemented. linkLocation=file:///Z:/00. Proiecte 2025/AFIR FotoVoltaic 1/30.1 Cerere Rambursare 1/12. Raportul de audit financiar/Ce s-a trimis la Tamas/5. AP_1_3_SE_Raport_executie_Transa1_v4.pdf, friendlyName=Deschide sursa</x:v>
      </x:c>
    </x:row>
    <x:row r="660" ht="78" customHeight="1">
      <x:c r="A660" s="8" t="str">
        <x:v>F1113</x:v>
      </x:c>
      <x:c r="B660" s="8" t="str">
        <x:v>6. Anexa_1_Centralizator_procese_verbale_Transa1v2.pdf</x:v>
      </x:c>
      <x:c r="C660" s="8" t="str">
        <x:v>Rambursare tranșa 1</x:v>
      </x:c>
      <x:c r="D660" s="12" t="str"/>
      <x:c r="E660" s="11" t="str"/>
      <x:c r="F660" s="12" t="str"/>
      <x:c r="G660" s="11" t="str"/>
      <x:c r="H660" s="8" t="str"/>
      <x:c r="I660" s="8" t="str">
        <x:v>Pachet pentru auditor; nu dovedește depunere AFIR</x:v>
      </x:c>
      <x:c r="J660" s="8" t="str">
        <x:v>nr. 5, jud. Alba
nr. 96, jud. Mureș — Hala de Producție C1
nr. 1/07.08.2026 — Tranșa 1
nr. 1 sunt conforme realizărilor din teren. Stadiul de realizare din Raportul de execuție este confirmat de:
nr. 58300, nr. cad. 58300-C1</x:v>
      </x:c>
      <x:c r="K660" s="8" t="str">
        <x:v>Text extras; numerele din referințe sunt în coloana separată</x:v>
      </x:c>
      <x:c r="L660" s="8" t="e">
        <x:f>HYPERLINK("file:///Z:/00. Proiecte 2025/AFIR FotoVoltaic 1/30.1 Cerere Rambursare 1/12. Raportul de audit financiar/Ce s-a trimis la Tamas/6. Anexa_1_Centralizator_procese_verbale_Transa1v2.pdf","Deschide sursa")</x:f>
        <x:v>HYPERLINK is not implemented. linkLocation=file:///Z:/00. Proiecte 2025/AFIR FotoVoltaic 1/30.1 Cerere Rambursare 1/12. Raportul de audit financiar/Ce s-a trimis la Tamas/6. Anexa_1_Centralizator_procese_verbale_Transa1v2.pdf, friendlyName=Deschide sursa</x:v>
      </x:c>
    </x:row>
    <x:row r="661" ht="78" customHeight="1">
      <x:c r="A661" s="8" t="str">
        <x:v>F1114</x:v>
      </x:c>
      <x:c r="B661" s="8" t="str">
        <x:v>7. Situatie_de_plata_transa_V2_v4.pdf</x:v>
      </x:c>
      <x:c r="C661" s="8" t="str">
        <x:v>Rambursare tranșa 1</x:v>
      </x:c>
      <x:c r="D661" s="12" t="str"/>
      <x:c r="E661" s="11" t="str"/>
      <x:c r="F661" s="12" t="str"/>
      <x:c r="G661" s="11" t="str"/>
      <x:c r="H661" s="8" t="str"/>
      <x:c r="I661" s="8" t="str">
        <x:v>Pachet pentru auditor; nu dovedește depunere AFIR</x:v>
      </x:c>
      <x:c r="J661" s="8" t="str">
        <x:v>nr. 1 /03.07.2026 - Tran$a I - CESIRO PRODUCTION S.R.L. · Contract de finan(are nr. CFMSES0 1101137280 I 030 I pagina 2 din 4
nr. 10 si nr. 11
nr. I /03.07.2026 - Tran�a I - CESIRO PRODUCTION S.R.L. · Contract de finan(are nr. CFMSES0 I IO I I 37280 I 030 I pagina 4 din 4</x:v>
      </x:c>
      <x:c r="K661" s="8" t="str">
        <x:v>Text extras; numerele din referințe sunt în coloana separată</x:v>
      </x:c>
      <x:c r="L661" s="8" t="e">
        <x:f>HYPERLINK("file:///Z:/00. Proiecte 2025/AFIR FotoVoltaic 1/30.1 Cerere Rambursare 1/12. Raportul de audit financiar/Ce s-a trimis la Tamas/7. Situatie_de_plata_transa_V2_v4.pdf","Deschide sursa")</x:f>
        <x:v>HYPERLINK is not implemented. linkLocation=file:///Z:/00. Proiecte 2025/AFIR FotoVoltaic 1/30.1 Cerere Rambursare 1/12. Raportul de audit financiar/Ce s-a trimis la Tamas/7. Situatie_de_plata_transa_V2_v4.pdf, friendlyName=Deschide sursa</x:v>
      </x:c>
    </x:row>
    <x:row r="662" ht="50" customHeight="1">
      <x:c r="A662" s="8" t="str">
        <x:v>F1115</x:v>
      </x:c>
      <x:c r="B662" s="8" t="str">
        <x:v>8. Certificate, conformitate, calitate, garanții- DE FACUT.zip</x:v>
      </x:c>
      <x:c r="C662" s="8" t="str">
        <x:v>Rambursare tranșa 1</x:v>
      </x:c>
      <x:c r="D662" s="12" t="str"/>
      <x:c r="E662" s="11" t="str"/>
      <x:c r="F662" s="12" t="str"/>
      <x:c r="G662" s="11" t="str"/>
      <x:c r="H662" s="8" t="str"/>
      <x:c r="I662" s="8" t="str">
        <x:v>Pachet pentru auditor; nu dovedește depunere AFIR</x:v>
      </x:c>
      <x:c r="J662" s="8" t="str"/>
      <x:c r="K662" s="8" t="str">
        <x:v>Necesită citire vizuală / OCR / formular XFA</x:v>
      </x:c>
      <x:c r="L662" s="8" t="e">
        <x:f>HYPERLINK("file:///Z:/00. Proiecte 2025/AFIR FotoVoltaic 1/30.1 Cerere Rambursare 1/12. Raportul de audit financiar/Ce s-a trimis la Tamas/8. Certificate, conformitate, calitate, garanții- DE FACUT.zip","Deschide sursa")</x:f>
        <x:v>HYPERLINK is not implemented. linkLocation=file:///Z:/00. Proiecte 2025/AFIR FotoVoltaic 1/30.1 Cerere Rambursare 1/12. Raportul de audit financiar/Ce s-a trimis la Tamas/8. Certificate, conformitate, calitate, garanții- DE FACUT.zip, friendlyName=Deschide sursa</x:v>
      </x:c>
    </x:row>
    <x:row r="663" ht="148" customHeight="1">
      <x:c r="A663" s="8" t="str">
        <x:v>F1116</x:v>
      </x:c>
      <x:c r="B663" s="8" t="str">
        <x:v>9-10 Documentar_fotografic_CESIRO_Transa1_REVIZUITv2.pdf</x:v>
      </x:c>
      <x:c r="C663" s="8" t="str">
        <x:v>Rambursare tranșa 1</x:v>
      </x:c>
      <x:c r="D663" s="12" t="str"/>
      <x:c r="E663" s="11" t="str"/>
      <x:c r="F663" s="12" t="str"/>
      <x:c r="G663" s="11" t="str"/>
      <x:c r="H663" s="8" t="str"/>
      <x:c r="I663" s="8" t="str">
        <x:v>Pachet pentru auditor; nu dovedește depunere AFIR</x:v>
      </x:c>
      <x:c r="J663" s="8" t="str">
        <x:v>nr. 5, jud. Alba
nr. 96, jud. Mureș
nr. CFMSES011011372801030
Nr. reg. com. 45050734 / J01/1328/2021
nr. 96, jud. Mureș — Hala de Producție
nr. CFMSES011011372801030 / 30.12.2024 (CRFIR 7 Centru — Alba Iulia)
nr. 275/01.02.2024
Nr.1
Nr.2
nr. 96,</x:v>
      </x:c>
      <x:c r="K663" s="8" t="str">
        <x:v>Text extras; numerele din referințe sunt în coloana separată</x:v>
      </x:c>
      <x:c r="L663" s="8" t="e">
        <x:f>HYPERLINK("file:///Z:/00. Proiecte 2025/AFIR FotoVoltaic 1/30.1 Cerere Rambursare 1/12. Raportul de audit financiar/Ce s-a trimis la Tamas/9-10 Documentar_fotografic_CESIRO_Transa1_REVIZUITv2.pdf","Deschide sursa")</x:f>
        <x:v>HYPERLINK is not implemented. linkLocation=file:///Z:/00. Proiecte 2025/AFIR FotoVoltaic 1/30.1 Cerere Rambursare 1/12. Raportul de audit financiar/Ce s-a trimis la Tamas/9-10 Documentar_fotografic_CESIRO_Transa1_REVIZUITv2.pdf, friendlyName=Deschide sursa</x:v>
      </x:c>
    </x:row>
    <x:row r="664" ht="36" customHeight="1">
      <x:c r="A664" s="8" t="str">
        <x:v>F1117</x:v>
      </x:c>
      <x:c r="B664" s="8" t="str">
        <x:v>CesiroProductionAFIR.zip</x:v>
      </x:c>
      <x:c r="C664" s="8" t="str">
        <x:v>Rambursare tranșa 1</x:v>
      </x:c>
      <x:c r="D664" s="12" t="str"/>
      <x:c r="E664" s="11" t="str"/>
      <x:c r="F664" s="12" t="str"/>
      <x:c r="G664" s="11" t="str"/>
      <x:c r="H664" s="8" t="str"/>
      <x:c r="I664" s="8" t="str">
        <x:v>Pachet pentru auditor; nu dovedește depunere AFIR</x:v>
      </x:c>
      <x:c r="J664" s="8" t="str"/>
      <x:c r="K664" s="8" t="str">
        <x:v>Necesită citire vizuală / OCR / formular XFA</x:v>
      </x:c>
      <x:c r="L664" s="8" t="e">
        <x:f>HYPERLINK("file:///Z:/00. Proiecte 2025/AFIR FotoVoltaic 1/30.1 Cerere Rambursare 1/12. Raportul de audit financiar/Ce s-a trimis la Tamas/CesiroProductionAFIR.zip","Deschide sursa")</x:f>
        <x:v>HYPERLINK is not implemented. linkLocation=file:///Z:/00. Proiecte 2025/AFIR FotoVoltaic 1/30.1 Cerere Rambursare 1/12. Raportul de audit financiar/Ce s-a trimis la Tamas/CesiroProductionAFIR.zip, friendlyName=Deschide sursa</x:v>
      </x:c>
    </x:row>
    <x:row r="665" ht="36" customHeight="1">
      <x:c r="A665" s="8" t="str">
        <x:v>F1129</x:v>
      </x:c>
      <x:c r="B665" s="8" t="str">
        <x:v>bal apr 26.pdf</x:v>
      </x:c>
      <x:c r="C665" s="8" t="str">
        <x:v>Rambursare tranșa 1</x:v>
      </x:c>
      <x:c r="D665" s="12" t="str"/>
      <x:c r="E665" s="11" t="str"/>
      <x:c r="F665" s="12" t="str"/>
      <x:c r="G665" s="11" t="str"/>
      <x:c r="H665" s="8" t="str"/>
      <x:c r="I665" s="8" t="str">
        <x:v>Versiune de lucru / arhivă</x:v>
      </x:c>
      <x:c r="J665" s="8" t="str">
        <x:v>nr. 5 jud. ALBA tel. 0731307903</x:v>
      </x:c>
      <x:c r="K665" s="8" t="str">
        <x:v>Text extras; numerele din referințe sunt în coloana separată</x:v>
      </x:c>
      <x:c r="L665" s="8" t="e">
        <x:f>HYPERLINK("file:///Z:/00. Proiecte 2025/AFIR FotoVoltaic 1/30.1 Cerere Rambursare 1/17. Documente contabile și evidență analitică-/Draft/bal apr 26.pdf","Deschide sursa")</x:f>
        <x:v>HYPERLINK is not implemented. linkLocation=file:///Z:/00. Proiecte 2025/AFIR FotoVoltaic 1/30.1 Cerere Rambursare 1/17. Documente contabile și evidență analitică-/Draft/bal apr 26.pdf, friendlyName=Deschide sursa</x:v>
      </x:c>
    </x:row>
    <x:row r="666" ht="36" customHeight="1">
      <x:c r="A666" s="8" t="str">
        <x:v>F1130</x:v>
      </x:c>
      <x:c r="B666" s="8" t="str">
        <x:v>bal febr 26.pdf</x:v>
      </x:c>
      <x:c r="C666" s="8" t="str">
        <x:v>Rambursare tranșa 1</x:v>
      </x:c>
      <x:c r="D666" s="12" t="str"/>
      <x:c r="E666" s="11" t="str"/>
      <x:c r="F666" s="12" t="str"/>
      <x:c r="G666" s="11" t="str"/>
      <x:c r="H666" s="8" t="str"/>
      <x:c r="I666" s="8" t="str">
        <x:v>Versiune de lucru / arhivă</x:v>
      </x:c>
      <x:c r="J666" s="8" t="str">
        <x:v>nr. 5 jud. ALBA tel. 0731307903</x:v>
      </x:c>
      <x:c r="K666" s="8" t="str">
        <x:v>Text extras; numerele din referințe sunt în coloana separată</x:v>
      </x:c>
      <x:c r="L666" s="8" t="e">
        <x:f>HYPERLINK("file:///Z:/00. Proiecte 2025/AFIR FotoVoltaic 1/30.1 Cerere Rambursare 1/17. Documente contabile și evidență analitică-/Draft/bal febr 26.pdf","Deschide sursa")</x:f>
        <x:v>HYPERLINK is not implemented. linkLocation=file:///Z:/00. Proiecte 2025/AFIR FotoVoltaic 1/30.1 Cerere Rambursare 1/17. Documente contabile și evidență analitică-/Draft/bal febr 26.pdf, friendlyName=Deschide sursa</x:v>
      </x:c>
    </x:row>
    <x:row r="667" ht="36" customHeight="1">
      <x:c r="A667" s="8" t="str">
        <x:v>F1131</x:v>
      </x:c>
      <x:c r="B667" s="8" t="str">
        <x:v>bal iul 26.pdf</x:v>
      </x:c>
      <x:c r="C667" s="8" t="str">
        <x:v>Rambursare tranșa 1</x:v>
      </x:c>
      <x:c r="D667" s="12" t="str"/>
      <x:c r="E667" s="11" t="str"/>
      <x:c r="F667" s="12" t="str"/>
      <x:c r="G667" s="11" t="str"/>
      <x:c r="H667" s="8" t="str"/>
      <x:c r="I667" s="8" t="str">
        <x:v>Versiune de lucru / arhivă</x:v>
      </x:c>
      <x:c r="J667" s="8" t="str">
        <x:v>nr. 5 jud. ALBA tel. 0731307903</x:v>
      </x:c>
      <x:c r="K667" s="8" t="str">
        <x:v>Text extras; numerele din referințe sunt în coloana separată</x:v>
      </x:c>
      <x:c r="L667" s="8" t="e">
        <x:f>HYPERLINK("file:///Z:/00. Proiecte 2025/AFIR FotoVoltaic 1/30.1 Cerere Rambursare 1/17. Documente contabile și evidență analitică-/Draft/bal iul 26.pdf","Deschide sursa")</x:f>
        <x:v>HYPERLINK is not implemented. linkLocation=file:///Z:/00. Proiecte 2025/AFIR FotoVoltaic 1/30.1 Cerere Rambursare 1/17. Documente contabile și evidență analitică-/Draft/bal iul 26.pdf, friendlyName=Deschide sursa</x:v>
      </x:c>
    </x:row>
    <x:row r="668" ht="36" customHeight="1">
      <x:c r="A668" s="8" t="str">
        <x:v>F1132</x:v>
      </x:c>
      <x:c r="B668" s="8" t="str">
        <x:v>bal iun 26.pdf</x:v>
      </x:c>
      <x:c r="C668" s="8" t="str">
        <x:v>Rambursare tranșa 1</x:v>
      </x:c>
      <x:c r="D668" s="12" t="str"/>
      <x:c r="E668" s="11" t="str"/>
      <x:c r="F668" s="12" t="str"/>
      <x:c r="G668" s="11" t="str"/>
      <x:c r="H668" s="8" t="str"/>
      <x:c r="I668" s="8" t="str">
        <x:v>Versiune de lucru / arhivă</x:v>
      </x:c>
      <x:c r="J668" s="8" t="str">
        <x:v>nr. 5 jud. ALBA tel. 0731307903</x:v>
      </x:c>
      <x:c r="K668" s="8" t="str">
        <x:v>Text extras; numerele din referințe sunt în coloana separată</x:v>
      </x:c>
      <x:c r="L668" s="8" t="e">
        <x:f>HYPERLINK("file:///Z:/00. Proiecte 2025/AFIR FotoVoltaic 1/30.1 Cerere Rambursare 1/17. Documente contabile și evidență analitică-/Draft/bal iun 26.pdf","Deschide sursa")</x:f>
        <x:v>HYPERLINK is not implemented. linkLocation=file:///Z:/00. Proiecte 2025/AFIR FotoVoltaic 1/30.1 Cerere Rambursare 1/17. Documente contabile și evidență analitică-/Draft/bal iun 26.pdf, friendlyName=Deschide sursa</x:v>
      </x:c>
    </x:row>
    <x:row r="669" ht="36" customHeight="1">
      <x:c r="A669" s="8" t="str">
        <x:v>F1133</x:v>
      </x:c>
      <x:c r="B669" s="8" t="str">
        <x:v>bal mai 26.pdf</x:v>
      </x:c>
      <x:c r="C669" s="8" t="str">
        <x:v>Rambursare tranșa 1</x:v>
      </x:c>
      <x:c r="D669" s="12" t="str"/>
      <x:c r="E669" s="11" t="str"/>
      <x:c r="F669" s="12" t="str"/>
      <x:c r="G669" s="11" t="str"/>
      <x:c r="H669" s="8" t="str"/>
      <x:c r="I669" s="8" t="str">
        <x:v>Versiune de lucru / arhivă</x:v>
      </x:c>
      <x:c r="J669" s="8" t="str">
        <x:v>nr. 5 jud. ALBA tel. 0731307903</x:v>
      </x:c>
      <x:c r="K669" s="8" t="str">
        <x:v>Text extras; numerele din referințe sunt în coloana separată</x:v>
      </x:c>
      <x:c r="L669" s="8" t="e">
        <x:f>HYPERLINK("file:///Z:/00. Proiecte 2025/AFIR FotoVoltaic 1/30.1 Cerere Rambursare 1/17. Documente contabile și evidență analitică-/Draft/bal mai 26.pdf","Deschide sursa")</x:f>
        <x:v>HYPERLINK is not implemented. linkLocation=file:///Z:/00. Proiecte 2025/AFIR FotoVoltaic 1/30.1 Cerere Rambursare 1/17. Documente contabile și evidență analitică-/Draft/bal mai 26.pdf, friendlyName=Deschide sursa</x:v>
      </x:c>
    </x:row>
    <x:row r="670" ht="36" customHeight="1">
      <x:c r="A670" s="8" t="str">
        <x:v>F1134</x:v>
      </x:c>
      <x:c r="B670" s="8" t="str">
        <x:v>bal mart 26.pdf</x:v>
      </x:c>
      <x:c r="C670" s="8" t="str">
        <x:v>Rambursare tranșa 1</x:v>
      </x:c>
      <x:c r="D670" s="12" t="str"/>
      <x:c r="E670" s="11" t="str"/>
      <x:c r="F670" s="12" t="str"/>
      <x:c r="G670" s="11" t="str"/>
      <x:c r="H670" s="8" t="str"/>
      <x:c r="I670" s="8" t="str">
        <x:v>Versiune de lucru / arhivă</x:v>
      </x:c>
      <x:c r="J670" s="8" t="str">
        <x:v>nr. 5 jud. ALBA tel. 0731307903</x:v>
      </x:c>
      <x:c r="K670" s="8" t="str">
        <x:v>Text extras; numerele din referințe sunt în coloana separată</x:v>
      </x:c>
      <x:c r="L670" s="8" t="e">
        <x:f>HYPERLINK("file:///Z:/00. Proiecte 2025/AFIR FotoVoltaic 1/30.1 Cerere Rambursare 1/17. Documente contabile și evidență analitică-/Draft/bal mart 26.pdf","Deschide sursa")</x:f>
        <x:v>HYPERLINK is not implemented. linkLocation=file:///Z:/00. Proiecte 2025/AFIR FotoVoltaic 1/30.1 Cerere Rambursare 1/17. Documente contabile și evidență analitică-/Draft/bal mart 26.pdf, friendlyName=Deschide sursa</x:v>
      </x:c>
    </x:row>
    <x:row r="671" ht="36" customHeight="1">
      <x:c r="A671" s="8" t="str">
        <x:v>F1135</x:v>
      </x:c>
      <x:c r="B671" s="8" t="str">
        <x:v>balanta ian 2026.pdf</x:v>
      </x:c>
      <x:c r="C671" s="8" t="str">
        <x:v>Rambursare tranșa 1</x:v>
      </x:c>
      <x:c r="D671" s="12" t="str"/>
      <x:c r="E671" s="11" t="str"/>
      <x:c r="F671" s="12" t="str"/>
      <x:c r="G671" s="11" t="str"/>
      <x:c r="H671" s="8" t="str"/>
      <x:c r="I671" s="8" t="str">
        <x:v>Versiune de lucru / arhivă</x:v>
      </x:c>
      <x:c r="J671" s="8" t="str">
        <x:v>nr. 5 jud. ALBA tel. 0731307903</x:v>
      </x:c>
      <x:c r="K671" s="8" t="str">
        <x:v>Text extras; numerele din referințe sunt în coloana separată</x:v>
      </x:c>
      <x:c r="L671" s="8" t="e">
        <x:f>HYPERLINK("file:///Z:/00. Proiecte 2025/AFIR FotoVoltaic 1/30.1 Cerere Rambursare 1/17. Documente contabile și evidență analitică-/Draft/balanta ian 2026.pdf","Deschide sursa")</x:f>
        <x:v>HYPERLINK is not implemented. linkLocation=file:///Z:/00. Proiecte 2025/AFIR FotoVoltaic 1/30.1 Cerere Rambursare 1/17. Documente contabile și evidență analitică-/Draft/balanta ian 2026.pdf, friendlyName=Deschide sursa</x:v>
      </x:c>
    </x:row>
    <x:row r="672" ht="64" customHeight="1">
      <x:c r="A672" s="8" t="str">
        <x:v>F1136</x:v>
      </x:c>
      <x:c r="B672" s="8" t="str">
        <x:v>Centralizator_2222_panouri_montate_CD1 v1.docx</x:v>
      </x:c>
      <x:c r="C672" s="8" t="str">
        <x:v>Rambursare tranșa 1</x:v>
      </x:c>
      <x:c r="D672" s="12" t="str"/>
      <x:c r="E672" s="11" t="str"/>
      <x:c r="F672" s="12" t="str"/>
      <x:c r="G672" s="11" t="str"/>
      <x:c r="H672" s="8" t="str"/>
      <x:c r="I672" s="8" t="str">
        <x:v>Versiune de lucru / arhivă</x:v>
      </x:c>
      <x:c r="J672" s="8" t="str">
        <x:v>Nr. ORC: J01/1328/2021
nr.: CFMSES011011372801030 din 30.12.2024
nr. 96, jud. Mureș
nr. 275/01.02.2024</x:v>
      </x:c>
      <x:c r="K672" s="8" t="str">
        <x:v>Text extras; numerele din referințe sunt în coloana separată</x:v>
      </x:c>
      <x:c r="L672" s="8" t="e">
        <x:f>HYPERLINK("file:///Z:/00. Proiecte 2025/AFIR FotoVoltaic 1/30.1 Cerere Rambursare 1/22. PV Receptie Panouri 23_06_2026/draft/Centralizator_2222_panouri_montate_CD1 v1.docx","Deschide sursa")</x:f>
        <x:v>HYPERLINK is not implemented. linkLocation=file:///Z:/00. Proiecte 2025/AFIR FotoVoltaic 1/30.1 Cerere Rambursare 1/22. PV Receptie Panouri 23_06_2026/draft/Centralizator_2222_panouri_montate_CD1 v1.docx, friendlyName=Deschide sursa</x:v>
      </x:c>
    </x:row>
    <x:row r="673" ht="64" customHeight="1">
      <x:c r="A673" s="8" t="str">
        <x:v>F1137</x:v>
      </x:c>
      <x:c r="B673" s="8" t="str">
        <x:v>Centralizator_2222_panouri_montate_CD1.docx</x:v>
      </x:c>
      <x:c r="C673" s="8" t="str">
        <x:v>Rambursare tranșa 1</x:v>
      </x:c>
      <x:c r="D673" s="12" t="str"/>
      <x:c r="E673" s="11" t="str"/>
      <x:c r="F673" s="12" t="str"/>
      <x:c r="G673" s="11" t="str"/>
      <x:c r="H673" s="8" t="str"/>
      <x:c r="I673" s="8" t="str">
        <x:v>Versiune de lucru / arhivă</x:v>
      </x:c>
      <x:c r="J673" s="8" t="str">
        <x:v>Nr. ORC: J01/1328/2021
nr.: CFMSES011011372801030 din 30.12.2024
nr. 96, jud. Mureș
nr. 275/01.02.2024</x:v>
      </x:c>
      <x:c r="K673" s="8" t="str">
        <x:v>Text extras; numerele din referințe sunt în coloana separată</x:v>
      </x:c>
      <x:c r="L673" s="8" t="e">
        <x:f>HYPERLINK("file:///Z:/00. Proiecte 2025/AFIR FotoVoltaic 1/30.1 Cerere Rambursare 1/22. PV Receptie Panouri 23_06_2026/draft/Centralizator_2222_panouri_montate_CD1.docx","Deschide sursa")</x:f>
        <x:v>HYPERLINK is not implemented. linkLocation=file:///Z:/00. Proiecte 2025/AFIR FotoVoltaic 1/30.1 Cerere Rambursare 1/22. PV Receptie Panouri 23_06_2026/draft/Centralizator_2222_panouri_montate_CD1.docx, friendlyName=Deschide sursa</x:v>
      </x:c>
    </x:row>
    <x:row r="674" ht="64" customHeight="1">
      <x:c r="A674" s="8" t="str">
        <x:v>F1138</x:v>
      </x:c>
      <x:c r="B674" s="8" t="str">
        <x:v>PV_05_Receptie_panouri_23_06_2026 (2).docx</x:v>
      </x:c>
      <x:c r="C674" s="8" t="str">
        <x:v>Rambursare tranșa 1</x:v>
      </x:c>
      <x:c r="D674" s="12" t="str">
        <x:v>5</x:v>
      </x:c>
      <x:c r="E674" s="11" t="n">
        <x:v>46196</x:v>
      </x:c>
      <x:c r="F674" s="12" t="str"/>
      <x:c r="G674" s="11" t="str"/>
      <x:c r="H674" s="8" t="str"/>
      <x:c r="I674" s="8" t="str">
        <x:v>Versiune de lucru / arhivă</x:v>
      </x:c>
      <x:c r="J674" s="8" t="str">
        <x:v>nr. 5, jud. Alba
nr. 96, jud. Mureș — Hala de Producție C1
Nr. 5 / 23.06.2026
nr. 275/01.02.2024 (nr. înreg. beneficiar 05/01.02.2024) · Finanțare nr. CFMSES011011372801030/30.12.2024</x:v>
      </x:c>
      <x:c r="K674" s="8" t="str">
        <x:v>Text extras; numerele din referințe sunt în coloana separată</x:v>
      </x:c>
      <x:c r="L674" s="8" t="e">
        <x:f>HYPERLINK("file:///Z:/00. Proiecte 2025/AFIR FotoVoltaic 1/30.1 Cerere Rambursare 1/22. PV Receptie Panouri 23_06_2026/draft/PV_05_Receptie_panouri_23_06_2026 (2).docx","Deschide sursa")</x:f>
        <x:v>HYPERLINK is not implemented. linkLocation=file:///Z:/00. Proiecte 2025/AFIR FotoVoltaic 1/30.1 Cerere Rambursare 1/22. PV Receptie Panouri 23_06_2026/draft/PV_05_Receptie_panouri_23_06_2026 (2).docx, friendlyName=Deschide sursa</x:v>
      </x:c>
    </x:row>
    <x:row r="675" ht="36" customHeight="1">
      <x:c r="A675" s="8" t="str">
        <x:v>F1139</x:v>
      </x:c>
      <x:c r="B675" s="8" t="str">
        <x:v>AP_1.2_SE_declaratie_de_cheltuieli--.pdf</x:v>
      </x:c>
      <x:c r="C675" s="8" t="str">
        <x:v>Rambursare tranșa 1</x:v>
      </x:c>
      <x:c r="D675" s="12" t="str"/>
      <x:c r="E675" s="11" t="str"/>
      <x:c r="F675" s="12" t="str"/>
      <x:c r="G675" s="11" t="str"/>
      <x:c r="H675" s="8" t="str"/>
      <x:c r="I675" s="8" t="str">
        <x:v>Document local; transmiterea individuală neconfirmată</x:v>
      </x:c>
      <x:c r="J675" s="8" t="str"/>
      <x:c r="K675" s="8" t="str">
        <x:v>Necesită citire vizuală / OCR / formular XFA</x:v>
      </x:c>
      <x:c r="L675" s="8" t="e">
        <x:f>HYPERLINK("file:///Z:/00. Proiecte 2025/AFIR FotoVoltaic 1/30.1 Cerere Rambursare 1/3. Declarația de cheltuieli/editabil/AP_1.2_SE_declaratie_de_cheltuieli--.pdf","Deschide sursa")</x:f>
        <x:v>HYPERLINK is not implemented. linkLocation=file:///Z:/00. Proiecte 2025/AFIR FotoVoltaic 1/30.1 Cerere Rambursare 1/3. Declarația de cheltuieli/editabil/AP_1.2_SE_declaratie_de_cheltuieli--.pdf, friendlyName=Deschide sursa</x:v>
      </x:c>
    </x:row>
    <x:row r="676" ht="148" customHeight="1">
      <x:c r="A676" s="8" t="str">
        <x:v>F1140</x:v>
      </x:c>
      <x:c r="B676" s="8" t="str">
        <x:v>Act_aditional_prelungire_termen_Suntree.docx</x:v>
      </x:c>
      <x:c r="C676" s="8" t="str">
        <x:v>Rambursare tranșa 1</x:v>
      </x:c>
      <x:c r="D676" s="12" t="str"/>
      <x:c r="E676" s="11" t="str"/>
      <x:c r="F676" s="12" t="str"/>
      <x:c r="G676" s="11" t="str"/>
      <x:c r="H676" s="8" t="str"/>
      <x:c r="I676" s="8" t="str">
        <x:v>Versiune de lucru / arhivă</x:v>
      </x:c>
      <x:c r="J676" s="8" t="str">
        <x:v>Nr. 1
nr. 275/30.12.2025
nr. 275/01.02.2024 încheiat între părți denumit în continuare „Contractul”;
nr. CFMSES011011372801030 din 30.12.2024, încheiat între CESIRO PRODUCTION SRL și Agenția pentru Finanțarea Investițiilor Rurale, în cadrul Fondului pentru Moderni
nr. CFMSES011011372801030 si nu modifică valoarea Contractului, obiectul acestuia sau celelalte obligații ale părților.
nr. 275/01.02.2024 rămân neschimbate și își produc efectele în continuare.
nr. 275/01.02.2024 și a fost încheiat astăzi, 30.12.2025 în 2 (două) exemplare originale, câte unul pentru fiecare parte.</x:v>
      </x:c>
      <x:c r="K676" s="8" t="str">
        <x:v>Text extras; numerele din referințe sunt în coloana separată</x:v>
      </x:c>
      <x:c r="L676" s="8" t="e">
        <x:f>HYPERLINK("file:///Z:/00. Proiecte 2025/AFIR FotoVoltaic 1/30.1 Cerere Rambursare 1/4. Contracte, achiziții și documente suport pentru cheltuieli/draft/Act_aditional_prelungire_termen_Suntree.docx","Deschide sursa")</x:f>
        <x:v>HYPERLINK is not implemented. linkLocation=file:///Z:/00. Proiecte 2025/AFIR FotoVoltaic 1/30.1 Cerere Rambursare 1/4. Contracte, achiziții și documente suport pentru cheltuieli/draft/Act_aditional_prelungire_termen_Suntree.docx, friendlyName=Deschide sursa</x:v>
      </x:c>
    </x:row>
    <x:row r="677" ht="176" customHeight="1">
      <x:c r="A677" s="8" t="str">
        <x:v>F1142</x:v>
      </x:c>
      <x:c r="B677" s="8" t="str">
        <x:v>AP_1.3_SE_Raport_executie_CESIRO (3).docx</x:v>
      </x:c>
      <x:c r="C677" s="8" t="str">
        <x:v>Rambursare tranșa 1</x:v>
      </x:c>
      <x:c r="D677" s="12" t="str"/>
      <x:c r="E677" s="11" t="str"/>
      <x:c r="F677" s="12" t="str"/>
      <x:c r="G677" s="11" t="str"/>
      <x:c r="H677" s="8" t="str"/>
      <x:c r="I677" s="8" t="str">
        <x:v>Versiune de lucru / arhivă</x:v>
      </x:c>
      <x:c r="J677" s="8" t="str">
        <x:v>nr. CFMSES011011372801030 semnat cu Agenţia pentru Finanţarea Investiţiilor Rurale la data 30.12.2024, pentru proiectul „IMPLEMENTAREA SISTEMULUI FOTOVOLTAIC 1 MW
nr. R ................/tranșa 1 realizările în cadrul proiectului se prezintă astfel:
nr. 275/01.02.2024 încheiat cu SUNTREE SOLAR TECH S.R.L., și anume: montarea structurii metalice de susținere, montarea și cablarea celor 2.222 de panouri fotovolt
nr. 1.359.705/22.06.2026 și sunt facturate prin factura nr. SST0033/01.07.2026.
nr. 275/01.02.2024 și a actualizării soluției tehnice aprobate prin actul adițional, următoarele bunuri: integral cele 2.222 de panouri fotovoltaice Suntech STP450
nr. SST0033/01.07.2026.
nr. 96, jud. Mureș.
nr. R ................/tranșa 1, sunt conforme realizărilor din teren și au fost executate. Stadiul de realizare din Raportul de execuție este confirmat și de:</x:v>
      </x:c>
      <x:c r="K677" s="8" t="str">
        <x:v>Text extras; numerele din referințe sunt în coloana separată</x:v>
      </x:c>
      <x:c r="L677" s="8" t="e">
        <x:f>HYPERLINK("file:///Z:/00. Proiecte 2025/AFIR FotoVoltaic 1/30.1 Cerere Rambursare 1/5. Raportul de execuție si procese verbale si centralizator panouri si invertore/draft/AP_1.3_SE_Raport_executie_CESIRO (3).docx","Deschide sursa")</x:f>
        <x:v>HYPERLINK is not implemented. linkLocation=file:///Z:/00. Proiecte 2025/AFIR FotoVoltaic 1/30.1 Cerere Rambursare 1/5. Raportul de execuție si procese verbale si centralizator panouri si invertore/draft/AP_1.3_SE_Raport_executie_CESIRO (3).docx, friendlyName=Deschide sursa</x:v>
      </x:c>
    </x:row>
    <x:row r="678" ht="176" customHeight="1">
      <x:c r="A678" s="8" t="str">
        <x:v>F1143</x:v>
      </x:c>
      <x:c r="B678" s="8" t="str">
        <x:v>AP_1.3_SE_Raport_executie_CESIRO_FINAL.docx</x:v>
      </x:c>
      <x:c r="C678" s="8" t="str">
        <x:v>Rambursare tranșa 1</x:v>
      </x:c>
      <x:c r="D678" s="12" t="str"/>
      <x:c r="E678" s="11" t="str"/>
      <x:c r="F678" s="12" t="str"/>
      <x:c r="G678" s="11" t="str"/>
      <x:c r="H678" s="8" t="str"/>
      <x:c r="I678" s="8" t="str">
        <x:v>Versiune de lucru / arhivă</x:v>
      </x:c>
      <x:c r="J678" s="8" t="str">
        <x:v>nr. CFMSES011011372801030 semnat cu Agenţia pentru Finanţarea Investiţiilor Rurale la data 30.12.2024, pentru proiectul „IMPLEMENTAREA SISTEMULUI FOTOVOLTAIC 1 MW
nr. 1 realizările în cadrul proiectului se prezintă astfel:
nr. 275/01.02.2024 încheiat cu SUNTREE SOLAR TECH S.R.L., și anume: montarea structurii metalice de susținere, montarea și cablarea celor 2.222 de panouri fotovolt
nr. 1.359.705/22.06.2026 și sunt facturate prin factura nr. SST0033/03.07.2026.
nr. 275/01.02.2024 și a actualizării soluției tehnice aprobate prin actul adițional, următoarele bunuri: integral cele 2.222 de panouri fotovoltaice Suntech STP450
nr. SST0033/03.07.2026.
nr. 96, jud. Mureș.
nr. 1, sunt conforme realizărilor din teren și au fost executate. Stadiul de realizare din Raportul de execuție este confirmat și de:</x:v>
      </x:c>
      <x:c r="K678" s="8" t="str">
        <x:v>Text extras; numerele din referințe sunt în coloana separată</x:v>
      </x:c>
      <x:c r="L678" s="8" t="e">
        <x:f>HYPERLINK("file:///Z:/00. Proiecte 2025/AFIR FotoVoltaic 1/30.1 Cerere Rambursare 1/5. Raportul de execuție si procese verbale si centralizator panouri si invertore/draft/AP_1.3_SE_Raport_executie_CESIRO_FINAL.docx","Deschide sursa")</x:f>
        <x:v>HYPERLINK is not implemented. linkLocation=file:///Z:/00. Proiecte 2025/AFIR FotoVoltaic 1/30.1 Cerere Rambursare 1/5. Raportul de execuție si procese verbale si centralizator panouri si invertore/draft/AP_1.3_SE_Raport_executie_CESIRO_FINAL.docx, friendlyName=Deschide sursa</x:v>
      </x:c>
    </x:row>
    <x:row r="679" ht="400" customHeight="1">
      <x:c r="A679" s="8" t="str">
        <x:v>F1144</x:v>
      </x:c>
      <x:c r="B679" s="8" t="str">
        <x:v>AP_1_3_SE_Raport_executie_Transa1 v1.docx</x:v>
      </x:c>
      <x:c r="C679" s="8" t="str">
        <x:v>Rambursare tranșa 1</x:v>
      </x:c>
      <x:c r="D679" s="12" t="str"/>
      <x:c r="E679" s="11" t="str"/>
      <x:c r="F679" s="12" t="str"/>
      <x:c r="G679" s="11" t="str"/>
      <x:c r="H679" s="8" t="str"/>
      <x:c r="I679" s="8" t="str">
        <x:v>Versiune de lucru / arhivă</x:v>
      </x:c>
      <x:c r="J679" s="8" t="str">
        <x:v>nr. 5, jud. Alba
nr. 96, jud. Mureș — Hala de Producție C1
nr. 1/07.08.2026 — Tranșa 1
nr. CFMSES011011372801030, semnat cu Agenția pentru Finanțarea Investițiilor Rurale la data de 30.12.2024, pentru proiectul „IMPLEMENTAREA SISTEMULUI FOTOVOLTAIC 1
nr. 1, realizările în cadrul proiectului se prezintă astfel:
nr. 275/01.02.2024 (nr. înreg. beneficiar 05/01.02.2024), încheiat cu SUNTREE SOLAR TECH S.R.L., cuprinse în Situația de lucrări nr. 341/03.07.2026 și facturate pr
nr. 0033/03.07.2026:
nr. 275/01.02.2024 (linia „Lucrări de montare/instalare și punere în funcțiune” = 1.940.281,20 lei fără TVA) este de 754.330,79 lei fără TVA și se va executa și de
nr. 2/17.02.2026 și facturată prin Factura seria SST nr. 0033/03.07.2026. Această cheltuială este suportată din contribuția proprie a beneficiarului și nu este sol
nr. 341/03.07.2026 și nu este facturată prin Factura seria SST nr. 0033/03.07.2026, urmând a fi decontată în tranșa următoare.
nr. 1.359.705/22.06.2026. Stadiul de realizare este confirmat prin procesele-verbale enumerate în Anexa 1 la prezentul raport — Centralizatorul proceselor-verbale.
nr. 275/01.02.2024 (linia „Dotări/bunuri pentru producerea de energie electrică” = 2.942.976,00 lei fără TVA) este de 1.663.784,26 lei fără TVA, care urmează a fi
nr. 0033/03.07.2026 și nu sunt solicitate la plată prin prezenta cerere.
nr. 5/23.06.2026.
nr. 0033/03.07.2026 este de 2.466.942,15 lei fără TVA, achitată integral către furnizor, din care 1.800,00 lei reprezintă organizarea de șantier, nesolicitată la r
nr. 96, jud. Mureș.
nr. 4/14.04.2026 | 14.04.2026
nr. 6/28.06.2026 | 28.06.2026
nr. 5/23.06.2026 | 23.06.2026
nr. 3/08.04.2026 | 08.04.2026</x:v>
      </x:c>
      <x:c r="K679" s="8" t="str">
        <x:v>Text extras; numerele din referințe sunt în coloana separată</x:v>
      </x:c>
      <x:c r="L679" s="8" t="e">
        <x:f>HYPERLINK("file:///Z:/00. Proiecte 2025/AFIR FotoVoltaic 1/30.1 Cerere Rambursare 1/5. Raportul de execuție si procese verbale si centralizator panouri si invertore/draft/AP_1_3_SE_Raport_executie_Transa1 v1.docx","Deschide sursa")</x:f>
        <x:v>HYPERLINK is not implemented. linkLocation=file:///Z:/00. Proiecte 2025/AFIR FotoVoltaic 1/30.1 Cerere Rambursare 1/5. Raportul de execuție si procese verbale si centralizator panouri si invertore/draft/AP_1_3_SE_Raport_executie_Transa1 v1.docx, friendlyName=Deschide sursa</x:v>
      </x:c>
    </x:row>
    <x:row r="680" ht="358" customHeight="1">
      <x:c r="A680" s="8" t="str">
        <x:v>F1145</x:v>
      </x:c>
      <x:c r="B680" s="8" t="str">
        <x:v>AP_1_3_SE_Raport_executie_Transa1.docx</x:v>
      </x:c>
      <x:c r="C680" s="8" t="str">
        <x:v>Rambursare tranșa 1</x:v>
      </x:c>
      <x:c r="D680" s="12" t="str"/>
      <x:c r="E680" s="11" t="str"/>
      <x:c r="F680" s="12" t="str"/>
      <x:c r="G680" s="11" t="str"/>
      <x:c r="H680" s="8" t="str"/>
      <x:c r="I680" s="8" t="str">
        <x:v>Versiune de lucru / arhivă</x:v>
      </x:c>
      <x:c r="J680" s="8" t="str">
        <x:v>nr. 5, jud. Alba
nr. 96, jud. Mureș — Hala de Producție C1
nr. 1/07.08.2026 — Tranșa 1
nr. CFMSES011011372801030, semnat cu Agenția pentru Finanțarea Investițiilor Rurale la data de 30.12.2024, pentru proiectul „IMPLEMENTAREA SISTEMULUI FOTOVOLTAIC 1
nr. 1, realizările în cadrul proiectului se prezintă astfel:
nr. 275/01.02.2024 (nr. înreg. beneficiar 05/01.02.2024), încheiat cu SUNTREE SOLAR TECH S.R.L., cuprinse în Situația de lucrări nr. 341/03.07.2026 și facturate pr
nr. 0033/03.07.2026:
nr. 2/17.02.2026 și facturată prin Factura seria SST nr. 0033/03.07.2026. Această cheltuială este suportată din contribuția proprie a beneficiarului și nu este sol
nr. 341/03.07.2026 și nu este facturată prin Factura seria SST nr. 0033/03.07.2026, urmând a fi decontată în tranșa următoare.
nr. 1.359.705/22.06.2026. Stadiul de realizare este confirmat prin procesele-verbale enumerate în Anexa 1 la prezentul raport — Centralizatorul proceselor-verbale.
nr. 0033/03.07.2026 și nu sunt solicitate la plată prin prezenta cerere.
nr. 5/23.06.2026.
nr. 0033/03.07.2026 este de 2.466.942,15 lei fără TVA, achitată integral către furnizor, din care 1.800,00 lei reprezintă organizarea de șantier, nesolicitată la r
nr. 96, jud. Mureș.
nr. 4/14.04.2026 | 14.04.2026
nr. 6/28.06.2026 | 28.06.2026
nr. 5/23.06.2026 | 23.06.2026
nr. 3/08.04.2026 | 08.04.2026
Nr. | Linia bugetară | Buget (lei fără TVA) | Solicitat Tranșa 1 | Grad de realizare</x:v>
      </x:c>
      <x:c r="K680" s="8" t="str">
        <x:v>Text extras; numerele din referințe sunt în coloana separată</x:v>
      </x:c>
      <x:c r="L680" s="8" t="e">
        <x:f>HYPERLINK("file:///Z:/00. Proiecte 2025/AFIR FotoVoltaic 1/30.1 Cerere Rambursare 1/5. Raportul de execuție si procese verbale si centralizator panouri si invertore/draft/AP_1_3_SE_Raport_executie_Transa1.docx","Deschide sursa")</x:f>
        <x:v>HYPERLINK is not implemented. linkLocation=file:///Z:/00. Proiecte 2025/AFIR FotoVoltaic 1/30.1 Cerere Rambursare 1/5. Raportul de execuție si procese verbale si centralizator panouri si invertore/draft/AP_1_3_SE_Raport_executie_Transa1.docx, friendlyName=Deschide sursa</x:v>
      </x:c>
    </x:row>
    <x:row r="681" ht="50" customHeight="1">
      <x:c r="A681" s="8" t="str">
        <x:v>F1146</x:v>
      </x:c>
      <x:c r="B681" s="8" t="str">
        <x:v>Centralizatore Panouri Folosite pentru CD1.xlsx</x:v>
      </x:c>
      <x:c r="C681" s="8" t="str">
        <x:v>Rambursare tranșa 1</x:v>
      </x:c>
      <x:c r="D681" s="12" t="str"/>
      <x:c r="E681" s="11" t="str"/>
      <x:c r="F681" s="12" t="str"/>
      <x:c r="G681" s="11" t="str"/>
      <x:c r="H681" s="8" t="str"/>
      <x:c r="I681" s="8" t="str">
        <x:v>Versiune de lucru / arhivă</x:v>
      </x:c>
      <x:c r="J681" s="8" t="str"/>
      <x:c r="K681" s="8" t="str">
        <x:v>Necesită citire vizuală / OCR / formular XFA</x:v>
      </x:c>
      <x:c r="L681" s="8" t="e">
        <x:f>HYPERLINK("file:///Z:/00. Proiecte 2025/AFIR FotoVoltaic 1/30.1 Cerere Rambursare 1/5. Raportul de execuție si procese verbale si centralizator panouri si invertore/draft/Centralizatore Panouri Folosite pentru CD1.xlsx","Deschide sursa")</x:f>
        <x:v>HYPERLINK is not implemented. linkLocation=file:///Z:/00. Proiecte 2025/AFIR FotoVoltaic 1/30.1 Cerere Rambursare 1/5. Raportul de execuție si procese verbale si centralizator panouri si invertore/draft/Centralizatore Panouri Folosite pentru CD1.xlsx, friendlyName=Deschide sursa</x:v>
      </x:c>
    </x:row>
    <x:row r="682" ht="64" customHeight="1">
      <x:c r="A682" s="8" t="str">
        <x:v>F1147</x:v>
      </x:c>
      <x:c r="B682" s="8" t="str">
        <x:v>Centralizator_2222_panouri_montate_CD1.docx</x:v>
      </x:c>
      <x:c r="C682" s="8" t="str">
        <x:v>Rambursare tranșa 1</x:v>
      </x:c>
      <x:c r="D682" s="12" t="str"/>
      <x:c r="E682" s="11" t="str"/>
      <x:c r="F682" s="12" t="str"/>
      <x:c r="G682" s="11" t="str"/>
      <x:c r="H682" s="8" t="str"/>
      <x:c r="I682" s="8" t="str">
        <x:v>Versiune de lucru / arhivă</x:v>
      </x:c>
      <x:c r="J682" s="8" t="str">
        <x:v>Nr. ORC: J01/1328/2021
nr.: CFMSES011011372801030 din 30.12.2024
nr. 96, jud. Mureș
nr. 275/01.02.2024</x:v>
      </x:c>
      <x:c r="K682" s="8" t="str">
        <x:v>Text extras; numerele din referințe sunt în coloana separată</x:v>
      </x:c>
      <x:c r="L682" s="8" t="e">
        <x:f>HYPERLINK("file:///Z:/00. Proiecte 2025/AFIR FotoVoltaic 1/30.1 Cerere Rambursare 1/5. Raportul de execuție si procese verbale si centralizator panouri si invertore/draft/Centralizator_2222_panouri_montate_CD1.docx","Deschide sursa")</x:f>
        <x:v>HYPERLINK is not implemented. linkLocation=file:///Z:/00. Proiecte 2025/AFIR FotoVoltaic 1/30.1 Cerere Rambursare 1/5. Raportul de execuție si procese verbale si centralizator panouri si invertore/draft/Centralizator_2222_panouri_montate_CD1.docx, friendlyName=Deschide sursa</x:v>
      </x:c>
    </x:row>
    <x:row r="683" ht="50" customHeight="1">
      <x:c r="A683" s="8" t="str">
        <x:v>F1148</x:v>
      </x:c>
      <x:c r="B683" s="8" t="str">
        <x:v>Centralizator_2222_panouri_montate_CD1.xlsx</x:v>
      </x:c>
      <x:c r="C683" s="8" t="str">
        <x:v>Rambursare tranșa 1</x:v>
      </x:c>
      <x:c r="D683" s="12" t="str"/>
      <x:c r="E683" s="11" t="str"/>
      <x:c r="F683" s="12" t="str"/>
      <x:c r="G683" s="11" t="str"/>
      <x:c r="H683" s="8" t="str"/>
      <x:c r="I683" s="8" t="str">
        <x:v>Versiune de lucru / arhivă</x:v>
      </x:c>
      <x:c r="J683" s="8" t="str"/>
      <x:c r="K683" s="8" t="str">
        <x:v>Necesită citire vizuală / OCR / formular XFA</x:v>
      </x:c>
      <x:c r="L683" s="8" t="e">
        <x:f>HYPERLINK("file:///Z:/00. Proiecte 2025/AFIR FotoVoltaic 1/30.1 Cerere Rambursare 1/5. Raportul de execuție si procese verbale si centralizator panouri si invertore/draft/Centralizator_2222_panouri_montate_CD1.xlsx","Deschide sursa")</x:f>
        <x:v>HYPERLINK is not implemented. linkLocation=file:///Z:/00. Proiecte 2025/AFIR FotoVoltaic 1/30.1 Cerere Rambursare 1/5. Raportul de execuție si procese verbale si centralizator panouri si invertore/draft/Centralizator_2222_panouri_montate_CD1.xlsx, friendlyName=Deschide sursa</x:v>
      </x:c>
    </x:row>
    <x:row r="684" ht="92" customHeight="1">
      <x:c r="A684" s="8" t="str">
        <x:v>F1149</x:v>
      </x:c>
      <x:c r="B684" s="8" t="str">
        <x:v>Centralizator_serii_invertoare_100kW.docx</x:v>
      </x:c>
      <x:c r="C684" s="8" t="str">
        <x:v>Rambursare tranșa 1</x:v>
      </x:c>
      <x:c r="D684" s="12" t="str"/>
      <x:c r="E684" s="11" t="str"/>
      <x:c r="F684" s="12" t="str"/>
      <x:c r="G684" s="11" t="str"/>
      <x:c r="H684" s="8" t="str"/>
      <x:c r="I684" s="8" t="str">
        <x:v>Versiune de lucru / arhivă</x:v>
      </x:c>
      <x:c r="J684" s="8" t="str">
        <x:v>Nr. ORC: J01/1328/2021
nr.: CFMSES011011372801030 din 30.12.2024
nr. 96, jud. Mureș Hala Producție C1
nr. 275/01.02.2024
nr. 1612 din 07.04.2026;
nr. 000003630298 / comandă nr. 10011811 din 06.04.2026.</x:v>
      </x:c>
      <x:c r="K684" s="8" t="str">
        <x:v>Text extras; numerele din referințe sunt în coloana separată</x:v>
      </x:c>
      <x:c r="L684" s="8" t="e">
        <x:f>HYPERLINK("file:///Z:/00. Proiecte 2025/AFIR FotoVoltaic 1/30.1 Cerere Rambursare 1/5. Raportul de execuție si procese verbale si centralizator panouri si invertore/draft/Centralizator_serii_invertoare_100kW.docx","Deschide sursa")</x:f>
        <x:v>HYPERLINK is not implemented. linkLocation=file:///Z:/00. Proiecte 2025/AFIR FotoVoltaic 1/30.1 Cerere Rambursare 1/5. Raportul de execuție si procese verbale si centralizator panouri si invertore/draft/Centralizator_serii_invertoare_100kW.docx, friendlyName=Deschide sursa</x:v>
      </x:c>
    </x:row>
    <x:row r="685" ht="50" customHeight="1">
      <x:c r="A685" s="8" t="str">
        <x:v>F1151</x:v>
      </x:c>
      <x:c r="B685" s="8" t="str">
        <x:v>FR-BEAU4498368 (1).xlsx</x:v>
      </x:c>
      <x:c r="C685" s="8" t="str">
        <x:v>Rambursare tranșa 1</x:v>
      </x:c>
      <x:c r="D685" s="12" t="str"/>
      <x:c r="E685" s="11" t="str"/>
      <x:c r="F685" s="12" t="str"/>
      <x:c r="G685" s="11" t="str"/>
      <x:c r="H685" s="8" t="str"/>
      <x:c r="I685" s="8" t="str">
        <x:v>Versiune de lucru / arhivă</x:v>
      </x:c>
      <x:c r="J685" s="8" t="str"/>
      <x:c r="K685" s="8" t="str">
        <x:v>Necesită citire vizuală / OCR / formular XFA</x:v>
      </x:c>
      <x:c r="L685" s="8" t="e">
        <x:f>HYPERLINK("file:///Z:/00. Proiecte 2025/AFIR FotoVoltaic 1/30.1 Cerere Rambursare 1/5. Raportul de execuție si procese verbale si centralizator panouri si invertore/draft/FR-BEAU4498368 (1).xlsx","Deschide sursa")</x:f>
        <x:v>HYPERLINK is not implemented. linkLocation=file:///Z:/00. Proiecte 2025/AFIR FotoVoltaic 1/30.1 Cerere Rambursare 1/5. Raportul de execuție si procese verbale si centralizator panouri si invertore/draft/FR-BEAU4498368 (1).xlsx, friendlyName=Deschide sursa</x:v>
      </x:c>
    </x:row>
    <x:row r="686" ht="50" customHeight="1">
      <x:c r="A686" s="8" t="str">
        <x:v>F1152</x:v>
      </x:c>
      <x:c r="B686" s="8" t="str">
        <x:v>FR-BEAU4498368_1 (2).xlsx</x:v>
      </x:c>
      <x:c r="C686" s="8" t="str">
        <x:v>Rambursare tranșa 1</x:v>
      </x:c>
      <x:c r="D686" s="12" t="str"/>
      <x:c r="E686" s="11" t="str"/>
      <x:c r="F686" s="12" t="str"/>
      <x:c r="G686" s="11" t="str"/>
      <x:c r="H686" s="8" t="str"/>
      <x:c r="I686" s="8" t="str">
        <x:v>Versiune de lucru / arhivă</x:v>
      </x:c>
      <x:c r="J686" s="8" t="str"/>
      <x:c r="K686" s="8" t="str">
        <x:v>Necesită citire vizuală / OCR / formular XFA</x:v>
      </x:c>
      <x:c r="L686" s="8" t="e">
        <x:f>HYPERLINK("file:///Z:/00. Proiecte 2025/AFIR FotoVoltaic 1/30.1 Cerere Rambursare 1/5. Raportul de execuție si procese verbale si centralizator panouri si invertore/draft/FR-BEAU4498368_1 (2).xlsx","Deschide sursa")</x:f>
        <x:v>HYPERLINK is not implemented. linkLocation=file:///Z:/00. Proiecte 2025/AFIR FotoVoltaic 1/30.1 Cerere Rambursare 1/5. Raportul de execuție si procese verbale si centralizator panouri si invertore/draft/FR-BEAU4498368_1 (2).xlsx, friendlyName=Deschide sursa</x:v>
      </x:c>
    </x:row>
    <x:row r="687" ht="50" customHeight="1">
      <x:c r="A687" s="8" t="str">
        <x:v>F1153</x:v>
      </x:c>
      <x:c r="B687" s="8" t="str">
        <x:v>FR-CMAU4743375 (1).xlsx</x:v>
      </x:c>
      <x:c r="C687" s="8" t="str">
        <x:v>Rambursare tranșa 1</x:v>
      </x:c>
      <x:c r="D687" s="12" t="str"/>
      <x:c r="E687" s="11" t="str"/>
      <x:c r="F687" s="12" t="str"/>
      <x:c r="G687" s="11" t="str"/>
      <x:c r="H687" s="8" t="str"/>
      <x:c r="I687" s="8" t="str">
        <x:v>Versiune de lucru / arhivă</x:v>
      </x:c>
      <x:c r="J687" s="8" t="str"/>
      <x:c r="K687" s="8" t="str">
        <x:v>Necesită citire vizuală / OCR / formular XFA</x:v>
      </x:c>
      <x:c r="L687" s="8" t="e">
        <x:f>HYPERLINK("file:///Z:/00. Proiecte 2025/AFIR FotoVoltaic 1/30.1 Cerere Rambursare 1/5. Raportul de execuție si procese verbale si centralizator panouri si invertore/draft/FR-CMAU4743375 (1).xlsx","Deschide sursa")</x:f>
        <x:v>HYPERLINK is not implemented. linkLocation=file:///Z:/00. Proiecte 2025/AFIR FotoVoltaic 1/30.1 Cerere Rambursare 1/5. Raportul de execuție si procese verbale si centralizator panouri si invertore/draft/FR-CMAU4743375 (1).xlsx, friendlyName=Deschide sursa</x:v>
      </x:c>
    </x:row>
    <x:row r="688" ht="50" customHeight="1">
      <x:c r="A688" s="8" t="str">
        <x:v>F1154</x:v>
      </x:c>
      <x:c r="B688" s="8" t="str">
        <x:v>FR-FFAU6252867 (1).xlsx</x:v>
      </x:c>
      <x:c r="C688" s="8" t="str">
        <x:v>Rambursare tranșa 1</x:v>
      </x:c>
      <x:c r="D688" s="12" t="str"/>
      <x:c r="E688" s="11" t="str"/>
      <x:c r="F688" s="12" t="str"/>
      <x:c r="G688" s="11" t="str"/>
      <x:c r="H688" s="8" t="str"/>
      <x:c r="I688" s="8" t="str">
        <x:v>Versiune de lucru / arhivă</x:v>
      </x:c>
      <x:c r="J688" s="8" t="str"/>
      <x:c r="K688" s="8" t="str">
        <x:v>Necesită citire vizuală / OCR / formular XFA</x:v>
      </x:c>
      <x:c r="L688" s="8" t="e">
        <x:f>HYPERLINK("file:///Z:/00. Proiecte 2025/AFIR FotoVoltaic 1/30.1 Cerere Rambursare 1/5. Raportul de execuție si procese verbale si centralizator panouri si invertore/draft/FR-FFAU6252867 (1).xlsx","Deschide sursa")</x:f>
        <x:v>HYPERLINK is not implemented. linkLocation=file:///Z:/00. Proiecte 2025/AFIR FotoVoltaic 1/30.1 Cerere Rambursare 1/5. Raportul de execuție si procese verbale si centralizator panouri si invertore/draft/FR-FFAU6252867 (1).xlsx, friendlyName=Deschide sursa</x:v>
      </x:c>
    </x:row>
    <x:row r="689" ht="50" customHeight="1">
      <x:c r="A689" s="8" t="str">
        <x:v>F1155</x:v>
      </x:c>
      <x:c r="B689" s="8" t="str">
        <x:v>FR-HMMU4020366 (1).xls</x:v>
      </x:c>
      <x:c r="C689" s="8" t="str">
        <x:v>Rambursare tranșa 1</x:v>
      </x:c>
      <x:c r="D689" s="12" t="str"/>
      <x:c r="E689" s="11" t="str"/>
      <x:c r="F689" s="12" t="str"/>
      <x:c r="G689" s="11" t="str"/>
      <x:c r="H689" s="8" t="str"/>
      <x:c r="I689" s="8" t="str">
        <x:v>Versiune de lucru / arhivă</x:v>
      </x:c>
      <x:c r="J689" s="8" t="str"/>
      <x:c r="K689" s="8" t="str">
        <x:v>Necesită citire vizuală / OCR / formular XFA</x:v>
      </x:c>
      <x:c r="L689" s="8" t="e">
        <x:f>HYPERLINK("file:///Z:/00. Proiecte 2025/AFIR FotoVoltaic 1/30.1 Cerere Rambursare 1/5. Raportul de execuție si procese verbale si centralizator panouri si invertore/draft/FR-HMMU4020366 (1).xls","Deschide sursa")</x:f>
        <x:v>HYPERLINK is not implemented. linkLocation=file:///Z:/00. Proiecte 2025/AFIR FotoVoltaic 1/30.1 Cerere Rambursare 1/5. Raportul de execuție si procese verbale si centralizator panouri si invertore/draft/FR-HMMU4020366 (1).xls, friendlyName=Deschide sursa</x:v>
      </x:c>
    </x:row>
    <x:row r="690" ht="50" customHeight="1">
      <x:c r="A690" s="8" t="str">
        <x:v>F1156</x:v>
      </x:c>
      <x:c r="B690" s="8" t="str">
        <x:v>FR-TCNU3081758 (1).xlsx</x:v>
      </x:c>
      <x:c r="C690" s="8" t="str">
        <x:v>Rambursare tranșa 1</x:v>
      </x:c>
      <x:c r="D690" s="12" t="str"/>
      <x:c r="E690" s="11" t="str"/>
      <x:c r="F690" s="12" t="str"/>
      <x:c r="G690" s="11" t="str"/>
      <x:c r="H690" s="8" t="str"/>
      <x:c r="I690" s="8" t="str">
        <x:v>Versiune de lucru / arhivă</x:v>
      </x:c>
      <x:c r="J690" s="8" t="str"/>
      <x:c r="K690" s="8" t="str">
        <x:v>Necesită citire vizuală / OCR / formular XFA</x:v>
      </x:c>
      <x:c r="L690" s="8" t="e">
        <x:f>HYPERLINK("file:///Z:/00. Proiecte 2025/AFIR FotoVoltaic 1/30.1 Cerere Rambursare 1/5. Raportul de execuție si procese verbale si centralizator panouri si invertore/draft/FR-TCNU3081758 (1).xlsx","Deschide sursa")</x:f>
        <x:v>HYPERLINK is not implemented. linkLocation=file:///Z:/00. Proiecte 2025/AFIR FotoVoltaic 1/30.1 Cerere Rambursare 1/5. Raportul de execuție si procese verbale si centralizator panouri si invertore/draft/FR-TCNU3081758 (1).xlsx, friendlyName=Deschide sursa</x:v>
      </x:c>
    </x:row>
    <x:row r="691" ht="50" customHeight="1">
      <x:c r="A691" s="8" t="str">
        <x:v>F1157</x:v>
      </x:c>
      <x:c r="B691" s="8" t="str">
        <x:v>FR-TXGU7791940 (1).xlsx</x:v>
      </x:c>
      <x:c r="C691" s="8" t="str">
        <x:v>Rambursare tranșa 1</x:v>
      </x:c>
      <x:c r="D691" s="12" t="str"/>
      <x:c r="E691" s="11" t="str"/>
      <x:c r="F691" s="12" t="str"/>
      <x:c r="G691" s="11" t="str"/>
      <x:c r="H691" s="8" t="str"/>
      <x:c r="I691" s="8" t="str">
        <x:v>Versiune de lucru / arhivă</x:v>
      </x:c>
      <x:c r="J691" s="8" t="str"/>
      <x:c r="K691" s="8" t="str">
        <x:v>Necesită citire vizuală / OCR / formular XFA</x:v>
      </x:c>
      <x:c r="L691" s="8" t="e">
        <x:f>HYPERLINK("file:///Z:/00. Proiecte 2025/AFIR FotoVoltaic 1/30.1 Cerere Rambursare 1/5. Raportul de execuție si procese verbale si centralizator panouri si invertore/draft/FR-TXGU7791940 (1).xlsx","Deschide sursa")</x:f>
        <x:v>HYPERLINK is not implemented. linkLocation=file:///Z:/00. Proiecte 2025/AFIR FotoVoltaic 1/30.1 Cerere Rambursare 1/5. Raportul de execuție si procese verbale si centralizator panouri si invertore/draft/FR-TXGU7791940 (1).xlsx, friendlyName=Deschide sursa</x:v>
      </x:c>
    </x:row>
    <x:row r="692" ht="50" customHeight="1">
      <x:c r="A692" s="8" t="str">
        <x:v>F1158</x:v>
      </x:c>
      <x:c r="B692" s="8" t="str">
        <x:v>FR-YMLU8562482 (1).xlsx</x:v>
      </x:c>
      <x:c r="C692" s="8" t="str">
        <x:v>Rambursare tranșa 1</x:v>
      </x:c>
      <x:c r="D692" s="12" t="str"/>
      <x:c r="E692" s="11" t="str"/>
      <x:c r="F692" s="12" t="str"/>
      <x:c r="G692" s="11" t="str"/>
      <x:c r="H692" s="8" t="str"/>
      <x:c r="I692" s="8" t="str">
        <x:v>Versiune de lucru / arhivă</x:v>
      </x:c>
      <x:c r="J692" s="8" t="str"/>
      <x:c r="K692" s="8" t="str">
        <x:v>Necesită citire vizuală / OCR / formular XFA</x:v>
      </x:c>
      <x:c r="L692" s="8" t="e">
        <x:f>HYPERLINK("file:///Z:/00. Proiecte 2025/AFIR FotoVoltaic 1/30.1 Cerere Rambursare 1/5. Raportul de execuție si procese verbale si centralizator panouri si invertore/draft/FR-YMLU8562482 (1).xlsx","Deschide sursa")</x:f>
        <x:v>HYPERLINK is not implemented. linkLocation=file:///Z:/00. Proiecte 2025/AFIR FotoVoltaic 1/30.1 Cerere Rambursare 1/5. Raportul de execuție si procese verbale si centralizator panouri si invertore/draft/FR-YMLU8562482 (1).xlsx, friendlyName=Deschide sursa</x:v>
      </x:c>
    </x:row>
    <x:row r="693" ht="50" customHeight="1">
      <x:c r="A693" s="8" t="str">
        <x:v>F1159</x:v>
      </x:c>
      <x:c r="B693" s="8" t="str">
        <x:v>FR-YMMU6831992 (2).xlsx</x:v>
      </x:c>
      <x:c r="C693" s="8" t="str">
        <x:v>Rambursare tranșa 1</x:v>
      </x:c>
      <x:c r="D693" s="12" t="str"/>
      <x:c r="E693" s="11" t="str"/>
      <x:c r="F693" s="12" t="str"/>
      <x:c r="G693" s="11" t="str"/>
      <x:c r="H693" s="8" t="str"/>
      <x:c r="I693" s="8" t="str">
        <x:v>Versiune de lucru / arhivă</x:v>
      </x:c>
      <x:c r="J693" s="8" t="str"/>
      <x:c r="K693" s="8" t="str">
        <x:v>Necesită citire vizuală / OCR / formular XFA</x:v>
      </x:c>
      <x:c r="L693" s="8" t="e">
        <x:f>HYPERLINK("file:///Z:/00. Proiecte 2025/AFIR FotoVoltaic 1/30.1 Cerere Rambursare 1/5. Raportul de execuție si procese verbale si centralizator panouri si invertore/draft/FR-YMMU6831992 (2).xlsx","Deschide sursa")</x:f>
        <x:v>HYPERLINK is not implemented. linkLocation=file:///Z:/00. Proiecte 2025/AFIR FotoVoltaic 1/30.1 Cerere Rambursare 1/5. Raportul de execuție si procese verbale si centralizator panouri si invertore/draft/FR-YMMU6831992 (2).xlsx, friendlyName=Deschide sursa</x:v>
      </x:c>
    </x:row>
    <x:row r="694" ht="148" customHeight="1">
      <x:c r="A694" s="8" t="str">
        <x:v>F1160</x:v>
      </x:c>
      <x:c r="B694" s="8" t="str">
        <x:v>Situate de plata transa 1.docx</x:v>
      </x:c>
      <x:c r="C694" s="8" t="str">
        <x:v>Rambursare tranșa 1</x:v>
      </x:c>
      <x:c r="D694" s="12" t="str"/>
      <x:c r="E694" s="11" t="str"/>
      <x:c r="F694" s="12" t="str"/>
      <x:c r="G694" s="11" t="str"/>
      <x:c r="H694" s="8" t="str"/>
      <x:c r="I694" s="8" t="str">
        <x:v>Versiune de lucru / arhivă</x:v>
      </x:c>
      <x:c r="J694" s="8" t="str">
        <x:v>nr. 275/01.02.2024 · Contract de finanțare nr. CFMSES011011372801030/30.12.2024 · Factură: SST0033/03.07.2026 · Perioada de execuție a montajului: 20.04–28.0
nr. 275/01.02.2024, iar valorile sunt corespunzătoare cantităților realizate efectiv pe teren, la nivelul de calitate impus prin documentele contractuale.
nr. 1.359.705/22.06.2026. Bunurile au fost livrate pe amplasament conform documentelor de transport CMR și au fost recepționate și montate de beneficiar după data
nr. CFMSES011011372801030/30.12.2024
nr. 14
nr. 96, jud. Mureș
nr. 1 + Factura SST0033/03.07.2026 | 1.185.950,41 | 249.049,59 | 1.435.000,00</x:v>
      </x:c>
      <x:c r="K694" s="8" t="str">
        <x:v>Text extras; numerele din referințe sunt în coloana separată</x:v>
      </x:c>
      <x:c r="L694" s="8" t="e">
        <x:f>HYPERLINK("file:///Z:/00. Proiecte 2025/AFIR FotoVoltaic 1/30.1 Cerere Rambursare 1/7. Situații de plată pentru lucrări_Situatie de lucrari/draft/Situate de plata transa 1.docx","Deschide sursa")</x:f>
        <x:v>HYPERLINK is not implemented. linkLocation=file:///Z:/00. Proiecte 2025/AFIR FotoVoltaic 1/30.1 Cerere Rambursare 1/7. Situații de plată pentru lucrări_Situatie de lucrari/draft/Situate de plata transa 1.docx, friendlyName=Deschide sursa</x:v>
      </x:c>
    </x:row>
    <x:row r="695" ht="372" customHeight="1">
      <x:c r="A695" s="8" t="str">
        <x:v>F1161</x:v>
      </x:c>
      <x:c r="B695" s="8" t="str">
        <x:v>Situatie_de_plata_transa_V2.docx</x:v>
      </x:c>
      <x:c r="C695" s="8" t="str">
        <x:v>Rambursare tranșa 1</x:v>
      </x:c>
      <x:c r="D695" s="12" t="str"/>
      <x:c r="E695" s="11" t="str"/>
      <x:c r="F695" s="12" t="str"/>
      <x:c r="G695" s="11" t="str"/>
      <x:c r="H695" s="8" t="str"/>
      <x:c r="I695" s="8" t="str">
        <x:v>Versiune de lucru / arhivă</x:v>
      </x:c>
      <x:c r="J695" s="8" t="str">
        <x:v>nr. 1 / 03.07.2026
nr. 1/03.07.2026, cod RFMSES011011372801030
nr. 275/01.02.2024 · Contract de finanțare nr. CFMSES011011372801030/30.12.2024 · Ordin de începere a lucrărilor nr. 1/16.02.2026
nr. 341/03.07.2026 · Factura seria SST nr. 0033/03.07.2026 · Perioada de execuție a lucrărilor decontate: 14.04.2026 – 28.06.2026
nr. 1/03.07.2026
nr. CFMSES011011372801030/30.12.2024 · Furnizor/Executant: S.C. SUNTREE SOLAR TECH S.R.L., CUI RO46361925
NRC J01/817/2022 · Alba Iulia, str. Augustin Bena nr. 14, jud. Alba
nr. 96, jud. Mureș — Hala de Producție C1 | APROBAT,
NRC J01/1328/2021
nr. 5, jud. Alba
nr. 341/03.07.2026 · PV nr. 6/14.04.2026 | Serv. | Prevăzut: 1,00
nr. 341/03.07.2026 · PV nr. 8/28.06.2026 | Serv. | Prevăzut: 1,00
nr. 341/03.07.2026 · PV nr. 8/28.06.2026 și PV nr. 10/30.06.2026 | Serv. | Prevăzut: 1,00
Nr. | Linia bugetară (capitol deviz) | Documente justificative | Valoare fără TVA (lei) | TVA 21% (lei) | Valoare cu TVA (lei) | % din linia bugetară
nr. 1/03.07.2026; Situația de lucrări nr. 341/03.07.2026; PV nr. 6/14.04.2026, nr. 8/28.06.2026, nr. 10/30.06.2026; Factura SST0033/03.07.2026 | 1.185.950,41 | 249
nr. 3/08.04.2026 (structură), nr. 4/08.04.2026 (invertoare), nr. 5/10.04.2026 (cabluri), nr. 7/23.06.2026 (panouri); centralizatoare serii panouri și invertoare; C
nr. 2/17.02.2026 de recepție a organizării de șantier; documentar fotografic; Factura SST0033/03.07.2026 | 1.800,00 | 378,00 | 2.178,00 | 100,00% din 1.800,00
Nr. CFMSES011011372801030” | 4.3 | 500.000,00
Nr. CFMSES011011372801030” | 4.2 | 400.000,00
nr. 5/01.02.2024-AFIR-CFMSES011011372801030” | 4.2 | 500.000,00</x:v>
      </x:c>
      <x:c r="K695" s="8" t="str">
        <x:v>Text extras; numerele din referințe sunt în coloana separată</x:v>
      </x:c>
      <x:c r="L695" s="8" t="e">
        <x:f>HYPERLINK("file:///Z:/00. Proiecte 2025/AFIR FotoVoltaic 1/30.1 Cerere Rambursare 1/7. Situații de plată pentru lucrări_Situatie de lucrari/draft/Situatie_de_plata_transa_V2.docx","Deschide sursa")</x:f>
        <x:v>HYPERLINK is not implemented. linkLocation=file:///Z:/00. Proiecte 2025/AFIR FotoVoltaic 1/30.1 Cerere Rambursare 1/7. Situații de plată pentru lucrări_Situatie de lucrari/draft/Situatie_de_plata_transa_V2.docx, friendlyName=Deschide sursa</x:v>
      </x:c>
    </x:row>
    <x:row r="696" ht="372" customHeight="1">
      <x:c r="A696" s="8" t="str">
        <x:v>F1162</x:v>
      </x:c>
      <x:c r="B696" s="8" t="str">
        <x:v>Situatie_de_plata_transa_V2_v2.docx</x:v>
      </x:c>
      <x:c r="C696" s="8" t="str">
        <x:v>Rambursare tranșa 1</x:v>
      </x:c>
      <x:c r="D696" s="12" t="str"/>
      <x:c r="E696" s="11" t="str"/>
      <x:c r="F696" s="12" t="str"/>
      <x:c r="G696" s="11" t="str"/>
      <x:c r="H696" s="8" t="str"/>
      <x:c r="I696" s="8" t="str">
        <x:v>Versiune de lucru / arhivă</x:v>
      </x:c>
      <x:c r="J696" s="8" t="str">
        <x:v>nr. 1 / 03.07.2026
nr. 1/07.08.2026, cod RFMSES011011372801030
nr. 275/01.02.2024 · Contract de finanțare nr. CFMSES011011372801030/30.12.2024 · Ordin de începere a lucrărilor nr. 1/16.02.2026
nr. 341/03.07.2026 · Factura seria SST nr. 0033/03.07.2026 · Perioada de execuție a lucrărilor decontate: 14.04.2026 – 28.06.2026
nr. 1/07.08.2026
nr. CFMSES011011372801030/30.12.2024 · Furnizor/Executant: S.C. SUNTREE SOLAR TECH S.R.L., CUI RO46361925
NRC J01/817/2022 · Alba Iulia, str. Augustin Bena nr. 14, jud. Alba
nr. 96, jud. Mureș — Hala de Producție C1 | APROBAT,
NRC J01/1328/2021
nr. 5, jud. Alba
nr. 341/03.07.2026 · PV nr. 4/14.04.2026 | Serv. | Prevăzut: 1,00
nr. 341/03.07.2026 · PV nr. 6/28.06.2026 | Serv. | Prevăzut: 1,00
nr. 341/03.07.2026 · PV nr. 6/28.06.2026 și PV nr. 7/30.06.2026 | Serv. | Prevăzut: 1,00
Nr. | Linia bugetară (capitol deviz) | Documente justificative | Valoare fără TVA (lei) | TVA 21% (lei) | Valoare cu TVA (lei) | % din linia bugetară
nr. 1/03.07.2026; Situația de lucrări nr. 341/03.07.2026; PV nr. 4/14.04.2026, nr. 6/28.06.2026, nr. 7/30.06.2026; Factura SST0033/03.07.2026 | 1.185.950,41 | 249.
nr. 3/08.04.2026 (structură), nr. 5/23.06.2026 (panouri); centralizatorul seriilor de panouri; CMR/avize de însoțire; Factura SST0033/03.07.2026 | 1.279.191,74 | 2
nr. 2/17.02.2026 de recepție a organizării de șantier; documentar fotografic; Factura SST0033/03.07.2026 | 1.800,00 | 378,00 | 2.178,00 | 99,66% din 1.806,14
Nr. CFMSES011011372801030” | 4.3 și 5.1.2 | 500.000,00
Nr. CFMSES011011372801030” | 4.2 | 400.000,00
nr. 5/01.02.2024-AFIR-CFMSES011011372801030” | 4.2 | 500.000,00</x:v>
      </x:c>
      <x:c r="K696" s="8" t="str">
        <x:v>Text extras; numerele din referințe sunt în coloana separată</x:v>
      </x:c>
      <x:c r="L696" s="8" t="e">
        <x:f>HYPERLINK("file:///Z:/00. Proiecte 2025/AFIR FotoVoltaic 1/30.1 Cerere Rambursare 1/7. Situații de plată pentru lucrări_Situatie de lucrari/draft/Situatie_de_plata_transa_V2_v2.docx","Deschide sursa")</x:f>
        <x:v>HYPERLINK is not implemented. linkLocation=file:///Z:/00. Proiecte 2025/AFIR FotoVoltaic 1/30.1 Cerere Rambursare 1/7. Situații de plată pentru lucrări_Situatie de lucrari/draft/Situatie_de_plata_transa_V2_v2.docx, friendlyName=Deschide sursa</x:v>
      </x:c>
    </x:row>
    <x:row r="697" ht="78" customHeight="1">
      <x:c r="A697" s="8" t="str">
        <x:v>F1163</x:v>
      </x:c>
      <x:c r="B697" s="8" t="str">
        <x:v>Situatie_de_plata_transa_V2_v2.pdf</x:v>
      </x:c>
      <x:c r="C697" s="8" t="str">
        <x:v>Rambursare tranșa 1</x:v>
      </x:c>
      <x:c r="D697" s="12" t="str"/>
      <x:c r="E697" s="11" t="str"/>
      <x:c r="F697" s="12" t="str"/>
      <x:c r="G697" s="11" t="str"/>
      <x:c r="H697" s="8" t="str"/>
      <x:c r="I697" s="8" t="str">
        <x:v>Versiune de lucru / arhivă</x:v>
      </x:c>
      <x:c r="J697" s="8" t="str">
        <x:v>nr. 1 /03.07.2026 - Tran$a I - CESIRO PRODUCTION S.R.L. · Contract de finan(are nr. CFMSES0 1101137280 I 030 I pagina 2 din 4
nr. 10 si nr. 11
nr. I /03.07.2026 - Tran�a I - CESIRO PRODUCTION S.R.L. · Contract de finan(are nr. CFMSES0 I IO I I 37280 I 030 I pagina 4 din 4</x:v>
      </x:c>
      <x:c r="K697" s="8" t="str">
        <x:v>Text extras; numerele din referințe sunt în coloana separată</x:v>
      </x:c>
      <x:c r="L697" s="8" t="e">
        <x:f>HYPERLINK("file:///Z:/00. Proiecte 2025/AFIR FotoVoltaic 1/30.1 Cerere Rambursare 1/7. Situații de plată pentru lucrări_Situatie de lucrari/draft/Situatie_de_plata_transa_V2_v2.pdf","Deschide sursa")</x:f>
        <x:v>HYPERLINK is not implemented. linkLocation=file:///Z:/00. Proiecte 2025/AFIR FotoVoltaic 1/30.1 Cerere Rambursare 1/7. Situații de plată pentru lucrări_Situatie de lucrari/draft/Situatie_de_plata_transa_V2_v2.pdf, friendlyName=Deschide sursa</x:v>
      </x:c>
    </x:row>
    <x:row r="698" ht="50" customHeight="1">
      <x:c r="A698" s="8" t="str">
        <x:v>F1165</x:v>
      </x:c>
      <x:c r="B698" s="8" t="str">
        <x:v>Product warranty - Cesiro Production SRL - Avasco Solar Signed.pdf</x:v>
      </x:c>
      <x:c r="C698" s="8" t="str">
        <x:v>Rambursare tranșa 1</x:v>
      </x:c>
      <x:c r="D698" s="12" t="str"/>
      <x:c r="E698" s="11" t="str"/>
      <x:c r="F698" s="12" t="str"/>
      <x:c r="G698" s="11" t="str"/>
      <x:c r="H698" s="8" t="str"/>
      <x:c r="I698" s="8" t="str">
        <x:v>Versiune de lucru / arhivă</x:v>
      </x:c>
      <x:c r="J698" s="8" t="str"/>
      <x:c r="K698" s="8" t="str">
        <x:v>Text extras; numerele din referințe sunt în coloana separată</x:v>
      </x:c>
      <x:c r="L698" s="8" t="e">
        <x:f>HYPERLINK("file:///Z:/00. Proiecte 2025/AFIR FotoVoltaic 1/30.1 Cerere Rambursare 1/8. Certificate, conformitate, calitate, garanții- DE FACUT/AVASCO Solar/Draft/Product warranty - Cesiro Production SRL - Avasco Solar Signed.pdf","Deschide sursa")</x:f>
        <x:v>HYPERLINK is not implemented. linkLocation=file:///Z:/00. Proiecte 2025/AFIR FotoVoltaic 1/30.1 Cerere Rambursare 1/8. Certificate, conformitate, calitate, garanții- DE FACUT/AVASCO Solar/Draft/Product warranty - Cesiro Production SRL - Avasco Solar Signed.pdf, friendlyName=Deschide sursa</x:v>
      </x:c>
    </x:row>
    <x:row r="699" ht="50" customHeight="1">
      <x:c r="A699" s="8" t="str">
        <x:v>F1166</x:v>
      </x:c>
      <x:c r="B699" s="8" t="str">
        <x:v>Project report -.pdf</x:v>
      </x:c>
      <x:c r="C699" s="8" t="str">
        <x:v>Rambursare tranșa 1</x:v>
      </x:c>
      <x:c r="D699" s="12" t="str"/>
      <x:c r="E699" s="11" t="str"/>
      <x:c r="F699" s="12" t="str"/>
      <x:c r="G699" s="11" t="str"/>
      <x:c r="H699" s="8" t="str"/>
      <x:c r="I699" s="8" t="str">
        <x:v>Versiune de lucru / arhivă</x:v>
      </x:c>
      <x:c r="J699" s="8" t="str"/>
      <x:c r="K699" s="8" t="str">
        <x:v>Text extras; numerele din referințe sunt în coloana separată</x:v>
      </x:c>
      <x:c r="L699" s="8" t="e">
        <x:f>HYPERLINK("file:///Z:/00. Proiecte 2025/AFIR FotoVoltaic 1/30.1 Cerere Rambursare 1/8. Certificate, conformitate, calitate, garanții- DE FACUT/AVASCO Solar/Draft/Project report -.pdf","Deschide sursa")</x:f>
        <x:v>HYPERLINK is not implemented. linkLocation=file:///Z:/00. Proiecte 2025/AFIR FotoVoltaic 1/30.1 Cerere Rambursare 1/8. Certificate, conformitate, calitate, garanții- DE FACUT/AVASCO Solar/Draft/Project report -.pdf, friendlyName=Deschide sursa</x:v>
      </x:c>
    </x:row>
    <x:row r="700" ht="50" customHeight="1">
      <x:c r="A700" s="8" t="str">
        <x:v>F1167</x:v>
      </x:c>
      <x:c r="B700" s="8" t="str">
        <x:v>Certificate_SUN2000-100-115KTL-M2_CE-EMC_EN.pdf</x:v>
      </x:c>
      <x:c r="C700" s="8" t="str">
        <x:v>Rambursare tranșa 1</x:v>
      </x:c>
      <x:c r="D700" s="12" t="str"/>
      <x:c r="E700" s="11" t="str"/>
      <x:c r="F700" s="12" t="str"/>
      <x:c r="G700" s="11" t="str"/>
      <x:c r="H700" s="8" t="str"/>
      <x:c r="I700" s="8" t="str">
        <x:v>Versiune de lucru / arhivă</x:v>
      </x:c>
      <x:c r="J700" s="8" t="str"/>
      <x:c r="K700" s="8" t="str">
        <x:v>Text extras; numerele din referințe sunt în coloana separată</x:v>
      </x:c>
      <x:c r="L700" s="8" t="e">
        <x:f>HYPERLINK("file:///Z:/00. Proiecte 2025/AFIR FotoVoltaic 1/30.1 Cerere Rambursare 1/8. Certificate, conformitate, calitate, garanții- DE FACUT/Huawei Cerificate/Draft/Certificate_SUN2000-100-115KTL-M2_CE-EMC_EN.pdf","Deschide sursa")</x:f>
        <x:v>HYPERLINK is not implemented. linkLocation=file:///Z:/00. Proiecte 2025/AFIR FotoVoltaic 1/30.1 Cerere Rambursare 1/8. Certificate, conformitate, calitate, garanții- DE FACUT/Huawei Cerificate/Draft/Certificate_SUN2000-100-115KTL-M2_CE-EMC_EN.pdf, friendlyName=Deschide sursa</x:v>
      </x:c>
    </x:row>
    <x:row r="701" ht="50" customHeight="1">
      <x:c r="A701" s="8" t="str">
        <x:v>F1168</x:v>
      </x:c>
      <x:c r="B701" s="8" t="str">
        <x:v>Certificate_SUN2000-100-115KTL-M2_EN50549-1_EN.pdf</x:v>
      </x:c>
      <x:c r="C701" s="8" t="str">
        <x:v>Rambursare tranșa 1</x:v>
      </x:c>
      <x:c r="D701" s="12" t="str"/>
      <x:c r="E701" s="11" t="str"/>
      <x:c r="F701" s="12" t="str"/>
      <x:c r="G701" s="11" t="str"/>
      <x:c r="H701" s="8" t="str"/>
      <x:c r="I701" s="8" t="str">
        <x:v>Versiune de lucru / arhivă</x:v>
      </x:c>
      <x:c r="J701" s="8" t="str"/>
      <x:c r="K701" s="8" t="str">
        <x:v>Text extras; numerele din referințe sunt în coloana separată</x:v>
      </x:c>
      <x:c r="L701" s="8" t="e">
        <x:f>HYPERLINK("file:///Z:/00. Proiecte 2025/AFIR FotoVoltaic 1/30.1 Cerere Rambursare 1/8. Certificate, conformitate, calitate, garanții- DE FACUT/Huawei Cerificate/Draft/Certificate_SUN2000-100-115KTL-M2_EN50549-1_EN.pdf","Deschide sursa")</x:f>
        <x:v>HYPERLINK is not implemented. linkLocation=file:///Z:/00. Proiecte 2025/AFIR FotoVoltaic 1/30.1 Cerere Rambursare 1/8. Certificate, conformitate, calitate, garanții- DE FACUT/Huawei Cerificate/Draft/Certificate_SUN2000-100-115KTL-M2_EN50549-1_EN.pdf, friendlyName=Deschide sursa</x:v>
      </x:c>
    </x:row>
    <x:row r="702" ht="50" customHeight="1">
      <x:c r="A702" s="8" t="str">
        <x:v>F1169</x:v>
      </x:c>
      <x:c r="B702" s="8" t="str">
        <x:v>Certificate_SUN2000-100-115KTL-M2_EN50549-2_EN.pdf</x:v>
      </x:c>
      <x:c r="C702" s="8" t="str">
        <x:v>Rambursare tranșa 1</x:v>
      </x:c>
      <x:c r="D702" s="12" t="str"/>
      <x:c r="E702" s="11" t="str"/>
      <x:c r="F702" s="12" t="str"/>
      <x:c r="G702" s="11" t="str"/>
      <x:c r="H702" s="8" t="str"/>
      <x:c r="I702" s="8" t="str">
        <x:v>Versiune de lucru / arhivă</x:v>
      </x:c>
      <x:c r="J702" s="8" t="str"/>
      <x:c r="K702" s="8" t="str">
        <x:v>Text extras; numerele din referințe sunt în coloana separată</x:v>
      </x:c>
      <x:c r="L702" s="8" t="e">
        <x:f>HYPERLINK("file:///Z:/00. Proiecte 2025/AFIR FotoVoltaic 1/30.1 Cerere Rambursare 1/8. Certificate, conformitate, calitate, garanții- DE FACUT/Huawei Cerificate/Draft/Certificate_SUN2000-100-115KTL-M2_EN50549-2_EN.pdf","Deschide sursa")</x:f>
        <x:v>HYPERLINK is not implemented. linkLocation=file:///Z:/00. Proiecte 2025/AFIR FotoVoltaic 1/30.1 Cerere Rambursare 1/8. Certificate, conformitate, calitate, garanții- DE FACUT/Huawei Cerificate/Draft/Certificate_SUN2000-100-115KTL-M2_EN50549-2_EN.pdf, friendlyName=Deschide sursa</x:v>
      </x:c>
    </x:row>
    <x:row r="703" ht="50" customHeight="1">
      <x:c r="A703" s="8" t="str">
        <x:v>F1170</x:v>
      </x:c>
      <x:c r="B703" s="8" t="str">
        <x:v>Certificate_SUN2000-100-115KTL-M2_EN62109-1-2_EN.pdf</x:v>
      </x:c>
      <x:c r="C703" s="8" t="str">
        <x:v>Rambursare tranșa 1</x:v>
      </x:c>
      <x:c r="D703" s="12" t="str"/>
      <x:c r="E703" s="11" t="str"/>
      <x:c r="F703" s="12" t="str"/>
      <x:c r="G703" s="11" t="str"/>
      <x:c r="H703" s="8" t="str"/>
      <x:c r="I703" s="8" t="str">
        <x:v>Versiune de lucru / arhivă</x:v>
      </x:c>
      <x:c r="J703" s="8" t="str"/>
      <x:c r="K703" s="8" t="str">
        <x:v>Text extras; numerele din referințe sunt în coloana separată</x:v>
      </x:c>
      <x:c r="L703" s="8" t="e">
        <x:f>HYPERLINK("file:///Z:/00. Proiecte 2025/AFIR FotoVoltaic 1/30.1 Cerere Rambursare 1/8. Certificate, conformitate, calitate, garanții- DE FACUT/Huawei Cerificate/Draft/Certificate_SUN2000-100-115KTL-M2_EN62109-1-2_EN.pdf","Deschide sursa")</x:f>
        <x:v>HYPERLINK is not implemented. linkLocation=file:///Z:/00. Proiecte 2025/AFIR FotoVoltaic 1/30.1 Cerere Rambursare 1/8. Certificate, conformitate, calitate, garanții- DE FACUT/Huawei Cerificate/Draft/Certificate_SUN2000-100-115KTL-M2_EN62109-1-2_EN.pdf, friendlyName=Deschide sursa</x:v>
      </x:c>
    </x:row>
    <x:row r="704" ht="50" customHeight="1">
      <x:c r="A704" s="8" t="str">
        <x:v>F1171</x:v>
      </x:c>
      <x:c r="B704" s="8" t="str">
        <x:v>Certificate_SUN2000-100-115KTL-M2_IEC61727_IEC62116_EN.pdf</x:v>
      </x:c>
      <x:c r="C704" s="8" t="str">
        <x:v>Rambursare tranșa 1</x:v>
      </x:c>
      <x:c r="D704" s="12" t="str"/>
      <x:c r="E704" s="11" t="str"/>
      <x:c r="F704" s="12" t="str"/>
      <x:c r="G704" s="11" t="str"/>
      <x:c r="H704" s="8" t="str"/>
      <x:c r="I704" s="8" t="str">
        <x:v>Versiune de lucru / arhivă</x:v>
      </x:c>
      <x:c r="J704" s="8" t="str"/>
      <x:c r="K704" s="8" t="str">
        <x:v>Text extras; numerele din referințe sunt în coloana separată</x:v>
      </x:c>
      <x:c r="L704" s="8" t="e">
        <x:f>HYPERLINK("file:///Z:/00. Proiecte 2025/AFIR FotoVoltaic 1/30.1 Cerere Rambursare 1/8. Certificate, conformitate, calitate, garanții- DE FACUT/Huawei Cerificate/Draft/Certificate_SUN2000-100-115KTL-M2_IEC61727_IEC62116_EN.pdf","Deschide sursa")</x:f>
        <x:v>HYPERLINK is not implemented. linkLocation=file:///Z:/00. Proiecte 2025/AFIR FotoVoltaic 1/30.1 Cerere Rambursare 1/8. Certificate, conformitate, calitate, garanții- DE FACUT/Huawei Cerificate/Draft/Certificate_SUN2000-100-115KTL-M2_IEC61727_IEC62116_EN.pdf, friendlyName=Deschide sursa</x:v>
      </x:c>
    </x:row>
    <x:row r="705" ht="50" customHeight="1">
      <x:c r="A705" s="8" t="str">
        <x:v>F1172</x:v>
      </x:c>
      <x:c r="B705" s="8" t="str">
        <x:v>Certificate_SUN2000-100-115KTL-M2_IEC_61683_60068_EN.pdf</x:v>
      </x:c>
      <x:c r="C705" s="8" t="str">
        <x:v>Rambursare tranșa 1</x:v>
      </x:c>
      <x:c r="D705" s="12" t="str"/>
      <x:c r="E705" s="11" t="str"/>
      <x:c r="F705" s="12" t="str"/>
      <x:c r="G705" s="11" t="str"/>
      <x:c r="H705" s="8" t="str"/>
      <x:c r="I705" s="8" t="str">
        <x:v>Versiune de lucru / arhivă</x:v>
      </x:c>
      <x:c r="J705" s="8" t="str"/>
      <x:c r="K705" s="8" t="str">
        <x:v>Text extras; numerele din referințe sunt în coloana separată</x:v>
      </x:c>
      <x:c r="L705" s="8" t="e">
        <x:f>HYPERLINK("file:///Z:/00. Proiecte 2025/AFIR FotoVoltaic 1/30.1 Cerere Rambursare 1/8. Certificate, conformitate, calitate, garanții- DE FACUT/Huawei Cerificate/Draft/Certificate_SUN2000-100-115KTL-M2_IEC_61683_60068_EN.pdf","Deschide sursa")</x:f>
        <x:v>HYPERLINK is not implemented. linkLocation=file:///Z:/00. Proiecte 2025/AFIR FotoVoltaic 1/30.1 Cerere Rambursare 1/8. Certificate, conformitate, calitate, garanții- DE FACUT/Huawei Cerificate/Draft/Certificate_SUN2000-100-115KTL-M2_IEC_61683_60068_EN.pdf, friendlyName=Deschide sursa</x:v>
      </x:c>
    </x:row>
    <x:row r="706" ht="50" customHeight="1">
      <x:c r="A706" s="8" t="str">
        <x:v>F1173</x:v>
      </x:c>
      <x:c r="B706" s="8" t="str">
        <x:v>Certificate_SUN2000-100-115KTL-M2_RED_Article_3.3d_EN.pdf</x:v>
      </x:c>
      <x:c r="C706" s="8" t="str">
        <x:v>Rambursare tranșa 1</x:v>
      </x:c>
      <x:c r="D706" s="12" t="str"/>
      <x:c r="E706" s="11" t="str"/>
      <x:c r="F706" s="12" t="str"/>
      <x:c r="G706" s="11" t="str"/>
      <x:c r="H706" s="8" t="str"/>
      <x:c r="I706" s="8" t="str">
        <x:v>Versiune de lucru / arhivă</x:v>
      </x:c>
      <x:c r="J706" s="8" t="str"/>
      <x:c r="K706" s="8" t="str">
        <x:v>Text extras; numerele din referințe sunt în coloana separată</x:v>
      </x:c>
      <x:c r="L706" s="8" t="e">
        <x:f>HYPERLINK("file:///Z:/00. Proiecte 2025/AFIR FotoVoltaic 1/30.1 Cerere Rambursare 1/8. Certificate, conformitate, calitate, garanții- DE FACUT/Huawei Cerificate/Draft/Certificate_SUN2000-100-115KTL-M2_RED_Article_3.3d_EN.pdf","Deschide sursa")</x:f>
        <x:v>HYPERLINK is not implemented. linkLocation=file:///Z:/00. Proiecte 2025/AFIR FotoVoltaic 1/30.1 Cerere Rambursare 1/8. Certificate, conformitate, calitate, garanții- DE FACUT/Huawei Cerificate/Draft/Certificate_SUN2000-100-115KTL-M2_RED_Article_3.3d_EN.pdf, friendlyName=Deschide sursa</x:v>
      </x:c>
    </x:row>
    <x:row r="707" ht="50" customHeight="1">
      <x:c r="A707" s="8" t="str">
        <x:v>F1174</x:v>
      </x:c>
      <x:c r="B707" s="8" t="str">
        <x:v>DataSheet_SUN2000-100KTL-M2_Type_I_II_EN.pdf</x:v>
      </x:c>
      <x:c r="C707" s="8" t="str">
        <x:v>Rambursare tranșa 1</x:v>
      </x:c>
      <x:c r="D707" s="12" t="str"/>
      <x:c r="E707" s="11" t="str"/>
      <x:c r="F707" s="12" t="str"/>
      <x:c r="G707" s="11" t="str"/>
      <x:c r="H707" s="8" t="str"/>
      <x:c r="I707" s="8" t="str">
        <x:v>Versiune de lucru / arhivă</x:v>
      </x:c>
      <x:c r="J707" s="8" t="str"/>
      <x:c r="K707" s="8" t="str">
        <x:v>Text extras; numerele din referințe sunt în coloana separată</x:v>
      </x:c>
      <x:c r="L707" s="8" t="e">
        <x:f>HYPERLINK("file:///Z:/00. Proiecte 2025/AFIR FotoVoltaic 1/30.1 Cerere Rambursare 1/8. Certificate, conformitate, calitate, garanții- DE FACUT/Huawei Cerificate/Draft/DataSheet_SUN2000-100KTL-M2_Type_I_II_EN.pdf","Deschide sursa")</x:f>
        <x:v>HYPERLINK is not implemented. linkLocation=file:///Z:/00. Proiecte 2025/AFIR FotoVoltaic 1/30.1 Cerere Rambursare 1/8. Certificate, conformitate, calitate, garanții- DE FACUT/Huawei Cerificate/Draft/DataSheet_SUN2000-100KTL-M2_Type_I_II_EN.pdf, friendlyName=Deschide sursa</x:v>
      </x:c>
    </x:row>
    <x:row r="708" ht="50" customHeight="1">
      <x:c r="A708" s="8" t="str">
        <x:v>F1175</x:v>
      </x:c>
      <x:c r="B708" s="8" t="str">
        <x:v>2026-Special-for-Global-Market-EN.pdf</x:v>
      </x:c>
      <x:c r="C708" s="8" t="str">
        <x:v>Rambursare tranșa 1</x:v>
      </x:c>
      <x:c r="D708" s="12" t="str"/>
      <x:c r="E708" s="11" t="str"/>
      <x:c r="F708" s="12" t="str"/>
      <x:c r="G708" s="11" t="str"/>
      <x:c r="H708" s="8" t="str"/>
      <x:c r="I708" s="8" t="str">
        <x:v>Versiune de lucru / arhivă</x:v>
      </x:c>
      <x:c r="J708" s="8" t="str"/>
      <x:c r="K708" s="8" t="str">
        <x:v>Text extras; numerele din referințe sunt în coloana separată</x:v>
      </x:c>
      <x:c r="L708" s="8" t="e">
        <x:f>HYPERLINK("file:///Z:/00. Proiecte 2025/AFIR FotoVoltaic 1/30.1 Cerere Rambursare 1/8. Certificate, conformitate, calitate, garanții- DE FACUT/Panouri Certificate/draft/2026-Special-for-Global-Market-EN.pdf","Deschide sursa")</x:f>
        <x:v>HYPERLINK is not implemented. linkLocation=file:///Z:/00. Proiecte 2025/AFIR FotoVoltaic 1/30.1 Cerere Rambursare 1/8. Certificate, conformitate, calitate, garanții- DE FACUT/Panouri Certificate/draft/2026-Special-for-Global-Market-EN.pdf, friendlyName=Deschide sursa</x:v>
      </x:c>
    </x:row>
    <x:row r="709" ht="92" customHeight="1">
      <x:c r="A709" s="8" t="str">
        <x:v>F1176</x:v>
      </x:c>
      <x:c r="B709" s="8" t="str">
        <x:v>Certificat de Calitate_Suntech STP450S-H48-Nkh+_2222 buc_RO_DRAFT.pdf</x:v>
      </x:c>
      <x:c r="C709" s="8" t="str">
        <x:v>Rambursare tranșa 1</x:v>
      </x:c>
      <x:c r="D709" s="12" t="str"/>
      <x:c r="E709" s="11" t="str"/>
      <x:c r="F709" s="12" t="str"/>
      <x:c r="G709" s="11" t="str"/>
      <x:c r="H709" s="8" t="str"/>
      <x:c r="I709" s="8" t="str">
        <x:v>Versiune de lucru / arhivă</x:v>
      </x:c>
      <x:c r="J709" s="8" t="str">
        <x:v>Nr. SUN-NTFS2601-Q Data emiterii: 03.08.2026
nr. 275/01.02.2024
nr. CN09/32341
nr. CN09/21487
nr. CN19/21424.00
NR. SUN-NTFS2601-Q / 03.08.2026</x:v>
      </x:c>
      <x:c r="K709" s="8" t="str">
        <x:v>Text extras; numerele din referințe sunt în coloana separată</x:v>
      </x:c>
      <x:c r="L709" s="8" t="e">
        <x:f>HYPERLINK("file:///Z:/00. Proiecte 2025/AFIR FotoVoltaic 1/30.1 Cerere Rambursare 1/8. Certificate, conformitate, calitate, garanții- DE FACUT/Panouri Certificate/draft/Certificat de Calitate_Suntech STP450S-H48-Nkh+_2222 buc_RO_DRAFT.pdf","Deschide sursa")</x:f>
        <x:v>HYPERLINK is not implemented. linkLocation=file:///Z:/00. Proiecte 2025/AFIR FotoVoltaic 1/30.1 Cerere Rambursare 1/8. Certificate, conformitate, calitate, garanții- DE FACUT/Panouri Certificate/draft/Certificat de Calitate_Suntech STP450S-H48-Nkh+_2222 buc_RO_DRAFT.pdf, friendlyName=Deschide sursa</x:v>
      </x:c>
    </x:row>
    <x:row r="710" ht="50" customHeight="1">
      <x:c r="A710" s="8" t="str">
        <x:v>F1177</x:v>
      </x:c>
      <x:c r="B710" s="8" t="str">
        <x:v>Certificat de Conformitate_Suntech STP450S-H48-Nkh+_2222 buc_RO_DRAFT.pdf</x:v>
      </x:c>
      <x:c r="C710" s="8" t="str">
        <x:v>Rambursare tranșa 1</x:v>
      </x:c>
      <x:c r="D710" s="12" t="str"/>
      <x:c r="E710" s="11" t="str"/>
      <x:c r="F710" s="12" t="str"/>
      <x:c r="G710" s="11" t="str"/>
      <x:c r="H710" s="8" t="str"/>
      <x:c r="I710" s="8" t="str">
        <x:v>Versiune de lucru / arhivă</x:v>
      </x:c>
      <x:c r="J710" s="8" t="str">
        <x:v>Nr. SUN-NTFS2601-C Data emiterii: 03.08.2026
nr. 275/01.02.2024
NR. SUN-NTFS2601-C / 03.08.2026</x:v>
      </x:c>
      <x:c r="K710" s="8" t="str">
        <x:v>Text extras; numerele din referințe sunt în coloana separată</x:v>
      </x:c>
      <x:c r="L710" s="8" t="e">
        <x:f>HYPERLINK("file:///Z:/00. Proiecte 2025/AFIR FotoVoltaic 1/30.1 Cerere Rambursare 1/8. Certificate, conformitate, calitate, garanții- DE FACUT/Panouri Certificate/draft/Certificat de Conformitate_Suntech STP450S-H48-Nkh+_2222 buc_RO_DRAFT.pdf","Deschide sursa")</x:f>
        <x:v>HYPERLINK is not implemented. linkLocation=file:///Z:/00. Proiecte 2025/AFIR FotoVoltaic 1/30.1 Cerere Rambursare 1/8. Certificate, conformitate, calitate, garanții- DE FACUT/Panouri Certificate/draft/Certificat de Conformitate_Suntech STP450S-H48-Nkh+_2222 buc_RO_DRAFT.pdf, friendlyName=Deschide sursa</x:v>
      </x:c>
    </x:row>
    <x:row r="711" ht="50" customHeight="1">
      <x:c r="A711" s="8" t="str">
        <x:v>F1178</x:v>
      </x:c>
      <x:c r="B711" s="8" t="str">
        <x:v>Certificate of Conformity_Suntech STP450S-H48-Nkh+_2222 pcs_DRAFT.docx</x:v>
      </x:c>
      <x:c r="C711" s="8" t="str">
        <x:v>Rambursare tranșa 1</x:v>
      </x:c>
      <x:c r="D711" s="12" t="str"/>
      <x:c r="E711" s="11" t="str"/>
      <x:c r="F711" s="12" t="str"/>
      <x:c r="G711" s="11" t="str"/>
      <x:c r="H711" s="8" t="str"/>
      <x:c r="I711" s="8" t="str">
        <x:v>Versiune de lucru / arhivă</x:v>
      </x:c>
      <x:c r="J711" s="8" t="str"/>
      <x:c r="K711" s="8" t="str">
        <x:v>Text extras; numerele din referințe sunt în coloana separată</x:v>
      </x:c>
      <x:c r="L711" s="8" t="e">
        <x:f>HYPERLINK("file:///Z:/00. Proiecte 2025/AFIR FotoVoltaic 1/30.1 Cerere Rambursare 1/8. Certificate, conformitate, calitate, garanții- DE FACUT/Panouri Certificate/draft/Certificate of Conformity_Suntech STP450S-H48-Nkh+_2222 pcs_DRAFT.docx","Deschide sursa")</x:f>
        <x:v>HYPERLINK is not implemented. linkLocation=file:///Z:/00. Proiecte 2025/AFIR FotoVoltaic 1/30.1 Cerere Rambursare 1/8. Certificate, conformitate, calitate, garanții- DE FACUT/Panouri Certificate/draft/Certificate of Conformity_Suntech STP450S-H48-Nkh+_2222 pcs_DRAFT.docx, friendlyName=Deschide sursa</x:v>
      </x:c>
    </x:row>
    <x:row r="712" ht="50" customHeight="1">
      <x:c r="A712" s="8" t="str">
        <x:v>F1179</x:v>
      </x:c>
      <x:c r="B712" s="8" t="str">
        <x:v>Certificate of Conformity_Suntech STP450S-H48-Nkh+_2222 pcs_DRAFT.pdf</x:v>
      </x:c>
      <x:c r="C712" s="8" t="str">
        <x:v>Rambursare tranșa 1</x:v>
      </x:c>
      <x:c r="D712" s="12" t="str"/>
      <x:c r="E712" s="11" t="str"/>
      <x:c r="F712" s="12" t="str"/>
      <x:c r="G712" s="11" t="str"/>
      <x:c r="H712" s="8" t="str"/>
      <x:c r="I712" s="8" t="str">
        <x:v>Versiune de lucru / arhivă</x:v>
      </x:c>
      <x:c r="J712" s="8" t="str"/>
      <x:c r="K712" s="8" t="str">
        <x:v>Text extras; numerele din referințe sunt în coloana separată</x:v>
      </x:c>
      <x:c r="L712" s="8" t="e">
        <x:f>HYPERLINK("file:///Z:/00. Proiecte 2025/AFIR FotoVoltaic 1/30.1 Cerere Rambursare 1/8. Certificate, conformitate, calitate, garanții- DE FACUT/Panouri Certificate/draft/Certificate of Conformity_Suntech STP450S-H48-Nkh+_2222 pcs_DRAFT.pdf","Deschide sursa")</x:f>
        <x:v>HYPERLINK is not implemented. linkLocation=file:///Z:/00. Proiecte 2025/AFIR FotoVoltaic 1/30.1 Cerere Rambursare 1/8. Certificate, conformitate, calitate, garanții- DE FACUT/Panouri Certificate/draft/Certificate of Conformity_Suntech STP450S-H48-Nkh+_2222 pcs_DRAFT.pdf, friendlyName=Deschide sursa</x:v>
      </x:c>
    </x:row>
    <x:row r="713" ht="50" customHeight="1">
      <x:c r="A713" s="8" t="str">
        <x:v>F1180</x:v>
      </x:c>
      <x:c r="B713" s="8" t="str">
        <x:v>IEC62941.pdf</x:v>
      </x:c>
      <x:c r="C713" s="8" t="str">
        <x:v>Rambursare tranșa 1</x:v>
      </x:c>
      <x:c r="D713" s="12" t="str"/>
      <x:c r="E713" s="11" t="str"/>
      <x:c r="F713" s="12" t="str"/>
      <x:c r="G713" s="11" t="str"/>
      <x:c r="H713" s="8" t="str"/>
      <x:c r="I713" s="8" t="str">
        <x:v>Versiune de lucru / arhivă</x:v>
      </x:c>
      <x:c r="J713" s="8" t="str"/>
      <x:c r="K713" s="8" t="str">
        <x:v>Text extras; numerele din referințe sunt în coloana separată</x:v>
      </x:c>
      <x:c r="L713" s="8" t="e">
        <x:f>HYPERLINK("file:///Z:/00. Proiecte 2025/AFIR FotoVoltaic 1/30.1 Cerere Rambursare 1/8. Certificate, conformitate, calitate, garanții- DE FACUT/Panouri Certificate/draft/IEC62941.pdf","Deschide sursa")</x:f>
        <x:v>HYPERLINK is not implemented. linkLocation=file:///Z:/00. Proiecte 2025/AFIR FotoVoltaic 1/30.1 Cerere Rambursare 1/8. Certificate, conformitate, calitate, garanții- DE FACUT/Panouri Certificate/draft/IEC62941.pdf, friendlyName=Deschide sursa</x:v>
      </x:c>
    </x:row>
    <x:row r="714" ht="50" customHeight="1">
      <x:c r="A714" s="8" t="str">
        <x:v>F1182</x:v>
      </x:c>
      <x:c r="B714" s="8" t="str">
        <x:v>ISO14001.pdf</x:v>
      </x:c>
      <x:c r="C714" s="8" t="str">
        <x:v>Rambursare tranșa 1</x:v>
      </x:c>
      <x:c r="D714" s="12" t="str"/>
      <x:c r="E714" s="11" t="str"/>
      <x:c r="F714" s="12" t="str"/>
      <x:c r="G714" s="11" t="str"/>
      <x:c r="H714" s="8" t="str"/>
      <x:c r="I714" s="8" t="str">
        <x:v>Versiune de lucru / arhivă</x:v>
      </x:c>
      <x:c r="J714" s="8" t="str"/>
      <x:c r="K714" s="8" t="str">
        <x:v>Text extras; numerele din referințe sunt în coloana separată</x:v>
      </x:c>
      <x:c r="L714" s="8" t="e">
        <x:f>HYPERLINK("file:///Z:/00. Proiecte 2025/AFIR FotoVoltaic 1/30.1 Cerere Rambursare 1/8. Certificate, conformitate, calitate, garanții- DE FACUT/Panouri Certificate/draft/ISO14001.pdf","Deschide sursa")</x:f>
        <x:v>HYPERLINK is not implemented. linkLocation=file:///Z:/00. Proiecte 2025/AFIR FotoVoltaic 1/30.1 Cerere Rambursare 1/8. Certificate, conformitate, calitate, garanții- DE FACUT/Panouri Certificate/draft/ISO14001.pdf, friendlyName=Deschide sursa</x:v>
      </x:c>
    </x:row>
    <x:row r="715" ht="50" customHeight="1">
      <x:c r="A715" s="8" t="str">
        <x:v>F1183</x:v>
      </x:c>
      <x:c r="B715" s="8" t="str">
        <x:v>ISO45001.pdf</x:v>
      </x:c>
      <x:c r="C715" s="8" t="str">
        <x:v>Rambursare tranșa 1</x:v>
      </x:c>
      <x:c r="D715" s="12" t="str"/>
      <x:c r="E715" s="11" t="str"/>
      <x:c r="F715" s="12" t="str"/>
      <x:c r="G715" s="11" t="str"/>
      <x:c r="H715" s="8" t="str"/>
      <x:c r="I715" s="8" t="str">
        <x:v>Versiune de lucru / arhivă</x:v>
      </x:c>
      <x:c r="J715" s="8" t="str"/>
      <x:c r="K715" s="8" t="str">
        <x:v>Text extras; numerele din referințe sunt în coloana separată</x:v>
      </x:c>
      <x:c r="L715" s="8" t="e">
        <x:f>HYPERLINK("file:///Z:/00. Proiecte 2025/AFIR FotoVoltaic 1/30.1 Cerere Rambursare 1/8. Certificate, conformitate, calitate, garanții- DE FACUT/Panouri Certificate/draft/ISO45001.pdf","Deschide sursa")</x:f>
        <x:v>HYPERLINK is not implemented. linkLocation=file:///Z:/00. Proiecte 2025/AFIR FotoVoltaic 1/30.1 Cerere Rambursare 1/8. Certificate, conformitate, calitate, garanții- DE FACUT/Panouri Certificate/draft/ISO45001.pdf, friendlyName=Deschide sursa</x:v>
      </x:c>
    </x:row>
    <x:row r="716" ht="50" customHeight="1">
      <x:c r="A716" s="8" t="str">
        <x:v>F1184</x:v>
      </x:c>
      <x:c r="B716" s="8" t="str">
        <x:v>ISO9001.pdf</x:v>
      </x:c>
      <x:c r="C716" s="8" t="str">
        <x:v>Rambursare tranșa 1</x:v>
      </x:c>
      <x:c r="D716" s="12" t="str"/>
      <x:c r="E716" s="11" t="str"/>
      <x:c r="F716" s="12" t="str"/>
      <x:c r="G716" s="11" t="str"/>
      <x:c r="H716" s="8" t="str"/>
      <x:c r="I716" s="8" t="str">
        <x:v>Versiune de lucru / arhivă</x:v>
      </x:c>
      <x:c r="J716" s="8" t="str"/>
      <x:c r="K716" s="8" t="str">
        <x:v>Text extras; numerele din referințe sunt în coloana separată</x:v>
      </x:c>
      <x:c r="L716" s="8" t="e">
        <x:f>HYPERLINK("file:///Z:/00. Proiecte 2025/AFIR FotoVoltaic 1/30.1 Cerere Rambursare 1/8. Certificate, conformitate, calitate, garanții- DE FACUT/Panouri Certificate/draft/ISO9001.pdf","Deschide sursa")</x:f>
        <x:v>HYPERLINK is not implemented. linkLocation=file:///Z:/00. Proiecte 2025/AFIR FotoVoltaic 1/30.1 Cerere Rambursare 1/8. Certificate, conformitate, calitate, garanții- DE FACUT/Panouri Certificate/draft/ISO9001.pdf, friendlyName=Deschide sursa</x:v>
      </x:c>
    </x:row>
    <x:row r="717" ht="50" customHeight="1">
      <x:c r="A717" s="8" t="str">
        <x:v>F1185</x:v>
      </x:c>
      <x:c r="B717" s="8" t="str">
        <x:v>Member-of-CBCA.pdf</x:v>
      </x:c>
      <x:c r="C717" s="8" t="str">
        <x:v>Rambursare tranșa 1</x:v>
      </x:c>
      <x:c r="D717" s="12" t="str"/>
      <x:c r="E717" s="11" t="str"/>
      <x:c r="F717" s="12" t="str"/>
      <x:c r="G717" s="11" t="str"/>
      <x:c r="H717" s="8" t="str"/>
      <x:c r="I717" s="8" t="str">
        <x:v>Versiune de lucru / arhivă</x:v>
      </x:c>
      <x:c r="J717" s="8" t="str"/>
      <x:c r="K717" s="8" t="str">
        <x:v>Text extras; numerele din referințe sunt în coloana separată</x:v>
      </x:c>
      <x:c r="L717" s="8" t="e">
        <x:f>HYPERLINK("file:///Z:/00. Proiecte 2025/AFIR FotoVoltaic 1/30.1 Cerere Rambursare 1/8. Certificate, conformitate, calitate, garanții- DE FACUT/Panouri Certificate/draft/Member-of-CBCA.pdf","Deschide sursa")</x:f>
        <x:v>HYPERLINK is not implemented. linkLocation=file:///Z:/00. Proiecte 2025/AFIR FotoVoltaic 1/30.1 Cerere Rambursare 1/8. Certificate, conformitate, calitate, garanții- DE FACUT/Panouri Certificate/draft/Member-of-CBCA.pdf, friendlyName=Deschide sursa</x:v>
      </x:c>
    </x:row>
    <x:row r="718" ht="50" customHeight="1">
      <x:c r="A718" s="8" t="str">
        <x:v>F1186</x:v>
      </x:c>
      <x:c r="B718" s="8" t="str">
        <x:v>Participant-of-UNGC.pdf</x:v>
      </x:c>
      <x:c r="C718" s="8" t="str">
        <x:v>Rambursare tranșa 1</x:v>
      </x:c>
      <x:c r="D718" s="12" t="str"/>
      <x:c r="E718" s="11" t="str"/>
      <x:c r="F718" s="12" t="str"/>
      <x:c r="G718" s="11" t="str"/>
      <x:c r="H718" s="8" t="str"/>
      <x:c r="I718" s="8" t="str">
        <x:v>Versiune de lucru / arhivă</x:v>
      </x:c>
      <x:c r="J718" s="8" t="str"/>
      <x:c r="K718" s="8" t="str">
        <x:v>Text extras; numerele din referințe sunt în coloana separată</x:v>
      </x:c>
      <x:c r="L718" s="8" t="e">
        <x:f>HYPERLINK("file:///Z:/00. Proiecte 2025/AFIR FotoVoltaic 1/30.1 Cerere Rambursare 1/8. Certificate, conformitate, calitate, garanții- DE FACUT/Panouri Certificate/draft/Participant-of-UNGC.pdf","Deschide sursa")</x:f>
        <x:v>HYPERLINK is not implemented. linkLocation=file:///Z:/00. Proiecte 2025/AFIR FotoVoltaic 1/30.1 Cerere Rambursare 1/8. Certificate, conformitate, calitate, garanții- DE FACUT/Panouri Certificate/draft/Participant-of-UNGC.pdf, friendlyName=Deschide sursa</x:v>
      </x:c>
    </x:row>
    <x:row r="719" ht="50" customHeight="1">
      <x:c r="A719" s="8" t="str">
        <x:v>F1187</x:v>
      </x:c>
      <x:c r="B719" s="8" t="str">
        <x:v>Quality Certificate_Suntech STP450S-H48-Nkh+_2222 pcs_DRAFT.docx</x:v>
      </x:c>
      <x:c r="C719" s="8" t="str">
        <x:v>Rambursare tranșa 1</x:v>
      </x:c>
      <x:c r="D719" s="12" t="str"/>
      <x:c r="E719" s="11" t="str"/>
      <x:c r="F719" s="12" t="str"/>
      <x:c r="G719" s="11" t="str"/>
      <x:c r="H719" s="8" t="str"/>
      <x:c r="I719" s="8" t="str">
        <x:v>Versiune de lucru / arhivă</x:v>
      </x:c>
      <x:c r="J719" s="8" t="str"/>
      <x:c r="K719" s="8" t="str">
        <x:v>Text extras; numerele din referințe sunt în coloana separată</x:v>
      </x:c>
      <x:c r="L719" s="8" t="e">
        <x:f>HYPERLINK("file:///Z:/00. Proiecte 2025/AFIR FotoVoltaic 1/30.1 Cerere Rambursare 1/8. Certificate, conformitate, calitate, garanții- DE FACUT/Panouri Certificate/draft/Quality Certificate_Suntech STP450S-H48-Nkh+_2222 pcs_DRAFT.docx","Deschide sursa")</x:f>
        <x:v>HYPERLINK is not implemented. linkLocation=file:///Z:/00. Proiecte 2025/AFIR FotoVoltaic 1/30.1 Cerere Rambursare 1/8. Certificate, conformitate, calitate, garanții- DE FACUT/Panouri Certificate/draft/Quality Certificate_Suntech STP450S-H48-Nkh+_2222 pcs_DRAFT.docx, friendlyName=Deschide sursa</x:v>
      </x:c>
    </x:row>
    <x:row r="720" ht="50" customHeight="1">
      <x:c r="A720" s="8" t="str">
        <x:v>F1188</x:v>
      </x:c>
      <x:c r="B720" s="8" t="str">
        <x:v>Quality Certificate_Suntech STP450S-H48-Nkh+_2222 pcs_DRAFT.pdf</x:v>
      </x:c>
      <x:c r="C720" s="8" t="str">
        <x:v>Rambursare tranșa 1</x:v>
      </x:c>
      <x:c r="D720" s="12" t="str"/>
      <x:c r="E720" s="11" t="str"/>
      <x:c r="F720" s="12" t="str"/>
      <x:c r="G720" s="11" t="str"/>
      <x:c r="H720" s="8" t="str"/>
      <x:c r="I720" s="8" t="str">
        <x:v>Versiune de lucru / arhivă</x:v>
      </x:c>
      <x:c r="J720" s="8" t="str"/>
      <x:c r="K720" s="8" t="str">
        <x:v>Text extras; numerele din referințe sunt în coloana separată</x:v>
      </x:c>
      <x:c r="L720" s="8" t="e">
        <x:f>HYPERLINK("file:///Z:/00. Proiecte 2025/AFIR FotoVoltaic 1/30.1 Cerere Rambursare 1/8. Certificate, conformitate, calitate, garanții- DE FACUT/Panouri Certificate/draft/Quality Certificate_Suntech STP450S-H48-Nkh+_2222 pcs_DRAFT.pdf","Deschide sursa")</x:f>
        <x:v>HYPERLINK is not implemented. linkLocation=file:///Z:/00. Proiecte 2025/AFIR FotoVoltaic 1/30.1 Cerere Rambursare 1/8. Certificate, conformitate, calitate, garanții- DE FACUT/Panouri Certificate/draft/Quality Certificate_Suntech STP450S-H48-Nkh+_2222 pcs_DRAFT.pdf, friendlyName=Deschide sursa</x:v>
      </x:c>
    </x:row>
    <x:row r="721" ht="50" customHeight="1">
      <x:c r="A721" s="8" t="str">
        <x:v>F1189</x:v>
      </x:c>
      <x:c r="B721" s="8" t="str">
        <x:v>SA8000.pdf</x:v>
      </x:c>
      <x:c r="C721" s="8" t="str">
        <x:v>Rambursare tranșa 1</x:v>
      </x:c>
      <x:c r="D721" s="12" t="str"/>
      <x:c r="E721" s="11" t="str"/>
      <x:c r="F721" s="12" t="str"/>
      <x:c r="G721" s="11" t="str"/>
      <x:c r="H721" s="8" t="str"/>
      <x:c r="I721" s="8" t="str">
        <x:v>Versiune de lucru / arhivă</x:v>
      </x:c>
      <x:c r="J721" s="8" t="str">
        <x:v>nren15 copyr动 t口otecled and any unauthonzed alteration. forgemy or fatof,刁bon of the content or</x:v>
      </x:c>
      <x:c r="K721" s="8" t="str">
        <x:v>Text extras; numerele din referințe sunt în coloana separată</x:v>
      </x:c>
      <x:c r="L721" s="8" t="e">
        <x:f>HYPERLINK("file:///Z:/00. Proiecte 2025/AFIR FotoVoltaic 1/30.1 Cerere Rambursare 1/8. Certificate, conformitate, calitate, garanții- DE FACUT/Panouri Certificate/draft/SA8000.pdf","Deschide sursa")</x:f>
        <x:v>HYPERLINK is not implemented. linkLocation=file:///Z:/00. Proiecte 2025/AFIR FotoVoltaic 1/30.1 Cerere Rambursare 1/8. Certificate, conformitate, calitate, garanții- DE FACUT/Panouri Certificate/draft/SA8000.pdf, friendlyName=Deschide sursa</x:v>
      </x:c>
    </x:row>
    <x:row r="722" ht="134" customHeight="1">
      <x:c r="A722" s="8" t="str">
        <x:v>F1202</x:v>
      </x:c>
      <x:c r="B722" s="8" t="str">
        <x:v>Documentar_fotografic_CESIRO_Transa1_REVIZUIT.docx</x:v>
      </x:c>
      <x:c r="C722" s="8" t="str">
        <x:v>Rambursare tranșa 1</x:v>
      </x:c>
      <x:c r="D722" s="12" t="str"/>
      <x:c r="E722" s="11" t="str"/>
      <x:c r="F722" s="12" t="str"/>
      <x:c r="G722" s="11" t="str"/>
      <x:c r="H722" s="8" t="str"/>
      <x:c r="I722" s="8" t="str">
        <x:v>Document local; transmiterea individuală neconfirmată</x:v>
      </x:c>
      <x:c r="J722" s="8" t="str">
        <x:v>nr. CFMSES011011372801030
Nr.1
Nr.2
nr. 96, jud. Mureș, și corespund echipamentelor recepționate și lucrărilor efectiv executate, care fac obiectul Cererii de plată — Tranșa 1.
Nr. reg. com. | 45050734 / J01/1328/2021
nr. 96, jud. Mureș — Hala de Producție C1
nr. CFMSES011011372801030 / 30.12.2024 (CRFIR 7 Centru — Alba Iulia)
nr. 275/01.02.2024</x:v>
      </x:c>
      <x:c r="K722" s="8" t="str">
        <x:v>Text extras; numerele din referințe sunt în coloana separată</x:v>
      </x:c>
      <x:c r="L722" s="8" t="e">
        <x:f>HYPERLINK("file:///Z:/00. Proiecte 2025/AFIR FotoVoltaic 1/30.1 Cerere Rambursare 1/9-10. Fotografii relevante ale investiției/Panou Vizibilitate/Documentar_fotografic_CESIRO_Transa1_REVIZUIT.docx","Deschide sursa")</x:f>
        <x:v>HYPERLINK is not implemented. linkLocation=file:///Z:/00. Proiecte 2025/AFIR FotoVoltaic 1/30.1 Cerere Rambursare 1/9-10. Fotografii relevante ale investiției/Panou Vizibilitate/Documentar_fotografic_CESIRO_Transa1_REVIZUIT.docx, friendlyName=Deschide sursa</x:v>
      </x:c>
    </x:row>
    <x:row r="723" ht="148" customHeight="1">
      <x:c r="A723" s="8" t="str">
        <x:v>F1203</x:v>
      </x:c>
      <x:c r="B723" s="8" t="str">
        <x:v>Documentar_fotografic_CESIRO_Transa1_REVIZUIT.pdf</x:v>
      </x:c>
      <x:c r="C723" s="8" t="str">
        <x:v>Rambursare tranșa 1</x:v>
      </x:c>
      <x:c r="D723" s="12" t="str"/>
      <x:c r="E723" s="11" t="str"/>
      <x:c r="F723" s="12" t="str"/>
      <x:c r="G723" s="11" t="str"/>
      <x:c r="H723" s="8" t="str"/>
      <x:c r="I723" s="8" t="str">
        <x:v>Document local; transmiterea individuală neconfirmată</x:v>
      </x:c>
      <x:c r="J723" s="8" t="str">
        <x:v>nr. 5, jud. Alba
nr. 96, jud. Mureș
nr. CFMSES011011372801030
Nr. reg. com. 45050734 / J01/1328/2021
nr. 96, jud. Mureș — Hala de Producție
nr. CFMSES011011372801030 / 30.12.2024 (CRFIR 7 Centru — Alba Iulia)
nr. 275/01.02.2024
Nr.1
Nr.2
nr. 96,</x:v>
      </x:c>
      <x:c r="K723" s="8" t="str">
        <x:v>Text extras; numerele din referințe sunt în coloana separată</x:v>
      </x:c>
      <x:c r="L723" s="8" t="e">
        <x:f>HYPERLINK("file:///Z:/00. Proiecte 2025/AFIR FotoVoltaic 1/30.1 Cerere Rambursare 1/9-10. Fotografii relevante ale investiției/Panou Vizibilitate/Documentar_fotografic_CESIRO_Transa1_REVIZUIT.pdf","Deschide sursa")</x:f>
        <x:v>HYPERLINK is not implemented. linkLocation=file:///Z:/00. Proiecte 2025/AFIR FotoVoltaic 1/30.1 Cerere Rambursare 1/9-10. Fotografii relevante ale investiției/Panou Vizibilitate/Documentar_fotografic_CESIRO_Transa1_REVIZUIT.pdf, friendlyName=Deschide sursa</x:v>
      </x:c>
    </x:row>
    <x:row r="724" ht="50" customHeight="1">
      <x:c r="A724" s="8" t="str">
        <x:v>F1332</x:v>
      </x:c>
      <x:c r="B724" s="8" t="str">
        <x:v>Comunicat_inceput_CESIRO_PRODUCTION_FM_AFIR_pachet_site.zip</x:v>
      </x:c>
      <x:c r="C724" s="8" t="str">
        <x:v>Rambursare tranșa 1</x:v>
      </x:c>
      <x:c r="D724" s="12" t="str"/>
      <x:c r="E724" s="11" t="str"/>
      <x:c r="F724" s="12" t="str"/>
      <x:c r="G724" s="11" t="str"/>
      <x:c r="H724" s="8" t="str"/>
      <x:c r="I724" s="8" t="str">
        <x:v>Versiune de lucru / arhivă</x:v>
      </x:c>
      <x:c r="J724" s="8" t="str"/>
      <x:c r="K724" s="8" t="str">
        <x:v>Necesită citire vizuală / OCR / formular XFA</x:v>
      </x:c>
      <x:c r="L724" s="8" t="e">
        <x:f>HYPERLINK("file:///Z:/00. Proiecte 2025/AFIR FotoVoltaic 1/30.1 Cerere Rambursare 1/9-10. Fotografii relevante ale investiției/11. Vizibilitate/Arhiva/Comunicat_inceput_CESIRO_PRODUCTION_FM_AFIR_pachet_site.zip","Deschide sursa")</x:f>
        <x:v>HYPERLINK is not implemented. linkLocation=file:///Z:/00. Proiecte 2025/AFIR FotoVoltaic 1/30.1 Cerere Rambursare 1/9-10. Fotografii relevante ale investiției/11. Vizibilitate/Arhiva/Comunicat_inceput_CESIRO_PRODUCTION_FM_AFIR_pachet_site.zip, friendlyName=Deschide sursa</x:v>
      </x:c>
    </x:row>
    <x:row r="725" ht="120" customHeight="1">
      <x:c r="A725" s="8" t="str">
        <x:v>F1346</x:v>
      </x:c>
      <x:c r="B725" s="8" t="str">
        <x:v>Certificat de Calitate si Conformitate-traduse.pdf</x:v>
      </x:c>
      <x:c r="C725" s="8" t="str">
        <x:v>Rambursare tranșa 1</x:v>
      </x:c>
      <x:c r="D725" s="12" t="str"/>
      <x:c r="E725" s="11" t="str"/>
      <x:c r="F725" s="12" t="str"/>
      <x:c r="G725" s="11" t="str"/>
      <x:c r="H725" s="8" t="str"/>
      <x:c r="I725" s="8" t="str">
        <x:v>Document local; transmiterea individuală neconfirmată</x:v>
      </x:c>
      <x:c r="J725" s="8" t="str">
        <x:v>nren15 copyr动 t口otecled and any unauthonzed alteration. forgemy or fatof,刁bon of the content or
Nr. N8A 041829 3912 Rev. 02
nr. 1008 în UE
nr. NAH-6-0035/2024/K.
nr. 6138142.50
nr.: 6138142.01COC
nr. 6138142.51
nr.: 6138142.02COC</x:v>
      </x:c>
      <x:c r="K725" s="8" t="str">
        <x:v>Text extras; numerele din referințe sunt în coloana separată</x:v>
      </x:c>
      <x:c r="L725" s="8" t="e">
        <x:f>HYPERLINK("file:///Z:/00. Proiecte 2025/AFIR FotoVoltaic 1/30.1 Cerere Rambursare 1/Clarificare nr.1/3. Certificat de calitate si garantii traduse/Certificat de Calitate si Conformitate-traduse.pdf","Deschide sursa")</x:f>
        <x:v>HYPERLINK is not implemented. linkLocation=file:///Z:/00. Proiecte 2025/AFIR FotoVoltaic 1/30.1 Cerere Rambursare 1/Clarificare nr.1/3. Certificat de calitate si garantii traduse/Certificat de Calitate si Conformitate-traduse.pdf, friendlyName=Deschide sursa</x:v>
      </x:c>
    </x:row>
    <x:row r="726" ht="50" customHeight="1">
      <x:c r="A726" s="8" t="str">
        <x:v>F1347</x:v>
      </x:c>
      <x:c r="B726" s="8" t="str">
        <x:v>Decizie_121_08092026.pdf</x:v>
      </x:c>
      <x:c r="C726" s="8" t="str">
        <x:v>Rambursare tranșa 1</x:v>
      </x:c>
      <x:c r="D726" s="12" t="str"/>
      <x:c r="E726" s="11" t="str"/>
      <x:c r="F726" s="12" t="str"/>
      <x:c r="G726" s="11" t="str"/>
      <x:c r="H726" s="8" t="str"/>
      <x:c r="I726" s="8" t="str">
        <x:v>Document local; transmiterea individuală neconfirmată</x:v>
      </x:c>
      <x:c r="J726" s="8" t="str">
        <x:v>nr. 121 din 08.09.2026
nr. CFMSES011011372801030/30.12.2024, pentru proiectul „Sistem fotovoltaic de
nr. 96, jud. Mureș,</x:v>
      </x:c>
      <x:c r="K726" s="8" t="str">
        <x:v>Text extras; numerele din referințe sunt în coloana separată</x:v>
      </x:c>
      <x:c r="L726" s="8" t="e">
        <x:f>HYPERLINK("file:///Z:/00. Proiecte 2025/AFIR FotoVoltaic 1/30.1 Cerere Rambursare 1/Clarificare nr.1/3. Certificat de calitate si garantii traduse/Decizie_121_08092026.pdf","Deschide sursa")</x:f>
        <x:v>HYPERLINK is not implemented. linkLocation=file:///Z:/00. Proiecte 2025/AFIR FotoVoltaic 1/30.1 Cerere Rambursare 1/Clarificare nr.1/3. Certificat de calitate si garantii traduse/Decizie_121_08092026.pdf, friendlyName=Deschide sursa</x:v>
      </x:c>
    </x:row>
    <x:row r="727" ht="134" customHeight="1">
      <x:c r="A727" s="8" t="str">
        <x:v>F1348</x:v>
      </x:c>
      <x:c r="B727" s="8" t="str">
        <x:v>1. Documentar_fotografic_CESIRO_Transa1_REVIZUITv1.docx</x:v>
      </x:c>
      <x:c r="C727" s="8" t="str">
        <x:v>Rambursare tranșa 1</x:v>
      </x:c>
      <x:c r="D727" s="12" t="str"/>
      <x:c r="E727" s="11" t="str"/>
      <x:c r="F727" s="12" t="str"/>
      <x:c r="G727" s="11" t="str"/>
      <x:c r="H727" s="8" t="str"/>
      <x:c r="I727" s="8" t="str">
        <x:v>Versiune de lucru / arhivă</x:v>
      </x:c>
      <x:c r="J727" s="8" t="str">
        <x:v>nr. CFMSES011011372801030
Nr.1
Nr.2
nr. 96, jud. Mureș, și corespund echipamentelor recepționate și lucrărilor efectiv executate, care fac obiectul Cererii de plată — Tranșa 1.
Nr. reg. com. | 45050734 / J01/1328/2021
nr. 96, jud. Mureș — Hala de Producție
nr. CFMSES011011372801030 / 30.12.2024 (CRFIR 7 Centru — Alba Iulia)
nr. 275/01.02.2024</x:v>
      </x:c>
      <x:c r="K727" s="8" t="str">
        <x:v>Text extras; numerele din referințe sunt în coloana separată</x:v>
      </x:c>
      <x:c r="L727" s="8" t="e">
        <x:f>HYPERLINK("file:///Z:/00. Proiecte 2025/AFIR FotoVoltaic 1/30.1 Cerere Rambursare 1/Clarificare nr.1/draft/1. Documentar_fotografic_CESIRO_Transa1_REVIZUITv1.docx","Deschide sursa")</x:f>
        <x:v>HYPERLINK is not implemented. linkLocation=file:///Z:/00. Proiecte 2025/AFIR FotoVoltaic 1/30.1 Cerere Rambursare 1/Clarificare nr.1/draft/1. Documentar_fotografic_CESIRO_Transa1_REVIZUITv1.docx, friendlyName=Deschide sursa</x:v>
      </x:c>
    </x:row>
    <x:row r="728" ht="106" customHeight="1">
      <x:c r="A728" s="8" t="str">
        <x:v>F1350</x:v>
      </x:c>
      <x:c r="B728" s="8" t="str">
        <x:v>3.1 Certificat de Calitate si Conformitate-traduse_.pdf</x:v>
      </x:c>
      <x:c r="C728" s="8" t="str">
        <x:v>Rambursare tranșa 1</x:v>
      </x:c>
      <x:c r="D728" s="12" t="str"/>
      <x:c r="E728" s="11" t="str"/>
      <x:c r="F728" s="12" t="str"/>
      <x:c r="G728" s="11" t="str"/>
      <x:c r="H728" s="8" t="str"/>
      <x:c r="I728" s="8" t="str">
        <x:v>Versiune de lucru / arhivă</x:v>
      </x:c>
      <x:c r="J728" s="8" t="str">
        <x:v>Nr. N8A 041829 3912 Rev. 02
nr. 1008 în UE
nr. NAH-6-0035/2024/K.
nr. 6138142.50
nr.: 6138142.01COC
nr. 6138142.51
nr.: 6138142.02COC</x:v>
      </x:c>
      <x:c r="K728" s="8" t="str">
        <x:v>Text extras; numerele din referințe sunt în coloana separată</x:v>
      </x:c>
      <x:c r="L728" s="8" t="e">
        <x:f>HYPERLINK("file:///Z:/00. Proiecte 2025/AFIR FotoVoltaic 1/30.1 Cerere Rambursare 1/Clarificare nr.1/draft/3.1 Certificat de Calitate si Conformitate-traduse_.pdf","Deschide sursa")</x:f>
        <x:v>HYPERLINK is not implemented. linkLocation=file:///Z:/00. Proiecte 2025/AFIR FotoVoltaic 1/30.1 Cerere Rambursare 1/Clarificare nr.1/draft/3.1 Certificat de Calitate si Conformitate-traduse_.pdf, friendlyName=Deschide sursa</x:v>
      </x:c>
    </x:row>
    <x:row r="729" ht="50" customHeight="1">
      <x:c r="A729" s="8" t="str">
        <x:v>F1351</x:v>
      </x:c>
      <x:c r="B729" s="8" t="str">
        <x:v>4, Nota_eroare_materiala_pct4_Skybase.docx</x:v>
      </x:c>
      <x:c r="C729" s="8" t="str">
        <x:v>Rambursare tranșa 1</x:v>
      </x:c>
      <x:c r="D729" s="12" t="str">
        <x:v>122</x:v>
      </x:c>
      <x:c r="E729" s="11" t="n">
        <x:v>46273</x:v>
      </x:c>
      <x:c r="F729" s="12" t="str"/>
      <x:c r="G729" s="11" t="str"/>
      <x:c r="H729" s="8" t="str"/>
      <x:c r="I729" s="8" t="str">
        <x:v>Versiune de lucru / arhivă</x:v>
      </x:c>
      <x:c r="J729" s="8" t="str">
        <x:v>nr. 5, jud. Alba
nr. 96, jud. Mureș
Nr. 122 / 08.09.2026</x:v>
      </x:c>
      <x:c r="K729" s="8" t="str">
        <x:v>Text extras; numerele din referințe sunt în coloana separată</x:v>
      </x:c>
      <x:c r="L729" s="8" t="e">
        <x:f>HYPERLINK("file:///Z:/00. Proiecte 2025/AFIR FotoVoltaic 1/30.1 Cerere Rambursare 1/Clarificare nr.1/draft/4, Nota_eroare_materiala_pct4_Skybase.docx","Deschide sursa")</x:f>
        <x:v>HYPERLINK is not implemented. linkLocation=file:///Z:/00. Proiecte 2025/AFIR FotoVoltaic 1/30.1 Cerere Rambursare 1/Clarificare nr.1/draft/4, Nota_eroare_materiala_pct4_Skybase.docx, friendlyName=Deschide sursa</x:v>
      </x:c>
    </x:row>
    <x:row r="730" ht="36" customHeight="1">
      <x:c r="A730" s="8" t="str">
        <x:v>F1352</x:v>
      </x:c>
      <x:c r="B730" s="8" t="str">
        <x:v>AP_raspuns_informatii_suplimentare (2).pdf</x:v>
      </x:c>
      <x:c r="C730" s="8" t="str">
        <x:v>Rambursare tranșa 1</x:v>
      </x:c>
      <x:c r="D730" s="12" t="str"/>
      <x:c r="E730" s="11" t="str"/>
      <x:c r="F730" s="12" t="str"/>
      <x:c r="G730" s="11" t="str"/>
      <x:c r="H730" s="8" t="str"/>
      <x:c r="I730" s="8" t="str">
        <x:v>Versiune de lucru / arhivă</x:v>
      </x:c>
      <x:c r="J730" s="8" t="str"/>
      <x:c r="K730" s="8" t="str">
        <x:v>Necesită citire vizuală / OCR / formular XFA</x:v>
      </x:c>
      <x:c r="L730" s="8" t="e">
        <x:f>HYPERLINK("file:///Z:/00. Proiecte 2025/AFIR FotoVoltaic 1/30.1 Cerere Rambursare 1/Clarificare nr.1/draft/AP_raspuns_informatii_suplimentare (2).pdf","Deschide sursa")</x:f>
        <x:v>HYPERLINK is not implemented. linkLocation=file:///Z:/00. Proiecte 2025/AFIR FotoVoltaic 1/30.1 Cerere Rambursare 1/Clarificare nr.1/draft/AP_raspuns_informatii_suplimentare (2).pdf, friendlyName=Deschide sursa</x:v>
      </x:c>
    </x:row>
    <x:row r="731" ht="36" customHeight="1">
      <x:c r="A731" s="8" t="str">
        <x:v>F1353</x:v>
      </x:c>
      <x:c r="B731" s="8" t="str">
        <x:v>Attestation of Conformity.pdf</x:v>
      </x:c>
      <x:c r="C731" s="8" t="str">
        <x:v>Rambursare tranșa 1</x:v>
      </x:c>
      <x:c r="D731" s="12" t="str"/>
      <x:c r="E731" s="11" t="str"/>
      <x:c r="F731" s="12" t="str"/>
      <x:c r="G731" s="11" t="str"/>
      <x:c r="H731" s="8" t="str"/>
      <x:c r="I731" s="8" t="str">
        <x:v>Versiune de lucru / arhivă</x:v>
      </x:c>
      <x:c r="J731" s="8" t="str"/>
      <x:c r="K731" s="8" t="str">
        <x:v>Text extras; numerele din referințe sunt în coloana separată</x:v>
      </x:c>
      <x:c r="L731" s="8" t="e">
        <x:f>HYPERLINK("file:///Z:/00. Proiecte 2025/AFIR FotoVoltaic 1/30.1 Cerere Rambursare 1/Clarificare nr.1/draft/Attestation of Conformity.pdf","Deschide sursa")</x:f>
        <x:v>HYPERLINK is not implemented. linkLocation=file:///Z:/00. Proiecte 2025/AFIR FotoVoltaic 1/30.1 Cerere Rambursare 1/Clarificare nr.1/draft/Attestation of Conformity.pdf, friendlyName=Deschide sursa</x:v>
      </x:c>
    </x:row>
    <x:row r="732" ht="36" customHeight="1">
      <x:c r="A732" s="8" t="str">
        <x:v>F1354</x:v>
      </x:c>
      <x:c r="B732" s="8" t="str">
        <x:v>Certificate de Calitate Panouri_engleaza.pdf</x:v>
      </x:c>
      <x:c r="C732" s="8" t="str">
        <x:v>Rambursare tranșa 1</x:v>
      </x:c>
      <x:c r="D732" s="12" t="str"/>
      <x:c r="E732" s="11" t="str"/>
      <x:c r="F732" s="12" t="str"/>
      <x:c r="G732" s="11" t="str"/>
      <x:c r="H732" s="8" t="str"/>
      <x:c r="I732" s="8" t="str">
        <x:v>Versiune de lucru / arhivă</x:v>
      </x:c>
      <x:c r="J732" s="8" t="str"/>
      <x:c r="K732" s="8" t="str">
        <x:v>Text extras; numerele din referințe sunt în coloana separată</x:v>
      </x:c>
      <x:c r="L732" s="8" t="e">
        <x:f>HYPERLINK("file:///Z:/00. Proiecte 2025/AFIR FotoVoltaic 1/30.1 Cerere Rambursare 1/Clarificare nr.1/draft/Certificate de Calitate Panouri_engleaza.pdf","Deschide sursa")</x:f>
        <x:v>HYPERLINK is not implemented. linkLocation=file:///Z:/00. Proiecte 2025/AFIR FotoVoltaic 1/30.1 Cerere Rambursare 1/Clarificare nr.1/draft/Certificate de Calitate Panouri_engleaza.pdf, friendlyName=Deschide sursa</x:v>
      </x:c>
    </x:row>
    <x:row r="733" ht="36" customHeight="1">
      <x:c r="A733" s="8" t="str">
        <x:v>F1355</x:v>
      </x:c>
      <x:c r="B733" s="8" t="str">
        <x:v>Certificate No. PV 50721072 - Certipedia.pdf</x:v>
      </x:c>
      <x:c r="C733" s="8" t="str">
        <x:v>Rambursare tranșa 1</x:v>
      </x:c>
      <x:c r="D733" s="12" t="str"/>
      <x:c r="E733" s="11" t="str"/>
      <x:c r="F733" s="12" t="str"/>
      <x:c r="G733" s="11" t="str"/>
      <x:c r="H733" s="8" t="str"/>
      <x:c r="I733" s="8" t="str">
        <x:v>Versiune de lucru / arhivă</x:v>
      </x:c>
      <x:c r="J733" s="8" t="str"/>
      <x:c r="K733" s="8" t="str">
        <x:v>Text extras; numerele din referințe sunt în coloana separată</x:v>
      </x:c>
      <x:c r="L733" s="8" t="e">
        <x:f>HYPERLINK("file:///Z:/00. Proiecte 2025/AFIR FotoVoltaic 1/30.1 Cerere Rambursare 1/Clarificare nr.1/draft/Certificate No. PV 50721072 - Certipedia.pdf","Deschide sursa")</x:f>
        <x:v>HYPERLINK is not implemented. linkLocation=file:///Z:/00. Proiecte 2025/AFIR FotoVoltaic 1/30.1 Cerere Rambursare 1/Clarificare nr.1/draft/Certificate No. PV 50721072 - Certipedia.pdf, friendlyName=Deschide sursa</x:v>
      </x:c>
    </x:row>
    <x:row r="734" ht="36" customHeight="1">
      <x:c r="A734" s="8" t="str">
        <x:v>F1356</x:v>
      </x:c>
      <x:c r="B734" s="8" t="str">
        <x:v>Certificate No. PV 50721072 - Certipedia_2.pdf</x:v>
      </x:c>
      <x:c r="C734" s="8" t="str">
        <x:v>Rambursare tranșa 1</x:v>
      </x:c>
      <x:c r="D734" s="12" t="str"/>
      <x:c r="E734" s="11" t="str"/>
      <x:c r="F734" s="12" t="str"/>
      <x:c r="G734" s="11" t="str"/>
      <x:c r="H734" s="8" t="str"/>
      <x:c r="I734" s="8" t="str">
        <x:v>Versiune de lucru / arhivă</x:v>
      </x:c>
      <x:c r="J734" s="8" t="str"/>
      <x:c r="K734" s="8" t="str">
        <x:v>Text extras; numerele din referințe sunt în coloana separată</x:v>
      </x:c>
      <x:c r="L734" s="8" t="e">
        <x:f>HYPERLINK("file:///Z:/00. Proiecte 2025/AFIR FotoVoltaic 1/30.1 Cerere Rambursare 1/Clarificare nr.1/draft/Certificate No. PV 50721072 - Certipedia_2.pdf","Deschide sursa")</x:f>
        <x:v>HYPERLINK is not implemented. linkLocation=file:///Z:/00. Proiecte 2025/AFIR FotoVoltaic 1/30.1 Cerere Rambursare 1/Clarificare nr.1/draft/Certificate No. PV 50721072 - Certipedia_2.pdf, friendlyName=Deschide sursa</x:v>
      </x:c>
    </x:row>
    <x:row r="735" ht="148" customHeight="1">
      <x:c r="A735" s="8" t="str">
        <x:v>F1357</x:v>
      </x:c>
      <x:c r="B735" s="8" t="str">
        <x:v>Decizie_121_08092026_rev3.pdf</x:v>
      </x:c>
      <x:c r="C735" s="8" t="str">
        <x:v>Rambursare tranșa 1</x:v>
      </x:c>
      <x:c r="D735" s="12" t="str"/>
      <x:c r="E735" s="11" t="str"/>
      <x:c r="F735" s="12" t="str"/>
      <x:c r="G735" s="11" t="str"/>
      <x:c r="H735" s="8" t="str"/>
      <x:c r="I735" s="8" t="str">
        <x:v>Versiune de lucru / arhivă</x:v>
      </x:c>
      <x:c r="J735" s="8" t="str">
        <x:v>nr. 5, jud. Alba
nr. 96, jud. Mureș
nr. 121 din 08.09.2026
nr. CFMSES011011372801030/30.12.2024, încheiat cu AFIR – CRFIR 7 Centru Alba Iulia, pentru
nr. 816/07.09.2026, emis în
nr. RFMSES011011372801030.1, prin care se solicită certificatele/declarațiile de calitate
nr. PV 50721072 (paginile 01/02 și 02/02) și marca de test ID 1111315507, pentru
nr. 816/07.09.2026.
nr. PV 50721072, titular Suntech Power Co., Ltd., figurează în baza de date cu
nr. RFMSES011011372801030.1, depus la AFIR — CRFIR 7</x:v>
      </x:c>
      <x:c r="K735" s="8" t="str">
        <x:v>Text extras; numerele din referințe sunt în coloana separată</x:v>
      </x:c>
      <x:c r="L735" s="8" t="e">
        <x:f>HYPERLINK("file:///Z:/00. Proiecte 2025/AFIR FotoVoltaic 1/30.1 Cerere Rambursare 1/Clarificare nr.1/draft/Decizie_121_08092026_rev3.pdf","Deschide sursa")</x:f>
        <x:v>HYPERLINK is not implemented. linkLocation=file:///Z:/00. Proiecte 2025/AFIR FotoVoltaic 1/30.1 Cerere Rambursare 1/Clarificare nr.1/draft/Decizie_121_08092026_rev3.pdf, friendlyName=Deschide sursa</x:v>
      </x:c>
    </x:row>
    <x:row r="736" ht="204" customHeight="1">
      <x:c r="A736" s="8" t="str">
        <x:v>F1358</x:v>
      </x:c>
      <x:c r="B736" s="8" t="str">
        <x:v>Decizie_121_09092026_rev.docx</x:v>
      </x:c>
      <x:c r="C736" s="8" t="str">
        <x:v>Rambursare tranșa 1</x:v>
      </x:c>
      <x:c r="D736" s="12" t="str"/>
      <x:c r="E736" s="11" t="str"/>
      <x:c r="F736" s="12" t="str"/>
      <x:c r="G736" s="11" t="str"/>
      <x:c r="H736" s="8" t="str"/>
      <x:c r="I736" s="8" t="str">
        <x:v>Versiune de lucru / arhivă</x:v>
      </x:c>
      <x:c r="J736" s="8" t="str">
        <x:v>nr. 5, jud. Alba
nr. 96, jud. Mureș
nr. 121 din 09.09.2026
nr. CFMSES011011372801030/30.12.2024, încheiat cu AFIR – CRFIR 7 Centru Alba Iulia, pentru proiectul „IMPLEMENTAREA SISTEMULUI FOTOVOLTAIC 1 MW PENTRU AUTOCONSUM P
nr. 96, jud. Mureș,
nr. 816/07.09.2026, emis în cadrul dosarului Cererii de plată nr. RFMSES011011372801030.1, prin care se solicită traducerea în limba română a documentelor redactat
nr. PV 50721072 (paginile 01/02 și 02/02) și marca de test ID 1111315507, pentru modulele fotovoltaice Suntech seria STPxxxS-H48-Nkh+ și STPxxxS-H48-Nth+, precum ș
nr. 50740694.
nr. 816/07.09.2026.
nr. RFMSES011011372801030.1, depus la AFIR — CRFIR 7 Centru Alba Iulia, și înlocuiește orice versiune anterioară a Deciziei nr. 121.</x:v>
      </x:c>
      <x:c r="K736" s="8" t="str">
        <x:v>Text extras; numerele din referințe sunt în coloana separată</x:v>
      </x:c>
      <x:c r="L736" s="8" t="e">
        <x:f>HYPERLINK("file:///Z:/00. Proiecte 2025/AFIR FotoVoltaic 1/30.1 Cerere Rambursare 1/Clarificare nr.1/draft/Decizie_121_09092026_rev.docx","Deschide sursa")</x:f>
        <x:v>HYPERLINK is not implemented. linkLocation=file:///Z:/00. Proiecte 2025/AFIR FotoVoltaic 1/30.1 Cerere Rambursare 1/Clarificare nr.1/draft/Decizie_121_09092026_rev.docx, friendlyName=Deschide sursa</x:v>
      </x:c>
    </x:row>
    <x:row r="737" ht="204" customHeight="1">
      <x:c r="A737" s="8" t="str">
        <x:v>F1359</x:v>
      </x:c>
      <x:c r="B737" s="8" t="str">
        <x:v>Decizie_121_09092026_rev2.docx</x:v>
      </x:c>
      <x:c r="C737" s="8" t="str">
        <x:v>Rambursare tranșa 1</x:v>
      </x:c>
      <x:c r="D737" s="12" t="str"/>
      <x:c r="E737" s="11" t="str"/>
      <x:c r="F737" s="12" t="str"/>
      <x:c r="G737" s="11" t="str"/>
      <x:c r="H737" s="8" t="str"/>
      <x:c r="I737" s="8" t="str">
        <x:v>Versiune de lucru / arhivă</x:v>
      </x:c>
      <x:c r="J737" s="8" t="str">
        <x:v>nr. 5, jud. Alba
nr. 96, jud. Mureș
nr. 121 din 09.09.2026
nr. CFMSES011011372801030/30.12.2024, încheiat cu AFIR – CRFIR 7 Centru Alba Iulia, pentru proiectul „IMPLEMENTAREA SISTEMULUI FOTOVOLTAIC 1 MW PENTRU AUTOCONSUM P
nr. 96, jud. Mureș,
nr. 816/07.09.2026, emis în cadrul dosarului Cererii de plată nr. RFMSES011011372801030.1, prin care se solicită certificatele/declarațiile de calitate și conformi
nr. PV 50721072 (paginile 01/02 și 02/02) și marca de test ID 1111315507, pentru modulele fotovoltaice Suntech seria STPxxxS-H48-Nkh+ și STPxxxS-H48-Nth+.
nr. 816/07.09.2026.
nr. PV 50721072, titular Suntech Power Co., Ltd., figurează în baza de date cu mențiunea „Valid Certificate” (certificat valabil), cu pagina 01/02 emisă la 03.04.2
nr. RFMSES011011372801030.1, depus la AFIR — CRFIR 7 Centru Alba Iulia</x:v>
      </x:c>
      <x:c r="K737" s="8" t="str">
        <x:v>Text extras; numerele din referințe sunt în coloana separată</x:v>
      </x:c>
      <x:c r="L737" s="8" t="e">
        <x:f>HYPERLINK("file:///Z:/00. Proiecte 2025/AFIR FotoVoltaic 1/30.1 Cerere Rambursare 1/Clarificare nr.1/draft/Decizie_121_09092026_rev2.docx","Deschide sursa")</x:f>
        <x:v>HYPERLINK is not implemented. linkLocation=file:///Z:/00. Proiecte 2025/AFIR FotoVoltaic 1/30.1 Cerere Rambursare 1/Clarificare nr.1/draft/Decizie_121_09092026_rev2.docx, friendlyName=Deschide sursa</x:v>
      </x:c>
    </x:row>
    <x:row r="738" ht="36" customHeight="1">
      <x:c r="A738" s="8" t="str">
        <x:v>F1360</x:v>
      </x:c>
      <x:c r="B738" s="8" t="str">
        <x:v>ID No. 1111315507_ Suntech Power Co.,Ltd - Certipedia.pdf</x:v>
      </x:c>
      <x:c r="C738" s="8" t="str">
        <x:v>Rambursare tranșa 1</x:v>
      </x:c>
      <x:c r="D738" s="12" t="str"/>
      <x:c r="E738" s="11" t="str"/>
      <x:c r="F738" s="12" t="str"/>
      <x:c r="G738" s="11" t="str"/>
      <x:c r="H738" s="8" t="str"/>
      <x:c r="I738" s="8" t="str">
        <x:v>Versiune de lucru / arhivă</x:v>
      </x:c>
      <x:c r="J738" s="8" t="str"/>
      <x:c r="K738" s="8" t="str">
        <x:v>Text extras; numerele din referințe sunt în coloana separată</x:v>
      </x:c>
      <x:c r="L738" s="8" t="e">
        <x:f>HYPERLINK("file:///Z:/00. Proiecte 2025/AFIR FotoVoltaic 1/30.1 Cerere Rambursare 1/Clarificare nr.1/draft/ID No. 1111315507_ Suntech Power Co.,Ltd - Certipedia.pdf","Deschide sursa")</x:f>
        <x:v>HYPERLINK is not implemented. linkLocation=file:///Z:/00. Proiecte 2025/AFIR FotoVoltaic 1/30.1 Cerere Rambursare 1/Clarificare nr.1/draft/ID No. 1111315507_ Suntech Power Co.,Ltd - Certipedia.pdf, friendlyName=Deschide sursa</x:v>
      </x:c>
    </x:row>
    <x:row r="739" ht="106" customHeight="1">
      <x:c r="A739" s="8" t="str">
        <x:v>F1361</x:v>
      </x:c>
      <x:c r="B739" s="8" t="str">
        <x:v>Fise_Tehnice_Huawei_RO.pdf</x:v>
      </x:c>
      <x:c r="C739" s="8" t="str">
        <x:v>Rambursare tranșa 1</x:v>
      </x:c>
      <x:c r="D739" s="12" t="str"/>
      <x:c r="E739" s="11" t="str"/>
      <x:c r="F739" s="12" t="str"/>
      <x:c r="G739" s="11" t="str"/>
      <x:c r="H739" s="8" t="str"/>
      <x:c r="I739" s="8" t="str">
        <x:v>Versiune de lucru / arhivă</x:v>
      </x:c>
      <x:c r="J739" s="8" t="str">
        <x:v>Nr. N8A 041829 3912 Rev. 02
nr. 1008 în UE
nr. NAH-6-0035/2024/K.
nr. 6138142.50
nr.: 6138142.01COC
nr. 6138142.51
nr.: 6138142.02COC</x:v>
      </x:c>
      <x:c r="K739" s="8" t="str">
        <x:v>Text extras; numerele din referințe sunt în coloana separată</x:v>
      </x:c>
      <x:c r="L739" s="8" t="e">
        <x:f>HYPERLINK("file:///Z:/00. Proiecte 2025/AFIR FotoVoltaic 1/30.1 Cerere Rambursare 1/Clarificare nr.1/3. Certificat de calitate si garantii traduse/draft/Fise_Tehnice_Huawei_RO.pdf","Deschide sursa")</x:f>
        <x:v>HYPERLINK is not implemented. linkLocation=file:///Z:/00. Proiecte 2025/AFIR FotoVoltaic 1/30.1 Cerere Rambursare 1/Clarificare nr.1/3. Certificat de calitate si garantii traduse/draft/Fise_Tehnice_Huawei_RO.pdf, friendlyName=Deschide sursa</x:v>
      </x:c>
    </x:row>
    <x:row r="740" ht="50" customHeight="1">
      <x:c r="A740" s="8" t="str">
        <x:v>F1362</x:v>
      </x:c>
      <x:c r="B740" s="8" t="str">
        <x:v>Fise_Tehnice_Panouri_RO (1).pdf</x:v>
      </x:c>
      <x:c r="C740" s="8" t="str">
        <x:v>Rambursare tranșa 1</x:v>
      </x:c>
      <x:c r="D740" s="12" t="str"/>
      <x:c r="E740" s="11" t="str"/>
      <x:c r="F740" s="12" t="str"/>
      <x:c r="G740" s="11" t="str"/>
      <x:c r="H740" s="8" t="str"/>
      <x:c r="I740" s="8" t="str">
        <x:v>Versiune de lucru / arhivă</x:v>
      </x:c>
      <x:c r="J740" s="8" t="str">
        <x:v>nren15 copyr动 t口otecled and any unauthonzed alteration. forgemy or fatof,刁bon of the content or</x:v>
      </x:c>
      <x:c r="K740" s="8" t="str">
        <x:v>Text extras; numerele din referințe sunt în coloana separată</x:v>
      </x:c>
      <x:c r="L740" s="8" t="e">
        <x:f>HYPERLINK("file:///Z:/00. Proiecte 2025/AFIR FotoVoltaic 1/30.1 Cerere Rambursare 1/Clarificare nr.1/3. Certificat de calitate si garantii traduse/draft/Fise_Tehnice_Panouri_RO (1).pdf","Deschide sursa")</x:f>
        <x:v>HYPERLINK is not implemented. linkLocation=file:///Z:/00. Proiecte 2025/AFIR FotoVoltaic 1/30.1 Cerere Rambursare 1/Clarificare nr.1/3. Certificat de calitate si garantii traduse/draft/Fise_Tehnice_Panouri_RO (1).pdf, friendlyName=Deschide sursa</x:v>
      </x:c>
    </x:row>
    <x:row r="741" ht="50" customHeight="1">
      <x:c r="A741" s="8" t="str">
        <x:v>F1363</x:v>
      </x:c>
      <x:c r="B741" s="8" t="str">
        <x:v>Fise_tehnice_si_garantie_Avasco_RO.pdf</x:v>
      </x:c>
      <x:c r="C741" s="8" t="str">
        <x:v>Rambursare tranșa 1</x:v>
      </x:c>
      <x:c r="D741" s="12" t="str"/>
      <x:c r="E741" s="11" t="str"/>
      <x:c r="F741" s="12" t="str"/>
      <x:c r="G741" s="11" t="str"/>
      <x:c r="H741" s="8" t="str"/>
      <x:c r="I741" s="8" t="str">
        <x:v>Versiune de lucru / arhivă</x:v>
      </x:c>
      <x:c r="J741" s="8" t="str"/>
      <x:c r="K741" s="8" t="str">
        <x:v>Text extras; numerele din referințe sunt în coloana separată</x:v>
      </x:c>
      <x:c r="L741" s="8" t="e">
        <x:f>HYPERLINK("file:///Z:/00. Proiecte 2025/AFIR FotoVoltaic 1/30.1 Cerere Rambursare 1/Clarificare nr.1/3. Certificat de calitate si garantii traduse/draft/Fise_tehnice_si_garantie_Avasco_RO.pdf","Deschide sursa")</x:f>
        <x:v>HYPERLINK is not implemented. linkLocation=file:///Z:/00. Proiecte 2025/AFIR FotoVoltaic 1/30.1 Cerere Rambursare 1/Clarificare nr.1/3. Certificat de calitate si garantii traduse/draft/Fise_tehnice_si_garantie_Avasco_RO.pdf, friendlyName=Deschide sursa</x:v>
      </x:c>
    </x:row>
    <x:row r="742" ht="386" customHeight="1">
      <x:c r="A742" s="8" t="str">
        <x:v>F1364</x:v>
      </x:c>
      <x:c r="B742" s="8" t="str">
        <x:v>Pachet_documente_predare_primire_montaj_AFIR_CESIRO_PRODUCTION.docx</x:v>
      </x:c>
      <x:c r="C742" s="8" t="str">
        <x:v>Rambursare tranșa 1</x:v>
      </x:c>
      <x:c r="D742" s="12" t="str"/>
      <x:c r="E742" s="11" t="str"/>
      <x:c r="F742" s="12" t="str"/>
      <x:c r="G742" s="11" t="str"/>
      <x:c r="H742" s="8" t="str"/>
      <x:c r="I742" s="8" t="str">
        <x:v>Versiune de lucru / arhivă</x:v>
      </x:c>
      <x:c r="J742" s="8" t="str">
        <x:v>nr. CFMSES011011372801030, având ca obiect realizarea sistemului fotovoltaic de 1 MW pentru autoconsum aferent fabricii de prelucrare a nucilor, alunelor, pistacio
nr. 275/01.02.2024, încheiat între SUNTREE SOLAR TECH S.R.L. și CESIRO PRODUCTION S.R.L., are ca obiect furnizarea, montarea/instalarea și punerea în funcțiune a e
nr. 10/1995 privind calitatea în construcții, cu modificările și completările ulterioare;
nr. 907/2016 privind etapele de elaborare și conținutul-cadru al documentațiilor tehnico-economice;
nr. 50/1991 privind autorizarea executării lucrărilor de construcții, în măsura aplicabilității;
nr. 319/2006 privind securitatea și sănătatea în muncă, H.G. nr. 1425/2006 și H.G. nr. 300/2006, după caz, pentru organizarea activităților de șantier.
nr. 275/01.02.2024, al Contractului de finanțare nr. CFMSES011011372801030 și al actualizării tehnice formalizate prin Formular C3.1, memoriu justificativ consolid
nr. CFMSES011011372801030 și anexele acestuia;
nr. 275/01.02.2024;
nr. CFMSES011011372801030. Prezentul proces-verbal are caracter de recepție parțială / constatare stadiu fizic și nu reprezintă punere în funcțiune, test de perfor
nr. 275/01.02.2024, declarăm pe propria răspundere profesională și contractuală următoarele:
nr. CFMSES011011372801030, la amplasamentul din Sighișoara, str. Mihai Viteazu nr. 96, jud. Mureș.
nr. CFMSES011011372801030, declarăm următoarele:
nr. CFMSES011011372801030 și Contractului de achiziție/furnizare nr. 275/01.02.2024. Furnizorul/executantul predă către CESIRO PRODUCTION S.R.L. echipamentele iden
nr. 5, jud. Alba
nr. 275/01.02.2024 - SUNTREE SOLAR TECH S.R.L. / CESIRO PRODUCTION S.R.L.
nr. [COMPLETATI] / [DATA] la Contractul de achiziție nr. 275/01.02.2024, conform Formular C3.1, memoriului justificativ consolidat și referatului proiectantului
nr. 14
nr. CFMSES011011372801030 | Obiect proiect, beneficiar, durată, valoare, obligații de implementare și anexare documente</x:v>
      </x:c>
      <x:c r="K742" s="8" t="str">
        <x:v>Text extras; numerele din referințe sunt în coloana separată</x:v>
      </x:c>
      <x:c r="L742" s="8" t="e">
        <x:f>HYPERLINK("file:///Z:/00. Proiecte 2025/AFIR FotoVoltaic 1/30.1 Cerere Rambursare 1/draft/2026.07.01 v1/Pachet_documente_predare_primire_montaj_AFIR_CESIRO_PRODUCTION.docx","Deschide sursa")</x:f>
        <x:v>HYPERLINK is not implemented. linkLocation=file:///Z:/00. Proiecte 2025/AFIR FotoVoltaic 1/30.1 Cerere Rambursare 1/draft/2026.07.01 v1/Pachet_documente_predare_primire_montaj_AFIR_CESIRO_PRODUCTION.docx, friendlyName=Deschide sursa</x:v>
      </x:c>
    </x:row>
    <x:row r="743" ht="302" customHeight="1">
      <x:c r="A743" s="8" t="str">
        <x:v>F1365</x:v>
      </x:c>
      <x:c r="B743" s="8" t="str">
        <x:v>Pachet_documente_predare_primire_montaj_AFIR_CESIRO_PRODUCTION.pdf</x:v>
      </x:c>
      <x:c r="C743" s="8" t="str">
        <x:v>Rambursare tranșa 1</x:v>
      </x:c>
      <x:c r="D743" s="12" t="str"/>
      <x:c r="E743" s="11" t="str"/>
      <x:c r="F743" s="12" t="str"/>
      <x:c r="G743" s="11" t="str"/>
      <x:c r="H743" s="8" t="str">
        <x:v>275 / 01.02.2024</x:v>
      </x:c>
      <x:c r="I743" s="8" t="str">
        <x:v>Versiune de lucru / arhivă</x:v>
      </x:c>
      <x:c r="J743" s="8" t="str">
        <x:v>nr. 5, jud.
nr. 275/01.02.2024 - SUNTREE SOLAR TECH S.R.L. / CESIRO
nr. 275/01.02.2024, conform Formular C3.1, memoriului justificativ
nr. 14
nr. CFMSES011011372801030, având ca obiect realizarea sistemului fotovoltaic de 1 MW
nr. 275/01.02.2024, încheiat între SUNTREE SOLAR TECH S.R.L. și CESIRO
nr. 10/1995 privind calitatea în construcții, cu modificările și completările ulterioare;
nr. 907/2016 privind etapele de elaborare și conținutul-cadru al documentațiilor tehnico-economice;
nr. 50/1991 privind autorizarea executării lucrărilor de construcții, în măsura aplicabilității;
nr. 319/2006 privind securitatea și sănătatea în muncă, H.G. nr. 1425/2006 și H.G. nr. 300/2006, după caz, pentru
nr. 275/01.02.2024, al Contractului de finanțare
nr. CFMSES011011372801030 și al actualizării tehnice formalizate prin Formular C3.1, memoriu justificativ consolidat,
nr. CFMSES011011372801030 și anexele acestuia;
nr. 275/01.02.2024;
nr. CFMSES011011372801030. Prezentul proces-verbal are caracter de recepție parțială /
nr. 275/01.02.2024, declarăm pe propria răspundere profesională și contractuală următoarele:
nr. CFMSES011011372801030, la amplasamentul din Sighișoara, str.
nr. 96, jud. Mureș.
nr. CFMSES011011372801030 și Contractului de
nr. 275/01.02.2024. Furnizorul/executantul predă către CESIRO PRODUCTION S.R.L.</x:v>
      </x:c>
      <x:c r="K743" s="8" t="str">
        <x:v>Text extras; numerele din referințe sunt în coloana separată</x:v>
      </x:c>
      <x:c r="L743" s="8" t="e">
        <x:f>HYPERLINK("file:///Z:/00. Proiecte 2025/AFIR FotoVoltaic 1/30.1 Cerere Rambursare 1/draft/2026.07.01 v1/Pachet_documente_predare_primire_montaj_AFIR_CESIRO_PRODUCTION.pdf","Deschide sursa")</x:f>
        <x:v>HYPERLINK is not implemented. linkLocation=file:///Z:/00. Proiecte 2025/AFIR FotoVoltaic 1/30.1 Cerere Rambursare 1/draft/2026.07.01 v1/Pachet_documente_predare_primire_montaj_AFIR_CESIRO_PRODUCTION.pdf, friendlyName=Deschide sursa</x:v>
      </x:c>
    </x:row>
    <x:row r="744" ht="36" customHeight="1">
      <x:c r="A744" s="8" t="str">
        <x:v>F1368</x:v>
      </x:c>
      <x:c r="B744" s="8" t="str">
        <x:v>Proces Verbald de predare Primire.pdf</x:v>
      </x:c>
      <x:c r="C744" s="8" t="str">
        <x:v>Rambursare tranșa 1</x:v>
      </x:c>
      <x:c r="D744" s="12" t="str"/>
      <x:c r="E744" s="11" t="str"/>
      <x:c r="F744" s="12" t="str"/>
      <x:c r="G744" s="11" t="str"/>
      <x:c r="H744" s="8" t="str"/>
      <x:c r="I744" s="8" t="str">
        <x:v>Versiune de lucru / arhivă</x:v>
      </x:c>
      <x:c r="J744" s="8" t="str"/>
      <x:c r="K744" s="8" t="str">
        <x:v>Text extras; numerele din referințe sunt în coloana separată</x:v>
      </x:c>
      <x:c r="L744" s="8" t="e">
        <x:f>HYPERLINK("file:///Z:/00. Proiecte 2025/AFIR FotoVoltaic 1/30.1 Cerere Rambursare 1/draft/PV_uri nicos/Proces Verbald de predare Primire.pdf","Deschide sursa")</x:f>
        <x:v>HYPERLINK is not implemented. linkLocation=file:///Z:/00. Proiecte 2025/AFIR FotoVoltaic 1/30.1 Cerere Rambursare 1/draft/PV_uri nicos/Proces Verbald de predare Primire.pdf, friendlyName=Deschide sursa</x:v>
      </x:c>
    </x:row>
    <x:row r="745" ht="148" customHeight="1">
      <x:c r="A745" s="8" t="str">
        <x:v>F1534</x:v>
      </x:c>
      <x:c r="B745" s="8" t="str">
        <x:v>15. Memoriu tehnic de evaluare a impactului asupra mediului semnat.pdf</x:v>
      </x:c>
      <x:c r="C745" s="8" t="str">
        <x:v>Depunere / eligibilitate</x:v>
      </x:c>
      <x:c r="D745" s="12" t="str"/>
      <x:c r="E745" s="11" t="str"/>
      <x:c r="F745" s="12" t="str"/>
      <x:c r="G745" s="11" t="str"/>
      <x:c r="H745" s="8" t="str"/>
      <x:c r="I745" s="8" t="str">
        <x:v>Pregătit pentru depunere; confirmare de verificat</x:v>
      </x:c>
      <x:c r="J745" s="8" t="str">
        <x:v>nr. 292/2018 )
NR. 57/2007 APROBATĂ CU LEGEA
NR. 49/2011 .......................................................................................................................................... 32
nregistrare. J01 /1328 /2021 · CUI. 45050734
nr. 58300 Sighișoara.
nr. 1 – Amplasarea în zonă a proiectului (sursa: Google Earth)
Nr. 2 Detaliu privind situația propusă (sursa: proiect tehnic)
nr.1 din HG nr.856 /
NR. 57/2007 APROBATĂ CU LEGEA NR. 49/2011</x:v>
      </x:c>
      <x:c r="K745" s="8" t="str">
        <x:v>Text extras; numerele din referințe sunt în coloana separată</x:v>
      </x:c>
      <x:c r="L745" s="8" t="e">
        <x:f>HYPERLINK("file:///Z:/00. Proiecte 2025/AFIR FotoVoltaic 1/5. De Depus/DE DEPUS FINAL/15. Memoriu tehnic de evaluare a impactului asupra mediului semnat.pdf","Deschide sursa")</x:f>
        <x:v>HYPERLINK is not implemented. linkLocation=file:///Z:/00. Proiecte 2025/AFIR FotoVoltaic 1/5. De Depus/DE DEPUS FINAL/15. Memoriu tehnic de evaluare a impactului asupra mediului semnat.pdf, friendlyName=Deschide sursa</x:v>
      </x:c>
    </x:row>
    <x:row r="746" ht="260" customHeight="1">
      <x:c r="A746" s="8" t="str">
        <x:v>F1535</x:v>
      </x:c>
      <x:c r="B746" s="8" t="str">
        <x:v>3. Certificat Constatator Cesiro Production semnat.pdf</x:v>
      </x:c>
      <x:c r="C746" s="8" t="str">
        <x:v>Depunere / eligibilitate</x:v>
      </x:c>
      <x:c r="D746" s="12" t="str"/>
      <x:c r="E746" s="11" t="str"/>
      <x:c r="F746" s="12" t="str"/>
      <x:c r="G746" s="11" t="str"/>
      <x:c r="H746" s="8" t="str">
        <x:v>201842 / 14.02.2024</x:v>
      </x:c>
      <x:c r="I746" s="8" t="str">
        <x:v>Pregătit pentru depunere; confirmare de verificat</x:v>
      </x:c>
      <x:c r="J746" s="8" t="str">
        <x:v>nrc.ro; E-mail: onrc@onrc.ro; Cod de identificare Fiscală: 14942091.
Nr.: 201842/14.02.2024
nregistrată sub nr. 201842 din 14.02.2024, Oficiul Naţional al Registrului Comerţului certifică informaţiile referitoare la
NRC.J1/1328/2021
nregistrare: 45050734
nregistrare: B4836397, emis pe data de 14.02.2024 si eliberat la data 15.02.2024
nr. 11067 din data 13.10.2021
nr. 1 din data 12.10.2021
nr.31/1990
nr. 2 din data 12.01.2021
nr. 3249 din 13.02.2024
nr. 45801 din 12.10.2021
nregistrare este prevăzută de lege, în cel mult 15 zile de la data actelor sau producerii faptelor supuse obligaţiei de înregistrare.
nregistrarea menţiunilor se poate face şi la cererea persoanelor interesate, în cazurile prevăzute de lege, în termen de cel mult 30 de zile de la data la
nr. 679/2016 privind</x:v>
      </x:c>
      <x:c r="K746" s="8" t="str">
        <x:v>Text extras; numerele din referințe sunt în coloana separată</x:v>
      </x:c>
      <x:c r="L746" s="8" t="e">
        <x:f>HYPERLINK("file:///Z:/00. Proiecte 2025/AFIR FotoVoltaic 1/5. De Depus/DE DEPUS FINAL/3. Certificat Constatator Cesiro Production semnat.pdf","Deschide sursa")</x:f>
        <x:v>HYPERLINK is not implemented. linkLocation=file:///Z:/00. Proiecte 2025/AFIR FotoVoltaic 1/5. De Depus/DE DEPUS FINAL/3. Certificat Constatator Cesiro Production semnat.pdf, friendlyName=Deschide sursa</x:v>
      </x:c>
    </x:row>
    <x:row r="747" ht="36" customHeight="1">
      <x:c r="A747" s="8" t="str">
        <x:v>F1537</x:v>
      </x:c>
      <x:c r="B747" s="8" t="str">
        <x:v>6. Analiza Cost Beneficiu semnat.pdf</x:v>
      </x:c>
      <x:c r="C747" s="8" t="str">
        <x:v>Depunere / eligibilitate</x:v>
      </x:c>
      <x:c r="D747" s="12" t="str"/>
      <x:c r="E747" s="11" t="str"/>
      <x:c r="F747" s="12" t="str"/>
      <x:c r="G747" s="11" t="str"/>
      <x:c r="H747" s="8" t="str"/>
      <x:c r="I747" s="8" t="str">
        <x:v>Pregătit pentru depunere; confirmare de verificat</x:v>
      </x:c>
      <x:c r="J747" s="8" t="str">
        <x:v>nr. 60/2022, cu modificările ulterioare, la art. 2
nr. 77/2014, cu modificările și completările ulterioare și la articolul 5</x:v>
      </x:c>
      <x:c r="K747" s="8" t="str">
        <x:v>Text extras; numerele din referințe sunt în coloana separată</x:v>
      </x:c>
      <x:c r="L747" s="8" t="e">
        <x:f>HYPERLINK("file:///Z:/00. Proiecte 2025/AFIR FotoVoltaic 1/5. De Depus/DE DEPUS FINAL/6. Analiza Cost Beneficiu semnat.pdf","Deschide sursa")</x:f>
        <x:v>HYPERLINK is not implemented. linkLocation=file:///Z:/00. Proiecte 2025/AFIR FotoVoltaic 1/5. De Depus/DE DEPUS FINAL/6. Analiza Cost Beneficiu semnat.pdf, friendlyName=Deschide sursa</x:v>
      </x:c>
    </x:row>
    <x:row r="748" ht="190" customHeight="1">
      <x:c r="A748" s="8" t="str">
        <x:v>F1538</x:v>
      </x:c>
      <x:c r="B748" s="8" t="str">
        <x:v>7. Plan de Afaceri semnat.pdf</x:v>
      </x:c>
      <x:c r="C748" s="8" t="str">
        <x:v>Depunere / eligibilitate</x:v>
      </x:c>
      <x:c r="D748" s="12" t="str"/>
      <x:c r="E748" s="11" t="str"/>
      <x:c r="F748" s="12" t="str"/>
      <x:c r="G748" s="11" t="str"/>
      <x:c r="H748" s="8" t="str"/>
      <x:c r="I748" s="8" t="str">
        <x:v>Pregătit pentru depunere; confirmare de verificat</x:v>
      </x:c>
      <x:c r="J748" s="8" t="str">
        <x:v>nregistrare. J01 /1328 /2021 · CUI. 45050734
Nr. 5 Cod Poștal 510040
nregistrare : J01 /1328 /2021
Nr. 58300 Sighisoara
Nr. 96, Jud. Mures
Nr. Niveluri – 2, Suprafata construita 9758 mp
nr. 123/2012 a energiei electrice și
nr. 1.076/2021;
nr. 401/2009 și (UE) 2018/1999 ("Legea europeană a climei"), referitor la
NRE pentru anul 2021/2022, după caz.
NRE pentru fiecare MWh din surse fosile este 0,6119 tone CO2/MWh.
nr. 60/2022, cu modificările ulterioare, la art. 2
nr. 77/2014, cu modificările și completările ulterioare și la articolul 5</x:v>
      </x:c>
      <x:c r="K748" s="8" t="str">
        <x:v>Text extras; numerele din referințe sunt în coloana separată</x:v>
      </x:c>
      <x:c r="L748" s="8" t="e">
        <x:f>HYPERLINK("file:///Z:/00. Proiecte 2025/AFIR FotoVoltaic 1/5. De Depus/DE DEPUS FINAL/7. Plan de Afaceri semnat.pdf","Deschide sursa")</x:f>
        <x:v>HYPERLINK is not implemented. linkLocation=file:///Z:/00. Proiecte 2025/AFIR FotoVoltaic 1/5. De Depus/DE DEPUS FINAL/7. Plan de Afaceri semnat.pdf, friendlyName=Deschide sursa</x:v>
      </x:c>
    </x:row>
    <x:row r="749" ht="36" customHeight="1">
      <x:c r="A749" s="8" t="str">
        <x:v>F1539</x:v>
      </x:c>
      <x:c r="B749" s="8" t="str">
        <x:v>9. OFERTE semnat.pdf</x:v>
      </x:c>
      <x:c r="C749" s="8" t="str">
        <x:v>Depunere / eligibilitate</x:v>
      </x:c>
      <x:c r="D749" s="12" t="str"/>
      <x:c r="E749" s="11" t="str"/>
      <x:c r="F749" s="12" t="str"/>
      <x:c r="G749" s="11" t="str"/>
      <x:c r="H749" s="8" t="str"/>
      <x:c r="I749" s="8" t="str">
        <x:v>Pregătit pentru depunere; confirmare de verificat</x:v>
      </x:c>
      <x:c r="J749" s="8" t="str"/>
      <x:c r="K749" s="8" t="str">
        <x:v>Text extras; numerele din referințe sunt în coloana separată</x:v>
      </x:c>
      <x:c r="L749" s="8" t="e">
        <x:f>HYPERLINK("file:///Z:/00. Proiecte 2025/AFIR FotoVoltaic 1/5. De Depus/DE DEPUS FINAL/9. OFERTE semnat.pdf","Deschide sursa")</x:f>
        <x:v>HYPERLINK is not implemented. linkLocation=file:///Z:/00. Proiecte 2025/AFIR FotoVoltaic 1/5. De Depus/DE DEPUS FINAL/9. OFERTE semnat.pdf, friendlyName=Deschide sursa</x:v>
      </x:c>
    </x:row>
    <x:row r="750" ht="106" customHeight="1">
      <x:c r="A750" s="8" t="str">
        <x:v>F1540</x:v>
      </x:c>
      <x:c r="B750" s="8" t="str">
        <x:v>Cerere de finantare semnat.pdf</x:v>
      </x:c>
      <x:c r="C750" s="8" t="str">
        <x:v>Depunere / eligibilitate</x:v>
      </x:c>
      <x:c r="D750" s="12" t="str"/>
      <x:c r="E750" s="11" t="str"/>
      <x:c r="F750" s="12" t="str"/>
      <x:c r="G750" s="11" t="str"/>
      <x:c r="H750" s="8" t="str"/>
      <x:c r="I750" s="8" t="str">
        <x:v>Pregătit pentru depunere; confirmare de verificat</x:v>
      </x:c>
      <x:c r="J750" s="8" t="str">
        <x:v>Nr. 96, Jud. Mures,CF58300Sighisoara,
nr.85/2014 privind procedura insolvenţei, cu
nr. 46/2013 privind criza financiară şi insolvenţa unităţilor administrativ-
nr. 679/2016 privind
nr. 43, București, Sector 1
nr. 41/2014 privind înființarea, organizarea și funcționarea Agenției pentru Finanțarea
nr. 43/2015. Astfel,</x:v>
      </x:c>
      <x:c r="K750" s="8" t="str">
        <x:v>Text extras; numerele din referințe sunt în coloana separată</x:v>
      </x:c>
      <x:c r="L750" s="8" t="e">
        <x:f>HYPERLINK("file:///Z:/00. Proiecte 2025/AFIR FotoVoltaic 1/5. De Depus/DE DEPUS FINAL/Cerere de finantare semnat.pdf","Deschide sursa")</x:f>
        <x:v>HYPERLINK is not implemented. linkLocation=file:///Z:/00. Proiecte 2025/AFIR FotoVoltaic 1/5. De Depus/DE DEPUS FINAL/Cerere de finantare semnat.pdf, friendlyName=Deschide sursa</x:v>
      </x:c>
    </x:row>
    <x:row r="751" ht="36" customHeight="1">
      <x:c r="A751" s="8" t="str">
        <x:v>F1541</x:v>
      </x:c>
      <x:c r="B751" s="8" t="str">
        <x:v>Codul de proiect FMSES011011372801030.docx</x:v>
      </x:c>
      <x:c r="C751" s="8" t="str">
        <x:v>Depunere / eligibilitate</x:v>
      </x:c>
      <x:c r="D751" s="12" t="str"/>
      <x:c r="E751" s="11" t="str"/>
      <x:c r="F751" s="12" t="str"/>
      <x:c r="G751" s="11" t="str"/>
      <x:c r="H751" s="8" t="str"/>
      <x:c r="I751" s="8" t="str">
        <x:v>Pregătit pentru depunere; confirmare de verificat</x:v>
      </x:c>
      <x:c r="J751" s="8" t="str"/>
      <x:c r="K751" s="8" t="str">
        <x:v>Text extras; numerele din referințe sunt în coloana separată</x:v>
      </x:c>
      <x:c r="L751" s="8" t="e">
        <x:f>HYPERLINK("file:///Z:/00. Proiecte 2025/AFIR FotoVoltaic 1/5. De Depus/DE DEPUS FINAL/Codul de proiect FMSES011011372801030.docx","Deschide sursa")</x:f>
        <x:v>HYPERLINK is not implemented. linkLocation=file:///Z:/00. Proiecte 2025/AFIR FotoVoltaic 1/5. De Depus/DE DEPUS FINAL/Codul de proiect FMSES011011372801030.docx, friendlyName=Deschide sursa</x:v>
      </x:c>
    </x:row>
    <x:row r="752" ht="36" customHeight="1">
      <x:c r="A752" s="8" t="str">
        <x:v>F1542</x:v>
      </x:c>
      <x:c r="B752" s="8" t="str">
        <x:v>Declaratie asumare dezechilibre semnat.pdf</x:v>
      </x:c>
      <x:c r="C752" s="8" t="str">
        <x:v>Depunere / eligibilitate</x:v>
      </x:c>
      <x:c r="D752" s="12" t="str"/>
      <x:c r="E752" s="11" t="str"/>
      <x:c r="F752" s="12" t="str"/>
      <x:c r="G752" s="11" t="str"/>
      <x:c r="H752" s="8" t="str"/>
      <x:c r="I752" s="8" t="str">
        <x:v>Pregătit pentru depunere; confirmare de verificat</x:v>
      </x:c>
      <x:c r="J752" s="8" t="str">
        <x:v>nr. 123/2012 a energiei electrice și a</x:v>
      </x:c>
      <x:c r="K752" s="8" t="str">
        <x:v>Text extras; numerele din referințe sunt în coloana separată</x:v>
      </x:c>
      <x:c r="L752" s="8" t="e">
        <x:f>HYPERLINK("file:///Z:/00. Proiecte 2025/AFIR FotoVoltaic 1/5. De Depus/DE DEPUS FINAL/Declaratie asumare dezechilibre semnat.pdf","Deschide sursa")</x:f>
        <x:v>HYPERLINK is not implemented. linkLocation=file:///Z:/00. Proiecte 2025/AFIR FotoVoltaic 1/5. De Depus/DE DEPUS FINAL/Declaratie asumare dezechilibre semnat.pdf, friendlyName=Deschide sursa</x:v>
      </x:c>
    </x:row>
    <x:row r="753" ht="36" customHeight="1">
      <x:c r="A753" s="8" t="str">
        <x:v>F1543</x:v>
      </x:c>
      <x:c r="B753" s="8" t="str">
        <x:v>Declaratie caracteristici clădire semnat.pdf</x:v>
      </x:c>
      <x:c r="C753" s="8" t="str">
        <x:v>Depunere / eligibilitate</x:v>
      </x:c>
      <x:c r="D753" s="12" t="str"/>
      <x:c r="E753" s="11" t="str"/>
      <x:c r="F753" s="12" t="str"/>
      <x:c r="G753" s="11" t="str"/>
      <x:c r="H753" s="8" t="str"/>
      <x:c r="I753" s="8" t="str">
        <x:v>Pregătit pentru depunere; confirmare de verificat</x:v>
      </x:c>
      <x:c r="J753" s="8" t="str"/>
      <x:c r="K753" s="8" t="str">
        <x:v>Text extras; numerele din referințe sunt în coloana separată</x:v>
      </x:c>
      <x:c r="L753" s="8" t="e">
        <x:f>HYPERLINK("file:///Z:/00. Proiecte 2025/AFIR FotoVoltaic 1/5. De Depus/DE DEPUS FINAL/Declaratie caracteristici clădire semnat.pdf","Deschide sursa")</x:f>
        <x:v>HYPERLINK is not implemented. linkLocation=file:///Z:/00. Proiecte 2025/AFIR FotoVoltaic 1/5. De Depus/DE DEPUS FINAL/Declaratie caracteristici clădire semnat.pdf, friendlyName=Deschide sursa</x:v>
      </x:c>
    </x:row>
    <x:row r="754" ht="36" customHeight="1">
      <x:c r="A754" s="8" t="str">
        <x:v>F1545</x:v>
      </x:c>
      <x:c r="B754" s="8" t="str">
        <x:v>Documente depuse la proiect.zip</x:v>
      </x:c>
      <x:c r="C754" s="8" t="str">
        <x:v>Depunere / eligibilitate</x:v>
      </x:c>
      <x:c r="D754" s="12" t="str"/>
      <x:c r="E754" s="11" t="str"/>
      <x:c r="F754" s="12" t="str"/>
      <x:c r="G754" s="11" t="str"/>
      <x:c r="H754" s="8" t="str"/>
      <x:c r="I754" s="8" t="str">
        <x:v>Pregătit pentru depunere; confirmare de verificat</x:v>
      </x:c>
      <x:c r="J754" s="8" t="str"/>
      <x:c r="K754" s="8" t="str">
        <x:v>Necesită citire vizuală / OCR / formular XFA</x:v>
      </x:c>
      <x:c r="L754" s="8" t="e">
        <x:f>HYPERLINK("file:///Z:/00. Proiecte 2025/AFIR FotoVoltaic 1/5. De Depus/DE DEPUS FINAL/Documente depuse la proiect.zip","Deschide sursa")</x:f>
        <x:v>HYPERLINK is not implemented. linkLocation=file:///Z:/00. Proiecte 2025/AFIR FotoVoltaic 1/5. De Depus/DE DEPUS FINAL/Documente depuse la proiect.zip, friendlyName=Deschide sursa</x:v>
      </x:c>
    </x:row>
    <x:row r="755" ht="36" customHeight="1">
      <x:c r="A755" s="8" t="str">
        <x:v>F1547</x:v>
      </x:c>
      <x:c r="B755" s="8" t="str">
        <x:v>Nota justificativa de atribuire semnat.pdf</x:v>
      </x:c>
      <x:c r="C755" s="8" t="str">
        <x:v>Depunere / eligibilitate</x:v>
      </x:c>
      <x:c r="D755" s="12" t="str"/>
      <x:c r="E755" s="11" t="str"/>
      <x:c r="F755" s="12" t="str"/>
      <x:c r="G755" s="11" t="str"/>
      <x:c r="H755" s="8" t="str"/>
      <x:c r="I755" s="8" t="str">
        <x:v>Pregătit pentru depunere; confirmare de verificat</x:v>
      </x:c>
      <x:c r="J755" s="8" t="str"/>
      <x:c r="K755" s="8" t="str">
        <x:v>Text extras; numerele din referințe sunt în coloana separată</x:v>
      </x:c>
      <x:c r="L755" s="8" t="e">
        <x:f>HYPERLINK("file:///Z:/00. Proiecte 2025/AFIR FotoVoltaic 1/5. De Depus/DE DEPUS FINAL/Nota justificativa de atribuire semnat.pdf","Deschide sursa")</x:f>
        <x:v>HYPERLINK is not implemented. linkLocation=file:///Z:/00. Proiecte 2025/AFIR FotoVoltaic 1/5. De Depus/DE DEPUS FINAL/Nota justificativa de atribuire semnat.pdf, friendlyName=Deschide sursa</x:v>
      </x:c>
    </x:row>
    <x:row r="756" ht="36" customHeight="1">
      <x:c r="A756" s="8" t="str">
        <x:v>F1548</x:v>
      </x:c>
      <x:c r="B756" s="8" t="str">
        <x:v>6. Analiza Cost Beneficiu.pdf</x:v>
      </x:c>
      <x:c r="C756" s="8" t="str">
        <x:v>Depunere / eligibilitate</x:v>
      </x:c>
      <x:c r="D756" s="12" t="str"/>
      <x:c r="E756" s="11" t="str"/>
      <x:c r="F756" s="12" t="str"/>
      <x:c r="G756" s="11" t="str"/>
      <x:c r="H756" s="8" t="str"/>
      <x:c r="I756" s="8" t="str">
        <x:v>Pregătit pentru depunere; confirmare de verificat</x:v>
      </x:c>
      <x:c r="J756" s="8" t="str">
        <x:v>nr. 60/2022, cu modificările ulterioare, la art. 2
nr. 77/2014, cu modificările și completările ulterioare și la articolul 5</x:v>
      </x:c>
      <x:c r="K756" s="8" t="str">
        <x:v>Text extras; numerele din referințe sunt în coloana separată</x:v>
      </x:c>
      <x:c r="L756" s="8" t="e">
        <x:f>HYPERLINK("file:///Z:/00. Proiecte 2025/AFIR FotoVoltaic 1/5. De Depus/De semnat 2/6. Analiza Cost Beneficiu.pdf","Deschide sursa")</x:f>
        <x:v>HYPERLINK is not implemented. linkLocation=file:///Z:/00. Proiecte 2025/AFIR FotoVoltaic 1/5. De Depus/De semnat 2/6. Analiza Cost Beneficiu.pdf, friendlyName=Deschide sursa</x:v>
      </x:c>
    </x:row>
    <x:row r="757" ht="190" customHeight="1">
      <x:c r="A757" s="8" t="str">
        <x:v>F1549</x:v>
      </x:c>
      <x:c r="B757" s="8" t="str">
        <x:v>7. Plan de Afaceri.pdf</x:v>
      </x:c>
      <x:c r="C757" s="8" t="str">
        <x:v>Depunere / eligibilitate</x:v>
      </x:c>
      <x:c r="D757" s="12" t="str"/>
      <x:c r="E757" s="11" t="str"/>
      <x:c r="F757" s="12" t="str"/>
      <x:c r="G757" s="11" t="str"/>
      <x:c r="H757" s="8" t="str"/>
      <x:c r="I757" s="8" t="str">
        <x:v>Pregătit pentru depunere; confirmare de verificat</x:v>
      </x:c>
      <x:c r="J757" s="8" t="str">
        <x:v>nregistrare. J01 /1328 /2021 · CUI. 45050734
Nr. 5 Cod Poștal 510040
nregistrare : J01 /1328 /2021
Nr. 58300 Sighisoara
Nr. 96, Jud. Mures
Nr. Niveluri – 2, Suprafata construita 9758 mp
nr. 123/2012 a energiei electrice și
nr. 1.076/2021;
nr. 401/2009 și (UE) 2018/1999 ("Legea europeană a climei"), referitor la
NRE pentru anul 2021/2022, după caz.
NRE pentru fiecare MWh din surse fosile este 0,6119 tone CO2/MWh.
nr. 60/2022, cu modificările ulterioare, la art. 2
nr. 77/2014, cu modificările și completările ulterioare și la articolul 5</x:v>
      </x:c>
      <x:c r="K757" s="8" t="str">
        <x:v>Text extras; numerele din referințe sunt în coloana separată</x:v>
      </x:c>
      <x:c r="L757" s="8" t="e">
        <x:f>HYPERLINK("file:///Z:/00. Proiecte 2025/AFIR FotoVoltaic 1/5. De Depus/De semnat 2/7. Plan de Afaceri.pdf","Deschide sursa")</x:f>
        <x:v>HYPERLINK is not implemented. linkLocation=file:///Z:/00. Proiecte 2025/AFIR FotoVoltaic 1/5. De Depus/De semnat 2/7. Plan de Afaceri.pdf, friendlyName=Deschide sursa</x:v>
      </x:c>
    </x:row>
    <x:row r="758" ht="36" customHeight="1">
      <x:c r="A758" s="8" t="str">
        <x:v>F1550</x:v>
      </x:c>
      <x:c r="B758" s="8" t="str">
        <x:v>Cerere de finantare.pdf</x:v>
      </x:c>
      <x:c r="C758" s="8" t="str">
        <x:v>Depunere / eligibilitate</x:v>
      </x:c>
      <x:c r="D758" s="12" t="str"/>
      <x:c r="E758" s="11" t="str"/>
      <x:c r="F758" s="12" t="str"/>
      <x:c r="G758" s="11" t="str"/>
      <x:c r="H758" s="8" t="str"/>
      <x:c r="I758" s="8" t="str">
        <x:v>Pregătit pentru depunere; confirmare de verificat</x:v>
      </x:c>
      <x:c r="J758" s="8" t="str"/>
      <x:c r="K758" s="8" t="str">
        <x:v>Necesită citire vizuală / OCR / formular XFA</x:v>
      </x:c>
      <x:c r="L758" s="8" t="e">
        <x:f>HYPERLINK("file:///Z:/00. Proiecte 2025/AFIR FotoVoltaic 1/5. De Depus/De semnat 2/Cerere de finantare.pdf","Deschide sursa")</x:f>
        <x:v>HYPERLINK is not implemented. linkLocation=file:///Z:/00. Proiecte 2025/AFIR FotoVoltaic 1/5. De Depus/De semnat 2/Cerere de finantare.pdf, friendlyName=Deschide sursa</x:v>
      </x:c>
    </x:row>
    <x:row r="759" ht="78" customHeight="1">
      <x:c r="A759" s="8" t="str">
        <x:v>F1552</x:v>
      </x:c>
      <x:c r="B759" s="8" t="str">
        <x:v>Memoriu Tehnic  Justificativ.pdf</x:v>
      </x:c>
      <x:c r="C759" s="8" t="str">
        <x:v>Depunere / eligibilitate</x:v>
      </x:c>
      <x:c r="D759" s="12" t="str"/>
      <x:c r="E759" s="11" t="str"/>
      <x:c r="F759" s="12" t="str"/>
      <x:c r="G759" s="11" t="str"/>
      <x:c r="H759" s="8" t="str"/>
      <x:c r="I759" s="8" t="str">
        <x:v>Pregătit pentru depunere; confirmare de verificat</x:v>
      </x:c>
      <x:c r="J759" s="8" t="str">
        <x:v>nr. 1.076/2021;
Nr. 58300 Sighisoara
Nr. 96, Jud. Mures
Nr. Niveluri – 2, Suprafata construita
NRE pentru fiecare MWh din surse fosile este 0,6119 tone CO2/MWh.</x:v>
      </x:c>
      <x:c r="K759" s="8" t="str">
        <x:v>Text extras; numerele din referințe sunt în coloana separată</x:v>
      </x:c>
      <x:c r="L759" s="8" t="e">
        <x:f>HYPERLINK("file:///Z:/00. Proiecte 2025/AFIR FotoVoltaic 1/5. De Depus/De semnat 2/Memoriu Tehnic  Justificativ.pdf","Deschide sursa")</x:f>
        <x:v>HYPERLINK is not implemented. linkLocation=file:///Z:/00. Proiecte 2025/AFIR FotoVoltaic 1/5. De Depus/De semnat 2/Memoriu Tehnic  Justificativ.pdf, friendlyName=Deschide sursa</x:v>
      </x:c>
    </x:row>
    <x:row r="760" ht="36" customHeight="1">
      <x:c r="A760" s="8" t="str">
        <x:v>F1553</x:v>
      </x:c>
      <x:c r="B760" s="8" t="str">
        <x:v>Nota justificativa de atribuire.pdf</x:v>
      </x:c>
      <x:c r="C760" s="8" t="str">
        <x:v>Depunere / eligibilitate</x:v>
      </x:c>
      <x:c r="D760" s="12" t="str"/>
      <x:c r="E760" s="11" t="str"/>
      <x:c r="F760" s="12" t="str"/>
      <x:c r="G760" s="11" t="str"/>
      <x:c r="H760" s="8" t="str"/>
      <x:c r="I760" s="8" t="str">
        <x:v>Pregătit pentru depunere; confirmare de verificat</x:v>
      </x:c>
      <x:c r="J760" s="8" t="str"/>
      <x:c r="K760" s="8" t="str">
        <x:v>Text extras; numerele din referințe sunt în coloana separată</x:v>
      </x:c>
      <x:c r="L760" s="8" t="e">
        <x:f>HYPERLINK("file:///Z:/00. Proiecte 2025/AFIR FotoVoltaic 1/5. De Depus/De semnat 2/Nota justificativa de atribuire.pdf","Deschide sursa")</x:f>
        <x:v>HYPERLINK is not implemented. linkLocation=file:///Z:/00. Proiecte 2025/AFIR FotoVoltaic 1/5. De Depus/De semnat 2/Nota justificativa de atribuire.pdf, friendlyName=Deschide sursa</x:v>
      </x:c>
    </x:row>
    <x:row r="761" ht="36" customHeight="1">
      <x:c r="A761" s="8" t="str">
        <x:v>F1554</x:v>
      </x:c>
      <x:c r="B761" s="8" t="str">
        <x:v>Solicitari de oferte.pdf</x:v>
      </x:c>
      <x:c r="C761" s="8" t="str">
        <x:v>Depunere / eligibilitate</x:v>
      </x:c>
      <x:c r="D761" s="12" t="str"/>
      <x:c r="E761" s="11" t="str"/>
      <x:c r="F761" s="12" t="str"/>
      <x:c r="G761" s="11" t="str"/>
      <x:c r="H761" s="8" t="str"/>
      <x:c r="I761" s="8" t="str">
        <x:v>Pregătit pentru depunere; confirmare de verificat</x:v>
      </x:c>
      <x:c r="J761" s="8" t="str"/>
      <x:c r="K761" s="8" t="str">
        <x:v>Text extras; numerele din referințe sunt în coloana separată</x:v>
      </x:c>
      <x:c r="L761" s="8" t="e">
        <x:f>HYPERLINK("file:///Z:/00. Proiecte 2025/AFIR FotoVoltaic 1/5. De Depus/De semnat 2/Solicitari de oferte.pdf","Deschide sursa")</x:f>
        <x:v>HYPERLINK is not implemented. linkLocation=file:///Z:/00. Proiecte 2025/AFIR FotoVoltaic 1/5. De Depus/De semnat 2/Solicitari de oferte.pdf, friendlyName=Deschide sursa</x:v>
      </x:c>
    </x:row>
    <x:row r="762" ht="36" customHeight="1">
      <x:c r="A762" s="8" t="str">
        <x:v>F1555</x:v>
      </x:c>
      <x:c r="B762" s="8" t="str">
        <x:v>1. Contract de inchiriere IPEC SA cu Cesiro Production semnat.pdf</x:v>
      </x:c>
      <x:c r="C762" s="8" t="str">
        <x:v>Depunere / eligibilitate</x:v>
      </x:c>
      <x:c r="D762" s="12" t="str"/>
      <x:c r="E762" s="11" t="str"/>
      <x:c r="F762" s="12" t="str"/>
      <x:c r="G762" s="11" t="str"/>
      <x:c r="H762" s="8" t="str"/>
      <x:c r="I762" s="8" t="str">
        <x:v>Pregătit pentru depunere; confirmare de verificat</x:v>
      </x:c>
      <x:c r="J762" s="8" t="str"/>
      <x:c r="K762" s="8" t="str">
        <x:v>Text extras; numerele din referințe sunt în coloana separată</x:v>
      </x:c>
      <x:c r="L762" s="8" t="e">
        <x:f>HYPERLINK("file:///Z:/00. Proiecte 2025/AFIR FotoVoltaic 1/5. De Depus/DE DEPUS FINAL/New folder/1. Contract de inchiriere IPEC SA cu Cesiro Production semnat.pdf","Deschide sursa")</x:f>
        <x:v>HYPERLINK is not implemented. linkLocation=file:///Z:/00. Proiecte 2025/AFIR FotoVoltaic 1/5. De Depus/DE DEPUS FINAL/New folder/1. Contract de inchiriere IPEC SA cu Cesiro Production semnat.pdf, friendlyName=Deschide sursa</x:v>
      </x:c>
    </x:row>
    <x:row r="763" ht="36" customHeight="1">
      <x:c r="A763" s="8" t="str">
        <x:v>F1556</x:v>
      </x:c>
      <x:c r="B763" s="8" t="str">
        <x:v>17. Document bancar semnat.pdf</x:v>
      </x:c>
      <x:c r="C763" s="8" t="str">
        <x:v>Depunere / eligibilitate</x:v>
      </x:c>
      <x:c r="D763" s="12" t="str"/>
      <x:c r="E763" s="11" t="str"/>
      <x:c r="F763" s="12" t="str"/>
      <x:c r="G763" s="11" t="str"/>
      <x:c r="H763" s="8" t="str"/>
      <x:c r="I763" s="8" t="str">
        <x:v>Pregătit pentru depunere; confirmare de verificat</x:v>
      </x:c>
      <x:c r="J763" s="8" t="str">
        <x:v>nr. 54A, Cladirea nr. 3, sector 1, 012095 Bucuresti, Romania
Nr 5</x:v>
      </x:c>
      <x:c r="K763" s="8" t="str">
        <x:v>Text extras; numerele din referințe sunt în coloana separată</x:v>
      </x:c>
      <x:c r="L763" s="8" t="e">
        <x:f>HYPERLINK("file:///Z:/00. Proiecte 2025/AFIR FotoVoltaic 1/5. De Depus/DE DEPUS FINAL/New folder/17. Document bancar semnat.pdf","Deschide sursa")</x:f>
        <x:v>HYPERLINK is not implemented. linkLocation=file:///Z:/00. Proiecte 2025/AFIR FotoVoltaic 1/5. De Depus/DE DEPUS FINAL/New folder/17. Document bancar semnat.pdf, friendlyName=Deschide sursa</x:v>
      </x:c>
    </x:row>
    <x:row r="764" ht="288" customHeight="1">
      <x:c r="A764" s="8" t="str">
        <x:v>F1557</x:v>
      </x:c>
      <x:c r="B764" s="8" t="str">
        <x:v>2. Extras Carte Funciara semnat.pdf</x:v>
      </x:c>
      <x:c r="C764" s="8" t="str">
        <x:v>Depunere / eligibilitate</x:v>
      </x:c>
      <x:c r="D764" s="12" t="str"/>
      <x:c r="E764" s="11" t="str"/>
      <x:c r="F764" s="12" t="str"/>
      <x:c r="G764" s="11" t="str"/>
      <x:c r="H764" s="8" t="str"/>
      <x:c r="I764" s="8" t="str">
        <x:v>Pregătit pentru depunere; confirmare de verificat</x:v>
      </x:c>
      <x:c r="J764" s="8" t="str">
        <x:v>Nr. 58300 Sighişoara
Nr. 96, Jud. Mureș
Nr. niveluri:2; S. construita la sol:9584 mp; C1-HALA
Nr. niveluri:1; S. construita la sol:86 mp; C2-BAZIN
Nr. niveluri:1; S. construita la sol:113 mp; C3-STATIE
Nr. niveluri:1; S. construita la sol:134 mp; C4-CENTRALA
Nr. niveluri:1; S. construita la sol:45 mp; C5-CABINA
Nr. niveluri:1; S. construita la sol:21 mp; C7-STATIE
Nr. niveluri:1; S. construita la sol:28 mp; C9-REZERVOR
Nr. niveluri:1; S. construita la sol:38 mp; C10-MAGAZIE
Nr. niveluri:1; S. construita la sol:38 mp; C11-CANTAR CU
Nr. niveluri:1; S. construita la sol:28 mp; C12-SOPRON CU
nr. 2820, din 13/11/2018 emis de Urian Marcel Cosmin;
nr. CONTRACT DE VANZARE AUT. 42, din 31/01/2024 emis de Puiu Maria Delia;
Nr. 677/2001. Pagina 1 din 3
Nr. 58300 Comuna/Oraş/Municipiu: Sighişoara
Nr. 1 La Partea I
Nr. 677/2001. Pagina 2 din 3
nr.0/05-02-2024 in suma de 62143, pentru
nr. 231.</x:v>
      </x:c>
      <x:c r="K764" s="8" t="str">
        <x:v>Text extras; numerele din referințe sunt în coloana separată</x:v>
      </x:c>
      <x:c r="L764" s="8" t="e">
        <x:f>HYPERLINK("file:///Z:/00. Proiecte 2025/AFIR FotoVoltaic 1/5. De Depus/DE DEPUS FINAL/New folder/2. Extras Carte Funciara semnat.pdf","Deschide sursa")</x:f>
        <x:v>HYPERLINK is not implemented. linkLocation=file:///Z:/00. Proiecte 2025/AFIR FotoVoltaic 1/5. De Depus/DE DEPUS FINAL/New folder/2. Extras Carte Funciara semnat.pdf, friendlyName=Deschide sursa</x:v>
      </x:c>
    </x:row>
    <x:row r="765" ht="36" customHeight="1">
      <x:c r="A765" s="8" t="str">
        <x:v>F1558</x:v>
      </x:c>
      <x:c r="B765" s="8" t="str">
        <x:v>CI Cosmin Adrian Covaciu semnat.pdf</x:v>
      </x:c>
      <x:c r="C765" s="8" t="str">
        <x:v>Depunere / eligibilitate</x:v>
      </x:c>
      <x:c r="D765" s="12" t="str"/>
      <x:c r="E765" s="11" t="str"/>
      <x:c r="F765" s="12" t="str"/>
      <x:c r="G765" s="11" t="str"/>
      <x:c r="H765" s="8" t="str"/>
      <x:c r="I765" s="8" t="str">
        <x:v>Pregătit pentru depunere; confirmare de verificat</x:v>
      </x:c>
      <x:c r="J765" s="8" t="str"/>
      <x:c r="K765" s="8" t="str">
        <x:v>Text extras; numerele din referințe sunt în coloana separată</x:v>
      </x:c>
      <x:c r="L765" s="8" t="e">
        <x:f>HYPERLINK("file:///Z:/00. Proiecte 2025/AFIR FotoVoltaic 1/5. De Depus/DE DEPUS FINAL/New folder/CI Cosmin Adrian Covaciu semnat.pdf","Deschide sursa")</x:f>
        <x:v>HYPERLINK is not implemented. linkLocation=file:///Z:/00. Proiecte 2025/AFIR FotoVoltaic 1/5. De Depus/DE DEPUS FINAL/New folder/CI Cosmin Adrian Covaciu semnat.pdf, friendlyName=Deschide sursa</x:v>
      </x:c>
    </x:row>
    <x:row r="766" ht="36" customHeight="1">
      <x:c r="A766" s="8" t="str">
        <x:v>F1559</x:v>
      </x:c>
      <x:c r="B766" s="8" t="str">
        <x:v>Contract de achizitie semnat.pdf</x:v>
      </x:c>
      <x:c r="C766" s="8" t="str">
        <x:v>Depunere / eligibilitate</x:v>
      </x:c>
      <x:c r="D766" s="12" t="str"/>
      <x:c r="E766" s="11" t="str"/>
      <x:c r="F766" s="12" t="str"/>
      <x:c r="G766" s="11" t="str"/>
      <x:c r="H766" s="8" t="str"/>
      <x:c r="I766" s="8" t="str">
        <x:v>Pregătit pentru depunere; confirmare de verificat</x:v>
      </x:c>
      <x:c r="J766" s="8" t="str"/>
      <x:c r="K766" s="8" t="str">
        <x:v>Text extras; numerele din referințe sunt în coloana separată</x:v>
      </x:c>
      <x:c r="L766" s="8" t="e">
        <x:f>HYPERLINK("file:///Z:/00. Proiecte 2025/AFIR FotoVoltaic 1/5. De Depus/DE DEPUS FINAL/New folder/Contract de achizitie semnat.pdf","Deschide sursa")</x:f>
        <x:v>HYPERLINK is not implemented. linkLocation=file:///Z:/00. Proiecte 2025/AFIR FotoVoltaic 1/5. De Depus/DE DEPUS FINAL/New folder/Contract de achizitie semnat.pdf, friendlyName=Deschide sursa</x:v>
      </x:c>
    </x:row>
    <x:row r="767" ht="36" customHeight="1">
      <x:c r="A767" s="8" t="str">
        <x:v>F1560</x:v>
      </x:c>
      <x:c r="B767" s="8" t="str">
        <x:v>Grafic esalonare plati semnat.pdf</x:v>
      </x:c>
      <x:c r="C767" s="8" t="str">
        <x:v>Depunere / eligibilitate</x:v>
      </x:c>
      <x:c r="D767" s="12" t="str"/>
      <x:c r="E767" s="11" t="str"/>
      <x:c r="F767" s="12" t="str"/>
      <x:c r="G767" s="11" t="str"/>
      <x:c r="H767" s="8" t="str"/>
      <x:c r="I767" s="8" t="str">
        <x:v>Pregătit pentru depunere; confirmare de verificat</x:v>
      </x:c>
      <x:c r="J767" s="8" t="str"/>
      <x:c r="K767" s="8" t="str">
        <x:v>Text extras; numerele din referințe sunt în coloana separată</x:v>
      </x:c>
      <x:c r="L767" s="8" t="e">
        <x:f>HYPERLINK("file:///Z:/00. Proiecte 2025/AFIR FotoVoltaic 1/5. De Depus/DE DEPUS FINAL/New folder/Grafic esalonare plati semnat.pdf","Deschide sursa")</x:f>
        <x:v>HYPERLINK is not implemented. linkLocation=file:///Z:/00. Proiecte 2025/AFIR FotoVoltaic 1/5. De Depus/DE DEPUS FINAL/New folder/Grafic esalonare plati semnat.pdf, friendlyName=Deschide sursa</x:v>
      </x:c>
    </x:row>
    <x:row r="768" ht="36" customHeight="1">
      <x:c r="A768" s="8" t="str">
        <x:v>F1561</x:v>
      </x:c>
      <x:c r="B768" s="8" t="str">
        <x:v>Solicitari de oferte semnat.pdf</x:v>
      </x:c>
      <x:c r="C768" s="8" t="str">
        <x:v>Depunere / eligibilitate</x:v>
      </x:c>
      <x:c r="D768" s="12" t="str"/>
      <x:c r="E768" s="11" t="str"/>
      <x:c r="F768" s="12" t="str"/>
      <x:c r="G768" s="11" t="str"/>
      <x:c r="H768" s="8" t="str"/>
      <x:c r="I768" s="8" t="str">
        <x:v>Pregătit pentru depunere; confirmare de verificat</x:v>
      </x:c>
      <x:c r="J768" s="8" t="str"/>
      <x:c r="K768" s="8" t="str">
        <x:v>Text extras; numerele din referințe sunt în coloana separată</x:v>
      </x:c>
      <x:c r="L768" s="8" t="e">
        <x:f>HYPERLINK("file:///Z:/00. Proiecte 2025/AFIR FotoVoltaic 1/5. De Depus/DE DEPUS FINAL/New folder/Solicitari de oferte semnat.pdf","Deschide sursa")</x:f>
        <x:v>HYPERLINK is not implemented. linkLocation=file:///Z:/00. Proiecte 2025/AFIR FotoVoltaic 1/5. De Depus/DE DEPUS FINAL/New folder/Solicitari de oferte semnat.pdf, friendlyName=Deschide sursa</x:v>
      </x:c>
    </x:row>
    <x:row r="769" ht="36" customHeight="1">
      <x:c r="A769" s="8" t="str">
        <x:v>F1649</x:v>
      </x:c>
      <x:c r="B769" s="8" t="str">
        <x:v>01_Email_AFIR_15-10-2026.pdf</x:v>
      </x:c>
      <x:c r="C769" s="8" t="str">
        <x:v>Corespondență AFIR</x:v>
      </x:c>
      <x:c r="D769" s="12" t="str"/>
      <x:c r="E769" s="11" t="str"/>
      <x:c r="F769" s="12" t="str"/>
      <x:c r="G769" s="11" t="str"/>
      <x:c r="H769" s="8" t="str"/>
      <x:c r="I769" s="8" t="str">
        <x:v>Document local; transmiterea individuală neconfirmată</x:v>
      </x:c>
      <x:c r="J769" s="8" t="str">
        <x:v>nr. RFMSES011011372801030 - transa 1 depus de</x:v>
      </x:c>
      <x:c r="K769" s="8" t="str">
        <x:v>Text extras; numerele din referințe sunt în coloana separată</x:v>
      </x:c>
      <x:c r="L769" s="8" t="e">
        <x:f>HYPERLINK("file:///Z:/00. Proiecte 2025/AFIR FotoVoltaic 1/Comunicatii oficiale AFIR/2026-10-15 Solicitare 961 - transa 1/01_Email_AFIR_15-10-2026.pdf","Deschide sursa")</x:f>
        <x:v>HYPERLINK is not implemented. linkLocation=file:///Z:/00. Proiecte 2025/AFIR FotoVoltaic 1/Comunicatii oficiale AFIR/2026-10-15 Solicitare 961 - transa 1/01_Email_AFIR_15-10-2026.pdf, friendlyName=Deschide sursa</x:v>
      </x:c>
    </x:row>
    <x:row r="770" ht="36" customHeight="1">
      <x:c r="A770" s="8" t="str">
        <x:v>F1650</x:v>
      </x:c>
      <x:c r="B770" s="8" t="str">
        <x:v>02_Proiect_raspuns_AFIR_961.pdf</x:v>
      </x:c>
      <x:c r="C770" s="8" t="str">
        <x:v>Corespondență AFIR</x:v>
      </x:c>
      <x:c r="D770" s="12" t="str"/>
      <x:c r="E770" s="11" t="str"/>
      <x:c r="F770" s="12" t="str"/>
      <x:c r="G770" s="11" t="str"/>
      <x:c r="H770" s="8" t="str"/>
      <x:c r="I770" s="8" t="str">
        <x:v>Proiect răspuns; netransmis conform notei locale</x:v>
      </x:c>
      <x:c r="J770" s="8" t="str">
        <x:v>nr. 961/15.10.2026; dosarul cererii de plată nr. RFMSES011011372801030.1,</x:v>
      </x:c>
      <x:c r="K770" s="8" t="str">
        <x:v>Text extras; numerele din referințe sunt în coloana separată</x:v>
      </x:c>
      <x:c r="L770" s="8" t="e">
        <x:f>HYPERLINK("file:///Z:/00. Proiecte 2025/AFIR FotoVoltaic 1/Comunicatii oficiale AFIR/2026-10-15 Solicitare 961 - transa 1/02_Proiect_raspuns_AFIR_961.pdf","Deschide sursa")</x:f>
        <x:v>HYPERLINK is not implemented. linkLocation=file:///Z:/00. Proiecte 2025/AFIR FotoVoltaic 1/Comunicatii oficiale AFIR/2026-10-15 Solicitare 961 - transa 1/02_Proiect_raspuns_AFIR_961.pdf, friendlyName=Deschide sursa</x:v>
      </x:c>
    </x:row>
    <x:row r="771" ht="36" customHeight="1">
      <x:c r="A771" s="8" t="str">
        <x:v>F1653</x:v>
      </x:c>
      <x:c r="B771" s="8" t="str">
        <x:v>AP_raspuns_informatii_suplimentare.pdf</x:v>
      </x:c>
      <x:c r="C771" s="8" t="str">
        <x:v>Corespondență AFIR</x:v>
      </x:c>
      <x:c r="D771" s="12" t="str"/>
      <x:c r="E771" s="11" t="str"/>
      <x:c r="F771" s="12" t="str"/>
      <x:c r="G771" s="11" t="str"/>
      <x:c r="H771" s="8" t="str"/>
      <x:c r="I771" s="8" t="str">
        <x:v>Proiect răspuns; netransmis conform notei locale</x:v>
      </x:c>
      <x:c r="J771" s="8" t="str"/>
      <x:c r="K771" s="8" t="str">
        <x:v>Necesită citire vizuală / OCR / formular XFA</x:v>
      </x:c>
      <x:c r="L771" s="8" t="e">
        <x:f>HYPERLINK("file:///Z:/00. Proiecte 2025/AFIR FotoVoltaic 1/Comunicatii oficiale AFIR/2026-10-15 Solicitare 961 - transa 1/AP_raspuns_informatii_suplimentare.pdf","Deschide sursa")</x:f>
        <x:v>HYPERLINK is not implemented. linkLocation=file:///Z:/00. Proiecte 2025/AFIR FotoVoltaic 1/Comunicatii oficiale AFIR/2026-10-15 Solicitare 961 - transa 1/AP_raspuns_informatii_suplimentare.pdf, friendlyName=Deschide sursa</x:v>
      </x:c>
    </x:row>
    <x:row r="772" ht="36" customHeight="1">
      <x:c r="A772" s="8" t="str">
        <x:v>F1654</x:v>
      </x:c>
      <x:c r="B772" s="8" t="str">
        <x:v>AP_raspuns_informatii_suplimentare_COMPLETAT.pdf</x:v>
      </x:c>
      <x:c r="C772" s="8" t="str">
        <x:v>Corespondență AFIR</x:v>
      </x:c>
      <x:c r="D772" s="12" t="str"/>
      <x:c r="E772" s="11" t="str"/>
      <x:c r="F772" s="12" t="str"/>
      <x:c r="G772" s="11" t="str"/>
      <x:c r="H772" s="8" t="str"/>
      <x:c r="I772" s="8" t="str">
        <x:v>Proiect răspuns; netransmis conform notei locale</x:v>
      </x:c>
      <x:c r="J772" s="8" t="str"/>
      <x:c r="K772" s="8" t="str">
        <x:v>Necesită citire vizuală / OCR / formular XFA</x:v>
      </x:c>
      <x:c r="L772" s="8" t="e">
        <x:f>HYPERLINK("file:///Z:/00. Proiecte 2025/AFIR FotoVoltaic 1/Comunicatii oficiale AFIR/2026-10-15 Solicitare 961 - transa 1/AP_raspuns_informatii_suplimentare_COMPLETAT.pdf","Deschide sursa")</x:f>
        <x:v>HYPERLINK is not implemented. linkLocation=file:///Z:/00. Proiecte 2025/AFIR FotoVoltaic 1/Comunicatii oficiale AFIR/2026-10-15 Solicitare 961 - transa 1/AP_raspuns_informatii_suplimentare_COMPLETAT.pdf, friendlyName=Deschide sursa</x:v>
      </x:c>
    </x:row>
    <x:row r="773" ht="92" customHeight="1">
      <x:c r="A773" s="8" t="str">
        <x:v>F1656</x:v>
      </x:c>
      <x:c r="B773" s="8" t="str">
        <x:v>Informatii suplimentare - Partea I.pdf</x:v>
      </x:c>
      <x:c r="C773" s="8" t="str">
        <x:v>Corespondență AFIR</x:v>
      </x:c>
      <x:c r="D773" s="12" t="str"/>
      <x:c r="E773" s="11" t="str"/>
      <x:c r="F773" s="12" t="str"/>
      <x:c r="G773" s="11" t="str"/>
      <x:c r="H773" s="8" t="str"/>
      <x:c r="I773" s="8" t="str">
        <x:v>Document local; transmiterea individuală neconfirmată</x:v>
      </x:c>
      <x:c r="J773" s="8" t="str">
        <x:v>Nr: 23, Jud: ALBA, Tel: 0258 813 737
Nr 961 /data 15.10.2026
nregistrare: 45050734
nr. RFMSES011011372801030.1
nr. 816/07.09.2026 nu a fost identificat Registrul-jurnal
nregistrarea facturii SST0033/03.07.2026.</x:v>
      </x:c>
      <x:c r="K773" s="8" t="str">
        <x:v>Text extras; numerele din referințe sunt în coloana separată</x:v>
      </x:c>
      <x:c r="L773" s="8" t="e">
        <x:f>HYPERLINK("file:///Z:/00. Proiecte 2025/AFIR FotoVoltaic 1/Comunicatii oficiale AFIR/2026-10-15 Solicitare 961 - transa 1/Informatii suplimentare - Partea I.pdf","Deschide sursa")</x:f>
        <x:v>HYPERLINK is not implemented. linkLocation=file:///Z:/00. Proiecte 2025/AFIR FotoVoltaic 1/Comunicatii oficiale AFIR/2026-10-15 Solicitare 961 - transa 1/Informatii suplimentare - Partea I.pdf, friendlyName=Deschide sursa</x:v>
      </x:c>
    </x:row>
  </x:sheetData>
  <x:pageMargins left="0.7" right="0.7" top="0.75" bottom="0.75" header="0.3" footer="0.3"/>
  <x:tableParts count="1">
    <x:tablePart xmlns:r="http://schemas.openxmlformats.org/officeDocument/2006/relationships" r:id="Rae96715c0aac4c9e"/>
  </x:tableParts>
</x:worksheet>
</file>

<file path=xl/worksheets/sheet4.xml><?xml version="1.0" encoding="utf-8"?>
<x:worksheet xmlns:x="http://schemas.openxmlformats.org/spreadsheetml/2006/main">
  <x:sheetPr>
    <x:tabColor rgb="FF426A8D"/>
  </x:sheetPr>
  <x:sheetViews>
    <x:sheetView showGridLines="0" workbookViewId="0">
      <x:pane xSplit="2" ySplit="4" topLeftCell="C5" activePane="bottomRight" state="frozen"/>
    </x:sheetView>
  </x:sheetViews>
  <x:sheetFormatPr defaultRowHeight="15"/>
  <x:cols>
    <x:col min="1" max="1" width="9.380000114440918" hidden="0" customWidth="1"/>
    <x:col min="2" max="2" width="20" hidden="0" customWidth="1"/>
    <x:col min="3" max="3" width="12.5" hidden="0" customWidth="1"/>
    <x:col min="4" max="4" width="20" hidden="0" customWidth="1"/>
    <x:col min="5" max="5" width="52.5" hidden="0" customWidth="1"/>
    <x:col min="6" max="6" width="31.25" hidden="0" customWidth="1"/>
    <x:col min="7" max="7" width="40" hidden="0" customWidth="1"/>
    <x:col min="8" max="8" width="37.5" hidden="0" customWidth="1"/>
    <x:col min="9" max="9" width="12.5" hidden="0" customWidth="1"/>
    <x:col min="10" max="10" width="100" hidden="0" customWidth="1"/>
    <x:col min="11" max="11" width="31.25" hidden="0" customWidth="1"/>
    <x:col min="12" max="12" width="37.5" hidden="0" customWidth="1"/>
    <x:col min="13" max="13" width="52.5" hidden="0" customWidth="1"/>
    <x:col min="14" max="14" width="43.75" hidden="0" customWidth="1"/>
  </x:cols>
  <x:sheetData>
    <x:row r="2">
      <x:c r="A2" s="1" t="str">
        <x:v>Emailuri · Cesiro Production</x:v>
      </x:c>
    </x:row>
    <x:row r="4" ht="45" customHeight="1">
      <x:c r="A4" s="10" t="str">
        <x:v>ID</x:v>
      </x:c>
      <x:c r="B4" s="10" t="str">
        <x:v>Data email UTC</x:v>
      </x:c>
      <x:c r="C4" s="10" t="str">
        <x:v>Sens</x:v>
      </x:c>
      <x:c r="D4" s="10" t="str">
        <x:v>Relație</x:v>
      </x:c>
      <x:c r="E4" s="10" t="str">
        <x:v>Subiect</x:v>
      </x:c>
      <x:c r="F4" s="10" t="str">
        <x:v>Expeditor</x:v>
      </x:c>
      <x:c r="G4" s="10" t="str">
        <x:v>Destinatari</x:v>
      </x:c>
      <x:c r="H4" s="10" t="str">
        <x:v>CC</x:v>
      </x:c>
      <x:c r="I4" s="10" t="str">
        <x:v>Atașamente</x:v>
      </x:c>
      <x:c r="J4" s="10" t="str">
        <x:v>Extras corp email</x:v>
      </x:c>
      <x:c r="K4" s="10" t="str">
        <x:v>Cont</x:v>
      </x:c>
      <x:c r="L4" s="10" t="str">
        <x:v>ID EVA</x:v>
      </x:c>
      <x:c r="M4" s="10" t="str">
        <x:v>Sursă text email</x:v>
      </x:c>
      <x:c r="N4" s="10" t="str">
        <x:v>Observații</x:v>
      </x:c>
    </x:row>
    <x:row r="5" ht="134" customHeight="1">
      <x:c r="A5" s="8" t="str">
        <x:v>E001</x:v>
      </x:c>
      <x:c r="B5" s="13" t="n">
        <x:v>45315.37107638889</x:v>
      </x:c>
      <x:c r="C5" s="8" t="str">
        <x:v>Trimis</x:v>
      </x:c>
      <x:c r="D5" s="8" t="str">
        <x:v>Corespondență conexă</x:v>
      </x:c>
      <x:c r="E5" s="8" t="str">
        <x:v>Contract închiriere Cesiro SA</x:v>
      </x:c>
      <x:c r="F5" s="8" t="str">
        <x:v>covaciu.gnm@gmail.com</x:v>
      </x:c>
      <x:c r="G5" s="8" t="str">
        <x:v>cosmin.covaciu@cesiro.com</x:v>
      </x:c>
      <x:c r="H5" s="8" t="str"/>
      <x:c r="I5" s="8" t="n">
        <x:v>0</x:v>
      </x:c>
      <x:c r="J5" s="8" t="str">
        <x:v>Avem nevoie de un contract de închiriere pentru 1000 mp de hală și toată suprafața acoperișului. De asemenea pentru 4 mori de 1 tonă cu motoare de putere de 32 kw.( mori din preparare ), un uscător electric cu putere de 100 kw ( cuptorul electric din decor ), 2 stivuitoare electrice, două transpalete electrice, cântar de 1 tona și cântar de 10 kg și cântar de 1 kg. Mașină de înfoliat + cuptor - am să mă uit ce putere instalată au. 100 ml de Rafturi pentru big bag. Între Cesiro SA și Cesiro Production. Cu clauză suspensivă de plată a chiriei pentru momentul începerii activității. Pe adresă și pe Cf la hală Artfil. Îmi trebuie un document prin care IPEC SĂ în calitate de ipotecar este de-acord cu folosirea proprietății pentru proiectul - îți trimit numele. Ne trebuie decizia definitivă ca IPEC a achiziționat imobilele, și o declarație ca a achitat factura de achiziție ( menționăm factura cu detalii și plata cu detalii ) și ca în calitate de proprietar a imobilului și ca acționar al Cesiro Production este de-acord cu proiectul și cu ... vezi ce ne mai pot cere din Ghid. Cu Stima Cosmin </x:v>
      </x:c>
      <x:c r="K5" s="8" t="str">
        <x:v>covaciu.gnm@eva-org.com</x:v>
      </x:c>
      <x:c r="L5" s="8" t="str">
        <x:v>18ea0618-e277-4064-b011-c509a9b2202e</x:v>
      </x:c>
      <x:c r="M5" s="8" t="e">
        <x:f>HYPERLINK("file:///Z:/00. Proiecte 2025/AFIR FotoVoltaic 1/outputs/registru-cesiro-2026-10-16/Surse email/E001.txt","Deschide sursa")</x:f>
        <x:v>HYPERLINK is not implemented. linkLocation=file:///Z:/00. Proiecte 2025/AFIR FotoVoltaic 1/outputs/registru-cesiro-2026-10-16/Surse email/E001.txt, friendlyName=Deschide sursa</x:v>
      </x:c>
      <x:c r="N5" s="8" t="str">
        <x:v>Metadatele EVA pot conține duplicate de sincronizare.</x:v>
      </x:c>
    </x:row>
    <x:row r="6" ht="50" customHeight="1">
      <x:c r="A6" s="8" t="str">
        <x:v>E002</x:v>
      </x:c>
      <x:c r="B6" s="13" t="n">
        <x:v>45317.46232638889</x:v>
      </x:c>
      <x:c r="C6" s="8" t="str">
        <x:v>Trimis</x:v>
      </x:c>
      <x:c r="D6" s="8" t="str">
        <x:v>Corespondență conexă</x:v>
      </x:c>
      <x:c r="E6" s="8" t="str">
        <x:v>Date CF Sighisoara Cesiro Production</x:v>
      </x:c>
      <x:c r="F6" s="8" t="str">
        <x:v>covaciu.gnm@gmail.com</x:v>
      </x:c>
      <x:c r="G6" s="8" t="str">
        <x:v>emilxyz@yahoo.com</x:v>
      </x:c>
      <x:c r="H6" s="8" t="str"/>
      <x:c r="I6" s="8" t="n">
        <x:v>0</x:v>
      </x:c>
      <x:c r="J6" s="8" t="str">
        <x:v>Carte funciara Nr. 58300 Sighisoara Nr. Cadastral / Nr. Topografic 58300 Suprafata 18596 mp A1.1 – Nr. Cadastral Nr. 58300 – C1 Adresa Loc. Sighisoara Str. Mihai Viteazu, Nr. 96, Jud. Mures Observatii Nr. Niveluri – 2, Suprafata construita 9758 mp C1 – Hala Productie -- Cu Stima Cosmin Covaciu www.ipec.ro Tel. 0040 741119266</x:v>
      </x:c>
      <x:c r="K6" s="8" t="str">
        <x:v>covaciu.gnm@eva-org.com</x:v>
      </x:c>
      <x:c r="L6" s="8" t="str">
        <x:v>0c33af6d-b353-4d5a-8247-0d354849e642</x:v>
      </x:c>
      <x:c r="M6" s="8" t="e">
        <x:f>HYPERLINK("file:///Z:/00. Proiecte 2025/AFIR FotoVoltaic 1/outputs/registru-cesiro-2026-10-16/Surse email/E002.txt","Deschide sursa")</x:f>
        <x:v>HYPERLINK is not implemented. linkLocation=file:///Z:/00. Proiecte 2025/AFIR FotoVoltaic 1/outputs/registru-cesiro-2026-10-16/Surse email/E002.txt, friendlyName=Deschide sursa</x:v>
      </x:c>
      <x:c r="N6" s="8" t="str">
        <x:v>Metadatele EVA pot conține duplicate de sincronizare.</x:v>
      </x:c>
    </x:row>
    <x:row r="7" ht="36" customHeight="1">
      <x:c r="A7" s="8" t="str">
        <x:v>E003</x:v>
      </x:c>
      <x:c r="B7" s="13" t="n">
        <x:v>45336.71564814815</x:v>
      </x:c>
      <x:c r="C7" s="8" t="str">
        <x:v>Trimis</x:v>
      </x:c>
      <x:c r="D7" s="8" t="str">
        <x:v>Corespondență conexă</x:v>
      </x:c>
      <x:c r="E7" s="8" t="str">
        <x:v>BVC Cesiro Production</x:v>
      </x:c>
      <x:c r="F7" s="8" t="str">
        <x:v>covaciu.gnm@gmail.com</x:v>
      </x:c>
      <x:c r="G7" s="8" t="str">
        <x:v>erika.koncz@cesiro.com</x:v>
      </x:c>
      <x:c r="H7" s="8" t="str"/>
      <x:c r="I7" s="8" t="n">
        <x:v>1</x:v>
      </x:c>
      <x:c r="J7" s="8" t="str">
        <x:v>investitie 1.000.000 euro -- Cu Stima Cosmin Covaciu www.ipec.ro Tel. 0040 741119266</x:v>
      </x:c>
      <x:c r="K7" s="8" t="str">
        <x:v>covaciu.gnm@eva-org.com</x:v>
      </x:c>
      <x:c r="L7" s="8" t="str">
        <x:v>0f047248-6e2b-4742-b868-3b7de9a21d14</x:v>
      </x:c>
      <x:c r="M7" s="8" t="e">
        <x:f>HYPERLINK("file:///Z:/00. Proiecte 2025/AFIR FotoVoltaic 1/outputs/registru-cesiro-2026-10-16/Surse email/E003.txt","Deschide sursa")</x:f>
        <x:v>HYPERLINK is not implemented. linkLocation=file:///Z:/00. Proiecte 2025/AFIR FotoVoltaic 1/outputs/registru-cesiro-2026-10-16/Surse email/E003.txt, friendlyName=Deschide sursa</x:v>
      </x:c>
      <x:c r="N7" s="8" t="str">
        <x:v>Metadatele EVA pot conține duplicate de sincronizare.</x:v>
      </x:c>
    </x:row>
    <x:row r="8" ht="134" customHeight="1">
      <x:c r="A8" s="8" t="str">
        <x:v>E004</x:v>
      </x:c>
      <x:c r="B8" s="13" t="n">
        <x:v>45636.26601851852</x:v>
      </x:c>
      <x:c r="C8" s="8" t="str">
        <x:v>Primit</x:v>
      </x:c>
      <x:c r="D8" s="8" t="str">
        <x:v>AFIR direct</x:v>
      </x:c>
      <x:c r="E8" s="8" t="str">
        <x:v>Notificarea privind selectarea cererii de finantare</x:v>
      </x:c>
      <x:c r="F8" s="8" t="str">
        <x:v>noreply@afir.info</x:v>
      </x:c>
      <x:c r="G8" s="8" t="str"/>
      <x:c r="H8" s="8" t="str"/>
      <x:c r="I8" s="8" t="n">
        <x:v>1</x:v>
      </x:c>
      <x:c r="J8" s="8" t="str">
        <x:v>Stimate Domnule COVACIU COSMIN-ADRIAN, Referitor la cererea de finantare inregistrata la CRFIR-ALBA-IULIA, cu numarul de inregistrare FMSES011011372801030, va transmitem atasat notificarea privind selectarea cererii de finantare, in urma verificarii si evaluarii cererii de finantare depusa in cadrul apelului privind Schema de ajutor privind sprijinirea investitiilor in noi capacitati de producere a energiei electrice produsa din surse regenerabile pentru autoconsumul intreprinderilor din cadrul sectorului agricol si industriei alimentare. Prin urmare, va informam ca urmeaza procesul de semnare al Contractului de Finantare cu Autoritatea Contractanta (AFIR), insotit de anexele aferente. De asemenea va rugam sa confirmati primirea acestui e-mail la adresa Adriana.DURIGA@afir.info. Acest mesaj este transmis in mod automat de catre Agentia pentru Finantarea Investitiilor Rurale (AFIR). Va rugam sa nu raspundeti prin reply la acest mesaj ci doar la adresa de e-mail comunicata anterior. In caz contrar, confirmarea sau raspunsul dumneavoastra nu va ajunge la expertii AFIR. .</x:v>
      </x:c>
      <x:c r="K8" s="8" t="str">
        <x:v>cosmin.covaciu@cesiro.com</x:v>
      </x:c>
      <x:c r="L8" s="8" t="str">
        <x:v>99120b79-7718-434a-8560-3c932768c0d5</x:v>
      </x:c>
      <x:c r="M8" s="8" t="e">
        <x:f>HYPERLINK("file:///Z:/00. Proiecte 2025/AFIR FotoVoltaic 1/outputs/registru-cesiro-2026-10-16/Surse email/E004.txt","Deschide sursa")</x:f>
        <x:v>HYPERLINK is not implemented. linkLocation=file:///Z:/00. Proiecte 2025/AFIR FotoVoltaic 1/outputs/registru-cesiro-2026-10-16/Surse email/E004.txt, friendlyName=Deschide sursa</x:v>
      </x:c>
      <x:c r="N8" s="8" t="str">
        <x:v>Metadatele EVA pot conține duplicate de sincronizare.</x:v>
      </x:c>
    </x:row>
    <x:row r="9" ht="36" customHeight="1">
      <x:c r="A9" s="8" t="str">
        <x:v>E005</x:v>
      </x:c>
      <x:c r="B9" s="13" t="n">
        <x:v>45642.69354166667</x:v>
      </x:c>
      <x:c r="C9" s="8" t="str">
        <x:v>Trimis</x:v>
      </x:c>
      <x:c r="D9" s="8" t="str">
        <x:v>Corespondență conexă</x:v>
      </x:c>
      <x:c r="E9" s="8" t="str">
        <x:v>Cont Cesiro Production </x:v>
      </x:c>
      <x:c r="F9" s="8" t="str">
        <x:v>covaciu.gnm@gmail.com</x:v>
      </x:c>
      <x:c r="G9" s="8" t="str">
        <x:v>oana.baciu@eximbank.ro</x:v>
      </x:c>
      <x:c r="H9" s="8" t="str"/>
      <x:c r="I9" s="8" t="n">
        <x:v>5</x:v>
      </x:c>
      <x:c r="J9" s="8" t="str">
        <x:v>-- Cu Stima Cosmin Covaciu www.ipec.ro Tel. 0040 741119266</x:v>
      </x:c>
      <x:c r="K9" s="8" t="str">
        <x:v>covaciu.gnm@eva-org.com</x:v>
      </x:c>
      <x:c r="L9" s="8" t="str">
        <x:v>3303d79b-1867-451d-8e8d-2190cdf6aa15</x:v>
      </x:c>
      <x:c r="M9" s="8" t="e">
        <x:f>HYPERLINK("file:///Z:/00. Proiecte 2025/AFIR FotoVoltaic 1/outputs/registru-cesiro-2026-10-16/Surse email/E005.txt","Deschide sursa")</x:f>
        <x:v>HYPERLINK is not implemented. linkLocation=file:///Z:/00. Proiecte 2025/AFIR FotoVoltaic 1/outputs/registru-cesiro-2026-10-16/Surse email/E005.txt, friendlyName=Deschide sursa</x:v>
      </x:c>
      <x:c r="N9" s="8" t="str">
        <x:v>Metadatele EVA pot conține duplicate de sincronizare.</x:v>
      </x:c>
    </x:row>
    <x:row r="10" ht="134" customHeight="1">
      <x:c r="A10" s="8" t="str">
        <x:v>E006</x:v>
      </x:c>
      <x:c r="B10" s="13" t="n">
        <x:v>45643.68677083333</x:v>
      </x:c>
      <x:c r="C10" s="8" t="str">
        <x:v>Trimis</x:v>
      </x:c>
      <x:c r="D10" s="8" t="str">
        <x:v>Corespondență conexă</x:v>
      </x:c>
      <x:c r="E10" s="8" t="str">
        <x:v>Re: Cont Cesiro Production</x:v>
      </x:c>
      <x:c r="F10" s="8" t="str">
        <x:v>covaciu.gnm@gmail.com</x:v>
      </x:c>
      <x:c r="G10" s="8" t="str">
        <x:v>oana.baciu@eximbank.ro</x:v>
      </x:c>
      <x:c r="H10" s="8" t="str"/>
      <x:c r="I10" s="8" t="n">
        <x:v>0</x:v>
      </x:c>
      <x:c r="J10" s="8" t="str">
        <x:v>Sarutmana, Va rog frumos sa ne pregatiti pentru subcont si o Adresa emisa de banca cu datele de identificare a acesteia si ale contului in atentia : AGENŢIA PENTRU FINANȚAREA INVESTIȚIILOR RURALE Bucureşti, Str. Știrbei Vodă, nr. 43, Sector 1 ; Tel: 0728.107.516, Tel.: 031 – 860.27.47 E-mail: cabinet@afir.ro, relatii.publice@afir.ro; Web: www.afir.ro legata de Proiectul nr. FMSES011011372801030 Multumesc În mar., 17 dec. 2024 la 09:43, Oana Baciu &lt;oana.baciu@eximbank.ro&gt; a scris: &gt; &gt; &gt; Buna dimineata &gt; &gt; &gt; &gt; Confirm primire documente &gt; &gt; &gt; &gt; O sa va sun daca mai e nevoie de ceva &gt; &gt; &gt; &gt; &gt; &gt; Multumesc &gt; &gt; &gt; &gt; &gt; &gt; OANA &gt; &gt; *From:* Cosmin Covaciu &lt;covaciu.gnm@gmail.com&gt; &gt; *Sent:* Monday, December 16, 2024 6:39 PM &gt; *To:* Oana Baciu &lt;oana.baciu@eximbank.ro&gt; &gt; *Subject:* Cont Cesiro Production &gt; &gt; &gt; &gt; &gt; &gt; &gt; -- &gt; &gt; Cu Stima &gt; &gt; Cosmin Covaciu &gt; www.ipec.ro &gt; Tel. 0040 741119266 &gt; &gt; Prezentul mesaj si orice documente atasate contin informatii confidentiale &gt; conform procedurilor interne ale Exim Banca Romaneasca. Continutul &gt; mesajului nu poate fi dezvaluit sau utilizat de catre altcineva d</x:v>
      </x:c>
      <x:c r="K10" s="8" t="str">
        <x:v>covaciu.gnm@eva-org.com</x:v>
      </x:c>
      <x:c r="L10" s="8" t="str">
        <x:v>5d02f369-5d3d-4aed-861a-5d16484b8cbc</x:v>
      </x:c>
      <x:c r="M10" s="8" t="e">
        <x:f>HYPERLINK("file:///Z:/00. Proiecte 2025/AFIR FotoVoltaic 1/outputs/registru-cesiro-2026-10-16/Surse email/E006.txt","Deschide sursa")</x:f>
        <x:v>HYPERLINK is not implemented. linkLocation=file:///Z:/00. Proiecte 2025/AFIR FotoVoltaic 1/outputs/registru-cesiro-2026-10-16/Surse email/E006.txt, friendlyName=Deschide sursa</x:v>
      </x:c>
      <x:c r="N10" s="8" t="str">
        <x:v>Metadatele EVA pot conține duplicate de sincronizare.</x:v>
      </x:c>
    </x:row>
    <x:row r="11" ht="134" customHeight="1">
      <x:c r="A11" s="8" t="str">
        <x:v>E007</x:v>
      </x:c>
      <x:c r="B11" s="13" t="n">
        <x:v>45643.705462962964</x:v>
      </x:c>
      <x:c r="C11" s="8" t="str">
        <x:v>Trimis</x:v>
      </x:c>
      <x:c r="D11" s="8" t="str">
        <x:v>Corespondență conexă</x:v>
      </x:c>
      <x:c r="E11" s="8" t="str">
        <x:v>Re: FW: Cont Cesiro Production</x:v>
      </x:c>
      <x:c r="F11" s="8" t="str">
        <x:v>covaciu.gnm@gmail.com</x:v>
      </x:c>
      <x:c r="G11" s="8" t="str">
        <x:v>oana.baciu@eximbank.ro</x:v>
      </x:c>
      <x:c r="H11" s="8" t="str"/>
      <x:c r="I11" s="8" t="n">
        <x:v>1</x:v>
      </x:c>
      <x:c r="J11" s="8" t="str">
        <x:v>În mar., 17 dec. 2024 la 14:00, Oana Baciu &lt;oana.baciu@eximbank.ro&gt; a scris: &gt; Buna ziua &gt; &gt; Rog ultimul act constitutive actualizat &gt; &gt; &gt; &gt; Aga rog semnata in original. Eventual cand venim pt deschiderea de cont sa &gt; o semnam in original &gt; &gt; &gt; &gt; Multumim &gt; &gt; &gt; &gt; &gt; &gt; *From:* Cosmin Covaciu &lt;covaciu.gnm@gmail.com&gt; &gt; *Sent:* Monday, December 16, 2024 6:39 PM &gt; *To:* Oana Baciu &lt;oana.baciu@eximbank.ro&gt; &gt; *Subject:* Cont Cesiro Production &gt; &gt; &gt; &gt; &gt; &gt; &gt; -- &gt; &gt; Cu Stima &gt; &gt; Cosmin Covaciu &gt; www.ipec.ro &gt; Tel. 0040 741119266 &gt; &gt; Prezentul mesaj si orice documente atasate contin informatii confidentiale &gt; conform procedurilor interne ale Exim Banca Romaneasca. Continutul &gt; mesajului nu poate fi dezvaluit sau utilizat de catre altcineva decat &gt; destinatarul, persoana fizica sau juridica, informatiile fiind &gt; confidentiale sau privilegiate. In cazul in care nu sunteti destinatarul &gt; mentionat, va aducem la cunostinta ca dezvaluirea, copierea, distribuirea &gt; sau initierea/omiterea unor actiuni pe baza prezentelor informatii sunt &gt; strict interzise si atrag raspunderea civila si/sau penala. Daca</x:v>
      </x:c>
      <x:c r="K11" s="8" t="str">
        <x:v>covaciu.gnm@eva-org.com</x:v>
      </x:c>
      <x:c r="L11" s="8" t="str">
        <x:v>d75f0307-b24f-49ca-b9b8-c41de7591459</x:v>
      </x:c>
      <x:c r="M11" s="8" t="e">
        <x:f>HYPERLINK("file:///Z:/00. Proiecte 2025/AFIR FotoVoltaic 1/outputs/registru-cesiro-2026-10-16/Surse email/E007.txt","Deschide sursa")</x:f>
        <x:v>HYPERLINK is not implemented. linkLocation=file:///Z:/00. Proiecte 2025/AFIR FotoVoltaic 1/outputs/registru-cesiro-2026-10-16/Surse email/E007.txt, friendlyName=Deschide sursa</x:v>
      </x:c>
      <x:c r="N11" s="8" t="str">
        <x:v>Metadatele EVA pot conține duplicate de sincronizare.</x:v>
      </x:c>
    </x:row>
    <x:row r="12" ht="134" customHeight="1">
      <x:c r="A12" s="8" t="str">
        <x:v>E008</x:v>
      </x:c>
      <x:c r="B12" s="13" t="n">
        <x:v>45644.34486111111</x:v>
      </x:c>
      <x:c r="C12" s="8" t="str">
        <x:v>Trimis</x:v>
      </x:c>
      <x:c r="D12" s="8" t="str">
        <x:v>Corespondență conexă</x:v>
      </x:c>
      <x:c r="E12" s="8" t="str">
        <x:v>Re: FW: FW: Cont Cesiro Production</x:v>
      </x:c>
      <x:c r="F12" s="8" t="str">
        <x:v>covaciu.gnm@gmail.com</x:v>
      </x:c>
      <x:c r="G12" s="8" t="str">
        <x:v>oana.baciu@eximbank.ro</x:v>
      </x:c>
      <x:c r="H12" s="8" t="str"/>
      <x:c r="I12" s="8" t="n">
        <x:v>1</x:v>
      </x:c>
      <x:c r="J12" s="8" t="str">
        <x:v>În mie., 18 dec. 2024 la 09:55, Oana Baciu &lt;oana.baciu@eximbank.ro&gt; a scris: &gt; Buna dimineata &gt; &gt; &gt; &gt; Rog si act constitutiv atasat de semnat &gt; &gt; &gt; &gt; &gt; &gt; Multumesc &gt; &gt; &gt; &gt; Identificarea fiscala semnata pentru cont o sa v-o dau dupa ce avem actele &gt; de deschidere cont semnate si cont deschis &gt; &gt; &gt; &gt; Multumesc &gt; &gt; oana &gt; &gt; &gt; &gt; *From:* Cosmin Covaciu &lt;covaciu.gnm@gmail.com&gt; &gt; *Sent:* Tuesday, December 17, 2024 6:56 PM &gt; *To:* Oana Baciu &lt;oana.baciu@eximbank.ro&gt; &gt; *Subject:* Re: FW: Cont Cesiro Production &gt; &gt; &gt; &gt; &gt; &gt; &gt; &gt; În mar., 17 dec. 2024 la 14:00, Oana Baciu &lt;oana.baciu@eximbank.ro&gt; a &gt; scris: &gt; &gt; Buna ziua &gt; &gt; Rog ultimul act constitutive actualizat &gt; &gt; &gt; &gt; Aga rog semnata in original. Eventual cand venim pt deschiderea de cont sa &gt; o semnam in original &gt; &gt; &gt; &gt; Multumim &gt; &gt; &gt; &gt; &gt; &gt; *From:* Cosmin Covaciu &lt;covaciu.gnm@gmail.com&gt; &gt; *Sent:* Monday, December 16, 2024 6:39 PM &gt; *To:* Oana Baciu &lt;oana.baciu@eximbank.ro&gt; &gt; *Subject:* Cont Cesiro Production &gt; &gt; &gt; &gt; &gt; &gt; &gt; -- &gt; &gt; Cu Stima &gt; &gt; Cosmin Covaciu &gt; www.ipec.ro &gt; Tel. 0040 741119266 &gt; &gt; Prezentul mesaj si orice documente atasate co</x:v>
      </x:c>
      <x:c r="K12" s="8" t="str">
        <x:v>covaciu.gnm@eva-org.com</x:v>
      </x:c>
      <x:c r="L12" s="8" t="str">
        <x:v>f61ae942-c559-4638-81ef-58486fe74d7a</x:v>
      </x:c>
      <x:c r="M12" s="8" t="e">
        <x:f>HYPERLINK("file:///Z:/00. Proiecte 2025/AFIR FotoVoltaic 1/outputs/registru-cesiro-2026-10-16/Surse email/E008.txt","Deschide sursa")</x:f>
        <x:v>HYPERLINK is not implemented. linkLocation=file:///Z:/00. Proiecte 2025/AFIR FotoVoltaic 1/outputs/registru-cesiro-2026-10-16/Surse email/E008.txt, friendlyName=Deschide sursa</x:v>
      </x:c>
      <x:c r="N12" s="8" t="str">
        <x:v>Metadatele EVA pot conține duplicate de sincronizare.</x:v>
      </x:c>
    </x:row>
    <x:row r="13" ht="134" customHeight="1">
      <x:c r="A13" s="8" t="str">
        <x:v>E009</x:v>
      </x:c>
      <x:c r="B13" s="13" t="n">
        <x:v>45644.34523148148</x:v>
      </x:c>
      <x:c r="C13" s="8" t="str">
        <x:v>Trimis</x:v>
      </x:c>
      <x:c r="D13" s="8" t="str">
        <x:v>Corespondență conexă</x:v>
      </x:c>
      <x:c r="E13" s="8" t="str">
        <x:v>Re: FW: FW: Cont Cesiro Production</x:v>
      </x:c>
      <x:c r="F13" s="8" t="str">
        <x:v>covaciu.gnm@gmail.com</x:v>
      </x:c>
      <x:c r="G13" s="8" t="str">
        <x:v>oana.baciu@eximbank.ro</x:v>
      </x:c>
      <x:c r="H13" s="8" t="str"/>
      <x:c r="I13" s="8" t="n">
        <x:v>0</x:v>
      </x:c>
      <x:c r="J13" s="8" t="str">
        <x:v>Va rog frumos sa imi dati si datele de contact telefonice. Va multumesc. În mie., 18 dec. 2024 la 10:16, Cosmin Covaciu &lt;covaciu.gnm@gmail.com&gt; a scris: &gt; &gt; &gt; În mie., 18 dec. 2024 la 09:55, Oana Baciu &lt;oana.baciu@eximbank.ro&gt; a &gt; scris: &gt; &gt;&gt; Buna dimineata &gt;&gt; &gt;&gt; &gt;&gt; &gt;&gt; Rog si act constitutiv atasat de semnat &gt;&gt; &gt;&gt; &gt;&gt; &gt;&gt; &gt;&gt; &gt;&gt; Multumesc &gt;&gt; &gt;&gt; &gt;&gt; &gt;&gt; Identificarea fiscala semnata pentru cont o sa v-o dau dupa ce avem &gt;&gt; actele de deschidere cont semnate si cont deschis &gt;&gt; &gt;&gt; &gt;&gt; &gt;&gt; Multumesc &gt;&gt; &gt;&gt; oana &gt;&gt; &gt;&gt; &gt;&gt; &gt;&gt; *From:* Cosmin Covaciu &lt;covaciu.gnm@gmail.com&gt; &gt;&gt; *Sent:* Tuesday, December 17, 2024 6:56 PM &gt;&gt; *To:* Oana Baciu &lt;oana.baciu@eximbank.ro&gt; &gt;&gt; *Subject:* Re: FW: Cont Cesiro Production &gt;&gt; &gt;&gt; &gt;&gt; &gt;&gt; &gt;&gt; &gt;&gt; &gt;&gt; &gt;&gt; În mar., 17 dec. 2024 la 14:00, Oana Baciu &lt;oana.baciu@eximbank.ro&gt; a &gt;&gt; scris: &gt;&gt; &gt;&gt; Buna ziua &gt;&gt; &gt;&gt; Rog ultimul act constitutive actualizat &gt;&gt; &gt;&gt; &gt;&gt; &gt;&gt; Aga rog semnata in original. Eventual cand venim pt deschiderea de cont &gt;&gt; sa o semnam in original &gt;&gt; &gt;&gt; &gt;&gt; &gt;&gt; Multumim &gt;&gt; &gt;&gt; &gt;&gt; &gt;&gt; &gt;&gt; &gt;&gt; *From:* Cosmin Covaciu &lt;covaciu.gnm@gmail.com&gt; &gt;&gt; *Sent:* Monday, December 16, 2024 6</x:v>
      </x:c>
      <x:c r="K13" s="8" t="str">
        <x:v>covaciu.gnm@eva-org.com</x:v>
      </x:c>
      <x:c r="L13" s="8" t="str">
        <x:v>750fde18-5e51-48eb-8b3c-2e7be0029e14</x:v>
      </x:c>
      <x:c r="M13" s="8" t="e">
        <x:f>HYPERLINK("file:///Z:/00. Proiecte 2025/AFIR FotoVoltaic 1/outputs/registru-cesiro-2026-10-16/Surse email/E009.txt","Deschide sursa")</x:f>
        <x:v>HYPERLINK is not implemented. linkLocation=file:///Z:/00. Proiecte 2025/AFIR FotoVoltaic 1/outputs/registru-cesiro-2026-10-16/Surse email/E009.txt, friendlyName=Deschide sursa</x:v>
      </x:c>
      <x:c r="N13" s="8" t="str">
        <x:v>Metadatele EVA pot conține duplicate de sincronizare.</x:v>
      </x:c>
    </x:row>
    <x:row r="14" ht="134" customHeight="1">
      <x:c r="A14" s="8" t="str">
        <x:v>E010</x:v>
      </x:c>
      <x:c r="B14" s="13" t="n">
        <x:v>45644.442766203705</x:v>
      </x:c>
      <x:c r="C14" s="8" t="str">
        <x:v>Trimis</x:v>
      </x:c>
      <x:c r="D14" s="8" t="str">
        <x:v>Corespondență conexă</x:v>
      </x:c>
      <x:c r="E14" s="8" t="str">
        <x:v>Re: FW: FW: Cont Cesiro Production</x:v>
      </x:c>
      <x:c r="F14" s="8" t="str">
        <x:v>covaciu.gnm@gmail.com</x:v>
      </x:c>
      <x:c r="G14" s="8" t="str">
        <x:v>oana.baciu@eximbank.ro</x:v>
      </x:c>
      <x:c r="H14" s="8" t="str"/>
      <x:c r="I14" s="8" t="n">
        <x:v>0</x:v>
      </x:c>
      <x:c r="J14" s="8" t="str">
        <x:v>SKMBT_C28024121812020.pdf &lt;https://drive.google.com/file/d/15AEMz4LlgX2npEqPifrEfGP-9gQ69ZOo/view?usp=drive_web&gt; În mie., 18 dec. 2024 la 10:19, Oana Baciu &lt;oana.baciu@eximbank.ro&gt; a scris: &gt; oana &gt; &gt; Tef 0743781696 &gt; &gt; &gt; &gt; *From:* Cosmin Covaciu &lt;covaciu.gnm@gmail.com&gt; &gt; *Sent:* Wednesday, December 18, 2024 10:17 AM &gt; *To:* Oana Baciu &lt;oana.baciu@eximbank.ro&gt; &gt; *Subject:* Re: FW: FW: Cont Cesiro Production &gt; &gt; &gt; &gt; Va rog frumos sa imi dati si datele de contact telefonice. &gt; Va multumesc. &gt; &gt; &gt; &gt; În mie., 18 dec. 2024 la 10:16, Cosmin Covaciu &lt;covaciu.gnm@gmail.com&gt; a &gt; scris: &gt; &gt; &gt; &gt; &gt; &gt; În mie., 18 dec. 2024 la 09:55, Oana Baciu &lt;oana.baciu@eximbank.ro&gt; a &gt; scris: &gt; &gt; Buna dimineata &gt; &gt; &gt; &gt; Rog si act constitutiv atasat de semnat &gt; &gt; &gt; &gt; &gt; &gt; Multumesc &gt; &gt; &gt; &gt; Identificarea fiscala semnata pentru cont o sa v-o dau dupa ce avem actele &gt; de deschidere cont semnate si cont deschis &gt; &gt; &gt; &gt; Multumesc &gt; &gt; oana &gt; &gt; &gt; &gt; *From:* Cosmin Covaciu &lt;covaciu.gnm@gmail.com&gt; &gt; *Sent:* Tuesday, December 17, 2024 6:56 PM &gt; *To:* Oana Baciu &lt;oana.baciu@eximbank.ro&gt; &gt; *Subject:* Re: FW: Cont Cesiro Prod</x:v>
      </x:c>
      <x:c r="K14" s="8" t="str">
        <x:v>covaciu.gnm@eva-org.com</x:v>
      </x:c>
      <x:c r="L14" s="8" t="str">
        <x:v>7874705b-9fca-44b9-9120-1cc477222b73</x:v>
      </x:c>
      <x:c r="M14" s="8" t="e">
        <x:f>HYPERLINK("file:///Z:/00. Proiecte 2025/AFIR FotoVoltaic 1/outputs/registru-cesiro-2026-10-16/Surse email/E010.txt","Deschide sursa")</x:f>
        <x:v>HYPERLINK is not implemented. linkLocation=file:///Z:/00. Proiecte 2025/AFIR FotoVoltaic 1/outputs/registru-cesiro-2026-10-16/Surse email/E010.txt, friendlyName=Deschide sursa</x:v>
      </x:c>
      <x:c r="N14" s="8" t="str">
        <x:v>Metadatele EVA pot conține duplicate de sincronizare.</x:v>
      </x:c>
    </x:row>
    <x:row r="15" ht="134" customHeight="1">
      <x:c r="A15" s="8" t="str">
        <x:v>E011</x:v>
      </x:c>
      <x:c r="B15" s="13" t="n">
        <x:v>45646.27982638888</x:v>
      </x:c>
      <x:c r="C15" s="8" t="str">
        <x:v>Trimis</x:v>
      </x:c>
      <x:c r="D15" s="8" t="str">
        <x:v>Corespondență conexă</x:v>
      </x:c>
      <x:c r="E15" s="8" t="str">
        <x:v>Re: CESIRO PRODUCTION S.R.L. - Notificare deschidere conturi - Exim Banca Românească S.A.</x:v>
      </x:c>
      <x:c r="F15" s="8" t="str">
        <x:v>cosmin.covaciu@cesiro.com</x:v>
      </x:c>
      <x:c r="G15" s="8" t="str">
        <x:v>diana.marcu@eximbank.ro</x:v>
      </x:c>
      <x:c r="H15" s="8" t="str"/>
      <x:c r="I15" s="8" t="n">
        <x:v>1</x:v>
      </x:c>
      <x:c r="J15" s="8" t="str">
        <x:v>Buna dimineata, Va rog frumos sa imi trimieti o adeverinta cu extrasul de cont semnat electronic. Daca puteti sa verificati daca au intrat banii, sa ne trimiteti extrasul in format pdf, cu semnatura digitala. Multumesc! În 2024-12-19 16:58, Diana Marcu a scris: &gt; Buna ziua, &gt; &gt; Prin prezenta vă informăm că au fost deschise în evidenţele Exim Banca &gt; Românească S.A. urmatorele conturi curente: &gt; &gt; * contul curent in RON avand codul IBAN nr. &gt; RO22BRMA114002541825RO02 &gt; &gt; * contul „CONT PROIECT" in RON avand codul IBAN nr. &gt; RO49BRMA114002541825RO01 &gt; &gt; Multumim, &gt; &gt; Diana Elisabeta MARCU &gt; &gt; Asistent Bancar - Centrul de Afaceri Sibiu &gt; &gt; Exim Banca Românească S.A. &gt; &gt; Bd. General Vasile Milea, bl. 12 &gt; &gt; Cod 550325 [1], Sibiu &gt; &gt; Tel.: +40 21 40 56 772 &gt; &gt; E-mail: diana.marcu@eximbank.ro &gt; &gt; Prezentul mesaj si orice documente atasate contin informatii &gt; confidentiale conform procedurilor interne ale Exim Banca Romaneasca. &gt; Continutul mesajului nu poate fi dezvaluit sau utilizat de catre &gt; altcineva decat destinatarul, persoana fizica sau juridica, &gt; informatiile fiind confidentiale s</x:v>
      </x:c>
      <x:c r="K15" s="8" t="str">
        <x:v>cosmin.covaciu@cesiro.com</x:v>
      </x:c>
      <x:c r="L15" s="8" t="str">
        <x:v>cc0ebccb-aafa-4b91-badf-7a4959d98262</x:v>
      </x:c>
      <x:c r="M15" s="8" t="e">
        <x:f>HYPERLINK("file:///Z:/00. Proiecte 2025/AFIR FotoVoltaic 1/outputs/registru-cesiro-2026-10-16/Surse email/E011.txt","Deschide sursa")</x:f>
        <x:v>HYPERLINK is not implemented. linkLocation=file:///Z:/00. Proiecte 2025/AFIR FotoVoltaic 1/outputs/registru-cesiro-2026-10-16/Surse email/E011.txt, friendlyName=Deschide sursa</x:v>
      </x:c>
      <x:c r="N15" s="8" t="str">
        <x:v>Metadatele EVA pot conține duplicate de sincronizare.</x:v>
      </x:c>
    </x:row>
    <x:row r="16" ht="134" customHeight="1">
      <x:c r="A16" s="8" t="str">
        <x:v>E012</x:v>
      </x:c>
      <x:c r="B16" s="13" t="n">
        <x:v>45656.2750462963</x:v>
      </x:c>
      <x:c r="C16" s="8" t="str">
        <x:v>Primit</x:v>
      </x:c>
      <x:c r="D16" s="8" t="str">
        <x:v>AFIR direct</x:v>
      </x:c>
      <x:c r="E16" s="8" t="str">
        <x:v>Informare privind transmiterea contractului de finantare semnat de
 Autoritatea Contractanta</x:v>
      </x:c>
      <x:c r="F16" s="8" t="str">
        <x:v>noreply@afir.info</x:v>
      </x:c>
      <x:c r="G16" s="8" t="str"/>
      <x:c r="H16" s="8" t="str"/>
      <x:c r="I16" s="8" t="n">
        <x:v>5</x:v>
      </x:c>
      <x:c r="J16" s="8" t="str">
        <x:v>Stimate Domnule COVACIU COSMIN-ADRIAN, Referitor la cererea de finantare inregistrata la CRFIR-ALBA-IULIA, cu numarul de inregistrare FMSES011011372801030 si titlul IMPLEMENTAREA SISTEMULUI FOTOVOLTAIC 1 MW PENTRU AUTOCONSUM PENTRU FABRICA DE PRELUCRARE A NUCILOR, ALUNELOR, PISTACIO ȘI MIGDALELOR, va transmitem atasat Contractul de Finantare si Anexele aferente, precum si Nota de indrumare in vederea implementarii cu succes a proiectului. Va informam astfel, ca in termen de maximum 2 zile lucratoare de la comunicarea pe e-mail a contractului de finantare si a anexelor, aveti obligatia de a transmite Autoritatii Contractante, prin intermediul sistemului de depunere-online , Contractul de Finantare semnat electronic de catre reprezentantul legal. In cazul in care nu acceptati finantarea nerambursabila SAU nu transmiteti contractul de finantare semnat electronic SAU nu notificati AFIR in aceasta perioada, se considera ca renuntati la sprijinul financiar. Va multumim pentru interesul pe care il manifestati in legatura cu PS 2023-2027. Acest mesaj este transmis in mod automat de catre Age</x:v>
      </x:c>
      <x:c r="K16" s="8" t="str">
        <x:v>cosmin.covaciu@cesiro.com</x:v>
      </x:c>
      <x:c r="L16" s="8" t="str">
        <x:v>6d17197d-ccc3-41e1-a9f3-43855d552639</x:v>
      </x:c>
      <x:c r="M16" s="8" t="e">
        <x:f>HYPERLINK("file:///Z:/00. Proiecte 2025/AFIR FotoVoltaic 1/outputs/registru-cesiro-2026-10-16/Surse email/E012.txt","Deschide sursa")</x:f>
        <x:v>HYPERLINK is not implemented. linkLocation=file:///Z:/00. Proiecte 2025/AFIR FotoVoltaic 1/outputs/registru-cesiro-2026-10-16/Surse email/E012.txt, friendlyName=Deschide sursa</x:v>
      </x:c>
      <x:c r="N16" s="8" t="str">
        <x:v>Metadatele EVA pot conține duplicate de sincronizare.</x:v>
      </x:c>
    </x:row>
    <x:row r="17" ht="36" customHeight="1">
      <x:c r="A17" s="8" t="str">
        <x:v>E013</x:v>
      </x:c>
      <x:c r="B17" s="13" t="n">
        <x:v>45667.329189814816</x:v>
      </x:c>
      <x:c r="C17" s="8" t="str">
        <x:v>Trimis</x:v>
      </x:c>
      <x:c r="D17" s="8" t="str">
        <x:v>Corespondență conexă</x:v>
      </x:c>
      <x:c r="E17" s="8" t="str">
        <x:v>Cesiro Production</x:v>
      </x:c>
      <x:c r="F17" s="8" t="str">
        <x:v>cosmin.covaciu@ipec.ro</x:v>
      </x:c>
      <x:c r="G17" s="8" t="str">
        <x:v>oana.baciu@eximbank.ro</x:v>
      </x:c>
      <x:c r="H17" s="8" t="str"/>
      <x:c r="I17" s="8" t="n">
        <x:v>1</x:v>
      </x:c>
      <x:c r="J17" s="8" t="str">
        <x:v>FISA PROIECT Sent from my iPhone</x:v>
      </x:c>
      <x:c r="K17" s="8" t="str">
        <x:v>cosmin.covaciu@ipec.ro</x:v>
      </x:c>
      <x:c r="L17" s="8" t="str">
        <x:v>358e4e45-f58e-4b75-8799-f01aa527bf5d</x:v>
      </x:c>
      <x:c r="M17" s="8" t="e">
        <x:f>HYPERLINK("file:///Z:/00. Proiecte 2025/AFIR FotoVoltaic 1/outputs/registru-cesiro-2026-10-16/Surse email/E013.txt","Deschide sursa")</x:f>
        <x:v>HYPERLINK is not implemented. linkLocation=file:///Z:/00. Proiecte 2025/AFIR FotoVoltaic 1/outputs/registru-cesiro-2026-10-16/Surse email/E013.txt, friendlyName=Deschide sursa</x:v>
      </x:c>
      <x:c r="N17" s="8" t="str">
        <x:v>Metadatele EVA pot conține duplicate de sincronizare.</x:v>
      </x:c>
    </x:row>
    <x:row r="18" ht="50" customHeight="1">
      <x:c r="A18" s="8" t="str">
        <x:v>E014</x:v>
      </x:c>
      <x:c r="B18" s="13" t="n">
        <x:v>45670.57434027777</x:v>
      </x:c>
      <x:c r="C18" s="8" t="str">
        <x:v>Trimis</x:v>
      </x:c>
      <x:c r="D18" s="8" t="str">
        <x:v>Corespondență conexă</x:v>
      </x:c>
      <x:c r="E18" s="8" t="str">
        <x:v>Fwd: Proiect AFIR</x:v>
      </x:c>
      <x:c r="F18" s="8" t="str">
        <x:v>covaciu.gnm@gmail.com</x:v>
      </x:c>
      <x:c r="G18" s="8" t="str">
        <x:v>Mihai.Martis@eximbank.ro</x:v>
      </x:c>
      <x:c r="H18" s="8" t="str"/>
      <x:c r="I18" s="8" t="n">
        <x:v>0</x:v>
      </x:c>
      <x:c r="J18" s="8" t="str">
        <x:v>---------- Forwarded message --------- De la: NICOLAE FENISER &lt;optimmanagementproiect@gmail.com&gt; Date: vin., 10 ian. 2025 la 14:14 Subject: Proiect AFIR To: covaciu.gnm@gmail.com &lt;covaciu.gnm@gmail.com&gt; Proiect AFIR.zip &lt;https://drive.google.com/file/d/1xPVEEiEKDf6jhsf6SSNz15YOyVnN-_Sq/view?usp=drive_web&gt; -- Cu Stima Cosmin Covaciu www.ipec.ro Tel. 0040 741119266</x:v>
      </x:c>
      <x:c r="K18" s="8" t="str">
        <x:v>covaciu.gnm@eva-org.com</x:v>
      </x:c>
      <x:c r="L18" s="8" t="str">
        <x:v>81de286b-752d-4a6c-a409-19facec1c8b8</x:v>
      </x:c>
      <x:c r="M18" s="8" t="e">
        <x:f>HYPERLINK("file:///Z:/00. Proiecte 2025/AFIR FotoVoltaic 1/outputs/registru-cesiro-2026-10-16/Surse email/E014.txt","Deschide sursa")</x:f>
        <x:v>HYPERLINK is not implemented. linkLocation=file:///Z:/00. Proiecte 2025/AFIR FotoVoltaic 1/outputs/registru-cesiro-2026-10-16/Surse email/E014.txt, friendlyName=Deschide sursa</x:v>
      </x:c>
      <x:c r="N18" s="8" t="str">
        <x:v>Metadatele EVA pot conține duplicate de sincronizare.</x:v>
      </x:c>
    </x:row>
    <x:row r="19" ht="78" customHeight="1">
      <x:c r="A19" s="8" t="str">
        <x:v>E015</x:v>
      </x:c>
      <x:c r="B19" s="13" t="n">
        <x:v>45691.61357638889</x:v>
      </x:c>
      <x:c r="C19" s="8" t="str">
        <x:v>Primit</x:v>
      </x:c>
      <x:c r="D19" s="8" t="str">
        <x:v>Corespondență conexă</x:v>
      </x:c>
      <x:c r="E19" s="8" t="str">
        <x:v>Fwd: Oferta 1MW montaj terasa</x:v>
      </x:c>
      <x:c r="F19" s="8" t="str">
        <x:v>office@suntree.ro</x:v>
      </x:c>
      <x:c r="G19" s="8" t="str">
        <x:v>covaciu.gnm@gmail.com</x:v>
      </x:c>
      <x:c r="H19" s="8" t="str"/>
      <x:c r="I19" s="8" t="n">
        <x:v>15</x:v>
      </x:c>
      <x:c r="J19" s="8" t="str">
        <x:v>---------- Mesaj redirecționat --------- De la: Iacobus Cristian &lt;cristi.iacobus@zonetecsolar.ro&gt; Data: lun., 3 feb. 2025 la 14:27 Subiect: Oferta 1MW montaj terasa Către: office@suntree.ro &lt;office@suntree.ro&gt; Salut, Atasat regasesti ofertele tehnice si comerciale propuse. Mai astept o varianta de stocare de la Canadian Solar, cand mai am noutati te anunt. Cristian Iacobus Manager Vanzari – Energie Verde +4 0754 064 951 cristian.iacobus@zonetecsolar.ro Calea Moinesti, nr. 34, Pavilion Administrativ, et. 3, 600281, Bacau +4 0374 477 207 ✆ +4 0788 080 807 info@zonetecsolar.ro zonetecsolar.ro</x:v>
      </x:c>
      <x:c r="K19" s="8" t="str">
        <x:v>covaciu.gnm@eva-org.com</x:v>
      </x:c>
      <x:c r="L19" s="8" t="str">
        <x:v>edbfb35b-c604-4fdd-b1f0-598fdd4890fb</x:v>
      </x:c>
      <x:c r="M19" s="8" t="e">
        <x:f>HYPERLINK("file:///Z:/00. Proiecte 2025/AFIR FotoVoltaic 1/outputs/registru-cesiro-2026-10-16/Surse email/E015.txt","Deschide sursa")</x:f>
        <x:v>HYPERLINK is not implemented. linkLocation=file:///Z:/00. Proiecte 2025/AFIR FotoVoltaic 1/outputs/registru-cesiro-2026-10-16/Surse email/E015.txt, friendlyName=Deschide sursa</x:v>
      </x:c>
      <x:c r="N19" s="8" t="str">
        <x:v>Metadatele EVA pot conține duplicate de sincronizare.</x:v>
      </x:c>
    </x:row>
    <x:row r="20" ht="134" customHeight="1">
      <x:c r="A20" s="8" t="str">
        <x:v>E016</x:v>
      </x:c>
      <x:c r="B20" s="13" t="n">
        <x:v>45712.455613425926</x:v>
      </x:c>
      <x:c r="C20" s="8" t="str">
        <x:v>Trimis</x:v>
      </x:c>
      <x:c r="D20" s="8" t="str">
        <x:v>Corespondență conexă</x:v>
      </x:c>
      <x:c r="E20" s="8" t="str">
        <x:v>RE: CESIRO PRODUCTION  SRL - grup IPEC SA</x:v>
      </x:c>
      <x:c r="F20" s="8" t="str">
        <x:v>covaciu.gnm@gmail.com</x:v>
      </x:c>
      <x:c r="G20" s="8" t="str">
        <x:v>oana.baciu@eximbank.ro</x:v>
      </x:c>
      <x:c r="H20" s="8" t="str"/>
      <x:c r="I20" s="8" t="n">
        <x:v>2</x:v>
      </x:c>
      <x:c r="J20" s="8" t="str">
        <x:v>De la: Oana Baciu &lt;oana.baciu@eximbank.ro&gt; Trimis: joi, 20 februarie 2025 14:55 Către: covaciu.gnm@gmail.com Cc: Mihai Martis &lt;Mihai.Martis@eximbank.ro&gt; Subiect: FW: CESIRO PRODUCTION SRL - grup IPEC SA Buna ziua Dorim contractul de comodat/inchiriere sau orice altceva exista pt spatiu unde se va desfasura activitatea. Suprafata si cum e dotat O fisa tehnica/proforma pt utilajele achizitionatwe. Daca mai dotati spatiul cu ceva va rog sa ne spuneti ce investitii mai faceti Balanta de verificare la dec 2023 si dec 2024 Fisa mijloacelor fixe daca s-au receptionat deja utilajele Multumim Prezentul mesaj si orice documente atasate contin informatii confidentiale conform procedurilor interne ale Exim Banca Romaneasca. Continutul mesajului nu poate fi dezvaluit sau utilizat de catre altcineva decat destinatarul, persoana fizica sau juridica, informatiile fiind confidentiale sau privilegiate. In cazul in care nu sunteti destinatarul mentionat, va aducem la cunostinta ca dezvaluirea, copierea, distribuirea sau initierea/omiterea unor actiuni pe baza prezentelor informatii sunt strict interzis</x:v>
      </x:c>
      <x:c r="K20" s="8" t="str">
        <x:v>covaciu.gnm@eva-org.com</x:v>
      </x:c>
      <x:c r="L20" s="8" t="str">
        <x:v>6299fb51-f96b-4e91-a927-fa57dd75fb2a</x:v>
      </x:c>
      <x:c r="M20" s="8" t="e">
        <x:f>HYPERLINK("file:///Z:/00. Proiecte 2025/AFIR FotoVoltaic 1/outputs/registru-cesiro-2026-10-16/Surse email/E016.txt","Deschide sursa")</x:f>
        <x:v>HYPERLINK is not implemented. linkLocation=file:///Z:/00. Proiecte 2025/AFIR FotoVoltaic 1/outputs/registru-cesiro-2026-10-16/Surse email/E016.txt, friendlyName=Deschide sursa</x:v>
      </x:c>
      <x:c r="N20" s="8" t="str">
        <x:v>Metadatele EVA pot conține duplicate de sincronizare.</x:v>
      </x:c>
    </x:row>
    <x:row r="21" ht="134" customHeight="1">
      <x:c r="A21" s="8" t="str">
        <x:v>E017</x:v>
      </x:c>
      <x:c r="B21" s="13" t="n">
        <x:v>45716.4833912037</x:v>
      </x:c>
      <x:c r="C21" s="8" t="str">
        <x:v>Trimis</x:v>
      </x:c>
      <x:c r="D21" s="8" t="str">
        <x:v>AFIR direct</x:v>
      </x:c>
      <x:c r="E21" s="8" t="str">
        <x:v>RE: SF</x:v>
      </x:c>
      <x:c r="F21" s="8" t="str">
        <x:v>cosmin.covaciu@cesiro.com</x:v>
      </x:c>
      <x:c r="G21" s="8" t="str">
        <x:v>Adriana.DURIGA@afir.info</x:v>
      </x:c>
      <x:c r="H21" s="8" t="str"/>
      <x:c r="I21" s="8" t="n">
        <x:v>1</x:v>
      </x:c>
      <x:c r="J21" s="8" t="str">
        <x:v>Link-ul unde ar tb sa urc documente nu mai functioneaza. Ma puteti instrui daca mai trebuie sa urc SF-ul ? sau este urcat de dvs ? De la: Adriana DURIGA &lt;Adriana.DURIGA@afir.info&gt; Trimis: miercuri, 26 februarie 2025 17:00 Către: cosmin.covaciu@cesiro.com Subiect: RE: SF Bună ziua, Vă rog confirmați primirea documentului, Mulțumesc. Adriana Silvia DURIGĂ Expert Serviciul Infrastructură de Bază și Acces CRFIR 7 Centru Alba Iulia Telefon: 0358-860.261, Interior (CISCO): 58161 e-mail: adriana.duriga@afir.info &lt;mailto:adriana.duriga@afir.info&gt; Adresa: Alba Iulia, str. A.I.Cuza, Nr. 23, jud. Alba From: cosmin.covaciu@cesiro.com &lt;mailto:cosmin.covaciu@cesiro.com&gt; &lt;cosmin.covaciu@cesiro.com &lt;mailto:cosmin.covaciu@cesiro.com&gt; &gt; Sent: 26 February 2025 14:32 To: Adriana DURIGA &lt;Adriana.DURIGA@afir.info &lt;mailto:Adriana.DURIGA@afir.info&gt; &gt; Subject: RE: SF *** ATENȚIE, ACESTA ESTE UN EMAIL EXTERN: Vă rugăm să accesați link-urile sau să deschideți atașamentele DOAR în cazul în care cunoașteți expeditorul. *** Scuze am trimis documentul de lângă. De la: Adriana DURIGA &lt;Adriana.DURIGA@afir.info &lt;mail</x:v>
      </x:c>
      <x:c r="K21" s="8" t="str">
        <x:v>cosmin.covaciu@cesiro.com</x:v>
      </x:c>
      <x:c r="L21" s="8" t="str">
        <x:v>1df0ce9b-cbaf-401e-b3f3-da0e8b07325a</x:v>
      </x:c>
      <x:c r="M21" s="8" t="e">
        <x:f>HYPERLINK("file:///Z:/00. Proiecte 2025/AFIR FotoVoltaic 1/outputs/registru-cesiro-2026-10-16/Surse email/E017.txt","Deschide sursa")</x:f>
        <x:v>HYPERLINK is not implemented. linkLocation=file:///Z:/00. Proiecte 2025/AFIR FotoVoltaic 1/outputs/registru-cesiro-2026-10-16/Surse email/E017.txt, friendlyName=Deschide sursa</x:v>
      </x:c>
      <x:c r="N21" s="8" t="str">
        <x:v>Metadatele EVA pot conține duplicate de sincronizare.</x:v>
      </x:c>
    </x:row>
    <x:row r="22" ht="134" customHeight="1">
      <x:c r="A22" s="8" t="str">
        <x:v>E018</x:v>
      </x:c>
      <x:c r="B22" s="13" t="n">
        <x:v>45719.48918981482</x:v>
      </x:c>
      <x:c r="C22" s="8" t="str">
        <x:v>Trimis</x:v>
      </x:c>
      <x:c r="D22" s="8" t="str">
        <x:v>Corespondență conexă</x:v>
      </x:c>
      <x:c r="E22" s="8" t="str">
        <x:v>FW: CERERE DE MODIFICARE A TITULARULUI AVIZULUI TEHNIC DE RACORDARE (ATR)</x:v>
      </x:c>
      <x:c r="F22" s="8" t="str">
        <x:v>cosmin.covaciu@cesiro.com</x:v>
      </x:c>
      <x:c r="G22" s="8" t="str">
        <x:v>nicosfeni@gmail.com</x:v>
      </x:c>
      <x:c r="H22" s="8" t="str"/>
      <x:c r="I22" s="8" t="n">
        <x:v>7</x:v>
      </x:c>
      <x:c r="J22" s="8" t="str">
        <x:v>De la: cosmin.covaciu@cesiro.com &lt;cosmin.covaciu@cesiro.com&gt; Trimis: sâmbătă, 1 februarie 2025 12:00 Către: office.mures@distributie-energie.ro Cc: cosmin.covaciu@ipec.ro Subiect: CERERE DE MODIFICARE A TITULARULUI AVIZULUI TEHNIC DE RACORDARE (ATR) CERERE DE MODIFICARE A TITULARULUI AVIZULUI TEHNIC DE RACORDARE (ATR) _____ Către: Distribuție Energie Electrică România S.A. - Sucursala Mureș Adresă: Str. Călărașilor nr. 103, Târgu Mureș, județul Mureș E-mail: office.mures@distributie-energie.ro &lt;mailto:office.mures@distributie-energie.ro&gt; Telefon: 0265 205703 Fax: 0265 205704 _____ Subiect: Solicitare modificare titular ATR de la CESIRO SA la CESIRO PRODUCTION SRL I. Date solicitant: CESIRO PRODUCTION SRL Sediu social: Municipiul Alba Iulia, Strada THEODOR PALLADY, Nr. 5, Jud. Alba CUI: 45050734 Telefon: 0741119266 E-mail: &lt;mailto:cesiro.horeca@gmail.com&gt; cesiro.horeca@gmail.com Administrator: Cosmin-Adrian Covaciu _____ II. Motivația solicitării Subsemnatul, Cosmin-Adrian Covaciu, în calitate de administrator al CESIRO PRODUCTION SRL, vă solicităm modificarea titularului Avizului Teh</x:v>
      </x:c>
      <x:c r="K22" s="8" t="str">
        <x:v>cosmin.covaciu@cesiro.com</x:v>
      </x:c>
      <x:c r="L22" s="8" t="str">
        <x:v>71632e15-eff8-40b3-929b-e4313a62d318</x:v>
      </x:c>
      <x:c r="M22" s="8" t="e">
        <x:f>HYPERLINK("file:///Z:/00. Proiecte 2025/AFIR FotoVoltaic 1/outputs/registru-cesiro-2026-10-16/Surse email/E018.txt","Deschide sursa")</x:f>
        <x:v>HYPERLINK is not implemented. linkLocation=file:///Z:/00. Proiecte 2025/AFIR FotoVoltaic 1/outputs/registru-cesiro-2026-10-16/Surse email/E018.txt, friendlyName=Deschide sursa</x:v>
      </x:c>
      <x:c r="N22" s="8" t="str">
        <x:v>Metadatele EVA pot conține duplicate de sincronizare.</x:v>
      </x:c>
    </x:row>
    <x:row r="23" ht="36" customHeight="1">
      <x:c r="A23" s="8" t="str">
        <x:v>E019</x:v>
      </x:c>
      <x:c r="B23" s="13" t="n">
        <x:v>45800.36072916667</x:v>
      </x:c>
      <x:c r="C23" s="8" t="str">
        <x:v>Primit</x:v>
      </x:c>
      <x:c r="D23" s="8" t="str">
        <x:v>AFIR direct</x:v>
      </x:c>
      <x:c r="E23" s="8" t="str">
        <x:v>ATR</x:v>
      </x:c>
      <x:c r="F23" s="8" t="str">
        <x:v>covaciu.gnm@gmail.com</x:v>
      </x:c>
      <x:c r="G23" s="8" t="str">
        <x:v>Adriana.DURIGA@afir.info</x:v>
      </x:c>
      <x:c r="H23" s="8" t="str"/>
      <x:c r="I23" s="8" t="n">
        <x:v>1</x:v>
      </x:c>
      <x:c r="J23" s="8" t="str">
        <x:v>Bună ziua, Vă rog confirmați primirea documentului ATR Prosumator CESIRO PRODUCTION SRL, Mulțumesc. Cosmin Covaciu</x:v>
      </x:c>
      <x:c r="K23" s="8" t="str">
        <x:v>covaciu.gnm@eva-org.com</x:v>
      </x:c>
      <x:c r="L23" s="8" t="str">
        <x:v>ccab6a46-6728-4cf0-aef1-a4bd851896f3</x:v>
      </x:c>
      <x:c r="M23" s="8" t="e">
        <x:f>HYPERLINK("file:///Z:/00. Proiecte 2025/AFIR FotoVoltaic 1/outputs/registru-cesiro-2026-10-16/Surse email/E019.txt","Deschide sursa")</x:f>
        <x:v>HYPERLINK is not implemented. linkLocation=file:///Z:/00. Proiecte 2025/AFIR FotoVoltaic 1/outputs/registru-cesiro-2026-10-16/Surse email/E019.txt, friendlyName=Deschide sursa</x:v>
      </x:c>
      <x:c r="N23" s="8" t="str">
        <x:v>Metadatele EVA pot conține duplicate de sincronizare.</x:v>
      </x:c>
    </x:row>
    <x:row r="24" ht="36" customHeight="1">
      <x:c r="A24" s="8" t="str">
        <x:v>E020</x:v>
      </x:c>
      <x:c r="B24" s="13" t="n">
        <x:v>45800.36072916667</x:v>
      </x:c>
      <x:c r="C24" s="8" t="str">
        <x:v>Trimis</x:v>
      </x:c>
      <x:c r="D24" s="8" t="str">
        <x:v>AFIR direct</x:v>
      </x:c>
      <x:c r="E24" s="8" t="str">
        <x:v>ATR</x:v>
      </x:c>
      <x:c r="F24" s="8" t="str">
        <x:v>covaciu.gnm@gmail.com</x:v>
      </x:c>
      <x:c r="G24" s="8" t="str">
        <x:v>Adriana.DURIGA@afir.info</x:v>
      </x:c>
      <x:c r="H24" s="8" t="str"/>
      <x:c r="I24" s="8" t="n">
        <x:v>1</x:v>
      </x:c>
      <x:c r="J24" s="8" t="str">
        <x:v>Bună ziua, Vă rog confirmați primirea documentului ATR Prosumator CESIRO PRODUCTION SRL, Mulțumesc. Cosmin Covaciu</x:v>
      </x:c>
      <x:c r="K24" s="8" t="str">
        <x:v>covaciu.gnm@eva-org.com</x:v>
      </x:c>
      <x:c r="L24" s="8" t="str">
        <x:v>e8413a55-bf8e-4625-b15e-00b88dbb0b7f</x:v>
      </x:c>
      <x:c r="M24" s="8" t="e">
        <x:f>HYPERLINK("file:///Z:/00. Proiecte 2025/AFIR FotoVoltaic 1/outputs/registru-cesiro-2026-10-16/Surse email/E020.txt","Deschide sursa")</x:f>
        <x:v>HYPERLINK is not implemented. linkLocation=file:///Z:/00. Proiecte 2025/AFIR FotoVoltaic 1/outputs/registru-cesiro-2026-10-16/Surse email/E020.txt, friendlyName=Deschide sursa</x:v>
      </x:c>
      <x:c r="N24" s="8" t="str">
        <x:v>Metadatele EVA pot conține duplicate de sincronizare.</x:v>
      </x:c>
    </x:row>
    <x:row r="25" ht="120" customHeight="1">
      <x:c r="A25" s="8" t="str">
        <x:v>E021</x:v>
      </x:c>
      <x:c r="B25" s="13" t="n">
        <x:v>45800.49353009259</x:v>
      </x:c>
      <x:c r="C25" s="8" t="str">
        <x:v>Trimis</x:v>
      </x:c>
      <x:c r="D25" s="8" t="str">
        <x:v>Corespondență conexă</x:v>
      </x:c>
      <x:c r="E25" s="8" t="str">
        <x:v>FW: ATR</x:v>
      </x:c>
      <x:c r="F25" s="8" t="str">
        <x:v>covaciu.gnm@gmail.com</x:v>
      </x:c>
      <x:c r="G25" s="8" t="str">
        <x:v>nicosfeni@gmail.com</x:v>
      </x:c>
      <x:c r="H25" s="8" t="str"/>
      <x:c r="I25" s="8" t="n">
        <x:v>1</x:v>
      </x:c>
      <x:c r="J25" s="8" t="str">
        <x:v>De la: Adriana DURIGA &lt;Adriana.DURIGA@afir.info&gt; Trimis: vineri, 23 mai 2025 12:04 Către: covaciu.gnm@gmail.com Subiect: RE: ATR Am primit, mulțumesc. Adriana Silvia DURIGĂ Expert Serviciul Infrastructură de Bază și Acces CRFIR 7 Centru Alba Iulia Telefon: 0358-860.261, Interior (CISCO): 58161 e-mail: &lt;mailto:adriana.duriga@afir.info&gt; adriana.duriga@afir.info Adresa: Alba Iulia, str. A.I.Cuza, Nr. 23, jud. Alba From: covaciu.gnm@gmail.com &lt;mailto:covaciu.gnm@gmail.com&gt; &lt;covaciu.gnm@gmail.com &lt;mailto:covaciu.gnm@gmail.com&gt; &gt; Sent: Friday, May 23, 2025 11:39 AM To: Adriana DURIGA &lt;Adriana.DURIGA@afir.info &lt;mailto:Adriana.DURIGA@afir.info&gt; &gt; Subject: ATR *** ATENȚIE, ACESTA ESTE UN EMAIL EXTERN: Vă rugăm să accesați link-urile sau să deschideți atașamentele DOAR în cazul în care cunoașteți expeditorul. *** Bună ziua, Vă rog confirmați primirea documentului ATR Prosumator CESIRO PRODUCTION SRL, Mulțumesc. Cosmin Covaciu</x:v>
      </x:c>
      <x:c r="K25" s="8" t="str">
        <x:v>covaciu.gnm@eva-org.com</x:v>
      </x:c>
      <x:c r="L25" s="8" t="str">
        <x:v>25a0d2a0-53a6-4fdc-869b-66c6e0266ab2</x:v>
      </x:c>
      <x:c r="M25" s="8" t="e">
        <x:f>HYPERLINK("file:///Z:/00. Proiecte 2025/AFIR FotoVoltaic 1/outputs/registru-cesiro-2026-10-16/Surse email/E021.txt","Deschide sursa")</x:f>
        <x:v>HYPERLINK is not implemented. linkLocation=file:///Z:/00. Proiecte 2025/AFIR FotoVoltaic 1/outputs/registru-cesiro-2026-10-16/Surse email/E021.txt, friendlyName=Deschide sursa</x:v>
      </x:c>
      <x:c r="N25" s="8" t="str">
        <x:v>Metadatele EVA pot conține duplicate de sincronizare.</x:v>
      </x:c>
    </x:row>
    <x:row r="26" ht="120" customHeight="1">
      <x:c r="A26" s="8" t="str">
        <x:v>E022</x:v>
      </x:c>
      <x:c r="B26" s="13" t="n">
        <x:v>45800.49353009259</x:v>
      </x:c>
      <x:c r="C26" s="8" t="str">
        <x:v>Primit</x:v>
      </x:c>
      <x:c r="D26" s="8" t="str">
        <x:v>Corespondență conexă</x:v>
      </x:c>
      <x:c r="E26" s="8" t="str">
        <x:v>FW: ATR</x:v>
      </x:c>
      <x:c r="F26" s="8" t="str">
        <x:v>covaciu.gnm@gmail.com</x:v>
      </x:c>
      <x:c r="G26" s="8" t="str">
        <x:v>nicosfeni@gmail.com</x:v>
      </x:c>
      <x:c r="H26" s="8" t="str"/>
      <x:c r="I26" s="8" t="n">
        <x:v>1</x:v>
      </x:c>
      <x:c r="J26" s="8" t="str">
        <x:v>De la: Adriana DURIGA &lt;Adriana.DURIGA@afir.info&gt; Trimis: vineri, 23 mai 2025 12:04 Către: covaciu.gnm@gmail.com Subiect: RE: ATR Am primit, mulțumesc. Adriana Silvia DURIGĂ Expert Serviciul Infrastructură de Bază și Acces CRFIR 7 Centru Alba Iulia Telefon: 0358-860.261, Interior (CISCO): 58161 e-mail: &lt;mailto:adriana.duriga@afir.info&gt; adriana.duriga@afir.info Adresa: Alba Iulia, str. A.I.Cuza, Nr. 23, jud. Alba From: covaciu.gnm@gmail.com &lt;mailto:covaciu.gnm@gmail.com&gt; &lt;covaciu.gnm@gmail.com &lt;mailto:covaciu.gnm@gmail.com&gt; &gt; Sent: Friday, May 23, 2025 11:39 AM To: Adriana DURIGA &lt;Adriana.DURIGA@afir.info &lt;mailto:Adriana.DURIGA@afir.info&gt; &gt; Subject: ATR *** ATENȚIE, ACESTA ESTE UN EMAIL EXTERN: Vă rugăm să accesați link-urile sau să deschideți atașamentele DOAR în cazul în care cunoașteți expeditorul. *** Bună ziua, Vă rog confirmați primirea documentului ATR Prosumator CESIRO PRODUCTION SRL, Mulțumesc. Cosmin Covaciu</x:v>
      </x:c>
      <x:c r="K26" s="8" t="str">
        <x:v>covaciu.gnm@eva-org.com</x:v>
      </x:c>
      <x:c r="L26" s="8" t="str">
        <x:v>fca3cb97-b0e0-4bef-81b2-74ce68d33f02</x:v>
      </x:c>
      <x:c r="M26" s="8" t="e">
        <x:f>HYPERLINK("file:///Z:/00. Proiecte 2025/AFIR FotoVoltaic 1/outputs/registru-cesiro-2026-10-16/Surse email/E022.txt","Deschide sursa")</x:f>
        <x:v>HYPERLINK is not implemented. linkLocation=file:///Z:/00. Proiecte 2025/AFIR FotoVoltaic 1/outputs/registru-cesiro-2026-10-16/Surse email/E022.txt, friendlyName=Deschide sursa</x:v>
      </x:c>
      <x:c r="N26" s="8" t="str">
        <x:v>Metadatele EVA pot conține duplicate de sincronizare.</x:v>
      </x:c>
    </x:row>
    <x:row r="27" ht="134" customHeight="1">
      <x:c r="A27" s="8" t="str">
        <x:v>E023</x:v>
      </x:c>
      <x:c r="B27" s="13" t="n">
        <x:v>45853.595555555556</x:v>
      </x:c>
      <x:c r="C27" s="8" t="str">
        <x:v>Primit</x:v>
      </x:c>
      <x:c r="D27" s="8" t="str">
        <x:v>Corespondență conexă</x:v>
      </x:c>
      <x:c r="E27" s="8" t="str">
        <x:v>credit punte proiect fotovoltaic</x:v>
      </x:c>
      <x:c r="F27" s="8" t="str">
        <x:v>george.gotia@btrl.ro</x:v>
      </x:c>
      <x:c r="G27" s="8" t="str">
        <x:v>covaciu.gnm@gmail.com</x:v>
      </x:c>
      <x:c r="H27" s="8" t="str">
        <x:v>Claudiu.Andronache@btrl.ro</x:v>
      </x:c>
      <x:c r="I27" s="8" t="n">
        <x:v>1</x:v>
      </x:c>
      <x:c r="J27" s="8" t="str">
        <x:v>Buna ziua domnule Covaciu Revin catre dumneavoastra cu rugamintea sa ne puneti la dispozitie urmatoarele documente care sa ne ajute sa structuram o oferta de pret pentru un credit punte de 1Mln eur si un credit de TVA afferent investitiei in panouri fotovoltaice: 1. Cererea de finantare in format electronic+studiu de fezabilitate 2. Contractul de finantare semnat 3. Ultimele doua bilanturi anuale (2023 si 2024) cu balantele aferente (in format excel), precum si balanta la 31.03.2025 (in format excel) Multumim pentru incredere! George Gotia Director Adjunct - Comercial Companii Banca Transilvania - Sucursala Alba Iulia Alba Iulia, Alba, str. Tudor Vladimirescu, nr.1, 510095 0258.819.080 | 0258.819.449 | 0747.095.491 george.gotia@bancatransilvania.ro&lt;mailto:george.gotia@bancatransilvania.ro&gt; www.bancatransilvania.ro&lt;http://www.bancatransilvania.ro/&gt; www.investesteromaneste.ro&lt;http://www.investesteromaneste.ro/&gt; [BT_Logo_Aliniat-Central_Color_RGB-2] &lt;http://www.bancatransilvania.ro/&gt; Clasificare: Uz Intern</x:v>
      </x:c>
      <x:c r="K27" s="8" t="str">
        <x:v>covaciu.gnm@eva-org.com</x:v>
      </x:c>
      <x:c r="L27" s="8" t="str">
        <x:v>30720ab3-a1db-4297-9260-95a370dc2c77</x:v>
      </x:c>
      <x:c r="M27" s="8" t="e">
        <x:f>HYPERLINK("file:///Z:/00. Proiecte 2025/AFIR FotoVoltaic 1/outputs/registru-cesiro-2026-10-16/Surse email/E023.txt","Deschide sursa")</x:f>
        <x:v>HYPERLINK is not implemented. linkLocation=file:///Z:/00. Proiecte 2025/AFIR FotoVoltaic 1/outputs/registru-cesiro-2026-10-16/Surse email/E023.txt, friendlyName=Deschide sursa</x:v>
      </x:c>
      <x:c r="N27" s="8" t="str">
        <x:v>Metadatele EVA pot conține duplicate de sincronizare.</x:v>
      </x:c>
    </x:row>
    <x:row r="28" ht="78" customHeight="1">
      <x:c r="A28" s="8" t="str">
        <x:v>E024</x:v>
      </x:c>
      <x:c r="B28" s="13" t="n">
        <x:v>45867.81920138889</x:v>
      </x:c>
      <x:c r="C28" s="8" t="str">
        <x:v>Primit</x:v>
      </x:c>
      <x:c r="D28" s="8" t="str">
        <x:v>Corespondență conexă</x:v>
      </x:c>
      <x:c r="E28" s="8" t="str">
        <x:v>Fwd: DEER | Emitere aviz tehnic de racordare</x:v>
      </x:c>
      <x:c r="F28" s="8" t="str">
        <x:v>office@suntree.ro</x:v>
      </x:c>
      <x:c r="G28" s="8" t="str">
        <x:v>covaciu.gnm@gmail.com</x:v>
      </x:c>
      <x:c r="H28" s="8" t="str"/>
      <x:c r="I28" s="8" t="n">
        <x:v>1</x:v>
      </x:c>
      <x:c r="J28" s="8" t="str">
        <x:v>---------- Mesaj redirecționat --------- De la: &lt;noreply_energieelectrica_tn@distributie-energie.ro&gt; Data: joi, 17 iul. 2025 la 11:24 Subiect: DEER | Emitere aviz tehnic de racordare Către: &lt;OFFICE@SUNTREE.RO&gt; Stimate client, ELENA VAIDA Va informam ca a fost emis avizul tehnic de racordare nr. 7040250503563 pe care il puteti primi personal de la sediul nostru sau pe adresa de email mentionata in cerere. Pasul urmator in procesul de racordare este depunerea de catre dumneavoastra a cererii pentru incheierea Contractului de Racordare. Multumim, Echipa DEER .</x:v>
      </x:c>
      <x:c r="K28" s="8" t="str">
        <x:v>covaciu.gnm@eva-org.com</x:v>
      </x:c>
      <x:c r="L28" s="8" t="str">
        <x:v>86879e44-2945-42f9-b0e6-90ba72fca766</x:v>
      </x:c>
      <x:c r="M28" s="8" t="e">
        <x:f>HYPERLINK("file:///Z:/00. Proiecte 2025/AFIR FotoVoltaic 1/outputs/registru-cesiro-2026-10-16/Surse email/E024.txt","Deschide sursa")</x:f>
        <x:v>HYPERLINK is not implemented. linkLocation=file:///Z:/00. Proiecte 2025/AFIR FotoVoltaic 1/outputs/registru-cesiro-2026-10-16/Surse email/E024.txt, friendlyName=Deschide sursa</x:v>
      </x:c>
      <x:c r="N28" s="8" t="str">
        <x:v>Metadatele EVA pot conține duplicate de sincronizare.</x:v>
      </x:c>
    </x:row>
    <x:row r="29" ht="78" customHeight="1">
      <x:c r="A29" s="8" t="str">
        <x:v>E025</x:v>
      </x:c>
      <x:c r="B29" s="13" t="n">
        <x:v>45867.81959490741</x:v>
      </x:c>
      <x:c r="C29" s="8" t="str">
        <x:v>Primit</x:v>
      </x:c>
      <x:c r="D29" s="8" t="str">
        <x:v>Corespondență conexă</x:v>
      </x:c>
      <x:c r="E29" s="8" t="str">
        <x:v>Fwd: DEER | Emitere contract de racordare</x:v>
      </x:c>
      <x:c r="F29" s="8" t="str">
        <x:v>office@suntree.ro</x:v>
      </x:c>
      <x:c r="G29" s="8" t="str">
        <x:v>covaciu.gnm@gmail.com</x:v>
      </x:c>
      <x:c r="H29" s="8" t="str"/>
      <x:c r="I29" s="8" t="n">
        <x:v>1</x:v>
      </x:c>
      <x:c r="J29" s="8" t="str">
        <x:v>---------- Mesaj redirecționat --------- De la: &lt;noreply_energieelectrica_tn@distributie-energie.ro&gt; Data: vin., 18 iul. 2025 la 07:31 Subiect: DEER | Emitere contract de racordare Către: &lt;OFFICE@SUNTREE.RO&gt; Stimate client, ELENA VAIDA Va informam ca a fost intocmit contractul de racordare aferent solicitarii nr. 7040250503563 pe care il puteti primi personal de la sediul nostru sau pe adresa de email mentionata in cerere. Pentru a putea continua procesul de racordare este necesar semnarea si returnarea acestuia. Multumim, Echipa DEER ALBA .</x:v>
      </x:c>
      <x:c r="K29" s="8" t="str">
        <x:v>covaciu.gnm@eva-org.com</x:v>
      </x:c>
      <x:c r="L29" s="8" t="str">
        <x:v>b132e5e9-3b56-4b47-9a7a-695e921164ed</x:v>
      </x:c>
      <x:c r="M29" s="8" t="e">
        <x:f>HYPERLINK("file:///Z:/00. Proiecte 2025/AFIR FotoVoltaic 1/outputs/registru-cesiro-2026-10-16/Surse email/E025.txt","Deschide sursa")</x:f>
        <x:v>HYPERLINK is not implemented. linkLocation=file:///Z:/00. Proiecte 2025/AFIR FotoVoltaic 1/outputs/registru-cesiro-2026-10-16/Surse email/E025.txt, friendlyName=Deschide sursa</x:v>
      </x:c>
      <x:c r="N29" s="8" t="str">
        <x:v>Metadatele EVA pot conține duplicate de sincronizare.</x:v>
      </x:c>
    </x:row>
    <x:row r="30" ht="92" customHeight="1">
      <x:c r="A30" s="8" t="str">
        <x:v>E026</x:v>
      </x:c>
      <x:c r="B30" s="13" t="n">
        <x:v>46037.700949074075</x:v>
      </x:c>
      <x:c r="C30" s="8" t="str">
        <x:v>Trimis</x:v>
      </x:c>
      <x:c r="D30" s="8" t="str">
        <x:v>AFIR direct</x:v>
      </x:c>
      <x:c r="E30" s="8" t="str">
        <x:v>Notificare de informare privind cesiunea partilor sociale de la Cesiro Production</x:v>
      </x:c>
      <x:c r="F30" s="8" t="str">
        <x:v>covaciu.gnm@gmail.com</x:v>
      </x:c>
      <x:c r="G30" s="8" t="str">
        <x:v>Adriana.DURIGA@afir.info</x:v>
      </x:c>
      <x:c r="H30" s="8" t="str"/>
      <x:c r="I30" s="8" t="n">
        <x:v>1</x:v>
      </x:c>
      <x:c r="J30" s="8" t="str">
        <x:v>Buna ziua, Cosmin Covaciu, reprezentant legal al Cesiro Production SRL. Privind contractul de finantare Contract de finanțare nr. CFMSES011011372801030 / Proiect nr. FFMSES011011372801030. Va transmit atasat Nota de informare privind cesiunea partilor sociale de la actionariatul companiei Cesiro Trading SRL catre mine, precum si modificările intervenite în documentul de identificare al reprezentantului legal-Carte noua de identitate, cu respectarea obligației de notificare prealabilă prevăzute de Anexa I – Prevederi generale, art. 9 alin. (8). Notez ca aceste schimbări nu presupun nicio implicație asupra Beneficiarului real al proiectului. Va rog sa mi confirmați primirea acestui mesaj Cu stima, Cosmin Covaciu.</x:v>
      </x:c>
      <x:c r="K30" s="8" t="str">
        <x:v>covaciu.gnm@eva-org.com</x:v>
      </x:c>
      <x:c r="L30" s="8" t="str">
        <x:v>3e1fbbcb-4169-429f-9eca-080530304fe3</x:v>
      </x:c>
      <x:c r="M30" s="8" t="e">
        <x:f>HYPERLINK("file:///Z:/00. Proiecte 2025/AFIR FotoVoltaic 1/outputs/registru-cesiro-2026-10-16/Surse email/E026.txt","Deschide sursa")</x:f>
        <x:v>HYPERLINK is not implemented. linkLocation=file:///Z:/00. Proiecte 2025/AFIR FotoVoltaic 1/outputs/registru-cesiro-2026-10-16/Surse email/E026.txt, friendlyName=Deschide sursa</x:v>
      </x:c>
      <x:c r="N30" s="8" t="str">
        <x:v>Metadatele EVA pot conține duplicate de sincronizare.</x:v>
      </x:c>
    </x:row>
    <x:row r="31" ht="92" customHeight="1">
      <x:c r="A31" s="8" t="str">
        <x:v>E027</x:v>
      </x:c>
      <x:c r="B31" s="13" t="n">
        <x:v>46037.700949074075</x:v>
      </x:c>
      <x:c r="C31" s="8" t="str">
        <x:v>Trimis</x:v>
      </x:c>
      <x:c r="D31" s="8" t="str">
        <x:v>AFIR direct</x:v>
      </x:c>
      <x:c r="E31" s="8" t="str">
        <x:v>Notificare de informare privind cesiunea partilor sociale de la Cesiro Production</x:v>
      </x:c>
      <x:c r="F31" s="8" t="str">
        <x:v>covaciu.gnm@gmail.com</x:v>
      </x:c>
      <x:c r="G31" s="8" t="str">
        <x:v>Adriana.DURIGA@afir.info</x:v>
      </x:c>
      <x:c r="H31" s="8" t="str"/>
      <x:c r="I31" s="8" t="n">
        <x:v>1</x:v>
      </x:c>
      <x:c r="J31" s="8" t="str">
        <x:v>Buna ziua, Cosmin Covaciu, reprezentant legal al Cesiro Production SRL. Privind contractul de finantare Contract de finanțare nr. CFMSES011011372801030 / Proiect nr. FFMSES011011372801030. Va transmit atasat Nota de informare privind cesiunea partilor sociale de la actionariatul companiei Cesiro Trading SRL catre mine, precum si modificările intervenite în documentul de identificare al reprezentantului legal-Carte noua de identitate, cu respectarea obligației de notificare prealabilă prevăzute de Anexa I – Prevederi generale, art. 9 alin. (8). Notez ca aceste schimbări nu presupun nicio implicație asupra Beneficiarului real al proiectului. Va rog sa mi confirmați primirea acestui mesaj Cu stima, Cosmin Covaciu.</x:v>
      </x:c>
      <x:c r="K31" s="8" t="str">
        <x:v>covaciu.gnm@eva-org.com</x:v>
      </x:c>
      <x:c r="L31" s="8" t="str">
        <x:v>bf70a37f-0a7f-46e7-9e34-bcd798f6c86d</x:v>
      </x:c>
      <x:c r="M31" s="8" t="e">
        <x:f>HYPERLINK("file:///Z:/00. Proiecte 2025/AFIR FotoVoltaic 1/outputs/registru-cesiro-2026-10-16/Surse email/E027.txt","Deschide sursa")</x:f>
        <x:v>HYPERLINK is not implemented. linkLocation=file:///Z:/00. Proiecte 2025/AFIR FotoVoltaic 1/outputs/registru-cesiro-2026-10-16/Surse email/E027.txt, friendlyName=Deschide sursa</x:v>
      </x:c>
      <x:c r="N31" s="8" t="str">
        <x:v>Metadatele EVA pot conține duplicate de sincronizare.</x:v>
      </x:c>
    </x:row>
    <x:row r="32" ht="92" customHeight="1">
      <x:c r="A32" s="8" t="str">
        <x:v>E028</x:v>
      </x:c>
      <x:c r="B32" s="13" t="n">
        <x:v>46041.46487268519</x:v>
      </x:c>
      <x:c r="C32" s="8" t="str">
        <x:v>Trimis</x:v>
      </x:c>
      <x:c r="D32" s="8" t="str">
        <x:v>AFIR direct</x:v>
      </x:c>
      <x:c r="E32" s="8" t="str">
        <x:v>Notificare de informare privind cesiunea partilor sociale de la Cesiro Production</x:v>
      </x:c>
      <x:c r="F32" s="8" t="str">
        <x:v>cosmin.covaciu@cesiro.com</x:v>
      </x:c>
      <x:c r="G32" s="8" t="str">
        <x:v>Adriana.DURIGA@afir.info</x:v>
      </x:c>
      <x:c r="H32" s="8" t="str"/>
      <x:c r="I32" s="8" t="n">
        <x:v>1</x:v>
      </x:c>
      <x:c r="J32" s="8" t="str">
        <x:v>Buna ziua, Cosmin Covaciu, reprezentant legal al Cesiro Production SRL. Privind contractul de finantare Contract de finanțare nr. CFMSES011011372801030 / Proiect nr. FFMSES011011372801030. Va transmit atasat Nota de informare privind cesiunea partilor sociale de la actionariatul companiei Cesiro Trading SRL catre mine, precum si modificările intervenite în documentul de identificare al reprezentantului legal-Carte noua de identitate, cu respectarea obligației de notificare prealabilă prevăzute de Anexa I – Prevederi generale, art. 9 alin. (8). Notez ca aceste schimbări nu presupun nicio implicație asupra Beneficiarului real al proiectului. Va rog sa mi confirmați primirea acestui mesaj Cu stima, Cosmin Covaciu.</x:v>
      </x:c>
      <x:c r="K32" s="8" t="str">
        <x:v>cosmin.covaciu@cesiro.com</x:v>
      </x:c>
      <x:c r="L32" s="8" t="str">
        <x:v>d12575e9-4d78-450f-a6ae-c4b8911ea86b</x:v>
      </x:c>
      <x:c r="M32" s="8" t="e">
        <x:f>HYPERLINK("file:///Z:/00. Proiecte 2025/AFIR FotoVoltaic 1/outputs/registru-cesiro-2026-10-16/Surse email/E028.txt","Deschide sursa")</x:f>
        <x:v>HYPERLINK is not implemented. linkLocation=file:///Z:/00. Proiecte 2025/AFIR FotoVoltaic 1/outputs/registru-cesiro-2026-10-16/Surse email/E028.txt, friendlyName=Deschide sursa</x:v>
      </x:c>
      <x:c r="N32" s="8" t="str">
        <x:v>Metadatele EVA pot conține duplicate de sincronizare.</x:v>
      </x:c>
    </x:row>
    <x:row r="33" ht="120" customHeight="1">
      <x:c r="A33" s="8" t="str">
        <x:v>E029</x:v>
      </x:c>
      <x:c r="B33" s="13" t="n">
        <x:v>46072.623206018514</x:v>
      </x:c>
      <x:c r="C33" s="8" t="str">
        <x:v>Trimis</x:v>
      </x:c>
      <x:c r="D33" s="8" t="str">
        <x:v>AFIR direct</x:v>
      </x:c>
      <x:c r="E33" s="8" t="str">
        <x:v>Solicitare avizare actualizare tehnică sistem fotovoltaic – CESIRO PRODUCTION SRL (CFMSES011011372801030)</x:v>
      </x:c>
      <x:c r="F33" s="8" t="str">
        <x:v>covaciu.gnm@gmail.com</x:v>
      </x:c>
      <x:c r="G33" s="8" t="str">
        <x:v>Adriana.DURIGA@afir.info</x:v>
      </x:c>
      <x:c r="H33" s="8" t="str">
        <x:v>cesiro.production@gmail.com</x:v>
      </x:c>
      <x:c r="I33" s="8" t="n">
        <x:v>4</x:v>
      </x:c>
      <x:c r="J33" s="8" t="str">
        <x:v>Vă transmitem atașat documentația în vederea verificării și avizării actualizării soluției tehnice aferente proiectului *„IMPLEMENTAREA SISTEMULUI FOTOVOLTAIC 1 MW PENTRU AUTOCONSUM PENTRU FABRICA DE PRELUCRARE A NUCILOR, ALUNELOR, PISTACIO ȘI MIGDALELOR”* (Contract de finanțare nr. CFMSES011011372801030). Actualizarea vizează exclusiv adaptarea punctuală a unor echipamente (module fotovoltaice, invertoare și sistem de stocare) la disponibilitatea tehnologică curentă. Modificarea menține absolut intacte puterea instalată aprobată de 999,780 kWp, valoarea contractului de achiziție și destinația investiției. Regăsiți atașate următoarele documente: - *Formularul C3.1* (Notă Explicativă pentru modificarea contractului de finanțare); - *Memoriul Justificativ Consolidat*; - *Referatul Proiectantului*; - *Proiectul de Act Adițional* la contractul de achiziție nr. 275/01.02.2024. Vă stăm la dispoziție pentru orice eventuale clarificări suplimentare. Cu deosebită considerație, 0769982977</x:v>
      </x:c>
      <x:c r="K33" s="8" t="str">
        <x:v>covaciu.gnm@eva-org.com</x:v>
      </x:c>
      <x:c r="L33" s="8" t="str">
        <x:v>d66689ce-f055-433c-8d2e-2647b694f5e6</x:v>
      </x:c>
      <x:c r="M33" s="8" t="e">
        <x:f>HYPERLINK("file:///Z:/00. Proiecte 2025/AFIR FotoVoltaic 1/outputs/registru-cesiro-2026-10-16/Surse email/E029.txt","Deschide sursa")</x:f>
        <x:v>HYPERLINK is not implemented. linkLocation=file:///Z:/00. Proiecte 2025/AFIR FotoVoltaic 1/outputs/registru-cesiro-2026-10-16/Surse email/E029.txt, friendlyName=Deschide sursa</x:v>
      </x:c>
      <x:c r="N33" s="8" t="str">
        <x:v>Metadatele EVA pot conține duplicate de sincronizare.</x:v>
      </x:c>
    </x:row>
    <x:row r="34" ht="134" customHeight="1">
      <x:c r="A34" s="8" t="str">
        <x:v>E030</x:v>
      </x:c>
      <x:c r="B34" s="13" t="n">
        <x:v>46080.903761574074</x:v>
      </x:c>
      <x:c r="C34" s="8" t="str">
        <x:v>Primit</x:v>
      </x:c>
      <x:c r="D34" s="8" t="str">
        <x:v>Corespondență conexă</x:v>
      </x:c>
      <x:c r="E34" s="8" t="str">
        <x:v>oferta Cesiro 1 MW</x:v>
      </x:c>
      <x:c r="F34" s="8" t="str">
        <x:v>cosmin.oltean@promelek.ro</x:v>
      </x:c>
      <x:c r="G34" s="8" t="str">
        <x:v>covaciu.gnm@gmail.com</x:v>
      </x:c>
      <x:c r="H34" s="8" t="str">
        <x:v>nicosfeni@gmail.com; office@suntree.ro</x:v>
      </x:c>
      <x:c r="I34" s="8" t="n">
        <x:v>2</x:v>
      </x:c>
      <x:c r="J34" s="8" t="str">
        <x:v>Salut Cosmin, Iti transmit atasat oferta de pret pentru solutia fotovoltaica propusa, configurata pe baza cerintelor proiectului si in conformitate cu normativul P118 aplicabil sistemelor fotovoltaice. 1. Structura propusa – Avasco Belgia Am ofertat structura premium Avasco Belgia, un sistem proiectat pentru montaj rapid si fiabilitate ridicata. In configurarea solutiei am tinut cont de cerintele din normativul P118 referitoare la instalatiile fotovoltaice, respectiv: * respectarea distantelor de siguranta fata de atic, * gruparea panourilor in zone de maximum 40 m, * asigurarea distantei minime de 5 m intre grupuri, pentru limitarea propagarii incendiului. Structura Avasco ofera un avantaj important: mesele de panouri sunt interconectate, ceea ce reduce semnificativ: * necesarul de balast, * timpii de montaj, * costurile de implementare, * incarcarea totala pe acoperis. Video prezentare structura: https://www.youtube.com/watch?v=3eM-07mySBo 2. Echipamente – Huawei Pentru partea electrica, am selectat echipamente de inalta fiabilitate: * Invertoare Huawei * Solutie de stocare Huawei,</x:v>
      </x:c>
      <x:c r="K34" s="8" t="str">
        <x:v>covaciu.gnm@eva-org.com</x:v>
      </x:c>
      <x:c r="L34" s="8" t="str">
        <x:v>7d300f90-ca7a-481b-a3ef-451870ef89fc</x:v>
      </x:c>
      <x:c r="M34" s="8" t="e">
        <x:f>HYPERLINK("file:///Z:/00. Proiecte 2025/AFIR FotoVoltaic 1/outputs/registru-cesiro-2026-10-16/Surse email/E030.txt","Deschide sursa")</x:f>
        <x:v>HYPERLINK is not implemented. linkLocation=file:///Z:/00. Proiecte 2025/AFIR FotoVoltaic 1/outputs/registru-cesiro-2026-10-16/Surse email/E030.txt, friendlyName=Deschide sursa</x:v>
      </x:c>
      <x:c r="N34" s="8" t="str">
        <x:v>Metadatele EVA pot conține duplicate de sincronizare.</x:v>
      </x:c>
    </x:row>
    <x:row r="35" ht="134" customHeight="1">
      <x:c r="A35" s="8" t="str">
        <x:v>E031</x:v>
      </x:c>
      <x:c r="B35" s="13" t="n">
        <x:v>46085.57896990741</x:v>
      </x:c>
      <x:c r="C35" s="8" t="str">
        <x:v>Primit</x:v>
      </x:c>
      <x:c r="D35" s="8" t="str">
        <x:v>Corespondență conexă</x:v>
      </x:c>
      <x:c r="E35" s="8" t="str">
        <x:v>RE:  oferta Cesiro 1 MW</x:v>
      </x:c>
      <x:c r="F35" s="8" t="str">
        <x:v>cosmin.oltean@promelek.ro</x:v>
      </x:c>
      <x:c r="G35" s="8" t="str">
        <x:v>covaciu.gnm@gmail.com</x:v>
      </x:c>
      <x:c r="H35" s="8" t="str">
        <x:v>nicosfeni@gmail.com; office@suntree.ro</x:v>
      </x:c>
      <x:c r="I35" s="8" t="n">
        <x:v>2</x:v>
      </x:c>
      <x:c r="J35" s="8" t="str">
        <x:v>Salut Cosmin, Am incercat sa te contactez telefonic sa discutam putin despre proiect. Inca de anul trecut am lucrat impreuna pe solutia pentru acest proiect, am analizat mai multe variante, am pregatit oferta pentru echipamente si am implicat inclusiv un partener de executie pentru a putea veni cu o varianta completa de implementare. Am alocat destul de mult timp si resurse in directia asta si tocmai de aceea pentru noi ar fi important sa stim in ce punct se afla proiectul in momentul de fata si daca exista intentia de a merge mai departe cu noi pe partea de structura si invertoare. Te rog cand ai putin timp sa ne dai un feedback despre cum vedeti voi lucrurile mai departe, ca sa stim si noi cum ne organizam pe acest proiect. Daca decidem sa mergem mai departe impreuna, din partea noastra suntem pregatiti sa facem pasii urmatori. Multumesc si astept un semn de la tine. Cosmin Oltean Regional Sales Manager [cid:image001.png@01DCABEF.3F0D4540] PROMELEK XXI SA m. + 40 723 360 889 t. + 40 264 207 240 f. + 40 264 231 237 w. www.promelek.ro&lt;http://www.promelek.ro/&gt; a. România 407035 Apahid</x:v>
      </x:c>
      <x:c r="K35" s="8" t="str">
        <x:v>covaciu.gnm@eva-org.com</x:v>
      </x:c>
      <x:c r="L35" s="8" t="str">
        <x:v>d523046d-edd1-44f6-b59e-691f0de548db</x:v>
      </x:c>
      <x:c r="M35" s="8" t="e">
        <x:f>HYPERLINK("file:///Z:/00. Proiecte 2025/AFIR FotoVoltaic 1/outputs/registru-cesiro-2026-10-16/Surse email/E031.txt","Deschide sursa")</x:f>
        <x:v>HYPERLINK is not implemented. linkLocation=file:///Z:/00. Proiecte 2025/AFIR FotoVoltaic 1/outputs/registru-cesiro-2026-10-16/Surse email/E031.txt, friendlyName=Deschide sursa</x:v>
      </x:c>
      <x:c r="N35" s="8" t="str">
        <x:v>Metadatele EVA pot conține duplicate de sincronizare.</x:v>
      </x:c>
    </x:row>
    <x:row r="36" ht="92" customHeight="1">
      <x:c r="A36" s="8" t="str">
        <x:v>E032</x:v>
      </x:c>
      <x:c r="B36" s="13" t="n">
        <x:v>46105.5090625</x:v>
      </x:c>
      <x:c r="C36" s="8" t="str">
        <x:v>Primit</x:v>
      </x:c>
      <x:c r="D36" s="8" t="str">
        <x:v>AFIR direct</x:v>
      </x:c>
      <x:c r="E36" s="8" t="str">
        <x:v>Notificarea beneficiarului cu privire la diminuarea valorii
 contractului</x:v>
      </x:c>
      <x:c r="F36" s="8" t="str">
        <x:v>Ioan.SUCIU@afir.info</x:v>
      </x:c>
      <x:c r="G36" s="8" t="str">
        <x:v>cosmin.covaciu@cesiro.ro</x:v>
      </x:c>
      <x:c r="H36" s="8" t="str">
        <x:v>Teodora.MAXIM-MAIER@afir.info</x:v>
      </x:c>
      <x:c r="I36" s="8" t="n">
        <x:v>2</x:v>
      </x:c>
      <x:c r="J36" s="8" t="str">
        <x:v>Modificarea „amplasamentului” investiției aprobat prin Cererea de finanțare se poate realiza, cu condiția ca acesta să rămână în cadrul aceluiași număr cadastral mentionat in Cererea de Finantare si cu respectarea condițiilor pentru care a primit finantare neramburabilă. Nerespectarea acestor prevederi va duce către rezilierea/ încetarea contractului de finanțare; Vă rog să confirmați primirea IOAN SUCIU Consilier IA SIBA CRFIR Alba Iulia Centrul Regional pentru Finanțarea Investițiilor Rurale 7 Centru Str. Alexandru Ioan Cuza nr. 23, Alba-Iulia Tel.: 0729840413, Tel fix 58113 Tel fix extern 0358 860 213 E-mail: ioan.SUCIU@afir.info&lt;mailto:ioan.SUCIU@afir.info&gt; [Semnatura_EMAIL_AFIR_CPAC_RO_2020]</x:v>
      </x:c>
      <x:c r="K36" s="8" t="str">
        <x:v>cosmin.covaciu@cesiro.ro</x:v>
      </x:c>
      <x:c r="L36" s="8" t="str">
        <x:v>d65a604a-288b-4f80-9554-4da336d55b20</x:v>
      </x:c>
      <x:c r="M36" s="8" t="e">
        <x:f>HYPERLINK("file:///Z:/00. Proiecte 2025/AFIR FotoVoltaic 1/outputs/registru-cesiro-2026-10-16/Surse email/E032.txt","Deschide sursa")</x:f>
        <x:v>HYPERLINK is not implemented. linkLocation=file:///Z:/00. Proiecte 2025/AFIR FotoVoltaic 1/outputs/registru-cesiro-2026-10-16/Surse email/E032.txt, friendlyName=Deschide sursa</x:v>
      </x:c>
      <x:c r="N36" s="8" t="str">
        <x:v>Metadatele EVA pot conține duplicate de sincronizare.</x:v>
      </x:c>
    </x:row>
    <x:row r="37" ht="134" customHeight="1">
      <x:c r="A37" s="8" t="str">
        <x:v>E033</x:v>
      </x:c>
      <x:c r="B37" s="13" t="n">
        <x:v>46133.54305555555</x:v>
      </x:c>
      <x:c r="C37" s="8" t="str">
        <x:v>Primit</x:v>
      </x:c>
      <x:c r="D37" s="8" t="str">
        <x:v>AFIR direct</x:v>
      </x:c>
      <x:c r="E37" s="8" t="str">
        <x:v>RE: Notificare de informare privind cesiunea partilor sociale de la Cesiro Production</x:v>
      </x:c>
      <x:c r="F37" s="8" t="str">
        <x:v>Adriana.DURIGA@afir.info</x:v>
      </x:c>
      <x:c r="G37" s="8" t="str">
        <x:v>covaciu.gnm@gmail.com</x:v>
      </x:c>
      <x:c r="H37" s="8" t="str"/>
      <x:c r="I37" s="8" t="n">
        <x:v>0</x:v>
      </x:c>
      <x:c r="J37" s="8" t="str">
        <x:v>Referitor la schimbarea acționariatului societății trebuie încărcată în sistem o documentație: · Nota explicativa si memoriul justificativ · Declaraţia pe proprie răspundere de angajament faţă de clauzele Contractului de Finanţare din partea noilor asociaţi şi a noului administrator (dacă este cazul) · Declaraţia pe proprie răspundere din partea noilor asociaţi şi a noului administrator (dacă este cazul) că va fi menţinut obiectul de activitate al societăţii beneficiare, precum şi toate criteriile de eligibilitate pentru SE · Hotârarea Adunării Generale a noilor asociați prin care acestia se angajeaza sa continue implementarea proiectului · Actul adiţional de modificare a actului constitutiv al societăţii – certificat ONRC From: covaciu.gnm@gmail.com &lt;covaciu.gnm@gmail.com&gt; Sent: Thursday, January 15, 2026 6:49 PM To: Adriana DURIGA &lt;Adriana.DURIGA@afir.info&gt; Subject: Notificare de informare privind cesiunea partilor sociale de la Cesiro Production *** ATENȚIE, ACESTA ESTE UN EMAIL EXTERN: Vă rugăm să accesați link-urile sau să deschideți atașamentele DOAR în cazul în care cunoașteți</x:v>
      </x:c>
      <x:c r="K37" s="8" t="str">
        <x:v>covaciu.gnm@eva-org.com</x:v>
      </x:c>
      <x:c r="L37" s="8" t="str">
        <x:v>fcda4e5b-3e76-4a5d-83ca-11e30cd80136</x:v>
      </x:c>
      <x:c r="M37" s="8" t="e">
        <x:f>HYPERLINK("file:///Z:/00. Proiecte 2025/AFIR FotoVoltaic 1/outputs/registru-cesiro-2026-10-16/Surse email/E033.txt","Deschide sursa")</x:f>
        <x:v>HYPERLINK is not implemented. linkLocation=file:///Z:/00. Proiecte 2025/AFIR FotoVoltaic 1/outputs/registru-cesiro-2026-10-16/Surse email/E033.txt, friendlyName=Deschide sursa</x:v>
      </x:c>
      <x:c r="N37" s="8" t="str">
        <x:v>Metadatele EVA pot conține duplicate de sincronizare.</x:v>
      </x:c>
    </x:row>
    <x:row r="38" ht="134" customHeight="1">
      <x:c r="A38" s="8" t="str">
        <x:v>E034</x:v>
      </x:c>
      <x:c r="B38" s="13" t="n">
        <x:v>46133.54489583333</x:v>
      </x:c>
      <x:c r="C38" s="8" t="str">
        <x:v>Trimis</x:v>
      </x:c>
      <x:c r="D38" s="8" t="str">
        <x:v>Corespondență conexă</x:v>
      </x:c>
      <x:c r="E38" s="8" t="str">
        <x:v>Fwd: Notificare de informare privind cesiunea partilor sociale de la Cesiro Production</x:v>
      </x:c>
      <x:c r="F38" s="8" t="str">
        <x:v>covaciu.gnm@gmail.com</x:v>
      </x:c>
      <x:c r="G38" s="8" t="str">
        <x:v>szokeandrea1997@gmail.com</x:v>
      </x:c>
      <x:c r="H38" s="8" t="str"/>
      <x:c r="I38" s="8" t="n">
        <x:v>0</x:v>
      </x:c>
      <x:c r="J38" s="8" t="str">
        <x:v>te rog sa facem asta. sa mu uitam. multumesc. ---------- Forwarded message --------- De la: Adriana DURIGA &lt;Adriana.DURIGA@afir.info&gt; Date: mar., 21 apr. 2026 la 16:02 Subject: RE: Notificare de informare privind cesiunea partilor sociale de la Cesiro Production To: covaciu.gnm@gmail.com &lt;covaciu.gnm@gmail.com&gt; Referitor la schimbarea acționariatului societății trebuie încărcată în sistem o documentație: · Nota explicativa si memoriul justificativ · Declaraţia pe proprie răspundere de angajament faţă de clauzele Contractului de Finanţare din partea noilor asociaţi şi a noului administrator (dacă este cazul) · Declaraţia pe proprie răspundere din partea noilor asociaţi şi a noului administrator (dacă este cazul) că va fi menţinut obiectul de activitate al societăţii beneficiare, precum şi toate criteriile de eligibilitate pentru SE · Hotârarea Adunării Generale a noilor asociați prin care acestia se angajeaza sa continue implementarea proiectului · Actul adiţional de modificare a actului constitutiv al societăţii – certificat ONRC From: covaciu.gnm@gmail.com &lt;covaciu.gnm@gmail.com&gt; Se</x:v>
      </x:c>
      <x:c r="K38" s="8" t="str">
        <x:v>covaciu.gnm@eva-org.com</x:v>
      </x:c>
      <x:c r="L38" s="8" t="str">
        <x:v>eef274a4-11f7-4aae-9ba0-712aadb92360</x:v>
      </x:c>
      <x:c r="M38" s="8" t="e">
        <x:f>HYPERLINK("file:///Z:/00. Proiecte 2025/AFIR FotoVoltaic 1/outputs/registru-cesiro-2026-10-16/Surse email/E034.txt","Deschide sursa")</x:f>
        <x:v>HYPERLINK is not implemented. linkLocation=file:///Z:/00. Proiecte 2025/AFIR FotoVoltaic 1/outputs/registru-cesiro-2026-10-16/Surse email/E034.txt, friendlyName=Deschide sursa</x:v>
      </x:c>
      <x:c r="N38" s="8" t="str">
        <x:v>Metadatele EVA pot conține duplicate de sincronizare.</x:v>
      </x:c>
    </x:row>
    <x:row r="39" ht="134" customHeight="1">
      <x:c r="A39" s="8" t="str">
        <x:v>E035</x:v>
      </x:c>
      <x:c r="B39" s="13" t="n">
        <x:v>46135.57443287037</x:v>
      </x:c>
      <x:c r="C39" s="8" t="str">
        <x:v>Primit</x:v>
      </x:c>
      <x:c r="D39" s="8" t="str">
        <x:v>Corespondență conexă</x:v>
      </x:c>
      <x:c r="E39" s="8" t="str">
        <x:v>Fwd: Raport de audit financiar, implementare proiect AFIR - CESIRO PRODUCTION S.R.L.</x:v>
      </x:c>
      <x:c r="F39" s="8" t="str">
        <x:v>office@cesiro.ro</x:v>
      </x:c>
      <x:c r="G39" s="8" t="str">
        <x:v>covaciu.gnm@gmail.com</x:v>
      </x:c>
      <x:c r="H39" s="8" t="str"/>
      <x:c r="I39" s="8" t="n">
        <x:v>5</x:v>
      </x:c>
      <x:c r="J39" s="8" t="str">
        <x:v>-------- Original Message -------- Subject: Raport de audit financiar, implementare proiect AFIR - CESIRO PRODUCTION S.R.L. Date: 2026-04-23 16:32 From: "Expert Mind" &lt;consultanta.is@expertmind.ro&gt; To: &lt;office@cesiro.ro&gt; Bună ziua, Am încercat să vă contactăm pe subiectul proiectului din cadrul AFIR:” _IMPLEMENTAREA SISTEMULUI FOTOVOLTAIC 1 MW PENTRU AUTOCONSUM PENTRU FABRICA DE PRELUCRARE A NUCILOR, ALUNELOR, PISTACIO ȘI MIGDALELOR_”.__ Potrivit Ghidului solicitantului, pentru această linie de finanțare, auditul financiar este o activitate obligatorie, care trebuie efectuată de un auditor extern, independent de proiect. În acest context, dorim să vă propunem o colaborare pentru serviciile de audit financiar, necesare în procesul de implementare și raportare. Raportul de audit va confirma că: * cheltuielile sunt eligibile, justificate și efectuate corect; * se încadrează în perioada de eligibilitate și în bugetul aprobat; * sunt susținute prin documente contabile verificabile. Ce beneficii aveți dacă va planificati în timp util auditul financiar: * Castigați timp și bani astfel prin </x:v>
      </x:c>
      <x:c r="K39" s="8" t="str">
        <x:v>covaciu.gnm@eva-org.com</x:v>
      </x:c>
      <x:c r="L39" s="8" t="str">
        <x:v>1c212726-b83d-4cf2-9df2-50162552616d</x:v>
      </x:c>
      <x:c r="M39" s="8" t="e">
        <x:f>HYPERLINK("file:///Z:/00. Proiecte 2025/AFIR FotoVoltaic 1/outputs/registru-cesiro-2026-10-16/Surse email/E035.txt","Deschide sursa")</x:f>
        <x:v>HYPERLINK is not implemented. linkLocation=file:///Z:/00. Proiecte 2025/AFIR FotoVoltaic 1/outputs/registru-cesiro-2026-10-16/Surse email/E035.txt, friendlyName=Deschide sursa</x:v>
      </x:c>
      <x:c r="N39" s="8" t="str">
        <x:v>Metadatele EVA pot conține duplicate de sincronizare.</x:v>
      </x:c>
    </x:row>
    <x:row r="40" ht="134" customHeight="1">
      <x:c r="A40" s="8" t="str">
        <x:v>E036</x:v>
      </x:c>
      <x:c r="B40" s="13" t="n">
        <x:v>46140.215474537035</x:v>
      </x:c>
      <x:c r="C40" s="8" t="str">
        <x:v>Primit</x:v>
      </x:c>
      <x:c r="D40" s="8" t="str">
        <x:v>Corespondență conexă</x:v>
      </x:c>
      <x:c r="E40" s="8" t="str">
        <x:v>FW: CESIRO PRODUCTION SRL - Extrase de cont </x:v>
      </x:c>
      <x:c r="F40" s="8" t="str">
        <x:v>diana.marcu@eximbank.ro</x:v>
      </x:c>
      <x:c r="G40" s="8" t="str">
        <x:v>cosmin.covaciu@cesiro.com; cosmina.stanciu@ipec.ro</x:v>
      </x:c>
      <x:c r="H40" s="8" t="str">
        <x:v>oana.baciu@eximbank.ro; All.CAF.Sibiu@eximbank.ro</x:v>
      </x:c>
      <x:c r="I40" s="8" t="n">
        <x:v>2</x:v>
      </x:c>
      <x:c r="J40" s="8" t="str">
        <x:v>Continut Intern Buna ziua, Revenim cu aceasta rugaminte. Pentru inchiderea contului avem rugamintea sa ne transmiteti pe posta formularul atasat in original semnat olograf (nu se accepta semnatura digitala). De asemenea avand in vedere ca s-au acumulat restante ale comisioanelor de administrare cont si IB (143.77 RON), va rugam sa transferati cei 500 ron din contul de proiect in contul curent . Multumim, Diana Elisabeta MARCU Asistent Bancar - Centrul de Afaceri Sibiu Exim Banca Românească S.A. Str. Emil Cioran, nr. 2, Sibiu Cod 550025&lt;https://www.coduripostale.ro/Sibiu/Sibiu/Strada_Cioran_Emil/zip-550025&gt;, Sibiu Tel.: +40 21 40 56 772 E-mail: diana.marcu@eximbank.ro&lt;mailto:diana.marcu@eximbank.ro&gt; [cid:image001.jpg@01DCAFDF.EC2B22D0] From: Diana Marcu Sent: Monday, March 9, 2026 4:43 PM To: cosmin.covaciu@cesiro.com Cc: Oana Baciu &lt;oana.baciu@eximbank.ro&gt;; Mihai Martis &lt;Mihai.Martis@eximbank.ro&gt; Subject: CESIRO PRODUCTION SRL - Extrase de cont Importance: High Buna ziua, Va transmitem atast extrasele de cont pentru anul 2025 si 2026 pana pe data de 28.02.2026 Va rugam mult sa ne tra</x:v>
      </x:c>
      <x:c r="K40" s="8" t="str">
        <x:v>cosmin.covaciu@cesiro.com</x:v>
      </x:c>
      <x:c r="L40" s="8" t="str">
        <x:v>efeb0d7e-c1ef-4f73-bbe3-5b3e81a38a38</x:v>
      </x:c>
      <x:c r="M40" s="8" t="e">
        <x:f>HYPERLINK("file:///Z:/00. Proiecte 2025/AFIR FotoVoltaic 1/outputs/registru-cesiro-2026-10-16/Surse email/E036.txt","Deschide sursa")</x:f>
        <x:v>HYPERLINK is not implemented. linkLocation=file:///Z:/00. Proiecte 2025/AFIR FotoVoltaic 1/outputs/registru-cesiro-2026-10-16/Surse email/E036.txt, friendlyName=Deschide sursa</x:v>
      </x:c>
      <x:c r="N40" s="8" t="str">
        <x:v>Metadatele EVA pot conține duplicate de sincronizare.</x:v>
      </x:c>
    </x:row>
    <x:row r="41" ht="134" customHeight="1">
      <x:c r="A41" s="8" t="str">
        <x:v>E037</x:v>
      </x:c>
      <x:c r="B41" s="13" t="n">
        <x:v>46140.55725694445</x:v>
      </x:c>
      <x:c r="C41" s="8" t="str">
        <x:v>Primit</x:v>
      </x:c>
      <x:c r="D41" s="8" t="str">
        <x:v>AFIR direct</x:v>
      </x:c>
      <x:c r="E41" s="8" t="str">
        <x:v>Solicitare informatii suplimentare</x:v>
      </x:c>
      <x:c r="F41" s="8" t="str">
        <x:v>noreply@afir.info</x:v>
      </x:c>
      <x:c r="G41" s="8" t="str">
        <x:v>cosmin.covaciu@cesiro.com</x:v>
      </x:c>
      <x:c r="H41" s="8" t="str">
        <x:v>Sorina.MUNTEANU@afir.info; Teodora.MAXIM-MAIER@afir.info</x:v>
      </x:c>
      <x:c r="I41" s="8" t="n">
        <x:v>2</x:v>
      </x:c>
      <x:c r="J41" s="8" t="str">
        <x:v>Stimate Domnule COVACIU COSMIN-ADRIAN, Referitor la solicitarea de modificare a contractului de finantare CFMSES011011372801030 al CESIRO PRODUCTION S.R.L., inregistrat la CRFIR-ALBA-IULIA, va informam faptul ca in urma verificarii efectuate a rezultat necesitatea clarificarii unor subiecte pe care vi le prezentam in formularul atasat, Partea I. Va rugam sa completati formularul Partea II, urmand sa il transmiteti online, dupa semnarea, stampilarea (dupa caz) si scanarea acestuia, in termen de 5 zile lucratoare de la comunicarea solicitarii. De asemenea, va rugam sa confirmati primirea acestui e-mail la adresa Sorina.MUNTEANU@afir.info Va multumim pentru interesul pe care il manifestati in legatura cu Fondul pentru modernizare. Acest mesaj este transmis in mod automat de catre Agentia pentru Finantarea Investitiilor Rurale (AFIR). Va rugam sa nu raspundeti prin reply la acest mesaj ci doar la adresa de e-mail comunicata anterior. In caz contrar, confirmarea sau raspunsul dumneavoastra nu va ajunge la expertii AFIR .</x:v>
      </x:c>
      <x:c r="K41" s="8" t="str">
        <x:v>cosmin.covaciu@cesiro.com</x:v>
      </x:c>
      <x:c r="L41" s="8" t="str">
        <x:v>624ac91a-5170-4e7f-94e3-18a06c5104fb</x:v>
      </x:c>
      <x:c r="M41" s="8" t="e">
        <x:f>HYPERLINK("file:///Z:/00. Proiecte 2025/AFIR FotoVoltaic 1/outputs/registru-cesiro-2026-10-16/Surse email/E037.txt","Deschide sursa")</x:f>
        <x:v>HYPERLINK is not implemented. linkLocation=file:///Z:/00. Proiecte 2025/AFIR FotoVoltaic 1/outputs/registru-cesiro-2026-10-16/Surse email/E037.txt, friendlyName=Deschide sursa</x:v>
      </x:c>
      <x:c r="N41" s="8" t="str">
        <x:v>Metadatele EVA pot conține duplicate de sincronizare.</x:v>
      </x:c>
    </x:row>
    <x:row r="42" ht="134" customHeight="1">
      <x:c r="A42" s="8" t="str">
        <x:v>E038</x:v>
      </x:c>
      <x:c r="B42" s="13" t="n">
        <x:v>46150.2659837963</x:v>
      </x:c>
      <x:c r="C42" s="8" t="str">
        <x:v>Primit</x:v>
      </x:c>
      <x:c r="D42" s="8" t="str">
        <x:v>AFIR direct</x:v>
      </x:c>
      <x:c r="E42" s="8" t="str">
        <x:v>FW: Solicitare informatii suplimentare</x:v>
      </x:c>
      <x:c r="F42" s="8" t="str">
        <x:v>Sorina.MUNTEANU@afir.info</x:v>
      </x:c>
      <x:c r="G42" s="8" t="str">
        <x:v>production@cesiro.ro; cosmin.covaciu@cesiro.com</x:v>
      </x:c>
      <x:c r="H42" s="8" t="str"/>
      <x:c r="I42" s="8" t="n">
        <x:v>4</x:v>
      </x:c>
      <x:c r="J42" s="8" t="str">
        <x:v>From: AFIR &lt;noreply@afir.info&gt; Sent: Tuesday, April 28, 2026 4:22 PM To: cosmin.covaciu@cesiro.com Cc: Sorina MUNTEANU &lt;Sorina.MUNTEANU@afir.info&gt;; Teodora MAXIM-MAIER &lt;Teodora.MAXIM-MAIER@afir.info&gt; Subject: Solicitare informatii suplimentare Stimate Domnule COVACIU COSMIN-ADRIAN, Referitor la solicitarea de modificare a contractului de finantare CFMSES011011372801030 al CESIRO PRODUCTION S.R.L., inregistrat la CRFIR-ALBA-IULIA, va informam faptul ca in urma verificarii efectuate a rezultat necesitatea clarificarii unor subiecte pe care vi le prezentam in formularul atasat, Partea I. Va rugam sa completati formularul Partea II, urmand sa il transmiteti online, dupa semnarea, stampilarea (dupa caz) si scanarea acestuia, in termen de 5 zile lucratoare de la comunicarea solicitarii. De asemenea, va rugam sa confirmati primirea acestui e-mail la adresa Sorina.MUNTEANU@afir.info&lt;mailto:Sorina.MUNTEANU@afir.info&gt; Va multumim pentru interesul pe care il manifestati in legatura cu Fondul pentru modernizare. Acest mesaj este transmis in mod automat de catre Agentia pentru Finantarea Investit</x:v>
      </x:c>
      <x:c r="K42" s="8" t="str">
        <x:v>production@cesiro.ro</x:v>
      </x:c>
      <x:c r="L42" s="8" t="str">
        <x:v>f1eb914d-e40e-4e89-9516-b4ae39297983</x:v>
      </x:c>
      <x:c r="M42" s="8" t="e">
        <x:f>HYPERLINK("file:///Z:/00. Proiecte 2025/AFIR FotoVoltaic 1/outputs/registru-cesiro-2026-10-16/Surse email/E038.txt","Deschide sursa")</x:f>
        <x:v>HYPERLINK is not implemented. linkLocation=file:///Z:/00. Proiecte 2025/AFIR FotoVoltaic 1/outputs/registru-cesiro-2026-10-16/Surse email/E038.txt, friendlyName=Deschide sursa</x:v>
      </x:c>
      <x:c r="N42" s="8" t="str">
        <x:v>Metadatele EVA pot conține duplicate de sincronizare.</x:v>
      </x:c>
    </x:row>
    <x:row r="43" ht="134" customHeight="1">
      <x:c r="A43" s="8" t="str">
        <x:v>E039</x:v>
      </x:c>
      <x:c r="B43" s="13" t="n">
        <x:v>46150.26599537037</x:v>
      </x:c>
      <x:c r="C43" s="8" t="str">
        <x:v>Primit</x:v>
      </x:c>
      <x:c r="D43" s="8" t="str">
        <x:v>AFIR direct</x:v>
      </x:c>
      <x:c r="E43" s="8" t="str">
        <x:v>FW: Solicitare informatii suplimentare</x:v>
      </x:c>
      <x:c r="F43" s="8" t="str">
        <x:v>Sorina.MUNTEANU@afir.info</x:v>
      </x:c>
      <x:c r="G43" s="8" t="str">
        <x:v>production@cesiro.ro; cosmin.covaciu@cesiro.com</x:v>
      </x:c>
      <x:c r="H43" s="8" t="str"/>
      <x:c r="I43" s="8" t="n">
        <x:v>4</x:v>
      </x:c>
      <x:c r="J43" s="8" t="str">
        <x:v>From: AFIR &lt;noreply@afir.info&gt; Sent: Tuesday, April 28, 2026 4:22 PM To: cosmin.covaciu@cesiro.com Cc: Sorina MUNTEANU &lt;Sorina.MUNTEANU@afir.info&gt;; Teodora MAXIM-MAIER &lt;Teodora.MAXIM-MAIER@afir.info&gt; Subject: Solicitare informatii suplimentare Stimate Domnule COVACIU COSMIN-ADRIAN, Referitor la solicitarea de modificare a contractului de finantare CFMSES011011372801030 al CESIRO PRODUCTION S.R.L., inregistrat la CRFIR-ALBA-IULIA, va informam faptul ca in urma verificarii efectuate a rezultat necesitatea clarificarii unor subiecte pe care vi le prezentam in formularul atasat, Partea I. Va rugam sa completati formularul Partea II, urmand sa il transmiteti online, dupa semnarea, stampilarea (dupa caz) si scanarea acestuia, in termen de 5 zile lucratoare de la comunicarea solicitarii. De asemenea, va rugam sa confirmati primirea acestui e-mail la adresa Sorina.MUNTEANU@afir.info&lt;mailto:Sorina.MUNTEANU@afir.info&gt; Va multumim pentru interesul pe care il manifestati in legatura cu Fondul pentru modernizare. Acest mesaj este transmis in mod automat de catre Agentia pentru Finantarea Investit</x:v>
      </x:c>
      <x:c r="K43" s="8" t="str">
        <x:v>cosmin.covaciu@cesiro.com</x:v>
      </x:c>
      <x:c r="L43" s="8" t="str">
        <x:v>42caad64-240d-4f60-92ff-7c33d4aae55e</x:v>
      </x:c>
      <x:c r="M43" s="8" t="e">
        <x:f>HYPERLINK("file:///Z:/00. Proiecte 2025/AFIR FotoVoltaic 1/outputs/registru-cesiro-2026-10-16/Surse email/E039.txt","Deschide sursa")</x:f>
        <x:v>HYPERLINK is not implemented. linkLocation=file:///Z:/00. Proiecte 2025/AFIR FotoVoltaic 1/outputs/registru-cesiro-2026-10-16/Surse email/E039.txt, friendlyName=Deschide sursa</x:v>
      </x:c>
      <x:c r="N43" s="8" t="str">
        <x:v>Metadatele EVA pot conține duplicate de sincronizare.</x:v>
      </x:c>
    </x:row>
    <x:row r="44" ht="36" customHeight="1">
      <x:c r="A44" s="8" t="str">
        <x:v>E040</x:v>
      </x:c>
      <x:c r="B44" s="13" t="n">
        <x:v>46150.290810185186</x:v>
      </x:c>
      <x:c r="C44" s="8" t="str">
        <x:v>Trimis</x:v>
      </x:c>
      <x:c r="D44" s="8" t="str">
        <x:v>AFIR direct</x:v>
      </x:c>
      <x:c r="E44" s="8" t="str">
        <x:v>Transmitere Documentatie Cesiro Production</x:v>
      </x:c>
      <x:c r="F44" s="8" t="str">
        <x:v>cosmin.covaciu@cesiro.com</x:v>
      </x:c>
      <x:c r="G44" s="8" t="str">
        <x:v>Sorina.MUNTEANU@afir.info</x:v>
      </x:c>
      <x:c r="H44" s="8" t="str"/>
      <x:c r="I44" s="8" t="n">
        <x:v>1</x:v>
      </x:c>
      <x:c r="J44" s="8" t="str">
        <x:v>Buna dimineața, Regasiti atasat documentele lipsa, Pentru orice clarificari suplimentare, nu ezitati sa ne contactati, 0769982977-Mihai Cu sitma, Echipa Cesiro Produciton</x:v>
      </x:c>
      <x:c r="K44" s="8" t="str">
        <x:v>cosmin.covaciu@cesiro.com</x:v>
      </x:c>
      <x:c r="L44" s="8" t="str">
        <x:v>5e2c014f-9cb5-4d7d-adf3-3320b782b4ef</x:v>
      </x:c>
      <x:c r="M44" s="8" t="e">
        <x:f>HYPERLINK("file:///Z:/00. Proiecte 2025/AFIR FotoVoltaic 1/outputs/registru-cesiro-2026-10-16/Surse email/E040.txt","Deschide sursa")</x:f>
        <x:v>HYPERLINK is not implemented. linkLocation=file:///Z:/00. Proiecte 2025/AFIR FotoVoltaic 1/outputs/registru-cesiro-2026-10-16/Surse email/E040.txt, friendlyName=Deschide sursa</x:v>
      </x:c>
      <x:c r="N44" s="8" t="str">
        <x:v>Metadatele EVA pot conține duplicate de sincronizare.</x:v>
      </x:c>
    </x:row>
    <x:row r="45" ht="36" customHeight="1">
      <x:c r="A45" s="8" t="str">
        <x:v>E041</x:v>
      </x:c>
      <x:c r="B45" s="13" t="n">
        <x:v>46150.300057870365</x:v>
      </x:c>
      <x:c r="C45" s="8" t="str">
        <x:v>Trimis</x:v>
      </x:c>
      <x:c r="D45" s="8" t="str">
        <x:v>Corespondență conexă</x:v>
      </x:c>
      <x:c r="E45" s="8" t="str">
        <x:v>Re: FW: CESIRO PRODUCTION SRL - Extrase de cont </x:v>
      </x:c>
      <x:c r="F45" s="8" t="str">
        <x:v>cosmin.covaciu@cesiro.com</x:v>
      </x:c>
      <x:c r="G45" s="8" t="str">
        <x:v>diana.marcu@eximbank.ro</x:v>
      </x:c>
      <x:c r="H45" s="8" t="str">
        <x:v>cosmina.stanciu@ipec.ro; oana.baciu@eximbank.ro; All.CAF.Sibiu@eximbank.ro</x:v>
      </x:c>
      <x:c r="I45" s="8" t="n">
        <x:v>0</x:v>
      </x:c>
      <x:c r="J45" s="8" t="str">
        <x:v>Buna dimineata,&amp;nbsp;&lt;br&gt;&lt;br&gt;Va rugam sa ne trimiteti si un extras de cont complet, pentru toata perioada, pentru care am avut contul deschis, pentru evidenta financiar-contabila,&amp;nbsp;&lt;br&gt;Va multumim!&amp;nbsp;&lt;br&gt;Cu stim,&amp;nbsp;</x:v>
      </x:c>
      <x:c r="K45" s="8" t="str">
        <x:v>cosmin.covaciu@cesiro.com</x:v>
      </x:c>
      <x:c r="L45" s="8" t="str">
        <x:v>cef8252a-3b16-44a9-88c3-627d4aa98cde</x:v>
      </x:c>
      <x:c r="M45" s="8" t="e">
        <x:f>HYPERLINK("file:///Z:/00. Proiecte 2025/AFIR FotoVoltaic 1/outputs/registru-cesiro-2026-10-16/Surse email/E041.txt","Deschide sursa")</x:f>
        <x:v>HYPERLINK is not implemented. linkLocation=file:///Z:/00. Proiecte 2025/AFIR FotoVoltaic 1/outputs/registru-cesiro-2026-10-16/Surse email/E041.txt, friendlyName=Deschide sursa</x:v>
      </x:c>
      <x:c r="N45" s="8" t="str">
        <x:v>Metadatele EVA pot conține duplicate de sincronizare.</x:v>
      </x:c>
    </x:row>
    <x:row r="46" ht="134" customHeight="1">
      <x:c r="A46" s="8" t="str">
        <x:v>E042</x:v>
      </x:c>
      <x:c r="B46" s="13" t="n">
        <x:v>46150.30844907407</x:v>
      </x:c>
      <x:c r="C46" s="8" t="str">
        <x:v>Primit</x:v>
      </x:c>
      <x:c r="D46" s="8" t="str">
        <x:v>Corespondență conexă</x:v>
      </x:c>
      <x:c r="E46" s="8" t="str">
        <x:v>RE: FW: CESIRO PRODUCTION SRL - Extrase de cont </x:v>
      </x:c>
      <x:c r="F46" s="8" t="str">
        <x:v>diana.marcu@eximbank.ro</x:v>
      </x:c>
      <x:c r="G46" s="8" t="str">
        <x:v>cosmin.covaciu@cesiro.com</x:v>
      </x:c>
      <x:c r="H46" s="8" t="str">
        <x:v>cosmina.stanciu@ipec.ro; oana.baciu@eximbank.ro; All.CAF.Sibiu@eximbank.ro</x:v>
      </x:c>
      <x:c r="I46" s="8" t="n">
        <x:v>6</x:v>
      </x:c>
      <x:c r="J46" s="8" t="str">
        <x:v>Continut Intern Buna ziua, Va transmit atasat extrasele de cont pentru CESIRO PRODUCTION SRL , perioada 19-12-2024 - 07.05.2026. Multumim, Diana Elisabeta MARCU Asistent Bancar - Centrul de Afaceri Sibiu Exim Banca Românească S.A. Str. Emil Cioran, nr. 2, Sibiu Cod 550025&lt;https://www.coduripostale.ro/Sibiu/Sibiu/Strada_Cioran_Emil/zip-550025&gt;, Sibiu Tel.: +40 21 40 56 772 E-mail: diana.marcu@eximbank.ro&lt;mailto:diana.marcu@eximbank.ro&gt; [cid:image001.jpg@01DCDED4.AFD6B870] From: cosmin.covaciu@cesiro.com &lt;cosmin.covaciu@cesiro.com&gt; Sent: Friday, May 8, 2026 10:12 AM To: Diana Marcu &lt;diana.marcu@eximbank.ro&gt; Cc: cosmina.stanciu@ipec.ro; Oana Baciu &lt;oana.baciu@eximbank.ro&gt;; All CAF Sibiu &lt;All.CAF.Sibiu@eximbank.ro&gt; Subject: Re: FW: CESIRO PRODUCTION SRL - Extrase de cont Buna dimineata, Va rugam sa ne trimiteti si un extras de cont complet, pentru toata perioada, pentru care am avut contul deschis, pentru evidenta financiar-contabila, Va multumim! Cu stim, Prezentul mesaj si orice documente atasate contin informatii confidentiale conform procedurilor interne ale Exim Banca Romaneasca. Co</x:v>
      </x:c>
      <x:c r="K46" s="8" t="str">
        <x:v>cosmin.covaciu@cesiro.com</x:v>
      </x:c>
      <x:c r="L46" s="8" t="str">
        <x:v>29b1a295-23ce-45db-9303-cde3d3d27033</x:v>
      </x:c>
      <x:c r="M46" s="8" t="e">
        <x:f>HYPERLINK("file:///Z:/00. Proiecte 2025/AFIR FotoVoltaic 1/outputs/registru-cesiro-2026-10-16/Surse email/E042.txt","Deschide sursa")</x:f>
        <x:v>HYPERLINK is not implemented. linkLocation=file:///Z:/00. Proiecte 2025/AFIR FotoVoltaic 1/outputs/registru-cesiro-2026-10-16/Surse email/E042.txt, friendlyName=Deschide sursa</x:v>
      </x:c>
      <x:c r="N46" s="8" t="str">
        <x:v>Metadatele EVA pot conține duplicate de sincronizare.</x:v>
      </x:c>
    </x:row>
    <x:row r="47" ht="36" customHeight="1">
      <x:c r="A47" s="8" t="str">
        <x:v>E043</x:v>
      </x:c>
      <x:c r="B47" s="13" t="n">
        <x:v>46150.318020833336</x:v>
      </x:c>
      <x:c r="C47" s="8" t="str">
        <x:v>Trimis</x:v>
      </x:c>
      <x:c r="D47" s="8" t="str">
        <x:v>AFIR direct</x:v>
      </x:c>
      <x:c r="E47" s="8" t="str">
        <x:v>Re: Transmitere Documentatie Cesiro Production</x:v>
      </x:c>
      <x:c r="F47" s="8" t="str">
        <x:v>cosmin.covaciu@cesiro.com</x:v>
      </x:c>
      <x:c r="G47" s="8" t="str">
        <x:v>cosmin.covaciu@cesiro.com; Sorina.MUNTEANU@afir.info</x:v>
      </x:c>
      <x:c r="H47" s="8" t="str"/>
      <x:c r="I47" s="8" t="n">
        <x:v>2</x:v>
      </x:c>
      <x:c r="J47" s="8" t="str">
        <x:v>Regasiti atasat documentele in completare, Cu stma, Cesiro Production</x:v>
      </x:c>
      <x:c r="K47" s="8" t="str">
        <x:v>cosmin.covaciu@cesiro.com</x:v>
      </x:c>
      <x:c r="L47" s="8" t="str">
        <x:v>40e4cd90-1f9a-49e6-860f-2541891bcd3d</x:v>
      </x:c>
      <x:c r="M47" s="8" t="e">
        <x:f>HYPERLINK("file:///Z:/00. Proiecte 2025/AFIR FotoVoltaic 1/outputs/registru-cesiro-2026-10-16/Surse email/E043.txt","Deschide sursa")</x:f>
        <x:v>HYPERLINK is not implemented. linkLocation=file:///Z:/00. Proiecte 2025/AFIR FotoVoltaic 1/outputs/registru-cesiro-2026-10-16/Surse email/E043.txt, friendlyName=Deschide sursa</x:v>
      </x:c>
      <x:c r="N47" s="8" t="str">
        <x:v>Metadatele EVA pot conține duplicate de sincronizare.</x:v>
      </x:c>
    </x:row>
    <x:row r="48" ht="36" customHeight="1">
      <x:c r="A48" s="8" t="str">
        <x:v>E044</x:v>
      </x:c>
      <x:c r="B48" s="13" t="n">
        <x:v>46150.318032407406</x:v>
      </x:c>
      <x:c r="C48" s="8" t="str">
        <x:v>Primit</x:v>
      </x:c>
      <x:c r="D48" s="8" t="str">
        <x:v>AFIR direct</x:v>
      </x:c>
      <x:c r="E48" s="8" t="str">
        <x:v>Re: Transmitere Documentatie Cesiro Production</x:v>
      </x:c>
      <x:c r="F48" s="8" t="str">
        <x:v>cosmin.covaciu@cesiro.com</x:v>
      </x:c>
      <x:c r="G48" s="8" t="str">
        <x:v>cosmin.covaciu@cesiro.com; Sorina.MUNTEANU@afir.info</x:v>
      </x:c>
      <x:c r="H48" s="8" t="str"/>
      <x:c r="I48" s="8" t="n">
        <x:v>2</x:v>
      </x:c>
      <x:c r="J48" s="8" t="str">
        <x:v>Regasiti atasat documentele in completare, Cu stma, Cesiro Production</x:v>
      </x:c>
      <x:c r="K48" s="8" t="str">
        <x:v>cosmin.covaciu@cesiro.com</x:v>
      </x:c>
      <x:c r="L48" s="8" t="str">
        <x:v>5b96394c-f84e-4317-a9b1-36ee2115a666</x:v>
      </x:c>
      <x:c r="M48" s="8" t="e">
        <x:f>HYPERLINK("file:///Z:/00. Proiecte 2025/AFIR FotoVoltaic 1/outputs/registru-cesiro-2026-10-16/Surse email/E044.txt","Deschide sursa")</x:f>
        <x:v>HYPERLINK is not implemented. linkLocation=file:///Z:/00. Proiecte 2025/AFIR FotoVoltaic 1/outputs/registru-cesiro-2026-10-16/Surse email/E044.txt, friendlyName=Deschide sursa</x:v>
      </x:c>
      <x:c r="N48" s="8" t="str">
        <x:v>Metadatele EVA pot conține duplicate de sincronizare.</x:v>
      </x:c>
    </x:row>
    <x:row r="49" ht="36" customHeight="1">
      <x:c r="A49" s="8" t="str">
        <x:v>E045</x:v>
      </x:c>
      <x:c r="B49" s="13" t="n">
        <x:v>46150.3305324074</x:v>
      </x:c>
      <x:c r="C49" s="8" t="str">
        <x:v>Trimis</x:v>
      </x:c>
      <x:c r="D49" s="8" t="str">
        <x:v>Corespondență conexă</x:v>
      </x:c>
      <x:c r="E49" s="8" t="str">
        <x:v>Re: FW: CESIRO PRODUCTION SRL - Extrase de cont </x:v>
      </x:c>
      <x:c r="F49" s="8" t="str">
        <x:v>cosmin.covaciu@cesiro.com</x:v>
      </x:c>
      <x:c r="G49" s="8" t="str">
        <x:v>diana.marcu@eximbank.ro</x:v>
      </x:c>
      <x:c r="H49" s="8" t="str">
        <x:v>cosmina.stanciu@ipec.ro; oana.baciu@eximbank.ro; All.CAF.Sibiu@eximbank.ro</x:v>
      </x:c>
      <x:c r="I49" s="8" t="n">
        <x:v>1</x:v>
      </x:c>
      <x:c r="J49" s="8" t="str">
        <x:v>Buna, Regasiti atasat CI si dovada adresei de domiciliu. Pentru orice clarificari suplimentare va stam la dispozitie, Cu stima,</x:v>
      </x:c>
      <x:c r="K49" s="8" t="str">
        <x:v>cosmin.covaciu@cesiro.com</x:v>
      </x:c>
      <x:c r="L49" s="8" t="str">
        <x:v>c1b95db8-16e8-4782-a4fc-e9de6681a60f</x:v>
      </x:c>
      <x:c r="M49" s="8" t="e">
        <x:f>HYPERLINK("file:///Z:/00. Proiecte 2025/AFIR FotoVoltaic 1/outputs/registru-cesiro-2026-10-16/Surse email/E045.txt","Deschide sursa")</x:f>
        <x:v>HYPERLINK is not implemented. linkLocation=file:///Z:/00. Proiecte 2025/AFIR FotoVoltaic 1/outputs/registru-cesiro-2026-10-16/Surse email/E045.txt, friendlyName=Deschide sursa</x:v>
      </x:c>
      <x:c r="N49" s="8" t="str">
        <x:v>Metadatele EVA pot conține duplicate de sincronizare.</x:v>
      </x:c>
    </x:row>
    <x:row r="50" ht="134" customHeight="1">
      <x:c r="A50" s="8" t="str">
        <x:v>E046</x:v>
      </x:c>
      <x:c r="B50" s="13" t="n">
        <x:v>46150.33167824074</x:v>
      </x:c>
      <x:c r="C50" s="8" t="str">
        <x:v>Primit</x:v>
      </x:c>
      <x:c r="D50" s="8" t="str">
        <x:v>Corespondență conexă</x:v>
      </x:c>
      <x:c r="E50" s="8" t="str">
        <x:v>Undeliverable: Re: FW: CESIRO PRODUCTION SRL - Extrase de cont </x:v>
      </x:c>
      <x:c r="F50" s="8" t="str">
        <x:v>postmaster@eximbank.ro</x:v>
      </x:c>
      <x:c r="G50" s="8" t="str">
        <x:v>cosmin.covaciu@cesiro.com</x:v>
      </x:c>
      <x:c r="H50" s="8" t="str"/>
      <x:c r="I50" s="8" t="n">
        <x:v>2</x:v>
      </x:c>
      <x:c r="J50" s="8" t="str">
        <x:v>Your message to All.CAF.Sibiu@eximbank.ro couldn't be delivered. The group All.CAF.Sibiu only accepts messages from people in its organization or on its allowed senders list, and your email address isn't on the list. cosmin.covaciu Office 365 All.CAF.Sibiu Sender Action Required Sender not allowed How to Fix It It appears you aren't in the same organization as the group (or a sub-group) you're sending to or your email address isn't on the group's allowed senders list. Ask the owner of the group to grant you permission to send to it, and then try again. If the group belongs to a different organization than yours, contact the organization's customer service department for assistance. If the group is in your organization and you don't know who the group owner is, you can find it by doing the following in either Outlook on the web or Outlook: Open your Sent folder and select the original message. If you're using Outlook on the web, select the group name located on the To or CC line. If you're using Outlook, double-click the group name located on the To or CC line. In Outlook on the web, </x:v>
      </x:c>
      <x:c r="K50" s="8" t="str">
        <x:v>cosmin.covaciu@cesiro.com</x:v>
      </x:c>
      <x:c r="L50" s="8" t="str">
        <x:v>44eb4fbe-3ed7-4d7d-afa7-283b28d085c5</x:v>
      </x:c>
      <x:c r="M50" s="8" t="e">
        <x:f>HYPERLINK("file:///Z:/00. Proiecte 2025/AFIR FotoVoltaic 1/outputs/registru-cesiro-2026-10-16/Surse email/E046.txt","Deschide sursa")</x:f>
        <x:v>HYPERLINK is not implemented. linkLocation=file:///Z:/00. Proiecte 2025/AFIR FotoVoltaic 1/outputs/registru-cesiro-2026-10-16/Surse email/E046.txt, friendlyName=Deschide sursa</x:v>
      </x:c>
      <x:c r="N50" s="8" t="str">
        <x:v>Metadatele EVA pot conține duplicate de sincronizare.</x:v>
      </x:c>
    </x:row>
    <x:row r="51" ht="92" customHeight="1">
      <x:c r="A51" s="8" t="str">
        <x:v>E047</x:v>
      </x:c>
      <x:c r="B51" s="13" t="n">
        <x:v>46150.42185185185</x:v>
      </x:c>
      <x:c r="C51" s="8" t="str">
        <x:v>Primit</x:v>
      </x:c>
      <x:c r="D51" s="8" t="str">
        <x:v>AFIR direct</x:v>
      </x:c>
      <x:c r="E51" s="8" t="str">
        <x:v>Nota privind modificarea solicitata</x:v>
      </x:c>
      <x:c r="F51" s="8" t="str">
        <x:v>noreply@afir.info</x:v>
      </x:c>
      <x:c r="G51" s="8" t="str">
        <x:v>cosmin.covaciu@cesiro.com</x:v>
      </x:c>
      <x:c r="H51" s="8" t="str">
        <x:v>Sorina.MUNTEANU@afir.info</x:v>
      </x:c>
      <x:c r="I51" s="8" t="n">
        <x:v>2</x:v>
      </x:c>
      <x:c r="J51" s="8" t="str">
        <x:v>Stimate Domnule COVACIU COSMIN-ADRIAN, Referitor la solicitarea de modificare a contractului de finantare al CESIRO PRODUCTION S.R.L. cu codul CFMSES011011372801030, va transmitem in atasament nota privind modificarea contractului de finantare. Va rugam sa confirmati primirea acestui e-mail la adresa Sorina.MUNTEANU@afir.info Va multumim pentru interesul pe care il manifestati in legatura cu Fondul pentru modernizare. Acest mesaj este transmis in mod automat de catre Agentia pentru Finantarea Investitiilor Rurale (AFIR). Va rugam sa nu raspundeti prin reply la acest mesaj ci doar la adresa de e-mail comunicata anterior. In caz contrar, confirmarea sau raspunsul dumneavoastra nu va ajunge la expertii AFIR .</x:v>
      </x:c>
      <x:c r="K51" s="8" t="str">
        <x:v>cosmin.covaciu@cesiro.com</x:v>
      </x:c>
      <x:c r="L51" s="8" t="str">
        <x:v>a3c04533-bf37-463f-8e27-99785d20f07d</x:v>
      </x:c>
      <x:c r="M51" s="8" t="e">
        <x:f>HYPERLINK("file:///Z:/00. Proiecte 2025/AFIR FotoVoltaic 1/outputs/registru-cesiro-2026-10-16/Surse email/E047.txt","Deschide sursa")</x:f>
        <x:v>HYPERLINK is not implemented. linkLocation=file:///Z:/00. Proiecte 2025/AFIR FotoVoltaic 1/outputs/registru-cesiro-2026-10-16/Surse email/E047.txt, friendlyName=Deschide sursa</x:v>
      </x:c>
      <x:c r="N51" s="8" t="str">
        <x:v>Metadatele EVA pot conține duplicate de sincronizare.</x:v>
      </x:c>
    </x:row>
    <x:row r="52" ht="36" customHeight="1">
      <x:c r="A52" s="8" t="str">
        <x:v>E048</x:v>
      </x:c>
      <x:c r="B52" s="13" t="n">
        <x:v>46150.50168981482</x:v>
      </x:c>
      <x:c r="C52" s="8" t="str">
        <x:v>Trimis</x:v>
      </x:c>
      <x:c r="D52" s="8" t="str">
        <x:v>AFIR direct</x:v>
      </x:c>
      <x:c r="E52" s="8" t="str">
        <x:v>Confirmare: NOTA DE APROBARE PRIVIND MODIFICAREA CONTRACTULUI DE FINANŢARE</x:v>
      </x:c>
      <x:c r="F52" s="8" t="str">
        <x:v>cosmin.covaciu@cesiro.com</x:v>
      </x:c>
      <x:c r="G52" s="8" t="str">
        <x:v>Sorina.MUNTEANU@afir.info</x:v>
      </x:c>
      <x:c r="H52" s="8" t="str">
        <x:v>mihainegrea25@gmail.com</x:v>
      </x:c>
      <x:c r="I52" s="8" t="n">
        <x:v>0</x:v>
      </x:c>
      <x:c r="J52" s="8" t="str">
        <x:v>Buna ziua, Confirmarm primirea. Cu stima, Echipa Cesiro Production</x:v>
      </x:c>
      <x:c r="K52" s="8" t="str">
        <x:v>cosmin.covaciu@cesiro.com</x:v>
      </x:c>
      <x:c r="L52" s="8" t="str">
        <x:v>1510a443-e920-4a72-aabf-5d7423116403</x:v>
      </x:c>
      <x:c r="M52" s="8" t="e">
        <x:f>HYPERLINK("file:///Z:/00. Proiecte 2025/AFIR FotoVoltaic 1/outputs/registru-cesiro-2026-10-16/Surse email/E048.txt","Deschide sursa")</x:f>
        <x:v>HYPERLINK is not implemented. linkLocation=file:///Z:/00. Proiecte 2025/AFIR FotoVoltaic 1/outputs/registru-cesiro-2026-10-16/Surse email/E048.txt, friendlyName=Deschide sursa</x:v>
      </x:c>
      <x:c r="N52" s="8" t="str">
        <x:v>Metadatele EVA pot conține duplicate de sincronizare.</x:v>
      </x:c>
    </x:row>
    <x:row r="53" ht="36" customHeight="1">
      <x:c r="A53" s="8" t="str">
        <x:v>E049</x:v>
      </x:c>
      <x:c r="B53" s="13" t="n">
        <x:v>46150.50299768518</x:v>
      </x:c>
      <x:c r="C53" s="8" t="str">
        <x:v>Primit</x:v>
      </x:c>
      <x:c r="D53" s="8" t="str">
        <x:v>AFIR direct</x:v>
      </x:c>
      <x:c r="E53" s="8" t="str">
        <x:v>Automatic reply: Confirmare: NOTA DE APROBARE PRIVIND MODIFICAREA CONTRACTULUI DE FINANŢARE</x:v>
      </x:c>
      <x:c r="F53" s="8" t="str">
        <x:v>Sorina.MUNTEANU@afir.info</x:v>
      </x:c>
      <x:c r="G53" s="8" t="str">
        <x:v>cosmin.covaciu@cesiro.com</x:v>
      </x:c>
      <x:c r="H53" s="8" t="str"/>
      <x:c r="I53" s="8" t="n">
        <x:v>0</x:v>
      </x:c>
      <x:c r="J53" s="8" t="str">
        <x:v>In perioada 11.05-25.05.2026 sunt în concediu de odihna. E-mail-urile sunt redirectionate automat catre Ana Andronescu. Multumesc,</x:v>
      </x:c>
      <x:c r="K53" s="8" t="str">
        <x:v>cosmin.covaciu@cesiro.com</x:v>
      </x:c>
      <x:c r="L53" s="8" t="str">
        <x:v>44d03d79-ae20-4d2f-a260-98bc6789e59d</x:v>
      </x:c>
      <x:c r="M53" s="8" t="e">
        <x:f>HYPERLINK("file:///Z:/00. Proiecte 2025/AFIR FotoVoltaic 1/outputs/registru-cesiro-2026-10-16/Surse email/E049.txt","Deschide sursa")</x:f>
        <x:v>HYPERLINK is not implemented. linkLocation=file:///Z:/00. Proiecte 2025/AFIR FotoVoltaic 1/outputs/registru-cesiro-2026-10-16/Surse email/E049.txt, friendlyName=Deschide sursa</x:v>
      </x:c>
      <x:c r="N53" s="8" t="str">
        <x:v>Metadatele EVA pot conține duplicate de sincronizare.</x:v>
      </x:c>
    </x:row>
    <x:row r="54" ht="36" customHeight="1">
      <x:c r="A54" s="8" t="str">
        <x:v>E050</x:v>
      </x:c>
      <x:c r="B54" s="13" t="n">
        <x:v>46164.39046537037</x:v>
      </x:c>
      <x:c r="C54" s="8" t="str">
        <x:v>Trimis</x:v>
      </x:c>
      <x:c r="D54" s="8" t="str">
        <x:v>Corespondență conexă</x:v>
      </x:c>
      <x:c r="E54" s="8" t="str">
        <x:v>Re: FW: CESIRO PRODUCTION SRL - Extrase de cont </x:v>
      </x:c>
      <x:c r="F54" s="8" t="str">
        <x:v>cosmin.covaciu@cesiro.com</x:v>
      </x:c>
      <x:c r="G54" s="8" t="str">
        <x:v>diana.marcu@eximbank.ro</x:v>
      </x:c>
      <x:c r="H54" s="8" t="str">
        <x:v>cosmina.stanciu@ipec.ro; oana.baciu@eximbank.ro; All.CAF.Sibiu@eximbank.ro</x:v>
      </x:c>
      <x:c r="I54" s="8" t="n">
        <x:v>0</x:v>
      </x:c>
      <x:c r="J54" s="8" t="str">
        <x:v>Buna dimineata,&amp;nbsp;&lt;br&gt;&lt;br&gt;Va rugam sa ne trimiteti si un extras de cont complet, pentru toata perioada, pentru care am avut contul deschis, pentru evidenta financiar-contabila,&amp;nbsp;&lt;br&gt;Va multumim!&amp;nbsp;&lt;br&gt;Cu stim,&amp;nbsp;</x:v>
      </x:c>
      <x:c r="K54" s="8" t="str">
        <x:v>cosmin.covaciu@cesiro.com</x:v>
      </x:c>
      <x:c r="L54" s="8" t="str">
        <x:v>0719b8a9-6f72-438f-becf-6e34a6f7c1bf</x:v>
      </x:c>
      <x:c r="M54" s="8" t="e">
        <x:f>HYPERLINK("file:///Z:/00. Proiecte 2025/AFIR FotoVoltaic 1/outputs/registru-cesiro-2026-10-16/Surse email/E050.txt","Deschide sursa")</x:f>
        <x:v>HYPERLINK is not implemented. linkLocation=file:///Z:/00. Proiecte 2025/AFIR FotoVoltaic 1/outputs/registru-cesiro-2026-10-16/Surse email/E050.txt, friendlyName=Deschide sursa</x:v>
      </x:c>
      <x:c r="N54" s="8" t="str">
        <x:v>Metadatele EVA pot conține duplicate de sincronizare.</x:v>
      </x:c>
    </x:row>
    <x:row r="55" ht="36" customHeight="1">
      <x:c r="A55" s="8" t="str">
        <x:v>E051</x:v>
      </x:c>
      <x:c r="B55" s="13" t="n">
        <x:v>46164.39054206018</x:v>
      </x:c>
      <x:c r="C55" s="8" t="str">
        <x:v>Trimis</x:v>
      </x:c>
      <x:c r="D55" s="8" t="str">
        <x:v>AFIR direct</x:v>
      </x:c>
      <x:c r="E55" s="8" t="str">
        <x:v>Re: Transmitere Documentatie Cesiro Production</x:v>
      </x:c>
      <x:c r="F55" s="8" t="str">
        <x:v>cosmin.covaciu@cesiro.com</x:v>
      </x:c>
      <x:c r="G55" s="8" t="str">
        <x:v>cosmin.covaciu@cesiro.com; Sorina.MUNTEANU@afir.info</x:v>
      </x:c>
      <x:c r="H55" s="8" t="str"/>
      <x:c r="I55" s="8" t="n">
        <x:v>2</x:v>
      </x:c>
      <x:c r="J55" s="8" t="str">
        <x:v>Regasiti atasat documentele in completare, Cu stma, Cesiro Production</x:v>
      </x:c>
      <x:c r="K55" s="8" t="str">
        <x:v>cosmin.covaciu@cesiro.com</x:v>
      </x:c>
      <x:c r="L55" s="8" t="str">
        <x:v>adf18d05-693a-48de-9e2d-a4eb6595ae05</x:v>
      </x:c>
      <x:c r="M55" s="8" t="e">
        <x:f>HYPERLINK("file:///Z:/00. Proiecte 2025/AFIR FotoVoltaic 1/outputs/registru-cesiro-2026-10-16/Surse email/E051.txt","Deschide sursa")</x:f>
        <x:v>HYPERLINK is not implemented. linkLocation=file:///Z:/00. Proiecte 2025/AFIR FotoVoltaic 1/outputs/registru-cesiro-2026-10-16/Surse email/E051.txt, friendlyName=Deschide sursa</x:v>
      </x:c>
      <x:c r="N55" s="8" t="str">
        <x:v>Metadatele EVA pot conține duplicate de sincronizare.</x:v>
      </x:c>
    </x:row>
    <x:row r="56" ht="36" customHeight="1">
      <x:c r="A56" s="8" t="str">
        <x:v>E052</x:v>
      </x:c>
      <x:c r="B56" s="13" t="n">
        <x:v>46164.390573321754</x:v>
      </x:c>
      <x:c r="C56" s="8" t="str">
        <x:v>Trimis</x:v>
      </x:c>
      <x:c r="D56" s="8" t="str">
        <x:v>AFIR direct</x:v>
      </x:c>
      <x:c r="E56" s="8" t="str">
        <x:v>Confirmare: NOTA DE APROBARE PRIVIND MODIFICAREA CONTRACTULUI DE FINANŢARE</x:v>
      </x:c>
      <x:c r="F56" s="8" t="str">
        <x:v>cosmin.covaciu@cesiro.com</x:v>
      </x:c>
      <x:c r="G56" s="8" t="str">
        <x:v>Sorina.MUNTEANU@afir.info</x:v>
      </x:c>
      <x:c r="H56" s="8" t="str">
        <x:v>mihainegrea25@gmail.com</x:v>
      </x:c>
      <x:c r="I56" s="8" t="n">
        <x:v>0</x:v>
      </x:c>
      <x:c r="J56" s="8" t="str">
        <x:v>Buna ziua, Confirmarm primirea. Cu stima, Echipa Cesiro Production</x:v>
      </x:c>
      <x:c r="K56" s="8" t="str">
        <x:v>cosmin.covaciu@cesiro.com</x:v>
      </x:c>
      <x:c r="L56" s="8" t="str">
        <x:v>77773098-17eb-427c-82ba-95e3af723dcb</x:v>
      </x:c>
      <x:c r="M56" s="8" t="e">
        <x:f>HYPERLINK("file:///Z:/00. Proiecte 2025/AFIR FotoVoltaic 1/outputs/registru-cesiro-2026-10-16/Surse email/E052.txt","Deschide sursa")</x:f>
        <x:v>HYPERLINK is not implemented. linkLocation=file:///Z:/00. Proiecte 2025/AFIR FotoVoltaic 1/outputs/registru-cesiro-2026-10-16/Surse email/E052.txt, friendlyName=Deschide sursa</x:v>
      </x:c>
      <x:c r="N56" s="8" t="str">
        <x:v>Metadatele EVA pot conține duplicate de sincronizare.</x:v>
      </x:c>
    </x:row>
    <x:row r="57" ht="36" customHeight="1">
      <x:c r="A57" s="8" t="str">
        <x:v>E053</x:v>
      </x:c>
      <x:c r="B57" s="13" t="n">
        <x:v>46164.39059094907</x:v>
      </x:c>
      <x:c r="C57" s="8" t="str">
        <x:v>Trimis</x:v>
      </x:c>
      <x:c r="D57" s="8" t="str">
        <x:v>AFIR direct</x:v>
      </x:c>
      <x:c r="E57" s="8" t="str">
        <x:v>Transmitere Documentatie Cesiro Production</x:v>
      </x:c>
      <x:c r="F57" s="8" t="str">
        <x:v>cosmin.covaciu@cesiro.com</x:v>
      </x:c>
      <x:c r="G57" s="8" t="str">
        <x:v>Sorina.MUNTEANU@afir.info</x:v>
      </x:c>
      <x:c r="H57" s="8" t="str"/>
      <x:c r="I57" s="8" t="n">
        <x:v>1</x:v>
      </x:c>
      <x:c r="J57" s="8" t="str">
        <x:v>Buna dimineața, Regasiti atasat documentele lipsa, Pentru orice clarificari suplimentare, nu ezitati sa ne contactati, 0769982977-Mihai Cu sitma, Echipa Cesiro Produciton</x:v>
      </x:c>
      <x:c r="K57" s="8" t="str">
        <x:v>cosmin.covaciu@cesiro.com</x:v>
      </x:c>
      <x:c r="L57" s="8" t="str">
        <x:v>8c72ec2f-1495-412e-9c1c-a4896684d25e</x:v>
      </x:c>
      <x:c r="M57" s="8" t="e">
        <x:f>HYPERLINK("file:///Z:/00. Proiecte 2025/AFIR FotoVoltaic 1/outputs/registru-cesiro-2026-10-16/Surse email/E053.txt","Deschide sursa")</x:f>
        <x:v>HYPERLINK is not implemented. linkLocation=file:///Z:/00. Proiecte 2025/AFIR FotoVoltaic 1/outputs/registru-cesiro-2026-10-16/Surse email/E053.txt, friendlyName=Deschide sursa</x:v>
      </x:c>
      <x:c r="N57" s="8" t="str">
        <x:v>Metadatele EVA pot conține duplicate de sincronizare.</x:v>
      </x:c>
    </x:row>
    <x:row r="58" ht="36" customHeight="1">
      <x:c r="A58" s="8" t="str">
        <x:v>E054</x:v>
      </x:c>
      <x:c r="B58" s="13" t="n">
        <x:v>46164.39061335648</x:v>
      </x:c>
      <x:c r="C58" s="8" t="str">
        <x:v>Trimis</x:v>
      </x:c>
      <x:c r="D58" s="8" t="str">
        <x:v>Corespondență conexă</x:v>
      </x:c>
      <x:c r="E58" s="8" t="str">
        <x:v>Re: FW: CESIRO PRODUCTION SRL - Extrase de cont </x:v>
      </x:c>
      <x:c r="F58" s="8" t="str">
        <x:v>cosmin.covaciu@cesiro.com</x:v>
      </x:c>
      <x:c r="G58" s="8" t="str">
        <x:v>diana.marcu@eximbank.ro</x:v>
      </x:c>
      <x:c r="H58" s="8" t="str">
        <x:v>cosmina.stanciu@ipec.ro; oana.baciu@eximbank.ro; All.CAF.Sibiu@eximbank.ro</x:v>
      </x:c>
      <x:c r="I58" s="8" t="n">
        <x:v>1</x:v>
      </x:c>
      <x:c r="J58" s="8" t="str">
        <x:v>Buna, Regasiti atasat CI si dovada adresei de domiciliu. Pentru orice clarificari suplimentare va stam la dispozitie, Cu stima,</x:v>
      </x:c>
      <x:c r="K58" s="8" t="str">
        <x:v>cosmin.covaciu@cesiro.com</x:v>
      </x:c>
      <x:c r="L58" s="8" t="str">
        <x:v>f9590e57-ac3a-4413-8110-22c30f5f9f5b</x:v>
      </x:c>
      <x:c r="M58" s="8" t="e">
        <x:f>HYPERLINK("file:///Z:/00. Proiecte 2025/AFIR FotoVoltaic 1/outputs/registru-cesiro-2026-10-16/Surse email/E054.txt","Deschide sursa")</x:f>
        <x:v>HYPERLINK is not implemented. linkLocation=file:///Z:/00. Proiecte 2025/AFIR FotoVoltaic 1/outputs/registru-cesiro-2026-10-16/Surse email/E054.txt, friendlyName=Deschide sursa</x:v>
      </x:c>
      <x:c r="N58" s="8" t="str">
        <x:v>Metadatele EVA pot conține duplicate de sincronizare.</x:v>
      </x:c>
    </x:row>
    <x:row r="59" ht="36" customHeight="1">
      <x:c r="A59" s="8" t="str">
        <x:v>E055</x:v>
      </x:c>
      <x:c r="B59" s="13" t="n">
        <x:v>46164.39192337963</x:v>
      </x:c>
      <x:c r="C59" s="8" t="str">
        <x:v>Primit</x:v>
      </x:c>
      <x:c r="D59" s="8" t="str">
        <x:v>AFIR direct</x:v>
      </x:c>
      <x:c r="E59" s="8" t="str">
        <x:v>Re: Transmitere Documentatie Cesiro Production</x:v>
      </x:c>
      <x:c r="F59" s="8" t="str">
        <x:v>cosmin.covaciu@cesiro.com</x:v>
      </x:c>
      <x:c r="G59" s="8" t="str">
        <x:v>cosmin.covaciu@cesiro.com; Sorina.MUNTEANU@afir.info</x:v>
      </x:c>
      <x:c r="H59" s="8" t="str"/>
      <x:c r="I59" s="8" t="n">
        <x:v>2</x:v>
      </x:c>
      <x:c r="J59" s="8" t="str">
        <x:v>Regasiti atasat documentele in completare, Cu stma, Cesiro Production</x:v>
      </x:c>
      <x:c r="K59" s="8" t="str">
        <x:v>cosmin.covaciu@cesiro.com</x:v>
      </x:c>
      <x:c r="L59" s="8" t="str">
        <x:v>1de97c85-1c08-4605-ba33-872eb8a5c64c</x:v>
      </x:c>
      <x:c r="M59" s="8" t="e">
        <x:f>HYPERLINK("file:///Z:/00. Proiecte 2025/AFIR FotoVoltaic 1/outputs/registru-cesiro-2026-10-16/Surse email/E055.txt","Deschide sursa")</x:f>
        <x:v>HYPERLINK is not implemented. linkLocation=file:///Z:/00. Proiecte 2025/AFIR FotoVoltaic 1/outputs/registru-cesiro-2026-10-16/Surse email/E055.txt, friendlyName=Deschide sursa</x:v>
      </x:c>
      <x:c r="N59" s="8" t="str">
        <x:v>Metadatele EVA pot conține duplicate de sincronizare.</x:v>
      </x:c>
    </x:row>
    <x:row r="60" ht="134" customHeight="1">
      <x:c r="A60" s="8" t="str">
        <x:v>E056</x:v>
      </x:c>
      <x:c r="B60" s="13" t="n">
        <x:v>46206.53364583333</x:v>
      </x:c>
      <x:c r="C60" s="8" t="str">
        <x:v>Primit</x:v>
      </x:c>
      <x:c r="D60" s="8" t="str">
        <x:v>Corespondență conexă</x:v>
      </x:c>
      <x:c r="E60" s="8" t="str">
        <x:v>CESIRO PRODUCTION - identificare CONT PROIECT </x:v>
      </x:c>
      <x:c r="F60" s="8" t="str">
        <x:v>oana.baciu@eximbank.ro</x:v>
      </x:c>
      <x:c r="G60" s="8" t="str">
        <x:v>covaciu.gnm@gmail.com</x:v>
      </x:c>
      <x:c r="H60" s="8" t="str">
        <x:v>All.CAF.Sibiu@eximbank.ro; All.Suc.Alba.Iulia@eximbank.ro</x:v>
      </x:c>
      <x:c r="I60" s="8" t="n">
        <x:v>4</x:v>
      </x:c>
      <x:c r="J60" s="8" t="str">
        <x:v>Continut Intern Buna ziua Domnule Cosmin va trimit identificare fiscala si documentele ce au stat la baza deschiderii acestui cont de proiect Multumesc Oana BACIU Manager Relatii Clienti - Centrul de Afaceri Sibiu Exim Banca Românească S.A. Str. Emil Cioran, nr. 2 Cod 550025&lt;https://www.coduripostale.ro/Sibiu/Sibiu/Bulevard_Milea_Vasile_bl._2,_3,_9,_10,_11,_12/zip-550325&gt;, Sibiu Tel.: +40 21 40 56 771 E-mail: oana.baciu@eximbank.ro&lt;mailto:oana.baciu@eximbank.ro&gt; [cid:image001.jpg@01DD0B03.629CBEF0] Prezentul mesaj si orice documente atasate contin informatii confidentiale conform procedurilor interne ale Exim Banca Romaneasca. Continutul mesajului nu poate fi dezvaluit sau utilizat de catre altcineva decat destinatarul, persoana fizica sau juridica, informatiile fiind confidentiale sau privilegiate. In cazul in care nu sunteti destinatarul mentionat, va aducem la cunostinta ca dezvaluirea, copierea, distribuirea sau initierea/omiterea unor actiuni pe baza prezentelor informatii sunt strict interzise si atrag raspunderea civila si/sau penala. Daca ati primit acest mesaj dintr-o eroare</x:v>
      </x:c>
      <x:c r="K60" s="8" t="str">
        <x:v>covaciu.gnm@eva-org.com</x:v>
      </x:c>
      <x:c r="L60" s="8" t="str">
        <x:v>f5d088df-8379-445d-92b3-15ff00efeeef</x:v>
      </x:c>
      <x:c r="M60" s="8" t="e">
        <x:f>HYPERLINK("file:///Z:/00. Proiecte 2025/AFIR FotoVoltaic 1/outputs/registru-cesiro-2026-10-16/Surse email/E056.txt","Deschide sursa")</x:f>
        <x:v>HYPERLINK is not implemented. linkLocation=file:///Z:/00. Proiecte 2025/AFIR FotoVoltaic 1/outputs/registru-cesiro-2026-10-16/Surse email/E056.txt, friendlyName=Deschide sursa</x:v>
      </x:c>
      <x:c r="N60" s="8" t="str">
        <x:v>Metadatele EVA pot conține duplicate de sincronizare.</x:v>
      </x:c>
    </x:row>
    <x:row r="61" ht="134" customHeight="1">
      <x:c r="A61" s="8" t="str">
        <x:v>E057</x:v>
      </x:c>
      <x:c r="B61" s="13" t="n">
        <x:v>46212.47376594908</x:v>
      </x:c>
      <x:c r="C61" s="8" t="str">
        <x:v>Trimis</x:v>
      </x:c>
      <x:c r="D61" s="8" t="str">
        <x:v>AFIR direct</x:v>
      </x:c>
      <x:c r="E61" s="8" t="str">
        <x:v>Contract de finanțare nr. CFMSES011011372801030/30.12.2024 / Act Adițional nr. 1, nr. de înregistrare electronic 1.360.244/30.06.2026</x:v>
      </x:c>
      <x:c r="F61" s="8" t="str">
        <x:v>production@cesiro.ro</x:v>
      </x:c>
      <x:c r="G61" s="8" t="str">
        <x:v>Adriana.DURIGA@afir.info</x:v>
      </x:c>
      <x:c r="H61" s="8" t="str"/>
      <x:c r="I61" s="8" t="n">
        <x:v>3</x:v>
      </x:c>
      <x:c r="J61" s="8" t="str">
        <x:v>Către: AGENȚIA PENTRU FINANȚAREA INVESTIȚIILOR RURALE (AFIR) Centrul Regional pentru Finanțarea Investițiilor Rurale 7 Centru Alba Iulia Adresa: Alba Iulia, str. Alexandru Ioan Cuza nr. 23, jud. Alba În atenția: Doamnei Lidia-Delia BOGDAN, Director General Adjunct CRFIR 7 Centru Doamnei Emilia-Luciana OLAR, Director CRFIR Alba Iulia Ref.: Contract de finanțare nr. CFMSES011011372801030/30.12.2024 Act Adițional nr. 1, nr. de înregistrare electronic 1.360.244/30.06.2026 ADRESĂ DE ÎNAINTARE Stimată doamnă Director General Adjunct, Stimată doamnă Director, Subscrisa, CESIRO PRODUCTION SRL, prin reprezentant legal Cosmin-Adrian COVACIU, în calitate de Beneficiar al Contractului de finanțare nr. CFMSES011011372801030/30.12.2024, vă transmitem alăturat, cu rugamintea de luare la cunoștință și înregistrare, următoarele documente: 1. Precizăm că Actul Adițional nr. 1 nu necesită nicio modificare si va inaintam - Notificare de rectificare a erorii materiale privind designația comercială a modulelor fotovoltaice din documentația depusă în susținerea Actului Adițional nr. 1 la Contractul de fina</x:v>
      </x:c>
      <x:c r="K61" s="8" t="str">
        <x:v>production@cesiro.ro</x:v>
      </x:c>
      <x:c r="L61" s="8" t="str">
        <x:v>f94f48f2-6fa9-48f2-ad98-0c82c2f5272a</x:v>
      </x:c>
      <x:c r="M61" s="8" t="e">
        <x:f>HYPERLINK("file:///Z:/00. Proiecte 2025/AFIR FotoVoltaic 1/outputs/registru-cesiro-2026-10-16/Surse email/E057.txt","Deschide sursa")</x:f>
        <x:v>HYPERLINK is not implemented. linkLocation=file:///Z:/00. Proiecte 2025/AFIR FotoVoltaic 1/outputs/registru-cesiro-2026-10-16/Surse email/E057.txt, friendlyName=Deschide sursa</x:v>
      </x:c>
      <x:c r="N61" s="8" t="str">
        <x:v>Metadatele EVA pot conține duplicate de sincronizare.</x:v>
      </x:c>
    </x:row>
    <x:row r="62" ht="134" customHeight="1">
      <x:c r="A62" s="8" t="str">
        <x:v>E058</x:v>
      </x:c>
      <x:c r="B62" s="13" t="n">
        <x:v>46213.160734317134</x:v>
      </x:c>
      <x:c r="C62" s="8" t="str">
        <x:v>Trimis</x:v>
      </x:c>
      <x:c r="D62" s="8" t="str">
        <x:v>AFIR direct</x:v>
      </x:c>
      <x:c r="E62" s="8" t="str">
        <x:v>Fwd: Contract de finanțare nr. CFMSES011011372801030/30.12.2024 / Act Adițional nr. 1, nr. de înregistrare electronic 1.360.244/30.06.2026</x:v>
      </x:c>
      <x:c r="F62" s="8" t="str">
        <x:v>production@cesiro.ro</x:v>
      </x:c>
      <x:c r="G62" s="8" t="str">
        <x:v>secretariat.crfir7@afir.info</x:v>
      </x:c>
      <x:c r="H62" s="8" t="str"/>
      <x:c r="I62" s="8" t="n">
        <x:v>0</x:v>
      </x:c>
      <x:c r="J62" s="8" t="str">
        <x:v>---------- Forwarded message ---------- From: production@cesiro.ro Date: July 9th, 2026 2:22 PM Subject: Contract de finanțare nr. CFMSES011011372801030/30.12.2024 / Act Adițional nr. 1, nr. de înregistrare electronic 1.360.244/30.06.2026 To: Adriana.DURIGA@afir.info Către: AGENȚIA PENTRU FINANȚAREA INVESTIȚIILOR RURALE (AFIR) Centrul Regional pentru Finanțarea Investițiilor Rurale 7 Centru Alba Iulia Adresa: Alba Iulia, str. Alexandru Ioan Cuza nr. 23, jud. Alba În atenția: Doamnei Lidia-Delia BOGDAN, Director General Adjunct CRFIR 7 Centru Doamnei Emilia-Luciana OLAR, Director CRFIR Alba Iulia Ref.: Contract de finanțare nr. CFMSES011011372801030/30.12.2024 Act Adițional nr. 1, nr. de înregistrare electronic 1.360.244/30.06.2026 ADRESĂ DE ÎNAINTARE Stimată doamnă Director General Adjunct, Stimată doamnă Director, Subscrisa, CESIRO PRODUCTION SRL, prin reprezentant legal Cosmin-Adrian COVACIU, în calitate de Beneficiar al Contractului de finanțare nr. CFMSES011011372801030/30.12.2024, vă transmitem alăturat, cu rugamintea de luare la cunoștință și înregistrare, următoarele documente</x:v>
      </x:c>
      <x:c r="K62" s="8" t="str">
        <x:v>production@cesiro.ro</x:v>
      </x:c>
      <x:c r="L62" s="8" t="str">
        <x:v>0f2d3a20-794d-4fb5-a54c-b0e086c6eeb1</x:v>
      </x:c>
      <x:c r="M62" s="8" t="e">
        <x:f>HYPERLINK("file:///Z:/00. Proiecte 2025/AFIR FotoVoltaic 1/outputs/registru-cesiro-2026-10-16/Surse email/E058.txt","Deschide sursa")</x:f>
        <x:v>HYPERLINK is not implemented. linkLocation=file:///Z:/00. Proiecte 2025/AFIR FotoVoltaic 1/outputs/registru-cesiro-2026-10-16/Surse email/E058.txt, friendlyName=Deschide sursa</x:v>
      </x:c>
      <x:c r="N62" s="8" t="str">
        <x:v>Metadatele EVA pot conține duplicate de sincronizare.</x:v>
      </x:c>
    </x:row>
    <x:row r="63" ht="50" customHeight="1">
      <x:c r="A63" s="8" t="str">
        <x:v>E059</x:v>
      </x:c>
      <x:c r="B63" s="13" t="n">
        <x:v>46227.27462969907</x:v>
      </x:c>
      <x:c r="C63" s="8" t="str">
        <x:v>Trimis</x:v>
      </x:c>
      <x:c r="D63" s="8" t="str">
        <x:v>AFIR direct</x:v>
      </x:c>
      <x:c r="E63" s="8" t="str">
        <x:v>Transmitere Documentatie Cesiro Production</x:v>
      </x:c>
      <x:c r="F63" s="8" t="str">
        <x:v>production@cesiro.ro</x:v>
      </x:c>
      <x:c r="G63" s="8" t="str">
        <x:v>stelian.popa@afir.info</x:v>
      </x:c>
      <x:c r="H63" s="8" t="str"/>
      <x:c r="I63" s="8" t="n">
        <x:v>3</x:v>
      </x:c>
      <x:c r="J63" s="8" t="str">
        <x:v>Stimate domn, Regasiti atasat documentele, in vederea completarii documentatiei si aprobarii act. aditional nr.2 pentru contractul de finantare nr. CFMSES011011372801030/30.12.2024 Pentru orice alta clarificare si informatii suplimentare va stam la dispozitie, Cu stima Echipa Cesiro Production.</x:v>
      </x:c>
      <x:c r="K63" s="8" t="str">
        <x:v>production@cesiro.ro</x:v>
      </x:c>
      <x:c r="L63" s="8" t="str">
        <x:v>31cb3eb8-3d10-4595-b3da-501b14b829c3</x:v>
      </x:c>
      <x:c r="M63" s="8" t="e">
        <x:f>HYPERLINK("file:///Z:/00. Proiecte 2025/AFIR FotoVoltaic 1/outputs/registru-cesiro-2026-10-16/Surse email/E059.txt","Deschide sursa")</x:f>
        <x:v>HYPERLINK is not implemented. linkLocation=file:///Z:/00. Proiecte 2025/AFIR FotoVoltaic 1/outputs/registru-cesiro-2026-10-16/Surse email/E059.txt, friendlyName=Deschide sursa</x:v>
      </x:c>
      <x:c r="N63" s="8" t="str">
        <x:v>Metadatele EVA pot conține duplicate de sincronizare.</x:v>
      </x:c>
    </x:row>
    <x:row r="64" ht="36" customHeight="1">
      <x:c r="A64" s="8" t="str">
        <x:v>E060</x:v>
      </x:c>
      <x:c r="B64" s="13" t="n">
        <x:v>46227.33133252314</x:v>
      </x:c>
      <x:c r="C64" s="8" t="str">
        <x:v>Trimis</x:v>
      </x:c>
      <x:c r="D64" s="8" t="str">
        <x:v>AFIR direct</x:v>
      </x:c>
      <x:c r="E64" s="8" t="str">
        <x:v>Re: Transmitere Documentatie Cesiro Production</x:v>
      </x:c>
      <x:c r="F64" s="8" t="str">
        <x:v>production@cesiro.ro</x:v>
      </x:c>
      <x:c r="G64" s="8" t="str">
        <x:v>stelian.popa@afir.info</x:v>
      </x:c>
      <x:c r="H64" s="8" t="str"/>
      <x:c r="I64" s="8" t="n">
        <x:v>1</x:v>
      </x:c>
      <x:c r="J64" s="8" t="str">
        <x:v>Regasiti atasat documentul in format editabil Cu stima,</x:v>
      </x:c>
      <x:c r="K64" s="8" t="str">
        <x:v>production@cesiro.ro</x:v>
      </x:c>
      <x:c r="L64" s="8" t="str">
        <x:v>98e2ec23-4290-4c0d-9a7a-2ae4c0ac0de0</x:v>
      </x:c>
      <x:c r="M64" s="8" t="e">
        <x:f>HYPERLINK("file:///Z:/00. Proiecte 2025/AFIR FotoVoltaic 1/outputs/registru-cesiro-2026-10-16/Surse email/E060.txt","Deschide sursa")</x:f>
        <x:v>HYPERLINK is not implemented. linkLocation=file:///Z:/00. Proiecte 2025/AFIR FotoVoltaic 1/outputs/registru-cesiro-2026-10-16/Surse email/E060.txt, friendlyName=Deschide sursa</x:v>
      </x:c>
      <x:c r="N64" s="8" t="str">
        <x:v>Metadatele EVA pot conține duplicate de sincronizare.</x:v>
      </x:c>
    </x:row>
    <x:row r="65" ht="92" customHeight="1">
      <x:c r="A65" s="8" t="str">
        <x:v>E061</x:v>
      </x:c>
      <x:c r="B65" s="13" t="n">
        <x:v>46241.371817129635</x:v>
      </x:c>
      <x:c r="C65" s="8" t="str">
        <x:v>Primit</x:v>
      </x:c>
      <x:c r="D65" s="8" t="str">
        <x:v>AFIR direct</x:v>
      </x:c>
      <x:c r="E65" s="8" t="str">
        <x:v>Notificare de neacceptare a modificarilor prin act aditional</x:v>
      </x:c>
      <x:c r="F65" s="8" t="str">
        <x:v>noreply@afir.info</x:v>
      </x:c>
      <x:c r="G65" s="8" t="str">
        <x:v>cosmin.covaciu@cesiro.com</x:v>
      </x:c>
      <x:c r="H65" s="8" t="str">
        <x:v>Stelian.POPA@afir.info</x:v>
      </x:c>
      <x:c r="I65" s="8" t="n">
        <x:v>1</x:v>
      </x:c>
      <x:c r="J65" s="8" t="str">
        <x:v>Stimate Domnule COVACIU COSMIN-ADRIAN, Referitor la solicitarea de modificare a contractului de finantare al CESIRO PRODUCTION S.R.L. cu codul CFMSES011011372801030, va transmitem notificarea de neacceptare a modificarilor prin Act Aditional. Va rugam sa confirmati primirea acestui e-mail la adresa Stelian.POPA@afir.info Va multumim pentru interesul pe care il manifestati in legatura cu Fondul pentru modernizare. Acest mesaj este transmis in mod automat de catre Agentia pentru Finantarea Investitiilor Rurale (AFIR). Va rugam sa nu raspundeti prin reply la acest mesaj ci doar la adresa de e-mail comunicata anterior. In caz contrar, confirmarea sau raspunsul dumneavoastra nu va ajunge la expertii AFIR .</x:v>
      </x:c>
      <x:c r="K65" s="8" t="str">
        <x:v>cosmin.covaciu@cesiro.com</x:v>
      </x:c>
      <x:c r="L65" s="8" t="str">
        <x:v>fb5accd0-60d5-4342-82c1-f2ded691d396</x:v>
      </x:c>
      <x:c r="M65" s="8" t="e">
        <x:f>HYPERLINK("file:///Z:/00. Proiecte 2025/AFIR FotoVoltaic 1/outputs/registru-cesiro-2026-10-16/Surse email/E061.txt","Deschide sursa")</x:f>
        <x:v>HYPERLINK is not implemented. linkLocation=file:///Z:/00. Proiecte 2025/AFIR FotoVoltaic 1/outputs/registru-cesiro-2026-10-16/Surse email/E061.txt, friendlyName=Deschide sursa</x:v>
      </x:c>
      <x:c r="N65" s="8" t="str">
        <x:v>Metadatele EVA pot conține duplicate de sincronizare.</x:v>
      </x:c>
    </x:row>
    <x:row r="66" ht="120" customHeight="1">
      <x:c r="A66" s="8" t="str">
        <x:v>E062</x:v>
      </x:c>
      <x:c r="B66" s="13" t="n">
        <x:v>46241.37892361111</x:v>
      </x:c>
      <x:c r="C66" s="8" t="str">
        <x:v>Primit</x:v>
      </x:c>
      <x:c r="D66" s="8" t="str">
        <x:v>AFIR direct</x:v>
      </x:c>
      <x:c r="E66" s="8" t="str">
        <x:v>FW: Notificare de neacceptare a modificarilor prin act aditional</x:v>
      </x:c>
      <x:c r="F66" s="8" t="str">
        <x:v>Stelian.POPA@afir.info</x:v>
      </x:c>
      <x:c r="G66" s="8" t="str">
        <x:v>production@cesiro.ro</x:v>
      </x:c>
      <x:c r="H66" s="8" t="str"/>
      <x:c r="I66" s="8" t="n">
        <x:v>1</x:v>
      </x:c>
      <x:c r="J66" s="8" t="str">
        <x:v>From: AFIR &lt;noreply@afir.info&gt; Sent: Friday, August 7, 2026 11:55 AM To: cosmin.covaciu@cesiro.com Cc: Stelian POPA &lt;Stelian.POPA@afir.info&gt; Subject: Notificare de neacceptare a modificarilor prin act aditional Stimate Domnule COVACIU COSMIN-ADRIAN, Referitor la solicitarea de modificare a contractului de finantare al CESIRO PRODUCTION S.R.L. cu codul CFMSES011011372801030, va transmitem notificarea de neacceptare a modificarilor prin Act Aditional. Va rugam sa confirmati primirea acestui e-mail la adresa Stelian.POPA@afir.info&lt;mailto:Stelian.POPA@afir.info&gt; Va multumim pentru interesul pe care il manifestati in legatura cu Fondul pentru modernizare. Acest mesaj este transmis in mod automat de catre Agentia pentru Finantarea Investitiilor Rurale (AFIR). Va rugam sa nu raspundeti prin reply la acest mesaj ci doar la adresa de e-mail comunicata anterior. In caz contrar, confirmarea sau raspunsul dumneavoastra nu va ajunge la expertii AFIR. [https://online.afir.info/image001.jpg]</x:v>
      </x:c>
      <x:c r="K66" s="8" t="str">
        <x:v>production@cesiro.ro</x:v>
      </x:c>
      <x:c r="L66" s="8" t="str">
        <x:v>fc08f672-77a1-48bb-a3ba-1c118f014465</x:v>
      </x:c>
      <x:c r="M66" s="8" t="e">
        <x:f>HYPERLINK("file:///Z:/00. Proiecte 2025/AFIR FotoVoltaic 1/outputs/registru-cesiro-2026-10-16/Surse email/E062.txt","Deschide sursa")</x:f>
        <x:v>HYPERLINK is not implemented. linkLocation=file:///Z:/00. Proiecte 2025/AFIR FotoVoltaic 1/outputs/registru-cesiro-2026-10-16/Surse email/E062.txt, friendlyName=Deschide sursa</x:v>
      </x:c>
      <x:c r="N66" s="8" t="str">
        <x:v>Metadatele EVA pot conține duplicate de sincronizare.</x:v>
      </x:c>
    </x:row>
    <x:row r="67" ht="36" customHeight="1">
      <x:c r="A67" s="8" t="str">
        <x:v>E063</x:v>
      </x:c>
      <x:c r="B67" s="13" t="n">
        <x:v>46246.40548444445</x:v>
      </x:c>
      <x:c r="C67" s="8" t="str">
        <x:v>Trimis</x:v>
      </x:c>
      <x:c r="D67" s="8" t="str">
        <x:v>Corespondență conexă</x:v>
      </x:c>
      <x:c r="E67" s="8" t="str">
        <x:v>Act Constitutiv Cesiro Production Actualizat</x:v>
      </x:c>
      <x:c r="F67" s="8" t="str">
        <x:v>production@cesiro.ro</x:v>
      </x:c>
      <x:c r="G67" s="8" t="str">
        <x:v>nicoleta.roman@bcr.ro</x:v>
      </x:c>
      <x:c r="H67" s="8" t="str"/>
      <x:c r="I67" s="8" t="n">
        <x:v>1</x:v>
      </x:c>
      <x:c r="J67" s="8" t="str">
        <x:v>Buna ziua, Regasiti atasat actul constitutiv actualizat al Companiei Cesiro Production, Pentru orice alte clarificari va stam la dispozitie, Cu stima, Cesiro Production.</x:v>
      </x:c>
      <x:c r="K67" s="8" t="str">
        <x:v>production@cesiro.ro</x:v>
      </x:c>
      <x:c r="L67" s="8" t="str">
        <x:v>c0b7bcef-981f-4f85-98c9-52cf0e7302db</x:v>
      </x:c>
      <x:c r="M67" s="8" t="e">
        <x:f>HYPERLINK("file:///Z:/00. Proiecte 2025/AFIR FotoVoltaic 1/outputs/registru-cesiro-2026-10-16/Surse email/E063.txt","Deschide sursa")</x:f>
        <x:v>HYPERLINK is not implemented. linkLocation=file:///Z:/00. Proiecte 2025/AFIR FotoVoltaic 1/outputs/registru-cesiro-2026-10-16/Surse email/E063.txt, friendlyName=Deschide sursa</x:v>
      </x:c>
      <x:c r="N67" s="8" t="str">
        <x:v>Metadatele EVA pot conține duplicate de sincronizare.</x:v>
      </x:c>
    </x:row>
    <x:row r="68" ht="134" customHeight="1">
      <x:c r="A68" s="8" t="str">
        <x:v>E064</x:v>
      </x:c>
      <x:c r="B68" s="13" t="n">
        <x:v>46247.25299768518</x:v>
      </x:c>
      <x:c r="C68" s="8" t="str">
        <x:v>Primit</x:v>
      </x:c>
      <x:c r="D68" s="8" t="str">
        <x:v>Corespondență conexă</x:v>
      </x:c>
      <x:c r="E68" s="8" t="str">
        <x:v>Raport audit Cesiro Production</x:v>
      </x:c>
      <x:c r="F68" s="8" t="str">
        <x:v>attaconsulting@yahoo.com</x:v>
      </x:c>
      <x:c r="G68" s="8" t="str">
        <x:v>covaciu.gnm@gmail.com</x:v>
      </x:c>
      <x:c r="H68" s="8" t="str"/>
      <x:c r="I68" s="8" t="n">
        <x:v>4</x:v>
      </x:c>
      <x:c r="J68" s="8" t="str">
        <x:v>SC ATTA CONSULTING SRL ALBA IULIA, JUD ALBA PIATA CONSIULIUL EUROPEI, NR.9 BL.32E, AP. 2-3, Tel. 0258818881 Pagina web: www.attaconsulting.ro FB: www.facebook.com/office.attaconsulting Acest e-mail a fost transmis de catre Atta Consulting SRL . Informatiile din acest mesaj sunt confidentiale si pot fi protejate prin lege. Prezentul mesaj este transmis in atentia exclusiva a destinatarului, accesul oricarei alte persoane fiind interzis. In situatia in care nu sunteti destinatarul acestui mesaj, orice dezvaluire, copiere, distribuire a sa, precum si orice actiune sau inactiune decisa in baza sa este interzisa si poate incalca legea. Daca ati primit acest mesaj din cauza unei erori, va rugam sa anuntati imediat expeditorul si sa stergeti mesajul din sistemul dumneavoastra. This email has been sent from Atta Consulting SRL. . The information in this email is confidential and may be legally privileged. It is intended solely for the addressee. Access to this email by anyone else is unauthorized. If you are not the intended recipient, any disclosure, copying, distribution nor any action tak</x:v>
      </x:c>
      <x:c r="K68" s="8" t="str">
        <x:v>covaciu.gnm@eva-org.com</x:v>
      </x:c>
      <x:c r="L68" s="8" t="str">
        <x:v>599df8eb-ad94-4728-be71-f16e0b9a8ff4</x:v>
      </x:c>
      <x:c r="M68" s="8" t="e">
        <x:f>HYPERLINK("file:///Z:/00. Proiecte 2025/AFIR FotoVoltaic 1/outputs/registru-cesiro-2026-10-16/Surse email/E064.txt","Deschide sursa")</x:f>
        <x:v>HYPERLINK is not implemented. linkLocation=file:///Z:/00. Proiecte 2025/AFIR FotoVoltaic 1/outputs/registru-cesiro-2026-10-16/Surse email/E064.txt, friendlyName=Deschide sursa</x:v>
      </x:c>
      <x:c r="N68" s="8" t="str">
        <x:v>Metadatele EVA pot conține duplicate de sincronizare.</x:v>
      </x:c>
    </x:row>
    <x:row r="69" ht="36" customHeight="1">
      <x:c r="A69" s="8" t="str">
        <x:v>E065</x:v>
      </x:c>
      <x:c r="B69" s="13" t="n">
        <x:v>46247.29457175926</x:v>
      </x:c>
      <x:c r="C69" s="8" t="str">
        <x:v>Trimis</x:v>
      </x:c>
      <x:c r="D69" s="8" t="str">
        <x:v>Corespondență conexă</x:v>
      </x:c>
      <x:c r="E69" s="8" t="str">
        <x:v>Re: Raport audit Cesiro Production</x:v>
      </x:c>
      <x:c r="F69" s="8" t="str">
        <x:v>covaciu.gnm@gmail.com</x:v>
      </x:c>
      <x:c r="G69" s="8" t="str">
        <x:v>attaconsulting@yahoo.com</x:v>
      </x:c>
      <x:c r="H69" s="8" t="str"/>
      <x:c r="I69" s="8" t="n">
        <x:v>2</x:v>
      </x:c>
      <x:c r="J69" s="8" t="str">
        <x:v>Buna ziua, Va multumim Regasiti atasat PV-ul de predare/primire si contractul de prestari servicii Cu stima, Mihai</x:v>
      </x:c>
      <x:c r="K69" s="8" t="str">
        <x:v>covaciu.gnm@eva-org.com</x:v>
      </x:c>
      <x:c r="L69" s="8" t="str">
        <x:v>03f1d4b2-1e62-4e5b-8a27-6dc4d35d5ed5</x:v>
      </x:c>
      <x:c r="M69" s="8" t="e">
        <x:f>HYPERLINK("file:///Z:/00. Proiecte 2025/AFIR FotoVoltaic 1/outputs/registru-cesiro-2026-10-16/Surse email/E065.txt","Deschide sursa")</x:f>
        <x:v>HYPERLINK is not implemented. linkLocation=file:///Z:/00. Proiecte 2025/AFIR FotoVoltaic 1/outputs/registru-cesiro-2026-10-16/Surse email/E065.txt, friendlyName=Deschide sursa</x:v>
      </x:c>
      <x:c r="N69" s="8" t="str">
        <x:v>Metadatele EVA pot conține duplicate de sincronizare.</x:v>
      </x:c>
    </x:row>
    <x:row r="70" ht="36" customHeight="1">
      <x:c r="A70" s="8" t="str">
        <x:v>E066</x:v>
      </x:c>
      <x:c r="B70" s="13" t="n">
        <x:v>46247.581655092596</x:v>
      </x:c>
      <x:c r="C70" s="8" t="str">
        <x:v>Primit</x:v>
      </x:c>
      <x:c r="D70" s="8" t="str">
        <x:v>AFIR direct</x:v>
      </x:c>
      <x:c r="E70" s="8" t="str">
        <x:v>AFIR – Comunicare verificare grafic de esalonare</x:v>
      </x:c>
      <x:c r="F70" s="8" t="str">
        <x:v>noreply@afir.info</x:v>
      </x:c>
      <x:c r="G70" s="8" t="str">
        <x:v>cosmin.covaciu@cesiro.com</x:v>
      </x:c>
      <x:c r="H70" s="8" t="str"/>
      <x:c r="I70" s="8" t="n">
        <x:v>0</x:v>
      </x:c>
      <x:c r="J70" s="8" t="str">
        <x:v>Graficul de esalonare a fost acceptat.</x:v>
      </x:c>
      <x:c r="K70" s="8" t="str">
        <x:v>cosmin.covaciu@cesiro.com</x:v>
      </x:c>
      <x:c r="L70" s="8" t="str">
        <x:v>c4596d80-b7d9-4b3b-a3bc-2ccf93c5de08</x:v>
      </x:c>
      <x:c r="M70" s="8" t="e">
        <x:f>HYPERLINK("file:///Z:/00. Proiecte 2025/AFIR FotoVoltaic 1/outputs/registru-cesiro-2026-10-16/Surse email/E066.txt","Deschide sursa")</x:f>
        <x:v>HYPERLINK is not implemented. linkLocation=file:///Z:/00. Proiecte 2025/AFIR FotoVoltaic 1/outputs/registru-cesiro-2026-10-16/Surse email/E066.txt, friendlyName=Deschide sursa</x:v>
      </x:c>
      <x:c r="N70" s="8" t="str">
        <x:v>Metadatele EVA pot conține duplicate de sincronizare.</x:v>
      </x:c>
    </x:row>
    <x:row r="71" ht="78" customHeight="1">
      <x:c r="A71" s="8" t="str">
        <x:v>E067</x:v>
      </x:c>
      <x:c r="B71" s="13" t="n">
        <x:v>46272.559166666666</x:v>
      </x:c>
      <x:c r="C71" s="8" t="str">
        <x:v>Primit</x:v>
      </x:c>
      <x:c r="D71" s="8" t="str">
        <x:v>AFIR direct</x:v>
      </x:c>
      <x:c r="E71" s="8" t="str">
        <x:v>AFIR – Notificare nota de convocare</x:v>
      </x:c>
      <x:c r="F71" s="8" t="str">
        <x:v>noreply@afir.info</x:v>
      </x:c>
      <x:c r="G71" s="8" t="str">
        <x:v>cosmin.covaciu@cesiro.com</x:v>
      </x:c>
      <x:c r="H71" s="8" t="str"/>
      <x:c r="I71" s="8" t="n">
        <x:v>1</x:v>
      </x:c>
      <x:c r="J71" s="8" t="str">
        <x:v>In vederea efectuarii verificarii Dosarului Cererii de plata / rambursare nr. RFMSES011011372801030.1, depus de Dvs.la CRFIR-ALBA-IULIA, propunem ca verificarea la locul realizarii investitiei sa se efectueze in ziua de 08.09.2026 incepand cu ora 13:00. Va rugam sa incarcati si sa ne transmiteti raspunsul dumneavoastra in online la sectiunea "Lista proiecte" - optiunea "Dosar cerere de plata / rambursare" - optiunea "Raspuns Nota Convocare Beneficiar Dosar Cerere Plata / rambursare" - optiunea "Detalii".</x:v>
      </x:c>
      <x:c r="K71" s="8" t="str">
        <x:v>cosmin.covaciu@cesiro.com</x:v>
      </x:c>
      <x:c r="L71" s="8" t="str">
        <x:v>96b4c869-bad1-4f90-8f71-50e994f9d765</x:v>
      </x:c>
      <x:c r="M71" s="8" t="e">
        <x:f>HYPERLINK("file:///Z:/00. Proiecte 2025/AFIR FotoVoltaic 1/outputs/registru-cesiro-2026-10-16/Surse email/E067.txt","Deschide sursa")</x:f>
        <x:v>HYPERLINK is not implemented. linkLocation=file:///Z:/00. Proiecte 2025/AFIR FotoVoltaic 1/outputs/registru-cesiro-2026-10-16/Surse email/E067.txt, friendlyName=Deschide sursa</x:v>
      </x:c>
      <x:c r="N71" s="8" t="str">
        <x:v>Metadatele EVA pot conține duplicate de sincronizare.</x:v>
      </x:c>
    </x:row>
    <x:row r="72" ht="134" customHeight="1">
      <x:c r="A72" s="8" t="str">
        <x:v>E068</x:v>
      </x:c>
      <x:c r="B72" s="13" t="n">
        <x:v>46274.32017585648</x:v>
      </x:c>
      <x:c r="C72" s="8" t="str">
        <x:v>Trimis</x:v>
      </x:c>
      <x:c r="D72" s="8" t="str">
        <x:v>Corespondență conexă</x:v>
      </x:c>
      <x:c r="E72" s="8" t="str">
        <x:v> Document request – STP450S-H48-Nkh+, 2,222 pcs – CESIRO PRODUCTION, Romania (EU-funded project, deadline 16 Sept)</x:v>
      </x:c>
      <x:c r="F72" s="8" t="str">
        <x:v>production@cesiro.ro</x:v>
      </x:c>
      <x:c r="G72" s="8" t="str">
        <x:v>Tony.hu@suntech-power.com</x:v>
      </x:c>
      <x:c r="H72" s="8" t="str"/>
      <x:c r="I72" s="8" t="n">
        <x:v>0</x:v>
      </x:c>
      <x:c r="J72" s="8" t="str">
        <x:v>Dear Tony, Your contact details were passed on to me by Adrian, a former colleague of yours — I hope you don't mind me reaching out directly. I am writing with an urgent request. The Romanian paying agency (AFIR) is auditing our reimbursement claim on an EU-funded project and has formally requested product conformity documentation for a batch of Suntech modules. We need these documents today, as our filing deadline leaves us no margin. Project and batch details: - End beneficiary: CESIRO PRODUCTION S.R.L., Romania (VAT RO45050734) - Site: 96 Mihai Viteazu St., Sighisoara, Mures County, Romania - Module: STP450S-H48-Nkh+, 450 Wp — 2,222 pcs installed - Serial numbers: 2EA2I2540010013625 through 2EA2I2540058373625 (full list available on request) - Shipped by Suntech Deutschland GmbH via Katoen Natie Logistics, Puttershoek (NL), March 2026, 936 pcs per container - Purchased through Suntree Solar Tech S.R.L. What we need: 1. EU Declaration of Conformity (CE) for STP450S-H48-Nkh+. 2. Certificates for IEC 61215-1, IEC 61215-1-1, IEC 61215-2 and IEC 61730-1, IEC 61730-2, as issued by the c</x:v>
      </x:c>
      <x:c r="K72" s="8" t="str">
        <x:v>production@cesiro.ro</x:v>
      </x:c>
      <x:c r="L72" s="8" t="str">
        <x:v>5c109e41-aac9-411b-9c70-2cdc209af474</x:v>
      </x:c>
      <x:c r="M72" s="8" t="e">
        <x:f>HYPERLINK("file:///Z:/00. Proiecte 2025/AFIR FotoVoltaic 1/outputs/registru-cesiro-2026-10-16/Surse email/E068.txt","Deschide sursa")</x:f>
        <x:v>HYPERLINK is not implemented. linkLocation=file:///Z:/00. Proiecte 2025/AFIR FotoVoltaic 1/outputs/registru-cesiro-2026-10-16/Surse email/E068.txt, friendlyName=Deschide sursa</x:v>
      </x:c>
      <x:c r="N72" s="8" t="str">
        <x:v>Metadatele EVA pot conține duplicate de sincronizare.</x:v>
      </x:c>
    </x:row>
    <x:row r="73" ht="134" customHeight="1">
      <x:c r="A73" s="8" t="str">
        <x:v>E069</x:v>
      </x:c>
      <x:c r="B73" s="13" t="n">
        <x:v>46294.36658564815</x:v>
      </x:c>
      <x:c r="C73" s="8" t="str">
        <x:v>Primit</x:v>
      </x:c>
      <x:c r="D73" s="8" t="str">
        <x:v>AFIR direct</x:v>
      </x:c>
      <x:c r="E73" s="8" t="str">
        <x:v>Solicitare informatii suplimentare</x:v>
      </x:c>
      <x:c r="F73" s="8" t="str">
        <x:v>noreply@afir.info</x:v>
      </x:c>
      <x:c r="G73" s="8" t="str">
        <x:v>cosmin.covaciu@cesiro.com</x:v>
      </x:c>
      <x:c r="H73" s="8" t="str">
        <x:v>Sorina.MUNTEANU@afir.info; Teodora.MAXIM-MAIER@afir.info</x:v>
      </x:c>
      <x:c r="I73" s="8" t="n">
        <x:v>2</x:v>
      </x:c>
      <x:c r="J73" s="8" t="str">
        <x:v>Stimate Domnule COVACIU COSMIN-ADRIAN, Referitor la solicitarea de modificare a contractului de finantare CFMSES011011372801030 al CESIRO PRODUCTION S.R.L., inregistrat la CRFIR-ALBA-IULIA, va informam faptul ca in urma verificarii efectuate a rezultat necesitatea clarificarii unor subiecte pe care vi le prezentam in formularul atasat, Partea I. Va rugam sa completati formularul Partea II, urmand sa il transmiteti online, dupa semnarea, stampilarea (dupa caz) si scanarea acestuia, in termen de 5 zile lucratoare de la comunicarea solicitarii. De asemenea, va rugam sa confirmati primirea acestui e-mail la adresa Sorina.MUNTEANU@afir.info Va multumim pentru interesul pe care il manifestati in legatura cu Fondul pentru modernizare. Acest mesaj este transmis in mod automat de catre Agentia pentru Finantarea Investitiilor Rurale (AFIR). Va rugam sa nu raspundeti prin reply la acest mesaj ci doar la adresa de e-mail comunicata anterior. In caz contrar, confirmarea sau raspunsul dumneavoastra nu va ajunge la expertii AFIR .</x:v>
      </x:c>
      <x:c r="K73" s="8" t="str">
        <x:v>cosmin.covaciu@cesiro.com</x:v>
      </x:c>
      <x:c r="L73" s="8" t="str">
        <x:v>688c3539-2d6d-447c-a722-fdb8ebafb8ee</x:v>
      </x:c>
      <x:c r="M73" s="8" t="e">
        <x:f>HYPERLINK("file:///Z:/00. Proiecte 2025/AFIR FotoVoltaic 1/outputs/registru-cesiro-2026-10-16/Surse email/E069.txt","Deschide sursa")</x:f>
        <x:v>HYPERLINK is not implemented. linkLocation=file:///Z:/00. Proiecte 2025/AFIR FotoVoltaic 1/outputs/registru-cesiro-2026-10-16/Surse email/E069.txt, friendlyName=Deschide sursa</x:v>
      </x:c>
      <x:c r="N73" s="8" t="str">
        <x:v>Metadatele EVA pot conține duplicate de sincronizare.</x:v>
      </x:c>
    </x:row>
    <x:row r="74" ht="134" customHeight="1">
      <x:c r="A74" s="8" t="str">
        <x:v>E070</x:v>
      </x:c>
      <x:c r="B74" s="13" t="n">
        <x:v>46294.42062001157</x:v>
      </x:c>
      <x:c r="C74" s="8" t="str">
        <x:v>Trimis</x:v>
      </x:c>
      <x:c r="D74" s="8" t="str">
        <x:v>AFIR direct</x:v>
      </x:c>
      <x:c r="E74" s="8" t="str">
        <x:v>Fwd: Solicitare informatii suplimentare</x:v>
      </x:c>
      <x:c r="F74" s="8" t="str">
        <x:v>cosmin.covaciu@cesiro.com</x:v>
      </x:c>
      <x:c r="G74" s="8" t="str">
        <x:v>Sorina.MUNTEANU@afir.info</x:v>
      </x:c>
      <x:c r="H74" s="8" t="str"/>
      <x:c r="I74" s="8" t="n">
        <x:v>2</x:v>
      </x:c>
      <x:c r="J74" s="8" t="str">
        <x:v>──────────────────────────── Bună ziua, doamnă Munteanu, Vă confirm primirea solicitării de informații suplimentare. În contextul în care dorim să finalizăm proiectul în termen de 8 luni, vă rugăm să ne confirmați dacă acest termen este acceptabil. Cu stimă, Cosmin Adrian Covaciu ---------- Mesaj redirecționat ---------- De la: noreply@afir.info Data: September 29th, 2026 11:47 AM Subiect: Solicitare informatii suplimentare Către: cosmin.covaciu@cesiro.com Stimate Domnule COVACIU COSMIN-ADRIAN, Referitor la solicitarea de modificare a contractului de finantare CFMSES011011372801030 al CESIRO PRODUCTION S.R.L., inregistrat la CRFIR-ALBA-IULIA, va informam faptul ca in urma verificarii efectuate a rezultat necesitatea clarificarii unor subiecte pe care vi le prezentam in formularul atasat, Partea I. Va rugam sa completati formularul Partea II, urmand sa il transmiteti online, dupa semnarea, stampilarea (dupa caz) si scanarea acestuia, in termen de 5 zile lucratoare de la comunicarea solicitarii. De asemenea, va rugam sa confirmati primirea acestui e-mail la adresa Sorina.MUNTEANU@afir.</x:v>
      </x:c>
      <x:c r="K74" s="8" t="str">
        <x:v>cosmin.covaciu@cesiro.com</x:v>
      </x:c>
      <x:c r="L74" s="8" t="str">
        <x:v>b97dfaf3-e09b-4387-bcdd-b739f23acafe</x:v>
      </x:c>
      <x:c r="M74" s="8" t="e">
        <x:f>HYPERLINK("file:///Z:/00. Proiecte 2025/AFIR FotoVoltaic 1/outputs/registru-cesiro-2026-10-16/Surse email/E070.txt","Deschide sursa")</x:f>
        <x:v>HYPERLINK is not implemented. linkLocation=file:///Z:/00. Proiecte 2025/AFIR FotoVoltaic 1/outputs/registru-cesiro-2026-10-16/Surse email/E070.txt, friendlyName=Deschide sursa</x:v>
      </x:c>
      <x:c r="N74" s="8" t="str">
        <x:v>Metadatele EVA pot conține duplicate de sincronizare.</x:v>
      </x:c>
    </x:row>
    <x:row r="75" ht="134" customHeight="1">
      <x:c r="A75" s="8" t="str">
        <x:v>E071</x:v>
      </x:c>
      <x:c r="B75" s="13" t="n">
        <x:v>46294.48819444445</x:v>
      </x:c>
      <x:c r="C75" s="8" t="str">
        <x:v>Primit</x:v>
      </x:c>
      <x:c r="D75" s="8" t="str">
        <x:v>AFIR direct</x:v>
      </x:c>
      <x:c r="E75" s="8" t="str">
        <x:v>RE: Solicitare informatii suplimentare</x:v>
      </x:c>
      <x:c r="F75" s="8" t="str">
        <x:v>Sorina.MUNTEANU@afir.info</x:v>
      </x:c>
      <x:c r="G75" s="8" t="str">
        <x:v>cosmin.covaciu@cesiro.com</x:v>
      </x:c>
      <x:c r="H75" s="8" t="str">
        <x:v>Teodora.MAXIM-MAIER@afir.info; Emilia-Luciana.OLAR@afir.info</x:v>
      </x:c>
      <x:c r="I75" s="8" t="n">
        <x:v>0</x:v>
      </x:c>
      <x:c r="J75" s="8" t="str">
        <x:v>Buna ziua! Este un termen acceptabil dacă este justificat de dvs. From: cosmin.covaciu@cesiro.com &lt;cosmin.covaciu@cesiro.com&gt; Sent: Tuesday, September 29, 2026 1:07 PM To: Sorina MUNTEANU &lt;Sorina.MUNTEANU@afir.info&gt; Subject: Fwd: Solicitare informatii suplimentare *** ATENȚIE, ACESTA ESTE UN EMAIL EXTERN: Vă rugăm să accesați link-urile sau să deschideți atașamentele DOAR în cazul în care cunoașteți expeditorul. *** ──────────────────────────── Bună ziua, doamnă Munteanu, Vă confirm primirea solicitării de informații suplimentare. În contextul în care dorim să finalizăm proiectul în termen de 8 luni, vă rugăm să ne confirmați dacă acest termen este acceptabil. Cu stimă, Cosmin Adrian Covaciu ---------- Mesaj redirecționat ---------- De la: noreply@afir.info&lt;mailto:noreply@afir.info&gt; Data: September 29th, 2026 11:47 AM Subiect: Solicitare informatii suplimentare Către: cosmin.covaciu@cesiro.com&lt;mailto:cosmin.covaciu@cesiro.com&gt; Stimate Domnule COVACIU COSMIN-ADRIAN, Referitor la solicitarea de modificare a contractului de finantare CFMSES011011372801030 al CESIRO PRODUCTION S.R.L., in</x:v>
      </x:c>
      <x:c r="K75" s="8" t="str">
        <x:v>cosmin.covaciu@cesiro.com</x:v>
      </x:c>
      <x:c r="L75" s="8" t="str">
        <x:v>d4316c89-9a28-4bb8-a721-4f7a81e7c39f</x:v>
      </x:c>
      <x:c r="M75" s="8" t="e">
        <x:f>HYPERLINK("file:///Z:/00. Proiecte 2025/AFIR FotoVoltaic 1/outputs/registru-cesiro-2026-10-16/Surse email/E071.txt","Deschide sursa")</x:f>
        <x:v>HYPERLINK is not implemented. linkLocation=file:///Z:/00. Proiecte 2025/AFIR FotoVoltaic 1/outputs/registru-cesiro-2026-10-16/Surse email/E071.txt, friendlyName=Deschide sursa</x:v>
      </x:c>
      <x:c r="N75" s="8" t="str">
        <x:v>Metadatele EVA pot conține duplicate de sincronizare.</x:v>
      </x:c>
    </x:row>
    <x:row r="76" ht="134" customHeight="1">
      <x:c r="A76" s="8" t="str">
        <x:v>E072</x:v>
      </x:c>
      <x:c r="B76" s="13" t="n">
        <x:v>46304.2906712963</x:v>
      </x:c>
      <x:c r="C76" s="8" t="str">
        <x:v>Primit</x:v>
      </x:c>
      <x:c r="D76" s="8" t="str">
        <x:v>AFIR direct</x:v>
      </x:c>
      <x:c r="E76" s="8" t="str">
        <x:v>Notificare de acceptare a modificarilor prin act aditional</x:v>
      </x:c>
      <x:c r="F76" s="8" t="str">
        <x:v>noreply@afir.info</x:v>
      </x:c>
      <x:c r="G76" s="8" t="str">
        <x:v>cosmin.covaciu@cesiro.com</x:v>
      </x:c>
      <x:c r="H76" s="8" t="str">
        <x:v>Sorina.MUNTEANU@afir.info</x:v>
      </x:c>
      <x:c r="I76" s="8" t="n">
        <x:v>1</x:v>
      </x:c>
      <x:c r="J76" s="8" t="str">
        <x:v>Stimate Domnule COVACIU COSMIN-ADRIAN, Referitor la solicitarea de modificare a contractului de finantare al CESIRO PRODUCTION S.R.L. cu codul CFMSES011011372801030, va transmitem notificarea de acceptare a modificarilor prin Act Aditional. De asemenea, va transmitem Actul Aditional si Anexele aferente (daca este cazul), semnate electronic de catre AFIR. Va informam ca in termen de maximum 5 zile lucratoare de la comunicarea pe e-mail a Actului Aditional si a notificarii de acceptare a modificarilor prin Act Aditional, aveti obligatia de a transmite Autoritatii Contractante, prin intermediul sistemului de depunere-online , Actul Aditional atasat semnat electronic de catre reprezentantul legal. Va rugam sa confirmati primirea acestui e-mail la adresa Sorina.MUNTEANU@afir.info Va multumim pentru interesul pe care il manifestati in legatura cu Fondul pentru modernizare. Acest mesaj este transmis in mod automat de catre Agentia pentru Finantarea Investitiilor Rurale (AFIR). Va rugam sa nu raspundeti prin reply la acest mesaj ci doar la adresa de e-mail comunicata anterior. In caz contrar</x:v>
      </x:c>
      <x:c r="K76" s="8" t="str">
        <x:v>cosmin.covaciu@cesiro.com</x:v>
      </x:c>
      <x:c r="L76" s="8" t="str">
        <x:v>57f46288-d798-4bfe-866a-be510b78949e</x:v>
      </x:c>
      <x:c r="M76" s="8" t="e">
        <x:f>HYPERLINK("file:///Z:/00. Proiecte 2025/AFIR FotoVoltaic 1/outputs/registru-cesiro-2026-10-16/Surse email/E072.txt","Deschide sursa")</x:f>
        <x:v>HYPERLINK is not implemented. linkLocation=file:///Z:/00. Proiecte 2025/AFIR FotoVoltaic 1/outputs/registru-cesiro-2026-10-16/Surse email/E072.txt, friendlyName=Deschide sursa</x:v>
      </x:c>
      <x:c r="N76" s="8" t="str">
        <x:v>Metadatele EVA pot conține duplicate de sincronizare.</x:v>
      </x:c>
    </x:row>
    <x:row r="77" ht="92" customHeight="1">
      <x:c r="A77" s="8" t="str">
        <x:v>E073</x:v>
      </x:c>
      <x:c r="B77" s="13" t="n">
        <x:v>46310.549988425926</x:v>
      </x:c>
      <x:c r="C77" s="8" t="str">
        <x:v>Primit</x:v>
      </x:c>
      <x:c r="D77" s="8" t="str">
        <x:v>AFIR direct</x:v>
      </x:c>
      <x:c r="E77" s="8" t="str">
        <x:v>AFIR – Solicitare informatii suplimentare</x:v>
      </x:c>
      <x:c r="F77" s="8" t="str">
        <x:v>noreply@afir.info</x:v>
      </x:c>
      <x:c r="G77" s="8" t="str">
        <x:v>cosmin.covaciu@cesiro.com</x:v>
      </x:c>
      <x:c r="H77" s="8" t="str"/>
      <x:c r="I77" s="8" t="n">
        <x:v>2</x:v>
      </x:c>
      <x:c r="J77" s="8" t="str">
        <x:v>﻿ Bună ziua, În legătură cu Dosarul cererii de plată nr. RFMSES011011372801030 - transa 1 depus de dumneavoastră în data de 25.08.2026 , vă transmitem atașat Solicitare informatii suplimentare . De asemenea, va transmitem atasat formularul “Răspuns la Scrisoarea de solicitare a informațiilor suplimentare” (AP_raspuns_informatii_suplimentare.pdf), pe care va rugam sa il transmiteti, completat si semnat, prin intermediul sistemului de depunere-online, însoțit de documentele justificative. Acest mesaj este transmis în mod automat de către Agenția pentru Finanțarea Investițiilor Rurale (AFIR). Vă rugăm sa nu răspundeți prin reply la acest mesaj .</x:v>
      </x:c>
      <x:c r="K77" s="8" t="str">
        <x:v>cosmin.covaciu@cesiro.com</x:v>
      </x:c>
      <x:c r="L77" s="8" t="str">
        <x:v>496ab41f-9db6-4d34-b344-88cc4b531ce9</x:v>
      </x:c>
      <x:c r="M77" s="8" t="e">
        <x:f>HYPERLINK("file:///Z:/00. Proiecte 2025/AFIR FotoVoltaic 1/outputs/registru-cesiro-2026-10-16/Surse email/E073.txt","Deschide sursa")</x:f>
        <x:v>HYPERLINK is not implemented. linkLocation=file:///Z:/00. Proiecte 2025/AFIR FotoVoltaic 1/outputs/registru-cesiro-2026-10-16/Surse email/E073.txt, friendlyName=Deschide sursa</x:v>
      </x:c>
      <x:c r="N77" s="8" t="str">
        <x:v>Metadatele EVA pot conține duplicate de sincronizare.</x:v>
      </x:c>
    </x:row>
    <x:row r="78" ht="106" customHeight="1">
      <x:c r="A78" s="8" t="str">
        <x:v>E074</x:v>
      </x:c>
      <x:c r="B78" s="13" t="n">
        <x:v>46311.48365605324</x:v>
      </x:c>
      <x:c r="C78" s="8" t="str">
        <x:v>Trimis</x:v>
      </x:c>
      <x:c r="D78" s="8" t="str">
        <x:v>Corespondență conexă</x:v>
      </x:c>
      <x:c r="E78" s="8" t="str">
        <x:v>Fwd: AFIR – Solicitare informatii suplimentare</x:v>
      </x:c>
      <x:c r="F78" s="8" t="str">
        <x:v>cosmin.covaciu@cesiro.com</x:v>
      </x:c>
      <x:c r="G78" s="8" t="str">
        <x:v>andreaszoke140997@gmail.com</x:v>
      </x:c>
      <x:c r="H78" s="8" t="str"/>
      <x:c r="I78" s="8" t="n">
        <x:v>2</x:v>
      </x:c>
      <x:c r="J78" s="8" t="str">
        <x:v>---------- Mesaj redirecționat ---------- De la: noreply@afir.info Data: October 15th, 2026 4:11 PM Subiect: AFIR – Solicitare informatii suplimentare Către: cosmin.covaciu@cesiro.com ﻿ Bună ziua, În legătură cu Dosarul cererii de plată nr. RFMSES011011372801030 - transa 1 depus de dumneavoastră în data de 25.08.2026, vă transmitem atașat Solicitare informatii suplimentare. De asemenea, va transmitem atasat formularul “Răspuns la Scrisoarea de solicitare a informațiilor suplimentare” (AP_raspuns_informatii_suplimentare.pdf), pe care va rugam sa il transmiteti, completat si semnat, prin intermediul sistemului de depunere-online, însoțit de documentele justificative. Acest mesaj este transmis în mod automat de către Agenția pentru Finanțarea Investițiilor Rurale (AFIR). Vă rugăm sa nu răspundeți prin reply la acest mesaj.</x:v>
      </x:c>
      <x:c r="K78" s="8" t="str">
        <x:v>cosmin.covaciu@cesiro.com</x:v>
      </x:c>
      <x:c r="L78" s="8" t="str">
        <x:v>1b59cad0-915f-4058-9ecc-83e986d877b5</x:v>
      </x:c>
      <x:c r="M78" s="8" t="e">
        <x:f>HYPERLINK("file:///Z:/00. Proiecte 2025/AFIR FotoVoltaic 1/outputs/registru-cesiro-2026-10-16/Surse email/E074.txt","Deschide sursa")</x:f>
        <x:v>HYPERLINK is not implemented. linkLocation=file:///Z:/00. Proiecte 2025/AFIR FotoVoltaic 1/outputs/registru-cesiro-2026-10-16/Surse email/E074.txt, friendlyName=Deschide sursa</x:v>
      </x:c>
      <x:c r="N78" s="8" t="str">
        <x:v>Metadatele EVA pot conține duplicate de sincronizare.</x:v>
      </x:c>
    </x:row>
  </x:sheetData>
  <x:pageMargins left="0.7" right="0.7" top="0.75" bottom="0.75" header="0.3" footer="0.3"/>
  <x:tableParts count="1">
    <x:tablePart xmlns:r="http://schemas.openxmlformats.org/officeDocument/2006/relationships" r:id="R8b30886c0e2f45e5"/>
  </x:tableParts>
</x:worksheet>
</file>

<file path=xl/worksheets/sheet5.xml><?xml version="1.0" encoding="utf-8"?>
<x:worksheet xmlns:x="http://schemas.openxmlformats.org/spreadsheetml/2006/main">
  <x:sheetPr>
    <x:tabColor rgb="FF426A8D"/>
  </x:sheetPr>
  <x:sheetViews>
    <x:sheetView showGridLines="0" workbookViewId="0">
      <x:pane xSplit="2" ySplit="4" topLeftCell="C5" activePane="bottomRight" state="frozen"/>
    </x:sheetView>
  </x:sheetViews>
  <x:sheetFormatPr defaultRowHeight="15"/>
  <x:cols>
    <x:col min="1" max="1" width="15" hidden="0" customWidth="1"/>
    <x:col min="2" max="2" width="11.25" hidden="0" customWidth="1"/>
    <x:col min="3" max="3" width="60" hidden="0" customWidth="1"/>
    <x:col min="4" max="4" width="17.5" hidden="0" customWidth="1"/>
    <x:col min="5" max="5" width="37.5" hidden="0" customWidth="1"/>
    <x:col min="6" max="6" width="33.75" hidden="0" customWidth="1"/>
    <x:col min="7" max="7" width="56.25" hidden="0" customWidth="1"/>
    <x:col min="8" max="8" width="56.25" hidden="0" customWidth="1"/>
  </x:cols>
  <x:sheetData>
    <x:row r="2">
      <x:c r="A2" s="1" t="str">
        <x:v>Atasamente email · Cesiro Production</x:v>
      </x:c>
    </x:row>
    <x:row r="4" ht="45" customHeight="1">
      <x:c r="A4" s="10" t="str">
        <x:v>ID atașament</x:v>
      </x:c>
      <x:c r="B4" s="10" t="str">
        <x:v>ID email</x:v>
      </x:c>
      <x:c r="C4" s="10" t="str">
        <x:v>Nume atașament</x:v>
      </x:c>
      <x:c r="D4" s="10" t="str">
        <x:v>Dimensiune octeți</x:v>
      </x:c>
      <x:c r="E4" s="10" t="str">
        <x:v>ID EVA atașament</x:v>
      </x:c>
      <x:c r="F4" s="10" t="str">
        <x:v>Disponibilitate</x:v>
      </x:c>
      <x:c r="G4" s="10" t="str">
        <x:v>Sursă text extras</x:v>
      </x:c>
      <x:c r="H4" s="10" t="str">
        <x:v>Amprentă text (nu fișier original)</x:v>
      </x:c>
    </x:row>
    <x:row r="5" ht="36" customHeight="1">
      <x:c r="A5" s="8" t="str">
        <x:v>E003-A01</x:v>
      </x:c>
      <x:c r="B5" s="8" t="str">
        <x:v>E003</x:v>
      </x:c>
      <x:c r="C5" s="8" t="str">
        <x:v>BVC Indicatori 2.xls</x:v>
      </x:c>
      <x:c r="D5" s="8" t="n">
        <x:v>579584</x:v>
      </x:c>
      <x:c r="E5" s="8" t="str">
        <x:v>3d1effda-00a0-40fd-a61d-ceae7fb76cba</x:v>
      </x:c>
      <x:c r="F5" s="8" t="str">
        <x:v>Text extras disponibil</x:v>
      </x:c>
      <x:c r="G5" s="8" t="e">
        <x:f>HYPERLINK("file:///Z:/00. Proiecte 2025/AFIR FotoVoltaic 1/outputs/registru-cesiro-2026-10-16/Surse email/E003-A01.txt","Deschide sursa")</x:f>
        <x:v>HYPERLINK is not implemented. linkLocation=file:///Z:/00. Proiecte 2025/AFIR FotoVoltaic 1/outputs/registru-cesiro-2026-10-16/Surse email/E003-A01.txt, friendlyName=Deschide sursa</x:v>
      </x:c>
      <x:c r="H5" s="8" t="str">
        <x:v>f30bda4987da65036e66a222f85ca8d02160aacc984b41d701a60df859ff4e17</x:v>
      </x:c>
    </x:row>
    <x:row r="6" ht="36" customHeight="1">
      <x:c r="A6" s="8" t="str">
        <x:v>E004-A01</x:v>
      </x:c>
      <x:c r="B6" s="8" t="str">
        <x:v>E004</x:v>
      </x:c>
      <x:c r="C6" s="8" t="str">
        <x:v>NotificareSolicitant_E6_8_3_SE.pdf</x:v>
      </x:c>
      <x:c r="D6" s="8" t="n">
        <x:v>398849</x:v>
      </x:c>
      <x:c r="E6" s="8" t="str">
        <x:v>99c889d9-f766-4d7c-9200-6b06c0f2d28f</x:v>
      </x:c>
      <x:c r="F6" s="8" t="str">
        <x:v>Text extras disponibil</x:v>
      </x:c>
      <x:c r="G6" s="8" t="e">
        <x:f>HYPERLINK("file:///Z:/00. Proiecte 2025/AFIR FotoVoltaic 1/outputs/registru-cesiro-2026-10-16/Surse email/E004-A01.txt","Deschide sursa")</x:f>
        <x:v>HYPERLINK is not implemented. linkLocation=file:///Z:/00. Proiecte 2025/AFIR FotoVoltaic 1/outputs/registru-cesiro-2026-10-16/Surse email/E004-A01.txt, friendlyName=Deschide sursa</x:v>
      </x:c>
      <x:c r="H6" s="8" t="str">
        <x:v>13432ad06aad69a51d2d3118842db8cf2ed45edc4f7acf4d547fb3f48ea68613</x:v>
      </x:c>
    </x:row>
    <x:row r="7" ht="36" customHeight="1">
      <x:c r="A7" s="8" t="str">
        <x:v>E005-A01</x:v>
      </x:c>
      <x:c r="B7" s="8" t="str">
        <x:v>E005</x:v>
      </x:c>
      <x:c r="C7" s="8" t="str">
        <x:v>Certificat de atestare fiscala Cesiro Production SRL.pdf</x:v>
      </x:c>
      <x:c r="D7" s="8" t="n">
        <x:v>177333</x:v>
      </x:c>
      <x:c r="E7" s="8" t="str">
        <x:v>213ac0ba-6b57-4697-9d30-b02ab0175d3e</x:v>
      </x:c>
      <x:c r="F7" s="8" t="str">
        <x:v>Text extras disponibil</x:v>
      </x:c>
      <x:c r="G7" s="8" t="e">
        <x:f>HYPERLINK("file:///Z:/00. Proiecte 2025/AFIR FotoVoltaic 1/outputs/registru-cesiro-2026-10-16/Surse email/E005-A01.txt","Deschide sursa")</x:f>
        <x:v>HYPERLINK is not implemented. linkLocation=file:///Z:/00. Proiecte 2025/AFIR FotoVoltaic 1/outputs/registru-cesiro-2026-10-16/Surse email/E005-A01.txt, friendlyName=Deschide sursa</x:v>
      </x:c>
      <x:c r="H7" s="8" t="str">
        <x:v>207a050067f4aeaeb0f220a00e2923f100ada29d57769539ca746147c1324be9</x:v>
      </x:c>
    </x:row>
    <x:row r="8" ht="36" customHeight="1">
      <x:c r="A8" s="8" t="str">
        <x:v>E005-A02</x:v>
      </x:c>
      <x:c r="B8" s="8" t="str">
        <x:v>E005</x:v>
      </x:c>
      <x:c r="C8" s="8" t="str">
        <x:v>CUI Cesiro Production SRL.pdf</x:v>
      </x:c>
      <x:c r="D8" s="8" t="n">
        <x:v>611208</x:v>
      </x:c>
      <x:c r="E8" s="8" t="str">
        <x:v>b1836d2c-13df-4bca-b5a3-c8bbd96b160e</x:v>
      </x:c>
      <x:c r="F8" s="8" t="str">
        <x:v>Text extras disponibil</x:v>
      </x:c>
      <x:c r="G8" s="8" t="e">
        <x:f>HYPERLINK("file:///Z:/00. Proiecte 2025/AFIR FotoVoltaic 1/outputs/registru-cesiro-2026-10-16/Surse email/E005-A02.txt","Deschide sursa")</x:f>
        <x:v>HYPERLINK is not implemented. linkLocation=file:///Z:/00. Proiecte 2025/AFIR FotoVoltaic 1/outputs/registru-cesiro-2026-10-16/Surse email/E005-A02.txt, friendlyName=Deschide sursa</x:v>
      </x:c>
      <x:c r="H8" s="8" t="str">
        <x:v>d9a4741cfc074053fb96a9bbc632bd88a43cd907116a36f77343bd4e39aaa338</x:v>
      </x:c>
    </x:row>
    <x:row r="9" ht="36" customHeight="1">
      <x:c r="A9" s="8" t="str">
        <x:v>E005-A03</x:v>
      </x:c>
      <x:c r="B9" s="8" t="str">
        <x:v>E005</x:v>
      </x:c>
      <x:c r="C9" s="8" t="str">
        <x:v>constatator production.pdf</x:v>
      </x:c>
      <x:c r="D9" s="8" t="n">
        <x:v>793832</x:v>
      </x:c>
      <x:c r="E9" s="8" t="str">
        <x:v>268b01d1-2f94-4f66-8800-57f911051a59</x:v>
      </x:c>
      <x:c r="F9" s="8" t="str">
        <x:v>Text extras disponibil</x:v>
      </x:c>
      <x:c r="G9" s="8" t="e">
        <x:f>HYPERLINK("file:///Z:/00. Proiecte 2025/AFIR FotoVoltaic 1/outputs/registru-cesiro-2026-10-16/Surse email/E005-A03.txt","Deschide sursa")</x:f>
        <x:v>HYPERLINK is not implemented. linkLocation=file:///Z:/00. Proiecte 2025/AFIR FotoVoltaic 1/outputs/registru-cesiro-2026-10-16/Surse email/E005-A03.txt, friendlyName=Deschide sursa</x:v>
      </x:c>
      <x:c r="H9" s="8" t="str">
        <x:v>01fdb0965cec1612ac9d385480ee85ee44adacad3549fefd2060b7d2a4259b60</x:v>
      </x:c>
    </x:row>
    <x:row r="10" ht="36" customHeight="1">
      <x:c r="A10" s="8" t="str">
        <x:v>E005-A04</x:v>
      </x:c>
      <x:c r="B10" s="8" t="str">
        <x:v>E005</x:v>
      </x:c>
      <x:c r="C10" s="8" t="str">
        <x:v>HOTĂRÂREA ADUNĂRII GENERALE A ASOCIAȚILOR Cesiro Production Deschidere Cont Exim Bank.pdf</x:v>
      </x:c>
      <x:c r="D10" s="8" t="n">
        <x:v>171920</x:v>
      </x:c>
      <x:c r="E10" s="8" t="str">
        <x:v>f4444afb-fd84-4948-af9e-5452482a7c9a</x:v>
      </x:c>
      <x:c r="F10" s="8" t="str">
        <x:v>Text extras disponibil</x:v>
      </x:c>
      <x:c r="G10" s="8" t="e">
        <x:f>HYPERLINK("file:///Z:/00. Proiecte 2025/AFIR FotoVoltaic 1/outputs/registru-cesiro-2026-10-16/Surse email/E005-A04.txt","Deschide sursa")</x:f>
        <x:v>HYPERLINK is not implemented. linkLocation=file:///Z:/00. Proiecte 2025/AFIR FotoVoltaic 1/outputs/registru-cesiro-2026-10-16/Surse email/E005-A04.txt, friendlyName=Deschide sursa</x:v>
      </x:c>
      <x:c r="H10" s="8" t="str">
        <x:v>3ba9db13a56bbd8e37d312390df8953400c642dfe07e60a4fdf03d8e4f351fd7</x:v>
      </x:c>
    </x:row>
    <x:row r="11" ht="36" customHeight="1">
      <x:c r="A11" s="8" t="str">
        <x:v>E005-A05</x:v>
      </x:c>
      <x:c r="B11" s="8" t="str">
        <x:v>E005</x:v>
      </x:c>
      <x:c r="C11" s="8" t="str">
        <x:v>7. CI Cosmin Adrian Covaciu.pdf</x:v>
      </x:c>
      <x:c r="D11" s="8" t="n">
        <x:v>158276</x:v>
      </x:c>
      <x:c r="E11" s="8" t="str">
        <x:v>003f2b9d-36ed-40b9-9c1f-f7d8abb30461</x:v>
      </x:c>
      <x:c r="F11" s="8" t="str">
        <x:v>Text extras disponibil</x:v>
      </x:c>
      <x:c r="G11" s="8" t="e">
        <x:f>HYPERLINK("file:///Z:/00. Proiecte 2025/AFIR FotoVoltaic 1/outputs/registru-cesiro-2026-10-16/Surse email/E005-A05.txt","Deschide sursa")</x:f>
        <x:v>HYPERLINK is not implemented. linkLocation=file:///Z:/00. Proiecte 2025/AFIR FotoVoltaic 1/outputs/registru-cesiro-2026-10-16/Surse email/E005-A05.txt, friendlyName=Deschide sursa</x:v>
      </x:c>
      <x:c r="H11" s="8" t="str">
        <x:v>ecb216509aa19cbba311029a4e3825ca89b5fae2cad3e27a6c6b0a9ec6cfbb41</x:v>
      </x:c>
    </x:row>
    <x:row r="12" ht="36" customHeight="1">
      <x:c r="A12" s="8" t="str">
        <x:v>E007-A01</x:v>
      </x:c>
      <x:c r="B12" s="8" t="str">
        <x:v>E007</x:v>
      </x:c>
      <x:c r="C12" s="8" t="str">
        <x:v>act CESIRO PRODUCTION 12.02.2024.pdf</x:v>
      </x:c>
      <x:c r="D12" s="8" t="n">
        <x:v>99891</x:v>
      </x:c>
      <x:c r="E12" s="8" t="str">
        <x:v>39a878c8-9627-4d2a-af30-76e910206e94</x:v>
      </x:c>
      <x:c r="F12" s="8" t="str">
        <x:v>Text extras disponibil</x:v>
      </x:c>
      <x:c r="G12" s="8" t="e">
        <x:f>HYPERLINK("file:///Z:/00. Proiecte 2025/AFIR FotoVoltaic 1/outputs/registru-cesiro-2026-10-16/Surse email/E007-A01.txt","Deschide sursa")</x:f>
        <x:v>HYPERLINK is not implemented. linkLocation=file:///Z:/00. Proiecte 2025/AFIR FotoVoltaic 1/outputs/registru-cesiro-2026-10-16/Surse email/E007-A01.txt, friendlyName=Deschide sursa</x:v>
      </x:c>
      <x:c r="H12" s="8" t="str">
        <x:v>56ad893bf9a868d894f501af20a18fc214042e19fa98fa76933234cdc61dac74</x:v>
      </x:c>
    </x:row>
    <x:row r="13" ht="36" customHeight="1">
      <x:c r="A13" s="8" t="str">
        <x:v>E008-A01</x:v>
      </x:c>
      <x:c r="B13" s="8" t="str">
        <x:v>E008</x:v>
      </x:c>
      <x:c r="C13" s="8" t="str">
        <x:v>Act Constitutiv Cesiro Production Semnat.pdf</x:v>
      </x:c>
      <x:c r="D13" s="8" t="n">
        <x:v>8606918</x:v>
      </x:c>
      <x:c r="E13" s="8" t="str">
        <x:v>7f6f28d2-5751-4770-bc3d-9b323d0c2c3a</x:v>
      </x:c>
      <x:c r="F13" s="8" t="str">
        <x:v>Text extras disponibil</x:v>
      </x:c>
      <x:c r="G13" s="8" t="e">
        <x:f>HYPERLINK("file:///Z:/00. Proiecte 2025/AFIR FotoVoltaic 1/outputs/registru-cesiro-2026-10-16/Surse email/E008-A01.txt","Deschide sursa")</x:f>
        <x:v>HYPERLINK is not implemented. linkLocation=file:///Z:/00. Proiecte 2025/AFIR FotoVoltaic 1/outputs/registru-cesiro-2026-10-16/Surse email/E008-A01.txt, friendlyName=Deschide sursa</x:v>
      </x:c>
      <x:c r="H13" s="8" t="str">
        <x:v>786bbfac331efcdbec3afea172cbdea475372ad7ee72775e8aaf37a9af2e8da5</x:v>
      </x:c>
    </x:row>
    <x:row r="14" ht="36" customHeight="1">
      <x:c r="A14" s="8" t="str">
        <x:v>E011-A01</x:v>
      </x:c>
      <x:c r="B14" s="8" t="str">
        <x:v>E011</x:v>
      </x:c>
      <x:c r="C14" s="8" t="str">
        <x:v>image001.jpg</x:v>
      </x:c>
      <x:c r="D14" s="8" t="n">
        <x:v>52879</x:v>
      </x:c>
      <x:c r="E14" s="8" t="str">
        <x:v>469f4348-5261-44d2-b6b0-bb9dc962723b</x:v>
      </x:c>
      <x:c r="F14" s="8" t="str">
        <x:v>Original necitit / fără text</x:v>
      </x:c>
      <x:c r="G14" s="8" t="e">
        <x:f>HYPERLINK("file:///Z:/00. Proiecte 2025/AFIR FotoVoltaic 1/outputs/registru-cesiro-2026-10-16/Surse email/E011-A01.txt","Deschide sursa")</x:f>
        <x:v>HYPERLINK is not implemented. linkLocation=file:///Z:/00. Proiecte 2025/AFIR FotoVoltaic 1/outputs/registru-cesiro-2026-10-16/Surse email/E011-A01.txt, friendlyName=Deschide sursa</x:v>
      </x:c>
      <x:c r="H14" s="8" t="str"/>
    </x:row>
    <x:row r="15" ht="36" customHeight="1">
      <x:c r="A15" s="8" t="str">
        <x:v>E012-A01</x:v>
      </x:c>
      <x:c r="B15" s="8" t="str">
        <x:v>E012</x:v>
      </x:c>
      <x:c r="C15" s="8" t="str">
        <x:v>AnexaIII_FM.pdf</x:v>
      </x:c>
      <x:c r="D15" s="8" t="n">
        <x:v>227660</x:v>
      </x:c>
      <x:c r="E15" s="8" t="str">
        <x:v>566f682c-fab1-4317-9370-40891c014ca5</x:v>
      </x:c>
      <x:c r="F15" s="8" t="str">
        <x:v>Text extras disponibil</x:v>
      </x:c>
      <x:c r="G15" s="8" t="e">
        <x:f>HYPERLINK("file:///Z:/00. Proiecte 2025/AFIR FotoVoltaic 1/outputs/registru-cesiro-2026-10-16/Surse email/E012-A01.txt","Deschide sursa")</x:f>
        <x:v>HYPERLINK is not implemented. linkLocation=file:///Z:/00. Proiecte 2025/AFIR FotoVoltaic 1/outputs/registru-cesiro-2026-10-16/Surse email/E012-A01.txt, friendlyName=Deschide sursa</x:v>
      </x:c>
      <x:c r="H15" s="8" t="str">
        <x:v>88dc641c95a655e85b02ecabad17cb169c1de617f6bb1e2d0d9548676b3d45dc</x:v>
      </x:c>
    </x:row>
    <x:row r="16" ht="36" customHeight="1">
      <x:c r="A16" s="8" t="str">
        <x:v>E012-A02</x:v>
      </x:c>
      <x:c r="B16" s="8" t="str">
        <x:v>E012</x:v>
      </x:c>
      <x:c r="C16" s="8" t="str">
        <x:v>AnexaII_FM.pdf</x:v>
      </x:c>
      <x:c r="D16" s="8" t="n">
        <x:v>596614</x:v>
      </x:c>
      <x:c r="E16" s="8" t="str">
        <x:v>f28061a4-294c-49da-aa68-6fd6c6f65167</x:v>
      </x:c>
      <x:c r="F16" s="8" t="str">
        <x:v>Text extras disponibil</x:v>
      </x:c>
      <x:c r="G16" s="8" t="e">
        <x:f>HYPERLINK("file:///Z:/00. Proiecte 2025/AFIR FotoVoltaic 1/outputs/registru-cesiro-2026-10-16/Surse email/E012-A02.txt","Deschide sursa")</x:f>
        <x:v>HYPERLINK is not implemented. linkLocation=file:///Z:/00. Proiecte 2025/AFIR FotoVoltaic 1/outputs/registru-cesiro-2026-10-16/Surse email/E012-A02.txt, friendlyName=Deschide sursa</x:v>
      </x:c>
      <x:c r="H16" s="8" t="str">
        <x:v>5b949a033f04b08724c0399ce7197f2ff0d042c841274596dba8474b70b5a246</x:v>
      </x:c>
    </x:row>
    <x:row r="17" ht="36" customHeight="1">
      <x:c r="A17" s="8" t="str">
        <x:v>E012-A03</x:v>
      </x:c>
      <x:c r="B17" s="8" t="str">
        <x:v>E012</x:v>
      </x:c>
      <x:c r="C17" s="8" t="str">
        <x:v>AnexaI_FM.pdf</x:v>
      </x:c>
      <x:c r="D17" s="8" t="n">
        <x:v>302744</x:v>
      </x:c>
      <x:c r="E17" s="8" t="str">
        <x:v>807d64a7-c8b6-4167-93d3-2d1ecd30062a</x:v>
      </x:c>
      <x:c r="F17" s="8" t="str">
        <x:v>Text extras disponibil</x:v>
      </x:c>
      <x:c r="G17" s="8" t="e">
        <x:f>HYPERLINK("file:///Z:/00. Proiecte 2025/AFIR FotoVoltaic 1/outputs/registru-cesiro-2026-10-16/Surse email/E012-A03.txt","Deschide sursa")</x:f>
        <x:v>HYPERLINK is not implemented. linkLocation=file:///Z:/00. Proiecte 2025/AFIR FotoVoltaic 1/outputs/registru-cesiro-2026-10-16/Surse email/E012-A03.txt, friendlyName=Deschide sursa</x:v>
      </x:c>
      <x:c r="H17" s="8" t="str">
        <x:v>67f507e8290332b6522aeaa50e5a7f7b9fed6c6d53ee785b42b89b7bb14dee87</x:v>
      </x:c>
    </x:row>
    <x:row r="18" ht="36" customHeight="1">
      <x:c r="A18" s="8" t="str">
        <x:v>E012-A04</x:v>
      </x:c>
      <x:c r="B18" s="8" t="str">
        <x:v>E012</x:v>
      </x:c>
      <x:c r="C18" s="8" t="str">
        <x:v>C1_1_FM.pdf</x:v>
      </x:c>
      <x:c r="D18" s="8" t="n">
        <x:v>1764739</x:v>
      </x:c>
      <x:c r="E18" s="8" t="str">
        <x:v>fed1cb54-b25b-420f-bb58-b5650d05f782</x:v>
      </x:c>
      <x:c r="F18" s="8" t="str">
        <x:v>Text extras disponibil</x:v>
      </x:c>
      <x:c r="G18" s="8" t="e">
        <x:f>HYPERLINK("file:///Z:/00. Proiecte 2025/AFIR FotoVoltaic 1/outputs/registru-cesiro-2026-10-16/Surse email/E012-A04.txt","Deschide sursa")</x:f>
        <x:v>HYPERLINK is not implemented. linkLocation=file:///Z:/00. Proiecte 2025/AFIR FotoVoltaic 1/outputs/registru-cesiro-2026-10-16/Surse email/E012-A04.txt, friendlyName=Deschide sursa</x:v>
      </x:c>
      <x:c r="H18" s="8" t="str">
        <x:v>f0beec9153eb2e1a437561294e5024a62f4fe2f819c13d53da77d07518d0f6b5</x:v>
      </x:c>
    </x:row>
    <x:row r="19" ht="36" customHeight="1">
      <x:c r="A19" s="8" t="str">
        <x:v>E012-A05</x:v>
      </x:c>
      <x:c r="B19" s="8" t="str">
        <x:v>E012</x:v>
      </x:c>
      <x:c r="C19" s="8" t="str">
        <x:v>AnexaIV_FM.pdf</x:v>
      </x:c>
      <x:c r="D19" s="8" t="n">
        <x:v>308134</x:v>
      </x:c>
      <x:c r="E19" s="8" t="str">
        <x:v>889d9ebe-e1a2-45ce-bdb5-934ad933b545</x:v>
      </x:c>
      <x:c r="F19" s="8" t="str">
        <x:v>Text extras disponibil</x:v>
      </x:c>
      <x:c r="G19" s="8" t="e">
        <x:f>HYPERLINK("file:///Z:/00. Proiecte 2025/AFIR FotoVoltaic 1/outputs/registru-cesiro-2026-10-16/Surse email/E012-A05.txt","Deschide sursa")</x:f>
        <x:v>HYPERLINK is not implemented. linkLocation=file:///Z:/00. Proiecte 2025/AFIR FotoVoltaic 1/outputs/registru-cesiro-2026-10-16/Surse email/E012-A05.txt, friendlyName=Deschide sursa</x:v>
      </x:c>
      <x:c r="H19" s="8" t="str">
        <x:v>d43d38b0a90edf054cb6f159f055fb876c1430b62cd147b3d8014f4c205fa4c2</x:v>
      </x:c>
    </x:row>
    <x:row r="20" ht="36" customHeight="1">
      <x:c r="A20" s="8" t="str">
        <x:v>E013-A01</x:v>
      </x:c>
      <x:c r="B20" s="8" t="str">
        <x:v>E013</x:v>
      </x:c>
      <x:c r="C20" s="8" t="str">
        <x:v>Descriere proiect AFIR fotovoltaic.docx</x:v>
      </x:c>
      <x:c r="D20" s="8" t="n">
        <x:v>30370</x:v>
      </x:c>
      <x:c r="E20" s="8" t="str">
        <x:v>444d275f-8062-4233-9a80-296cb0cfb52c</x:v>
      </x:c>
      <x:c r="F20" s="8" t="str">
        <x:v>Text extras disponibil</x:v>
      </x:c>
      <x:c r="G20" s="8" t="e">
        <x:f>HYPERLINK("file:///Z:/00. Proiecte 2025/AFIR FotoVoltaic 1/outputs/registru-cesiro-2026-10-16/Surse email/E013-A01.txt","Deschide sursa")</x:f>
        <x:v>HYPERLINK is not implemented. linkLocation=file:///Z:/00. Proiecte 2025/AFIR FotoVoltaic 1/outputs/registru-cesiro-2026-10-16/Surse email/E013-A01.txt, friendlyName=Deschide sursa</x:v>
      </x:c>
      <x:c r="H20" s="8" t="str">
        <x:v>e7d67720e97c8b10974cb58b98a4bc361d593a760f374baad69df32d04c506ae</x:v>
      </x:c>
    </x:row>
    <x:row r="21" ht="36" customHeight="1">
      <x:c r="A21" s="8" t="str">
        <x:v>E015-A01</x:v>
      </x:c>
      <x:c r="B21" s="8" t="str">
        <x:v>E015</x:v>
      </x:c>
      <x:c r="C21" s="8" t="str">
        <x:v>image001.png</x:v>
      </x:c>
      <x:c r="D21" s="8" t="n">
        <x:v>436</x:v>
      </x:c>
      <x:c r="E21" s="8" t="str">
        <x:v>36ab137d-2525-4487-b649-1751d088f4d6</x:v>
      </x:c>
      <x:c r="F21" s="8" t="str">
        <x:v>Text extras disponibil</x:v>
      </x:c>
      <x:c r="G21" s="8" t="e">
        <x:f>HYPERLINK("file:///Z:/00. Proiecte 2025/AFIR FotoVoltaic 1/outputs/registru-cesiro-2026-10-16/Surse email/E015-A01.txt","Deschide sursa")</x:f>
        <x:v>HYPERLINK is not implemented. linkLocation=file:///Z:/00. Proiecte 2025/AFIR FotoVoltaic 1/outputs/registru-cesiro-2026-10-16/Surse email/E015-A01.txt, friendlyName=Deschide sursa</x:v>
      </x:c>
      <x:c r="H21" s="8" t="str">
        <x:v>3bbbe95820bfceed8df37f0f13aef56fbb967b646492cfd68e2b4e5efa8645d9</x:v>
      </x:c>
    </x:row>
    <x:row r="22" ht="36" customHeight="1">
      <x:c r="A22" s="8" t="str">
        <x:v>E015-A02</x:v>
      </x:c>
      <x:c r="B22" s="8" t="str">
        <x:v>E015</x:v>
      </x:c>
      <x:c r="C22" s="8" t="str">
        <x:v>image002.png</x:v>
      </x:c>
      <x:c r="D22" s="8" t="n">
        <x:v>683</x:v>
      </x:c>
      <x:c r="E22" s="8" t="str">
        <x:v>c7427875-230e-4ec1-a49c-c458ce20f28f</x:v>
      </x:c>
      <x:c r="F22" s="8" t="str">
        <x:v>Text extras disponibil</x:v>
      </x:c>
      <x:c r="G22" s="8" t="e">
        <x:f>HYPERLINK("file:///Z:/00. Proiecte 2025/AFIR FotoVoltaic 1/outputs/registru-cesiro-2026-10-16/Surse email/E015-A02.txt","Deschide sursa")</x:f>
        <x:v>HYPERLINK is not implemented. linkLocation=file:///Z:/00. Proiecte 2025/AFIR FotoVoltaic 1/outputs/registru-cesiro-2026-10-16/Surse email/E015-A02.txt, friendlyName=Deschide sursa</x:v>
      </x:c>
      <x:c r="H22" s="8" t="str">
        <x:v>3bbbe95820bfceed8df37f0f13aef56fbb967b646492cfd68e2b4e5efa8645d9</x:v>
      </x:c>
    </x:row>
    <x:row r="23" ht="36" customHeight="1">
      <x:c r="A23" s="8" t="str">
        <x:v>E015-A03</x:v>
      </x:c>
      <x:c r="B23" s="8" t="str">
        <x:v>E015</x:v>
      </x:c>
      <x:c r="C23" s="8" t="str">
        <x:v>image003.png</x:v>
      </x:c>
      <x:c r="D23" s="8" t="n">
        <x:v>16752</x:v>
      </x:c>
      <x:c r="E23" s="8" t="str">
        <x:v>d611efd8-bc0e-4fca-bdc5-da69f571e31a</x:v>
      </x:c>
      <x:c r="F23" s="8" t="str">
        <x:v>Text extras disponibil</x:v>
      </x:c>
      <x:c r="G23" s="8" t="e">
        <x:f>HYPERLINK("file:///Z:/00. Proiecte 2025/AFIR FotoVoltaic 1/outputs/registru-cesiro-2026-10-16/Surse email/E015-A03.txt","Deschide sursa")</x:f>
        <x:v>HYPERLINK is not implemented. linkLocation=file:///Z:/00. Proiecte 2025/AFIR FotoVoltaic 1/outputs/registru-cesiro-2026-10-16/Surse email/E015-A03.txt, friendlyName=Deschide sursa</x:v>
      </x:c>
      <x:c r="H23" s="8" t="str">
        <x:v>3bbbe95820bfceed8df37f0f13aef56fbb967b646492cfd68e2b4e5efa8645d9</x:v>
      </x:c>
    </x:row>
    <x:row r="24" ht="36" customHeight="1">
      <x:c r="A24" s="8" t="str">
        <x:v>E015-A04</x:v>
      </x:c>
      <x:c r="B24" s="8" t="str">
        <x:v>E015</x:v>
      </x:c>
      <x:c r="C24" s="8" t="str">
        <x:v>image004.png</x:v>
      </x:c>
      <x:c r="D24" s="8" t="n">
        <x:v>971</x:v>
      </x:c>
      <x:c r="E24" s="8" t="str">
        <x:v>1ebb441d-7a5f-4d9d-aa0c-926f066821c0</x:v>
      </x:c>
      <x:c r="F24" s="8" t="str">
        <x:v>Text extras disponibil</x:v>
      </x:c>
      <x:c r="G24" s="8" t="e">
        <x:f>HYPERLINK("file:///Z:/00. Proiecte 2025/AFIR FotoVoltaic 1/outputs/registru-cesiro-2026-10-16/Surse email/E015-A04.txt","Deschide sursa")</x:f>
        <x:v>HYPERLINK is not implemented. linkLocation=file:///Z:/00. Proiecte 2025/AFIR FotoVoltaic 1/outputs/registru-cesiro-2026-10-16/Surse email/E015-A04.txt, friendlyName=Deschide sursa</x:v>
      </x:c>
      <x:c r="H24" s="8" t="str">
        <x:v>3bbbe95820bfceed8df37f0f13aef56fbb967b646492cfd68e2b4e5efa8645d9</x:v>
      </x:c>
    </x:row>
    <x:row r="25" ht="36" customHeight="1">
      <x:c r="A25" s="8" t="str">
        <x:v>E015-A05</x:v>
      </x:c>
      <x:c r="B25" s="8" t="str">
        <x:v>E015</x:v>
      </x:c>
      <x:c r="C25" s="8" t="str">
        <x:v>image005.png</x:v>
      </x:c>
      <x:c r="D25" s="8" t="n">
        <x:v>913</x:v>
      </x:c>
      <x:c r="E25" s="8" t="str">
        <x:v>0b3c4217-2394-4789-a5bb-6d3f43a788ee</x:v>
      </x:c>
      <x:c r="F25" s="8" t="str">
        <x:v>Text extras disponibil</x:v>
      </x:c>
      <x:c r="G25" s="8" t="e">
        <x:f>HYPERLINK("file:///Z:/00. Proiecte 2025/AFIR FotoVoltaic 1/outputs/registru-cesiro-2026-10-16/Surse email/E015-A05.txt","Deschide sursa")</x:f>
        <x:v>HYPERLINK is not implemented. linkLocation=file:///Z:/00. Proiecte 2025/AFIR FotoVoltaic 1/outputs/registru-cesiro-2026-10-16/Surse email/E015-A05.txt, friendlyName=Deschide sursa</x:v>
      </x:c>
      <x:c r="H25" s="8" t="str">
        <x:v>3bbbe95820bfceed8df37f0f13aef56fbb967b646492cfd68e2b4e5efa8645d9</x:v>
      </x:c>
    </x:row>
    <x:row r="26" ht="36" customHeight="1">
      <x:c r="A26" s="8" t="str">
        <x:v>E015-A06</x:v>
      </x:c>
      <x:c r="B26" s="8" t="str">
        <x:v>E015</x:v>
      </x:c>
      <x:c r="C26" s="8" t="str">
        <x:v>image006.png</x:v>
      </x:c>
      <x:c r="D26" s="8" t="n">
        <x:v>573</x:v>
      </x:c>
      <x:c r="E26" s="8" t="str">
        <x:v>25ee1601-74c9-4df3-bdcf-811f21f016b4</x:v>
      </x:c>
      <x:c r="F26" s="8" t="str">
        <x:v>Text extras disponibil</x:v>
      </x:c>
      <x:c r="G26" s="8" t="e">
        <x:f>HYPERLINK("file:///Z:/00. Proiecte 2025/AFIR FotoVoltaic 1/outputs/registru-cesiro-2026-10-16/Surse email/E015-A06.txt","Deschide sursa")</x:f>
        <x:v>HYPERLINK is not implemented. linkLocation=file:///Z:/00. Proiecte 2025/AFIR FotoVoltaic 1/outputs/registru-cesiro-2026-10-16/Surse email/E015-A06.txt, friendlyName=Deschide sursa</x:v>
      </x:c>
      <x:c r="H26" s="8" t="str">
        <x:v>3bbbe95820bfceed8df37f0f13aef56fbb967b646492cfd68e2b4e5efa8645d9</x:v>
      </x:c>
    </x:row>
    <x:row r="27" ht="36" customHeight="1">
      <x:c r="A27" s="8" t="str">
        <x:v>E015-A07</x:v>
      </x:c>
      <x:c r="B27" s="8" t="str">
        <x:v>E015</x:v>
      </x:c>
      <x:c r="C27" s="8" t="str">
        <x:v>JKM565-585N-72HL4-(V)-F3-EN.pdf</x:v>
      </x:c>
      <x:c r="D27" s="8" t="n">
        <x:v>462323</x:v>
      </x:c>
      <x:c r="E27" s="8" t="str">
        <x:v>5b4bd875-3353-4e30-82d1-0587a19d01dd</x:v>
      </x:c>
      <x:c r="F27" s="8" t="str">
        <x:v>Text extras disponibil</x:v>
      </x:c>
      <x:c r="G27" s="8" t="e">
        <x:f>HYPERLINK("file:///Z:/00. Proiecte 2025/AFIR FotoVoltaic 1/outputs/registru-cesiro-2026-10-16/Surse email/E015-A07.txt","Deschide sursa")</x:f>
        <x:v>HYPERLINK is not implemented. linkLocation=file:///Z:/00. Proiecte 2025/AFIR FotoVoltaic 1/outputs/registru-cesiro-2026-10-16/Surse email/E015-A07.txt, friendlyName=Deschide sursa</x:v>
      </x:c>
      <x:c r="H27" s="8" t="str">
        <x:v>fc87bd3931c4952662147808ccbfb0aca1535161c934172c31890c3ccdcdb946</x:v>
      </x:c>
    </x:row>
    <x:row r="28" ht="36" customHeight="1">
      <x:c r="A28" s="8" t="str">
        <x:v>E015-A08</x:v>
      </x:c>
      <x:c r="B28" s="8" t="str">
        <x:v>E015</x:v>
      </x:c>
      <x:c r="C28" s="8" t="str">
        <x:v>CSCU-DL-L01.pdf</x:v>
      </x:c>
      <x:c r="D28" s="8" t="n">
        <x:v>135296</x:v>
      </x:c>
      <x:c r="E28" s="8" t="str">
        <x:v>3e732dbf-2979-4999-9fd1-5d2e1a37ea8b</x:v>
      </x:c>
      <x:c r="F28" s="8" t="str">
        <x:v>Text extras disponibil</x:v>
      </x:c>
      <x:c r="G28" s="8" t="e">
        <x:f>HYPERLINK("file:///Z:/00. Proiecte 2025/AFIR FotoVoltaic 1/outputs/registru-cesiro-2026-10-16/Surse email/E015-A08.txt","Deschide sursa")</x:f>
        <x:v>HYPERLINK is not implemented. linkLocation=file:///Z:/00. Proiecte 2025/AFIR FotoVoltaic 1/outputs/registru-cesiro-2026-10-16/Surse email/E015-A08.txt, friendlyName=Deschide sursa</x:v>
      </x:c>
      <x:c r="H28" s="8" t="str">
        <x:v>0d49e733b65a35bdacc9c13d11eaaec4687f33f58041aa63a371d0bfbac5bd2a</x:v>
      </x:c>
    </x:row>
    <x:row r="29" ht="36" customHeight="1">
      <x:c r="A29" s="8" t="str">
        <x:v>E015-A09</x:v>
      </x:c>
      <x:c r="B29" s="8" t="str">
        <x:v>E015</x:v>
      </x:c>
      <x:c r="C29" s="8" t="str">
        <x:v>SUN2000-100KTL-M2-2023 Rom.pdf</x:v>
      </x:c>
      <x:c r="D29" s="8" t="n">
        <x:v>441689</x:v>
      </x:c>
      <x:c r="E29" s="8" t="str">
        <x:v>0c70ff1d-d31f-40b6-b68a-94e8b5fdcaea</x:v>
      </x:c>
      <x:c r="F29" s="8" t="str">
        <x:v>Text extras disponibil</x:v>
      </x:c>
      <x:c r="G29" s="8" t="e">
        <x:f>HYPERLINK("file:///Z:/00. Proiecte 2025/AFIR FotoVoltaic 1/outputs/registru-cesiro-2026-10-16/Surse email/E015-A09.txt","Deschide sursa")</x:f>
        <x:v>HYPERLINK is not implemented. linkLocation=file:///Z:/00. Proiecte 2025/AFIR FotoVoltaic 1/outputs/registru-cesiro-2026-10-16/Surse email/E015-A09.txt, friendlyName=Deschide sursa</x:v>
      </x:c>
      <x:c r="H29" s="8" t="str">
        <x:v>6c76715d23f07e6c95c7ff5df37b34c7032a3ab5029e2702708bc6193e89d3e0</x:v>
      </x:c>
    </x:row>
    <x:row r="30" ht="36" customHeight="1">
      <x:c r="A30" s="8" t="str">
        <x:v>E015-A10</x:v>
      </x:c>
      <x:c r="B30" s="8" t="str">
        <x:v>E015</x:v>
      </x:c>
      <x:c r="C30" s="8" t="str">
        <x:v>CEF 1009.70 KW invertoare
 Canadian Solar cu stocare 194KW montaj terasa.pdf</x:v>
      </x:c>
      <x:c r="D30" s="8" t="n">
        <x:v>205116</x:v>
      </x:c>
      <x:c r="E30" s="8" t="str">
        <x:v>89578daf-a5a0-4323-a69e-84eb309d33f9</x:v>
      </x:c>
      <x:c r="F30" s="8" t="str">
        <x:v>Text extras disponibil</x:v>
      </x:c>
      <x:c r="G30" s="8" t="e">
        <x:f>HYPERLINK("file:///Z:/00. Proiecte 2025/AFIR FotoVoltaic 1/outputs/registru-cesiro-2026-10-16/Surse email/E015-A10.txt","Deschide sursa")</x:f>
        <x:v>HYPERLINK is not implemented. linkLocation=file:///Z:/00. Proiecte 2025/AFIR FotoVoltaic 1/outputs/registru-cesiro-2026-10-16/Surse email/E015-A10.txt, friendlyName=Deschide sursa</x:v>
      </x:c>
      <x:c r="H30" s="8" t="str">
        <x:v>7ef22a033b6923def67ca335b91f1be919316aaaefdc9459bed47f0a303273ee</x:v>
      </x:c>
    </x:row>
    <x:row r="31" ht="36" customHeight="1">
      <x:c r="A31" s="8" t="str">
        <x:v>E015-A11</x:v>
      </x:c>
      <x:c r="B31" s="8" t="str">
        <x:v>E015</x:v>
      </x:c>
      <x:c r="C31" s="8" t="str">
        <x:v>CEF 1009.70 KW invertoare Huawei
 cu stocare 194KW montaj terasa.pdf</x:v>
      </x:c>
      <x:c r="D31" s="8" t="n">
        <x:v>206570</x:v>
      </x:c>
      <x:c r="E31" s="8" t="str">
        <x:v>a2d912e3-53c1-4155-9bf7-26a5d0fb5669</x:v>
      </x:c>
      <x:c r="F31" s="8" t="str">
        <x:v>Text extras disponibil</x:v>
      </x:c>
      <x:c r="G31" s="8" t="e">
        <x:f>HYPERLINK("file:///Z:/00. Proiecte 2025/AFIR FotoVoltaic 1/outputs/registru-cesiro-2026-10-16/Surse email/E015-A11.txt","Deschide sursa")</x:f>
        <x:v>HYPERLINK is not implemented. linkLocation=file:///Z:/00. Proiecte 2025/AFIR FotoVoltaic 1/outputs/registru-cesiro-2026-10-16/Surse email/E015-A11.txt, friendlyName=Deschide sursa</x:v>
      </x:c>
      <x:c r="H31" s="8" t="str">
        <x:v>f8a01e57b85e6ca0b30423d1b31789cd148767536bf69399a0dc0633cbad196f</x:v>
      </x:c>
    </x:row>
    <x:row r="32" ht="36" customHeight="1">
      <x:c r="A32" s="8" t="str">
        <x:v>E015-A12</x:v>
      </x:c>
      <x:c r="B32" s="8" t="str">
        <x:v>E015</x:v>
      </x:c>
      <x:c r="C32" s="8" t="str">
        <x:v>75  -120 kW -
 gamaCS_Datasheet_Inverter_3ph_75-120KW_EN_V1.1_20230310.pdf.pdf</x:v>
      </x:c>
      <x:c r="D32" s="8" t="n">
        <x:v>374369</x:v>
      </x:c>
      <x:c r="E32" s="8" t="str">
        <x:v>17155ea1-aa65-4d7d-9ecb-65f2d0735173</x:v>
      </x:c>
      <x:c r="F32" s="8" t="str">
        <x:v>Text extras disponibil</x:v>
      </x:c>
      <x:c r="G32" s="8" t="e">
        <x:f>HYPERLINK("file:///Z:/00. Proiecte 2025/AFIR FotoVoltaic 1/outputs/registru-cesiro-2026-10-16/Surse email/E015-A12.txt","Deschide sursa")</x:f>
        <x:v>HYPERLINK is not implemented. linkLocation=file:///Z:/00. Proiecte 2025/AFIR FotoVoltaic 1/outputs/registru-cesiro-2026-10-16/Surse email/E015-A12.txt, friendlyName=Deschide sursa</x:v>
      </x:c>
      <x:c r="H32" s="8" t="str">
        <x:v>4d2766034b6d939b6d4393ede41528268924212c9868c0eb235c1a9f44a996bb</x:v>
      </x:c>
    </x:row>
    <x:row r="33" ht="36" customHeight="1">
      <x:c r="A33" s="8" t="str">
        <x:v>E015-A13</x:v>
      </x:c>
      <x:c r="B33" s="8" t="str">
        <x:v>E015</x:v>
      </x:c>
      <x:c r="C33" s="8" t="str">
        <x:v>Fisa Tehnica smart logger 3000A
 (1).pdf</x:v>
      </x:c>
      <x:c r="D33" s="8" t="n">
        <x:v>134168</x:v>
      </x:c>
      <x:c r="E33" s="8" t="str">
        <x:v>ce622c07-c534-41bf-9c70-513833d0f5e8</x:v>
      </x:c>
      <x:c r="F33" s="8" t="str">
        <x:v>Text extras disponibil</x:v>
      </x:c>
      <x:c r="G33" s="8" t="e">
        <x:f>HYPERLINK("file:///Z:/00. Proiecte 2025/AFIR FotoVoltaic 1/outputs/registru-cesiro-2026-10-16/Surse email/E015-A13.txt","Deschide sursa")</x:f>
        <x:v>HYPERLINK is not implemented. linkLocation=file:///Z:/00. Proiecte 2025/AFIR FotoVoltaic 1/outputs/registru-cesiro-2026-10-16/Surse email/E015-A13.txt, friendlyName=Deschide sursa</x:v>
      </x:c>
      <x:c r="H33" s="8" t="str">
        <x:v>2dbac835e74b96ea9a215da031c10028e9541eb86e471c66775031a2aa1dbf10</x:v>
      </x:c>
    </x:row>
    <x:row r="34" ht="36" customHeight="1">
      <x:c r="A34" s="8" t="str">
        <x:v>E015-A14</x:v>
      </x:c>
      <x:c r="B34" s="8" t="str">
        <x:v>E015</x:v>
      </x:c>
      <x:c r="C34" s="8" t="str">
        <x:v>Fisa tehnica
 DTSU666-HW-YDS60-80_20230131.pdf</x:v>
      </x:c>
      <x:c r="D34" s="8" t="n">
        <x:v>146492</x:v>
      </x:c>
      <x:c r="E34" s="8" t="str">
        <x:v>e297b262-75a7-44fd-9eb3-34b8fe8d8bf2</x:v>
      </x:c>
      <x:c r="F34" s="8" t="str">
        <x:v>Text extras disponibil</x:v>
      </x:c>
      <x:c r="G34" s="8" t="e">
        <x:f>HYPERLINK("file:///Z:/00. Proiecte 2025/AFIR FotoVoltaic 1/outputs/registru-cesiro-2026-10-16/Surse email/E015-A14.txt","Deschide sursa")</x:f>
        <x:v>HYPERLINK is not implemented. linkLocation=file:///Z:/00. Proiecte 2025/AFIR FotoVoltaic 1/outputs/registru-cesiro-2026-10-16/Surse email/E015-A14.txt, friendlyName=Deschide sursa</x:v>
      </x:c>
      <x:c r="H34" s="8" t="str">
        <x:v>d0b2703fd11558290226211be29ed8a0dd12ad18dcbe25fd639b76345dd65007</x:v>
      </x:c>
    </x:row>
    <x:row r="35" ht="50" customHeight="1">
      <x:c r="A35" s="8" t="str">
        <x:v>E015-A15</x:v>
      </x:c>
      <x:c r="B35" s="8" t="str">
        <x:v>E015</x:v>
      </x:c>
      <x:c r="C35" s="8" t="str">
        <x:v>C&amp;I ESS
 LUNA2000-(200KWH-2H1,161KWH-2H1,129KWH-2H1, 97KWH-1H1) - Datasheet -
 20231018_ro.pdf</x:v>
      </x:c>
      <x:c r="D35" s="8" t="n">
        <x:v>460927</x:v>
      </x:c>
      <x:c r="E35" s="8" t="str">
        <x:v>d20027de-c2aa-46fa-9528-3d605fea0c08</x:v>
      </x:c>
      <x:c r="F35" s="8" t="str">
        <x:v>Text extras disponibil</x:v>
      </x:c>
      <x:c r="G35" s="8" t="e">
        <x:f>HYPERLINK("file:///Z:/00. Proiecte 2025/AFIR FotoVoltaic 1/outputs/registru-cesiro-2026-10-16/Surse email/E015-A15.txt","Deschide sursa")</x:f>
        <x:v>HYPERLINK is not implemented. linkLocation=file:///Z:/00. Proiecte 2025/AFIR FotoVoltaic 1/outputs/registru-cesiro-2026-10-16/Surse email/E015-A15.txt, friendlyName=Deschide sursa</x:v>
      </x:c>
      <x:c r="H35" s="8" t="str">
        <x:v>b348147a528d0ebb807345f2d74eafa02fa558cc707dbac29035613b69fd4987</x:v>
      </x:c>
    </x:row>
    <x:row r="36" ht="36" customHeight="1">
      <x:c r="A36" s="8" t="str">
        <x:v>E016-A01</x:v>
      </x:c>
      <x:c r="B36" s="8" t="str">
        <x:v>E016</x:v>
      </x:c>
      <x:c r="C36" s="8" t="str">
        <x:v>58300 IPEC.pdf</x:v>
      </x:c>
      <x:c r="D36" s="8" t="n">
        <x:v>117771</x:v>
      </x:c>
      <x:c r="E36" s="8" t="str">
        <x:v>caf610f7-19c7-42de-ad6f-c63627386d4a</x:v>
      </x:c>
      <x:c r="F36" s="8" t="str">
        <x:v>Text extras disponibil</x:v>
      </x:c>
      <x:c r="G36" s="8" t="e">
        <x:f>HYPERLINK("file:///Z:/00. Proiecte 2025/AFIR FotoVoltaic 1/outputs/registru-cesiro-2026-10-16/Surse email/E016-A01.txt","Deschide sursa")</x:f>
        <x:v>HYPERLINK is not implemented. linkLocation=file:///Z:/00. Proiecte 2025/AFIR FotoVoltaic 1/outputs/registru-cesiro-2026-10-16/Surse email/E016-A01.txt, friendlyName=Deschide sursa</x:v>
      </x:c>
      <x:c r="H36" s="8" t="str">
        <x:v>cfd23c357f7b2ff008af4a6debdc0c7892b4926748026989ab7c64519f1af51d</x:v>
      </x:c>
    </x:row>
    <x:row r="37" ht="36" customHeight="1">
      <x:c r="A37" s="8" t="str">
        <x:v>E016-A02</x:v>
      </x:c>
      <x:c r="B37" s="8" t="str">
        <x:v>E016</x:v>
      </x:c>
      <x:c r="C37" s="8" t="str">
        <x:v>Contract de inchiriere IPEC SA cu Cesiro Production.pdf</x:v>
      </x:c>
      <x:c r="D37" s="8" t="n">
        <x:v>8565306</x:v>
      </x:c>
      <x:c r="E37" s="8" t="str">
        <x:v>169f83fb-2777-447c-9dc6-417802d9b358</x:v>
      </x:c>
      <x:c r="F37" s="8" t="str">
        <x:v>Text extras disponibil</x:v>
      </x:c>
      <x:c r="G37" s="8" t="e">
        <x:f>HYPERLINK("file:///Z:/00. Proiecte 2025/AFIR FotoVoltaic 1/outputs/registru-cesiro-2026-10-16/Surse email/E016-A02.txt","Deschide sursa")</x:f>
        <x:v>HYPERLINK is not implemented. linkLocation=file:///Z:/00. Proiecte 2025/AFIR FotoVoltaic 1/outputs/registru-cesiro-2026-10-16/Surse email/E016-A02.txt, friendlyName=Deschide sursa</x:v>
      </x:c>
      <x:c r="H37" s="8" t="str">
        <x:v>04d39e930a5aab5505d9503c34bfa7da6bc267480042da3390bef58f64dd1091</x:v>
      </x:c>
    </x:row>
    <x:row r="38" ht="36" customHeight="1">
      <x:c r="A38" s="8" t="str">
        <x:v>E017-A01</x:v>
      </x:c>
      <x:c r="B38" s="8" t="str">
        <x:v>E017</x:v>
      </x:c>
      <x:c r="C38" s="8" t="str">
        <x:v>image001.png</x:v>
      </x:c>
      <x:c r="D38" s="8" t="n">
        <x:v>118445</x:v>
      </x:c>
      <x:c r="E38" s="8" t="str">
        <x:v>1a4a072d-3516-45d2-ad5b-7f76aeae2b32</x:v>
      </x:c>
      <x:c r="F38" s="8" t="str">
        <x:v>Original necitit / fără text</x:v>
      </x:c>
      <x:c r="G38" s="8" t="e">
        <x:f>HYPERLINK("file:///Z:/00. Proiecte 2025/AFIR FotoVoltaic 1/outputs/registru-cesiro-2026-10-16/Surse email/E017-A01.txt","Deschide sursa")</x:f>
        <x:v>HYPERLINK is not implemented. linkLocation=file:///Z:/00. Proiecte 2025/AFIR FotoVoltaic 1/outputs/registru-cesiro-2026-10-16/Surse email/E017-A01.txt, friendlyName=Deschide sursa</x:v>
      </x:c>
      <x:c r="H38" s="8" t="str"/>
    </x:row>
    <x:row r="39" ht="36" customHeight="1">
      <x:c r="A39" s="8" t="str">
        <x:v>E018-A01</x:v>
      </x:c>
      <x:c r="B39" s="8" t="str">
        <x:v>E018</x:v>
      </x:c>
      <x:c r="C39" s="8" t="str">
        <x:v>58300 IPEC.pdf</x:v>
      </x:c>
      <x:c r="D39" s="8" t="n">
        <x:v>117771</x:v>
      </x:c>
      <x:c r="E39" s="8" t="str">
        <x:v>8d018383-322d-4318-a0f6-0a545228fe29</x:v>
      </x:c>
      <x:c r="F39" s="8" t="str">
        <x:v>Text extras disponibil</x:v>
      </x:c>
      <x:c r="G39" s="8" t="e">
        <x:f>HYPERLINK("file:///Z:/00. Proiecte 2025/AFIR FotoVoltaic 1/outputs/registru-cesiro-2026-10-16/Surse email/E018-A01.txt","Deschide sursa")</x:f>
        <x:v>HYPERLINK is not implemented. linkLocation=file:///Z:/00. Proiecte 2025/AFIR FotoVoltaic 1/outputs/registru-cesiro-2026-10-16/Surse email/E018-A01.txt, friendlyName=Deschide sursa</x:v>
      </x:c>
      <x:c r="H39" s="8" t="str">
        <x:v>cfd23c357f7b2ff008af4a6debdc0c7892b4926748026989ab7c64519f1af51d</x:v>
      </x:c>
    </x:row>
    <x:row r="40" ht="36" customHeight="1">
      <x:c r="A40" s="8" t="str">
        <x:v>E018-A02</x:v>
      </x:c>
      <x:c r="B40" s="8" t="str">
        <x:v>E018</x:v>
      </x:c>
      <x:c r="C40" s="8" t="str">
        <x:v>GDPR ATR Distributie Energie Electrica Mures.pdf</x:v>
      </x:c>
      <x:c r="D40" s="8" t="n">
        <x:v>228524</x:v>
      </x:c>
      <x:c r="E40" s="8" t="str">
        <x:v>34ffec32-9123-460a-b190-455d46e5e9fd</x:v>
      </x:c>
      <x:c r="F40" s="8" t="str">
        <x:v>Text extras disponibil</x:v>
      </x:c>
      <x:c r="G40" s="8" t="e">
        <x:f>HYPERLINK("file:///Z:/00. Proiecte 2025/AFIR FotoVoltaic 1/outputs/registru-cesiro-2026-10-16/Surse email/E018-A02.txt","Deschide sursa")</x:f>
        <x:v>HYPERLINK is not implemented. linkLocation=file:///Z:/00. Proiecte 2025/AFIR FotoVoltaic 1/outputs/registru-cesiro-2026-10-16/Surse email/E018-A02.txt, friendlyName=Deschide sursa</x:v>
      </x:c>
      <x:c r="H40" s="8" t="str">
        <x:v>1b836893a67d2a8f1c3e5c4e9a54d4343e5bfe211eda1e264aaab6379511b16f</x:v>
      </x:c>
    </x:row>
    <x:row r="41" ht="36" customHeight="1">
      <x:c r="A41" s="8" t="str">
        <x:v>E018-A03</x:v>
      </x:c>
      <x:c r="B41" s="8" t="str">
        <x:v>E018</x:v>
      </x:c>
      <x:c r="C41" s="8" t="str">
        <x:v>CUI Cesiro Production 2025.pdf</x:v>
      </x:c>
      <x:c r="D41" s="8" t="n">
        <x:v>3010907</x:v>
      </x:c>
      <x:c r="E41" s="8" t="str">
        <x:v>9017d7f1-5165-41ed-a4ce-b816704ca950</x:v>
      </x:c>
      <x:c r="F41" s="8" t="str">
        <x:v>Text extras disponibil</x:v>
      </x:c>
      <x:c r="G41" s="8" t="e">
        <x:f>HYPERLINK("file:///Z:/00. Proiecte 2025/AFIR FotoVoltaic 1/outputs/registru-cesiro-2026-10-16/Surse email/E018-A03.txt","Deschide sursa")</x:f>
        <x:v>HYPERLINK is not implemented. linkLocation=file:///Z:/00. Proiecte 2025/AFIR FotoVoltaic 1/outputs/registru-cesiro-2026-10-16/Surse email/E018-A03.txt, friendlyName=Deschide sursa</x:v>
      </x:c>
      <x:c r="H41" s="8" t="str">
        <x:v>0d4dec753b0f45adb0b00f918bd088fdb48d685f431c9cdf316893da4fe1e445</x:v>
      </x:c>
    </x:row>
    <x:row r="42" ht="36" customHeight="1">
      <x:c r="A42" s="8" t="str">
        <x:v>E018-A04</x:v>
      </x:c>
      <x:c r="B42" s="8" t="str">
        <x:v>E018</x:v>
      </x:c>
      <x:c r="C42" s="8" t="str">
        <x:v>Contract de inchiriere IPEC SA cu Cesiro Production.pdf</x:v>
      </x:c>
      <x:c r="D42" s="8" t="n">
        <x:v>8565306</x:v>
      </x:c>
      <x:c r="E42" s="8" t="str">
        <x:v>b75fa9c8-69ab-4a59-8c87-6266077c457f</x:v>
      </x:c>
      <x:c r="F42" s="8" t="str">
        <x:v>Text extras disponibil</x:v>
      </x:c>
      <x:c r="G42" s="8" t="e">
        <x:f>HYPERLINK("file:///Z:/00. Proiecte 2025/AFIR FotoVoltaic 1/outputs/registru-cesiro-2026-10-16/Surse email/E018-A04.txt","Deschide sursa")</x:f>
        <x:v>HYPERLINK is not implemented. linkLocation=file:///Z:/00. Proiecte 2025/AFIR FotoVoltaic 1/outputs/registru-cesiro-2026-10-16/Surse email/E018-A04.txt, friendlyName=Deschide sursa</x:v>
      </x:c>
      <x:c r="H42" s="8" t="str">
        <x:v>04d39e930a5aab5505d9503c34bfa7da6bc267480042da3390bef58f64dd1091</x:v>
      </x:c>
    </x:row>
    <x:row r="43" ht="36" customHeight="1">
      <x:c r="A43" s="8" t="str">
        <x:v>E018-A05</x:v>
      </x:c>
      <x:c r="B43" s="8" t="str">
        <x:v>E018</x:v>
      </x:c>
      <x:c r="C43" s="8" t="str">
        <x:v>CI Cosmin Covaciu .jpg</x:v>
      </x:c>
      <x:c r="D43" s="8" t="n">
        <x:v>291820</x:v>
      </x:c>
      <x:c r="E43" s="8" t="str">
        <x:v>e447f320-8126-45bf-be0b-36044961a137</x:v>
      </x:c>
      <x:c r="F43" s="8" t="str">
        <x:v>Text extras disponibil</x:v>
      </x:c>
      <x:c r="G43" s="8" t="e">
        <x:f>HYPERLINK("file:///Z:/00. Proiecte 2025/AFIR FotoVoltaic 1/outputs/registru-cesiro-2026-10-16/Surse email/E018-A05.txt","Deschide sursa")</x:f>
        <x:v>HYPERLINK is not implemented. linkLocation=file:///Z:/00. Proiecte 2025/AFIR FotoVoltaic 1/outputs/registru-cesiro-2026-10-16/Surse email/E018-A05.txt, friendlyName=Deschide sursa</x:v>
      </x:c>
      <x:c r="H43" s="8" t="str">
        <x:v>b3263c7f12eab4a6abe21911577acfe57638d1fe67a93d2ea15be4d9f322de65</x:v>
      </x:c>
    </x:row>
    <x:row r="44" ht="36" customHeight="1">
      <x:c r="A44" s="8" t="str">
        <x:v>E018-A06</x:v>
      </x:c>
      <x:c r="B44" s="8" t="str">
        <x:v>E018</x:v>
      </x:c>
      <x:c r="C44" s="8" t="str">
        <x:v>ATR Cesiro.pdf</x:v>
      </x:c>
      <x:c r="D44" s="8" t="n">
        <x:v>207874</x:v>
      </x:c>
      <x:c r="E44" s="8" t="str">
        <x:v>2b80de6a-3fbf-4da7-b7fb-7cbe9251ac76</x:v>
      </x:c>
      <x:c r="F44" s="8" t="str">
        <x:v>Text extras disponibil</x:v>
      </x:c>
      <x:c r="G44" s="8" t="e">
        <x:f>HYPERLINK("file:///Z:/00. Proiecte 2025/AFIR FotoVoltaic 1/outputs/registru-cesiro-2026-10-16/Surse email/E018-A06.txt","Deschide sursa")</x:f>
        <x:v>HYPERLINK is not implemented. linkLocation=file:///Z:/00. Proiecte 2025/AFIR FotoVoltaic 1/outputs/registru-cesiro-2026-10-16/Surse email/E018-A06.txt, friendlyName=Deschide sursa</x:v>
      </x:c>
      <x:c r="H44" s="8" t="str">
        <x:v>a1a85ea05714760c3d8d4f6fc86c8ac90345584d820286538ccd179837360668</x:v>
      </x:c>
    </x:row>
    <x:row r="45" ht="36" customHeight="1">
      <x:c r="A45" s="8" t="str">
        <x:v>E018-A07</x:v>
      </x:c>
      <x:c r="B45" s="8" t="str">
        <x:v>E018</x:v>
      </x:c>
      <x:c r="C45" s="8" t="str">
        <x:v>3. Certificat Constatator Cesiro Production.pdf</x:v>
      </x:c>
      <x:c r="D45" s="8" t="n">
        <x:v>209255</x:v>
      </x:c>
      <x:c r="E45" s="8" t="str">
        <x:v>ec891d42-7dbc-4805-ae18-19aee4b58a8e</x:v>
      </x:c>
      <x:c r="F45" s="8" t="str">
        <x:v>Text extras disponibil</x:v>
      </x:c>
      <x:c r="G45" s="8" t="e">
        <x:f>HYPERLINK("file:///Z:/00. Proiecte 2025/AFIR FotoVoltaic 1/outputs/registru-cesiro-2026-10-16/Surse email/E018-A07.txt","Deschide sursa")</x:f>
        <x:v>HYPERLINK is not implemented. linkLocation=file:///Z:/00. Proiecte 2025/AFIR FotoVoltaic 1/outputs/registru-cesiro-2026-10-16/Surse email/E018-A07.txt, friendlyName=Deschide sursa</x:v>
      </x:c>
      <x:c r="H45" s="8" t="str">
        <x:v>047ac6e644efc07bc5ae2e42ac7ca1fa1765e72bbcd3916a4fd8a3f9e496c5ab</x:v>
      </x:c>
    </x:row>
    <x:row r="46" ht="36" customHeight="1">
      <x:c r="A46" s="8" t="str">
        <x:v>E019-A01</x:v>
      </x:c>
      <x:c r="B46" s="8" t="str">
        <x:v>E019</x:v>
      </x:c>
      <x:c r="C46" s="8" t="str">
        <x:v>DATR011 ProsumatorPJ.pdf</x:v>
      </x:c>
      <x:c r="D46" s="8" t="n">
        <x:v>565630</x:v>
      </x:c>
      <x:c r="E46" s="8" t="str">
        <x:v>c9020be1-708e-480c-bf0e-b8374b52c603</x:v>
      </x:c>
      <x:c r="F46" s="8" t="str">
        <x:v>Text extras disponibil</x:v>
      </x:c>
      <x:c r="G46" s="8" t="e">
        <x:f>HYPERLINK("file:///Z:/00. Proiecte 2025/AFIR FotoVoltaic 1/outputs/registru-cesiro-2026-10-16/Surse email/E019-A01.txt","Deschide sursa")</x:f>
        <x:v>HYPERLINK is not implemented. linkLocation=file:///Z:/00. Proiecte 2025/AFIR FotoVoltaic 1/outputs/registru-cesiro-2026-10-16/Surse email/E019-A01.txt, friendlyName=Deschide sursa</x:v>
      </x:c>
      <x:c r="H46" s="8" t="str">
        <x:v>14e670dcd9f052359ac3f56a8cc5e38dad050d9dbe80b76fd7e16161115ba122</x:v>
      </x:c>
    </x:row>
    <x:row r="47" ht="36" customHeight="1">
      <x:c r="A47" s="8" t="str">
        <x:v>E020-A01</x:v>
      </x:c>
      <x:c r="B47" s="8" t="str">
        <x:v>E020</x:v>
      </x:c>
      <x:c r="C47" s="8" t="str">
        <x:v>DATR011 ProsumatorPJ.pdf</x:v>
      </x:c>
      <x:c r="D47" s="8" t="n">
        <x:v>565630</x:v>
      </x:c>
      <x:c r="E47" s="8" t="str">
        <x:v>903e3a4e-aa99-4c72-81a7-5e3ea592ea9f</x:v>
      </x:c>
      <x:c r="F47" s="8" t="str">
        <x:v>Text extras disponibil</x:v>
      </x:c>
      <x:c r="G47" s="8" t="e">
        <x:f>HYPERLINK("file:///Z:/00. Proiecte 2025/AFIR FotoVoltaic 1/outputs/registru-cesiro-2026-10-16/Surse email/E020-A01.txt","Deschide sursa")</x:f>
        <x:v>HYPERLINK is not implemented. linkLocation=file:///Z:/00. Proiecte 2025/AFIR FotoVoltaic 1/outputs/registru-cesiro-2026-10-16/Surse email/E020-A01.txt, friendlyName=Deschide sursa</x:v>
      </x:c>
      <x:c r="H47" s="8" t="str">
        <x:v>14e670dcd9f052359ac3f56a8cc5e38dad050d9dbe80b76fd7e16161115ba122</x:v>
      </x:c>
    </x:row>
    <x:row r="48" ht="36" customHeight="1">
      <x:c r="A48" s="8" t="str">
        <x:v>E021-A01</x:v>
      </x:c>
      <x:c r="B48" s="8" t="str">
        <x:v>E021</x:v>
      </x:c>
      <x:c r="C48" s="8" t="str">
        <x:v>image001.png</x:v>
      </x:c>
      <x:c r="D48" s="8" t="n">
        <x:v>118400</x:v>
      </x:c>
      <x:c r="E48" s="8" t="str">
        <x:v>7746f6c1-5ced-4083-a156-8493625eacad</x:v>
      </x:c>
      <x:c r="F48" s="8" t="str">
        <x:v>Original necitit / fără text</x:v>
      </x:c>
      <x:c r="G48" s="8" t="e">
        <x:f>HYPERLINK("file:///Z:/00. Proiecte 2025/AFIR FotoVoltaic 1/outputs/registru-cesiro-2026-10-16/Surse email/E021-A01.txt","Deschide sursa")</x:f>
        <x:v>HYPERLINK is not implemented. linkLocation=file:///Z:/00. Proiecte 2025/AFIR FotoVoltaic 1/outputs/registru-cesiro-2026-10-16/Surse email/E021-A01.txt, friendlyName=Deschide sursa</x:v>
      </x:c>
      <x:c r="H48" s="8" t="str"/>
    </x:row>
    <x:row r="49" ht="36" customHeight="1">
      <x:c r="A49" s="8" t="str">
        <x:v>E022-A01</x:v>
      </x:c>
      <x:c r="B49" s="8" t="str">
        <x:v>E022</x:v>
      </x:c>
      <x:c r="C49" s="8" t="str">
        <x:v>image001.png</x:v>
      </x:c>
      <x:c r="D49" s="8" t="n">
        <x:v>118400</x:v>
      </x:c>
      <x:c r="E49" s="8" t="str">
        <x:v>21dfe549-c152-43de-9389-578344b3ab41</x:v>
      </x:c>
      <x:c r="F49" s="8" t="str">
        <x:v>Original necitit / fără text</x:v>
      </x:c>
      <x:c r="G49" s="8" t="e">
        <x:f>HYPERLINK("file:///Z:/00. Proiecte 2025/AFIR FotoVoltaic 1/outputs/registru-cesiro-2026-10-16/Surse email/E022-A01.txt","Deschide sursa")</x:f>
        <x:v>HYPERLINK is not implemented. linkLocation=file:///Z:/00. Proiecte 2025/AFIR FotoVoltaic 1/outputs/registru-cesiro-2026-10-16/Surse email/E022-A01.txt, friendlyName=Deschide sursa</x:v>
      </x:c>
      <x:c r="H49" s="8" t="str"/>
    </x:row>
    <x:row r="50" ht="36" customHeight="1">
      <x:c r="A50" s="8" t="str">
        <x:v>E023-A01</x:v>
      </x:c>
      <x:c r="B50" s="8" t="str">
        <x:v>E023</x:v>
      </x:c>
      <x:c r="C50" s="8" t="str">
        <x:v>image001.png</x:v>
      </x:c>
      <x:c r="D50" s="8" t="n">
        <x:v>10165</x:v>
      </x:c>
      <x:c r="E50" s="8" t="str">
        <x:v>356a0c3d-f1a5-4a5b-bf3f-f3d4a4fce9bb</x:v>
      </x:c>
      <x:c r="F50" s="8" t="str">
        <x:v>Text extras disponibil</x:v>
      </x:c>
      <x:c r="G50" s="8" t="e">
        <x:f>HYPERLINK("file:///Z:/00. Proiecte 2025/AFIR FotoVoltaic 1/outputs/registru-cesiro-2026-10-16/Surse email/E023-A01.txt","Deschide sursa")</x:f>
        <x:v>HYPERLINK is not implemented. linkLocation=file:///Z:/00. Proiecte 2025/AFIR FotoVoltaic 1/outputs/registru-cesiro-2026-10-16/Surse email/E023-A01.txt, friendlyName=Deschide sursa</x:v>
      </x:c>
      <x:c r="H50" s="8" t="str">
        <x:v>3bbbe95820bfceed8df37f0f13aef56fbb967b646492cfd68e2b4e5efa8645d9</x:v>
      </x:c>
    </x:row>
    <x:row r="51" ht="36" customHeight="1">
      <x:c r="A51" s="8" t="str">
        <x:v>E024-A01</x:v>
      </x:c>
      <x:c r="B51" s="8" t="str">
        <x:v>E024</x:v>
      </x:c>
      <x:c r="C51" s="8" t="str">
        <x:v>DATR006 Prosumator Ord.pdf</x:v>
      </x:c>
      <x:c r="D51" s="8" t="n">
        <x:v>451493</x:v>
      </x:c>
      <x:c r="E51" s="8" t="str">
        <x:v>a0502931-45c1-426e-a067-8f29d8057163</x:v>
      </x:c>
      <x:c r="F51" s="8" t="str">
        <x:v>Text extras disponibil</x:v>
      </x:c>
      <x:c r="G51" s="8" t="e">
        <x:f>HYPERLINK("file:///Z:/00. Proiecte 2025/AFIR FotoVoltaic 1/outputs/registru-cesiro-2026-10-16/Surse email/E024-A01.txt","Deschide sursa")</x:f>
        <x:v>HYPERLINK is not implemented. linkLocation=file:///Z:/00. Proiecte 2025/AFIR FotoVoltaic 1/outputs/registru-cesiro-2026-10-16/Surse email/E024-A01.txt, friendlyName=Deschide sursa</x:v>
      </x:c>
      <x:c r="H51" s="8" t="str">
        <x:v>78bbc583fa07bdcb30344c671d68393eb448ce25af30dbdfcb9f93b05e016ea6</x:v>
      </x:c>
    </x:row>
    <x:row r="52" ht="36" customHeight="1">
      <x:c r="A52" s="8" t="str">
        <x:v>E025-A01</x:v>
      </x:c>
      <x:c r="B52" s="8" t="str">
        <x:v>E025</x:v>
      </x:c>
      <x:c r="C52" s="8" t="str">
        <x:v>DXCR156 ContractRacordareOrd18OD
 PF Anexa1 ord.pdf</x:v>
      </x:c>
      <x:c r="D52" s="8" t="n">
        <x:v>353054</x:v>
      </x:c>
      <x:c r="E52" s="8" t="str">
        <x:v>0f6afd87-e163-4c38-94ae-0bd922daf668</x:v>
      </x:c>
      <x:c r="F52" s="8" t="str">
        <x:v>Text extras disponibil</x:v>
      </x:c>
      <x:c r="G52" s="8" t="e">
        <x:f>HYPERLINK("file:///Z:/00. Proiecte 2025/AFIR FotoVoltaic 1/outputs/registru-cesiro-2026-10-16/Surse email/E025-A01.txt","Deschide sursa")</x:f>
        <x:v>HYPERLINK is not implemented. linkLocation=file:///Z:/00. Proiecte 2025/AFIR FotoVoltaic 1/outputs/registru-cesiro-2026-10-16/Surse email/E025-A01.txt, friendlyName=Deschide sursa</x:v>
      </x:c>
      <x:c r="H52" s="8" t="str">
        <x:v>173118073ea98cb28dcf0b6d262281fbadeb9d2464d86221c7df4b4a606f0370</x:v>
      </x:c>
    </x:row>
    <x:row r="53" ht="36" customHeight="1">
      <x:c r="A53" s="8" t="str">
        <x:v>E026-A01</x:v>
      </x:c>
      <x:c r="B53" s="8" t="str">
        <x:v>E026</x:v>
      </x:c>
      <x:c r="C53" s="8" t="str">
        <x:v>Notificare Schimbare Structura Actionariatului Cesiro Production SRL.pdf</x:v>
      </x:c>
      <x:c r="D53" s="8" t="n">
        <x:v>268586</x:v>
      </x:c>
      <x:c r="E53" s="8" t="str">
        <x:v>ee9eb7ce-2d59-4586-92a2-0fc116c8164d</x:v>
      </x:c>
      <x:c r="F53" s="8" t="str">
        <x:v>Text extras disponibil</x:v>
      </x:c>
      <x:c r="G53" s="8" t="e">
        <x:f>HYPERLINK("file:///Z:/00. Proiecte 2025/AFIR FotoVoltaic 1/outputs/registru-cesiro-2026-10-16/Surse email/E026-A01.txt","Deschide sursa")</x:f>
        <x:v>HYPERLINK is not implemented. linkLocation=file:///Z:/00. Proiecte 2025/AFIR FotoVoltaic 1/outputs/registru-cesiro-2026-10-16/Surse email/E026-A01.txt, friendlyName=Deschide sursa</x:v>
      </x:c>
      <x:c r="H53" s="8" t="str">
        <x:v>7f680f82e0618afeda0ab3574e5c3fd00648dde73787fe05fe600e2a6f6b8335</x:v>
      </x:c>
    </x:row>
    <x:row r="54" ht="36" customHeight="1">
      <x:c r="A54" s="8" t="str">
        <x:v>E027-A01</x:v>
      </x:c>
      <x:c r="B54" s="8" t="str">
        <x:v>E027</x:v>
      </x:c>
      <x:c r="C54" s="8" t="str">
        <x:v>Notificare Schimbare Structura Actionariatului Cesiro Production SRL.pdf</x:v>
      </x:c>
      <x:c r="D54" s="8" t="n">
        <x:v>268586</x:v>
      </x:c>
      <x:c r="E54" s="8" t="str">
        <x:v>06b1f116-b65e-44a9-9e32-f4ee3bc80d10</x:v>
      </x:c>
      <x:c r="F54" s="8" t="str">
        <x:v>Text extras disponibil</x:v>
      </x:c>
      <x:c r="G54" s="8" t="e">
        <x:f>HYPERLINK("file:///Z:/00. Proiecte 2025/AFIR FotoVoltaic 1/outputs/registru-cesiro-2026-10-16/Surse email/E027-A01.txt","Deschide sursa")</x:f>
        <x:v>HYPERLINK is not implemented. linkLocation=file:///Z:/00. Proiecte 2025/AFIR FotoVoltaic 1/outputs/registru-cesiro-2026-10-16/Surse email/E027-A01.txt, friendlyName=Deschide sursa</x:v>
      </x:c>
      <x:c r="H54" s="8" t="str">
        <x:v>7f680f82e0618afeda0ab3574e5c3fd00648dde73787fe05fe600e2a6f6b8335</x:v>
      </x:c>
    </x:row>
    <x:row r="55" ht="36" customHeight="1">
      <x:c r="A55" s="8" t="str">
        <x:v>E028-A01</x:v>
      </x:c>
      <x:c r="B55" s="8" t="str">
        <x:v>E028</x:v>
      </x:c>
      <x:c r="C55" s="8" t="str">
        <x:v>Notificare Schimbare Structura Actionariatului Cesiro Production SRL.pdf</x:v>
      </x:c>
      <x:c r="D55" s="8" t="n">
        <x:v>268586</x:v>
      </x:c>
      <x:c r="E55" s="8" t="str">
        <x:v>68ec04c5-aba3-4418-bc8b-f724b9eef6be</x:v>
      </x:c>
      <x:c r="F55" s="8" t="str">
        <x:v>Text extras disponibil</x:v>
      </x:c>
      <x:c r="G55" s="8" t="e">
        <x:f>HYPERLINK("file:///Z:/00. Proiecte 2025/AFIR FotoVoltaic 1/outputs/registru-cesiro-2026-10-16/Surse email/E028-A01.txt","Deschide sursa")</x:f>
        <x:v>HYPERLINK is not implemented. linkLocation=file:///Z:/00. Proiecte 2025/AFIR FotoVoltaic 1/outputs/registru-cesiro-2026-10-16/Surse email/E028-A01.txt, friendlyName=Deschide sursa</x:v>
      </x:c>
      <x:c r="H55" s="8" t="str">
        <x:v>7f680f82e0618afeda0ab3574e5c3fd00648dde73787fe05fe600e2a6f6b8335</x:v>
      </x:c>
    </x:row>
    <x:row r="56" ht="36" customHeight="1">
      <x:c r="A56" s="8" t="str">
        <x:v>E029-A01</x:v>
      </x:c>
      <x:c r="B56" s="8" t="str">
        <x:v>E029</x:v>
      </x:c>
      <x:c r="C56" s="8" t="str">
        <x:v>Referat_proiectant_CESIRO (1).docx</x:v>
      </x:c>
      <x:c r="D56" s="8" t="n">
        <x:v>97690</x:v>
      </x:c>
      <x:c r="E56" s="8" t="str">
        <x:v>316c3c67-7d39-478b-a544-38b6f928d5d4</x:v>
      </x:c>
      <x:c r="F56" s="8" t="str">
        <x:v>Text extras disponibil</x:v>
      </x:c>
      <x:c r="G56" s="8" t="e">
        <x:f>HYPERLINK("file:///Z:/00. Proiecte 2025/AFIR FotoVoltaic 1/outputs/registru-cesiro-2026-10-16/Surse email/E029-A01.txt","Deschide sursa")</x:f>
        <x:v>HYPERLINK is not implemented. linkLocation=file:///Z:/00. Proiecte 2025/AFIR FotoVoltaic 1/outputs/registru-cesiro-2026-10-16/Surse email/E029-A01.txt, friendlyName=Deschide sursa</x:v>
      </x:c>
      <x:c r="H56" s="8" t="str">
        <x:v>cf4c45884d865542ce3923bc9e483d53b9f314624cbac901278dcdeeeaa7a8b3</x:v>
      </x:c>
    </x:row>
    <x:row r="57" ht="36" customHeight="1">
      <x:c r="A57" s="8" t="str">
        <x:v>E029-A02</x:v>
      </x:c>
      <x:c r="B57" s="8" t="str">
        <x:v>E029</x:v>
      </x:c>
      <x:c r="C57" s="8" t="str">
        <x:v>Memoriu_Justificativ_Consolidat_CESIRO.docx</x:v>
      </x:c>
      <x:c r="D57" s="8" t="n">
        <x:v>47380</x:v>
      </x:c>
      <x:c r="E57" s="8" t="str">
        <x:v>9dbdfe94-178f-4eb0-a3d1-f6f9303c5242</x:v>
      </x:c>
      <x:c r="F57" s="8" t="str">
        <x:v>Text extras disponibil</x:v>
      </x:c>
      <x:c r="G57" s="8" t="e">
        <x:f>HYPERLINK("file:///Z:/00. Proiecte 2025/AFIR FotoVoltaic 1/outputs/registru-cesiro-2026-10-16/Surse email/E029-A02.txt","Deschide sursa")</x:f>
        <x:v>HYPERLINK is not implemented. linkLocation=file:///Z:/00. Proiecte 2025/AFIR FotoVoltaic 1/outputs/registru-cesiro-2026-10-16/Surse email/E029-A02.txt, friendlyName=Deschide sursa</x:v>
      </x:c>
      <x:c r="H57" s="8" t="str">
        <x:v>f39b83e5bd9ae1f0e1789ab1fe052d35f07ce9ae04013f30a1bbace395bb5566</x:v>
      </x:c>
    </x:row>
    <x:row r="58" ht="36" customHeight="1">
      <x:c r="A58" s="8" t="str">
        <x:v>E029-A03</x:v>
      </x:c>
      <x:c r="B58" s="8" t="str">
        <x:v>E029</x:v>
      </x:c>
      <x:c r="C58" s="8" t="str">
        <x:v>Formular_C3_1_completat (1).docx</x:v>
      </x:c>
      <x:c r="D58" s="8" t="n">
        <x:v>44945</x:v>
      </x:c>
      <x:c r="E58" s="8" t="str">
        <x:v>1c345a4a-89e7-4268-9264-6010df41c72c</x:v>
      </x:c>
      <x:c r="F58" s="8" t="str">
        <x:v>Text extras disponibil</x:v>
      </x:c>
      <x:c r="G58" s="8" t="e">
        <x:f>HYPERLINK("file:///Z:/00. Proiecte 2025/AFIR FotoVoltaic 1/outputs/registru-cesiro-2026-10-16/Surse email/E029-A03.txt","Deschide sursa")</x:f>
        <x:v>HYPERLINK is not implemented. linkLocation=file:///Z:/00. Proiecte 2025/AFIR FotoVoltaic 1/outputs/registru-cesiro-2026-10-16/Surse email/E029-A03.txt, friendlyName=Deschide sursa</x:v>
      </x:c>
      <x:c r="H58" s="8" t="str">
        <x:v>4e28802dc93efbb48da06805d4da2afdbc26809bf04540fc085750a72a4650ae</x:v>
      </x:c>
    </x:row>
    <x:row r="59" ht="36" customHeight="1">
      <x:c r="A59" s="8" t="str">
        <x:v>E029-A04</x:v>
      </x:c>
      <x:c r="B59" s="8" t="str">
        <x:v>E029</x:v>
      </x:c>
      <x:c r="C59" s="8" t="str">
        <x:v>Studiu_Justificativ_Aprofundat_CESIRO.docx</x:v>
      </x:c>
      <x:c r="D59" s="8" t="n">
        <x:v>598655</x:v>
      </x:c>
      <x:c r="E59" s="8" t="str">
        <x:v>35d63b55-dea6-496f-bdad-f3aa77a2ddda</x:v>
      </x:c>
      <x:c r="F59" s="8" t="str">
        <x:v>Text extras disponibil</x:v>
      </x:c>
      <x:c r="G59" s="8" t="e">
        <x:f>HYPERLINK("file:///Z:/00. Proiecte 2025/AFIR FotoVoltaic 1/outputs/registru-cesiro-2026-10-16/Surse email/E029-A04.txt","Deschide sursa")</x:f>
        <x:v>HYPERLINK is not implemented. linkLocation=file:///Z:/00. Proiecte 2025/AFIR FotoVoltaic 1/outputs/registru-cesiro-2026-10-16/Surse email/E029-A04.txt, friendlyName=Deschide sursa</x:v>
      </x:c>
      <x:c r="H59" s="8" t="str">
        <x:v>a782933209d4d7046fe690279b1bc96f196e372fcea217781600677074bec50d</x:v>
      </x:c>
    </x:row>
    <x:row r="60" ht="36" customHeight="1">
      <x:c r="A60" s="8" t="str">
        <x:v>E030-A01</x:v>
      </x:c>
      <x:c r="B60" s="8" t="str">
        <x:v>E030</x:v>
      </x:c>
      <x:c r="C60" s="8" t="str">
        <x:v>Outlook-hoohedor.png</x:v>
      </x:c>
      <x:c r="D60" s="8" t="n">
        <x:v>5364</x:v>
      </x:c>
      <x:c r="E60" s="8" t="str">
        <x:v>f535af05-bd96-41cb-9ba6-e3fb081feb8c</x:v>
      </x:c>
      <x:c r="F60" s="8" t="str">
        <x:v>Text extras disponibil</x:v>
      </x:c>
      <x:c r="G60" s="8" t="e">
        <x:f>HYPERLINK("file:///Z:/00. Proiecte 2025/AFIR FotoVoltaic 1/outputs/registru-cesiro-2026-10-16/Surse email/E030-A01.txt","Deschide sursa")</x:f>
        <x:v>HYPERLINK is not implemented. linkLocation=file:///Z:/00. Proiecte 2025/AFIR FotoVoltaic 1/outputs/registru-cesiro-2026-10-16/Surse email/E030-A01.txt, friendlyName=Deschide sursa</x:v>
      </x:c>
      <x:c r="H60" s="8" t="str">
        <x:v>3bbbe95820bfceed8df37f0f13aef56fbb967b646492cfd68e2b4e5efa8645d9</x:v>
      </x:c>
    </x:row>
    <x:row r="61" ht="36" customHeight="1">
      <x:c r="A61" s="8" t="str">
        <x:v>E030-A02</x:v>
      </x:c>
      <x:c r="B61" s="8" t="str">
        <x:v>E030</x:v>
      </x:c>
      <x:c r="C61" s="8" t="str">
        <x:v>Oferta CEF 1mW_pr. Cesiro_Suntree_27.02.2026_final.xlsx</x:v>
      </x:c>
      <x:c r="D61" s="8" t="n">
        <x:v>28533</x:v>
      </x:c>
      <x:c r="E61" s="8" t="str">
        <x:v>71249014-a50d-403b-86c0-ff542ce6c538</x:v>
      </x:c>
      <x:c r="F61" s="8" t="str">
        <x:v>Text extras disponibil</x:v>
      </x:c>
      <x:c r="G61" s="8" t="e">
        <x:f>HYPERLINK("file:///Z:/00. Proiecte 2025/AFIR FotoVoltaic 1/outputs/registru-cesiro-2026-10-16/Surse email/E030-A02.txt","Deschide sursa")</x:f>
        <x:v>HYPERLINK is not implemented. linkLocation=file:///Z:/00. Proiecte 2025/AFIR FotoVoltaic 1/outputs/registru-cesiro-2026-10-16/Surse email/E030-A02.txt, friendlyName=Deschide sursa</x:v>
      </x:c>
      <x:c r="H61" s="8" t="str">
        <x:v>0f78b489b28d8612302818c3e03c6987cd5ee2ca9d8844c43577a03804ab32ce</x:v>
      </x:c>
    </x:row>
    <x:row r="62" ht="36" customHeight="1">
      <x:c r="A62" s="8" t="str">
        <x:v>E031-A01</x:v>
      </x:c>
      <x:c r="B62" s="8" t="str">
        <x:v>E031</x:v>
      </x:c>
      <x:c r="C62" s="8" t="str">
        <x:v>image001.png</x:v>
      </x:c>
      <x:c r="D62" s="8" t="n">
        <x:v>5365</x:v>
      </x:c>
      <x:c r="E62" s="8" t="str">
        <x:v>02a66348-1db6-414e-b969-be0130c1aa61</x:v>
      </x:c>
      <x:c r="F62" s="8" t="str">
        <x:v>Text extras disponibil</x:v>
      </x:c>
      <x:c r="G62" s="8" t="e">
        <x:f>HYPERLINK("file:///Z:/00. Proiecte 2025/AFIR FotoVoltaic 1/outputs/registru-cesiro-2026-10-16/Surse email/E031-A01.txt","Deschide sursa")</x:f>
        <x:v>HYPERLINK is not implemented. linkLocation=file:///Z:/00. Proiecte 2025/AFIR FotoVoltaic 1/outputs/registru-cesiro-2026-10-16/Surse email/E031-A01.txt, friendlyName=Deschide sursa</x:v>
      </x:c>
      <x:c r="H62" s="8" t="str">
        <x:v>3bbbe95820bfceed8df37f0f13aef56fbb967b646492cfd68e2b4e5efa8645d9</x:v>
      </x:c>
    </x:row>
    <x:row r="63" ht="36" customHeight="1">
      <x:c r="A63" s="8" t="str">
        <x:v>E031-A02</x:v>
      </x:c>
      <x:c r="B63" s="8" t="str">
        <x:v>E031</x:v>
      </x:c>
      <x:c r="C63" s="8" t="str">
        <x:v>image002.png</x:v>
      </x:c>
      <x:c r="D63" s="8" t="n">
        <x:v>108868</x:v>
      </x:c>
      <x:c r="E63" s="8" t="str">
        <x:v>e21e84d9-4c50-4843-9c40-c994a2d20f9e</x:v>
      </x:c>
      <x:c r="F63" s="8" t="str">
        <x:v>Original necitit / fără text</x:v>
      </x:c>
      <x:c r="G63" s="8" t="e">
        <x:f>HYPERLINK("file:///Z:/00. Proiecte 2025/AFIR FotoVoltaic 1/outputs/registru-cesiro-2026-10-16/Surse email/E031-A02.txt","Deschide sursa")</x:f>
        <x:v>HYPERLINK is not implemented. linkLocation=file:///Z:/00. Proiecte 2025/AFIR FotoVoltaic 1/outputs/registru-cesiro-2026-10-16/Surse email/E031-A02.txt, friendlyName=Deschide sursa</x:v>
      </x:c>
      <x:c r="H63" s="8" t="str"/>
    </x:row>
    <x:row r="64" ht="36" customHeight="1">
      <x:c r="A64" s="8" t="str">
        <x:v>E032-A01</x:v>
      </x:c>
      <x:c r="B64" s="8" t="str">
        <x:v>E032</x:v>
      </x:c>
      <x:c r="C64" s="8" t="str">
        <x:v>image001.png</x:v>
      </x:c>
      <x:c r="D64" s="8" t="n">
        <x:v>118410</x:v>
      </x:c>
      <x:c r="E64" s="8" t="str">
        <x:v>17dbb622-4ffb-486d-889f-40e2ec3bd69e</x:v>
      </x:c>
      <x:c r="F64" s="8" t="str">
        <x:v>Original necitit / fără text</x:v>
      </x:c>
      <x:c r="G64" s="8" t="e">
        <x:f>HYPERLINK("file:///Z:/00. Proiecte 2025/AFIR FotoVoltaic 1/outputs/registru-cesiro-2026-10-16/Surse email/E032-A01.txt","Deschide sursa")</x:f>
        <x:v>HYPERLINK is not implemented. linkLocation=file:///Z:/00. Proiecte 2025/AFIR FotoVoltaic 1/outputs/registru-cesiro-2026-10-16/Surse email/E032-A01.txt, friendlyName=Deschide sursa</x:v>
      </x:c>
      <x:c r="H64" s="8" t="str"/>
    </x:row>
    <x:row r="65" ht="36" customHeight="1">
      <x:c r="A65" s="8" t="str">
        <x:v>E032-A02</x:v>
      </x:c>
      <x:c r="B65" s="8" t="str">
        <x:v>E032</x:v>
      </x:c>
      <x:c r="C65" s="8" t="str">
        <x:v>Notificare_CESIRO PRODUCTION S.R.L.pdf</x:v>
      </x:c>
      <x:c r="D65" s="8" t="n">
        <x:v>889643</x:v>
      </x:c>
      <x:c r="E65" s="8" t="str">
        <x:v>b5216659-eb77-4ff7-88f1-859c10b41699</x:v>
      </x:c>
      <x:c r="F65" s="8" t="str">
        <x:v>Text extras disponibil</x:v>
      </x:c>
      <x:c r="G65" s="8" t="e">
        <x:f>HYPERLINK("file:///Z:/00. Proiecte 2025/AFIR FotoVoltaic 1/outputs/registru-cesiro-2026-10-16/Surse email/E032-A02.txt","Deschide sursa")</x:f>
        <x:v>HYPERLINK is not implemented. linkLocation=file:///Z:/00. Proiecte 2025/AFIR FotoVoltaic 1/outputs/registru-cesiro-2026-10-16/Surse email/E032-A02.txt, friendlyName=Deschide sursa</x:v>
      </x:c>
      <x:c r="H65" s="8" t="str">
        <x:v>8a4a8df9b3ec113d34b12b0f6b2e3cce7fbaf56c5a574d3e2ad13d36e67e7c38</x:v>
      </x:c>
    </x:row>
    <x:row r="66" ht="36" customHeight="1">
      <x:c r="A66" s="8" t="str">
        <x:v>E035-A01</x:v>
      </x:c>
      <x:c r="B66" s="8" t="str">
        <x:v>E035</x:v>
      </x:c>
      <x:c r="C66" s="8" t="str">
        <x:v>Scrisoare recomandare  FERTIL STAR SRL- Expert Mind.pdf</x:v>
      </x:c>
      <x:c r="D66" s="8" t="n">
        <x:v>309428</x:v>
      </x:c>
      <x:c r="E66" s="8" t="str">
        <x:v>a9dfc3f4-305b-4d17-9ac7-a28c8e7ff87a</x:v>
      </x:c>
      <x:c r="F66" s="8" t="str">
        <x:v>Text extras disponibil</x:v>
      </x:c>
      <x:c r="G66" s="8" t="e">
        <x:f>HYPERLINK("file:///Z:/00. Proiecte 2025/AFIR FotoVoltaic 1/outputs/registru-cesiro-2026-10-16/Surse email/E035-A01.txt","Deschide sursa")</x:f>
        <x:v>HYPERLINK is not implemented. linkLocation=file:///Z:/00. Proiecte 2025/AFIR FotoVoltaic 1/outputs/registru-cesiro-2026-10-16/Surse email/E035-A01.txt, friendlyName=Deschide sursa</x:v>
      </x:c>
      <x:c r="H66" s="8" t="str">
        <x:v>e399c2b8457e745236f95d9318057c75b589941060eb7574a96ce1dee8aba54e</x:v>
      </x:c>
    </x:row>
    <x:row r="67" ht="36" customHeight="1">
      <x:c r="A67" s="8" t="str">
        <x:v>E035-A02</x:v>
      </x:c>
      <x:c r="B67" s="8" t="str">
        <x:v>E035</x:v>
      </x:c>
      <x:c r="C67" s="8" t="str">
        <x:v>Scrisoare recomandare ECOLOR SRL-Expert Mind .pdf</x:v>
      </x:c>
      <x:c r="D67" s="8" t="n">
        <x:v>321081</x:v>
      </x:c>
      <x:c r="E67" s="8" t="str">
        <x:v>9d353a35-e652-4ec5-90ce-e43281dce512</x:v>
      </x:c>
      <x:c r="F67" s="8" t="str">
        <x:v>Text extras disponibil</x:v>
      </x:c>
      <x:c r="G67" s="8" t="e">
        <x:f>HYPERLINK("file:///Z:/00. Proiecte 2025/AFIR FotoVoltaic 1/outputs/registru-cesiro-2026-10-16/Surse email/E035-A02.txt","Deschide sursa")</x:f>
        <x:v>HYPERLINK is not implemented. linkLocation=file:///Z:/00. Proiecte 2025/AFIR FotoVoltaic 1/outputs/registru-cesiro-2026-10-16/Surse email/E035-A02.txt, friendlyName=Deschide sursa</x:v>
      </x:c>
      <x:c r="H67" s="8" t="str">
        <x:v>5a1631bc882627b0aedbffe5b63210af294f9f7a2c80c66b56eae0e01e80d622</x:v>
      </x:c>
    </x:row>
    <x:row r="68" ht="36" customHeight="1">
      <x:c r="A68" s="8" t="str">
        <x:v>E035-A03</x:v>
      </x:c>
      <x:c r="B68" s="8" t="str">
        <x:v>E035</x:v>
      </x:c>
      <x:c r="C68" s="8" t="str">
        <x:v>Oferta audit financiara AFIR Fondul de modernizare.pdf</x:v>
      </x:c>
      <x:c r="D68" s="8" t="n">
        <x:v>634985</x:v>
      </x:c>
      <x:c r="E68" s="8" t="str">
        <x:v>99b3674a-e82f-4c04-b621-f9319454cfee</x:v>
      </x:c>
      <x:c r="F68" s="8" t="str">
        <x:v>Text extras disponibil</x:v>
      </x:c>
      <x:c r="G68" s="8" t="e">
        <x:f>HYPERLINK("file:///Z:/00. Proiecte 2025/AFIR FotoVoltaic 1/outputs/registru-cesiro-2026-10-16/Surse email/E035-A03.txt","Deschide sursa")</x:f>
        <x:v>HYPERLINK is not implemented. linkLocation=file:///Z:/00. Proiecte 2025/AFIR FotoVoltaic 1/outputs/registru-cesiro-2026-10-16/Surse email/E035-A03.txt, friendlyName=Deschide sursa</x:v>
      </x:c>
      <x:c r="H68" s="8" t="str">
        <x:v>dd4e91045e24e66d7d8e812e5de20b8ec50481af4af6fdf4e4e78e0edaac9f1a</x:v>
      </x:c>
    </x:row>
    <x:row r="69" ht="36" customHeight="1">
      <x:c r="A69" s="8" t="str">
        <x:v>E035-A04</x:v>
      </x:c>
      <x:c r="B69" s="8" t="str">
        <x:v>E035</x:v>
      </x:c>
      <x:c r="C69" s="8" t="str">
        <x:v>Scrisoare de recomandare - RIFIL SA- Expert Mind.pdf</x:v>
      </x:c>
      <x:c r="D69" s="8" t="n">
        <x:v>219283</x:v>
      </x:c>
      <x:c r="E69" s="8" t="str">
        <x:v>8e84cebe-94b7-4aa6-abaf-98bb8b165d71</x:v>
      </x:c>
      <x:c r="F69" s="8" t="str">
        <x:v>Text extras disponibil</x:v>
      </x:c>
      <x:c r="G69" s="8" t="e">
        <x:f>HYPERLINK("file:///Z:/00. Proiecte 2025/AFIR FotoVoltaic 1/outputs/registru-cesiro-2026-10-16/Surse email/E035-A04.txt","Deschide sursa")</x:f>
        <x:v>HYPERLINK is not implemented. linkLocation=file:///Z:/00. Proiecte 2025/AFIR FotoVoltaic 1/outputs/registru-cesiro-2026-10-16/Surse email/E035-A04.txt, friendlyName=Deschide sursa</x:v>
      </x:c>
      <x:c r="H69" s="8" t="str">
        <x:v>5ca6a674787d884f3b0ac39cea32531c46a4e29153c28620851fe6c591a7c69c</x:v>
      </x:c>
    </x:row>
    <x:row r="70" ht="36" customHeight="1">
      <x:c r="A70" s="8" t="str">
        <x:v>E035-A05</x:v>
      </x:c>
      <x:c r="B70" s="8" t="str">
        <x:v>E035</x:v>
      </x:c>
      <x:c r="C70" s="8" t="str">
        <x:v>Mapa prezentare Expert Mind.pdf</x:v>
      </x:c>
      <x:c r="D70" s="8" t="n">
        <x:v>4113063</x:v>
      </x:c>
      <x:c r="E70" s="8" t="str">
        <x:v>ad7caacd-96a9-4e04-951f-423972ec5e6e</x:v>
      </x:c>
      <x:c r="F70" s="8" t="str">
        <x:v>Text extras disponibil</x:v>
      </x:c>
      <x:c r="G70" s="8" t="e">
        <x:f>HYPERLINK("file:///Z:/00. Proiecte 2025/AFIR FotoVoltaic 1/outputs/registru-cesiro-2026-10-16/Surse email/E035-A05.txt","Deschide sursa")</x:f>
        <x:v>HYPERLINK is not implemented. linkLocation=file:///Z:/00. Proiecte 2025/AFIR FotoVoltaic 1/outputs/registru-cesiro-2026-10-16/Surse email/E035-A05.txt, friendlyName=Deschide sursa</x:v>
      </x:c>
      <x:c r="H70" s="8" t="str">
        <x:v>fcdbaf9b58fef43bd0df08c220c4752cd48f8271fa7454d044c7e60eef410c94</x:v>
      </x:c>
    </x:row>
    <x:row r="71" ht="36" customHeight="1">
      <x:c r="A71" s="8" t="str">
        <x:v>E036-A01</x:v>
      </x:c>
      <x:c r="B71" s="8" t="str">
        <x:v>E036</x:v>
      </x:c>
      <x:c r="C71" s="8" t="str">
        <x:v>F14-III-CLI-CP Cerere inchidere cont_produse si servicii
   (7).docx</x:v>
      </x:c>
      <x:c r="D71" s="8" t="n">
        <x:v>460643</x:v>
      </x:c>
      <x:c r="E71" s="8" t="str">
        <x:v>15859d72-be2d-44d3-9219-5b6b7453a49e</x:v>
      </x:c>
      <x:c r="F71" s="8" t="str">
        <x:v>Text extras disponibil</x:v>
      </x:c>
      <x:c r="G71" s="8" t="e">
        <x:f>HYPERLINK("file:///Z:/00. Proiecte 2025/AFIR FotoVoltaic 1/outputs/registru-cesiro-2026-10-16/Surse email/E036-A01.txt","Deschide sursa")</x:f>
        <x:v>HYPERLINK is not implemented. linkLocation=file:///Z:/00. Proiecte 2025/AFIR FotoVoltaic 1/outputs/registru-cesiro-2026-10-16/Surse email/E036-A01.txt, friendlyName=Deschide sursa</x:v>
      </x:c>
      <x:c r="H71" s="8" t="str">
        <x:v>56841770b00f947324c46b56c1ec739ff4226705321090c514b7f0bd8c3f4c3f</x:v>
      </x:c>
    </x:row>
    <x:row r="72" ht="36" customHeight="1">
      <x:c r="A72" s="8" t="str">
        <x:v>E036-A02</x:v>
      </x:c>
      <x:c r="B72" s="8" t="str">
        <x:v>E036</x:v>
      </x:c>
      <x:c r="C72" s="8" t="str">
        <x:v>image001.jpg</x:v>
      </x:c>
      <x:c r="D72" s="8" t="n">
        <x:v>52879</x:v>
      </x:c>
      <x:c r="E72" s="8" t="str">
        <x:v>465e2785-6834-4070-bc13-39fc17c408df</x:v>
      </x:c>
      <x:c r="F72" s="8" t="str">
        <x:v>Original necitit / fără text</x:v>
      </x:c>
      <x:c r="G72" s="8" t="e">
        <x:f>HYPERLINK("file:///Z:/00. Proiecte 2025/AFIR FotoVoltaic 1/outputs/registru-cesiro-2026-10-16/Surse email/E036-A02.txt","Deschide sursa")</x:f>
        <x:v>HYPERLINK is not implemented. linkLocation=file:///Z:/00. Proiecte 2025/AFIR FotoVoltaic 1/outputs/registru-cesiro-2026-10-16/Surse email/E036-A02.txt, friendlyName=Deschide sursa</x:v>
      </x:c>
      <x:c r="H72" s="8" t="str"/>
    </x:row>
    <x:row r="73" ht="36" customHeight="1">
      <x:c r="A73" s="8" t="str">
        <x:v>E037-A01</x:v>
      </x:c>
      <x:c r="B73" s="8" t="str">
        <x:v>E037</x:v>
      </x:c>
      <x:c r="C73" s="8" t="str">
        <x:v>Fisa de informatii suplimentare partea I Extern.pdf</x:v>
      </x:c>
      <x:c r="D73" s="8" t="n">
        <x:v>266807</x:v>
      </x:c>
      <x:c r="E73" s="8" t="str">
        <x:v>4103514e-e610-427f-9ed1-f5b72fa123a6</x:v>
      </x:c>
      <x:c r="F73" s="8" t="str">
        <x:v>Text extras disponibil</x:v>
      </x:c>
      <x:c r="G73" s="8" t="e">
        <x:f>HYPERLINK("file:///Z:/00. Proiecte 2025/AFIR FotoVoltaic 1/outputs/registru-cesiro-2026-10-16/Surse email/E037-A01.txt","Deschide sursa")</x:f>
        <x:v>HYPERLINK is not implemented. linkLocation=file:///Z:/00. Proiecte 2025/AFIR FotoVoltaic 1/outputs/registru-cesiro-2026-10-16/Surse email/E037-A01.txt, friendlyName=Deschide sursa</x:v>
      </x:c>
      <x:c r="H73" s="8" t="str">
        <x:v>7096946a9a7aa55220a3d4f3821b7f68a4dbe313095c0fed2fb9b4beb908866d</x:v>
      </x:c>
    </x:row>
    <x:row r="74" ht="36" customHeight="1">
      <x:c r="A74" s="8" t="str">
        <x:v>E037-A02</x:v>
      </x:c>
      <x:c r="B74" s="8" t="str">
        <x:v>E037</x:v>
      </x:c>
      <x:c r="C74" s="8" t="str">
        <x:v>Fisa de informatii suplimentare partea II.docx</x:v>
      </x:c>
      <x:c r="D74" s="8" t="n">
        <x:v>79140</x:v>
      </x:c>
      <x:c r="E74" s="8" t="str">
        <x:v>dfed90f6-b6cd-47e1-b99b-669ecdf86356</x:v>
      </x:c>
      <x:c r="F74" s="8" t="str">
        <x:v>Text extras disponibil</x:v>
      </x:c>
      <x:c r="G74" s="8" t="e">
        <x:f>HYPERLINK("file:///Z:/00. Proiecte 2025/AFIR FotoVoltaic 1/outputs/registru-cesiro-2026-10-16/Surse email/E037-A02.txt","Deschide sursa")</x:f>
        <x:v>HYPERLINK is not implemented. linkLocation=file:///Z:/00. Proiecte 2025/AFIR FotoVoltaic 1/outputs/registru-cesiro-2026-10-16/Surse email/E037-A02.txt, friendlyName=Deschide sursa</x:v>
      </x:c>
      <x:c r="H74" s="8" t="str">
        <x:v>e86e9d61e624a47109f8c9e61167d7546bf278213b9a0088ae83de190904f7da</x:v>
      </x:c>
    </x:row>
    <x:row r="75" ht="36" customHeight="1">
      <x:c r="A75" s="8" t="str">
        <x:v>E038-A01</x:v>
      </x:c>
      <x:c r="B75" s="8" t="str">
        <x:v>E038</x:v>
      </x:c>
      <x:c r="C75" s="8" t="str">
        <x:v>Fisa de informatii suplimentare partea I Extern.pdf</x:v>
      </x:c>
      <x:c r="D75" s="8" t="n">
        <x:v>266807</x:v>
      </x:c>
      <x:c r="E75" s="8" t="str">
        <x:v>616a73c3-11a1-4412-934b-b1a9604ddedd</x:v>
      </x:c>
      <x:c r="F75" s="8" t="str">
        <x:v>Text extras disponibil</x:v>
      </x:c>
      <x:c r="G75" s="8" t="e">
        <x:f>HYPERLINK("file:///Z:/00. Proiecte 2025/AFIR FotoVoltaic 1/outputs/registru-cesiro-2026-10-16/Surse email/E038-A01.txt","Deschide sursa")</x:f>
        <x:v>HYPERLINK is not implemented. linkLocation=file:///Z:/00. Proiecte 2025/AFIR FotoVoltaic 1/outputs/registru-cesiro-2026-10-16/Surse email/E038-A01.txt, friendlyName=Deschide sursa</x:v>
      </x:c>
      <x:c r="H75" s="8" t="str">
        <x:v>7096946a9a7aa55220a3d4f3821b7f68a4dbe313095c0fed2fb9b4beb908866d</x:v>
      </x:c>
    </x:row>
    <x:row r="76" ht="36" customHeight="1">
      <x:c r="A76" s="8" t="str">
        <x:v>E038-A02</x:v>
      </x:c>
      <x:c r="B76" s="8" t="str">
        <x:v>E038</x:v>
      </x:c>
      <x:c r="C76" s="8" t="str">
        <x:v>Fisa de informatii suplimentare partea II.docx</x:v>
      </x:c>
      <x:c r="D76" s="8" t="n">
        <x:v>79140</x:v>
      </x:c>
      <x:c r="E76" s="8" t="str">
        <x:v>b9d9737a-8ae3-49b2-b6e8-c4c8b85b7d85</x:v>
      </x:c>
      <x:c r="F76" s="8" t="str">
        <x:v>Text extras disponibil</x:v>
      </x:c>
      <x:c r="G76" s="8" t="e">
        <x:f>HYPERLINK("file:///Z:/00. Proiecte 2025/AFIR FotoVoltaic 1/outputs/registru-cesiro-2026-10-16/Surse email/E038-A02.txt","Deschide sursa")</x:f>
        <x:v>HYPERLINK is not implemented. linkLocation=file:///Z:/00. Proiecte 2025/AFIR FotoVoltaic 1/outputs/registru-cesiro-2026-10-16/Surse email/E038-A02.txt, friendlyName=Deschide sursa</x:v>
      </x:c>
      <x:c r="H76" s="8" t="str">
        <x:v>e86e9d61e624a47109f8c9e61167d7546bf278213b9a0088ae83de190904f7da</x:v>
      </x:c>
    </x:row>
    <x:row r="77" ht="36" customHeight="1">
      <x:c r="A77" s="8" t="str">
        <x:v>E038-A03</x:v>
      </x:c>
      <x:c r="B77" s="8" t="str">
        <x:v>E038</x:v>
      </x:c>
      <x:c r="C77" s="8" t="str">
        <x:v>Fisa de informatii suplimentare partea I Extern.pdf</x:v>
      </x:c>
      <x:c r="D77" s="8" t="n">
        <x:v>266807</x:v>
      </x:c>
      <x:c r="E77" s="8" t="str">
        <x:v>94d77623-b024-496c-9508-d546238df373</x:v>
      </x:c>
      <x:c r="F77" s="8" t="str">
        <x:v>Text extras disponibil</x:v>
      </x:c>
      <x:c r="G77" s="8" t="e">
        <x:f>HYPERLINK("file:///Z:/00. Proiecte 2025/AFIR FotoVoltaic 1/outputs/registru-cesiro-2026-10-16/Surse email/E038-A03.txt","Deschide sursa")</x:f>
        <x:v>HYPERLINK is not implemented. linkLocation=file:///Z:/00. Proiecte 2025/AFIR FotoVoltaic 1/outputs/registru-cesiro-2026-10-16/Surse email/E038-A03.txt, friendlyName=Deschide sursa</x:v>
      </x:c>
      <x:c r="H77" s="8" t="str">
        <x:v>7096946a9a7aa55220a3d4f3821b7f68a4dbe313095c0fed2fb9b4beb908866d</x:v>
      </x:c>
    </x:row>
    <x:row r="78" ht="36" customHeight="1">
      <x:c r="A78" s="8" t="str">
        <x:v>E038-A04</x:v>
      </x:c>
      <x:c r="B78" s="8" t="str">
        <x:v>E038</x:v>
      </x:c>
      <x:c r="C78" s="8" t="str">
        <x:v>Fisa de informatii suplimentare partea II.docx</x:v>
      </x:c>
      <x:c r="D78" s="8" t="n">
        <x:v>79140</x:v>
      </x:c>
      <x:c r="E78" s="8" t="str">
        <x:v>1af1fb19-7335-47b2-ab89-bf7335b312cf</x:v>
      </x:c>
      <x:c r="F78" s="8" t="str">
        <x:v>Text extras disponibil</x:v>
      </x:c>
      <x:c r="G78" s="8" t="e">
        <x:f>HYPERLINK("file:///Z:/00. Proiecte 2025/AFIR FotoVoltaic 1/outputs/registru-cesiro-2026-10-16/Surse email/E038-A04.txt","Deschide sursa")</x:f>
        <x:v>HYPERLINK is not implemented. linkLocation=file:///Z:/00. Proiecte 2025/AFIR FotoVoltaic 1/outputs/registru-cesiro-2026-10-16/Surse email/E038-A04.txt, friendlyName=Deschide sursa</x:v>
      </x:c>
      <x:c r="H78" s="8" t="str">
        <x:v>e86e9d61e624a47109f8c9e61167d7546bf278213b9a0088ae83de190904f7da</x:v>
      </x:c>
    </x:row>
    <x:row r="79" ht="36" customHeight="1">
      <x:c r="A79" s="8" t="str">
        <x:v>E039-A01</x:v>
      </x:c>
      <x:c r="B79" s="8" t="str">
        <x:v>E039</x:v>
      </x:c>
      <x:c r="C79" s="8" t="str">
        <x:v>Fisa de informatii suplimentare partea I Extern.pdf</x:v>
      </x:c>
      <x:c r="D79" s="8" t="n">
        <x:v>266807</x:v>
      </x:c>
      <x:c r="E79" s="8" t="str">
        <x:v>5ad305fa-e5c7-4752-9958-cb39859c3eb3</x:v>
      </x:c>
      <x:c r="F79" s="8" t="str">
        <x:v>Text extras disponibil</x:v>
      </x:c>
      <x:c r="G79" s="8" t="e">
        <x:f>HYPERLINK("file:///Z:/00. Proiecte 2025/AFIR FotoVoltaic 1/outputs/registru-cesiro-2026-10-16/Surse email/E039-A01.txt","Deschide sursa")</x:f>
        <x:v>HYPERLINK is not implemented. linkLocation=file:///Z:/00. Proiecte 2025/AFIR FotoVoltaic 1/outputs/registru-cesiro-2026-10-16/Surse email/E039-A01.txt, friendlyName=Deschide sursa</x:v>
      </x:c>
      <x:c r="H79" s="8" t="str">
        <x:v>7096946a9a7aa55220a3d4f3821b7f68a4dbe313095c0fed2fb9b4beb908866d</x:v>
      </x:c>
    </x:row>
    <x:row r="80" ht="36" customHeight="1">
      <x:c r="A80" s="8" t="str">
        <x:v>E039-A02</x:v>
      </x:c>
      <x:c r="B80" s="8" t="str">
        <x:v>E039</x:v>
      </x:c>
      <x:c r="C80" s="8" t="str">
        <x:v>Fisa de informatii suplimentare partea I Extern.pdf</x:v>
      </x:c>
      <x:c r="D80" s="8" t="n">
        <x:v>266807</x:v>
      </x:c>
      <x:c r="E80" s="8" t="str">
        <x:v>00a019da-0a58-476e-a176-b2d00f1b91a2</x:v>
      </x:c>
      <x:c r="F80" s="8" t="str">
        <x:v>Text extras disponibil</x:v>
      </x:c>
      <x:c r="G80" s="8" t="e">
        <x:f>HYPERLINK("file:///Z:/00. Proiecte 2025/AFIR FotoVoltaic 1/outputs/registru-cesiro-2026-10-16/Surse email/E039-A02.txt","Deschide sursa")</x:f>
        <x:v>HYPERLINK is not implemented. linkLocation=file:///Z:/00. Proiecte 2025/AFIR FotoVoltaic 1/outputs/registru-cesiro-2026-10-16/Surse email/E039-A02.txt, friendlyName=Deschide sursa</x:v>
      </x:c>
      <x:c r="H80" s="8" t="str">
        <x:v>7096946a9a7aa55220a3d4f3821b7f68a4dbe313095c0fed2fb9b4beb908866d</x:v>
      </x:c>
    </x:row>
    <x:row r="81" ht="36" customHeight="1">
      <x:c r="A81" s="8" t="str">
        <x:v>E039-A03</x:v>
      </x:c>
      <x:c r="B81" s="8" t="str">
        <x:v>E039</x:v>
      </x:c>
      <x:c r="C81" s="8" t="str">
        <x:v>Fisa de informatii suplimentare partea II.docx</x:v>
      </x:c>
      <x:c r="D81" s="8" t="n">
        <x:v>79140</x:v>
      </x:c>
      <x:c r="E81" s="8" t="str">
        <x:v>603b9d0b-930c-4127-814e-44d8a0305dae</x:v>
      </x:c>
      <x:c r="F81" s="8" t="str">
        <x:v>Text extras disponibil</x:v>
      </x:c>
      <x:c r="G81" s="8" t="e">
        <x:f>HYPERLINK("file:///Z:/00. Proiecte 2025/AFIR FotoVoltaic 1/outputs/registru-cesiro-2026-10-16/Surse email/E039-A03.txt","Deschide sursa")</x:f>
        <x:v>HYPERLINK is not implemented. linkLocation=file:///Z:/00. Proiecte 2025/AFIR FotoVoltaic 1/outputs/registru-cesiro-2026-10-16/Surse email/E039-A03.txt, friendlyName=Deschide sursa</x:v>
      </x:c>
      <x:c r="H81" s="8" t="str">
        <x:v>e86e9d61e624a47109f8c9e61167d7546bf278213b9a0088ae83de190904f7da</x:v>
      </x:c>
    </x:row>
    <x:row r="82" ht="36" customHeight="1">
      <x:c r="A82" s="8" t="str">
        <x:v>E039-A04</x:v>
      </x:c>
      <x:c r="B82" s="8" t="str">
        <x:v>E039</x:v>
      </x:c>
      <x:c r="C82" s="8" t="str">
        <x:v>Fisa de informatii suplimentare partea II.docx</x:v>
      </x:c>
      <x:c r="D82" s="8" t="n">
        <x:v>79140</x:v>
      </x:c>
      <x:c r="E82" s="8" t="str">
        <x:v>efdb6215-8c88-45dc-8e4e-6c0922f32ee4</x:v>
      </x:c>
      <x:c r="F82" s="8" t="str">
        <x:v>Text extras disponibil</x:v>
      </x:c>
      <x:c r="G82" s="8" t="e">
        <x:f>HYPERLINK("file:///Z:/00. Proiecte 2025/AFIR FotoVoltaic 1/outputs/registru-cesiro-2026-10-16/Surse email/E039-A04.txt","Deschide sursa")</x:f>
        <x:v>HYPERLINK is not implemented. linkLocation=file:///Z:/00. Proiecte 2025/AFIR FotoVoltaic 1/outputs/registru-cesiro-2026-10-16/Surse email/E039-A04.txt, friendlyName=Deschide sursa</x:v>
      </x:c>
      <x:c r="H82" s="8" t="str">
        <x:v>e86e9d61e624a47109f8c9e61167d7546bf278213b9a0088ae83de190904f7da</x:v>
      </x:c>
    </x:row>
    <x:row r="83" ht="36" customHeight="1">
      <x:c r="A83" s="8" t="str">
        <x:v>E040-A01</x:v>
      </x:c>
      <x:c r="B83" s="8" t="str">
        <x:v>E040</x:v>
      </x:c>
      <x:c r="C83" s="8" t="str">
        <x:v>Informatii Suplimentare Cesiro Production.zip</x:v>
      </x:c>
      <x:c r="D83" s="8" t="n">
        <x:v>200361</x:v>
      </x:c>
      <x:c r="E83" s="8" t="str">
        <x:v>237580ec-051b-401e-afbf-af56751cf0c5</x:v>
      </x:c>
      <x:c r="F83" s="8" t="str">
        <x:v>Text extras disponibil</x:v>
      </x:c>
      <x:c r="G83" s="8" t="e">
        <x:f>HYPERLINK("file:///Z:/00. Proiecte 2025/AFIR FotoVoltaic 1/outputs/registru-cesiro-2026-10-16/Surse email/E040-A01.txt","Deschide sursa")</x:f>
        <x:v>HYPERLINK is not implemented. linkLocation=file:///Z:/00. Proiecte 2025/AFIR FotoVoltaic 1/outputs/registru-cesiro-2026-10-16/Surse email/E040-A01.txt, friendlyName=Deschide sursa</x:v>
      </x:c>
      <x:c r="H83" s="8" t="str">
        <x:v>3bbbe95820bfceed8df37f0f13aef56fbb967b646492cfd68e2b4e5efa8645d9</x:v>
      </x:c>
    </x:row>
    <x:row r="84" ht="36" customHeight="1">
      <x:c r="A84" s="8" t="str">
        <x:v>E042-A01</x:v>
      </x:c>
      <x:c r="B84" s="8" t="str">
        <x:v>E042</x:v>
      </x:c>
      <x:c r="C84" s="8" t="str">
        <x:v>image001.jpg</x:v>
      </x:c>
      <x:c r="D84" s="8" t="n">
        <x:v>52879</x:v>
      </x:c>
      <x:c r="E84" s="8" t="str">
        <x:v>88b577c7-b953-43cc-ad17-e7559aa5fb4c</x:v>
      </x:c>
      <x:c r="F84" s="8" t="str">
        <x:v>Original necitit / fără text</x:v>
      </x:c>
      <x:c r="G84" s="8" t="e">
        <x:f>HYPERLINK("file:///Z:/00. Proiecte 2025/AFIR FotoVoltaic 1/outputs/registru-cesiro-2026-10-16/Surse email/E042-A01.txt","Deschide sursa")</x:f>
        <x:v>HYPERLINK is not implemented. linkLocation=file:///Z:/00. Proiecte 2025/AFIR FotoVoltaic 1/outputs/registru-cesiro-2026-10-16/Surse email/E042-A01.txt, friendlyName=Deschide sursa</x:v>
      </x:c>
      <x:c r="H84" s="8" t="str"/>
    </x:row>
    <x:row r="85" ht="36" customHeight="1">
      <x:c r="A85" s="8" t="str">
        <x:v>E042-A02</x:v>
      </x:c>
      <x:c r="B85" s="8" t="str">
        <x:v>E042</x:v>
      </x:c>
      <x:c r="C85" s="8" t="str">
        <x:v>image001.jpg</x:v>
      </x:c>
      <x:c r="D85" s="8" t="n">
        <x:v>52879</x:v>
      </x:c>
      <x:c r="E85" s="8" t="str">
        <x:v>f56621fb-782c-4ede-be97-629967a8b75e</x:v>
      </x:c>
      <x:c r="F85" s="8" t="str">
        <x:v>Original necitit / fără text</x:v>
      </x:c>
      <x:c r="G85" s="8" t="e">
        <x:f>HYPERLINK("file:///Z:/00. Proiecte 2025/AFIR FotoVoltaic 1/outputs/registru-cesiro-2026-10-16/Surse email/E042-A02.txt","Deschide sursa")</x:f>
        <x:v>HYPERLINK is not implemented. linkLocation=file:///Z:/00. Proiecte 2025/AFIR FotoVoltaic 1/outputs/registru-cesiro-2026-10-16/Surse email/E042-A02.txt, friendlyName=Deschide sursa</x:v>
      </x:c>
      <x:c r="H85" s="8" t="str"/>
    </x:row>
    <x:row r="86" ht="36" customHeight="1">
      <x:c r="A86" s="8" t="str">
        <x:v>E042-A03</x:v>
      </x:c>
      <x:c r="B86" s="8" t="str">
        <x:v>E042</x:v>
      </x:c>
      <x:c r="C86" s="8" t="str">
        <x:v>extras cont cesiune.pdf</x:v>
      </x:c>
      <x:c r="D86" s="8" t="n">
        <x:v>187746</x:v>
      </x:c>
      <x:c r="E86" s="8" t="str">
        <x:v>55fe6917-1af3-49f8-970a-ce9998190de1</x:v>
      </x:c>
      <x:c r="F86" s="8" t="str">
        <x:v>Text extras disponibil</x:v>
      </x:c>
      <x:c r="G86" s="8" t="e">
        <x:f>HYPERLINK("file:///Z:/00. Proiecte 2025/AFIR FotoVoltaic 1/outputs/registru-cesiro-2026-10-16/Surse email/E042-A03.txt","Deschide sursa")</x:f>
        <x:v>HYPERLINK is not implemented. linkLocation=file:///Z:/00. Proiecte 2025/AFIR FotoVoltaic 1/outputs/registru-cesiro-2026-10-16/Surse email/E042-A03.txt, friendlyName=Deschide sursa</x:v>
      </x:c>
      <x:c r="H86" s="8" t="str">
        <x:v>e3ec3377b1eb04cdd997565a6b68ce18b07c917ca9c8223d4c50731f135cc738</x:v>
      </x:c>
    </x:row>
    <x:row r="87" ht="36" customHeight="1">
      <x:c r="A87" s="8" t="str">
        <x:v>E042-A04</x:v>
      </x:c>
      <x:c r="B87" s="8" t="str">
        <x:v>E042</x:v>
      </x:c>
      <x:c r="C87" s="8" t="str">
        <x:v>estras cont  ron.pdf</x:v>
      </x:c>
      <x:c r="D87" s="8" t="n">
        <x:v>196084</x:v>
      </x:c>
      <x:c r="E87" s="8" t="str">
        <x:v>69bbac8f-295b-4a46-8592-7e13dd156b5a</x:v>
      </x:c>
      <x:c r="F87" s="8" t="str">
        <x:v>Text extras disponibil</x:v>
      </x:c>
      <x:c r="G87" s="8" t="e">
        <x:f>HYPERLINK("file:///Z:/00. Proiecte 2025/AFIR FotoVoltaic 1/outputs/registru-cesiro-2026-10-16/Surse email/E042-A04.txt","Deschide sursa")</x:f>
        <x:v>HYPERLINK is not implemented. linkLocation=file:///Z:/00. Proiecte 2025/AFIR FotoVoltaic 1/outputs/registru-cesiro-2026-10-16/Surse email/E042-A04.txt, friendlyName=Deschide sursa</x:v>
      </x:c>
      <x:c r="H87" s="8" t="str">
        <x:v>1ced5be1f73b2a9245597f3e0083fa6be030902cf2a207ca1a05f215b8e1d4c6</x:v>
      </x:c>
    </x:row>
    <x:row r="88" ht="36" customHeight="1">
      <x:c r="A88" s="8" t="str">
        <x:v>E042-A05</x:v>
      </x:c>
      <x:c r="B88" s="8" t="str">
        <x:v>E042</x:v>
      </x:c>
      <x:c r="C88" s="8" t="str">
        <x:v>estras cont  ron.pdf</x:v>
      </x:c>
      <x:c r="D88" s="8" t="n">
        <x:v>196084</x:v>
      </x:c>
      <x:c r="E88" s="8" t="str">
        <x:v>4ddd9f58-4767-46c4-9cd2-e29192245845</x:v>
      </x:c>
      <x:c r="F88" s="8" t="str">
        <x:v>Text extras disponibil</x:v>
      </x:c>
      <x:c r="G88" s="8" t="e">
        <x:f>HYPERLINK("file:///Z:/00. Proiecte 2025/AFIR FotoVoltaic 1/outputs/registru-cesiro-2026-10-16/Surse email/E042-A05.txt","Deschide sursa")</x:f>
        <x:v>HYPERLINK is not implemented. linkLocation=file:///Z:/00. Proiecte 2025/AFIR FotoVoltaic 1/outputs/registru-cesiro-2026-10-16/Surse email/E042-A05.txt, friendlyName=Deschide sursa</x:v>
      </x:c>
      <x:c r="H88" s="8" t="str">
        <x:v>1ced5be1f73b2a9245597f3e0083fa6be030902cf2a207ca1a05f215b8e1d4c6</x:v>
      </x:c>
    </x:row>
    <x:row r="89" ht="36" customHeight="1">
      <x:c r="A89" s="8" t="str">
        <x:v>E042-A06</x:v>
      </x:c>
      <x:c r="B89" s="8" t="str">
        <x:v>E042</x:v>
      </x:c>
      <x:c r="C89" s="8" t="str">
        <x:v>extras cont cesiune.pdf</x:v>
      </x:c>
      <x:c r="D89" s="8" t="n">
        <x:v>187746</x:v>
      </x:c>
      <x:c r="E89" s="8" t="str">
        <x:v>b61111e8-edb6-4be5-a147-7fd3f0906abd</x:v>
      </x:c>
      <x:c r="F89" s="8" t="str">
        <x:v>Text extras disponibil</x:v>
      </x:c>
      <x:c r="G89" s="8" t="e">
        <x:f>HYPERLINK("file:///Z:/00. Proiecte 2025/AFIR FotoVoltaic 1/outputs/registru-cesiro-2026-10-16/Surse email/E042-A06.txt","Deschide sursa")</x:f>
        <x:v>HYPERLINK is not implemented. linkLocation=file:///Z:/00. Proiecte 2025/AFIR FotoVoltaic 1/outputs/registru-cesiro-2026-10-16/Surse email/E042-A06.txt, friendlyName=Deschide sursa</x:v>
      </x:c>
      <x:c r="H89" s="8" t="str">
        <x:v>e3ec3377b1eb04cdd997565a6b68ce18b07c917ca9c8223d4c50731f135cc738</x:v>
      </x:c>
    </x:row>
    <x:row r="90" ht="36" customHeight="1">
      <x:c r="A90" s="8" t="str">
        <x:v>E043-A01</x:v>
      </x:c>
      <x:c r="B90" s="8" t="str">
        <x:v>E043</x:v>
      </x:c>
      <x:c r="C90" s="8" t="str">
        <x:v>Fisa de informatii suplimentare partea II.pdf</x:v>
      </x:c>
      <x:c r="D90" s="8" t="n">
        <x:v>382006</x:v>
      </x:c>
      <x:c r="E90" s="8" t="str">
        <x:v>7b9a1880-3724-4ac9-98df-5ce5408ae403</x:v>
      </x:c>
      <x:c r="F90" s="8" t="str">
        <x:v>Text extras disponibil</x:v>
      </x:c>
      <x:c r="G90" s="8" t="e">
        <x:f>HYPERLINK("file:///Z:/00. Proiecte 2025/AFIR FotoVoltaic 1/outputs/registru-cesiro-2026-10-16/Surse email/E043-A01.txt","Deschide sursa")</x:f>
        <x:v>HYPERLINK is not implemented. linkLocation=file:///Z:/00. Proiecte 2025/AFIR FotoVoltaic 1/outputs/registru-cesiro-2026-10-16/Surse email/E043-A01.txt, friendlyName=Deschide sursa</x:v>
      </x:c>
      <x:c r="H90" s="8" t="str">
        <x:v>fccb437b8ed9fc1e9eb8e2ae043929284910cea8c64e3c9dfa9d1a41623c1725</x:v>
      </x:c>
    </x:row>
    <x:row r="91" ht="36" customHeight="1">
      <x:c r="A91" s="8" t="str">
        <x:v>E043-A02</x:v>
      </x:c>
      <x:c r="B91" s="8" t="str">
        <x:v>E043</x:v>
      </x:c>
      <x:c r="C91" s="8" t="str">
        <x:v>CertificatInmatriculare Cesiro Production.pdf</x:v>
      </x:c>
      <x:c r="D91" s="8" t="n">
        <x:v>1410447</x:v>
      </x:c>
      <x:c r="E91" s="8" t="str">
        <x:v>1b600ec2-648e-4f8e-b068-4fba556e8831</x:v>
      </x:c>
      <x:c r="F91" s="8" t="str">
        <x:v>Text extras disponibil</x:v>
      </x:c>
      <x:c r="G91" s="8" t="e">
        <x:f>HYPERLINK("file:///Z:/00. Proiecte 2025/AFIR FotoVoltaic 1/outputs/registru-cesiro-2026-10-16/Surse email/E043-A02.txt","Deschide sursa")</x:f>
        <x:v>HYPERLINK is not implemented. linkLocation=file:///Z:/00. Proiecte 2025/AFIR FotoVoltaic 1/outputs/registru-cesiro-2026-10-16/Surse email/E043-A02.txt, friendlyName=Deschide sursa</x:v>
      </x:c>
      <x:c r="H91" s="8" t="str">
        <x:v>661e20b7fb147d33b0b75ab09ba117fa2530e3f69c622c33ba08cdb4728011a5</x:v>
      </x:c>
    </x:row>
    <x:row r="92" ht="36" customHeight="1">
      <x:c r="A92" s="8" t="str">
        <x:v>E044-A01</x:v>
      </x:c>
      <x:c r="B92" s="8" t="str">
        <x:v>E044</x:v>
      </x:c>
      <x:c r="C92" s="8" t="str">
        <x:v>Fisa de informatii suplimentare partea II.pdf</x:v>
      </x:c>
      <x:c r="D92" s="8" t="n">
        <x:v>382006</x:v>
      </x:c>
      <x:c r="E92" s="8" t="str">
        <x:v>5fa02748-43bf-4bdb-9fbf-3dcff78cc1f6</x:v>
      </x:c>
      <x:c r="F92" s="8" t="str">
        <x:v>Text extras disponibil</x:v>
      </x:c>
      <x:c r="G92" s="8" t="e">
        <x:f>HYPERLINK("file:///Z:/00. Proiecte 2025/AFIR FotoVoltaic 1/outputs/registru-cesiro-2026-10-16/Surse email/E044-A01.txt","Deschide sursa")</x:f>
        <x:v>HYPERLINK is not implemented. linkLocation=file:///Z:/00. Proiecte 2025/AFIR FotoVoltaic 1/outputs/registru-cesiro-2026-10-16/Surse email/E044-A01.txt, friendlyName=Deschide sursa</x:v>
      </x:c>
      <x:c r="H92" s="8" t="str">
        <x:v>fccb437b8ed9fc1e9eb8e2ae043929284910cea8c64e3c9dfa9d1a41623c1725</x:v>
      </x:c>
    </x:row>
    <x:row r="93" ht="36" customHeight="1">
      <x:c r="A93" s="8" t="str">
        <x:v>E044-A02</x:v>
      </x:c>
      <x:c r="B93" s="8" t="str">
        <x:v>E044</x:v>
      </x:c>
      <x:c r="C93" s="8" t="str">
        <x:v>CertificatInmatriculare Cesiro Production.pdf</x:v>
      </x:c>
      <x:c r="D93" s="8" t="n">
        <x:v>1410447</x:v>
      </x:c>
      <x:c r="E93" s="8" t="str">
        <x:v>32b05540-22f7-4154-ac7f-b2a5563352eb</x:v>
      </x:c>
      <x:c r="F93" s="8" t="str">
        <x:v>Text extras disponibil</x:v>
      </x:c>
      <x:c r="G93" s="8" t="e">
        <x:f>HYPERLINK("file:///Z:/00. Proiecte 2025/AFIR FotoVoltaic 1/outputs/registru-cesiro-2026-10-16/Surse email/E044-A02.txt","Deschide sursa")</x:f>
        <x:v>HYPERLINK is not implemented. linkLocation=file:///Z:/00. Proiecte 2025/AFIR FotoVoltaic 1/outputs/registru-cesiro-2026-10-16/Surse email/E044-A02.txt, friendlyName=Deschide sursa</x:v>
      </x:c>
      <x:c r="H93" s="8" t="str">
        <x:v>661e20b7fb147d33b0b75ab09ba117fa2530e3f69c622c33ba08cdb4728011a5</x:v>
      </x:c>
    </x:row>
    <x:row r="94" ht="36" customHeight="1">
      <x:c r="A94" s="8" t="str">
        <x:v>E045-A01</x:v>
      </x:c>
      <x:c r="B94" s="8" t="str">
        <x:v>E045</x:v>
      </x:c>
      <x:c r="C94" s="8" t="str">
        <x:v>CI Cosmin Adrian Covaciu (1).pdf</x:v>
      </x:c>
      <x:c r="D94" s="8" t="n">
        <x:v>1175837</x:v>
      </x:c>
      <x:c r="E94" s="8" t="str">
        <x:v>8c766f88-ec0d-4dfe-b705-de09509e3e2d</x:v>
      </x:c>
      <x:c r="F94" s="8" t="str">
        <x:v>Text extras disponibil</x:v>
      </x:c>
      <x:c r="G94" s="8" t="e">
        <x:f>HYPERLINK("file:///Z:/00. Proiecte 2025/AFIR FotoVoltaic 1/outputs/registru-cesiro-2026-10-16/Surse email/E045-A01.txt","Deschide sursa")</x:f>
        <x:v>HYPERLINK is not implemented. linkLocation=file:///Z:/00. Proiecte 2025/AFIR FotoVoltaic 1/outputs/registru-cesiro-2026-10-16/Surse email/E045-A01.txt, friendlyName=Deschide sursa</x:v>
      </x:c>
      <x:c r="H94" s="8" t="str">
        <x:v>71b6c9b11ba45437875e5956066e531b7ccbd23d41210bdf78aedcff25b70b79</x:v>
      </x:c>
    </x:row>
    <x:row r="95" ht="36" customHeight="1">
      <x:c r="A95" s="8" t="str">
        <x:v>E046-A01</x:v>
      </x:c>
      <x:c r="B95" s="8" t="str">
        <x:v>E046</x:v>
      </x:c>
      <x:c r="C95" s="8" t="str">
        <x:v>CI Cosmin Adrian Covaciu (1).pdf</x:v>
      </x:c>
      <x:c r="D95" s="8" t="n">
        <x:v>1175837</x:v>
      </x:c>
      <x:c r="E95" s="8" t="str">
        <x:v>a48cd699-6a3c-4745-935d-40afe7ada8fb</x:v>
      </x:c>
      <x:c r="F95" s="8" t="str">
        <x:v>Text extras disponibil</x:v>
      </x:c>
      <x:c r="G95" s="8" t="e">
        <x:f>HYPERLINK("file:///Z:/00. Proiecte 2025/AFIR FotoVoltaic 1/outputs/registru-cesiro-2026-10-16/Surse email/E046-A01.txt","Deschide sursa")</x:f>
        <x:v>HYPERLINK is not implemented. linkLocation=file:///Z:/00. Proiecte 2025/AFIR FotoVoltaic 1/outputs/registru-cesiro-2026-10-16/Surse email/E046-A01.txt, friendlyName=Deschide sursa</x:v>
      </x:c>
      <x:c r="H95" s="8" t="str">
        <x:v>71b6c9b11ba45437875e5956066e531b7ccbd23d41210bdf78aedcff25b70b79</x:v>
      </x:c>
    </x:row>
    <x:row r="96" ht="36" customHeight="1">
      <x:c r="A96" s="8" t="str">
        <x:v>E046-A02</x:v>
      </x:c>
      <x:c r="B96" s="8" t="str">
        <x:v>E046</x:v>
      </x:c>
      <x:c r="C96" s="8" t="str">
        <x:v>CI Cosmin Adrian Covaciu (1).pdf</x:v>
      </x:c>
      <x:c r="D96" s="8" t="n">
        <x:v>1175837</x:v>
      </x:c>
      <x:c r="E96" s="8" t="str">
        <x:v>f25950ed-199f-4453-a30c-c30fd4b33717</x:v>
      </x:c>
      <x:c r="F96" s="8" t="str">
        <x:v>Text extras disponibil</x:v>
      </x:c>
      <x:c r="G96" s="8" t="e">
        <x:f>HYPERLINK("file:///Z:/00. Proiecte 2025/AFIR FotoVoltaic 1/outputs/registru-cesiro-2026-10-16/Surse email/E046-A02.txt","Deschide sursa")</x:f>
        <x:v>HYPERLINK is not implemented. linkLocation=file:///Z:/00. Proiecte 2025/AFIR FotoVoltaic 1/outputs/registru-cesiro-2026-10-16/Surse email/E046-A02.txt, friendlyName=Deschide sursa</x:v>
      </x:c>
      <x:c r="H96" s="8" t="str">
        <x:v>71b6c9b11ba45437875e5956066e531b7ccbd23d41210bdf78aedcff25b70b79</x:v>
      </x:c>
    </x:row>
    <x:row r="97" ht="36" customHeight="1">
      <x:c r="A97" s="8" t="str">
        <x:v>E047-A01</x:v>
      </x:c>
      <x:c r="B97" s="8" t="str">
        <x:v>E047</x:v>
      </x:c>
      <x:c r="C97" s="8" t="str">
        <x:v>C3.2.2.pdf</x:v>
      </x:c>
      <x:c r="D97" s="8" t="n">
        <x:v>392146</x:v>
      </x:c>
      <x:c r="E97" s="8" t="str">
        <x:v>9b2ecb07-cfde-4cb3-91f3-6fb1db663a18</x:v>
      </x:c>
      <x:c r="F97" s="8" t="str">
        <x:v>Text extras disponibil</x:v>
      </x:c>
      <x:c r="G97" s="8" t="e">
        <x:f>HYPERLINK("file:///Z:/00. Proiecte 2025/AFIR FotoVoltaic 1/outputs/registru-cesiro-2026-10-16/Surse email/E047-A01.txt","Deschide sursa")</x:f>
        <x:v>HYPERLINK is not implemented. linkLocation=file:///Z:/00. Proiecte 2025/AFIR FotoVoltaic 1/outputs/registru-cesiro-2026-10-16/Surse email/E047-A01.txt, friendlyName=Deschide sursa</x:v>
      </x:c>
      <x:c r="H97" s="8" t="str">
        <x:v>0bb8f922113444a3da8e6349f8bf4e93dccfee4a0aec117c9d9c5697d0822268</x:v>
      </x:c>
    </x:row>
    <x:row r="98" ht="36" customHeight="1">
      <x:c r="A98" s="8" t="str">
        <x:v>E047-A02</x:v>
      </x:c>
      <x:c r="B98" s="8" t="str">
        <x:v>E047</x:v>
      </x:c>
      <x:c r="C98" s="8" t="str">
        <x:v>C3.2.2.pdf</x:v>
      </x:c>
      <x:c r="D98" s="8" t="n">
        <x:v>392146</x:v>
      </x:c>
      <x:c r="E98" s="8" t="str">
        <x:v>05e2a29d-605a-4616-bd8b-317a2df6988c</x:v>
      </x:c>
      <x:c r="F98" s="8" t="str">
        <x:v>Text extras disponibil</x:v>
      </x:c>
      <x:c r="G98" s="8" t="e">
        <x:f>HYPERLINK("file:///Z:/00. Proiecte 2025/AFIR FotoVoltaic 1/outputs/registru-cesiro-2026-10-16/Surse email/E047-A02.txt","Deschide sursa")</x:f>
        <x:v>HYPERLINK is not implemented. linkLocation=file:///Z:/00. Proiecte 2025/AFIR FotoVoltaic 1/outputs/registru-cesiro-2026-10-16/Surse email/E047-A02.txt, friendlyName=Deschide sursa</x:v>
      </x:c>
      <x:c r="H98" s="8" t="str">
        <x:v>0bb8f922113444a3da8e6349f8bf4e93dccfee4a0aec117c9d9c5697d0822268</x:v>
      </x:c>
    </x:row>
    <x:row r="99" ht="36" customHeight="1">
      <x:c r="A99" s="8" t="str">
        <x:v>E051-A01</x:v>
      </x:c>
      <x:c r="B99" s="8" t="str">
        <x:v>E051</x:v>
      </x:c>
      <x:c r="C99" s="8" t="str">
        <x:v>Fisa de informatii suplimentare partea II.pdf</x:v>
      </x:c>
      <x:c r="D99" s="8" t="n">
        <x:v>382006</x:v>
      </x:c>
      <x:c r="E99" s="8" t="str">
        <x:v>3accd584-4909-40fe-8664-14421947d6b0</x:v>
      </x:c>
      <x:c r="F99" s="8" t="str">
        <x:v>Text extras disponibil</x:v>
      </x:c>
      <x:c r="G99" s="8" t="e">
        <x:f>HYPERLINK("file:///Z:/00. Proiecte 2025/AFIR FotoVoltaic 1/outputs/registru-cesiro-2026-10-16/Surse email/E051-A01.txt","Deschide sursa")</x:f>
        <x:v>HYPERLINK is not implemented. linkLocation=file:///Z:/00. Proiecte 2025/AFIR FotoVoltaic 1/outputs/registru-cesiro-2026-10-16/Surse email/E051-A01.txt, friendlyName=Deschide sursa</x:v>
      </x:c>
      <x:c r="H99" s="8" t="str">
        <x:v>fccb437b8ed9fc1e9eb8e2ae043929284910cea8c64e3c9dfa9d1a41623c1725</x:v>
      </x:c>
    </x:row>
    <x:row r="100" ht="36" customHeight="1">
      <x:c r="A100" s="8" t="str">
        <x:v>E051-A02</x:v>
      </x:c>
      <x:c r="B100" s="8" t="str">
        <x:v>E051</x:v>
      </x:c>
      <x:c r="C100" s="8" t="str">
        <x:v>CertificatInmatriculare Cesiro Production.pdf</x:v>
      </x:c>
      <x:c r="D100" s="8" t="n">
        <x:v>1410447</x:v>
      </x:c>
      <x:c r="E100" s="8" t="str">
        <x:v>75f8dbd5-0f3c-41e0-a09f-ee8178aa850a</x:v>
      </x:c>
      <x:c r="F100" s="8" t="str">
        <x:v>Text extras disponibil</x:v>
      </x:c>
      <x:c r="G100" s="8" t="e">
        <x:f>HYPERLINK("file:///Z:/00. Proiecte 2025/AFIR FotoVoltaic 1/outputs/registru-cesiro-2026-10-16/Surse email/E051-A02.txt","Deschide sursa")</x:f>
        <x:v>HYPERLINK is not implemented. linkLocation=file:///Z:/00. Proiecte 2025/AFIR FotoVoltaic 1/outputs/registru-cesiro-2026-10-16/Surse email/E051-A02.txt, friendlyName=Deschide sursa</x:v>
      </x:c>
      <x:c r="H100" s="8" t="str">
        <x:v>661e20b7fb147d33b0b75ab09ba117fa2530e3f69c622c33ba08cdb4728011a5</x:v>
      </x:c>
    </x:row>
    <x:row r="101" ht="36" customHeight="1">
      <x:c r="A101" s="8" t="str">
        <x:v>E053-A01</x:v>
      </x:c>
      <x:c r="B101" s="8" t="str">
        <x:v>E053</x:v>
      </x:c>
      <x:c r="C101" s="8" t="str">
        <x:v>Informatii Suplimentare Cesiro Production.zip</x:v>
      </x:c>
      <x:c r="D101" s="8" t="n">
        <x:v>200361</x:v>
      </x:c>
      <x:c r="E101" s="8" t="str">
        <x:v>3e6def55-46a8-40ce-a6e9-3f568f8f4250</x:v>
      </x:c>
      <x:c r="F101" s="8" t="str">
        <x:v>Text extras disponibil</x:v>
      </x:c>
      <x:c r="G101" s="8" t="e">
        <x:f>HYPERLINK("file:///Z:/00. Proiecte 2025/AFIR FotoVoltaic 1/outputs/registru-cesiro-2026-10-16/Surse email/E053-A01.txt","Deschide sursa")</x:f>
        <x:v>HYPERLINK is not implemented. linkLocation=file:///Z:/00. Proiecte 2025/AFIR FotoVoltaic 1/outputs/registru-cesiro-2026-10-16/Surse email/E053-A01.txt, friendlyName=Deschide sursa</x:v>
      </x:c>
      <x:c r="H101" s="8" t="str">
        <x:v>3bbbe95820bfceed8df37f0f13aef56fbb967b646492cfd68e2b4e5efa8645d9</x:v>
      </x:c>
    </x:row>
    <x:row r="102" ht="36" customHeight="1">
      <x:c r="A102" s="8" t="str">
        <x:v>E054-A01</x:v>
      </x:c>
      <x:c r="B102" s="8" t="str">
        <x:v>E054</x:v>
      </x:c>
      <x:c r="C102" s="8" t="str">
        <x:v>CI Cosmin Adrian Covaciu (1).pdf</x:v>
      </x:c>
      <x:c r="D102" s="8" t="n">
        <x:v>1175837</x:v>
      </x:c>
      <x:c r="E102" s="8" t="str">
        <x:v>7502b7e0-cb5e-4d0c-9cf4-a9b634442156</x:v>
      </x:c>
      <x:c r="F102" s="8" t="str">
        <x:v>Text extras disponibil</x:v>
      </x:c>
      <x:c r="G102" s="8" t="e">
        <x:f>HYPERLINK("file:///Z:/00. Proiecte 2025/AFIR FotoVoltaic 1/outputs/registru-cesiro-2026-10-16/Surse email/E054-A01.txt","Deschide sursa")</x:f>
        <x:v>HYPERLINK is not implemented. linkLocation=file:///Z:/00. Proiecte 2025/AFIR FotoVoltaic 1/outputs/registru-cesiro-2026-10-16/Surse email/E054-A01.txt, friendlyName=Deschide sursa</x:v>
      </x:c>
      <x:c r="H102" s="8" t="str">
        <x:v>71b6c9b11ba45437875e5956066e531b7ccbd23d41210bdf78aedcff25b70b79</x:v>
      </x:c>
    </x:row>
    <x:row r="103" ht="36" customHeight="1">
      <x:c r="A103" s="8" t="str">
        <x:v>E055-A01</x:v>
      </x:c>
      <x:c r="B103" s="8" t="str">
        <x:v>E055</x:v>
      </x:c>
      <x:c r="C103" s="8" t="str">
        <x:v>Fisa de informatii suplimentare partea II.pdf</x:v>
      </x:c>
      <x:c r="D103" s="8" t="n">
        <x:v>382006</x:v>
      </x:c>
      <x:c r="E103" s="8" t="str">
        <x:v>21ffbddb-e2f7-47e6-baa4-f75cf5886eee</x:v>
      </x:c>
      <x:c r="F103" s="8" t="str">
        <x:v>Text extras disponibil</x:v>
      </x:c>
      <x:c r="G103" s="8" t="e">
        <x:f>HYPERLINK("file:///Z:/00. Proiecte 2025/AFIR FotoVoltaic 1/outputs/registru-cesiro-2026-10-16/Surse email/E055-A01.txt","Deschide sursa")</x:f>
        <x:v>HYPERLINK is not implemented. linkLocation=file:///Z:/00. Proiecte 2025/AFIR FotoVoltaic 1/outputs/registru-cesiro-2026-10-16/Surse email/E055-A01.txt, friendlyName=Deschide sursa</x:v>
      </x:c>
      <x:c r="H103" s="8" t="str">
        <x:v>fccb437b8ed9fc1e9eb8e2ae043929284910cea8c64e3c9dfa9d1a41623c1725</x:v>
      </x:c>
    </x:row>
    <x:row r="104" ht="36" customHeight="1">
      <x:c r="A104" s="8" t="str">
        <x:v>E055-A02</x:v>
      </x:c>
      <x:c r="B104" s="8" t="str">
        <x:v>E055</x:v>
      </x:c>
      <x:c r="C104" s="8" t="str">
        <x:v>CertificatInmatriculare Cesiro Production.pdf</x:v>
      </x:c>
      <x:c r="D104" s="8" t="n">
        <x:v>1410447</x:v>
      </x:c>
      <x:c r="E104" s="8" t="str">
        <x:v>ad70713c-1bc7-4cc8-98b5-18b2601b4762</x:v>
      </x:c>
      <x:c r="F104" s="8" t="str">
        <x:v>Text extras disponibil</x:v>
      </x:c>
      <x:c r="G104" s="8" t="e">
        <x:f>HYPERLINK("file:///Z:/00. Proiecte 2025/AFIR FotoVoltaic 1/outputs/registru-cesiro-2026-10-16/Surse email/E055-A02.txt","Deschide sursa")</x:f>
        <x:v>HYPERLINK is not implemented. linkLocation=file:///Z:/00. Proiecte 2025/AFIR FotoVoltaic 1/outputs/registru-cesiro-2026-10-16/Surse email/E055-A02.txt, friendlyName=Deschide sursa</x:v>
      </x:c>
      <x:c r="H104" s="8" t="str">
        <x:v>661e20b7fb147d33b0b75ab09ba117fa2530e3f69c622c33ba08cdb4728011a5</x:v>
      </x:c>
    </x:row>
    <x:row r="105" ht="36" customHeight="1">
      <x:c r="A105" s="8" t="str">
        <x:v>E056-A01</x:v>
      </x:c>
      <x:c r="B105" s="8" t="str">
        <x:v>E056</x:v>
      </x:c>
      <x:c r="C105" s="8" t="str">
        <x:v>image001.jpg</x:v>
      </x:c>
      <x:c r="D105" s="8" t="n">
        <x:v>52879</x:v>
      </x:c>
      <x:c r="E105" s="8" t="str">
        <x:v>131b8fe5-05e8-4620-948f-57c5e8475e4f</x:v>
      </x:c>
      <x:c r="F105" s="8" t="str">
        <x:v>Original necitit / fără text</x:v>
      </x:c>
      <x:c r="G105" s="8" t="e">
        <x:f>HYPERLINK("file:///Z:/00. Proiecte 2025/AFIR FotoVoltaic 1/outputs/registru-cesiro-2026-10-16/Surse email/E056-A01.txt","Deschide sursa")</x:f>
        <x:v>HYPERLINK is not implemented. linkLocation=file:///Z:/00. Proiecte 2025/AFIR FotoVoltaic 1/outputs/registru-cesiro-2026-10-16/Surse email/E056-A01.txt, friendlyName=Deschide sursa</x:v>
      </x:c>
      <x:c r="H105" s="8" t="str"/>
    </x:row>
    <x:row r="106" ht="36" customHeight="1">
      <x:c r="A106" s="8" t="str">
        <x:v>E056-A02</x:v>
      </x:c>
      <x:c r="B106" s="8" t="str">
        <x:v>E056</x:v>
      </x:c>
      <x:c r="C106" s="8" t="str">
        <x:v>CESIRO - Aga (1).pdf</x:v>
      </x:c>
      <x:c r="D106" s="8" t="n">
        <x:v>235345</x:v>
      </x:c>
      <x:c r="E106" s="8" t="str">
        <x:v>8b68f650-950c-4883-b0d6-5dad44fdc33d</x:v>
      </x:c>
      <x:c r="F106" s="8" t="str">
        <x:v>Text extras disponibil</x:v>
      </x:c>
      <x:c r="G106" s="8" t="e">
        <x:f>HYPERLINK("file:///Z:/00. Proiecte 2025/AFIR FotoVoltaic 1/outputs/registru-cesiro-2026-10-16/Surse email/E056-A02.txt","Deschide sursa")</x:f>
        <x:v>HYPERLINK is not implemented. linkLocation=file:///Z:/00. Proiecte 2025/AFIR FotoVoltaic 1/outputs/registru-cesiro-2026-10-16/Surse email/E056-A02.txt, friendlyName=Deschide sursa</x:v>
      </x:c>
      <x:c r="H106" s="8" t="str">
        <x:v>5b406f918b2cefa13d93570120ed6c087504dab5b2cb1467f69b23405cf00249</x:v>
      </x:c>
    </x:row>
    <x:row r="107" ht="36" customHeight="1">
      <x:c r="A107" s="8" t="str">
        <x:v>E056-A03</x:v>
      </x:c>
      <x:c r="B107" s="8" t="str">
        <x:v>E056</x:v>
      </x:c>
      <x:c r="C107" s="8" t="str">
        <x:v>CESIRO - F40 - Solicitare deschidere cont + fond.pdf</x:v>
      </x:c>
      <x:c r="D107" s="8" t="n">
        <x:v>156696</x:v>
      </x:c>
      <x:c r="E107" s="8" t="str">
        <x:v>59b69374-9d10-4db9-af9d-7424d848ea37</x:v>
      </x:c>
      <x:c r="F107" s="8" t="str">
        <x:v>Text extras disponibil</x:v>
      </x:c>
      <x:c r="G107" s="8" t="e">
        <x:f>HYPERLINK("file:///Z:/00. Proiecte 2025/AFIR FotoVoltaic 1/outputs/registru-cesiro-2026-10-16/Surse email/E056-A03.txt","Deschide sursa")</x:f>
        <x:v>HYPERLINK is not implemented. linkLocation=file:///Z:/00. Proiecte 2025/AFIR FotoVoltaic 1/outputs/registru-cesiro-2026-10-16/Surse email/E056-A03.txt, friendlyName=Deschide sursa</x:v>
      </x:c>
      <x:c r="H107" s="8" t="str">
        <x:v>179b33802be62d63220a7eac993dc9822a18d55a235d4f9c47150e3caed7c17f</x:v>
      </x:c>
    </x:row>
    <x:row r="108" ht="36" customHeight="1">
      <x:c r="A108" s="8" t="str">
        <x:v>E056-A04</x:v>
      </x:c>
      <x:c r="B108" s="8" t="str">
        <x:v>E056</x:v>
      </x:c>
      <x:c r="C108" s="8" t="str">
        <x:v>IDENTIFICARE FISCALA.pdf</x:v>
      </x:c>
      <x:c r="D108" s="8" t="n">
        <x:v>103374</x:v>
      </x:c>
      <x:c r="E108" s="8" t="str">
        <x:v>dd8f3869-bf54-4f4d-a6e8-d8679473a296</x:v>
      </x:c>
      <x:c r="F108" s="8" t="str">
        <x:v>Text extras disponibil</x:v>
      </x:c>
      <x:c r="G108" s="8" t="e">
        <x:f>HYPERLINK("file:///Z:/00. Proiecte 2025/AFIR FotoVoltaic 1/outputs/registru-cesiro-2026-10-16/Surse email/E056-A04.txt","Deschide sursa")</x:f>
        <x:v>HYPERLINK is not implemented. linkLocation=file:///Z:/00. Proiecte 2025/AFIR FotoVoltaic 1/outputs/registru-cesiro-2026-10-16/Surse email/E056-A04.txt, friendlyName=Deschide sursa</x:v>
      </x:c>
      <x:c r="H108" s="8" t="str">
        <x:v>c6f8d81fd8009aefe922fce2852ec1012fffefb38b9b239f2529693d0f562b4e</x:v>
      </x:c>
    </x:row>
    <x:row r="109" ht="36" customHeight="1">
      <x:c r="A109" s="8" t="str">
        <x:v>E057-A01</x:v>
      </x:c>
      <x:c r="B109" s="8" t="str">
        <x:v>E057</x:v>
      </x:c>
      <x:c r="C109" s="8" t="str">
        <x:v>Notificare_Rectificare_CESIRO_AFIR semnat.pdf</x:v>
      </x:c>
      <x:c r="D109" s="8" t="n">
        <x:v>230453</x:v>
      </x:c>
      <x:c r="E109" s="8" t="str">
        <x:v>1d465e35-e575-46cf-8277-011023da7249</x:v>
      </x:c>
      <x:c r="F109" s="8" t="str">
        <x:v>Text extras disponibil</x:v>
      </x:c>
      <x:c r="G109" s="8" t="e">
        <x:f>HYPERLINK("file:///Z:/00. Proiecte 2025/AFIR FotoVoltaic 1/outputs/registru-cesiro-2026-10-16/Surse email/E057-A01.txt","Deschide sursa")</x:f>
        <x:v>HYPERLINK is not implemented. linkLocation=file:///Z:/00. Proiecte 2025/AFIR FotoVoltaic 1/outputs/registru-cesiro-2026-10-16/Surse email/E057-A01.txt, friendlyName=Deschide sursa</x:v>
      </x:c>
      <x:c r="H109" s="8" t="str">
        <x:v>ef75aa1272248c3166bb76eceeb5a959f716910d900780df453baa90d39acd81</x:v>
      </x:c>
    </x:row>
    <x:row r="110" ht="36" customHeight="1">
      <x:c r="A110" s="8" t="str">
        <x:v>E057-A02</x:v>
      </x:c>
      <x:c r="B110" s="8" t="str">
        <x:v>E057</x:v>
      </x:c>
      <x:c r="C110" s="8" t="str">
        <x:v>EN_STP430-450S-H48-Nth+.pdf</x:v>
      </x:c>
      <x:c r="D110" s="8" t="n">
        <x:v>255454</x:v>
      </x:c>
      <x:c r="E110" s="8" t="str">
        <x:v>76193912-d402-4395-a501-701cf58a0f52</x:v>
      </x:c>
      <x:c r="F110" s="8" t="str">
        <x:v>Text extras disponibil</x:v>
      </x:c>
      <x:c r="G110" s="8" t="e">
        <x:f>HYPERLINK("file:///Z:/00. Proiecte 2025/AFIR FotoVoltaic 1/outputs/registru-cesiro-2026-10-16/Surse email/E057-A02.txt","Deschide sursa")</x:f>
        <x:v>HYPERLINK is not implemented. linkLocation=file:///Z:/00. Proiecte 2025/AFIR FotoVoltaic 1/outputs/registru-cesiro-2026-10-16/Surse email/E057-A02.txt, friendlyName=Deschide sursa</x:v>
      </x:c>
      <x:c r="H110" s="8" t="str">
        <x:v>f3dd48f704626de16a63bdfdc5b531eca8b7a427fa42525ee6fa72740a447741</x:v>
      </x:c>
    </x:row>
    <x:row r="111" ht="36" customHeight="1">
      <x:c r="A111" s="8" t="str">
        <x:v>E057-A03</x:v>
      </x:c>
      <x:c r="B111" s="8" t="str">
        <x:v>E057</x:v>
      </x:c>
      <x:c r="C111" s="8" t="str">
        <x:v>EN_STP430-450S-H48-Nkh+.pdf</x:v>
      </x:c>
      <x:c r="D111" s="8" t="n">
        <x:v>336407</x:v>
      </x:c>
      <x:c r="E111" s="8" t="str">
        <x:v>96703c47-0f9c-49e0-badb-355ccf4ea757</x:v>
      </x:c>
      <x:c r="F111" s="8" t="str">
        <x:v>Text extras disponibil</x:v>
      </x:c>
      <x:c r="G111" s="8" t="e">
        <x:f>HYPERLINK("file:///Z:/00. Proiecte 2025/AFIR FotoVoltaic 1/outputs/registru-cesiro-2026-10-16/Surse email/E057-A03.txt","Deschide sursa")</x:f>
        <x:v>HYPERLINK is not implemented. linkLocation=file:///Z:/00. Proiecte 2025/AFIR FotoVoltaic 1/outputs/registru-cesiro-2026-10-16/Surse email/E057-A03.txt, friendlyName=Deschide sursa</x:v>
      </x:c>
      <x:c r="H111" s="8" t="str">
        <x:v>8c228f7a8ce5f2a051e76a27f1e7260617c14df2e0e9cb3bf822a834f1274dd9</x:v>
      </x:c>
    </x:row>
    <x:row r="112" ht="36" customHeight="1">
      <x:c r="A112" s="8" t="str">
        <x:v>E059-A01</x:v>
      </x:c>
      <x:c r="B112" s="8" t="str">
        <x:v>E059</x:v>
      </x:c>
      <x:c r="C112" s="8" t="str">
        <x:v>Contract de Prestari servicii suntree-cesiro production_s.pdf</x:v>
      </x:c>
      <x:c r="D112" s="8" t="n">
        <x:v>21161276</x:v>
      </x:c>
      <x:c r="E112" s="8" t="str">
        <x:v>215916fd-0749-4ffd-9552-b73100c600b7</x:v>
      </x:c>
      <x:c r="F112" s="8" t="str">
        <x:v>Text extras disponibil</x:v>
      </x:c>
      <x:c r="G112" s="8" t="e">
        <x:f>HYPERLINK("file:///Z:/00. Proiecte 2025/AFIR FotoVoltaic 1/outputs/registru-cesiro-2026-10-16/Surse email/E059-A01.txt","Deschide sursa")</x:f>
        <x:v>HYPERLINK is not implemented. linkLocation=file:///Z:/00. Proiecte 2025/AFIR FotoVoltaic 1/outputs/registru-cesiro-2026-10-16/Surse email/E059-A01.txt, friendlyName=Deschide sursa</x:v>
      </x:c>
      <x:c r="H112" s="8" t="str">
        <x:v>587adf27705ede3729bedd7a65371074dcc69c8b6bdd0f8c4de62b3778a88b34</x:v>
      </x:c>
    </x:row>
    <x:row r="113" ht="36" customHeight="1">
      <x:c r="A113" s="8" t="str">
        <x:v>E059-A02</x:v>
      </x:c>
      <x:c r="B113" s="8" t="str">
        <x:v>E059</x:v>
      </x:c>
      <x:c r="C113" s="8" t="str">
        <x:v>Act_Aditional_Nr1_unificat_Cesiro_Suntree_s.pdf</x:v>
      </x:c>
      <x:c r="D113" s="8" t="n">
        <x:v>513801</x:v>
      </x:c>
      <x:c r="E113" s="8" t="str">
        <x:v>87aa35a0-4fbe-432d-ae34-e3d949efa5c9</x:v>
      </x:c>
      <x:c r="F113" s="8" t="str">
        <x:v>Text extras disponibil</x:v>
      </x:c>
      <x:c r="G113" s="8" t="e">
        <x:f>HYPERLINK("file:///Z:/00. Proiecte 2025/AFIR FotoVoltaic 1/outputs/registru-cesiro-2026-10-16/Surse email/E059-A02.txt","Deschide sursa")</x:f>
        <x:v>HYPERLINK is not implemented. linkLocation=file:///Z:/00. Proiecte 2025/AFIR FotoVoltaic 1/outputs/registru-cesiro-2026-10-16/Surse email/E059-A02.txt, friendlyName=Deschide sursa</x:v>
      </x:c>
      <x:c r="H113" s="8" t="str">
        <x:v>c99ce3f83093994fdfa6e1b55fb3dd274ca38a60319f95515a1269168b97bcd8</x:v>
      </x:c>
    </x:row>
    <x:row r="114" ht="36" customHeight="1">
      <x:c r="A114" s="8" t="str">
        <x:v>E059-A03</x:v>
      </x:c>
      <x:c r="B114" s="8" t="str">
        <x:v>E059</x:v>
      </x:c>
      <x:c r="C114" s="8" t="str">
        <x:v>Memoriu Justificativ_s.pdf</x:v>
      </x:c>
      <x:c r="D114" s="8" t="n">
        <x:v>5633720</x:v>
      </x:c>
      <x:c r="E114" s="8" t="str">
        <x:v>39a3d781-8409-4a03-8aba-03bc2a78423f</x:v>
      </x:c>
      <x:c r="F114" s="8" t="str">
        <x:v>Text extras disponibil</x:v>
      </x:c>
      <x:c r="G114" s="8" t="e">
        <x:f>HYPERLINK("file:///Z:/00. Proiecte 2025/AFIR FotoVoltaic 1/outputs/registru-cesiro-2026-10-16/Surse email/E059-A03.txt","Deschide sursa")</x:f>
        <x:v>HYPERLINK is not implemented. linkLocation=file:///Z:/00. Proiecte 2025/AFIR FotoVoltaic 1/outputs/registru-cesiro-2026-10-16/Surse email/E059-A03.txt, friendlyName=Deschide sursa</x:v>
      </x:c>
      <x:c r="H114" s="8" t="str">
        <x:v>e5d36e76eeeace3faf6bd6a8df4af845a583ca57e0d07a6115c2ed66b2b5a9a1</x:v>
      </x:c>
    </x:row>
    <x:row r="115" ht="36" customHeight="1">
      <x:c r="A115" s="8" t="str">
        <x:v>E060-A01</x:v>
      </x:c>
      <x:c r="B115" s="8" t="str">
        <x:v>E060</x:v>
      </x:c>
      <x:c r="C115" s="8" t="str">
        <x:v>Memoriu_justificativ_completare_Nkh (1).docx</x:v>
      </x:c>
      <x:c r="D115" s="8" t="n">
        <x:v>16702</x:v>
      </x:c>
      <x:c r="E115" s="8" t="str">
        <x:v>ff9a2d87-1ddc-433a-b562-963d6b50e93f</x:v>
      </x:c>
      <x:c r="F115" s="8" t="str">
        <x:v>Text extras disponibil</x:v>
      </x:c>
      <x:c r="G115" s="8" t="e">
        <x:f>HYPERLINK("file:///Z:/00. Proiecte 2025/AFIR FotoVoltaic 1/outputs/registru-cesiro-2026-10-16/Surse email/E060-A01.txt","Deschide sursa")</x:f>
        <x:v>HYPERLINK is not implemented. linkLocation=file:///Z:/00. Proiecte 2025/AFIR FotoVoltaic 1/outputs/registru-cesiro-2026-10-16/Surse email/E060-A01.txt, friendlyName=Deschide sursa</x:v>
      </x:c>
      <x:c r="H115" s="8" t="str">
        <x:v>bc53ce68a9e9feaf27e7c9363a407eefd5364571058a6f39eb9fb8f0bc49028d</x:v>
      </x:c>
    </x:row>
    <x:row r="116" ht="36" customHeight="1">
      <x:c r="A116" s="8" t="str">
        <x:v>E061-A01</x:v>
      </x:c>
      <x:c r="B116" s="8" t="str">
        <x:v>E061</x:v>
      </x:c>
      <x:c r="C116" s="8" t="str">
        <x:v>C3.3.8.pdf</x:v>
      </x:c>
      <x:c r="D116" s="8" t="n">
        <x:v>382812</x:v>
      </x:c>
      <x:c r="E116" s="8" t="str">
        <x:v>b6b36f4e-9064-4794-b1c6-ee59492c8c4c</x:v>
      </x:c>
      <x:c r="F116" s="8" t="str">
        <x:v>Text extras disponibil</x:v>
      </x:c>
      <x:c r="G116" s="8" t="e">
        <x:f>HYPERLINK("file:///Z:/00. Proiecte 2025/AFIR FotoVoltaic 1/outputs/registru-cesiro-2026-10-16/Surse email/E061-A01.txt","Deschide sursa")</x:f>
        <x:v>HYPERLINK is not implemented. linkLocation=file:///Z:/00. Proiecte 2025/AFIR FotoVoltaic 1/outputs/registru-cesiro-2026-10-16/Surse email/E061-A01.txt, friendlyName=Deschide sursa</x:v>
      </x:c>
      <x:c r="H116" s="8" t="str">
        <x:v>2aabbdf2ad6aa9ed5b779cb9cc7d35dbbc0841b8c43b765a08cdac724c27c065</x:v>
      </x:c>
    </x:row>
    <x:row r="117" ht="36" customHeight="1">
      <x:c r="A117" s="8" t="str">
        <x:v>E062-A01</x:v>
      </x:c>
      <x:c r="B117" s="8" t="str">
        <x:v>E062</x:v>
      </x:c>
      <x:c r="C117" s="8" t="str">
        <x:v>C3.3.8.pdf</x:v>
      </x:c>
      <x:c r="D117" s="8" t="n">
        <x:v>382812</x:v>
      </x:c>
      <x:c r="E117" s="8" t="str">
        <x:v>fe62b5e5-d309-40cf-a748-fe5c06ba76f9</x:v>
      </x:c>
      <x:c r="F117" s="8" t="str">
        <x:v>Text extras disponibil</x:v>
      </x:c>
      <x:c r="G117" s="8" t="e">
        <x:f>HYPERLINK("file:///Z:/00. Proiecte 2025/AFIR FotoVoltaic 1/outputs/registru-cesiro-2026-10-16/Surse email/E062-A01.txt","Deschide sursa")</x:f>
        <x:v>HYPERLINK is not implemented. linkLocation=file:///Z:/00. Proiecte 2025/AFIR FotoVoltaic 1/outputs/registru-cesiro-2026-10-16/Surse email/E062-A01.txt, friendlyName=Deschide sursa</x:v>
      </x:c>
      <x:c r="H117" s="8" t="str">
        <x:v>2aabbdf2ad6aa9ed5b779cb9cc7d35dbbc0841b8c43b765a08cdac724c27c065</x:v>
      </x:c>
    </x:row>
    <x:row r="118" ht="36" customHeight="1">
      <x:c r="A118" s="8" t="str">
        <x:v>E063-A01</x:v>
      </x:c>
      <x:c r="B118" s="8" t="str">
        <x:v>E063</x:v>
      </x:c>
      <x:c r="C118" s="8" t="str">
        <x:v>act_cesiro_production_12012026semnat (2).pdf</x:v>
      </x:c>
      <x:c r="D118" s="8" t="n">
        <x:v>256947</x:v>
      </x:c>
      <x:c r="E118" s="8" t="str">
        <x:v>2bd87f3c-17c0-45fa-8306-efe7e8818c22</x:v>
      </x:c>
      <x:c r="F118" s="8" t="str">
        <x:v>Text extras disponibil</x:v>
      </x:c>
      <x:c r="G118" s="8" t="e">
        <x:f>HYPERLINK("file:///Z:/00. Proiecte 2025/AFIR FotoVoltaic 1/outputs/registru-cesiro-2026-10-16/Surse email/E063-A01.txt","Deschide sursa")</x:f>
        <x:v>HYPERLINK is not implemented. linkLocation=file:///Z:/00. Proiecte 2025/AFIR FotoVoltaic 1/outputs/registru-cesiro-2026-10-16/Surse email/E063-A01.txt, friendlyName=Deschide sursa</x:v>
      </x:c>
      <x:c r="H118" s="8" t="str">
        <x:v>154efe57f5c7f12e9fdf359256d2e3bdaf89610643d98d7b710cf9e63015523c</x:v>
      </x:c>
    </x:row>
    <x:row r="119" ht="36" customHeight="1">
      <x:c r="A119" s="8" t="str">
        <x:v>E064-A01</x:v>
      </x:c>
      <x:c r="B119" s="8" t="str">
        <x:v>E064</x:v>
      </x:c>
      <x:c r="C119" s="8" t="str">
        <x:v>pv predare primire.pdf</x:v>
      </x:c>
      <x:c r="D119" s="8" t="n">
        <x:v>238234</x:v>
      </x:c>
      <x:c r="E119" s="8" t="str">
        <x:v>8ea6835d-5975-491c-928f-e33e1667283f</x:v>
      </x:c>
      <x:c r="F119" s="8" t="str">
        <x:v>Text extras disponibil</x:v>
      </x:c>
      <x:c r="G119" s="8" t="e">
        <x:f>HYPERLINK("file:///Z:/00. Proiecte 2025/AFIR FotoVoltaic 1/outputs/registru-cesiro-2026-10-16/Surse email/E064-A01.txt","Deschide sursa")</x:f>
        <x:v>HYPERLINK is not implemented. linkLocation=file:///Z:/00. Proiecte 2025/AFIR FotoVoltaic 1/outputs/registru-cesiro-2026-10-16/Surse email/E064-A01.txt, friendlyName=Deschide sursa</x:v>
      </x:c>
      <x:c r="H119" s="8" t="str">
        <x:v>2f1e7f2a64b839cd7f6ec1185cc485d47c43f32f7a8969121172b47c57f627d7</x:v>
      </x:c>
    </x:row>
    <x:row r="120" ht="36" customHeight="1">
      <x:c r="A120" s="8" t="str">
        <x:v>E064-A02</x:v>
      </x:c>
      <x:c r="B120" s="8" t="str">
        <x:v>E064</x:v>
      </x:c>
      <x:c r="C120" s="8" t="str">
        <x:v>contract servicii.pdf</x:v>
      </x:c>
      <x:c r="D120" s="8" t="n">
        <x:v>2491135</x:v>
      </x:c>
      <x:c r="E120" s="8" t="str">
        <x:v>4dd6c5a2-a049-49dd-b5ef-c8f7dee18deb</x:v>
      </x:c>
      <x:c r="F120" s="8" t="str">
        <x:v>Text extras disponibil</x:v>
      </x:c>
      <x:c r="G120" s="8" t="e">
        <x:f>HYPERLINK("file:///Z:/00. Proiecte 2025/AFIR FotoVoltaic 1/outputs/registru-cesiro-2026-10-16/Surse email/E064-A02.txt","Deschide sursa")</x:f>
        <x:v>HYPERLINK is not implemented. linkLocation=file:///Z:/00. Proiecte 2025/AFIR FotoVoltaic 1/outputs/registru-cesiro-2026-10-16/Surse email/E064-A02.txt, friendlyName=Deschide sursa</x:v>
      </x:c>
      <x:c r="H120" s="8" t="str">
        <x:v>a168401dec37f4844606c3f903be767b9f7dc0e2a38d6b99dc198a54e29fc25b</x:v>
      </x:c>
    </x:row>
    <x:row r="121" ht="36" customHeight="1">
      <x:c r="A121" s="8" t="str">
        <x:v>E064-A03</x:v>
      </x:c>
      <x:c r="B121" s="8" t="str">
        <x:v>E064</x:v>
      </x:c>
      <x:c r="C121" s="8" t="str">
        <x:v>raport audit.pdf</x:v>
      </x:c>
      <x:c r="D121" s="8" t="n">
        <x:v>1398182</x:v>
      </x:c>
      <x:c r="E121" s="8" t="str">
        <x:v>26a69bca-54ff-43ec-81bc-b359d48b079b</x:v>
      </x:c>
      <x:c r="F121" s="8" t="str">
        <x:v>Text extras disponibil</x:v>
      </x:c>
      <x:c r="G121" s="8" t="e">
        <x:f>HYPERLINK("file:///Z:/00. Proiecte 2025/AFIR FotoVoltaic 1/outputs/registru-cesiro-2026-10-16/Surse email/E064-A03.txt","Deschide sursa")</x:f>
        <x:v>HYPERLINK is not implemented. linkLocation=file:///Z:/00. Proiecte 2025/AFIR FotoVoltaic 1/outputs/registru-cesiro-2026-10-16/Surse email/E064-A03.txt, friendlyName=Deschide sursa</x:v>
      </x:c>
      <x:c r="H121" s="8" t="str">
        <x:v>8f17a65a93093c7bd79aecc50e2e886fb0a8b3023df8ac49a55283b96f02124e</x:v>
      </x:c>
    </x:row>
    <x:row r="122" ht="36" customHeight="1">
      <x:c r="A122" s="8" t="str">
        <x:v>E064-A04</x:v>
      </x:c>
      <x:c r="B122" s="8" t="str">
        <x:v>E064</x:v>
      </x:c>
      <x:c r="C122" s="8" t="str">
        <x:v>documente auditor.pdf</x:v>
      </x:c>
      <x:c r="D122" s="8" t="n">
        <x:v>1858201</x:v>
      </x:c>
      <x:c r="E122" s="8" t="str">
        <x:v>eb30d552-d8b3-47af-8398-82f080a510d6</x:v>
      </x:c>
      <x:c r="F122" s="8" t="str">
        <x:v>Text extras disponibil</x:v>
      </x:c>
      <x:c r="G122" s="8" t="e">
        <x:f>HYPERLINK("file:///Z:/00. Proiecte 2025/AFIR FotoVoltaic 1/outputs/registru-cesiro-2026-10-16/Surse email/E064-A04.txt","Deschide sursa")</x:f>
        <x:v>HYPERLINK is not implemented. linkLocation=file:///Z:/00. Proiecte 2025/AFIR FotoVoltaic 1/outputs/registru-cesiro-2026-10-16/Surse email/E064-A04.txt, friendlyName=Deschide sursa</x:v>
      </x:c>
      <x:c r="H122" s="8" t="str">
        <x:v>edc4d6f026cb88b49c706870b0535e454fa22b8c1d70205c7353e81a61c55f94</x:v>
      </x:c>
    </x:row>
    <x:row r="123" ht="36" customHeight="1">
      <x:c r="A123" s="8" t="str">
        <x:v>E065-A01</x:v>
      </x:c>
      <x:c r="B123" s="8" t="str">
        <x:v>E065</x:v>
      </x:c>
      <x:c r="C123" s="8" t="str">
        <x:v>Contract de prestari servicii Atta-Cesiro Production.pdf</x:v>
      </x:c>
      <x:c r="D123" s="8" t="n">
        <x:v>21599737</x:v>
      </x:c>
      <x:c r="E123" s="8" t="str">
        <x:v>342299d9-e9d1-4a04-aa8f-1e58c335c271</x:v>
      </x:c>
      <x:c r="F123" s="8" t="str">
        <x:v>Text extras disponibil</x:v>
      </x:c>
      <x:c r="G123" s="8" t="e">
        <x:f>HYPERLINK("file:///Z:/00. Proiecte 2025/AFIR FotoVoltaic 1/outputs/registru-cesiro-2026-10-16/Surse email/E065-A01.txt","Deschide sursa")</x:f>
        <x:v>HYPERLINK is not implemented. linkLocation=file:///Z:/00. Proiecte 2025/AFIR FotoVoltaic 1/outputs/registru-cesiro-2026-10-16/Surse email/E065-A01.txt, friendlyName=Deschide sursa</x:v>
      </x:c>
      <x:c r="H123" s="8" t="str">
        <x:v>9504d2b481d84e9ebb1b7e4b532601f5d7bc9245dc31caf8c03216ef359dc3de</x:v>
      </x:c>
    </x:row>
    <x:row r="124" ht="36" customHeight="1">
      <x:c r="A124" s="8" t="str">
        <x:v>E065-A02</x:v>
      </x:c>
      <x:c r="B124" s="8" t="str">
        <x:v>E065</x:v>
      </x:c>
      <x:c r="C124" s="8" t="str">
        <x:v>Pv- predare primire.pdf</x:v>
      </x:c>
      <x:c r="D124" s="8" t="n">
        <x:v>2161384</x:v>
      </x:c>
      <x:c r="E124" s="8" t="str">
        <x:v>f4c823ef-29c0-4e47-8134-d32bc0166285</x:v>
      </x:c>
      <x:c r="F124" s="8" t="str">
        <x:v>Text extras disponibil</x:v>
      </x:c>
      <x:c r="G124" s="8" t="e">
        <x:f>HYPERLINK("file:///Z:/00. Proiecte 2025/AFIR FotoVoltaic 1/outputs/registru-cesiro-2026-10-16/Surse email/E065-A02.txt","Deschide sursa")</x:f>
        <x:v>HYPERLINK is not implemented. linkLocation=file:///Z:/00. Proiecte 2025/AFIR FotoVoltaic 1/outputs/registru-cesiro-2026-10-16/Surse email/E065-A02.txt, friendlyName=Deschide sursa</x:v>
      </x:c>
      <x:c r="H124" s="8" t="str">
        <x:v>a2be39f55e8c4293204251f1239c5ddc3207da2e82be206f5ba742e093fd0b24</x:v>
      </x:c>
    </x:row>
    <x:row r="125" ht="36" customHeight="1">
      <x:c r="A125" s="8" t="str">
        <x:v>E067-A01</x:v>
      </x:c>
      <x:c r="B125" s="8" t="str">
        <x:v>E067</x:v>
      </x:c>
      <x:c r="C125" s="8" t="str">
        <x:v>AP_1.11_FM.pdf</x:v>
      </x:c>
      <x:c r="D125" s="8" t="n">
        <x:v>420704</x:v>
      </x:c>
      <x:c r="E125" s="8" t="str">
        <x:v>08e8424c-8963-4a74-8c05-a08980a1aedb</x:v>
      </x:c>
      <x:c r="F125" s="8" t="str">
        <x:v>Text extras disponibil</x:v>
      </x:c>
      <x:c r="G125" s="8" t="e">
        <x:f>HYPERLINK("file:///Z:/00. Proiecte 2025/AFIR FotoVoltaic 1/outputs/registru-cesiro-2026-10-16/Surse email/E067-A01.txt","Deschide sursa")</x:f>
        <x:v>HYPERLINK is not implemented. linkLocation=file:///Z:/00. Proiecte 2025/AFIR FotoVoltaic 1/outputs/registru-cesiro-2026-10-16/Surse email/E067-A01.txt, friendlyName=Deschide sursa</x:v>
      </x:c>
      <x:c r="H125" s="8" t="str">
        <x:v>9286245c8bfb3b49d3679875b037f59e42797b1fbd8f970aa553fc6f68b212f0</x:v>
      </x:c>
    </x:row>
    <x:row r="126" ht="36" customHeight="1">
      <x:c r="A126" s="8" t="str">
        <x:v>E069-A01</x:v>
      </x:c>
      <x:c r="B126" s="8" t="str">
        <x:v>E069</x:v>
      </x:c>
      <x:c r="C126" s="8" t="str">
        <x:v>Fisa de informatii suplimentare partea I Extern.pdf</x:v>
      </x:c>
      <x:c r="D126" s="8" t="n">
        <x:v>395325</x:v>
      </x:c>
      <x:c r="E126" s="8" t="str">
        <x:v>866c6edb-b62b-49ce-b286-ac964c402d04</x:v>
      </x:c>
      <x:c r="F126" s="8" t="str">
        <x:v>Text extras disponibil</x:v>
      </x:c>
      <x:c r="G126" s="8" t="e">
        <x:f>HYPERLINK("file:///Z:/00. Proiecte 2025/AFIR FotoVoltaic 1/outputs/registru-cesiro-2026-10-16/Surse email/E069-A01.txt","Deschide sursa")</x:f>
        <x:v>HYPERLINK is not implemented. linkLocation=file:///Z:/00. Proiecte 2025/AFIR FotoVoltaic 1/outputs/registru-cesiro-2026-10-16/Surse email/E069-A01.txt, friendlyName=Deschide sursa</x:v>
      </x:c>
      <x:c r="H126" s="8" t="str">
        <x:v>a88bbfb3245c211a0d55a297bb1aaab811ab6cc94aebab4cf540f2fb32fe4902</x:v>
      </x:c>
    </x:row>
    <x:row r="127" ht="36" customHeight="1">
      <x:c r="A127" s="8" t="str">
        <x:v>E069-A02</x:v>
      </x:c>
      <x:c r="B127" s="8" t="str">
        <x:v>E069</x:v>
      </x:c>
      <x:c r="C127" s="8" t="str">
        <x:v>Fisa de informatii suplimentare partea II.docx</x:v>
      </x:c>
      <x:c r="D127" s="8" t="n">
        <x:v>79140</x:v>
      </x:c>
      <x:c r="E127" s="8" t="str">
        <x:v>96c615a7-5186-4579-845f-089e416a4ac6</x:v>
      </x:c>
      <x:c r="F127" s="8" t="str">
        <x:v>Text extras disponibil</x:v>
      </x:c>
      <x:c r="G127" s="8" t="e">
        <x:f>HYPERLINK("file:///Z:/00. Proiecte 2025/AFIR FotoVoltaic 1/outputs/registru-cesiro-2026-10-16/Surse email/E069-A02.txt","Deschide sursa")</x:f>
        <x:v>HYPERLINK is not implemented. linkLocation=file:///Z:/00. Proiecte 2025/AFIR FotoVoltaic 1/outputs/registru-cesiro-2026-10-16/Surse email/E069-A02.txt, friendlyName=Deschide sursa</x:v>
      </x:c>
      <x:c r="H127" s="8" t="str">
        <x:v>e86e9d61e624a47109f8c9e61167d7546bf278213b9a0088ae83de190904f7da</x:v>
      </x:c>
    </x:row>
    <x:row r="128" ht="36" customHeight="1">
      <x:c r="A128" s="8" t="str">
        <x:v>E070-A01</x:v>
      </x:c>
      <x:c r="B128" s="8" t="str">
        <x:v>E070</x:v>
      </x:c>
      <x:c r="C128" s="8" t="str">
        <x:v>Fisa de informatii suplimentare partea I Extern.pdf</x:v>
      </x:c>
      <x:c r="D128" s="8" t="n">
        <x:v>395325</x:v>
      </x:c>
      <x:c r="E128" s="8" t="str">
        <x:v>86bdf499-4bbb-4d88-80cd-132cb612572f</x:v>
      </x:c>
      <x:c r="F128" s="8" t="str">
        <x:v>Text extras disponibil</x:v>
      </x:c>
      <x:c r="G128" s="8" t="e">
        <x:f>HYPERLINK("file:///Z:/00. Proiecte 2025/AFIR FotoVoltaic 1/outputs/registru-cesiro-2026-10-16/Surse email/E070-A01.txt","Deschide sursa")</x:f>
        <x:v>HYPERLINK is not implemented. linkLocation=file:///Z:/00. Proiecte 2025/AFIR FotoVoltaic 1/outputs/registru-cesiro-2026-10-16/Surse email/E070-A01.txt, friendlyName=Deschide sursa</x:v>
      </x:c>
      <x:c r="H128" s="8" t="str">
        <x:v>a88bbfb3245c211a0d55a297bb1aaab811ab6cc94aebab4cf540f2fb32fe4902</x:v>
      </x:c>
    </x:row>
    <x:row r="129" ht="36" customHeight="1">
      <x:c r="A129" s="8" t="str">
        <x:v>E070-A02</x:v>
      </x:c>
      <x:c r="B129" s="8" t="str">
        <x:v>E070</x:v>
      </x:c>
      <x:c r="C129" s="8" t="str">
        <x:v>Fisa de informatii suplimentare partea II.docx</x:v>
      </x:c>
      <x:c r="D129" s="8" t="n">
        <x:v>79140</x:v>
      </x:c>
      <x:c r="E129" s="8" t="str">
        <x:v>a9c02471-cb86-44e8-a15d-582cd0f2d506</x:v>
      </x:c>
      <x:c r="F129" s="8" t="str">
        <x:v>Text extras disponibil</x:v>
      </x:c>
      <x:c r="G129" s="8" t="e">
        <x:f>HYPERLINK("file:///Z:/00. Proiecte 2025/AFIR FotoVoltaic 1/outputs/registru-cesiro-2026-10-16/Surse email/E070-A02.txt","Deschide sursa")</x:f>
        <x:v>HYPERLINK is not implemented. linkLocation=file:///Z:/00. Proiecte 2025/AFIR FotoVoltaic 1/outputs/registru-cesiro-2026-10-16/Surse email/E070-A02.txt, friendlyName=Deschide sursa</x:v>
      </x:c>
      <x:c r="H129" s="8" t="str">
        <x:v>e86e9d61e624a47109f8c9e61167d7546bf278213b9a0088ae83de190904f7da</x:v>
      </x:c>
    </x:row>
    <x:row r="130" ht="36" customHeight="1">
      <x:c r="A130" s="8" t="str">
        <x:v>E072-A01</x:v>
      </x:c>
      <x:c r="B130" s="8" t="str">
        <x:v>E072</x:v>
      </x:c>
      <x:c r="C130" s="8" t="str">
        <x:v>C3.3.4.pdf</x:v>
      </x:c>
      <x:c r="D130" s="8" t="n">
        <x:v>494984</x:v>
      </x:c>
      <x:c r="E130" s="8" t="str">
        <x:v>c5b271c2-8812-4079-bb02-efe267fe73e9</x:v>
      </x:c>
      <x:c r="F130" s="8" t="str">
        <x:v>Text extras disponibil</x:v>
      </x:c>
      <x:c r="G130" s="8" t="e">
        <x:f>HYPERLINK("file:///Z:/00. Proiecte 2025/AFIR FotoVoltaic 1/outputs/registru-cesiro-2026-10-16/Surse email/E072-A01.txt","Deschide sursa")</x:f>
        <x:v>HYPERLINK is not implemented. linkLocation=file:///Z:/00. Proiecte 2025/AFIR FotoVoltaic 1/outputs/registru-cesiro-2026-10-16/Surse email/E072-A01.txt, friendlyName=Deschide sursa</x:v>
      </x:c>
      <x:c r="H130" s="8" t="str">
        <x:v>a8ce0bdf9bdb5be0504e8e4872c937cfc3b9610b7cce23076e90a0ca2ab16727</x:v>
      </x:c>
    </x:row>
    <x:row r="131" ht="36" customHeight="1">
      <x:c r="A131" s="8" t="str">
        <x:v>E073-A01</x:v>
      </x:c>
      <x:c r="B131" s="8" t="str">
        <x:v>E073</x:v>
      </x:c>
      <x:c r="C131" s="8" t="str">
        <x:v>AP_raspuns_informatii_suplimentare.pdf</x:v>
      </x:c>
      <x:c r="D131" s="8" t="n">
        <x:v>79650</x:v>
      </x:c>
      <x:c r="E131" s="8" t="str">
        <x:v>e53ef875-474f-47ee-b2dd-9ad41c51c8a6</x:v>
      </x:c>
      <x:c r="F131" s="8" t="str">
        <x:v>Text extras disponibil</x:v>
      </x:c>
      <x:c r="G131" s="8" t="e">
        <x:f>HYPERLINK("file:///Z:/00. Proiecte 2025/AFIR FotoVoltaic 1/outputs/registru-cesiro-2026-10-16/Surse email/E073-A01.txt","Deschide sursa")</x:f>
        <x:v>HYPERLINK is not implemented. linkLocation=file:///Z:/00. Proiecte 2025/AFIR FotoVoltaic 1/outputs/registru-cesiro-2026-10-16/Surse email/E073-A01.txt, friendlyName=Deschide sursa</x:v>
      </x:c>
      <x:c r="H131" s="8" t="str">
        <x:v>f44fd279e9baa4ce9625b5de8dc01ef37a117acacc102f6fa87b1a465a535d39</x:v>
      </x:c>
    </x:row>
    <x:row r="132" ht="36" customHeight="1">
      <x:c r="A132" s="8" t="str">
        <x:v>E073-A02</x:v>
      </x:c>
      <x:c r="B132" s="8" t="str">
        <x:v>E073</x:v>
      </x:c>
      <x:c r="C132" s="8" t="str">
        <x:v>Informatii suplimentare - Partea I.pdf</x:v>
      </x:c>
      <x:c r="D132" s="8" t="n">
        <x:v>407294</x:v>
      </x:c>
      <x:c r="E132" s="8" t="str">
        <x:v>3127d7c3-961e-4811-a7f5-98d9e16aac15</x:v>
      </x:c>
      <x:c r="F132" s="8" t="str">
        <x:v>Text extras disponibil</x:v>
      </x:c>
      <x:c r="G132" s="8" t="e">
        <x:f>HYPERLINK("file:///Z:/00. Proiecte 2025/AFIR FotoVoltaic 1/outputs/registru-cesiro-2026-10-16/Surse email/E073-A02.txt","Deschide sursa")</x:f>
        <x:v>HYPERLINK is not implemented. linkLocation=file:///Z:/00. Proiecte 2025/AFIR FotoVoltaic 1/outputs/registru-cesiro-2026-10-16/Surse email/E073-A02.txt, friendlyName=Deschide sursa</x:v>
      </x:c>
      <x:c r="H132" s="8" t="str">
        <x:v>8ad9bd22f8a542b26571d738eccb4664b324f65c5fb4406cc737b73eb6e8824f</x:v>
      </x:c>
    </x:row>
    <x:row r="133" ht="36" customHeight="1">
      <x:c r="A133" s="8" t="str">
        <x:v>E074-A01</x:v>
      </x:c>
      <x:c r="B133" s="8" t="str">
        <x:v>E074</x:v>
      </x:c>
      <x:c r="C133" s="8" t="str">
        <x:v>AP_raspuns_informatii_suplimentare.pdf</x:v>
      </x:c>
      <x:c r="D133" s="8" t="n">
        <x:v>79650</x:v>
      </x:c>
      <x:c r="E133" s="8" t="str">
        <x:v>82eb791c-5f23-422d-aa5c-e7572ff32658</x:v>
      </x:c>
      <x:c r="F133" s="8" t="str">
        <x:v>Text extras disponibil</x:v>
      </x:c>
      <x:c r="G133" s="8" t="e">
        <x:f>HYPERLINK("file:///Z:/00. Proiecte 2025/AFIR FotoVoltaic 1/outputs/registru-cesiro-2026-10-16/Surse email/E074-A01.txt","Deschide sursa")</x:f>
        <x:v>HYPERLINK is not implemented. linkLocation=file:///Z:/00. Proiecte 2025/AFIR FotoVoltaic 1/outputs/registru-cesiro-2026-10-16/Surse email/E074-A01.txt, friendlyName=Deschide sursa</x:v>
      </x:c>
      <x:c r="H133" s="8" t="str">
        <x:v>f44fd279e9baa4ce9625b5de8dc01ef37a117acacc102f6fa87b1a465a535d39</x:v>
      </x:c>
    </x:row>
    <x:row r="134" ht="36" customHeight="1">
      <x:c r="A134" s="8" t="str">
        <x:v>E074-A02</x:v>
      </x:c>
      <x:c r="B134" s="8" t="str">
        <x:v>E074</x:v>
      </x:c>
      <x:c r="C134" s="8" t="str">
        <x:v>Informatii suplimentare - Partea I.pdf</x:v>
      </x:c>
      <x:c r="D134" s="8" t="n">
        <x:v>407294</x:v>
      </x:c>
      <x:c r="E134" s="8" t="str">
        <x:v>595bd747-ab02-4ebd-8d47-10d4ae588bed</x:v>
      </x:c>
      <x:c r="F134" s="8" t="str">
        <x:v>Text extras disponibil</x:v>
      </x:c>
      <x:c r="G134" s="8" t="e">
        <x:f>HYPERLINK("file:///Z:/00. Proiecte 2025/AFIR FotoVoltaic 1/outputs/registru-cesiro-2026-10-16/Surse email/E074-A02.txt","Deschide sursa")</x:f>
        <x:v>HYPERLINK is not implemented. linkLocation=file:///Z:/00. Proiecte 2025/AFIR FotoVoltaic 1/outputs/registru-cesiro-2026-10-16/Surse email/E074-A02.txt, friendlyName=Deschide sursa</x:v>
      </x:c>
      <x:c r="H134" s="8" t="str">
        <x:v>8ad9bd22f8a542b26571d738eccb4664b324f65c5fb4406cc737b73eb6e8824f</x:v>
      </x:c>
    </x:row>
  </x:sheetData>
  <x:pageMargins left="0.7" right="0.7" top="0.75" bottom="0.75" header="0.3" footer="0.3"/>
  <x:tableParts count="1">
    <x:tablePart xmlns:r="http://schemas.openxmlformats.org/officeDocument/2006/relationships" r:id="Rfd6c638f8e184fdc"/>
  </x:tableParts>
</x:worksheet>
</file>

<file path=xl/worksheets/sheet6.xml><?xml version="1.0" encoding="utf-8"?>
<x:worksheet xmlns:x="http://schemas.openxmlformats.org/spreadsheetml/2006/main">
  <x:sheetPr>
    <x:tabColor rgb="FF426A8D"/>
  </x:sheetPr>
  <x:sheetViews>
    <x:sheetView showGridLines="0" workbookViewId="0">
      <x:pane xSplit="2" ySplit="4" topLeftCell="C5" activePane="bottomRight" state="frozen"/>
    </x:sheetView>
  </x:sheetViews>
  <x:sheetFormatPr defaultRowHeight="15"/>
  <x:cols>
    <x:col min="1" max="1" width="10" hidden="0" customWidth="1"/>
    <x:col min="2" max="2" width="52.5" hidden="0" customWidth="1"/>
    <x:col min="3" max="3" width="40" hidden="0" customWidth="1"/>
    <x:col min="4" max="4" width="41.25" hidden="0" customWidth="1"/>
    <x:col min="5" max="5" width="11.25" hidden="0" customWidth="1"/>
    <x:col min="6" max="6" width="18.75" hidden="0" customWidth="1"/>
    <x:col min="7" max="7" width="40" hidden="0" customWidth="1"/>
    <x:col min="8" max="8" width="52.5" hidden="0" customWidth="1"/>
    <x:col min="9" max="9" width="16.25" hidden="0" customWidth="1"/>
    <x:col min="10" max="10" width="81.25" hidden="0" customWidth="1"/>
  </x:cols>
  <x:sheetData>
    <x:row r="2">
      <x:c r="A2" s="1" t="str">
        <x:v>Inventar local · Cesiro Production</x:v>
      </x:c>
    </x:row>
    <x:row r="4" ht="45" customHeight="1">
      <x:c r="A4" s="10" t="str">
        <x:v>ID</x:v>
      </x:c>
      <x:c r="B4" s="10" t="str">
        <x:v>Nume fișier</x:v>
      </x:c>
      <x:c r="C4" s="10" t="str">
        <x:v>Dosar</x:v>
      </x:c>
      <x:c r="D4" s="10" t="str">
        <x:v>Încadrare</x:v>
      </x:c>
      <x:c r="E4" s="10" t="str">
        <x:v>Format</x:v>
      </x:c>
      <x:c r="F4" s="10" t="str">
        <x:v>Dimensiune octeți</x:v>
      </x:c>
      <x:c r="G4" s="10" t="str">
        <x:v>Citire</x:v>
      </x:c>
      <x:c r="H4" s="10" t="str">
        <x:v>Stare</x:v>
      </x:c>
      <x:c r="I4" s="10" t="str">
        <x:v>Copie identică a ID</x:v>
      </x:c>
      <x:c r="J4" s="10" t="str">
        <x:v>Sursă locală</x:v>
      </x:c>
    </x:row>
    <x:row r="5" ht="32" customHeight="1">
      <x:c r="A5" s="8" t="str">
        <x:v>F0001</x:v>
      </x:c>
      <x:c r="B5" s="8" t="str">
        <x:v>01_Nota_justificativa_AFIR.pdf</x:v>
      </x:c>
      <x:c r="C5" s="8" t="str">
        <x:v>01_Nota_justificativa_AFIR.pdf</x:v>
      </x:c>
      <x:c r="D5" s="8" t="str">
        <x:v>Proiect fotovoltaic</x:v>
      </x:c>
      <x:c r="E5" s="8" t="str">
        <x:v>.pdf</x:v>
      </x:c>
      <x:c r="F5" s="8" t="n">
        <x:v>84460</x:v>
      </x:c>
      <x:c r="G5" s="8" t="str">
        <x:v>Text extras</x:v>
      </x:c>
      <x:c r="H5" s="8" t="str">
        <x:v>Document local; transmiterea individuală neconfirmată</x:v>
      </x:c>
      <x:c r="I5" s="8" t="str"/>
      <x:c r="J5" s="8" t="e">
        <x:f>HYPERLINK("file:///Z:/00. Proiecte 2025/AFIR FotoVoltaic 1/01_Nota_justificativa_AFIR.pdf","Deschide sursa")</x:f>
        <x:v>HYPERLINK is not implemented. linkLocation=file:///Z:/00. Proiecte 2025/AFIR FotoVoltaic 1/01_Nota_justificativa_AFIR.pdf, friendlyName=Deschide sursa</x:v>
      </x:c>
    </x:row>
    <x:row r="6" ht="32" customHeight="1">
      <x:c r="A6" s="8" t="str">
        <x:v>F0002</x:v>
      </x:c>
      <x:c r="B6" s="8" t="str">
        <x:v>Act constitutiv Cesiro Production SRL.pdf</x:v>
      </x:c>
      <x:c r="C6" s="8" t="str">
        <x:v>Act constitutiv Cesiro Production SRL.pdf</x:v>
      </x:c>
      <x:c r="D6" s="8" t="str">
        <x:v>Proiect fotovoltaic</x:v>
      </x:c>
      <x:c r="E6" s="8" t="str">
        <x:v>.pdf</x:v>
      </x:c>
      <x:c r="F6" s="8" t="n">
        <x:v>8046727</x:v>
      </x:c>
      <x:c r="G6" s="8" t="str">
        <x:v>Scan / text insuficient</x:v>
      </x:c>
      <x:c r="H6" s="8" t="str">
        <x:v>Document local; transmiterea individuală neconfirmată</x:v>
      </x:c>
      <x:c r="I6" s="8" t="str"/>
      <x:c r="J6" s="8" t="e">
        <x:f>HYPERLINK("file:///Z:/00. Proiecte 2025/AFIR FotoVoltaic 1/Act constitutiv Cesiro Production SRL.pdf","Deschide sursa")</x:f>
        <x:v>HYPERLINK is not implemented. linkLocation=file:///Z:/00. Proiecte 2025/AFIR FotoVoltaic 1/Act constitutiv Cesiro Production SRL.pdf, friendlyName=Deschide sursa</x:v>
      </x:c>
    </x:row>
    <x:row r="7" ht="32" customHeight="1">
      <x:c r="A7" s="8" t="str">
        <x:v>F0003</x:v>
      </x:c>
      <x:c r="B7" s="8" t="str">
        <x:v>AFIR FotoVoltaic 1.zip</x:v>
      </x:c>
      <x:c r="C7" s="8" t="str">
        <x:v>AFIR FotoVoltaic 1.zip</x:v>
      </x:c>
      <x:c r="D7" s="8" t="str">
        <x:v>Proiect fotovoltaic</x:v>
      </x:c>
      <x:c r="E7" s="8" t="str">
        <x:v>.zip</x:v>
      </x:c>
      <x:c r="F7" s="8" t="n">
        <x:v>1840337394</x:v>
      </x:c>
      <x:c r="G7" s="8" t="str">
        <x:v>Inventar ZIP</x:v>
      </x:c>
      <x:c r="H7" s="8" t="str">
        <x:v>Document local; transmiterea individuală neconfirmată</x:v>
      </x:c>
      <x:c r="I7" s="8" t="str"/>
      <x:c r="J7" s="8" t="e">
        <x:f>HYPERLINK("file:///Z:/00. Proiecte 2025/AFIR FotoVoltaic 1/AFIR FotoVoltaic 1.zip","Deschide sursa")</x:f>
        <x:v>HYPERLINK is not implemented. linkLocation=file:///Z:/00. Proiecte 2025/AFIR FotoVoltaic 1/AFIR FotoVoltaic 1.zip, friendlyName=Deschide sursa</x:v>
      </x:c>
    </x:row>
    <x:row r="8" ht="36" customHeight="1">
      <x:c r="A8" s="8" t="str">
        <x:v>F0004</x:v>
      </x:c>
      <x:c r="B8" s="8" t="str">
        <x:v>Cerere finantare surse regenerabile de energie si stocarea energiei.pdf</x:v>
      </x:c>
      <x:c r="C8" s="8" t="str">
        <x:v>Cerere finantare surse regenerabile de energie si stocarea energiei.pdf</x:v>
      </x:c>
      <x:c r="D8" s="8" t="str">
        <x:v>Proiect fotovoltaic</x:v>
      </x:c>
      <x:c r="E8" s="8" t="str">
        <x:v>.pdf</x:v>
      </x:c>
      <x:c r="F8" s="8" t="n">
        <x:v>897328</x:v>
      </x:c>
      <x:c r="G8" s="8" t="str">
        <x:v>Text extras</x:v>
      </x:c>
      <x:c r="H8" s="8" t="str">
        <x:v>Document local; transmiterea individuală neconfirmată</x:v>
      </x:c>
      <x:c r="I8" s="8" t="str"/>
      <x:c r="J8" s="8" t="e">
        <x:f>HYPERLINK("file:///Z:/00. Proiecte 2025/AFIR FotoVoltaic 1/Cerere finantare surse regenerabile de energie si stocarea energiei.pdf","Deschide sursa")</x:f>
        <x:v>HYPERLINK is not implemented. linkLocation=file:///Z:/00. Proiecte 2025/AFIR FotoVoltaic 1/Cerere finantare surse regenerabile de energie si stocarea energiei.pdf, friendlyName=Deschide sursa</x:v>
      </x:c>
    </x:row>
    <x:row r="9" ht="32" customHeight="1">
      <x:c r="A9" s="8" t="str">
        <x:v>F0005</x:v>
      </x:c>
      <x:c r="B9" s="8" t="str">
        <x:v>Documente.xlsx</x:v>
      </x:c>
      <x:c r="C9" s="8" t="str">
        <x:v>Documente.xlsx</x:v>
      </x:c>
      <x:c r="D9" s="8" t="str">
        <x:v>Proiect fotovoltaic</x:v>
      </x:c>
      <x:c r="E9" s="8" t="str">
        <x:v>.xlsx</x:v>
      </x:c>
      <x:c r="F9" s="8" t="n">
        <x:v>10116</x:v>
      </x:c>
      <x:c r="G9" s="8" t="str">
        <x:v>Inventariat; conținut neextras</x:v>
      </x:c>
      <x:c r="H9" s="8" t="str">
        <x:v>Document local; transmiterea individuală neconfirmată</x:v>
      </x:c>
      <x:c r="I9" s="8" t="str"/>
      <x:c r="J9" s="8" t="e">
        <x:f>HYPERLINK("file:///Z:/00. Proiecte 2025/AFIR FotoVoltaic 1/Documente.xlsx","Deschide sursa")</x:f>
        <x:v>HYPERLINK is not implemented. linkLocation=file:///Z:/00. Proiecte 2025/AFIR FotoVoltaic 1/Documente.xlsx, friendlyName=Deschide sursa</x:v>
      </x:c>
    </x:row>
    <x:row r="10" ht="32" customHeight="1">
      <x:c r="A10" s="8" t="str">
        <x:v>F0006</x:v>
      </x:c>
      <x:c r="B10" s="8" t="str">
        <x:v>Pentru Analiza Cost Beneficiu.docx</x:v>
      </x:c>
      <x:c r="C10" s="8" t="str">
        <x:v>Pentru Analiza Cost Beneficiu.docx</x:v>
      </x:c>
      <x:c r="D10" s="8" t="str">
        <x:v>Proiect fotovoltaic</x:v>
      </x:c>
      <x:c r="E10" s="8" t="str">
        <x:v>.docx</x:v>
      </x:c>
      <x:c r="F10" s="8" t="n">
        <x:v>334885</x:v>
      </x:c>
      <x:c r="G10" s="8" t="str">
        <x:v>Text extras</x:v>
      </x:c>
      <x:c r="H10" s="8" t="str">
        <x:v>Document local; transmiterea individuală neconfirmată</x:v>
      </x:c>
      <x:c r="I10" s="8" t="str"/>
      <x:c r="J10" s="8" t="e">
        <x:f>HYPERLINK("file:///Z:/00. Proiecte 2025/AFIR FotoVoltaic 1/Pentru Analiza Cost Beneficiu.docx","Deschide sursa")</x:f>
        <x:v>HYPERLINK is not implemented. linkLocation=file:///Z:/00. Proiecte 2025/AFIR FotoVoltaic 1/Pentru Analiza Cost Beneficiu.docx, friendlyName=Deschide sursa</x:v>
      </x:c>
    </x:row>
    <x:row r="11" ht="32" customHeight="1">
      <x:c r="A11" s="8" t="str">
        <x:v>F0007</x:v>
      </x:c>
      <x:c r="B11" s="8" t="str">
        <x:v>Pentru Memoriul tehnic.docx</x:v>
      </x:c>
      <x:c r="C11" s="8" t="str">
        <x:v>Pentru Memoriul tehnic.docx</x:v>
      </x:c>
      <x:c r="D11" s="8" t="str">
        <x:v>Proiect fotovoltaic</x:v>
      </x:c>
      <x:c r="E11" s="8" t="str">
        <x:v>.docx</x:v>
      </x:c>
      <x:c r="F11" s="8" t="n">
        <x:v>62459</x:v>
      </x:c>
      <x:c r="G11" s="8" t="str">
        <x:v>Text extras</x:v>
      </x:c>
      <x:c r="H11" s="8" t="str">
        <x:v>Document local; transmiterea individuală neconfirmată</x:v>
      </x:c>
      <x:c r="I11" s="8" t="str"/>
      <x:c r="J11" s="8" t="e">
        <x:f>HYPERLINK("file:///Z:/00. Proiecte 2025/AFIR FotoVoltaic 1/Pentru Memoriul tehnic.docx","Deschide sursa")</x:f>
        <x:v>HYPERLINK is not implemented. linkLocation=file:///Z:/00. Proiecte 2025/AFIR FotoVoltaic 1/Pentru Memoriul tehnic.docx, friendlyName=Deschide sursa</x:v>
      </x:c>
    </x:row>
    <x:row r="12" ht="36" customHeight="1">
      <x:c r="A12" s="8" t="str">
        <x:v>F0008</x:v>
      </x:c>
      <x:c r="B12" s="8" t="str">
        <x:v>0. Documente necesare la depunerea Cererii de finanțare.docx</x:v>
      </x:c>
      <x:c r="C12" s="8" t="str">
        <x:v>0. Arhiva</x:v>
      </x:c>
      <x:c r="D12" s="8" t="str">
        <x:v>Context / alte investiții / ghid / audit intern</x:v>
      </x:c>
      <x:c r="E12" s="8" t="str">
        <x:v>.docx</x:v>
      </x:c>
      <x:c r="F12" s="8" t="n">
        <x:v>22590</x:v>
      </x:c>
      <x:c r="G12" s="8" t="str">
        <x:v>Text extras</x:v>
      </x:c>
      <x:c r="H12" s="8" t="str">
        <x:v>Versiune de lucru / arhivă</x:v>
      </x:c>
      <x:c r="I12" s="8" t="str"/>
      <x:c r="J12" s="8" t="e">
        <x:f>HYPERLINK("file:///Z:/00. Proiecte 2025/AFIR FotoVoltaic 1/0. Arhiva/0. Documente necesare la depunerea Cererii de finanțare.docx","Deschide sursa")</x:f>
        <x:v>HYPERLINK is not implemented. linkLocation=file:///Z:/00. Proiecte 2025/AFIR FotoVoltaic 1/0. Arhiva/0. Documente necesare la depunerea Cererii de finanțare.docx, friendlyName=Deschide sursa</x:v>
      </x:c>
    </x:row>
    <x:row r="13" ht="36" customHeight="1">
      <x:c r="A13" s="8" t="str">
        <x:v>F0009</x:v>
      </x:c>
      <x:c r="B13" s="8" t="str">
        <x:v>13.1. Studiu de fezabiliatate_parte scrisa - IPEC S.A..pdf</x:v>
      </x:c>
      <x:c r="C13" s="8" t="str">
        <x:v>0. Arhiva</x:v>
      </x:c>
      <x:c r="D13" s="8" t="str">
        <x:v>Context / alte investiții / ghid / audit intern</x:v>
      </x:c>
      <x:c r="E13" s="8" t="str">
        <x:v>.pdf</x:v>
      </x:c>
      <x:c r="F13" s="8" t="n">
        <x:v>3465021</x:v>
      </x:c>
      <x:c r="G13" s="8" t="str">
        <x:v>Text extras</x:v>
      </x:c>
      <x:c r="H13" s="8" t="str">
        <x:v>Versiune de lucru / arhivă</x:v>
      </x:c>
      <x:c r="I13" s="8" t="str"/>
      <x:c r="J13" s="8" t="e">
        <x:f>HYPERLINK("file:///Z:/00. Proiecte 2025/AFIR FotoVoltaic 1/0. Arhiva/13.1. Studiu de fezabiliatate_parte scrisa - IPEC S.A..pdf","Deschide sursa")</x:f>
        <x:v>HYPERLINK is not implemented. linkLocation=file:///Z:/00. Proiecte 2025/AFIR FotoVoltaic 1/0. Arhiva/13.1. Studiu de fezabiliatate_parte scrisa - IPEC S.A..pdf, friendlyName=Deschide sursa</x:v>
      </x:c>
    </x:row>
    <x:row r="14" ht="36" customHeight="1">
      <x:c r="A14" s="8" t="str">
        <x:v>F0010</x:v>
      </x:c>
      <x:c r="B14" s="8" t="str">
        <x:v>13.2. Studiu de fezabilitate_parti desenate - IPEC S.A..pdf</x:v>
      </x:c>
      <x:c r="C14" s="8" t="str">
        <x:v>0. Arhiva</x:v>
      </x:c>
      <x:c r="D14" s="8" t="str">
        <x:v>Context / alte investiții / ghid / audit intern</x:v>
      </x:c>
      <x:c r="E14" s="8" t="str">
        <x:v>.pdf</x:v>
      </x:c>
      <x:c r="F14" s="8" t="n">
        <x:v>10341834</x:v>
      </x:c>
      <x:c r="G14" s="8" t="str">
        <x:v>Text extras</x:v>
      </x:c>
      <x:c r="H14" s="8" t="str">
        <x:v>Versiune de lucru / arhivă</x:v>
      </x:c>
      <x:c r="I14" s="8" t="str"/>
      <x:c r="J14" s="8" t="e">
        <x:f>HYPERLINK("file:///Z:/00. Proiecte 2025/AFIR FotoVoltaic 1/0. Arhiva/13.2. Studiu de fezabilitate_parti desenate - IPEC S.A..pdf","Deschide sursa")</x:f>
        <x:v>HYPERLINK is not implemented. linkLocation=file:///Z:/00. Proiecte 2025/AFIR FotoVoltaic 1/0. Arhiva/13.2. Studiu de fezabilitate_parti desenate - IPEC S.A..pdf, friendlyName=Deschide sursa</x:v>
      </x:c>
    </x:row>
    <x:row r="15" ht="36" customHeight="1">
      <x:c r="A15" s="8" t="str">
        <x:v>F0011</x:v>
      </x:c>
      <x:c r="B15" s="8" t="str">
        <x:v>15.1. Analiza_Cost_Beneficiu - descriere - IPEC S.A..pdf</x:v>
      </x:c>
      <x:c r="C15" s="8" t="str">
        <x:v>0. Arhiva</x:v>
      </x:c>
      <x:c r="D15" s="8" t="str">
        <x:v>Context / alte investiții / ghid / audit intern</x:v>
      </x:c>
      <x:c r="E15" s="8" t="str">
        <x:v>.pdf</x:v>
      </x:c>
      <x:c r="F15" s="8" t="n">
        <x:v>587865</x:v>
      </x:c>
      <x:c r="G15" s="8" t="str">
        <x:v>Text extras</x:v>
      </x:c>
      <x:c r="H15" s="8" t="str">
        <x:v>Versiune de lucru / arhivă</x:v>
      </x:c>
      <x:c r="I15" s="8" t="str"/>
      <x:c r="J15" s="8" t="e">
        <x:f>HYPERLINK("file:///Z:/00. Proiecte 2025/AFIR FotoVoltaic 1/0. Arhiva/15.1. Analiza_Cost_Beneficiu - descriere - IPEC S.A..pdf","Deschide sursa")</x:f>
        <x:v>HYPERLINK is not implemented. linkLocation=file:///Z:/00. Proiecte 2025/AFIR FotoVoltaic 1/0. Arhiva/15.1. Analiza_Cost_Beneficiu - descriere - IPEC S.A..pdf, friendlyName=Deschide sursa</x:v>
      </x:c>
    </x:row>
    <x:row r="16" ht="36" customHeight="1">
      <x:c r="A16" s="8" t="str">
        <x:v>F0012</x:v>
      </x:c>
      <x:c r="B16" s="8" t="str">
        <x:v>15.2. Analiza_Cost_Beneficiu - calcule - IPEC S.A..pdf</x:v>
      </x:c>
      <x:c r="C16" s="8" t="str">
        <x:v>0. Arhiva</x:v>
      </x:c>
      <x:c r="D16" s="8" t="str">
        <x:v>Context / alte investiții / ghid / audit intern</x:v>
      </x:c>
      <x:c r="E16" s="8" t="str">
        <x:v>.pdf</x:v>
      </x:c>
      <x:c r="F16" s="8" t="n">
        <x:v>543189</x:v>
      </x:c>
      <x:c r="G16" s="8" t="str">
        <x:v>Text extras</x:v>
      </x:c>
      <x:c r="H16" s="8" t="str">
        <x:v>Versiune de lucru / arhivă</x:v>
      </x:c>
      <x:c r="I16" s="8" t="str"/>
      <x:c r="J16" s="8" t="e">
        <x:f>HYPERLINK("file:///Z:/00. Proiecte 2025/AFIR FotoVoltaic 1/0. Arhiva/15.2. Analiza_Cost_Beneficiu - calcule - IPEC S.A..pdf","Deschide sursa")</x:f>
        <x:v>HYPERLINK is not implemented. linkLocation=file:///Z:/00. Proiecte 2025/AFIR FotoVoltaic 1/0. Arhiva/15.2. Analiza_Cost_Beneficiu - calcule - IPEC S.A..pdf, friendlyName=Deschide sursa</x:v>
      </x:c>
    </x:row>
    <x:row r="17" ht="32" customHeight="1">
      <x:c r="A17" s="8" t="str">
        <x:v>F0013</x:v>
      </x:c>
      <x:c r="B17" s="8" t="str">
        <x:v>BVC Indicatori 1 ii sau if.xls</x:v>
      </x:c>
      <x:c r="C17" s="8" t="str">
        <x:v>0. Arhiva</x:v>
      </x:c>
      <x:c r="D17" s="8" t="str">
        <x:v>Context / alte investiții / ghid / audit intern</x:v>
      </x:c>
      <x:c r="E17" s="8" t="str">
        <x:v>.xls</x:v>
      </x:c>
      <x:c r="F17" s="8" t="n">
        <x:v>301568</x:v>
      </x:c>
      <x:c r="G17" s="8" t="str">
        <x:v>Inventariat; conținut neextras</x:v>
      </x:c>
      <x:c r="H17" s="8" t="str">
        <x:v>Versiune de lucru / arhivă</x:v>
      </x:c>
      <x:c r="I17" s="8" t="str"/>
      <x:c r="J17" s="8" t="e">
        <x:f>HYPERLINK("file:///Z:/00. Proiecte 2025/AFIR FotoVoltaic 1/0. Arhiva/BVC Indicatori 1 ii sau if.xls","Deschide sursa")</x:f>
        <x:v>HYPERLINK is not implemented. linkLocation=file:///Z:/00. Proiecte 2025/AFIR FotoVoltaic 1/0. Arhiva/BVC Indicatori 1 ii sau if.xls, friendlyName=Deschide sursa</x:v>
      </x:c>
    </x:row>
    <x:row r="18" ht="32" customHeight="1">
      <x:c r="A18" s="8" t="str">
        <x:v>F0014</x:v>
      </x:c>
      <x:c r="B18" s="8" t="str">
        <x:v>BVC Indicatori 2 srl sau sa .xls</x:v>
      </x:c>
      <x:c r="C18" s="8" t="str">
        <x:v>0. Arhiva</x:v>
      </x:c>
      <x:c r="D18" s="8" t="str">
        <x:v>Context / alte investiții / ghid / audit intern</x:v>
      </x:c>
      <x:c r="E18" s="8" t="str">
        <x:v>.xls</x:v>
      </x:c>
      <x:c r="F18" s="8" t="n">
        <x:v>580096</x:v>
      </x:c>
      <x:c r="G18" s="8" t="str">
        <x:v>Inventariat; conținut neextras</x:v>
      </x:c>
      <x:c r="H18" s="8" t="str">
        <x:v>Versiune de lucru / arhivă</x:v>
      </x:c>
      <x:c r="I18" s="8" t="str"/>
      <x:c r="J18" s="8" t="e">
        <x:f>HYPERLINK("file:///Z:/00. Proiecte 2025/AFIR FotoVoltaic 1/0. Arhiva/BVC Indicatori 2 srl sau sa .xls","Deschide sursa")</x:f>
        <x:v>HYPERLINK is not implemented. linkLocation=file:///Z:/00. Proiecte 2025/AFIR FotoVoltaic 1/0. Arhiva/BVC Indicatori 2 srl sau sa .xls, friendlyName=Deschide sursa</x:v>
      </x:c>
    </x:row>
    <x:row r="19" ht="36" customHeight="1">
      <x:c r="A19" s="8" t="str">
        <x:v>F0015</x:v>
      </x:c>
      <x:c r="B19" s="8" t="str">
        <x:v>Cerere finantare surse regenerabile de energie si stocarea energiei.pdf</x:v>
      </x:c>
      <x:c r="C19" s="8" t="str">
        <x:v>0. Arhiva</x:v>
      </x:c>
      <x:c r="D19" s="8" t="str">
        <x:v>Context / alte investiții / ghid / audit intern</x:v>
      </x:c>
      <x:c r="E19" s="8" t="str">
        <x:v>.pdf</x:v>
      </x:c>
      <x:c r="F19" s="8" t="n">
        <x:v>869327</x:v>
      </x:c>
      <x:c r="G19" s="8" t="str">
        <x:v>Text extras</x:v>
      </x:c>
      <x:c r="H19" s="8" t="str">
        <x:v>Versiune de lucru / arhivă</x:v>
      </x:c>
      <x:c r="I19" s="8" t="str"/>
      <x:c r="J19" s="8" t="e">
        <x:f>HYPERLINK("file:///Z:/00. Proiecte 2025/AFIR FotoVoltaic 1/0. Arhiva/Cerere finantare surse regenerabile de energie si stocarea energiei.pdf","Deschide sursa")</x:f>
        <x:v>HYPERLINK is not implemented. linkLocation=file:///Z:/00. Proiecte 2025/AFIR FotoVoltaic 1/0. Arhiva/Cerere finantare surse regenerabile de energie si stocarea energiei.pdf, friendlyName=Deschide sursa</x:v>
      </x:c>
    </x:row>
    <x:row r="20" ht="32" customHeight="1">
      <x:c r="A20" s="8" t="str">
        <x:v>F0016</x:v>
      </x:c>
      <x:c r="B20" s="8" t="str">
        <x:v>CF_DO_ENERGIE_v1.pdf</x:v>
      </x:c>
      <x:c r="C20" s="8" t="str">
        <x:v>0. Arhiva</x:v>
      </x:c>
      <x:c r="D20" s="8" t="str">
        <x:v>Context / alte investiții / ghid / audit intern</x:v>
      </x:c>
      <x:c r="E20" s="8" t="str">
        <x:v>.pdf</x:v>
      </x:c>
      <x:c r="F20" s="8" t="n">
        <x:v>869327</x:v>
      </x:c>
      <x:c r="G20" s="8" t="str">
        <x:v>Text extras</x:v>
      </x:c>
      <x:c r="H20" s="8" t="str">
        <x:v>Versiune de lucru / arhivă</x:v>
      </x:c>
      <x:c r="I20" s="8" t="str">
        <x:v>F0015</x:v>
      </x:c>
      <x:c r="J20" s="8" t="e">
        <x:f>HYPERLINK("file:///Z:/00. Proiecte 2025/AFIR FotoVoltaic 1/0. Arhiva/CF_DO_ENERGIE_v1.pdf","Deschide sursa")</x:f>
        <x:v>HYPERLINK is not implemented. linkLocation=file:///Z:/00. Proiecte 2025/AFIR FotoVoltaic 1/0. Arhiva/CF_DO_ENERGIE_v1.pdf, friendlyName=Deschide sursa</x:v>
      </x:c>
    </x:row>
    <x:row r="21" ht="36" customHeight="1">
      <x:c r="A21" s="8" t="str">
        <x:v>F0017</x:v>
      </x:c>
      <x:c r="B21" s="8" t="str">
        <x:v>Declaratie pentru respectarea regulilor privind evitarea conflictului de interese.docx</x:v>
      </x:c>
      <x:c r="C21" s="8" t="str">
        <x:v>0. Arhiva</x:v>
      </x:c>
      <x:c r="D21" s="8" t="str">
        <x:v>Context / alte investiții / ghid / audit intern</x:v>
      </x:c>
      <x:c r="E21" s="8" t="str">
        <x:v>.docx</x:v>
      </x:c>
      <x:c r="F21" s="8" t="n">
        <x:v>2745792</x:v>
      </x:c>
      <x:c r="G21" s="8" t="str">
        <x:v>Text extras</x:v>
      </x:c>
      <x:c r="H21" s="8" t="str">
        <x:v>Versiune de lucru / arhivă</x:v>
      </x:c>
      <x:c r="I21" s="8" t="str"/>
      <x:c r="J21" s="8" t="e">
        <x:f>HYPERLINK("file:///Z:/00. Proiecte 2025/AFIR FotoVoltaic 1/0. Arhiva/Declaratie pentru respectarea regulilor privind evitarea conflictului de interese.docx","Deschide sursa")</x:f>
        <x:v>HYPERLINK is not implemented. linkLocation=file:///Z:/00. Proiecte 2025/AFIR FotoVoltaic 1/0. Arhiva/Declaratie pentru respectarea regulilor privind evitarea conflictului de interese.docx, friendlyName=Deschide sursa</x:v>
      </x:c>
    </x:row>
    <x:row r="22" ht="32" customHeight="1">
      <x:c r="A22" s="8" t="str">
        <x:v>F0018</x:v>
      </x:c>
      <x:c r="B22" s="8" t="str">
        <x:v>Deviz General Gol.xlsx</x:v>
      </x:c>
      <x:c r="C22" s="8" t="str">
        <x:v>0. Arhiva</x:v>
      </x:c>
      <x:c r="D22" s="8" t="str">
        <x:v>Context / alte investiții / ghid / audit intern</x:v>
      </x:c>
      <x:c r="E22" s="8" t="str">
        <x:v>.xlsx</x:v>
      </x:c>
      <x:c r="F22" s="8" t="n">
        <x:v>71511</x:v>
      </x:c>
      <x:c r="G22" s="8" t="str">
        <x:v>Inventariat; conținut neextras</x:v>
      </x:c>
      <x:c r="H22" s="8" t="str">
        <x:v>Versiune de lucru / arhivă</x:v>
      </x:c>
      <x:c r="I22" s="8" t="str"/>
      <x:c r="J22" s="8" t="e">
        <x:f>HYPERLINK("file:///Z:/00. Proiecte 2025/AFIR FotoVoltaic 1/0. Arhiva/Deviz General Gol.xlsx","Deschide sursa")</x:f>
        <x:v>HYPERLINK is not implemented. linkLocation=file:///Z:/00. Proiecte 2025/AFIR FotoVoltaic 1/0. Arhiva/Deviz General Gol.xlsx, friendlyName=Deschide sursa</x:v>
      </x:c>
    </x:row>
    <x:row r="23" ht="32" customHeight="1">
      <x:c r="A23" s="8" t="str">
        <x:v>F0019</x:v>
      </x:c>
      <x:c r="B23" s="8" t="str">
        <x:v>Deviz_IPEC_ALBA.xlsx</x:v>
      </x:c>
      <x:c r="C23" s="8" t="str">
        <x:v>0. Arhiva</x:v>
      </x:c>
      <x:c r="D23" s="8" t="str">
        <x:v>Context / alte investiții / ghid / audit intern</x:v>
      </x:c>
      <x:c r="E23" s="8" t="str">
        <x:v>.xlsx</x:v>
      </x:c>
      <x:c r="F23" s="8" t="n">
        <x:v>83476</x:v>
      </x:c>
      <x:c r="G23" s="8" t="str">
        <x:v>Inventariat; conținut neextras</x:v>
      </x:c>
      <x:c r="H23" s="8" t="str">
        <x:v>Versiune de lucru / arhivă</x:v>
      </x:c>
      <x:c r="I23" s="8" t="str"/>
      <x:c r="J23" s="8" t="e">
        <x:f>HYPERLINK("file:///Z:/00. Proiecte 2025/AFIR FotoVoltaic 1/0. Arhiva/Deviz_IPEC_ALBA.xlsx","Deschide sursa")</x:f>
        <x:v>HYPERLINK is not implemented. linkLocation=file:///Z:/00. Proiecte 2025/AFIR FotoVoltaic 1/0. Arhiva/Deviz_IPEC_ALBA.xlsx, friendlyName=Deschide sursa</x:v>
      </x:c>
    </x:row>
    <x:row r="24" ht="32" customHeight="1">
      <x:c r="A24" s="8" t="str">
        <x:v>F0020</x:v>
      </x:c>
      <x:c r="B24" s="8" t="str">
        <x:v>Deviz_IPEC_ALBA_Scenariul 2.xlsx</x:v>
      </x:c>
      <x:c r="C24" s="8" t="str">
        <x:v>0. Arhiva</x:v>
      </x:c>
      <x:c r="D24" s="8" t="str">
        <x:v>Context / alte investiții / ghid / audit intern</x:v>
      </x:c>
      <x:c r="E24" s="8" t="str">
        <x:v>.xlsx</x:v>
      </x:c>
      <x:c r="F24" s="8" t="n">
        <x:v>71739</x:v>
      </x:c>
      <x:c r="G24" s="8" t="str">
        <x:v>Inventariat; conținut neextras</x:v>
      </x:c>
      <x:c r="H24" s="8" t="str">
        <x:v>Versiune de lucru / arhivă</x:v>
      </x:c>
      <x:c r="I24" s="8" t="str"/>
      <x:c r="J24" s="8" t="e">
        <x:f>HYPERLINK("file:///Z:/00. Proiecte 2025/AFIR FotoVoltaic 1/0. Arhiva/Deviz_IPEC_ALBA_Scenariul 2.xlsx","Deschide sursa")</x:f>
        <x:v>HYPERLINK is not implemented. linkLocation=file:///Z:/00. Proiecte 2025/AFIR FotoVoltaic 1/0. Arhiva/Deviz_IPEC_ALBA_Scenariul 2.xlsx, friendlyName=Deschide sursa</x:v>
      </x:c>
    </x:row>
    <x:row r="25" ht="32" customHeight="1">
      <x:c r="A25" s="8" t="str">
        <x:v>F0021</x:v>
      </x:c>
      <x:c r="B25" s="8" t="str">
        <x:v>Draft_SVT-SF-220520-12_IPEC.docx</x:v>
      </x:c>
      <x:c r="C25" s="8" t="str">
        <x:v>0. Arhiva</x:v>
      </x:c>
      <x:c r="D25" s="8" t="str">
        <x:v>Context / alte investiții / ghid / audit intern</x:v>
      </x:c>
      <x:c r="E25" s="8" t="str">
        <x:v>.docx</x:v>
      </x:c>
      <x:c r="F25" s="8" t="n">
        <x:v>6940842</x:v>
      </x:c>
      <x:c r="G25" s="8" t="str">
        <x:v>Text extras</x:v>
      </x:c>
      <x:c r="H25" s="8" t="str">
        <x:v>Versiune de lucru / arhivă</x:v>
      </x:c>
      <x:c r="I25" s="8" t="str"/>
      <x:c r="J25" s="8" t="e">
        <x:f>HYPERLINK("file:///Z:/00. Proiecte 2025/AFIR FotoVoltaic 1/0. Arhiva/Draft_SVT-SF-220520-12_IPEC.docx","Deschide sursa")</x:f>
        <x:v>HYPERLINK is not implemented. linkLocation=file:///Z:/00. Proiecte 2025/AFIR FotoVoltaic 1/0. Arhiva/Draft_SVT-SF-220520-12_IPEC.docx, friendlyName=Deschide sursa</x:v>
      </x:c>
    </x:row>
    <x:row r="26" ht="32" customHeight="1">
      <x:c r="A26" s="8" t="str">
        <x:v>F0022</x:v>
      </x:c>
      <x:c r="B26" s="8" t="str">
        <x:v>FormularDepunereOriginal_6698299_20220621175723.pdf</x:v>
      </x:c>
      <x:c r="C26" s="8" t="str">
        <x:v>0. Arhiva</x:v>
      </x:c>
      <x:c r="D26" s="8" t="str">
        <x:v>Context / alte investiții / ghid / audit intern</x:v>
      </x:c>
      <x:c r="E26" s="8" t="str">
        <x:v>.pdf</x:v>
      </x:c>
      <x:c r="F26" s="8" t="n">
        <x:v>201079</x:v>
      </x:c>
      <x:c r="G26" s="8" t="str">
        <x:v>Text extras</x:v>
      </x:c>
      <x:c r="H26" s="8" t="str">
        <x:v>Versiune de lucru / arhivă</x:v>
      </x:c>
      <x:c r="I26" s="8" t="str"/>
      <x:c r="J26" s="8" t="e">
        <x:f>HYPERLINK("file:///Z:/00. Proiecte 2025/AFIR FotoVoltaic 1/0. Arhiva/FormularDepunereOriginal_6698299_20220621175723.pdf","Deschide sursa")</x:f>
        <x:v>HYPERLINK is not implemented. linkLocation=file:///Z:/00. Proiecte 2025/AFIR FotoVoltaic 1/0. Arhiva/FormularDepunereOriginal_6698299_20220621175723.pdf, friendlyName=Deschide sursa</x:v>
      </x:c>
    </x:row>
    <x:row r="27" ht="32" customHeight="1">
      <x:c r="A27" s="8" t="str">
        <x:v>F0023</x:v>
      </x:c>
      <x:c r="B27" s="8" t="str">
        <x:v>GHID Schema Energie Autoconsum V4.docx</x:v>
      </x:c>
      <x:c r="C27" s="8" t="str">
        <x:v>0. Arhiva</x:v>
      </x:c>
      <x:c r="D27" s="8" t="str">
        <x:v>Context / alte investiții / ghid / audit intern</x:v>
      </x:c>
      <x:c r="E27" s="8" t="str">
        <x:v>.docx</x:v>
      </x:c>
      <x:c r="F27" s="8" t="n">
        <x:v>914775</x:v>
      </x:c>
      <x:c r="G27" s="8" t="str">
        <x:v>Text extras</x:v>
      </x:c>
      <x:c r="H27" s="8" t="str">
        <x:v>Versiune de lucru / arhivă</x:v>
      </x:c>
      <x:c r="I27" s="8" t="str"/>
      <x:c r="J27" s="8" t="e">
        <x:f>HYPERLINK("file:///Z:/00. Proiecte 2025/AFIR FotoVoltaic 1/0. Arhiva/GHID Schema Energie Autoconsum V4.docx","Deschide sursa")</x:f>
        <x:v>HYPERLINK is not implemented. linkLocation=file:///Z:/00. Proiecte 2025/AFIR FotoVoltaic 1/0. Arhiva/GHID Schema Energie Autoconsum V4.docx, friendlyName=Deschide sursa</x:v>
      </x:c>
    </x:row>
    <x:row r="28" ht="32" customHeight="1">
      <x:c r="A28" s="8" t="str">
        <x:v>F0024</x:v>
      </x:c>
      <x:c r="B28" s="8" t="str">
        <x:v>GHID Schema Energie Autoconsum V4.pdf</x:v>
      </x:c>
      <x:c r="C28" s="8" t="str">
        <x:v>0. Arhiva</x:v>
      </x:c>
      <x:c r="D28" s="8" t="str">
        <x:v>Context / alte investiții / ghid / audit intern</x:v>
      </x:c>
      <x:c r="E28" s="8" t="str">
        <x:v>.pdf</x:v>
      </x:c>
      <x:c r="F28" s="8" t="n">
        <x:v>4937637</x:v>
      </x:c>
      <x:c r="G28" s="8" t="str">
        <x:v>Text extras</x:v>
      </x:c>
      <x:c r="H28" s="8" t="str">
        <x:v>Versiune de lucru / arhivă</x:v>
      </x:c>
      <x:c r="I28" s="8" t="str"/>
      <x:c r="J28" s="8" t="e">
        <x:f>HYPERLINK("file:///Z:/00. Proiecte 2025/AFIR FotoVoltaic 1/0. Arhiva/GHID Schema Energie Autoconsum V4.pdf","Deschide sursa")</x:f>
        <x:v>HYPERLINK is not implemented. linkLocation=file:///Z:/00. Proiecte 2025/AFIR FotoVoltaic 1/0. Arhiva/GHID Schema Energie Autoconsum V4.pdf, friendlyName=Deschide sursa</x:v>
      </x:c>
    </x:row>
    <x:row r="29" ht="36" customHeight="1">
      <x:c r="A29" s="8" t="str">
        <x:v>F0025</x:v>
      </x:c>
      <x:c r="B29" s="8" t="str">
        <x:v>Mediu_Anexa 6_6.1_ DNSH_Autoevaluare “Instalare centrală electrică fotovoltaică la IPEC.docx</x:v>
      </x:c>
      <x:c r="C29" s="8" t="str">
        <x:v>0. Arhiva</x:v>
      </x:c>
      <x:c r="D29" s="8" t="str">
        <x:v>Context / alte investiții / ghid / audit intern</x:v>
      </x:c>
      <x:c r="E29" s="8" t="str">
        <x:v>.docx</x:v>
      </x:c>
      <x:c r="F29" s="8" t="n">
        <x:v>97190</x:v>
      </x:c>
      <x:c r="G29" s="8" t="str">
        <x:v>Text extras</x:v>
      </x:c>
      <x:c r="H29" s="8" t="str">
        <x:v>Versiune de lucru / arhivă</x:v>
      </x:c>
      <x:c r="I29" s="8" t="str"/>
      <x:c r="J29" s="8" t="e">
        <x:f>HYPERLINK("file:///Z:/00. Proiecte 2025/AFIR FotoVoltaic 1/0. Arhiva/Mediu_Anexa 6_6.1_ DNSH_Autoevaluare “Instalare centrală electrică fotovoltaică la IPEC.docx","Deschide sursa")</x:f>
        <x:v>HYPERLINK is not implemented. linkLocation=file:///Z:/00. Proiecte 2025/AFIR FotoVoltaic 1/0. Arhiva/Mediu_Anexa 6_6.1_ DNSH_Autoevaluare “Instalare centrală electrică fotovoltaică la IPEC.docx, friendlyName=Deschide sursa</x:v>
      </x:c>
    </x:row>
    <x:row r="30" ht="32" customHeight="1">
      <x:c r="A30" s="8" t="str">
        <x:v>F0026</x:v>
      </x:c>
      <x:c r="B30" s="8" t="str">
        <x:v>Memoriu tehnic CEF 1 MW Roman.pdf</x:v>
      </x:c>
      <x:c r="C30" s="8" t="str">
        <x:v>0. Arhiva</x:v>
      </x:c>
      <x:c r="D30" s="8" t="str">
        <x:v>Context / alte investiții / ghid / audit intern</x:v>
      </x:c>
      <x:c r="E30" s="8" t="str">
        <x:v>.pdf</x:v>
      </x:c>
      <x:c r="F30" s="8" t="n">
        <x:v>1020446</x:v>
      </x:c>
      <x:c r="G30" s="8" t="str">
        <x:v>Text extras</x:v>
      </x:c>
      <x:c r="H30" s="8" t="str">
        <x:v>Versiune de lucru / arhivă</x:v>
      </x:c>
      <x:c r="I30" s="8" t="str"/>
      <x:c r="J30" s="8" t="e">
        <x:f>HYPERLINK("file:///Z:/00. Proiecte 2025/AFIR FotoVoltaic 1/0. Arhiva/Memoriu tehnic CEF 1 MW Roman.pdf","Deschide sursa")</x:f>
        <x:v>HYPERLINK is not implemented. linkLocation=file:///Z:/00. Proiecte 2025/AFIR FotoVoltaic 1/0. Arhiva/Memoriu tehnic CEF 1 MW Roman.pdf, friendlyName=Deschide sursa</x:v>
      </x:c>
    </x:row>
    <x:row r="31" ht="50" customHeight="1">
      <x:c r="A31" s="8" t="str">
        <x:v>F0027</x:v>
      </x:c>
      <x:c r="B31" s="8" t="str">
        <x:v>Performance-Comparison-of-Fixed-Single-and-Dual-Axis-Tracking-Systems-For-Small-Photovoltaic-Systems-with-Measured-Direct-Beam-Fraction-.pdf</x:v>
      </x:c>
      <x:c r="C31" s="8" t="str">
        <x:v>0. Arhiva</x:v>
      </x:c>
      <x:c r="D31" s="8" t="str">
        <x:v>Context / alte investiții / ghid / audit intern</x:v>
      </x:c>
      <x:c r="E31" s="8" t="str">
        <x:v>.pdf</x:v>
      </x:c>
      <x:c r="F31" s="8" t="n">
        <x:v>440010</x:v>
      </x:c>
      <x:c r="G31" s="8" t="str">
        <x:v>Text extras</x:v>
      </x:c>
      <x:c r="H31" s="8" t="str">
        <x:v>Versiune de lucru / arhivă</x:v>
      </x:c>
      <x:c r="I31" s="8" t="str"/>
      <x:c r="J31" s="8" t="e">
        <x:f>HYPERLINK("file:///Z:/00. Proiecte 2025/AFIR FotoVoltaic 1/0. Arhiva/Performance-Comparison-of-Fixed-Single-and-Dual-Axis-Tracking-Systems-For-Small-Photovoltaic-Systems-with-Measured-Direct-Beam-Fraction-.pdf","Deschide sursa")</x:f>
        <x:v>HYPERLINK is not implemented. linkLocation=file:///Z:/00. Proiecte 2025/AFIR FotoVoltaic 1/0. Arhiva/Performance-Comparison-of-Fixed-Single-and-Dual-Axis-Tracking-Systems-For-Small-Photovoltaic-Systems-with-Measured-Direct-Beam-Fraction-.pdf, friendlyName=Deschide sursa</x:v>
      </x:c>
    </x:row>
    <x:row r="32" ht="32" customHeight="1">
      <x:c r="A32" s="8" t="str">
        <x:v>F0028</x:v>
      </x:c>
      <x:c r="B32" s="8" t="str">
        <x:v>Solicitare oferta achizitie.docx</x:v>
      </x:c>
      <x:c r="C32" s="8" t="str">
        <x:v>0. Arhiva</x:v>
      </x:c>
      <x:c r="D32" s="8" t="str">
        <x:v>Context / alte investiții / ghid / audit intern</x:v>
      </x:c>
      <x:c r="E32" s="8" t="str">
        <x:v>.docx</x:v>
      </x:c>
      <x:c r="F32" s="8" t="n">
        <x:v>2746570</x:v>
      </x:c>
      <x:c r="G32" s="8" t="str">
        <x:v>Text extras</x:v>
      </x:c>
      <x:c r="H32" s="8" t="str">
        <x:v>Versiune de lucru / arhivă</x:v>
      </x:c>
      <x:c r="I32" s="8" t="str"/>
      <x:c r="J32" s="8" t="e">
        <x:f>HYPERLINK("file:///Z:/00. Proiecte 2025/AFIR FotoVoltaic 1/0. Arhiva/Solicitare oferta achizitie.docx","Deschide sursa")</x:f>
        <x:v>HYPERLINK is not implemented. linkLocation=file:///Z:/00. Proiecte 2025/AFIR FotoVoltaic 1/0. Arhiva/Solicitare oferta achizitie.docx, friendlyName=Deschide sursa</x:v>
      </x:c>
    </x:row>
    <x:row r="33" ht="32" customHeight="1">
      <x:c r="A33" s="8" t="str">
        <x:v>F0029</x:v>
      </x:c>
      <x:c r="B33" s="8" t="str">
        <x:v>Stampila Cesiro Production.pdf</x:v>
      </x:c>
      <x:c r="C33" s="8" t="str">
        <x:v>0. Arhiva</x:v>
      </x:c>
      <x:c r="D33" s="8" t="str">
        <x:v>Context / alte investiții / ghid / audit intern</x:v>
      </x:c>
      <x:c r="E33" s="8" t="str">
        <x:v>.pdf</x:v>
      </x:c>
      <x:c r="F33" s="8" t="n">
        <x:v>593484</x:v>
      </x:c>
      <x:c r="G33" s="8" t="str">
        <x:v>Scan / text insuficient</x:v>
      </x:c>
      <x:c r="H33" s="8" t="str">
        <x:v>Versiune de lucru / arhivă</x:v>
      </x:c>
      <x:c r="I33" s="8" t="str"/>
      <x:c r="J33" s="8" t="e">
        <x:f>HYPERLINK("file:///Z:/00. Proiecte 2025/AFIR FotoVoltaic 1/0. Arhiva/Stampila Cesiro Production.pdf","Deschide sursa")</x:f>
        <x:v>HYPERLINK is not implemented. linkLocation=file:///Z:/00. Proiecte 2025/AFIR FotoVoltaic 1/0. Arhiva/Stampila Cesiro Production.pdf, friendlyName=Deschide sursa</x:v>
      </x:c>
    </x:row>
    <x:row r="34" ht="32" customHeight="1">
      <x:c r="A34" s="8" t="str">
        <x:v>F0030</x:v>
      </x:c>
      <x:c r="B34" s="8" t="str">
        <x:v>Walnut Automatic Proccesing line.docx</x:v>
      </x:c>
      <x:c r="C34" s="8" t="str">
        <x:v>0. Arhiva</x:v>
      </x:c>
      <x:c r="D34" s="8" t="str">
        <x:v>Context / alte investiții / ghid / audit intern</x:v>
      </x:c>
      <x:c r="E34" s="8" t="str">
        <x:v>.docx</x:v>
      </x:c>
      <x:c r="F34" s="8" t="n">
        <x:v>18617</x:v>
      </x:c>
      <x:c r="G34" s="8" t="str">
        <x:v>Text extras</x:v>
      </x:c>
      <x:c r="H34" s="8" t="str">
        <x:v>Versiune de lucru / arhivă</x:v>
      </x:c>
      <x:c r="I34" s="8" t="str"/>
      <x:c r="J34" s="8" t="e">
        <x:f>HYPERLINK("file:///Z:/00. Proiecte 2025/AFIR FotoVoltaic 1/0. Arhiva/Walnut Automatic Proccesing line.docx","Deschide sursa")</x:f>
        <x:v>HYPERLINK is not implemented. linkLocation=file:///Z:/00. Proiecte 2025/AFIR FotoVoltaic 1/0. Arhiva/Walnut Automatic Proccesing line.docx, friendlyName=Deschide sursa</x:v>
      </x:c>
    </x:row>
    <x:row r="35" ht="36" customHeight="1">
      <x:c r="A35" s="8" t="str">
        <x:v>F0031</x:v>
      </x:c>
      <x:c r="B35" s="8" t="str">
        <x:v>Corelarea puterii masinii cu suprafața fermei pentru achiziționarea de mașini agricole.pdf</x:v>
      </x:c>
      <x:c r="C35" s="8" t="str">
        <x:v>0.0 Documente Oficiale Ghid</x:v>
      </x:c>
      <x:c r="D35" s="8" t="str">
        <x:v>Context / alte investiții / ghid / audit intern</x:v>
      </x:c>
      <x:c r="E35" s="8" t="str">
        <x:v>.pdf</x:v>
      </x:c>
      <x:c r="F35" s="8" t="n">
        <x:v>580372</x:v>
      </x:c>
      <x:c r="G35" s="8" t="str">
        <x:v>Text extras</x:v>
      </x:c>
      <x:c r="H35" s="8" t="str">
        <x:v>Document local; transmiterea individuală neconfirmată</x:v>
      </x:c>
      <x:c r="I35" s="8" t="str"/>
      <x:c r="J35" s="8" t="e">
        <x:f>HYPERLINK("file:///Z:/00. Proiecte 2025/AFIR FotoVoltaic 1/0.0 Documente Oficiale Ghid/Corelarea puterii masinii cu suprafața fermei pentru achiziționarea de mașini agricole.pdf","Deschide sursa")</x:f>
        <x:v>HYPERLINK is not implemented. linkLocation=file:///Z:/00. Proiecte 2025/AFIR FotoVoltaic 1/0.0 Documente Oficiale Ghid/Corelarea puterii masinii cu suprafața fermei pentru achiziționarea de mașini agricole.pdf, friendlyName=Deschide sursa</x:v>
      </x:c>
    </x:row>
    <x:row r="36" ht="36" customHeight="1">
      <x:c r="A36" s="8" t="str">
        <x:v>F0032</x:v>
      </x:c>
      <x:c r="B36" s="8" t="str">
        <x:v>Manual de Procedura Evaluare Selectare Generala PS 2027 Editia I Revizia 3.pdf</x:v>
      </x:c>
      <x:c r="C36" s="8" t="str">
        <x:v>0.0 Documente Oficiale Ghid</x:v>
      </x:c>
      <x:c r="D36" s="8" t="str">
        <x:v>Context / alte investiții / ghid / audit intern</x:v>
      </x:c>
      <x:c r="E36" s="8" t="str">
        <x:v>.pdf</x:v>
      </x:c>
      <x:c r="F36" s="8" t="n">
        <x:v>868016</x:v>
      </x:c>
      <x:c r="G36" s="8" t="str">
        <x:v>Text extras</x:v>
      </x:c>
      <x:c r="H36" s="8" t="str">
        <x:v>Document local; transmiterea individuală neconfirmată</x:v>
      </x:c>
      <x:c r="I36" s="8" t="str"/>
      <x:c r="J36" s="8" t="e">
        <x:f>HYPERLINK("file:///Z:/00. Proiecte 2025/AFIR FotoVoltaic 1/0.0 Documente Oficiale Ghid/Manual de Procedura Evaluare Selectare Generala PS 2027 Editia I Revizia 3.pdf","Deschide sursa")</x:f>
        <x:v>HYPERLINK is not implemented. linkLocation=file:///Z:/00. Proiecte 2025/AFIR FotoVoltaic 1/0.0 Documente Oficiale Ghid/Manual de Procedura Evaluare Selectare Generala PS 2027 Editia I Revizia 3.pdf, friendlyName=Deschide sursa</x:v>
      </x:c>
    </x:row>
    <x:row r="37" ht="36" customHeight="1">
      <x:c r="A37" s="8" t="str">
        <x:v>F0033</x:v>
      </x:c>
      <x:c r="B37" s="8" t="str">
        <x:v>Manual de procedura pentru achizitii beneficiarii privati PS 2027.pdf</x:v>
      </x:c>
      <x:c r="C37" s="8" t="str">
        <x:v>0.0 Documente Oficiale Ghid</x:v>
      </x:c>
      <x:c r="D37" s="8" t="str">
        <x:v>Context / alte investiții / ghid / audit intern</x:v>
      </x:c>
      <x:c r="E37" s="8" t="str">
        <x:v>.pdf</x:v>
      </x:c>
      <x:c r="F37" s="8" t="n">
        <x:v>651465</x:v>
      </x:c>
      <x:c r="G37" s="8" t="str">
        <x:v>Text extras</x:v>
      </x:c>
      <x:c r="H37" s="8" t="str">
        <x:v>Document local; transmiterea individuală neconfirmată</x:v>
      </x:c>
      <x:c r="I37" s="8" t="str"/>
      <x:c r="J37" s="8" t="e">
        <x:f>HYPERLINK("file:///Z:/00. Proiecte 2025/AFIR FotoVoltaic 1/0.0 Documente Oficiale Ghid/Manual de procedura pentru achizitii beneficiarii privati PS 2027.pdf","Deschide sursa")</x:f>
        <x:v>HYPERLINK is not implemented. linkLocation=file:///Z:/00. Proiecte 2025/AFIR FotoVoltaic 1/0.0 Documente Oficiale Ghid/Manual de procedura pentru achizitii beneficiarii privati PS 2027.pdf, friendlyName=Deschide sursa</x:v>
      </x:c>
    </x:row>
    <x:row r="38" ht="36" customHeight="1">
      <x:c r="A38" s="8" t="str">
        <x:v>F0034</x:v>
      </x:c>
      <x:c r="B38" s="8" t="str">
        <x:v>Manual general de autorizare plăți PS 2023 - 2027.pdf</x:v>
      </x:c>
      <x:c r="C38" s="8" t="str">
        <x:v>0.0 Documente Oficiale Ghid</x:v>
      </x:c>
      <x:c r="D38" s="8" t="str">
        <x:v>Context / alte investiții / ghid / audit intern</x:v>
      </x:c>
      <x:c r="E38" s="8" t="str">
        <x:v>.pdf</x:v>
      </x:c>
      <x:c r="F38" s="8" t="n">
        <x:v>1103096</x:v>
      </x:c>
      <x:c r="G38" s="8" t="str">
        <x:v>Text extras</x:v>
      </x:c>
      <x:c r="H38" s="8" t="str">
        <x:v>Document local; transmiterea individuală neconfirmată</x:v>
      </x:c>
      <x:c r="I38" s="8" t="str"/>
      <x:c r="J38" s="8" t="e">
        <x:f>HYPERLINK("file:///Z:/00. Proiecte 2025/AFIR FotoVoltaic 1/0.0 Documente Oficiale Ghid/Manual general de autorizare plăți PS 2023 - 2027.pdf","Deschide sursa")</x:f>
        <x:v>HYPERLINK is not implemented. linkLocation=file:///Z:/00. Proiecte 2025/AFIR FotoVoltaic 1/0.0 Documente Oficiale Ghid/Manual general de autorizare plăți PS 2023 - 2027.pdf, friendlyName=Deschide sursa</x:v>
      </x:c>
    </x:row>
    <x:row r="39" ht="36" customHeight="1">
      <x:c r="A39" s="8" t="str">
        <x:v>F0035</x:v>
      </x:c>
      <x:c r="B39" s="8" t="str">
        <x:v>Manual Procedura Contabilizare Plati PS Editia 1 Revizia 1.pdf</x:v>
      </x:c>
      <x:c r="C39" s="8" t="str">
        <x:v>0.0 Documente Oficiale Ghid</x:v>
      </x:c>
      <x:c r="D39" s="8" t="str">
        <x:v>Context / alte investiții / ghid / audit intern</x:v>
      </x:c>
      <x:c r="E39" s="8" t="str">
        <x:v>.pdf</x:v>
      </x:c>
      <x:c r="F39" s="8" t="n">
        <x:v>2176199</x:v>
      </x:c>
      <x:c r="G39" s="8" t="str">
        <x:v>Text extras</x:v>
      </x:c>
      <x:c r="H39" s="8" t="str">
        <x:v>Document local; transmiterea individuală neconfirmată</x:v>
      </x:c>
      <x:c r="I39" s="8" t="str"/>
      <x:c r="J39" s="8" t="e">
        <x:f>HYPERLINK("file:///Z:/00. Proiecte 2025/AFIR FotoVoltaic 1/0.0 Documente Oficiale Ghid/Manual Procedura Contabilizare Plati PS Editia 1 Revizia 1.pdf","Deschide sursa")</x:f>
        <x:v>HYPERLINK is not implemented. linkLocation=file:///Z:/00. Proiecte 2025/AFIR FotoVoltaic 1/0.0 Documente Oficiale Ghid/Manual Procedura Contabilizare Plati PS Editia 1 Revizia 1.pdf, friendlyName=Deschide sursa</x:v>
      </x:c>
    </x:row>
    <x:row r="40" ht="36" customHeight="1">
      <x:c r="A40" s="8" t="str">
        <x:v>F0036</x:v>
      </x:c>
      <x:c r="B40" s="8" t="str">
        <x:v>Manual Procedura Contractare Si Modificare Contracte Finantare PS PAC 2027.pdf</x:v>
      </x:c>
      <x:c r="C40" s="8" t="str">
        <x:v>0.0 Documente Oficiale Ghid</x:v>
      </x:c>
      <x:c r="D40" s="8" t="str">
        <x:v>Context / alte investiții / ghid / audit intern</x:v>
      </x:c>
      <x:c r="E40" s="8" t="str">
        <x:v>.pdf</x:v>
      </x:c>
      <x:c r="F40" s="8" t="n">
        <x:v>1195991</x:v>
      </x:c>
      <x:c r="G40" s="8" t="str">
        <x:v>Text extras</x:v>
      </x:c>
      <x:c r="H40" s="8" t="str">
        <x:v>Document local; transmiterea individuală neconfirmată</x:v>
      </x:c>
      <x:c r="I40" s="8" t="str"/>
      <x:c r="J40" s="8" t="e">
        <x:f>HYPERLINK("file:///Z:/00. Proiecte 2025/AFIR FotoVoltaic 1/0.0 Documente Oficiale Ghid/Manual Procedura Contractare Si Modificare Contracte Finantare PS PAC 2027.pdf","Deschide sursa")</x:f>
        <x:v>HYPERLINK is not implemented. linkLocation=file:///Z:/00. Proiecte 2025/AFIR FotoVoltaic 1/0.0 Documente Oficiale Ghid/Manual Procedura Contractare Si Modificare Contracte Finantare PS PAC 2027.pdf, friendlyName=Deschide sursa</x:v>
      </x:c>
    </x:row>
    <x:row r="41" ht="36" customHeight="1">
      <x:c r="A41" s="8" t="str">
        <x:v>F0037</x:v>
      </x:c>
      <x:c r="B41" s="8" t="str">
        <x:v>Manual Procedura Efectuare Plati PS editia 1 revizia 1.pdf</x:v>
      </x:c>
      <x:c r="C41" s="8" t="str">
        <x:v>0.0 Documente Oficiale Ghid</x:v>
      </x:c>
      <x:c r="D41" s="8" t="str">
        <x:v>Context / alte investiții / ghid / audit intern</x:v>
      </x:c>
      <x:c r="E41" s="8" t="str">
        <x:v>.pdf</x:v>
      </x:c>
      <x:c r="F41" s="8" t="n">
        <x:v>1203773</x:v>
      </x:c>
      <x:c r="G41" s="8" t="str">
        <x:v>Text extras</x:v>
      </x:c>
      <x:c r="H41" s="8" t="str">
        <x:v>Document local; transmiterea individuală neconfirmată</x:v>
      </x:c>
      <x:c r="I41" s="8" t="str"/>
      <x:c r="J41" s="8" t="e">
        <x:f>HYPERLINK("file:///Z:/00. Proiecte 2025/AFIR FotoVoltaic 1/0.0 Documente Oficiale Ghid/Manual Procedura Efectuare Plati PS editia 1 revizia 1.pdf","Deschide sursa")</x:f>
        <x:v>HYPERLINK is not implemented. linkLocation=file:///Z:/00. Proiecte 2025/AFIR FotoVoltaic 1/0.0 Documente Oficiale Ghid/Manual Procedura Efectuare Plati PS editia 1 revizia 1.pdf, friendlyName=Deschide sursa</x:v>
      </x:c>
    </x:row>
    <x:row r="42" ht="36" customHeight="1">
      <x:c r="A42" s="8" t="str">
        <x:v>F0038</x:v>
      </x:c>
      <x:c r="B42" s="8" t="str">
        <x:v>Manual Procedura evaluare selectare PS PAC 2023 2027.pdf</x:v>
      </x:c>
      <x:c r="C42" s="8" t="str">
        <x:v>0.0 Documente Oficiale Ghid</x:v>
      </x:c>
      <x:c r="D42" s="8" t="str">
        <x:v>Context / alte investiții / ghid / audit intern</x:v>
      </x:c>
      <x:c r="E42" s="8" t="str">
        <x:v>.pdf</x:v>
      </x:c>
      <x:c r="F42" s="8" t="n">
        <x:v>453596</x:v>
      </x:c>
      <x:c r="G42" s="8" t="str">
        <x:v>Text extras</x:v>
      </x:c>
      <x:c r="H42" s="8" t="str">
        <x:v>Document local; transmiterea individuală neconfirmată</x:v>
      </x:c>
      <x:c r="I42" s="8" t="str"/>
      <x:c r="J42" s="8" t="e">
        <x:f>HYPERLINK("file:///Z:/00. Proiecte 2025/AFIR FotoVoltaic 1/0.0 Documente Oficiale Ghid/Manual Procedura evaluare selectare PS PAC 2023 2027.pdf","Deschide sursa")</x:f>
        <x:v>HYPERLINK is not implemented. linkLocation=file:///Z:/00. Proiecte 2025/AFIR FotoVoltaic 1/0.0 Documente Oficiale Ghid/Manual Procedura evaluare selectare PS PAC 2023 2027.pdf, friendlyName=Deschide sursa</x:v>
      </x:c>
    </x:row>
    <x:row r="43" ht="36" customHeight="1">
      <x:c r="A43" s="8" t="str">
        <x:v>F0039</x:v>
      </x:c>
      <x:c r="B43" s="8" t="str">
        <x:v>Manual Procedura evaluare selectare PS PAC 2023 2027.zip</x:v>
      </x:c>
      <x:c r="C43" s="8" t="str">
        <x:v>0.0 Documente Oficiale Ghid</x:v>
      </x:c>
      <x:c r="D43" s="8" t="str">
        <x:v>Context / alte investiții / ghid / audit intern</x:v>
      </x:c>
      <x:c r="E43" s="8" t="str">
        <x:v>.zip</x:v>
      </x:c>
      <x:c r="F43" s="8" t="n">
        <x:v>18013037</x:v>
      </x:c>
      <x:c r="G43" s="8" t="str">
        <x:v>Inventar ZIP</x:v>
      </x:c>
      <x:c r="H43" s="8" t="str">
        <x:v>Document local; transmiterea individuală neconfirmată</x:v>
      </x:c>
      <x:c r="I43" s="8" t="str"/>
      <x:c r="J43" s="8" t="e">
        <x:f>HYPERLINK("file:///Z:/00. Proiecte 2025/AFIR FotoVoltaic 1/0.0 Documente Oficiale Ghid/Manual Procedura evaluare selectare PS PAC 2023 2027.zip","Deschide sursa")</x:f>
        <x:v>HYPERLINK is not implemented. linkLocation=file:///Z:/00. Proiecte 2025/AFIR FotoVoltaic 1/0.0 Documente Oficiale Ghid/Manual Procedura evaluare selectare PS PAC 2023 2027.zip, friendlyName=Deschide sursa</x:v>
      </x:c>
    </x:row>
    <x:row r="44" ht="36" customHeight="1">
      <x:c r="A44" s="8" t="str">
        <x:v>F0040</x:v>
      </x:c>
      <x:c r="B44" s="8" t="str">
        <x:v>Manual Procedura Implementare DR 37 Editia I Revizia 1.pdf</x:v>
      </x:c>
      <x:c r="C44" s="8" t="str">
        <x:v>0.0 Documente Oficiale Ghid</x:v>
      </x:c>
      <x:c r="D44" s="8" t="str">
        <x:v>Context / alte investiții / ghid / audit intern</x:v>
      </x:c>
      <x:c r="E44" s="8" t="str">
        <x:v>.pdf</x:v>
      </x:c>
      <x:c r="F44" s="8" t="n">
        <x:v>1683025</x:v>
      </x:c>
      <x:c r="G44" s="8" t="str">
        <x:v>Text extras</x:v>
      </x:c>
      <x:c r="H44" s="8" t="str">
        <x:v>Document local; transmiterea individuală neconfirmată</x:v>
      </x:c>
      <x:c r="I44" s="8" t="str"/>
      <x:c r="J44" s="8" t="e">
        <x:f>HYPERLINK("file:///Z:/00. Proiecte 2025/AFIR FotoVoltaic 1/0.0 Documente Oficiale Ghid/Manual Procedura Implementare DR 37 Editia I Revizia 1.pdf","Deschide sursa")</x:f>
        <x:v>HYPERLINK is not implemented. linkLocation=file:///Z:/00. Proiecte 2025/AFIR FotoVoltaic 1/0.0 Documente Oficiale Ghid/Manual Procedura Implementare DR 37 Editia I Revizia 1.pdf, friendlyName=Deschide sursa</x:v>
      </x:c>
    </x:row>
    <x:row r="45" ht="36" customHeight="1">
      <x:c r="A45" s="8" t="str">
        <x:v>F0041</x:v>
      </x:c>
      <x:c r="B45" s="8" t="str">
        <x:v>Manual Procedură soluționare contestații PS 2023 - 2027.pdf</x:v>
      </x:c>
      <x:c r="C45" s="8" t="str">
        <x:v>0.0 Documente Oficiale Ghid</x:v>
      </x:c>
      <x:c r="D45" s="8" t="str">
        <x:v>Context / alte investiții / ghid / audit intern</x:v>
      </x:c>
      <x:c r="E45" s="8" t="str">
        <x:v>.pdf</x:v>
      </x:c>
      <x:c r="F45" s="8" t="n">
        <x:v>482777</x:v>
      </x:c>
      <x:c r="G45" s="8" t="str">
        <x:v>Text extras</x:v>
      </x:c>
      <x:c r="H45" s="8" t="str">
        <x:v>Document local; transmiterea individuală neconfirmată</x:v>
      </x:c>
      <x:c r="I45" s="8" t="str"/>
      <x:c r="J45" s="8" t="e">
        <x:f>HYPERLINK("file:///Z:/00. Proiecte 2025/AFIR FotoVoltaic 1/0.0 Documente Oficiale Ghid/Manual Procedură soluționare contestații PS 2023 - 2027.pdf","Deschide sursa")</x:f>
        <x:v>HYPERLINK is not implemented. linkLocation=file:///Z:/00. Proiecte 2025/AFIR FotoVoltaic 1/0.0 Documente Oficiale Ghid/Manual Procedură soluționare contestații PS 2023 - 2027.pdf, friendlyName=Deschide sursa</x:v>
      </x:c>
    </x:row>
    <x:row r="46" ht="36" customHeight="1">
      <x:c r="A46" s="8" t="str">
        <x:v>F0042</x:v>
      </x:c>
      <x:c r="B46" s="8" t="str">
        <x:v>Manualul Procedura Evaluare si Selectare Cereri Finantare PS 2027 Editia 1 Revizia 2.pdf</x:v>
      </x:c>
      <x:c r="C46" s="8" t="str">
        <x:v>0.0 Documente Oficiale Ghid</x:v>
      </x:c>
      <x:c r="D46" s="8" t="str">
        <x:v>Context / alte investiții / ghid / audit intern</x:v>
      </x:c>
      <x:c r="E46" s="8" t="str">
        <x:v>.pdf</x:v>
      </x:c>
      <x:c r="F46" s="8" t="n">
        <x:v>785920</x:v>
      </x:c>
      <x:c r="G46" s="8" t="str">
        <x:v>Text extras</x:v>
      </x:c>
      <x:c r="H46" s="8" t="str">
        <x:v>Document local; transmiterea individuală neconfirmată</x:v>
      </x:c>
      <x:c r="I46" s="8" t="str"/>
      <x:c r="J46" s="8" t="e">
        <x:f>HYPERLINK("file:///Z:/00. Proiecte 2025/AFIR FotoVoltaic 1/0.0 Documente Oficiale Ghid/Manualul Procedura Evaluare si Selectare Cereri Finantare PS 2027 Editia 1 Revizia 2.pdf","Deschide sursa")</x:f>
        <x:v>HYPERLINK is not implemented. linkLocation=file:///Z:/00. Proiecte 2025/AFIR FotoVoltaic 1/0.0 Documente Oficiale Ghid/Manualul Procedura Evaluare si Selectare Cereri Finantare PS 2027 Editia 1 Revizia 2.pdf, friendlyName=Deschide sursa</x:v>
      </x:c>
    </x:row>
    <x:row r="47" ht="36" customHeight="1">
      <x:c r="A47" s="8" t="str">
        <x:v>F0043</x:v>
      </x:c>
      <x:c r="B47" s="8" t="str">
        <x:v>Procedura Evaluare Selectare Contractare Cereri Finantare Schema De Energie.pdf</x:v>
      </x:c>
      <x:c r="C47" s="8" t="str">
        <x:v>0.0 Documente Oficiale Ghid</x:v>
      </x:c>
      <x:c r="D47" s="8" t="str">
        <x:v>Context / alte investiții / ghid / audit intern</x:v>
      </x:c>
      <x:c r="E47" s="8" t="str">
        <x:v>.pdf</x:v>
      </x:c>
      <x:c r="F47" s="8" t="n">
        <x:v>6308999</x:v>
      </x:c>
      <x:c r="G47" s="8" t="str">
        <x:v>Text extras</x:v>
      </x:c>
      <x:c r="H47" s="8" t="str">
        <x:v>Document local; transmiterea individuală neconfirmată</x:v>
      </x:c>
      <x:c r="I47" s="8" t="str"/>
      <x:c r="J47" s="8" t="e">
        <x:f>HYPERLINK("file:///Z:/00. Proiecte 2025/AFIR FotoVoltaic 1/0.0 Documente Oficiale Ghid/Procedura Evaluare Selectare Contractare Cereri Finantare Schema De Energie.pdf","Deschide sursa")</x:f>
        <x:v>HYPERLINK is not implemented. linkLocation=file:///Z:/00. Proiecte 2025/AFIR FotoVoltaic 1/0.0 Documente Oficiale Ghid/Procedura Evaluare Selectare Contractare Cereri Finantare Schema De Energie.pdf, friendlyName=Deschide sursa</x:v>
      </x:c>
    </x:row>
    <x:row r="48" ht="36" customHeight="1">
      <x:c r="A48" s="8" t="str">
        <x:v>F0044</x:v>
      </x:c>
      <x:c r="B48" s="8" t="str">
        <x:v>Procedura Inscriere Furnizori De Formare Profesionala DR 37 Transfer De Cunostinte.pdf</x:v>
      </x:c>
      <x:c r="C48" s="8" t="str">
        <x:v>0.0 Documente Oficiale Ghid</x:v>
      </x:c>
      <x:c r="D48" s="8" t="str">
        <x:v>Context / alte investiții / ghid / audit intern</x:v>
      </x:c>
      <x:c r="E48" s="8" t="str">
        <x:v>.pdf</x:v>
      </x:c>
      <x:c r="F48" s="8" t="n">
        <x:v>465565</x:v>
      </x:c>
      <x:c r="G48" s="8" t="str">
        <x:v>Text extras</x:v>
      </x:c>
      <x:c r="H48" s="8" t="str">
        <x:v>Document local; transmiterea individuală neconfirmată</x:v>
      </x:c>
      <x:c r="I48" s="8" t="str"/>
      <x:c r="J48" s="8" t="e">
        <x:f>HYPERLINK("file:///Z:/00. Proiecte 2025/AFIR FotoVoltaic 1/0.0 Documente Oficiale Ghid/Procedura Inscriere Furnizori De Formare Profesionala DR 37 Transfer De Cunostinte.pdf","Deschide sursa")</x:f>
        <x:v>HYPERLINK is not implemented. linkLocation=file:///Z:/00. Proiecte 2025/AFIR FotoVoltaic 1/0.0 Documente Oficiale Ghid/Procedura Inscriere Furnizori De Formare Profesionala DR 37 Transfer De Cunostinte.pdf, friendlyName=Deschide sursa</x:v>
      </x:c>
    </x:row>
    <x:row r="49" ht="36" customHeight="1">
      <x:c r="A49" s="8" t="str">
        <x:v>F0045</x:v>
      </x:c>
      <x:c r="B49" s="8" t="str">
        <x:v>Procedura operationala pentru solicitarea de informatii suplimentare proiecte FEADR.pdf</x:v>
      </x:c>
      <x:c r="C49" s="8" t="str">
        <x:v>0.0 Documente Oficiale Ghid</x:v>
      </x:c>
      <x:c r="D49" s="8" t="str">
        <x:v>Context / alte investiții / ghid / audit intern</x:v>
      </x:c>
      <x:c r="E49" s="8" t="str">
        <x:v>.pdf</x:v>
      </x:c>
      <x:c r="F49" s="8" t="n">
        <x:v>313338</x:v>
      </x:c>
      <x:c r="G49" s="8" t="str">
        <x:v>Text extras</x:v>
      </x:c>
      <x:c r="H49" s="8" t="str">
        <x:v>Document local; transmiterea individuală neconfirmată</x:v>
      </x:c>
      <x:c r="I49" s="8" t="str"/>
      <x:c r="J49" s="8" t="e">
        <x:f>HYPERLINK("file:///Z:/00. Proiecte 2025/AFIR FotoVoltaic 1/0.0 Documente Oficiale Ghid/Procedura operationala pentru solicitarea de informatii suplimentare proiecte FEADR.pdf","Deschide sursa")</x:f>
        <x:v>HYPERLINK is not implemented. linkLocation=file:///Z:/00. Proiecte 2025/AFIR FotoVoltaic 1/0.0 Documente Oficiale Ghid/Procedura operationala pentru solicitarea de informatii suplimentare proiecte FEADR.pdf, friendlyName=Deschide sursa</x:v>
      </x:c>
    </x:row>
    <x:row r="50" ht="36" customHeight="1">
      <x:c r="A50" s="8" t="str">
        <x:v>F0046</x:v>
      </x:c>
      <x:c r="B50" s="8" t="str">
        <x:v>Procedura Operationala Solicitare Informații Suplimentare.pdf</x:v>
      </x:c>
      <x:c r="C50" s="8" t="str">
        <x:v>0.0 Documente Oficiale Ghid</x:v>
      </x:c>
      <x:c r="D50" s="8" t="str">
        <x:v>Context / alte investiții / ghid / audit intern</x:v>
      </x:c>
      <x:c r="E50" s="8" t="str">
        <x:v>.pdf</x:v>
      </x:c>
      <x:c r="F50" s="8" t="n">
        <x:v>864540</x:v>
      </x:c>
      <x:c r="G50" s="8" t="str">
        <x:v>Text extras</x:v>
      </x:c>
      <x:c r="H50" s="8" t="str">
        <x:v>Document local; transmiterea individuală neconfirmată</x:v>
      </x:c>
      <x:c r="I50" s="8" t="str"/>
      <x:c r="J50" s="8" t="e">
        <x:f>HYPERLINK("file:///Z:/00. Proiecte 2025/AFIR FotoVoltaic 1/0.0 Documente Oficiale Ghid/Procedura Operationala Solicitare Informații Suplimentare.pdf","Deschide sursa")</x:f>
        <x:v>HYPERLINK is not implemented. linkLocation=file:///Z:/00. Proiecte 2025/AFIR FotoVoltaic 1/0.0 Documente Oficiale Ghid/Procedura Operationala Solicitare Informații Suplimentare.pdf, friendlyName=Deschide sursa</x:v>
      </x:c>
    </x:row>
    <x:row r="51" ht="36" customHeight="1">
      <x:c r="A51" s="8" t="str">
        <x:v>F0047</x:v>
      </x:c>
      <x:c r="B51" s="8" t="str">
        <x:v>act constitutiv cesiro production.pdf</x:v>
      </x:c>
      <x:c r="C51" s="8" t="str">
        <x:v>1. Documente Cesiro Production SRL</x:v>
      </x:c>
      <x:c r="D51" s="8" t="str">
        <x:v>Proiect fotovoltaic</x:v>
      </x:c>
      <x:c r="E51" s="8" t="str">
        <x:v>.pdf</x:v>
      </x:c>
      <x:c r="F51" s="8" t="n">
        <x:v>619150</x:v>
      </x:c>
      <x:c r="G51" s="8" t="str">
        <x:v>Text extras</x:v>
      </x:c>
      <x:c r="H51" s="8" t="str">
        <x:v>Document local; transmiterea individuală neconfirmată</x:v>
      </x:c>
      <x:c r="I51" s="8" t="str"/>
      <x:c r="J51" s="8" t="e">
        <x:f>HYPERLINK("file:///Z:/00. Proiecte 2025/AFIR FotoVoltaic 1/1. Documente Cesiro Production SRL/act constitutiv cesiro production.pdf","Deschide sursa")</x:f>
        <x:v>HYPERLINK is not implemented. linkLocation=file:///Z:/00. Proiecte 2025/AFIR FotoVoltaic 1/1. Documente Cesiro Production SRL/act constitutiv cesiro production.pdf, friendlyName=Deschide sursa</x:v>
      </x:c>
    </x:row>
    <x:row r="52" ht="36" customHeight="1">
      <x:c r="A52" s="8" t="str">
        <x:v>F0048</x:v>
      </x:c>
      <x:c r="B52" s="8" t="str">
        <x:v>cazier fiscal production 24.01.2024 117823718CF.pdf</x:v>
      </x:c>
      <x:c r="C52" s="8" t="str">
        <x:v>1. Documente Cesiro Production SRL</x:v>
      </x:c>
      <x:c r="D52" s="8" t="str">
        <x:v>Proiect fotovoltaic</x:v>
      </x:c>
      <x:c r="E52" s="8" t="str">
        <x:v>.pdf</x:v>
      </x:c>
      <x:c r="F52" s="8" t="n">
        <x:v>65677</x:v>
      </x:c>
      <x:c r="G52" s="8" t="str">
        <x:v>Text extras</x:v>
      </x:c>
      <x:c r="H52" s="8" t="str">
        <x:v>Document local; transmiterea individuală neconfirmată</x:v>
      </x:c>
      <x:c r="I52" s="8" t="str"/>
      <x:c r="J52" s="8" t="e">
        <x:f>HYPERLINK("file:///Z:/00. Proiecte 2025/AFIR FotoVoltaic 1/1. Documente Cesiro Production SRL/cazier fiscal production 24.01.2024 117823718CF.pdf","Deschide sursa")</x:f>
        <x:v>HYPERLINK is not implemented. linkLocation=file:///Z:/00. Proiecte 2025/AFIR FotoVoltaic 1/1. Documente Cesiro Production SRL/cazier fiscal production 24.01.2024 117823718CF.pdf, friendlyName=Deschide sursa</x:v>
      </x:c>
    </x:row>
    <x:row r="53" ht="36" customHeight="1">
      <x:c r="A53" s="8" t="str">
        <x:v>F0049</x:v>
      </x:c>
      <x:c r="B53" s="8" t="str">
        <x:v>certificat constatator 29.01.2024.pdf</x:v>
      </x:c>
      <x:c r="C53" s="8" t="str">
        <x:v>1. Documente Cesiro Production SRL</x:v>
      </x:c>
      <x:c r="D53" s="8" t="str">
        <x:v>Proiect fotovoltaic</x:v>
      </x:c>
      <x:c r="E53" s="8" t="str">
        <x:v>.pdf</x:v>
      </x:c>
      <x:c r="F53" s="8" t="n">
        <x:v>218776</x:v>
      </x:c>
      <x:c r="G53" s="8" t="str">
        <x:v>Text extras</x:v>
      </x:c>
      <x:c r="H53" s="8" t="str">
        <x:v>Document local; transmiterea individuală neconfirmată</x:v>
      </x:c>
      <x:c r="I53" s="8" t="str"/>
      <x:c r="J53" s="8" t="e">
        <x:f>HYPERLINK("file:///Z:/00. Proiecte 2025/AFIR FotoVoltaic 1/1. Documente Cesiro Production SRL/certificat constatator 29.01.2024.pdf","Deschide sursa")</x:f>
        <x:v>HYPERLINK is not implemented. linkLocation=file:///Z:/00. Proiecte 2025/AFIR FotoVoltaic 1/1. Documente Cesiro Production SRL/certificat constatator 29.01.2024.pdf, friendlyName=Deschide sursa</x:v>
      </x:c>
    </x:row>
    <x:row r="54" ht="36" customHeight="1">
      <x:c r="A54" s="8" t="str">
        <x:v>F0050</x:v>
      </x:c>
      <x:c r="B54" s="8" t="str">
        <x:v>Certificat Constatator Cesiro Production 26.01.2024.pdf</x:v>
      </x:c>
      <x:c r="C54" s="8" t="str">
        <x:v>1. Documente Cesiro Production SRL</x:v>
      </x:c>
      <x:c r="D54" s="8" t="str">
        <x:v>Proiect fotovoltaic</x:v>
      </x:c>
      <x:c r="E54" s="8" t="str">
        <x:v>.pdf</x:v>
      </x:c>
      <x:c r="F54" s="8" t="n">
        <x:v>209255</x:v>
      </x:c>
      <x:c r="G54" s="8" t="str">
        <x:v>Text extras</x:v>
      </x:c>
      <x:c r="H54" s="8" t="str">
        <x:v>Document local; transmiterea individuală neconfirmată</x:v>
      </x:c>
      <x:c r="I54" s="8" t="str"/>
      <x:c r="J54" s="8" t="e">
        <x:f>HYPERLINK("file:///Z:/00. Proiecte 2025/AFIR FotoVoltaic 1/1. Documente Cesiro Production SRL/Certificat Constatator Cesiro Production 26.01.2024.pdf","Deschide sursa")</x:f>
        <x:v>HYPERLINK is not implemented. linkLocation=file:///Z:/00. Proiecte 2025/AFIR FotoVoltaic 1/1. Documente Cesiro Production SRL/Certificat Constatator Cesiro Production 26.01.2024.pdf, friendlyName=Deschide sursa</x:v>
      </x:c>
    </x:row>
    <x:row r="55" ht="32" customHeight="1">
      <x:c r="A55" s="8" t="str">
        <x:v>F0051</x:v>
      </x:c>
      <x:c r="B55" s="8" t="str">
        <x:v>Cesiro Production.pdf</x:v>
      </x:c>
      <x:c r="C55" s="8" t="str">
        <x:v>1. Documente Cesiro Production SRL</x:v>
      </x:c>
      <x:c r="D55" s="8" t="str">
        <x:v>Proiect fotovoltaic</x:v>
      </x:c>
      <x:c r="E55" s="8" t="str">
        <x:v>.pdf</x:v>
      </x:c>
      <x:c r="F55" s="8" t="n">
        <x:v>611208</x:v>
      </x:c>
      <x:c r="G55" s="8" t="str">
        <x:v>Text extras</x:v>
      </x:c>
      <x:c r="H55" s="8" t="str">
        <x:v>Document local; transmiterea individuală neconfirmată</x:v>
      </x:c>
      <x:c r="I55" s="8" t="str"/>
      <x:c r="J55" s="8" t="e">
        <x:f>HYPERLINK("file:///Z:/00. Proiecte 2025/AFIR FotoVoltaic 1/1. Documente Cesiro Production SRL/Cesiro Production.pdf","Deschide sursa")</x:f>
        <x:v>HYPERLINK is not implemented. linkLocation=file:///Z:/00. Proiecte 2025/AFIR FotoVoltaic 1/1. Documente Cesiro Production SRL/Cesiro Production.pdf, friendlyName=Deschide sursa</x:v>
      </x:c>
    </x:row>
    <x:row r="56" ht="36" customHeight="1">
      <x:c r="A56" s="8" t="str">
        <x:v>F0052</x:v>
      </x:c>
      <x:c r="B56" s="8" t="str">
        <x:v>Stampila Cesiro Production.pdf</x:v>
      </x:c>
      <x:c r="C56" s="8" t="str">
        <x:v>1. Documente Cesiro Production SRL</x:v>
      </x:c>
      <x:c r="D56" s="8" t="str">
        <x:v>Proiect fotovoltaic</x:v>
      </x:c>
      <x:c r="E56" s="8" t="str">
        <x:v>.pdf</x:v>
      </x:c>
      <x:c r="F56" s="8" t="n">
        <x:v>593484</x:v>
      </x:c>
      <x:c r="G56" s="8" t="str">
        <x:v>Scan / text insuficient</x:v>
      </x:c>
      <x:c r="H56" s="8" t="str">
        <x:v>Document local; transmiterea individuală neconfirmată</x:v>
      </x:c>
      <x:c r="I56" s="8" t="str">
        <x:v>F0029</x:v>
      </x:c>
      <x:c r="J56" s="8" t="e">
        <x:f>HYPERLINK("file:///Z:/00. Proiecte 2025/AFIR FotoVoltaic 1/1. Documente Cesiro Production SRL/Stampila Cesiro Production.pdf","Deschide sursa")</x:f>
        <x:v>HYPERLINK is not implemented. linkLocation=file:///Z:/00. Proiecte 2025/AFIR FotoVoltaic 1/1. Documente Cesiro Production SRL/Stampila Cesiro Production.pdf, friendlyName=Deschide sursa</x:v>
      </x:c>
    </x:row>
    <x:row r="57" ht="32" customHeight="1">
      <x:c r="A57" s="8" t="str">
        <x:v>F0053</x:v>
      </x:c>
      <x:c r="B57" s="8" t="str">
        <x:v>Stampila Cesiro SA.pdf</x:v>
      </x:c>
      <x:c r="C57" s="8" t="str">
        <x:v>1. Documente Cesiro Production SRL</x:v>
      </x:c>
      <x:c r="D57" s="8" t="str">
        <x:v>Proiect fotovoltaic</x:v>
      </x:c>
      <x:c r="E57" s="8" t="str">
        <x:v>.pdf</x:v>
      </x:c>
      <x:c r="F57" s="8" t="n">
        <x:v>758239</x:v>
      </x:c>
      <x:c r="G57" s="8" t="str">
        <x:v>Scan / text insuficient</x:v>
      </x:c>
      <x:c r="H57" s="8" t="str">
        <x:v>Document local; transmiterea individuală neconfirmată</x:v>
      </x:c>
      <x:c r="I57" s="8" t="str"/>
      <x:c r="J57" s="8" t="e">
        <x:f>HYPERLINK("file:///Z:/00. Proiecte 2025/AFIR FotoVoltaic 1/1. Documente Cesiro Production SRL/Stampila Cesiro SA.pdf","Deschide sursa")</x:f>
        <x:v>HYPERLINK is not implemented. linkLocation=file:///Z:/00. Proiecte 2025/AFIR FotoVoltaic 1/1. Documente Cesiro Production SRL/Stampila Cesiro SA.pdf, friendlyName=Deschide sursa</x:v>
      </x:c>
    </x:row>
    <x:row r="58" ht="32" customHeight="1">
      <x:c r="A58" s="8" t="str">
        <x:v>F0054</x:v>
      </x:c>
      <x:c r="B58" s="8" t="str">
        <x:v>Stampila Cesiro.png</x:v>
      </x:c>
      <x:c r="C58" s="8" t="str">
        <x:v>1. Documente Cesiro Production SRL</x:v>
      </x:c>
      <x:c r="D58" s="8" t="str">
        <x:v>Proiect fotovoltaic</x:v>
      </x:c>
      <x:c r="E58" s="8" t="str">
        <x:v>.png</x:v>
      </x:c>
      <x:c r="F58" s="8" t="n">
        <x:v>138128</x:v>
      </x:c>
      <x:c r="G58" s="8" t="str">
        <x:v>Inventariat; conținut neextras</x:v>
      </x:c>
      <x:c r="H58" s="8" t="str">
        <x:v>Document local; transmiterea individuală neconfirmată</x:v>
      </x:c>
      <x:c r="I58" s="8" t="str"/>
      <x:c r="J58" s="8" t="e">
        <x:f>HYPERLINK("file:///Z:/00. Proiecte 2025/AFIR FotoVoltaic 1/1. Documente Cesiro Production SRL/Stampila Cesiro.png","Deschide sursa")</x:f>
        <x:v>HYPERLINK is not implemented. linkLocation=file:///Z:/00. Proiecte 2025/AFIR FotoVoltaic 1/1. Documente Cesiro Production SRL/Stampila Cesiro.png, friendlyName=Deschide sursa</x:v>
      </x:c>
    </x:row>
    <x:row r="59" ht="32" customHeight="1">
      <x:c r="A59" s="8" t="str">
        <x:v>F0055</x:v>
      </x:c>
      <x:c r="B59" s="8" t="str">
        <x:v>4. Contractare.zip</x:v>
      </x:c>
      <x:c r="C59" s="8" t="str">
        <x:v>10. Contractare</x:v>
      </x:c>
      <x:c r="D59" s="8" t="str">
        <x:v>Proiect fotovoltaic</x:v>
      </x:c>
      <x:c r="E59" s="8" t="str">
        <x:v>.zip</x:v>
      </x:c>
      <x:c r="F59" s="8" t="n">
        <x:v>102816513</x:v>
      </x:c>
      <x:c r="G59" s="8" t="str">
        <x:v>Inventar ZIP</x:v>
      </x:c>
      <x:c r="H59" s="8" t="str">
        <x:v>Document local; transmiterea individuală neconfirmată</x:v>
      </x:c>
      <x:c r="I59" s="8" t="str"/>
      <x:c r="J59" s="8" t="e">
        <x:f>HYPERLINK("file:///Z:/00. Proiecte 2025/AFIR FotoVoltaic 1/10. Contractare/4. Contractare.zip","Deschide sursa")</x:f>
        <x:v>HYPERLINK is not implemented. linkLocation=file:///Z:/00. Proiecte 2025/AFIR FotoVoltaic 1/10. Contractare/4. Contractare.zip, friendlyName=Deschide sursa</x:v>
      </x:c>
    </x:row>
    <x:row r="60" ht="32" customHeight="1">
      <x:c r="A60" s="8" t="str">
        <x:v>F0056</x:v>
      </x:c>
      <x:c r="B60" s="8" t="str">
        <x:v>AnexaIII_FM semnat.pdf</x:v>
      </x:c>
      <x:c r="C60" s="8" t="str">
        <x:v>11. Contract Finantare Semnat</x:v>
      </x:c>
      <x:c r="D60" s="8" t="str">
        <x:v>Proiect fotovoltaic</x:v>
      </x:c>
      <x:c r="E60" s="8" t="str">
        <x:v>.pdf</x:v>
      </x:c>
      <x:c r="F60" s="8" t="n">
        <x:v>317733</x:v>
      </x:c>
      <x:c r="G60" s="8" t="str">
        <x:v>Text extras</x:v>
      </x:c>
      <x:c r="H60" s="8" t="str">
        <x:v>Document local; transmiterea individuală neconfirmată</x:v>
      </x:c>
      <x:c r="I60" s="8" t="str"/>
      <x:c r="J60" s="8" t="e">
        <x:f>HYPERLINK("file:///Z:/00. Proiecte 2025/AFIR FotoVoltaic 1/11. Contract Finantare Semnat/AnexaIII_FM semnat.pdf","Deschide sursa")</x:f>
        <x:v>HYPERLINK is not implemented. linkLocation=file:///Z:/00. Proiecte 2025/AFIR FotoVoltaic 1/11. Contract Finantare Semnat/AnexaIII_FM semnat.pdf, friendlyName=Deschide sursa</x:v>
      </x:c>
    </x:row>
    <x:row r="61" ht="32" customHeight="1">
      <x:c r="A61" s="8" t="str">
        <x:v>F0057</x:v>
      </x:c>
      <x:c r="B61" s="8" t="str">
        <x:v>AnexaII_FM semnat.pdf</x:v>
      </x:c>
      <x:c r="C61" s="8" t="str">
        <x:v>11. Contract Finantare Semnat</x:v>
      </x:c>
      <x:c r="D61" s="8" t="str">
        <x:v>Proiect fotovoltaic</x:v>
      </x:c>
      <x:c r="E61" s="8" t="str">
        <x:v>.pdf</x:v>
      </x:c>
      <x:c r="F61" s="8" t="n">
        <x:v>703767</x:v>
      </x:c>
      <x:c r="G61" s="8" t="str">
        <x:v>Text extras</x:v>
      </x:c>
      <x:c r="H61" s="8" t="str">
        <x:v>Document local; transmiterea individuală neconfirmată</x:v>
      </x:c>
      <x:c r="I61" s="8" t="str"/>
      <x:c r="J61" s="8" t="e">
        <x:f>HYPERLINK("file:///Z:/00. Proiecte 2025/AFIR FotoVoltaic 1/11. Contract Finantare Semnat/AnexaII_FM semnat.pdf","Deschide sursa")</x:f>
        <x:v>HYPERLINK is not implemented. linkLocation=file:///Z:/00. Proiecte 2025/AFIR FotoVoltaic 1/11. Contract Finantare Semnat/AnexaII_FM semnat.pdf, friendlyName=Deschide sursa</x:v>
      </x:c>
    </x:row>
    <x:row r="62" ht="32" customHeight="1">
      <x:c r="A62" s="8" t="str">
        <x:v>F0058</x:v>
      </x:c>
      <x:c r="B62" s="8" t="str">
        <x:v>AnexaIV_FM semnat.pdf</x:v>
      </x:c>
      <x:c r="C62" s="8" t="str">
        <x:v>11. Contract Finantare Semnat</x:v>
      </x:c>
      <x:c r="D62" s="8" t="str">
        <x:v>Proiect fotovoltaic</x:v>
      </x:c>
      <x:c r="E62" s="8" t="str">
        <x:v>.pdf</x:v>
      </x:c>
      <x:c r="F62" s="8" t="n">
        <x:v>413742</x:v>
      </x:c>
      <x:c r="G62" s="8" t="str">
        <x:v>Text extras</x:v>
      </x:c>
      <x:c r="H62" s="8" t="str">
        <x:v>Document local; transmiterea individuală neconfirmată</x:v>
      </x:c>
      <x:c r="I62" s="8" t="str"/>
      <x:c r="J62" s="8" t="e">
        <x:f>HYPERLINK("file:///Z:/00. Proiecte 2025/AFIR FotoVoltaic 1/11. Contract Finantare Semnat/AnexaIV_FM semnat.pdf","Deschide sursa")</x:f>
        <x:v>HYPERLINK is not implemented. linkLocation=file:///Z:/00. Proiecte 2025/AFIR FotoVoltaic 1/11. Contract Finantare Semnat/AnexaIV_FM semnat.pdf, friendlyName=Deschide sursa</x:v>
      </x:c>
    </x:row>
    <x:row r="63" ht="32" customHeight="1">
      <x:c r="A63" s="8" t="str">
        <x:v>F0059</x:v>
      </x:c>
      <x:c r="B63" s="8" t="str">
        <x:v>AnexaI_FM semnat.pdf</x:v>
      </x:c>
      <x:c r="C63" s="8" t="str">
        <x:v>11. Contract Finantare Semnat</x:v>
      </x:c>
      <x:c r="D63" s="8" t="str">
        <x:v>Proiect fotovoltaic</x:v>
      </x:c>
      <x:c r="E63" s="8" t="str">
        <x:v>.pdf</x:v>
      </x:c>
      <x:c r="F63" s="8" t="n">
        <x:v>411053</x:v>
      </x:c>
      <x:c r="G63" s="8" t="str">
        <x:v>Text extras</x:v>
      </x:c>
      <x:c r="H63" s="8" t="str">
        <x:v>Document local; transmiterea individuală neconfirmată</x:v>
      </x:c>
      <x:c r="I63" s="8" t="str"/>
      <x:c r="J63" s="8" t="e">
        <x:f>HYPERLINK("file:///Z:/00. Proiecte 2025/AFIR FotoVoltaic 1/11. Contract Finantare Semnat/AnexaI_FM semnat.pdf","Deschide sursa")</x:f>
        <x:v>HYPERLINK is not implemented. linkLocation=file:///Z:/00. Proiecte 2025/AFIR FotoVoltaic 1/11. Contract Finantare Semnat/AnexaI_FM semnat.pdf, friendlyName=Deschide sursa</x:v>
      </x:c>
    </x:row>
    <x:row r="64" ht="32" customHeight="1">
      <x:c r="A64" s="8" t="str">
        <x:v>F0060</x:v>
      </x:c>
      <x:c r="B64" s="8" t="str">
        <x:v>AnexaI_FM semnat.zip</x:v>
      </x:c>
      <x:c r="C64" s="8" t="str">
        <x:v>11. Contract Finantare Semnat</x:v>
      </x:c>
      <x:c r="D64" s="8" t="str">
        <x:v>Proiect fotovoltaic</x:v>
      </x:c>
      <x:c r="E64" s="8" t="str">
        <x:v>.zip</x:v>
      </x:c>
      <x:c r="F64" s="8" t="n">
        <x:v>3893728</x:v>
      </x:c>
      <x:c r="G64" s="8" t="str">
        <x:v>Inventar ZIP</x:v>
      </x:c>
      <x:c r="H64" s="8" t="str">
        <x:v>Document local; transmiterea individuală neconfirmată</x:v>
      </x:c>
      <x:c r="I64" s="8" t="str"/>
      <x:c r="J64" s="8" t="e">
        <x:f>HYPERLINK("file:///Z:/00. Proiecte 2025/AFIR FotoVoltaic 1/11. Contract Finantare Semnat/AnexaI_FM semnat.zip","Deschide sursa")</x:f>
        <x:v>HYPERLINK is not implemented. linkLocation=file:///Z:/00. Proiecte 2025/AFIR FotoVoltaic 1/11. Contract Finantare Semnat/AnexaI_FM semnat.zip, friendlyName=Deschide sursa</x:v>
      </x:c>
    </x:row>
    <x:row r="65" ht="36" customHeight="1">
      <x:c r="A65" s="8" t="str">
        <x:v>F0061</x:v>
      </x:c>
      <x:c r="B65" s="8" t="str">
        <x:v>Contract de finatnare Afir Cesiro Production.pdf</x:v>
      </x:c>
      <x:c r="C65" s="8" t="str">
        <x:v>11. Contract Finantare Semnat</x:v>
      </x:c>
      <x:c r="D65" s="8" t="str">
        <x:v>Proiect fotovoltaic</x:v>
      </x:c>
      <x:c r="E65" s="8" t="str">
        <x:v>.pdf</x:v>
      </x:c>
      <x:c r="F65" s="8" t="n">
        <x:v>1828713</x:v>
      </x:c>
      <x:c r="G65" s="8" t="str">
        <x:v>Text extras</x:v>
      </x:c>
      <x:c r="H65" s="8" t="str">
        <x:v>Document local; transmiterea individuală neconfirmată</x:v>
      </x:c>
      <x:c r="I65" s="8" t="str"/>
      <x:c r="J65" s="8" t="e">
        <x:f>HYPERLINK("file:///Z:/00. Proiecte 2025/AFIR FotoVoltaic 1/11. Contract Finantare Semnat/Contract de finatnare Afir Cesiro Production.pdf","Deschide sursa")</x:f>
        <x:v>HYPERLINK is not implemented. linkLocation=file:///Z:/00. Proiecte 2025/AFIR FotoVoltaic 1/11. Contract Finantare Semnat/Contract de finatnare Afir Cesiro Production.pdf, friendlyName=Deschide sursa</x:v>
      </x:c>
    </x:row>
    <x:row r="66" ht="36" customHeight="1">
      <x:c r="A66" s="8" t="str">
        <x:v>F0062</x:v>
      </x:c>
      <x:c r="B66" s="8" t="str">
        <x:v>Draft sigla si antent cesiro production.docx</x:v>
      </x:c>
      <x:c r="C66" s="8" t="str">
        <x:v>15. Implementare Proiect Fotovoltaic</x:v>
      </x:c>
      <x:c r="D66" s="8" t="str">
        <x:v>Proiect fotovoltaic</x:v>
      </x:c>
      <x:c r="E66" s="8" t="str">
        <x:v>.docx</x:v>
      </x:c>
      <x:c r="F66" s="8" t="n">
        <x:v>295008</x:v>
      </x:c>
      <x:c r="G66" s="8" t="str">
        <x:v>Scan / text insuficient</x:v>
      </x:c>
      <x:c r="H66" s="8" t="str">
        <x:v>Versiune de lucru / arhivă</x:v>
      </x:c>
      <x:c r="I66" s="8" t="str"/>
      <x:c r="J66" s="8" t="e">
        <x:f>HYPERLINK("file:///Z:/00. Proiecte 2025/AFIR FotoVoltaic 1/15. Implementare Proiect Fotovoltaic/Draft sigla si antent cesiro production.docx","Deschide sursa")</x:f>
        <x:v>HYPERLINK is not implemented. linkLocation=file:///Z:/00. Proiecte 2025/AFIR FotoVoltaic 1/15. Implementare Proiect Fotovoltaic/Draft sigla si antent cesiro production.docx, friendlyName=Deschide sursa</x:v>
      </x:c>
    </x:row>
    <x:row r="67" ht="36" customHeight="1">
      <x:c r="A67" s="8" t="str">
        <x:v>F0063</x:v>
      </x:c>
      <x:c r="B67" s="8" t="str">
        <x:v>INDRUMAR Achizitii Privati ENERGIE E.1 Rev.0 2026.pdf</x:v>
      </x:c>
      <x:c r="C67" s="8" t="str">
        <x:v>15. Implementare Proiect Fotovoltaic</x:v>
      </x:c>
      <x:c r="D67" s="8" t="str">
        <x:v>Proiect fotovoltaic</x:v>
      </x:c>
      <x:c r="E67" s="8" t="str">
        <x:v>.pdf</x:v>
      </x:c>
      <x:c r="F67" s="8" t="n">
        <x:v>360001</x:v>
      </x:c>
      <x:c r="G67" s="8" t="str">
        <x:v>Text extras</x:v>
      </x:c>
      <x:c r="H67" s="8" t="str">
        <x:v>Document local; transmiterea individuală neconfirmată</x:v>
      </x:c>
      <x:c r="I67" s="8" t="str"/>
      <x:c r="J67" s="8" t="e">
        <x:f>HYPERLINK("file:///Z:/00. Proiecte 2025/AFIR FotoVoltaic 1/15. Implementare Proiect Fotovoltaic/INDRUMAR Achizitii Privati ENERGIE E.1 Rev.0 2026.pdf","Deschide sursa")</x:f>
        <x:v>HYPERLINK is not implemented. linkLocation=file:///Z:/00. Proiecte 2025/AFIR FotoVoltaic 1/15. Implementare Proiect Fotovoltaic/INDRUMAR Achizitii Privati ENERGIE E.1 Rev.0 2026.pdf, friendlyName=Deschide sursa</x:v>
      </x:c>
    </x:row>
    <x:row r="68" ht="36" customHeight="1">
      <x:c r="A68" s="8" t="str">
        <x:v>F0064</x:v>
      </x:c>
      <x:c r="B68" s="8" t="str">
        <x:v>CESIRO PRODUCTION S.R.L. – CFMSES011011372801030, Schema de Energie-Fondul pentru Modernizare.docx</x:v>
      </x:c>
      <x:c r="C68" s="8" t="str">
        <x:v>15.1 Promovare-Informare</x:v>
      </x:c>
      <x:c r="D68" s="8" t="str">
        <x:v>Proiect fotovoltaic</x:v>
      </x:c>
      <x:c r="E68" s="8" t="str">
        <x:v>.docx</x:v>
      </x:c>
      <x:c r="F68" s="8" t="n">
        <x:v>20006</x:v>
      </x:c>
      <x:c r="G68" s="8" t="str">
        <x:v>Text extras</x:v>
      </x:c>
      <x:c r="H68" s="8" t="str">
        <x:v>Document local; transmiterea individuală neconfirmată</x:v>
      </x:c>
      <x:c r="I68" s="8" t="str"/>
      <x:c r="J68" s="8" t="e">
        <x:f>HYPERLINK("file:///Z:/00. Proiecte 2025/AFIR FotoVoltaic 1/15.1 Promovare-Informare/CESIRO PRODUCTION S.R.L. – CFMSES011011372801030, Schema de Energie-Fondul pentru Modernizare.docx","Deschide sursa")</x:f>
        <x:v>HYPERLINK is not implemented. linkLocation=file:///Z:/00. Proiecte 2025/AFIR FotoVoltaic 1/15.1 Promovare-Informare/CESIRO PRODUCTION S.R.L. – CFMSES011011372801030, Schema de Energie-Fondul pentru Modernizare.docx, friendlyName=Deschide sursa</x:v>
      </x:c>
    </x:row>
    <x:row r="69" ht="32" customHeight="1">
      <x:c r="A69" s="8" t="str">
        <x:v>F0065</x:v>
      </x:c>
      <x:c r="B69" s="8" t="str">
        <x:v>cesiro_pagina_promovare_fm_final.zip</x:v>
      </x:c>
      <x:c r="C69" s="8" t="str">
        <x:v>15.1 Promovare-Informare</x:v>
      </x:c>
      <x:c r="D69" s="8" t="str">
        <x:v>Proiect fotovoltaic</x:v>
      </x:c>
      <x:c r="E69" s="8" t="str">
        <x:v>.zip</x:v>
      </x:c>
      <x:c r="F69" s="8" t="n">
        <x:v>582913</x:v>
      </x:c>
      <x:c r="G69" s="8" t="str">
        <x:v>Inventar ZIP</x:v>
      </x:c>
      <x:c r="H69" s="8" t="str">
        <x:v>Document local; transmiterea individuală neconfirmată</x:v>
      </x:c>
      <x:c r="I69" s="8" t="str"/>
      <x:c r="J69" s="8" t="e">
        <x:f>HYPERLINK("file:///Z:/00. Proiecte 2025/AFIR FotoVoltaic 1/15.1 Promovare-Informare/cesiro_pagina_promovare_fm_final.zip","Deschide sursa")</x:f>
        <x:v>HYPERLINK is not implemented. linkLocation=file:///Z:/00. Proiecte 2025/AFIR FotoVoltaic 1/15.1 Promovare-Informare/cesiro_pagina_promovare_fm_final.zip, friendlyName=Deschide sursa</x:v>
      </x:c>
    </x:row>
    <x:row r="70" ht="36" customHeight="1">
      <x:c r="A70" s="8" t="str">
        <x:v>F0066</x:v>
      </x:c>
      <x:c r="B70" s="8" t="str">
        <x:v>cesiro_pagina_promovare_fm_final_standalone.html</x:v>
      </x:c>
      <x:c r="C70" s="8" t="str">
        <x:v>15.1 Promovare-Informare</x:v>
      </x:c>
      <x:c r="D70" s="8" t="str">
        <x:v>Proiect fotovoltaic</x:v>
      </x:c>
      <x:c r="E70" s="8" t="str">
        <x:v>.html</x:v>
      </x:c>
      <x:c r="F70" s="8" t="n">
        <x:v>523360</x:v>
      </x:c>
      <x:c r="G70" s="8" t="str">
        <x:v>Inventariat; conținut neextras</x:v>
      </x:c>
      <x:c r="H70" s="8" t="str">
        <x:v>Document local; transmiterea individuală neconfirmată</x:v>
      </x:c>
      <x:c r="I70" s="8" t="str"/>
      <x:c r="J70" s="8" t="e">
        <x:f>HYPERLINK("file:///Z:/00. Proiecte 2025/AFIR FotoVoltaic 1/15.1 Promovare-Informare/cesiro_pagina_promovare_fm_final_standalone.html","Deschide sursa")</x:f>
        <x:v>HYPERLINK is not implemented. linkLocation=file:///Z:/00. Proiecte 2025/AFIR FotoVoltaic 1/15.1 Promovare-Informare/cesiro_pagina_promovare_fm_final_standalone.html, friendlyName=Deschide sursa</x:v>
      </x:c>
    </x:row>
    <x:row r="71" ht="36" customHeight="1">
      <x:c r="A71" s="8" t="str">
        <x:v>F0067</x:v>
      </x:c>
      <x:c r="B71" s="8" t="str">
        <x:v>f_27338187_ap26_543_01-07-2026_01072026_145239.pdf</x:v>
      </x:c>
      <x:c r="C71" s="8" t="str">
        <x:v>15.1 Promovare-Informare</x:v>
      </x:c>
      <x:c r="D71" s="8" t="str">
        <x:v>Proiect fotovoltaic</x:v>
      </x:c>
      <x:c r="E71" s="8" t="str">
        <x:v>.pdf</x:v>
      </x:c>
      <x:c r="F71" s="8" t="n">
        <x:v>4392</x:v>
      </x:c>
      <x:c r="G71" s="8" t="str">
        <x:v>Text extras</x:v>
      </x:c>
      <x:c r="H71" s="8" t="str">
        <x:v>Document local; transmiterea individuală neconfirmată</x:v>
      </x:c>
      <x:c r="I71" s="8" t="str"/>
      <x:c r="J71" s="8" t="e">
        <x:f>HYPERLINK("file:///Z:/00. Proiecte 2025/AFIR FotoVoltaic 1/15.1 Promovare-Informare/f_27338187_ap26_543_01-07-2026_01072026_145239.pdf","Deschide sursa")</x:f>
        <x:v>HYPERLINK is not implemented. linkLocation=file:///Z:/00. Proiecte 2025/AFIR FotoVoltaic 1/15.1 Promovare-Informare/f_27338187_ap26_543_01-07-2026_01072026_145239.pdf, friendlyName=Deschide sursa</x:v>
      </x:c>
    </x:row>
    <x:row r="72" ht="36" customHeight="1">
      <x:c r="A72" s="8" t="str">
        <x:v>F0068</x:v>
      </x:c>
      <x:c r="B72" s="8" t="str">
        <x:v>f_27338187_ap26_543_30-06-2026_01072026_162334.pdf</x:v>
      </x:c>
      <x:c r="C72" s="8" t="str">
        <x:v>15.1 Promovare-Informare</x:v>
      </x:c>
      <x:c r="D72" s="8" t="str">
        <x:v>Proiect fotovoltaic</x:v>
      </x:c>
      <x:c r="E72" s="8" t="str">
        <x:v>.pdf</x:v>
      </x:c>
      <x:c r="F72" s="8" t="n">
        <x:v>4397</x:v>
      </x:c>
      <x:c r="G72" s="8" t="str">
        <x:v>Text extras</x:v>
      </x:c>
      <x:c r="H72" s="8" t="str">
        <x:v>Document local; transmiterea individuală neconfirmată</x:v>
      </x:c>
      <x:c r="I72" s="8" t="str"/>
      <x:c r="J72" s="8" t="e">
        <x:f>HYPERLINK("file:///Z:/00. Proiecte 2025/AFIR FotoVoltaic 1/15.1 Promovare-Informare/f_27338187_ap26_543_30-06-2026_01072026_162334.pdf","Deschide sursa")</x:f>
        <x:v>HYPERLINK is not implemented. linkLocation=file:///Z:/00. Proiecte 2025/AFIR FotoVoltaic 1/15.1 Promovare-Informare/f_27338187_ap26_543_30-06-2026_01072026_162334.pdf, friendlyName=Deschide sursa</x:v>
      </x:c>
    </x:row>
    <x:row r="73" ht="32" customHeight="1">
      <x:c r="A73" s="8" t="str">
        <x:v>F0069</x:v>
      </x:c>
      <x:c r="B73" s="8" t="str">
        <x:v>Panou publicitate AFIR.jpeg</x:v>
      </x:c>
      <x:c r="C73" s="8" t="str">
        <x:v>15.1 Promovare-Informare</x:v>
      </x:c>
      <x:c r="D73" s="8" t="str">
        <x:v>Proiect fotovoltaic</x:v>
      </x:c>
      <x:c r="E73" s="8" t="str">
        <x:v>.jpeg</x:v>
      </x:c>
      <x:c r="F73" s="8" t="n">
        <x:v>395607</x:v>
      </x:c>
      <x:c r="G73" s="8" t="str">
        <x:v>Inventariat; conținut neextras</x:v>
      </x:c>
      <x:c r="H73" s="8" t="str">
        <x:v>Document local; transmiterea individuală neconfirmată</x:v>
      </x:c>
      <x:c r="I73" s="8" t="str"/>
      <x:c r="J73" s="8" t="e">
        <x:f>HYPERLINK("file:///Z:/00. Proiecte 2025/AFIR FotoVoltaic 1/15.1 Promovare-Informare/Panou publicitate AFIR.jpeg","Deschide sursa")</x:f>
        <x:v>HYPERLINK is not implemented. linkLocation=file:///Z:/00. Proiecte 2025/AFIR FotoVoltaic 1/15.1 Promovare-Informare/Panou publicitate AFIR.jpeg, friendlyName=Deschide sursa</x:v>
      </x:c>
    </x:row>
    <x:row r="74" ht="32" customHeight="1">
      <x:c r="A74" s="8" t="str">
        <x:v>F0070</x:v>
      </x:c>
      <x:c r="B74" s="8" t="str">
        <x:v>Contract Afir Cesiro Prod.pdf</x:v>
      </x:c>
      <x:c r="C74" s="8" t="str">
        <x:v>16.1 Act aditional 1</x:v>
      </x:c>
      <x:c r="D74" s="8" t="str">
        <x:v>Proiect fotovoltaic</x:v>
      </x:c>
      <x:c r="E74" s="8" t="str">
        <x:v>.pdf</x:v>
      </x:c>
      <x:c r="F74" s="8" t="n">
        <x:v>1828713</x:v>
      </x:c>
      <x:c r="G74" s="8" t="str">
        <x:v>Text extras</x:v>
      </x:c>
      <x:c r="H74" s="8" t="str">
        <x:v>Document local; transmiterea individuală neconfirmată</x:v>
      </x:c>
      <x:c r="I74" s="8" t="str">
        <x:v>F0061</x:v>
      </x:c>
      <x:c r="J74" s="8" t="e">
        <x:f>HYPERLINK("file:///Z:/00. Proiecte 2025/AFIR FotoVoltaic 1/16.1 Act aditional 1/Contract Afir Cesiro Prod.pdf","Deschide sursa")</x:f>
        <x:v>HYPERLINK is not implemented. linkLocation=file:///Z:/00. Proiecte 2025/AFIR FotoVoltaic 1/16.1 Act aditional 1/Contract Afir Cesiro Prod.pdf, friendlyName=Deschide sursa</x:v>
      </x:c>
    </x:row>
    <x:row r="75" ht="36" customHeight="1">
      <x:c r="A75" s="8" t="str">
        <x:v>F0071</x:v>
      </x:c>
      <x:c r="B75" s="8" t="str">
        <x:v>Contract de achizitie Cesiro Production-Suntree_.pdf</x:v>
      </x:c>
      <x:c r="C75" s="8" t="str">
        <x:v>16.1 Act aditional 1</x:v>
      </x:c>
      <x:c r="D75" s="8" t="str">
        <x:v>Proiect fotovoltaic</x:v>
      </x:c>
      <x:c r="E75" s="8" t="str">
        <x:v>.pdf</x:v>
      </x:c>
      <x:c r="F75" s="8" t="n">
        <x:v>4308568</x:v>
      </x:c>
      <x:c r="G75" s="8" t="str">
        <x:v>Text extras</x:v>
      </x:c>
      <x:c r="H75" s="8" t="str">
        <x:v>Document local; transmiterea individuală neconfirmată</x:v>
      </x:c>
      <x:c r="I75" s="8" t="str"/>
      <x:c r="J75" s="8" t="e">
        <x:f>HYPERLINK("file:///Z:/00. Proiecte 2025/AFIR FotoVoltaic 1/16.1 Act aditional 1/Contract de achizitie Cesiro Production-Suntree_.pdf","Deschide sursa")</x:f>
        <x:v>HYPERLINK is not implemented. linkLocation=file:///Z:/00. Proiecte 2025/AFIR FotoVoltaic 1/16.1 Act aditional 1/Contract de achizitie Cesiro Production-Suntree_.pdf, friendlyName=Deschide sursa</x:v>
      </x:c>
    </x:row>
    <x:row r="76" ht="32" customHeight="1">
      <x:c r="A76" s="8" t="str">
        <x:v>F0072</x:v>
      </x:c>
      <x:c r="B76" s="8" t="str">
        <x:v>Formular_C3_1_completat (1).docx</x:v>
      </x:c>
      <x:c r="C76" s="8" t="str">
        <x:v>16.1 Act aditional 1</x:v>
      </x:c>
      <x:c r="D76" s="8" t="str">
        <x:v>Proiect fotovoltaic</x:v>
      </x:c>
      <x:c r="E76" s="8" t="str">
        <x:v>.docx</x:v>
      </x:c>
      <x:c r="F76" s="8" t="n">
        <x:v>44579</x:v>
      </x:c>
      <x:c r="G76" s="8" t="str">
        <x:v>Text extras</x:v>
      </x:c>
      <x:c r="H76" s="8" t="str">
        <x:v>Document local; transmiterea individuală neconfirmată</x:v>
      </x:c>
      <x:c r="I76" s="8" t="str"/>
      <x:c r="J76" s="8" t="e">
        <x:f>HYPERLINK("file:///Z:/00. Proiecte 2025/AFIR FotoVoltaic 1/16.1 Act aditional 1/Formular_C3_1_completat (1).docx","Deschide sursa")</x:f>
        <x:v>HYPERLINK is not implemented. linkLocation=file:///Z:/00. Proiecte 2025/AFIR FotoVoltaic 1/16.1 Act aditional 1/Formular_C3_1_completat (1).docx, friendlyName=Deschide sursa</x:v>
      </x:c>
    </x:row>
    <x:row r="77" ht="32" customHeight="1">
      <x:c r="A77" s="8" t="str">
        <x:v>F0073</x:v>
      </x:c>
      <x:c r="B77" s="8" t="str">
        <x:v>Formular_C3_1_completat (1).pdf</x:v>
      </x:c>
      <x:c r="C77" s="8" t="str">
        <x:v>16.1 Act aditional 1</x:v>
      </x:c>
      <x:c r="D77" s="8" t="str">
        <x:v>Proiect fotovoltaic</x:v>
      </x:c>
      <x:c r="E77" s="8" t="str">
        <x:v>.pdf</x:v>
      </x:c>
      <x:c r="F77" s="8" t="n">
        <x:v>146873</x:v>
      </x:c>
      <x:c r="G77" s="8" t="str">
        <x:v>Text extras</x:v>
      </x:c>
      <x:c r="H77" s="8" t="str">
        <x:v>Document local; transmiterea individuală neconfirmată</x:v>
      </x:c>
      <x:c r="I77" s="8" t="str"/>
      <x:c r="J77" s="8" t="e">
        <x:f>HYPERLINK("file:///Z:/00. Proiecte 2025/AFIR FotoVoltaic 1/16.1 Act aditional 1/Formular_C3_1_completat (1).pdf","Deschide sursa")</x:f>
        <x:v>HYPERLINK is not implemented. linkLocation=file:///Z:/00. Proiecte 2025/AFIR FotoVoltaic 1/16.1 Act aditional 1/Formular_C3_1_completat (1).pdf, friendlyName=Deschide sursa</x:v>
      </x:c>
    </x:row>
    <x:row r="78" ht="36" customHeight="1">
      <x:c r="A78" s="8" t="str">
        <x:v>F0074</x:v>
      </x:c>
      <x:c r="B78" s="8" t="str">
        <x:v>Memoriu_Justificativ_Consolidat_CESIRO (2).docx</x:v>
      </x:c>
      <x:c r="C78" s="8" t="str">
        <x:v>16.1 Act aditional 1</x:v>
      </x:c>
      <x:c r="D78" s="8" t="str">
        <x:v>Proiect fotovoltaic</x:v>
      </x:c>
      <x:c r="E78" s="8" t="str">
        <x:v>.docx</x:v>
      </x:c>
      <x:c r="F78" s="8" t="n">
        <x:v>33724</x:v>
      </x:c>
      <x:c r="G78" s="8" t="str">
        <x:v>Text extras</x:v>
      </x:c>
      <x:c r="H78" s="8" t="str">
        <x:v>Document local; transmiterea individuală neconfirmată</x:v>
      </x:c>
      <x:c r="I78" s="8" t="str"/>
      <x:c r="J78" s="8" t="e">
        <x:f>HYPERLINK("file:///Z:/00. Proiecte 2025/AFIR FotoVoltaic 1/16.1 Act aditional 1/Memoriu_Justificativ_Consolidat_CESIRO (2).docx","Deschide sursa")</x:f>
        <x:v>HYPERLINK is not implemented. linkLocation=file:///Z:/00. Proiecte 2025/AFIR FotoVoltaic 1/16.1 Act aditional 1/Memoriu_Justificativ_Consolidat_CESIRO (2).docx, friendlyName=Deschide sursa</x:v>
      </x:c>
    </x:row>
    <x:row r="79" ht="36" customHeight="1">
      <x:c r="A79" s="8" t="str">
        <x:v>F0075</x:v>
      </x:c>
      <x:c r="B79" s="8" t="str">
        <x:v>Memoriu_Justificativ_Consolidat_CESIRO (2).pdf</x:v>
      </x:c>
      <x:c r="C79" s="8" t="str">
        <x:v>16.1 Act aditional 1</x:v>
      </x:c>
      <x:c r="D79" s="8" t="str">
        <x:v>Proiect fotovoltaic</x:v>
      </x:c>
      <x:c r="E79" s="8" t="str">
        <x:v>.pdf</x:v>
      </x:c>
      <x:c r="F79" s="8" t="n">
        <x:v>215016</x:v>
      </x:c>
      <x:c r="G79" s="8" t="str">
        <x:v>Text extras</x:v>
      </x:c>
      <x:c r="H79" s="8" t="str">
        <x:v>Document local; transmiterea individuală neconfirmată</x:v>
      </x:c>
      <x:c r="I79" s="8" t="str"/>
      <x:c r="J79" s="8" t="e">
        <x:f>HYPERLINK("file:///Z:/00. Proiecte 2025/AFIR FotoVoltaic 1/16.1 Act aditional 1/Memoriu_Justificativ_Consolidat_CESIRO (2).pdf","Deschide sursa")</x:f>
        <x:v>HYPERLINK is not implemented. linkLocation=file:///Z:/00. Proiecte 2025/AFIR FotoVoltaic 1/16.1 Act aditional 1/Memoriu_Justificativ_Consolidat_CESIRO (2).pdf, friendlyName=Deschide sursa</x:v>
      </x:c>
    </x:row>
    <x:row r="80" ht="32" customHeight="1">
      <x:c r="A80" s="8" t="str">
        <x:v>F0076</x:v>
      </x:c>
      <x:c r="B80" s="8" t="str">
        <x:v>Referat_proiectant_CESIRO__1_-.pdf</x:v>
      </x:c>
      <x:c r="C80" s="8" t="str">
        <x:v>16.1 Act aditional 1</x:v>
      </x:c>
      <x:c r="D80" s="8" t="str">
        <x:v>Proiect fotovoltaic</x:v>
      </x:c>
      <x:c r="E80" s="8" t="str">
        <x:v>.pdf</x:v>
      </x:c>
      <x:c r="F80" s="8" t="n">
        <x:v>265399</x:v>
      </x:c>
      <x:c r="G80" s="8" t="str">
        <x:v>Text extras</x:v>
      </x:c>
      <x:c r="H80" s="8" t="str">
        <x:v>Document local; transmiterea individuală neconfirmată</x:v>
      </x:c>
      <x:c r="I80" s="8" t="str"/>
      <x:c r="J80" s="8" t="e">
        <x:f>HYPERLINK("file:///Z:/00. Proiecte 2025/AFIR FotoVoltaic 1/16.1 Act aditional 1/Referat_proiectant_CESIRO__1_-.pdf","Deschide sursa")</x:f>
        <x:v>HYPERLINK is not implemented. linkLocation=file:///Z:/00. Proiecte 2025/AFIR FotoVoltaic 1/16.1 Act aditional 1/Referat_proiectant_CESIRO__1_-.pdf, friendlyName=Deschide sursa</x:v>
      </x:c>
    </x:row>
    <x:row r="81" ht="32" customHeight="1">
      <x:c r="A81" s="8" t="str">
        <x:v>F0077</x:v>
      </x:c>
      <x:c r="B81" s="8" t="str">
        <x:v>Referat_proiectant_CESIRO__1_.docx</x:v>
      </x:c>
      <x:c r="C81" s="8" t="str">
        <x:v>16.1 Act aditional 1</x:v>
      </x:c>
      <x:c r="D81" s="8" t="str">
        <x:v>Proiect fotovoltaic</x:v>
      </x:c>
      <x:c r="E81" s="8" t="str">
        <x:v>.docx</x:v>
      </x:c>
      <x:c r="F81" s="8" t="n">
        <x:v>95297</x:v>
      </x:c>
      <x:c r="G81" s="8" t="str">
        <x:v>Text extras</x:v>
      </x:c>
      <x:c r="H81" s="8" t="str">
        <x:v>Document local; transmiterea individuală neconfirmată</x:v>
      </x:c>
      <x:c r="I81" s="8" t="str"/>
      <x:c r="J81" s="8" t="e">
        <x:f>HYPERLINK("file:///Z:/00. Proiecte 2025/AFIR FotoVoltaic 1/16.1 Act aditional 1/Referat_proiectant_CESIRO__1_.docx","Deschide sursa")</x:f>
        <x:v>HYPERLINK is not implemented. linkLocation=file:///Z:/00. Proiecte 2025/AFIR FotoVoltaic 1/16.1 Act aditional 1/Referat_proiectant_CESIRO__1_.docx, friendlyName=Deschide sursa</x:v>
      </x:c>
    </x:row>
    <x:row r="82" ht="36" customHeight="1">
      <x:c r="A82" s="8" t="str">
        <x:v>F0078</x:v>
      </x:c>
      <x:c r="B82" s="8" t="str">
        <x:v>Studiu_Justificativ_Aprofundat_CESIRO (2).docx</x:v>
      </x:c>
      <x:c r="C82" s="8" t="str">
        <x:v>16.1 Act aditional 1</x:v>
      </x:c>
      <x:c r="D82" s="8" t="str">
        <x:v>Proiect fotovoltaic</x:v>
      </x:c>
      <x:c r="E82" s="8" t="str">
        <x:v>.docx</x:v>
      </x:c>
      <x:c r="F82" s="8" t="n">
        <x:v>489731</x:v>
      </x:c>
      <x:c r="G82" s="8" t="str">
        <x:v>Text extras</x:v>
      </x:c>
      <x:c r="H82" s="8" t="str">
        <x:v>Document local; transmiterea individuală neconfirmată</x:v>
      </x:c>
      <x:c r="I82" s="8" t="str"/>
      <x:c r="J82" s="8" t="e">
        <x:f>HYPERLINK("file:///Z:/00. Proiecte 2025/AFIR FotoVoltaic 1/16.1 Act aditional 1/Studiu_Justificativ_Aprofundat_CESIRO (2).docx","Deschide sursa")</x:f>
        <x:v>HYPERLINK is not implemented. linkLocation=file:///Z:/00. Proiecte 2025/AFIR FotoVoltaic 1/16.1 Act aditional 1/Studiu_Justificativ_Aprofundat_CESIRO (2).docx, friendlyName=Deschide sursa</x:v>
      </x:c>
    </x:row>
    <x:row r="83" ht="36" customHeight="1">
      <x:c r="A83" s="8" t="str">
        <x:v>F0079</x:v>
      </x:c>
      <x:c r="B83" s="8" t="str">
        <x:v>Studiu_Justificativ_Aprofundat_CESIRO (2).pdf</x:v>
      </x:c>
      <x:c r="C83" s="8" t="str">
        <x:v>16.1 Act aditional 1</x:v>
      </x:c>
      <x:c r="D83" s="8" t="str">
        <x:v>Proiect fotovoltaic</x:v>
      </x:c>
      <x:c r="E83" s="8" t="str">
        <x:v>.pdf</x:v>
      </x:c>
      <x:c r="F83" s="8" t="n">
        <x:v>365958</x:v>
      </x:c>
      <x:c r="G83" s="8" t="str">
        <x:v>Text extras</x:v>
      </x:c>
      <x:c r="H83" s="8" t="str">
        <x:v>Document local; transmiterea individuală neconfirmată</x:v>
      </x:c>
      <x:c r="I83" s="8" t="str"/>
      <x:c r="J83" s="8" t="e">
        <x:f>HYPERLINK("file:///Z:/00. Proiecte 2025/AFIR FotoVoltaic 1/16.1 Act aditional 1/Studiu_Justificativ_Aprofundat_CESIRO (2).pdf","Deschide sursa")</x:f>
        <x:v>HYPERLINK is not implemented. linkLocation=file:///Z:/00. Proiecte 2025/AFIR FotoVoltaic 1/16.1 Act aditional 1/Studiu_Justificativ_Aprofundat_CESIRO (2).pdf, friendlyName=Deschide sursa</x:v>
      </x:c>
    </x:row>
    <x:row r="84" ht="32" customHeight="1">
      <x:c r="A84" s="8" t="str">
        <x:v>F0080</x:v>
      </x:c>
      <x:c r="B84" s="8" t="str">
        <x:v>20. ATR.zip</x:v>
      </x:c>
      <x:c r="C84" s="8" t="str">
        <x:v>20. ATR</x:v>
      </x:c>
      <x:c r="D84" s="8" t="str">
        <x:v>Proiect fotovoltaic</x:v>
      </x:c>
      <x:c r="E84" s="8" t="str">
        <x:v>.zip</x:v>
      </x:c>
      <x:c r="F84" s="8" t="n">
        <x:v>40950776</x:v>
      </x:c>
      <x:c r="G84" s="8" t="str">
        <x:v>Inventar ZIP</x:v>
      </x:c>
      <x:c r="H84" s="8" t="str">
        <x:v>Document local; transmiterea individuală neconfirmată</x:v>
      </x:c>
      <x:c r="I84" s="8" t="str"/>
      <x:c r="J84" s="8" t="e">
        <x:f>HYPERLINK("file:///Z:/00. Proiecte 2025/AFIR FotoVoltaic 1/20. ATR/20. ATR.zip","Deschide sursa")</x:f>
        <x:v>HYPERLINK is not implemented. linkLocation=file:///Z:/00. Proiecte 2025/AFIR FotoVoltaic 1/20. ATR/20. ATR.zip, friendlyName=Deschide sursa</x:v>
      </x:c>
    </x:row>
    <x:row r="85" ht="32" customHeight="1">
      <x:c r="A85" s="8" t="str">
        <x:v>F0081</x:v>
      </x:c>
      <x:c r="B85" s="8" t="str">
        <x:v>Deviz general.xlsx</x:v>
      </x:c>
      <x:c r="C85" s="8" t="str">
        <x:v>3.0. Deviz</x:v>
      </x:c>
      <x:c r="D85" s="8" t="str">
        <x:v>Proiect fotovoltaic</x:v>
      </x:c>
      <x:c r="E85" s="8" t="str">
        <x:v>.xlsx</x:v>
      </x:c>
      <x:c r="F85" s="8" t="n">
        <x:v>19315</x:v>
      </x:c>
      <x:c r="G85" s="8" t="str">
        <x:v>Inventariat; conținut neextras</x:v>
      </x:c>
      <x:c r="H85" s="8" t="str">
        <x:v>Document local; transmiterea individuală neconfirmată</x:v>
      </x:c>
      <x:c r="I85" s="8" t="str"/>
      <x:c r="J85" s="8" t="e">
        <x:f>HYPERLINK("file:///Z:/00. Proiecte 2025/AFIR FotoVoltaic 1/3.0. Deviz/Deviz general.xlsx","Deschide sursa")</x:f>
        <x:v>HYPERLINK is not implemented. linkLocation=file:///Z:/00. Proiecte 2025/AFIR FotoVoltaic 1/3.0. Deviz/Deviz general.xlsx, friendlyName=Deschide sursa</x:v>
      </x:c>
    </x:row>
    <x:row r="86" ht="32" customHeight="1">
      <x:c r="A86" s="8" t="str">
        <x:v>F0082</x:v>
      </x:c>
      <x:c r="B86" s="8" t="str">
        <x:v>Analiza Cost Beneficiu.docx</x:v>
      </x:c>
      <x:c r="C86" s="8" t="str">
        <x:v>3.1. Analiza Cost Beneficiu</x:v>
      </x:c>
      <x:c r="D86" s="8" t="str">
        <x:v>Proiect fotovoltaic</x:v>
      </x:c>
      <x:c r="E86" s="8" t="str">
        <x:v>.docx</x:v>
      </x:c>
      <x:c r="F86" s="8" t="n">
        <x:v>1326308</x:v>
      </x:c>
      <x:c r="G86" s="8" t="str">
        <x:v>Text extras</x:v>
      </x:c>
      <x:c r="H86" s="8" t="str">
        <x:v>Document local; transmiterea individuală neconfirmată</x:v>
      </x:c>
      <x:c r="I86" s="8" t="str"/>
      <x:c r="J86" s="8" t="e">
        <x:f>HYPERLINK("file:///Z:/00. Proiecte 2025/AFIR FotoVoltaic 1/3.1. Analiza Cost Beneficiu/Analiza Cost Beneficiu.docx","Deschide sursa")</x:f>
        <x:v>HYPERLINK is not implemented. linkLocation=file:///Z:/00. Proiecte 2025/AFIR FotoVoltaic 1/3.1. Analiza Cost Beneficiu/Analiza Cost Beneficiu.docx, friendlyName=Deschide sursa</x:v>
      </x:c>
    </x:row>
    <x:row r="87" ht="36" customHeight="1">
      <x:c r="A87" s="8" t="str">
        <x:v>F0083</x:v>
      </x:c>
      <x:c r="B87" s="8" t="str">
        <x:v>Nota justificativa alegere furnizor.docx</x:v>
      </x:c>
      <x:c r="C87" s="8" t="str">
        <x:v>3.2. Decizie Alegere Furnizor</x:v>
      </x:c>
      <x:c r="D87" s="8" t="str">
        <x:v>Proiect fotovoltaic</x:v>
      </x:c>
      <x:c r="E87" s="8" t="str">
        <x:v>.docx</x:v>
      </x:c>
      <x:c r="F87" s="8" t="n">
        <x:v>2749804</x:v>
      </x:c>
      <x:c r="G87" s="8" t="str">
        <x:v>Text extras</x:v>
      </x:c>
      <x:c r="H87" s="8" t="str">
        <x:v>Document local; transmiterea individuală neconfirmată</x:v>
      </x:c>
      <x:c r="I87" s="8" t="str"/>
      <x:c r="J87" s="8" t="e">
        <x:f>HYPERLINK("file:///Z:/00. Proiecte 2025/AFIR FotoVoltaic 1/3.2. Decizie Alegere Furnizor/Nota justificativa alegere furnizor.docx","Deschide sursa")</x:f>
        <x:v>HYPERLINK is not implemented. linkLocation=file:///Z:/00. Proiecte 2025/AFIR FotoVoltaic 1/3.2. Decizie Alegere Furnizor/Nota justificativa alegere furnizor.docx, friendlyName=Deschide sursa</x:v>
      </x:c>
    </x:row>
    <x:row r="88" ht="32" customHeight="1">
      <x:c r="A88" s="8" t="str">
        <x:v>F0084</x:v>
      </x:c>
      <x:c r="B88" s="8" t="str">
        <x:v>BVC Indicatori 2 - fara investitie.xls</x:v>
      </x:c>
      <x:c r="C88" s="8" t="str">
        <x:v>3.3. Plan de Afaceri</x:v>
      </x:c>
      <x:c r="D88" s="8" t="str">
        <x:v>Proiect fotovoltaic</x:v>
      </x:c>
      <x:c r="E88" s="8" t="str">
        <x:v>.xls</x:v>
      </x:c>
      <x:c r="F88" s="8" t="n">
        <x:v>646144</x:v>
      </x:c>
      <x:c r="G88" s="8" t="str">
        <x:v>Inventariat; conținut neextras</x:v>
      </x:c>
      <x:c r="H88" s="8" t="str">
        <x:v>Document local; transmiterea individuală neconfirmată</x:v>
      </x:c>
      <x:c r="I88" s="8" t="str"/>
      <x:c r="J88" s="8" t="e">
        <x:f>HYPERLINK("file:///Z:/00. Proiecte 2025/AFIR FotoVoltaic 1/3.3. Plan de Afaceri/BVC Indicatori 2 - fara investitie.xls","Deschide sursa")</x:f>
        <x:v>HYPERLINK is not implemented. linkLocation=file:///Z:/00. Proiecte 2025/AFIR FotoVoltaic 1/3.3. Plan de Afaceri/BVC Indicatori 2 - fara investitie.xls, friendlyName=Deschide sursa</x:v>
      </x:c>
    </x:row>
    <x:row r="89" ht="32" customHeight="1">
      <x:c r="A89" s="8" t="str">
        <x:v>F0085</x:v>
      </x:c>
      <x:c r="B89" s="8" t="str">
        <x:v>BVC Indicatori 2.xls</x:v>
      </x:c>
      <x:c r="C89" s="8" t="str">
        <x:v>3.3. Plan de Afaceri</x:v>
      </x:c>
      <x:c r="D89" s="8" t="str">
        <x:v>Proiect fotovoltaic</x:v>
      </x:c>
      <x:c r="E89" s="8" t="str">
        <x:v>.xls</x:v>
      </x:c>
      <x:c r="F89" s="8" t="n">
        <x:v>647680</x:v>
      </x:c>
      <x:c r="G89" s="8" t="str">
        <x:v>Inventariat; conținut neextras</x:v>
      </x:c>
      <x:c r="H89" s="8" t="str">
        <x:v>Document local; transmiterea individuală neconfirmată</x:v>
      </x:c>
      <x:c r="I89" s="8" t="str"/>
      <x:c r="J89" s="8" t="e">
        <x:f>HYPERLINK("file:///Z:/00. Proiecte 2025/AFIR FotoVoltaic 1/3.3. Plan de Afaceri/BVC Indicatori 2.xls","Deschide sursa")</x:f>
        <x:v>HYPERLINK is not implemented. linkLocation=file:///Z:/00. Proiecte 2025/AFIR FotoVoltaic 1/3.3. Plan de Afaceri/BVC Indicatori 2.xls, friendlyName=Deschide sursa</x:v>
      </x:c>
    </x:row>
    <x:row r="90" ht="36" customHeight="1">
      <x:c r="A90" s="8" t="str">
        <x:v>F0086</x:v>
      </x:c>
      <x:c r="B90" s="8" t="str">
        <x:v>Cesiro Production MEMORIU TEHNIC DE EVALUAREA IMPACTULUI ASUPRA MEDIULUI.docx</x:v>
      </x:c>
      <x:c r="C90" s="8" t="str">
        <x:v>3.3. Plan de Afaceri</x:v>
      </x:c>
      <x:c r="D90" s="8" t="str">
        <x:v>Proiect fotovoltaic</x:v>
      </x:c>
      <x:c r="E90" s="8" t="str">
        <x:v>.docx</x:v>
      </x:c>
      <x:c r="F90" s="8" t="n">
        <x:v>2675060</x:v>
      </x:c>
      <x:c r="G90" s="8" t="str">
        <x:v>Text extras</x:v>
      </x:c>
      <x:c r="H90" s="8" t="str">
        <x:v>Document local; transmiterea individuală neconfirmată</x:v>
      </x:c>
      <x:c r="I90" s="8" t="str"/>
      <x:c r="J90" s="8" t="e">
        <x:f>HYPERLINK("file:///Z:/00. Proiecte 2025/AFIR FotoVoltaic 1/3.3. Plan de Afaceri/Cesiro Production MEMORIU TEHNIC DE EVALUAREA IMPACTULUI ASUPRA MEDIULUI.docx","Deschide sursa")</x:f>
        <x:v>HYPERLINK is not implemented. linkLocation=file:///Z:/00. Proiecte 2025/AFIR FotoVoltaic 1/3.3. Plan de Afaceri/Cesiro Production MEMORIU TEHNIC DE EVALUAREA IMPACTULUI ASUPRA MEDIULUI.docx, friendlyName=Deschide sursa</x:v>
      </x:c>
    </x:row>
    <x:row r="91" ht="32" customHeight="1">
      <x:c r="A91" s="8" t="str">
        <x:v>F0087</x:v>
      </x:c>
      <x:c r="B91" s="8" t="str">
        <x:v>Copy of BVC Indicatori 2 v1.xls</x:v>
      </x:c>
      <x:c r="C91" s="8" t="str">
        <x:v>3.3. Plan de Afaceri</x:v>
      </x:c>
      <x:c r="D91" s="8" t="str">
        <x:v>Proiect fotovoltaic</x:v>
      </x:c>
      <x:c r="E91" s="8" t="str">
        <x:v>.xls</x:v>
      </x:c>
      <x:c r="F91" s="8" t="n">
        <x:v>664576</x:v>
      </x:c>
      <x:c r="G91" s="8" t="str">
        <x:v>Inventariat; conținut neextras</x:v>
      </x:c>
      <x:c r="H91" s="8" t="str">
        <x:v>Document local; transmiterea individuală neconfirmată</x:v>
      </x:c>
      <x:c r="I91" s="8" t="str"/>
      <x:c r="J91" s="8" t="e">
        <x:f>HYPERLINK("file:///Z:/00. Proiecte 2025/AFIR FotoVoltaic 1/3.3. Plan de Afaceri/Copy of BVC Indicatori 2 v1.xls","Deschide sursa")</x:f>
        <x:v>HYPERLINK is not implemented. linkLocation=file:///Z:/00. Proiecte 2025/AFIR FotoVoltaic 1/3.3. Plan de Afaceri/Copy of BVC Indicatori 2 v1.xls, friendlyName=Deschide sursa</x:v>
      </x:c>
    </x:row>
    <x:row r="92" ht="32" customHeight="1">
      <x:c r="A92" s="8" t="str">
        <x:v>F0088</x:v>
      </x:c>
      <x:c r="B92" s="8" t="str">
        <x:v>Plan de Afaceri.docx</x:v>
      </x:c>
      <x:c r="C92" s="8" t="str">
        <x:v>3.3. Plan de Afaceri</x:v>
      </x:c>
      <x:c r="D92" s="8" t="str">
        <x:v>Proiect fotovoltaic</x:v>
      </x:c>
      <x:c r="E92" s="8" t="str">
        <x:v>.docx</x:v>
      </x:c>
      <x:c r="F92" s="8" t="n">
        <x:v>5208932</x:v>
      </x:c>
      <x:c r="G92" s="8" t="str">
        <x:v>Text extras</x:v>
      </x:c>
      <x:c r="H92" s="8" t="str">
        <x:v>Document local; transmiterea individuală neconfirmată</x:v>
      </x:c>
      <x:c r="I92" s="8" t="str"/>
      <x:c r="J92" s="8" t="e">
        <x:f>HYPERLINK("file:///Z:/00. Proiecte 2025/AFIR FotoVoltaic 1/3.3. Plan de Afaceri/Plan de Afaceri.docx","Deschide sursa")</x:f>
        <x:v>HYPERLINK is not implemented. linkLocation=file:///Z:/00. Proiecte 2025/AFIR FotoVoltaic 1/3.3. Plan de Afaceri/Plan de Afaceri.docx, friendlyName=Deschide sursa</x:v>
      </x:c>
    </x:row>
    <x:row r="93" ht="36" customHeight="1">
      <x:c r="A93" s="8" t="str">
        <x:v>F0089</x:v>
      </x:c>
      <x:c r="B93" s="8" t="str">
        <x:v>Prognoza Bilant Cesiro Production 5 ani.pdf</x:v>
      </x:c>
      <x:c r="C93" s="8" t="str">
        <x:v>3.3. Plan de Afaceri</x:v>
      </x:c>
      <x:c r="D93" s="8" t="str">
        <x:v>Proiect fotovoltaic</x:v>
      </x:c>
      <x:c r="E93" s="8" t="str">
        <x:v>.pdf</x:v>
      </x:c>
      <x:c r="F93" s="8" t="n">
        <x:v>351751</x:v>
      </x:c>
      <x:c r="G93" s="8" t="str">
        <x:v>Text extras</x:v>
      </x:c>
      <x:c r="H93" s="8" t="str">
        <x:v>Document local; transmiterea individuală neconfirmată</x:v>
      </x:c>
      <x:c r="I93" s="8" t="str"/>
      <x:c r="J93" s="8" t="e">
        <x:f>HYPERLINK("file:///Z:/00. Proiecte 2025/AFIR FotoVoltaic 1/3.3. Plan de Afaceri/Prognoza Bilant Cesiro Production 5 ani.pdf","Deschide sursa")</x:f>
        <x:v>HYPERLINK is not implemented. linkLocation=file:///Z:/00. Proiecte 2025/AFIR FotoVoltaic 1/3.3. Plan de Afaceri/Prognoza Bilant Cesiro Production 5 ani.pdf, friendlyName=Deschide sursa</x:v>
      </x:c>
    </x:row>
    <x:row r="94" ht="36" customHeight="1">
      <x:c r="A94" s="8" t="str">
        <x:v>F0090</x:v>
      </x:c>
      <x:c r="B94" s="8" t="str">
        <x:v>Prognoza cheltuieli Cesiro Production 5 ani.pdf</x:v>
      </x:c>
      <x:c r="C94" s="8" t="str">
        <x:v>3.3. Plan de Afaceri</x:v>
      </x:c>
      <x:c r="D94" s="8" t="str">
        <x:v>Proiect fotovoltaic</x:v>
      </x:c>
      <x:c r="E94" s="8" t="str">
        <x:v>.pdf</x:v>
      </x:c>
      <x:c r="F94" s="8" t="n">
        <x:v>352703</x:v>
      </x:c>
      <x:c r="G94" s="8" t="str">
        <x:v>Text extras</x:v>
      </x:c>
      <x:c r="H94" s="8" t="str">
        <x:v>Document local; transmiterea individuală neconfirmată</x:v>
      </x:c>
      <x:c r="I94" s="8" t="str"/>
      <x:c r="J94" s="8" t="e">
        <x:f>HYPERLINK("file:///Z:/00. Proiecte 2025/AFIR FotoVoltaic 1/3.3. Plan de Afaceri/Prognoza cheltuieli Cesiro Production 5 ani.pdf","Deschide sursa")</x:f>
        <x:v>HYPERLINK is not implemented. linkLocation=file:///Z:/00. Proiecte 2025/AFIR FotoVoltaic 1/3.3. Plan de Afaceri/Prognoza cheltuieli Cesiro Production 5 ani.pdf, friendlyName=Deschide sursa</x:v>
      </x:c>
    </x:row>
    <x:row r="95" ht="32" customHeight="1">
      <x:c r="A95" s="8" t="str">
        <x:v>F0091</x:v>
      </x:c>
      <x:c r="B95" s="8" t="str">
        <x:v>Prognoza CPP Cesiro Production 5 ani.pdf</x:v>
      </x:c>
      <x:c r="C95" s="8" t="str">
        <x:v>3.3. Plan de Afaceri</x:v>
      </x:c>
      <x:c r="D95" s="8" t="str">
        <x:v>Proiect fotovoltaic</x:v>
      </x:c>
      <x:c r="E95" s="8" t="str">
        <x:v>.pdf</x:v>
      </x:c>
      <x:c r="F95" s="8" t="n">
        <x:v>350180</x:v>
      </x:c>
      <x:c r="G95" s="8" t="str">
        <x:v>Text extras</x:v>
      </x:c>
      <x:c r="H95" s="8" t="str">
        <x:v>Document local; transmiterea individuală neconfirmată</x:v>
      </x:c>
      <x:c r="I95" s="8" t="str"/>
      <x:c r="J95" s="8" t="e">
        <x:f>HYPERLINK("file:///Z:/00. Proiecte 2025/AFIR FotoVoltaic 1/3.3. Plan de Afaceri/Prognoza CPP Cesiro Production 5 ani.pdf","Deschide sursa")</x:f>
        <x:v>HYPERLINK is not implemented. linkLocation=file:///Z:/00. Proiecte 2025/AFIR FotoVoltaic 1/3.3. Plan de Afaceri/Prognoza CPP Cesiro Production 5 ani.pdf, friendlyName=Deschide sursa</x:v>
      </x:c>
    </x:row>
    <x:row r="96" ht="36" customHeight="1">
      <x:c r="A96" s="8" t="str">
        <x:v>F0092</x:v>
      </x:c>
      <x:c r="B96" s="8" t="str">
        <x:v>Prognoza Flux de Numerar Cesiro Production 5 ani.pdf</x:v>
      </x:c>
      <x:c r="C96" s="8" t="str">
        <x:v>3.3. Plan de Afaceri</x:v>
      </x:c>
      <x:c r="D96" s="8" t="str">
        <x:v>Proiect fotovoltaic</x:v>
      </x:c>
      <x:c r="E96" s="8" t="str">
        <x:v>.pdf</x:v>
      </x:c>
      <x:c r="F96" s="8" t="n">
        <x:v>263969</x:v>
      </x:c>
      <x:c r="G96" s="8" t="str">
        <x:v>Text extras</x:v>
      </x:c>
      <x:c r="H96" s="8" t="str">
        <x:v>Document local; transmiterea individuală neconfirmată</x:v>
      </x:c>
      <x:c r="I96" s="8" t="str"/>
      <x:c r="J96" s="8" t="e">
        <x:f>HYPERLINK("file:///Z:/00. Proiecte 2025/AFIR FotoVoltaic 1/3.3. Plan de Afaceri/Prognoza Flux de Numerar Cesiro Production 5 ani.pdf","Deschide sursa")</x:f>
        <x:v>HYPERLINK is not implemented. linkLocation=file:///Z:/00. Proiecte 2025/AFIR FotoVoltaic 1/3.3. Plan de Afaceri/Prognoza Flux de Numerar Cesiro Production 5 ani.pdf, friendlyName=Deschide sursa</x:v>
      </x:c>
    </x:row>
    <x:row r="97" ht="36" customHeight="1">
      <x:c r="A97" s="8" t="str">
        <x:v>F0093</x:v>
      </x:c>
      <x:c r="B97" s="8" t="str">
        <x:v>Prognoza Flux de Numerar Cesiro Production an 1 din 5 ani.pdf</x:v>
      </x:c>
      <x:c r="C97" s="8" t="str">
        <x:v>3.3. Plan de Afaceri</x:v>
      </x:c>
      <x:c r="D97" s="8" t="str">
        <x:v>Proiect fotovoltaic</x:v>
      </x:c>
      <x:c r="E97" s="8" t="str">
        <x:v>.pdf</x:v>
      </x:c>
      <x:c r="F97" s="8" t="n">
        <x:v>264330</x:v>
      </x:c>
      <x:c r="G97" s="8" t="str">
        <x:v>Text extras</x:v>
      </x:c>
      <x:c r="H97" s="8" t="str">
        <x:v>Document local; transmiterea individuală neconfirmată</x:v>
      </x:c>
      <x:c r="I97" s="8" t="str"/>
      <x:c r="J97" s="8" t="e">
        <x:f>HYPERLINK("file:///Z:/00. Proiecte 2025/AFIR FotoVoltaic 1/3.3. Plan de Afaceri/Prognoza Flux de Numerar Cesiro Production an 1 din 5 ani.pdf","Deschide sursa")</x:f>
        <x:v>HYPERLINK is not implemented. linkLocation=file:///Z:/00. Proiecte 2025/AFIR FotoVoltaic 1/3.3. Plan de Afaceri/Prognoza Flux de Numerar Cesiro Production an 1 din 5 ani.pdf, friendlyName=Deschide sursa</x:v>
      </x:c>
    </x:row>
    <x:row r="98" ht="36" customHeight="1">
      <x:c r="A98" s="8" t="str">
        <x:v>F0094</x:v>
      </x:c>
      <x:c r="B98" s="8" t="str">
        <x:v>Prognoza Flux de Numerar Cesiro Production an 2 din 5 ani.pdf</x:v>
      </x:c>
      <x:c r="C98" s="8" t="str">
        <x:v>3.3. Plan de Afaceri</x:v>
      </x:c>
      <x:c r="D98" s="8" t="str">
        <x:v>Proiect fotovoltaic</x:v>
      </x:c>
      <x:c r="E98" s="8" t="str">
        <x:v>.pdf</x:v>
      </x:c>
      <x:c r="F98" s="8" t="n">
        <x:v>265049</x:v>
      </x:c>
      <x:c r="G98" s="8" t="str">
        <x:v>Text extras</x:v>
      </x:c>
      <x:c r="H98" s="8" t="str">
        <x:v>Document local; transmiterea individuală neconfirmată</x:v>
      </x:c>
      <x:c r="I98" s="8" t="str"/>
      <x:c r="J98" s="8" t="e">
        <x:f>HYPERLINK("file:///Z:/00. Proiecte 2025/AFIR FotoVoltaic 1/3.3. Plan de Afaceri/Prognoza Flux de Numerar Cesiro Production an 2 din 5 ani.pdf","Deschide sursa")</x:f>
        <x:v>HYPERLINK is not implemented. linkLocation=file:///Z:/00. Proiecte 2025/AFIR FotoVoltaic 1/3.3. Plan de Afaceri/Prognoza Flux de Numerar Cesiro Production an 2 din 5 ani.pdf, friendlyName=Deschide sursa</x:v>
      </x:c>
    </x:row>
    <x:row r="99" ht="36" customHeight="1">
      <x:c r="A99" s="8" t="str">
        <x:v>F0095</x:v>
      </x:c>
      <x:c r="B99" s="8" t="str">
        <x:v>Prognoza Flux de Numerar Cesiro Production an 3 din 5 ani.pdf</x:v>
      </x:c>
      <x:c r="C99" s="8" t="str">
        <x:v>3.3. Plan de Afaceri</x:v>
      </x:c>
      <x:c r="D99" s="8" t="str">
        <x:v>Proiect fotovoltaic</x:v>
      </x:c>
      <x:c r="E99" s="8" t="str">
        <x:v>.pdf</x:v>
      </x:c>
      <x:c r="F99" s="8" t="n">
        <x:v>265057</x:v>
      </x:c>
      <x:c r="G99" s="8" t="str">
        <x:v>Text extras</x:v>
      </x:c>
      <x:c r="H99" s="8" t="str">
        <x:v>Document local; transmiterea individuală neconfirmată</x:v>
      </x:c>
      <x:c r="I99" s="8" t="str"/>
      <x:c r="J99" s="8" t="e">
        <x:f>HYPERLINK("file:///Z:/00. Proiecte 2025/AFIR FotoVoltaic 1/3.3. Plan de Afaceri/Prognoza Flux de Numerar Cesiro Production an 3 din 5 ani.pdf","Deschide sursa")</x:f>
        <x:v>HYPERLINK is not implemented. linkLocation=file:///Z:/00. Proiecte 2025/AFIR FotoVoltaic 1/3.3. Plan de Afaceri/Prognoza Flux de Numerar Cesiro Production an 3 din 5 ani.pdf, friendlyName=Deschide sursa</x:v>
      </x:c>
    </x:row>
    <x:row r="100" ht="36" customHeight="1">
      <x:c r="A100" s="8" t="str">
        <x:v>F0096</x:v>
      </x:c>
      <x:c r="B100" s="8" t="str">
        <x:v>Prognoza Indicatori Cesiro Production 5 ani.pdf</x:v>
      </x:c>
      <x:c r="C100" s="8" t="str">
        <x:v>3.3. Plan de Afaceri</x:v>
      </x:c>
      <x:c r="D100" s="8" t="str">
        <x:v>Proiect fotovoltaic</x:v>
      </x:c>
      <x:c r="E100" s="8" t="str">
        <x:v>.pdf</x:v>
      </x:c>
      <x:c r="F100" s="8" t="n">
        <x:v>190387</x:v>
      </x:c>
      <x:c r="G100" s="8" t="str">
        <x:v>Text extras</x:v>
      </x:c>
      <x:c r="H100" s="8" t="str">
        <x:v>Document local; transmiterea individuală neconfirmată</x:v>
      </x:c>
      <x:c r="I100" s="8" t="str"/>
      <x:c r="J100" s="8" t="e">
        <x:f>HYPERLINK("file:///Z:/00. Proiecte 2025/AFIR FotoVoltaic 1/3.3. Plan de Afaceri/Prognoza Indicatori Cesiro Production 5 ani.pdf","Deschide sursa")</x:f>
        <x:v>HYPERLINK is not implemented. linkLocation=file:///Z:/00. Proiecte 2025/AFIR FotoVoltaic 1/3.3. Plan de Afaceri/Prognoza Indicatori Cesiro Production 5 ani.pdf, friendlyName=Deschide sursa</x:v>
      </x:c>
    </x:row>
    <x:row r="101" ht="36" customHeight="1">
      <x:c r="A101" s="8" t="str">
        <x:v>F0097</x:v>
      </x:c>
      <x:c r="B101" s="8" t="str">
        <x:v>Prognoza venituri Cesiro Production 5 ani.pdf</x:v>
      </x:c>
      <x:c r="C101" s="8" t="str">
        <x:v>3.3. Plan de Afaceri</x:v>
      </x:c>
      <x:c r="D101" s="8" t="str">
        <x:v>Proiect fotovoltaic</x:v>
      </x:c>
      <x:c r="E101" s="8" t="str">
        <x:v>.pdf</x:v>
      </x:c>
      <x:c r="F101" s="8" t="n">
        <x:v>361808</x:v>
      </x:c>
      <x:c r="G101" s="8" t="str">
        <x:v>Text extras</x:v>
      </x:c>
      <x:c r="H101" s="8" t="str">
        <x:v>Document local; transmiterea individuală neconfirmată</x:v>
      </x:c>
      <x:c r="I101" s="8" t="str"/>
      <x:c r="J101" s="8" t="e">
        <x:f>HYPERLINK("file:///Z:/00. Proiecte 2025/AFIR FotoVoltaic 1/3.3. Plan de Afaceri/Prognoza venituri Cesiro Production 5 ani.pdf","Deschide sursa")</x:f>
        <x:v>HYPERLINK is not implemented. linkLocation=file:///Z:/00. Proiecte 2025/AFIR FotoVoltaic 1/3.3. Plan de Afaceri/Prognoza venituri Cesiro Production 5 ani.pdf, friendlyName=Deschide sursa</x:v>
      </x:c>
    </x:row>
    <x:row r="102" ht="36" customHeight="1">
      <x:c r="A102" s="8" t="str">
        <x:v>F0098</x:v>
      </x:c>
      <x:c r="B102" s="8" t="str">
        <x:v>Contract de achizitie Cesiro Production-Suntree.pdf</x:v>
      </x:c>
      <x:c r="C102" s="8" t="str">
        <x:v>3.4. Contract de achizitie bunuri si servici</x:v>
      </x:c>
      <x:c r="D102" s="8" t="str">
        <x:v>Proiect fotovoltaic</x:v>
      </x:c>
      <x:c r="E102" s="8" t="str">
        <x:v>.pdf</x:v>
      </x:c>
      <x:c r="F102" s="8" t="n">
        <x:v>4840623</x:v>
      </x:c>
      <x:c r="G102" s="8" t="str">
        <x:v>Text extras</x:v>
      </x:c>
      <x:c r="H102" s="8" t="str">
        <x:v>Document local; transmiterea individuală neconfirmată</x:v>
      </x:c>
      <x:c r="I102" s="8" t="str"/>
      <x:c r="J102" s="8" t="e">
        <x:f>HYPERLINK("file:///Z:/00. Proiecte 2025/AFIR FotoVoltaic 1/3.4. Contract de achizitie bunuri si servici/Contract de achizitie Cesiro Production-Suntree.pdf","Deschide sursa")</x:f>
        <x:v>HYPERLINK is not implemented. linkLocation=file:///Z:/00. Proiecte 2025/AFIR FotoVoltaic 1/3.4. Contract de achizitie bunuri si servici/Contract de achizitie Cesiro Production-Suntree.pdf, friendlyName=Deschide sursa</x:v>
      </x:c>
    </x:row>
    <x:row r="103" ht="36" customHeight="1">
      <x:c r="A103" s="8" t="str">
        <x:v>F0099</x:v>
      </x:c>
      <x:c r="B103" s="8" t="str">
        <x:v>Contract Suntree Solar Tech SRL - Cesiro Production SRL.docx</x:v>
      </x:c>
      <x:c r="C103" s="8" t="str">
        <x:v>3.4. Contract de achizitie bunuri si servici</x:v>
      </x:c>
      <x:c r="D103" s="8" t="str">
        <x:v>Proiect fotovoltaic</x:v>
      </x:c>
      <x:c r="E103" s="8" t="str">
        <x:v>.docx</x:v>
      </x:c>
      <x:c r="F103" s="8" t="n">
        <x:v>189700</x:v>
      </x:c>
      <x:c r="G103" s="8" t="str">
        <x:v>Text extras</x:v>
      </x:c>
      <x:c r="H103" s="8" t="str">
        <x:v>Document local; transmiterea individuală neconfirmată</x:v>
      </x:c>
      <x:c r="I103" s="8" t="str"/>
      <x:c r="J103" s="8" t="e">
        <x:f>HYPERLINK("file:///Z:/00. Proiecte 2025/AFIR FotoVoltaic 1/3.4. Contract de achizitie bunuri si servici/Contract Suntree Solar Tech SRL - Cesiro Production SRL.docx","Deschide sursa")</x:f>
        <x:v>HYPERLINK is not implemented. linkLocation=file:///Z:/00. Proiecte 2025/AFIR FotoVoltaic 1/3.4. Contract de achizitie bunuri si servici/Contract Suntree Solar Tech SRL - Cesiro Production SRL.docx, friendlyName=Deschide sursa</x:v>
      </x:c>
    </x:row>
    <x:row r="104" ht="36" customHeight="1">
      <x:c r="A104" s="8" t="str">
        <x:v>F0100</x:v>
      </x:c>
      <x:c r="B104" s="8" t="str">
        <x:v>Act_aditional_1_prelungire_termen_Suntree.docx</x:v>
      </x:c>
      <x:c r="C104" s="8" t="str">
        <x:v>3.4.1 Act Aditional 1</x:v>
      </x:c>
      <x:c r="D104" s="8" t="str">
        <x:v>Proiect fotovoltaic</x:v>
      </x:c>
      <x:c r="E104" s="8" t="str">
        <x:v>.docx</x:v>
      </x:c>
      <x:c r="F104" s="8" t="n">
        <x:v>16004</x:v>
      </x:c>
      <x:c r="G104" s="8" t="str">
        <x:v>Text extras</x:v>
      </x:c>
      <x:c r="H104" s="8" t="str">
        <x:v>Document local; transmiterea individuală neconfirmată</x:v>
      </x:c>
      <x:c r="I104" s="8" t="str"/>
      <x:c r="J104" s="8" t="e">
        <x:f>HYPERLINK("file:///Z:/00. Proiecte 2025/AFIR FotoVoltaic 1/3.4.1 Act Aditional 1/Act_aditional_1_prelungire_termen_Suntree.docx","Deschide sursa")</x:f>
        <x:v>HYPERLINK is not implemented. linkLocation=file:///Z:/00. Proiecte 2025/AFIR FotoVoltaic 1/3.4.1 Act Aditional 1/Act_aditional_1_prelungire_termen_Suntree.docx, friendlyName=Deschide sursa</x:v>
      </x:c>
    </x:row>
    <x:row r="105" ht="36" customHeight="1">
      <x:c r="A105" s="8" t="str">
        <x:v>F0101</x:v>
      </x:c>
      <x:c r="B105" s="8" t="str">
        <x:v>Act_Aditional_2_Achizitie_CESIRO_SUNTREE.docx</x:v>
      </x:c>
      <x:c r="C105" s="8" t="str">
        <x:v>3.4.2 Act Aditional 2</x:v>
      </x:c>
      <x:c r="D105" s="8" t="str">
        <x:v>Proiect fotovoltaic</x:v>
      </x:c>
      <x:c r="E105" s="8" t="str">
        <x:v>.docx</x:v>
      </x:c>
      <x:c r="F105" s="8" t="n">
        <x:v>19811</x:v>
      </x:c>
      <x:c r="G105" s="8" t="str">
        <x:v>Text extras</x:v>
      </x:c>
      <x:c r="H105" s="8" t="str">
        <x:v>Document local; transmiterea individuală neconfirmată</x:v>
      </x:c>
      <x:c r="I105" s="8" t="str"/>
      <x:c r="J105" s="8" t="e">
        <x:f>HYPERLINK("file:///Z:/00. Proiecte 2025/AFIR FotoVoltaic 1/3.4.2 Act Aditional 2/Act_Aditional_2_Achizitie_CESIRO_SUNTREE.docx","Deschide sursa")</x:f>
        <x:v>HYPERLINK is not implemented. linkLocation=file:///Z:/00. Proiecte 2025/AFIR FotoVoltaic 1/3.4.2 Act Aditional 2/Act_Aditional_2_Achizitie_CESIRO_SUNTREE.docx, friendlyName=Deschide sursa</x:v>
      </x:c>
    </x:row>
    <x:row r="106" ht="36" customHeight="1">
      <x:c r="A106" s="8" t="str">
        <x:v>F0102</x:v>
      </x:c>
      <x:c r="B106" s="8" t="str">
        <x:v>Cerere de finantare completata.pdf</x:v>
      </x:c>
      <x:c r="C106" s="8" t="str">
        <x:v>3.7. Memoriu Tehnic &amp; Justificativ</x:v>
      </x:c>
      <x:c r="D106" s="8" t="str">
        <x:v>Proiect fotovoltaic</x:v>
      </x:c>
      <x:c r="E106" s="8" t="str">
        <x:v>.pdf</x:v>
      </x:c>
      <x:c r="F106" s="8" t="n">
        <x:v>904341</x:v>
      </x:c>
      <x:c r="G106" s="8" t="str">
        <x:v>Text extras</x:v>
      </x:c>
      <x:c r="H106" s="8" t="str">
        <x:v>Document local; transmiterea individuală neconfirmată</x:v>
      </x:c>
      <x:c r="I106" s="8" t="str"/>
      <x:c r="J106" s="8" t="e">
        <x:f>HYPERLINK("file:///Z:/00. Proiecte 2025/AFIR FotoVoltaic 1/3.7. Memoriu Tehnic &amp; Justificativ/Cerere de finantare completata.pdf","Deschide sursa")</x:f>
        <x:v>HYPERLINK is not implemented. linkLocation=file:///Z:/00. Proiecte 2025/AFIR FotoVoltaic 1/3.7. Memoriu Tehnic &amp; Justificativ/Cerere de finantare completata.pdf, friendlyName=Deschide sursa</x:v>
      </x:c>
    </x:row>
    <x:row r="107" ht="36" customHeight="1">
      <x:c r="A107" s="8" t="str">
        <x:v>F0103</x:v>
      </x:c>
      <x:c r="B107" s="8" t="str">
        <x:v>Deviz general 11.02.2024.xlsx</x:v>
      </x:c>
      <x:c r="C107" s="8" t="str">
        <x:v>3.7. Memoriu Tehnic &amp; Justificativ</x:v>
      </x:c>
      <x:c r="D107" s="8" t="str">
        <x:v>Proiect fotovoltaic</x:v>
      </x:c>
      <x:c r="E107" s="8" t="str">
        <x:v>.xlsx</x:v>
      </x:c>
      <x:c r="F107" s="8" t="n">
        <x:v>22598</x:v>
      </x:c>
      <x:c r="G107" s="8" t="str">
        <x:v>Inventariat; conținut neextras</x:v>
      </x:c>
      <x:c r="H107" s="8" t="str">
        <x:v>Document local; transmiterea individuală neconfirmată</x:v>
      </x:c>
      <x:c r="I107" s="8" t="str"/>
      <x:c r="J107" s="8" t="e">
        <x:f>HYPERLINK("file:///Z:/00. Proiecte 2025/AFIR FotoVoltaic 1/3.7. Memoriu Tehnic &amp; Justificativ/Deviz general 11.02.2024.xlsx","Deschide sursa")</x:f>
        <x:v>HYPERLINK is not implemented. linkLocation=file:///Z:/00. Proiecte 2025/AFIR FotoVoltaic 1/3.7. Memoriu Tehnic &amp; Justificativ/Deviz general 11.02.2024.xlsx, friendlyName=Deschide sursa</x:v>
      </x:c>
    </x:row>
    <x:row r="108" ht="36" customHeight="1">
      <x:c r="A108" s="8" t="str">
        <x:v>F0104</x:v>
      </x:c>
      <x:c r="B108" s="8" t="str">
        <x:v>Memoriu Tehnic &amp; Justificativ 28.01.2024.docx</x:v>
      </x:c>
      <x:c r="C108" s="8" t="str">
        <x:v>3.7. Memoriu Tehnic &amp; Justificativ</x:v>
      </x:c>
      <x:c r="D108" s="8" t="str">
        <x:v>Proiect fotovoltaic</x:v>
      </x:c>
      <x:c r="E108" s="8" t="str">
        <x:v>.docx</x:v>
      </x:c>
      <x:c r="F108" s="8" t="n">
        <x:v>2744159</x:v>
      </x:c>
      <x:c r="G108" s="8" t="str">
        <x:v>Text extras</x:v>
      </x:c>
      <x:c r="H108" s="8" t="str">
        <x:v>Document local; transmiterea individuală neconfirmată</x:v>
      </x:c>
      <x:c r="I108" s="8" t="str"/>
      <x:c r="J108" s="8" t="e">
        <x:f>HYPERLINK("file:///Z:/00. Proiecte 2025/AFIR FotoVoltaic 1/3.7. Memoriu Tehnic &amp; Justificativ/Memoriu Tehnic &amp; Justificativ 28.01.2024.docx","Deschide sursa")</x:f>
        <x:v>HYPERLINK is not implemented. linkLocation=file:///Z:/00. Proiecte 2025/AFIR FotoVoltaic 1/3.7. Memoriu Tehnic &amp; Justificativ/Memoriu Tehnic &amp; Justificativ 28.01.2024.docx, friendlyName=Deschide sursa</x:v>
      </x:c>
    </x:row>
    <x:row r="109" ht="36" customHeight="1">
      <x:c r="A109" s="8" t="str">
        <x:v>F0105</x:v>
      </x:c>
      <x:c r="B109" s="8" t="str">
        <x:v>Model amplasare panouri fotovoltaice 10500 mp 210 m X 50 m.pdf</x:v>
      </x:c>
      <x:c r="C109" s="8" t="str">
        <x:v>3.7. Memoriu Tehnic &amp; Justificativ</x:v>
      </x:c>
      <x:c r="D109" s="8" t="str">
        <x:v>Proiect fotovoltaic</x:v>
      </x:c>
      <x:c r="E109" s="8" t="str">
        <x:v>.pdf</x:v>
      </x:c>
      <x:c r="F109" s="8" t="n">
        <x:v>263678</x:v>
      </x:c>
      <x:c r="G109" s="8" t="str">
        <x:v>Text extras</x:v>
      </x:c>
      <x:c r="H109" s="8" t="str">
        <x:v>Document local; transmiterea individuală neconfirmată</x:v>
      </x:c>
      <x:c r="I109" s="8" t="str"/>
      <x:c r="J109" s="8" t="e">
        <x:f>HYPERLINK("file:///Z:/00. Proiecte 2025/AFIR FotoVoltaic 1/3.7. Memoriu Tehnic &amp; Justificativ/Model amplasare panouri fotovoltaice 10500 mp 210 m X 50 m.pdf","Deschide sursa")</x:f>
        <x:v>HYPERLINK is not implemented. linkLocation=file:///Z:/00. Proiecte 2025/AFIR FotoVoltaic 1/3.7. Memoriu Tehnic &amp; Justificativ/Model amplasare panouri fotovoltaice 10500 mp 210 m X 50 m.pdf, friendlyName=Deschide sursa</x:v>
      </x:c>
    </x:row>
    <x:row r="110" ht="32" customHeight="1">
      <x:c r="A110" s="8" t="str">
        <x:v>F0106</x:v>
      </x:c>
      <x:c r="B110" s="8" t="str">
        <x:v>PV-GIS.jpg</x:v>
      </x:c>
      <x:c r="C110" s="8" t="str">
        <x:v>3.7. Memoriu Tehnic &amp; Justificativ</x:v>
      </x:c>
      <x:c r="D110" s="8" t="str">
        <x:v>Proiect fotovoltaic</x:v>
      </x:c>
      <x:c r="E110" s="8" t="str">
        <x:v>.jpg</x:v>
      </x:c>
      <x:c r="F110" s="8" t="n">
        <x:v>404319</x:v>
      </x:c>
      <x:c r="G110" s="8" t="str">
        <x:v>Inventariat; conținut neextras</x:v>
      </x:c>
      <x:c r="H110" s="8" t="str">
        <x:v>Document local; transmiterea individuală neconfirmată</x:v>
      </x:c>
      <x:c r="I110" s="8" t="str"/>
      <x:c r="J110" s="8" t="e">
        <x:f>HYPERLINK("file:///Z:/00. Proiecte 2025/AFIR FotoVoltaic 1/3.7. Memoriu Tehnic &amp; Justificativ/PV-GIS.jpg","Deschide sursa")</x:f>
        <x:v>HYPERLINK is not implemented. linkLocation=file:///Z:/00. Proiecte 2025/AFIR FotoVoltaic 1/3.7. Memoriu Tehnic &amp; Justificativ/PV-GIS.jpg, friendlyName=Deschide sursa</x:v>
      </x:c>
    </x:row>
    <x:row r="111" ht="32" customHeight="1">
      <x:c r="A111" s="8" t="str">
        <x:v>F0107</x:v>
      </x:c>
      <x:c r="B111" s="8" t="str">
        <x:v>58299.pdf</x:v>
      </x:c>
      <x:c r="C111" s="8" t="str">
        <x:v>3.8. Contract de concesiune</x:v>
      </x:c>
      <x:c r="D111" s="8" t="str">
        <x:v>Proiect fotovoltaic</x:v>
      </x:c>
      <x:c r="E111" s="8" t="str">
        <x:v>.pdf</x:v>
      </x:c>
      <x:c r="F111" s="8" t="n">
        <x:v>72262</x:v>
      </x:c>
      <x:c r="G111" s="8" t="str">
        <x:v>Scan / text insuficient</x:v>
      </x:c>
      <x:c r="H111" s="8" t="str">
        <x:v>Document local; transmiterea individuală neconfirmată</x:v>
      </x:c>
      <x:c r="I111" s="8" t="str"/>
      <x:c r="J111" s="8" t="e">
        <x:f>HYPERLINK("file:///Z:/00. Proiecte 2025/AFIR FotoVoltaic 1/3.8. Contract de concesiune/58299.pdf","Deschide sursa")</x:f>
        <x:v>HYPERLINK is not implemented. linkLocation=file:///Z:/00. Proiecte 2025/AFIR FotoVoltaic 1/3.8. Contract de concesiune/58299.pdf, friendlyName=Deschide sursa</x:v>
      </x:c>
    </x:row>
    <x:row r="112" ht="32" customHeight="1">
      <x:c r="A112" s="8" t="str">
        <x:v>F0108</x:v>
      </x:c>
      <x:c r="B112" s="8" t="str">
        <x:v>58300 IPEC.pdf</x:v>
      </x:c>
      <x:c r="C112" s="8" t="str">
        <x:v>3.8. Contract de concesiune</x:v>
      </x:c>
      <x:c r="D112" s="8" t="str">
        <x:v>Proiect fotovoltaic</x:v>
      </x:c>
      <x:c r="E112" s="8" t="str">
        <x:v>.pdf</x:v>
      </x:c>
      <x:c r="F112" s="8" t="n">
        <x:v>117771</x:v>
      </x:c>
      <x:c r="G112" s="8" t="str">
        <x:v>Text extras</x:v>
      </x:c>
      <x:c r="H112" s="8" t="str">
        <x:v>Document local; transmiterea individuală neconfirmată</x:v>
      </x:c>
      <x:c r="I112" s="8" t="str"/>
      <x:c r="J112" s="8" t="e">
        <x:f>HYPERLINK("file:///Z:/00. Proiecte 2025/AFIR FotoVoltaic 1/3.8. Contract de concesiune/58300 IPEC.pdf","Deschide sursa")</x:f>
        <x:v>HYPERLINK is not implemented. linkLocation=file:///Z:/00. Proiecte 2025/AFIR FotoVoltaic 1/3.8. Contract de concesiune/58300 IPEC.pdf, friendlyName=Deschide sursa</x:v>
      </x:c>
    </x:row>
    <x:row r="113" ht="32" customHeight="1">
      <x:c r="A113" s="8" t="str">
        <x:v>F0109</x:v>
      </x:c>
      <x:c r="B113" s="8" t="str">
        <x:v>58300.pdf</x:v>
      </x:c>
      <x:c r="C113" s="8" t="str">
        <x:v>3.8. Contract de concesiune</x:v>
      </x:c>
      <x:c r="D113" s="8" t="str">
        <x:v>Proiect fotovoltaic</x:v>
      </x:c>
      <x:c r="E113" s="8" t="str">
        <x:v>.pdf</x:v>
      </x:c>
      <x:c r="F113" s="8" t="n">
        <x:v>133339</x:v>
      </x:c>
      <x:c r="G113" s="8" t="str">
        <x:v>Scan / text insuficient</x:v>
      </x:c>
      <x:c r="H113" s="8" t="str">
        <x:v>Document local; transmiterea individuală neconfirmată</x:v>
      </x:c>
      <x:c r="I113" s="8" t="str"/>
      <x:c r="J113" s="8" t="e">
        <x:f>HYPERLINK("file:///Z:/00. Proiecte 2025/AFIR FotoVoltaic 1/3.8. Contract de concesiune/58300.pdf","Deschide sursa")</x:f>
        <x:v>HYPERLINK is not implemented. linkLocation=file:///Z:/00. Proiecte 2025/AFIR FotoVoltaic 1/3.8. Contract de concesiune/58300.pdf, friendlyName=Deschide sursa</x:v>
      </x:c>
    </x:row>
    <x:row r="114" ht="32" customHeight="1">
      <x:c r="A114" s="8" t="str">
        <x:v>F0110</x:v>
      </x:c>
      <x:c r="B114" s="8" t="str">
        <x:v>ACORD IPOTECAR IPEC.docx</x:v>
      </x:c>
      <x:c r="C114" s="8" t="str">
        <x:v>3.8. Contract de concesiune</x:v>
      </x:c>
      <x:c r="D114" s="8" t="str">
        <x:v>Proiect fotovoltaic</x:v>
      </x:c>
      <x:c r="E114" s="8" t="str">
        <x:v>.docx</x:v>
      </x:c>
      <x:c r="F114" s="8" t="n">
        <x:v>12382</x:v>
      </x:c>
      <x:c r="G114" s="8" t="str">
        <x:v>Text extras</x:v>
      </x:c>
      <x:c r="H114" s="8" t="str">
        <x:v>Document local; transmiterea individuală neconfirmată</x:v>
      </x:c>
      <x:c r="I114" s="8" t="str"/>
      <x:c r="J114" s="8" t="e">
        <x:f>HYPERLINK("file:///Z:/00. Proiecte 2025/AFIR FotoVoltaic 1/3.8. Contract de concesiune/ACORD IPOTECAR IPEC.docx","Deschide sursa")</x:f>
        <x:v>HYPERLINK is not implemented. linkLocation=file:///Z:/00. Proiecte 2025/AFIR FotoVoltaic 1/3.8. Contract de concesiune/ACORD IPOTECAR IPEC.docx, friendlyName=Deschide sursa</x:v>
      </x:c>
    </x:row>
    <x:row r="115" ht="36" customHeight="1">
      <x:c r="A115" s="8" t="str">
        <x:v>F0111</x:v>
      </x:c>
      <x:c r="B115" s="8" t="str">
        <x:v>act aditional la contrractul de comodat nr 2 din 12.01.2021.docx</x:v>
      </x:c>
      <x:c r="C115" s="8" t="str">
        <x:v>3.8. Contract de concesiune</x:v>
      </x:c>
      <x:c r="D115" s="8" t="str">
        <x:v>Proiect fotovoltaic</x:v>
      </x:c>
      <x:c r="E115" s="8" t="str">
        <x:v>.docx</x:v>
      </x:c>
      <x:c r="F115" s="8" t="n">
        <x:v>1659536</x:v>
      </x:c>
      <x:c r="G115" s="8" t="str">
        <x:v>Text extras</x:v>
      </x:c>
      <x:c r="H115" s="8" t="str">
        <x:v>Document local; transmiterea individuală neconfirmată</x:v>
      </x:c>
      <x:c r="I115" s="8" t="str"/>
      <x:c r="J115" s="8" t="e">
        <x:f>HYPERLINK("file:///Z:/00. Proiecte 2025/AFIR FotoVoltaic 1/3.8. Contract de concesiune/act aditional la contrractul de comodat nr 2 din 12.01.2021.docx","Deschide sursa")</x:f>
        <x:v>HYPERLINK is not implemented. linkLocation=file:///Z:/00. Proiecte 2025/AFIR FotoVoltaic 1/3.8. Contract de concesiune/act aditional la contrractul de comodat nr 2 din 12.01.2021.docx, friendlyName=Deschide sursa</x:v>
      </x:c>
    </x:row>
    <x:row r="116" ht="36" customHeight="1">
      <x:c r="A116" s="8" t="str">
        <x:v>F0112</x:v>
      </x:c>
      <x:c r="B116" s="8" t="str">
        <x:v>CF 50573 hala de productie fabrica Cesiro 10 10 2017.PDF</x:v>
      </x:c>
      <x:c r="C116" s="8" t="str">
        <x:v>3.8. Contract de concesiune</x:v>
      </x:c>
      <x:c r="D116" s="8" t="str">
        <x:v>Proiect fotovoltaic</x:v>
      </x:c>
      <x:c r="E116" s="8" t="str">
        <x:v>.pdf</x:v>
      </x:c>
      <x:c r="F116" s="8" t="n">
        <x:v>1476807</x:v>
      </x:c>
      <x:c r="G116" s="8" t="str">
        <x:v>Text extras</x:v>
      </x:c>
      <x:c r="H116" s="8" t="str">
        <x:v>Document local; transmiterea individuală neconfirmată</x:v>
      </x:c>
      <x:c r="I116" s="8" t="str"/>
      <x:c r="J116" s="8" t="e">
        <x:f>HYPERLINK("file:///Z:/00. Proiecte 2025/AFIR FotoVoltaic 1/3.8. Contract de concesiune/CF 50573 hala de productie fabrica Cesiro 10 10 2017.PDF","Deschide sursa")</x:f>
        <x:v>HYPERLINK is not implemented. linkLocation=file:///Z:/00. Proiecte 2025/AFIR FotoVoltaic 1/3.8. Contract de concesiune/CF 50573 hala de productie fabrica Cesiro 10 10 2017.PDF, friendlyName=Deschide sursa</x:v>
      </x:c>
    </x:row>
    <x:row r="117" ht="32" customHeight="1">
      <x:c r="A117" s="8" t="str">
        <x:v>F0113</x:v>
      </x:c>
      <x:c r="B117" s="8" t="str">
        <x:v>contract comodat nr 2-2.pdf</x:v>
      </x:c>
      <x:c r="C117" s="8" t="str">
        <x:v>3.8. Contract de concesiune</x:v>
      </x:c>
      <x:c r="D117" s="8" t="str">
        <x:v>Proiect fotovoltaic</x:v>
      </x:c>
      <x:c r="E117" s="8" t="str">
        <x:v>.pdf</x:v>
      </x:c>
      <x:c r="F117" s="8" t="n">
        <x:v>658228</x:v>
      </x:c>
      <x:c r="G117" s="8" t="str">
        <x:v>Scan / text insuficient</x:v>
      </x:c>
      <x:c r="H117" s="8" t="str">
        <x:v>Document local; transmiterea individuală neconfirmată</x:v>
      </x:c>
      <x:c r="I117" s="8" t="str"/>
      <x:c r="J117" s="8" t="e">
        <x:f>HYPERLINK("file:///Z:/00. Proiecte 2025/AFIR FotoVoltaic 1/3.8. Contract de concesiune/contract comodat nr 2-2.pdf","Deschide sursa")</x:f>
        <x:v>HYPERLINK is not implemented. linkLocation=file:///Z:/00. Proiecte 2025/AFIR FotoVoltaic 1/3.8. Contract de concesiune/contract comodat nr 2-2.pdf, friendlyName=Deschide sursa</x:v>
      </x:c>
    </x:row>
    <x:row r="118" ht="36" customHeight="1">
      <x:c r="A118" s="8" t="str">
        <x:v>F0114</x:v>
      </x:c>
      <x:c r="B118" s="8" t="str">
        <x:v>Contract de inchiriere IPEC SA cu Cesiro Production.pdf</x:v>
      </x:c>
      <x:c r="C118" s="8" t="str">
        <x:v>3.8. Contract de concesiune</x:v>
      </x:c>
      <x:c r="D118" s="8" t="str">
        <x:v>Proiect fotovoltaic</x:v>
      </x:c>
      <x:c r="E118" s="8" t="str">
        <x:v>.pdf</x:v>
      </x:c>
      <x:c r="F118" s="8" t="n">
        <x:v>8565306</x:v>
      </x:c>
      <x:c r="G118" s="8" t="str">
        <x:v>Text extras</x:v>
      </x:c>
      <x:c r="H118" s="8" t="str">
        <x:v>Document local; transmiterea individuală neconfirmată</x:v>
      </x:c>
      <x:c r="I118" s="8" t="str"/>
      <x:c r="J118" s="8" t="e">
        <x:f>HYPERLINK("file:///Z:/00. Proiecte 2025/AFIR FotoVoltaic 1/3.8. Contract de concesiune/Contract de inchiriere IPEC SA cu Cesiro Production.pdf","Deschide sursa")</x:f>
        <x:v>HYPERLINK is not implemented. linkLocation=file:///Z:/00. Proiecte 2025/AFIR FotoVoltaic 1/3.8. Contract de concesiune/Contract de inchiriere IPEC SA cu Cesiro Production.pdf, friendlyName=Deschide sursa</x:v>
      </x:c>
    </x:row>
    <x:row r="119" ht="36" customHeight="1">
      <x:c r="A119" s="8" t="str">
        <x:v>F0115</x:v>
      </x:c>
      <x:c r="B119" s="8" t="str">
        <x:v>Contract de inchiriere IPEC SA cu Cesiro Production_Page_1.jpg</x:v>
      </x:c>
      <x:c r="C119" s="8" t="str">
        <x:v>3.8. Contract de concesiune</x:v>
      </x:c>
      <x:c r="D119" s="8" t="str">
        <x:v>Proiect fotovoltaic</x:v>
      </x:c>
      <x:c r="E119" s="8" t="str">
        <x:v>.jpg</x:v>
      </x:c>
      <x:c r="F119" s="8" t="n">
        <x:v>1958014</x:v>
      </x:c>
      <x:c r="G119" s="8" t="str">
        <x:v>Inventariat; conținut neextras</x:v>
      </x:c>
      <x:c r="H119" s="8" t="str">
        <x:v>Document local; transmiterea individuală neconfirmată</x:v>
      </x:c>
      <x:c r="I119" s="8" t="str"/>
      <x:c r="J119" s="8" t="e">
        <x:f>HYPERLINK("file:///Z:/00. Proiecte 2025/AFIR FotoVoltaic 1/3.8. Contract de concesiune/Contract de inchiriere IPEC SA cu Cesiro Production_Page_1.jpg","Deschide sursa")</x:f>
        <x:v>HYPERLINK is not implemented. linkLocation=file:///Z:/00. Proiecte 2025/AFIR FotoVoltaic 1/3.8. Contract de concesiune/Contract de inchiriere IPEC SA cu Cesiro Production_Page_1.jpg, friendlyName=Deschide sursa</x:v>
      </x:c>
    </x:row>
    <x:row r="120" ht="36" customHeight="1">
      <x:c r="A120" s="8" t="str">
        <x:v>F0116</x:v>
      </x:c>
      <x:c r="B120" s="8" t="str">
        <x:v>Contract de inchiriere IPEC SA cu Cesiro Production_Page_2.jpg</x:v>
      </x:c>
      <x:c r="C120" s="8" t="str">
        <x:v>3.8. Contract de concesiune</x:v>
      </x:c>
      <x:c r="D120" s="8" t="str">
        <x:v>Proiect fotovoltaic</x:v>
      </x:c>
      <x:c r="E120" s="8" t="str">
        <x:v>.jpg</x:v>
      </x:c>
      <x:c r="F120" s="8" t="n">
        <x:v>2400537</x:v>
      </x:c>
      <x:c r="G120" s="8" t="str">
        <x:v>Inventariat; conținut neextras</x:v>
      </x:c>
      <x:c r="H120" s="8" t="str">
        <x:v>Document local; transmiterea individuală neconfirmată</x:v>
      </x:c>
      <x:c r="I120" s="8" t="str"/>
      <x:c r="J120" s="8" t="e">
        <x:f>HYPERLINK("file:///Z:/00. Proiecte 2025/AFIR FotoVoltaic 1/3.8. Contract de concesiune/Contract de inchiriere IPEC SA cu Cesiro Production_Page_2.jpg","Deschide sursa")</x:f>
        <x:v>HYPERLINK is not implemented. linkLocation=file:///Z:/00. Proiecte 2025/AFIR FotoVoltaic 1/3.8. Contract de concesiune/Contract de inchiriere IPEC SA cu Cesiro Production_Page_2.jpg, friendlyName=Deschide sursa</x:v>
      </x:c>
    </x:row>
    <x:row r="121" ht="36" customHeight="1">
      <x:c r="A121" s="8" t="str">
        <x:v>F0117</x:v>
      </x:c>
      <x:c r="B121" s="8" t="str">
        <x:v>Contract de inchiriere IPEC SA cu Cesiro Production_Page_3.jpg</x:v>
      </x:c>
      <x:c r="C121" s="8" t="str">
        <x:v>3.8. Contract de concesiune</x:v>
      </x:c>
      <x:c r="D121" s="8" t="str">
        <x:v>Proiect fotovoltaic</x:v>
      </x:c>
      <x:c r="E121" s="8" t="str">
        <x:v>.jpg</x:v>
      </x:c>
      <x:c r="F121" s="8" t="n">
        <x:v>2267914</x:v>
      </x:c>
      <x:c r="G121" s="8" t="str">
        <x:v>Inventariat; conținut neextras</x:v>
      </x:c>
      <x:c r="H121" s="8" t="str">
        <x:v>Document local; transmiterea individuală neconfirmată</x:v>
      </x:c>
      <x:c r="I121" s="8" t="str"/>
      <x:c r="J121" s="8" t="e">
        <x:f>HYPERLINK("file:///Z:/00. Proiecte 2025/AFIR FotoVoltaic 1/3.8. Contract de concesiune/Contract de inchiriere IPEC SA cu Cesiro Production_Page_3.jpg","Deschide sursa")</x:f>
        <x:v>HYPERLINK is not implemented. linkLocation=file:///Z:/00. Proiecte 2025/AFIR FotoVoltaic 1/3.8. Contract de concesiune/Contract de inchiriere IPEC SA cu Cesiro Production_Page_3.jpg, friendlyName=Deschide sursa</x:v>
      </x:c>
    </x:row>
    <x:row r="122" ht="36" customHeight="1">
      <x:c r="A122" s="8" t="str">
        <x:v>F0118</x:v>
      </x:c>
      <x:c r="B122" s="8" t="str">
        <x:v>Contract de inchiriere IPEC SA cu Cesiro Production_Page_4.jpg</x:v>
      </x:c>
      <x:c r="C122" s="8" t="str">
        <x:v>3.8. Contract de concesiune</x:v>
      </x:c>
      <x:c r="D122" s="8" t="str">
        <x:v>Proiect fotovoltaic</x:v>
      </x:c>
      <x:c r="E122" s="8" t="str">
        <x:v>.jpg</x:v>
      </x:c>
      <x:c r="F122" s="8" t="n">
        <x:v>465810</x:v>
      </x:c>
      <x:c r="G122" s="8" t="str">
        <x:v>Inventariat; conținut neextras</x:v>
      </x:c>
      <x:c r="H122" s="8" t="str">
        <x:v>Document local; transmiterea individuală neconfirmată</x:v>
      </x:c>
      <x:c r="I122" s="8" t="str"/>
      <x:c r="J122" s="8" t="e">
        <x:f>HYPERLINK("file:///Z:/00. Proiecte 2025/AFIR FotoVoltaic 1/3.8. Contract de concesiune/Contract de inchiriere IPEC SA cu Cesiro Production_Page_4.jpg","Deschide sursa")</x:f>
        <x:v>HYPERLINK is not implemented. linkLocation=file:///Z:/00. Proiecte 2025/AFIR FotoVoltaic 1/3.8. Contract de concesiune/Contract de inchiriere IPEC SA cu Cesiro Production_Page_4.jpg, friendlyName=Deschide sursa</x:v>
      </x:c>
    </x:row>
    <x:row r="123" ht="36" customHeight="1">
      <x:c r="A123" s="8" t="str">
        <x:v>F0119</x:v>
      </x:c>
      <x:c r="B123" s="8" t="str">
        <x:v>Contract de inchiriere IPEC SA cu Cesiro Production_Page_5.jpg</x:v>
      </x:c>
      <x:c r="C123" s="8" t="str">
        <x:v>3.8. Contract de concesiune</x:v>
      </x:c>
      <x:c r="D123" s="8" t="str">
        <x:v>Proiect fotovoltaic</x:v>
      </x:c>
      <x:c r="E123" s="8" t="str">
        <x:v>.jpg</x:v>
      </x:c>
      <x:c r="F123" s="8" t="n">
        <x:v>1032521</x:v>
      </x:c>
      <x:c r="G123" s="8" t="str">
        <x:v>Inventariat; conținut neextras</x:v>
      </x:c>
      <x:c r="H123" s="8" t="str">
        <x:v>Document local; transmiterea individuală neconfirmată</x:v>
      </x:c>
      <x:c r="I123" s="8" t="str"/>
      <x:c r="J123" s="8" t="e">
        <x:f>HYPERLINK("file:///Z:/00. Proiecte 2025/AFIR FotoVoltaic 1/3.8. Contract de concesiune/Contract de inchiriere IPEC SA cu Cesiro Production_Page_5.jpg","Deschide sursa")</x:f>
        <x:v>HYPERLINK is not implemented. linkLocation=file:///Z:/00. Proiecte 2025/AFIR FotoVoltaic 1/3.8. Contract de concesiune/Contract de inchiriere IPEC SA cu Cesiro Production_Page_5.jpg, friendlyName=Deschide sursa</x:v>
      </x:c>
    </x:row>
    <x:row r="124" ht="36" customHeight="1">
      <x:c r="A124" s="8" t="str">
        <x:v>F0120</x:v>
      </x:c>
      <x:c r="B124" s="8" t="str">
        <x:v>Contract de inchiriere IPEC SA cu Cesiro Production_Page_6.jpg</x:v>
      </x:c>
      <x:c r="C124" s="8" t="str">
        <x:v>3.8. Contract de concesiune</x:v>
      </x:c>
      <x:c r="D124" s="8" t="str">
        <x:v>Proiect fotovoltaic</x:v>
      </x:c>
      <x:c r="E124" s="8" t="str">
        <x:v>.jpg</x:v>
      </x:c>
      <x:c r="F124" s="8" t="n">
        <x:v>436304</x:v>
      </x:c>
      <x:c r="G124" s="8" t="str">
        <x:v>Inventariat; conținut neextras</x:v>
      </x:c>
      <x:c r="H124" s="8" t="str">
        <x:v>Document local; transmiterea individuală neconfirmată</x:v>
      </x:c>
      <x:c r="I124" s="8" t="str"/>
      <x:c r="J124" s="8" t="e">
        <x:f>HYPERLINK("file:///Z:/00. Proiecte 2025/AFIR FotoVoltaic 1/3.8. Contract de concesiune/Contract de inchiriere IPEC SA cu Cesiro Production_Page_6.jpg","Deschide sursa")</x:f>
        <x:v>HYPERLINK is not implemented. linkLocation=file:///Z:/00. Proiecte 2025/AFIR FotoVoltaic 1/3.8. Contract de concesiune/Contract de inchiriere IPEC SA cu Cesiro Production_Page_6.jpg, friendlyName=Deschide sursa</x:v>
      </x:c>
    </x:row>
    <x:row r="125" ht="36" customHeight="1">
      <x:c r="A125" s="8" t="str">
        <x:v>F0121</x:v>
      </x:c>
      <x:c r="B125" s="8" t="str">
        <x:v>Contract Inchiriere Cesiro - Cesiro Productions.docx</x:v>
      </x:c>
      <x:c r="C125" s="8" t="str">
        <x:v>3.8. Contract de concesiune</x:v>
      </x:c>
      <x:c r="D125" s="8" t="str">
        <x:v>Proiect fotovoltaic</x:v>
      </x:c>
      <x:c r="E125" s="8" t="str">
        <x:v>.docx</x:v>
      </x:c>
      <x:c r="F125" s="8" t="n">
        <x:v>558862</x:v>
      </x:c>
      <x:c r="G125" s="8" t="str">
        <x:v>Text extras</x:v>
      </x:c>
      <x:c r="H125" s="8" t="str">
        <x:v>Document local; transmiterea individuală neconfirmată</x:v>
      </x:c>
      <x:c r="I125" s="8" t="str"/>
      <x:c r="J125" s="8" t="e">
        <x:f>HYPERLINK("file:///Z:/00. Proiecte 2025/AFIR FotoVoltaic 1/3.8. Contract de concesiune/Contract Inchiriere Cesiro - Cesiro Productions.docx","Deschide sursa")</x:f>
        <x:v>HYPERLINK is not implemented. linkLocation=file:///Z:/00. Proiecte 2025/AFIR FotoVoltaic 1/3.8. Contract de concesiune/Contract Inchiriere Cesiro - Cesiro Productions.docx, friendlyName=Deschide sursa</x:v>
      </x:c>
    </x:row>
    <x:row r="126" ht="32" customHeight="1">
      <x:c r="A126" s="8" t="str">
        <x:v>F0122</x:v>
      </x:c>
      <x:c r="B126" s="8" t="str">
        <x:v>DECIZIE PASTRARE CONTRACT.docx</x:v>
      </x:c>
      <x:c r="C126" s="8" t="str">
        <x:v>3.8. Contract de concesiune</x:v>
      </x:c>
      <x:c r="D126" s="8" t="str">
        <x:v>Proiect fotovoltaic</x:v>
      </x:c>
      <x:c r="E126" s="8" t="str">
        <x:v>.docx</x:v>
      </x:c>
      <x:c r="F126" s="8" t="n">
        <x:v>16436</x:v>
      </x:c>
      <x:c r="G126" s="8" t="str">
        <x:v>Text extras</x:v>
      </x:c>
      <x:c r="H126" s="8" t="str">
        <x:v>Document local; transmiterea individuală neconfirmată</x:v>
      </x:c>
      <x:c r="I126" s="8" t="str"/>
      <x:c r="J126" s="8" t="e">
        <x:f>HYPERLINK("file:///Z:/00. Proiecte 2025/AFIR FotoVoltaic 1/3.8. Contract de concesiune/DECIZIE PASTRARE CONTRACT.docx","Deschide sursa")</x:f>
        <x:v>HYPERLINK is not implemented. linkLocation=file:///Z:/00. Proiecte 2025/AFIR FotoVoltaic 1/3.8. Contract de concesiune/DECIZIE PASTRARE CONTRACT.docx, friendlyName=Deschide sursa</x:v>
      </x:c>
    </x:row>
    <x:row r="127" ht="36" customHeight="1">
      <x:c r="A127" s="8" t="str">
        <x:v>F0123</x:v>
      </x:c>
      <x:c r="B127" s="8" t="str">
        <x:v>SChema de amplasare panouri pe acoperis.xlsx</x:v>
      </x:c>
      <x:c r="C127" s="8" t="str">
        <x:v>3.8. Contract de concesiune</x:v>
      </x:c>
      <x:c r="D127" s="8" t="str">
        <x:v>Proiect fotovoltaic</x:v>
      </x:c>
      <x:c r="E127" s="8" t="str">
        <x:v>.xlsx</x:v>
      </x:c>
      <x:c r="F127" s="8" t="n">
        <x:v>36698</x:v>
      </x:c>
      <x:c r="G127" s="8" t="str">
        <x:v>Inventariat; conținut neextras</x:v>
      </x:c>
      <x:c r="H127" s="8" t="str">
        <x:v>Document local; transmiterea individuală neconfirmată</x:v>
      </x:c>
      <x:c r="I127" s="8" t="str"/>
      <x:c r="J127" s="8" t="e">
        <x:f>HYPERLINK("file:///Z:/00. Proiecte 2025/AFIR FotoVoltaic 1/3.8. Contract de concesiune/SChema de amplasare panouri pe acoperis.xlsx","Deschide sursa")</x:f>
        <x:v>HYPERLINK is not implemented. linkLocation=file:///Z:/00. Proiecte 2025/AFIR FotoVoltaic 1/3.8. Contract de concesiune/SChema de amplasare panouri pe acoperis.xlsx, friendlyName=Deschide sursa</x:v>
      </x:c>
    </x:row>
    <x:row r="128" ht="36" customHeight="1">
      <x:c r="A128" s="8" t="str">
        <x:v>F0124</x:v>
      </x:c>
      <x:c r="B128" s="8" t="str">
        <x:v>Opis_Cerere_rambursare_nr1_CESIRO (4).docx</x:v>
      </x:c>
      <x:c r="C128" s="8" t="str">
        <x:v>30.1 Cerere Rambursare 1</x:v>
      </x:c>
      <x:c r="D128" s="8" t="str">
        <x:v>Proiect fotovoltaic</x:v>
      </x:c>
      <x:c r="E128" s="8" t="str">
        <x:v>.docx</x:v>
      </x:c>
      <x:c r="F128" s="8" t="n">
        <x:v>150570</x:v>
      </x:c>
      <x:c r="G128" s="8" t="str">
        <x:v>Text extras</x:v>
      </x:c>
      <x:c r="H128" s="8" t="str">
        <x:v>Document local; transmiterea individuală neconfirmată</x:v>
      </x:c>
      <x:c r="I128" s="8" t="str"/>
      <x:c r="J128" s="8" t="e">
        <x:f>HYPERLINK("file:///Z:/00. Proiecte 2025/AFIR FotoVoltaic 1/30.1 Cerere Rambursare 1/Opis_Cerere_rambursare_nr1_CESIRO (4).docx","Deschide sursa")</x:f>
        <x:v>HYPERLINK is not implemented. linkLocation=file:///Z:/00. Proiecte 2025/AFIR FotoVoltaic 1/30.1 Cerere Rambursare 1/Opis_Cerere_rambursare_nr1_CESIRO (4).docx, friendlyName=Deschide sursa</x:v>
      </x:c>
    </x:row>
    <x:row r="129" ht="36" customHeight="1">
      <x:c r="A129" s="8" t="str">
        <x:v>F0125</x:v>
      </x:c>
      <x:c r="B129" s="8" t="str">
        <x:v>0. Raspuns Partea a 2-a Cesiro Production SRL 25.04.2024 semnat.pdf</x:v>
      </x:c>
      <x:c r="C129" s="8" t="str">
        <x:v>4. Cerere de finantare</x:v>
      </x:c>
      <x:c r="D129" s="8" t="str">
        <x:v>Proiect fotovoltaic</x:v>
      </x:c>
      <x:c r="E129" s="8" t="str">
        <x:v>.pdf</x:v>
      </x:c>
      <x:c r="F129" s="8" t="n">
        <x:v>360004</x:v>
      </x:c>
      <x:c r="G129" s="8" t="str">
        <x:v>Text extras</x:v>
      </x:c>
      <x:c r="H129" s="8" t="str">
        <x:v>Document local; transmiterea individuală neconfirmată</x:v>
      </x:c>
      <x:c r="I129" s="8" t="str"/>
      <x:c r="J129" s="8" t="e">
        <x:f>HYPERLINK("file:///Z:/00. Proiecte 2025/AFIR FotoVoltaic 1/4. Cerere de finantare/0. Raspuns Partea a 2-a Cesiro Production SRL 25.04.2024 semnat.pdf","Deschide sursa")</x:f>
        <x:v>HYPERLINK is not implemented. linkLocation=file:///Z:/00. Proiecte 2025/AFIR FotoVoltaic 1/4. Cerere de finantare/0. Raspuns Partea a 2-a Cesiro Production SRL 25.04.2024 semnat.pdf, friendlyName=Deschide sursa</x:v>
      </x:c>
    </x:row>
    <x:row r="130" ht="36" customHeight="1">
      <x:c r="A130" s="8" t="str">
        <x:v>F0126</x:v>
      </x:c>
      <x:c r="B130" s="8" t="str">
        <x:v>1. Cerere de finantare Cesiro Production SRL 25.04.2024 semnat.pdf</x:v>
      </x:c>
      <x:c r="C130" s="8" t="str">
        <x:v>4. Cerere de finantare</x:v>
      </x:c>
      <x:c r="D130" s="8" t="str">
        <x:v>Proiect fotovoltaic</x:v>
      </x:c>
      <x:c r="E130" s="8" t="str">
        <x:v>.pdf</x:v>
      </x:c>
      <x:c r="F130" s="8" t="n">
        <x:v>1405951</x:v>
      </x:c>
      <x:c r="G130" s="8" t="str">
        <x:v>Text extras</x:v>
      </x:c>
      <x:c r="H130" s="8" t="str">
        <x:v>Document local; transmiterea individuală neconfirmată</x:v>
      </x:c>
      <x:c r="I130" s="8" t="str"/>
      <x:c r="J130" s="8" t="e">
        <x:f>HYPERLINK("file:///Z:/00. Proiecte 2025/AFIR FotoVoltaic 1/4. Cerere de finantare/1. Cerere de finantare Cesiro Production SRL 25.04.2024 semnat.pdf","Deschide sursa")</x:f>
        <x:v>HYPERLINK is not implemented. linkLocation=file:///Z:/00. Proiecte 2025/AFIR FotoVoltaic 1/4. Cerere de finantare/1. Cerere de finantare Cesiro Production SRL 25.04.2024 semnat.pdf, friendlyName=Deschide sursa</x:v>
      </x:c>
    </x:row>
    <x:row r="131" ht="32" customHeight="1">
      <x:c r="A131" s="8" t="str">
        <x:v>F0127</x:v>
      </x:c>
      <x:c r="B131" s="8" t="str">
        <x:v>16. Declaratie asumare dezechilibre.pdf</x:v>
      </x:c>
      <x:c r="C131" s="8" t="str">
        <x:v>4. Cerere de finantare</x:v>
      </x:c>
      <x:c r="D131" s="8" t="str">
        <x:v>Proiect fotovoltaic</x:v>
      </x:c>
      <x:c r="E131" s="8" t="str">
        <x:v>.pdf</x:v>
      </x:c>
      <x:c r="F131" s="8" t="n">
        <x:v>197435</x:v>
      </x:c>
      <x:c r="G131" s="8" t="str">
        <x:v>Text extras</x:v>
      </x:c>
      <x:c r="H131" s="8" t="str">
        <x:v>Document local; transmiterea individuală neconfirmată</x:v>
      </x:c>
      <x:c r="I131" s="8" t="str"/>
      <x:c r="J131" s="8" t="e">
        <x:f>HYPERLINK("file:///Z:/00. Proiecte 2025/AFIR FotoVoltaic 1/4. Cerere de finantare/16. Declaratie asumare dezechilibre.pdf","Deschide sursa")</x:f>
        <x:v>HYPERLINK is not implemented. linkLocation=file:///Z:/00. Proiecte 2025/AFIR FotoVoltaic 1/4. Cerere de finantare/16. Declaratie asumare dezechilibre.pdf, friendlyName=Deschide sursa</x:v>
      </x:c>
    </x:row>
    <x:row r="132" ht="36" customHeight="1">
      <x:c r="A132" s="8" t="str">
        <x:v>F0128</x:v>
      </x:c>
      <x:c r="B132" s="8" t="str">
        <x:v>2. Plan de Afaceri Cesiro Production SRL 25.04.2024 semnat.pdf</x:v>
      </x:c>
      <x:c r="C132" s="8" t="str">
        <x:v>4. Cerere de finantare</x:v>
      </x:c>
      <x:c r="D132" s="8" t="str">
        <x:v>Proiect fotovoltaic</x:v>
      </x:c>
      <x:c r="E132" s="8" t="str">
        <x:v>.pdf</x:v>
      </x:c>
      <x:c r="F132" s="8" t="n">
        <x:v>3086896</x:v>
      </x:c>
      <x:c r="G132" s="8" t="str">
        <x:v>Text extras</x:v>
      </x:c>
      <x:c r="H132" s="8" t="str">
        <x:v>Document local; transmiterea individuală neconfirmată</x:v>
      </x:c>
      <x:c r="I132" s="8" t="str"/>
      <x:c r="J132" s="8" t="e">
        <x:f>HYPERLINK("file:///Z:/00. Proiecte 2025/AFIR FotoVoltaic 1/4. Cerere de finantare/2. Plan de Afaceri Cesiro Production SRL 25.04.2024 semnat.pdf","Deschide sursa")</x:f>
        <x:v>HYPERLINK is not implemented. linkLocation=file:///Z:/00. Proiecte 2025/AFIR FotoVoltaic 1/4. Cerere de finantare/2. Plan de Afaceri Cesiro Production SRL 25.04.2024 semnat.pdf, friendlyName=Deschide sursa</x:v>
      </x:c>
    </x:row>
    <x:row r="133" ht="50" customHeight="1">
      <x:c r="A133" s="8" t="str">
        <x:v>F0129</x:v>
      </x:c>
      <x:c r="B133" s="8" t="str">
        <x:v>3. Doc. 7 - Alte documente care demonstrează eligibilitatea solicitantului și a proiectului Cesiro Production SRL 25.04.2024 semnat.pdf</x:v>
      </x:c>
      <x:c r="C133" s="8" t="str">
        <x:v>4. Cerere de finantare</x:v>
      </x:c>
      <x:c r="D133" s="8" t="str">
        <x:v>Proiect fotovoltaic</x:v>
      </x:c>
      <x:c r="E133" s="8" t="str">
        <x:v>.pdf</x:v>
      </x:c>
      <x:c r="F133" s="8" t="n">
        <x:v>4518078</x:v>
      </x:c>
      <x:c r="G133" s="8" t="str">
        <x:v>Text extras</x:v>
      </x:c>
      <x:c r="H133" s="8" t="str">
        <x:v>Document local; transmiterea individuală neconfirmată</x:v>
      </x:c>
      <x:c r="I133" s="8" t="str"/>
      <x:c r="J133" s="8" t="e">
        <x:f>HYPERLINK("file:///Z:/00. Proiecte 2025/AFIR FotoVoltaic 1/4. Cerere de finantare/3. Doc. 7 - Alte documente care demonstrează eligibilitatea solicitantului și a proiectului Cesiro Production SRL 25.04.2024 semnat.pdf","Deschide sursa")</x:f>
        <x:v>HYPERLINK is not implemented. linkLocation=file:///Z:/00. Proiecte 2025/AFIR FotoVoltaic 1/4. Cerere de finantare/3. Doc. 7 - Alte documente care demonstrează eligibilitatea solicitantului și a proiectului Cesiro Production SRL 25.04.2024 semnat.pdf, friendlyName=Deschide sursa</x:v>
      </x:c>
    </x:row>
    <x:row r="134" ht="36" customHeight="1">
      <x:c r="A134" s="8" t="str">
        <x:v>F0130</x:v>
      </x:c>
      <x:c r="B134" s="8" t="str">
        <x:v>4. Act constitutiv Cesiro Production CAEN 1039 si 3511 semnat.pdf</x:v>
      </x:c>
      <x:c r="C134" s="8" t="str">
        <x:v>4. Cerere de finantare</x:v>
      </x:c>
      <x:c r="D134" s="8" t="str">
        <x:v>Proiect fotovoltaic</x:v>
      </x:c>
      <x:c r="E134" s="8" t="str">
        <x:v>.pdf</x:v>
      </x:c>
      <x:c r="F134" s="8" t="n">
        <x:v>8187883</x:v>
      </x:c>
      <x:c r="G134" s="8" t="str">
        <x:v>Scan / text insuficient</x:v>
      </x:c>
      <x:c r="H134" s="8" t="str">
        <x:v>Document local; transmiterea individuală neconfirmată</x:v>
      </x:c>
      <x:c r="I134" s="8" t="str"/>
      <x:c r="J134" s="8" t="e">
        <x:f>HYPERLINK("file:///Z:/00. Proiecte 2025/AFIR FotoVoltaic 1/4. Cerere de finantare/4. Act constitutiv Cesiro Production CAEN 1039 si 3511 semnat.pdf","Deschide sursa")</x:f>
        <x:v>HYPERLINK is not implemented. linkLocation=file:///Z:/00. Proiecte 2025/AFIR FotoVoltaic 1/4. Cerere de finantare/4. Act constitutiv Cesiro Production CAEN 1039 si 3511 semnat.pdf, friendlyName=Deschide sursa</x:v>
      </x:c>
    </x:row>
    <x:row r="135" ht="36" customHeight="1">
      <x:c r="A135" s="8" t="str">
        <x:v>F0131</x:v>
      </x:c>
      <x:c r="B135" s="8" t="str">
        <x:v>Certificat constatator Cesiro Production.pdf</x:v>
      </x:c>
      <x:c r="C135" s="8" t="str">
        <x:v>4. Cerere de finantare</x:v>
      </x:c>
      <x:c r="D135" s="8" t="str">
        <x:v>Proiect fotovoltaic</x:v>
      </x:c>
      <x:c r="E135" s="8" t="str">
        <x:v>.pdf</x:v>
      </x:c>
      <x:c r="F135" s="8" t="n">
        <x:v>720322</x:v>
      </x:c>
      <x:c r="G135" s="8" t="str">
        <x:v>Text extras</x:v>
      </x:c>
      <x:c r="H135" s="8" t="str">
        <x:v>Document local; transmiterea individuală neconfirmată</x:v>
      </x:c>
      <x:c r="I135" s="8" t="str"/>
      <x:c r="J135" s="8" t="e">
        <x:f>HYPERLINK("file:///Z:/00. Proiecte 2025/AFIR FotoVoltaic 1/4. Cerere de finantare/Certificat constatator Cesiro Production.pdf","Deschide sursa")</x:f>
        <x:v>HYPERLINK is not implemented. linkLocation=file:///Z:/00. Proiecte 2025/AFIR FotoVoltaic 1/4. Cerere de finantare/Certificat constatator Cesiro Production.pdf, friendlyName=Deschide sursa</x:v>
      </x:c>
    </x:row>
    <x:row r="136" ht="36" customHeight="1">
      <x:c r="A136" s="8" t="str">
        <x:v>F0132</x:v>
      </x:c>
      <x:c r="B136" s="8" t="str">
        <x:v>Clarificari AFIR-CESIRO PRODUCTION SRL (1).zip</x:v>
      </x:c>
      <x:c r="C136" s="8" t="str">
        <x:v>4. Cerere de finantare</x:v>
      </x:c>
      <x:c r="D136" s="8" t="str">
        <x:v>Proiect fotovoltaic</x:v>
      </x:c>
      <x:c r="E136" s="8" t="str">
        <x:v>.zip</x:v>
      </x:c>
      <x:c r="F136" s="8" t="n">
        <x:v>78050735</x:v>
      </x:c>
      <x:c r="G136" s="8" t="str">
        <x:v>Inventar ZIP</x:v>
      </x:c>
      <x:c r="H136" s="8" t="str">
        <x:v>Document local; transmiterea individuală neconfirmată</x:v>
      </x:c>
      <x:c r="I136" s="8" t="str"/>
      <x:c r="J136" s="8" t="e">
        <x:f>HYPERLINK("file:///Z:/00. Proiecte 2025/AFIR FotoVoltaic 1/4. Cerere de finantare/Clarificari AFIR-CESIRO PRODUCTION SRL (1).zip","Deschide sursa")</x:f>
        <x:v>HYPERLINK is not implemented. linkLocation=file:///Z:/00. Proiecte 2025/AFIR FotoVoltaic 1/4. Cerere de finantare/Clarificari AFIR-CESIRO PRODUCTION SRL (1).zip, friendlyName=Deschide sursa</x:v>
      </x:c>
    </x:row>
    <x:row r="137" ht="32" customHeight="1">
      <x:c r="A137" s="8" t="str">
        <x:v>F0133</x:v>
      </x:c>
      <x:c r="B137" s="8" t="str">
        <x:v>Declaratie caracteristici cladire.pdf</x:v>
      </x:c>
      <x:c r="C137" s="8" t="str">
        <x:v>4. Cerere de finantare</x:v>
      </x:c>
      <x:c r="D137" s="8" t="str">
        <x:v>Proiect fotovoltaic</x:v>
      </x:c>
      <x:c r="E137" s="8" t="str">
        <x:v>.pdf</x:v>
      </x:c>
      <x:c r="F137" s="8" t="n">
        <x:v>9045142</x:v>
      </x:c>
      <x:c r="G137" s="8" t="str">
        <x:v>Text extras</x:v>
      </x:c>
      <x:c r="H137" s="8" t="str">
        <x:v>Document local; transmiterea individuală neconfirmată</x:v>
      </x:c>
      <x:c r="I137" s="8" t="str"/>
      <x:c r="J137" s="8" t="e">
        <x:f>HYPERLINK("file:///Z:/00. Proiecte 2025/AFIR FotoVoltaic 1/4. Cerere de finantare/Declaratie caracteristici cladire.pdf","Deschide sursa")</x:f>
        <x:v>HYPERLINK is not implemented. linkLocation=file:///Z:/00. Proiecte 2025/AFIR FotoVoltaic 1/4. Cerere de finantare/Declaratie caracteristici cladire.pdf, friendlyName=Deschide sursa</x:v>
      </x:c>
    </x:row>
    <x:row r="138" ht="36" customHeight="1">
      <x:c r="A138" s="8" t="str">
        <x:v>F0134</x:v>
      </x:c>
      <x:c r="B138" s="8" t="str">
        <x:v>Declaratie date cu caracter personal semnat.pdf</x:v>
      </x:c>
      <x:c r="C138" s="8" t="str">
        <x:v>4. Cerere de finantare</x:v>
      </x:c>
      <x:c r="D138" s="8" t="str">
        <x:v>Proiect fotovoltaic</x:v>
      </x:c>
      <x:c r="E138" s="8" t="str">
        <x:v>.pdf</x:v>
      </x:c>
      <x:c r="F138" s="8" t="n">
        <x:v>357875</x:v>
      </x:c>
      <x:c r="G138" s="8" t="str">
        <x:v>Text extras</x:v>
      </x:c>
      <x:c r="H138" s="8" t="str">
        <x:v>Document local; transmiterea individuală neconfirmată</x:v>
      </x:c>
      <x:c r="I138" s="8" t="str"/>
      <x:c r="J138" s="8" t="e">
        <x:f>HYPERLINK("file:///Z:/00. Proiecte 2025/AFIR FotoVoltaic 1/4. Cerere de finantare/Declaratie date cu caracter personal semnat.pdf","Deschide sursa")</x:f>
        <x:v>HYPERLINK is not implemented. linkLocation=file:///Z:/00. Proiecte 2025/AFIR FotoVoltaic 1/4. Cerere de finantare/Declaratie date cu caracter personal semnat.pdf, friendlyName=Deschide sursa</x:v>
      </x:c>
    </x:row>
    <x:row r="139" ht="32" customHeight="1">
      <x:c r="A139" s="8" t="str">
        <x:v>F0135</x:v>
      </x:c>
      <x:c r="B139" s="8" t="str">
        <x:v>F3.4_CRFIR-ALBA-IULIA.pdf</x:v>
      </x:c>
      <x:c r="C139" s="8" t="str">
        <x:v>4. Cerere de finantare</x:v>
      </x:c>
      <x:c r="D139" s="8" t="str">
        <x:v>Proiect fotovoltaic</x:v>
      </x:c>
      <x:c r="E139" s="8" t="str">
        <x:v>.pdf</x:v>
      </x:c>
      <x:c r="F139" s="8" t="n">
        <x:v>1508888</x:v>
      </x:c>
      <x:c r="G139" s="8" t="str">
        <x:v>Text extras</x:v>
      </x:c>
      <x:c r="H139" s="8" t="str">
        <x:v>Document local; transmiterea individuală neconfirmată</x:v>
      </x:c>
      <x:c r="I139" s="8" t="str"/>
      <x:c r="J139" s="8" t="e">
        <x:f>HYPERLINK("file:///Z:/00. Proiecte 2025/AFIR FotoVoltaic 1/4. Cerere de finantare/F3.4_CRFIR-ALBA-IULIA.pdf","Deschide sursa")</x:f>
        <x:v>HYPERLINK is not implemented. linkLocation=file:///Z:/00. Proiecte 2025/AFIR FotoVoltaic 1/4. Cerere de finantare/F3.4_CRFIR-ALBA-IULIA.pdf, friendlyName=Deschide sursa</x:v>
      </x:c>
    </x:row>
    <x:row r="140" ht="32" customHeight="1">
      <x:c r="A140" s="8" t="str">
        <x:v>F0136</x:v>
      </x:c>
      <x:c r="B140" s="8" t="str">
        <x:v>Memoriu Tehnic Justificativ semnat.pdf</x:v>
      </x:c>
      <x:c r="C140" s="8" t="str">
        <x:v>4. Cerere de finantare</x:v>
      </x:c>
      <x:c r="D140" s="8" t="str">
        <x:v>Proiect fotovoltaic</x:v>
      </x:c>
      <x:c r="E140" s="8" t="str">
        <x:v>.pdf</x:v>
      </x:c>
      <x:c r="F140" s="8" t="n">
        <x:v>1686025</x:v>
      </x:c>
      <x:c r="G140" s="8" t="str">
        <x:v>Text extras</x:v>
      </x:c>
      <x:c r="H140" s="8" t="str">
        <x:v>Document local; transmiterea individuală neconfirmată</x:v>
      </x:c>
      <x:c r="I140" s="8" t="str"/>
      <x:c r="J140" s="8" t="e">
        <x:f>HYPERLINK("file:///Z:/00. Proiecte 2025/AFIR FotoVoltaic 1/4. Cerere de finantare/Memoriu Tehnic Justificativ semnat.pdf","Deschide sursa")</x:f>
        <x:v>HYPERLINK is not implemented. linkLocation=file:///Z:/00. Proiecte 2025/AFIR FotoVoltaic 1/4. Cerere de finantare/Memoriu Tehnic Justificativ semnat.pdf, friendlyName=Deschide sursa</x:v>
      </x:c>
    </x:row>
    <x:row r="141" ht="32" customHeight="1">
      <x:c r="A141" s="8" t="str">
        <x:v>F0137</x:v>
      </x:c>
      <x:c r="B141" s="8" t="str">
        <x:v>Nota justificativa de atribuire (1).pdf</x:v>
      </x:c>
      <x:c r="C141" s="8" t="str">
        <x:v>4. Cerere de finantare</x:v>
      </x:c>
      <x:c r="D141" s="8" t="str">
        <x:v>Proiect fotovoltaic</x:v>
      </x:c>
      <x:c r="E141" s="8" t="str">
        <x:v>.pdf</x:v>
      </x:c>
      <x:c r="F141" s="8" t="n">
        <x:v>5611063</x:v>
      </x:c>
      <x:c r="G141" s="8" t="str">
        <x:v>Text extras</x:v>
      </x:c>
      <x:c r="H141" s="8" t="str">
        <x:v>Document local; transmiterea individuală neconfirmată</x:v>
      </x:c>
      <x:c r="I141" s="8" t="str"/>
      <x:c r="J141" s="8" t="e">
        <x:f>HYPERLINK("file:///Z:/00. Proiecte 2025/AFIR FotoVoltaic 1/4. Cerere de finantare/Nota justificativa de atribuire (1).pdf","Deschide sursa")</x:f>
        <x:v>HYPERLINK is not implemented. linkLocation=file:///Z:/00. Proiecte 2025/AFIR FotoVoltaic 1/4. Cerere de finantare/Nota justificativa de atribuire (1).pdf, friendlyName=Deschide sursa</x:v>
      </x:c>
    </x:row>
    <x:row r="142" ht="32" customHeight="1">
      <x:c r="A142" s="8" t="str">
        <x:v>F0138</x:v>
      </x:c>
      <x:c r="B142" s="8" t="str">
        <x:v>Oferte.pdf</x:v>
      </x:c>
      <x:c r="C142" s="8" t="str">
        <x:v>4. Cerere de finantare</x:v>
      </x:c>
      <x:c r="D142" s="8" t="str">
        <x:v>Proiect fotovoltaic</x:v>
      </x:c>
      <x:c r="E142" s="8" t="str">
        <x:v>.pdf</x:v>
      </x:c>
      <x:c r="F142" s="8" t="n">
        <x:v>33236974</x:v>
      </x:c>
      <x:c r="G142" s="8" t="str">
        <x:v>Text extras</x:v>
      </x:c>
      <x:c r="H142" s="8" t="str">
        <x:v>Document local; transmiterea individuală neconfirmată</x:v>
      </x:c>
      <x:c r="I142" s="8" t="str"/>
      <x:c r="J142" s="8" t="e">
        <x:f>HYPERLINK("file:///Z:/00. Proiecte 2025/AFIR FotoVoltaic 1/4. Cerere de finantare/Oferte.pdf","Deschide sursa")</x:f>
        <x:v>HYPERLINK is not implemented. linkLocation=file:///Z:/00. Proiecte 2025/AFIR FotoVoltaic 1/4. Cerere de finantare/Oferte.pdf, friendlyName=Deschide sursa</x:v>
      </x:c>
    </x:row>
    <x:row r="143" ht="32" customHeight="1">
      <x:c r="A143" s="8" t="str">
        <x:v>F0139</x:v>
      </x:c>
      <x:c r="B143" s="8" t="str">
        <x:v>Plan de afaceri.pdf</x:v>
      </x:c>
      <x:c r="C143" s="8" t="str">
        <x:v>4. Cerere de finantare</x:v>
      </x:c>
      <x:c r="D143" s="8" t="str">
        <x:v>Proiect fotovoltaic</x:v>
      </x:c>
      <x:c r="E143" s="8" t="str">
        <x:v>.pdf</x:v>
      </x:c>
      <x:c r="F143" s="8" t="n">
        <x:v>3296892</x:v>
      </x:c>
      <x:c r="G143" s="8" t="str">
        <x:v>Text extras</x:v>
      </x:c>
      <x:c r="H143" s="8" t="str">
        <x:v>Document local; transmiterea individuală neconfirmată</x:v>
      </x:c>
      <x:c r="I143" s="8" t="str"/>
      <x:c r="J143" s="8" t="e">
        <x:f>HYPERLINK("file:///Z:/00. Proiecte 2025/AFIR FotoVoltaic 1/4. Cerere de finantare/Plan de afaceri.pdf","Deschide sursa")</x:f>
        <x:v>HYPERLINK is not implemented. linkLocation=file:///Z:/00. Proiecte 2025/AFIR FotoVoltaic 1/4. Cerere de finantare/Plan de afaceri.pdf, friendlyName=Deschide sursa</x:v>
      </x:c>
    </x:row>
    <x:row r="144" ht="32" customHeight="1">
      <x:c r="A144" s="8" t="str">
        <x:v>F0140</x:v>
      </x:c>
      <x:c r="B144" s="8" t="str">
        <x:v>CESIRO - Aga (1).pdf</x:v>
      </x:c>
      <x:c r="C144" s="8" t="str">
        <x:v>40. Exim Bank</x:v>
      </x:c>
      <x:c r="D144" s="8" t="str">
        <x:v>Proiect fotovoltaic</x:v>
      </x:c>
      <x:c r="E144" s="8" t="str">
        <x:v>.pdf</x:v>
      </x:c>
      <x:c r="F144" s="8" t="n">
        <x:v>235345</x:v>
      </x:c>
      <x:c r="G144" s="8" t="str">
        <x:v>Scan / text insuficient</x:v>
      </x:c>
      <x:c r="H144" s="8" t="str">
        <x:v>Document local; transmiterea individuală neconfirmată</x:v>
      </x:c>
      <x:c r="I144" s="8" t="str"/>
      <x:c r="J144" s="8" t="e">
        <x:f>HYPERLINK("file:///Z:/00. Proiecte 2025/AFIR FotoVoltaic 1/40. Exim Bank/CESIRO - Aga (1).pdf","Deschide sursa")</x:f>
        <x:v>HYPERLINK is not implemented. linkLocation=file:///Z:/00. Proiecte 2025/AFIR FotoVoltaic 1/40. Exim Bank/CESIRO - Aga (1).pdf, friendlyName=Deschide sursa</x:v>
      </x:c>
    </x:row>
    <x:row r="145" ht="36" customHeight="1">
      <x:c r="A145" s="8" t="str">
        <x:v>F0141</x:v>
      </x:c>
      <x:c r="B145" s="8" t="str">
        <x:v>CESIRO - F40 - Solicitare deschidere cont + fond.pdf</x:v>
      </x:c>
      <x:c r="C145" s="8" t="str">
        <x:v>40. Exim Bank</x:v>
      </x:c>
      <x:c r="D145" s="8" t="str">
        <x:v>Proiect fotovoltaic</x:v>
      </x:c>
      <x:c r="E145" s="8" t="str">
        <x:v>.pdf</x:v>
      </x:c>
      <x:c r="F145" s="8" t="n">
        <x:v>156696</x:v>
      </x:c>
      <x:c r="G145" s="8" t="str">
        <x:v>Scan / text insuficient</x:v>
      </x:c>
      <x:c r="H145" s="8" t="str">
        <x:v>Document local; transmiterea individuală neconfirmată</x:v>
      </x:c>
      <x:c r="I145" s="8" t="str"/>
      <x:c r="J145" s="8" t="e">
        <x:f>HYPERLINK("file:///Z:/00. Proiecte 2025/AFIR FotoVoltaic 1/40. Exim Bank/CESIRO - F40 - Solicitare deschidere cont + fond.pdf","Deschide sursa")</x:f>
        <x:v>HYPERLINK is not implemented. linkLocation=file:///Z:/00. Proiecte 2025/AFIR FotoVoltaic 1/40. Exim Bank/CESIRO - F40 - Solicitare deschidere cont + fond.pdf, friendlyName=Deschide sursa</x:v>
      </x:c>
    </x:row>
    <x:row r="146" ht="32" customHeight="1">
      <x:c r="A146" s="8" t="str">
        <x:v>F0142</x:v>
      </x:c>
      <x:c r="B146" s="8" t="str">
        <x:v>IDENTIFICARE FISCALA.pdf</x:v>
      </x:c>
      <x:c r="C146" s="8" t="str">
        <x:v>40. Exim Bank</x:v>
      </x:c>
      <x:c r="D146" s="8" t="str">
        <x:v>Proiect fotovoltaic</x:v>
      </x:c>
      <x:c r="E146" s="8" t="str">
        <x:v>.pdf</x:v>
      </x:c>
      <x:c r="F146" s="8" t="n">
        <x:v>103374</x:v>
      </x:c>
      <x:c r="G146" s="8" t="str">
        <x:v>Scan / text insuficient</x:v>
      </x:c>
      <x:c r="H146" s="8" t="str">
        <x:v>Document local; transmiterea individuală neconfirmată</x:v>
      </x:c>
      <x:c r="I146" s="8" t="str"/>
      <x:c r="J146" s="8" t="e">
        <x:f>HYPERLINK("file:///Z:/00. Proiecte 2025/AFIR FotoVoltaic 1/40. Exim Bank/IDENTIFICARE FISCALA.pdf","Deschide sursa")</x:f>
        <x:v>HYPERLINK is not implemented. linkLocation=file:///Z:/00. Proiecte 2025/AFIR FotoVoltaic 1/40. Exim Bank/IDENTIFICARE FISCALA.pdf, friendlyName=Deschide sursa</x:v>
      </x:c>
    </x:row>
    <x:row r="147" ht="36" customHeight="1">
      <x:c r="A147" s="8" t="str">
        <x:v>F0143</x:v>
      </x:c>
      <x:c r="B147" s="8" t="str">
        <x:v>1. Contract de inchiriere IPEC SA cu Cesiro Production.pdf</x:v>
      </x:c>
      <x:c r="C147" s="8" t="str">
        <x:v>5. De Depus</x:v>
      </x:c>
      <x:c r="D147" s="8" t="str">
        <x:v>Proiect fotovoltaic</x:v>
      </x:c>
      <x:c r="E147" s="8" t="str">
        <x:v>.pdf</x:v>
      </x:c>
      <x:c r="F147" s="8" t="n">
        <x:v>8565306</x:v>
      </x:c>
      <x:c r="G147" s="8" t="str">
        <x:v>Text extras</x:v>
      </x:c>
      <x:c r="H147" s="8" t="str">
        <x:v>Pregătit pentru depunere; confirmare de verificat</x:v>
      </x:c>
      <x:c r="I147" s="8" t="str">
        <x:v>F0114</x:v>
      </x:c>
      <x:c r="J147" s="8" t="e">
        <x:f>HYPERLINK("file:///Z:/00. Proiecte 2025/AFIR FotoVoltaic 1/5. De Depus/1. Contract de inchiriere IPEC SA cu Cesiro Production.pdf","Deschide sursa")</x:f>
        <x:v>HYPERLINK is not implemented. linkLocation=file:///Z:/00. Proiecte 2025/AFIR FotoVoltaic 1/5. De Depus/1. Contract de inchiriere IPEC SA cu Cesiro Production.pdf, friendlyName=Deschide sursa</x:v>
      </x:c>
    </x:row>
    <x:row r="148" ht="32" customHeight="1">
      <x:c r="A148" s="8" t="str">
        <x:v>F0144</x:v>
      </x:c>
      <x:c r="B148" s="8" t="str">
        <x:v>12. Declaratie date cu caracter personal.pdf</x:v>
      </x:c>
      <x:c r="C148" s="8" t="str">
        <x:v>5. De Depus</x:v>
      </x:c>
      <x:c r="D148" s="8" t="str">
        <x:v>Proiect fotovoltaic</x:v>
      </x:c>
      <x:c r="E148" s="8" t="str">
        <x:v>.pdf</x:v>
      </x:c>
      <x:c r="F148" s="8" t="n">
        <x:v>219447</x:v>
      </x:c>
      <x:c r="G148" s="8" t="str">
        <x:v>Text extras</x:v>
      </x:c>
      <x:c r="H148" s="8" t="str">
        <x:v>Pregătit pentru depunere; confirmare de verificat</x:v>
      </x:c>
      <x:c r="I148" s="8" t="str"/>
      <x:c r="J148" s="8" t="e">
        <x:f>HYPERLINK("file:///Z:/00. Proiecte 2025/AFIR FotoVoltaic 1/5. De Depus/12. Declaratie date cu caracter personal.pdf","Deschide sursa")</x:f>
        <x:v>HYPERLINK is not implemented. linkLocation=file:///Z:/00. Proiecte 2025/AFIR FotoVoltaic 1/5. De Depus/12. Declaratie date cu caracter personal.pdf, friendlyName=Deschide sursa</x:v>
      </x:c>
    </x:row>
    <x:row r="149" ht="36" customHeight="1">
      <x:c r="A149" s="8" t="str">
        <x:v>F0145</x:v>
      </x:c>
      <x:c r="B149" s="8" t="str">
        <x:v>15. Memoriu tehnic de evaluare a impactului asupra mediului.pdf</x:v>
      </x:c>
      <x:c r="C149" s="8" t="str">
        <x:v>5. De Depus</x:v>
      </x:c>
      <x:c r="D149" s="8" t="str">
        <x:v>Proiect fotovoltaic</x:v>
      </x:c>
      <x:c r="E149" s="8" t="str">
        <x:v>.pdf</x:v>
      </x:c>
      <x:c r="F149" s="8" t="n">
        <x:v>1114213</x:v>
      </x:c>
      <x:c r="G149" s="8" t="str">
        <x:v>Text extras</x:v>
      </x:c>
      <x:c r="H149" s="8" t="str">
        <x:v>Pregătit pentru depunere; confirmare de verificat</x:v>
      </x:c>
      <x:c r="I149" s="8" t="str"/>
      <x:c r="J149" s="8" t="e">
        <x:f>HYPERLINK("file:///Z:/00. Proiecte 2025/AFIR FotoVoltaic 1/5. De Depus/15. Memoriu tehnic de evaluare a impactului asupra mediului.pdf","Deschide sursa")</x:f>
        <x:v>HYPERLINK is not implemented. linkLocation=file:///Z:/00. Proiecte 2025/AFIR FotoVoltaic 1/5. De Depus/15. Memoriu tehnic de evaluare a impactului asupra mediului.pdf, friendlyName=Deschide sursa</x:v>
      </x:c>
    </x:row>
    <x:row r="150" ht="36" customHeight="1">
      <x:c r="A150" s="8" t="str">
        <x:v>F0146</x:v>
      </x:c>
      <x:c r="B150" s="8" t="str">
        <x:v>15. MEMORIU TEHNIC DE EVALUAREA IMPACTULUI ASUPRA MEDIULUI.docx</x:v>
      </x:c>
      <x:c r="C150" s="8" t="str">
        <x:v>5. De Depus</x:v>
      </x:c>
      <x:c r="D150" s="8" t="str">
        <x:v>Proiect fotovoltaic</x:v>
      </x:c>
      <x:c r="E150" s="8" t="str">
        <x:v>.docx</x:v>
      </x:c>
      <x:c r="F150" s="8" t="n">
        <x:v>2701366</x:v>
      </x:c>
      <x:c r="G150" s="8" t="str">
        <x:v>Text extras</x:v>
      </x:c>
      <x:c r="H150" s="8" t="str">
        <x:v>Pregătit pentru depunere; confirmare de verificat</x:v>
      </x:c>
      <x:c r="I150" s="8" t="str"/>
      <x:c r="J150" s="8" t="e">
        <x:f>HYPERLINK("file:///Z:/00. Proiecte 2025/AFIR FotoVoltaic 1/5. De Depus/15. MEMORIU TEHNIC DE EVALUAREA IMPACTULUI ASUPRA MEDIULUI.docx","Deschide sursa")</x:f>
        <x:v>HYPERLINK is not implemented. linkLocation=file:///Z:/00. Proiecte 2025/AFIR FotoVoltaic 1/5. De Depus/15. MEMORIU TEHNIC DE EVALUAREA IMPACTULUI ASUPRA MEDIULUI.docx, friendlyName=Deschide sursa</x:v>
      </x:c>
    </x:row>
    <x:row r="151" ht="32" customHeight="1">
      <x:c r="A151" s="8" t="str">
        <x:v>F0147</x:v>
      </x:c>
      <x:c r="B151" s="8" t="str">
        <x:v>16. Declaratie asumare dezechilibre.pdf</x:v>
      </x:c>
      <x:c r="C151" s="8" t="str">
        <x:v>5. De Depus</x:v>
      </x:c>
      <x:c r="D151" s="8" t="str">
        <x:v>Proiect fotovoltaic</x:v>
      </x:c>
      <x:c r="E151" s="8" t="str">
        <x:v>.pdf</x:v>
      </x:c>
      <x:c r="F151" s="8" t="n">
        <x:v>197435</x:v>
      </x:c>
      <x:c r="G151" s="8" t="str">
        <x:v>Text extras</x:v>
      </x:c>
      <x:c r="H151" s="8" t="str">
        <x:v>Pregătit pentru depunere; confirmare de verificat</x:v>
      </x:c>
      <x:c r="I151" s="8" t="str">
        <x:v>F0127</x:v>
      </x:c>
      <x:c r="J151" s="8" t="e">
        <x:f>HYPERLINK("file:///Z:/00. Proiecte 2025/AFIR FotoVoltaic 1/5. De Depus/16. Declaratie asumare dezechilibre.pdf","Deschide sursa")</x:f>
        <x:v>HYPERLINK is not implemented. linkLocation=file:///Z:/00. Proiecte 2025/AFIR FotoVoltaic 1/5. De Depus/16. Declaratie asumare dezechilibre.pdf, friendlyName=Deschide sursa</x:v>
      </x:c>
    </x:row>
    <x:row r="152" ht="32" customHeight="1">
      <x:c r="A152" s="8" t="str">
        <x:v>F0148</x:v>
      </x:c>
      <x:c r="B152" s="8" t="str">
        <x:v>17. Document bancar.pdf</x:v>
      </x:c>
      <x:c r="C152" s="8" t="str">
        <x:v>5. De Depus</x:v>
      </x:c>
      <x:c r="D152" s="8" t="str">
        <x:v>Proiect fotovoltaic</x:v>
      </x:c>
      <x:c r="E152" s="8" t="str">
        <x:v>.pdf</x:v>
      </x:c>
      <x:c r="F152" s="8" t="n">
        <x:v>205677</x:v>
      </x:c>
      <x:c r="G152" s="8" t="str">
        <x:v>Text extras</x:v>
      </x:c>
      <x:c r="H152" s="8" t="str">
        <x:v>Pregătit pentru depunere; confirmare de verificat</x:v>
      </x:c>
      <x:c r="I152" s="8" t="str"/>
      <x:c r="J152" s="8" t="e">
        <x:f>HYPERLINK("file:///Z:/00. Proiecte 2025/AFIR FotoVoltaic 1/5. De Depus/17. Document bancar.pdf","Deschide sursa")</x:f>
        <x:v>HYPERLINK is not implemented. linkLocation=file:///Z:/00. Proiecte 2025/AFIR FotoVoltaic 1/5. De Depus/17. Document bancar.pdf, friendlyName=Deschide sursa</x:v>
      </x:c>
    </x:row>
    <x:row r="153" ht="32" customHeight="1">
      <x:c r="A153" s="8" t="str">
        <x:v>F0149</x:v>
      </x:c>
      <x:c r="B153" s="8" t="str">
        <x:v>18. CI Cosmin Adrian Covaciu.pdf</x:v>
      </x:c>
      <x:c r="C153" s="8" t="str">
        <x:v>5. De Depus</x:v>
      </x:c>
      <x:c r="D153" s="8" t="str">
        <x:v>Proiect fotovoltaic</x:v>
      </x:c>
      <x:c r="E153" s="8" t="str">
        <x:v>.pdf</x:v>
      </x:c>
      <x:c r="F153" s="8" t="n">
        <x:v>158276</x:v>
      </x:c>
      <x:c r="G153" s="8" t="str">
        <x:v>Scan / text insuficient</x:v>
      </x:c>
      <x:c r="H153" s="8" t="str">
        <x:v>Pregătit pentru depunere; confirmare de verificat</x:v>
      </x:c>
      <x:c r="I153" s="8" t="str"/>
      <x:c r="J153" s="8" t="e">
        <x:f>HYPERLINK("file:///Z:/00. Proiecte 2025/AFIR FotoVoltaic 1/5. De Depus/18. CI Cosmin Adrian Covaciu.pdf","Deschide sursa")</x:f>
        <x:v>HYPERLINK is not implemented. linkLocation=file:///Z:/00. Proiecte 2025/AFIR FotoVoltaic 1/5. De Depus/18. CI Cosmin Adrian Covaciu.pdf, friendlyName=Deschide sursa</x:v>
      </x:c>
    </x:row>
    <x:row r="154" ht="32" customHeight="1">
      <x:c r="A154" s="8" t="str">
        <x:v>F0150</x:v>
      </x:c>
      <x:c r="B154" s="8" t="str">
        <x:v>19. Grafic esalonare plati.pdf</x:v>
      </x:c>
      <x:c r="C154" s="8" t="str">
        <x:v>5. De Depus</x:v>
      </x:c>
      <x:c r="D154" s="8" t="str">
        <x:v>Proiect fotovoltaic</x:v>
      </x:c>
      <x:c r="E154" s="8" t="str">
        <x:v>.pdf</x:v>
      </x:c>
      <x:c r="F154" s="8" t="n">
        <x:v>183543</x:v>
      </x:c>
      <x:c r="G154" s="8" t="str">
        <x:v>Text extras</x:v>
      </x:c>
      <x:c r="H154" s="8" t="str">
        <x:v>Pregătit pentru depunere; confirmare de verificat</x:v>
      </x:c>
      <x:c r="I154" s="8" t="str"/>
      <x:c r="J154" s="8" t="e">
        <x:f>HYPERLINK("file:///Z:/00. Proiecte 2025/AFIR FotoVoltaic 1/5. De Depus/19. Grafic esalonare plati.pdf","Deschide sursa")</x:f>
        <x:v>HYPERLINK is not implemented. linkLocation=file:///Z:/00. Proiecte 2025/AFIR FotoVoltaic 1/5. De Depus/19. Grafic esalonare plati.pdf, friendlyName=Deschide sursa</x:v>
      </x:c>
    </x:row>
    <x:row r="155" ht="32" customHeight="1">
      <x:c r="A155" s="8" t="str">
        <x:v>F0151</x:v>
      </x:c>
      <x:c r="B155" s="8" t="str">
        <x:v>2. Extras Carte Funciara.pdf</x:v>
      </x:c>
      <x:c r="C155" s="8" t="str">
        <x:v>5. De Depus</x:v>
      </x:c>
      <x:c r="D155" s="8" t="str">
        <x:v>Proiect fotovoltaic</x:v>
      </x:c>
      <x:c r="E155" s="8" t="str">
        <x:v>.pdf</x:v>
      </x:c>
      <x:c r="F155" s="8" t="n">
        <x:v>117771</x:v>
      </x:c>
      <x:c r="G155" s="8" t="str">
        <x:v>Text extras</x:v>
      </x:c>
      <x:c r="H155" s="8" t="str">
        <x:v>Pregătit pentru depunere; confirmare de verificat</x:v>
      </x:c>
      <x:c r="I155" s="8" t="str">
        <x:v>F0108</x:v>
      </x:c>
      <x:c r="J155" s="8" t="e">
        <x:f>HYPERLINK("file:///Z:/00. Proiecte 2025/AFIR FotoVoltaic 1/5. De Depus/2. Extras Carte Funciara.pdf","Deschide sursa")</x:f>
        <x:v>HYPERLINK is not implemented. linkLocation=file:///Z:/00. Proiecte 2025/AFIR FotoVoltaic 1/5. De Depus/2. Extras Carte Funciara.pdf, friendlyName=Deschide sursa</x:v>
      </x:c>
    </x:row>
    <x:row r="156" ht="32" customHeight="1">
      <x:c r="A156" s="8" t="str">
        <x:v>F0152</x:v>
      </x:c>
      <x:c r="B156" s="8" t="str">
        <x:v>3. Certificat Constatator Cesiro Production.pdf</x:v>
      </x:c>
      <x:c r="C156" s="8" t="str">
        <x:v>5. De Depus</x:v>
      </x:c>
      <x:c r="D156" s="8" t="str">
        <x:v>Proiect fotovoltaic</x:v>
      </x:c>
      <x:c r="E156" s="8" t="str">
        <x:v>.pdf</x:v>
      </x:c>
      <x:c r="F156" s="8" t="n">
        <x:v>209255</x:v>
      </x:c>
      <x:c r="G156" s="8" t="str">
        <x:v>Text extras</x:v>
      </x:c>
      <x:c r="H156" s="8" t="str">
        <x:v>Pregătit pentru depunere; confirmare de verificat</x:v>
      </x:c>
      <x:c r="I156" s="8" t="str">
        <x:v>F0050</x:v>
      </x:c>
      <x:c r="J156" s="8" t="e">
        <x:f>HYPERLINK("file:///Z:/00. Proiecte 2025/AFIR FotoVoltaic 1/5. De Depus/3. Certificat Constatator Cesiro Production.pdf","Deschide sursa")</x:f>
        <x:v>HYPERLINK is not implemented. linkLocation=file:///Z:/00. Proiecte 2025/AFIR FotoVoltaic 1/5. De Depus/3. Certificat Constatator Cesiro Production.pdf, friendlyName=Deschide sursa</x:v>
      </x:c>
    </x:row>
    <x:row r="157" ht="36" customHeight="1">
      <x:c r="A157" s="8" t="str">
        <x:v>F0153</x:v>
      </x:c>
      <x:c r="B157" s="8" t="str">
        <x:v>4. Act constitutiv Cesiro Production CAEN 1039 si 3511.pdf</x:v>
      </x:c>
      <x:c r="C157" s="8" t="str">
        <x:v>5. De Depus</x:v>
      </x:c>
      <x:c r="D157" s="8" t="str">
        <x:v>Proiect fotovoltaic</x:v>
      </x:c>
      <x:c r="E157" s="8" t="str">
        <x:v>.pdf</x:v>
      </x:c>
      <x:c r="F157" s="8" t="n">
        <x:v>8046727</x:v>
      </x:c>
      <x:c r="G157" s="8" t="str">
        <x:v>Scan / text insuficient</x:v>
      </x:c>
      <x:c r="H157" s="8" t="str">
        <x:v>Pregătit pentru depunere; confirmare de verificat</x:v>
      </x:c>
      <x:c r="I157" s="8" t="str">
        <x:v>F0002</x:v>
      </x:c>
      <x:c r="J157" s="8" t="e">
        <x:f>HYPERLINK("file:///Z:/00. Proiecte 2025/AFIR FotoVoltaic 1/5. De Depus/4. Act constitutiv Cesiro Production CAEN 1039 si 3511.pdf","Deschide sursa")</x:f>
        <x:v>HYPERLINK is not implemented. linkLocation=file:///Z:/00. Proiecte 2025/AFIR FotoVoltaic 1/5. De Depus/4. Act constitutiv Cesiro Production CAEN 1039 si 3511.pdf, friendlyName=Deschide sursa</x:v>
      </x:c>
    </x:row>
    <x:row r="158" ht="32" customHeight="1">
      <x:c r="A158" s="8" t="str">
        <x:v>F0154</x:v>
      </x:c>
      <x:c r="B158" s="8" t="str">
        <x:v>6. Analiza Cost Beneficiu.docx</x:v>
      </x:c>
      <x:c r="C158" s="8" t="str">
        <x:v>5. De Depus</x:v>
      </x:c>
      <x:c r="D158" s="8" t="str">
        <x:v>Proiect fotovoltaic</x:v>
      </x:c>
      <x:c r="E158" s="8" t="str">
        <x:v>.docx</x:v>
      </x:c>
      <x:c r="F158" s="8" t="n">
        <x:v>1326308</x:v>
      </x:c>
      <x:c r="G158" s="8" t="str">
        <x:v>Text extras</x:v>
      </x:c>
      <x:c r="H158" s="8" t="str">
        <x:v>Pregătit pentru depunere; confirmare de verificat</x:v>
      </x:c>
      <x:c r="I158" s="8" t="str">
        <x:v>F0082</x:v>
      </x:c>
      <x:c r="J158" s="8" t="e">
        <x:f>HYPERLINK("file:///Z:/00. Proiecte 2025/AFIR FotoVoltaic 1/5. De Depus/6. Analiza Cost Beneficiu.docx","Deschide sursa")</x:f>
        <x:v>HYPERLINK is not implemented. linkLocation=file:///Z:/00. Proiecte 2025/AFIR FotoVoltaic 1/5. De Depus/6. Analiza Cost Beneficiu.docx, friendlyName=Deschide sursa</x:v>
      </x:c>
    </x:row>
    <x:row r="159" ht="32" customHeight="1">
      <x:c r="A159" s="8" t="str">
        <x:v>F0155</x:v>
      </x:c>
      <x:c r="B159" s="8" t="str">
        <x:v>7. Plan de Afaceri.docx</x:v>
      </x:c>
      <x:c r="C159" s="8" t="str">
        <x:v>5. De Depus</x:v>
      </x:c>
      <x:c r="D159" s="8" t="str">
        <x:v>Proiect fotovoltaic</x:v>
      </x:c>
      <x:c r="E159" s="8" t="str">
        <x:v>.docx</x:v>
      </x:c>
      <x:c r="F159" s="8" t="n">
        <x:v>5208932</x:v>
      </x:c>
      <x:c r="G159" s="8" t="str">
        <x:v>Text extras</x:v>
      </x:c>
      <x:c r="H159" s="8" t="str">
        <x:v>Pregătit pentru depunere; confirmare de verificat</x:v>
      </x:c>
      <x:c r="I159" s="8" t="str">
        <x:v>F0088</x:v>
      </x:c>
      <x:c r="J159" s="8" t="e">
        <x:f>HYPERLINK("file:///Z:/00. Proiecte 2025/AFIR FotoVoltaic 1/5. De Depus/7. Plan de Afaceri.docx","Deschide sursa")</x:f>
        <x:v>HYPERLINK is not implemented. linkLocation=file:///Z:/00. Proiecte 2025/AFIR FotoVoltaic 1/5. De Depus/7. Plan de Afaceri.docx, friendlyName=Deschide sursa</x:v>
      </x:c>
    </x:row>
    <x:row r="160" ht="32" customHeight="1">
      <x:c r="A160" s="8" t="str">
        <x:v>F0156</x:v>
      </x:c>
      <x:c r="B160" s="8" t="str">
        <x:v>9. OFERTE.pdf</x:v>
      </x:c>
      <x:c r="C160" s="8" t="str">
        <x:v>5. De Depus</x:v>
      </x:c>
      <x:c r="D160" s="8" t="str">
        <x:v>Proiect fotovoltaic</x:v>
      </x:c>
      <x:c r="E160" s="8" t="str">
        <x:v>.pdf</x:v>
      </x:c>
      <x:c r="F160" s="8" t="n">
        <x:v>26428747</x:v>
      </x:c>
      <x:c r="G160" s="8" t="str">
        <x:v>Text extras</x:v>
      </x:c>
      <x:c r="H160" s="8" t="str">
        <x:v>Pregătit pentru depunere; confirmare de verificat</x:v>
      </x:c>
      <x:c r="I160" s="8" t="str"/>
      <x:c r="J160" s="8" t="e">
        <x:f>HYPERLINK("file:///Z:/00. Proiecte 2025/AFIR FotoVoltaic 1/5. De Depus/9. OFERTE.pdf","Deschide sursa")</x:f>
        <x:v>HYPERLINK is not implemented. linkLocation=file:///Z:/00. Proiecte 2025/AFIR FotoVoltaic 1/5. De Depus/9. OFERTE.pdf, friendlyName=Deschide sursa</x:v>
      </x:c>
    </x:row>
    <x:row r="161" ht="32" customHeight="1">
      <x:c r="A161" s="8" t="str">
        <x:v>F0157</x:v>
      </x:c>
      <x:c r="B161" s="8" t="str">
        <x:v>Declaratie asumare dezechilibre.docx</x:v>
      </x:c>
      <x:c r="C161" s="8" t="str">
        <x:v>5. De Depus</x:v>
      </x:c>
      <x:c r="D161" s="8" t="str">
        <x:v>Proiect fotovoltaic</x:v>
      </x:c>
      <x:c r="E161" s="8" t="str">
        <x:v>.docx</x:v>
      </x:c>
      <x:c r="F161" s="8" t="n">
        <x:v>22463</x:v>
      </x:c>
      <x:c r="G161" s="8" t="str">
        <x:v>Text extras</x:v>
      </x:c>
      <x:c r="H161" s="8" t="str">
        <x:v>Pregătit pentru depunere; confirmare de verificat</x:v>
      </x:c>
      <x:c r="I161" s="8" t="str"/>
      <x:c r="J161" s="8" t="e">
        <x:f>HYPERLINK("file:///Z:/00. Proiecte 2025/AFIR FotoVoltaic 1/5. De Depus/Declaratie asumare dezechilibre.docx","Deschide sursa")</x:f>
        <x:v>HYPERLINK is not implemented. linkLocation=file:///Z:/00. Proiecte 2025/AFIR FotoVoltaic 1/5. De Depus/Declaratie asumare dezechilibre.docx, friendlyName=Deschide sursa</x:v>
      </x:c>
    </x:row>
    <x:row r="162" ht="32" customHeight="1">
      <x:c r="A162" s="8" t="str">
        <x:v>F0158</x:v>
      </x:c>
      <x:c r="B162" s="8" t="str">
        <x:v>Declaratie caracteristici clădire.docx</x:v>
      </x:c>
      <x:c r="C162" s="8" t="str">
        <x:v>5. De Depus</x:v>
      </x:c>
      <x:c r="D162" s="8" t="str">
        <x:v>Proiect fotovoltaic</x:v>
      </x:c>
      <x:c r="E162" s="8" t="str">
        <x:v>.docx</x:v>
      </x:c>
      <x:c r="F162" s="8" t="n">
        <x:v>22084</x:v>
      </x:c>
      <x:c r="G162" s="8" t="str">
        <x:v>Text extras</x:v>
      </x:c>
      <x:c r="H162" s="8" t="str">
        <x:v>Pregătit pentru depunere; confirmare de verificat</x:v>
      </x:c>
      <x:c r="I162" s="8" t="str"/>
      <x:c r="J162" s="8" t="e">
        <x:f>HYPERLINK("file:///Z:/00. Proiecte 2025/AFIR FotoVoltaic 1/5. De Depus/Declaratie caracteristici clădire.docx","Deschide sursa")</x:f>
        <x:v>HYPERLINK is not implemented. linkLocation=file:///Z:/00. Proiecte 2025/AFIR FotoVoltaic 1/5. De Depus/Declaratie caracteristici clădire.docx, friendlyName=Deschide sursa</x:v>
      </x:c>
    </x:row>
    <x:row r="163" ht="32" customHeight="1">
      <x:c r="A163" s="8" t="str">
        <x:v>F0159</x:v>
      </x:c>
      <x:c r="B163" s="8" t="str">
        <x:v>Declaratie caracteristici clădire.pdf</x:v>
      </x:c>
      <x:c r="C163" s="8" t="str">
        <x:v>5. De Depus</x:v>
      </x:c>
      <x:c r="D163" s="8" t="str">
        <x:v>Proiect fotovoltaic</x:v>
      </x:c>
      <x:c r="E163" s="8" t="str">
        <x:v>.pdf</x:v>
      </x:c>
      <x:c r="F163" s="8" t="n">
        <x:v>208275</x:v>
      </x:c>
      <x:c r="G163" s="8" t="str">
        <x:v>Text extras</x:v>
      </x:c>
      <x:c r="H163" s="8" t="str">
        <x:v>Pregătit pentru depunere; confirmare de verificat</x:v>
      </x:c>
      <x:c r="I163" s="8" t="str"/>
      <x:c r="J163" s="8" t="e">
        <x:f>HYPERLINK("file:///Z:/00. Proiecte 2025/AFIR FotoVoltaic 1/5. De Depus/Declaratie caracteristici clădire.pdf","Deschide sursa")</x:f>
        <x:v>HYPERLINK is not implemented. linkLocation=file:///Z:/00. Proiecte 2025/AFIR FotoVoltaic 1/5. De Depus/Declaratie caracteristici clădire.pdf, friendlyName=Deschide sursa</x:v>
      </x:c>
    </x:row>
    <x:row r="164" ht="32" customHeight="1">
      <x:c r="A164" s="8" t="str">
        <x:v>F0160</x:v>
      </x:c>
      <x:c r="B164" s="8" t="str">
        <x:v>Declaratie date cu caracter personal.docx</x:v>
      </x:c>
      <x:c r="C164" s="8" t="str">
        <x:v>5. De Depus</x:v>
      </x:c>
      <x:c r="D164" s="8" t="str">
        <x:v>Proiect fotovoltaic</x:v>
      </x:c>
      <x:c r="E164" s="8" t="str">
        <x:v>.docx</x:v>
      </x:c>
      <x:c r="F164" s="8" t="n">
        <x:v>33961</x:v>
      </x:c>
      <x:c r="G164" s="8" t="str">
        <x:v>Text extras</x:v>
      </x:c>
      <x:c r="H164" s="8" t="str">
        <x:v>Pregătit pentru depunere; confirmare de verificat</x:v>
      </x:c>
      <x:c r="I164" s="8" t="str"/>
      <x:c r="J164" s="8" t="e">
        <x:f>HYPERLINK("file:///Z:/00. Proiecte 2025/AFIR FotoVoltaic 1/5. De Depus/Declaratie date cu caracter personal.docx","Deschide sursa")</x:f>
        <x:v>HYPERLINK is not implemented. linkLocation=file:///Z:/00. Proiecte 2025/AFIR FotoVoltaic 1/5. De Depus/Declaratie date cu caracter personal.docx, friendlyName=Deschide sursa</x:v>
      </x:c>
    </x:row>
    <x:row r="165" ht="32" customHeight="1">
      <x:c r="A165" s="8" t="str">
        <x:v>F0161</x:v>
      </x:c>
      <x:c r="B165" s="8" t="str">
        <x:v>Grafic esalonare plati.docx</x:v>
      </x:c>
      <x:c r="C165" s="8" t="str">
        <x:v>5. De Depus</x:v>
      </x:c>
      <x:c r="D165" s="8" t="str">
        <x:v>Proiect fotovoltaic</x:v>
      </x:c>
      <x:c r="E165" s="8" t="str">
        <x:v>.docx</x:v>
      </x:c>
      <x:c r="F165" s="8" t="n">
        <x:v>27885</x:v>
      </x:c>
      <x:c r="G165" s="8" t="str">
        <x:v>Text extras</x:v>
      </x:c>
      <x:c r="H165" s="8" t="str">
        <x:v>Pregătit pentru depunere; confirmare de verificat</x:v>
      </x:c>
      <x:c r="I165" s="8" t="str"/>
      <x:c r="J165" s="8" t="e">
        <x:f>HYPERLINK("file:///Z:/00. Proiecte 2025/AFIR FotoVoltaic 1/5. De Depus/Grafic esalonare plati.docx","Deschide sursa")</x:f>
        <x:v>HYPERLINK is not implemented. linkLocation=file:///Z:/00. Proiecte 2025/AFIR FotoVoltaic 1/5. De Depus/Grafic esalonare plati.docx, friendlyName=Deschide sursa</x:v>
      </x:c>
    </x:row>
    <x:row r="166" ht="32" customHeight="1">
      <x:c r="A166" s="8" t="str">
        <x:v>F0162</x:v>
      </x:c>
      <x:c r="B166" s="8" t="str">
        <x:v>Memoriu Tehnic &amp; Justificativ.docx</x:v>
      </x:c>
      <x:c r="C166" s="8" t="str">
        <x:v>5. De Depus</x:v>
      </x:c>
      <x:c r="D166" s="8" t="str">
        <x:v>Proiect fotovoltaic</x:v>
      </x:c>
      <x:c r="E166" s="8" t="str">
        <x:v>.docx</x:v>
      </x:c>
      <x:c r="F166" s="8" t="n">
        <x:v>2744159</x:v>
      </x:c>
      <x:c r="G166" s="8" t="str">
        <x:v>Text extras</x:v>
      </x:c>
      <x:c r="H166" s="8" t="str">
        <x:v>Pregătit pentru depunere; confirmare de verificat</x:v>
      </x:c>
      <x:c r="I166" s="8" t="str">
        <x:v>F0104</x:v>
      </x:c>
      <x:c r="J166" s="8" t="e">
        <x:f>HYPERLINK("file:///Z:/00. Proiecte 2025/AFIR FotoVoltaic 1/5. De Depus/Memoriu Tehnic &amp; Justificativ.docx","Deschide sursa")</x:f>
        <x:v>HYPERLINK is not implemented. linkLocation=file:///Z:/00. Proiecte 2025/AFIR FotoVoltaic 1/5. De Depus/Memoriu Tehnic &amp; Justificativ.docx, friendlyName=Deschide sursa</x:v>
      </x:c>
    </x:row>
    <x:row r="167" ht="36" customHeight="1">
      <x:c r="A167" s="8" t="str">
        <x:v>F0163</x:v>
      </x:c>
      <x:c r="B167" s="8" t="str">
        <x:v>Analiza de piata si plan de afaceri - Fabrica de nuci CESIRO PRODUCTION - 2026.09.24.docx</x:v>
      </x:c>
      <x:c r="C167" s="8" t="str">
        <x:v>50. Fabrica Nuci</x:v>
      </x:c>
      <x:c r="D167" s="8" t="str">
        <x:v>Context / alte investiții / ghid / audit intern</x:v>
      </x:c>
      <x:c r="E167" s="8" t="str">
        <x:v>.docx</x:v>
      </x:c>
      <x:c r="F167" s="8" t="n">
        <x:v>46540</x:v>
      </x:c>
      <x:c r="G167" s="8" t="str">
        <x:v>Text extras</x:v>
      </x:c>
      <x:c r="H167" s="8" t="str">
        <x:v>Document local; transmiterea individuală neconfirmată</x:v>
      </x:c>
      <x:c r="I167" s="8" t="str"/>
      <x:c r="J167" s="8" t="e">
        <x:f>HYPERLINK("file:///Z:/00. Proiecte 2025/AFIR FotoVoltaic 1/50. Fabrica Nuci/Analiza de piata si plan de afaceri - Fabrica de nuci CESIRO PRODUCTION - 2026.09.24.docx","Deschide sursa")</x:f>
        <x:v>HYPERLINK is not implemented. linkLocation=file:///Z:/00. Proiecte 2025/AFIR FotoVoltaic 1/50. Fabrica Nuci/Analiza de piata si plan de afaceri - Fabrica de nuci CESIRO PRODUCTION - 2026.09.24.docx, friendlyName=Deschide sursa</x:v>
      </x:c>
    </x:row>
    <x:row r="168" ht="36" customHeight="1">
      <x:c r="A168" s="8" t="str">
        <x:v>F0164</x:v>
      </x:c>
      <x:c r="B168" s="8" t="str">
        <x:v>AUTOMATED INDUSTRIAL WALNUT PROCESSING LINE 200 KG_H (3).pdf</x:v>
      </x:c>
      <x:c r="C168" s="8" t="str">
        <x:v>50. Fabrica Nuci</x:v>
      </x:c>
      <x:c r="D168" s="8" t="str">
        <x:v>Context / alte investiții / ghid / audit intern</x:v>
      </x:c>
      <x:c r="E168" s="8" t="str">
        <x:v>.pdf</x:v>
      </x:c>
      <x:c r="F168" s="8" t="n">
        <x:v>1374484</x:v>
      </x:c>
      <x:c r="G168" s="8" t="str">
        <x:v>Text extras</x:v>
      </x:c>
      <x:c r="H168" s="8" t="str">
        <x:v>Document local; transmiterea individuală neconfirmată</x:v>
      </x:c>
      <x:c r="I168" s="8" t="str"/>
      <x:c r="J168" s="8" t="e">
        <x:f>HYPERLINK("file:///Z:/00. Proiecte 2025/AFIR FotoVoltaic 1/50. Fabrica Nuci/AUTOMATED INDUSTRIAL WALNUT PROCESSING LINE 200 KG_H (3).pdf","Deschide sursa")</x:f>
        <x:v>HYPERLINK is not implemented. linkLocation=file:///Z:/00. Proiecte 2025/AFIR FotoVoltaic 1/50. Fabrica Nuci/AUTOMATED INDUSTRIAL WALNUT PROCESSING LINE 200 KG_H (3).pdf, friendlyName=Deschide sursa</x:v>
      </x:c>
    </x:row>
    <x:row r="169" ht="32" customHeight="1">
      <x:c r="A169" s="8" t="str">
        <x:v>F0165</x:v>
      </x:c>
      <x:c r="B169" s="8" t="str">
        <x:v>Catalog_Nut_technology_ENG_2023 (4).pdf</x:v>
      </x:c>
      <x:c r="C169" s="8" t="str">
        <x:v>50. Fabrica Nuci</x:v>
      </x:c>
      <x:c r="D169" s="8" t="str">
        <x:v>Context / alte investiții / ghid / audit intern</x:v>
      </x:c>
      <x:c r="E169" s="8" t="str">
        <x:v>.pdf</x:v>
      </x:c>
      <x:c r="F169" s="8" t="n">
        <x:v>4536091</x:v>
      </x:c>
      <x:c r="G169" s="8" t="str">
        <x:v>Text extras</x:v>
      </x:c>
      <x:c r="H169" s="8" t="str">
        <x:v>Document local; transmiterea individuală neconfirmată</x:v>
      </x:c>
      <x:c r="I169" s="8" t="str"/>
      <x:c r="J169" s="8" t="e">
        <x:f>HYPERLINK("file:///Z:/00. Proiecte 2025/AFIR FotoVoltaic 1/50. Fabrica Nuci/Catalog_Nut_technology_ENG_2023 (4).pdf","Deschide sursa")</x:f>
        <x:v>HYPERLINK is not implemented. linkLocation=file:///Z:/00. Proiecte 2025/AFIR FotoVoltaic 1/50. Fabrica Nuci/Catalog_Nut_technology_ENG_2023 (4).pdf, friendlyName=Deschide sursa</x:v>
      </x:c>
    </x:row>
    <x:row r="170" ht="36" customHeight="1">
      <x:c r="A170" s="8" t="str">
        <x:v>F0166</x:v>
      </x:c>
      <x:c r="B170" s="8" t="str">
        <x:v>Industrial line for processing hazelnuts 200 kg h.docx</x:v>
      </x:c>
      <x:c r="C170" s="8" t="str">
        <x:v>50. Fabrica Nuci</x:v>
      </x:c>
      <x:c r="D170" s="8" t="str">
        <x:v>Context / alte investiții / ghid / audit intern</x:v>
      </x:c>
      <x:c r="E170" s="8" t="str">
        <x:v>.docx</x:v>
      </x:c>
      <x:c r="F170" s="8" t="n">
        <x:v>1225466</x:v>
      </x:c>
      <x:c r="G170" s="8" t="str">
        <x:v>Text extras</x:v>
      </x:c>
      <x:c r="H170" s="8" t="str">
        <x:v>Document local; transmiterea individuală neconfirmată</x:v>
      </x:c>
      <x:c r="I170" s="8" t="str"/>
      <x:c r="J170" s="8" t="e">
        <x:f>HYPERLINK("file:///Z:/00. Proiecte 2025/AFIR FotoVoltaic 1/50. Fabrica Nuci/Industrial line for processing hazelnuts 200 kg h.docx","Deschide sursa")</x:f>
        <x:v>HYPERLINK is not implemented. linkLocation=file:///Z:/00. Proiecte 2025/AFIR FotoVoltaic 1/50. Fabrica Nuci/Industrial line for processing hazelnuts 200 kg h.docx, friendlyName=Deschide sursa</x:v>
      </x:c>
    </x:row>
    <x:row r="171" ht="36" customHeight="1">
      <x:c r="A171" s="8" t="str">
        <x:v>F0167</x:v>
      </x:c>
      <x:c r="B171" s="8" t="str">
        <x:v>Industrial line for processing hazelnuts 200 kg h.pdf</x:v>
      </x:c>
      <x:c r="C171" s="8" t="str">
        <x:v>50. Fabrica Nuci</x:v>
      </x:c>
      <x:c r="D171" s="8" t="str">
        <x:v>Context / alte investiții / ghid / audit intern</x:v>
      </x:c>
      <x:c r="E171" s="8" t="str">
        <x:v>.pdf</x:v>
      </x:c>
      <x:c r="F171" s="8" t="n">
        <x:v>932841</x:v>
      </x:c>
      <x:c r="G171" s="8" t="str">
        <x:v>Text extras</x:v>
      </x:c>
      <x:c r="H171" s="8" t="str">
        <x:v>Document local; transmiterea individuală neconfirmată</x:v>
      </x:c>
      <x:c r="I171" s="8" t="str"/>
      <x:c r="J171" s="8" t="e">
        <x:f>HYPERLINK("file:///Z:/00. Proiecte 2025/AFIR FotoVoltaic 1/50. Fabrica Nuci/Industrial line for processing hazelnuts 200 kg h.pdf","Deschide sursa")</x:f>
        <x:v>HYPERLINK is not implemented. linkLocation=file:///Z:/00. Proiecte 2025/AFIR FotoVoltaic 1/50. Fabrica Nuci/Industrial line for processing hazelnuts 200 kg h.pdf, friendlyName=Deschide sursa</x:v>
      </x:c>
    </x:row>
    <x:row r="172" ht="32" customHeight="1">
      <x:c r="A172" s="8" t="str">
        <x:v>F0168</x:v>
      </x:c>
      <x:c r="B172" s="8" t="str">
        <x:v>Kason-Sourcebook-vF.pdf</x:v>
      </x:c>
      <x:c r="C172" s="8" t="str">
        <x:v>50. Fabrica Nuci</x:v>
      </x:c>
      <x:c r="D172" s="8" t="str">
        <x:v>Context / alte investiții / ghid / audit intern</x:v>
      </x:c>
      <x:c r="E172" s="8" t="str">
        <x:v>.pdf</x:v>
      </x:c>
      <x:c r="F172" s="8" t="n">
        <x:v>6938436</x:v>
      </x:c>
      <x:c r="G172" s="8" t="str">
        <x:v>Text extras</x:v>
      </x:c>
      <x:c r="H172" s="8" t="str">
        <x:v>Document local; transmiterea individuală neconfirmată</x:v>
      </x:c>
      <x:c r="I172" s="8" t="str"/>
      <x:c r="J172" s="8" t="e">
        <x:f>HYPERLINK("file:///Z:/00. Proiecte 2025/AFIR FotoVoltaic 1/50. Fabrica Nuci/Kason-Sourcebook-vF.pdf","Deschide sursa")</x:f>
        <x:v>HYPERLINK is not implemented. linkLocation=file:///Z:/00. Proiecte 2025/AFIR FotoVoltaic 1/50. Fabrica Nuci/Kason-Sourcebook-vF.pdf, friendlyName=Deschide sursa</x:v>
      </x:c>
    </x:row>
    <x:row r="173" ht="36" customHeight="1">
      <x:c r="A173" s="8" t="str">
        <x:v>F0169</x:v>
      </x:c>
      <x:c r="B173" s="8" t="str">
        <x:v>Line for peeling from green skin and drying.docx</x:v>
      </x:c>
      <x:c r="C173" s="8" t="str">
        <x:v>50. Fabrica Nuci</x:v>
      </x:c>
      <x:c r="D173" s="8" t="str">
        <x:v>Context / alte investiții / ghid / audit intern</x:v>
      </x:c>
      <x:c r="E173" s="8" t="str">
        <x:v>.docx</x:v>
      </x:c>
      <x:c r="F173" s="8" t="n">
        <x:v>523739</x:v>
      </x:c>
      <x:c r="G173" s="8" t="str">
        <x:v>Text extras</x:v>
      </x:c>
      <x:c r="H173" s="8" t="str">
        <x:v>Document local; transmiterea individuală neconfirmată</x:v>
      </x:c>
      <x:c r="I173" s="8" t="str"/>
      <x:c r="J173" s="8" t="e">
        <x:f>HYPERLINK("file:///Z:/00. Proiecte 2025/AFIR FotoVoltaic 1/50. Fabrica Nuci/Line for peeling from green skin and drying.docx","Deschide sursa")</x:f>
        <x:v>HYPERLINK is not implemented. linkLocation=file:///Z:/00. Proiecte 2025/AFIR FotoVoltaic 1/50. Fabrica Nuci/Line for peeling from green skin and drying.docx, friendlyName=Deschide sursa</x:v>
      </x:c>
    </x:row>
    <x:row r="174" ht="36" customHeight="1">
      <x:c r="A174" s="8" t="str">
        <x:v>F0170</x:v>
      </x:c>
      <x:c r="B174" s="8" t="str">
        <x:v>Line for peeling from green skin and drying.pdf</x:v>
      </x:c>
      <x:c r="C174" s="8" t="str">
        <x:v>50. Fabrica Nuci</x:v>
      </x:c>
      <x:c r="D174" s="8" t="str">
        <x:v>Context / alte investiții / ghid / audit intern</x:v>
      </x:c>
      <x:c r="E174" s="8" t="str">
        <x:v>.pdf</x:v>
      </x:c>
      <x:c r="F174" s="8" t="n">
        <x:v>458837</x:v>
      </x:c>
      <x:c r="G174" s="8" t="str">
        <x:v>Text extras</x:v>
      </x:c>
      <x:c r="H174" s="8" t="str">
        <x:v>Document local; transmiterea individuală neconfirmată</x:v>
      </x:c>
      <x:c r="I174" s="8" t="str"/>
      <x:c r="J174" s="8" t="e">
        <x:f>HYPERLINK("file:///Z:/00. Proiecte 2025/AFIR FotoVoltaic 1/50. Fabrica Nuci/Line for peeling from green skin and drying.pdf","Deschide sursa")</x:f>
        <x:v>HYPERLINK is not implemented. linkLocation=file:///Z:/00. Proiecte 2025/AFIR FotoVoltaic 1/50. Fabrica Nuci/Line for peeling from green skin and drying.pdf, friendlyName=Deschide sursa</x:v>
      </x:c>
    </x:row>
    <x:row r="175" ht="36" customHeight="1">
      <x:c r="A175" s="8" t="str">
        <x:v>F0171</x:v>
      </x:c>
      <x:c r="B175" s="8" t="str">
        <x:v>Strategie vanzari online - Miez de nuca CESIRO PRODUCTION - 2026.09.24.docx</x:v>
      </x:c>
      <x:c r="C175" s="8" t="str">
        <x:v>50. Fabrica Nuci</x:v>
      </x:c>
      <x:c r="D175" s="8" t="str">
        <x:v>Context / alte investiții / ghid / audit intern</x:v>
      </x:c>
      <x:c r="E175" s="8" t="str">
        <x:v>.docx</x:v>
      </x:c>
      <x:c r="F175" s="8" t="n">
        <x:v>45864</x:v>
      </x:c>
      <x:c r="G175" s="8" t="str">
        <x:v>Text extras</x:v>
      </x:c>
      <x:c r="H175" s="8" t="str">
        <x:v>Document local; transmiterea individuală neconfirmată</x:v>
      </x:c>
      <x:c r="I175" s="8" t="str"/>
      <x:c r="J175" s="8" t="e">
        <x:f>HYPERLINK("file:///Z:/00. Proiecte 2025/AFIR FotoVoltaic 1/50. Fabrica Nuci/Strategie vanzari online - Miez de nuca CESIRO PRODUCTION - 2026.09.24.docx","Deschide sursa")</x:f>
        <x:v>HYPERLINK is not implemented. linkLocation=file:///Z:/00. Proiecte 2025/AFIR FotoVoltaic 1/50. Fabrica Nuci/Strategie vanzari online - Miez de nuca CESIRO PRODUCTION - 2026.09.24.docx, friendlyName=Deschide sursa</x:v>
      </x:c>
    </x:row>
    <x:row r="176" ht="32" customHeight="1">
      <x:c r="A176" s="8" t="str">
        <x:v>F0172</x:v>
      </x:c>
      <x:c r="B176" s="8" t="str">
        <x:v>Walnut cracking machine 200 kg_h (2).pdf</x:v>
      </x:c>
      <x:c r="C176" s="8" t="str">
        <x:v>50. Fabrica Nuci</x:v>
      </x:c>
      <x:c r="D176" s="8" t="str">
        <x:v>Context / alte investiții / ghid / audit intern</x:v>
      </x:c>
      <x:c r="E176" s="8" t="str">
        <x:v>.pdf</x:v>
      </x:c>
      <x:c r="F176" s="8" t="n">
        <x:v>400802</x:v>
      </x:c>
      <x:c r="G176" s="8" t="str">
        <x:v>Text extras</x:v>
      </x:c>
      <x:c r="H176" s="8" t="str">
        <x:v>Document local; transmiterea individuală neconfirmată</x:v>
      </x:c>
      <x:c r="I176" s="8" t="str"/>
      <x:c r="J176" s="8" t="e">
        <x:f>HYPERLINK("file:///Z:/00. Proiecte 2025/AFIR FotoVoltaic 1/50. Fabrica Nuci/Walnut cracking machine 200 kg_h (2).pdf","Deschide sursa")</x:f>
        <x:v>HYPERLINK is not implemented. linkLocation=file:///Z:/00. Proiecte 2025/AFIR FotoVoltaic 1/50. Fabrica Nuci/Walnut cracking machine 200 kg_h (2).pdf, friendlyName=Deschide sursa</x:v>
      </x:c>
    </x:row>
    <x:row r="177" ht="36" customHeight="1">
      <x:c r="A177" s="8" t="str">
        <x:v>F0173</x:v>
      </x:c>
      <x:c r="B177" s="8" t="str">
        <x:v>Walnut harvesting, peeling and drying line (1).pdf</x:v>
      </x:c>
      <x:c r="C177" s="8" t="str">
        <x:v>50. Fabrica Nuci</x:v>
      </x:c>
      <x:c r="D177" s="8" t="str">
        <x:v>Context / alte investiții / ghid / audit intern</x:v>
      </x:c>
      <x:c r="E177" s="8" t="str">
        <x:v>.pdf</x:v>
      </x:c>
      <x:c r="F177" s="8" t="n">
        <x:v>1430109</x:v>
      </x:c>
      <x:c r="G177" s="8" t="str">
        <x:v>Text extras</x:v>
      </x:c>
      <x:c r="H177" s="8" t="str">
        <x:v>Document local; transmiterea individuală neconfirmată</x:v>
      </x:c>
      <x:c r="I177" s="8" t="str"/>
      <x:c r="J177" s="8" t="e">
        <x:f>HYPERLINK("file:///Z:/00. Proiecte 2025/AFIR FotoVoltaic 1/50. Fabrica Nuci/Walnut harvesting, peeling and drying line (1).pdf","Deschide sursa")</x:f>
        <x:v>HYPERLINK is not implemented. linkLocation=file:///Z:/00. Proiecte 2025/AFIR FotoVoltaic 1/50. Fabrica Nuci/Walnut harvesting, peeling and drying line (1).pdf, friendlyName=Deschide sursa</x:v>
      </x:c>
    </x:row>
    <x:row r="178" ht="32" customHeight="1">
      <x:c r="A178" s="8" t="str">
        <x:v>F0174</x:v>
      </x:c>
      <x:c r="B178" s="8" t="str">
        <x:v>WALNUT PROCESSING LINE 200 KG_H.docx</x:v>
      </x:c>
      <x:c r="C178" s="8" t="str">
        <x:v>50. Fabrica Nuci</x:v>
      </x:c>
      <x:c r="D178" s="8" t="str">
        <x:v>Context / alte investiții / ghid / audit intern</x:v>
      </x:c>
      <x:c r="E178" s="8" t="str">
        <x:v>.docx</x:v>
      </x:c>
      <x:c r="F178" s="8" t="n">
        <x:v>1602366</x:v>
      </x:c>
      <x:c r="G178" s="8" t="str">
        <x:v>Text extras</x:v>
      </x:c>
      <x:c r="H178" s="8" t="str">
        <x:v>Document local; transmiterea individuală neconfirmată</x:v>
      </x:c>
      <x:c r="I178" s="8" t="str"/>
      <x:c r="J178" s="8" t="e">
        <x:f>HYPERLINK("file:///Z:/00. Proiecte 2025/AFIR FotoVoltaic 1/50. Fabrica Nuci/WALNUT PROCESSING LINE 200 KG_H.docx","Deschide sursa")</x:f>
        <x:v>HYPERLINK is not implemented. linkLocation=file:///Z:/00. Proiecte 2025/AFIR FotoVoltaic 1/50. Fabrica Nuci/WALNUT PROCESSING LINE 200 KG_H.docx, friendlyName=Deschide sursa</x:v>
      </x:c>
    </x:row>
    <x:row r="179" ht="32" customHeight="1">
      <x:c r="A179" s="8" t="str">
        <x:v>F0175</x:v>
      </x:c>
      <x:c r="B179" s="8" t="str">
        <x:v>WALNUT PROCESSING LINE 200 KG_H.pdf</x:v>
      </x:c>
      <x:c r="C179" s="8" t="str">
        <x:v>50. Fabrica Nuci</x:v>
      </x:c>
      <x:c r="D179" s="8" t="str">
        <x:v>Context / alte investiții / ghid / audit intern</x:v>
      </x:c>
      <x:c r="E179" s="8" t="str">
        <x:v>.pdf</x:v>
      </x:c>
      <x:c r="F179" s="8" t="n">
        <x:v>805977</x:v>
      </x:c>
      <x:c r="G179" s="8" t="str">
        <x:v>Text extras</x:v>
      </x:c>
      <x:c r="H179" s="8" t="str">
        <x:v>Document local; transmiterea individuală neconfirmată</x:v>
      </x:c>
      <x:c r="I179" s="8" t="str"/>
      <x:c r="J179" s="8" t="e">
        <x:f>HYPERLINK("file:///Z:/00. Proiecte 2025/AFIR FotoVoltaic 1/50. Fabrica Nuci/WALNUT PROCESSING LINE 200 KG_H.pdf","Deschide sursa")</x:f>
        <x:v>HYPERLINK is not implemented. linkLocation=file:///Z:/00. Proiecte 2025/AFIR FotoVoltaic 1/50. Fabrica Nuci/WALNUT PROCESSING LINE 200 KG_H.pdf, friendlyName=Deschide sursa</x:v>
      </x:c>
    </x:row>
    <x:row r="180" ht="32" customHeight="1">
      <x:c r="A180" s="8" t="str">
        <x:v>F0176</x:v>
      </x:c>
      <x:c r="B180" s="8" t="str">
        <x:v>Walnut-cracking-machine-200-kg_h.pdf</x:v>
      </x:c>
      <x:c r="C180" s="8" t="str">
        <x:v>50. Fabrica Nuci</x:v>
      </x:c>
      <x:c r="D180" s="8" t="str">
        <x:v>Context / alte investiții / ghid / audit intern</x:v>
      </x:c>
      <x:c r="E180" s="8" t="str">
        <x:v>.pdf</x:v>
      </x:c>
      <x:c r="F180" s="8" t="n">
        <x:v>348176</x:v>
      </x:c>
      <x:c r="G180" s="8" t="str">
        <x:v>Text extras</x:v>
      </x:c>
      <x:c r="H180" s="8" t="str">
        <x:v>Document local; transmiterea individuală neconfirmată</x:v>
      </x:c>
      <x:c r="I180" s="8" t="str"/>
      <x:c r="J180" s="8" t="e">
        <x:f>HYPERLINK("file:///Z:/00. Proiecte 2025/AFIR FotoVoltaic 1/50. Fabrica Nuci/Walnut-cracking-machine-200-kg_h.pdf","Deschide sursa")</x:f>
        <x:v>HYPERLINK is not implemented. linkLocation=file:///Z:/00. Proiecte 2025/AFIR FotoVoltaic 1/50. Fabrica Nuci/Walnut-cracking-machine-200-kg_h.pdf, friendlyName=Deschide sursa</x:v>
      </x:c>
    </x:row>
    <x:row r="181" ht="32" customHeight="1">
      <x:c r="A181" s="8" t="str">
        <x:v>F0177</x:v>
      </x:c>
      <x:c r="B181" s="8" t="str">
        <x:v>2026 SHEPODY JOYSHINE CATALOGUE (2).pdf</x:v>
      </x:c>
      <x:c r="C181" s="8" t="str">
        <x:v>51. Fabrica de Chips</x:v>
      </x:c>
      <x:c r="D181" s="8" t="str">
        <x:v>Context / alte investiții / ghid / audit intern</x:v>
      </x:c>
      <x:c r="E181" s="8" t="str">
        <x:v>.pdf</x:v>
      </x:c>
      <x:c r="F181" s="8" t="n">
        <x:v>16118424</x:v>
      </x:c>
      <x:c r="G181" s="8" t="str">
        <x:v>Text extras</x:v>
      </x:c>
      <x:c r="H181" s="8" t="str">
        <x:v>Document local; transmiterea individuală neconfirmată</x:v>
      </x:c>
      <x:c r="I181" s="8" t="str"/>
      <x:c r="J181" s="8" t="e">
        <x:f>HYPERLINK("file:///Z:/00. Proiecte 2025/AFIR FotoVoltaic 1/51. Fabrica de Chips/2026 SHEPODY JOYSHINE CATALOGUE (2).pdf","Deschide sursa")</x:f>
        <x:v>HYPERLINK is not implemented. linkLocation=file:///Z:/00. Proiecte 2025/AFIR FotoVoltaic 1/51. Fabrica de Chips/2026 SHEPODY JOYSHINE CATALOGUE (2).pdf, friendlyName=Deschide sursa</x:v>
      </x:c>
    </x:row>
    <x:row r="182" ht="32" customHeight="1">
      <x:c r="A182" s="8" t="str">
        <x:v>F0178</x:v>
      </x:c>
      <x:c r="B182" s="8" t="str">
        <x:v>2026 Anyang Baina Hydroponic Equipment.pdf</x:v>
      </x:c>
      <x:c r="C182" s="8" t="str">
        <x:v>52. HydroPhonic</x:v>
      </x:c>
      <x:c r="D182" s="8" t="str">
        <x:v>Context / alte investiții / ghid / audit intern</x:v>
      </x:c>
      <x:c r="E182" s="8" t="str">
        <x:v>.pdf</x:v>
      </x:c>
      <x:c r="F182" s="8" t="n">
        <x:v>3905708</x:v>
      </x:c>
      <x:c r="G182" s="8" t="str">
        <x:v>Text extras</x:v>
      </x:c>
      <x:c r="H182" s="8" t="str">
        <x:v>Document local; transmiterea individuală neconfirmată</x:v>
      </x:c>
      <x:c r="I182" s="8" t="str"/>
      <x:c r="J182" s="8" t="e">
        <x:f>HYPERLINK("file:///Z:/00. Proiecte 2025/AFIR FotoVoltaic 1/52. HydroPhonic/2026 Anyang Baina Hydroponic Equipment.pdf","Deschide sursa")</x:f>
        <x:v>HYPERLINK is not implemented. linkLocation=file:///Z:/00. Proiecte 2025/AFIR FotoVoltaic 1/52. HydroPhonic/2026 Anyang Baina Hydroponic Equipment.pdf, friendlyName=Deschide sursa</x:v>
      </x:c>
    </x:row>
    <x:row r="183" ht="32" customHeight="1">
      <x:c r="A183" s="8" t="str">
        <x:v>F0179</x:v>
      </x:c>
      <x:c r="B183" s="8" t="str">
        <x:v>identitate_audit_p1.png</x:v>
      </x:c>
      <x:c r="C183" s="8" t="str">
        <x:v>Audit Clarificare nr1 - 30.09.2026</x:v>
      </x:c>
      <x:c r="D183" s="8" t="str">
        <x:v>Context / alte investiții / ghid / audit intern</x:v>
      </x:c>
      <x:c r="E183" s="8" t="str">
        <x:v>.png</x:v>
      </x:c>
      <x:c r="F183" s="8" t="n">
        <x:v>561023</x:v>
      </x:c>
      <x:c r="G183" s="8" t="str">
        <x:v>Inventariat; conținut neextras</x:v>
      </x:c>
      <x:c r="H183" s="8" t="str">
        <x:v>Document local; transmiterea individuală neconfirmată</x:v>
      </x:c>
      <x:c r="I183" s="8" t="str"/>
      <x:c r="J183" s="8" t="e">
        <x:f>HYPERLINK("file:///Z:/00. Proiecte 2025/AFIR FotoVoltaic 1/Audit Clarificare nr1 - 30.09.2026/identitate_audit_p1.png","Deschide sursa")</x:f>
        <x:v>HYPERLINK is not implemented. linkLocation=file:///Z:/00. Proiecte 2025/AFIR FotoVoltaic 1/Audit Clarificare nr1 - 30.09.2026/identitate_audit_p1.png, friendlyName=Deschide sursa</x:v>
      </x:c>
    </x:row>
    <x:row r="184" ht="32" customHeight="1">
      <x:c r="A184" s="8" t="str">
        <x:v>F0180</x:v>
      </x:c>
      <x:c r="B184" s="8" t="str">
        <x:v>identitate_audit_p2.png</x:v>
      </x:c>
      <x:c r="C184" s="8" t="str">
        <x:v>Audit Clarificare nr1 - 30.09.2026</x:v>
      </x:c>
      <x:c r="D184" s="8" t="str">
        <x:v>Context / alte investiții / ghid / audit intern</x:v>
      </x:c>
      <x:c r="E184" s="8" t="str">
        <x:v>.png</x:v>
      </x:c>
      <x:c r="F184" s="8" t="n">
        <x:v>536569</x:v>
      </x:c>
      <x:c r="G184" s="8" t="str">
        <x:v>Inventariat; conținut neextras</x:v>
      </x:c>
      <x:c r="H184" s="8" t="str">
        <x:v>Document local; transmiterea individuală neconfirmată</x:v>
      </x:c>
      <x:c r="I184" s="8" t="str"/>
      <x:c r="J184" s="8" t="e">
        <x:f>HYPERLINK("file:///Z:/00. Proiecte 2025/AFIR FotoVoltaic 1/Audit Clarificare nr1 - 30.09.2026/identitate_audit_p2.png","Deschide sursa")</x:f>
        <x:v>HYPERLINK is not implemented. linkLocation=file:///Z:/00. Proiecte 2025/AFIR FotoVoltaic 1/Audit Clarificare nr1 - 30.09.2026/identitate_audit_p2.png, friendlyName=Deschide sursa</x:v>
      </x:c>
    </x:row>
    <x:row r="185" ht="32" customHeight="1">
      <x:c r="A185" s="8" t="str">
        <x:v>F0181</x:v>
      </x:c>
      <x:c r="B185" s="8" t="str">
        <x:v>identitate_audit_p3.png</x:v>
      </x:c>
      <x:c r="C185" s="8" t="str">
        <x:v>Audit Clarificare nr1 - 30.09.2026</x:v>
      </x:c>
      <x:c r="D185" s="8" t="str">
        <x:v>Context / alte investiții / ghid / audit intern</x:v>
      </x:c>
      <x:c r="E185" s="8" t="str">
        <x:v>.png</x:v>
      </x:c>
      <x:c r="F185" s="8" t="n">
        <x:v>359755</x:v>
      </x:c>
      <x:c r="G185" s="8" t="str">
        <x:v>Inventariat; conținut neextras</x:v>
      </x:c>
      <x:c r="H185" s="8" t="str">
        <x:v>Document local; transmiterea individuală neconfirmată</x:v>
      </x:c>
      <x:c r="I185" s="8" t="str"/>
      <x:c r="J185" s="8" t="e">
        <x:f>HYPERLINK("file:///Z:/00. Proiecte 2025/AFIR FotoVoltaic 1/Audit Clarificare nr1 - 30.09.2026/identitate_audit_p3.png","Deschide sursa")</x:f>
        <x:v>HYPERLINK is not implemented. linkLocation=file:///Z:/00. Proiecte 2025/AFIR FotoVoltaic 1/Audit Clarificare nr1 - 30.09.2026/identitate_audit_p3.png, friendlyName=Deschide sursa</x:v>
      </x:c>
    </x:row>
    <x:row r="186" ht="32" customHeight="1">
      <x:c r="A186" s="8" t="str">
        <x:v>F0182</x:v>
      </x:c>
      <x:c r="B186" s="8" t="str">
        <x:v>identitate_audit_p4.png</x:v>
      </x:c>
      <x:c r="C186" s="8" t="str">
        <x:v>Audit Clarificare nr1 - 30.09.2026</x:v>
      </x:c>
      <x:c r="D186" s="8" t="str">
        <x:v>Context / alte investiții / ghid / audit intern</x:v>
      </x:c>
      <x:c r="E186" s="8" t="str">
        <x:v>.png</x:v>
      </x:c>
      <x:c r="F186" s="8" t="n">
        <x:v>353114</x:v>
      </x:c>
      <x:c r="G186" s="8" t="str">
        <x:v>Inventariat; conținut neextras</x:v>
      </x:c>
      <x:c r="H186" s="8" t="str">
        <x:v>Document local; transmiterea individuală neconfirmată</x:v>
      </x:c>
      <x:c r="I186" s="8" t="str"/>
      <x:c r="J186" s="8" t="e">
        <x:f>HYPERLINK("file:///Z:/00. Proiecte 2025/AFIR FotoVoltaic 1/Audit Clarificare nr1 - 30.09.2026/identitate_audit_p4.png","Deschide sursa")</x:f>
        <x:v>HYPERLINK is not implemented. linkLocation=file:///Z:/00. Proiecte 2025/AFIR FotoVoltaic 1/Audit Clarificare nr1 - 30.09.2026/identitate_audit_p4.png, friendlyName=Deschide sursa</x:v>
      </x:c>
    </x:row>
    <x:row r="187" ht="32" customHeight="1">
      <x:c r="A187" s="8" t="str">
        <x:v>F0183</x:v>
      </x:c>
      <x:c r="B187" s="8" t="str">
        <x:v>identitate_audit_p5.png</x:v>
      </x:c>
      <x:c r="C187" s="8" t="str">
        <x:v>Audit Clarificare nr1 - 30.09.2026</x:v>
      </x:c>
      <x:c r="D187" s="8" t="str">
        <x:v>Context / alte investiții / ghid / audit intern</x:v>
      </x:c>
      <x:c r="E187" s="8" t="str">
        <x:v>.png</x:v>
      </x:c>
      <x:c r="F187" s="8" t="n">
        <x:v>475115</x:v>
      </x:c>
      <x:c r="G187" s="8" t="str">
        <x:v>Inventariat; conținut neextras</x:v>
      </x:c>
      <x:c r="H187" s="8" t="str">
        <x:v>Document local; transmiterea individuală neconfirmată</x:v>
      </x:c>
      <x:c r="I187" s="8" t="str"/>
      <x:c r="J187" s="8" t="e">
        <x:f>HYPERLINK("file:///Z:/00. Proiecte 2025/AFIR FotoVoltaic 1/Audit Clarificare nr1 - 30.09.2026/identitate_audit_p5.png","Deschide sursa")</x:f>
        <x:v>HYPERLINK is not implemented. linkLocation=file:///Z:/00. Proiecte 2025/AFIR FotoVoltaic 1/Audit Clarificare nr1 - 30.09.2026/identitate_audit_p5.png, friendlyName=Deschide sursa</x:v>
      </x:c>
    </x:row>
    <x:row r="188" ht="32" customHeight="1">
      <x:c r="A188" s="8" t="str">
        <x:v>F0184</x:v>
      </x:c>
      <x:c r="B188" s="8" t="str">
        <x:v>identitate_audit_p6.png</x:v>
      </x:c>
      <x:c r="C188" s="8" t="str">
        <x:v>Audit Clarificare nr1 - 30.09.2026</x:v>
      </x:c>
      <x:c r="D188" s="8" t="str">
        <x:v>Context / alte investiții / ghid / audit intern</x:v>
      </x:c>
      <x:c r="E188" s="8" t="str">
        <x:v>.png</x:v>
      </x:c>
      <x:c r="F188" s="8" t="n">
        <x:v>287408</x:v>
      </x:c>
      <x:c r="G188" s="8" t="str">
        <x:v>Inventariat; conținut neextras</x:v>
      </x:c>
      <x:c r="H188" s="8" t="str">
        <x:v>Document local; transmiterea individuală neconfirmată</x:v>
      </x:c>
      <x:c r="I188" s="8" t="str"/>
      <x:c r="J188" s="8" t="e">
        <x:f>HYPERLINK("file:///Z:/00. Proiecte 2025/AFIR FotoVoltaic 1/Audit Clarificare nr1 - 30.09.2026/identitate_audit_p6.png","Deschide sursa")</x:f>
        <x:v>HYPERLINK is not implemented. linkLocation=file:///Z:/00. Proiecte 2025/AFIR FotoVoltaic 1/Audit Clarificare nr1 - 30.09.2026/identitate_audit_p6.png, friendlyName=Deschide sursa</x:v>
      </x:c>
    </x:row>
    <x:row r="189" ht="32" customHeight="1">
      <x:c r="A189" s="8" t="str">
        <x:v>F0185</x:v>
      </x:c>
      <x:c r="B189" s="8" t="str">
        <x:v>identitate_financiar.txt</x:v>
      </x:c>
      <x:c r="C189" s="8" t="str">
        <x:v>Audit Clarificare nr1 - 30.09.2026</x:v>
      </x:c>
      <x:c r="D189" s="8" t="str">
        <x:v>Context / alte investiții / ghid / audit intern</x:v>
      </x:c>
      <x:c r="E189" s="8" t="str">
        <x:v>.txt</x:v>
      </x:c>
      <x:c r="F189" s="8" t="n">
        <x:v>6250</x:v>
      </x:c>
      <x:c r="G189" s="8" t="str">
        <x:v>Text extras</x:v>
      </x:c>
      <x:c r="H189" s="8" t="str">
        <x:v>Document local; transmiterea individuală neconfirmată</x:v>
      </x:c>
      <x:c r="I189" s="8" t="str"/>
      <x:c r="J189" s="8" t="e">
        <x:f>HYPERLINK("file:///Z:/00. Proiecte 2025/AFIR FotoVoltaic 1/Audit Clarificare nr1 - 30.09.2026/identitate_financiar.txt","Deschide sursa")</x:f>
        <x:v>HYPERLINK is not implemented. linkLocation=file:///Z:/00. Proiecte 2025/AFIR FotoVoltaic 1/Audit Clarificare nr1 - 30.09.2026/identitate_financiar.txt, friendlyName=Deschide sursa</x:v>
      </x:c>
    </x:row>
    <x:row r="190" ht="36" customHeight="1">
      <x:c r="A190" s="8" t="str">
        <x:v>F0186</x:v>
      </x:c>
      <x:c r="B190" s="8" t="str">
        <x:v>JURNAL_OBIECTIVE_ACTIUNI_REZULTATE.txt</x:v>
      </x:c>
      <x:c r="C190" s="8" t="str">
        <x:v>Audit Clarificare nr1 - 30.09.2026</x:v>
      </x:c>
      <x:c r="D190" s="8" t="str">
        <x:v>Context / alte investiții / ghid / audit intern</x:v>
      </x:c>
      <x:c r="E190" s="8" t="str">
        <x:v>.txt</x:v>
      </x:c>
      <x:c r="F190" s="8" t="n">
        <x:v>6383</x:v>
      </x:c>
      <x:c r="G190" s="8" t="str">
        <x:v>Text extras</x:v>
      </x:c>
      <x:c r="H190" s="8" t="str">
        <x:v>Document local; transmiterea individuală neconfirmată</x:v>
      </x:c>
      <x:c r="I190" s="8" t="str"/>
      <x:c r="J190" s="8" t="e">
        <x:f>HYPERLINK("file:///Z:/00. Proiecte 2025/AFIR FotoVoltaic 1/Audit Clarificare nr1 - 30.09.2026/JURNAL_OBIECTIVE_ACTIUNI_REZULTATE.txt","Deschide sursa")</x:f>
        <x:v>HYPERLINK is not implemented. linkLocation=file:///Z:/00. Proiecte 2025/AFIR FotoVoltaic 1/Audit Clarificare nr1 - 30.09.2026/JURNAL_OBIECTIVE_ACTIUNI_REZULTATE.txt, friendlyName=Deschide sursa</x:v>
      </x:c>
    </x:row>
    <x:row r="191" ht="32" customHeight="1">
      <x:c r="A191" s="8" t="str">
        <x:v>F0187</x:v>
      </x:c>
      <x:c r="B191" s="8" t="str">
        <x:v>procedura.txt</x:v>
      </x:c>
      <x:c r="C191" s="8" t="str">
        <x:v>Audit Clarificare nr1 - 30.09.2026</x:v>
      </x:c>
      <x:c r="D191" s="8" t="str">
        <x:v>Context / alte investiții / ghid / audit intern</x:v>
      </x:c>
      <x:c r="E191" s="8" t="str">
        <x:v>.txt</x:v>
      </x:c>
      <x:c r="F191" s="8" t="n">
        <x:v>8487</x:v>
      </x:c>
      <x:c r="G191" s="8" t="str">
        <x:v>Text extras</x:v>
      </x:c>
      <x:c r="H191" s="8" t="str">
        <x:v>Document local; transmiterea individuală neconfirmată</x:v>
      </x:c>
      <x:c r="I191" s="8" t="str"/>
      <x:c r="J191" s="8" t="e">
        <x:f>HYPERLINK("file:///Z:/00. Proiecte 2025/AFIR FotoVoltaic 1/Audit Clarificare nr1 - 30.09.2026/procedura.txt","Deschide sursa")</x:f>
        <x:v>HYPERLINK is not implemented. linkLocation=file:///Z:/00. Proiecte 2025/AFIR FotoVoltaic 1/Audit Clarificare nr1 - 30.09.2026/procedura.txt, friendlyName=Deschide sursa</x:v>
      </x:c>
    </x:row>
    <x:row r="192" ht="36" customHeight="1">
      <x:c r="A192" s="8" t="str">
        <x:v>F0188</x:v>
      </x:c>
      <x:c r="B192" s="8" t="str">
        <x:v>Raport_audit_Clarificare_nr1.docx</x:v>
      </x:c>
      <x:c r="C192" s="8" t="str">
        <x:v>Audit Clarificare nr1 - 30.09.2026</x:v>
      </x:c>
      <x:c r="D192" s="8" t="str">
        <x:v>Context / alte investiții / ghid / audit intern</x:v>
      </x:c>
      <x:c r="E192" s="8" t="str">
        <x:v>.docx</x:v>
      </x:c>
      <x:c r="F192" s="8" t="n">
        <x:v>49599</x:v>
      </x:c>
      <x:c r="G192" s="8" t="str">
        <x:v>Text extras</x:v>
      </x:c>
      <x:c r="H192" s="8" t="str">
        <x:v>Document local; transmiterea individuală neconfirmată</x:v>
      </x:c>
      <x:c r="I192" s="8" t="str"/>
      <x:c r="J192" s="8" t="e">
        <x:f>HYPERLINK("file:///Z:/00. Proiecte 2025/AFIR FotoVoltaic 1/Audit Clarificare nr1 - 30.09.2026/Raport_audit_Clarificare_nr1.docx","Deschide sursa")</x:f>
        <x:v>HYPERLINK is not implemented. linkLocation=file:///Z:/00. Proiecte 2025/AFIR FotoVoltaic 1/Audit Clarificare nr1 - 30.09.2026/Raport_audit_Clarificare_nr1.docx, friendlyName=Deschide sursa</x:v>
      </x:c>
    </x:row>
    <x:row r="193" ht="36" customHeight="1">
      <x:c r="A193" s="8" t="str">
        <x:v>F0189</x:v>
      </x:c>
      <x:c r="B193" s="8" t="str">
        <x:v>Raport_audit_Clarificare_nr1.pdf</x:v>
      </x:c>
      <x:c r="C193" s="8" t="str">
        <x:v>Audit Clarificare nr1 - 30.09.2026</x:v>
      </x:c>
      <x:c r="D193" s="8" t="str">
        <x:v>Context / alte investiții / ghid / audit intern</x:v>
      </x:c>
      <x:c r="E193" s="8" t="str">
        <x:v>.pdf</x:v>
      </x:c>
      <x:c r="F193" s="8" t="n">
        <x:v>102772</x:v>
      </x:c>
      <x:c r="G193" s="8" t="str">
        <x:v>Text extras</x:v>
      </x:c>
      <x:c r="H193" s="8" t="str">
        <x:v>Document local; transmiterea individuală neconfirmată</x:v>
      </x:c>
      <x:c r="I193" s="8" t="str"/>
      <x:c r="J193" s="8" t="e">
        <x:f>HYPERLINK("file:///Z:/00. Proiecte 2025/AFIR FotoVoltaic 1/Audit Clarificare nr1 - 30.09.2026/Raport_audit_Clarificare_nr1.pdf","Deschide sursa")</x:f>
        <x:v>HYPERLINK is not implemented. linkLocation=file:///Z:/00. Proiecte 2025/AFIR FotoVoltaic 1/Audit Clarificare nr1 - 30.09.2026/Raport_audit_Clarificare_nr1.pdf, friendlyName=Deschide sursa</x:v>
      </x:c>
    </x:row>
    <x:row r="194" ht="36" customHeight="1">
      <x:c r="A194" s="8" t="str">
        <x:v>F0190</x:v>
      </x:c>
      <x:c r="B194" s="8" t="str">
        <x:v>Registru_constatari_audit.xlsx</x:v>
      </x:c>
      <x:c r="C194" s="8" t="str">
        <x:v>Audit Clarificare nr1 - 30.09.2026</x:v>
      </x:c>
      <x:c r="D194" s="8" t="str">
        <x:v>Context / alte investiții / ghid / audit intern</x:v>
      </x:c>
      <x:c r="E194" s="8" t="str">
        <x:v>.xlsx</x:v>
      </x:c>
      <x:c r="F194" s="8" t="n">
        <x:v>17699</x:v>
      </x:c>
      <x:c r="G194" s="8" t="str">
        <x:v>Inventariat; conținut neextras</x:v>
      </x:c>
      <x:c r="H194" s="8" t="str">
        <x:v>Document local; transmiterea individuală neconfirmată</x:v>
      </x:c>
      <x:c r="I194" s="8" t="str"/>
      <x:c r="J194" s="8" t="e">
        <x:f>HYPERLINK("file:///Z:/00. Proiecte 2025/AFIR FotoVoltaic 1/Audit Clarificare nr1 - 30.09.2026/Registru_constatari_audit.xlsx","Deschide sursa")</x:f>
        <x:v>HYPERLINK is not implemented. linkLocation=file:///Z:/00. Proiecte 2025/AFIR FotoVoltaic 1/Audit Clarificare nr1 - 30.09.2026/Registru_constatari_audit.xlsx, friendlyName=Deschide sursa</x:v>
      </x:c>
    </x:row>
    <x:row r="195" ht="32" customHeight="1">
      <x:c r="A195" s="8" t="str">
        <x:v>F0191</x:v>
      </x:c>
      <x:c r="B195" s="8" t="str">
        <x:v>tehnic_email.txt</x:v>
      </x:c>
      <x:c r="C195" s="8" t="str">
        <x:v>Audit Clarificare nr1 - 30.09.2026</x:v>
      </x:c>
      <x:c r="D195" s="8" t="str">
        <x:v>Context / alte investiții / ghid / audit intern</x:v>
      </x:c>
      <x:c r="E195" s="8" t="str">
        <x:v>.txt</x:v>
      </x:c>
      <x:c r="F195" s="8" t="n">
        <x:v>12498</x:v>
      </x:c>
      <x:c r="G195" s="8" t="str">
        <x:v>Text extras</x:v>
      </x:c>
      <x:c r="H195" s="8" t="str">
        <x:v>Document local; transmiterea individuală neconfirmată</x:v>
      </x:c>
      <x:c r="I195" s="8" t="str"/>
      <x:c r="J195" s="8" t="e">
        <x:f>HYPERLINK("file:///Z:/00. Proiecte 2025/AFIR FotoVoltaic 1/Audit Clarificare nr1 - 30.09.2026/tehnic_email.txt","Deschide sursa")</x:f>
        <x:v>HYPERLINK is not implemented. linkLocation=file:///Z:/00. Proiecte 2025/AFIR FotoVoltaic 1/Audit Clarificare nr1 - 30.09.2026/tehnic_email.txt, friendlyName=Deschide sursa</x:v>
      </x:c>
    </x:row>
    <x:row r="196" ht="32" customHeight="1">
      <x:c r="A196" s="8" t="str">
        <x:v>F0192</x:v>
      </x:c>
      <x:c r="B196" s="8" t="str">
        <x:v>Atasamente_de_descarcat.csv</x:v>
      </x:c>
      <x:c r="C196" s="8" t="str">
        <x:v>Comunicatii oficiale AFIR</x:v>
      </x:c>
      <x:c r="D196" s="8" t="str">
        <x:v>Proiect fotovoltaic</x:v>
      </x:c>
      <x:c r="E196" s="8" t="str">
        <x:v>.csv</x:v>
      </x:c>
      <x:c r="F196" s="8" t="n">
        <x:v>2869</x:v>
      </x:c>
      <x:c r="G196" s="8" t="str">
        <x:v>Inventariat; conținut neextras</x:v>
      </x:c>
      <x:c r="H196" s="8" t="str">
        <x:v>Document local; transmiterea individuală neconfirmată</x:v>
      </x:c>
      <x:c r="I196" s="8" t="str"/>
      <x:c r="J196" s="8" t="e">
        <x:f>HYPERLINK("file:///Z:/00. Proiecte 2025/AFIR FotoVoltaic 1/Comunicatii oficiale AFIR/Atasamente_de_descarcat.csv","Deschide sursa")</x:f>
        <x:v>HYPERLINK is not implemented. linkLocation=file:///Z:/00. Proiecte 2025/AFIR FotoVoltaic 1/Comunicatii oficiale AFIR/Atasamente_de_descarcat.csv, friendlyName=Deschide sursa</x:v>
      </x:c>
    </x:row>
    <x:row r="197" ht="32" customHeight="1">
      <x:c r="A197" s="8" t="str">
        <x:v>F0193</x:v>
      </x:c>
      <x:c r="B197" s="8" t="str">
        <x:v>INDEX.html</x:v>
      </x:c>
      <x:c r="C197" s="8" t="str">
        <x:v>Comunicatii oficiale AFIR</x:v>
      </x:c>
      <x:c r="D197" s="8" t="str">
        <x:v>Proiect fotovoltaic</x:v>
      </x:c>
      <x:c r="E197" s="8" t="str">
        <x:v>.html</x:v>
      </x:c>
      <x:c r="F197" s="8" t="n">
        <x:v>6211</x:v>
      </x:c>
      <x:c r="G197" s="8" t="str">
        <x:v>Inventariat; conținut neextras</x:v>
      </x:c>
      <x:c r="H197" s="8" t="str">
        <x:v>Document local; transmiterea individuală neconfirmată</x:v>
      </x:c>
      <x:c r="I197" s="8" t="str"/>
      <x:c r="J197" s="8" t="e">
        <x:f>HYPERLINK("file:///Z:/00. Proiecte 2025/AFIR FotoVoltaic 1/Comunicatii oficiale AFIR/INDEX.html","Deschide sursa")</x:f>
        <x:v>HYPERLINK is not implemented. linkLocation=file:///Z:/00. Proiecte 2025/AFIR FotoVoltaic 1/Comunicatii oficiale AFIR/INDEX.html, friendlyName=Deschide sursa</x:v>
      </x:c>
    </x:row>
    <x:row r="198" ht="32" customHeight="1">
      <x:c r="A198" s="8" t="str">
        <x:v>F0194</x:v>
      </x:c>
      <x:c r="B198" s="8" t="str">
        <x:v>Index_emailuri.csv</x:v>
      </x:c>
      <x:c r="C198" s="8" t="str">
        <x:v>Comunicatii oficiale AFIR</x:v>
      </x:c>
      <x:c r="D198" s="8" t="str">
        <x:v>Proiect fotovoltaic</x:v>
      </x:c>
      <x:c r="E198" s="8" t="str">
        <x:v>.csv</x:v>
      </x:c>
      <x:c r="F198" s="8" t="n">
        <x:v>5920</x:v>
      </x:c>
      <x:c r="G198" s="8" t="str">
        <x:v>Inventariat; conținut neextras</x:v>
      </x:c>
      <x:c r="H198" s="8" t="str">
        <x:v>Document local; transmiterea individuală neconfirmată</x:v>
      </x:c>
      <x:c r="I198" s="8" t="str"/>
      <x:c r="J198" s="8" t="e">
        <x:f>HYPERLINK("file:///Z:/00. Proiecte 2025/AFIR FotoVoltaic 1/Comunicatii oficiale AFIR/Index_emailuri.csv","Deschide sursa")</x:f>
        <x:v>HYPERLINK is not implemented. linkLocation=file:///Z:/00. Proiecte 2025/AFIR FotoVoltaic 1/Comunicatii oficiale AFIR/Index_emailuri.csv, friendlyName=Deschide sursa</x:v>
      </x:c>
    </x:row>
    <x:row r="199" ht="32" customHeight="1">
      <x:c r="A199" s="8" t="str">
        <x:v>F0195</x:v>
      </x:c>
      <x:c r="B199" s="8" t="str">
        <x:v>Inventar_atasamente.csv</x:v>
      </x:c>
      <x:c r="C199" s="8" t="str">
        <x:v>Comunicatii oficiale AFIR</x:v>
      </x:c>
      <x:c r="D199" s="8" t="str">
        <x:v>Proiect fotovoltaic</x:v>
      </x:c>
      <x:c r="E199" s="8" t="str">
        <x:v>.csv</x:v>
      </x:c>
      <x:c r="F199" s="8" t="n">
        <x:v>15261</x:v>
      </x:c>
      <x:c r="G199" s="8" t="str">
        <x:v>Inventariat; conținut neextras</x:v>
      </x:c>
      <x:c r="H199" s="8" t="str">
        <x:v>Document local; transmiterea individuală neconfirmată</x:v>
      </x:c>
      <x:c r="I199" s="8" t="str"/>
      <x:c r="J199" s="8" t="e">
        <x:f>HYPERLINK("file:///Z:/00. Proiecte 2025/AFIR FotoVoltaic 1/Comunicatii oficiale AFIR/Inventar_atasamente.csv","Deschide sursa")</x:f>
        <x:v>HYPERLINK is not implemented. linkLocation=file:///Z:/00. Proiecte 2025/AFIR FotoVoltaic 1/Comunicatii oficiale AFIR/Inventar_atasamente.csv, friendlyName=Deschide sursa</x:v>
      </x:c>
    </x:row>
    <x:row r="200" ht="32" customHeight="1">
      <x:c r="A200" s="8" t="str">
        <x:v>F0196</x:v>
      </x:c>
      <x:c r="B200" s="8" t="str">
        <x:v>Reverificare_2026-09-30.txt</x:v>
      </x:c>
      <x:c r="C200" s="8" t="str">
        <x:v>Comunicatii oficiale AFIR</x:v>
      </x:c>
      <x:c r="D200" s="8" t="str">
        <x:v>Proiect fotovoltaic</x:v>
      </x:c>
      <x:c r="E200" s="8" t="str">
        <x:v>.txt</x:v>
      </x:c>
      <x:c r="F200" s="8" t="n">
        <x:v>864</x:v>
      </x:c>
      <x:c r="G200" s="8" t="str">
        <x:v>Text extras</x:v>
      </x:c>
      <x:c r="H200" s="8" t="str">
        <x:v>Document local; transmiterea individuală neconfirmată</x:v>
      </x:c>
      <x:c r="I200" s="8" t="str"/>
      <x:c r="J200" s="8" t="e">
        <x:f>HYPERLINK("file:///Z:/00. Proiecte 2025/AFIR FotoVoltaic 1/Comunicatii oficiale AFIR/Reverificare_2026-09-30.txt","Deschide sursa")</x:f>
        <x:v>HYPERLINK is not implemented. linkLocation=file:///Z:/00. Proiecte 2025/AFIR FotoVoltaic 1/Comunicatii oficiale AFIR/Reverificare_2026-09-30.txt, friendlyName=Deschide sursa</x:v>
      </x:c>
    </x:row>
    <x:row r="201" ht="36" customHeight="1">
      <x:c r="A201" s="8" t="str">
        <x:v>F0197</x:v>
      </x:c>
      <x:c r="B201" s="8" t="str">
        <x:v>01_Lista_si_referinte_exacte.docx</x:v>
      </x:c>
      <x:c r="C201" s="8" t="str">
        <x:v>Extrase echipamente inchiriate - 03.10.2026</x:v>
      </x:c>
      <x:c r="D201" s="8" t="str">
        <x:v>Context / alte investiții / ghid / audit intern</x:v>
      </x:c>
      <x:c r="E201" s="8" t="str">
        <x:v>.docx</x:v>
      </x:c>
      <x:c r="F201" s="8" t="n">
        <x:v>41643</x:v>
      </x:c>
      <x:c r="G201" s="8" t="str">
        <x:v>Text extras</x:v>
      </x:c>
      <x:c r="H201" s="8" t="str">
        <x:v>Document local; transmiterea individuală neconfirmată</x:v>
      </x:c>
      <x:c r="I201" s="8" t="str"/>
      <x:c r="J201" s="8" t="e">
        <x:f>HYPERLINK("file:///Z:/00. Proiecte 2025/AFIR FotoVoltaic 1/Extrase echipamente inchiriate - 03.10.2026/01_Lista_si_referinte_exacte.docx","Deschide sursa")</x:f>
        <x:v>HYPERLINK is not implemented. linkLocation=file:///Z:/00. Proiecte 2025/AFIR FotoVoltaic 1/Extrase echipamente inchiriate - 03.10.2026/01_Lista_si_referinte_exacte.docx, friendlyName=Deschide sursa</x:v>
      </x:c>
    </x:row>
    <x:row r="202" ht="36" customHeight="1">
      <x:c r="A202" s="8" t="str">
        <x:v>F0198</x:v>
      </x:c>
      <x:c r="B202" s="8" t="str">
        <x:v>01_Lista_si_referinte_exacte.pdf</x:v>
      </x:c>
      <x:c r="C202" s="8" t="str">
        <x:v>Extrase echipamente inchiriate - 03.10.2026</x:v>
      </x:c>
      <x:c r="D202" s="8" t="str">
        <x:v>Context / alte investiții / ghid / audit intern</x:v>
      </x:c>
      <x:c r="E202" s="8" t="str">
        <x:v>.pdf</x:v>
      </x:c>
      <x:c r="F202" s="8" t="n">
        <x:v>85853</x:v>
      </x:c>
      <x:c r="G202" s="8" t="str">
        <x:v>Text extras</x:v>
      </x:c>
      <x:c r="H202" s="8" t="str">
        <x:v>Document local; transmiterea individuală neconfirmată</x:v>
      </x:c>
      <x:c r="I202" s="8" t="str"/>
      <x:c r="J202" s="8" t="e">
        <x:f>HYPERLINK("file:///Z:/00. Proiecte 2025/AFIR FotoVoltaic 1/Extrase echipamente inchiriate - 03.10.2026/01_Lista_si_referinte_exacte.pdf","Deschide sursa")</x:f>
        <x:v>HYPERLINK is not implemented. linkLocation=file:///Z:/00. Proiecte 2025/AFIR FotoVoltaic 1/Extrase echipamente inchiriate - 03.10.2026/01_Lista_si_referinte_exacte.pdf, friendlyName=Deschide sursa</x:v>
      </x:c>
    </x:row>
    <x:row r="203" ht="36" customHeight="1">
      <x:c r="A203" s="8" t="str">
        <x:v>F0199</x:v>
      </x:c>
      <x:c r="B203" s="8" t="str">
        <x:v>02_Pagini_originale_cu_toate_referintele.pdf</x:v>
      </x:c>
      <x:c r="C203" s="8" t="str">
        <x:v>Extrase echipamente inchiriate - 03.10.2026</x:v>
      </x:c>
      <x:c r="D203" s="8" t="str">
        <x:v>Context / alte investiții / ghid / audit intern</x:v>
      </x:c>
      <x:c r="E203" s="8" t="str">
        <x:v>.pdf</x:v>
      </x:c>
      <x:c r="F203" s="8" t="n">
        <x:v>8434355</x:v>
      </x:c>
      <x:c r="G203" s="8" t="str">
        <x:v>Text extras</x:v>
      </x:c>
      <x:c r="H203" s="8" t="str">
        <x:v>Document local; transmiterea individuală neconfirmată</x:v>
      </x:c>
      <x:c r="I203" s="8" t="str"/>
      <x:c r="J203" s="8" t="e">
        <x:f>HYPERLINK("file:///Z:/00. Proiecte 2025/AFIR FotoVoltaic 1/Extrase echipamente inchiriate - 03.10.2026/02_Pagini_originale_cu_toate_referintele.pdf","Deschide sursa")</x:f>
        <x:v>HYPERLINK is not implemented. linkLocation=file:///Z:/00. Proiecte 2025/AFIR FotoVoltaic 1/Extrase echipamente inchiriate - 03.10.2026/02_Pagini_originale_cu_toate_referintele.pdf, friendlyName=Deschide sursa</x:v>
      </x:c>
    </x:row>
    <x:row r="204" ht="36" customHeight="1">
      <x:c r="A204" s="8" t="str">
        <x:v>F0200</x:v>
      </x:c>
      <x:c r="B204" s="8" t="str">
        <x:v>03_Text_integral_referinte.txt</x:v>
      </x:c>
      <x:c r="C204" s="8" t="str">
        <x:v>Extrase echipamente inchiriate - 03.10.2026</x:v>
      </x:c>
      <x:c r="D204" s="8" t="str">
        <x:v>Context / alte investiții / ghid / audit intern</x:v>
      </x:c>
      <x:c r="E204" s="8" t="str">
        <x:v>.txt</x:v>
      </x:c>
      <x:c r="F204" s="8" t="n">
        <x:v>253655</x:v>
      </x:c>
      <x:c r="G204" s="8" t="str">
        <x:v>Text extras</x:v>
      </x:c>
      <x:c r="H204" s="8" t="str">
        <x:v>Document local; transmiterea individuală neconfirmată</x:v>
      </x:c>
      <x:c r="I204" s="8" t="str"/>
      <x:c r="J204" s="8" t="e">
        <x:f>HYPERLINK("file:///Z:/00. Proiecte 2025/AFIR FotoVoltaic 1/Extrase echipamente inchiriate - 03.10.2026/03_Text_integral_referinte.txt","Deschide sursa")</x:f>
        <x:v>HYPERLINK is not implemented. linkLocation=file:///Z:/00. Proiecte 2025/AFIR FotoVoltaic 1/Extrase echipamente inchiriate - 03.10.2026/03_Text_integral_referinte.txt, friendlyName=Deschide sursa</x:v>
      </x:c>
    </x:row>
    <x:row r="205" ht="36" customHeight="1">
      <x:c r="A205" s="8" t="str">
        <x:v>F0201</x:v>
      </x:c>
      <x:c r="B205" s="8" t="str">
        <x:v>04_Lista_exacta_echipamente.csv</x:v>
      </x:c>
      <x:c r="C205" s="8" t="str">
        <x:v>Extrase echipamente inchiriate - 03.10.2026</x:v>
      </x:c>
      <x:c r="D205" s="8" t="str">
        <x:v>Context / alte investiții / ghid / audit intern</x:v>
      </x:c>
      <x:c r="E205" s="8" t="str">
        <x:v>.csv</x:v>
      </x:c>
      <x:c r="F205" s="8" t="n">
        <x:v>1022</x:v>
      </x:c>
      <x:c r="G205" s="8" t="str">
        <x:v>Inventariat; conținut neextras</x:v>
      </x:c>
      <x:c r="H205" s="8" t="str">
        <x:v>Document local; transmiterea individuală neconfirmată</x:v>
      </x:c>
      <x:c r="I205" s="8" t="str"/>
      <x:c r="J205" s="8" t="e">
        <x:f>HYPERLINK("file:///Z:/00. Proiecte 2025/AFIR FotoVoltaic 1/Extrase echipamente inchiriate - 03.10.2026/04_Lista_exacta_echipamente.csv","Deschide sursa")</x:f>
        <x:v>HYPERLINK is not implemented. linkLocation=file:///Z:/00. Proiecte 2025/AFIR FotoVoltaic 1/Extrase echipamente inchiriate - 03.10.2026/04_Lista_exacta_echipamente.csv, friendlyName=Deschide sursa</x:v>
      </x:c>
    </x:row>
    <x:row r="206" ht="36" customHeight="1">
      <x:c r="A206" s="8" t="str">
        <x:v>F0202</x:v>
      </x:c>
      <x:c r="B206" s="8" t="str">
        <x:v>01_Nota_justificativa_AFIR.docx</x:v>
      </x:c>
      <x:c r="C206" s="8" t="str">
        <x:v>Justificare activitate alimentara - 30.09.2026</x:v>
      </x:c>
      <x:c r="D206" s="8" t="str">
        <x:v>Context / alte investiții / ghid / audit intern</x:v>
      </x:c>
      <x:c r="E206" s="8" t="str">
        <x:v>.docx</x:v>
      </x:c>
      <x:c r="F206" s="8" t="n">
        <x:v>41587</x:v>
      </x:c>
      <x:c r="G206" s="8" t="str">
        <x:v>Text extras</x:v>
      </x:c>
      <x:c r="H206" s="8" t="str">
        <x:v>Document local; transmiterea individuală neconfirmată</x:v>
      </x:c>
      <x:c r="I206" s="8" t="str"/>
      <x:c r="J206" s="8" t="e">
        <x:f>HYPERLINK("file:///Z:/00. Proiecte 2025/AFIR FotoVoltaic 1/Justificare activitate alimentara - 30.09.2026/01_Nota_justificativa_AFIR.docx","Deschide sursa")</x:f>
        <x:v>HYPERLINK is not implemented. linkLocation=file:///Z:/00. Proiecte 2025/AFIR FotoVoltaic 1/Justificare activitate alimentara - 30.09.2026/01_Nota_justificativa_AFIR.docx, friendlyName=Deschide sursa</x:v>
      </x:c>
    </x:row>
    <x:row r="207" ht="36" customHeight="1">
      <x:c r="A207" s="8" t="str">
        <x:v>F0203</x:v>
      </x:c>
      <x:c r="B207" s="8" t="str">
        <x:v>01_Nota_justificativa_AFIR.pdf</x:v>
      </x:c>
      <x:c r="C207" s="8" t="str">
        <x:v>Justificare activitate alimentara - 30.09.2026</x:v>
      </x:c>
      <x:c r="D207" s="8" t="str">
        <x:v>Context / alte investiții / ghid / audit intern</x:v>
      </x:c>
      <x:c r="E207" s="8" t="str">
        <x:v>.pdf</x:v>
      </x:c>
      <x:c r="F207" s="8" t="n">
        <x:v>84370</x:v>
      </x:c>
      <x:c r="G207" s="8" t="str">
        <x:v>Text extras</x:v>
      </x:c>
      <x:c r="H207" s="8" t="str">
        <x:v>Document local; transmiterea individuală neconfirmată</x:v>
      </x:c>
      <x:c r="I207" s="8" t="str"/>
      <x:c r="J207" s="8" t="e">
        <x:f>HYPERLINK("file:///Z:/00. Proiecte 2025/AFIR FotoVoltaic 1/Justificare activitate alimentara - 30.09.2026/01_Nota_justificativa_AFIR.pdf","Deschide sursa")</x:f>
        <x:v>HYPERLINK is not implemented. linkLocation=file:///Z:/00. Proiecte 2025/AFIR FotoVoltaic 1/Justificare activitate alimentara - 30.09.2026/01_Nota_justificativa_AFIR.pdf, friendlyName=Deschide sursa</x:v>
      </x:c>
    </x:row>
    <x:row r="208" ht="36" customHeight="1">
      <x:c r="A208" s="8" t="str">
        <x:v>F0204</x:v>
      </x:c>
      <x:c r="B208" s="8" t="str">
        <x:v>02_Analiza_documentara_si_rezerve.docx</x:v>
      </x:c>
      <x:c r="C208" s="8" t="str">
        <x:v>Justificare activitate alimentara - 30.09.2026</x:v>
      </x:c>
      <x:c r="D208" s="8" t="str">
        <x:v>Context / alte investiții / ghid / audit intern</x:v>
      </x:c>
      <x:c r="E208" s="8" t="str">
        <x:v>.docx</x:v>
      </x:c>
      <x:c r="F208" s="8" t="n">
        <x:v>40992</x:v>
      </x:c>
      <x:c r="G208" s="8" t="str">
        <x:v>Text extras</x:v>
      </x:c>
      <x:c r="H208" s="8" t="str">
        <x:v>Document local; transmiterea individuală neconfirmată</x:v>
      </x:c>
      <x:c r="I208" s="8" t="str"/>
      <x:c r="J208" s="8" t="e">
        <x:f>HYPERLINK("file:///Z:/00. Proiecte 2025/AFIR FotoVoltaic 1/Justificare activitate alimentara - 30.09.2026/02_Analiza_documentara_si_rezerve.docx","Deschide sursa")</x:f>
        <x:v>HYPERLINK is not implemented. linkLocation=file:///Z:/00. Proiecte 2025/AFIR FotoVoltaic 1/Justificare activitate alimentara - 30.09.2026/02_Analiza_documentara_si_rezerve.docx, friendlyName=Deschide sursa</x:v>
      </x:c>
    </x:row>
    <x:row r="209" ht="36" customHeight="1">
      <x:c r="A209" s="8" t="str">
        <x:v>F0205</x:v>
      </x:c>
      <x:c r="B209" s="8" t="str">
        <x:v>02_Analiza_documentara_si_rezerve.pdf</x:v>
      </x:c>
      <x:c r="C209" s="8" t="str">
        <x:v>Justificare activitate alimentara - 30.09.2026</x:v>
      </x:c>
      <x:c r="D209" s="8" t="str">
        <x:v>Context / alte investiții / ghid / audit intern</x:v>
      </x:c>
      <x:c r="E209" s="8" t="str">
        <x:v>.pdf</x:v>
      </x:c>
      <x:c r="F209" s="8" t="n">
        <x:v>83301</x:v>
      </x:c>
      <x:c r="G209" s="8" t="str">
        <x:v>Text extras</x:v>
      </x:c>
      <x:c r="H209" s="8" t="str">
        <x:v>Document local; transmiterea individuală neconfirmată</x:v>
      </x:c>
      <x:c r="I209" s="8" t="str"/>
      <x:c r="J209" s="8" t="e">
        <x:f>HYPERLINK("file:///Z:/00. Proiecte 2025/AFIR FotoVoltaic 1/Justificare activitate alimentara - 30.09.2026/02_Analiza_documentara_si_rezerve.pdf","Deschide sursa")</x:f>
        <x:v>HYPERLINK is not implemented. linkLocation=file:///Z:/00. Proiecte 2025/AFIR FotoVoltaic 1/Justificare activitate alimentara - 30.09.2026/02_Analiza_documentara_si_rezerve.pdf, friendlyName=Deschide sursa</x:v>
      </x:c>
    </x:row>
    <x:row r="210" ht="36" customHeight="1">
      <x:c r="A210" s="8" t="str">
        <x:v>F0206</x:v>
      </x:c>
      <x:c r="B210" s="8" t="str">
        <x:v>03_Extrase_documente.pdf</x:v>
      </x:c>
      <x:c r="C210" s="8" t="str">
        <x:v>Justificare activitate alimentara - 30.09.2026</x:v>
      </x:c>
      <x:c r="D210" s="8" t="str">
        <x:v>Context / alte investiții / ghid / audit intern</x:v>
      </x:c>
      <x:c r="E210" s="8" t="str">
        <x:v>.pdf</x:v>
      </x:c>
      <x:c r="F210" s="8" t="n">
        <x:v>3507616</x:v>
      </x:c>
      <x:c r="G210" s="8" t="str">
        <x:v>Text extras</x:v>
      </x:c>
      <x:c r="H210" s="8" t="str">
        <x:v>Document local; transmiterea individuală neconfirmată</x:v>
      </x:c>
      <x:c r="I210" s="8" t="str"/>
      <x:c r="J210" s="8" t="e">
        <x:f>HYPERLINK("file:///Z:/00. Proiecte 2025/AFIR FotoVoltaic 1/Justificare activitate alimentara - 30.09.2026/03_Extrase_documente.pdf","Deschide sursa")</x:f>
        <x:v>HYPERLINK is not implemented. linkLocation=file:///Z:/00. Proiecte 2025/AFIR FotoVoltaic 1/Justificare activitate alimentara - 30.09.2026/03_Extrase_documente.pdf, friendlyName=Deschide sursa</x:v>
      </x:c>
    </x:row>
    <x:row r="211" ht="36" customHeight="1">
      <x:c r="A211" s="8" t="str">
        <x:v>F0207</x:v>
      </x:c>
      <x:c r="B211" s="8" t="str">
        <x:v>AFIR - Intrebari si raspunsuri oficiale.pdf</x:v>
      </x:c>
      <x:c r="C211" s="8" t="str">
        <x:v>Justificare activitate alimentara - 30.09.2026</x:v>
      </x:c>
      <x:c r="D211" s="8" t="str">
        <x:v>Context / alte investiții / ghid / audit intern</x:v>
      </x:c>
      <x:c r="E211" s="8" t="str">
        <x:v>.pdf</x:v>
      </x:c>
      <x:c r="F211" s="8" t="n">
        <x:v>785563</x:v>
      </x:c>
      <x:c r="G211" s="8" t="str">
        <x:v>Text extras</x:v>
      </x:c>
      <x:c r="H211" s="8" t="str">
        <x:v>Document local; transmiterea individuală neconfirmată</x:v>
      </x:c>
      <x:c r="I211" s="8" t="str"/>
      <x:c r="J211" s="8" t="e">
        <x:f>HYPERLINK("file:///Z:/00. Proiecte 2025/AFIR FotoVoltaic 1/Justificare activitate alimentara - 30.09.2026/AFIR - Intrebari si raspunsuri oficiale.pdf","Deschide sursa")</x:f>
        <x:v>HYPERLINK is not implemented. linkLocation=file:///Z:/00. Proiecte 2025/AFIR FotoVoltaic 1/Justificare activitate alimentara - 30.09.2026/AFIR - Intrebari si raspunsuri oficiale.pdf, friendlyName=Deschide sursa</x:v>
      </x:c>
    </x:row>
    <x:row r="212" ht="36" customHeight="1">
      <x:c r="A212" s="8" t="str">
        <x:v>F0208</x:v>
      </x:c>
      <x:c r="B212" s="8" t="str">
        <x:v>index_extrase.pdf</x:v>
      </x:c>
      <x:c r="C212" s="8" t="str">
        <x:v>Justificare activitate alimentara - 30.09.2026</x:v>
      </x:c>
      <x:c r="D212" s="8" t="str">
        <x:v>Context / alte investiții / ghid / audit intern</x:v>
      </x:c>
      <x:c r="E212" s="8" t="str">
        <x:v>.pdf</x:v>
      </x:c>
      <x:c r="F212" s="8" t="n">
        <x:v>74587</x:v>
      </x:c>
      <x:c r="G212" s="8" t="str">
        <x:v>Text extras</x:v>
      </x:c>
      <x:c r="H212" s="8" t="str">
        <x:v>Document local; transmiterea individuală neconfirmată</x:v>
      </x:c>
      <x:c r="I212" s="8" t="str"/>
      <x:c r="J212" s="8" t="e">
        <x:f>HYPERLINK("file:///Z:/00. Proiecte 2025/AFIR FotoVoltaic 1/Justificare activitate alimentara - 30.09.2026/index_extrase.pdf","Deschide sursa")</x:f>
        <x:v>HYPERLINK is not implemented. linkLocation=file:///Z:/00. Proiecte 2025/AFIR FotoVoltaic 1/Justificare activitate alimentara - 30.09.2026/index_extrase.pdf, friendlyName=Deschide sursa</x:v>
      </x:c>
    </x:row>
    <x:row r="213" ht="32" customHeight="1">
      <x:c r="A213" s="8" t="str">
        <x:v>F0209</x:v>
      </x:c>
      <x:c r="B213" s="8" t="str">
        <x:v>texte_surse.txt</x:v>
      </x:c>
      <x:c r="C213" s="8" t="str">
        <x:v>Justificare activitate alimentara - 30.09.2026</x:v>
      </x:c>
      <x:c r="D213" s="8" t="str">
        <x:v>Context / alte investiții / ghid / audit intern</x:v>
      </x:c>
      <x:c r="E213" s="8" t="str">
        <x:v>.txt</x:v>
      </x:c>
      <x:c r="F213" s="8" t="n">
        <x:v>1584308</x:v>
      </x:c>
      <x:c r="G213" s="8" t="str">
        <x:v>Text extras</x:v>
      </x:c>
      <x:c r="H213" s="8" t="str">
        <x:v>Document local; transmiterea individuală neconfirmată</x:v>
      </x:c>
      <x:c r="I213" s="8" t="str"/>
      <x:c r="J213" s="8" t="e">
        <x:f>HYPERLINK("file:///Z:/00. Proiecte 2025/AFIR FotoVoltaic 1/Justificare activitate alimentara - 30.09.2026/texte_surse.txt","Deschide sursa")</x:f>
        <x:v>HYPERLINK is not implemented. linkLocation=file:///Z:/00. Proiecte 2025/AFIR FotoVoltaic 1/Justificare activitate alimentara - 30.09.2026/texte_surse.txt, friendlyName=Deschide sursa</x:v>
      </x:c>
    </x:row>
    <x:row r="214" ht="36" customHeight="1">
      <x:c r="A214" s="8" t="str">
        <x:v>F0210</x:v>
      </x:c>
      <x:c r="B214" s="8" t="str">
        <x:v>verificare_1_17.png</x:v>
      </x:c>
      <x:c r="C214" s="8" t="str">
        <x:v>Justificare activitate alimentara - 30.09.2026</x:v>
      </x:c>
      <x:c r="D214" s="8" t="str">
        <x:v>Context / alte investiții / ghid / audit intern</x:v>
      </x:c>
      <x:c r="E214" s="8" t="str">
        <x:v>.png</x:v>
      </x:c>
      <x:c r="F214" s="8" t="n">
        <x:v>139563</x:v>
      </x:c>
      <x:c r="G214" s="8" t="str">
        <x:v>Inventariat; conținut neextras</x:v>
      </x:c>
      <x:c r="H214" s="8" t="str">
        <x:v>Document local; transmiterea individuală neconfirmată</x:v>
      </x:c>
      <x:c r="I214" s="8" t="str"/>
      <x:c r="J214" s="8" t="e">
        <x:f>HYPERLINK("file:///Z:/00. Proiecte 2025/AFIR FotoVoltaic 1/Justificare activitate alimentara - 30.09.2026/verificare_1_17.png","Deschide sursa")</x:f>
        <x:v>HYPERLINK is not implemented. linkLocation=file:///Z:/00. Proiecte 2025/AFIR FotoVoltaic 1/Justificare activitate alimentara - 30.09.2026/verificare_1_17.png, friendlyName=Deschide sursa</x:v>
      </x:c>
    </x:row>
    <x:row r="215" ht="36" customHeight="1">
      <x:c r="A215" s="8" t="str">
        <x:v>F0211</x:v>
      </x:c>
      <x:c r="B215" s="8" t="str">
        <x:v>verificare_1_2.png</x:v>
      </x:c>
      <x:c r="C215" s="8" t="str">
        <x:v>Justificare activitate alimentara - 30.09.2026</x:v>
      </x:c>
      <x:c r="D215" s="8" t="str">
        <x:v>Context / alte investiții / ghid / audit intern</x:v>
      </x:c>
      <x:c r="E215" s="8" t="str">
        <x:v>.png</x:v>
      </x:c>
      <x:c r="F215" s="8" t="n">
        <x:v>152444</x:v>
      </x:c>
      <x:c r="G215" s="8" t="str">
        <x:v>Inventariat; conținut neextras</x:v>
      </x:c>
      <x:c r="H215" s="8" t="str">
        <x:v>Document local; transmiterea individuală neconfirmată</x:v>
      </x:c>
      <x:c r="I215" s="8" t="str"/>
      <x:c r="J215" s="8" t="e">
        <x:f>HYPERLINK("file:///Z:/00. Proiecte 2025/AFIR FotoVoltaic 1/Justificare activitate alimentara - 30.09.2026/verificare_1_2.png","Deschide sursa")</x:f>
        <x:v>HYPERLINK is not implemented. linkLocation=file:///Z:/00. Proiecte 2025/AFIR FotoVoltaic 1/Justificare activitate alimentara - 30.09.2026/verificare_1_2.png, friendlyName=Deschide sursa</x:v>
      </x:c>
    </x:row>
    <x:row r="216" ht="36" customHeight="1">
      <x:c r="A216" s="8" t="str">
        <x:v>F0212</x:v>
      </x:c>
      <x:c r="B216" s="8" t="str">
        <x:v>verificare_2_72.png</x:v>
      </x:c>
      <x:c r="C216" s="8" t="str">
        <x:v>Justificare activitate alimentara - 30.09.2026</x:v>
      </x:c>
      <x:c r="D216" s="8" t="str">
        <x:v>Context / alte investiții / ghid / audit intern</x:v>
      </x:c>
      <x:c r="E216" s="8" t="str">
        <x:v>.png</x:v>
      </x:c>
      <x:c r="F216" s="8" t="n">
        <x:v>124195</x:v>
      </x:c>
      <x:c r="G216" s="8" t="str">
        <x:v>Inventariat; conținut neextras</x:v>
      </x:c>
      <x:c r="H216" s="8" t="str">
        <x:v>Document local; transmiterea individuală neconfirmată</x:v>
      </x:c>
      <x:c r="I216" s="8" t="str"/>
      <x:c r="J216" s="8" t="e">
        <x:f>HYPERLINK("file:///Z:/00. Proiecte 2025/AFIR FotoVoltaic 1/Justificare activitate alimentara - 30.09.2026/verificare_2_72.png","Deschide sursa")</x:f>
        <x:v>HYPERLINK is not implemented. linkLocation=file:///Z:/00. Proiecte 2025/AFIR FotoVoltaic 1/Justificare activitate alimentara - 30.09.2026/verificare_2_72.png, friendlyName=Deschide sursa</x:v>
      </x:c>
    </x:row>
    <x:row r="217" ht="36" customHeight="1">
      <x:c r="A217" s="8" t="str">
        <x:v>F0213</x:v>
      </x:c>
      <x:c r="B217" s="8" t="str">
        <x:v>Cesiro Production AFIR CFMSES011011372801030.png</x:v>
      </x:c>
      <x:c r="C217" s="8" t="str">
        <x:v>0. Arhiva</x:v>
      </x:c>
      <x:c r="D217" s="8" t="str">
        <x:v>Context / alte investiții / ghid / audit intern</x:v>
      </x:c>
      <x:c r="E217" s="8" t="str">
        <x:v>.png</x:v>
      </x:c>
      <x:c r="F217" s="8" t="n">
        <x:v>1579610</x:v>
      </x:c>
      <x:c r="G217" s="8" t="str">
        <x:v>Inventariat; conținut neextras</x:v>
      </x:c>
      <x:c r="H217" s="8" t="str">
        <x:v>Versiune de lucru / arhivă</x:v>
      </x:c>
      <x:c r="I217" s="8" t="str"/>
      <x:c r="J217" s="8" t="e">
        <x:f>HYPERLINK("file:///Z:/00. Proiecte 2025/AFIR FotoVoltaic 1/0. Arhiva/11. Vizibilitate/Cesiro Production AFIR CFMSES011011372801030.png","Deschide sursa")</x:f>
        <x:v>HYPERLINK is not implemented. linkLocation=file:///Z:/00. Proiecte 2025/AFIR FotoVoltaic 1/0. Arhiva/11. Vizibilitate/Cesiro Production AFIR CFMSES011011372801030.png, friendlyName=Deschide sursa</x:v>
      </x:c>
    </x:row>
    <x:row r="218" ht="32" customHeight="1">
      <x:c r="A218" s="8" t="str">
        <x:v>F0214</x:v>
      </x:c>
      <x:c r="B218" s="8" t="str">
        <x:v>Imagine 1.jpeg</x:v>
      </x:c>
      <x:c r="C218" s="8" t="str">
        <x:v>0. Arhiva</x:v>
      </x:c>
      <x:c r="D218" s="8" t="str">
        <x:v>Context / alte investiții / ghid / audit intern</x:v>
      </x:c>
      <x:c r="E218" s="8" t="str">
        <x:v>.jpeg</x:v>
      </x:c>
      <x:c r="F218" s="8" t="n">
        <x:v>277678</x:v>
      </x:c>
      <x:c r="G218" s="8" t="str">
        <x:v>Inventariat; conținut neextras</x:v>
      </x:c>
      <x:c r="H218" s="8" t="str">
        <x:v>Versiune de lucru / arhivă</x:v>
      </x:c>
      <x:c r="I218" s="8" t="str"/>
      <x:c r="J218" s="8" t="e">
        <x:f>HYPERLINK("file:///Z:/00. Proiecte 2025/AFIR FotoVoltaic 1/0. Arhiva/11. Vizibilitate/Imagine 1.jpeg","Deschide sursa")</x:f>
        <x:v>HYPERLINK is not implemented. linkLocation=file:///Z:/00. Proiecte 2025/AFIR FotoVoltaic 1/0. Arhiva/11. Vizibilitate/Imagine 1.jpeg, friendlyName=Deschide sursa</x:v>
      </x:c>
    </x:row>
    <x:row r="219" ht="32" customHeight="1">
      <x:c r="A219" s="8" t="str">
        <x:v>F0215</x:v>
      </x:c>
      <x:c r="B219" s="8" t="str">
        <x:v>Imagine 2.jpeg</x:v>
      </x:c>
      <x:c r="C219" s="8" t="str">
        <x:v>0. Arhiva</x:v>
      </x:c>
      <x:c r="D219" s="8" t="str">
        <x:v>Context / alte investiții / ghid / audit intern</x:v>
      </x:c>
      <x:c r="E219" s="8" t="str">
        <x:v>.jpeg</x:v>
      </x:c>
      <x:c r="F219" s="8" t="n">
        <x:v>23868</x:v>
      </x:c>
      <x:c r="G219" s="8" t="str">
        <x:v>Inventariat; conținut neextras</x:v>
      </x:c>
      <x:c r="H219" s="8" t="str">
        <x:v>Versiune de lucru / arhivă</x:v>
      </x:c>
      <x:c r="I219" s="8" t="str"/>
      <x:c r="J219" s="8" t="e">
        <x:f>HYPERLINK("file:///Z:/00. Proiecte 2025/AFIR FotoVoltaic 1/0. Arhiva/11. Vizibilitate/Imagine 2.jpeg","Deschide sursa")</x:f>
        <x:v>HYPERLINK is not implemented. linkLocation=file:///Z:/00. Proiecte 2025/AFIR FotoVoltaic 1/0. Arhiva/11. Vizibilitate/Imagine 2.jpeg, friendlyName=Deschide sursa</x:v>
      </x:c>
    </x:row>
    <x:row r="220" ht="32" customHeight="1">
      <x:c r="A220" s="8" t="str">
        <x:v>F0216</x:v>
      </x:c>
      <x:c r="B220" s="8" t="str">
        <x:v>Imagine 3.jpeg</x:v>
      </x:c>
      <x:c r="C220" s="8" t="str">
        <x:v>0. Arhiva</x:v>
      </x:c>
      <x:c r="D220" s="8" t="str">
        <x:v>Context / alte investiții / ghid / audit intern</x:v>
      </x:c>
      <x:c r="E220" s="8" t="str">
        <x:v>.jpeg</x:v>
      </x:c>
      <x:c r="F220" s="8" t="n">
        <x:v>9987</x:v>
      </x:c>
      <x:c r="G220" s="8" t="str">
        <x:v>Inventariat; conținut neextras</x:v>
      </x:c>
      <x:c r="H220" s="8" t="str">
        <x:v>Versiune de lucru / arhivă</x:v>
      </x:c>
      <x:c r="I220" s="8" t="str"/>
      <x:c r="J220" s="8" t="e">
        <x:f>HYPERLINK("file:///Z:/00. Proiecte 2025/AFIR FotoVoltaic 1/0. Arhiva/11. Vizibilitate/Imagine 3.jpeg","Deschide sursa")</x:f>
        <x:v>HYPERLINK is not implemented. linkLocation=file:///Z:/00. Proiecte 2025/AFIR FotoVoltaic 1/0. Arhiva/11. Vizibilitate/Imagine 3.jpeg, friendlyName=Deschide sursa</x:v>
      </x:c>
    </x:row>
    <x:row r="221" ht="32" customHeight="1">
      <x:c r="A221" s="8" t="str">
        <x:v>F0217</x:v>
      </x:c>
      <x:c r="B221" s="8" t="str">
        <x:v>Vizibilitate Identitate vizuala.docx</x:v>
      </x:c>
      <x:c r="C221" s="8" t="str">
        <x:v>0. Arhiva</x:v>
      </x:c>
      <x:c r="D221" s="8" t="str">
        <x:v>Context / alte investiții / ghid / audit intern</x:v>
      </x:c>
      <x:c r="E221" s="8" t="str">
        <x:v>.docx</x:v>
      </x:c>
      <x:c r="F221" s="8" t="n">
        <x:v>12553</x:v>
      </x:c>
      <x:c r="G221" s="8" t="str">
        <x:v>Text extras</x:v>
      </x:c>
      <x:c r="H221" s="8" t="str">
        <x:v>Versiune de lucru / arhivă</x:v>
      </x:c>
      <x:c r="I221" s="8" t="str"/>
      <x:c r="J221" s="8" t="e">
        <x:f>HYPERLINK("file:///Z:/00. Proiecte 2025/AFIR FotoVoltaic 1/0. Arhiva/11. Vizibilitate/Vizibilitate Identitate vizuala.docx","Deschide sursa")</x:f>
        <x:v>HYPERLINK is not implemented. linkLocation=file:///Z:/00. Proiecte 2025/AFIR FotoVoltaic 1/0. Arhiva/11. Vizibilitate/Vizibilitate Identitate vizuala.docx, friendlyName=Deschide sursa</x:v>
      </x:c>
    </x:row>
    <x:row r="222" ht="36" customHeight="1">
      <x:c r="A222" s="8" t="str">
        <x:v>F0218</x:v>
      </x:c>
      <x:c r="B222" s="8" t="str">
        <x:v>Cerere finantare surse regenerabile de energie si stocarea energiei.pdf</x:v>
      </x:c>
      <x:c r="C222" s="8" t="str">
        <x:v>0. Arhiva</x:v>
      </x:c>
      <x:c r="D222" s="8" t="str">
        <x:v>Context / alte investiții / ghid / audit intern</x:v>
      </x:c>
      <x:c r="E222" s="8" t="str">
        <x:v>.pdf</x:v>
      </x:c>
      <x:c r="F222" s="8" t="n">
        <x:v>899655</x:v>
      </x:c>
      <x:c r="G222" s="8" t="str">
        <x:v>Text extras</x:v>
      </x:c>
      <x:c r="H222" s="8" t="str">
        <x:v>Versiune de lucru / arhivă</x:v>
      </x:c>
      <x:c r="I222" s="8" t="str"/>
      <x:c r="J222" s="8" t="e">
        <x:f>HYPERLINK("file:///Z:/00. Proiecte 2025/AFIR FotoVoltaic 1/0. Arhiva/2. Proiect 2/Cerere finantare surse regenerabile de energie si stocarea energiei.pdf","Deschide sursa")</x:f>
        <x:v>HYPERLINK is not implemented. linkLocation=file:///Z:/00. Proiecte 2025/AFIR FotoVoltaic 1/0. Arhiva/2. Proiect 2/Cerere finantare surse regenerabile de energie si stocarea energiei.pdf, friendlyName=Deschide sursa</x:v>
      </x:c>
    </x:row>
    <x:row r="223" ht="36" customHeight="1">
      <x:c r="A223" s="8" t="str">
        <x:v>F0219</x:v>
      </x:c>
      <x:c r="B223" s="8" t="str">
        <x:v>1. Documente necesare la depunerea Cererii de finanțare.docx</x:v>
      </x:c>
      <x:c r="C223" s="8" t="str">
        <x:v>0. Arhiva</x:v>
      </x:c>
      <x:c r="D223" s="8" t="str">
        <x:v>Context / alte investiții / ghid / audit intern</x:v>
      </x:c>
      <x:c r="E223" s="8" t="str">
        <x:v>.docx</x:v>
      </x:c>
      <x:c r="F223" s="8" t="n">
        <x:v>43397</x:v>
      </x:c>
      <x:c r="G223" s="8" t="str">
        <x:v>Text extras</x:v>
      </x:c>
      <x:c r="H223" s="8" t="str">
        <x:v>Versiune de lucru / arhivă</x:v>
      </x:c>
      <x:c r="I223" s="8" t="str"/>
      <x:c r="J223" s="8" t="e">
        <x:f>HYPERLINK("file:///Z:/00. Proiecte 2025/AFIR FotoVoltaic 1/0. Arhiva/3. Ajutatoare Depunere/1. Documente necesare la depunerea Cererii de finanțare.docx","Deschide sursa")</x:f>
        <x:v>HYPERLINK is not implemented. linkLocation=file:///Z:/00. Proiecte 2025/AFIR FotoVoltaic 1/0. Arhiva/3. Ajutatoare Depunere/1. Documente necesare la depunerea Cererii de finanțare.docx, friendlyName=Deschide sursa</x:v>
      </x:c>
    </x:row>
    <x:row r="224" ht="36" customHeight="1">
      <x:c r="A224" s="8" t="str">
        <x:v>F0220</x:v>
      </x:c>
      <x:c r="B224" s="8" t="str">
        <x:v>2. Continut Analiza Cost Beneficu.docx</x:v>
      </x:c>
      <x:c r="C224" s="8" t="str">
        <x:v>0. Arhiva</x:v>
      </x:c>
      <x:c r="D224" s="8" t="str">
        <x:v>Context / alte investiții / ghid / audit intern</x:v>
      </x:c>
      <x:c r="E224" s="8" t="str">
        <x:v>.docx</x:v>
      </x:c>
      <x:c r="F224" s="8" t="n">
        <x:v>31932</x:v>
      </x:c>
      <x:c r="G224" s="8" t="str">
        <x:v>Text extras</x:v>
      </x:c>
      <x:c r="H224" s="8" t="str">
        <x:v>Versiune de lucru / arhivă</x:v>
      </x:c>
      <x:c r="I224" s="8" t="str"/>
      <x:c r="J224" s="8" t="e">
        <x:f>HYPERLINK("file:///Z:/00. Proiecte 2025/AFIR FotoVoltaic 1/0. Arhiva/3. Ajutatoare Depunere/2. Continut Analiza Cost Beneficu.docx","Deschide sursa")</x:f>
        <x:v>HYPERLINK is not implemented. linkLocation=file:///Z:/00. Proiecte 2025/AFIR FotoVoltaic 1/0. Arhiva/3. Ajutatoare Depunere/2. Continut Analiza Cost Beneficu.docx, friendlyName=Deschide sursa</x:v>
      </x:c>
    </x:row>
    <x:row r="225" ht="32" customHeight="1">
      <x:c r="A225" s="8" t="str">
        <x:v>F0221</x:v>
      </x:c>
      <x:c r="B225" s="8" t="str">
        <x:v>3. Achiziția.docx</x:v>
      </x:c>
      <x:c r="C225" s="8" t="str">
        <x:v>0. Arhiva</x:v>
      </x:c>
      <x:c r="D225" s="8" t="str">
        <x:v>Context / alte investiții / ghid / audit intern</x:v>
      </x:c>
      <x:c r="E225" s="8" t="str">
        <x:v>.docx</x:v>
      </x:c>
      <x:c r="F225" s="8" t="n">
        <x:v>36296</x:v>
      </x:c>
      <x:c r="G225" s="8" t="str">
        <x:v>Text extras</x:v>
      </x:c>
      <x:c r="H225" s="8" t="str">
        <x:v>Versiune de lucru / arhivă</x:v>
      </x:c>
      <x:c r="I225" s="8" t="str"/>
      <x:c r="J225" s="8" t="e">
        <x:f>HYPERLINK("file:///Z:/00. Proiecte 2025/AFIR FotoVoltaic 1/0. Arhiva/3. Ajutatoare Depunere/3. Achiziția.docx","Deschide sursa")</x:f>
        <x:v>HYPERLINK is not implemented. linkLocation=file:///Z:/00. Proiecte 2025/AFIR FotoVoltaic 1/0. Arhiva/3. Ajutatoare Depunere/3. Achiziția.docx, friendlyName=Deschide sursa</x:v>
      </x:c>
    </x:row>
    <x:row r="226" ht="36" customHeight="1">
      <x:c r="A226" s="8" t="str">
        <x:v>F0222</x:v>
      </x:c>
      <x:c r="B226" s="8" t="str">
        <x:v>GHID Schema Energie Autoconsum V4.pdf</x:v>
      </x:c>
      <x:c r="C226" s="8" t="str">
        <x:v>0. Arhiva</x:v>
      </x:c>
      <x:c r="D226" s="8" t="str">
        <x:v>Context / alte investiții / ghid / audit intern</x:v>
      </x:c>
      <x:c r="E226" s="8" t="str">
        <x:v>.pdf</x:v>
      </x:c>
      <x:c r="F226" s="8" t="n">
        <x:v>4842944</x:v>
      </x:c>
      <x:c r="G226" s="8" t="str">
        <x:v>Text extras</x:v>
      </x:c>
      <x:c r="H226" s="8" t="str">
        <x:v>Versiune de lucru / arhivă</x:v>
      </x:c>
      <x:c r="I226" s="8" t="str"/>
      <x:c r="J226" s="8" t="e">
        <x:f>HYPERLINK("file:///Z:/00. Proiecte 2025/AFIR FotoVoltaic 1/0. Arhiva/3. Ajutatoare Depunere/GHID Schema Energie Autoconsum V4.pdf","Deschide sursa")</x:f>
        <x:v>HYPERLINK is not implemented. linkLocation=file:///Z:/00. Proiecte 2025/AFIR FotoVoltaic 1/0. Arhiva/3. Ajutatoare Depunere/GHID Schema Energie Autoconsum V4.pdf, friendlyName=Deschide sursa</x:v>
      </x:c>
    </x:row>
    <x:row r="227" ht="36" customHeight="1">
      <x:c r="A227" s="8" t="str">
        <x:v>F0223</x:v>
      </x:c>
      <x:c r="B227" s="8" t="str">
        <x:v>pdfcoffee.com_plan-afaceri-bun-de-totdocx-pdf-free.pdf</x:v>
      </x:c>
      <x:c r="C227" s="8" t="str">
        <x:v>0. Arhiva</x:v>
      </x:c>
      <x:c r="D227" s="8" t="str">
        <x:v>Context / alte investiții / ghid / audit intern</x:v>
      </x:c>
      <x:c r="E227" s="8" t="str">
        <x:v>.pdf</x:v>
      </x:c>
      <x:c r="F227" s="8" t="n">
        <x:v>1217689</x:v>
      </x:c>
      <x:c r="G227" s="8" t="str">
        <x:v>Text extras</x:v>
      </x:c>
      <x:c r="H227" s="8" t="str">
        <x:v>Versiune de lucru / arhivă</x:v>
      </x:c>
      <x:c r="I227" s="8" t="str"/>
      <x:c r="J227" s="8" t="e">
        <x:f>HYPERLINK("file:///Z:/00. Proiecte 2025/AFIR FotoVoltaic 1/0. Arhiva/4. Plan de Afaceri Caen 1039/pdfcoffee.com_plan-afaceri-bun-de-totdocx-pdf-free.pdf","Deschide sursa")</x:f>
        <x:v>HYPERLINK is not implemented. linkLocation=file:///Z:/00. Proiecte 2025/AFIR FotoVoltaic 1/0. Arhiva/4. Plan de Afaceri Caen 1039/pdfcoffee.com_plan-afaceri-bun-de-totdocx-pdf-free.pdf, friendlyName=Deschide sursa</x:v>
      </x:c>
    </x:row>
    <x:row r="228" ht="36" customHeight="1">
      <x:c r="A228" s="8" t="str">
        <x:v>F0224</x:v>
      </x:c>
      <x:c r="B228" s="8" t="str">
        <x:v>wetransfer_proiect-norv_2024-01-18_1253.zip</x:v>
      </x:c>
      <x:c r="C228" s="8" t="str">
        <x:v>0. Arhiva</x:v>
      </x:c>
      <x:c r="D228" s="8" t="str">
        <x:v>Context / alte investiții / ghid / audit intern</x:v>
      </x:c>
      <x:c r="E228" s="8" t="str">
        <x:v>.zip</x:v>
      </x:c>
      <x:c r="F228" s="8" t="n">
        <x:v>20970913</x:v>
      </x:c>
      <x:c r="G228" s="8" t="str">
        <x:v>Inventar ZIP</x:v>
      </x:c>
      <x:c r="H228" s="8" t="str">
        <x:v>Versiune de lucru / arhivă</x:v>
      </x:c>
      <x:c r="I228" s="8" t="str"/>
      <x:c r="J228" s="8" t="e">
        <x:f>HYPERLINK("file:///Z:/00. Proiecte 2025/AFIR FotoVoltaic 1/0. Arhiva/5. Fotovoiltaic IPEC/wetransfer_proiect-norv_2024-01-18_1253.zip","Deschide sursa")</x:f>
        <x:v>HYPERLINK is not implemented. linkLocation=file:///Z:/00. Proiecte 2025/AFIR FotoVoltaic 1/0. Arhiva/5. Fotovoiltaic IPEC/wetransfer_proiect-norv_2024-01-18_1253.zip, friendlyName=Deschide sursa</x:v>
      </x:c>
    </x:row>
    <x:row r="229" ht="36" customHeight="1">
      <x:c r="A229" s="8" t="str">
        <x:v>F0225</x:v>
      </x:c>
      <x:c r="B229" s="8" t="str">
        <x:v>CEF Banesti PT+CS electrice - pdf.zip</x:v>
      </x:c>
      <x:c r="C229" s="8" t="str">
        <x:v>0. Arhiva</x:v>
      </x:c>
      <x:c r="D229" s="8" t="str">
        <x:v>Context / alte investiții / ghid / audit intern</x:v>
      </x:c>
      <x:c r="E229" s="8" t="str">
        <x:v>.zip</x:v>
      </x:c>
      <x:c r="F229" s="8" t="n">
        <x:v>22513928</x:v>
      </x:c>
      <x:c r="G229" s="8" t="str">
        <x:v>Inventar ZIP</x:v>
      </x:c>
      <x:c r="H229" s="8" t="str">
        <x:v>Versiune de lucru / arhivă</x:v>
      </x:c>
      <x:c r="I229" s="8" t="str"/>
      <x:c r="J229" s="8" t="e">
        <x:f>HYPERLINK("file:///Z:/00. Proiecte 2025/AFIR FotoVoltaic 1/0. Arhiva/6. Dragos Jarca 10 MW Fotovoltaic/CEF Banesti PT+CS electrice - pdf.zip","Deschide sursa")</x:f>
        <x:v>HYPERLINK is not implemented. linkLocation=file:///Z:/00. Proiecte 2025/AFIR FotoVoltaic 1/0. Arhiva/6. Dragos Jarca 10 MW Fotovoltaic/CEF Banesti PT+CS electrice - pdf.zip, friendlyName=Deschide sursa</x:v>
      </x:c>
    </x:row>
    <x:row r="230" ht="36" customHeight="1">
      <x:c r="A230" s="8" t="str">
        <x:v>F0226</x:v>
      </x:c>
      <x:c r="B230" s="8" t="str">
        <x:v>Cesiro Production.pdf</x:v>
      </x:c>
      <x:c r="C230" s="8" t="str">
        <x:v>0. Arhiva</x:v>
      </x:c>
      <x:c r="D230" s="8" t="str">
        <x:v>Context / alte investiții / ghid / audit intern</x:v>
      </x:c>
      <x:c r="E230" s="8" t="str">
        <x:v>.pdf</x:v>
      </x:c>
      <x:c r="F230" s="8" t="n">
        <x:v>611208</x:v>
      </x:c>
      <x:c r="G230" s="8" t="str">
        <x:v>Text extras</x:v>
      </x:c>
      <x:c r="H230" s="8" t="str">
        <x:v>Versiune de lucru / arhivă</x:v>
      </x:c>
      <x:c r="I230" s="8" t="str">
        <x:v>F0051</x:v>
      </x:c>
      <x:c r="J230" s="8" t="e">
        <x:f>HYPERLINK("file:///Z:/00. Proiecte 2025/AFIR FotoVoltaic 1/0. Arhiva/4. Plan de Afaceri Caen 1039/Cont Exim Bank/Cesiro Production.pdf","Deschide sursa")</x:f>
        <x:v>HYPERLINK is not implemented. linkLocation=file:///Z:/00. Proiecte 2025/AFIR FotoVoltaic 1/0. Arhiva/4. Plan de Afaceri Caen 1039/Cont Exim Bank/Cesiro Production.pdf, friendlyName=Deschide sursa</x:v>
      </x:c>
    </x:row>
    <x:row r="231" ht="36" customHeight="1">
      <x:c r="A231" s="8" t="str">
        <x:v>F0227</x:v>
      </x:c>
      <x:c r="B231" s="8" t="str">
        <x:v>constatator production.pdf</x:v>
      </x:c>
      <x:c r="C231" s="8" t="str">
        <x:v>0. Arhiva</x:v>
      </x:c>
      <x:c r="D231" s="8" t="str">
        <x:v>Context / alte investiții / ghid / audit intern</x:v>
      </x:c>
      <x:c r="E231" s="8" t="str">
        <x:v>.pdf</x:v>
      </x:c>
      <x:c r="F231" s="8" t="n">
        <x:v>793832</x:v>
      </x:c>
      <x:c r="G231" s="8" t="str">
        <x:v>Text extras</x:v>
      </x:c>
      <x:c r="H231" s="8" t="str">
        <x:v>Versiune de lucru / arhivă</x:v>
      </x:c>
      <x:c r="I231" s="8" t="str"/>
      <x:c r="J231" s="8" t="e">
        <x:f>HYPERLINK("file:///Z:/00. Proiecte 2025/AFIR FotoVoltaic 1/0. Arhiva/4. Plan de Afaceri Caen 1039/Cont Exim Bank/constatator production.pdf","Deschide sursa")</x:f>
        <x:v>HYPERLINK is not implemented. linkLocation=file:///Z:/00. Proiecte 2025/AFIR FotoVoltaic 1/0. Arhiva/4. Plan de Afaceri Caen 1039/Cont Exim Bank/constatator production.pdf, friendlyName=Deschide sursa</x:v>
      </x:c>
    </x:row>
    <x:row r="232" ht="36" customHeight="1">
      <x:c r="A232" s="8" t="str">
        <x:v>F0228</x:v>
      </x:c>
      <x:c r="B232" s="8" t="str">
        <x:v>HOTĂRÂREA ADUNĂRII GENERALE A ASOCIAȚILOR Cesiro Production Deschidere Cont Exim Bank.pdf</x:v>
      </x:c>
      <x:c r="C232" s="8" t="str">
        <x:v>0. Arhiva</x:v>
      </x:c>
      <x:c r="D232" s="8" t="str">
        <x:v>Context / alte investiții / ghid / audit intern</x:v>
      </x:c>
      <x:c r="E232" s="8" t="str">
        <x:v>.pdf</x:v>
      </x:c>
      <x:c r="F232" s="8" t="n">
        <x:v>171920</x:v>
      </x:c>
      <x:c r="G232" s="8" t="str">
        <x:v>Text extras</x:v>
      </x:c>
      <x:c r="H232" s="8" t="str">
        <x:v>Versiune de lucru / arhivă</x:v>
      </x:c>
      <x:c r="I232" s="8" t="str"/>
      <x:c r="J232" s="8" t="e">
        <x:f>HYPERLINK("file:///Z:/00. Proiecte 2025/AFIR FotoVoltaic 1/0. Arhiva/4. Plan de Afaceri Caen 1039/Cont Exim Bank/HOTĂRÂREA ADUNĂRII GENERALE A ASOCIAȚILOR Cesiro Production Deschidere Cont Exim Bank.pdf","Deschide sursa")</x:f>
        <x:v>HYPERLINK is not implemented. linkLocation=file:///Z:/00. Proiecte 2025/AFIR FotoVoltaic 1/0. Arhiva/4. Plan de Afaceri Caen 1039/Cont Exim Bank/HOTĂRÂREA ADUNĂRII GENERALE A ASOCIAȚILOR Cesiro Production Deschidere Cont Exim Bank.pdf, friendlyName=Deschide sursa</x:v>
      </x:c>
    </x:row>
    <x:row r="233" ht="36" customHeight="1">
      <x:c r="A233" s="8" t="str">
        <x:v>F0229</x:v>
      </x:c>
      <x:c r="B233" s="8" t="str">
        <x:v>CONTRACT + Obligatii după semnare-20240118T142909Z-001.zip</x:v>
      </x:c>
      <x:c r="C233" s="8" t="str">
        <x:v>0. Arhiva</x:v>
      </x:c>
      <x:c r="D233" s="8" t="str">
        <x:v>Context / alte investiții / ghid / audit intern</x:v>
      </x:c>
      <x:c r="E233" s="8" t="str">
        <x:v>.zip</x:v>
      </x:c>
      <x:c r="F233" s="8" t="n">
        <x:v>37442710</x:v>
      </x:c>
      <x:c r="G233" s="8" t="str">
        <x:v>Inventar ZIP</x:v>
      </x:c>
      <x:c r="H233" s="8" t="str">
        <x:v>Versiune de lucru / arhivă</x:v>
      </x:c>
      <x:c r="I233" s="8" t="str"/>
      <x:c r="J233" s="8" t="e">
        <x:f>HYPERLINK("file:///Z:/00. Proiecte 2025/AFIR FotoVoltaic 1/0. Arhiva/5. Fotovoiltaic IPEC/Gmail/CONTRACT + Obligatii după semnare-20240118T142909Z-001.zip","Deschide sursa")</x:f>
        <x:v>HYPERLINK is not implemented. linkLocation=file:///Z:/00. Proiecte 2025/AFIR FotoVoltaic 1/0. Arhiva/5. Fotovoiltaic IPEC/Gmail/CONTRACT + Obligatii după semnare-20240118T142909Z-001.zip, friendlyName=Deschide sursa</x:v>
      </x:c>
    </x:row>
    <x:row r="234" ht="36" customHeight="1">
      <x:c r="A234" s="8" t="str">
        <x:v>F0230</x:v>
      </x:c>
      <x:c r="B234" s="8" t="str">
        <x:v>IMPLEMENTARE-20240118T142908Z-001.zip</x:v>
      </x:c>
      <x:c r="C234" s="8" t="str">
        <x:v>0. Arhiva</x:v>
      </x:c>
      <x:c r="D234" s="8" t="str">
        <x:v>Context / alte investiții / ghid / audit intern</x:v>
      </x:c>
      <x:c r="E234" s="8" t="str">
        <x:v>.zip</x:v>
      </x:c>
      <x:c r="F234" s="8" t="n">
        <x:v>284</x:v>
      </x:c>
      <x:c r="G234" s="8" t="str">
        <x:v>Inventar ZIP</x:v>
      </x:c>
      <x:c r="H234" s="8" t="str">
        <x:v>Versiune de lucru / arhivă</x:v>
      </x:c>
      <x:c r="I234" s="8" t="str"/>
      <x:c r="J234" s="8" t="e">
        <x:f>HYPERLINK("file:///Z:/00. Proiecte 2025/AFIR FotoVoltaic 1/0. Arhiva/5. Fotovoiltaic IPEC/Gmail/IMPLEMENTARE-20240118T142908Z-001.zip","Deschide sursa")</x:f>
        <x:v>HYPERLINK is not implemented. linkLocation=file:///Z:/00. Proiecte 2025/AFIR FotoVoltaic 1/0. Arhiva/5. Fotovoiltaic IPEC/Gmail/IMPLEMENTARE-20240118T142908Z-001.zip, friendlyName=Deschide sursa</x:v>
      </x:c>
    </x:row>
    <x:row r="235" ht="36" customHeight="1">
      <x:c r="A235" s="8" t="str">
        <x:v>F0231</x:v>
      </x:c>
      <x:c r="B235" s="8" t="str">
        <x:v>PRECONTRACTARE-20240118T142903Z-001.zip</x:v>
      </x:c>
      <x:c r="C235" s="8" t="str">
        <x:v>0. Arhiva</x:v>
      </x:c>
      <x:c r="D235" s="8" t="str">
        <x:v>Context / alte investiții / ghid / audit intern</x:v>
      </x:c>
      <x:c r="E235" s="8" t="str">
        <x:v>.zip</x:v>
      </x:c>
      <x:c r="F235" s="8" t="n">
        <x:v>108823128</x:v>
      </x:c>
      <x:c r="G235" s="8" t="str">
        <x:v>Inventar ZIP</x:v>
      </x:c>
      <x:c r="H235" s="8" t="str">
        <x:v>Versiune de lucru / arhivă</x:v>
      </x:c>
      <x:c r="I235" s="8" t="str"/>
      <x:c r="J235" s="8" t="e">
        <x:f>HYPERLINK("file:///Z:/00. Proiecte 2025/AFIR FotoVoltaic 1/0. Arhiva/5. Fotovoiltaic IPEC/Gmail/PRECONTRACTARE-20240118T142903Z-001.zip","Deschide sursa")</x:f>
        <x:v>HYPERLINK is not implemented. linkLocation=file:///Z:/00. Proiecte 2025/AFIR FotoVoltaic 1/0. Arhiva/5. Fotovoiltaic IPEC/Gmail/PRECONTRACTARE-20240118T142903Z-001.zip, friendlyName=Deschide sursa</x:v>
      </x:c>
    </x:row>
    <x:row r="236" ht="36" customHeight="1">
      <x:c r="A236" s="8" t="str">
        <x:v>F0232</x:v>
      </x:c>
      <x:c r="B236" s="8" t="str">
        <x:v>SCRIERE - EVALUARE-20240118T142757Z-001.zip</x:v>
      </x:c>
      <x:c r="C236" s="8" t="str">
        <x:v>0. Arhiva</x:v>
      </x:c>
      <x:c r="D236" s="8" t="str">
        <x:v>Context / alte investiții / ghid / audit intern</x:v>
      </x:c>
      <x:c r="E236" s="8" t="str">
        <x:v>.zip</x:v>
      </x:c>
      <x:c r="F236" s="8" t="n">
        <x:v>219223348</x:v>
      </x:c>
      <x:c r="G236" s="8" t="str">
        <x:v>Inventar ZIP</x:v>
      </x:c>
      <x:c r="H236" s="8" t="str">
        <x:v>Versiune de lucru / arhivă</x:v>
      </x:c>
      <x:c r="I236" s="8" t="str"/>
      <x:c r="J236" s="8" t="e">
        <x:f>HYPERLINK("file:///Z:/00. Proiecte 2025/AFIR FotoVoltaic 1/0. Arhiva/5. Fotovoiltaic IPEC/Gmail/SCRIERE - EVALUARE-20240118T142757Z-001.zip","Deschide sursa")</x:f>
        <x:v>HYPERLINK is not implemented. linkLocation=file:///Z:/00. Proiecte 2025/AFIR FotoVoltaic 1/0. Arhiva/5. Fotovoiltaic IPEC/Gmail/SCRIERE - EVALUARE-20240118T142757Z-001.zip, friendlyName=Deschide sursa</x:v>
      </x:c>
    </x:row>
    <x:row r="237" ht="36" customHeight="1">
      <x:c r="A237" s="8" t="str">
        <x:v>F0233</x:v>
      </x:c>
      <x:c r="B237" s="8" t="str">
        <x:v>SCRIERE - EVALUARE-20240118T142803Z-001.zip</x:v>
      </x:c>
      <x:c r="C237" s="8" t="str">
        <x:v>0. Arhiva</x:v>
      </x:c>
      <x:c r="D237" s="8" t="str">
        <x:v>Context / alte investiții / ghid / audit intern</x:v>
      </x:c>
      <x:c r="E237" s="8" t="str">
        <x:v>.zip</x:v>
      </x:c>
      <x:c r="F237" s="8" t="n">
        <x:v>218837003</x:v>
      </x:c>
      <x:c r="G237" s="8" t="str">
        <x:v>Inventar ZIP</x:v>
      </x:c>
      <x:c r="H237" s="8" t="str">
        <x:v>Versiune de lucru / arhivă</x:v>
      </x:c>
      <x:c r="I237" s="8" t="str"/>
      <x:c r="J237" s="8" t="e">
        <x:f>HYPERLINK("file:///Z:/00. Proiecte 2025/AFIR FotoVoltaic 1/0. Arhiva/5. Fotovoiltaic IPEC/Gmail/SCRIERE - EVALUARE-20240118T142803Z-001.zip","Deschide sursa")</x:f>
        <x:v>HYPERLINK is not implemented. linkLocation=file:///Z:/00. Proiecte 2025/AFIR FotoVoltaic 1/0. Arhiva/5. Fotovoiltaic IPEC/Gmail/SCRIERE - EVALUARE-20240118T142803Z-001.zip, friendlyName=Deschide sursa</x:v>
      </x:c>
    </x:row>
    <x:row r="238" ht="36" customHeight="1">
      <x:c r="A238" s="8" t="str">
        <x:v>F0234</x:v>
      </x:c>
      <x:c r="B238" s="8" t="str">
        <x:v>SCRIERE - EVALUARE-20240118T142809Z-001.zip</x:v>
      </x:c>
      <x:c r="C238" s="8" t="str">
        <x:v>0. Arhiva</x:v>
      </x:c>
      <x:c r="D238" s="8" t="str">
        <x:v>Context / alte investiții / ghid / audit intern</x:v>
      </x:c>
      <x:c r="E238" s="8" t="str">
        <x:v>.zip</x:v>
      </x:c>
      <x:c r="F238" s="8" t="n">
        <x:v>219223348</x:v>
      </x:c>
      <x:c r="G238" s="8" t="str">
        <x:v>Inventar ZIP</x:v>
      </x:c>
      <x:c r="H238" s="8" t="str">
        <x:v>Versiune de lucru / arhivă</x:v>
      </x:c>
      <x:c r="I238" s="8" t="str"/>
      <x:c r="J238" s="8" t="e">
        <x:f>HYPERLINK("file:///Z:/00. Proiecte 2025/AFIR FotoVoltaic 1/0. Arhiva/5. Fotovoiltaic IPEC/Gmail/SCRIERE - EVALUARE-20240118T142809Z-001.zip","Deschide sursa")</x:f>
        <x:v>HYPERLINK is not implemented. linkLocation=file:///Z:/00. Proiecte 2025/AFIR FotoVoltaic 1/0. Arhiva/5. Fotovoiltaic IPEC/Gmail/SCRIERE - EVALUARE-20240118T142809Z-001.zip, friendlyName=Deschide sursa</x:v>
      </x:c>
    </x:row>
    <x:row r="239" ht="36" customHeight="1">
      <x:c r="A239" s="8" t="str">
        <x:v>F0235</x:v>
      </x:c>
      <x:c r="B239" s="8" t="str">
        <x:v>Bilant SC IPEC SA - 2019 - recipisa.pdf</x:v>
      </x:c>
      <x:c r="C239" s="8" t="str">
        <x:v>0. Arhiva</x:v>
      </x:c>
      <x:c r="D239" s="8" t="str">
        <x:v>Context / alte investiții / ghid / audit intern</x:v>
      </x:c>
      <x:c r="E239" s="8" t="str">
        <x:v>.pdf</x:v>
      </x:c>
      <x:c r="F239" s="8" t="n">
        <x:v>8640</x:v>
      </x:c>
      <x:c r="G239" s="8" t="str">
        <x:v>Text extras</x:v>
      </x:c>
      <x:c r="H239" s="8" t="str">
        <x:v>Versiune de lucru / arhivă</x:v>
      </x:c>
      <x:c r="I239" s="8" t="str"/>
      <x:c r="J239" s="8" t="e">
        <x:f>HYPERLINK("file:///Z:/00. Proiecte 2025/AFIR FotoVoltaic 1/0. Arhiva/5. Fotovoiltaic IPEC/Gmail/SCRIERE - EVALUARE/Bilant SC IPEC SA - 2019 - recipisa.pdf","Deschide sursa")</x:f>
        <x:v>HYPERLINK is not implemented. linkLocation=file:///Z:/00. Proiecte 2025/AFIR FotoVoltaic 1/0. Arhiva/5. Fotovoiltaic IPEC/Gmail/SCRIERE - EVALUARE/Bilant SC IPEC SA - 2019 - recipisa.pdf, friendlyName=Deschide sursa</x:v>
      </x:c>
    </x:row>
    <x:row r="240" ht="36" customHeight="1">
      <x:c r="A240" s="8" t="str">
        <x:v>F0236</x:v>
      </x:c>
      <x:c r="B240" s="8" t="str">
        <x:v>bilant_SC IPEC SA 2021-recipisa.pdf</x:v>
      </x:c>
      <x:c r="C240" s="8" t="str">
        <x:v>0. Arhiva</x:v>
      </x:c>
      <x:c r="D240" s="8" t="str">
        <x:v>Context / alte investiții / ghid / audit intern</x:v>
      </x:c>
      <x:c r="E240" s="8" t="str">
        <x:v>.pdf</x:v>
      </x:c>
      <x:c r="F240" s="8" t="n">
        <x:v>9396</x:v>
      </x:c>
      <x:c r="G240" s="8" t="str">
        <x:v>Text extras</x:v>
      </x:c>
      <x:c r="H240" s="8" t="str">
        <x:v>Versiune de lucru / arhivă</x:v>
      </x:c>
      <x:c r="I240" s="8" t="str"/>
      <x:c r="J240" s="8" t="e">
        <x:f>HYPERLINK("file:///Z:/00. Proiecte 2025/AFIR FotoVoltaic 1/0. Arhiva/5. Fotovoiltaic IPEC/Gmail/SCRIERE - EVALUARE/bilant_SC IPEC SA 2021-recipisa.pdf","Deschide sursa")</x:f>
        <x:v>HYPERLINK is not implemented. linkLocation=file:///Z:/00. Proiecte 2025/AFIR FotoVoltaic 1/0. Arhiva/5. Fotovoiltaic IPEC/Gmail/SCRIERE - EVALUARE/bilant_SC IPEC SA 2021-recipisa.pdf, friendlyName=Deschide sursa</x:v>
      </x:c>
    </x:row>
    <x:row r="241" ht="36" customHeight="1">
      <x:c r="A241" s="8" t="str">
        <x:v>F0237</x:v>
      </x:c>
      <x:c r="B241" s="8" t="str">
        <x:v>CV-Adrian Nemety-semnat.pdf</x:v>
      </x:c>
      <x:c r="C241" s="8" t="str">
        <x:v>0. Arhiva</x:v>
      </x:c>
      <x:c r="D241" s="8" t="str">
        <x:v>Context / alte investiții / ghid / audit intern</x:v>
      </x:c>
      <x:c r="E241" s="8" t="str">
        <x:v>.pdf</x:v>
      </x:c>
      <x:c r="F241" s="8" t="n">
        <x:v>402019</x:v>
      </x:c>
      <x:c r="G241" s="8" t="str">
        <x:v>Scan / text insuficient</x:v>
      </x:c>
      <x:c r="H241" s="8" t="str">
        <x:v>Versiune de lucru / arhivă</x:v>
      </x:c>
      <x:c r="I241" s="8" t="str"/>
      <x:c r="J241" s="8" t="e">
        <x:f>HYPERLINK("file:///Z:/00. Proiecte 2025/AFIR FotoVoltaic 1/0. Arhiva/5. Fotovoiltaic IPEC/Gmail/SCRIERE - EVALUARE/CV-Adrian Nemety-semnat.pdf","Deschide sursa")</x:f>
        <x:v>HYPERLINK is not implemented. linkLocation=file:///Z:/00. Proiecte 2025/AFIR FotoVoltaic 1/0. Arhiva/5. Fotovoiltaic IPEC/Gmail/SCRIERE - EVALUARE/CV-Adrian Nemety-semnat.pdf, friendlyName=Deschide sursa</x:v>
      </x:c>
    </x:row>
    <x:row r="242" ht="36" customHeight="1">
      <x:c r="A242" s="8" t="str">
        <x:v>F0238</x:v>
      </x:c>
      <x:c r="B242" s="8" t="str">
        <x:v>extras OTP.pdf</x:v>
      </x:c>
      <x:c r="C242" s="8" t="str">
        <x:v>0. Arhiva</x:v>
      </x:c>
      <x:c r="D242" s="8" t="str">
        <x:v>Context / alte investiții / ghid / audit intern</x:v>
      </x:c>
      <x:c r="E242" s="8" t="str">
        <x:v>.pdf</x:v>
      </x:c>
      <x:c r="F242" s="8" t="n">
        <x:v>174244</x:v>
      </x:c>
      <x:c r="G242" s="8" t="str">
        <x:v>Scan / text insuficient</x:v>
      </x:c>
      <x:c r="H242" s="8" t="str">
        <x:v>Versiune de lucru / arhivă</x:v>
      </x:c>
      <x:c r="I242" s="8" t="str"/>
      <x:c r="J242" s="8" t="e">
        <x:f>HYPERLINK("file:///Z:/00. Proiecte 2025/AFIR FotoVoltaic 1/0. Arhiva/5. Fotovoiltaic IPEC/Gmail/SCRIERE - EVALUARE/extras OTP.pdf","Deschide sursa")</x:f>
        <x:v>HYPERLINK is not implemented. linkLocation=file:///Z:/00. Proiecte 2025/AFIR FotoVoltaic 1/0. Arhiva/5. Fotovoiltaic IPEC/Gmail/SCRIERE - EVALUARE/extras OTP.pdf, friendlyName=Deschide sursa</x:v>
      </x:c>
    </x:row>
    <x:row r="243" ht="32" customHeight="1">
      <x:c r="A243" s="8" t="str">
        <x:v>F0239</x:v>
      </x:c>
      <x:c r="B243" s="8" t="str">
        <x:v>Necesar cabluri.docx</x:v>
      </x:c>
      <x:c r="C243" s="8" t="str">
        <x:v>0.1. Fise Tehnice</x:v>
      </x:c>
      <x:c r="D243" s="8" t="str">
        <x:v>Proiect fotovoltaic</x:v>
      </x:c>
      <x:c r="E243" s="8" t="str">
        <x:v>.docx</x:v>
      </x:c>
      <x:c r="F243" s="8" t="n">
        <x:v>17632</x:v>
      </x:c>
      <x:c r="G243" s="8" t="str">
        <x:v>Text extras</x:v>
      </x:c>
      <x:c r="H243" s="8" t="str">
        <x:v>Document local; transmiterea individuală neconfirmată</x:v>
      </x:c>
      <x:c r="I243" s="8" t="str"/>
      <x:c r="J243" s="8" t="e">
        <x:f>HYPERLINK("file:///Z:/00. Proiecte 2025/AFIR FotoVoltaic 1/0.1. Fise Tehnice/Cabluri/Necesar cabluri.docx","Deschide sursa")</x:f>
        <x:v>HYPERLINK is not implemented. linkLocation=file:///Z:/00. Proiecte 2025/AFIR FotoVoltaic 1/0.1. Fise Tehnice/Cabluri/Necesar cabluri.docx, friendlyName=Deschide sursa</x:v>
      </x:c>
    </x:row>
    <x:row r="244" ht="50" customHeight="1">
      <x:c r="A244" s="8" t="str">
        <x:v>F0240</x:v>
      </x:c>
      <x:c r="B244" s="8" t="str">
        <x:v>HUAWEI LUNA2000-(107-241) Series Commercial and Industrial Hybrid Cooling Grid Forming ESS Solution User Manual (Microgrid, SmartMGC5000B).pdf</x:v>
      </x:c>
      <x:c r="C244" s="8" t="str">
        <x:v>0.1. Fise Tehnice</x:v>
      </x:c>
      <x:c r="D244" s="8" t="str">
        <x:v>Proiect fotovoltaic</x:v>
      </x:c>
      <x:c r="E244" s="8" t="str">
        <x:v>.pdf</x:v>
      </x:c>
      <x:c r="F244" s="8" t="n">
        <x:v>5799855</x:v>
      </x:c>
      <x:c r="G244" s="8" t="str">
        <x:v>Text extras</x:v>
      </x:c>
      <x:c r="H244" s="8" t="str">
        <x:v>Document local; transmiterea individuală neconfirmată</x:v>
      </x:c>
      <x:c r="I244" s="8" t="str"/>
      <x:c r="J244" s="8" t="e">
        <x:f>HYPERLINK("file:///Z:/00. Proiecte 2025/AFIR FotoVoltaic 1/0.1. Fise Tehnice/Huawei/HUAWEI LUNA2000-(107-241) Series Commercial and Industrial Hybrid Cooling Grid Forming ESS Solution User Manual (Microgrid, SmartMGC5000B).pdf","Deschide sursa")</x:f>
        <x:v>HYPERLINK is not implemented. linkLocation=file:///Z:/00. Proiecte 2025/AFIR FotoVoltaic 1/0.1. Fise Tehnice/Huawei/HUAWEI LUNA2000-(107-241) Series Commercial and Industrial Hybrid Cooling Grid Forming ESS Solution User Manual (Microgrid, SmartMGC5000B).pdf, friendlyName=Deschide sursa</x:v>
      </x:c>
    </x:row>
    <x:row r="245" ht="50" customHeight="1">
      <x:c r="A245" s="8" t="str">
        <x:v>F0241</x:v>
      </x:c>
      <x:c r="B245" s="8" t="str">
        <x:v>HUAWEI LUNA2000-(107-241) Series Commercial and Industrial Hybrid Cooling Grid Forming ESS Solution User Manual (On-Grid, SmartMGC5000B and SmartLogger5000B).pdf</x:v>
      </x:c>
      <x:c r="C245" s="8" t="str">
        <x:v>0.1. Fise Tehnice</x:v>
      </x:c>
      <x:c r="D245" s="8" t="str">
        <x:v>Proiect fotovoltaic</x:v>
      </x:c>
      <x:c r="E245" s="8" t="str">
        <x:v>.pdf</x:v>
      </x:c>
      <x:c r="F245" s="8" t="n">
        <x:v>5233043</x:v>
      </x:c>
      <x:c r="G245" s="8" t="str">
        <x:v>Text extras</x:v>
      </x:c>
      <x:c r="H245" s="8" t="str">
        <x:v>Document local; transmiterea individuală neconfirmată</x:v>
      </x:c>
      <x:c r="I245" s="8" t="str"/>
      <x:c r="J245" s="8" t="e">
        <x:f>HYPERLINK("file:///Z:/00. Proiecte 2025/AFIR FotoVoltaic 1/0.1. Fise Tehnice/Huawei/HUAWEI LUNA2000-(107-241) Series Commercial and Industrial Hybrid Cooling Grid Forming ESS Solution User Manual (On-Grid, SmartMGC5000B and SmartLogger5000B).pdf","Deschide sursa")</x:f>
        <x:v>HYPERLINK is not implemented. linkLocation=file:///Z:/00. Proiecte 2025/AFIR FotoVoltaic 1/0.1. Fise Tehnice/Huawei/HUAWEI LUNA2000-(107-241) Series Commercial and Industrial Hybrid Cooling Grid Forming ESS Solution User Manual (On-Grid, SmartMGC5000B and SmartLogger5000B).pdf, friendlyName=Deschide sursa</x:v>
      </x:c>
    </x:row>
    <x:row r="246" ht="32" customHeight="1">
      <x:c r="A246" s="8" t="str">
        <x:v>F0242</x:v>
      </x:c>
      <x:c r="B246" s="8" t="str">
        <x:v>HUAWEI-LUNA2000-241-2S1-Datasheet.pdf</x:v>
      </x:c>
      <x:c r="C246" s="8" t="str">
        <x:v>0.1. Fise Tehnice</x:v>
      </x:c>
      <x:c r="D246" s="8" t="str">
        <x:v>Proiect fotovoltaic</x:v>
      </x:c>
      <x:c r="E246" s="8" t="str">
        <x:v>.pdf</x:v>
      </x:c>
      <x:c r="F246" s="8" t="n">
        <x:v>339559</x:v>
      </x:c>
      <x:c r="G246" s="8" t="str">
        <x:v>Text extras</x:v>
      </x:c>
      <x:c r="H246" s="8" t="str">
        <x:v>Document local; transmiterea individuală neconfirmată</x:v>
      </x:c>
      <x:c r="I246" s="8" t="str"/>
      <x:c r="J246" s="8" t="e">
        <x:f>HYPERLINK("file:///Z:/00. Proiecte 2025/AFIR FotoVoltaic 1/0.1. Fise Tehnice/Huawei/HUAWEI-LUNA2000-241-2S1-Datasheet.pdf","Deschide sursa")</x:f>
        <x:v>HYPERLINK is not implemented. linkLocation=file:///Z:/00. Proiecte 2025/AFIR FotoVoltaic 1/0.1. Fise Tehnice/Huawei/HUAWEI-LUNA2000-241-2S1-Datasheet.pdf, friendlyName=Deschide sursa</x:v>
      </x:c>
    </x:row>
    <x:row r="247" ht="36" customHeight="1">
      <x:c r="A247" s="8" t="str">
        <x:v>F0243</x:v>
      </x:c>
      <x:c r="B247" s="8" t="str">
        <x:v>Logistics Solution for N+1 Generation Industrial and Commercial Energy Storage Cabinets.pdf</x:v>
      </x:c>
      <x:c r="C247" s="8" t="str">
        <x:v>0.1. Fise Tehnice</x:v>
      </x:c>
      <x:c r="D247" s="8" t="str">
        <x:v>Proiect fotovoltaic</x:v>
      </x:c>
      <x:c r="E247" s="8" t="str">
        <x:v>.pdf</x:v>
      </x:c>
      <x:c r="F247" s="8" t="n">
        <x:v>1131782</x:v>
      </x:c>
      <x:c r="G247" s="8" t="str">
        <x:v>Text extras</x:v>
      </x:c>
      <x:c r="H247" s="8" t="str">
        <x:v>Document local; transmiterea individuală neconfirmată</x:v>
      </x:c>
      <x:c r="I247" s="8" t="str"/>
      <x:c r="J247" s="8" t="e">
        <x:f>HYPERLINK("file:///Z:/00. Proiecte 2025/AFIR FotoVoltaic 1/0.1. Fise Tehnice/Huawei/Logistics Solution for N+1 Generation Industrial and Commercial Energy Storage Cabinets.pdf","Deschide sursa")</x:f>
        <x:v>HYPERLINK is not implemented. linkLocation=file:///Z:/00. Proiecte 2025/AFIR FotoVoltaic 1/0.1. Fise Tehnice/Huawei/Logistics Solution for N+1 Generation Industrial and Commercial Energy Storage Cabinets.pdf, friendlyName=Deschide sursa</x:v>
      </x:c>
    </x:row>
    <x:row r="248" ht="36" customHeight="1">
      <x:c r="A248" s="8" t="str">
        <x:v>F0244</x:v>
      </x:c>
      <x:c r="B248" s="8" t="str">
        <x:v>LUNA2000-(107-215) Series Smart String ESS User Manual.pdf</x:v>
      </x:c>
      <x:c r="C248" s="8" t="str">
        <x:v>0.1. Fise Tehnice</x:v>
      </x:c>
      <x:c r="D248" s="8" t="str">
        <x:v>Proiect fotovoltaic</x:v>
      </x:c>
      <x:c r="E248" s="8" t="str">
        <x:v>.pdf</x:v>
      </x:c>
      <x:c r="F248" s="8" t="n">
        <x:v>6522311</x:v>
      </x:c>
      <x:c r="G248" s="8" t="str">
        <x:v>Text extras</x:v>
      </x:c>
      <x:c r="H248" s="8" t="str">
        <x:v>Document local; transmiterea individuală neconfirmată</x:v>
      </x:c>
      <x:c r="I248" s="8" t="str"/>
      <x:c r="J248" s="8" t="e">
        <x:f>HYPERLINK("file:///Z:/00. Proiecte 2025/AFIR FotoVoltaic 1/0.1. Fise Tehnice/Huawei/LUNA2000-(107-215) Series Smart String ESS User Manual.pdf","Deschide sursa")</x:f>
        <x:v>HYPERLINK is not implemented. linkLocation=file:///Z:/00. Proiecte 2025/AFIR FotoVoltaic 1/0.1. Fise Tehnice/Huawei/LUNA2000-(107-215) Series Smart String ESS User Manual.pdf, friendlyName=Deschide sursa</x:v>
      </x:c>
    </x:row>
    <x:row r="249" ht="36" customHeight="1">
      <x:c r="A249" s="8" t="str">
        <x:v>F0245</x:v>
      </x:c>
      <x:c r="B249" s="8" t="str">
        <x:v>SiteRequirements_LUNA2000-215-2S10_V01_2025-11-01_EN.pdf</x:v>
      </x:c>
      <x:c r="C249" s="8" t="str">
        <x:v>0.1. Fise Tehnice</x:v>
      </x:c>
      <x:c r="D249" s="8" t="str">
        <x:v>Proiect fotovoltaic</x:v>
      </x:c>
      <x:c r="E249" s="8" t="str">
        <x:v>.pdf</x:v>
      </x:c>
      <x:c r="F249" s="8" t="n">
        <x:v>1003627</x:v>
      </x:c>
      <x:c r="G249" s="8" t="str">
        <x:v>Text extras</x:v>
      </x:c>
      <x:c r="H249" s="8" t="str">
        <x:v>Document local; transmiterea individuală neconfirmată</x:v>
      </x:c>
      <x:c r="I249" s="8" t="str"/>
      <x:c r="J249" s="8" t="e">
        <x:f>HYPERLINK("file:///Z:/00. Proiecte 2025/AFIR FotoVoltaic 1/0.1. Fise Tehnice/Huawei/SiteRequirements_LUNA2000-215-2S10_V01_2025-11-01_EN.pdf","Deschide sursa")</x:f>
        <x:v>HYPERLINK is not implemented. linkLocation=file:///Z:/00. Proiecte 2025/AFIR FotoVoltaic 1/0.1. Fise Tehnice/Huawei/SiteRequirements_LUNA2000-215-2S10_V01_2025-11-01_EN.pdf, friendlyName=Deschide sursa</x:v>
      </x:c>
    </x:row>
    <x:row r="250" ht="32" customHeight="1">
      <x:c r="A250" s="8" t="str">
        <x:v>F0246</x:v>
      </x:c>
      <x:c r="B250" s="8" t="str">
        <x:v>Smart-PCS.pdf</x:v>
      </x:c>
      <x:c r="C250" s="8" t="str">
        <x:v>0.1. Fise Tehnice</x:v>
      </x:c>
      <x:c r="D250" s="8" t="str">
        <x:v>Proiect fotovoltaic</x:v>
      </x:c>
      <x:c r="E250" s="8" t="str">
        <x:v>.pdf</x:v>
      </x:c>
      <x:c r="F250" s="8" t="n">
        <x:v>183169</x:v>
      </x:c>
      <x:c r="G250" s="8" t="str">
        <x:v>Text extras</x:v>
      </x:c>
      <x:c r="H250" s="8" t="str">
        <x:v>Document local; transmiterea individuală neconfirmată</x:v>
      </x:c>
      <x:c r="I250" s="8" t="str"/>
      <x:c r="J250" s="8" t="e">
        <x:f>HYPERLINK("file:///Z:/00. Proiecte 2025/AFIR FotoVoltaic 1/0.1. Fise Tehnice/Huawei/Smart-PCS.pdf","Deschide sursa")</x:f>
        <x:v>HYPERLINK is not implemented. linkLocation=file:///Z:/00. Proiecte 2025/AFIR FotoVoltaic 1/0.1. Fise Tehnice/Huawei/Smart-PCS.pdf, friendlyName=Deschide sursa</x:v>
      </x:c>
    </x:row>
    <x:row r="251" ht="36" customHeight="1">
      <x:c r="A251" s="8" t="str">
        <x:v>F0247</x:v>
      </x:c>
      <x:c r="B251" s="8" t="str">
        <x:v>SmartMGC5000B&amp;SmartLogger5000B Datasheet.pdf</x:v>
      </x:c>
      <x:c r="C251" s="8" t="str">
        <x:v>0.1. Fise Tehnice</x:v>
      </x:c>
      <x:c r="D251" s="8" t="str">
        <x:v>Proiect fotovoltaic</x:v>
      </x:c>
      <x:c r="E251" s="8" t="str">
        <x:v>.pdf</x:v>
      </x:c>
      <x:c r="F251" s="8" t="n">
        <x:v>487656</x:v>
      </x:c>
      <x:c r="G251" s="8" t="str">
        <x:v>Text extras</x:v>
      </x:c>
      <x:c r="H251" s="8" t="str">
        <x:v>Document local; transmiterea individuală neconfirmată</x:v>
      </x:c>
      <x:c r="I251" s="8" t="str"/>
      <x:c r="J251" s="8" t="e">
        <x:f>HYPERLINK("file:///Z:/00. Proiecte 2025/AFIR FotoVoltaic 1/0.1. Fise Tehnice/Huawei/SmartMGC5000B&amp;SmartLogger5000B Datasheet.pdf","Deschide sursa")</x:f>
        <x:v>HYPERLINK is not implemented. linkLocation=file:///Z:/00. Proiecte 2025/AFIR FotoVoltaic 1/0.1. Fise Tehnice/Huawei/SmartMGC5000B&amp;SmartLogger5000B Datasheet.pdf, friendlyName=Deschide sursa</x:v>
      </x:c>
    </x:row>
    <x:row r="252" ht="32" customHeight="1">
      <x:c r="A252" s="8" t="str">
        <x:v>F0248</x:v>
      </x:c>
      <x:c r="B252" s="8" t="str">
        <x:v>SUN2000-30-40KTL-M3.pdf</x:v>
      </x:c>
      <x:c r="C252" s="8" t="str">
        <x:v>0.1. Fise Tehnice</x:v>
      </x:c>
      <x:c r="D252" s="8" t="str">
        <x:v>Proiect fotovoltaic</x:v>
      </x:c>
      <x:c r="E252" s="8" t="str">
        <x:v>.pdf</x:v>
      </x:c>
      <x:c r="F252" s="8" t="n">
        <x:v>232661</x:v>
      </x:c>
      <x:c r="G252" s="8" t="str">
        <x:v>Text extras</x:v>
      </x:c>
      <x:c r="H252" s="8" t="str">
        <x:v>Document local; transmiterea individuală neconfirmată</x:v>
      </x:c>
      <x:c r="I252" s="8" t="str"/>
      <x:c r="J252" s="8" t="e">
        <x:f>HYPERLINK("file:///Z:/00. Proiecte 2025/AFIR FotoVoltaic 1/0.1. Fise Tehnice/Huawei/SUN2000-30-40KTL-M3.pdf","Deschide sursa")</x:f>
        <x:v>HYPERLINK is not implemented. linkLocation=file:///Z:/00. Proiecte 2025/AFIR FotoVoltaic 1/0.1. Fise Tehnice/Huawei/SUN2000-30-40KTL-M3.pdf, friendlyName=Deschide sursa</x:v>
      </x:c>
    </x:row>
    <x:row r="253" ht="36" customHeight="1">
      <x:c r="A253" s="8" t="str">
        <x:v>F0249</x:v>
      </x:c>
      <x:c r="B253" s="8" t="str">
        <x:v>Tabel cu degradarea sistemului de stocare.png</x:v>
      </x:c>
      <x:c r="C253" s="8" t="str">
        <x:v>0.1. Fise Tehnice</x:v>
      </x:c>
      <x:c r="D253" s="8" t="str">
        <x:v>Proiect fotovoltaic</x:v>
      </x:c>
      <x:c r="E253" s="8" t="str">
        <x:v>.png</x:v>
      </x:c>
      <x:c r="F253" s="8" t="n">
        <x:v>186733</x:v>
      </x:c>
      <x:c r="G253" s="8" t="str">
        <x:v>Inventariat; conținut neextras</x:v>
      </x:c>
      <x:c r="H253" s="8" t="str">
        <x:v>Document local; transmiterea individuală neconfirmată</x:v>
      </x:c>
      <x:c r="I253" s="8" t="str"/>
      <x:c r="J253" s="8" t="e">
        <x:f>HYPERLINK("file:///Z:/00. Proiecte 2025/AFIR FotoVoltaic 1/0.1. Fise Tehnice/Huawei/Tabel cu degradarea sistemului de stocare.png","Deschide sursa")</x:f>
        <x:v>HYPERLINK is not implemented. linkLocation=file:///Z:/00. Proiecte 2025/AFIR FotoVoltaic 1/0.1. Fise Tehnice/Huawei/Tabel cu degradarea sistemului de stocare.png, friendlyName=Deschide sursa</x:v>
      </x:c>
    </x:row>
    <x:row r="254" ht="36" customHeight="1">
      <x:c r="A254" s="8" t="str">
        <x:v>F0250</x:v>
      </x:c>
      <x:c r="B254" s="8" t="str">
        <x:v>wetransfer_sistem-de-stocare_2026-03-09_1341.zip</x:v>
      </x:c>
      <x:c r="C254" s="8" t="str">
        <x:v>0.1. Fise Tehnice</x:v>
      </x:c>
      <x:c r="D254" s="8" t="str">
        <x:v>Proiect fotovoltaic</x:v>
      </x:c>
      <x:c r="E254" s="8" t="str">
        <x:v>.zip</x:v>
      </x:c>
      <x:c r="F254" s="8" t="n">
        <x:v>76653239</x:v>
      </x:c>
      <x:c r="G254" s="8" t="str">
        <x:v>Inventar ZIP</x:v>
      </x:c>
      <x:c r="H254" s="8" t="str">
        <x:v>Document local; transmiterea individuală neconfirmată</x:v>
      </x:c>
      <x:c r="I254" s="8" t="str"/>
      <x:c r="J254" s="8" t="e">
        <x:f>HYPERLINK("file:///Z:/00. Proiecte 2025/AFIR FotoVoltaic 1/0.1. Fise Tehnice/Huawei/wetransfer_sistem-de-stocare_2026-03-09_1341.zip","Deschide sursa")</x:f>
        <x:v>HYPERLINK is not implemented. linkLocation=file:///Z:/00. Proiecte 2025/AFIR FotoVoltaic 1/0.1. Fise Tehnice/Huawei/wetransfer_sistem-de-stocare_2026-03-09_1341.zip, friendlyName=Deschide sursa</x:v>
      </x:c>
    </x:row>
    <x:row r="255" ht="36" customHeight="1">
      <x:c r="A255" s="8" t="str">
        <x:v>F0251</x:v>
      </x:c>
      <x:c r="B255" s="8" t="str">
        <x:v>2025 RUFENG Hydroponic Tower Quotation Sheet.pdf</x:v>
      </x:c>
      <x:c r="C255" s="8" t="str">
        <x:v>0.1. Fise Tehnice</x:v>
      </x:c>
      <x:c r="D255" s="8" t="str">
        <x:v>Proiect fotovoltaic</x:v>
      </x:c>
      <x:c r="E255" s="8" t="str">
        <x:v>.pdf</x:v>
      </x:c>
      <x:c r="F255" s="8" t="n">
        <x:v>713087</x:v>
      </x:c>
      <x:c r="G255" s="8" t="str">
        <x:v>Text extras</x:v>
      </x:c>
      <x:c r="H255" s="8" t="str">
        <x:v>Document local; transmiterea individuală neconfirmată</x:v>
      </x:c>
      <x:c r="I255" s="8" t="str"/>
      <x:c r="J255" s="8" t="e">
        <x:f>HYPERLINK("file:///Z:/00. Proiecte 2025/AFIR FotoVoltaic 1/0.1. Fise Tehnice/Indoor Farming Vertical/2025 RUFENG Hydroponic Tower Quotation Sheet.pdf","Deschide sursa")</x:f>
        <x:v>HYPERLINK is not implemented. linkLocation=file:///Z:/00. Proiecte 2025/AFIR FotoVoltaic 1/0.1. Fise Tehnice/Indoor Farming Vertical/2025 RUFENG Hydroponic Tower Quotation Sheet.pdf, friendlyName=Deschide sursa</x:v>
      </x:c>
    </x:row>
    <x:row r="256" ht="36" customHeight="1">
      <x:c r="A256" s="8" t="str">
        <x:v>F0252</x:v>
      </x:c>
      <x:c r="B256" s="8" t="str">
        <x:v>Catalogue--RUFENG Agriculture.pdf</x:v>
      </x:c>
      <x:c r="C256" s="8" t="str">
        <x:v>0.1. Fise Tehnice</x:v>
      </x:c>
      <x:c r="D256" s="8" t="str">
        <x:v>Proiect fotovoltaic</x:v>
      </x:c>
      <x:c r="E256" s="8" t="str">
        <x:v>.pdf</x:v>
      </x:c>
      <x:c r="F256" s="8" t="n">
        <x:v>3212988</x:v>
      </x:c>
      <x:c r="G256" s="8" t="str">
        <x:v>Text extras</x:v>
      </x:c>
      <x:c r="H256" s="8" t="str">
        <x:v>Document local; transmiterea individuală neconfirmată</x:v>
      </x:c>
      <x:c r="I256" s="8" t="str"/>
      <x:c r="J256" s="8" t="e">
        <x:f>HYPERLINK("file:///Z:/00. Proiecte 2025/AFIR FotoVoltaic 1/0.1. Fise Tehnice/Indoor Farming Vertical/Catalogue--RUFENG Agriculture.pdf","Deschide sursa")</x:f>
        <x:v>HYPERLINK is not implemented. linkLocation=file:///Z:/00. Proiecte 2025/AFIR FotoVoltaic 1/0.1. Fise Tehnice/Indoor Farming Vertical/Catalogue--RUFENG Agriculture.pdf, friendlyName=Deschide sursa</x:v>
      </x:c>
    </x:row>
    <x:row r="257" ht="32" customHeight="1">
      <x:c r="A257" s="8" t="str">
        <x:v>F0253</x:v>
      </x:c>
      <x:c r="B257" s="8" t="str">
        <x:v>KSTR-PI-A20260310-04.pdf</x:v>
      </x:c>
      <x:c r="C257" s="8" t="str">
        <x:v>0.1. Fise Tehnice</x:v>
      </x:c>
      <x:c r="D257" s="8" t="str">
        <x:v>Proiect fotovoltaic</x:v>
      </x:c>
      <x:c r="E257" s="8" t="str">
        <x:v>.pdf</x:v>
      </x:c>
      <x:c r="F257" s="8" t="n">
        <x:v>271102</x:v>
      </x:c>
      <x:c r="G257" s="8" t="str">
        <x:v>Text extras</x:v>
      </x:c>
      <x:c r="H257" s="8" t="str">
        <x:v>Document local; transmiterea individuală neconfirmată</x:v>
      </x:c>
      <x:c r="I257" s="8" t="str"/>
      <x:c r="J257" s="8" t="e">
        <x:f>HYPERLINK("file:///Z:/00. Proiecte 2025/AFIR FotoVoltaic 1/0.1. Fise Tehnice/KStar/KSTR-PI-A20260310-04.pdf","Deschide sursa")</x:f>
        <x:v>HYPERLINK is not implemented. linkLocation=file:///Z:/00. Proiecte 2025/AFIR FotoVoltaic 1/0.1. Fise Tehnice/KStar/KSTR-PI-A20260310-04.pdf, friendlyName=Deschide sursa</x:v>
      </x:c>
    </x:row>
    <x:row r="258" ht="32" customHeight="1">
      <x:c r="A258" s="8" t="str">
        <x:v>F0254</x:v>
      </x:c>
      <x:c r="B258" s="8" t="str">
        <x:v>KSTR-PI-A20260310-05.pdf</x:v>
      </x:c>
      <x:c r="C258" s="8" t="str">
        <x:v>0.1. Fise Tehnice</x:v>
      </x:c>
      <x:c r="D258" s="8" t="str">
        <x:v>Proiect fotovoltaic</x:v>
      </x:c>
      <x:c r="E258" s="8" t="str">
        <x:v>.pdf</x:v>
      </x:c>
      <x:c r="F258" s="8" t="n">
        <x:v>271096</x:v>
      </x:c>
      <x:c r="G258" s="8" t="str">
        <x:v>Text extras</x:v>
      </x:c>
      <x:c r="H258" s="8" t="str">
        <x:v>Document local; transmiterea individuală neconfirmată</x:v>
      </x:c>
      <x:c r="I258" s="8" t="str"/>
      <x:c r="J258" s="8" t="e">
        <x:f>HYPERLINK("file:///Z:/00. Proiecte 2025/AFIR FotoVoltaic 1/0.1. Fise Tehnice/KStar/KSTR-PI-A20260310-05.pdf","Deschide sursa")</x:f>
        <x:v>HYPERLINK is not implemented. linkLocation=file:///Z:/00. Proiecte 2025/AFIR FotoVoltaic 1/0.1. Fise Tehnice/KStar/KSTR-PI-A20260310-05.pdf, friendlyName=Deschide sursa</x:v>
      </x:c>
    </x:row>
    <x:row r="259" ht="32" customHeight="1">
      <x:c r="A259" s="8" t="str">
        <x:v>F0255</x:v>
      </x:c>
      <x:c r="B259" s="8" t="str">
        <x:v>Oferta Finala KSTR-PI-A20260327-02.pdf</x:v>
      </x:c>
      <x:c r="C259" s="8" t="str">
        <x:v>0.1. Fise Tehnice</x:v>
      </x:c>
      <x:c r="D259" s="8" t="str">
        <x:v>Proiect fotovoltaic</x:v>
      </x:c>
      <x:c r="E259" s="8" t="str">
        <x:v>.pdf</x:v>
      </x:c>
      <x:c r="F259" s="8" t="n">
        <x:v>366079</x:v>
      </x:c>
      <x:c r="G259" s="8" t="str">
        <x:v>Text extras</x:v>
      </x:c>
      <x:c r="H259" s="8" t="str">
        <x:v>Document local; transmiterea individuală neconfirmată</x:v>
      </x:c>
      <x:c r="I259" s="8" t="str"/>
      <x:c r="J259" s="8" t="e">
        <x:f>HYPERLINK("file:///Z:/00. Proiecte 2025/AFIR FotoVoltaic 1/0.1. Fise Tehnice/KStar/Oferta Finala KSTR-PI-A20260327-02.pdf","Deschide sursa")</x:f>
        <x:v>HYPERLINK is not implemented. linkLocation=file:///Z:/00. Proiecte 2025/AFIR FotoVoltaic 1/0.1. Fise Tehnice/KStar/Oferta Finala KSTR-PI-A20260327-02.pdf, friendlyName=Deschide sursa</x:v>
      </x:c>
    </x:row>
    <x:row r="260" ht="36" customHeight="1">
      <x:c r="A260" s="8" t="str">
        <x:v>F0256</x:v>
      </x:c>
      <x:c r="B260" s="8" t="str">
        <x:v>ZXN7-BD144 183N-2279×1134(30×19)-575-605W-PU Frame-20251112-E.pdf</x:v>
      </x:c>
      <x:c r="C260" s="8" t="str">
        <x:v>0.1. Fise Tehnice</x:v>
      </x:c>
      <x:c r="D260" s="8" t="str">
        <x:v>Proiect fotovoltaic</x:v>
      </x:c>
      <x:c r="E260" s="8" t="str">
        <x:v>.pdf</x:v>
      </x:c>
      <x:c r="F260" s="8" t="n">
        <x:v>852810</x:v>
      </x:c>
      <x:c r="G260" s="8" t="str">
        <x:v>Scan / text insuficient</x:v>
      </x:c>
      <x:c r="H260" s="8" t="str">
        <x:v>Document local; transmiterea individuală neconfirmată</x:v>
      </x:c>
      <x:c r="I260" s="8" t="str"/>
      <x:c r="J260" s="8" t="e">
        <x:f>HYPERLINK("file:///Z:/00. Proiecte 2025/AFIR FotoVoltaic 1/0.1. Fise Tehnice/Panouri ZXNR/ZXN7-BD144 183N-2279×1134(30×19)-575-605W-PU Frame-20251112-E.pdf","Deschide sursa")</x:f>
        <x:v>HYPERLINK is not implemented. linkLocation=file:///Z:/00. Proiecte 2025/AFIR FotoVoltaic 1/0.1. Fise Tehnice/Panouri ZXNR/ZXN7-BD144 183N-2279×1134(30×19)-575-605W-PU Frame-20251112-E.pdf, friendlyName=Deschide sursa</x:v>
      </x:c>
    </x:row>
    <x:row r="261" ht="36" customHeight="1">
      <x:c r="A261" s="8" t="str">
        <x:v>F0257</x:v>
      </x:c>
      <x:c r="B261" s="8" t="str">
        <x:v>ZXN8-BD132 210_2384×1303(30×19)_695-730W_PU Composite Frame_20251016_E(1).pdf</x:v>
      </x:c>
      <x:c r="C261" s="8" t="str">
        <x:v>0.1. Fise Tehnice</x:v>
      </x:c>
      <x:c r="D261" s="8" t="str">
        <x:v>Proiect fotovoltaic</x:v>
      </x:c>
      <x:c r="E261" s="8" t="str">
        <x:v>.pdf</x:v>
      </x:c>
      <x:c r="F261" s="8" t="n">
        <x:v>2424463</x:v>
      </x:c>
      <x:c r="G261" s="8" t="str">
        <x:v>Text extras</x:v>
      </x:c>
      <x:c r="H261" s="8" t="str">
        <x:v>Document local; transmiterea individuală neconfirmată</x:v>
      </x:c>
      <x:c r="I261" s="8" t="str"/>
      <x:c r="J261" s="8" t="e">
        <x:f>HYPERLINK("file:///Z:/00. Proiecte 2025/AFIR FotoVoltaic 1/0.1. Fise Tehnice/Panouri ZXNR/ZXN8-BD132 210_2384×1303(30×19)_695-730W_PU Composite Frame_20251016_E(1).pdf","Deschide sursa")</x:f>
        <x:v>HYPERLINK is not implemented. linkLocation=file:///Z:/00. Proiecte 2025/AFIR FotoVoltaic 1/0.1. Fise Tehnice/Panouri ZXNR/ZXN8-BD132 210_2384×1303(30×19)_695-730W_PU Composite Frame_20251016_E(1).pdf, friendlyName=Deschide sursa</x:v>
      </x:c>
    </x:row>
    <x:row r="262" ht="36" customHeight="1">
      <x:c r="A262" s="8" t="str">
        <x:v>F0258</x:v>
      </x:c>
      <x:c r="B262" s="8" t="str">
        <x:v>ZXNR-BD132 182.2×210-2382×1134(30×19)-620-650W-PU Frame-20251112-E.pdf</x:v>
      </x:c>
      <x:c r="C262" s="8" t="str">
        <x:v>0.1. Fise Tehnice</x:v>
      </x:c>
      <x:c r="D262" s="8" t="str">
        <x:v>Proiect fotovoltaic</x:v>
      </x:c>
      <x:c r="E262" s="8" t="str">
        <x:v>.pdf</x:v>
      </x:c>
      <x:c r="F262" s="8" t="n">
        <x:v>1876528</x:v>
      </x:c>
      <x:c r="G262" s="8" t="str">
        <x:v>Text extras</x:v>
      </x:c>
      <x:c r="H262" s="8" t="str">
        <x:v>Document local; transmiterea individuală neconfirmată</x:v>
      </x:c>
      <x:c r="I262" s="8" t="str"/>
      <x:c r="J262" s="8" t="e">
        <x:f>HYPERLINK("file:///Z:/00. Proiecte 2025/AFIR FotoVoltaic 1/0.1. Fise Tehnice/Panouri ZXNR/ZXNR-BD132 182.2×210-2382×1134(30×19)-620-650W-PU Frame-20251112-E.pdf","Deschide sursa")</x:f>
        <x:v>HYPERLINK is not implemented. linkLocation=file:///Z:/00. Proiecte 2025/AFIR FotoVoltaic 1/0.1. Fise Tehnice/Panouri ZXNR/ZXNR-BD132 182.2×210-2382×1134(30×19)-620-650W-PU Frame-20251112-E.pdf, friendlyName=Deschide sursa</x:v>
      </x:c>
    </x:row>
    <x:row r="263" ht="36" customHeight="1">
      <x:c r="A263" s="8" t="str">
        <x:v>F0259</x:v>
      </x:c>
      <x:c r="B263" s="8" t="str">
        <x:v>Analiză Oferte Sisteme Prindere Panouri.xlsx</x:v>
      </x:c>
      <x:c r="C263" s="8" t="str">
        <x:v>0.1. Fise Tehnice</x:v>
      </x:c>
      <x:c r="D263" s="8" t="str">
        <x:v>Proiect fotovoltaic</x:v>
      </x:c>
      <x:c r="E263" s="8" t="str">
        <x:v>.xlsx</x:v>
      </x:c>
      <x:c r="F263" s="8" t="n">
        <x:v>80763</x:v>
      </x:c>
      <x:c r="G263" s="8" t="str">
        <x:v>Inventariat; conținut neextras</x:v>
      </x:c>
      <x:c r="H263" s="8" t="str">
        <x:v>Document local; transmiterea individuală neconfirmată</x:v>
      </x:c>
      <x:c r="I263" s="8" t="str"/>
      <x:c r="J263" s="8" t="e">
        <x:f>HYPERLINK("file:///Z:/00. Proiecte 2025/AFIR FotoVoltaic 1/0.1. Fise Tehnice/Structura/Analiză Oferte Sisteme Prindere Panouri.xlsx","Deschide sursa")</x:f>
        <x:v>HYPERLINK is not implemented. linkLocation=file:///Z:/00. Proiecte 2025/AFIR FotoVoltaic 1/0.1. Fise Tehnice/Structura/Analiză Oferte Sisteme Prindere Panouri.xlsx, friendlyName=Deschide sursa</x:v>
      </x:c>
    </x:row>
    <x:row r="264" ht="36" customHeight="1">
      <x:c r="A264" s="8" t="str">
        <x:v>F0260</x:v>
      </x:c>
      <x:c r="B264" s="8" t="str">
        <x:v>Galvanized ballast 18Â°  1230x130 + EPDM.pdf</x:v>
      </x:c>
      <x:c r="C264" s="8" t="str">
        <x:v>0.1. Fise Tehnice</x:v>
      </x:c>
      <x:c r="D264" s="8" t="str">
        <x:v>Proiect fotovoltaic</x:v>
      </x:c>
      <x:c r="E264" s="8" t="str">
        <x:v>.pdf</x:v>
      </x:c>
      <x:c r="F264" s="8" t="n">
        <x:v>625122</x:v>
      </x:c>
      <x:c r="G264" s="8" t="str">
        <x:v>Text extras</x:v>
      </x:c>
      <x:c r="H264" s="8" t="str">
        <x:v>Document local; transmiterea individuală neconfirmată</x:v>
      </x:c>
      <x:c r="I264" s="8" t="str"/>
      <x:c r="J264" s="8" t="e">
        <x:f>HYPERLINK("file:///Z:/00. Proiecte 2025/AFIR FotoVoltaic 1/0.1. Fise Tehnice/Structura/Galvanized ballast 18Â°  1230x130 + EPDM.pdf","Deschide sursa")</x:f>
        <x:v>HYPERLINK is not implemented. linkLocation=file:///Z:/00. Proiecte 2025/AFIR FotoVoltaic 1/0.1. Fise Tehnice/Structura/Galvanized ballast 18Â°  1230x130 + EPDM.pdf, friendlyName=Deschide sursa</x:v>
      </x:c>
    </x:row>
    <x:row r="265" ht="32" customHeight="1">
      <x:c r="A265" s="8" t="str">
        <x:v>F0261</x:v>
      </x:c>
      <x:c r="B265" s="8" t="str">
        <x:v>INSTALLATION INSTRUCTION.pdf</x:v>
      </x:c>
      <x:c r="C265" s="8" t="str">
        <x:v>0.1. Fise Tehnice</x:v>
      </x:c>
      <x:c r="D265" s="8" t="str">
        <x:v>Proiect fotovoltaic</x:v>
      </x:c>
      <x:c r="E265" s="8" t="str">
        <x:v>.pdf</x:v>
      </x:c>
      <x:c r="F265" s="8" t="n">
        <x:v>746175</x:v>
      </x:c>
      <x:c r="G265" s="8" t="str">
        <x:v>Text extras</x:v>
      </x:c>
      <x:c r="H265" s="8" t="str">
        <x:v>Document local; transmiterea individuală neconfirmată</x:v>
      </x:c>
      <x:c r="I265" s="8" t="str"/>
      <x:c r="J265" s="8" t="e">
        <x:f>HYPERLINK("file:///Z:/00. Proiecte 2025/AFIR FotoVoltaic 1/0.1. Fise Tehnice/Structura/INSTALLATION INSTRUCTION.pdf","Deschide sursa")</x:f>
        <x:v>HYPERLINK is not implemented. linkLocation=file:///Z:/00. Proiecte 2025/AFIR FotoVoltaic 1/0.1. Fise Tehnice/Structura/INSTALLATION INSTRUCTION.pdf, friendlyName=Deschide sursa</x:v>
      </x:c>
    </x:row>
    <x:row r="266" ht="36" customHeight="1">
      <x:c r="A266" s="8" t="str">
        <x:v>F0262</x:v>
      </x:c>
      <x:c r="B266" s="8" t="str">
        <x:v>Price offer, Neets Fotoshooting SRL, V1.pdf</x:v>
      </x:c>
      <x:c r="C266" s="8" t="str">
        <x:v>0.1. Fise Tehnice</x:v>
      </x:c>
      <x:c r="D266" s="8" t="str">
        <x:v>Proiect fotovoltaic</x:v>
      </x:c>
      <x:c r="E266" s="8" t="str">
        <x:v>.pdf</x:v>
      </x:c>
      <x:c r="F266" s="8" t="n">
        <x:v>114057</x:v>
      </x:c>
      <x:c r="G266" s="8" t="str">
        <x:v>Text extras</x:v>
      </x:c>
      <x:c r="H266" s="8" t="str">
        <x:v>Document local; transmiterea individuală neconfirmată</x:v>
      </x:c>
      <x:c r="I266" s="8" t="str"/>
      <x:c r="J266" s="8" t="e">
        <x:f>HYPERLINK("file:///Z:/00. Proiecte 2025/AFIR FotoVoltaic 1/0.1. Fise Tehnice/Structura/Price offer, Neets Fotoshooting SRL, V1.pdf","Deschide sursa")</x:f>
        <x:v>HYPERLINK is not implemented. linkLocation=file:///Z:/00. Proiecte 2025/AFIR FotoVoltaic 1/0.1. Fise Tehnice/Structura/Price offer, Neets Fotoshooting SRL, V1.pdf, friendlyName=Deschide sursa</x:v>
      </x:c>
    </x:row>
    <x:row r="267" ht="36" customHeight="1">
      <x:c r="A267" s="8" t="str">
        <x:v>F0263</x:v>
      </x:c>
      <x:c r="B267" s="8" t="str">
        <x:v>Price offer, Neets Fotoshooting SRL, V1.xlsx</x:v>
      </x:c>
      <x:c r="C267" s="8" t="str">
        <x:v>0.1. Fise Tehnice</x:v>
      </x:c>
      <x:c r="D267" s="8" t="str">
        <x:v>Proiect fotovoltaic</x:v>
      </x:c>
      <x:c r="E267" s="8" t="str">
        <x:v>.xlsx</x:v>
      </x:c>
      <x:c r="F267" s="8" t="n">
        <x:v>13669</x:v>
      </x:c>
      <x:c r="G267" s="8" t="str">
        <x:v>Inventariat; conținut neextras</x:v>
      </x:c>
      <x:c r="H267" s="8" t="str">
        <x:v>Document local; transmiterea individuală neconfirmată</x:v>
      </x:c>
      <x:c r="I267" s="8" t="str"/>
      <x:c r="J267" s="8" t="e">
        <x:f>HYPERLINK("file:///Z:/00. Proiecte 2025/AFIR FotoVoltaic 1/0.1. Fise Tehnice/Structura/Price offer, Neets Fotoshooting SRL, V1.xlsx","Deschide sursa")</x:f>
        <x:v>HYPERLINK is not implemented. linkLocation=file:///Z:/00. Proiecte 2025/AFIR FotoVoltaic 1/0.1. Fise Tehnice/Structura/Price offer, Neets Fotoshooting SRL, V1.xlsx, friendlyName=Deschide sursa</x:v>
      </x:c>
    </x:row>
    <x:row r="268" ht="32" customHeight="1">
      <x:c r="A268" s="8" t="str">
        <x:v>F0264</x:v>
      </x:c>
      <x:c r="B268" s="8" t="str">
        <x:v>Structura 7 Sun Oferta.pdf</x:v>
      </x:c>
      <x:c r="C268" s="8" t="str">
        <x:v>0.1. Fise Tehnice</x:v>
      </x:c>
      <x:c r="D268" s="8" t="str">
        <x:v>Proiect fotovoltaic</x:v>
      </x:c>
      <x:c r="E268" s="8" t="str">
        <x:v>.pdf</x:v>
      </x:c>
      <x:c r="F268" s="8" t="n">
        <x:v>84432</x:v>
      </x:c>
      <x:c r="G268" s="8" t="str">
        <x:v>Text extras</x:v>
      </x:c>
      <x:c r="H268" s="8" t="str">
        <x:v>Document local; transmiterea individuală neconfirmată</x:v>
      </x:c>
      <x:c r="I268" s="8" t="str"/>
      <x:c r="J268" s="8" t="e">
        <x:f>HYPERLINK("file:///Z:/00. Proiecte 2025/AFIR FotoVoltaic 1/0.1. Fise Tehnice/Structura/Structura 7 Sun Oferta.pdf","Deschide sursa")</x:f>
        <x:v>HYPERLINK is not implemented. linkLocation=file:///Z:/00. Proiecte 2025/AFIR FotoVoltaic 1/0.1. Fise Tehnice/Structura/Structura 7 Sun Oferta.pdf, friendlyName=Deschide sursa</x:v>
      </x:c>
    </x:row>
    <x:row r="269" ht="32" customHeight="1">
      <x:c r="A269" s="8" t="str">
        <x:v>F0265</x:v>
      </x:c>
      <x:c r="B269" s="8" t="str">
        <x:v>Structura 7 Sun Oferta.xlsx</x:v>
      </x:c>
      <x:c r="C269" s="8" t="str">
        <x:v>0.1. Fise Tehnice</x:v>
      </x:c>
      <x:c r="D269" s="8" t="str">
        <x:v>Proiect fotovoltaic</x:v>
      </x:c>
      <x:c r="E269" s="8" t="str">
        <x:v>.xlsx</x:v>
      </x:c>
      <x:c r="F269" s="8" t="n">
        <x:v>27576</x:v>
      </x:c>
      <x:c r="G269" s="8" t="str">
        <x:v>Inventariat; conținut neextras</x:v>
      </x:c>
      <x:c r="H269" s="8" t="str">
        <x:v>Document local; transmiterea individuală neconfirmată</x:v>
      </x:c>
      <x:c r="I269" s="8" t="str"/>
      <x:c r="J269" s="8" t="e">
        <x:f>HYPERLINK("file:///Z:/00. Proiecte 2025/AFIR FotoVoltaic 1/0.1. Fise Tehnice/Structura/Structura 7 Sun Oferta.xlsx","Deschide sursa")</x:f>
        <x:v>HYPERLINK is not implemented. linkLocation=file:///Z:/00. Proiecte 2025/AFIR FotoVoltaic 1/0.1. Fise Tehnice/Structura/Structura 7 Sun Oferta.xlsx, friendlyName=Deschide sursa</x:v>
      </x:c>
    </x:row>
    <x:row r="270" ht="32" customHeight="1">
      <x:c r="A270" s="8" t="str">
        <x:v>F0266</x:v>
      </x:c>
      <x:c r="B270" s="8" t="str">
        <x:v>Ulamex ZK 1043_SYS_2026.pdf</x:v>
      </x:c>
      <x:c r="C270" s="8" t="str">
        <x:v>0.1. Fise Tehnice</x:v>
      </x:c>
      <x:c r="D270" s="8" t="str">
        <x:v>Proiect fotovoltaic</x:v>
      </x:c>
      <x:c r="E270" s="8" t="str">
        <x:v>.pdf</x:v>
      </x:c>
      <x:c r="F270" s="8" t="n">
        <x:v>51037</x:v>
      </x:c>
      <x:c r="G270" s="8" t="str">
        <x:v>Text extras</x:v>
      </x:c>
      <x:c r="H270" s="8" t="str">
        <x:v>Document local; transmiterea individuală neconfirmată</x:v>
      </x:c>
      <x:c r="I270" s="8" t="str"/>
      <x:c r="J270" s="8" t="e">
        <x:f>HYPERLINK("file:///Z:/00. Proiecte 2025/AFIR FotoVoltaic 1/0.1. Fise Tehnice/Structura/Ulamex ZK 1043_SYS_2026.pdf","Deschide sursa")</x:f>
        <x:v>HYPERLINK is not implemented. linkLocation=file:///Z:/00. Proiecte 2025/AFIR FotoVoltaic 1/0.1. Fise Tehnice/Structura/Ulamex ZK 1043_SYS_2026.pdf, friendlyName=Deschide sursa</x:v>
      </x:c>
    </x:row>
    <x:row r="271" ht="32" customHeight="1">
      <x:c r="A271" s="8" t="str">
        <x:v>F0267</x:v>
      </x:c>
      <x:c r="B271" s="8" t="str">
        <x:v>Ulamex ZK 1043_SYS_2026.xlsx</x:v>
      </x:c>
      <x:c r="C271" s="8" t="str">
        <x:v>0.1. Fise Tehnice</x:v>
      </x:c>
      <x:c r="D271" s="8" t="str">
        <x:v>Proiect fotovoltaic</x:v>
      </x:c>
      <x:c r="E271" s="8" t="str">
        <x:v>.xlsx</x:v>
      </x:c>
      <x:c r="F271" s="8" t="n">
        <x:v>8836</x:v>
      </x:c>
      <x:c r="G271" s="8" t="str">
        <x:v>Inventariat; conținut neextras</x:v>
      </x:c>
      <x:c r="H271" s="8" t="str">
        <x:v>Document local; transmiterea individuală neconfirmată</x:v>
      </x:c>
      <x:c r="I271" s="8" t="str"/>
      <x:c r="J271" s="8" t="e">
        <x:f>HYPERLINK("file:///Z:/00. Proiecte 2025/AFIR FotoVoltaic 1/0.1. Fise Tehnice/Structura/Ulamex ZK 1043_SYS_2026.xlsx","Deschide sursa")</x:f>
        <x:v>HYPERLINK is not implemented. linkLocation=file:///Z:/00. Proiecte 2025/AFIR FotoVoltaic 1/0.1. Fise Tehnice/Structura/Ulamex ZK 1043_SYS_2026.xlsx, friendlyName=Deschide sursa</x:v>
      </x:c>
    </x:row>
    <x:row r="272" ht="32" customHeight="1">
      <x:c r="A272" s="8" t="str">
        <x:v>F0268</x:v>
      </x:c>
      <x:c r="B272" s="8" t="str">
        <x:v>EN_STP430-450S-H48-Nkh+.pdf</x:v>
      </x:c>
      <x:c r="C272" s="8" t="str">
        <x:v>0.1. Fise Tehnice</x:v>
      </x:c>
      <x:c r="D272" s="8" t="str">
        <x:v>Proiect fotovoltaic</x:v>
      </x:c>
      <x:c r="E272" s="8" t="str">
        <x:v>.pdf</x:v>
      </x:c>
      <x:c r="F272" s="8" t="n">
        <x:v>336407</x:v>
      </x:c>
      <x:c r="G272" s="8" t="str">
        <x:v>Text extras</x:v>
      </x:c>
      <x:c r="H272" s="8" t="str">
        <x:v>Document local; transmiterea individuală neconfirmată</x:v>
      </x:c>
      <x:c r="I272" s="8" t="str"/>
      <x:c r="J272" s="8" t="e">
        <x:f>HYPERLINK("file:///Z:/00. Proiecte 2025/AFIR FotoVoltaic 1/0.1. Fise Tehnice/Suntech/EN_STP430-450S-H48-Nkh+.pdf","Deschide sursa")</x:f>
        <x:v>HYPERLINK is not implemented. linkLocation=file:///Z:/00. Proiecte 2025/AFIR FotoVoltaic 1/0.1. Fise Tehnice/Suntech/EN_STP430-450S-H48-Nkh+.pdf, friendlyName=Deschide sursa</x:v>
      </x:c>
    </x:row>
    <x:row r="273" ht="32" customHeight="1">
      <x:c r="A273" s="8" t="str">
        <x:v>F0269</x:v>
      </x:c>
      <x:c r="B273" s="8" t="str">
        <x:v>EN_STP430-450S-H48-Nth+.pdf</x:v>
      </x:c>
      <x:c r="C273" s="8" t="str">
        <x:v>0.1. Fise Tehnice</x:v>
      </x:c>
      <x:c r="D273" s="8" t="str">
        <x:v>Proiect fotovoltaic</x:v>
      </x:c>
      <x:c r="E273" s="8" t="str">
        <x:v>.pdf</x:v>
      </x:c>
      <x:c r="F273" s="8" t="n">
        <x:v>255454</x:v>
      </x:c>
      <x:c r="G273" s="8" t="str">
        <x:v>Text extras</x:v>
      </x:c>
      <x:c r="H273" s="8" t="str">
        <x:v>Document local; transmiterea individuală neconfirmată</x:v>
      </x:c>
      <x:c r="I273" s="8" t="str"/>
      <x:c r="J273" s="8" t="e">
        <x:f>HYPERLINK("file:///Z:/00. Proiecte 2025/AFIR FotoVoltaic 1/0.1. Fise Tehnice/Suntech/EN_STP430-450S-H48-Nth+.pdf","Deschide sursa")</x:f>
        <x:v>HYPERLINK is not implemented. linkLocation=file:///Z:/00. Proiecte 2025/AFIR FotoVoltaic 1/0.1. Fise Tehnice/Suntech/EN_STP430-450S-H48-Nth+.pdf, friendlyName=Deschide sursa</x:v>
      </x:c>
    </x:row>
    <x:row r="274" ht="32" customHeight="1">
      <x:c r="A274" s="8" t="str">
        <x:v>F0270</x:v>
      </x:c>
      <x:c r="B274" s="8" t="str">
        <x:v>EN_STP690-710S-D66-Nsh+.pdf</x:v>
      </x:c>
      <x:c r="C274" s="8" t="str">
        <x:v>0.1. Fise Tehnice</x:v>
      </x:c>
      <x:c r="D274" s="8" t="str">
        <x:v>Proiect fotovoltaic</x:v>
      </x:c>
      <x:c r="E274" s="8" t="str">
        <x:v>.pdf</x:v>
      </x:c>
      <x:c r="F274" s="8" t="n">
        <x:v>533004</x:v>
      </x:c>
      <x:c r="G274" s="8" t="str">
        <x:v>Text extras</x:v>
      </x:c>
      <x:c r="H274" s="8" t="str">
        <x:v>Document local; transmiterea individuală neconfirmată</x:v>
      </x:c>
      <x:c r="I274" s="8" t="str"/>
      <x:c r="J274" s="8" t="e">
        <x:f>HYPERLINK("file:///Z:/00. Proiecte 2025/AFIR FotoVoltaic 1/0.1. Fise Tehnice/Suntech/EN_STP690-710S-D66-Nsh+.pdf","Deschide sursa")</x:f>
        <x:v>HYPERLINK is not implemented. linkLocation=file:///Z:/00. Proiecte 2025/AFIR FotoVoltaic 1/0.1. Fise Tehnice/Suntech/EN_STP690-710S-D66-Nsh+.pdf, friendlyName=Deschide sursa</x:v>
      </x:c>
    </x:row>
    <x:row r="275" ht="36" customHeight="1">
      <x:c r="A275" s="8" t="str">
        <x:v>F0271</x:v>
      </x:c>
      <x:c r="B275" s="8" t="str">
        <x:v>Fisa Tehnica- EN_STP430-450S-H48-Nkh+.pdf</x:v>
      </x:c>
      <x:c r="C275" s="8" t="str">
        <x:v>0.1. Fise Tehnice</x:v>
      </x:c>
      <x:c r="D275" s="8" t="str">
        <x:v>Proiect fotovoltaic</x:v>
      </x:c>
      <x:c r="E275" s="8" t="str">
        <x:v>.pdf</x:v>
      </x:c>
      <x:c r="F275" s="8" t="n">
        <x:v>412146</x:v>
      </x:c>
      <x:c r="G275" s="8" t="str">
        <x:v>Text extras</x:v>
      </x:c>
      <x:c r="H275" s="8" t="str">
        <x:v>Document local; transmiterea individuală neconfirmată</x:v>
      </x:c>
      <x:c r="I275" s="8" t="str"/>
      <x:c r="J275" s="8" t="e">
        <x:f>HYPERLINK("file:///Z:/00. Proiecte 2025/AFIR FotoVoltaic 1/0.1. Fise Tehnice/Suntech/Fisa Tehnica- EN_STP430-450S-H48-Nkh+.pdf","Deschide sursa")</x:f>
        <x:v>HYPERLINK is not implemented. linkLocation=file:///Z:/00. Proiecte 2025/AFIR FotoVoltaic 1/0.1. Fise Tehnice/Suntech/Fisa Tehnica- EN_STP430-450S-H48-Nkh+.pdf, friendlyName=Deschide sursa</x:v>
      </x:c>
    </x:row>
    <x:row r="276" ht="36" customHeight="1">
      <x:c r="A276" s="8" t="str">
        <x:v>F0272</x:v>
      </x:c>
      <x:c r="B276" s="8" t="str">
        <x:v>Fisa Tehnica- EN_STP430-450S-H48-Nth+1.pdf</x:v>
      </x:c>
      <x:c r="C276" s="8" t="str">
        <x:v>0.1. Fise Tehnice</x:v>
      </x:c>
      <x:c r="D276" s="8" t="str">
        <x:v>Proiect fotovoltaic</x:v>
      </x:c>
      <x:c r="E276" s="8" t="str">
        <x:v>.pdf</x:v>
      </x:c>
      <x:c r="F276" s="8" t="n">
        <x:v>255454</x:v>
      </x:c>
      <x:c r="G276" s="8" t="str">
        <x:v>Text extras</x:v>
      </x:c>
      <x:c r="H276" s="8" t="str">
        <x:v>Document local; transmiterea individuală neconfirmată</x:v>
      </x:c>
      <x:c r="I276" s="8" t="str">
        <x:v>F0269</x:v>
      </x:c>
      <x:c r="J276" s="8" t="e">
        <x:f>HYPERLINK("file:///Z:/00. Proiecte 2025/AFIR FotoVoltaic 1/0.1. Fise Tehnice/Suntech/Fisa Tehnica- EN_STP430-450S-H48-Nth+1.pdf","Deschide sursa")</x:f>
        <x:v>HYPERLINK is not implemented. linkLocation=file:///Z:/00. Proiecte 2025/AFIR FotoVoltaic 1/0.1. Fise Tehnice/Suntech/Fisa Tehnica- EN_STP430-450S-H48-Nth+1.pdf, friendlyName=Deschide sursa</x:v>
      </x:c>
    </x:row>
    <x:row r="277" ht="32" customHeight="1">
      <x:c r="A277" s="8" t="str">
        <x:v>F0273</x:v>
      </x:c>
      <x:c r="B277" s="8" t="str">
        <x:v>SG110CX.pdf</x:v>
      </x:c>
      <x:c r="C277" s="8" t="str">
        <x:v>0.1. Fise Tehnice</x:v>
      </x:c>
      <x:c r="D277" s="8" t="str">
        <x:v>Proiect fotovoltaic</x:v>
      </x:c>
      <x:c r="E277" s="8" t="str">
        <x:v>.pdf</x:v>
      </x:c>
      <x:c r="F277" s="8" t="n">
        <x:v>364045</x:v>
      </x:c>
      <x:c r="G277" s="8" t="str">
        <x:v>Text extras</x:v>
      </x:c>
      <x:c r="H277" s="8" t="str">
        <x:v>Document local; transmiterea individuală neconfirmată</x:v>
      </x:c>
      <x:c r="I277" s="8" t="str"/>
      <x:c r="J277" s="8" t="e">
        <x:f>HYPERLINK("file:///Z:/00. Proiecte 2025/AFIR FotoVoltaic 1/0.1. Fise Tehnice/Suntech/SG110CX.pdf","Deschide sursa")</x:f>
        <x:v>HYPERLINK is not implemented. linkLocation=file:///Z:/00. Proiecte 2025/AFIR FotoVoltaic 1/0.1. Fise Tehnice/Suntech/SG110CX.pdf, friendlyName=Deschide sursa</x:v>
      </x:c>
    </x:row>
    <x:row r="278" ht="32" customHeight="1">
      <x:c r="A278" s="8" t="str">
        <x:v>F0274</x:v>
      </x:c>
      <x:c r="B278" s="8" t="str">
        <x:v>SH10RT.pdf</x:v>
      </x:c>
      <x:c r="C278" s="8" t="str">
        <x:v>0.1. Fise Tehnice</x:v>
      </x:c>
      <x:c r="D278" s="8" t="str">
        <x:v>Proiect fotovoltaic</x:v>
      </x:c>
      <x:c r="E278" s="8" t="str">
        <x:v>.pdf</x:v>
      </x:c>
      <x:c r="F278" s="8" t="n">
        <x:v>193735</x:v>
      </x:c>
      <x:c r="G278" s="8" t="str">
        <x:v>Text extras</x:v>
      </x:c>
      <x:c r="H278" s="8" t="str">
        <x:v>Document local; transmiterea individuală neconfirmată</x:v>
      </x:c>
      <x:c r="I278" s="8" t="str"/>
      <x:c r="J278" s="8" t="e">
        <x:f>HYPERLINK("file:///Z:/00. Proiecte 2025/AFIR FotoVoltaic 1/0.1. Fise Tehnice/Suntech/SH10RT.pdf","Deschide sursa")</x:f>
        <x:v>HYPERLINK is not implemented. linkLocation=file:///Z:/00. Proiecte 2025/AFIR FotoVoltaic 1/0.1. Fise Tehnice/Suntech/SH10RT.pdf, friendlyName=Deschide sursa</x:v>
      </x:c>
    </x:row>
    <x:row r="279" ht="32" customHeight="1">
      <x:c r="A279" s="8" t="str">
        <x:v>F0275</x:v>
      </x:c>
      <x:c r="B279" s="8" t="str">
        <x:v>SKMBT_C28026021213330.pdf</x:v>
      </x:c>
      <x:c r="C279" s="8" t="str">
        <x:v>0.1. Fise Tehnice</x:v>
      </x:c>
      <x:c r="D279" s="8" t="str">
        <x:v>Proiect fotovoltaic</x:v>
      </x:c>
      <x:c r="E279" s="8" t="str">
        <x:v>.pdf</x:v>
      </x:c>
      <x:c r="F279" s="8" t="n">
        <x:v>8293032</x:v>
      </x:c>
      <x:c r="G279" s="8" t="str">
        <x:v>Text extras</x:v>
      </x:c>
      <x:c r="H279" s="8" t="str">
        <x:v>Document local; transmiterea individuală neconfirmată</x:v>
      </x:c>
      <x:c r="I279" s="8" t="str"/>
      <x:c r="J279" s="8" t="e">
        <x:f>HYPERLINK("file:///Z:/00. Proiecte 2025/AFIR FotoVoltaic 1/0.1. Fise Tehnice/Suntech/SKMBT_C28026021213330.pdf","Deschide sursa")</x:f>
        <x:v>HYPERLINK is not implemented. linkLocation=file:///Z:/00. Proiecte 2025/AFIR FotoVoltaic 1/0.1. Fise Tehnice/Suntech/SKMBT_C28026021213330.pdf, friendlyName=Deschide sursa</x:v>
      </x:c>
    </x:row>
    <x:row r="280" ht="32" customHeight="1">
      <x:c r="A280" s="8" t="str">
        <x:v>F0276</x:v>
      </x:c>
      <x:c r="B280" s="8" t="str">
        <x:v>SMA SC200.pdf</x:v>
      </x:c>
      <x:c r="C280" s="8" t="str">
        <x:v>0.1. Fise Tehnice</x:v>
      </x:c>
      <x:c r="D280" s="8" t="str">
        <x:v>Proiect fotovoltaic</x:v>
      </x:c>
      <x:c r="E280" s="8" t="str">
        <x:v>.pdf</x:v>
      </x:c>
      <x:c r="F280" s="8" t="n">
        <x:v>1180417</x:v>
      </x:c>
      <x:c r="G280" s="8" t="str">
        <x:v>Text extras</x:v>
      </x:c>
      <x:c r="H280" s="8" t="str">
        <x:v>Document local; transmiterea individuală neconfirmată</x:v>
      </x:c>
      <x:c r="I280" s="8" t="str"/>
      <x:c r="J280" s="8" t="e">
        <x:f>HYPERLINK("file:///Z:/00. Proiecte 2025/AFIR FotoVoltaic 1/0.1. Fise Tehnice/Suntech/SMA SC200.pdf","Deschide sursa")</x:f>
        <x:v>HYPERLINK is not implemented. linkLocation=file:///Z:/00. Proiecte 2025/AFIR FotoVoltaic 1/0.1. Fise Tehnice/Suntech/SMA SC200.pdf, friendlyName=Deschide sursa</x:v>
      </x:c>
    </x:row>
    <x:row r="281" ht="32" customHeight="1">
      <x:c r="A281" s="8" t="str">
        <x:v>F0277</x:v>
      </x:c>
      <x:c r="B281" s="8" t="str">
        <x:v>TOPHiKu6.pdf</x:v>
      </x:c>
      <x:c r="C281" s="8" t="str">
        <x:v>0.1. Fise Tehnice</x:v>
      </x:c>
      <x:c r="D281" s="8" t="str">
        <x:v>Proiect fotovoltaic</x:v>
      </x:c>
      <x:c r="E281" s="8" t="str">
        <x:v>.pdf</x:v>
      </x:c>
      <x:c r="F281" s="8" t="n">
        <x:v>354028</x:v>
      </x:c>
      <x:c r="G281" s="8" t="str">
        <x:v>Text extras</x:v>
      </x:c>
      <x:c r="H281" s="8" t="str">
        <x:v>Document local; transmiterea individuală neconfirmată</x:v>
      </x:c>
      <x:c r="I281" s="8" t="str"/>
      <x:c r="J281" s="8" t="e">
        <x:f>HYPERLINK("file:///Z:/00. Proiecte 2025/AFIR FotoVoltaic 1/0.1. Fise Tehnice/Suntech/TOPHiKu6.pdf","Deschide sursa")</x:f>
        <x:v>HYPERLINK is not implemented. linkLocation=file:///Z:/00. Proiecte 2025/AFIR FotoVoltaic 1/0.1. Fise Tehnice/Suntech/TOPHiKu6.pdf, friendlyName=Deschide sursa</x:v>
      </x:c>
    </x:row>
    <x:row r="282" ht="32" customHeight="1">
      <x:c r="A282" s="8" t="str">
        <x:v>F0278</x:v>
      </x:c>
      <x:c r="B282" s="8" t="str">
        <x:v>Agile-1P_20240517.pdf</x:v>
      </x:c>
      <x:c r="C282" s="8" t="str">
        <x:v>0.1. Fise Tehnice</x:v>
      </x:c>
      <x:c r="D282" s="8" t="str">
        <x:v>Proiect fotovoltaic</x:v>
      </x:c>
      <x:c r="E282" s="8" t="str">
        <x:v>.pdf</x:v>
      </x:c>
      <x:c r="F282" s="8" t="n">
        <x:v>392210</x:v>
      </x:c>
      <x:c r="G282" s="8" t="str">
        <x:v>Text extras</x:v>
      </x:c>
      <x:c r="H282" s="8" t="str">
        <x:v>Document local; transmiterea individuală neconfirmată</x:v>
      </x:c>
      <x:c r="I282" s="8" t="str"/>
      <x:c r="J282" s="8" t="e">
        <x:f>HYPERLINK("file:///Z:/00. Proiecte 2025/AFIR FotoVoltaic 1/0.1. Fise Tehnice/Tracker Panouri/Agile-1P_20240517.pdf","Deschide sursa")</x:f>
        <x:v>HYPERLINK is not implemented. linkLocation=file:///Z:/00. Proiecte 2025/AFIR FotoVoltaic 1/0.1. Fise Tehnice/Tracker Panouri/Agile-1P_20240517.pdf, friendlyName=Deschide sursa</x:v>
      </x:c>
    </x:row>
    <x:row r="283" ht="36" customHeight="1">
      <x:c r="A283" s="8" t="str">
        <x:v>F0279</x:v>
      </x:c>
      <x:c r="B283" s="8" t="str">
        <x:v>Operations Presentation_V1.pdf</x:v>
      </x:c>
      <x:c r="C283" s="8" t="str">
        <x:v>0.1. Fise Tehnice</x:v>
      </x:c>
      <x:c r="D283" s="8" t="str">
        <x:v>Proiect fotovoltaic</x:v>
      </x:c>
      <x:c r="E283" s="8" t="str">
        <x:v>.pdf</x:v>
      </x:c>
      <x:c r="F283" s="8" t="n">
        <x:v>4494491</x:v>
      </x:c>
      <x:c r="G283" s="8" t="str">
        <x:v>Text extras</x:v>
      </x:c>
      <x:c r="H283" s="8" t="str">
        <x:v>Document local; transmiterea individuală neconfirmată</x:v>
      </x:c>
      <x:c r="I283" s="8" t="str"/>
      <x:c r="J283" s="8" t="e">
        <x:f>HYPERLINK("file:///Z:/00. Proiecte 2025/AFIR FotoVoltaic 1/0.1. Fise Tehnice/Tracker Panouri/Operations Presentation_V1.pdf","Deschide sursa")</x:f>
        <x:v>HYPERLINK is not implemented. linkLocation=file:///Z:/00. Proiecte 2025/AFIR FotoVoltaic 1/0.1. Fise Tehnice/Tracker Panouri/Operations Presentation_V1.pdf, friendlyName=Deschide sursa</x:v>
      </x:c>
    </x:row>
    <x:row r="284" ht="36" customHeight="1">
      <x:c r="A284" s="8" t="str">
        <x:v>F0280</x:v>
      </x:c>
      <x:c r="B284" s="8" t="str">
        <x:v>Smart_Control_System_Solution_EN.pdf</x:v>
      </x:c>
      <x:c r="C284" s="8" t="str">
        <x:v>0.1. Fise Tehnice</x:v>
      </x:c>
      <x:c r="D284" s="8" t="str">
        <x:v>Proiect fotovoltaic</x:v>
      </x:c>
      <x:c r="E284" s="8" t="str">
        <x:v>.pdf</x:v>
      </x:c>
      <x:c r="F284" s="8" t="n">
        <x:v>16665078</x:v>
      </x:c>
      <x:c r="G284" s="8" t="str">
        <x:v>Text extras</x:v>
      </x:c>
      <x:c r="H284" s="8" t="str">
        <x:v>Document local; transmiterea individuală neconfirmată</x:v>
      </x:c>
      <x:c r="I284" s="8" t="str"/>
      <x:c r="J284" s="8" t="e">
        <x:f>HYPERLINK("file:///Z:/00. Proiecte 2025/AFIR FotoVoltaic 1/0.1. Fise Tehnice/Tracker Panouri/Smart_Control_System_Solution_EN.pdf","Deschide sursa")</x:f>
        <x:v>HYPERLINK is not implemented. linkLocation=file:///Z:/00. Proiecte 2025/AFIR FotoVoltaic 1/0.1. Fise Tehnice/Tracker Panouri/Smart_Control_System_Solution_EN.pdf, friendlyName=Deschide sursa</x:v>
      </x:c>
    </x:row>
    <x:row r="285" ht="32" customHeight="1">
      <x:c r="A285" s="8" t="str">
        <x:v>F0281</x:v>
      </x:c>
      <x:c r="B285" s="8" t="str">
        <x:v>Vanguard 1P Datasheet_V1.pdf</x:v>
      </x:c>
      <x:c r="C285" s="8" t="str">
        <x:v>0.1. Fise Tehnice</x:v>
      </x:c>
      <x:c r="D285" s="8" t="str">
        <x:v>Proiect fotovoltaic</x:v>
      </x:c>
      <x:c r="E285" s="8" t="str">
        <x:v>.pdf</x:v>
      </x:c>
      <x:c r="F285" s="8" t="n">
        <x:v>26628191</x:v>
      </x:c>
      <x:c r="G285" s="8" t="str">
        <x:v>Text extras</x:v>
      </x:c>
      <x:c r="H285" s="8" t="str">
        <x:v>Document local; transmiterea individuală neconfirmată</x:v>
      </x:c>
      <x:c r="I285" s="8" t="str"/>
      <x:c r="J285" s="8" t="e">
        <x:f>HYPERLINK("file:///Z:/00. Proiecte 2025/AFIR FotoVoltaic 1/0.1. Fise Tehnice/Tracker Panouri/Vanguard 1P Datasheet_V1.pdf","Deschide sursa")</x:f>
        <x:v>HYPERLINK is not implemented. linkLocation=file:///Z:/00. Proiecte 2025/AFIR FotoVoltaic 1/0.1. Fise Tehnice/Tracker Panouri/Vanguard 1P Datasheet_V1.pdf, friendlyName=Deschide sursa</x:v>
      </x:c>
    </x:row>
    <x:row r="286" ht="36" customHeight="1">
      <x:c r="A286" s="8" t="str">
        <x:v>F0282</x:v>
      </x:c>
      <x:c r="B286" s="8" t="str">
        <x:v>Vanguard 1P Product Presentation_V1.pdf</x:v>
      </x:c>
      <x:c r="C286" s="8" t="str">
        <x:v>0.1. Fise Tehnice</x:v>
      </x:c>
      <x:c r="D286" s="8" t="str">
        <x:v>Proiect fotovoltaic</x:v>
      </x:c>
      <x:c r="E286" s="8" t="str">
        <x:v>.pdf</x:v>
      </x:c>
      <x:c r="F286" s="8" t="n">
        <x:v>2890436</x:v>
      </x:c>
      <x:c r="G286" s="8" t="str">
        <x:v>Text extras</x:v>
      </x:c>
      <x:c r="H286" s="8" t="str">
        <x:v>Document local; transmiterea individuală neconfirmată</x:v>
      </x:c>
      <x:c r="I286" s="8" t="str"/>
      <x:c r="J286" s="8" t="e">
        <x:f>HYPERLINK("file:///Z:/00. Proiecte 2025/AFIR FotoVoltaic 1/0.1. Fise Tehnice/Tracker Panouri/Vanguard 1P Product Presentation_V1.pdf","Deschide sursa")</x:f>
        <x:v>HYPERLINK is not implemented. linkLocation=file:///Z:/00. Proiecte 2025/AFIR FotoVoltaic 1/0.1. Fise Tehnice/Tracker Panouri/Vanguard 1P Product Presentation_V1.pdf, friendlyName=Deschide sursa</x:v>
      </x:c>
    </x:row>
    <x:row r="287" ht="32" customHeight="1">
      <x:c r="A287" s="8" t="str">
        <x:v>F0283</x:v>
      </x:c>
      <x:c r="B287" s="8" t="str">
        <x:v>Vanguard-2P_20240605_EN.pdf</x:v>
      </x:c>
      <x:c r="C287" s="8" t="str">
        <x:v>0.1. Fise Tehnice</x:v>
      </x:c>
      <x:c r="D287" s="8" t="str">
        <x:v>Proiect fotovoltaic</x:v>
      </x:c>
      <x:c r="E287" s="8" t="str">
        <x:v>.pdf</x:v>
      </x:c>
      <x:c r="F287" s="8" t="n">
        <x:v>1308590</x:v>
      </x:c>
      <x:c r="G287" s="8" t="str">
        <x:v>Text extras</x:v>
      </x:c>
      <x:c r="H287" s="8" t="str">
        <x:v>Document local; transmiterea individuală neconfirmată</x:v>
      </x:c>
      <x:c r="I287" s="8" t="str"/>
      <x:c r="J287" s="8" t="e">
        <x:f>HYPERLINK("file:///Z:/00. Proiecte 2025/AFIR FotoVoltaic 1/0.1. Fise Tehnice/Tracker Panouri/Vanguard-2P_20240605_EN.pdf","Deschide sursa")</x:f>
        <x:v>HYPERLINK is not implemented. linkLocation=file:///Z:/00. Proiecte 2025/AFIR FotoVoltaic 1/0.1. Fise Tehnice/Tracker Panouri/Vanguard-2P_20240605_EN.pdf, friendlyName=Deschide sursa</x:v>
      </x:c>
    </x:row>
    <x:row r="288" ht="32" customHeight="1">
      <x:c r="A288" s="8" t="str">
        <x:v>F0284</x:v>
      </x:c>
      <x:c r="B288" s="8" t="str">
        <x:v>VertexN_720W brochure_EN.pdf</x:v>
      </x:c>
      <x:c r="C288" s="8" t="str">
        <x:v>0.1. Fise Tehnice</x:v>
      </x:c>
      <x:c r="D288" s="8" t="str">
        <x:v>Proiect fotovoltaic</x:v>
      </x:c>
      <x:c r="E288" s="8" t="str">
        <x:v>.pdf</x:v>
      </x:c>
      <x:c r="F288" s="8" t="n">
        <x:v>4137572</x:v>
      </x:c>
      <x:c r="G288" s="8" t="str">
        <x:v>Text extras</x:v>
      </x:c>
      <x:c r="H288" s="8" t="str">
        <x:v>Document local; transmiterea individuală neconfirmată</x:v>
      </x:c>
      <x:c r="I288" s="8" t="str"/>
      <x:c r="J288" s="8" t="e">
        <x:f>HYPERLINK("file:///Z:/00. Proiecte 2025/AFIR FotoVoltaic 1/0.1. Fise Tehnice/Vertex N 720W/VertexN_720W brochure_EN.pdf","Deschide sursa")</x:f>
        <x:v>HYPERLINK is not implemented. linkLocation=file:///Z:/00. Proiecte 2025/AFIR FotoVoltaic 1/0.1. Fise Tehnice/Vertex N 720W/VertexN_720W brochure_EN.pdf, friendlyName=Deschide sursa</x:v>
      </x:c>
    </x:row>
    <x:row r="289" ht="32" customHeight="1">
      <x:c r="A289" s="8" t="str">
        <x:v>F0285</x:v>
      </x:c>
      <x:c r="B289" s="8" t="str">
        <x:v>2025-2-13-核桃-1.pdf</x:v>
      </x:c>
      <x:c r="C289" s="8" t="str">
        <x:v>0.1. Fise Tehnice</x:v>
      </x:c>
      <x:c r="D289" s="8" t="str">
        <x:v>Proiect fotovoltaic</x:v>
      </x:c>
      <x:c r="E289" s="8" t="str">
        <x:v>.pdf</x:v>
      </x:c>
      <x:c r="F289" s="8" t="n">
        <x:v>22342497</x:v>
      </x:c>
      <x:c r="G289" s="8" t="str">
        <x:v>Scan / text insuficient</x:v>
      </x:c>
      <x:c r="H289" s="8" t="str">
        <x:v>Document local; transmiterea individuală neconfirmată</x:v>
      </x:c>
      <x:c r="I289" s="8" t="str"/>
      <x:c r="J289" s="8" t="e">
        <x:f>HYPERLINK("file:///Z:/00. Proiecte 2025/AFIR FotoVoltaic 1/0.1. Fise Tehnice/WallNuts June/2025-2-13-核桃-1.pdf","Deschide sursa")</x:f>
        <x:v>HYPERLINK is not implemented. linkLocation=file:///Z:/00. Proiecte 2025/AFIR FotoVoltaic 1/0.1. Fise Tehnice/WallNuts June/2025-2-13-核桃-1.pdf, friendlyName=Deschide sursa</x:v>
      </x:c>
    </x:row>
    <x:row r="290" ht="32" customHeight="1">
      <x:c r="A290" s="8" t="str">
        <x:v>F0286</x:v>
      </x:c>
      <x:c r="B290" s="8" t="str">
        <x:v>Walnut_en.pdf</x:v>
      </x:c>
      <x:c r="C290" s="8" t="str">
        <x:v>0.1. Fise Tehnice</x:v>
      </x:c>
      <x:c r="D290" s="8" t="str">
        <x:v>Proiect fotovoltaic</x:v>
      </x:c>
      <x:c r="E290" s="8" t="str">
        <x:v>.pdf</x:v>
      </x:c>
      <x:c r="F290" s="8" t="n">
        <x:v>94594</x:v>
      </x:c>
      <x:c r="G290" s="8" t="str">
        <x:v>Text extras</x:v>
      </x:c>
      <x:c r="H290" s="8" t="str">
        <x:v>Document local; transmiterea individuală neconfirmată</x:v>
      </x:c>
      <x:c r="I290" s="8" t="str"/>
      <x:c r="J290" s="8" t="e">
        <x:f>HYPERLINK("file:///Z:/00. Proiecte 2025/AFIR FotoVoltaic 1/0.1. Fise Tehnice/WallNuts June/Walnut_en.pdf","Deschide sursa")</x:f>
        <x:v>HYPERLINK is not implemented. linkLocation=file:///Z:/00. Proiecte 2025/AFIR FotoVoltaic 1/0.1. Fise Tehnice/WallNuts June/Walnut_en.pdf, friendlyName=Deschide sursa</x:v>
      </x:c>
    </x:row>
    <x:row r="291" ht="50" customHeight="1">
      <x:c r="A291" s="8" t="str">
        <x:v>F0287</x:v>
      </x:c>
      <x:c r="B291" s="8" t="str">
        <x:v>LUNA2000-4472-2S DC main power loop single line diagram &amp; AC auxiliary power supply loop single line diagram - 20241010.pdf</x:v>
      </x:c>
      <x:c r="C291" s="8" t="str">
        <x:v>0.1. Fise Tehnice</x:v>
      </x:c>
      <x:c r="D291" s="8" t="str">
        <x:v>Proiect fotovoltaic</x:v>
      </x:c>
      <x:c r="E291" s="8" t="str">
        <x:v>.pdf</x:v>
      </x:c>
      <x:c r="F291" s="8" t="n">
        <x:v>1871062</x:v>
      </x:c>
      <x:c r="G291" s="8" t="str">
        <x:v>Text extras</x:v>
      </x:c>
      <x:c r="H291" s="8" t="str">
        <x:v>Document local; transmiterea individuală neconfirmată</x:v>
      </x:c>
      <x:c r="I291" s="8" t="str"/>
      <x:c r="J291" s="8" t="e">
        <x:f>HYPERLINK("file:///Z:/00. Proiecte 2025/AFIR FotoVoltaic 1/0.1. Fise Tehnice/Huawei/Sistem de stocare/Electric Diagram/LUNA2000-4472-2S DC main power loop single line diagram &amp; AC auxiliary power supply loop single line diagram - 20241010.pdf","Deschide sursa")</x:f>
        <x:v>HYPERLINK is not implemented. linkLocation=file:///Z:/00. Proiecte 2025/AFIR FotoVoltaic 1/0.1. Fise Tehnice/Huawei/Sistem de stocare/Electric Diagram/LUNA2000-4472-2S DC main power loop single line diagram &amp; AC auxiliary power supply loop single line diagram - 20241010.pdf, friendlyName=Deschide sursa</x:v>
      </x:c>
    </x:row>
    <x:row r="292" ht="50" customHeight="1">
      <x:c r="A292" s="8" t="str">
        <x:v>F0288</x:v>
      </x:c>
      <x:c r="B292" s="8" t="str">
        <x:v>LUNA2000-5015-2S DC main power loop SLD &amp; AC auxiliary power supply loop SLD &amp; External interface signal loop SLD.pdf</x:v>
      </x:c>
      <x:c r="C292" s="8" t="str">
        <x:v>0.1. Fise Tehnice</x:v>
      </x:c>
      <x:c r="D292" s="8" t="str">
        <x:v>Proiect fotovoltaic</x:v>
      </x:c>
      <x:c r="E292" s="8" t="str">
        <x:v>.pdf</x:v>
      </x:c>
      <x:c r="F292" s="8" t="n">
        <x:v>1992252</x:v>
      </x:c>
      <x:c r="G292" s="8" t="str">
        <x:v>Text extras</x:v>
      </x:c>
      <x:c r="H292" s="8" t="str">
        <x:v>Document local; transmiterea individuală neconfirmată</x:v>
      </x:c>
      <x:c r="I292" s="8" t="str"/>
      <x:c r="J292" s="8" t="e">
        <x:f>HYPERLINK("file:///Z:/00. Proiecte 2025/AFIR FotoVoltaic 1/0.1. Fise Tehnice/Huawei/Sistem de stocare/Electric Diagram/LUNA2000-5015-2S DC main power loop SLD &amp; AC auxiliary power supply loop SLD &amp; External interface signal loop SLD.pdf","Deschide sursa")</x:f>
        <x:v>HYPERLINK is not implemented. linkLocation=file:///Z:/00. Proiecte 2025/AFIR FotoVoltaic 1/0.1. Fise Tehnice/Huawei/Sistem de stocare/Electric Diagram/LUNA2000-5015-2S DC main power loop SLD &amp; AC auxiliary power supply loop SLD &amp; External interface signal loop SLD.pdf, friendlyName=Deschide sursa</x:v>
      </x:c>
    </x:row>
    <x:row r="293" ht="36" customHeight="1">
      <x:c r="A293" s="8" t="str">
        <x:v>F0289</x:v>
      </x:c>
      <x:c r="B293" s="8" t="str">
        <x:v>2.5 MW_5 MWh Layout(Oversea).pdf</x:v>
      </x:c>
      <x:c r="C293" s="8" t="str">
        <x:v>0.1. Fise Tehnice</x:v>
      </x:c>
      <x:c r="D293" s="8" t="str">
        <x:v>Proiect fotovoltaic</x:v>
      </x:c>
      <x:c r="E293" s="8" t="str">
        <x:v>.pdf</x:v>
      </x:c>
      <x:c r="F293" s="8" t="n">
        <x:v>345823</x:v>
      </x:c>
      <x:c r="G293" s="8" t="str">
        <x:v>Scan / text insuficient</x:v>
      </x:c>
      <x:c r="H293" s="8" t="str">
        <x:v>Document local; transmiterea individuală neconfirmată</x:v>
      </x:c>
      <x:c r="I293" s="8" t="str"/>
      <x:c r="J293" s="8" t="e">
        <x:f>HYPERLINK("file:///Z:/00. Proiecte 2025/AFIR FotoVoltaic 1/0.1. Fise Tehnice/Huawei/Sistem de stocare/Foundation &amp; Site requirements/2.5 MW_5 MWh Layout(Oversea).pdf","Deschide sursa")</x:f>
        <x:v>HYPERLINK is not implemented. linkLocation=file:///Z:/00. Proiecte 2025/AFIR FotoVoltaic 1/0.1. Fise Tehnice/Huawei/Sistem de stocare/Foundation &amp; Site requirements/2.5 MW_5 MWh Layout(Oversea).pdf, friendlyName=Deschide sursa</x:v>
      </x:c>
    </x:row>
    <x:row r="294" ht="36" customHeight="1">
      <x:c r="A294" s="8" t="str">
        <x:v>F0290</x:v>
      </x:c>
      <x:c r="B294" s="8" t="str">
        <x:v>V2 Smart String ESS Solution Architectural Layout-ENG.pdf</x:v>
      </x:c>
      <x:c r="C294" s="8" t="str">
        <x:v>0.1. Fise Tehnice</x:v>
      </x:c>
      <x:c r="D294" s="8" t="str">
        <x:v>Proiect fotovoltaic</x:v>
      </x:c>
      <x:c r="E294" s="8" t="str">
        <x:v>.pdf</x:v>
      </x:c>
      <x:c r="F294" s="8" t="n">
        <x:v>5505905</x:v>
      </x:c>
      <x:c r="G294" s="8" t="str">
        <x:v>Text extras</x:v>
      </x:c>
      <x:c r="H294" s="8" t="str">
        <x:v>Document local; transmiterea individuală neconfirmată</x:v>
      </x:c>
      <x:c r="I294" s="8" t="str"/>
      <x:c r="J294" s="8" t="e">
        <x:f>HYPERLINK("file:///Z:/00. Proiecte 2025/AFIR FotoVoltaic 1/0.1. Fise Tehnice/Huawei/Sistem de stocare/Foundation &amp; Site requirements/V2 Smart String ESS Solution Architectural Layout-ENG.pdf","Deschide sursa")</x:f>
        <x:v>HYPERLINK is not implemented. linkLocation=file:///Z:/00. Proiecte 2025/AFIR FotoVoltaic 1/0.1. Fise Tehnice/Huawei/Sistem de stocare/Foundation &amp; Site requirements/V2 Smart String ESS Solution Architectural Layout-ENG.pdf, friendlyName=Deschide sursa</x:v>
      </x:c>
    </x:row>
    <x:row r="295" ht="36" customHeight="1">
      <x:c r="A295" s="8" t="str">
        <x:v>F0291</x:v>
      </x:c>
      <x:c r="B295" s="8" t="str">
        <x:v>【01】V2 Smart String ESS Container Structural Layout-ENG.pdf</x:v>
      </x:c>
      <x:c r="C295" s="8" t="str">
        <x:v>0.1. Fise Tehnice</x:v>
      </x:c>
      <x:c r="D295" s="8" t="str">
        <x:v>Proiect fotovoltaic</x:v>
      </x:c>
      <x:c r="E295" s="8" t="str">
        <x:v>.pdf</x:v>
      </x:c>
      <x:c r="F295" s="8" t="n">
        <x:v>2510324</x:v>
      </x:c>
      <x:c r="G295" s="8" t="str">
        <x:v>Text extras</x:v>
      </x:c>
      <x:c r="H295" s="8" t="str">
        <x:v>Document local; transmiterea individuală neconfirmată</x:v>
      </x:c>
      <x:c r="I295" s="8" t="str"/>
      <x:c r="J295" s="8" t="e">
        <x:f>HYPERLINK("file:///Z:/00. Proiecte 2025/AFIR FotoVoltaic 1/0.1. Fise Tehnice/Huawei/Sistem de stocare/Foundation &amp; Site requirements/【01】V2 Smart String ESS Container Structural Layout-ENG.pdf","Deschide sursa")</x:f>
        <x:v>HYPERLINK is not implemented. linkLocation=file:///Z:/00. Proiecte 2025/AFIR FotoVoltaic 1/0.1. Fise Tehnice/Huawei/Sistem de stocare/Foundation &amp; Site requirements/【01】V2 Smart String ESS Container Structural Layout-ENG.pdf, friendlyName=Deschide sursa</x:v>
      </x:c>
    </x:row>
    <x:row r="296" ht="36" customHeight="1">
      <x:c r="A296" s="8" t="str">
        <x:v>F0292</x:v>
      </x:c>
      <x:c r="B296" s="8" t="str">
        <x:v>【02】V2 Smart String ESS Earthing Diagram-ENG.pdf</x:v>
      </x:c>
      <x:c r="C296" s="8" t="str">
        <x:v>0.1. Fise Tehnice</x:v>
      </x:c>
      <x:c r="D296" s="8" t="str">
        <x:v>Proiect fotovoltaic</x:v>
      </x:c>
      <x:c r="E296" s="8" t="str">
        <x:v>.pdf</x:v>
      </x:c>
      <x:c r="F296" s="8" t="n">
        <x:v>3483930</x:v>
      </x:c>
      <x:c r="G296" s="8" t="str">
        <x:v>Text extras</x:v>
      </x:c>
      <x:c r="H296" s="8" t="str">
        <x:v>Document local; transmiterea individuală neconfirmată</x:v>
      </x:c>
      <x:c r="I296" s="8" t="str"/>
      <x:c r="J296" s="8" t="e">
        <x:f>HYPERLINK("file:///Z:/00. Proiecte 2025/AFIR FotoVoltaic 1/0.1. Fise Tehnice/Huawei/Sistem de stocare/Foundation &amp; Site requirements/【02】V2 Smart String ESS Earthing Diagram-ENG.pdf","Deschide sursa")</x:f>
        <x:v>HYPERLINK is not implemented. linkLocation=file:///Z:/00. Proiecte 2025/AFIR FotoVoltaic 1/0.1. Fise Tehnice/Huawei/Sistem de stocare/Foundation &amp; Site requirements/【02】V2 Smart String ESS Earthing Diagram-ENG.pdf, friendlyName=Deschide sursa</x:v>
      </x:c>
    </x:row>
    <x:row r="297" ht="36" customHeight="1">
      <x:c r="A297" s="8" t="str">
        <x:v>F0293</x:v>
      </x:c>
      <x:c r="B297" s="8" t="str">
        <x:v>【03】V2 Smart String ESS Drain Dimensions-ENG.pdf</x:v>
      </x:c>
      <x:c r="C297" s="8" t="str">
        <x:v>0.1. Fise Tehnice</x:v>
      </x:c>
      <x:c r="D297" s="8" t="str">
        <x:v>Proiect fotovoltaic</x:v>
      </x:c>
      <x:c r="E297" s="8" t="str">
        <x:v>.pdf</x:v>
      </x:c>
      <x:c r="F297" s="8" t="n">
        <x:v>861059</x:v>
      </x:c>
      <x:c r="G297" s="8" t="str">
        <x:v>Text extras</x:v>
      </x:c>
      <x:c r="H297" s="8" t="str">
        <x:v>Document local; transmiterea individuală neconfirmată</x:v>
      </x:c>
      <x:c r="I297" s="8" t="str"/>
      <x:c r="J297" s="8" t="e">
        <x:f>HYPERLINK("file:///Z:/00. Proiecte 2025/AFIR FotoVoltaic 1/0.1. Fise Tehnice/Huawei/Sistem de stocare/Foundation &amp; Site requirements/【03】V2 Smart String ESS Drain Dimensions-ENG.pdf","Deschide sursa")</x:f>
        <x:v>HYPERLINK is not implemented. linkLocation=file:///Z:/00. Proiecte 2025/AFIR FotoVoltaic 1/0.1. Fise Tehnice/Huawei/Sistem de stocare/Foundation &amp; Site requirements/【03】V2 Smart String ESS Drain Dimensions-ENG.pdf, friendlyName=Deschide sursa</x:v>
      </x:c>
    </x:row>
    <x:row r="298" ht="36" customHeight="1">
      <x:c r="A298" s="8" t="str">
        <x:v>F0294</x:v>
      </x:c>
      <x:c r="B298" s="8" t="str">
        <x:v>【04-1】V2 Smart String ESS Foundation Plan-Strip Solution-ENG.pdf</x:v>
      </x:c>
      <x:c r="C298" s="8" t="str">
        <x:v>0.1. Fise Tehnice</x:v>
      </x:c>
      <x:c r="D298" s="8" t="str">
        <x:v>Proiect fotovoltaic</x:v>
      </x:c>
      <x:c r="E298" s="8" t="str">
        <x:v>.pdf</x:v>
      </x:c>
      <x:c r="F298" s="8" t="n">
        <x:v>1213815</x:v>
      </x:c>
      <x:c r="G298" s="8" t="str">
        <x:v>Text extras</x:v>
      </x:c>
      <x:c r="H298" s="8" t="str">
        <x:v>Document local; transmiterea individuală neconfirmată</x:v>
      </x:c>
      <x:c r="I298" s="8" t="str"/>
      <x:c r="J298" s="8" t="e">
        <x:f>HYPERLINK("file:///Z:/00. Proiecte 2025/AFIR FotoVoltaic 1/0.1. Fise Tehnice/Huawei/Sistem de stocare/Foundation &amp; Site requirements/【04-1】V2 Smart String ESS Foundation Plan-Strip Solution-ENG.pdf","Deschide sursa")</x:f>
        <x:v>HYPERLINK is not implemented. linkLocation=file:///Z:/00. Proiecte 2025/AFIR FotoVoltaic 1/0.1. Fise Tehnice/Huawei/Sistem de stocare/Foundation &amp; Site requirements/【04-1】V2 Smart String ESS Foundation Plan-Strip Solution-ENG.pdf, friendlyName=Deschide sursa</x:v>
      </x:c>
    </x:row>
    <x:row r="299" ht="36" customHeight="1">
      <x:c r="A299" s="8" t="str">
        <x:v>F0295</x:v>
      </x:c>
      <x:c r="B299" s="8" t="str">
        <x:v>【04-2】V2 Smart String ESS Foundation Plan-Spread Solution-ENG.pdf</x:v>
      </x:c>
      <x:c r="C299" s="8" t="str">
        <x:v>0.1. Fise Tehnice</x:v>
      </x:c>
      <x:c r="D299" s="8" t="str">
        <x:v>Proiect fotovoltaic</x:v>
      </x:c>
      <x:c r="E299" s="8" t="str">
        <x:v>.pdf</x:v>
      </x:c>
      <x:c r="F299" s="8" t="n">
        <x:v>1193539</x:v>
      </x:c>
      <x:c r="G299" s="8" t="str">
        <x:v>Text extras</x:v>
      </x:c>
      <x:c r="H299" s="8" t="str">
        <x:v>Document local; transmiterea individuală neconfirmată</x:v>
      </x:c>
      <x:c r="I299" s="8" t="str"/>
      <x:c r="J299" s="8" t="e">
        <x:f>HYPERLINK("file:///Z:/00. Proiecte 2025/AFIR FotoVoltaic 1/0.1. Fise Tehnice/Huawei/Sistem de stocare/Foundation &amp; Site requirements/【04-2】V2 Smart String ESS Foundation Plan-Spread Solution-ENG.pdf","Deschide sursa")</x:f>
        <x:v>HYPERLINK is not implemented. linkLocation=file:///Z:/00. Proiecte 2025/AFIR FotoVoltaic 1/0.1. Fise Tehnice/Huawei/Sistem de stocare/Foundation &amp; Site requirements/【04-2】V2 Smart String ESS Foundation Plan-Spread Solution-ENG.pdf, friendlyName=Deschide sursa</x:v>
      </x:c>
    </x:row>
    <x:row r="300" ht="36" customHeight="1">
      <x:c r="A300" s="8" t="str">
        <x:v>F0296</x:v>
      </x:c>
      <x:c r="B300" s="8" t="str">
        <x:v>【05】V2 Smart String ESS Hoisting Diagram-ENG.pdf</x:v>
      </x:c>
      <x:c r="C300" s="8" t="str">
        <x:v>0.1. Fise Tehnice</x:v>
      </x:c>
      <x:c r="D300" s="8" t="str">
        <x:v>Proiect fotovoltaic</x:v>
      </x:c>
      <x:c r="E300" s="8" t="str">
        <x:v>.pdf</x:v>
      </x:c>
      <x:c r="F300" s="8" t="n">
        <x:v>9148259</x:v>
      </x:c>
      <x:c r="G300" s="8" t="str">
        <x:v>Text extras</x:v>
      </x:c>
      <x:c r="H300" s="8" t="str">
        <x:v>Document local; transmiterea individuală neconfirmată</x:v>
      </x:c>
      <x:c r="I300" s="8" t="str"/>
      <x:c r="J300" s="8" t="e">
        <x:f>HYPERLINK("file:///Z:/00. Proiecte 2025/AFIR FotoVoltaic 1/0.1. Fise Tehnice/Huawei/Sistem de stocare/Foundation &amp; Site requirements/【05】V2 Smart String ESS Hoisting Diagram-ENG.pdf","Deschide sursa")</x:f>
        <x:v>HYPERLINK is not implemented. linkLocation=file:///Z:/00. Proiecte 2025/AFIR FotoVoltaic 1/0.1. Fise Tehnice/Huawei/Sistem de stocare/Foundation &amp; Site requirements/【05】V2 Smart String ESS Hoisting Diagram-ENG.pdf, friendlyName=Deschide sursa</x:v>
      </x:c>
    </x:row>
    <x:row r="301" ht="36" customHeight="1">
      <x:c r="A301" s="8" t="str">
        <x:v>F0297</x:v>
      </x:c>
      <x:c r="B301" s="8" t="str">
        <x:v>【06】V2 Smart String ESS Clearance Requirements-ENG.pdf</x:v>
      </x:c>
      <x:c r="C301" s="8" t="str">
        <x:v>0.1. Fise Tehnice</x:v>
      </x:c>
      <x:c r="D301" s="8" t="str">
        <x:v>Proiect fotovoltaic</x:v>
      </x:c>
      <x:c r="E301" s="8" t="str">
        <x:v>.pdf</x:v>
      </x:c>
      <x:c r="F301" s="8" t="n">
        <x:v>2301665</x:v>
      </x:c>
      <x:c r="G301" s="8" t="str">
        <x:v>Text extras</x:v>
      </x:c>
      <x:c r="H301" s="8" t="str">
        <x:v>Document local; transmiterea individuală neconfirmată</x:v>
      </x:c>
      <x:c r="I301" s="8" t="str"/>
      <x:c r="J301" s="8" t="e">
        <x:f>HYPERLINK("file:///Z:/00. Proiecte 2025/AFIR FotoVoltaic 1/0.1. Fise Tehnice/Huawei/Sistem de stocare/Foundation &amp; Site requirements/【06】V2 Smart String ESS Clearance Requirements-ENG.pdf","Deschide sursa")</x:f>
        <x:v>HYPERLINK is not implemented. linkLocation=file:///Z:/00. Proiecte 2025/AFIR FotoVoltaic 1/0.1. Fise Tehnice/Huawei/Sistem de stocare/Foundation &amp; Site requirements/【06】V2 Smart String ESS Clearance Requirements-ENG.pdf, friendlyName=Deschide sursa</x:v>
      </x:c>
    </x:row>
    <x:row r="302" ht="36" customHeight="1">
      <x:c r="A302" s="8" t="str">
        <x:v>F0298</x:v>
      </x:c>
      <x:c r="B302" s="8" t="str">
        <x:v>【07】V2 Smart String ESS External Ports Diagram-ENG.pdf</x:v>
      </x:c>
      <x:c r="C302" s="8" t="str">
        <x:v>0.1. Fise Tehnice</x:v>
      </x:c>
      <x:c r="D302" s="8" t="str">
        <x:v>Proiect fotovoltaic</x:v>
      </x:c>
      <x:c r="E302" s="8" t="str">
        <x:v>.pdf</x:v>
      </x:c>
      <x:c r="F302" s="8" t="n">
        <x:v>2123689</x:v>
      </x:c>
      <x:c r="G302" s="8" t="str">
        <x:v>Text extras</x:v>
      </x:c>
      <x:c r="H302" s="8" t="str">
        <x:v>Document local; transmiterea individuală neconfirmată</x:v>
      </x:c>
      <x:c r="I302" s="8" t="str"/>
      <x:c r="J302" s="8" t="e">
        <x:f>HYPERLINK("file:///Z:/00. Proiecte 2025/AFIR FotoVoltaic 1/0.1. Fise Tehnice/Huawei/Sistem de stocare/Foundation &amp; Site requirements/【07】V2 Smart String ESS External Ports Diagram-ENG.pdf","Deschide sursa")</x:f>
        <x:v>HYPERLINK is not implemented. linkLocation=file:///Z:/00. Proiecte 2025/AFIR FotoVoltaic 1/0.1. Fise Tehnice/Huawei/Sistem de stocare/Foundation &amp; Site requirements/【07】V2 Smart String ESS External Ports Diagram-ENG.pdf, friendlyName=Deschide sursa</x:v>
      </x:c>
    </x:row>
    <x:row r="303" ht="36" customHeight="1">
      <x:c r="A303" s="8" t="str">
        <x:v>F0299</x:v>
      </x:c>
      <x:c r="B303" s="8" t="str">
        <x:v>HUAWEI LUNA2000-(2236-5015) Series Smart String Grid Forming ESS User Manual.pdf</x:v>
      </x:c>
      <x:c r="C303" s="8" t="str">
        <x:v>0.1. Fise Tehnice</x:v>
      </x:c>
      <x:c r="D303" s="8" t="str">
        <x:v>Proiect fotovoltaic</x:v>
      </x:c>
      <x:c r="E303" s="8" t="str">
        <x:v>.pdf</x:v>
      </x:c>
      <x:c r="F303" s="8" t="n">
        <x:v>14644307</x:v>
      </x:c>
      <x:c r="G303" s="8" t="str">
        <x:v>Text extras</x:v>
      </x:c>
      <x:c r="H303" s="8" t="str">
        <x:v>Document local; transmiterea individuală neconfirmată</x:v>
      </x:c>
      <x:c r="I303" s="8" t="str"/>
      <x:c r="J303" s="8" t="e">
        <x:f>HYPERLINK("file:///Z:/00. Proiecte 2025/AFIR FotoVoltaic 1/0.1. Fise Tehnice/Huawei/Sistem de stocare/User manual/HUAWEI LUNA2000-(2236-5015) Series Smart String Grid Forming ESS User Manual.pdf","Deschide sursa")</x:f>
        <x:v>HYPERLINK is not implemented. linkLocation=file:///Z:/00. Proiecte 2025/AFIR FotoVoltaic 1/0.1. Fise Tehnice/Huawei/Sistem de stocare/User manual/HUAWEI LUNA2000-(2236-5015) Series Smart String Grid Forming ESS User Manual.pdf, friendlyName=Deschide sursa</x:v>
      </x:c>
    </x:row>
    <x:row r="304" ht="36" customHeight="1">
      <x:c r="A304" s="8" t="str">
        <x:v>F0300</x:v>
      </x:c>
      <x:c r="B304" s="8" t="str">
        <x:v>LUNA2000-213KTL-H0_datasheet.pdf</x:v>
      </x:c>
      <x:c r="C304" s="8" t="str">
        <x:v>0.1. Fise Tehnice</x:v>
      </x:c>
      <x:c r="D304" s="8" t="str">
        <x:v>Proiect fotovoltaic</x:v>
      </x:c>
      <x:c r="E304" s="8" t="str">
        <x:v>.pdf</x:v>
      </x:c>
      <x:c r="F304" s="8" t="n">
        <x:v>139937</x:v>
      </x:c>
      <x:c r="G304" s="8" t="str">
        <x:v>Text extras</x:v>
      </x:c>
      <x:c r="H304" s="8" t="str">
        <x:v>Document local; transmiterea individuală neconfirmată</x:v>
      </x:c>
      <x:c r="I304" s="8" t="str"/>
      <x:c r="J304" s="8" t="e">
        <x:f>HYPERLINK("file:///Z:/00. Proiecte 2025/AFIR FotoVoltaic 1/0.1. Fise Tehnice/Huawei/Sistem de stocare/PCS/LUNA2000-213KTL-H0/1. Datasheet/LUNA2000-213KTL-H0_datasheet.pdf","Deschide sursa")</x:f>
        <x:v>HYPERLINK is not implemented. linkLocation=file:///Z:/00. Proiecte 2025/AFIR FotoVoltaic 1/0.1. Fise Tehnice/Huawei/Sistem de stocare/PCS/LUNA2000-213KTL-H0/1. Datasheet/LUNA2000-213KTL-H0_datasheet.pdf, friendlyName=Deschide sursa</x:v>
      </x:c>
    </x:row>
    <x:row r="305" ht="36" customHeight="1">
      <x:c r="A305" s="8" t="str">
        <x:v>F0301</x:v>
      </x:c>
      <x:c r="B305" s="8" t="str">
        <x:v>LUNA2000-100KTL, 200KTL, and 213KTL Series Smart Power Control System Alarm Reference.pdf</x:v>
      </x:c>
      <x:c r="C305" s="8" t="str">
        <x:v>0.1. Fise Tehnice</x:v>
      </x:c>
      <x:c r="D305" s="8" t="str">
        <x:v>Proiect fotovoltaic</x:v>
      </x:c>
      <x:c r="E305" s="8" t="str">
        <x:v>.pdf</x:v>
      </x:c>
      <x:c r="F305" s="8" t="n">
        <x:v>328567</x:v>
      </x:c>
      <x:c r="G305" s="8" t="str">
        <x:v>Text extras</x:v>
      </x:c>
      <x:c r="H305" s="8" t="str">
        <x:v>Document local; transmiterea individuală neconfirmată</x:v>
      </x:c>
      <x:c r="I305" s="8" t="str"/>
      <x:c r="J305" s="8" t="e">
        <x:f>HYPERLINK("file:///Z:/00. Proiecte 2025/AFIR FotoVoltaic 1/0.1. Fise Tehnice/Huawei/Sistem de stocare/PCS/LUNA2000-213KTL-H0/2. Manuals/LUNA2000-100KTL, 200KTL, and 213KTL Series Smart Power Control System Alarm Reference.pdf","Deschide sursa")</x:f>
        <x:v>HYPERLINK is not implemented. linkLocation=file:///Z:/00. Proiecte 2025/AFIR FotoVoltaic 1/0.1. Fise Tehnice/Huawei/Sistem de stocare/PCS/LUNA2000-213KTL-H0/2. Manuals/LUNA2000-100KTL, 200KTL, and 213KTL Series Smart Power Control System Alarm Reference.pdf, friendlyName=Deschide sursa</x:v>
      </x:c>
    </x:row>
    <x:row r="306" ht="36" customHeight="1">
      <x:c r="A306" s="8" t="str">
        <x:v>F0302</x:v>
      </x:c>
      <x:c r="B306" s="8" t="str">
        <x:v>LUNA2000-213KTL-H0 Smart Power Control System Quick Guide_issue03.pdf</x:v>
      </x:c>
      <x:c r="C306" s="8" t="str">
        <x:v>0.1. Fise Tehnice</x:v>
      </x:c>
      <x:c r="D306" s="8" t="str">
        <x:v>Proiect fotovoltaic</x:v>
      </x:c>
      <x:c r="E306" s="8" t="str">
        <x:v>.pdf</x:v>
      </x:c>
      <x:c r="F306" s="8" t="n">
        <x:v>6547065</x:v>
      </x:c>
      <x:c r="G306" s="8" t="str">
        <x:v>Text extras</x:v>
      </x:c>
      <x:c r="H306" s="8" t="str">
        <x:v>Document local; transmiterea individuală neconfirmată</x:v>
      </x:c>
      <x:c r="I306" s="8" t="str"/>
      <x:c r="J306" s="8" t="e">
        <x:f>HYPERLINK("file:///Z:/00. Proiecte 2025/AFIR FotoVoltaic 1/0.1. Fise Tehnice/Huawei/Sistem de stocare/PCS/LUNA2000-213KTL-H0/2. Manuals/LUNA2000-213KTL-H0 Smart Power Control System Quick Guide_issue03.pdf","Deschide sursa")</x:f>
        <x:v>HYPERLINK is not implemented. linkLocation=file:///Z:/00. Proiecte 2025/AFIR FotoVoltaic 1/0.1. Fise Tehnice/Huawei/Sistem de stocare/PCS/LUNA2000-213KTL-H0/2. Manuals/LUNA2000-213KTL-H0 Smart Power Control System Quick Guide_issue03.pdf, friendlyName=Deschide sursa</x:v>
      </x:c>
    </x:row>
    <x:row r="307" ht="36" customHeight="1">
      <x:c r="A307" s="8" t="str">
        <x:v>F0303</x:v>
      </x:c>
      <x:c r="B307" s="8" t="str">
        <x:v>LUNA2000-213KTL-H0 Smart Power Control System User Manual_issue04.pdf</x:v>
      </x:c>
      <x:c r="C307" s="8" t="str">
        <x:v>0.1. Fise Tehnice</x:v>
      </x:c>
      <x:c r="D307" s="8" t="str">
        <x:v>Proiect fotovoltaic</x:v>
      </x:c>
      <x:c r="E307" s="8" t="str">
        <x:v>.pdf</x:v>
      </x:c>
      <x:c r="F307" s="8" t="n">
        <x:v>4995036</x:v>
      </x:c>
      <x:c r="G307" s="8" t="str">
        <x:v>Text extras</x:v>
      </x:c>
      <x:c r="H307" s="8" t="str">
        <x:v>Document local; transmiterea individuală neconfirmată</x:v>
      </x:c>
      <x:c r="I307" s="8" t="str"/>
      <x:c r="J307" s="8" t="e">
        <x:f>HYPERLINK("file:///Z:/00. Proiecte 2025/AFIR FotoVoltaic 1/0.1. Fise Tehnice/Huawei/Sistem de stocare/PCS/LUNA2000-213KTL-H0/2. Manuals/LUNA2000-213KTL-H0 Smart Power Control System User Manual_issue04.pdf","Deschide sursa")</x:f>
        <x:v>HYPERLINK is not implemented. linkLocation=file:///Z:/00. Proiecte 2025/AFIR FotoVoltaic 1/0.1. Fise Tehnice/Huawei/Sistem de stocare/PCS/LUNA2000-213KTL-H0/2. Manuals/LUNA2000-213KTL-H0 Smart Power Control System User Manual_issue04.pdf, friendlyName=Deschide sursa</x:v>
      </x:c>
    </x:row>
    <x:row r="308" ht="36" customHeight="1">
      <x:c r="A308" s="8" t="str">
        <x:v>F0304</x:v>
      </x:c>
      <x:c r="B308" s="8" t="str">
        <x:v>Characteristics Curve of LUNA2000-213KTL-H0 - 20240731.docx.pdf</x:v>
      </x:c>
      <x:c r="C308" s="8" t="str">
        <x:v>0.1. Fise Tehnice</x:v>
      </x:c>
      <x:c r="D308" s="8" t="str">
        <x:v>Proiect fotovoltaic</x:v>
      </x:c>
      <x:c r="E308" s="8" t="str">
        <x:v>.pdf</x:v>
      </x:c>
      <x:c r="F308" s="8" t="n">
        <x:v>358102</x:v>
      </x:c>
      <x:c r="G308" s="8" t="str">
        <x:v>Text extras</x:v>
      </x:c>
      <x:c r="H308" s="8" t="str">
        <x:v>Document local; transmiterea individuală neconfirmată</x:v>
      </x:c>
      <x:c r="I308" s="8" t="str"/>
      <x:c r="J308" s="8" t="e">
        <x:f>HYPERLINK("file:///Z:/00. Proiecte 2025/AFIR FotoVoltaic 1/0.1. Fise Tehnice/Huawei/Sistem de stocare/PCS/LUNA2000-213KTL-H0/3. Characteristic curve/Characteristics Curve of LUNA2000-213KTL-H0 - 20240731.docx.pdf","Deschide sursa")</x:f>
        <x:v>HYPERLINK is not implemented. linkLocation=file:///Z:/00. Proiecte 2025/AFIR FotoVoltaic 1/0.1. Fise Tehnice/Huawei/Sistem de stocare/PCS/LUNA2000-213KTL-H0/3. Characteristic curve/Characteristics Curve of LUNA2000-213KTL-H0 - 20240731.docx.pdf, friendlyName=Deschide sursa</x:v>
      </x:c>
    </x:row>
    <x:row r="309" ht="36" customHeight="1">
      <x:c r="A309" s="8" t="str">
        <x:v>F0305</x:v>
      </x:c>
      <x:c r="B309" s="8" t="str">
        <x:v>LUNA2000-213KTL-H0 Efficiency Curve 20240731.pdf</x:v>
      </x:c>
      <x:c r="C309" s="8" t="str">
        <x:v>0.1. Fise Tehnice</x:v>
      </x:c>
      <x:c r="D309" s="8" t="str">
        <x:v>Proiect fotovoltaic</x:v>
      </x:c>
      <x:c r="E309" s="8" t="str">
        <x:v>.pdf</x:v>
      </x:c>
      <x:c r="F309" s="8" t="n">
        <x:v>388552</x:v>
      </x:c>
      <x:c r="G309" s="8" t="str">
        <x:v>Text extras</x:v>
      </x:c>
      <x:c r="H309" s="8" t="str">
        <x:v>Document local; transmiterea individuală neconfirmată</x:v>
      </x:c>
      <x:c r="I309" s="8" t="str"/>
      <x:c r="J309" s="8" t="e">
        <x:f>HYPERLINK("file:///Z:/00. Proiecte 2025/AFIR FotoVoltaic 1/0.1. Fise Tehnice/Huawei/Sistem de stocare/PCS/LUNA2000-213KTL-H0/3. Characteristic curve/LUNA2000-213KTL-H0 Efficiency Curve 20240731.pdf","Deschide sursa")</x:f>
        <x:v>HYPERLINK is not implemented. linkLocation=file:///Z:/00. Proiecte 2025/AFIR FotoVoltaic 1/0.1. Fise Tehnice/Huawei/Sistem de stocare/PCS/LUNA2000-213KTL-H0/3. Characteristic curve/LUNA2000-213KTL-H0 Efficiency Curve 20240731.pdf, friendlyName=Deschide sursa</x:v>
      </x:c>
    </x:row>
    <x:row r="310" ht="36" customHeight="1">
      <x:c r="A310" s="8" t="str">
        <x:v>F0306</x:v>
      </x:c>
      <x:c r="B310" s="8" t="str">
        <x:v>LUNA2000-213KTL-H0 Center of Gravity of PCS Support 20241020.pdf</x:v>
      </x:c>
      <x:c r="C310" s="8" t="str">
        <x:v>0.1. Fise Tehnice</x:v>
      </x:c>
      <x:c r="D310" s="8" t="str">
        <x:v>Proiect fotovoltaic</x:v>
      </x:c>
      <x:c r="E310" s="8" t="str">
        <x:v>.pdf</x:v>
      </x:c>
      <x:c r="F310" s="8" t="n">
        <x:v>1062036</x:v>
      </x:c>
      <x:c r="G310" s="8" t="str">
        <x:v>Scan / text insuficient</x:v>
      </x:c>
      <x:c r="H310" s="8" t="str">
        <x:v>Document local; transmiterea individuală neconfirmată</x:v>
      </x:c>
      <x:c r="I310" s="8" t="str"/>
      <x:c r="J310" s="8" t="e">
        <x:f>HYPERLINK("file:///Z:/00. Proiecte 2025/AFIR FotoVoltaic 1/0.1. Fise Tehnice/Huawei/Sistem de stocare/PCS/LUNA2000-213KTL-H0/4. Foundations &amp; supports/LUNA2000-213KTL-H0 Center of Gravity of PCS Support 20241020.pdf","Deschide sursa")</x:f>
        <x:v>HYPERLINK is not implemented. linkLocation=file:///Z:/00. Proiecte 2025/AFIR FotoVoltaic 1/0.1. Fise Tehnice/Huawei/Sistem de stocare/PCS/LUNA2000-213KTL-H0/4. Foundations &amp; supports/LUNA2000-213KTL-H0 Center of Gravity of PCS Support 20241020.pdf, friendlyName=Deschide sursa</x:v>
      </x:c>
    </x:row>
    <x:row r="311" ht="36" customHeight="1">
      <x:c r="A311" s="8" t="str">
        <x:v>F0307</x:v>
      </x:c>
      <x:c r="B311" s="8" t="str">
        <x:v>LUNA2000-213KTL-H0 PCS Hold hoop installation-20240127.pdf</x:v>
      </x:c>
      <x:c r="C311" s="8" t="str">
        <x:v>0.1. Fise Tehnice</x:v>
      </x:c>
      <x:c r="D311" s="8" t="str">
        <x:v>Proiect fotovoltaic</x:v>
      </x:c>
      <x:c r="E311" s="8" t="str">
        <x:v>.pdf</x:v>
      </x:c>
      <x:c r="F311" s="8" t="n">
        <x:v>114256</x:v>
      </x:c>
      <x:c r="G311" s="8" t="str">
        <x:v>Text extras</x:v>
      </x:c>
      <x:c r="H311" s="8" t="str">
        <x:v>Document local; transmiterea individuală neconfirmată</x:v>
      </x:c>
      <x:c r="I311" s="8" t="str"/>
      <x:c r="J311" s="8" t="e">
        <x:f>HYPERLINK("file:///Z:/00. Proiecte 2025/AFIR FotoVoltaic 1/0.1. Fise Tehnice/Huawei/Sistem de stocare/PCS/LUNA2000-213KTL-H0/4. Foundations &amp; supports/LUNA2000-213KTL-H0 PCS Hold hoop installation-20240127.pdf","Deschide sursa")</x:f>
        <x:v>HYPERLINK is not implemented. linkLocation=file:///Z:/00. Proiecte 2025/AFIR FotoVoltaic 1/0.1. Fise Tehnice/Huawei/Sistem de stocare/PCS/LUNA2000-213KTL-H0/4. Foundations &amp; supports/LUNA2000-213KTL-H0 PCS Hold hoop installation-20240127.pdf, friendlyName=Deschide sursa</x:v>
      </x:c>
    </x:row>
    <x:row r="312" ht="36" customHeight="1">
      <x:c r="A312" s="8" t="str">
        <x:v>F0308</x:v>
      </x:c>
      <x:c r="B312" s="8" t="str">
        <x:v>LUNA2000-213KTL-H0 PCS Support Drawing 20241020.pdf</x:v>
      </x:c>
      <x:c r="C312" s="8" t="str">
        <x:v>0.1. Fise Tehnice</x:v>
      </x:c>
      <x:c r="D312" s="8" t="str">
        <x:v>Proiect fotovoltaic</x:v>
      </x:c>
      <x:c r="E312" s="8" t="str">
        <x:v>.pdf</x:v>
      </x:c>
      <x:c r="F312" s="8" t="n">
        <x:v>1010390</x:v>
      </x:c>
      <x:c r="G312" s="8" t="str">
        <x:v>Scan / text insuficient</x:v>
      </x:c>
      <x:c r="H312" s="8" t="str">
        <x:v>Document local; transmiterea individuală neconfirmată</x:v>
      </x:c>
      <x:c r="I312" s="8" t="str"/>
      <x:c r="J312" s="8" t="e">
        <x:f>HYPERLINK("file:///Z:/00. Proiecte 2025/AFIR FotoVoltaic 1/0.1. Fise Tehnice/Huawei/Sistem de stocare/PCS/LUNA2000-213KTL-H0/4. Foundations &amp; supports/LUNA2000-213KTL-H0 PCS Support Drawing 20241020.pdf","Deschide sursa")</x:f>
        <x:v>HYPERLINK is not implemented. linkLocation=file:///Z:/00. Proiecte 2025/AFIR FotoVoltaic 1/0.1. Fise Tehnice/Huawei/Sistem de stocare/PCS/LUNA2000-213KTL-H0/4. Foundations &amp; supports/LUNA2000-213KTL-H0 PCS Support Drawing 20241020.pdf, friendlyName=Deschide sursa</x:v>
      </x:c>
    </x:row>
    <x:row r="313" ht="36" customHeight="1">
      <x:c r="A313" s="8" t="str">
        <x:v>F0309</x:v>
      </x:c>
      <x:c r="B313" s="8" t="str">
        <x:v>LUNA2000-213KTL-H0 PCS Support Foundation Drawing (Pile) 20241020.pdf</x:v>
      </x:c>
      <x:c r="C313" s="8" t="str">
        <x:v>0.1. Fise Tehnice</x:v>
      </x:c>
      <x:c r="D313" s="8" t="str">
        <x:v>Proiect fotovoltaic</x:v>
      </x:c>
      <x:c r="E313" s="8" t="str">
        <x:v>.pdf</x:v>
      </x:c>
      <x:c r="F313" s="8" t="n">
        <x:v>315025</x:v>
      </x:c>
      <x:c r="G313" s="8" t="str">
        <x:v>Text extras</x:v>
      </x:c>
      <x:c r="H313" s="8" t="str">
        <x:v>Document local; transmiterea individuală neconfirmată</x:v>
      </x:c>
      <x:c r="I313" s="8" t="str"/>
      <x:c r="J313" s="8" t="e">
        <x:f>HYPERLINK("file:///Z:/00. Proiecte 2025/AFIR FotoVoltaic 1/0.1. Fise Tehnice/Huawei/Sistem de stocare/PCS/LUNA2000-213KTL-H0/4. Foundations &amp; supports/LUNA2000-213KTL-H0 PCS Support Foundation Drawing (Pile) 20241020.pdf","Deschide sursa")</x:f>
        <x:v>HYPERLINK is not implemented. linkLocation=file:///Z:/00. Proiecte 2025/AFIR FotoVoltaic 1/0.1. Fise Tehnice/Huawei/Sistem de stocare/PCS/LUNA2000-213KTL-H0/4. Foundations &amp; supports/LUNA2000-213KTL-H0 PCS Support Foundation Drawing (Pile) 20241020.pdf, friendlyName=Deschide sursa</x:v>
      </x:c>
    </x:row>
    <x:row r="314" ht="36" customHeight="1">
      <x:c r="A314" s="8" t="str">
        <x:v>F0310</x:v>
      </x:c>
      <x:c r="B314" s="8" t="str">
        <x:v>LUNA2000-213KTL-H0 PCS Support Foundation Drawing (Strip) 20241020.pdf</x:v>
      </x:c>
      <x:c r="C314" s="8" t="str">
        <x:v>0.1. Fise Tehnice</x:v>
      </x:c>
      <x:c r="D314" s="8" t="str">
        <x:v>Proiect fotovoltaic</x:v>
      </x:c>
      <x:c r="E314" s="8" t="str">
        <x:v>.pdf</x:v>
      </x:c>
      <x:c r="F314" s="8" t="n">
        <x:v>311914</x:v>
      </x:c>
      <x:c r="G314" s="8" t="str">
        <x:v>Text extras</x:v>
      </x:c>
      <x:c r="H314" s="8" t="str">
        <x:v>Document local; transmiterea individuală neconfirmată</x:v>
      </x:c>
      <x:c r="I314" s="8" t="str"/>
      <x:c r="J314" s="8" t="e">
        <x:f>HYPERLINK("file:///Z:/00. Proiecte 2025/AFIR FotoVoltaic 1/0.1. Fise Tehnice/Huawei/Sistem de stocare/PCS/LUNA2000-213KTL-H0/4. Foundations &amp; supports/LUNA2000-213KTL-H0 PCS Support Foundation Drawing (Strip) 20241020.pdf","Deschide sursa")</x:f>
        <x:v>HYPERLINK is not implemented. linkLocation=file:///Z:/00. Proiecte 2025/AFIR FotoVoltaic 1/0.1. Fise Tehnice/Huawei/Sistem de stocare/PCS/LUNA2000-213KTL-H0/4. Foundations &amp; supports/LUNA2000-213KTL-H0 PCS Support Foundation Drawing (Strip) 20241020.pdf, friendlyName=Deschide sursa</x:v>
      </x:c>
    </x:row>
    <x:row r="315" ht="36" customHeight="1">
      <x:c r="A315" s="8" t="str">
        <x:v>F0311</x:v>
      </x:c>
      <x:c r="B315" s="8" t="str">
        <x:v>LUNA2000-213KTL-H0 PCS Support Layout Drawing 20241020.pdf</x:v>
      </x:c>
      <x:c r="C315" s="8" t="str">
        <x:v>0.1. Fise Tehnice</x:v>
      </x:c>
      <x:c r="D315" s="8" t="str">
        <x:v>Proiect fotovoltaic</x:v>
      </x:c>
      <x:c r="E315" s="8" t="str">
        <x:v>.pdf</x:v>
      </x:c>
      <x:c r="F315" s="8" t="n">
        <x:v>1007819</x:v>
      </x:c>
      <x:c r="G315" s="8" t="str">
        <x:v>Scan / text insuficient</x:v>
      </x:c>
      <x:c r="H315" s="8" t="str">
        <x:v>Document local; transmiterea individuală neconfirmată</x:v>
      </x:c>
      <x:c r="I315" s="8" t="str"/>
      <x:c r="J315" s="8" t="e">
        <x:f>HYPERLINK("file:///Z:/00. Proiecte 2025/AFIR FotoVoltaic 1/0.1. Fise Tehnice/Huawei/Sistem de stocare/PCS/LUNA2000-213KTL-H0/4. Foundations &amp; supports/LUNA2000-213KTL-H0 PCS Support Layout Drawing 20241020.pdf","Deschide sursa")</x:f>
        <x:v>HYPERLINK is not implemented. linkLocation=file:///Z:/00. Proiecte 2025/AFIR FotoVoltaic 1/0.1. Fise Tehnice/Huawei/Sistem de stocare/PCS/LUNA2000-213KTL-H0/4. Foundations &amp; supports/LUNA2000-213KTL-H0 PCS Support Layout Drawing 20241020.pdf, friendlyName=Deschide sursa</x:v>
      </x:c>
    </x:row>
    <x:row r="316" ht="36" customHeight="1">
      <x:c r="A316" s="8" t="str">
        <x:v>F0312</x:v>
      </x:c>
      <x:c r="B316" s="8" t="str">
        <x:v>SUPPLY AGREEMENT Avasco-Neets.docx</x:v>
      </x:c>
      <x:c r="C316" s="8" t="str">
        <x:v>0.1. Fise Tehnice</x:v>
      </x:c>
      <x:c r="D316" s="8" t="str">
        <x:v>Proiect fotovoltaic</x:v>
      </x:c>
      <x:c r="E316" s="8" t="str">
        <x:v>.docx</x:v>
      </x:c>
      <x:c r="F316" s="8" t="n">
        <x:v>18166</x:v>
      </x:c>
      <x:c r="G316" s="8" t="str">
        <x:v>Text extras</x:v>
      </x:c>
      <x:c r="H316" s="8" t="str">
        <x:v>Document local; transmiterea individuală neconfirmată</x:v>
      </x:c>
      <x:c r="I316" s="8" t="str"/>
      <x:c r="J316" s="8" t="e">
        <x:f>HYPERLINK("file:///Z:/00. Proiecte 2025/AFIR FotoVoltaic 1/0.1. Fise Tehnice/Structura/AVASCO/SUPPLY AGREEMENT Avasco-Neets.docx","Deschide sursa")</x:f>
        <x:v>HYPERLINK is not implemented. linkLocation=file:///Z:/00. Proiecte 2025/AFIR FotoVoltaic 1/0.1. Fise Tehnice/Structura/AVASCO/SUPPLY AGREEMENT Avasco-Neets.docx, friendlyName=Deschide sursa</x:v>
      </x:c>
    </x:row>
    <x:row r="317" ht="36" customHeight="1">
      <x:c r="A317" s="8" t="str">
        <x:v>F0313</x:v>
      </x:c>
      <x:c r="B317" s="8" t="str">
        <x:v>Certificate _EN1090FPC_ENG_TUV.pdf</x:v>
      </x:c>
      <x:c r="C317" s="8" t="str">
        <x:v>0.1. Fise Tehnice</x:v>
      </x:c>
      <x:c r="D317" s="8" t="str">
        <x:v>Proiect fotovoltaic</x:v>
      </x:c>
      <x:c r="E317" s="8" t="str">
        <x:v>.pdf</x:v>
      </x:c>
      <x:c r="F317" s="8" t="n">
        <x:v>110049</x:v>
      </x:c>
      <x:c r="G317" s="8" t="str">
        <x:v>Scan / text insuficient</x:v>
      </x:c>
      <x:c r="H317" s="8" t="str">
        <x:v>Document local; transmiterea individuală neconfirmată</x:v>
      </x:c>
      <x:c r="I317" s="8" t="str"/>
      <x:c r="J317" s="8" t="e">
        <x:f>HYPERLINK("file:///Z:/00. Proiecte 2025/AFIR FotoVoltaic 1/0.1. Fise Tehnice/Structura/K2/Certificate _EN1090FPC_ENG_TUV.pdf","Deschide sursa")</x:f>
        <x:v>HYPERLINK is not implemented. linkLocation=file:///Z:/00. Proiecte 2025/AFIR FotoVoltaic 1/0.1. Fise Tehnice/Structura/K2/Certificate _EN1090FPC_ENG_TUV.pdf, friendlyName=Deschide sursa</x:v>
      </x:c>
    </x:row>
    <x:row r="318" ht="32" customHeight="1">
      <x:c r="A318" s="8" t="str">
        <x:v>F0314</x:v>
      </x:c>
      <x:c r="B318" s="8" t="str">
        <x:v>Certificate _ISO3834_ENG_TUV.pdf</x:v>
      </x:c>
      <x:c r="C318" s="8" t="str">
        <x:v>0.1. Fise Tehnice</x:v>
      </x:c>
      <x:c r="D318" s="8" t="str">
        <x:v>Proiect fotovoltaic</x:v>
      </x:c>
      <x:c r="E318" s="8" t="str">
        <x:v>.pdf</x:v>
      </x:c>
      <x:c r="F318" s="8" t="n">
        <x:v>96039</x:v>
      </x:c>
      <x:c r="G318" s="8" t="str">
        <x:v>Scan / text insuficient</x:v>
      </x:c>
      <x:c r="H318" s="8" t="str">
        <x:v>Document local; transmiterea individuală neconfirmată</x:v>
      </x:c>
      <x:c r="I318" s="8" t="str"/>
      <x:c r="J318" s="8" t="e">
        <x:f>HYPERLINK("file:///Z:/00. Proiecte 2025/AFIR FotoVoltaic 1/0.1. Fise Tehnice/Structura/K2/Certificate _ISO3834_ENG_TUV.pdf","Deschide sursa")</x:f>
        <x:v>HYPERLINK is not implemented. linkLocation=file:///Z:/00. Proiecte 2025/AFIR FotoVoltaic 1/0.1. Fise Tehnice/Structura/K2/Certificate _ISO3834_ENG_TUV.pdf, friendlyName=Deschide sursa</x:v>
      </x:c>
    </x:row>
    <x:row r="319" ht="32" customHeight="1">
      <x:c r="A319" s="8" t="str">
        <x:v>F0315</x:v>
      </x:c>
      <x:c r="B319" s="8" t="str">
        <x:v>Certificate _ISO9001_ENG_Q&amp;R.pdf</x:v>
      </x:c>
      <x:c r="C319" s="8" t="str">
        <x:v>0.1. Fise Tehnice</x:v>
      </x:c>
      <x:c r="D319" s="8" t="str">
        <x:v>Proiect fotovoltaic</x:v>
      </x:c>
      <x:c r="E319" s="8" t="str">
        <x:v>.pdf</x:v>
      </x:c>
      <x:c r="F319" s="8" t="n">
        <x:v>493329</x:v>
      </x:c>
      <x:c r="G319" s="8" t="str">
        <x:v>Text extras</x:v>
      </x:c>
      <x:c r="H319" s="8" t="str">
        <x:v>Document local; transmiterea individuală neconfirmată</x:v>
      </x:c>
      <x:c r="I319" s="8" t="str"/>
      <x:c r="J319" s="8" t="e">
        <x:f>HYPERLINK("file:///Z:/00. Proiecte 2025/AFIR FotoVoltaic 1/0.1. Fise Tehnice/Structura/K2/Certificate _ISO9001_ENG_Q&amp;R.pdf","Deschide sursa")</x:f>
        <x:v>HYPERLINK is not implemented. linkLocation=file:///Z:/00. Proiecte 2025/AFIR FotoVoltaic 1/0.1. Fise Tehnice/Structura/K2/Certificate _ISO9001_ENG_Q&amp;R.pdf, friendlyName=Deschide sursa</x:v>
      </x:c>
    </x:row>
    <x:row r="320" ht="32" customHeight="1">
      <x:c r="A320" s="8" t="str">
        <x:v>F0316</x:v>
      </x:c>
      <x:c r="B320" s="8" t="str">
        <x:v>Certificate_ISO14001_ENG_Q&amp;R.pdf</x:v>
      </x:c>
      <x:c r="C320" s="8" t="str">
        <x:v>0.1. Fise Tehnice</x:v>
      </x:c>
      <x:c r="D320" s="8" t="str">
        <x:v>Proiect fotovoltaic</x:v>
      </x:c>
      <x:c r="E320" s="8" t="str">
        <x:v>.pdf</x:v>
      </x:c>
      <x:c r="F320" s="8" t="n">
        <x:v>341837</x:v>
      </x:c>
      <x:c r="G320" s="8" t="str">
        <x:v>Text extras</x:v>
      </x:c>
      <x:c r="H320" s="8" t="str">
        <x:v>Document local; transmiterea individuală neconfirmată</x:v>
      </x:c>
      <x:c r="I320" s="8" t="str"/>
      <x:c r="J320" s="8" t="e">
        <x:f>HYPERLINK("file:///Z:/00. Proiecte 2025/AFIR FotoVoltaic 1/0.1. Fise Tehnice/Structura/K2/Certificate_ISO14001_ENG_Q&amp;R.pdf","Deschide sursa")</x:f>
        <x:v>HYPERLINK is not implemented. linkLocation=file:///Z:/00. Proiecte 2025/AFIR FotoVoltaic 1/0.1. Fise Tehnice/Structura/K2/Certificate_ISO14001_ENG_Q&amp;R.pdf, friendlyName=Deschide sursa</x:v>
      </x:c>
    </x:row>
    <x:row r="321" ht="36" customHeight="1">
      <x:c r="A321" s="8" t="str">
        <x:v>F0317</x:v>
      </x:c>
      <x:c r="B321" s="8" t="str">
        <x:v>Corab System FLEXI Datasheet EN.pdf</x:v>
      </x:c>
      <x:c r="C321" s="8" t="str">
        <x:v>0.1. Fise Tehnice</x:v>
      </x:c>
      <x:c r="D321" s="8" t="str">
        <x:v>Proiect fotovoltaic</x:v>
      </x:c>
      <x:c r="E321" s="8" t="str">
        <x:v>.pdf</x:v>
      </x:c>
      <x:c r="F321" s="8" t="n">
        <x:v>942538</x:v>
      </x:c>
      <x:c r="G321" s="8" t="str">
        <x:v>Text extras</x:v>
      </x:c>
      <x:c r="H321" s="8" t="str">
        <x:v>Document local; transmiterea individuală neconfirmată</x:v>
      </x:c>
      <x:c r="I321" s="8" t="str"/>
      <x:c r="J321" s="8" t="e">
        <x:f>HYPERLINK("file:///Z:/00. Proiecte 2025/AFIR FotoVoltaic 1/0.1. Fise Tehnice/Structura/K2/Corab System FLEXI Datasheet EN.pdf","Deschide sursa")</x:f>
        <x:v>HYPERLINK is not implemented. linkLocation=file:///Z:/00. Proiecte 2025/AFIR FotoVoltaic 1/0.1. Fise Tehnice/Structura/K2/Corab System FLEXI Datasheet EN.pdf, friendlyName=Deschide sursa</x:v>
      </x:c>
    </x:row>
    <x:row r="322" ht="36" customHeight="1">
      <x:c r="A322" s="8" t="str">
        <x:v>F0318</x:v>
      </x:c>
      <x:c r="B322" s="8" t="str">
        <x:v>Corab System PB-098 Instrukcja Manual pl en.pdf</x:v>
      </x:c>
      <x:c r="C322" s="8" t="str">
        <x:v>0.1. Fise Tehnice</x:v>
      </x:c>
      <x:c r="D322" s="8" t="str">
        <x:v>Proiect fotovoltaic</x:v>
      </x:c>
      <x:c r="E322" s="8" t="str">
        <x:v>.pdf</x:v>
      </x:c>
      <x:c r="F322" s="8" t="n">
        <x:v>1139893</x:v>
      </x:c>
      <x:c r="G322" s="8" t="str">
        <x:v>Text extras</x:v>
      </x:c>
      <x:c r="H322" s="8" t="str">
        <x:v>Document local; transmiterea individuală neconfirmată</x:v>
      </x:c>
      <x:c r="I322" s="8" t="str"/>
      <x:c r="J322" s="8" t="e">
        <x:f>HYPERLINK("file:///Z:/00. Proiecte 2025/AFIR FotoVoltaic 1/0.1. Fise Tehnice/Structura/K2/Corab System PB-098 Instrukcja Manual pl en.pdf","Deschide sursa")</x:f>
        <x:v>HYPERLINK is not implemented. linkLocation=file:///Z:/00. Proiecte 2025/AFIR FotoVoltaic 1/0.1. Fise Tehnice/Structura/K2/Corab System PB-098 Instrukcja Manual pl en.pdf, friendlyName=Deschide sursa</x:v>
      </x:c>
    </x:row>
    <x:row r="323" ht="36" customHeight="1">
      <x:c r="A323" s="8" t="str">
        <x:v>F0319</x:v>
      </x:c>
      <x:c r="B323" s="8" t="str">
        <x:v>Declaration of Performance - Corab Constructions EN.pdf</x:v>
      </x:c>
      <x:c r="C323" s="8" t="str">
        <x:v>0.1. Fise Tehnice</x:v>
      </x:c>
      <x:c r="D323" s="8" t="str">
        <x:v>Proiect fotovoltaic</x:v>
      </x:c>
      <x:c r="E323" s="8" t="str">
        <x:v>.pdf</x:v>
      </x:c>
      <x:c r="F323" s="8" t="n">
        <x:v>625637</x:v>
      </x:c>
      <x:c r="G323" s="8" t="str">
        <x:v>Scan / text insuficient</x:v>
      </x:c>
      <x:c r="H323" s="8" t="str">
        <x:v>Document local; transmiterea individuală neconfirmată</x:v>
      </x:c>
      <x:c r="I323" s="8" t="str"/>
      <x:c r="J323" s="8" t="e">
        <x:f>HYPERLINK("file:///Z:/00. Proiecte 2025/AFIR FotoVoltaic 1/0.1. Fise Tehnice/Structura/K2/Declaration of Performance - Corab Constructions EN.pdf","Deschide sursa")</x:f>
        <x:v>HYPERLINK is not implemented. linkLocation=file:///Z:/00. Proiecte 2025/AFIR FotoVoltaic 1/0.1. Fise Tehnice/Structura/K2/Declaration of Performance - Corab Constructions EN.pdf, friendlyName=Deschide sursa</x:v>
      </x:c>
    </x:row>
    <x:row r="324" ht="36" customHeight="1">
      <x:c r="A324" s="8" t="str">
        <x:v>F0320</x:v>
      </x:c>
      <x:c r="B324" s="8" t="str">
        <x:v>Oferta CEF 1mW_pr. Cesiro_Suntree_27.02.2026_final.xlsx</x:v>
      </x:c>
      <x:c r="C324" s="8" t="str">
        <x:v>0.1. Fise Tehnice</x:v>
      </x:c>
      <x:c r="D324" s="8" t="str">
        <x:v>Proiect fotovoltaic</x:v>
      </x:c>
      <x:c r="E324" s="8" t="str">
        <x:v>.xlsx</x:v>
      </x:c>
      <x:c r="F324" s="8" t="n">
        <x:v>35691</x:v>
      </x:c>
      <x:c r="G324" s="8" t="str">
        <x:v>Inventariat; conținut neextras</x:v>
      </x:c>
      <x:c r="H324" s="8" t="str">
        <x:v>Document local; transmiterea individuală neconfirmată</x:v>
      </x:c>
      <x:c r="I324" s="8" t="str"/>
      <x:c r="J324" s="8" t="e">
        <x:f>HYPERLINK("file:///Z:/00. Proiecte 2025/AFIR FotoVoltaic 1/0.1. Fise Tehnice/Structura/Promelek/Oferta CEF 1mW_pr. Cesiro_Suntree_27.02.2026_final.xlsx","Deschide sursa")</x:f>
        <x:v>HYPERLINK is not implemented. linkLocation=file:///Z:/00. Proiecte 2025/AFIR FotoVoltaic 1/0.1. Fise Tehnice/Structura/Promelek/Oferta CEF 1mW_pr. Cesiro_Suntree_27.02.2026_final.xlsx, friendlyName=Deschide sursa</x:v>
      </x:c>
    </x:row>
    <x:row r="325" ht="32" customHeight="1">
      <x:c r="A325" s="8" t="str">
        <x:v>F0321</x:v>
      </x:c>
      <x:c r="B325" s="8" t="str">
        <x:v>f_260312_062208.pdf</x:v>
      </x:c>
      <x:c r="C325" s="8" t="str">
        <x:v>0.1. Fise Tehnice</x:v>
      </x:c>
      <x:c r="D325" s="8" t="str">
        <x:v>Proiect fotovoltaic</x:v>
      </x:c>
      <x:c r="E325" s="8" t="str">
        <x:v>.pdf</x:v>
      </x:c>
      <x:c r="F325" s="8" t="n">
        <x:v>117283</x:v>
      </x:c>
      <x:c r="G325" s="8" t="str">
        <x:v>Text extras</x:v>
      </x:c>
      <x:c r="H325" s="8" t="str">
        <x:v>Document local; transmiterea individuală neconfirmată</x:v>
      </x:c>
      <x:c r="I325" s="8" t="str"/>
      <x:c r="J325" s="8" t="e">
        <x:f>HYPERLINK("file:///Z:/00. Proiecte 2025/AFIR FotoVoltaic 1/0.1. Fise Tehnice/Structura/RomStal/f_260312_062208.pdf","Deschide sursa")</x:f>
        <x:v>HYPERLINK is not implemented. linkLocation=file:///Z:/00. Proiecte 2025/AFIR FotoVoltaic 1/0.1. Fise Tehnice/Structura/RomStal/f_260312_062208.pdf, friendlyName=Deschide sursa</x:v>
      </x:c>
    </x:row>
    <x:row r="326" ht="32" customHeight="1">
      <x:c r="A326" s="8" t="str">
        <x:v>F0322</x:v>
      </x:c>
      <x:c r="B326" s="8" t="str">
        <x:v>Romstal.xlsx</x:v>
      </x:c>
      <x:c r="C326" s="8" t="str">
        <x:v>0.1. Fise Tehnice</x:v>
      </x:c>
      <x:c r="D326" s="8" t="str">
        <x:v>Proiect fotovoltaic</x:v>
      </x:c>
      <x:c r="E326" s="8" t="str">
        <x:v>.xlsx</x:v>
      </x:c>
      <x:c r="F326" s="8" t="n">
        <x:v>12933</x:v>
      </x:c>
      <x:c r="G326" s="8" t="str">
        <x:v>Inventariat; conținut neextras</x:v>
      </x:c>
      <x:c r="H326" s="8" t="str">
        <x:v>Document local; transmiterea individuală neconfirmată</x:v>
      </x:c>
      <x:c r="I326" s="8" t="str"/>
      <x:c r="J326" s="8" t="e">
        <x:f>HYPERLINK("file:///Z:/00. Proiecte 2025/AFIR FotoVoltaic 1/0.1. Fise Tehnice/Structura/RomStal/Romstal.xlsx","Deschide sursa")</x:f>
        <x:v>HYPERLINK is not implemented. linkLocation=file:///Z:/00. Proiecte 2025/AFIR FotoVoltaic 1/0.1. Fise Tehnice/Structura/RomStal/Romstal.xlsx, friendlyName=Deschide sursa</x:v>
      </x:c>
    </x:row>
    <x:row r="327" ht="36" customHeight="1">
      <x:c r="A327" s="8" t="str">
        <x:v>F0323</x:v>
      </x:c>
      <x:c r="B327" s="8" t="str">
        <x:v>SOLARGROUP Suporti Panouri..pdf</x:v>
      </x:c>
      <x:c r="C327" s="8" t="str">
        <x:v>0.1. Fise Tehnice</x:v>
      </x:c>
      <x:c r="D327" s="8" t="str">
        <x:v>Proiect fotovoltaic</x:v>
      </x:c>
      <x:c r="E327" s="8" t="str">
        <x:v>.pdf</x:v>
      </x:c>
      <x:c r="F327" s="8" t="n">
        <x:v>12054</x:v>
      </x:c>
      <x:c r="G327" s="8" t="str">
        <x:v>Text extras</x:v>
      </x:c>
      <x:c r="H327" s="8" t="str">
        <x:v>Document local; transmiterea individuală neconfirmată</x:v>
      </x:c>
      <x:c r="I327" s="8" t="str"/>
      <x:c r="J327" s="8" t="e">
        <x:f>HYPERLINK("file:///Z:/00. Proiecte 2025/AFIR FotoVoltaic 1/0.1. Fise Tehnice/Structura/RomStal/SOLARGROUP Suporti Panouri..pdf","Deschide sursa")</x:f>
        <x:v>HYPERLINK is not implemented. linkLocation=file:///Z:/00. Proiecte 2025/AFIR FotoVoltaic 1/0.1. Fise Tehnice/Structura/RomStal/SOLARGROUP Suporti Panouri..pdf, friendlyName=Deschide sursa</x:v>
      </x:c>
    </x:row>
    <x:row r="328" ht="36" customHeight="1">
      <x:c r="A328" s="8" t="str">
        <x:v>F0324</x:v>
      </x:c>
      <x:c r="B328" s="8" t="str">
        <x:v>SOLARGROUP Suporti Panouri..xlsx</x:v>
      </x:c>
      <x:c r="C328" s="8" t="str">
        <x:v>0.1. Fise Tehnice</x:v>
      </x:c>
      <x:c r="D328" s="8" t="str">
        <x:v>Proiect fotovoltaic</x:v>
      </x:c>
      <x:c r="E328" s="8" t="str">
        <x:v>.xlsx</x:v>
      </x:c>
      <x:c r="F328" s="8" t="n">
        <x:v>11464</x:v>
      </x:c>
      <x:c r="G328" s="8" t="str">
        <x:v>Inventariat; conținut neextras</x:v>
      </x:c>
      <x:c r="H328" s="8" t="str">
        <x:v>Document local; transmiterea individuală neconfirmată</x:v>
      </x:c>
      <x:c r="I328" s="8" t="str"/>
      <x:c r="J328" s="8" t="e">
        <x:f>HYPERLINK("file:///Z:/00. Proiecte 2025/AFIR FotoVoltaic 1/0.1. Fise Tehnice/Structura/RomStal/SOLARGROUP Suporti Panouri..xlsx","Deschide sursa")</x:f>
        <x:v>HYPERLINK is not implemented. linkLocation=file:///Z:/00. Proiecte 2025/AFIR FotoVoltaic 1/0.1. Fise Tehnice/Structura/RomStal/SOLARGROUP Suporti Panouri..xlsx, friendlyName=Deschide sursa</x:v>
      </x:c>
    </x:row>
    <x:row r="329" ht="36" customHeight="1">
      <x:c r="A329" s="8" t="str">
        <x:v>F0325</x:v>
      </x:c>
      <x:c r="B329" s="8" t="str">
        <x:v>02 Suntech Deutschland Gmbh PO Neets Fotoshooting 500W.pdf</x:v>
      </x:c>
      <x:c r="C329" s="8" t="str">
        <x:v>0.1. Fise Tehnice</x:v>
      </x:c>
      <x:c r="D329" s="8" t="str">
        <x:v>Proiect fotovoltaic</x:v>
      </x:c>
      <x:c r="E329" s="8" t="str">
        <x:v>.pdf</x:v>
      </x:c>
      <x:c r="F329" s="8" t="n">
        <x:v>542802</x:v>
      </x:c>
      <x:c r="G329" s="8" t="str">
        <x:v>Text extras</x:v>
      </x:c>
      <x:c r="H329" s="8" t="str">
        <x:v>Document local; transmiterea individuală neconfirmată</x:v>
      </x:c>
      <x:c r="I329" s="8" t="str"/>
      <x:c r="J329" s="8" t="e">
        <x:f>HYPERLINK("file:///Z:/00. Proiecte 2025/AFIR FotoVoltaic 1/0.1. Fise Tehnice/Structura/SUNTECH/02 Suntech Deutschland Gmbh PO Neets Fotoshooting 500W.pdf","Deschide sursa")</x:f>
        <x:v>HYPERLINK is not implemented. linkLocation=file:///Z:/00. Proiecte 2025/AFIR FotoVoltaic 1/0.1. Fise Tehnice/Structura/SUNTECH/02 Suntech Deutschland Gmbh PO Neets Fotoshooting 500W.pdf, friendlyName=Deschide sursa</x:v>
      </x:c>
    </x:row>
    <x:row r="330" ht="36" customHeight="1">
      <x:c r="A330" s="8" t="str">
        <x:v>F0326</x:v>
      </x:c>
      <x:c r="B330" s="8" t="str">
        <x:v>2025-Special-for-Global-Market-EN.pdf</x:v>
      </x:c>
      <x:c r="C330" s="8" t="str">
        <x:v>0.1. Fise Tehnice</x:v>
      </x:c>
      <x:c r="D330" s="8" t="str">
        <x:v>Proiect fotovoltaic</x:v>
      </x:c>
      <x:c r="E330" s="8" t="str">
        <x:v>.pdf</x:v>
      </x:c>
      <x:c r="F330" s="8" t="n">
        <x:v>145957</x:v>
      </x:c>
      <x:c r="G330" s="8" t="str">
        <x:v>Text extras</x:v>
      </x:c>
      <x:c r="H330" s="8" t="str">
        <x:v>Document local; transmiterea individuală neconfirmată</x:v>
      </x:c>
      <x:c r="I330" s="8" t="str"/>
      <x:c r="J330" s="8" t="e">
        <x:f>HYPERLINK("file:///Z:/00. Proiecte 2025/AFIR FotoVoltaic 1/0.1. Fise Tehnice/Structura/SUNTECH/2025-Special-for-Global-Market-EN.pdf","Deschide sursa")</x:f>
        <x:v>HYPERLINK is not implemented. linkLocation=file:///Z:/00. Proiecte 2025/AFIR FotoVoltaic 1/0.1. Fise Tehnice/Structura/SUNTECH/2025-Special-for-Global-Market-EN.pdf, friendlyName=Deschide sursa</x:v>
      </x:c>
    </x:row>
    <x:row r="331" ht="36" customHeight="1">
      <x:c r="A331" s="8" t="str">
        <x:v>F0327</x:v>
      </x:c>
      <x:c r="B331" s="8" t="str">
        <x:v>Installation-Manual_GLOBAL.pdf</x:v>
      </x:c>
      <x:c r="C331" s="8" t="str">
        <x:v>0.1. Fise Tehnice</x:v>
      </x:c>
      <x:c r="D331" s="8" t="str">
        <x:v>Proiect fotovoltaic</x:v>
      </x:c>
      <x:c r="E331" s="8" t="str">
        <x:v>.pdf</x:v>
      </x:c>
      <x:c r="F331" s="8" t="n">
        <x:v>4035192</x:v>
      </x:c>
      <x:c r="G331" s="8" t="str">
        <x:v>Text extras</x:v>
      </x:c>
      <x:c r="H331" s="8" t="str">
        <x:v>Document local; transmiterea individuală neconfirmată</x:v>
      </x:c>
      <x:c r="I331" s="8" t="str"/>
      <x:c r="J331" s="8" t="e">
        <x:f>HYPERLINK("file:///Z:/00. Proiecte 2025/AFIR FotoVoltaic 1/0.1. Fise Tehnice/Structura/SUNTECH/Installation-Manual_GLOBAL.pdf","Deschide sursa")</x:f>
        <x:v>HYPERLINK is not implemented. linkLocation=file:///Z:/00. Proiecte 2025/AFIR FotoVoltaic 1/0.1. Fise Tehnice/Structura/SUNTECH/Installation-Manual_GLOBAL.pdf, friendlyName=Deschide sursa</x:v>
      </x:c>
    </x:row>
    <x:row r="332" ht="32" customHeight="1">
      <x:c r="A332" s="8" t="str">
        <x:v>F0328</x:v>
      </x:c>
      <x:c r="B332" s="8" t="str">
        <x:v>PI_NTFS2601-1.pdf</x:v>
      </x:c>
      <x:c r="C332" s="8" t="str">
        <x:v>0.1. Fise Tehnice</x:v>
      </x:c>
      <x:c r="D332" s="8" t="str">
        <x:v>Proiect fotovoltaic</x:v>
      </x:c>
      <x:c r="E332" s="8" t="str">
        <x:v>.pdf</x:v>
      </x:c>
      <x:c r="F332" s="8" t="n">
        <x:v>206380</x:v>
      </x:c>
      <x:c r="G332" s="8" t="str">
        <x:v>Text extras</x:v>
      </x:c>
      <x:c r="H332" s="8" t="str">
        <x:v>Document local; transmiterea individuală neconfirmată</x:v>
      </x:c>
      <x:c r="I332" s="8" t="str"/>
      <x:c r="J332" s="8" t="e">
        <x:f>HYPERLINK("file:///Z:/00. Proiecte 2025/AFIR FotoVoltaic 1/0.1. Fise Tehnice/Structura/SUNTECH/PI_NTFS2601-1.pdf","Deschide sursa")</x:f>
        <x:v>HYPERLINK is not implemented. linkLocation=file:///Z:/00. Proiecte 2025/AFIR FotoVoltaic 1/0.1. Fise Tehnice/Structura/SUNTECH/PI_NTFS2601-1.pdf, friendlyName=Deschide sursa</x:v>
      </x:c>
    </x:row>
    <x:row r="333" ht="32" customHeight="1">
      <x:c r="A333" s="8" t="str">
        <x:v>F0329</x:v>
      </x:c>
      <x:c r="B333" s="8" t="str">
        <x:v>PI_NTFS2601-2.pdf</x:v>
      </x:c>
      <x:c r="C333" s="8" t="str">
        <x:v>0.1. Fise Tehnice</x:v>
      </x:c>
      <x:c r="D333" s="8" t="str">
        <x:v>Proiect fotovoltaic</x:v>
      </x:c>
      <x:c r="E333" s="8" t="str">
        <x:v>.pdf</x:v>
      </x:c>
      <x:c r="F333" s="8" t="n">
        <x:v>206164</x:v>
      </x:c>
      <x:c r="G333" s="8" t="str">
        <x:v>Text extras</x:v>
      </x:c>
      <x:c r="H333" s="8" t="str">
        <x:v>Document local; transmiterea individuală neconfirmată</x:v>
      </x:c>
      <x:c r="I333" s="8" t="str"/>
      <x:c r="J333" s="8" t="e">
        <x:f>HYPERLINK("file:///Z:/00. Proiecte 2025/AFIR FotoVoltaic 1/0.1. Fise Tehnice/Structura/SUNTECH/PI_NTFS2601-2.pdf","Deschide sursa")</x:f>
        <x:v>HYPERLINK is not implemented. linkLocation=file:///Z:/00. Proiecte 2025/AFIR FotoVoltaic 1/0.1. Fise Tehnice/Structura/SUNTECH/PI_NTFS2601-2.pdf, friendlyName=Deschide sursa</x:v>
      </x:c>
    </x:row>
    <x:row r="334" ht="32" customHeight="1">
      <x:c r="A334" s="8" t="str">
        <x:v>F0330</x:v>
      </x:c>
      <x:c r="B334" s="8" t="str">
        <x:v>PI_NTFS2601-3.pdf</x:v>
      </x:c>
      <x:c r="C334" s="8" t="str">
        <x:v>0.1. Fise Tehnice</x:v>
      </x:c>
      <x:c r="D334" s="8" t="str">
        <x:v>Proiect fotovoltaic</x:v>
      </x:c>
      <x:c r="E334" s="8" t="str">
        <x:v>.pdf</x:v>
      </x:c>
      <x:c r="F334" s="8" t="n">
        <x:v>206451</x:v>
      </x:c>
      <x:c r="G334" s="8" t="str">
        <x:v>Text extras</x:v>
      </x:c>
      <x:c r="H334" s="8" t="str">
        <x:v>Document local; transmiterea individuală neconfirmată</x:v>
      </x:c>
      <x:c r="I334" s="8" t="str"/>
      <x:c r="J334" s="8" t="e">
        <x:f>HYPERLINK("file:///Z:/00. Proiecte 2025/AFIR FotoVoltaic 1/0.1. Fise Tehnice/Structura/SUNTECH/PI_NTFS2601-3.pdf","Deschide sursa")</x:f>
        <x:v>HYPERLINK is not implemented. linkLocation=file:///Z:/00. Proiecte 2025/AFIR FotoVoltaic 1/0.1. Fise Tehnice/Structura/SUNTECH/PI_NTFS2601-3.pdf, friendlyName=Deschide sursa</x:v>
      </x:c>
    </x:row>
    <x:row r="335" ht="32" customHeight="1">
      <x:c r="A335" s="8" t="str">
        <x:v>F0331</x:v>
      </x:c>
      <x:c r="B335" s="8" t="str">
        <x:v>PI_NTFS2602.pdf</x:v>
      </x:c>
      <x:c r="C335" s="8" t="str">
        <x:v>0.1. Fise Tehnice</x:v>
      </x:c>
      <x:c r="D335" s="8" t="str">
        <x:v>Proiect fotovoltaic</x:v>
      </x:c>
      <x:c r="E335" s="8" t="str">
        <x:v>.pdf</x:v>
      </x:c>
      <x:c r="F335" s="8" t="n">
        <x:v>206412</x:v>
      </x:c>
      <x:c r="G335" s="8" t="str">
        <x:v>Text extras</x:v>
      </x:c>
      <x:c r="H335" s="8" t="str">
        <x:v>Document local; transmiterea individuală neconfirmată</x:v>
      </x:c>
      <x:c r="I335" s="8" t="str"/>
      <x:c r="J335" s="8" t="e">
        <x:f>HYPERLINK("file:///Z:/00. Proiecte 2025/AFIR FotoVoltaic 1/0.1. Fise Tehnice/Structura/SUNTECH/PI_NTFS2602.pdf","Deschide sursa")</x:f>
        <x:v>HYPERLINK is not implemented. linkLocation=file:///Z:/00. Proiecte 2025/AFIR FotoVoltaic 1/0.1. Fise Tehnice/Structura/SUNTECH/PI_NTFS2602.pdf, friendlyName=Deschide sursa</x:v>
      </x:c>
    </x:row>
    <x:row r="336" ht="32" customHeight="1">
      <x:c r="A336" s="8" t="str">
        <x:v>F0332</x:v>
      </x:c>
      <x:c r="B336" s="8" t="str">
        <x:v>STP435-455S-H48-Nth+.pdf</x:v>
      </x:c>
      <x:c r="C336" s="8" t="str">
        <x:v>0.1. Fise Tehnice</x:v>
      </x:c>
      <x:c r="D336" s="8" t="str">
        <x:v>Proiect fotovoltaic</x:v>
      </x:c>
      <x:c r="E336" s="8" t="str">
        <x:v>.pdf</x:v>
      </x:c>
      <x:c r="F336" s="8" t="n">
        <x:v>783369</x:v>
      </x:c>
      <x:c r="G336" s="8" t="str">
        <x:v>Text extras</x:v>
      </x:c>
      <x:c r="H336" s="8" t="str">
        <x:v>Document local; transmiterea individuală neconfirmată</x:v>
      </x:c>
      <x:c r="I336" s="8" t="str"/>
      <x:c r="J336" s="8" t="e">
        <x:f>HYPERLINK("file:///Z:/00. Proiecte 2025/AFIR FotoVoltaic 1/0.1. Fise Tehnice/Structura/SUNTECH/STP435-455S-H48-Nth+.pdf","Deschide sursa")</x:f>
        <x:v>HYPERLINK is not implemented. linkLocation=file:///Z:/00. Proiecte 2025/AFIR FotoVoltaic 1/0.1. Fise Tehnice/Structura/SUNTECH/STP435-455S-H48-Nth+.pdf, friendlyName=Deschide sursa</x:v>
      </x:c>
    </x:row>
    <x:row r="337" ht="32" customHeight="1">
      <x:c r="A337" s="8" t="str">
        <x:v>F0333</x:v>
      </x:c>
      <x:c r="B337" s="8" t="str">
        <x:v>STP440-460S-H48-Nkh+.pdf</x:v>
      </x:c>
      <x:c r="C337" s="8" t="str">
        <x:v>0.1. Fise Tehnice</x:v>
      </x:c>
      <x:c r="D337" s="8" t="str">
        <x:v>Proiect fotovoltaic</x:v>
      </x:c>
      <x:c r="E337" s="8" t="str">
        <x:v>.pdf</x:v>
      </x:c>
      <x:c r="F337" s="8" t="n">
        <x:v>675445</x:v>
      </x:c>
      <x:c r="G337" s="8" t="str">
        <x:v>Text extras</x:v>
      </x:c>
      <x:c r="H337" s="8" t="str">
        <x:v>Document local; transmiterea individuală neconfirmată</x:v>
      </x:c>
      <x:c r="I337" s="8" t="str"/>
      <x:c r="J337" s="8" t="e">
        <x:f>HYPERLINK("file:///Z:/00. Proiecte 2025/AFIR FotoVoltaic 1/0.1. Fise Tehnice/Structura/SUNTECH/STP440-460S-H48-Nkh+.pdf","Deschide sursa")</x:f>
        <x:v>HYPERLINK is not implemented. linkLocation=file:///Z:/00. Proiecte 2025/AFIR FotoVoltaic 1/0.1. Fise Tehnice/Structura/SUNTECH/STP440-460S-H48-Nkh+.pdf, friendlyName=Deschide sursa</x:v>
      </x:c>
    </x:row>
    <x:row r="338" ht="36" customHeight="1">
      <x:c r="A338" s="8" t="str">
        <x:v>F0334</x:v>
      </x:c>
      <x:c r="B338" s="8" t="str">
        <x:v>STP495-515S-H54-Nfb+_N2.0_F3.0_EN.pdf</x:v>
      </x:c>
      <x:c r="C338" s="8" t="str">
        <x:v>0.1. Fise Tehnice</x:v>
      </x:c>
      <x:c r="D338" s="8" t="str">
        <x:v>Proiect fotovoltaic</x:v>
      </x:c>
      <x:c r="E338" s="8" t="str">
        <x:v>.pdf</x:v>
      </x:c>
      <x:c r="F338" s="8" t="n">
        <x:v>5103984</x:v>
      </x:c>
      <x:c r="G338" s="8" t="str">
        <x:v>Text extras</x:v>
      </x:c>
      <x:c r="H338" s="8" t="str">
        <x:v>Document local; transmiterea individuală neconfirmată</x:v>
      </x:c>
      <x:c r="I338" s="8" t="str"/>
      <x:c r="J338" s="8" t="e">
        <x:f>HYPERLINK("file:///Z:/00. Proiecte 2025/AFIR FotoVoltaic 1/0.1. Fise Tehnice/Structura/SUNTECH/STP495-515S-H54-Nfb+_N2.0_F3.0_EN.pdf","Deschide sursa")</x:f>
        <x:v>HYPERLINK is not implemented. linkLocation=file:///Z:/00. Proiecte 2025/AFIR FotoVoltaic 1/0.1. Fise Tehnice/Structura/SUNTECH/STP495-515S-H54-Nfb+_N2.0_F3.0_EN.pdf, friendlyName=Deschide sursa</x:v>
      </x:c>
    </x:row>
    <x:row r="339" ht="32" customHeight="1">
      <x:c r="A339" s="8" t="str">
        <x:v>F0335</x:v>
      </x:c>
      <x:c r="B339" s="8" t="str">
        <x:v>STP700-720S-D66-Nsh+.pdf</x:v>
      </x:c>
      <x:c r="C339" s="8" t="str">
        <x:v>0.1. Fise Tehnice</x:v>
      </x:c>
      <x:c r="D339" s="8" t="str">
        <x:v>Proiect fotovoltaic</x:v>
      </x:c>
      <x:c r="E339" s="8" t="str">
        <x:v>.pdf</x:v>
      </x:c>
      <x:c r="F339" s="8" t="n">
        <x:v>555084</x:v>
      </x:c>
      <x:c r="G339" s="8" t="str">
        <x:v>Text extras</x:v>
      </x:c>
      <x:c r="H339" s="8" t="str">
        <x:v>Document local; transmiterea individuală neconfirmată</x:v>
      </x:c>
      <x:c r="I339" s="8" t="str"/>
      <x:c r="J339" s="8" t="e">
        <x:f>HYPERLINK("file:///Z:/00. Proiecte 2025/AFIR FotoVoltaic 1/0.1. Fise Tehnice/Structura/SUNTECH/STP700-720S-D66-Nsh+.pdf","Deschide sursa")</x:f>
        <x:v>HYPERLINK is not implemented. linkLocation=file:///Z:/00. Proiecte 2025/AFIR FotoVoltaic 1/0.1. Fise Tehnice/Structura/SUNTECH/STP700-720S-D66-Nsh+.pdf, friendlyName=Deschide sursa</x:v>
      </x:c>
    </x:row>
    <x:row r="340" ht="36" customHeight="1">
      <x:c r="A340" s="8" t="str">
        <x:v>F0336</x:v>
      </x:c>
      <x:c r="B340" s="8" t="str">
        <x:v>Duoke核桃设备报价（一小时300kg）.pdf</x:v>
      </x:c>
      <x:c r="C340" s="8" t="str">
        <x:v>0.1. Fise Tehnice</x:v>
      </x:c>
      <x:c r="D340" s="8" t="str">
        <x:v>Proiect fotovoltaic</x:v>
      </x:c>
      <x:c r="E340" s="8" t="str">
        <x:v>.pdf</x:v>
      </x:c>
      <x:c r="F340" s="8" t="n">
        <x:v>766927</x:v>
      </x:c>
      <x:c r="G340" s="8" t="str">
        <x:v>Text extras</x:v>
      </x:c>
      <x:c r="H340" s="8" t="str">
        <x:v>Document local; transmiterea individuală neconfirmată</x:v>
      </x:c>
      <x:c r="I340" s="8" t="str"/>
      <x:c r="J340" s="8" t="e">
        <x:f>HYPERLINK("file:///Z:/00. Proiecte 2025/AFIR FotoVoltaic 1/0.1. Fise Tehnice/WallNuts June/Furnizor 1/Duoke核桃设备报价（一小时300kg）.pdf","Deschide sursa")</x:f>
        <x:v>HYPERLINK is not implemented. linkLocation=file:///Z:/00. Proiecte 2025/AFIR FotoVoltaic 1/0.1. Fise Tehnice/WallNuts June/Furnizor 1/Duoke核桃设备报价（一小时300kg）.pdf, friendlyName=Deschide sursa</x:v>
      </x:c>
    </x:row>
    <x:row r="341" ht="36" customHeight="1">
      <x:c r="A341" s="8" t="str">
        <x:v>F0337</x:v>
      </x:c>
      <x:c r="B341" s="8" t="str">
        <x:v>Image_20250319105639.jpg</x:v>
      </x:c>
      <x:c r="C341" s="8" t="str">
        <x:v>0.1. Fise Tehnice</x:v>
      </x:c>
      <x:c r="D341" s="8" t="str">
        <x:v>Proiect fotovoltaic</x:v>
      </x:c>
      <x:c r="E341" s="8" t="str">
        <x:v>.jpg</x:v>
      </x:c>
      <x:c r="F341" s="8" t="n">
        <x:v>189180</x:v>
      </x:c>
      <x:c r="G341" s="8" t="str">
        <x:v>Inventariat; conținut neextras</x:v>
      </x:c>
      <x:c r="H341" s="8" t="str">
        <x:v>Document local; transmiterea individuală neconfirmată</x:v>
      </x:c>
      <x:c r="I341" s="8" t="str"/>
      <x:c r="J341" s="8" t="e">
        <x:f>HYPERLINK("file:///Z:/00. Proiecte 2025/AFIR FotoVoltaic 1/0.1. Fise Tehnice/WallNuts June/Furnizor 1/Image_20250319105639.jpg","Deschide sursa")</x:f>
        <x:v>HYPERLINK is not implemented. linkLocation=file:///Z:/00. Proiecte 2025/AFIR FotoVoltaic 1/0.1. Fise Tehnice/WallNuts June/Furnizor 1/Image_20250319105639.jpg, friendlyName=Deschide sursa</x:v>
      </x:c>
    </x:row>
    <x:row r="342" ht="36" customHeight="1">
      <x:c r="A342" s="8" t="str">
        <x:v>F0338</x:v>
      </x:c>
      <x:c r="B342" s="8" t="str">
        <x:v>Cesiro Production SRL BCR 28.000.pdf</x:v>
      </x:c>
      <x:c r="C342" s="8" t="str">
        <x:v>10. Contractare</x:v>
      </x:c>
      <x:c r="D342" s="8" t="str">
        <x:v>Proiect fotovoltaic</x:v>
      </x:c>
      <x:c r="E342" s="8" t="str">
        <x:v>.pdf</x:v>
      </x:c>
      <x:c r="F342" s="8" t="n">
        <x:v>83282</x:v>
      </x:c>
      <x:c r="G342" s="8" t="str">
        <x:v>Scan / text insuficient</x:v>
      </x:c>
      <x:c r="H342" s="8" t="str">
        <x:v>Document local; transmiterea individuală neconfirmată</x:v>
      </x:c>
      <x:c r="I342" s="8" t="str"/>
      <x:c r="J342" s="8" t="e">
        <x:f>HYPERLINK("file:///Z:/00. Proiecte 2025/AFIR FotoVoltaic 1/10. Contractare/1. Documente solicitate pentru contractare/Cesiro Production SRL BCR 28.000.pdf","Deschide sursa")</x:f>
        <x:v>HYPERLINK is not implemented. linkLocation=file:///Z:/00. Proiecte 2025/AFIR FotoVoltaic 1/10. Contractare/1. Documente solicitate pentru contractare/Cesiro Production SRL BCR 28.000.pdf, friendlyName=Deschide sursa</x:v>
      </x:c>
    </x:row>
    <x:row r="343" ht="36" customHeight="1">
      <x:c r="A343" s="8" t="str">
        <x:v>F0339</x:v>
      </x:c>
      <x:c r="B343" s="8" t="str">
        <x:v>HOT CESIRO PRODUCTION - ob act 12.02.2024 ONRC .docx</x:v>
      </x:c>
      <x:c r="C343" s="8" t="str">
        <x:v>10. Contractare</x:v>
      </x:c>
      <x:c r="D343" s="8" t="str">
        <x:v>Proiect fotovoltaic</x:v>
      </x:c>
      <x:c r="E343" s="8" t="str">
        <x:v>.docx</x:v>
      </x:c>
      <x:c r="F343" s="8" t="n">
        <x:v>25692</x:v>
      </x:c>
      <x:c r="G343" s="8" t="str">
        <x:v>Text extras</x:v>
      </x:c>
      <x:c r="H343" s="8" t="str">
        <x:v>Document local; transmiterea individuală neconfirmată</x:v>
      </x:c>
      <x:c r="I343" s="8" t="str"/>
      <x:c r="J343" s="8" t="e">
        <x:f>HYPERLINK("file:///Z:/00. Proiecte 2025/AFIR FotoVoltaic 1/10. Contractare/1. Documente solicitate pentru contractare/HOT CESIRO PRODUCTION - ob act 12.02.2024 ONRC .docx","Deschide sursa")</x:f>
        <x:v>HYPERLINK is not implemented. linkLocation=file:///Z:/00. Proiecte 2025/AFIR FotoVoltaic 1/10. Contractare/1. Documente solicitate pentru contractare/HOT CESIRO PRODUCTION - ob act 12.02.2024 ONRC .docx, friendlyName=Deschide sursa</x:v>
      </x:c>
    </x:row>
    <x:row r="344" ht="36" customHeight="1">
      <x:c r="A344" s="8" t="str">
        <x:v>F0340</x:v>
      </x:c>
      <x:c r="B344" s="8" t="str">
        <x:v>Lista documente contractare.xlsx</x:v>
      </x:c>
      <x:c r="C344" s="8" t="str">
        <x:v>10. Contractare</x:v>
      </x:c>
      <x:c r="D344" s="8" t="str">
        <x:v>Proiect fotovoltaic</x:v>
      </x:c>
      <x:c r="E344" s="8" t="str">
        <x:v>.xlsx</x:v>
      </x:c>
      <x:c r="F344" s="8" t="n">
        <x:v>12561</x:v>
      </x:c>
      <x:c r="G344" s="8" t="str">
        <x:v>Inventariat; conținut neextras</x:v>
      </x:c>
      <x:c r="H344" s="8" t="str">
        <x:v>Document local; transmiterea individuală neconfirmată</x:v>
      </x:c>
      <x:c r="I344" s="8" t="str"/>
      <x:c r="J344" s="8" t="e">
        <x:f>HYPERLINK("file:///Z:/00. Proiecte 2025/AFIR FotoVoltaic 1/10. Contractare/1. Documente solicitate pentru contractare/Lista documente contractare.xlsx","Deschide sursa")</x:f>
        <x:v>HYPERLINK is not implemented. linkLocation=file:///Z:/00. Proiecte 2025/AFIR FotoVoltaic 1/10. Contractare/1. Documente solicitate pentru contractare/Lista documente contractare.xlsx, friendlyName=Deschide sursa</x:v>
      </x:c>
    </x:row>
    <x:row r="345" ht="36" customHeight="1">
      <x:c r="A345" s="8" t="str">
        <x:v>F0341</x:v>
      </x:c>
      <x:c r="B345" s="8" t="str">
        <x:v>NotificareSolicitant_E6_8_3_SE.pdf</x:v>
      </x:c>
      <x:c r="C345" s="8" t="str">
        <x:v>10. Contractare</x:v>
      </x:c>
      <x:c r="D345" s="8" t="str">
        <x:v>Proiect fotovoltaic</x:v>
      </x:c>
      <x:c r="E345" s="8" t="str">
        <x:v>.pdf</x:v>
      </x:c>
      <x:c r="F345" s="8" t="n">
        <x:v>398849</x:v>
      </x:c>
      <x:c r="G345" s="8" t="str">
        <x:v>Text extras</x:v>
      </x:c>
      <x:c r="H345" s="8" t="str">
        <x:v>Document local; transmiterea individuală neconfirmată</x:v>
      </x:c>
      <x:c r="I345" s="8" t="str"/>
      <x:c r="J345" s="8" t="e">
        <x:f>HYPERLINK("file:///Z:/00. Proiecte 2025/AFIR FotoVoltaic 1/10. Contractare/1. Documente solicitate pentru contractare/NotificareSolicitant_E6_8_3_SE.pdf","Deschide sursa")</x:f>
        <x:v>HYPERLINK is not implemented. linkLocation=file:///Z:/00. Proiecte 2025/AFIR FotoVoltaic 1/10. Contractare/1. Documente solicitate pentru contractare/NotificareSolicitant_E6_8_3_SE.pdf, friendlyName=Deschide sursa</x:v>
      </x:c>
    </x:row>
    <x:row r="346" ht="36" customHeight="1">
      <x:c r="A346" s="8" t="str">
        <x:v>F0342</x:v>
      </x:c>
      <x:c r="B346" s="8" t="str">
        <x:v>1. Contract de inchiriere IPEC SA cu Cesiro Production semnat_Page_1.png</x:v>
      </x:c>
      <x:c r="C346" s="8" t="str">
        <x:v>10. Contractare</x:v>
      </x:c>
      <x:c r="D346" s="8" t="str">
        <x:v>Proiect fotovoltaic</x:v>
      </x:c>
      <x:c r="E346" s="8" t="str">
        <x:v>.png</x:v>
      </x:c>
      <x:c r="F346" s="8" t="n">
        <x:v>7874597</x:v>
      </x:c>
      <x:c r="G346" s="8" t="str">
        <x:v>Inventariat; conținut neextras</x:v>
      </x:c>
      <x:c r="H346" s="8" t="str">
        <x:v>Document local; transmiterea individuală neconfirmată</x:v>
      </x:c>
      <x:c r="I346" s="8" t="str"/>
      <x:c r="J346" s="8" t="e">
        <x:f>HYPERLINK("file:///Z:/00. Proiecte 2025/AFIR FotoVoltaic 1/10. Contractare/3. SF/1. Contract de inchiriere IPEC SA cu Cesiro Production semnat_Page_1.png","Deschide sursa")</x:f>
        <x:v>HYPERLINK is not implemented. linkLocation=file:///Z:/00. Proiecte 2025/AFIR FotoVoltaic 1/10. Contractare/3. SF/1. Contract de inchiriere IPEC SA cu Cesiro Production semnat_Page_1.png, friendlyName=Deschide sursa</x:v>
      </x:c>
    </x:row>
    <x:row r="347" ht="36" customHeight="1">
      <x:c r="A347" s="8" t="str">
        <x:v>F0343</x:v>
      </x:c>
      <x:c r="B347" s="8" t="str">
        <x:v>1. Contract de inchiriere IPEC SA cu Cesiro Production semnat_Page_2.png</x:v>
      </x:c>
      <x:c r="C347" s="8" t="str">
        <x:v>10. Contractare</x:v>
      </x:c>
      <x:c r="D347" s="8" t="str">
        <x:v>Proiect fotovoltaic</x:v>
      </x:c>
      <x:c r="E347" s="8" t="str">
        <x:v>.png</x:v>
      </x:c>
      <x:c r="F347" s="8" t="n">
        <x:v>4919159</x:v>
      </x:c>
      <x:c r="G347" s="8" t="str">
        <x:v>Inventariat; conținut neextras</x:v>
      </x:c>
      <x:c r="H347" s="8" t="str">
        <x:v>Document local; transmiterea individuală neconfirmată</x:v>
      </x:c>
      <x:c r="I347" s="8" t="str"/>
      <x:c r="J347" s="8" t="e">
        <x:f>HYPERLINK("file:///Z:/00. Proiecte 2025/AFIR FotoVoltaic 1/10. Contractare/3. SF/1. Contract de inchiriere IPEC SA cu Cesiro Production semnat_Page_2.png","Deschide sursa")</x:f>
        <x:v>HYPERLINK is not implemented. linkLocation=file:///Z:/00. Proiecte 2025/AFIR FotoVoltaic 1/10. Contractare/3. SF/1. Contract de inchiriere IPEC SA cu Cesiro Production semnat_Page_2.png, friendlyName=Deschide sursa</x:v>
      </x:c>
    </x:row>
    <x:row r="348" ht="36" customHeight="1">
      <x:c r="A348" s="8" t="str">
        <x:v>F0344</x:v>
      </x:c>
      <x:c r="B348" s="8" t="str">
        <x:v>1. Contract de inchiriere IPEC SA cu Cesiro Production semnat_Page_3.png</x:v>
      </x:c>
      <x:c r="C348" s="8" t="str">
        <x:v>10. Contractare</x:v>
      </x:c>
      <x:c r="D348" s="8" t="str">
        <x:v>Proiect fotovoltaic</x:v>
      </x:c>
      <x:c r="E348" s="8" t="str">
        <x:v>.png</x:v>
      </x:c>
      <x:c r="F348" s="8" t="n">
        <x:v>4576857</x:v>
      </x:c>
      <x:c r="G348" s="8" t="str">
        <x:v>Inventariat; conținut neextras</x:v>
      </x:c>
      <x:c r="H348" s="8" t="str">
        <x:v>Document local; transmiterea individuală neconfirmată</x:v>
      </x:c>
      <x:c r="I348" s="8" t="str"/>
      <x:c r="J348" s="8" t="e">
        <x:f>HYPERLINK("file:///Z:/00. Proiecte 2025/AFIR FotoVoltaic 1/10. Contractare/3. SF/1. Contract de inchiriere IPEC SA cu Cesiro Production semnat_Page_3.png","Deschide sursa")</x:f>
        <x:v>HYPERLINK is not implemented. linkLocation=file:///Z:/00. Proiecte 2025/AFIR FotoVoltaic 1/10. Contractare/3. SF/1. Contract de inchiriere IPEC SA cu Cesiro Production semnat_Page_3.png, friendlyName=Deschide sursa</x:v>
      </x:c>
    </x:row>
    <x:row r="349" ht="36" customHeight="1">
      <x:c r="A349" s="8" t="str">
        <x:v>F0345</x:v>
      </x:c>
      <x:c r="B349" s="8" t="str">
        <x:v>1. Contract de inchiriere IPEC SA cu Cesiro Production semnat_Page_4.png</x:v>
      </x:c>
      <x:c r="C349" s="8" t="str">
        <x:v>10. Contractare</x:v>
      </x:c>
      <x:c r="D349" s="8" t="str">
        <x:v>Proiect fotovoltaic</x:v>
      </x:c>
      <x:c r="E349" s="8" t="str">
        <x:v>.png</x:v>
      </x:c>
      <x:c r="F349" s="8" t="n">
        <x:v>201987</x:v>
      </x:c>
      <x:c r="G349" s="8" t="str">
        <x:v>Inventariat; conținut neextras</x:v>
      </x:c>
      <x:c r="H349" s="8" t="str">
        <x:v>Document local; transmiterea individuală neconfirmată</x:v>
      </x:c>
      <x:c r="I349" s="8" t="str"/>
      <x:c r="J349" s="8" t="e">
        <x:f>HYPERLINK("file:///Z:/00. Proiecte 2025/AFIR FotoVoltaic 1/10. Contractare/3. SF/1. Contract de inchiriere IPEC SA cu Cesiro Production semnat_Page_4.png","Deschide sursa")</x:f>
        <x:v>HYPERLINK is not implemented. linkLocation=file:///Z:/00. Proiecte 2025/AFIR FotoVoltaic 1/10. Contractare/3. SF/1. Contract de inchiriere IPEC SA cu Cesiro Production semnat_Page_4.png, friendlyName=Deschide sursa</x:v>
      </x:c>
    </x:row>
    <x:row r="350" ht="36" customHeight="1">
      <x:c r="A350" s="8" t="str">
        <x:v>F0346</x:v>
      </x:c>
      <x:c r="B350" s="8" t="str">
        <x:v>1. Contract de inchiriere IPEC SA cu Cesiro Production semnat_Page_5.png</x:v>
      </x:c>
      <x:c r="C350" s="8" t="str">
        <x:v>10. Contractare</x:v>
      </x:c>
      <x:c r="D350" s="8" t="str">
        <x:v>Proiect fotovoltaic</x:v>
      </x:c>
      <x:c r="E350" s="8" t="str">
        <x:v>.png</x:v>
      </x:c>
      <x:c r="F350" s="8" t="n">
        <x:v>1579490</x:v>
      </x:c>
      <x:c r="G350" s="8" t="str">
        <x:v>Inventariat; conținut neextras</x:v>
      </x:c>
      <x:c r="H350" s="8" t="str">
        <x:v>Document local; transmiterea individuală neconfirmată</x:v>
      </x:c>
      <x:c r="I350" s="8" t="str"/>
      <x:c r="J350" s="8" t="e">
        <x:f>HYPERLINK("file:///Z:/00. Proiecte 2025/AFIR FotoVoltaic 1/10. Contractare/3. SF/1. Contract de inchiriere IPEC SA cu Cesiro Production semnat_Page_5.png","Deschide sursa")</x:f>
        <x:v>HYPERLINK is not implemented. linkLocation=file:///Z:/00. Proiecte 2025/AFIR FotoVoltaic 1/10. Contractare/3. SF/1. Contract de inchiriere IPEC SA cu Cesiro Production semnat_Page_5.png, friendlyName=Deschide sursa</x:v>
      </x:c>
    </x:row>
    <x:row r="351" ht="36" customHeight="1">
      <x:c r="A351" s="8" t="str">
        <x:v>F0347</x:v>
      </x:c>
      <x:c r="B351" s="8" t="str">
        <x:v>1. Contract de inchiriere IPEC SA cu Cesiro Production semnat_Page_6.png</x:v>
      </x:c>
      <x:c r="C351" s="8" t="str">
        <x:v>10. Contractare</x:v>
      </x:c>
      <x:c r="D351" s="8" t="str">
        <x:v>Proiect fotovoltaic</x:v>
      </x:c>
      <x:c r="E351" s="8" t="str">
        <x:v>.png</x:v>
      </x:c>
      <x:c r="F351" s="8" t="n">
        <x:v>128087</x:v>
      </x:c>
      <x:c r="G351" s="8" t="str">
        <x:v>Inventariat; conținut neextras</x:v>
      </x:c>
      <x:c r="H351" s="8" t="str">
        <x:v>Document local; transmiterea individuală neconfirmată</x:v>
      </x:c>
      <x:c r="I351" s="8" t="str"/>
      <x:c r="J351" s="8" t="e">
        <x:f>HYPERLINK("file:///Z:/00. Proiecte 2025/AFIR FotoVoltaic 1/10. Contractare/3. SF/1. Contract de inchiriere IPEC SA cu Cesiro Production semnat_Page_6.png","Deschide sursa")</x:f>
        <x:v>HYPERLINK is not implemented. linkLocation=file:///Z:/00. Proiecte 2025/AFIR FotoVoltaic 1/10. Contractare/3. SF/1. Contract de inchiriere IPEC SA cu Cesiro Production semnat_Page_6.png, friendlyName=Deschide sursa</x:v>
      </x:c>
    </x:row>
    <x:row r="352" ht="36" customHeight="1">
      <x:c r="A352" s="8" t="str">
        <x:v>F0348</x:v>
      </x:c>
      <x:c r="B352" s="8" t="str">
        <x:v>2. Extras Carte Funciara semnat_Page_1.png</x:v>
      </x:c>
      <x:c r="C352" s="8" t="str">
        <x:v>10. Contractare</x:v>
      </x:c>
      <x:c r="D352" s="8" t="str">
        <x:v>Proiect fotovoltaic</x:v>
      </x:c>
      <x:c r="E352" s="8" t="str">
        <x:v>.png</x:v>
      </x:c>
      <x:c r="F352" s="8" t="n">
        <x:v>61319</x:v>
      </x:c>
      <x:c r="G352" s="8" t="str">
        <x:v>Inventariat; conținut neextras</x:v>
      </x:c>
      <x:c r="H352" s="8" t="str">
        <x:v>Document local; transmiterea individuală neconfirmată</x:v>
      </x:c>
      <x:c r="I352" s="8" t="str"/>
      <x:c r="J352" s="8" t="e">
        <x:f>HYPERLINK("file:///Z:/00. Proiecte 2025/AFIR FotoVoltaic 1/10. Contractare/3. SF/2. Extras Carte Funciara semnat_Page_1.png","Deschide sursa")</x:f>
        <x:v>HYPERLINK is not implemented. linkLocation=file:///Z:/00. Proiecte 2025/AFIR FotoVoltaic 1/10. Contractare/3. SF/2. Extras Carte Funciara semnat_Page_1.png, friendlyName=Deschide sursa</x:v>
      </x:c>
    </x:row>
    <x:row r="353" ht="36" customHeight="1">
      <x:c r="A353" s="8" t="str">
        <x:v>F0349</x:v>
      </x:c>
      <x:c r="B353" s="8" t="str">
        <x:v>2. Extras Carte Funciara semnat_Page_2.png</x:v>
      </x:c>
      <x:c r="C353" s="8" t="str">
        <x:v>10. Contractare</x:v>
      </x:c>
      <x:c r="D353" s="8" t="str">
        <x:v>Proiect fotovoltaic</x:v>
      </x:c>
      <x:c r="E353" s="8" t="str">
        <x:v>.png</x:v>
      </x:c>
      <x:c r="F353" s="8" t="n">
        <x:v>168843</x:v>
      </x:c>
      <x:c r="G353" s="8" t="str">
        <x:v>Inventariat; conținut neextras</x:v>
      </x:c>
      <x:c r="H353" s="8" t="str">
        <x:v>Document local; transmiterea individuală neconfirmată</x:v>
      </x:c>
      <x:c r="I353" s="8" t="str"/>
      <x:c r="J353" s="8" t="e">
        <x:f>HYPERLINK("file:///Z:/00. Proiecte 2025/AFIR FotoVoltaic 1/10. Contractare/3. SF/2. Extras Carte Funciara semnat_Page_2.png","Deschide sursa")</x:f>
        <x:v>HYPERLINK is not implemented. linkLocation=file:///Z:/00. Proiecte 2025/AFIR FotoVoltaic 1/10. Contractare/3. SF/2. Extras Carte Funciara semnat_Page_2.png, friendlyName=Deschide sursa</x:v>
      </x:c>
    </x:row>
    <x:row r="354" ht="36" customHeight="1">
      <x:c r="A354" s="8" t="str">
        <x:v>F0350</x:v>
      </x:c>
      <x:c r="B354" s="8" t="str">
        <x:v>2. Extras Carte Funciara semnat_Page_3.png</x:v>
      </x:c>
      <x:c r="C354" s="8" t="str">
        <x:v>10. Contractare</x:v>
      </x:c>
      <x:c r="D354" s="8" t="str">
        <x:v>Proiect fotovoltaic</x:v>
      </x:c>
      <x:c r="E354" s="8" t="str">
        <x:v>.png</x:v>
      </x:c>
      <x:c r="F354" s="8" t="n">
        <x:v>77043</x:v>
      </x:c>
      <x:c r="G354" s="8" t="str">
        <x:v>Inventariat; conținut neextras</x:v>
      </x:c>
      <x:c r="H354" s="8" t="str">
        <x:v>Document local; transmiterea individuală neconfirmată</x:v>
      </x:c>
      <x:c r="I354" s="8" t="str"/>
      <x:c r="J354" s="8" t="e">
        <x:f>HYPERLINK("file:///Z:/00. Proiecte 2025/AFIR FotoVoltaic 1/10. Contractare/3. SF/2. Extras Carte Funciara semnat_Page_3.png","Deschide sursa")</x:f>
        <x:v>HYPERLINK is not implemented. linkLocation=file:///Z:/00. Proiecte 2025/AFIR FotoVoltaic 1/10. Contractare/3. SF/2. Extras Carte Funciara semnat_Page_3.png, friendlyName=Deschide sursa</x:v>
      </x:c>
    </x:row>
    <x:row r="355" ht="36" customHeight="1">
      <x:c r="A355" s="8" t="str">
        <x:v>F0351</x:v>
      </x:c>
      <x:c r="B355" s="8" t="str">
        <x:v>Extras_Informare_3075 Carte Funciară Nr. 58300 Sighişoara Cesiro Production.pdf</x:v>
      </x:c>
      <x:c r="C355" s="8" t="str">
        <x:v>10. Contractare</x:v>
      </x:c>
      <x:c r="D355" s="8" t="str">
        <x:v>Proiect fotovoltaic</x:v>
      </x:c>
      <x:c r="E355" s="8" t="str">
        <x:v>.pdf</x:v>
      </x:c>
      <x:c r="F355" s="8" t="n">
        <x:v>161996</x:v>
      </x:c>
      <x:c r="G355" s="8" t="str">
        <x:v>Text extras</x:v>
      </x:c>
      <x:c r="H355" s="8" t="str">
        <x:v>Document local; transmiterea individuală neconfirmată</x:v>
      </x:c>
      <x:c r="I355" s="8" t="str"/>
      <x:c r="J355" s="8" t="e">
        <x:f>HYPERLINK("file:///Z:/00. Proiecte 2025/AFIR FotoVoltaic 1/10. Contractare/3. SF/Extras_Informare_3075 Carte Funciară Nr. 58300 Sighişoara Cesiro Production.pdf","Deschide sursa")</x:f>
        <x:v>HYPERLINK is not implemented. linkLocation=file:///Z:/00. Proiecte 2025/AFIR FotoVoltaic 1/10. Contractare/3. SF/Extras_Informare_3075 Carte Funciară Nr. 58300 Sighişoara Cesiro Production.pdf, friendlyName=Deschide sursa</x:v>
      </x:c>
    </x:row>
    <x:row r="356" ht="32" customHeight="1">
      <x:c r="A356" s="8" t="str">
        <x:v>F0352</x:v>
      </x:c>
      <x:c r="B356" s="8" t="str">
        <x:v>Foaie semnaturi SF Cesiro Production.jpg</x:v>
      </x:c>
      <x:c r="C356" s="8" t="str">
        <x:v>10. Contractare</x:v>
      </x:c>
      <x:c r="D356" s="8" t="str">
        <x:v>Proiect fotovoltaic</x:v>
      </x:c>
      <x:c r="E356" s="8" t="str">
        <x:v>.jpg</x:v>
      </x:c>
      <x:c r="F356" s="8" t="n">
        <x:v>1733153</x:v>
      </x:c>
      <x:c r="G356" s="8" t="str">
        <x:v>Inventariat; conținut neextras</x:v>
      </x:c>
      <x:c r="H356" s="8" t="str">
        <x:v>Document local; transmiterea individuală neconfirmată</x:v>
      </x:c>
      <x:c r="I356" s="8" t="str"/>
      <x:c r="J356" s="8" t="e">
        <x:f>HYPERLINK("file:///Z:/00. Proiecte 2025/AFIR FotoVoltaic 1/10. Contractare/3. SF/Foaie semnaturi SF Cesiro Production.jpg","Deschide sursa")</x:f>
        <x:v>HYPERLINK is not implemented. linkLocation=file:///Z:/00. Proiecte 2025/AFIR FotoVoltaic 1/10. Contractare/3. SF/Foaie semnaturi SF Cesiro Production.jpg, friendlyName=Deschide sursa</x:v>
      </x:c>
    </x:row>
    <x:row r="357" ht="32" customHeight="1">
      <x:c r="A357" s="8" t="str">
        <x:v>F0353</x:v>
      </x:c>
      <x:c r="B357" s="8" t="str">
        <x:v>Foaie semnaturi SF Cesiro Production.pdf</x:v>
      </x:c>
      <x:c r="C357" s="8" t="str">
        <x:v>10. Contractare</x:v>
      </x:c>
      <x:c r="D357" s="8" t="str">
        <x:v>Proiect fotovoltaic</x:v>
      </x:c>
      <x:c r="E357" s="8" t="str">
        <x:v>.pdf</x:v>
      </x:c>
      <x:c r="F357" s="8" t="n">
        <x:v>1734188</x:v>
      </x:c>
      <x:c r="G357" s="8" t="str">
        <x:v>Scan / text insuficient</x:v>
      </x:c>
      <x:c r="H357" s="8" t="str">
        <x:v>Document local; transmiterea individuală neconfirmată</x:v>
      </x:c>
      <x:c r="I357" s="8" t="str"/>
      <x:c r="J357" s="8" t="e">
        <x:f>HYPERLINK("file:///Z:/00. Proiecte 2025/AFIR FotoVoltaic 1/10. Contractare/3. SF/Foaie semnaturi SF Cesiro Production.pdf","Deschide sursa")</x:f>
        <x:v>HYPERLINK is not implemented. linkLocation=file:///Z:/00. Proiecte 2025/AFIR FotoVoltaic 1/10. Contractare/3. SF/Foaie semnaturi SF Cesiro Production.pdf, friendlyName=Deschide sursa</x:v>
      </x:c>
    </x:row>
    <x:row r="358" ht="32" customHeight="1">
      <x:c r="A358" s="8" t="str">
        <x:v>F0354</x:v>
      </x:c>
      <x:c r="B358" s="8" t="str">
        <x:v>Proiect Fotovoltaice Cesiro-Semnat.pdf</x:v>
      </x:c>
      <x:c r="C358" s="8" t="str">
        <x:v>10. Contractare</x:v>
      </x:c>
      <x:c r="D358" s="8" t="str">
        <x:v>Proiect fotovoltaic</x:v>
      </x:c>
      <x:c r="E358" s="8" t="str">
        <x:v>.pdf</x:v>
      </x:c>
      <x:c r="F358" s="8" t="n">
        <x:v>603873</x:v>
      </x:c>
      <x:c r="G358" s="8" t="str">
        <x:v>Text extras</x:v>
      </x:c>
      <x:c r="H358" s="8" t="str">
        <x:v>Document local; transmiterea individuală neconfirmată</x:v>
      </x:c>
      <x:c r="I358" s="8" t="str"/>
      <x:c r="J358" s="8" t="e">
        <x:f>HYPERLINK("file:///Z:/00. Proiecte 2025/AFIR FotoVoltaic 1/10. Contractare/3. SF/Proiect Fotovoltaice Cesiro-Semnat.pdf","Deschide sursa")</x:f>
        <x:v>HYPERLINK is not implemented. linkLocation=file:///Z:/00. Proiecte 2025/AFIR FotoVoltaic 1/10. Contractare/3. SF/Proiect Fotovoltaice Cesiro-Semnat.pdf, friendlyName=Deschide sursa</x:v>
      </x:c>
    </x:row>
    <x:row r="359" ht="36" customHeight="1">
      <x:c r="A359" s="8" t="str">
        <x:v>F0355</x:v>
      </x:c>
      <x:c r="B359" s="8" t="str">
        <x:v>Proiect Fotovoltaice Cesiro-Semnat[1]_Page_1.png</x:v>
      </x:c>
      <x:c r="C359" s="8" t="str">
        <x:v>10. Contractare</x:v>
      </x:c>
      <x:c r="D359" s="8" t="str">
        <x:v>Proiect fotovoltaic</x:v>
      </x:c>
      <x:c r="E359" s="8" t="str">
        <x:v>.png</x:v>
      </x:c>
      <x:c r="F359" s="8" t="n">
        <x:v>61705</x:v>
      </x:c>
      <x:c r="G359" s="8" t="str">
        <x:v>Inventariat; conținut neextras</x:v>
      </x:c>
      <x:c r="H359" s="8" t="str">
        <x:v>Document local; transmiterea individuală neconfirmată</x:v>
      </x:c>
      <x:c r="I359" s="8" t="str"/>
      <x:c r="J359" s="8" t="e">
        <x:f>HYPERLINK("file:///Z:/00. Proiecte 2025/AFIR FotoVoltaic 1/10. Contractare/3. SF/Proiect Fotovoltaice Cesiro-Semnat[1]_Page_1.png","Deschide sursa")</x:f>
        <x:v>HYPERLINK is not implemented. linkLocation=file:///Z:/00. Proiecte 2025/AFIR FotoVoltaic 1/10. Contractare/3. SF/Proiect Fotovoltaice Cesiro-Semnat[1]_Page_1.png, friendlyName=Deschide sursa</x:v>
      </x:c>
    </x:row>
    <x:row r="360" ht="36" customHeight="1">
      <x:c r="A360" s="8" t="str">
        <x:v>F0356</x:v>
      </x:c>
      <x:c r="B360" s="8" t="str">
        <x:v>Proiect Fotovoltaice Cesiro-Semnat[1]_Page_2.png</x:v>
      </x:c>
      <x:c r="C360" s="8" t="str">
        <x:v>10. Contractare</x:v>
      </x:c>
      <x:c r="D360" s="8" t="str">
        <x:v>Proiect fotovoltaic</x:v>
      </x:c>
      <x:c r="E360" s="8" t="str">
        <x:v>.png</x:v>
      </x:c>
      <x:c r="F360" s="8" t="n">
        <x:v>74729</x:v>
      </x:c>
      <x:c r="G360" s="8" t="str">
        <x:v>Inventariat; conținut neextras</x:v>
      </x:c>
      <x:c r="H360" s="8" t="str">
        <x:v>Document local; transmiterea individuală neconfirmată</x:v>
      </x:c>
      <x:c r="I360" s="8" t="str"/>
      <x:c r="J360" s="8" t="e">
        <x:f>HYPERLINK("file:///Z:/00. Proiecte 2025/AFIR FotoVoltaic 1/10. Contractare/3. SF/Proiect Fotovoltaice Cesiro-Semnat[1]_Page_2.png","Deschide sursa")</x:f>
        <x:v>HYPERLINK is not implemented. linkLocation=file:///Z:/00. Proiecte 2025/AFIR FotoVoltaic 1/10. Contractare/3. SF/Proiect Fotovoltaice Cesiro-Semnat[1]_Page_2.png, friendlyName=Deschide sursa</x:v>
      </x:c>
    </x:row>
    <x:row r="361" ht="36" customHeight="1">
      <x:c r="A361" s="8" t="str">
        <x:v>F0357</x:v>
      </x:c>
      <x:c r="B361" s="8" t="str">
        <x:v>Proiect Fotovoltaice Cesiro-Semnat[1]_Page_3.png</x:v>
      </x:c>
      <x:c r="C361" s="8" t="str">
        <x:v>10. Contractare</x:v>
      </x:c>
      <x:c r="D361" s="8" t="str">
        <x:v>Proiect fotovoltaic</x:v>
      </x:c>
      <x:c r="E361" s="8" t="str">
        <x:v>.png</x:v>
      </x:c>
      <x:c r="F361" s="8" t="n">
        <x:v>112581</x:v>
      </x:c>
      <x:c r="G361" s="8" t="str">
        <x:v>Inventariat; conținut neextras</x:v>
      </x:c>
      <x:c r="H361" s="8" t="str">
        <x:v>Document local; transmiterea individuală neconfirmată</x:v>
      </x:c>
      <x:c r="I361" s="8" t="str"/>
      <x:c r="J361" s="8" t="e">
        <x:f>HYPERLINK("file:///Z:/00. Proiecte 2025/AFIR FotoVoltaic 1/10. Contractare/3. SF/Proiect Fotovoltaice Cesiro-Semnat[1]_Page_3.png","Deschide sursa")</x:f>
        <x:v>HYPERLINK is not implemented. linkLocation=file:///Z:/00. Proiecte 2025/AFIR FotoVoltaic 1/10. Contractare/3. SF/Proiect Fotovoltaice Cesiro-Semnat[1]_Page_3.png, friendlyName=Deschide sursa</x:v>
      </x:c>
    </x:row>
    <x:row r="362" ht="36" customHeight="1">
      <x:c r="A362" s="8" t="str">
        <x:v>F0358</x:v>
      </x:c>
      <x:c r="B362" s="8" t="str">
        <x:v>Proiect Fotovoltaice Cesiro-Semnat[1]_Page_4.png</x:v>
      </x:c>
      <x:c r="C362" s="8" t="str">
        <x:v>10. Contractare</x:v>
      </x:c>
      <x:c r="D362" s="8" t="str">
        <x:v>Proiect fotovoltaic</x:v>
      </x:c>
      <x:c r="E362" s="8" t="str">
        <x:v>.png</x:v>
      </x:c>
      <x:c r="F362" s="8" t="n">
        <x:v>79518</x:v>
      </x:c>
      <x:c r="G362" s="8" t="str">
        <x:v>Inventariat; conținut neextras</x:v>
      </x:c>
      <x:c r="H362" s="8" t="str">
        <x:v>Document local; transmiterea individuală neconfirmată</x:v>
      </x:c>
      <x:c r="I362" s="8" t="str"/>
      <x:c r="J362" s="8" t="e">
        <x:f>HYPERLINK("file:///Z:/00. Proiecte 2025/AFIR FotoVoltaic 1/10. Contractare/3. SF/Proiect Fotovoltaice Cesiro-Semnat[1]_Page_4.png","Deschide sursa")</x:f>
        <x:v>HYPERLINK is not implemented. linkLocation=file:///Z:/00. Proiecte 2025/AFIR FotoVoltaic 1/10. Contractare/3. SF/Proiect Fotovoltaice Cesiro-Semnat[1]_Page_4.png, friendlyName=Deschide sursa</x:v>
      </x:c>
    </x:row>
    <x:row r="363" ht="36" customHeight="1">
      <x:c r="A363" s="8" t="str">
        <x:v>F0359</x:v>
      </x:c>
      <x:c r="B363" s="8" t="str">
        <x:v>Proiect Fotovoltaice Cesiro-Semnat[1]_Page_5.png</x:v>
      </x:c>
      <x:c r="C363" s="8" t="str">
        <x:v>10. Contractare</x:v>
      </x:c>
      <x:c r="D363" s="8" t="str">
        <x:v>Proiect fotovoltaic</x:v>
      </x:c>
      <x:c r="E363" s="8" t="str">
        <x:v>.png</x:v>
      </x:c>
      <x:c r="F363" s="8" t="n">
        <x:v>48041</x:v>
      </x:c>
      <x:c r="G363" s="8" t="str">
        <x:v>Inventariat; conținut neextras</x:v>
      </x:c>
      <x:c r="H363" s="8" t="str">
        <x:v>Document local; transmiterea individuală neconfirmată</x:v>
      </x:c>
      <x:c r="I363" s="8" t="str"/>
      <x:c r="J363" s="8" t="e">
        <x:f>HYPERLINK("file:///Z:/00. Proiecte 2025/AFIR FotoVoltaic 1/10. Contractare/3. SF/Proiect Fotovoltaice Cesiro-Semnat[1]_Page_5.png","Deschide sursa")</x:f>
        <x:v>HYPERLINK is not implemented. linkLocation=file:///Z:/00. Proiecte 2025/AFIR FotoVoltaic 1/10. Contractare/3. SF/Proiect Fotovoltaice Cesiro-Semnat[1]_Page_5.png, friendlyName=Deschide sursa</x:v>
      </x:c>
    </x:row>
    <x:row r="364" ht="36" customHeight="1">
      <x:c r="A364" s="8" t="str">
        <x:v>F0360</x:v>
      </x:c>
      <x:c r="B364" s="8" t="str">
        <x:v>Studiul de Fezabilitate Cesiro Production .docx</x:v>
      </x:c>
      <x:c r="C364" s="8" t="str">
        <x:v>10. Contractare</x:v>
      </x:c>
      <x:c r="D364" s="8" t="str">
        <x:v>Proiect fotovoltaic</x:v>
      </x:c>
      <x:c r="E364" s="8" t="str">
        <x:v>.docx</x:v>
      </x:c>
      <x:c r="F364" s="8" t="n">
        <x:v>9409053</x:v>
      </x:c>
      <x:c r="G364" s="8" t="str">
        <x:v>Text extras</x:v>
      </x:c>
      <x:c r="H364" s="8" t="str">
        <x:v>Document local; transmiterea individuală neconfirmată</x:v>
      </x:c>
      <x:c r="I364" s="8" t="str"/>
      <x:c r="J364" s="8" t="e">
        <x:f>HYPERLINK("file:///Z:/00. Proiecte 2025/AFIR FotoVoltaic 1/10. Contractare/3. SF/Studiul de Fezabilitate Cesiro Production .docx","Deschide sursa")</x:f>
        <x:v>HYPERLINK is not implemented. linkLocation=file:///Z:/00. Proiecte 2025/AFIR FotoVoltaic 1/10. Contractare/3. SF/Studiul de Fezabilitate Cesiro Production .docx, friendlyName=Deschide sursa</x:v>
      </x:c>
    </x:row>
    <x:row r="365" ht="36" customHeight="1">
      <x:c r="A365" s="8" t="str">
        <x:v>F0361</x:v>
      </x:c>
      <x:c r="B365" s="8" t="str">
        <x:v>Studiul de Fezabilitate Cesiro Production FINAL.docx</x:v>
      </x:c>
      <x:c r="C365" s="8" t="str">
        <x:v>10. Contractare</x:v>
      </x:c>
      <x:c r="D365" s="8" t="str">
        <x:v>Proiect fotovoltaic</x:v>
      </x:c>
      <x:c r="E365" s="8" t="str">
        <x:v>.docx</x:v>
      </x:c>
      <x:c r="F365" s="8" t="n">
        <x:v>13312564</x:v>
      </x:c>
      <x:c r="G365" s="8" t="str">
        <x:v>Text extras</x:v>
      </x:c>
      <x:c r="H365" s="8" t="str">
        <x:v>Document local; transmiterea individuală neconfirmată</x:v>
      </x:c>
      <x:c r="I365" s="8" t="str"/>
      <x:c r="J365" s="8" t="e">
        <x:f>HYPERLINK("file:///Z:/00. Proiecte 2025/AFIR FotoVoltaic 1/10. Contractare/3. SF/Studiul de Fezabilitate Cesiro Production FINAL.docx","Deschide sursa")</x:f>
        <x:v>HYPERLINK is not implemented. linkLocation=file:///Z:/00. Proiecte 2025/AFIR FotoVoltaic 1/10. Contractare/3. SF/Studiul de Fezabilitate Cesiro Production FINAL.docx, friendlyName=Deschide sursa</x:v>
      </x:c>
    </x:row>
    <x:row r="366" ht="36" customHeight="1">
      <x:c r="A366" s="8" t="str">
        <x:v>F0362</x:v>
      </x:c>
      <x:c r="B366" s="8" t="str">
        <x:v>Studiul de Fezabilitate Cesiro Production FINAL.pdf</x:v>
      </x:c>
      <x:c r="C366" s="8" t="str">
        <x:v>10. Contractare</x:v>
      </x:c>
      <x:c r="D366" s="8" t="str">
        <x:v>Proiect fotovoltaic</x:v>
      </x:c>
      <x:c r="E366" s="8" t="str">
        <x:v>.pdf</x:v>
      </x:c>
      <x:c r="F366" s="8" t="n">
        <x:v>9782943</x:v>
      </x:c>
      <x:c r="G366" s="8" t="str">
        <x:v>Text extras</x:v>
      </x:c>
      <x:c r="H366" s="8" t="str">
        <x:v>Document local; transmiterea individuală neconfirmată</x:v>
      </x:c>
      <x:c r="I366" s="8" t="str"/>
      <x:c r="J366" s="8" t="e">
        <x:f>HYPERLINK("file:///Z:/00. Proiecte 2025/AFIR FotoVoltaic 1/10. Contractare/3. SF/Studiul de Fezabilitate Cesiro Production FINAL.pdf","Deschide sursa")</x:f>
        <x:v>HYPERLINK is not implemented. linkLocation=file:///Z:/00. Proiecte 2025/AFIR FotoVoltaic 1/10. Contractare/3. SF/Studiul de Fezabilitate Cesiro Production FINAL.pdf, friendlyName=Deschide sursa</x:v>
      </x:c>
    </x:row>
    <x:row r="367" ht="36" customHeight="1">
      <x:c r="A367" s="8" t="str">
        <x:v>F0363</x:v>
      </x:c>
      <x:c r="B367" s="8" t="str">
        <x:v>Studiul de Fezabilitate Cesiro Production Semnat.pdf</x:v>
      </x:c>
      <x:c r="C367" s="8" t="str">
        <x:v>10. Contractare</x:v>
      </x:c>
      <x:c r="D367" s="8" t="str">
        <x:v>Proiect fotovoltaic</x:v>
      </x:c>
      <x:c r="E367" s="8" t="str">
        <x:v>.pdf</x:v>
      </x:c>
      <x:c r="F367" s="8" t="n">
        <x:v>11888323</x:v>
      </x:c>
      <x:c r="G367" s="8" t="str">
        <x:v>Text extras</x:v>
      </x:c>
      <x:c r="H367" s="8" t="str">
        <x:v>Document local; transmiterea individuală neconfirmată</x:v>
      </x:c>
      <x:c r="I367" s="8" t="str"/>
      <x:c r="J367" s="8" t="e">
        <x:f>HYPERLINK("file:///Z:/00. Proiecte 2025/AFIR FotoVoltaic 1/10. Contractare/3. SF/Studiul de Fezabilitate Cesiro Production Semnat.pdf","Deschide sursa")</x:f>
        <x:v>HYPERLINK is not implemented. linkLocation=file:///Z:/00. Proiecte 2025/AFIR FotoVoltaic 1/10. Contractare/3. SF/Studiul de Fezabilitate Cesiro Production Semnat.pdf, friendlyName=Deschide sursa</x:v>
      </x:c>
    </x:row>
    <x:row r="368" ht="36" customHeight="1">
      <x:c r="A368" s="8" t="str">
        <x:v>F0364</x:v>
      </x:c>
      <x:c r="B368" s="8" t="str">
        <x:v>Copie a Oferta CEF 1mW Cesiro_Suntree Solar Tech_10.03.2025(1).xlsx</x:v>
      </x:c>
      <x:c r="C368" s="8" t="str">
        <x:v>10. Contractare</x:v>
      </x:c>
      <x:c r="D368" s="8" t="str">
        <x:v>Proiect fotovoltaic</x:v>
      </x:c>
      <x:c r="E368" s="8" t="str">
        <x:v>.xlsx</x:v>
      </x:c>
      <x:c r="F368" s="8" t="n">
        <x:v>1470278</x:v>
      </x:c>
      <x:c r="G368" s="8" t="str">
        <x:v>Inventariat; conținut neextras</x:v>
      </x:c>
      <x:c r="H368" s="8" t="str">
        <x:v>Document local; transmiterea individuală neconfirmată</x:v>
      </x:c>
      <x:c r="I368" s="8" t="str"/>
      <x:c r="J368" s="8" t="e">
        <x:f>HYPERLINK("file:///Z:/00. Proiecte 2025/AFIR FotoVoltaic 1/10. Contractare/Oferte/Copie a Oferta CEF 1mW Cesiro_Suntree Solar Tech_10.03.2025(1).xlsx","Deschide sursa")</x:f>
        <x:v>HYPERLINK is not implemented. linkLocation=file:///Z:/00. Proiecte 2025/AFIR FotoVoltaic 1/10. Contractare/Oferte/Copie a Oferta CEF 1mW Cesiro_Suntree Solar Tech_10.03.2025(1).xlsx, friendlyName=Deschide sursa</x:v>
      </x:c>
    </x:row>
    <x:row r="369" ht="36" customHeight="1">
      <x:c r="A369" s="8" t="str">
        <x:v>F0365</x:v>
      </x:c>
      <x:c r="B369" s="8" t="str">
        <x:v>ANEXA-4-ord-19-2022.docx</x:v>
      </x:c>
      <x:c r="C369" s="8" t="str">
        <x:v>10. Contractare</x:v>
      </x:c>
      <x:c r="D369" s="8" t="str">
        <x:v>Proiect fotovoltaic</x:v>
      </x:c>
      <x:c r="E369" s="8" t="str">
        <x:v>.docx</x:v>
      </x:c>
      <x:c r="F369" s="8" t="n">
        <x:v>30518</x:v>
      </x:c>
      <x:c r="G369" s="8" t="str">
        <x:v>Text extras</x:v>
      </x:c>
      <x:c r="H369" s="8" t="str">
        <x:v>Document local; transmiterea individuală neconfirmată</x:v>
      </x:c>
      <x:c r="I369" s="8" t="str"/>
      <x:c r="J369" s="8" t="e">
        <x:f>HYPERLINK("file:///Z:/00. Proiecte 2025/AFIR FotoVoltaic 1/10. Contractare/Studiu de Solutie Documente/ANEXA-4-ord-19-2022.docx","Deschide sursa")</x:f>
        <x:v>HYPERLINK is not implemented. linkLocation=file:///Z:/00. Proiecte 2025/AFIR FotoVoltaic 1/10. Contractare/Studiu de Solutie Documente/ANEXA-4-ord-19-2022.docx, friendlyName=Deschide sursa</x:v>
      </x:c>
    </x:row>
    <x:row r="370" ht="36" customHeight="1">
      <x:c r="A370" s="8" t="str">
        <x:v>F0366</x:v>
      </x:c>
      <x:c r="B370" s="8" t="str">
        <x:v>ANEXA-4-ord-19-2022.pdf</x:v>
      </x:c>
      <x:c r="C370" s="8" t="str">
        <x:v>10. Contractare</x:v>
      </x:c>
      <x:c r="D370" s="8" t="str">
        <x:v>Proiect fotovoltaic</x:v>
      </x:c>
      <x:c r="E370" s="8" t="str">
        <x:v>.pdf</x:v>
      </x:c>
      <x:c r="F370" s="8" t="n">
        <x:v>149209</x:v>
      </x:c>
      <x:c r="G370" s="8" t="str">
        <x:v>Text extras</x:v>
      </x:c>
      <x:c r="H370" s="8" t="str">
        <x:v>Document local; transmiterea individuală neconfirmată</x:v>
      </x:c>
      <x:c r="I370" s="8" t="str"/>
      <x:c r="J370" s="8" t="e">
        <x:f>HYPERLINK("file:///Z:/00. Proiecte 2025/AFIR FotoVoltaic 1/10. Contractare/Studiu de Solutie Documente/ANEXA-4-ord-19-2022.pdf","Deschide sursa")</x:f>
        <x:v>HYPERLINK is not implemented. linkLocation=file:///Z:/00. Proiecte 2025/AFIR FotoVoltaic 1/10. Contractare/Studiu de Solutie Documente/ANEXA-4-ord-19-2022.pdf, friendlyName=Deschide sursa</x:v>
      </x:c>
    </x:row>
    <x:row r="371" ht="36" customHeight="1">
      <x:c r="A371" s="8" t="str">
        <x:v>F0367</x:v>
      </x:c>
      <x:c r="B371" s="8" t="str">
        <x:v>Calendarul cu date exacte din contractul de finanțare nr. CFMSES011011372801030 AFIR.docx</x:v>
      </x:c>
      <x:c r="C371" s="8" t="str">
        <x:v>10. Contractare</x:v>
      </x:c>
      <x:c r="D371" s="8" t="str">
        <x:v>Proiect fotovoltaic</x:v>
      </x:c>
      <x:c r="E371" s="8" t="str">
        <x:v>.docx</x:v>
      </x:c>
      <x:c r="F371" s="8" t="n">
        <x:v>19225</x:v>
      </x:c>
      <x:c r="G371" s="8" t="str">
        <x:v>Text extras</x:v>
      </x:c>
      <x:c r="H371" s="8" t="str">
        <x:v>Document local; transmiterea individuală neconfirmată</x:v>
      </x:c>
      <x:c r="I371" s="8" t="str"/>
      <x:c r="J371" s="8" t="e">
        <x:f>HYPERLINK("file:///Z:/00. Proiecte 2025/AFIR FotoVoltaic 1/10. Contractare/Studiu de Solutie Documente/Calendarul cu date exacte din contractul de finanțare nr. CFMSES011011372801030 AFIR.docx","Deschide sursa")</x:f>
        <x:v>HYPERLINK is not implemented. linkLocation=file:///Z:/00. Proiecte 2025/AFIR FotoVoltaic 1/10. Contractare/Studiu de Solutie Documente/Calendarul cu date exacte din contractul de finanțare nr. CFMSES011011372801030 AFIR.docx, friendlyName=Deschide sursa</x:v>
      </x:c>
    </x:row>
    <x:row r="372" ht="36" customHeight="1">
      <x:c r="A372" s="8" t="str">
        <x:v>F0368</x:v>
      </x:c>
      <x:c r="B372" s="8" t="str">
        <x:v>Confirmare SF Cesiro Production.pdf</x:v>
      </x:c>
      <x:c r="C372" s="8" t="str">
        <x:v>10. Contractare</x:v>
      </x:c>
      <x:c r="D372" s="8" t="str">
        <x:v>Proiect fotovoltaic</x:v>
      </x:c>
      <x:c r="E372" s="8" t="str">
        <x:v>.pdf</x:v>
      </x:c>
      <x:c r="F372" s="8" t="n">
        <x:v>970374</x:v>
      </x:c>
      <x:c r="G372" s="8" t="str">
        <x:v>Text extras</x:v>
      </x:c>
      <x:c r="H372" s="8" t="str">
        <x:v>Document local; transmiterea individuală neconfirmată</x:v>
      </x:c>
      <x:c r="I372" s="8" t="str"/>
      <x:c r="J372" s="8" t="e">
        <x:f>HYPERLINK("file:///Z:/00. Proiecte 2025/AFIR FotoVoltaic 1/10. Contractare/Studiu de Solutie Documente/Confirmare SF Cesiro Production.pdf","Deschide sursa")</x:f>
        <x:v>HYPERLINK is not implemented. linkLocation=file:///Z:/00. Proiecte 2025/AFIR FotoVoltaic 1/10. Contractare/Studiu de Solutie Documente/Confirmare SF Cesiro Production.pdf, friendlyName=Deschide sursa</x:v>
      </x:c>
    </x:row>
    <x:row r="373" ht="36" customHeight="1">
      <x:c r="A373" s="8" t="str">
        <x:v>F0369</x:v>
      </x:c>
      <x:c r="B373" s="8" t="str">
        <x:v>Confirmare SF Cesiro Production.zip</x:v>
      </x:c>
      <x:c r="C373" s="8" t="str">
        <x:v>10. Contractare</x:v>
      </x:c>
      <x:c r="D373" s="8" t="str">
        <x:v>Proiect fotovoltaic</x:v>
      </x:c>
      <x:c r="E373" s="8" t="str">
        <x:v>.zip</x:v>
      </x:c>
      <x:c r="F373" s="8" t="n">
        <x:v>1335542</x:v>
      </x:c>
      <x:c r="G373" s="8" t="str">
        <x:v>Inventar ZIP</x:v>
      </x:c>
      <x:c r="H373" s="8" t="str">
        <x:v>Document local; transmiterea individuală neconfirmată</x:v>
      </x:c>
      <x:c r="I373" s="8" t="str"/>
      <x:c r="J373" s="8" t="e">
        <x:f>HYPERLINK("file:///Z:/00. Proiecte 2025/AFIR FotoVoltaic 1/10. Contractare/Studiu de Solutie Documente/Confirmare SF Cesiro Production.zip","Deschide sursa")</x:f>
        <x:v>HYPERLINK is not implemented. linkLocation=file:///Z:/00. Proiecte 2025/AFIR FotoVoltaic 1/10. Contractare/Studiu de Solutie Documente/Confirmare SF Cesiro Production.zip, friendlyName=Deschide sursa</x:v>
      </x:c>
    </x:row>
    <x:row r="374" ht="36" customHeight="1">
      <x:c r="A374" s="8" t="str">
        <x:v>F0370</x:v>
      </x:c>
      <x:c r="B374" s="8" t="str">
        <x:v>Pompe_de_c_ldur__ordonate.csv</x:v>
      </x:c>
      <x:c r="C374" s="8" t="str">
        <x:v>10. Contractare</x:v>
      </x:c>
      <x:c r="D374" s="8" t="str">
        <x:v>Proiect fotovoltaic</x:v>
      </x:c>
      <x:c r="E374" s="8" t="str">
        <x:v>.csv</x:v>
      </x:c>
      <x:c r="F374" s="8" t="n">
        <x:v>1185</x:v>
      </x:c>
      <x:c r="G374" s="8" t="str">
        <x:v>Inventariat; conținut neextras</x:v>
      </x:c>
      <x:c r="H374" s="8" t="str">
        <x:v>Document local; transmiterea individuală neconfirmată</x:v>
      </x:c>
      <x:c r="I374" s="8" t="str"/>
      <x:c r="J374" s="8" t="e">
        <x:f>HYPERLINK("file:///Z:/00. Proiecte 2025/AFIR FotoVoltaic 1/10. Contractare/Studiu de Solutie Documente/Pompe_de_c_ldur__ordonate.csv","Deschide sursa")</x:f>
        <x:v>HYPERLINK is not implemented. linkLocation=file:///Z:/00. Proiecte 2025/AFIR FotoVoltaic 1/10. Contractare/Studiu de Solutie Documente/Pompe_de_c_ldur__ordonate.csv, friendlyName=Deschide sursa</x:v>
      </x:c>
    </x:row>
    <x:row r="375" ht="36" customHeight="1">
      <x:c r="A375" s="8" t="str">
        <x:v>F0371</x:v>
      </x:c>
      <x:c r="B375" s="8" t="str">
        <x:v>Schita Monofilara Fotovoltaice Cesiro.pdf</x:v>
      </x:c>
      <x:c r="C375" s="8" t="str">
        <x:v>10. Contractare</x:v>
      </x:c>
      <x:c r="D375" s="8" t="str">
        <x:v>Proiect fotovoltaic</x:v>
      </x:c>
      <x:c r="E375" s="8" t="str">
        <x:v>.pdf</x:v>
      </x:c>
      <x:c r="F375" s="8" t="n">
        <x:v>290748</x:v>
      </x:c>
      <x:c r="G375" s="8" t="str">
        <x:v>Text extras</x:v>
      </x:c>
      <x:c r="H375" s="8" t="str">
        <x:v>Document local; transmiterea individuală neconfirmată</x:v>
      </x:c>
      <x:c r="I375" s="8" t="str"/>
      <x:c r="J375" s="8" t="e">
        <x:f>HYPERLINK("file:///Z:/00. Proiecte 2025/AFIR FotoVoltaic 1/10. Contractare/Studiu de Solutie Documente/Schita Monofilara Fotovoltaice Cesiro.pdf","Deschide sursa")</x:f>
        <x:v>HYPERLINK is not implemented. linkLocation=file:///Z:/00. Proiecte 2025/AFIR FotoVoltaic 1/10. Contractare/Studiu de Solutie Documente/Schita Monofilara Fotovoltaice Cesiro.pdf, friendlyName=Deschide sursa</x:v>
      </x:c>
    </x:row>
    <x:row r="376" ht="36" customHeight="1">
      <x:c r="A376" s="8" t="str">
        <x:v>F0372</x:v>
      </x:c>
      <x:c r="B376" s="8" t="str">
        <x:v>Anexa nr 5.docx</x:v>
      </x:c>
      <x:c r="C376" s="8" t="str">
        <x:v>10. Contractare</x:v>
      </x:c>
      <x:c r="D376" s="8" t="str">
        <x:v>Proiect fotovoltaic</x:v>
      </x:c>
      <x:c r="E376" s="8" t="str">
        <x:v>.docx</x:v>
      </x:c>
      <x:c r="F376" s="8" t="n">
        <x:v>141475</x:v>
      </x:c>
      <x:c r="G376" s="8" t="str">
        <x:v>Text extras</x:v>
      </x:c>
      <x:c r="H376" s="8" t="str">
        <x:v>Document local; transmiterea individuală neconfirmată</x:v>
      </x:c>
      <x:c r="I376" s="8" t="str"/>
      <x:c r="J376" s="8" t="e">
        <x:f>HYPERLINK("file:///Z:/00. Proiecte 2025/AFIR FotoVoltaic 1/10. Contractare/1. Documente solicitate pentru contractare/ANPM/Anexa nr 5.docx","Deschide sursa")</x:f>
        <x:v>HYPERLINK is not implemented. linkLocation=file:///Z:/00. Proiecte 2025/AFIR FotoVoltaic 1/10. Contractare/1. Documente solicitate pentru contractare/ANPM/Anexa nr 5.docx, friendlyName=Deschide sursa</x:v>
      </x:c>
    </x:row>
    <x:row r="377" ht="36" customHeight="1">
      <x:c r="A377" s="8" t="str">
        <x:v>F0373</x:v>
      </x:c>
      <x:c r="B377" s="8" t="str">
        <x:v>Anexa nr 5.pdf</x:v>
      </x:c>
      <x:c r="C377" s="8" t="str">
        <x:v>10. Contractare</x:v>
      </x:c>
      <x:c r="D377" s="8" t="str">
        <x:v>Proiect fotovoltaic</x:v>
      </x:c>
      <x:c r="E377" s="8" t="str">
        <x:v>.pdf</x:v>
      </x:c>
      <x:c r="F377" s="8" t="n">
        <x:v>1271506</x:v>
      </x:c>
      <x:c r="G377" s="8" t="str">
        <x:v>Text extras</x:v>
      </x:c>
      <x:c r="H377" s="8" t="str">
        <x:v>Document local; transmiterea individuală neconfirmată</x:v>
      </x:c>
      <x:c r="I377" s="8" t="str"/>
      <x:c r="J377" s="8" t="e">
        <x:f>HYPERLINK("file:///Z:/00. Proiecte 2025/AFIR FotoVoltaic 1/10. Contractare/1. Documente solicitate pentru contractare/ANPM/Anexa nr 5.pdf","Deschide sursa")</x:f>
        <x:v>HYPERLINK is not implemented. linkLocation=file:///Z:/00. Proiecte 2025/AFIR FotoVoltaic 1/10. Contractare/1. Documente solicitate pentru contractare/ANPM/Anexa nr 5.pdf, friendlyName=Deschide sursa</x:v>
      </x:c>
    </x:row>
    <x:row r="378" ht="36" customHeight="1">
      <x:c r="A378" s="8" t="str">
        <x:v>F0374</x:v>
      </x:c>
      <x:c r="B378" s="8" t="str">
        <x:v>Dovada plata APM.pdf</x:v>
      </x:c>
      <x:c r="C378" s="8" t="str">
        <x:v>10. Contractare</x:v>
      </x:c>
      <x:c r="D378" s="8" t="str">
        <x:v>Proiect fotovoltaic</x:v>
      </x:c>
      <x:c r="E378" s="8" t="str">
        <x:v>.pdf</x:v>
      </x:c>
      <x:c r="F378" s="8" t="n">
        <x:v>229065</x:v>
      </x:c>
      <x:c r="G378" s="8" t="str">
        <x:v>Scan / text insuficient</x:v>
      </x:c>
      <x:c r="H378" s="8" t="str">
        <x:v>Document local; transmiterea individuală neconfirmată</x:v>
      </x:c>
      <x:c r="I378" s="8" t="str"/>
      <x:c r="J378" s="8" t="e">
        <x:f>HYPERLINK("file:///Z:/00. Proiecte 2025/AFIR FotoVoltaic 1/10. Contractare/1. Documente solicitate pentru contractare/ANPM/Dovada plata APM.pdf","Deschide sursa")</x:f>
        <x:v>HYPERLINK is not implemented. linkLocation=file:///Z:/00. Proiecte 2025/AFIR FotoVoltaic 1/10. Contractare/1. Documente solicitate pentru contractare/ANPM/Dovada plata APM.pdf, friendlyName=Deschide sursa</x:v>
      </x:c>
    </x:row>
    <x:row r="379" ht="36" customHeight="1">
      <x:c r="A379" s="8" t="str">
        <x:v>F0375</x:v>
      </x:c>
      <x:c r="B379" s="8" t="str">
        <x:v>Plan de inacadrare in zona.docx</x:v>
      </x:c>
      <x:c r="C379" s="8" t="str">
        <x:v>10. Contractare</x:v>
      </x:c>
      <x:c r="D379" s="8" t="str">
        <x:v>Proiect fotovoltaic</x:v>
      </x:c>
      <x:c r="E379" s="8" t="str">
        <x:v>.docx</x:v>
      </x:c>
      <x:c r="F379" s="8" t="n">
        <x:v>1171272</x:v>
      </x:c>
      <x:c r="G379" s="8" t="str">
        <x:v>Text extras</x:v>
      </x:c>
      <x:c r="H379" s="8" t="str">
        <x:v>Document local; transmiterea individuală neconfirmată</x:v>
      </x:c>
      <x:c r="I379" s="8" t="str"/>
      <x:c r="J379" s="8" t="e">
        <x:f>HYPERLINK("file:///Z:/00. Proiecte 2025/AFIR FotoVoltaic 1/10. Contractare/1. Documente solicitate pentru contractare/ANPM/Plan de inacadrare in zona.docx","Deschide sursa")</x:f>
        <x:v>HYPERLINK is not implemented. linkLocation=file:///Z:/00. Proiecte 2025/AFIR FotoVoltaic 1/10. Contractare/1. Documente solicitate pentru contractare/ANPM/Plan de inacadrare in zona.docx, friendlyName=Deschide sursa</x:v>
      </x:c>
    </x:row>
    <x:row r="380" ht="36" customHeight="1">
      <x:c r="A380" s="8" t="str">
        <x:v>F0376</x:v>
      </x:c>
      <x:c r="B380" s="8" t="str">
        <x:v>Plan de inacadrare in zona.pdf</x:v>
      </x:c>
      <x:c r="C380" s="8" t="str">
        <x:v>10. Contractare</x:v>
      </x:c>
      <x:c r="D380" s="8" t="str">
        <x:v>Proiect fotovoltaic</x:v>
      </x:c>
      <x:c r="E380" s="8" t="str">
        <x:v>.pdf</x:v>
      </x:c>
      <x:c r="F380" s="8" t="n">
        <x:v>204263</x:v>
      </x:c>
      <x:c r="G380" s="8" t="str">
        <x:v>Scan / text insuficient</x:v>
      </x:c>
      <x:c r="H380" s="8" t="str">
        <x:v>Document local; transmiterea individuală neconfirmată</x:v>
      </x:c>
      <x:c r="I380" s="8" t="str"/>
      <x:c r="J380" s="8" t="e">
        <x:f>HYPERLINK("file:///Z:/00. Proiecte 2025/AFIR FotoVoltaic 1/10. Contractare/1. Documente solicitate pentru contractare/ANPM/Plan de inacadrare in zona.pdf","Deschide sursa")</x:f>
        <x:v>HYPERLINK is not implemented. linkLocation=file:///Z:/00. Proiecte 2025/AFIR FotoVoltaic 1/10. Contractare/1. Documente solicitate pentru contractare/ANPM/Plan de inacadrare in zona.pdf, friendlyName=Deschide sursa</x:v>
      </x:c>
    </x:row>
    <x:row r="381" ht="36" customHeight="1">
      <x:c r="A381" s="8" t="str">
        <x:v>F0377</x:v>
      </x:c>
      <x:c r="B381" s="8" t="str">
        <x:v>Plan de situatie.docx</x:v>
      </x:c>
      <x:c r="C381" s="8" t="str">
        <x:v>10. Contractare</x:v>
      </x:c>
      <x:c r="D381" s="8" t="str">
        <x:v>Proiect fotovoltaic</x:v>
      </x:c>
      <x:c r="E381" s="8" t="str">
        <x:v>.docx</x:v>
      </x:c>
      <x:c r="F381" s="8" t="n">
        <x:v>147257</x:v>
      </x:c>
      <x:c r="G381" s="8" t="str">
        <x:v>Text extras</x:v>
      </x:c>
      <x:c r="H381" s="8" t="str">
        <x:v>Document local; transmiterea individuală neconfirmată</x:v>
      </x:c>
      <x:c r="I381" s="8" t="str"/>
      <x:c r="J381" s="8" t="e">
        <x:f>HYPERLINK("file:///Z:/00. Proiecte 2025/AFIR FotoVoltaic 1/10. Contractare/1. Documente solicitate pentru contractare/ANPM/Plan de situatie.docx","Deschide sursa")</x:f>
        <x:v>HYPERLINK is not implemented. linkLocation=file:///Z:/00. Proiecte 2025/AFIR FotoVoltaic 1/10. Contractare/1. Documente solicitate pentru contractare/ANPM/Plan de situatie.docx, friendlyName=Deschide sursa</x:v>
      </x:c>
    </x:row>
    <x:row r="382" ht="36" customHeight="1">
      <x:c r="A382" s="8" t="str">
        <x:v>F0378</x:v>
      </x:c>
      <x:c r="B382" s="8" t="str">
        <x:v>Plan de situatie.pdf</x:v>
      </x:c>
      <x:c r="C382" s="8" t="str">
        <x:v>10. Contractare</x:v>
      </x:c>
      <x:c r="D382" s="8" t="str">
        <x:v>Proiect fotovoltaic</x:v>
      </x:c>
      <x:c r="E382" s="8" t="str">
        <x:v>.pdf</x:v>
      </x:c>
      <x:c r="F382" s="8" t="n">
        <x:v>50181</x:v>
      </x:c>
      <x:c r="G382" s="8" t="str">
        <x:v>Scan / text insuficient</x:v>
      </x:c>
      <x:c r="H382" s="8" t="str">
        <x:v>Document local; transmiterea individuală neconfirmată</x:v>
      </x:c>
      <x:c r="I382" s="8" t="str"/>
      <x:c r="J382" s="8" t="e">
        <x:f>HYPERLINK("file:///Z:/00. Proiecte 2025/AFIR FotoVoltaic 1/10. Contractare/1. Documente solicitate pentru contractare/ANPM/Plan de situatie.pdf","Deschide sursa")</x:f>
        <x:v>HYPERLINK is not implemented. linkLocation=file:///Z:/00. Proiecte 2025/AFIR FotoVoltaic 1/10. Contractare/1. Documente solicitate pentru contractare/ANPM/Plan de situatie.pdf, friendlyName=Deschide sursa</x:v>
      </x:c>
    </x:row>
    <x:row r="383" ht="36" customHeight="1">
      <x:c r="A383" s="8" t="str">
        <x:v>F0379</x:v>
      </x:c>
      <x:c r="B383" s="8" t="str">
        <x:v>11. Declaratie prorpie raspundere CAEN.docx</x:v>
      </x:c>
      <x:c r="C383" s="8" t="str">
        <x:v>10. Contractare</x:v>
      </x:c>
      <x:c r="D383" s="8" t="str">
        <x:v>Proiect fotovoltaic</x:v>
      </x:c>
      <x:c r="E383" s="8" t="str">
        <x:v>.docx</x:v>
      </x:c>
      <x:c r="F383" s="8" t="n">
        <x:v>15640</x:v>
      </x:c>
      <x:c r="G383" s="8" t="str">
        <x:v>Text extras</x:v>
      </x:c>
      <x:c r="H383" s="8" t="str">
        <x:v>Versiune de lucru / arhivă</x:v>
      </x:c>
      <x:c r="I383" s="8" t="str"/>
      <x:c r="J383" s="8" t="e">
        <x:f>HYPERLINK("file:///Z:/00. Proiecte 2025/AFIR FotoVoltaic 1/10. Contractare/1. Documente solicitate pentru contractare/Arhiva/11. Declaratie prorpie raspundere CAEN.docx","Deschide sursa")</x:f>
        <x:v>HYPERLINK is not implemented. linkLocation=file:///Z:/00. Proiecte 2025/AFIR FotoVoltaic 1/10. Contractare/1. Documente solicitate pentru contractare/Arhiva/11. Declaratie prorpie raspundere CAEN.docx, friendlyName=Deschide sursa</x:v>
      </x:c>
    </x:row>
    <x:row r="384" ht="36" customHeight="1">
      <x:c r="A384" s="8" t="str">
        <x:v>F0380</x:v>
      </x:c>
      <x:c r="B384" s="8" t="str">
        <x:v>2. Declaratie proprie raspundere depunere ATR.docx</x:v>
      </x:c>
      <x:c r="C384" s="8" t="str">
        <x:v>10. Contractare</x:v>
      </x:c>
      <x:c r="D384" s="8" t="str">
        <x:v>Proiect fotovoltaic</x:v>
      </x:c>
      <x:c r="E384" s="8" t="str">
        <x:v>.docx</x:v>
      </x:c>
      <x:c r="F384" s="8" t="n">
        <x:v>16992</x:v>
      </x:c>
      <x:c r="G384" s="8" t="str">
        <x:v>Text extras</x:v>
      </x:c>
      <x:c r="H384" s="8" t="str">
        <x:v>Versiune de lucru / arhivă</x:v>
      </x:c>
      <x:c r="I384" s="8" t="str"/>
      <x:c r="J384" s="8" t="e">
        <x:f>HYPERLINK("file:///Z:/00. Proiecte 2025/AFIR FotoVoltaic 1/10. Contractare/1. Documente solicitate pentru contractare/Arhiva/2. Declaratie proprie raspundere depunere ATR.docx","Deschide sursa")</x:f>
        <x:v>HYPERLINK is not implemented. linkLocation=file:///Z:/00. Proiecte 2025/AFIR FotoVoltaic 1/10. Contractare/1. Documente solicitate pentru contractare/Arhiva/2. Declaratie proprie raspundere depunere ATR.docx, friendlyName=Deschide sursa</x:v>
      </x:c>
    </x:row>
    <x:row r="385" ht="36" customHeight="1">
      <x:c r="A385" s="8" t="str">
        <x:v>F0381</x:v>
      </x:c>
      <x:c r="B385" s="8" t="str">
        <x:v>8. Grafic de eșalonare.docx</x:v>
      </x:c>
      <x:c r="C385" s="8" t="str">
        <x:v>10. Contractare</x:v>
      </x:c>
      <x:c r="D385" s="8" t="str">
        <x:v>Proiect fotovoltaic</x:v>
      </x:c>
      <x:c r="E385" s="8" t="str">
        <x:v>.docx</x:v>
      </x:c>
      <x:c r="F385" s="8" t="n">
        <x:v>18652</x:v>
      </x:c>
      <x:c r="G385" s="8" t="str">
        <x:v>Text extras</x:v>
      </x:c>
      <x:c r="H385" s="8" t="str">
        <x:v>Versiune de lucru / arhivă</x:v>
      </x:c>
      <x:c r="I385" s="8" t="str"/>
      <x:c r="J385" s="8" t="e">
        <x:f>HYPERLINK("file:///Z:/00. Proiecte 2025/AFIR FotoVoltaic 1/10. Contractare/1. Documente solicitate pentru contractare/Arhiva/8. Grafic de eșalonare.docx","Deschide sursa")</x:f>
        <x:v>HYPERLINK is not implemented. linkLocation=file:///Z:/00. Proiecte 2025/AFIR FotoVoltaic 1/10. Contractare/1. Documente solicitate pentru contractare/Arhiva/8. Grafic de eșalonare.docx, friendlyName=Deschide sursa</x:v>
      </x:c>
    </x:row>
    <x:row r="386" ht="36" customHeight="1">
      <x:c r="A386" s="8" t="str">
        <x:v>F0382</x:v>
      </x:c>
      <x:c r="B386" s="8" t="str">
        <x:v>act CESIRO PRODUCTION 12.02.2024.pdf</x:v>
      </x:c>
      <x:c r="C386" s="8" t="str">
        <x:v>10. Contractare</x:v>
      </x:c>
      <x:c r="D386" s="8" t="str">
        <x:v>Proiect fotovoltaic</x:v>
      </x:c>
      <x:c r="E386" s="8" t="str">
        <x:v>.pdf</x:v>
      </x:c>
      <x:c r="F386" s="8" t="n">
        <x:v>99891</x:v>
      </x:c>
      <x:c r="G386" s="8" t="str">
        <x:v>Text extras</x:v>
      </x:c>
      <x:c r="H386" s="8" t="str">
        <x:v>Versiune de lucru / arhivă</x:v>
      </x:c>
      <x:c r="I386" s="8" t="str"/>
      <x:c r="J386" s="8" t="e">
        <x:f>HYPERLINK("file:///Z:/00. Proiecte 2025/AFIR FotoVoltaic 1/10. Contractare/1. Documente solicitate pentru contractare/Arhiva/act CESIRO PRODUCTION 12.02.2024.pdf","Deschide sursa")</x:f>
        <x:v>HYPERLINK is not implemented. linkLocation=file:///Z:/00. Proiecte 2025/AFIR FotoVoltaic 1/10. Contractare/1. Documente solicitate pentru contractare/Arhiva/act CESIRO PRODUCTION 12.02.2024.pdf, friendlyName=Deschide sursa</x:v>
      </x:c>
    </x:row>
    <x:row r="387" ht="36" customHeight="1">
      <x:c r="A387" s="8" t="str">
        <x:v>F0383</x:v>
      </x:c>
      <x:c r="B387" s="8" t="str">
        <x:v>Anexa AP 1.1- Identificare financiara ING.docx</x:v>
      </x:c>
      <x:c r="C387" s="8" t="str">
        <x:v>10. Contractare</x:v>
      </x:c>
      <x:c r="D387" s="8" t="str">
        <x:v>Proiect fotovoltaic</x:v>
      </x:c>
      <x:c r="E387" s="8" t="str">
        <x:v>.docx</x:v>
      </x:c>
      <x:c r="F387" s="8" t="n">
        <x:v>17883</x:v>
      </x:c>
      <x:c r="G387" s="8" t="str">
        <x:v>Text extras</x:v>
      </x:c>
      <x:c r="H387" s="8" t="str">
        <x:v>Versiune de lucru / arhivă</x:v>
      </x:c>
      <x:c r="I387" s="8" t="str"/>
      <x:c r="J387" s="8" t="e">
        <x:f>HYPERLINK("file:///Z:/00. Proiecte 2025/AFIR FotoVoltaic 1/10. Contractare/1. Documente solicitate pentru contractare/Arhiva/Anexa AP 1.1- Identificare financiara ING.docx","Deschide sursa")</x:f>
        <x:v>HYPERLINK is not implemented. linkLocation=file:///Z:/00. Proiecte 2025/AFIR FotoVoltaic 1/10. Contractare/1. Documente solicitate pentru contractare/Arhiva/Anexa AP 1.1- Identificare financiara ING.docx, friendlyName=Deschide sursa</x:v>
      </x:c>
    </x:row>
    <x:row r="388" ht="36" customHeight="1">
      <x:c r="A388" s="8" t="str">
        <x:v>F0384</x:v>
      </x:c>
      <x:c r="B388" s="8" t="str">
        <x:v>Cerere ATR pentru loc de consum si producere_modificat.doc</x:v>
      </x:c>
      <x:c r="C388" s="8" t="str">
        <x:v>10. Contractare</x:v>
      </x:c>
      <x:c r="D388" s="8" t="str">
        <x:v>Proiect fotovoltaic</x:v>
      </x:c>
      <x:c r="E388" s="8" t="str">
        <x:v>.doc</x:v>
      </x:c>
      <x:c r="F388" s="8" t="n">
        <x:v>301568</x:v>
      </x:c>
      <x:c r="G388" s="8" t="str">
        <x:v>Inventariat; conținut neextras</x:v>
      </x:c>
      <x:c r="H388" s="8" t="str">
        <x:v>Versiune de lucru / arhivă</x:v>
      </x:c>
      <x:c r="I388" s="8" t="str"/>
      <x:c r="J388" s="8" t="e">
        <x:f>HYPERLINK("file:///Z:/00. Proiecte 2025/AFIR FotoVoltaic 1/10. Contractare/1. Documente solicitate pentru contractare/Arhiva/Cerere ATR pentru loc de consum si producere_modificat.doc","Deschide sursa")</x:f>
        <x:v>HYPERLINK is not implemented. linkLocation=file:///Z:/00. Proiecte 2025/AFIR FotoVoltaic 1/10. Contractare/1. Documente solicitate pentru contractare/Arhiva/Cerere ATR pentru loc de consum si producere_modificat.doc, friendlyName=Deschide sursa</x:v>
      </x:c>
    </x:row>
    <x:row r="389" ht="36" customHeight="1">
      <x:c r="A389" s="8" t="str">
        <x:v>F0385</x:v>
      </x:c>
      <x:c r="B389" s="8" t="str">
        <x:v>CESIRO PRODUCTION SRL - Factura ONRC.jpg</x:v>
      </x:c>
      <x:c r="C389" s="8" t="str">
        <x:v>10. Contractare</x:v>
      </x:c>
      <x:c r="D389" s="8" t="str">
        <x:v>Proiect fotovoltaic</x:v>
      </x:c>
      <x:c r="E389" s="8" t="str">
        <x:v>.jpg</x:v>
      </x:c>
      <x:c r="F389" s="8" t="n">
        <x:v>163465</x:v>
      </x:c>
      <x:c r="G389" s="8" t="str">
        <x:v>Inventariat; conținut neextras</x:v>
      </x:c>
      <x:c r="H389" s="8" t="str">
        <x:v>Versiune de lucru / arhivă</x:v>
      </x:c>
      <x:c r="I389" s="8" t="str"/>
      <x:c r="J389" s="8" t="e">
        <x:f>HYPERLINK("file:///Z:/00. Proiecte 2025/AFIR FotoVoltaic 1/10. Contractare/1. Documente solicitate pentru contractare/Arhiva/CESIRO PRODUCTION SRL - Factura ONRC.jpg","Deschide sursa")</x:f>
        <x:v>HYPERLINK is not implemented. linkLocation=file:///Z:/00. Proiecte 2025/AFIR FotoVoltaic 1/10. Contractare/1. Documente solicitate pentru contractare/Arhiva/CESIRO PRODUCTION SRL - Factura ONRC.jpg, friendlyName=Deschide sursa</x:v>
      </x:c>
    </x:row>
    <x:row r="390" ht="36" customHeight="1">
      <x:c r="A390" s="8" t="str">
        <x:v>F0386</x:v>
      </x:c>
      <x:c r="B390" s="8" t="str">
        <x:v>CUI Cesiro Production SRL Alb Negru .pdf</x:v>
      </x:c>
      <x:c r="C390" s="8" t="str">
        <x:v>10. Contractare</x:v>
      </x:c>
      <x:c r="D390" s="8" t="str">
        <x:v>Proiect fotovoltaic</x:v>
      </x:c>
      <x:c r="E390" s="8" t="str">
        <x:v>.pdf</x:v>
      </x:c>
      <x:c r="F390" s="8" t="n">
        <x:v>611208</x:v>
      </x:c>
      <x:c r="G390" s="8" t="str">
        <x:v>Text extras</x:v>
      </x:c>
      <x:c r="H390" s="8" t="str">
        <x:v>Versiune de lucru / arhivă</x:v>
      </x:c>
      <x:c r="I390" s="8" t="str">
        <x:v>F0051</x:v>
      </x:c>
      <x:c r="J390" s="8" t="e">
        <x:f>HYPERLINK("file:///Z:/00. Proiecte 2025/AFIR FotoVoltaic 1/10. Contractare/1. Documente solicitate pentru contractare/Arhiva/CUI Cesiro Production SRL Alb Negru .pdf","Deschide sursa")</x:f>
        <x:v>HYPERLINK is not implemented. linkLocation=file:///Z:/00. Proiecte 2025/AFIR FotoVoltaic 1/10. Contractare/1. Documente solicitate pentru contractare/Arhiva/CUI Cesiro Production SRL Alb Negru .pdf, friendlyName=Deschide sursa</x:v>
      </x:c>
    </x:row>
    <x:row r="391" ht="36" customHeight="1">
      <x:c r="A391" s="8" t="str">
        <x:v>F0387</x:v>
      </x:c>
      <x:c r="B391" s="8" t="str">
        <x:v>Dovada asigurarii finantarii cheltuielilor neeligibile Veche .pdf</x:v>
      </x:c>
      <x:c r="C391" s="8" t="str">
        <x:v>10. Contractare</x:v>
      </x:c>
      <x:c r="D391" s="8" t="str">
        <x:v>Proiect fotovoltaic</x:v>
      </x:c>
      <x:c r="E391" s="8" t="str">
        <x:v>.pdf</x:v>
      </x:c>
      <x:c r="F391" s="8" t="n">
        <x:v>205677</x:v>
      </x:c>
      <x:c r="G391" s="8" t="str">
        <x:v>Text extras</x:v>
      </x:c>
      <x:c r="H391" s="8" t="str">
        <x:v>Versiune de lucru / arhivă</x:v>
      </x:c>
      <x:c r="I391" s="8" t="str">
        <x:v>F0148</x:v>
      </x:c>
      <x:c r="J391" s="8" t="e">
        <x:f>HYPERLINK("file:///Z:/00. Proiecte 2025/AFIR FotoVoltaic 1/10. Contractare/1. Documente solicitate pentru contractare/Arhiva/Dovada asigurarii finantarii cheltuielilor neeligibile Veche .pdf","Deschide sursa")</x:f>
        <x:v>HYPERLINK is not implemented. linkLocation=file:///Z:/00. Proiecte 2025/AFIR FotoVoltaic 1/10. Contractare/1. Documente solicitate pentru contractare/Arhiva/Dovada asigurarii finantarii cheltuielilor neeligibile Veche .pdf, friendlyName=Deschide sursa</x:v>
      </x:c>
    </x:row>
    <x:row r="392" ht="36" customHeight="1">
      <x:c r="A392" s="8" t="str">
        <x:v>F0388</x:v>
      </x:c>
      <x:c r="B392" s="8" t="str">
        <x:v>HOTĂRÂREA ADUNĂRII GENERALE A ASOCIAȚILOR Cesiro Production Deschidere Cont Exim Bank.docx</x:v>
      </x:c>
      <x:c r="C392" s="8" t="str">
        <x:v>10. Contractare</x:v>
      </x:c>
      <x:c r="D392" s="8" t="str">
        <x:v>Proiect fotovoltaic</x:v>
      </x:c>
      <x:c r="E392" s="8" t="str">
        <x:v>.docx</x:v>
      </x:c>
      <x:c r="F392" s="8" t="n">
        <x:v>15916</x:v>
      </x:c>
      <x:c r="G392" s="8" t="str">
        <x:v>Text extras</x:v>
      </x:c>
      <x:c r="H392" s="8" t="str">
        <x:v>Versiune de lucru / arhivă</x:v>
      </x:c>
      <x:c r="I392" s="8" t="str"/>
      <x:c r="J392" s="8" t="e">
        <x:f>HYPERLINK("file:///Z:/00. Proiecte 2025/AFIR FotoVoltaic 1/10. Contractare/1. Documente solicitate pentru contractare/Arhiva/HOTĂRÂREA ADUNĂRII GENERALE A ASOCIAȚILOR Cesiro Production Deschidere Cont Exim Bank.docx","Deschide sursa")</x:f>
        <x:v>HYPERLINK is not implemented. linkLocation=file:///Z:/00. Proiecte 2025/AFIR FotoVoltaic 1/10. Contractare/1. Documente solicitate pentru contractare/Arhiva/HOTĂRÂREA ADUNĂRII GENERALE A ASOCIAȚILOR Cesiro Production Deschidere Cont Exim Bank.docx, friendlyName=Deschide sursa</x:v>
      </x:c>
    </x:row>
    <x:row r="393" ht="36" customHeight="1">
      <x:c r="A393" s="8" t="str">
        <x:v>F0389</x:v>
      </x:c>
      <x:c r="B393" s="8" t="str">
        <x:v>IBAN CESIRO PRODUCTION ING.pdf</x:v>
      </x:c>
      <x:c r="C393" s="8" t="str">
        <x:v>10. Contractare</x:v>
      </x:c>
      <x:c r="D393" s="8" t="str">
        <x:v>Proiect fotovoltaic</x:v>
      </x:c>
      <x:c r="E393" s="8" t="str">
        <x:v>.pdf</x:v>
      </x:c>
      <x:c r="F393" s="8" t="n">
        <x:v>115570</x:v>
      </x:c>
      <x:c r="G393" s="8" t="str">
        <x:v>Text extras</x:v>
      </x:c>
      <x:c r="H393" s="8" t="str">
        <x:v>Versiune de lucru / arhivă</x:v>
      </x:c>
      <x:c r="I393" s="8" t="str"/>
      <x:c r="J393" s="8" t="e">
        <x:f>HYPERLINK("file:///Z:/00. Proiecte 2025/AFIR FotoVoltaic 1/10. Contractare/1. Documente solicitate pentru contractare/Arhiva/IBAN CESIRO PRODUCTION ING.pdf","Deschide sursa")</x:f>
        <x:v>HYPERLINK is not implemented. linkLocation=file:///Z:/00. Proiecte 2025/AFIR FotoVoltaic 1/10. Contractare/1. Documente solicitate pentru contractare/Arhiva/IBAN CESIRO PRODUCTION ING.pdf, friendlyName=Deschide sursa</x:v>
      </x:c>
    </x:row>
    <x:row r="394" ht="36" customHeight="1">
      <x:c r="A394" s="8" t="str">
        <x:v>F0390</x:v>
      </x:c>
      <x:c r="B394" s="8" t="str">
        <x:v>1. Oferta castigatoare Suntree Solar Tech SRL.pdf</x:v>
      </x:c>
      <x:c r="C394" s="8" t="str">
        <x:v>10. Contractare</x:v>
      </x:c>
      <x:c r="D394" s="8" t="str">
        <x:v>Proiect fotovoltaic</x:v>
      </x:c>
      <x:c r="E394" s="8" t="str">
        <x:v>.pdf</x:v>
      </x:c>
      <x:c r="F394" s="8" t="n">
        <x:v>7662971</x:v>
      </x:c>
      <x:c r="G394" s="8" t="str">
        <x:v>Text extras</x:v>
      </x:c>
      <x:c r="H394" s="8" t="str">
        <x:v>Document local; transmiterea individuală neconfirmată</x:v>
      </x:c>
      <x:c r="I394" s="8" t="str"/>
      <x:c r="J394" s="8" t="e">
        <x:f>HYPERLINK("file:///Z:/00. Proiecte 2025/AFIR FotoVoltaic 1/10. Contractare/1. Documente solicitate pentru contractare/DE SEMNAT/1. Oferta castigatoare Suntree Solar Tech SRL.pdf","Deschide sursa")</x:f>
        <x:v>HYPERLINK is not implemented. linkLocation=file:///Z:/00. Proiecte 2025/AFIR FotoVoltaic 1/10. Contractare/1. Documente solicitate pentru contractare/DE SEMNAT/1. Oferta castigatoare Suntree Solar Tech SRL.pdf, friendlyName=Deschide sursa</x:v>
      </x:c>
    </x:row>
    <x:row r="395" ht="36" customHeight="1">
      <x:c r="A395" s="8" t="str">
        <x:v>F0391</x:v>
      </x:c>
      <x:c r="B395" s="8" t="str">
        <x:v>10. Certificat constatator ONRC  Cesiro Production.pdf</x:v>
      </x:c>
      <x:c r="C395" s="8" t="str">
        <x:v>10. Contractare</x:v>
      </x:c>
      <x:c r="D395" s="8" t="str">
        <x:v>Proiect fotovoltaic</x:v>
      </x:c>
      <x:c r="E395" s="8" t="str">
        <x:v>.pdf</x:v>
      </x:c>
      <x:c r="F395" s="8" t="n">
        <x:v>793832</x:v>
      </x:c>
      <x:c r="G395" s="8" t="str">
        <x:v>Text extras</x:v>
      </x:c>
      <x:c r="H395" s="8" t="str">
        <x:v>Document local; transmiterea individuală neconfirmată</x:v>
      </x:c>
      <x:c r="I395" s="8" t="str">
        <x:v>F0227</x:v>
      </x:c>
      <x:c r="J395" s="8" t="e">
        <x:f>HYPERLINK("file:///Z:/00. Proiecte 2025/AFIR FotoVoltaic 1/10. Contractare/1. Documente solicitate pentru contractare/DE SEMNAT/10. Certificat constatator ONRC  Cesiro Production.pdf","Deschide sursa")</x:f>
        <x:v>HYPERLINK is not implemented. linkLocation=file:///Z:/00. Proiecte 2025/AFIR FotoVoltaic 1/10. Contractare/1. Documente solicitate pentru contractare/DE SEMNAT/10. Certificat constatator ONRC  Cesiro Production.pdf, friendlyName=Deschide sursa</x:v>
      </x:c>
    </x:row>
    <x:row r="396" ht="36" customHeight="1">
      <x:c r="A396" s="8" t="str">
        <x:v>F0392</x:v>
      </x:c>
      <x:c r="B396" s="8" t="str">
        <x:v>11. Declaratie prorpie raspundere CAEN.pdf</x:v>
      </x:c>
      <x:c r="C396" s="8" t="str">
        <x:v>10. Contractare</x:v>
      </x:c>
      <x:c r="D396" s="8" t="str">
        <x:v>Proiect fotovoltaic</x:v>
      </x:c>
      <x:c r="E396" s="8" t="str">
        <x:v>.pdf</x:v>
      </x:c>
      <x:c r="F396" s="8" t="n">
        <x:v>47811</x:v>
      </x:c>
      <x:c r="G396" s="8" t="str">
        <x:v>Text extras</x:v>
      </x:c>
      <x:c r="H396" s="8" t="str">
        <x:v>Document local; transmiterea individuală neconfirmată</x:v>
      </x:c>
      <x:c r="I396" s="8" t="str"/>
      <x:c r="J396" s="8" t="e">
        <x:f>HYPERLINK("file:///Z:/00. Proiecte 2025/AFIR FotoVoltaic 1/10. Contractare/1. Documente solicitate pentru contractare/DE SEMNAT/11. Declaratie prorpie raspundere CAEN.pdf","Deschide sursa")</x:f>
        <x:v>HYPERLINK is not implemented. linkLocation=file:///Z:/00. Proiecte 2025/AFIR FotoVoltaic 1/10. Contractare/1. Documente solicitate pentru contractare/DE SEMNAT/11. Declaratie prorpie raspundere CAEN.pdf, friendlyName=Deschide sursa</x:v>
      </x:c>
    </x:row>
    <x:row r="397" ht="36" customHeight="1">
      <x:c r="A397" s="8" t="str">
        <x:v>F0393</x:v>
      </x:c>
      <x:c r="B397" s="8" t="str">
        <x:v>11.1 Act constitutiv modificat .pdf</x:v>
      </x:c>
      <x:c r="C397" s="8" t="str">
        <x:v>10. Contractare</x:v>
      </x:c>
      <x:c r="D397" s="8" t="str">
        <x:v>Proiect fotovoltaic</x:v>
      </x:c>
      <x:c r="E397" s="8" t="str">
        <x:v>.pdf</x:v>
      </x:c>
      <x:c r="F397" s="8" t="n">
        <x:v>103586</x:v>
      </x:c>
      <x:c r="G397" s="8" t="str">
        <x:v>Text extras</x:v>
      </x:c>
      <x:c r="H397" s="8" t="str">
        <x:v>Document local; transmiterea individuală neconfirmată</x:v>
      </x:c>
      <x:c r="I397" s="8" t="str"/>
      <x:c r="J397" s="8" t="e">
        <x:f>HYPERLINK("file:///Z:/00. Proiecte 2025/AFIR FotoVoltaic 1/10. Contractare/1. Documente solicitate pentru contractare/DE SEMNAT/11.1 Act constitutiv modificat .pdf","Deschide sursa")</x:f>
        <x:v>HYPERLINK is not implemented. linkLocation=file:///Z:/00. Proiecte 2025/AFIR FotoVoltaic 1/10. Contractare/1. Documente solicitate pentru contractare/DE SEMNAT/11.1 Act constitutiv modificat .pdf, friendlyName=Deschide sursa</x:v>
      </x:c>
    </x:row>
    <x:row r="398" ht="36" customHeight="1">
      <x:c r="A398" s="8" t="str">
        <x:v>F0394</x:v>
      </x:c>
      <x:c r="B398" s="8" t="str">
        <x:v>11.2 Cesiro Production declaratie[1] ONRC.pdf</x:v>
      </x:c>
      <x:c r="C398" s="8" t="str">
        <x:v>10. Contractare</x:v>
      </x:c>
      <x:c r="D398" s="8" t="str">
        <x:v>Proiect fotovoltaic</x:v>
      </x:c>
      <x:c r="E398" s="8" t="str">
        <x:v>.pdf</x:v>
      </x:c>
      <x:c r="F398" s="8" t="n">
        <x:v>227681</x:v>
      </x:c>
      <x:c r="G398" s="8" t="str">
        <x:v>Text extras</x:v>
      </x:c>
      <x:c r="H398" s="8" t="str">
        <x:v>Document local; transmiterea individuală neconfirmată</x:v>
      </x:c>
      <x:c r="I398" s="8" t="str"/>
      <x:c r="J398" s="8" t="e">
        <x:f>HYPERLINK("file:///Z:/00. Proiecte 2025/AFIR FotoVoltaic 1/10. Contractare/1. Documente solicitate pentru contractare/DE SEMNAT/11.2 Cesiro Production declaratie[1] ONRC.pdf","Deschide sursa")</x:f>
        <x:v>HYPERLINK is not implemented. linkLocation=file:///Z:/00. Proiecte 2025/AFIR FotoVoltaic 1/10. Contractare/1. Documente solicitate pentru contractare/DE SEMNAT/11.2 Cesiro Production declaratie[1] ONRC.pdf, friendlyName=Deschide sursa</x:v>
      </x:c>
    </x:row>
    <x:row r="399" ht="36" customHeight="1">
      <x:c r="A399" s="8" t="str">
        <x:v>F0395</x:v>
      </x:c>
      <x:c r="B399" s="8" t="str">
        <x:v>11.3 Cesiro Production SRL 11-10-150[1]   ONRC.pdf</x:v>
      </x:c>
      <x:c r="C399" s="8" t="str">
        <x:v>10. Contractare</x:v>
      </x:c>
      <x:c r="D399" s="8" t="str">
        <x:v>Proiect fotovoltaic</x:v>
      </x:c>
      <x:c r="E399" s="8" t="str">
        <x:v>.pdf</x:v>
      </x:c>
      <x:c r="F399" s="8" t="n">
        <x:v>495171</x:v>
      </x:c>
      <x:c r="G399" s="8" t="str">
        <x:v>Text extras</x:v>
      </x:c>
      <x:c r="H399" s="8" t="str">
        <x:v>Document local; transmiterea individuală neconfirmată</x:v>
      </x:c>
      <x:c r="I399" s="8" t="str"/>
      <x:c r="J399" s="8" t="e">
        <x:f>HYPERLINK("file:///Z:/00. Proiecte 2025/AFIR FotoVoltaic 1/10. Contractare/1. Documente solicitate pentru contractare/DE SEMNAT/11.3 Cesiro Production SRL 11-10-150[1]   ONRC.pdf","Deschide sursa")</x:f>
        <x:v>HYPERLINK is not implemented. linkLocation=file:///Z:/00. Proiecte 2025/AFIR FotoVoltaic 1/10. Contractare/1. Documente solicitate pentru contractare/DE SEMNAT/11.3 Cesiro Production SRL 11-10-150[1]   ONRC.pdf, friendlyName=Deschide sursa</x:v>
      </x:c>
    </x:row>
    <x:row r="400" ht="36" customHeight="1">
      <x:c r="A400" s="8" t="str">
        <x:v>F0396</x:v>
      </x:c>
      <x:c r="B400" s="8" t="str">
        <x:v>11.4 Cesiro Production SRL - Factura ONRC.pdf</x:v>
      </x:c>
      <x:c r="C400" s="8" t="str">
        <x:v>10. Contractare</x:v>
      </x:c>
      <x:c r="D400" s="8" t="str">
        <x:v>Proiect fotovoltaic</x:v>
      </x:c>
      <x:c r="E400" s="8" t="str">
        <x:v>.pdf</x:v>
      </x:c>
      <x:c r="F400" s="8" t="n">
        <x:v>183278</x:v>
      </x:c>
      <x:c r="G400" s="8" t="str">
        <x:v>Scan / text insuficient</x:v>
      </x:c>
      <x:c r="H400" s="8" t="str">
        <x:v>Document local; transmiterea individuală neconfirmată</x:v>
      </x:c>
      <x:c r="I400" s="8" t="str"/>
      <x:c r="J400" s="8" t="e">
        <x:f>HYPERLINK("file:///Z:/00. Proiecte 2025/AFIR FotoVoltaic 1/10. Contractare/1. Documente solicitate pentru contractare/DE SEMNAT/11.4 Cesiro Production SRL - Factura ONRC.pdf","Deschide sursa")</x:f>
        <x:v>HYPERLINK is not implemented. linkLocation=file:///Z:/00. Proiecte 2025/AFIR FotoVoltaic 1/10. Contractare/1. Documente solicitate pentru contractare/DE SEMNAT/11.4 Cesiro Production SRL - Factura ONRC.pdf, friendlyName=Deschide sursa</x:v>
      </x:c>
    </x:row>
    <x:row r="401" ht="36" customHeight="1">
      <x:c r="A401" s="8" t="str">
        <x:v>F0397</x:v>
      </x:c>
      <x:c r="B401" s="8" t="str">
        <x:v>11.5 HOT CESIRO PRODUCTION - ob act 12.02.2024 ONRC .pdf</x:v>
      </x:c>
      <x:c r="C401" s="8" t="str">
        <x:v>10. Contractare</x:v>
      </x:c>
      <x:c r="D401" s="8" t="str">
        <x:v>Proiect fotovoltaic</x:v>
      </x:c>
      <x:c r="E401" s="8" t="str">
        <x:v>.pdf</x:v>
      </x:c>
      <x:c r="F401" s="8" t="n">
        <x:v>65710</x:v>
      </x:c>
      <x:c r="G401" s="8" t="str">
        <x:v>Text extras</x:v>
      </x:c>
      <x:c r="H401" s="8" t="str">
        <x:v>Document local; transmiterea individuală neconfirmată</x:v>
      </x:c>
      <x:c r="I401" s="8" t="str"/>
      <x:c r="J401" s="8" t="e">
        <x:f>HYPERLINK("file:///Z:/00. Proiecte 2025/AFIR FotoVoltaic 1/10. Contractare/1. Documente solicitate pentru contractare/DE SEMNAT/11.5 HOT CESIRO PRODUCTION - ob act 12.02.2024 ONRC .pdf","Deschide sursa")</x:f>
        <x:v>HYPERLINK is not implemented. linkLocation=file:///Z:/00. Proiecte 2025/AFIR FotoVoltaic 1/10. Contractare/1. Documente solicitate pentru contractare/DE SEMNAT/11.5 HOT CESIRO PRODUCTION - ob act 12.02.2024 ONRC .pdf, friendlyName=Deschide sursa</x:v>
      </x:c>
    </x:row>
    <x:row r="402" ht="36" customHeight="1">
      <x:c r="A402" s="8" t="str">
        <x:v>F0398</x:v>
      </x:c>
      <x:c r="B402" s="8" t="str">
        <x:v>12. CUI Cesiro Production Color.pdf</x:v>
      </x:c>
      <x:c r="C402" s="8" t="str">
        <x:v>10. Contractare</x:v>
      </x:c>
      <x:c r="D402" s="8" t="str">
        <x:v>Proiect fotovoltaic</x:v>
      </x:c>
      <x:c r="E402" s="8" t="str">
        <x:v>.pdf</x:v>
      </x:c>
      <x:c r="F402" s="8" t="n">
        <x:v>1192230</x:v>
      </x:c>
      <x:c r="G402" s="8" t="str">
        <x:v>Scan / text insuficient</x:v>
      </x:c>
      <x:c r="H402" s="8" t="str">
        <x:v>Document local; transmiterea individuală neconfirmată</x:v>
      </x:c>
      <x:c r="I402" s="8" t="str"/>
      <x:c r="J402" s="8" t="e">
        <x:f>HYPERLINK("file:///Z:/00. Proiecte 2025/AFIR FotoVoltaic 1/10. Contractare/1. Documente solicitate pentru contractare/DE SEMNAT/12. CUI Cesiro Production Color.pdf","Deschide sursa")</x:f>
        <x:v>HYPERLINK is not implemented. linkLocation=file:///Z:/00. Proiecte 2025/AFIR FotoVoltaic 1/10. Contractare/1. Documente solicitate pentru contractare/DE SEMNAT/12. CUI Cesiro Production Color.pdf, friendlyName=Deschide sursa</x:v>
      </x:c>
    </x:row>
    <x:row r="403" ht="36" customHeight="1">
      <x:c r="A403" s="8" t="str">
        <x:v>F0399</x:v>
      </x:c>
      <x:c r="B403" s="8" t="str">
        <x:v>2. Declaratie proprie raspundere depunere ATR.pdf</x:v>
      </x:c>
      <x:c r="C403" s="8" t="str">
        <x:v>10. Contractare</x:v>
      </x:c>
      <x:c r="D403" s="8" t="str">
        <x:v>Proiect fotovoltaic</x:v>
      </x:c>
      <x:c r="E403" s="8" t="str">
        <x:v>.pdf</x:v>
      </x:c>
      <x:c r="F403" s="8" t="n">
        <x:v>32967</x:v>
      </x:c>
      <x:c r="G403" s="8" t="str">
        <x:v>Text extras</x:v>
      </x:c>
      <x:c r="H403" s="8" t="str">
        <x:v>Document local; transmiterea individuală neconfirmată</x:v>
      </x:c>
      <x:c r="I403" s="8" t="str"/>
      <x:c r="J403" s="8" t="e">
        <x:f>HYPERLINK("file:///Z:/00. Proiecte 2025/AFIR FotoVoltaic 1/10. Contractare/1. Documente solicitate pentru contractare/DE SEMNAT/2. Declaratie proprie raspundere depunere ATR.pdf","Deschide sursa")</x:f>
        <x:v>HYPERLINK is not implemented. linkLocation=file:///Z:/00. Proiecte 2025/AFIR FotoVoltaic 1/10. Contractare/1. Documente solicitate pentru contractare/DE SEMNAT/2. Declaratie proprie raspundere depunere ATR.pdf, friendlyName=Deschide sursa</x:v>
      </x:c>
    </x:row>
    <x:row r="404" ht="36" customHeight="1">
      <x:c r="A404" s="8" t="str">
        <x:v>F0400</x:v>
      </x:c>
      <x:c r="B404" s="8" t="str">
        <x:v>3. EXIM BANK Extras de cont Cesiro Production SRL.pdf</x:v>
      </x:c>
      <x:c r="C404" s="8" t="str">
        <x:v>10. Contractare</x:v>
      </x:c>
      <x:c r="D404" s="8" t="str">
        <x:v>Proiect fotovoltaic</x:v>
      </x:c>
      <x:c r="E404" s="8" t="str">
        <x:v>.pdf</x:v>
      </x:c>
      <x:c r="F404" s="8" t="n">
        <x:v>231511</x:v>
      </x:c>
      <x:c r="G404" s="8" t="str">
        <x:v>Text extras</x:v>
      </x:c>
      <x:c r="H404" s="8" t="str">
        <x:v>Document local; transmiterea individuală neconfirmată</x:v>
      </x:c>
      <x:c r="I404" s="8" t="str"/>
      <x:c r="J404" s="8" t="e">
        <x:f>HYPERLINK("file:///Z:/00. Proiecte 2025/AFIR FotoVoltaic 1/10. Contractare/1. Documente solicitate pentru contractare/DE SEMNAT/3. EXIM BANK Extras de cont Cesiro Production SRL.pdf","Deschide sursa")</x:f>
        <x:v>HYPERLINK is not implemented. linkLocation=file:///Z:/00. Proiecte 2025/AFIR FotoVoltaic 1/10. Contractare/1. Documente solicitate pentru contractare/DE SEMNAT/3. EXIM BANK Extras de cont Cesiro Production SRL.pdf, friendlyName=Deschide sursa</x:v>
      </x:c>
    </x:row>
    <x:row r="405" ht="36" customHeight="1">
      <x:c r="A405" s="8" t="str">
        <x:v>F0401</x:v>
      </x:c>
      <x:c r="B405" s="8" t="str">
        <x:v>4. Notificare APM.pdf</x:v>
      </x:c>
      <x:c r="C405" s="8" t="str">
        <x:v>10. Contractare</x:v>
      </x:c>
      <x:c r="D405" s="8" t="str">
        <x:v>Proiect fotovoltaic</x:v>
      </x:c>
      <x:c r="E405" s="8" t="str">
        <x:v>.pdf</x:v>
      </x:c>
      <x:c r="F405" s="8" t="n">
        <x:v>370002</x:v>
      </x:c>
      <x:c r="G405" s="8" t="str">
        <x:v>Scan / text insuficient</x:v>
      </x:c>
      <x:c r="H405" s="8" t="str">
        <x:v>Document local; transmiterea individuală neconfirmată</x:v>
      </x:c>
      <x:c r="I405" s="8" t="str"/>
      <x:c r="J405" s="8" t="e">
        <x:f>HYPERLINK("file:///Z:/00. Proiecte 2025/AFIR FotoVoltaic 1/10. Contractare/1. Documente solicitate pentru contractare/DE SEMNAT/4. Notificare APM.pdf","Deschide sursa")</x:f>
        <x:v>HYPERLINK is not implemented. linkLocation=file:///Z:/00. Proiecte 2025/AFIR FotoVoltaic 1/10. Contractare/1. Documente solicitate pentru contractare/DE SEMNAT/4. Notificare APM.pdf, friendlyName=Deschide sursa</x:v>
      </x:c>
    </x:row>
    <x:row r="406" ht="36" customHeight="1">
      <x:c r="A406" s="8" t="str">
        <x:v>F0402</x:v>
      </x:c>
      <x:c r="B406" s="8" t="str">
        <x:v>5. Certificat de atestare fiscala Cesiro Production SRL.pdf</x:v>
      </x:c>
      <x:c r="C406" s="8" t="str">
        <x:v>10. Contractare</x:v>
      </x:c>
      <x:c r="D406" s="8" t="str">
        <x:v>Proiect fotovoltaic</x:v>
      </x:c>
      <x:c r="E406" s="8" t="str">
        <x:v>.pdf</x:v>
      </x:c>
      <x:c r="F406" s="8" t="n">
        <x:v>177333</x:v>
      </x:c>
      <x:c r="G406" s="8" t="str">
        <x:v>Text extras</x:v>
      </x:c>
      <x:c r="H406" s="8" t="str">
        <x:v>Document local; transmiterea individuală neconfirmată</x:v>
      </x:c>
      <x:c r="I406" s="8" t="str"/>
      <x:c r="J406" s="8" t="e">
        <x:f>HYPERLINK("file:///Z:/00. Proiecte 2025/AFIR FotoVoltaic 1/10. Contractare/1. Documente solicitate pentru contractare/DE SEMNAT/5. Certificat de atestare fiscala Cesiro Production SRL.pdf","Deschide sursa")</x:f>
        <x:v>HYPERLINK is not implemented. linkLocation=file:///Z:/00. Proiecte 2025/AFIR FotoVoltaic 1/10. Contractare/1. Documente solicitate pentru contractare/DE SEMNAT/5. Certificat de atestare fiscala Cesiro Production SRL.pdf, friendlyName=Deschide sursa</x:v>
      </x:c>
    </x:row>
    <x:row r="407" ht="36" customHeight="1">
      <x:c r="A407" s="8" t="str">
        <x:v>F0403</x:v>
      </x:c>
      <x:c r="B407" s="8" t="str">
        <x:v>6. CESIRO P. ADRESA CONTURI SEMNATA.pdf</x:v>
      </x:c>
      <x:c r="C407" s="8" t="str">
        <x:v>10. Contractare</x:v>
      </x:c>
      <x:c r="D407" s="8" t="str">
        <x:v>Proiect fotovoltaic</x:v>
      </x:c>
      <x:c r="E407" s="8" t="str">
        <x:v>.pdf</x:v>
      </x:c>
      <x:c r="F407" s="8" t="n">
        <x:v>311875</x:v>
      </x:c>
      <x:c r="G407" s="8" t="str">
        <x:v>Text extras</x:v>
      </x:c>
      <x:c r="H407" s="8" t="str">
        <x:v>Document local; transmiterea individuală neconfirmată</x:v>
      </x:c>
      <x:c r="I407" s="8" t="str"/>
      <x:c r="J407" s="8" t="e">
        <x:f>HYPERLINK("file:///Z:/00. Proiecte 2025/AFIR FotoVoltaic 1/10. Contractare/1. Documente solicitate pentru contractare/DE SEMNAT/6. CESIRO P. ADRESA CONTURI SEMNATA.pdf","Deschide sursa")</x:f>
        <x:v>HYPERLINK is not implemented. linkLocation=file:///Z:/00. Proiecte 2025/AFIR FotoVoltaic 1/10. Contractare/1. Documente solicitate pentru contractare/DE SEMNAT/6. CESIRO P. ADRESA CONTURI SEMNATA.pdf, friendlyName=Deschide sursa</x:v>
      </x:c>
    </x:row>
    <x:row r="408" ht="36" customHeight="1">
      <x:c r="A408" s="8" t="str">
        <x:v>F0404</x:v>
      </x:c>
      <x:c r="B408" s="8" t="str">
        <x:v>7. CI Cosmin Adrian Covaciu.pdf</x:v>
      </x:c>
      <x:c r="C408" s="8" t="str">
        <x:v>10. Contractare</x:v>
      </x:c>
      <x:c r="D408" s="8" t="str">
        <x:v>Proiect fotovoltaic</x:v>
      </x:c>
      <x:c r="E408" s="8" t="str">
        <x:v>.pdf</x:v>
      </x:c>
      <x:c r="F408" s="8" t="n">
        <x:v>158276</x:v>
      </x:c>
      <x:c r="G408" s="8" t="str">
        <x:v>Scan / text insuficient</x:v>
      </x:c>
      <x:c r="H408" s="8" t="str">
        <x:v>Document local; transmiterea individuală neconfirmată</x:v>
      </x:c>
      <x:c r="I408" s="8" t="str">
        <x:v>F0149</x:v>
      </x:c>
      <x:c r="J408" s="8" t="e">
        <x:f>HYPERLINK("file:///Z:/00. Proiecte 2025/AFIR FotoVoltaic 1/10. Contractare/1. Documente solicitate pentru contractare/DE SEMNAT/7. CI Cosmin Adrian Covaciu.pdf","Deschide sursa")</x:f>
        <x:v>HYPERLINK is not implemented. linkLocation=file:///Z:/00. Proiecte 2025/AFIR FotoVoltaic 1/10. Contractare/1. Documente solicitate pentru contractare/DE SEMNAT/7. CI Cosmin Adrian Covaciu.pdf, friendlyName=Deschide sursa</x:v>
      </x:c>
    </x:row>
    <x:row r="409" ht="36" customHeight="1">
      <x:c r="A409" s="8" t="str">
        <x:v>F0405</x:v>
      </x:c>
      <x:c r="B409" s="8" t="str">
        <x:v>8. Grafic de eșalonare.pdf</x:v>
      </x:c>
      <x:c r="C409" s="8" t="str">
        <x:v>10. Contractare</x:v>
      </x:c>
      <x:c r="D409" s="8" t="str">
        <x:v>Proiect fotovoltaic</x:v>
      </x:c>
      <x:c r="E409" s="8" t="str">
        <x:v>.pdf</x:v>
      </x:c>
      <x:c r="F409" s="8" t="n">
        <x:v>142566</x:v>
      </x:c>
      <x:c r="G409" s="8" t="str">
        <x:v>Text extras</x:v>
      </x:c>
      <x:c r="H409" s="8" t="str">
        <x:v>Document local; transmiterea individuală neconfirmată</x:v>
      </x:c>
      <x:c r="I409" s="8" t="str"/>
      <x:c r="J409" s="8" t="e">
        <x:f>HYPERLINK("file:///Z:/00. Proiecte 2025/AFIR FotoVoltaic 1/10. Contractare/1. Documente solicitate pentru contractare/DE SEMNAT/8. Grafic de eșalonare.pdf","Deschide sursa")</x:f>
        <x:v>HYPERLINK is not implemented. linkLocation=file:///Z:/00. Proiecte 2025/AFIR FotoVoltaic 1/10. Contractare/1. Documente solicitate pentru contractare/DE SEMNAT/8. Grafic de eșalonare.pdf, friendlyName=Deschide sursa</x:v>
      </x:c>
    </x:row>
    <x:row r="410" ht="36" customHeight="1">
      <x:c r="A410" s="8" t="str">
        <x:v>F0406</x:v>
      </x:c>
      <x:c r="B410" s="8" t="str">
        <x:v>9. Modificare ONRC+ Factura.pdf</x:v>
      </x:c>
      <x:c r="C410" s="8" t="str">
        <x:v>10. Contractare</x:v>
      </x:c>
      <x:c r="D410" s="8" t="str">
        <x:v>Proiect fotovoltaic</x:v>
      </x:c>
      <x:c r="E410" s="8" t="str">
        <x:v>.pdf</x:v>
      </x:c>
      <x:c r="F410" s="8" t="n">
        <x:v>340319</x:v>
      </x:c>
      <x:c r="G410" s="8" t="str">
        <x:v>Scan / text insuficient</x:v>
      </x:c>
      <x:c r="H410" s="8" t="str">
        <x:v>Document local; transmiterea individuală neconfirmată</x:v>
      </x:c>
      <x:c r="I410" s="8" t="str"/>
      <x:c r="J410" s="8" t="e">
        <x:f>HYPERLINK("file:///Z:/00. Proiecte 2025/AFIR FotoVoltaic 1/10. Contractare/1. Documente solicitate pentru contractare/DE SEMNAT/9. Modificare ONRC+ Factura.pdf","Deschide sursa")</x:f>
        <x:v>HYPERLINK is not implemented. linkLocation=file:///Z:/00. Proiecte 2025/AFIR FotoVoltaic 1/10. Contractare/1. Documente solicitate pentru contractare/DE SEMNAT/9. Modificare ONRC+ Factura.pdf, friendlyName=Deschide sursa</x:v>
      </x:c>
    </x:row>
    <x:row r="411" ht="36" customHeight="1">
      <x:c r="A411" s="8" t="str">
        <x:v>F0407</x:v>
      </x:c>
      <x:c r="B411" s="8" t="str">
        <x:v>1. Oferta castigatoare Suntree Solar Tech SRL semnat.pdf</x:v>
      </x:c>
      <x:c r="C411" s="8" t="str">
        <x:v>10. Contractare</x:v>
      </x:c>
      <x:c r="D411" s="8" t="str">
        <x:v>Proiect fotovoltaic</x:v>
      </x:c>
      <x:c r="E411" s="8" t="str">
        <x:v>.pdf</x:v>
      </x:c>
      <x:c r="F411" s="8" t="n">
        <x:v>7784424</x:v>
      </x:c>
      <x:c r="G411" s="8" t="str">
        <x:v>Text extras</x:v>
      </x:c>
      <x:c r="H411" s="8" t="str">
        <x:v>Document local; transmiterea individuală neconfirmată</x:v>
      </x:c>
      <x:c r="I411" s="8" t="str"/>
      <x:c r="J411" s="8" t="e">
        <x:f>HYPERLINK("file:///Z:/00. Proiecte 2025/AFIR FotoVoltaic 1/10. Contractare/1. Documente solicitate pentru contractare/SEMNATE/1. Oferta castigatoare Suntree Solar Tech SRL semnat.pdf","Deschide sursa")</x:f>
        <x:v>HYPERLINK is not implemented. linkLocation=file:///Z:/00. Proiecte 2025/AFIR FotoVoltaic 1/10. Contractare/1. Documente solicitate pentru contractare/SEMNATE/1. Oferta castigatoare Suntree Solar Tech SRL semnat.pdf, friendlyName=Deschide sursa</x:v>
      </x:c>
    </x:row>
    <x:row r="412" ht="36" customHeight="1">
      <x:c r="A412" s="8" t="str">
        <x:v>F0408</x:v>
      </x:c>
      <x:c r="B412" s="8" t="str">
        <x:v>10. Certificat constatator ONRC  Cesiro Production semnat.pdf</x:v>
      </x:c>
      <x:c r="C412" s="8" t="str">
        <x:v>10. Contractare</x:v>
      </x:c>
      <x:c r="D412" s="8" t="str">
        <x:v>Proiect fotovoltaic</x:v>
      </x:c>
      <x:c r="E412" s="8" t="str">
        <x:v>.pdf</x:v>
      </x:c>
      <x:c r="F412" s="8" t="n">
        <x:v>918231</x:v>
      </x:c>
      <x:c r="G412" s="8" t="str">
        <x:v>Text extras</x:v>
      </x:c>
      <x:c r="H412" s="8" t="str">
        <x:v>Document local; transmiterea individuală neconfirmată</x:v>
      </x:c>
      <x:c r="I412" s="8" t="str"/>
      <x:c r="J412" s="8" t="e">
        <x:f>HYPERLINK("file:///Z:/00. Proiecte 2025/AFIR FotoVoltaic 1/10. Contractare/1. Documente solicitate pentru contractare/SEMNATE/10. Certificat constatator ONRC  Cesiro Production semnat.pdf","Deschide sursa")</x:f>
        <x:v>HYPERLINK is not implemented. linkLocation=file:///Z:/00. Proiecte 2025/AFIR FotoVoltaic 1/10. Contractare/1. Documente solicitate pentru contractare/SEMNATE/10. Certificat constatator ONRC  Cesiro Production semnat.pdf, friendlyName=Deschide sursa</x:v>
      </x:c>
    </x:row>
    <x:row r="413" ht="36" customHeight="1">
      <x:c r="A413" s="8" t="str">
        <x:v>F0409</x:v>
      </x:c>
      <x:c r="B413" s="8" t="str">
        <x:v>11. Declaratie prorpie raspundere CAEN semnat.pdf</x:v>
      </x:c>
      <x:c r="C413" s="8" t="str">
        <x:v>10. Contractare</x:v>
      </x:c>
      <x:c r="D413" s="8" t="str">
        <x:v>Proiect fotovoltaic</x:v>
      </x:c>
      <x:c r="E413" s="8" t="str">
        <x:v>.pdf</x:v>
      </x:c>
      <x:c r="F413" s="8" t="n">
        <x:v>165133</x:v>
      </x:c>
      <x:c r="G413" s="8" t="str">
        <x:v>Text extras</x:v>
      </x:c>
      <x:c r="H413" s="8" t="str">
        <x:v>Document local; transmiterea individuală neconfirmată</x:v>
      </x:c>
      <x:c r="I413" s="8" t="str"/>
      <x:c r="J413" s="8" t="e">
        <x:f>HYPERLINK("file:///Z:/00. Proiecte 2025/AFIR FotoVoltaic 1/10. Contractare/1. Documente solicitate pentru contractare/SEMNATE/11. Declaratie prorpie raspundere CAEN semnat.pdf","Deschide sursa")</x:f>
        <x:v>HYPERLINK is not implemented. linkLocation=file:///Z:/00. Proiecte 2025/AFIR FotoVoltaic 1/10. Contractare/1. Documente solicitate pentru contractare/SEMNATE/11. Declaratie prorpie raspundere CAEN semnat.pdf, friendlyName=Deschide sursa</x:v>
      </x:c>
    </x:row>
    <x:row r="414" ht="36" customHeight="1">
      <x:c r="A414" s="8" t="str">
        <x:v>F0410</x:v>
      </x:c>
      <x:c r="B414" s="8" t="str">
        <x:v>11.3 Cesiro Production SRL 11-10-150[1]   ONRC semnat.pdf</x:v>
      </x:c>
      <x:c r="C414" s="8" t="str">
        <x:v>10. Contractare</x:v>
      </x:c>
      <x:c r="D414" s="8" t="str">
        <x:v>Proiect fotovoltaic</x:v>
      </x:c>
      <x:c r="E414" s="8" t="str">
        <x:v>.pdf</x:v>
      </x:c>
      <x:c r="F414" s="8" t="n">
        <x:v>612432</x:v>
      </x:c>
      <x:c r="G414" s="8" t="str">
        <x:v>Text extras</x:v>
      </x:c>
      <x:c r="H414" s="8" t="str">
        <x:v>Document local; transmiterea individuală neconfirmată</x:v>
      </x:c>
      <x:c r="I414" s="8" t="str"/>
      <x:c r="J414" s="8" t="e">
        <x:f>HYPERLINK("file:///Z:/00. Proiecte 2025/AFIR FotoVoltaic 1/10. Contractare/1. Documente solicitate pentru contractare/SEMNATE/11.3 Cesiro Production SRL 11-10-150[1]   ONRC semnat.pdf","Deschide sursa")</x:f>
        <x:v>HYPERLINK is not implemented. linkLocation=file:///Z:/00. Proiecte 2025/AFIR FotoVoltaic 1/10. Contractare/1. Documente solicitate pentru contractare/SEMNATE/11.3 Cesiro Production SRL 11-10-150[1]   ONRC semnat.pdf, friendlyName=Deschide sursa</x:v>
      </x:c>
    </x:row>
    <x:row r="415" ht="36" customHeight="1">
      <x:c r="A415" s="8" t="str">
        <x:v>F0411</x:v>
      </x:c>
      <x:c r="B415" s="8" t="str">
        <x:v>11.4 Cesiro Production SRL - Factura ONRC semnat.pdf</x:v>
      </x:c>
      <x:c r="C415" s="8" t="str">
        <x:v>10. Contractare</x:v>
      </x:c>
      <x:c r="D415" s="8" t="str">
        <x:v>Proiect fotovoltaic</x:v>
      </x:c>
      <x:c r="E415" s="8" t="str">
        <x:v>.pdf</x:v>
      </x:c>
      <x:c r="F415" s="8" t="n">
        <x:v>301279</x:v>
      </x:c>
      <x:c r="G415" s="8" t="str">
        <x:v>Scan / text insuficient</x:v>
      </x:c>
      <x:c r="H415" s="8" t="str">
        <x:v>Document local; transmiterea individuală neconfirmată</x:v>
      </x:c>
      <x:c r="I415" s="8" t="str"/>
      <x:c r="J415" s="8" t="e">
        <x:f>HYPERLINK("file:///Z:/00. Proiecte 2025/AFIR FotoVoltaic 1/10. Contractare/1. Documente solicitate pentru contractare/SEMNATE/11.4 Cesiro Production SRL - Factura ONRC semnat.pdf","Deschide sursa")</x:f>
        <x:v>HYPERLINK is not implemented. linkLocation=file:///Z:/00. Proiecte 2025/AFIR FotoVoltaic 1/10. Contractare/1. Documente solicitate pentru contractare/SEMNATE/11.4 Cesiro Production SRL - Factura ONRC semnat.pdf, friendlyName=Deschide sursa</x:v>
      </x:c>
    </x:row>
    <x:row r="416" ht="36" customHeight="1">
      <x:c r="A416" s="8" t="str">
        <x:v>F0412</x:v>
      </x:c>
      <x:c r="B416" s="8" t="str">
        <x:v>11.5 HOT CESIRO PRODUCTION - ob act 12.02.2024 ONRC semnat .pdf</x:v>
      </x:c>
      <x:c r="C416" s="8" t="str">
        <x:v>10. Contractare</x:v>
      </x:c>
      <x:c r="D416" s="8" t="str">
        <x:v>Proiect fotovoltaic</x:v>
      </x:c>
      <x:c r="E416" s="8" t="str">
        <x:v>.pdf</x:v>
      </x:c>
      <x:c r="F416" s="8" t="n">
        <x:v>181644</x:v>
      </x:c>
      <x:c r="G416" s="8" t="str">
        <x:v>Text extras</x:v>
      </x:c>
      <x:c r="H416" s="8" t="str">
        <x:v>Document local; transmiterea individuală neconfirmată</x:v>
      </x:c>
      <x:c r="I416" s="8" t="str"/>
      <x:c r="J416" s="8" t="e">
        <x:f>HYPERLINK("file:///Z:/00. Proiecte 2025/AFIR FotoVoltaic 1/10. Contractare/1. Documente solicitate pentru contractare/SEMNATE/11.5 HOT CESIRO PRODUCTION - ob act 12.02.2024 ONRC semnat .pdf","Deschide sursa")</x:f>
        <x:v>HYPERLINK is not implemented. linkLocation=file:///Z:/00. Proiecte 2025/AFIR FotoVoltaic 1/10. Contractare/1. Documente solicitate pentru contractare/SEMNATE/11.5 HOT CESIRO PRODUCTION - ob act 12.02.2024 ONRC semnat .pdf, friendlyName=Deschide sursa</x:v>
      </x:c>
    </x:row>
    <x:row r="417" ht="36" customHeight="1">
      <x:c r="A417" s="8" t="str">
        <x:v>F0413</x:v>
      </x:c>
      <x:c r="B417" s="8" t="str">
        <x:v>12. CUI Cesiro Production Color semnat.pdf</x:v>
      </x:c>
      <x:c r="C417" s="8" t="str">
        <x:v>10. Contractare</x:v>
      </x:c>
      <x:c r="D417" s="8" t="str">
        <x:v>Proiect fotovoltaic</x:v>
      </x:c>
      <x:c r="E417" s="8" t="str">
        <x:v>.pdf</x:v>
      </x:c>
      <x:c r="F417" s="8" t="n">
        <x:v>1313499</x:v>
      </x:c>
      <x:c r="G417" s="8" t="str">
        <x:v>Scan / text insuficient</x:v>
      </x:c>
      <x:c r="H417" s="8" t="str">
        <x:v>Document local; transmiterea individuală neconfirmată</x:v>
      </x:c>
      <x:c r="I417" s="8" t="str"/>
      <x:c r="J417" s="8" t="e">
        <x:f>HYPERLINK("file:///Z:/00. Proiecte 2025/AFIR FotoVoltaic 1/10. Contractare/1. Documente solicitate pentru contractare/SEMNATE/12. CUI Cesiro Production Color semnat.pdf","Deschide sursa")</x:f>
        <x:v>HYPERLINK is not implemented. linkLocation=file:///Z:/00. Proiecte 2025/AFIR FotoVoltaic 1/10. Contractare/1. Documente solicitate pentru contractare/SEMNATE/12. CUI Cesiro Production Color semnat.pdf, friendlyName=Deschide sursa</x:v>
      </x:c>
    </x:row>
    <x:row r="418" ht="36" customHeight="1">
      <x:c r="A418" s="8" t="str">
        <x:v>F0414</x:v>
      </x:c>
      <x:c r="B418" s="8" t="str">
        <x:v>2. Declaratie proprie raspundere depunere ATR semnat.pdf</x:v>
      </x:c>
      <x:c r="C418" s="8" t="str">
        <x:v>10. Contractare</x:v>
      </x:c>
      <x:c r="D418" s="8" t="str">
        <x:v>Proiect fotovoltaic</x:v>
      </x:c>
      <x:c r="E418" s="8" t="str">
        <x:v>.pdf</x:v>
      </x:c>
      <x:c r="F418" s="8" t="n">
        <x:v>151397</x:v>
      </x:c>
      <x:c r="G418" s="8" t="str">
        <x:v>Text extras</x:v>
      </x:c>
      <x:c r="H418" s="8" t="str">
        <x:v>Document local; transmiterea individuală neconfirmată</x:v>
      </x:c>
      <x:c r="I418" s="8" t="str"/>
      <x:c r="J418" s="8" t="e">
        <x:f>HYPERLINK("file:///Z:/00. Proiecte 2025/AFIR FotoVoltaic 1/10. Contractare/1. Documente solicitate pentru contractare/SEMNATE/2. Declaratie proprie raspundere depunere ATR semnat.pdf","Deschide sursa")</x:f>
        <x:v>HYPERLINK is not implemented. linkLocation=file:///Z:/00. Proiecte 2025/AFIR FotoVoltaic 1/10. Contractare/1. Documente solicitate pentru contractare/SEMNATE/2. Declaratie proprie raspundere depunere ATR semnat.pdf, friendlyName=Deschide sursa</x:v>
      </x:c>
    </x:row>
    <x:row r="419" ht="36" customHeight="1">
      <x:c r="A419" s="8" t="str">
        <x:v>F0415</x:v>
      </x:c>
      <x:c r="B419" s="8" t="str">
        <x:v>3. EXIM BANK Extras de cont Cesiro Production SRL semnat.pdf</x:v>
      </x:c>
      <x:c r="C419" s="8" t="str">
        <x:v>10. Contractare</x:v>
      </x:c>
      <x:c r="D419" s="8" t="str">
        <x:v>Proiect fotovoltaic</x:v>
      </x:c>
      <x:c r="E419" s="8" t="str">
        <x:v>.pdf</x:v>
      </x:c>
      <x:c r="F419" s="8" t="n">
        <x:v>296489</x:v>
      </x:c>
      <x:c r="G419" s="8" t="str">
        <x:v>Text extras</x:v>
      </x:c>
      <x:c r="H419" s="8" t="str">
        <x:v>Document local; transmiterea individuală neconfirmată</x:v>
      </x:c>
      <x:c r="I419" s="8" t="str"/>
      <x:c r="J419" s="8" t="e">
        <x:f>HYPERLINK("file:///Z:/00. Proiecte 2025/AFIR FotoVoltaic 1/10. Contractare/1. Documente solicitate pentru contractare/SEMNATE/3. EXIM BANK Extras de cont Cesiro Production SRL semnat.pdf","Deschide sursa")</x:f>
        <x:v>HYPERLINK is not implemented. linkLocation=file:///Z:/00. Proiecte 2025/AFIR FotoVoltaic 1/10. Contractare/1. Documente solicitate pentru contractare/SEMNATE/3. EXIM BANK Extras de cont Cesiro Production SRL semnat.pdf, friendlyName=Deschide sursa</x:v>
      </x:c>
    </x:row>
    <x:row r="420" ht="36" customHeight="1">
      <x:c r="A420" s="8" t="str">
        <x:v>F0416</x:v>
      </x:c>
      <x:c r="B420" s="8" t="str">
        <x:v>4. Notificare APM semnat.pdf</x:v>
      </x:c>
      <x:c r="C420" s="8" t="str">
        <x:v>10. Contractare</x:v>
      </x:c>
      <x:c r="D420" s="8" t="str">
        <x:v>Proiect fotovoltaic</x:v>
      </x:c>
      <x:c r="E420" s="8" t="str">
        <x:v>.pdf</x:v>
      </x:c>
      <x:c r="F420" s="8" t="n">
        <x:v>491973</x:v>
      </x:c>
      <x:c r="G420" s="8" t="str">
        <x:v>Scan / text insuficient</x:v>
      </x:c>
      <x:c r="H420" s="8" t="str">
        <x:v>Document local; transmiterea individuală neconfirmată</x:v>
      </x:c>
      <x:c r="I420" s="8" t="str"/>
      <x:c r="J420" s="8" t="e">
        <x:f>HYPERLINK("file:///Z:/00. Proiecte 2025/AFIR FotoVoltaic 1/10. Contractare/1. Documente solicitate pentru contractare/SEMNATE/4. Notificare APM semnat.pdf","Deschide sursa")</x:f>
        <x:v>HYPERLINK is not implemented. linkLocation=file:///Z:/00. Proiecte 2025/AFIR FotoVoltaic 1/10. Contractare/1. Documente solicitate pentru contractare/SEMNATE/4. Notificare APM semnat.pdf, friendlyName=Deschide sursa</x:v>
      </x:c>
    </x:row>
    <x:row r="421" ht="36" customHeight="1">
      <x:c r="A421" s="8" t="str">
        <x:v>F0417</x:v>
      </x:c>
      <x:c r="B421" s="8" t="str">
        <x:v>5. Certificat de atestare fiscala Cesiro Production SRL semnat.pdf</x:v>
      </x:c>
      <x:c r="C421" s="8" t="str">
        <x:v>10. Contractare</x:v>
      </x:c>
      <x:c r="D421" s="8" t="str">
        <x:v>Proiect fotovoltaic</x:v>
      </x:c>
      <x:c r="E421" s="8" t="str">
        <x:v>.pdf</x:v>
      </x:c>
      <x:c r="F421" s="8" t="n">
        <x:v>351602</x:v>
      </x:c>
      <x:c r="G421" s="8" t="str">
        <x:v>Text extras</x:v>
      </x:c>
      <x:c r="H421" s="8" t="str">
        <x:v>Document local; transmiterea individuală neconfirmată</x:v>
      </x:c>
      <x:c r="I421" s="8" t="str"/>
      <x:c r="J421" s="8" t="e">
        <x:f>HYPERLINK("file:///Z:/00. Proiecte 2025/AFIR FotoVoltaic 1/10. Contractare/1. Documente solicitate pentru contractare/SEMNATE/5. Certificat de atestare fiscala Cesiro Production SRL semnat.pdf","Deschide sursa")</x:f>
        <x:v>HYPERLINK is not implemented. linkLocation=file:///Z:/00. Proiecte 2025/AFIR FotoVoltaic 1/10. Contractare/1. Documente solicitate pentru contractare/SEMNATE/5. Certificat de atestare fiscala Cesiro Production SRL semnat.pdf, friendlyName=Deschide sursa</x:v>
      </x:c>
    </x:row>
    <x:row r="422" ht="36" customHeight="1">
      <x:c r="A422" s="8" t="str">
        <x:v>F0418</x:v>
      </x:c>
      <x:c r="B422" s="8" t="str">
        <x:v>6. CESIRO P. ADRESA CONTURI SEMNATA semnat.pdf</x:v>
      </x:c>
      <x:c r="C422" s="8" t="str">
        <x:v>10. Contractare</x:v>
      </x:c>
      <x:c r="D422" s="8" t="str">
        <x:v>Proiect fotovoltaic</x:v>
      </x:c>
      <x:c r="E422" s="8" t="str">
        <x:v>.pdf</x:v>
      </x:c>
      <x:c r="F422" s="8" t="n">
        <x:v>378347</x:v>
      </x:c>
      <x:c r="G422" s="8" t="str">
        <x:v>Text extras</x:v>
      </x:c>
      <x:c r="H422" s="8" t="str">
        <x:v>Document local; transmiterea individuală neconfirmată</x:v>
      </x:c>
      <x:c r="I422" s="8" t="str"/>
      <x:c r="J422" s="8" t="e">
        <x:f>HYPERLINK("file:///Z:/00. Proiecte 2025/AFIR FotoVoltaic 1/10. Contractare/1. Documente solicitate pentru contractare/SEMNATE/6. CESIRO P. ADRESA CONTURI SEMNATA semnat.pdf","Deschide sursa")</x:f>
        <x:v>HYPERLINK is not implemented. linkLocation=file:///Z:/00. Proiecte 2025/AFIR FotoVoltaic 1/10. Contractare/1. Documente solicitate pentru contractare/SEMNATE/6. CESIRO P. ADRESA CONTURI SEMNATA semnat.pdf, friendlyName=Deschide sursa</x:v>
      </x:c>
    </x:row>
    <x:row r="423" ht="36" customHeight="1">
      <x:c r="A423" s="8" t="str">
        <x:v>F0419</x:v>
      </x:c>
      <x:c r="B423" s="8" t="str">
        <x:v>7. CI Cosmin Adrian Covaciu semnat.pdf</x:v>
      </x:c>
      <x:c r="C423" s="8" t="str">
        <x:v>10. Contractare</x:v>
      </x:c>
      <x:c r="D423" s="8" t="str">
        <x:v>Proiect fotovoltaic</x:v>
      </x:c>
      <x:c r="E423" s="8" t="str">
        <x:v>.pdf</x:v>
      </x:c>
      <x:c r="F423" s="8" t="n">
        <x:v>279896</x:v>
      </x:c>
      <x:c r="G423" s="8" t="str">
        <x:v>Scan / text insuficient</x:v>
      </x:c>
      <x:c r="H423" s="8" t="str">
        <x:v>Document local; transmiterea individuală neconfirmată</x:v>
      </x:c>
      <x:c r="I423" s="8" t="str"/>
      <x:c r="J423" s="8" t="e">
        <x:f>HYPERLINK("file:///Z:/00. Proiecte 2025/AFIR FotoVoltaic 1/10. Contractare/1. Documente solicitate pentru contractare/SEMNATE/7. CI Cosmin Adrian Covaciu semnat.pdf","Deschide sursa")</x:f>
        <x:v>HYPERLINK is not implemented. linkLocation=file:///Z:/00. Proiecte 2025/AFIR FotoVoltaic 1/10. Contractare/1. Documente solicitate pentru contractare/SEMNATE/7. CI Cosmin Adrian Covaciu semnat.pdf, friendlyName=Deschide sursa</x:v>
      </x:c>
    </x:row>
    <x:row r="424" ht="36" customHeight="1">
      <x:c r="A424" s="8" t="str">
        <x:v>F0420</x:v>
      </x:c>
      <x:c r="B424" s="8" t="str">
        <x:v>8. Grafic de eșalonare semnat.pdf</x:v>
      </x:c>
      <x:c r="C424" s="8" t="str">
        <x:v>10. Contractare</x:v>
      </x:c>
      <x:c r="D424" s="8" t="str">
        <x:v>Proiect fotovoltaic</x:v>
      </x:c>
      <x:c r="E424" s="8" t="str">
        <x:v>.pdf</x:v>
      </x:c>
      <x:c r="F424" s="8" t="n">
        <x:v>257080</x:v>
      </x:c>
      <x:c r="G424" s="8" t="str">
        <x:v>Text extras</x:v>
      </x:c>
      <x:c r="H424" s="8" t="str">
        <x:v>Document local; transmiterea individuală neconfirmată</x:v>
      </x:c>
      <x:c r="I424" s="8" t="str"/>
      <x:c r="J424" s="8" t="e">
        <x:f>HYPERLINK("file:///Z:/00. Proiecte 2025/AFIR FotoVoltaic 1/10. Contractare/1. Documente solicitate pentru contractare/SEMNATE/8. Grafic de eșalonare semnat.pdf","Deschide sursa")</x:f>
        <x:v>HYPERLINK is not implemented. linkLocation=file:///Z:/00. Proiecte 2025/AFIR FotoVoltaic 1/10. Contractare/1. Documente solicitate pentru contractare/SEMNATE/8. Grafic de eșalonare semnat.pdf, friendlyName=Deschide sursa</x:v>
      </x:c>
    </x:row>
    <x:row r="425" ht="36" customHeight="1">
      <x:c r="A425" s="8" t="str">
        <x:v>F0421</x:v>
      </x:c>
      <x:c r="B425" s="8" t="str">
        <x:v>9. Modificare ONRC+ Factura semnat.pdf</x:v>
      </x:c>
      <x:c r="C425" s="8" t="str">
        <x:v>10. Contractare</x:v>
      </x:c>
      <x:c r="D425" s="8" t="str">
        <x:v>Proiect fotovoltaic</x:v>
      </x:c>
      <x:c r="E425" s="8" t="str">
        <x:v>.pdf</x:v>
      </x:c>
      <x:c r="F425" s="8" t="n">
        <x:v>462190</x:v>
      </x:c>
      <x:c r="G425" s="8" t="str">
        <x:v>Scan / text insuficient</x:v>
      </x:c>
      <x:c r="H425" s="8" t="str">
        <x:v>Document local; transmiterea individuală neconfirmată</x:v>
      </x:c>
      <x:c r="I425" s="8" t="str"/>
      <x:c r="J425" s="8" t="e">
        <x:f>HYPERLINK("file:///Z:/00. Proiecte 2025/AFIR FotoVoltaic 1/10. Contractare/1. Documente solicitate pentru contractare/SEMNATE/9. Modificare ONRC+ Factura semnat.pdf","Deschide sursa")</x:f>
        <x:v>HYPERLINK is not implemented. linkLocation=file:///Z:/00. Proiecte 2025/AFIR FotoVoltaic 1/10. Contractare/1. Documente solicitate pentru contractare/SEMNATE/9. Modificare ONRC+ Factura semnat.pdf, friendlyName=Deschide sursa</x:v>
      </x:c>
    </x:row>
    <x:row r="426" ht="36" customHeight="1">
      <x:c r="A426" s="8" t="str">
        <x:v>F0422</x:v>
      </x:c>
      <x:c r="B426" s="8" t="str">
        <x:v>AnexaIII_FM.pdf</x:v>
      </x:c>
      <x:c r="C426" s="8" t="str">
        <x:v>10. Contractare</x:v>
      </x:c>
      <x:c r="D426" s="8" t="str">
        <x:v>Proiect fotovoltaic</x:v>
      </x:c>
      <x:c r="E426" s="8" t="str">
        <x:v>.pdf</x:v>
      </x:c>
      <x:c r="F426" s="8" t="n">
        <x:v>227660</x:v>
      </x:c>
      <x:c r="G426" s="8" t="str">
        <x:v>Text extras</x:v>
      </x:c>
      <x:c r="H426" s="8" t="str">
        <x:v>Document local; transmiterea individuală neconfirmată</x:v>
      </x:c>
      <x:c r="I426" s="8" t="str"/>
      <x:c r="J426" s="8" t="e">
        <x:f>HYPERLINK("file:///Z:/00. Proiecte 2025/AFIR FotoVoltaic 1/10. Contractare/2. Contractul de Finantare/De Semnat/AnexaIII_FM.pdf","Deschide sursa")</x:f>
        <x:v>HYPERLINK is not implemented. linkLocation=file:///Z:/00. Proiecte 2025/AFIR FotoVoltaic 1/10. Contractare/2. Contractul de Finantare/De Semnat/AnexaIII_FM.pdf, friendlyName=Deschide sursa</x:v>
      </x:c>
    </x:row>
    <x:row r="427" ht="36" customHeight="1">
      <x:c r="A427" s="8" t="str">
        <x:v>F0423</x:v>
      </x:c>
      <x:c r="B427" s="8" t="str">
        <x:v>AnexaII_FM.pdf</x:v>
      </x:c>
      <x:c r="C427" s="8" t="str">
        <x:v>10. Contractare</x:v>
      </x:c>
      <x:c r="D427" s="8" t="str">
        <x:v>Proiect fotovoltaic</x:v>
      </x:c>
      <x:c r="E427" s="8" t="str">
        <x:v>.pdf</x:v>
      </x:c>
      <x:c r="F427" s="8" t="n">
        <x:v>596614</x:v>
      </x:c>
      <x:c r="G427" s="8" t="str">
        <x:v>Text extras</x:v>
      </x:c>
      <x:c r="H427" s="8" t="str">
        <x:v>Document local; transmiterea individuală neconfirmată</x:v>
      </x:c>
      <x:c r="I427" s="8" t="str"/>
      <x:c r="J427" s="8" t="e">
        <x:f>HYPERLINK("file:///Z:/00. Proiecte 2025/AFIR FotoVoltaic 1/10. Contractare/2. Contractul de Finantare/De Semnat/AnexaII_FM.pdf","Deschide sursa")</x:f>
        <x:v>HYPERLINK is not implemented. linkLocation=file:///Z:/00. Proiecte 2025/AFIR FotoVoltaic 1/10. Contractare/2. Contractul de Finantare/De Semnat/AnexaII_FM.pdf, friendlyName=Deschide sursa</x:v>
      </x:c>
    </x:row>
    <x:row r="428" ht="36" customHeight="1">
      <x:c r="A428" s="8" t="str">
        <x:v>F0424</x:v>
      </x:c>
      <x:c r="B428" s="8" t="str">
        <x:v>AnexaIV_FM.pdf</x:v>
      </x:c>
      <x:c r="C428" s="8" t="str">
        <x:v>10. Contractare</x:v>
      </x:c>
      <x:c r="D428" s="8" t="str">
        <x:v>Proiect fotovoltaic</x:v>
      </x:c>
      <x:c r="E428" s="8" t="str">
        <x:v>.pdf</x:v>
      </x:c>
      <x:c r="F428" s="8" t="n">
        <x:v>308134</x:v>
      </x:c>
      <x:c r="G428" s="8" t="str">
        <x:v>Text extras</x:v>
      </x:c>
      <x:c r="H428" s="8" t="str">
        <x:v>Document local; transmiterea individuală neconfirmată</x:v>
      </x:c>
      <x:c r="I428" s="8" t="str"/>
      <x:c r="J428" s="8" t="e">
        <x:f>HYPERLINK("file:///Z:/00. Proiecte 2025/AFIR FotoVoltaic 1/10. Contractare/2. Contractul de Finantare/De Semnat/AnexaIV_FM.pdf","Deschide sursa")</x:f>
        <x:v>HYPERLINK is not implemented. linkLocation=file:///Z:/00. Proiecte 2025/AFIR FotoVoltaic 1/10. Contractare/2. Contractul de Finantare/De Semnat/AnexaIV_FM.pdf, friendlyName=Deschide sursa</x:v>
      </x:c>
    </x:row>
    <x:row r="429" ht="36" customHeight="1">
      <x:c r="A429" s="8" t="str">
        <x:v>F0425</x:v>
      </x:c>
      <x:c r="B429" s="8" t="str">
        <x:v>AnexaI_FM.pdf</x:v>
      </x:c>
      <x:c r="C429" s="8" t="str">
        <x:v>10. Contractare</x:v>
      </x:c>
      <x:c r="D429" s="8" t="str">
        <x:v>Proiect fotovoltaic</x:v>
      </x:c>
      <x:c r="E429" s="8" t="str">
        <x:v>.pdf</x:v>
      </x:c>
      <x:c r="F429" s="8" t="n">
        <x:v>302744</x:v>
      </x:c>
      <x:c r="G429" s="8" t="str">
        <x:v>Text extras</x:v>
      </x:c>
      <x:c r="H429" s="8" t="str">
        <x:v>Document local; transmiterea individuală neconfirmată</x:v>
      </x:c>
      <x:c r="I429" s="8" t="str"/>
      <x:c r="J429" s="8" t="e">
        <x:f>HYPERLINK("file:///Z:/00. Proiecte 2025/AFIR FotoVoltaic 1/10. Contractare/2. Contractul de Finantare/De Semnat/AnexaI_FM.pdf","Deschide sursa")</x:f>
        <x:v>HYPERLINK is not implemented. linkLocation=file:///Z:/00. Proiecte 2025/AFIR FotoVoltaic 1/10. Contractare/2. Contractul de Finantare/De Semnat/AnexaI_FM.pdf, friendlyName=Deschide sursa</x:v>
      </x:c>
    </x:row>
    <x:row r="430" ht="36" customHeight="1">
      <x:c r="A430" s="8" t="str">
        <x:v>F0426</x:v>
      </x:c>
      <x:c r="B430" s="8" t="str">
        <x:v>C1_1_FM.pdf</x:v>
      </x:c>
      <x:c r="C430" s="8" t="str">
        <x:v>10. Contractare</x:v>
      </x:c>
      <x:c r="D430" s="8" t="str">
        <x:v>Proiect fotovoltaic</x:v>
      </x:c>
      <x:c r="E430" s="8" t="str">
        <x:v>.pdf</x:v>
      </x:c>
      <x:c r="F430" s="8" t="n">
        <x:v>1764739</x:v>
      </x:c>
      <x:c r="G430" s="8" t="str">
        <x:v>Text extras</x:v>
      </x:c>
      <x:c r="H430" s="8" t="str">
        <x:v>Document local; transmiterea individuală neconfirmată</x:v>
      </x:c>
      <x:c r="I430" s="8" t="str"/>
      <x:c r="J430" s="8" t="e">
        <x:f>HYPERLINK("file:///Z:/00. Proiecte 2025/AFIR FotoVoltaic 1/10. Contractare/2. Contractul de Finantare/De Semnat/C1_1_FM.pdf","Deschide sursa")</x:f>
        <x:v>HYPERLINK is not implemented. linkLocation=file:///Z:/00. Proiecte 2025/AFIR FotoVoltaic 1/10. Contractare/2. Contractul de Finantare/De Semnat/C1_1_FM.pdf, friendlyName=Deschide sursa</x:v>
      </x:c>
    </x:row>
    <x:row r="431" ht="36" customHeight="1">
      <x:c r="A431" s="8" t="str">
        <x:v>F0427</x:v>
      </x:c>
      <x:c r="B431" s="8" t="str">
        <x:v>AnexaIII_FM semnat.pdf</x:v>
      </x:c>
      <x:c r="C431" s="8" t="str">
        <x:v>10. Contractare</x:v>
      </x:c>
      <x:c r="D431" s="8" t="str">
        <x:v>Proiect fotovoltaic</x:v>
      </x:c>
      <x:c r="E431" s="8" t="str">
        <x:v>.pdf</x:v>
      </x:c>
      <x:c r="F431" s="8" t="n">
        <x:v>317733</x:v>
      </x:c>
      <x:c r="G431" s="8" t="str">
        <x:v>Text extras</x:v>
      </x:c>
      <x:c r="H431" s="8" t="str">
        <x:v>Document local; transmiterea individuală neconfirmată</x:v>
      </x:c>
      <x:c r="I431" s="8" t="str">
        <x:v>F0056</x:v>
      </x:c>
      <x:c r="J431" s="8" t="e">
        <x:f>HYPERLINK("file:///Z:/00. Proiecte 2025/AFIR FotoVoltaic 1/10. Contractare/2. Contractul de Finantare/Semnate/AnexaIII_FM semnat.pdf","Deschide sursa")</x:f>
        <x:v>HYPERLINK is not implemented. linkLocation=file:///Z:/00. Proiecte 2025/AFIR FotoVoltaic 1/10. Contractare/2. Contractul de Finantare/Semnate/AnexaIII_FM semnat.pdf, friendlyName=Deschide sursa</x:v>
      </x:c>
    </x:row>
    <x:row r="432" ht="36" customHeight="1">
      <x:c r="A432" s="8" t="str">
        <x:v>F0428</x:v>
      </x:c>
      <x:c r="B432" s="8" t="str">
        <x:v>AnexaII_FM semnat.pdf</x:v>
      </x:c>
      <x:c r="C432" s="8" t="str">
        <x:v>10. Contractare</x:v>
      </x:c>
      <x:c r="D432" s="8" t="str">
        <x:v>Proiect fotovoltaic</x:v>
      </x:c>
      <x:c r="E432" s="8" t="str">
        <x:v>.pdf</x:v>
      </x:c>
      <x:c r="F432" s="8" t="n">
        <x:v>703767</x:v>
      </x:c>
      <x:c r="G432" s="8" t="str">
        <x:v>Text extras</x:v>
      </x:c>
      <x:c r="H432" s="8" t="str">
        <x:v>Document local; transmiterea individuală neconfirmată</x:v>
      </x:c>
      <x:c r="I432" s="8" t="str">
        <x:v>F0057</x:v>
      </x:c>
      <x:c r="J432" s="8" t="e">
        <x:f>HYPERLINK("file:///Z:/00. Proiecte 2025/AFIR FotoVoltaic 1/10. Contractare/2. Contractul de Finantare/Semnate/AnexaII_FM semnat.pdf","Deschide sursa")</x:f>
        <x:v>HYPERLINK is not implemented. linkLocation=file:///Z:/00. Proiecte 2025/AFIR FotoVoltaic 1/10. Contractare/2. Contractul de Finantare/Semnate/AnexaII_FM semnat.pdf, friendlyName=Deschide sursa</x:v>
      </x:c>
    </x:row>
    <x:row r="433" ht="36" customHeight="1">
      <x:c r="A433" s="8" t="str">
        <x:v>F0429</x:v>
      </x:c>
      <x:c r="B433" s="8" t="str">
        <x:v>AnexaIV_FM semnat.pdf</x:v>
      </x:c>
      <x:c r="C433" s="8" t="str">
        <x:v>10. Contractare</x:v>
      </x:c>
      <x:c r="D433" s="8" t="str">
        <x:v>Proiect fotovoltaic</x:v>
      </x:c>
      <x:c r="E433" s="8" t="str">
        <x:v>.pdf</x:v>
      </x:c>
      <x:c r="F433" s="8" t="n">
        <x:v>413742</x:v>
      </x:c>
      <x:c r="G433" s="8" t="str">
        <x:v>Text extras</x:v>
      </x:c>
      <x:c r="H433" s="8" t="str">
        <x:v>Document local; transmiterea individuală neconfirmată</x:v>
      </x:c>
      <x:c r="I433" s="8" t="str">
        <x:v>F0058</x:v>
      </x:c>
      <x:c r="J433" s="8" t="e">
        <x:f>HYPERLINK("file:///Z:/00. Proiecte 2025/AFIR FotoVoltaic 1/10. Contractare/2. Contractul de Finantare/Semnate/AnexaIV_FM semnat.pdf","Deschide sursa")</x:f>
        <x:v>HYPERLINK is not implemented. linkLocation=file:///Z:/00. Proiecte 2025/AFIR FotoVoltaic 1/10. Contractare/2. Contractul de Finantare/Semnate/AnexaIV_FM semnat.pdf, friendlyName=Deschide sursa</x:v>
      </x:c>
    </x:row>
    <x:row r="434" ht="36" customHeight="1">
      <x:c r="A434" s="8" t="str">
        <x:v>F0430</x:v>
      </x:c>
      <x:c r="B434" s="8" t="str">
        <x:v>AnexaI_FM semnat.pdf</x:v>
      </x:c>
      <x:c r="C434" s="8" t="str">
        <x:v>10. Contractare</x:v>
      </x:c>
      <x:c r="D434" s="8" t="str">
        <x:v>Proiect fotovoltaic</x:v>
      </x:c>
      <x:c r="E434" s="8" t="str">
        <x:v>.pdf</x:v>
      </x:c>
      <x:c r="F434" s="8" t="n">
        <x:v>411053</x:v>
      </x:c>
      <x:c r="G434" s="8" t="str">
        <x:v>Text extras</x:v>
      </x:c>
      <x:c r="H434" s="8" t="str">
        <x:v>Document local; transmiterea individuală neconfirmată</x:v>
      </x:c>
      <x:c r="I434" s="8" t="str">
        <x:v>F0059</x:v>
      </x:c>
      <x:c r="J434" s="8" t="e">
        <x:f>HYPERLINK("file:///Z:/00. Proiecte 2025/AFIR FotoVoltaic 1/10. Contractare/2. Contractul de Finantare/Semnate/AnexaI_FM semnat.pdf","Deschide sursa")</x:f>
        <x:v>HYPERLINK is not implemented. linkLocation=file:///Z:/00. Proiecte 2025/AFIR FotoVoltaic 1/10. Contractare/2. Contractul de Finantare/Semnate/AnexaI_FM semnat.pdf, friendlyName=Deschide sursa</x:v>
      </x:c>
    </x:row>
    <x:row r="435" ht="36" customHeight="1">
      <x:c r="A435" s="8" t="str">
        <x:v>F0431</x:v>
      </x:c>
      <x:c r="B435" s="8" t="str">
        <x:v>AnexaI_FM semnat.zip</x:v>
      </x:c>
      <x:c r="C435" s="8" t="str">
        <x:v>10. Contractare</x:v>
      </x:c>
      <x:c r="D435" s="8" t="str">
        <x:v>Proiect fotovoltaic</x:v>
      </x:c>
      <x:c r="E435" s="8" t="str">
        <x:v>.zip</x:v>
      </x:c>
      <x:c r="F435" s="8" t="n">
        <x:v>3893728</x:v>
      </x:c>
      <x:c r="G435" s="8" t="str">
        <x:v>Inventar ZIP</x:v>
      </x:c>
      <x:c r="H435" s="8" t="str">
        <x:v>Document local; transmiterea individuală neconfirmată</x:v>
      </x:c>
      <x:c r="I435" s="8" t="str"/>
      <x:c r="J435" s="8" t="e">
        <x:f>HYPERLINK("file:///Z:/00. Proiecte 2025/AFIR FotoVoltaic 1/10. Contractare/2. Contractul de Finantare/Semnate/AnexaI_FM semnat.zip","Deschide sursa")</x:f>
        <x:v>HYPERLINK is not implemented. linkLocation=file:///Z:/00. Proiecte 2025/AFIR FotoVoltaic 1/10. Contractare/2. Contractul de Finantare/Semnate/AnexaI_FM semnat.zip, friendlyName=Deschide sursa</x:v>
      </x:c>
    </x:row>
    <x:row r="436" ht="36" customHeight="1">
      <x:c r="A436" s="8" t="str">
        <x:v>F0432</x:v>
      </x:c>
      <x:c r="B436" s="8" t="str">
        <x:v>Contract Afir Cesiro Prod.pdf</x:v>
      </x:c>
      <x:c r="C436" s="8" t="str">
        <x:v>10. Contractare</x:v>
      </x:c>
      <x:c r="D436" s="8" t="str">
        <x:v>Proiect fotovoltaic</x:v>
      </x:c>
      <x:c r="E436" s="8" t="str">
        <x:v>.pdf</x:v>
      </x:c>
      <x:c r="F436" s="8" t="n">
        <x:v>1828713</x:v>
      </x:c>
      <x:c r="G436" s="8" t="str">
        <x:v>Text extras</x:v>
      </x:c>
      <x:c r="H436" s="8" t="str">
        <x:v>Document local; transmiterea individuală neconfirmată</x:v>
      </x:c>
      <x:c r="I436" s="8" t="str">
        <x:v>F0061</x:v>
      </x:c>
      <x:c r="J436" s="8" t="e">
        <x:f>HYPERLINK("file:///Z:/00. Proiecte 2025/AFIR FotoVoltaic 1/10. Contractare/2. Contractul de Finantare/Semnate/Contract Afir Cesiro Prod.pdf","Deschide sursa")</x:f>
        <x:v>HYPERLINK is not implemented. linkLocation=file:///Z:/00. Proiecte 2025/AFIR FotoVoltaic 1/10. Contractare/2. Contractul de Finantare/Semnate/Contract Afir Cesiro Prod.pdf, friendlyName=Deschide sursa</x:v>
      </x:c>
    </x:row>
    <x:row r="437" ht="36" customHeight="1">
      <x:c r="A437" s="8" t="str">
        <x:v>F0433</x:v>
      </x:c>
      <x:c r="B437" s="8" t="str">
        <x:v>factura_proforma_24022026_145801.pdf</x:v>
      </x:c>
      <x:c r="C437" s="8" t="str">
        <x:v>10. Contractare</x:v>
      </x:c>
      <x:c r="D437" s="8" t="str">
        <x:v>Proiect fotovoltaic</x:v>
      </x:c>
      <x:c r="E437" s="8" t="str">
        <x:v>.pdf</x:v>
      </x:c>
      <x:c r="F437" s="8" t="n">
        <x:v>8462</x:v>
      </x:c>
      <x:c r="G437" s="8" t="str">
        <x:v>Text extras</x:v>
      </x:c>
      <x:c r="H437" s="8" t="str">
        <x:v>Document local; transmiterea individuală neconfirmată</x:v>
      </x:c>
      <x:c r="I437" s="8" t="str"/>
      <x:c r="J437" s="8" t="e">
        <x:f>HYPERLINK("file:///Z:/00. Proiecte 2025/AFIR FotoVoltaic 1/10. Contractare/2. Contractul de Finantare/Semnate/factura_proforma_24022026_145801.pdf","Deschide sursa")</x:f>
        <x:v>HYPERLINK is not implemented. linkLocation=file:///Z:/00. Proiecte 2025/AFIR FotoVoltaic 1/10. Contractare/2. Contractul de Finantare/Semnate/factura_proforma_24022026_145801.pdf, friendlyName=Deschide sursa</x:v>
      </x:c>
    </x:row>
    <x:row r="438" ht="36" customHeight="1">
      <x:c r="A438" s="8" t="str">
        <x:v>F0434</x:v>
      </x:c>
      <x:c r="B438" s="8" t="str">
        <x:v>Notificare Schimbare Structura Actionariatului Cesiro Production SRL.docx</x:v>
      </x:c>
      <x:c r="C438" s="8" t="str">
        <x:v>10. Contractare</x:v>
      </x:c>
      <x:c r="D438" s="8" t="str">
        <x:v>Proiect fotovoltaic</x:v>
      </x:c>
      <x:c r="E438" s="8" t="str">
        <x:v>.docx</x:v>
      </x:c>
      <x:c r="F438" s="8" t="n">
        <x:v>18273</x:v>
      </x:c>
      <x:c r="G438" s="8" t="str">
        <x:v>Text extras</x:v>
      </x:c>
      <x:c r="H438" s="8" t="str">
        <x:v>Document local; transmiterea individuală neconfirmată</x:v>
      </x:c>
      <x:c r="I438" s="8" t="str"/>
      <x:c r="J438" s="8" t="e">
        <x:f>HYPERLINK("file:///Z:/00. Proiecte 2025/AFIR FotoVoltaic 1/10. Contractare/2. Contractul de Finantare/Semnate/Notificare Schimbare Structura Actionariatului Cesiro Production SRL.docx","Deschide sursa")</x:f>
        <x:v>HYPERLINK is not implemented. linkLocation=file:///Z:/00. Proiecte 2025/AFIR FotoVoltaic 1/10. Contractare/2. Contractul de Finantare/Semnate/Notificare Schimbare Structura Actionariatului Cesiro Production SRL.docx, friendlyName=Deschide sursa</x:v>
      </x:c>
    </x:row>
    <x:row r="439" ht="36" customHeight="1">
      <x:c r="A439" s="8" t="str">
        <x:v>F0435</x:v>
      </x:c>
      <x:c r="B439" s="8" t="str">
        <x:v>Notificare Schimbare Structura Actionariatului Cesiro Production SRL.pdf</x:v>
      </x:c>
      <x:c r="C439" s="8" t="str">
        <x:v>10. Contractare</x:v>
      </x:c>
      <x:c r="D439" s="8" t="str">
        <x:v>Proiect fotovoltaic</x:v>
      </x:c>
      <x:c r="E439" s="8" t="str">
        <x:v>.pdf</x:v>
      </x:c>
      <x:c r="F439" s="8" t="n">
        <x:v>268586</x:v>
      </x:c>
      <x:c r="G439" s="8" t="str">
        <x:v>Text extras</x:v>
      </x:c>
      <x:c r="H439" s="8" t="str">
        <x:v>Document local; transmiterea individuală neconfirmată</x:v>
      </x:c>
      <x:c r="I439" s="8" t="str"/>
      <x:c r="J439" s="8" t="e">
        <x:f>HYPERLINK("file:///Z:/00. Proiecte 2025/AFIR FotoVoltaic 1/10. Contractare/2. Contractul de Finantare/Semnate/Notificare Schimbare Structura Actionariatului Cesiro Production SRL.pdf","Deschide sursa")</x:f>
        <x:v>HYPERLINK is not implemented. linkLocation=file:///Z:/00. Proiecte 2025/AFIR FotoVoltaic 1/10. Contractare/2. Contractul de Finantare/Semnate/Notificare Schimbare Structura Actionariatului Cesiro Production SRL.pdf, friendlyName=Deschide sursa</x:v>
      </x:c>
    </x:row>
    <x:row r="440" ht="36" customHeight="1">
      <x:c r="A440" s="8" t="str">
        <x:v>F0436</x:v>
      </x:c>
      <x:c r="B440" s="8" t="str">
        <x:v>Proforma nr_7.pdf</x:v>
      </x:c>
      <x:c r="C440" s="8" t="str">
        <x:v>10. Contractare</x:v>
      </x:c>
      <x:c r="D440" s="8" t="str">
        <x:v>Proiect fotovoltaic</x:v>
      </x:c>
      <x:c r="E440" s="8" t="str">
        <x:v>.pdf</x:v>
      </x:c>
      <x:c r="F440" s="8" t="n">
        <x:v>8463</x:v>
      </x:c>
      <x:c r="G440" s="8" t="str">
        <x:v>Text extras</x:v>
      </x:c>
      <x:c r="H440" s="8" t="str">
        <x:v>Document local; transmiterea individuală neconfirmată</x:v>
      </x:c>
      <x:c r="I440" s="8" t="str"/>
      <x:c r="J440" s="8" t="e">
        <x:f>HYPERLINK("file:///Z:/00. Proiecte 2025/AFIR FotoVoltaic 1/10. Contractare/2. Contractul de Finantare/Semnate/Proforma nr_7.pdf","Deschide sursa")</x:f>
        <x:v>HYPERLINK is not implemented. linkLocation=file:///Z:/00. Proiecte 2025/AFIR FotoVoltaic 1/10. Contractare/2. Contractul de Finantare/Semnate/Proforma nr_7.pdf, friendlyName=Deschide sursa</x:v>
      </x:c>
    </x:row>
    <x:row r="441" ht="32" customHeight="1">
      <x:c r="A441" s="8" t="str">
        <x:v>F0437</x:v>
      </x:c>
      <x:c r="B441" s="8" t="str">
        <x:v>atr sigh_Page_1.png</x:v>
      </x:c>
      <x:c r="C441" s="8" t="str">
        <x:v>10. Contractare</x:v>
      </x:c>
      <x:c r="D441" s="8" t="str">
        <x:v>Proiect fotovoltaic</x:v>
      </x:c>
      <x:c r="E441" s="8" t="str">
        <x:v>.png</x:v>
      </x:c>
      <x:c r="F441" s="8" t="n">
        <x:v>323411</x:v>
      </x:c>
      <x:c r="G441" s="8" t="str">
        <x:v>Inventariat; conținut neextras</x:v>
      </x:c>
      <x:c r="H441" s="8" t="str">
        <x:v>Document local; transmiterea individuală neconfirmată</x:v>
      </x:c>
      <x:c r="I441" s="8" t="str"/>
      <x:c r="J441" s="8" t="e">
        <x:f>HYPERLINK("file:///Z:/00. Proiecte 2025/AFIR FotoVoltaic 1/10. Contractare/3. SF/ATR/atr sigh_Page_1.png","Deschide sursa")</x:f>
        <x:v>HYPERLINK is not implemented. linkLocation=file:///Z:/00. Proiecte 2025/AFIR FotoVoltaic 1/10. Contractare/3. SF/ATR/atr sigh_Page_1.png, friendlyName=Deschide sursa</x:v>
      </x:c>
    </x:row>
    <x:row r="442" ht="32" customHeight="1">
      <x:c r="A442" s="8" t="str">
        <x:v>F0438</x:v>
      </x:c>
      <x:c r="B442" s="8" t="str">
        <x:v>atr sigh_Page_2.png</x:v>
      </x:c>
      <x:c r="C442" s="8" t="str">
        <x:v>10. Contractare</x:v>
      </x:c>
      <x:c r="D442" s="8" t="str">
        <x:v>Proiect fotovoltaic</x:v>
      </x:c>
      <x:c r="E442" s="8" t="str">
        <x:v>.png</x:v>
      </x:c>
      <x:c r="F442" s="8" t="n">
        <x:v>53695</x:v>
      </x:c>
      <x:c r="G442" s="8" t="str">
        <x:v>Inventariat; conținut neextras</x:v>
      </x:c>
      <x:c r="H442" s="8" t="str">
        <x:v>Document local; transmiterea individuală neconfirmată</x:v>
      </x:c>
      <x:c r="I442" s="8" t="str"/>
      <x:c r="J442" s="8" t="e">
        <x:f>HYPERLINK("file:///Z:/00. Proiecte 2025/AFIR FotoVoltaic 1/10. Contractare/3. SF/ATR/atr sigh_Page_2.png","Deschide sursa")</x:f>
        <x:v>HYPERLINK is not implemented. linkLocation=file:///Z:/00. Proiecte 2025/AFIR FotoVoltaic 1/10. Contractare/3. SF/ATR/atr sigh_Page_2.png, friendlyName=Deschide sursa</x:v>
      </x:c>
    </x:row>
    <x:row r="443" ht="32" customHeight="1">
      <x:c r="A443" s="8" t="str">
        <x:v>F0439</x:v>
      </x:c>
      <x:c r="B443" s="8" t="str">
        <x:v>atr sigh_Page_3.png</x:v>
      </x:c>
      <x:c r="C443" s="8" t="str">
        <x:v>10. Contractare</x:v>
      </x:c>
      <x:c r="D443" s="8" t="str">
        <x:v>Proiect fotovoltaic</x:v>
      </x:c>
      <x:c r="E443" s="8" t="str">
        <x:v>.png</x:v>
      </x:c>
      <x:c r="F443" s="8" t="n">
        <x:v>30342</x:v>
      </x:c>
      <x:c r="G443" s="8" t="str">
        <x:v>Inventariat; conținut neextras</x:v>
      </x:c>
      <x:c r="H443" s="8" t="str">
        <x:v>Document local; transmiterea individuală neconfirmată</x:v>
      </x:c>
      <x:c r="I443" s="8" t="str"/>
      <x:c r="J443" s="8" t="e">
        <x:f>HYPERLINK("file:///Z:/00. Proiecte 2025/AFIR FotoVoltaic 1/10. Contractare/3. SF/ATR/atr sigh_Page_3.png","Deschide sursa")</x:f>
        <x:v>HYPERLINK is not implemented. linkLocation=file:///Z:/00. Proiecte 2025/AFIR FotoVoltaic 1/10. Contractare/3. SF/ATR/atr sigh_Page_3.png, friendlyName=Deschide sursa</x:v>
      </x:c>
    </x:row>
    <x:row r="444" ht="36" customHeight="1">
      <x:c r="A444" s="8" t="str">
        <x:v>F0440</x:v>
      </x:c>
      <x:c r="B444" s="8" t="str">
        <x:v>LUNA2000-200KWH-2H1_Page_1.png</x:v>
      </x:c>
      <x:c r="C444" s="8" t="str">
        <x:v>10. Contractare</x:v>
      </x:c>
      <x:c r="D444" s="8" t="str">
        <x:v>Proiect fotovoltaic</x:v>
      </x:c>
      <x:c r="E444" s="8" t="str">
        <x:v>.png</x:v>
      </x:c>
      <x:c r="F444" s="8" t="n">
        <x:v>224805</x:v>
      </x:c>
      <x:c r="G444" s="8" t="str">
        <x:v>Inventariat; conținut neextras</x:v>
      </x:c>
      <x:c r="H444" s="8" t="str">
        <x:v>Document local; transmiterea individuală neconfirmată</x:v>
      </x:c>
      <x:c r="I444" s="8" t="str"/>
      <x:c r="J444" s="8" t="e">
        <x:f>HYPERLINK("file:///Z:/00. Proiecte 2025/AFIR FotoVoltaic 1/10. Contractare/3. SF/Fise Tehnice/LUNA2000-200KWH-2H1_Page_1.png","Deschide sursa")</x:f>
        <x:v>HYPERLINK is not implemented. linkLocation=file:///Z:/00. Proiecte 2025/AFIR FotoVoltaic 1/10. Contractare/3. SF/Fise Tehnice/LUNA2000-200KWH-2H1_Page_1.png, friendlyName=Deschide sursa</x:v>
      </x:c>
    </x:row>
    <x:row r="445" ht="36" customHeight="1">
      <x:c r="A445" s="8" t="str">
        <x:v>F0441</x:v>
      </x:c>
      <x:c r="B445" s="8" t="str">
        <x:v>LUNA2000-200KWH-2H1_Page_2.png</x:v>
      </x:c>
      <x:c r="C445" s="8" t="str">
        <x:v>10. Contractare</x:v>
      </x:c>
      <x:c r="D445" s="8" t="str">
        <x:v>Proiect fotovoltaic</x:v>
      </x:c>
      <x:c r="E445" s="8" t="str">
        <x:v>.png</x:v>
      </x:c>
      <x:c r="F445" s="8" t="n">
        <x:v>244262</x:v>
      </x:c>
      <x:c r="G445" s="8" t="str">
        <x:v>Inventariat; conținut neextras</x:v>
      </x:c>
      <x:c r="H445" s="8" t="str">
        <x:v>Document local; transmiterea individuală neconfirmată</x:v>
      </x:c>
      <x:c r="I445" s="8" t="str"/>
      <x:c r="J445" s="8" t="e">
        <x:f>HYPERLINK("file:///Z:/00. Proiecte 2025/AFIR FotoVoltaic 1/10. Contractare/3. SF/Fise Tehnice/LUNA2000-200KWH-2H1_Page_2.png","Deschide sursa")</x:f>
        <x:v>HYPERLINK is not implemented. linkLocation=file:///Z:/00. Proiecte 2025/AFIR FotoVoltaic 1/10. Contractare/3. SF/Fise Tehnice/LUNA2000-200KWH-2H1_Page_2.png, friendlyName=Deschide sursa</x:v>
      </x:c>
    </x:row>
    <x:row r="446" ht="32" customHeight="1">
      <x:c r="A446" s="8" t="str">
        <x:v>F0442</x:v>
      </x:c>
      <x:c r="B446" s="8" t="str">
        <x:v>SUN2000-100KTL-M2_Page_1.png</x:v>
      </x:c>
      <x:c r="C446" s="8" t="str">
        <x:v>10. Contractare</x:v>
      </x:c>
      <x:c r="D446" s="8" t="str">
        <x:v>Proiect fotovoltaic</x:v>
      </x:c>
      <x:c r="E446" s="8" t="str">
        <x:v>.png</x:v>
      </x:c>
      <x:c r="F446" s="8" t="n">
        <x:v>295248</x:v>
      </x:c>
      <x:c r="G446" s="8" t="str">
        <x:v>Inventariat; conținut neextras</x:v>
      </x:c>
      <x:c r="H446" s="8" t="str">
        <x:v>Document local; transmiterea individuală neconfirmată</x:v>
      </x:c>
      <x:c r="I446" s="8" t="str"/>
      <x:c r="J446" s="8" t="e">
        <x:f>HYPERLINK("file:///Z:/00. Proiecte 2025/AFIR FotoVoltaic 1/10. Contractare/3. SF/Fise Tehnice/SUN2000-100KTL-M2_Page_1.png","Deschide sursa")</x:f>
        <x:v>HYPERLINK is not implemented. linkLocation=file:///Z:/00. Proiecte 2025/AFIR FotoVoltaic 1/10. Contractare/3. SF/Fise Tehnice/SUN2000-100KTL-M2_Page_1.png, friendlyName=Deschide sursa</x:v>
      </x:c>
    </x:row>
    <x:row r="447" ht="32" customHeight="1">
      <x:c r="A447" s="8" t="str">
        <x:v>F0443</x:v>
      </x:c>
      <x:c r="B447" s="8" t="str">
        <x:v>SUN2000-100KTL-M2_Page_2.png</x:v>
      </x:c>
      <x:c r="C447" s="8" t="str">
        <x:v>10. Contractare</x:v>
      </x:c>
      <x:c r="D447" s="8" t="str">
        <x:v>Proiect fotovoltaic</x:v>
      </x:c>
      <x:c r="E447" s="8" t="str">
        <x:v>.png</x:v>
      </x:c>
      <x:c r="F447" s="8" t="n">
        <x:v>74924</x:v>
      </x:c>
      <x:c r="G447" s="8" t="str">
        <x:v>Inventariat; conținut neextras</x:v>
      </x:c>
      <x:c r="H447" s="8" t="str">
        <x:v>Document local; transmiterea individuală neconfirmată</x:v>
      </x:c>
      <x:c r="I447" s="8" t="str"/>
      <x:c r="J447" s="8" t="e">
        <x:f>HYPERLINK("file:///Z:/00. Proiecte 2025/AFIR FotoVoltaic 1/10. Contractare/3. SF/Fise Tehnice/SUN2000-100KTL-M2_Page_2.png","Deschide sursa")</x:f>
        <x:v>HYPERLINK is not implemented. linkLocation=file:///Z:/00. Proiecte 2025/AFIR FotoVoltaic 1/10. Contractare/3. SF/Fise Tehnice/SUN2000-100KTL-M2_Page_2.png, friendlyName=Deschide sursa</x:v>
      </x:c>
    </x:row>
    <x:row r="448" ht="32" customHeight="1">
      <x:c r="A448" s="8" t="str">
        <x:v>F0444</x:v>
      </x:c>
      <x:c r="B448" s="8" t="str">
        <x:v>SUN2000-10KTL-M1_Page_1.png</x:v>
      </x:c>
      <x:c r="C448" s="8" t="str">
        <x:v>10. Contractare</x:v>
      </x:c>
      <x:c r="D448" s="8" t="str">
        <x:v>Proiect fotovoltaic</x:v>
      </x:c>
      <x:c r="E448" s="8" t="str">
        <x:v>.png</x:v>
      </x:c>
      <x:c r="F448" s="8" t="n">
        <x:v>2117226</x:v>
      </x:c>
      <x:c r="G448" s="8" t="str">
        <x:v>Inventariat; conținut neextras</x:v>
      </x:c>
      <x:c r="H448" s="8" t="str">
        <x:v>Document local; transmiterea individuală neconfirmată</x:v>
      </x:c>
      <x:c r="I448" s="8" t="str"/>
      <x:c r="J448" s="8" t="e">
        <x:f>HYPERLINK("file:///Z:/00. Proiecte 2025/AFIR FotoVoltaic 1/10. Contractare/3. SF/Fise Tehnice/SUN2000-10KTL-M1_Page_1.png","Deschide sursa")</x:f>
        <x:v>HYPERLINK is not implemented. linkLocation=file:///Z:/00. Proiecte 2025/AFIR FotoVoltaic 1/10. Contractare/3. SF/Fise Tehnice/SUN2000-10KTL-M1_Page_1.png, friendlyName=Deschide sursa</x:v>
      </x:c>
    </x:row>
    <x:row r="449" ht="32" customHeight="1">
      <x:c r="A449" s="8" t="str">
        <x:v>F0445</x:v>
      </x:c>
      <x:c r="B449" s="8" t="str">
        <x:v>SUN2000-10KTL-M1_Page_2.png</x:v>
      </x:c>
      <x:c r="C449" s="8" t="str">
        <x:v>10. Contractare</x:v>
      </x:c>
      <x:c r="D449" s="8" t="str">
        <x:v>Proiect fotovoltaic</x:v>
      </x:c>
      <x:c r="E449" s="8" t="str">
        <x:v>.png</x:v>
      </x:c>
      <x:c r="F449" s="8" t="n">
        <x:v>93108</x:v>
      </x:c>
      <x:c r="G449" s="8" t="str">
        <x:v>Inventariat; conținut neextras</x:v>
      </x:c>
      <x:c r="H449" s="8" t="str">
        <x:v>Document local; transmiterea individuală neconfirmată</x:v>
      </x:c>
      <x:c r="I449" s="8" t="str"/>
      <x:c r="J449" s="8" t="e">
        <x:f>HYPERLINK("file:///Z:/00. Proiecte 2025/AFIR FotoVoltaic 1/10. Contractare/3. SF/Fise Tehnice/SUN2000-10KTL-M1_Page_2.png","Deschide sursa")</x:f>
        <x:v>HYPERLINK is not implemented. linkLocation=file:///Z:/00. Proiecte 2025/AFIR FotoVoltaic 1/10. Contractare/3. SF/Fise Tehnice/SUN2000-10KTL-M1_Page_2.png, friendlyName=Deschide sursa</x:v>
      </x:c>
    </x:row>
    <x:row r="450" ht="32" customHeight="1">
      <x:c r="A450" s="8" t="str">
        <x:v>F0446</x:v>
      </x:c>
      <x:c r="B450" s="8" t="str">
        <x:v>TOPHiKu6_Page_1.png</x:v>
      </x:c>
      <x:c r="C450" s="8" t="str">
        <x:v>10. Contractare</x:v>
      </x:c>
      <x:c r="D450" s="8" t="str">
        <x:v>Proiect fotovoltaic</x:v>
      </x:c>
      <x:c r="E450" s="8" t="str">
        <x:v>.png</x:v>
      </x:c>
      <x:c r="F450" s="8" t="n">
        <x:v>1053099</x:v>
      </x:c>
      <x:c r="G450" s="8" t="str">
        <x:v>Inventariat; conținut neextras</x:v>
      </x:c>
      <x:c r="H450" s="8" t="str">
        <x:v>Document local; transmiterea individuală neconfirmată</x:v>
      </x:c>
      <x:c r="I450" s="8" t="str"/>
      <x:c r="J450" s="8" t="e">
        <x:f>HYPERLINK("file:///Z:/00. Proiecte 2025/AFIR FotoVoltaic 1/10. Contractare/3. SF/Fise Tehnice/TOPHiKu6_Page_1.png","Deschide sursa")</x:f>
        <x:v>HYPERLINK is not implemented. linkLocation=file:///Z:/00. Proiecte 2025/AFIR FotoVoltaic 1/10. Contractare/3. SF/Fise Tehnice/TOPHiKu6_Page_1.png, friendlyName=Deschide sursa</x:v>
      </x:c>
    </x:row>
    <x:row r="451" ht="32" customHeight="1">
      <x:c r="A451" s="8" t="str">
        <x:v>F0447</x:v>
      </x:c>
      <x:c r="B451" s="8" t="str">
        <x:v>TOPHiKu6_Page_2.png</x:v>
      </x:c>
      <x:c r="C451" s="8" t="str">
        <x:v>10. Contractare</x:v>
      </x:c>
      <x:c r="D451" s="8" t="str">
        <x:v>Proiect fotovoltaic</x:v>
      </x:c>
      <x:c r="E451" s="8" t="str">
        <x:v>.png</x:v>
      </x:c>
      <x:c r="F451" s="8" t="n">
        <x:v>126378</x:v>
      </x:c>
      <x:c r="G451" s="8" t="str">
        <x:v>Inventariat; conținut neextras</x:v>
      </x:c>
      <x:c r="H451" s="8" t="str">
        <x:v>Document local; transmiterea individuală neconfirmată</x:v>
      </x:c>
      <x:c r="I451" s="8" t="str"/>
      <x:c r="J451" s="8" t="e">
        <x:f>HYPERLINK("file:///Z:/00. Proiecte 2025/AFIR FotoVoltaic 1/10. Contractare/3. SF/Fise Tehnice/TOPHiKu6_Page_2.png","Deschide sursa")</x:f>
        <x:v>HYPERLINK is not implemented. linkLocation=file:///Z:/00. Proiecte 2025/AFIR FotoVoltaic 1/10. Contractare/3. SF/Fise Tehnice/TOPHiKu6_Page_2.png, friendlyName=Deschide sursa</x:v>
      </x:c>
    </x:row>
    <x:row r="452" ht="36" customHeight="1">
      <x:c r="A452" s="8" t="str">
        <x:v>F0448</x:v>
      </x:c>
      <x:c r="B452" s="8" t="str">
        <x:v>AP 1.1 SE Cerere de prefinantare.pdf</x:v>
      </x:c>
      <x:c r="C452" s="8" t="str">
        <x:v>15. Implementare Proiect Fotovoltaic</x:v>
      </x:c>
      <x:c r="D452" s="8" t="str">
        <x:v>Proiect fotovoltaic</x:v>
      </x:c>
      <x:c r="E452" s="8" t="str">
        <x:v>.pdf</x:v>
      </x:c>
      <x:c r="F452" s="8" t="n">
        <x:v>284535</x:v>
      </x:c>
      <x:c r="G452" s="8" t="str">
        <x:v>Text extras</x:v>
      </x:c>
      <x:c r="H452" s="8" t="str">
        <x:v>Document local; transmiterea individuală neconfirmată</x:v>
      </x:c>
      <x:c r="I452" s="8" t="str"/>
      <x:c r="J452" s="8" t="e">
        <x:f>HYPERLINK("file:///Z:/00. Proiecte 2025/AFIR FotoVoltaic 1/15. Implementare Proiect Fotovoltaic/0. Formulare plata/AP 1.1 SE Cerere de prefinantare.pdf","Deschide sursa")</x:f>
        <x:v>HYPERLINK is not implemented. linkLocation=file:///Z:/00. Proiecte 2025/AFIR FotoVoltaic 1/15. Implementare Proiect Fotovoltaic/0. Formulare plata/AP 1.1 SE Cerere de prefinantare.pdf, friendlyName=Deschide sursa</x:v>
      </x:c>
    </x:row>
    <x:row r="453" ht="36" customHeight="1">
      <x:c r="A453" s="8" t="str">
        <x:v>F0449</x:v>
      </x:c>
      <x:c r="B453" s="8" t="str">
        <x:v>AP 1.1 SE Cerere de rambursare.pdf</x:v>
      </x:c>
      <x:c r="C453" s="8" t="str">
        <x:v>15. Implementare Proiect Fotovoltaic</x:v>
      </x:c>
      <x:c r="D453" s="8" t="str">
        <x:v>Proiect fotovoltaic</x:v>
      </x:c>
      <x:c r="E453" s="8" t="str">
        <x:v>.pdf</x:v>
      </x:c>
      <x:c r="F453" s="8" t="n">
        <x:v>314930</x:v>
      </x:c>
      <x:c r="G453" s="8" t="str">
        <x:v>Text extras</x:v>
      </x:c>
      <x:c r="H453" s="8" t="str">
        <x:v>Document local; transmiterea individuală neconfirmată</x:v>
      </x:c>
      <x:c r="I453" s="8" t="str"/>
      <x:c r="J453" s="8" t="e">
        <x:f>HYPERLINK("file:///Z:/00. Proiecte 2025/AFIR FotoVoltaic 1/15. Implementare Proiect Fotovoltaic/0. Formulare plata/AP 1.1 SE Cerere de rambursare.pdf","Deschide sursa")</x:f>
        <x:v>HYPERLINK is not implemented. linkLocation=file:///Z:/00. Proiecte 2025/AFIR FotoVoltaic 1/15. Implementare Proiect Fotovoltaic/0. Formulare plata/AP 1.1 SE Cerere de rambursare.pdf, friendlyName=Deschide sursa</x:v>
      </x:c>
    </x:row>
    <x:row r="454" ht="36" customHeight="1">
      <x:c r="A454" s="8" t="str">
        <x:v>F0450</x:v>
      </x:c>
      <x:c r="B454" s="8" t="str">
        <x:v>AP 1.3 SE Raport de execuție.docx</x:v>
      </x:c>
      <x:c r="C454" s="8" t="str">
        <x:v>15. Implementare Proiect Fotovoltaic</x:v>
      </x:c>
      <x:c r="D454" s="8" t="str">
        <x:v>Proiect fotovoltaic</x:v>
      </x:c>
      <x:c r="E454" s="8" t="str">
        <x:v>.docx</x:v>
      </x:c>
      <x:c r="F454" s="8" t="n">
        <x:v>32388</x:v>
      </x:c>
      <x:c r="G454" s="8" t="str">
        <x:v>Text extras</x:v>
      </x:c>
      <x:c r="H454" s="8" t="str">
        <x:v>Document local; transmiterea individuală neconfirmată</x:v>
      </x:c>
      <x:c r="I454" s="8" t="str"/>
      <x:c r="J454" s="8" t="e">
        <x:f>HYPERLINK("file:///Z:/00. Proiecte 2025/AFIR FotoVoltaic 1/15. Implementare Proiect Fotovoltaic/0. Formulare plata/AP 1.3 SE Raport de execuție.docx","Deschide sursa")</x:f>
        <x:v>HYPERLINK is not implemented. linkLocation=file:///Z:/00. Proiecte 2025/AFIR FotoVoltaic 1/15. Implementare Proiect Fotovoltaic/0. Formulare plata/AP 1.3 SE Raport de execuție.docx, friendlyName=Deschide sursa</x:v>
      </x:c>
    </x:row>
    <x:row r="455" ht="36" customHeight="1">
      <x:c r="A455" s="8" t="str">
        <x:v>F0451</x:v>
      </x:c>
      <x:c r="B455" s="8" t="str">
        <x:v>AP 1.3.1 SE Raport de audit.doc</x:v>
      </x:c>
      <x:c r="C455" s="8" t="str">
        <x:v>15. Implementare Proiect Fotovoltaic</x:v>
      </x:c>
      <x:c r="D455" s="8" t="str">
        <x:v>Proiect fotovoltaic</x:v>
      </x:c>
      <x:c r="E455" s="8" t="str">
        <x:v>.doc</x:v>
      </x:c>
      <x:c r="F455" s="8" t="n">
        <x:v>82944</x:v>
      </x:c>
      <x:c r="G455" s="8" t="str">
        <x:v>Inventariat; conținut neextras</x:v>
      </x:c>
      <x:c r="H455" s="8" t="str">
        <x:v>Document local; transmiterea individuală neconfirmată</x:v>
      </x:c>
      <x:c r="I455" s="8" t="str"/>
      <x:c r="J455" s="8" t="e">
        <x:f>HYPERLINK("file:///Z:/00. Proiecte 2025/AFIR FotoVoltaic 1/15. Implementare Proiect Fotovoltaic/0. Formulare plata/AP 1.3.1 SE Raport de audit.doc","Deschide sursa")</x:f>
        <x:v>HYPERLINK is not implemented. linkLocation=file:///Z:/00. Proiecte 2025/AFIR FotoVoltaic 1/15. Implementare Proiect Fotovoltaic/0. Formulare plata/AP 1.3.1 SE Raport de audit.doc, friendlyName=Deschide sursa</x:v>
      </x:c>
    </x:row>
    <x:row r="456" ht="36" customHeight="1">
      <x:c r="A456" s="8" t="str">
        <x:v>F0452</x:v>
      </x:c>
      <x:c r="B456" s="8" t="str">
        <x:v>AP 1.4 SE Declarație pe propria răspundere.docx</x:v>
      </x:c>
      <x:c r="C456" s="8" t="str">
        <x:v>15. Implementare Proiect Fotovoltaic</x:v>
      </x:c>
      <x:c r="D456" s="8" t="str">
        <x:v>Proiect fotovoltaic</x:v>
      </x:c>
      <x:c r="E456" s="8" t="str">
        <x:v>.docx</x:v>
      </x:c>
      <x:c r="F456" s="8" t="n">
        <x:v>22360</x:v>
      </x:c>
      <x:c r="G456" s="8" t="str">
        <x:v>Text extras</x:v>
      </x:c>
      <x:c r="H456" s="8" t="str">
        <x:v>Document local; transmiterea individuală neconfirmată</x:v>
      </x:c>
      <x:c r="I456" s="8" t="str"/>
      <x:c r="J456" s="8" t="e">
        <x:f>HYPERLINK("file:///Z:/00. Proiecte 2025/AFIR FotoVoltaic 1/15. Implementare Proiect Fotovoltaic/0. Formulare plata/AP 1.4 SE Declarație pe propria răspundere.docx","Deschide sursa")</x:f>
        <x:v>HYPERLINK is not implemented. linkLocation=file:///Z:/00. Proiecte 2025/AFIR FotoVoltaic 1/15. Implementare Proiect Fotovoltaic/0. Formulare plata/AP 1.4 SE Declarație pe propria răspundere.docx, friendlyName=Deschide sursa</x:v>
      </x:c>
    </x:row>
    <x:row r="457" ht="36" customHeight="1">
      <x:c r="A457" s="8" t="str">
        <x:v>F0453</x:v>
      </x:c>
      <x:c r="B457" s="8" t="str">
        <x:v>AP_0.0_grafic_de_esalonare_SE.pdf</x:v>
      </x:c>
      <x:c r="C457" s="8" t="str">
        <x:v>15. Implementare Proiect Fotovoltaic</x:v>
      </x:c>
      <x:c r="D457" s="8" t="str">
        <x:v>Proiect fotovoltaic</x:v>
      </x:c>
      <x:c r="E457" s="8" t="str">
        <x:v>.pdf</x:v>
      </x:c>
      <x:c r="F457" s="8" t="n">
        <x:v>285506</x:v>
      </x:c>
      <x:c r="G457" s="8" t="str">
        <x:v>Text extras</x:v>
      </x:c>
      <x:c r="H457" s="8" t="str">
        <x:v>Document local; transmiterea individuală neconfirmată</x:v>
      </x:c>
      <x:c r="I457" s="8" t="str"/>
      <x:c r="J457" s="8" t="e">
        <x:f>HYPERLINK("file:///Z:/00. Proiecte 2025/AFIR FotoVoltaic 1/15. Implementare Proiect Fotovoltaic/0. Formulare plata/AP_0.0_grafic_de_esalonare_SE.pdf","Deschide sursa")</x:f>
        <x:v>HYPERLINK is not implemented. linkLocation=file:///Z:/00. Proiecte 2025/AFIR FotoVoltaic 1/15. Implementare Proiect Fotovoltaic/0. Formulare plata/AP_0.0_grafic_de_esalonare_SE.pdf, friendlyName=Deschide sursa</x:v>
      </x:c>
    </x:row>
    <x:row r="458" ht="36" customHeight="1">
      <x:c r="A458" s="8" t="str">
        <x:v>F0454</x:v>
      </x:c>
      <x:c r="B458" s="8" t="str">
        <x:v>AP_1.2_SE_declaratie_de_cheltuieli.pdf</x:v>
      </x:c>
      <x:c r="C458" s="8" t="str">
        <x:v>15. Implementare Proiect Fotovoltaic</x:v>
      </x:c>
      <x:c r="D458" s="8" t="str">
        <x:v>Proiect fotovoltaic</x:v>
      </x:c>
      <x:c r="E458" s="8" t="str">
        <x:v>.pdf</x:v>
      </x:c>
      <x:c r="F458" s="8" t="n">
        <x:v>284320</x:v>
      </x:c>
      <x:c r="G458" s="8" t="str">
        <x:v>Text extras</x:v>
      </x:c>
      <x:c r="H458" s="8" t="str">
        <x:v>Document local; transmiterea individuală neconfirmată</x:v>
      </x:c>
      <x:c r="I458" s="8" t="str"/>
      <x:c r="J458" s="8" t="e">
        <x:f>HYPERLINK("file:///Z:/00. Proiecte 2025/AFIR FotoVoltaic 1/15. Implementare Proiect Fotovoltaic/0. Formulare plata/AP_1.2_SE_declaratie_de_cheltuieli.pdf","Deschide sursa")</x:f>
        <x:v>HYPERLINK is not implemented. linkLocation=file:///Z:/00. Proiecte 2025/AFIR FotoVoltaic 1/15. Implementare Proiect Fotovoltaic/0. Formulare plata/AP_1.2_SE_declaratie_de_cheltuieli.pdf, friendlyName=Deschide sursa</x:v>
      </x:c>
    </x:row>
    <x:row r="459" ht="36" customHeight="1">
      <x:c r="A459" s="8" t="str">
        <x:v>F0455</x:v>
      </x:c>
      <x:c r="B459" s="8" t="str">
        <x:v>Instr de plată Schema de energie.docx</x:v>
      </x:c>
      <x:c r="C459" s="8" t="str">
        <x:v>15. Implementare Proiect Fotovoltaic</x:v>
      </x:c>
      <x:c r="D459" s="8" t="str">
        <x:v>Proiect fotovoltaic</x:v>
      </x:c>
      <x:c r="E459" s="8" t="str">
        <x:v>.docx</x:v>
      </x:c>
      <x:c r="F459" s="8" t="n">
        <x:v>65922</x:v>
      </x:c>
      <x:c r="G459" s="8" t="str">
        <x:v>Text extras</x:v>
      </x:c>
      <x:c r="H459" s="8" t="str">
        <x:v>Document local; transmiterea individuală neconfirmată</x:v>
      </x:c>
      <x:c r="I459" s="8" t="str"/>
      <x:c r="J459" s="8" t="e">
        <x:f>HYPERLINK("file:///Z:/00. Proiecte 2025/AFIR FotoVoltaic 1/15. Implementare Proiect Fotovoltaic/0. Formulare plata/Instr de plată Schema de energie.docx","Deschide sursa")</x:f>
        <x:v>HYPERLINK is not implemented. linkLocation=file:///Z:/00. Proiecte 2025/AFIR FotoVoltaic 1/15. Implementare Proiect Fotovoltaic/0. Formulare plata/Instr de plată Schema de energie.docx, friendlyName=Deschide sursa</x:v>
      </x:c>
    </x:row>
    <x:row r="460" ht="36" customHeight="1">
      <x:c r="A460" s="8" t="str">
        <x:v>F0456</x:v>
      </x:c>
      <x:c r="B460" s="8" t="str">
        <x:v>Model Scrisoare de Garanție Bancară.docx</x:v>
      </x:c>
      <x:c r="C460" s="8" t="str">
        <x:v>15. Implementare Proiect Fotovoltaic</x:v>
      </x:c>
      <x:c r="D460" s="8" t="str">
        <x:v>Proiect fotovoltaic</x:v>
      </x:c>
      <x:c r="E460" s="8" t="str">
        <x:v>.docx</x:v>
      </x:c>
      <x:c r="F460" s="8" t="n">
        <x:v>22299</x:v>
      </x:c>
      <x:c r="G460" s="8" t="str">
        <x:v>Text extras</x:v>
      </x:c>
      <x:c r="H460" s="8" t="str">
        <x:v>Document local; transmiterea individuală neconfirmată</x:v>
      </x:c>
      <x:c r="I460" s="8" t="str"/>
      <x:c r="J460" s="8" t="e">
        <x:f>HYPERLINK("file:///Z:/00. Proiecte 2025/AFIR FotoVoltaic 1/15. Implementare Proiect Fotovoltaic/0. Formulare plata/Model Scrisoare de Garanție Bancară.docx","Deschide sursa")</x:f>
        <x:v>HYPERLINK is not implemented. linkLocation=file:///Z:/00. Proiecte 2025/AFIR FotoVoltaic 1/15. Implementare Proiect Fotovoltaic/0. Formulare plata/Model Scrisoare de Garanție Bancară.docx, friendlyName=Deschide sursa</x:v>
      </x:c>
    </x:row>
    <x:row r="461" ht="36" customHeight="1">
      <x:c r="A461" s="8" t="str">
        <x:v>F0457</x:v>
      </x:c>
      <x:c r="B461" s="8" t="str">
        <x:v>Calentar Proiect.xlsx</x:v>
      </x:c>
      <x:c r="C461" s="8" t="str">
        <x:v>15. Implementare Proiect Fotovoltaic</x:v>
      </x:c>
      <x:c r="D461" s="8" t="str">
        <x:v>Proiect fotovoltaic</x:v>
      </x:c>
      <x:c r="E461" s="8" t="str">
        <x:v>.xlsx</x:v>
      </x:c>
      <x:c r="F461" s="8" t="n">
        <x:v>12483</x:v>
      </x:c>
      <x:c r="G461" s="8" t="str">
        <x:v>Inventariat; conținut neextras</x:v>
      </x:c>
      <x:c r="H461" s="8" t="str">
        <x:v>Document local; transmiterea individuală neconfirmată</x:v>
      </x:c>
      <x:c r="I461" s="8" t="str"/>
      <x:c r="J461" s="8" t="e">
        <x:f>HYPERLINK("file:///Z:/00. Proiecte 2025/AFIR FotoVoltaic 1/15. Implementare Proiect Fotovoltaic/1.Implementare Proiect Production-Ordin de Incepere a Lucrarilor/Calentar Proiect.xlsx","Deschide sursa")</x:f>
        <x:v>HYPERLINK is not implemented. linkLocation=file:///Z:/00. Proiecte 2025/AFIR FotoVoltaic 1/15. Implementare Proiect Fotovoltaic/1.Implementare Proiect Production-Ordin de Incepere a Lucrarilor/Calentar Proiect.xlsx, friendlyName=Deschide sursa</x:v>
      </x:c>
    </x:row>
    <x:row r="462" ht="36" customHeight="1">
      <x:c r="A462" s="8" t="str">
        <x:v>F0458</x:v>
      </x:c>
      <x:c r="B462" s="8" t="str">
        <x:v>CESIRO PRODUCTION Ordin de incepere a lucrarilor.docx</x:v>
      </x:c>
      <x:c r="C462" s="8" t="str">
        <x:v>15. Implementare Proiect Fotovoltaic</x:v>
      </x:c>
      <x:c r="D462" s="8" t="str">
        <x:v>Proiect fotovoltaic</x:v>
      </x:c>
      <x:c r="E462" s="8" t="str">
        <x:v>.docx</x:v>
      </x:c>
      <x:c r="F462" s="8" t="n">
        <x:v>18455</x:v>
      </x:c>
      <x:c r="G462" s="8" t="str">
        <x:v>Text extras</x:v>
      </x:c>
      <x:c r="H462" s="8" t="str">
        <x:v>Document local; transmiterea individuală neconfirmată</x:v>
      </x:c>
      <x:c r="I462" s="8" t="str"/>
      <x:c r="J462" s="8" t="e">
        <x:f>HYPERLINK("file:///Z:/00. Proiecte 2025/AFIR FotoVoltaic 1/15. Implementare Proiect Fotovoltaic/1.Implementare Proiect Production-Ordin de Incepere a Lucrarilor/CESIRO PRODUCTION Ordin de incepere a lucrarilor.docx","Deschide sursa")</x:f>
        <x:v>HYPERLINK is not implemented. linkLocation=file:///Z:/00. Proiecte 2025/AFIR FotoVoltaic 1/15. Implementare Proiect Fotovoltaic/1.Implementare Proiect Production-Ordin de Incepere a Lucrarilor/CESIRO PRODUCTION Ordin de incepere a lucrarilor.docx, friendlyName=Deschide sursa</x:v>
      </x:c>
    </x:row>
    <x:row r="463" ht="36" customHeight="1">
      <x:c r="A463" s="8" t="str">
        <x:v>F0459</x:v>
      </x:c>
      <x:c r="B463" s="8" t="str">
        <x:v>fisa proiect de incarcat pe site.docx</x:v>
      </x:c>
      <x:c r="C463" s="8" t="str">
        <x:v>15. Implementare Proiect Fotovoltaic</x:v>
      </x:c>
      <x:c r="D463" s="8" t="str">
        <x:v>Proiect fotovoltaic</x:v>
      </x:c>
      <x:c r="E463" s="8" t="str">
        <x:v>.docx</x:v>
      </x:c>
      <x:c r="F463" s="8" t="n">
        <x:v>23698</x:v>
      </x:c>
      <x:c r="G463" s="8" t="str">
        <x:v>Text extras</x:v>
      </x:c>
      <x:c r="H463" s="8" t="str">
        <x:v>Document local; transmiterea individuală neconfirmată</x:v>
      </x:c>
      <x:c r="I463" s="8" t="str"/>
      <x:c r="J463" s="8" t="e">
        <x:f>HYPERLINK("file:///Z:/00. Proiecte 2025/AFIR FotoVoltaic 1/15. Implementare Proiect Fotovoltaic/1.Implementare Proiect Production-Ordin de Incepere a Lucrarilor/fisa proiect de incarcat pe site.docx","Deschide sursa")</x:f>
        <x:v>HYPERLINK is not implemented. linkLocation=file:///Z:/00. Proiecte 2025/AFIR FotoVoltaic 1/15. Implementare Proiect Fotovoltaic/1.Implementare Proiect Production-Ordin de Incepere a Lucrarilor/fisa proiect de incarcat pe site.docx, friendlyName=Deschide sursa</x:v>
      </x:c>
    </x:row>
    <x:row r="464" ht="36" customHeight="1">
      <x:c r="A464" s="8" t="str">
        <x:v>F0460</x:v>
      </x:c>
      <x:c r="B464" s="8" t="str">
        <x:v>proiect_cesiro_fondul_pentru_modernizare (1).html</x:v>
      </x:c>
      <x:c r="C464" s="8" t="str">
        <x:v>15. Implementare Proiect Fotovoltaic</x:v>
      </x:c>
      <x:c r="D464" s="8" t="str">
        <x:v>Proiect fotovoltaic</x:v>
      </x:c>
      <x:c r="E464" s="8" t="str">
        <x:v>.html</x:v>
      </x:c>
      <x:c r="F464" s="8" t="n">
        <x:v>373796</x:v>
      </x:c>
      <x:c r="G464" s="8" t="str">
        <x:v>Inventariat; conținut neextras</x:v>
      </x:c>
      <x:c r="H464" s="8" t="str">
        <x:v>Document local; transmiterea individuală neconfirmată</x:v>
      </x:c>
      <x:c r="I464" s="8" t="str"/>
      <x:c r="J464" s="8" t="e">
        <x:f>HYPERLINK("file:///Z:/00. Proiecte 2025/AFIR FotoVoltaic 1/15. Implementare Proiect Fotovoltaic/1.Implementare Proiect Production-Ordin de Incepere a Lucrarilor/proiect_cesiro_fondul_pentru_modernizare (1).html","Deschide sursa")</x:f>
        <x:v>HYPERLINK is not implemented. linkLocation=file:///Z:/00. Proiecte 2025/AFIR FotoVoltaic 1/15. Implementare Proiect Fotovoltaic/1.Implementare Proiect Production-Ordin de Incepere a Lucrarilor/proiect_cesiro_fondul_pentru_modernizare (1).html, friendlyName=Deschide sursa</x:v>
      </x:c>
    </x:row>
    <x:row r="465" ht="36" customHeight="1">
      <x:c r="A465" s="8" t="str">
        <x:v>F0461</x:v>
      </x:c>
      <x:c r="B465" s="8" t="str">
        <x:v>Contract Neets-Suntech.pdf</x:v>
      </x:c>
      <x:c r="C465" s="8" t="str">
        <x:v>15. Implementare Proiect Fotovoltaic</x:v>
      </x:c>
      <x:c r="D465" s="8" t="str">
        <x:v>Proiect fotovoltaic</x:v>
      </x:c>
      <x:c r="E465" s="8" t="str">
        <x:v>.pdf</x:v>
      </x:c>
      <x:c r="F465" s="8" t="n">
        <x:v>8489265</x:v>
      </x:c>
      <x:c r="G465" s="8" t="str">
        <x:v>Text extras</x:v>
      </x:c>
      <x:c r="H465" s="8" t="str">
        <x:v>Document local; transmiterea individuală neconfirmată</x:v>
      </x:c>
      <x:c r="I465" s="8" t="str"/>
      <x:c r="J465" s="8" t="e">
        <x:f>HYPERLINK("file:///Z:/00. Proiecte 2025/AFIR FotoVoltaic 1/15. Implementare Proiect Fotovoltaic/10.Neets-Suntech/Contract Neets-Suntech.pdf","Deschide sursa")</x:f>
        <x:v>HYPERLINK is not implemented. linkLocation=file:///Z:/00. Proiecte 2025/AFIR FotoVoltaic 1/15. Implementare Proiect Fotovoltaic/10.Neets-Suntech/Contract Neets-Suntech.pdf, friendlyName=Deschide sursa</x:v>
      </x:c>
    </x:row>
    <x:row r="466" ht="36" customHeight="1">
      <x:c r="A466" s="8" t="str">
        <x:v>F0462</x:v>
      </x:c>
      <x:c r="B466" s="8" t="str">
        <x:v>Reconciliere Factura-CMR-Serii Panouri.docx</x:v>
      </x:c>
      <x:c r="C466" s="8" t="str">
        <x:v>15. Implementare Proiect Fotovoltaic</x:v>
      </x:c>
      <x:c r="D466" s="8" t="str">
        <x:v>Proiect fotovoltaic</x:v>
      </x:c>
      <x:c r="E466" s="8" t="str">
        <x:v>.docx</x:v>
      </x:c>
      <x:c r="F466" s="8" t="n">
        <x:v>22084</x:v>
      </x:c>
      <x:c r="G466" s="8" t="str">
        <x:v>Text extras</x:v>
      </x:c>
      <x:c r="H466" s="8" t="str">
        <x:v>Document local; transmiterea individuală neconfirmată</x:v>
      </x:c>
      <x:c r="I466" s="8" t="str"/>
      <x:c r="J466" s="8" t="e">
        <x:f>HYPERLINK("file:///Z:/00. Proiecte 2025/AFIR FotoVoltaic 1/15. Implementare Proiect Fotovoltaic/10.Neets-Suntech/Reconciliere Factura-CMR-Serii Panouri.docx","Deschide sursa")</x:f>
        <x:v>HYPERLINK is not implemented. linkLocation=file:///Z:/00. Proiecte 2025/AFIR FotoVoltaic 1/15. Implementare Proiect Fotovoltaic/10.Neets-Suntech/Reconciliere Factura-CMR-Serii Panouri.docx, friendlyName=Deschide sursa</x:v>
      </x:c>
    </x:row>
    <x:row r="467" ht="36" customHeight="1">
      <x:c r="A467" s="8" t="str">
        <x:v>F0463</x:v>
      </x:c>
      <x:c r="B467" s="8" t="str">
        <x:v>Reconciliere Factura-Serii Panouri.docx</x:v>
      </x:c>
      <x:c r="C467" s="8" t="str">
        <x:v>15. Implementare Proiect Fotovoltaic</x:v>
      </x:c>
      <x:c r="D467" s="8" t="str">
        <x:v>Proiect fotovoltaic</x:v>
      </x:c>
      <x:c r="E467" s="8" t="str">
        <x:v>.docx</x:v>
      </x:c>
      <x:c r="F467" s="8" t="n">
        <x:v>17832</x:v>
      </x:c>
      <x:c r="G467" s="8" t="str">
        <x:v>Text extras</x:v>
      </x:c>
      <x:c r="H467" s="8" t="str">
        <x:v>Document local; transmiterea individuală neconfirmată</x:v>
      </x:c>
      <x:c r="I467" s="8" t="str"/>
      <x:c r="J467" s="8" t="e">
        <x:f>HYPERLINK("file:///Z:/00. Proiecte 2025/AFIR FotoVoltaic 1/15. Implementare Proiect Fotovoltaic/10.Neets-Suntech/Reconciliere Factura-Serii Panouri.docx","Deschide sursa")</x:f>
        <x:v>HYPERLINK is not implemented. linkLocation=file:///Z:/00. Proiecte 2025/AFIR FotoVoltaic 1/15. Implementare Proiect Fotovoltaic/10.Neets-Suntech/Reconciliere Factura-Serii Panouri.docx, friendlyName=Deschide sursa</x:v>
      </x:c>
    </x:row>
    <x:row r="468" ht="36" customHeight="1">
      <x:c r="A468" s="8" t="str">
        <x:v>F0464</x:v>
      </x:c>
      <x:c r="B468" s="8" t="str">
        <x:v>WhatsApp Image 2026-07-09 at 12.12.49.jpeg</x:v>
      </x:c>
      <x:c r="C468" s="8" t="str">
        <x:v>15. Implementare Proiect Fotovoltaic</x:v>
      </x:c>
      <x:c r="D468" s="8" t="str">
        <x:v>Proiect fotovoltaic</x:v>
      </x:c>
      <x:c r="E468" s="8" t="str">
        <x:v>.jpeg</x:v>
      </x:c>
      <x:c r="F468" s="8" t="n">
        <x:v>160824</x:v>
      </x:c>
      <x:c r="G468" s="8" t="str">
        <x:v>Inventariat; conținut neextras</x:v>
      </x:c>
      <x:c r="H468" s="8" t="str">
        <x:v>Document local; transmiterea individuală neconfirmată</x:v>
      </x:c>
      <x:c r="I468" s="8" t="str"/>
      <x:c r="J468" s="8" t="e">
        <x:f>HYPERLINK("file:///Z:/00. Proiecte 2025/AFIR FotoVoltaic 1/15. Implementare Proiect Fotovoltaic/10.Neets-Suntech/WhatsApp Image 2026-07-09 at 12.12.49.jpeg","Deschide sursa")</x:f>
        <x:v>HYPERLINK is not implemented. linkLocation=file:///Z:/00. Proiecte 2025/AFIR FotoVoltaic 1/15. Implementare Proiect Fotovoltaic/10.Neets-Suntech/WhatsApp Image 2026-07-09 at 12.12.49.jpeg, friendlyName=Deschide sursa</x:v>
      </x:c>
    </x:row>
    <x:row r="469" ht="36" customHeight="1">
      <x:c r="A469" s="8" t="str">
        <x:v>F0465</x:v>
      </x:c>
      <x:c r="B469" s="8" t="str">
        <x:v>WhatsApp Image 2026-07-09 at 12.13.01.jpeg</x:v>
      </x:c>
      <x:c r="C469" s="8" t="str">
        <x:v>15. Implementare Proiect Fotovoltaic</x:v>
      </x:c>
      <x:c r="D469" s="8" t="str">
        <x:v>Proiect fotovoltaic</x:v>
      </x:c>
      <x:c r="E469" s="8" t="str">
        <x:v>.jpeg</x:v>
      </x:c>
      <x:c r="F469" s="8" t="n">
        <x:v>163824</x:v>
      </x:c>
      <x:c r="G469" s="8" t="str">
        <x:v>Inventariat; conținut neextras</x:v>
      </x:c>
      <x:c r="H469" s="8" t="str">
        <x:v>Document local; transmiterea individuală neconfirmată</x:v>
      </x:c>
      <x:c r="I469" s="8" t="str"/>
      <x:c r="J469" s="8" t="e">
        <x:f>HYPERLINK("file:///Z:/00. Proiecte 2025/AFIR FotoVoltaic 1/15. Implementare Proiect Fotovoltaic/10.Neets-Suntech/WhatsApp Image 2026-07-09 at 12.13.01.jpeg","Deschide sursa")</x:f>
        <x:v>HYPERLINK is not implemented. linkLocation=file:///Z:/00. Proiecte 2025/AFIR FotoVoltaic 1/15. Implementare Proiect Fotovoltaic/10.Neets-Suntech/WhatsApp Image 2026-07-09 at 12.13.01.jpeg, friendlyName=Deschide sursa</x:v>
      </x:c>
    </x:row>
    <x:row r="470" ht="36" customHeight="1">
      <x:c r="A470" s="8" t="str">
        <x:v>F0466</x:v>
      </x:c>
      <x:c r="B470" s="8" t="str">
        <x:v>Contract realizare investitie 1 MW ALNI.docx</x:v>
      </x:c>
      <x:c r="C470" s="8" t="str">
        <x:v>15. Implementare Proiect Fotovoltaic</x:v>
      </x:c>
      <x:c r="D470" s="8" t="str">
        <x:v>Proiect fotovoltaic</x:v>
      </x:c>
      <x:c r="E470" s="8" t="str">
        <x:v>.docx</x:v>
      </x:c>
      <x:c r="F470" s="8" t="n">
        <x:v>54958</x:v>
      </x:c>
      <x:c r="G470" s="8" t="str">
        <x:v>Text extras</x:v>
      </x:c>
      <x:c r="H470" s="8" t="str">
        <x:v>Document local; transmiterea individuală neconfirmată</x:v>
      </x:c>
      <x:c r="I470" s="8" t="str"/>
      <x:c r="J470" s="8" t="e">
        <x:f>HYPERLINK("file:///Z:/00. Proiecte 2025/AFIR FotoVoltaic 1/15. Implementare Proiect Fotovoltaic/11.Neets-ALNI/Contract realizare investitie 1 MW ALNI.docx","Deschide sursa")</x:f>
        <x:v>HYPERLINK is not implemented. linkLocation=file:///Z:/00. Proiecte 2025/AFIR FotoVoltaic 1/15. Implementare Proiect Fotovoltaic/11.Neets-ALNI/Contract realizare investitie 1 MW ALNI.docx, friendlyName=Deschide sursa</x:v>
      </x:c>
    </x:row>
    <x:row r="471" ht="36" customHeight="1">
      <x:c r="A471" s="8" t="str">
        <x:v>F0467</x:v>
      </x:c>
      <x:c r="B471" s="8" t="str">
        <x:v>Contract_Neets-Alni Electric_compressed (1) (1).pdf</x:v>
      </x:c>
      <x:c r="C471" s="8" t="str">
        <x:v>15. Implementare Proiect Fotovoltaic</x:v>
      </x:c>
      <x:c r="D471" s="8" t="str">
        <x:v>Proiect fotovoltaic</x:v>
      </x:c>
      <x:c r="E471" s="8" t="str">
        <x:v>.pdf</x:v>
      </x:c>
      <x:c r="F471" s="8" t="n">
        <x:v>6630087</x:v>
      </x:c>
      <x:c r="G471" s="8" t="str">
        <x:v>Text extras</x:v>
      </x:c>
      <x:c r="H471" s="8" t="str">
        <x:v>Document local; transmiterea individuală neconfirmată</x:v>
      </x:c>
      <x:c r="I471" s="8" t="str"/>
      <x:c r="J471" s="8" t="e">
        <x:f>HYPERLINK("file:///Z:/00. Proiecte 2025/AFIR FotoVoltaic 1/15. Implementare Proiect Fotovoltaic/11.Neets-ALNI/Contract_Neets-Alni Electric_compressed (1) (1).pdf","Deschide sursa")</x:f>
        <x:v>HYPERLINK is not implemented. linkLocation=file:///Z:/00. Proiecte 2025/AFIR FotoVoltaic 1/15. Implementare Proiect Fotovoltaic/11.Neets-ALNI/Contract_Neets-Alni Electric_compressed (1) (1).pdf, friendlyName=Deschide sursa</x:v>
      </x:c>
    </x:row>
    <x:row r="472" ht="36" customHeight="1">
      <x:c r="A472" s="8" t="str">
        <x:v>F0468</x:v>
      </x:c>
      <x:c r="B472" s="8" t="str">
        <x:v>Declaration of conformity - Neets Fotoshooting SRL - Avasco Solar Signed.pdf</x:v>
      </x:c>
      <x:c r="C472" s="8" t="str">
        <x:v>15. Implementare Proiect Fotovoltaic</x:v>
      </x:c>
      <x:c r="D472" s="8" t="str">
        <x:v>Proiect fotovoltaic</x:v>
      </x:c>
      <x:c r="E472" s="8" t="str">
        <x:v>.pdf</x:v>
      </x:c>
      <x:c r="F472" s="8" t="n">
        <x:v>242850</x:v>
      </x:c>
      <x:c r="G472" s="8" t="str">
        <x:v>Text extras</x:v>
      </x:c>
      <x:c r="H472" s="8" t="str">
        <x:v>Document local; transmiterea individuală neconfirmată</x:v>
      </x:c>
      <x:c r="I472" s="8" t="str"/>
      <x:c r="J472" s="8" t="e">
        <x:f>HYPERLINK("file:///Z:/00. Proiecte 2025/AFIR FotoVoltaic 1/15. Implementare Proiect Fotovoltaic/12.Neets-Avasco/Declaration of conformity - Neets Fotoshooting SRL - Avasco Solar Signed.pdf","Deschide sursa")</x:f>
        <x:v>HYPERLINK is not implemented. linkLocation=file:///Z:/00. Proiecte 2025/AFIR FotoVoltaic 1/15. Implementare Proiect Fotovoltaic/12.Neets-Avasco/Declaration of conformity - Neets Fotoshooting SRL - Avasco Solar Signed.pdf, friendlyName=Deschide sursa</x:v>
      </x:c>
    </x:row>
    <x:row r="473" ht="36" customHeight="1">
      <x:c r="A473" s="8" t="str">
        <x:v>F0469</x:v>
      </x:c>
      <x:c r="B473" s="8" t="str">
        <x:v>P118 - Document oficial.pdf</x:v>
      </x:c>
      <x:c r="C473" s="8" t="str">
        <x:v>15. Implementare Proiect Fotovoltaic</x:v>
      </x:c>
      <x:c r="D473" s="8" t="str">
        <x:v>Proiect fotovoltaic</x:v>
      </x:c>
      <x:c r="E473" s="8" t="str">
        <x:v>.pdf</x:v>
      </x:c>
      <x:c r="F473" s="8" t="n">
        <x:v>37020145</x:v>
      </x:c>
      <x:c r="G473" s="8" t="str">
        <x:v>Text extras</x:v>
      </x:c>
      <x:c r="H473" s="8" t="str">
        <x:v>Document local; transmiterea individuală neconfirmată</x:v>
      </x:c>
      <x:c r="I473" s="8" t="str"/>
      <x:c r="J473" s="8" t="e">
        <x:f>HYPERLINK("file:///Z:/00. Proiecte 2025/AFIR FotoVoltaic 1/15. Implementare Proiect Fotovoltaic/12.Neets-Avasco/P118 - Document oficial.pdf","Deschide sursa")</x:f>
        <x:v>HYPERLINK is not implemented. linkLocation=file:///Z:/00. Proiecte 2025/AFIR FotoVoltaic 1/15. Implementare Proiect Fotovoltaic/12.Neets-Avasco/P118 - Document oficial.pdf, friendlyName=Deschide sursa</x:v>
      </x:c>
    </x:row>
    <x:row r="474" ht="36" customHeight="1">
      <x:c r="A474" s="8" t="str">
        <x:v>F0470</x:v>
      </x:c>
      <x:c r="B474" s="8" t="str">
        <x:v>P118 - RO.pdf</x:v>
      </x:c>
      <x:c r="C474" s="8" t="str">
        <x:v>15. Implementare Proiect Fotovoltaic</x:v>
      </x:c>
      <x:c r="D474" s="8" t="str">
        <x:v>Proiect fotovoltaic</x:v>
      </x:c>
      <x:c r="E474" s="8" t="str">
        <x:v>.pdf</x:v>
      </x:c>
      <x:c r="F474" s="8" t="n">
        <x:v>187826</x:v>
      </x:c>
      <x:c r="G474" s="8" t="str">
        <x:v>Text extras</x:v>
      </x:c>
      <x:c r="H474" s="8" t="str">
        <x:v>Document local; transmiterea individuală neconfirmată</x:v>
      </x:c>
      <x:c r="I474" s="8" t="str"/>
      <x:c r="J474" s="8" t="e">
        <x:f>HYPERLINK("file:///Z:/00. Proiecte 2025/AFIR FotoVoltaic 1/15. Implementare Proiect Fotovoltaic/12.Neets-Avasco/P118 - RO.pdf","Deschide sursa")</x:f>
        <x:v>HYPERLINK is not implemented. linkLocation=file:///Z:/00. Proiecte 2025/AFIR FotoVoltaic 1/15. Implementare Proiect Fotovoltaic/12.Neets-Avasco/P118 - RO.pdf, friendlyName=Deschide sursa</x:v>
      </x:c>
    </x:row>
    <x:row r="475" ht="36" customHeight="1">
      <x:c r="A475" s="8" t="str">
        <x:v>F0471</x:v>
      </x:c>
      <x:c r="B475" s="8" t="str">
        <x:v>Price offer, Neets Fotoshooting SRL, V1.pdf</x:v>
      </x:c>
      <x:c r="C475" s="8" t="str">
        <x:v>15. Implementare Proiect Fotovoltaic</x:v>
      </x:c>
      <x:c r="D475" s="8" t="str">
        <x:v>Proiect fotovoltaic</x:v>
      </x:c>
      <x:c r="E475" s="8" t="str">
        <x:v>.pdf</x:v>
      </x:c>
      <x:c r="F475" s="8" t="n">
        <x:v>112359</x:v>
      </x:c>
      <x:c r="G475" s="8" t="str">
        <x:v>Text extras</x:v>
      </x:c>
      <x:c r="H475" s="8" t="str">
        <x:v>Document local; transmiterea individuală neconfirmată</x:v>
      </x:c>
      <x:c r="I475" s="8" t="str"/>
      <x:c r="J475" s="8" t="e">
        <x:f>HYPERLINK("file:///Z:/00. Proiecte 2025/AFIR FotoVoltaic 1/15. Implementare Proiect Fotovoltaic/12.Neets-Avasco/Price offer, Neets Fotoshooting SRL, V1.pdf","Deschide sursa")</x:f>
        <x:v>HYPERLINK is not implemented. linkLocation=file:///Z:/00. Proiecte 2025/AFIR FotoVoltaic 1/15. Implementare Proiect Fotovoltaic/12.Neets-Avasco/Price offer, Neets Fotoshooting SRL, V1.pdf, friendlyName=Deschide sursa</x:v>
      </x:c>
    </x:row>
    <x:row r="476" ht="36" customHeight="1">
      <x:c r="A476" s="8" t="str">
        <x:v>F0472</x:v>
      </x:c>
      <x:c r="B476" s="8" t="str">
        <x:v>Product warranty - Neets Fotoshooting SRL - Avasco Solar Signed.pdf</x:v>
      </x:c>
      <x:c r="C476" s="8" t="str">
        <x:v>15. Implementare Proiect Fotovoltaic</x:v>
      </x:c>
      <x:c r="D476" s="8" t="str">
        <x:v>Proiect fotovoltaic</x:v>
      </x:c>
      <x:c r="E476" s="8" t="str">
        <x:v>.pdf</x:v>
      </x:c>
      <x:c r="F476" s="8" t="n">
        <x:v>195666</x:v>
      </x:c>
      <x:c r="G476" s="8" t="str">
        <x:v>Text extras</x:v>
      </x:c>
      <x:c r="H476" s="8" t="str">
        <x:v>Document local; transmiterea individuală neconfirmată</x:v>
      </x:c>
      <x:c r="I476" s="8" t="str"/>
      <x:c r="J476" s="8" t="e">
        <x:f>HYPERLINK("file:///Z:/00. Proiecte 2025/AFIR FotoVoltaic 1/15. Implementare Proiect Fotovoltaic/12.Neets-Avasco/Product warranty - Neets Fotoshooting SRL - Avasco Solar Signed.pdf","Deschide sursa")</x:f>
        <x:v>HYPERLINK is not implemented. linkLocation=file:///Z:/00. Proiecte 2025/AFIR FotoVoltaic 1/15. Implementare Proiect Fotovoltaic/12.Neets-Avasco/Product warranty - Neets Fotoshooting SRL - Avasco Solar Signed.pdf, friendlyName=Deschide sursa</x:v>
      </x:c>
    </x:row>
    <x:row r="477" ht="36" customHeight="1">
      <x:c r="A477" s="8" t="str">
        <x:v>F0473</x:v>
      </x:c>
      <x:c r="B477" s="8" t="str">
        <x:v>Project report - Neets Fotoshooting, V1.pdf</x:v>
      </x:c>
      <x:c r="C477" s="8" t="str">
        <x:v>15. Implementare Proiect Fotovoltaic</x:v>
      </x:c>
      <x:c r="D477" s="8" t="str">
        <x:v>Proiect fotovoltaic</x:v>
      </x:c>
      <x:c r="E477" s="8" t="str">
        <x:v>.pdf</x:v>
      </x:c>
      <x:c r="F477" s="8" t="n">
        <x:v>5020699</x:v>
      </x:c>
      <x:c r="G477" s="8" t="str">
        <x:v>Text extras</x:v>
      </x:c>
      <x:c r="H477" s="8" t="str">
        <x:v>Document local; transmiterea individuală neconfirmată</x:v>
      </x:c>
      <x:c r="I477" s="8" t="str"/>
      <x:c r="J477" s="8" t="e">
        <x:f>HYPERLINK("file:///Z:/00. Proiecte 2025/AFIR FotoVoltaic 1/15. Implementare Proiect Fotovoltaic/12.Neets-Avasco/Project report - Neets Fotoshooting, V1.pdf","Deschide sursa")</x:f>
        <x:v>HYPERLINK is not implemented. linkLocation=file:///Z:/00. Proiecte 2025/AFIR FotoVoltaic 1/15. Implementare Proiect Fotovoltaic/12.Neets-Avasco/Project report - Neets Fotoshooting, V1.pdf, friendlyName=Deschide sursa</x:v>
      </x:c>
    </x:row>
    <x:row r="478" ht="36" customHeight="1">
      <x:c r="A478" s="8" t="str">
        <x:v>F0474</x:v>
      </x:c>
      <x:c r="B478" s="8" t="str">
        <x:v>Project report - Neets Fotoshooting, V2 - Neets Fotoshooting.pdf</x:v>
      </x:c>
      <x:c r="C478" s="8" t="str">
        <x:v>15. Implementare Proiect Fotovoltaic</x:v>
      </x:c>
      <x:c r="D478" s="8" t="str">
        <x:v>Proiect fotovoltaic</x:v>
      </x:c>
      <x:c r="E478" s="8" t="str">
        <x:v>.pdf</x:v>
      </x:c>
      <x:c r="F478" s="8" t="n">
        <x:v>6553555</x:v>
      </x:c>
      <x:c r="G478" s="8" t="str">
        <x:v>Text extras</x:v>
      </x:c>
      <x:c r="H478" s="8" t="str">
        <x:v>Document local; transmiterea individuală neconfirmată</x:v>
      </x:c>
      <x:c r="I478" s="8" t="str"/>
      <x:c r="J478" s="8" t="e">
        <x:f>HYPERLINK("file:///Z:/00. Proiecte 2025/AFIR FotoVoltaic 1/15. Implementare Proiect Fotovoltaic/12.Neets-Avasco/Project report - Neets Fotoshooting, V2 - Neets Fotoshooting.pdf","Deschide sursa")</x:f>
        <x:v>HYPERLINK is not implemented. linkLocation=file:///Z:/00. Proiecte 2025/AFIR FotoVoltaic 1/15. Implementare Proiect Fotovoltaic/12.Neets-Avasco/Project report - Neets Fotoshooting, V2 - Neets Fotoshooting.pdf, friendlyName=Deschide sursa</x:v>
      </x:c>
    </x:row>
    <x:row r="479" ht="36" customHeight="1">
      <x:c r="A479" s="8" t="str">
        <x:v>F0475</x:v>
      </x:c>
      <x:c r="B479" s="8" t="str">
        <x:v>Structura_Avasco.pdf</x:v>
      </x:c>
      <x:c r="C479" s="8" t="str">
        <x:v>15. Implementare Proiect Fotovoltaic</x:v>
      </x:c>
      <x:c r="D479" s="8" t="str">
        <x:v>Proiect fotovoltaic</x:v>
      </x:c>
      <x:c r="E479" s="8" t="str">
        <x:v>.pdf</x:v>
      </x:c>
      <x:c r="F479" s="8" t="n">
        <x:v>972289</x:v>
      </x:c>
      <x:c r="G479" s="8" t="str">
        <x:v>Text extras</x:v>
      </x:c>
      <x:c r="H479" s="8" t="str">
        <x:v>Document local; transmiterea individuală neconfirmată</x:v>
      </x:c>
      <x:c r="I479" s="8" t="str"/>
      <x:c r="J479" s="8" t="e">
        <x:f>HYPERLINK("file:///Z:/00. Proiecte 2025/AFIR FotoVoltaic 1/15. Implementare Proiect Fotovoltaic/12.Neets-Avasco/Structura_Avasco.pdf","Deschide sursa")</x:f>
        <x:v>HYPERLINK is not implemented. linkLocation=file:///Z:/00. Proiecte 2025/AFIR FotoVoltaic 1/15. Implementare Proiect Fotovoltaic/12.Neets-Avasco/Structura_Avasco.pdf, friendlyName=Deschide sursa</x:v>
      </x:c>
    </x:row>
    <x:row r="480" ht="36" customHeight="1">
      <x:c r="A480" s="8" t="str">
        <x:v>F0476</x:v>
      </x:c>
      <x:c r="B480" s="8" t="str">
        <x:v>WhatsApp Image 2026-07-09 at 11.50.02.jpeg</x:v>
      </x:c>
      <x:c r="C480" s="8" t="str">
        <x:v>15. Implementare Proiect Fotovoltaic</x:v>
      </x:c>
      <x:c r="D480" s="8" t="str">
        <x:v>Proiect fotovoltaic</x:v>
      </x:c>
      <x:c r="E480" s="8" t="str">
        <x:v>.jpeg</x:v>
      </x:c>
      <x:c r="F480" s="8" t="n">
        <x:v>38148</x:v>
      </x:c>
      <x:c r="G480" s="8" t="str">
        <x:v>Inventariat; conținut neextras</x:v>
      </x:c>
      <x:c r="H480" s="8" t="str">
        <x:v>Document local; transmiterea individuală neconfirmată</x:v>
      </x:c>
      <x:c r="I480" s="8" t="str"/>
      <x:c r="J480" s="8" t="e">
        <x:f>HYPERLINK("file:///Z:/00. Proiecte 2025/AFIR FotoVoltaic 1/15. Implementare Proiect Fotovoltaic/12.Neets-Avasco/WhatsApp Image 2026-07-09 at 11.50.02.jpeg","Deschide sursa")</x:f>
        <x:v>HYPERLINK is not implemented. linkLocation=file:///Z:/00. Proiecte 2025/AFIR FotoVoltaic 1/15. Implementare Proiect Fotovoltaic/12.Neets-Avasco/WhatsApp Image 2026-07-09 at 11.50.02.jpeg, friendlyName=Deschide sursa</x:v>
      </x:c>
    </x:row>
    <x:row r="481" ht="36" customHeight="1">
      <x:c r="A481" s="8" t="str">
        <x:v>F0477</x:v>
      </x:c>
      <x:c r="B481" s="8" t="str">
        <x:v>WhatsApp Image 2026-07-09 at 11.50.24.jpeg</x:v>
      </x:c>
      <x:c r="C481" s="8" t="str">
        <x:v>15. Implementare Proiect Fotovoltaic</x:v>
      </x:c>
      <x:c r="D481" s="8" t="str">
        <x:v>Proiect fotovoltaic</x:v>
      </x:c>
      <x:c r="E481" s="8" t="str">
        <x:v>.jpeg</x:v>
      </x:c>
      <x:c r="F481" s="8" t="n">
        <x:v>201481</x:v>
      </x:c>
      <x:c r="G481" s="8" t="str">
        <x:v>Inventariat; conținut neextras</x:v>
      </x:c>
      <x:c r="H481" s="8" t="str">
        <x:v>Document local; transmiterea individuală neconfirmată</x:v>
      </x:c>
      <x:c r="I481" s="8" t="str"/>
      <x:c r="J481" s="8" t="e">
        <x:f>HYPERLINK("file:///Z:/00. Proiecte 2025/AFIR FotoVoltaic 1/15. Implementare Proiect Fotovoltaic/12.Neets-Avasco/WhatsApp Image 2026-07-09 at 11.50.24.jpeg","Deschide sursa")</x:f>
        <x:v>HYPERLINK is not implemented. linkLocation=file:///Z:/00. Proiecte 2025/AFIR FotoVoltaic 1/15. Implementare Proiect Fotovoltaic/12.Neets-Avasco/WhatsApp Image 2026-07-09 at 11.50.24.jpeg, friendlyName=Deschide sursa</x:v>
      </x:c>
    </x:row>
    <x:row r="482" ht="36" customHeight="1">
      <x:c r="A482" s="8" t="str">
        <x:v>F0478</x:v>
      </x:c>
      <x:c r="B482" s="8" t="str">
        <x:v>Elis Pavaje.pdf</x:v>
      </x:c>
      <x:c r="C482" s="8" t="str">
        <x:v>15. Implementare Proiect Fotovoltaic</x:v>
      </x:c>
      <x:c r="D482" s="8" t="str">
        <x:v>Proiect fotovoltaic</x:v>
      </x:c>
      <x:c r="E482" s="8" t="str">
        <x:v>.pdf</x:v>
      </x:c>
      <x:c r="F482" s="8" t="n">
        <x:v>856145</x:v>
      </x:c>
      <x:c r="G482" s="8" t="str">
        <x:v>Text extras</x:v>
      </x:c>
      <x:c r="H482" s="8" t="str">
        <x:v>Document local; transmiterea individuală neconfirmată</x:v>
      </x:c>
      <x:c r="I482" s="8" t="str"/>
      <x:c r="J482" s="8" t="e">
        <x:f>HYPERLINK("file:///Z:/00. Proiecte 2025/AFIR FotoVoltaic 1/15. Implementare Proiect Fotovoltaic/13.Neets-Elis/Elis Pavaje.pdf","Deschide sursa")</x:f>
        <x:v>HYPERLINK is not implemented. linkLocation=file:///Z:/00. Proiecte 2025/AFIR FotoVoltaic 1/15. Implementare Proiect Fotovoltaic/13.Neets-Elis/Elis Pavaje.pdf, friendlyName=Deschide sursa</x:v>
      </x:c>
    </x:row>
    <x:row r="483" ht="36" customHeight="1">
      <x:c r="A483" s="8" t="str">
        <x:v>F0479</x:v>
      </x:c>
      <x:c r="B483" s="8" t="str">
        <x:v>CMR IMPORTURI.pdf</x:v>
      </x:c>
      <x:c r="C483" s="8" t="str">
        <x:v>15. Implementare Proiect Fotovoltaic</x:v>
      </x:c>
      <x:c r="D483" s="8" t="str">
        <x:v>Proiect fotovoltaic</x:v>
      </x:c>
      <x:c r="E483" s="8" t="str">
        <x:v>.pdf</x:v>
      </x:c>
      <x:c r="F483" s="8" t="n">
        <x:v>5077839</x:v>
      </x:c>
      <x:c r="G483" s="8" t="str">
        <x:v>Scan / text insuficient</x:v>
      </x:c>
      <x:c r="H483" s="8" t="str">
        <x:v>Document local; transmiterea individuală neconfirmată</x:v>
      </x:c>
      <x:c r="I483" s="8" t="str"/>
      <x:c r="J483" s="8" t="e">
        <x:f>HYPERLINK("file:///Z:/00. Proiecte 2025/AFIR FotoVoltaic 1/15. Implementare Proiect Fotovoltaic/14.Neets-Edimar Colect Stivuitor/CMR IMPORTURI.pdf","Deschide sursa")</x:f>
        <x:v>HYPERLINK is not implemented. linkLocation=file:///Z:/00. Proiecte 2025/AFIR FotoVoltaic 1/15. Implementare Proiect Fotovoltaic/14.Neets-Edimar Colect Stivuitor/CMR IMPORTURI.pdf, friendlyName=Deschide sursa</x:v>
      </x:c>
    </x:row>
    <x:row r="484" ht="36" customHeight="1">
      <x:c r="A484" s="8" t="str">
        <x:v>F0480</x:v>
      </x:c>
      <x:c r="B484" s="8" t="str">
        <x:v>CMR Skybase 11 Paleti.pdf</x:v>
      </x:c>
      <x:c r="C484" s="8" t="str">
        <x:v>15. Implementare Proiect Fotovoltaic</x:v>
      </x:c>
      <x:c r="D484" s="8" t="str">
        <x:v>Proiect fotovoltaic</x:v>
      </x:c>
      <x:c r="E484" s="8" t="str">
        <x:v>.pdf</x:v>
      </x:c>
      <x:c r="F484" s="8" t="n">
        <x:v>2153562</x:v>
      </x:c>
      <x:c r="G484" s="8" t="str">
        <x:v>Text extras</x:v>
      </x:c>
      <x:c r="H484" s="8" t="str">
        <x:v>Document local; transmiterea individuală neconfirmată</x:v>
      </x:c>
      <x:c r="I484" s="8" t="str"/>
      <x:c r="J484" s="8" t="e">
        <x:f>HYPERLINK("file:///Z:/00. Proiecte 2025/AFIR FotoVoltaic 1/15. Implementare Proiect Fotovoltaic/15.Neets-Skybase/CMR Skybase 11 Paleti.pdf","Deschide sursa")</x:f>
        <x:v>HYPERLINK is not implemented. linkLocation=file:///Z:/00. Proiecte 2025/AFIR FotoVoltaic 1/15. Implementare Proiect Fotovoltaic/15.Neets-Skybase/CMR Skybase 11 Paleti.pdf, friendlyName=Deschide sursa</x:v>
      </x:c>
    </x:row>
    <x:row r="485" ht="36" customHeight="1">
      <x:c r="A485" s="8" t="str">
        <x:v>F0481</x:v>
      </x:c>
      <x:c r="B485" s="8" t="str">
        <x:v>dtsu666-h-100a-smartps-80ai-t0-dtsu666-h-datasheet.pdf</x:v>
      </x:c>
      <x:c r="C485" s="8" t="str">
        <x:v>15. Implementare Proiect Fotovoltaic</x:v>
      </x:c>
      <x:c r="D485" s="8" t="str">
        <x:v>Proiect fotovoltaic</x:v>
      </x:c>
      <x:c r="E485" s="8" t="str">
        <x:v>.pdf</x:v>
      </x:c>
      <x:c r="F485" s="8" t="n">
        <x:v>7403526</x:v>
      </x:c>
      <x:c r="G485" s="8" t="str">
        <x:v>Text extras</x:v>
      </x:c>
      <x:c r="H485" s="8" t="str">
        <x:v>Document local; transmiterea individuală neconfirmată</x:v>
      </x:c>
      <x:c r="I485" s="8" t="str"/>
      <x:c r="J485" s="8" t="e">
        <x:f>HYPERLINK("file:///Z:/00. Proiecte 2025/AFIR FotoVoltaic 1/15. Implementare Proiect Fotovoltaic/15.Neets-Skybase/dtsu666-h-100a-smartps-80ai-t0-dtsu666-h-datasheet.pdf","Deschide sursa")</x:f>
        <x:v>HYPERLINK is not implemented. linkLocation=file:///Z:/00. Proiecte 2025/AFIR FotoVoltaic 1/15. Implementare Proiect Fotovoltaic/15.Neets-Skybase/dtsu666-h-100a-smartps-80ai-t0-dtsu666-h-datasheet.pdf, friendlyName=Deschide sursa</x:v>
      </x:c>
    </x:row>
    <x:row r="486" ht="36" customHeight="1">
      <x:c r="A486" s="8" t="str">
        <x:v>F0482</x:v>
      </x:c>
      <x:c r="B486" s="8" t="str">
        <x:v>HUAWEI+LUNA2000-241-2S1+Datasheet.pdf</x:v>
      </x:c>
      <x:c r="C486" s="8" t="str">
        <x:v>15. Implementare Proiect Fotovoltaic</x:v>
      </x:c>
      <x:c r="D486" s="8" t="str">
        <x:v>Proiect fotovoltaic</x:v>
      </x:c>
      <x:c r="E486" s="8" t="str">
        <x:v>.pdf</x:v>
      </x:c>
      <x:c r="F486" s="8" t="n">
        <x:v>225210</x:v>
      </x:c>
      <x:c r="G486" s="8" t="str">
        <x:v>Text extras</x:v>
      </x:c>
      <x:c r="H486" s="8" t="str">
        <x:v>Document local; transmiterea individuală neconfirmată</x:v>
      </x:c>
      <x:c r="I486" s="8" t="str"/>
      <x:c r="J486" s="8" t="e">
        <x:f>HYPERLINK("file:///Z:/00. Proiecte 2025/AFIR FotoVoltaic 1/15. Implementare Proiect Fotovoltaic/15.Neets-Skybase/HUAWEI+LUNA2000-241-2S1+Datasheet.pdf","Deschide sursa")</x:f>
        <x:v>HYPERLINK is not implemented. linkLocation=file:///Z:/00. Proiecte 2025/AFIR FotoVoltaic 1/15. Implementare Proiect Fotovoltaic/15.Neets-Skybase/HUAWEI+LUNA2000-241-2S1+Datasheet.pdf, friendlyName=Deschide sursa</x:v>
      </x:c>
    </x:row>
    <x:row r="487" ht="36" customHeight="1">
      <x:c r="A487" s="8" t="str">
        <x:v>F0483</x:v>
      </x:c>
      <x:c r="B487" s="8" t="str">
        <x:v>luna2000-200kwhg-2h1-dtatsheet-20230310.pdf</x:v>
      </x:c>
      <x:c r="C487" s="8" t="str">
        <x:v>15. Implementare Proiect Fotovoltaic</x:v>
      </x:c>
      <x:c r="D487" s="8" t="str">
        <x:v>Proiect fotovoltaic</x:v>
      </x:c>
      <x:c r="E487" s="8" t="str">
        <x:v>.pdf</x:v>
      </x:c>
      <x:c r="F487" s="8" t="n">
        <x:v>171915</x:v>
      </x:c>
      <x:c r="G487" s="8" t="str">
        <x:v>Text extras</x:v>
      </x:c>
      <x:c r="H487" s="8" t="str">
        <x:v>Document local; transmiterea individuală neconfirmată</x:v>
      </x:c>
      <x:c r="I487" s="8" t="str"/>
      <x:c r="J487" s="8" t="e">
        <x:f>HYPERLINK("file:///Z:/00. Proiecte 2025/AFIR FotoVoltaic 1/15. Implementare Proiect Fotovoltaic/15.Neets-Skybase/luna2000-200kwhg-2h1-dtatsheet-20230310.pdf","Deschide sursa")</x:f>
        <x:v>HYPERLINK is not implemented. linkLocation=file:///Z:/00. Proiecte 2025/AFIR FotoVoltaic 1/15. Implementare Proiect Fotovoltaic/15.Neets-Skybase/luna2000-200kwhg-2h1-dtatsheet-20230310.pdf, friendlyName=Deschide sursa</x:v>
      </x:c>
    </x:row>
    <x:row r="488" ht="36" customHeight="1">
      <x:c r="A488" s="8" t="str">
        <x:v>F0484</x:v>
      </x:c>
      <x:c r="B488" s="8" t="str">
        <x:v>ProformaSKY2317.pdf</x:v>
      </x:c>
      <x:c r="C488" s="8" t="str">
        <x:v>15. Implementare Proiect Fotovoltaic</x:v>
      </x:c>
      <x:c r="D488" s="8" t="str">
        <x:v>Proiect fotovoltaic</x:v>
      </x:c>
      <x:c r="E488" s="8" t="str">
        <x:v>.pdf</x:v>
      </x:c>
      <x:c r="F488" s="8" t="n">
        <x:v>105743</x:v>
      </x:c>
      <x:c r="G488" s="8" t="str">
        <x:v>Text extras</x:v>
      </x:c>
      <x:c r="H488" s="8" t="str">
        <x:v>Document local; transmiterea individuală neconfirmată</x:v>
      </x:c>
      <x:c r="I488" s="8" t="str"/>
      <x:c r="J488" s="8" t="e">
        <x:f>HYPERLINK("file:///Z:/00. Proiecte 2025/AFIR FotoVoltaic 1/15. Implementare Proiect Fotovoltaic/15.Neets-Skybase/ProformaSKY2317.pdf","Deschide sursa")</x:f>
        <x:v>HYPERLINK is not implemented. linkLocation=file:///Z:/00. Proiecte 2025/AFIR FotoVoltaic 1/15. Implementare Proiect Fotovoltaic/15.Neets-Skybase/ProformaSKY2317.pdf, friendlyName=Deschide sursa</x:v>
      </x:c>
    </x:row>
    <x:row r="489" ht="36" customHeight="1">
      <x:c r="A489" s="8" t="str">
        <x:v>F0485</x:v>
      </x:c>
      <x:c r="B489" s="8" t="str">
        <x:v>smartmgc-5000b-smartlogger-5000b.pdf</x:v>
      </x:c>
      <x:c r="C489" s="8" t="str">
        <x:v>15. Implementare Proiect Fotovoltaic</x:v>
      </x:c>
      <x:c r="D489" s="8" t="str">
        <x:v>Proiect fotovoltaic</x:v>
      </x:c>
      <x:c r="E489" s="8" t="str">
        <x:v>.pdf</x:v>
      </x:c>
      <x:c r="F489" s="8" t="n">
        <x:v>745016</x:v>
      </x:c>
      <x:c r="G489" s="8" t="str">
        <x:v>Text extras</x:v>
      </x:c>
      <x:c r="H489" s="8" t="str">
        <x:v>Document local; transmiterea individuală neconfirmată</x:v>
      </x:c>
      <x:c r="I489" s="8" t="str"/>
      <x:c r="J489" s="8" t="e">
        <x:f>HYPERLINK("file:///Z:/00. Proiecte 2025/AFIR FotoVoltaic 1/15. Implementare Proiect Fotovoltaic/15.Neets-Skybase/smartmgc-5000b-smartlogger-5000b.pdf","Deschide sursa")</x:f>
        <x:v>HYPERLINK is not implemented. linkLocation=file:///Z:/00. Proiecte 2025/AFIR FotoVoltaic 1/15. Implementare Proiect Fotovoltaic/15.Neets-Skybase/smartmgc-5000b-smartlogger-5000b.pdf, friendlyName=Deschide sursa</x:v>
      </x:c>
    </x:row>
    <x:row r="490" ht="36" customHeight="1">
      <x:c r="A490" s="8" t="str">
        <x:v>F0486</x:v>
      </x:c>
      <x:c r="B490" s="8" t="str">
        <x:v>SUN2000-100KTL-M2-2023.pdf</x:v>
      </x:c>
      <x:c r="C490" s="8" t="str">
        <x:v>15. Implementare Proiect Fotovoltaic</x:v>
      </x:c>
      <x:c r="D490" s="8" t="str">
        <x:v>Proiect fotovoltaic</x:v>
      </x:c>
      <x:c r="E490" s="8" t="str">
        <x:v>.pdf</x:v>
      </x:c>
      <x:c r="F490" s="8" t="n">
        <x:v>441689</x:v>
      </x:c>
      <x:c r="G490" s="8" t="str">
        <x:v>Text extras</x:v>
      </x:c>
      <x:c r="H490" s="8" t="str">
        <x:v>Document local; transmiterea individuală neconfirmată</x:v>
      </x:c>
      <x:c r="I490" s="8" t="str"/>
      <x:c r="J490" s="8" t="e">
        <x:f>HYPERLINK("file:///Z:/00. Proiecte 2025/AFIR FotoVoltaic 1/15. Implementare Proiect Fotovoltaic/15.Neets-Skybase/SUN2000-100KTL-M2-2023.pdf","Deschide sursa")</x:f>
        <x:v>HYPERLINK is not implemented. linkLocation=file:///Z:/00. Proiecte 2025/AFIR FotoVoltaic 1/15. Implementare Proiect Fotovoltaic/15.Neets-Skybase/SUN2000-100KTL-M2-2023.pdf, friendlyName=Deschide sursa</x:v>
      </x:c>
    </x:row>
    <x:row r="491" ht="36" customHeight="1">
      <x:c r="A491" s="8" t="str">
        <x:v>F0487</x:v>
      </x:c>
      <x:c r="B491" s="8" t="str">
        <x:v>sun2000-100ktl-m2-datasheet-20230210.pdf</x:v>
      </x:c>
      <x:c r="C491" s="8" t="str">
        <x:v>15. Implementare Proiect Fotovoltaic</x:v>
      </x:c>
      <x:c r="D491" s="8" t="str">
        <x:v>Proiect fotovoltaic</x:v>
      </x:c>
      <x:c r="E491" s="8" t="str">
        <x:v>.pdf</x:v>
      </x:c>
      <x:c r="F491" s="8" t="n">
        <x:v>354196</x:v>
      </x:c>
      <x:c r="G491" s="8" t="str">
        <x:v>Text extras</x:v>
      </x:c>
      <x:c r="H491" s="8" t="str">
        <x:v>Document local; transmiterea individuală neconfirmată</x:v>
      </x:c>
      <x:c r="I491" s="8" t="str"/>
      <x:c r="J491" s="8" t="e">
        <x:f>HYPERLINK("file:///Z:/00. Proiecte 2025/AFIR FotoVoltaic 1/15. Implementare Proiect Fotovoltaic/15.Neets-Skybase/sun2000-100ktl-m2-datasheet-20230210.pdf","Deschide sursa")</x:f>
        <x:v>HYPERLINK is not implemented. linkLocation=file:///Z:/00. Proiecte 2025/AFIR FotoVoltaic 1/15. Implementare Proiect Fotovoltaic/15.Neets-Skybase/sun2000-100ktl-m2-datasheet-20230210.pdf, friendlyName=Deschide sursa</x:v>
      </x:c>
    </x:row>
    <x:row r="492" ht="36" customHeight="1">
      <x:c r="A492" s="8" t="str">
        <x:v>F0488</x:v>
      </x:c>
      <x:c r="B492" s="8" t="str">
        <x:v>SUN2000-20303640KTL-M3.pdf</x:v>
      </x:c>
      <x:c r="C492" s="8" t="str">
        <x:v>15. Implementare Proiect Fotovoltaic</x:v>
      </x:c>
      <x:c r="D492" s="8" t="str">
        <x:v>Proiect fotovoltaic</x:v>
      </x:c>
      <x:c r="E492" s="8" t="str">
        <x:v>.pdf</x:v>
      </x:c>
      <x:c r="F492" s="8" t="n">
        <x:v>232512</x:v>
      </x:c>
      <x:c r="G492" s="8" t="str">
        <x:v>Text extras</x:v>
      </x:c>
      <x:c r="H492" s="8" t="str">
        <x:v>Document local; transmiterea individuală neconfirmată</x:v>
      </x:c>
      <x:c r="I492" s="8" t="str"/>
      <x:c r="J492" s="8" t="e">
        <x:f>HYPERLINK("file:///Z:/00. Proiecte 2025/AFIR FotoVoltaic 1/15. Implementare Proiect Fotovoltaic/15.Neets-Skybase/SUN2000-20303640KTL-M3.pdf","Deschide sursa")</x:f>
        <x:v>HYPERLINK is not implemented. linkLocation=file:///Z:/00. Proiecte 2025/AFIR FotoVoltaic 1/15. Implementare Proiect Fotovoltaic/15.Neets-Skybase/SUN2000-20303640KTL-M3.pdf, friendlyName=Deschide sursa</x:v>
      </x:c>
    </x:row>
    <x:row r="493" ht="36" customHeight="1">
      <x:c r="A493" s="8" t="str">
        <x:v>F0489</x:v>
      </x:c>
      <x:c r="B493" s="8" t="str">
        <x:v>SUN2000-3-10KTL-M1.pdf</x:v>
      </x:c>
      <x:c r="C493" s="8" t="str">
        <x:v>15. Implementare Proiect Fotovoltaic</x:v>
      </x:c>
      <x:c r="D493" s="8" t="str">
        <x:v>Proiect fotovoltaic</x:v>
      </x:c>
      <x:c r="E493" s="8" t="str">
        <x:v>.pdf</x:v>
      </x:c>
      <x:c r="F493" s="8" t="n">
        <x:v>238655</x:v>
      </x:c>
      <x:c r="G493" s="8" t="str">
        <x:v>Text extras</x:v>
      </x:c>
      <x:c r="H493" s="8" t="str">
        <x:v>Document local; transmiterea individuală neconfirmată</x:v>
      </x:c>
      <x:c r="I493" s="8" t="str"/>
      <x:c r="J493" s="8" t="e">
        <x:f>HYPERLINK("file:///Z:/00. Proiecte 2025/AFIR FotoVoltaic 1/15. Implementare Proiect Fotovoltaic/15.Neets-Skybase/SUN2000-3-10KTL-M1.pdf","Deschide sursa")</x:f>
        <x:v>HYPERLINK is not implemented. linkLocation=file:///Z:/00. Proiecte 2025/AFIR FotoVoltaic 1/15. Implementare Proiect Fotovoltaic/15.Neets-Skybase/SUN2000-3-10KTL-M1.pdf, friendlyName=Deschide sursa</x:v>
      </x:c>
    </x:row>
    <x:row r="494" ht="36" customHeight="1">
      <x:c r="A494" s="8" t="str">
        <x:v>F0490</x:v>
      </x:c>
      <x:c r="B494" s="8" t="str">
        <x:v>Neets EXTRAS DE CONT Nr. 2 BCR 01-01-2026 - 31-01-2026 RON.pdf</x:v>
      </x:c>
      <x:c r="C494" s="8" t="str">
        <x:v>15. Implementare Proiect Fotovoltaic</x:v>
      </x:c>
      <x:c r="D494" s="8" t="str">
        <x:v>Proiect fotovoltaic</x:v>
      </x:c>
      <x:c r="E494" s="8" t="str">
        <x:v>.pdf</x:v>
      </x:c>
      <x:c r="F494" s="8" t="n">
        <x:v>68536</x:v>
      </x:c>
      <x:c r="G494" s="8" t="str">
        <x:v>Text extras</x:v>
      </x:c>
      <x:c r="H494" s="8" t="str">
        <x:v>Document local; transmiterea individuală neconfirmată</x:v>
      </x:c>
      <x:c r="I494" s="8" t="str"/>
      <x:c r="J494" s="8" t="e">
        <x:f>HYPERLINK("file:///Z:/00. Proiecte 2025/AFIR FotoVoltaic 1/15. Implementare Proiect Fotovoltaic/19.Neets Extrase cont/Neets EXTRAS DE CONT Nr. 2 BCR 01-01-2026 - 31-01-2026 RON.pdf","Deschide sursa")</x:f>
        <x:v>HYPERLINK is not implemented. linkLocation=file:///Z:/00. Proiecte 2025/AFIR FotoVoltaic 1/15. Implementare Proiect Fotovoltaic/19.Neets Extrase cont/Neets EXTRAS DE CONT Nr. 2 BCR 01-01-2026 - 31-01-2026 RON.pdf, friendlyName=Deschide sursa</x:v>
      </x:c>
    </x:row>
    <x:row r="495" ht="36" customHeight="1">
      <x:c r="A495" s="8" t="str">
        <x:v>F0491</x:v>
      </x:c>
      <x:c r="B495" s="8" t="str">
        <x:v>Neets EXTRAS DE CONT Nr. 4 BCR 01-03-2026 - 31-03-2026 EUR.pdf</x:v>
      </x:c>
      <x:c r="C495" s="8" t="str">
        <x:v>15. Implementare Proiect Fotovoltaic</x:v>
      </x:c>
      <x:c r="D495" s="8" t="str">
        <x:v>Proiect fotovoltaic</x:v>
      </x:c>
      <x:c r="E495" s="8" t="str">
        <x:v>.pdf</x:v>
      </x:c>
      <x:c r="F495" s="8" t="n">
        <x:v>65182</x:v>
      </x:c>
      <x:c r="G495" s="8" t="str">
        <x:v>Text extras</x:v>
      </x:c>
      <x:c r="H495" s="8" t="str">
        <x:v>Document local; transmiterea individuală neconfirmată</x:v>
      </x:c>
      <x:c r="I495" s="8" t="str"/>
      <x:c r="J495" s="8" t="e">
        <x:f>HYPERLINK("file:///Z:/00. Proiecte 2025/AFIR FotoVoltaic 1/15. Implementare Proiect Fotovoltaic/19.Neets Extrase cont/Neets EXTRAS DE CONT Nr. 4 BCR 01-03-2026 - 31-03-2026 EUR.pdf","Deschide sursa")</x:f>
        <x:v>HYPERLINK is not implemented. linkLocation=file:///Z:/00. Proiecte 2025/AFIR FotoVoltaic 1/15. Implementare Proiect Fotovoltaic/19.Neets Extrase cont/Neets EXTRAS DE CONT Nr. 4 BCR 01-03-2026 - 31-03-2026 EUR.pdf, friendlyName=Deschide sursa</x:v>
      </x:c>
    </x:row>
    <x:row r="496" ht="36" customHeight="1">
      <x:c r="A496" s="8" t="str">
        <x:v>F0492</x:v>
      </x:c>
      <x:c r="B496" s="8" t="str">
        <x:v>Neets EXTRAS DE CONT Nr. 5 BCR 01-03-2026 - 31-03-2026 RON.pdf</x:v>
      </x:c>
      <x:c r="C496" s="8" t="str">
        <x:v>15. Implementare Proiect Fotovoltaic</x:v>
      </x:c>
      <x:c r="D496" s="8" t="str">
        <x:v>Proiect fotovoltaic</x:v>
      </x:c>
      <x:c r="E496" s="8" t="str">
        <x:v>.pdf</x:v>
      </x:c>
      <x:c r="F496" s="8" t="n">
        <x:v>71166</x:v>
      </x:c>
      <x:c r="G496" s="8" t="str">
        <x:v>Text extras</x:v>
      </x:c>
      <x:c r="H496" s="8" t="str">
        <x:v>Document local; transmiterea individuală neconfirmată</x:v>
      </x:c>
      <x:c r="I496" s="8" t="str"/>
      <x:c r="J496" s="8" t="e">
        <x:f>HYPERLINK("file:///Z:/00. Proiecte 2025/AFIR FotoVoltaic 1/15. Implementare Proiect Fotovoltaic/19.Neets Extrase cont/Neets EXTRAS DE CONT Nr. 5 BCR 01-03-2026 - 31-03-2026 RON.pdf","Deschide sursa")</x:f>
        <x:v>HYPERLINK is not implemented. linkLocation=file:///Z:/00. Proiecte 2025/AFIR FotoVoltaic 1/15. Implementare Proiect Fotovoltaic/19.Neets Extrase cont/Neets EXTRAS DE CONT Nr. 5 BCR 01-03-2026 - 31-03-2026 RON.pdf, friendlyName=Deschide sursa</x:v>
      </x:c>
    </x:row>
    <x:row r="497" ht="36" customHeight="1">
      <x:c r="A497" s="8" t="str">
        <x:v>F0493</x:v>
      </x:c>
      <x:c r="B497" s="8" t="str">
        <x:v>Neets EXTRAS DE CONT Nr.6 BCR 01-04-2026 - 27-04-2026 EUR.pdf</x:v>
      </x:c>
      <x:c r="C497" s="8" t="str">
        <x:v>15. Implementare Proiect Fotovoltaic</x:v>
      </x:c>
      <x:c r="D497" s="8" t="str">
        <x:v>Proiect fotovoltaic</x:v>
      </x:c>
      <x:c r="E497" s="8" t="str">
        <x:v>.pdf</x:v>
      </x:c>
      <x:c r="F497" s="8" t="n">
        <x:v>63999</x:v>
      </x:c>
      <x:c r="G497" s="8" t="str">
        <x:v>Text extras</x:v>
      </x:c>
      <x:c r="H497" s="8" t="str">
        <x:v>Document local; transmiterea individuală neconfirmată</x:v>
      </x:c>
      <x:c r="I497" s="8" t="str"/>
      <x:c r="J497" s="8" t="e">
        <x:f>HYPERLINK("file:///Z:/00. Proiecte 2025/AFIR FotoVoltaic 1/15. Implementare Proiect Fotovoltaic/19.Neets Extrase cont/Neets EXTRAS DE CONT Nr.6 BCR 01-04-2026 - 27-04-2026 EUR.pdf","Deschide sursa")</x:f>
        <x:v>HYPERLINK is not implemented. linkLocation=file:///Z:/00. Proiecte 2025/AFIR FotoVoltaic 1/15. Implementare Proiect Fotovoltaic/19.Neets Extrase cont/Neets EXTRAS DE CONT Nr.6 BCR 01-04-2026 - 27-04-2026 EUR.pdf, friendlyName=Deschide sursa</x:v>
      </x:c>
    </x:row>
    <x:row r="498" ht="36" customHeight="1">
      <x:c r="A498" s="8" t="str">
        <x:v>F0494</x:v>
      </x:c>
      <x:c r="B498" s="8" t="str">
        <x:v>Neets EXTRAS DE CONT Nr.6 BCR 01-04-2026 - 27-04-2026 RON.pdf</x:v>
      </x:c>
      <x:c r="C498" s="8" t="str">
        <x:v>15. Implementare Proiect Fotovoltaic</x:v>
      </x:c>
      <x:c r="D498" s="8" t="str">
        <x:v>Proiect fotovoltaic</x:v>
      </x:c>
      <x:c r="E498" s="8" t="str">
        <x:v>.pdf</x:v>
      </x:c>
      <x:c r="F498" s="8" t="n">
        <x:v>70488</x:v>
      </x:c>
      <x:c r="G498" s="8" t="str">
        <x:v>Text extras</x:v>
      </x:c>
      <x:c r="H498" s="8" t="str">
        <x:v>Document local; transmiterea individuală neconfirmată</x:v>
      </x:c>
      <x:c r="I498" s="8" t="str"/>
      <x:c r="J498" s="8" t="e">
        <x:f>HYPERLINK("file:///Z:/00. Proiecte 2025/AFIR FotoVoltaic 1/15. Implementare Proiect Fotovoltaic/19.Neets Extrase cont/Neets EXTRAS DE CONT Nr.6 BCR 01-04-2026 - 27-04-2026 RON.pdf","Deschide sursa")</x:f>
        <x:v>HYPERLINK is not implemented. linkLocation=file:///Z:/00. Proiecte 2025/AFIR FotoVoltaic 1/15. Implementare Proiect Fotovoltaic/19.Neets Extrase cont/Neets EXTRAS DE CONT Nr.6 BCR 01-04-2026 - 27-04-2026 RON.pdf, friendlyName=Deschide sursa</x:v>
      </x:c>
    </x:row>
    <x:row r="499" ht="36" customHeight="1">
      <x:c r="A499" s="8" t="str">
        <x:v>F0495</x:v>
      </x:c>
      <x:c r="B499" s="8" t="str">
        <x:v>Neets EXTRAS DE CONT Nr.7 BCR 01-01-2026 - 31-03-2026 RON.pdf</x:v>
      </x:c>
      <x:c r="C499" s="8" t="str">
        <x:v>15. Implementare Proiect Fotovoltaic</x:v>
      </x:c>
      <x:c r="D499" s="8" t="str">
        <x:v>Proiect fotovoltaic</x:v>
      </x:c>
      <x:c r="E499" s="8" t="str">
        <x:v>.pdf</x:v>
      </x:c>
      <x:c r="F499" s="8" t="n">
        <x:v>81984</x:v>
      </x:c>
      <x:c r="G499" s="8" t="str">
        <x:v>Text extras</x:v>
      </x:c>
      <x:c r="H499" s="8" t="str">
        <x:v>Document local; transmiterea individuală neconfirmată</x:v>
      </x:c>
      <x:c r="I499" s="8" t="str"/>
      <x:c r="J499" s="8" t="e">
        <x:f>HYPERLINK("file:///Z:/00. Proiecte 2025/AFIR FotoVoltaic 1/15. Implementare Proiect Fotovoltaic/19.Neets Extrase cont/Neets EXTRAS DE CONT Nr.7 BCR 01-01-2026 - 31-03-2026 RON.pdf","Deschide sursa")</x:f>
        <x:v>HYPERLINK is not implemented. linkLocation=file:///Z:/00. Proiecte 2025/AFIR FotoVoltaic 1/15. Implementare Proiect Fotovoltaic/19.Neets Extrase cont/Neets EXTRAS DE CONT Nr.7 BCR 01-01-2026 - 31-03-2026 RON.pdf, friendlyName=Deschide sursa</x:v>
      </x:c>
    </x:row>
    <x:row r="500" ht="36" customHeight="1">
      <x:c r="A500" s="8" t="str">
        <x:v>F0496</x:v>
      </x:c>
      <x:c r="B500" s="8" t="str">
        <x:v>Neets EXTRAS DE CONT Nr.7 BCR 01-04-2026 - 30-04-2026 RON.pdf</x:v>
      </x:c>
      <x:c r="C500" s="8" t="str">
        <x:v>15. Implementare Proiect Fotovoltaic</x:v>
      </x:c>
      <x:c r="D500" s="8" t="str">
        <x:v>Proiect fotovoltaic</x:v>
      </x:c>
      <x:c r="E500" s="8" t="str">
        <x:v>.pdf</x:v>
      </x:c>
      <x:c r="F500" s="8" t="n">
        <x:v>79631</x:v>
      </x:c>
      <x:c r="G500" s="8" t="str">
        <x:v>Text extras</x:v>
      </x:c>
      <x:c r="H500" s="8" t="str">
        <x:v>Document local; transmiterea individuală neconfirmată</x:v>
      </x:c>
      <x:c r="I500" s="8" t="str"/>
      <x:c r="J500" s="8" t="e">
        <x:f>HYPERLINK("file:///Z:/00. Proiecte 2025/AFIR FotoVoltaic 1/15. Implementare Proiect Fotovoltaic/19.Neets Extrase cont/Neets EXTRAS DE CONT Nr.7 BCR 01-04-2026 - 30-04-2026 RON.pdf","Deschide sursa")</x:f>
        <x:v>HYPERLINK is not implemented. linkLocation=file:///Z:/00. Proiecte 2025/AFIR FotoVoltaic 1/15. Implementare Proiect Fotovoltaic/19.Neets Extrase cont/Neets EXTRAS DE CONT Nr.7 BCR 01-04-2026 - 30-04-2026 RON.pdf, friendlyName=Deschide sursa</x:v>
      </x:c>
    </x:row>
    <x:row r="501" ht="36" customHeight="1">
      <x:c r="A501" s="8" t="str">
        <x:v>F0497</x:v>
      </x:c>
      <x:c r="B501" s="8" t="str">
        <x:v>Neets EXTRAS DE CONT Nr.9 BCR 01-04-2026 - 30-04-2026 RON.pdf</x:v>
      </x:c>
      <x:c r="C501" s="8" t="str">
        <x:v>15. Implementare Proiect Fotovoltaic</x:v>
      </x:c>
      <x:c r="D501" s="8" t="str">
        <x:v>Proiect fotovoltaic</x:v>
      </x:c>
      <x:c r="E501" s="8" t="str">
        <x:v>.pdf</x:v>
      </x:c>
      <x:c r="F501" s="8" t="n">
        <x:v>65762</x:v>
      </x:c>
      <x:c r="G501" s="8" t="str">
        <x:v>Text extras</x:v>
      </x:c>
      <x:c r="H501" s="8" t="str">
        <x:v>Document local; transmiterea individuală neconfirmată</x:v>
      </x:c>
      <x:c r="I501" s="8" t="str"/>
      <x:c r="J501" s="8" t="e">
        <x:f>HYPERLINK("file:///Z:/00. Proiecte 2025/AFIR FotoVoltaic 1/15. Implementare Proiect Fotovoltaic/19.Neets Extrase cont/Neets EXTRAS DE CONT Nr.9 BCR 01-04-2026 - 30-04-2026 RON.pdf","Deschide sursa")</x:f>
        <x:v>HYPERLINK is not implemented. linkLocation=file:///Z:/00. Proiecte 2025/AFIR FotoVoltaic 1/15. Implementare Proiect Fotovoltaic/19.Neets Extrase cont/Neets EXTRAS DE CONT Nr.9 BCR 01-04-2026 - 30-04-2026 RON.pdf, friendlyName=Deschide sursa</x:v>
      </x:c>
    </x:row>
    <x:row r="502" ht="36" customHeight="1">
      <x:c r="A502" s="8" t="str">
        <x:v>F0498</x:v>
      </x:c>
      <x:c r="B502" s="8" t="str">
        <x:v>AFIR 1 06_Schema electrica monofilara v2.pdf</x:v>
      </x:c>
      <x:c r="C502" s="8" t="str">
        <x:v>15. Implementare Proiect Fotovoltaic</x:v>
      </x:c>
      <x:c r="D502" s="8" t="str">
        <x:v>Proiect fotovoltaic</x:v>
      </x:c>
      <x:c r="E502" s="8" t="str">
        <x:v>.pdf</x:v>
      </x:c>
      <x:c r="F502" s="8" t="n">
        <x:v>716445</x:v>
      </x:c>
      <x:c r="G502" s="8" t="str">
        <x:v>Scan / text insuficient</x:v>
      </x:c>
      <x:c r="H502" s="8" t="str">
        <x:v>Document local; transmiterea individuală neconfirmată</x:v>
      </x:c>
      <x:c r="I502" s="8" t="str"/>
      <x:c r="J502" s="8" t="e">
        <x:f>HYPERLINK("file:///Z:/00. Proiecte 2025/AFIR FotoVoltaic 1/15. Implementare Proiect Fotovoltaic/2.Production Fise tehnice/AFIR 1 06_Schema electrica monofilara v2.pdf","Deschide sursa")</x:f>
        <x:v>HYPERLINK is not implemented. linkLocation=file:///Z:/00. Proiecte 2025/AFIR FotoVoltaic 1/15. Implementare Proiect Fotovoltaic/2.Production Fise tehnice/AFIR 1 06_Schema electrica monofilara v2.pdf, friendlyName=Deschide sursa</x:v>
      </x:c>
    </x:row>
    <x:row r="503" ht="36" customHeight="1">
      <x:c r="A503" s="8" t="str">
        <x:v>F0499</x:v>
      </x:c>
      <x:c r="B503" s="8" t="str">
        <x:v>AFIR 1 Schema montaj.docx</x:v>
      </x:c>
      <x:c r="C503" s="8" t="str">
        <x:v>15. Implementare Proiect Fotovoltaic</x:v>
      </x:c>
      <x:c r="D503" s="8" t="str">
        <x:v>Proiect fotovoltaic</x:v>
      </x:c>
      <x:c r="E503" s="8" t="str">
        <x:v>.docx</x:v>
      </x:c>
      <x:c r="F503" s="8" t="n">
        <x:v>1118571</x:v>
      </x:c>
      <x:c r="G503" s="8" t="str">
        <x:v>Text extras</x:v>
      </x:c>
      <x:c r="H503" s="8" t="str">
        <x:v>Document local; transmiterea individuală neconfirmată</x:v>
      </x:c>
      <x:c r="I503" s="8" t="str"/>
      <x:c r="J503" s="8" t="e">
        <x:f>HYPERLINK("file:///Z:/00. Proiecte 2025/AFIR FotoVoltaic 1/15. Implementare Proiect Fotovoltaic/2.Production Fise tehnice/AFIR 1 Schema montaj.docx","Deschide sursa")</x:f>
        <x:v>HYPERLINK is not implemented. linkLocation=file:///Z:/00. Proiecte 2025/AFIR FotoVoltaic 1/15. Implementare Proiect Fotovoltaic/2.Production Fise tehnice/AFIR 1 Schema montaj.docx, friendlyName=Deschide sursa</x:v>
      </x:c>
    </x:row>
    <x:row r="504" ht="36" customHeight="1">
      <x:c r="A504" s="8" t="str">
        <x:v>F0500</x:v>
      </x:c>
      <x:c r="B504" s="8" t="str">
        <x:v>AFIR 1 Schema montaj.pdf</x:v>
      </x:c>
      <x:c r="C504" s="8" t="str">
        <x:v>15. Implementare Proiect Fotovoltaic</x:v>
      </x:c>
      <x:c r="D504" s="8" t="str">
        <x:v>Proiect fotovoltaic</x:v>
      </x:c>
      <x:c r="E504" s="8" t="str">
        <x:v>.pdf</x:v>
      </x:c>
      <x:c r="F504" s="8" t="n">
        <x:v>1571959</x:v>
      </x:c>
      <x:c r="G504" s="8" t="str">
        <x:v>Text extras</x:v>
      </x:c>
      <x:c r="H504" s="8" t="str">
        <x:v>Document local; transmiterea individuală neconfirmată</x:v>
      </x:c>
      <x:c r="I504" s="8" t="str"/>
      <x:c r="J504" s="8" t="e">
        <x:f>HYPERLINK("file:///Z:/00. Proiecte 2025/AFIR FotoVoltaic 1/15. Implementare Proiect Fotovoltaic/2.Production Fise tehnice/AFIR 1 Schema montaj.pdf","Deschide sursa")</x:f>
        <x:v>HYPERLINK is not implemented. linkLocation=file:///Z:/00. Proiecte 2025/AFIR FotoVoltaic 1/15. Implementare Proiect Fotovoltaic/2.Production Fise tehnice/AFIR 1 Schema montaj.pdf, friendlyName=Deschide sursa</x:v>
      </x:c>
    </x:row>
    <x:row r="505" ht="36" customHeight="1">
      <x:c r="A505" s="8" t="str">
        <x:v>F0501</x:v>
      </x:c>
      <x:c r="B505" s="8" t="str">
        <x:v>Contract de achizitie nr.1 din 19_02_2026_ Neets Fotoshooting SRL.docx</x:v>
      </x:c>
      <x:c r="C505" s="8" t="str">
        <x:v>15. Implementare Proiect Fotovoltaic</x:v>
      </x:c>
      <x:c r="D505" s="8" t="str">
        <x:v>Proiect fotovoltaic</x:v>
      </x:c>
      <x:c r="E505" s="8" t="str">
        <x:v>.docx</x:v>
      </x:c>
      <x:c r="F505" s="8" t="n">
        <x:v>24288</x:v>
      </x:c>
      <x:c r="G505" s="8" t="str">
        <x:v>Text extras</x:v>
      </x:c>
      <x:c r="H505" s="8" t="str">
        <x:v>Document local; transmiterea individuală neconfirmată</x:v>
      </x:c>
      <x:c r="I505" s="8" t="str"/>
      <x:c r="J505" s="8" t="e">
        <x:f>HYPERLINK("file:///Z:/00. Proiecte 2025/AFIR FotoVoltaic 1/15. Implementare Proiect Fotovoltaic/3.Suntree-Neets/Contract de achizitie nr.1 din 19_02_2026_ Neets Fotoshooting SRL.docx","Deschide sursa")</x:f>
        <x:v>HYPERLINK is not implemented. linkLocation=file:///Z:/00. Proiecte 2025/AFIR FotoVoltaic 1/15. Implementare Proiect Fotovoltaic/3.Suntree-Neets/Contract de achizitie nr.1 din 19_02_2026_ Neets Fotoshooting SRL.docx, friendlyName=Deschide sursa</x:v>
      </x:c>
    </x:row>
    <x:row r="506" ht="36" customHeight="1">
      <x:c r="A506" s="8" t="str">
        <x:v>F0502</x:v>
      </x:c>
      <x:c r="B506" s="8" t="str">
        <x:v>Contract de Achizitie.pdf</x:v>
      </x:c>
      <x:c r="C506" s="8" t="str">
        <x:v>15. Implementare Proiect Fotovoltaic</x:v>
      </x:c>
      <x:c r="D506" s="8" t="str">
        <x:v>Proiect fotovoltaic</x:v>
      </x:c>
      <x:c r="E506" s="8" t="str">
        <x:v>.pdf</x:v>
      </x:c>
      <x:c r="F506" s="8" t="n">
        <x:v>1768150</x:v>
      </x:c>
      <x:c r="G506" s="8" t="str">
        <x:v>Text extras</x:v>
      </x:c>
      <x:c r="H506" s="8" t="str">
        <x:v>Document local; transmiterea individuală neconfirmată</x:v>
      </x:c>
      <x:c r="I506" s="8" t="str"/>
      <x:c r="J506" s="8" t="e">
        <x:f>HYPERLINK("file:///Z:/00. Proiecte 2025/AFIR FotoVoltaic 1/15. Implementare Proiect Fotovoltaic/3.Suntree-Neets/Contract de Achizitie.pdf","Deschide sursa")</x:f>
        <x:v>HYPERLINK is not implemented. linkLocation=file:///Z:/00. Proiecte 2025/AFIR FotoVoltaic 1/15. Implementare Proiect Fotovoltaic/3.Suntree-Neets/Contract de Achizitie.pdf, friendlyName=Deschide sursa</x:v>
      </x:c>
    </x:row>
    <x:row r="507" ht="36" customHeight="1">
      <x:c r="A507" s="8" t="str">
        <x:v>F0503</x:v>
      </x:c>
      <x:c r="B507" s="8" t="str">
        <x:v>Decontare Neets-Suntree.zip</x:v>
      </x:c>
      <x:c r="C507" s="8" t="str">
        <x:v>15. Implementare Proiect Fotovoltaic</x:v>
      </x:c>
      <x:c r="D507" s="8" t="str">
        <x:v>Proiect fotovoltaic</x:v>
      </x:c>
      <x:c r="E507" s="8" t="str">
        <x:v>.zip</x:v>
      </x:c>
      <x:c r="F507" s="8" t="n">
        <x:v>58787</x:v>
      </x:c>
      <x:c r="G507" s="8" t="str">
        <x:v>Inventar ZIP</x:v>
      </x:c>
      <x:c r="H507" s="8" t="str">
        <x:v>Document local; transmiterea individuală neconfirmată</x:v>
      </x:c>
      <x:c r="I507" s="8" t="str"/>
      <x:c r="J507" s="8" t="e">
        <x:f>HYPERLINK("file:///Z:/00. Proiecte 2025/AFIR FotoVoltaic 1/15. Implementare Proiect Fotovoltaic/3.Suntree-Neets/Decontare Neets-Suntree.zip","Deschide sursa")</x:f>
        <x:v>HYPERLINK is not implemented. linkLocation=file:///Z:/00. Proiecte 2025/AFIR FotoVoltaic 1/15. Implementare Proiect Fotovoltaic/3.Suntree-Neets/Decontare Neets-Suntree.zip, friendlyName=Deschide sursa</x:v>
      </x:c>
    </x:row>
    <x:row r="508" ht="36" customHeight="1">
      <x:c r="A508" s="8" t="str">
        <x:v>F0504</x:v>
      </x:c>
      <x:c r="B508" s="8" t="str">
        <x:v>Factura  nr.N-16.docx</x:v>
      </x:c>
      <x:c r="C508" s="8" t="str">
        <x:v>15. Implementare Proiect Fotovoltaic</x:v>
      </x:c>
      <x:c r="D508" s="8" t="str">
        <x:v>Proiect fotovoltaic</x:v>
      </x:c>
      <x:c r="E508" s="8" t="str">
        <x:v>.docx</x:v>
      </x:c>
      <x:c r="F508" s="8" t="n">
        <x:v>8648</x:v>
      </x:c>
      <x:c r="G508" s="8" t="str">
        <x:v>Text extras</x:v>
      </x:c>
      <x:c r="H508" s="8" t="str">
        <x:v>Document local; transmiterea individuală neconfirmată</x:v>
      </x:c>
      <x:c r="I508" s="8" t="str"/>
      <x:c r="J508" s="8" t="e">
        <x:f>HYPERLINK("file:///Z:/00. Proiecte 2025/AFIR FotoVoltaic 1/15. Implementare Proiect Fotovoltaic/3.Suntree-Neets/Factura  nr.N-16.docx","Deschide sursa")</x:f>
        <x:v>HYPERLINK is not implemented. linkLocation=file:///Z:/00. Proiecte 2025/AFIR FotoVoltaic 1/15. Implementare Proiect Fotovoltaic/3.Suntree-Neets/Factura  nr.N-16.docx, friendlyName=Deschide sursa</x:v>
      </x:c>
    </x:row>
    <x:row r="509" ht="36" customHeight="1">
      <x:c r="A509" s="8" t="str">
        <x:v>F0505</x:v>
      </x:c>
      <x:c r="B509" s="8" t="str">
        <x:v>Factura Neets N-16 02.09.2026.pdf</x:v>
      </x:c>
      <x:c r="C509" s="8" t="str">
        <x:v>15. Implementare Proiect Fotovoltaic</x:v>
      </x:c>
      <x:c r="D509" s="8" t="str">
        <x:v>Proiect fotovoltaic</x:v>
      </x:c>
      <x:c r="E509" s="8" t="str">
        <x:v>.pdf</x:v>
      </x:c>
      <x:c r="F509" s="8" t="n">
        <x:v>7708</x:v>
      </x:c>
      <x:c r="G509" s="8" t="str">
        <x:v>Text extras</x:v>
      </x:c>
      <x:c r="H509" s="8" t="str">
        <x:v>Document local; transmiterea individuală neconfirmată</x:v>
      </x:c>
      <x:c r="I509" s="8" t="str"/>
      <x:c r="J509" s="8" t="e">
        <x:f>HYPERLINK("file:///Z:/00. Proiecte 2025/AFIR FotoVoltaic 1/15. Implementare Proiect Fotovoltaic/3.Suntree-Neets/Factura Neets N-16 02.09.2026.pdf","Deschide sursa")</x:f>
        <x:v>HYPERLINK is not implemented. linkLocation=file:///Z:/00. Proiecte 2025/AFIR FotoVoltaic 1/15. Implementare Proiect Fotovoltaic/3.Suntree-Neets/Factura Neets N-16 02.09.2026.pdf, friendlyName=Deschide sursa</x:v>
      </x:c>
    </x:row>
    <x:row r="510" ht="36" customHeight="1">
      <x:c r="A510" s="8" t="str">
        <x:v>F0506</x:v>
      </x:c>
      <x:c r="B510" s="8" t="str">
        <x:v>Factura Suntree-Neets nr.16.pdf</x:v>
      </x:c>
      <x:c r="C510" s="8" t="str">
        <x:v>15. Implementare Proiect Fotovoltaic</x:v>
      </x:c>
      <x:c r="D510" s="8" t="str">
        <x:v>Proiect fotovoltaic</x:v>
      </x:c>
      <x:c r="E510" s="8" t="str">
        <x:v>.pdf</x:v>
      </x:c>
      <x:c r="F510" s="8" t="n">
        <x:v>7725</x:v>
      </x:c>
      <x:c r="G510" s="8" t="str">
        <x:v>Text extras</x:v>
      </x:c>
      <x:c r="H510" s="8" t="str">
        <x:v>Document local; transmiterea individuală neconfirmată</x:v>
      </x:c>
      <x:c r="I510" s="8" t="str"/>
      <x:c r="J510" s="8" t="e">
        <x:f>HYPERLINK("file:///Z:/00. Proiecte 2025/AFIR FotoVoltaic 1/15. Implementare Proiect Fotovoltaic/3.Suntree-Neets/Factura Suntree-Neets nr.16.pdf","Deschide sursa")</x:f>
        <x:v>HYPERLINK is not implemented. linkLocation=file:///Z:/00. Proiecte 2025/AFIR FotoVoltaic 1/15. Implementare Proiect Fotovoltaic/3.Suntree-Neets/Factura Suntree-Neets nr.16.pdf, friendlyName=Deschide sursa</x:v>
      </x:c>
    </x:row>
    <x:row r="511" ht="36" customHeight="1">
      <x:c r="A511" s="8" t="str">
        <x:v>F0507</x:v>
      </x:c>
      <x:c r="B511" s="8" t="str">
        <x:v>Proforma nr.10.pdf</x:v>
      </x:c>
      <x:c r="C511" s="8" t="str">
        <x:v>15. Implementare Proiect Fotovoltaic</x:v>
      </x:c>
      <x:c r="D511" s="8" t="str">
        <x:v>Proiect fotovoltaic</x:v>
      </x:c>
      <x:c r="E511" s="8" t="str">
        <x:v>.pdf</x:v>
      </x:c>
      <x:c r="F511" s="8" t="n">
        <x:v>8431</x:v>
      </x:c>
      <x:c r="G511" s="8" t="str">
        <x:v>Text extras</x:v>
      </x:c>
      <x:c r="H511" s="8" t="str">
        <x:v>Document local; transmiterea individuală neconfirmată</x:v>
      </x:c>
      <x:c r="I511" s="8" t="str"/>
      <x:c r="J511" s="8" t="e">
        <x:f>HYPERLINK("file:///Z:/00. Proiecte 2025/AFIR FotoVoltaic 1/15. Implementare Proiect Fotovoltaic/3.Suntree-Neets/Proforma nr.10.pdf","Deschide sursa")</x:f>
        <x:v>HYPERLINK is not implemented. linkLocation=file:///Z:/00. Proiecte 2025/AFIR FotoVoltaic 1/15. Implementare Proiect Fotovoltaic/3.Suntree-Neets/Proforma nr.10.pdf, friendlyName=Deschide sursa</x:v>
      </x:c>
    </x:row>
    <x:row r="512" ht="36" customHeight="1">
      <x:c r="A512" s="8" t="str">
        <x:v>F0508</x:v>
      </x:c>
      <x:c r="B512" s="8" t="str">
        <x:v>Proforma nr.11.pdf</x:v>
      </x:c>
      <x:c r="C512" s="8" t="str">
        <x:v>15. Implementare Proiect Fotovoltaic</x:v>
      </x:c>
      <x:c r="D512" s="8" t="str">
        <x:v>Proiect fotovoltaic</x:v>
      </x:c>
      <x:c r="E512" s="8" t="str">
        <x:v>.pdf</x:v>
      </x:c>
      <x:c r="F512" s="8" t="n">
        <x:v>8472</x:v>
      </x:c>
      <x:c r="G512" s="8" t="str">
        <x:v>Text extras</x:v>
      </x:c>
      <x:c r="H512" s="8" t="str">
        <x:v>Document local; transmiterea individuală neconfirmată</x:v>
      </x:c>
      <x:c r="I512" s="8" t="str"/>
      <x:c r="J512" s="8" t="e">
        <x:f>HYPERLINK("file:///Z:/00. Proiecte 2025/AFIR FotoVoltaic 1/15. Implementare Proiect Fotovoltaic/3.Suntree-Neets/Proforma nr.11.pdf","Deschide sursa")</x:f>
        <x:v>HYPERLINK is not implemented. linkLocation=file:///Z:/00. Proiecte 2025/AFIR FotoVoltaic 1/15. Implementare Proiect Fotovoltaic/3.Suntree-Neets/Proforma nr.11.pdf, friendlyName=Deschide sursa</x:v>
      </x:c>
    </x:row>
    <x:row r="513" ht="36" customHeight="1">
      <x:c r="A513" s="8" t="str">
        <x:v>F0509</x:v>
      </x:c>
      <x:c r="B513" s="8" t="str">
        <x:v>Proforma nr.12.pdf</x:v>
      </x:c>
      <x:c r="C513" s="8" t="str">
        <x:v>15. Implementare Proiect Fotovoltaic</x:v>
      </x:c>
      <x:c r="D513" s="8" t="str">
        <x:v>Proiect fotovoltaic</x:v>
      </x:c>
      <x:c r="E513" s="8" t="str">
        <x:v>.pdf</x:v>
      </x:c>
      <x:c r="F513" s="8" t="n">
        <x:v>8470</x:v>
      </x:c>
      <x:c r="G513" s="8" t="str">
        <x:v>Text extras</x:v>
      </x:c>
      <x:c r="H513" s="8" t="str">
        <x:v>Document local; transmiterea individuală neconfirmată</x:v>
      </x:c>
      <x:c r="I513" s="8" t="str"/>
      <x:c r="J513" s="8" t="e">
        <x:f>HYPERLINK("file:///Z:/00. Proiecte 2025/AFIR FotoVoltaic 1/15. Implementare Proiect Fotovoltaic/3.Suntree-Neets/Proforma nr.12.pdf","Deschide sursa")</x:f>
        <x:v>HYPERLINK is not implemented. linkLocation=file:///Z:/00. Proiecte 2025/AFIR FotoVoltaic 1/15. Implementare Proiect Fotovoltaic/3.Suntree-Neets/Proforma nr.12.pdf, friendlyName=Deschide sursa</x:v>
      </x:c>
    </x:row>
    <x:row r="514" ht="36" customHeight="1">
      <x:c r="A514" s="8" t="str">
        <x:v>F0510</x:v>
      </x:c>
      <x:c r="B514" s="8" t="str">
        <x:v>Proforma nr.5.pdf</x:v>
      </x:c>
      <x:c r="C514" s="8" t="str">
        <x:v>15. Implementare Proiect Fotovoltaic</x:v>
      </x:c>
      <x:c r="D514" s="8" t="str">
        <x:v>Proiect fotovoltaic</x:v>
      </x:c>
      <x:c r="E514" s="8" t="str">
        <x:v>.pdf</x:v>
      </x:c>
      <x:c r="F514" s="8" t="n">
        <x:v>8428</x:v>
      </x:c>
      <x:c r="G514" s="8" t="str">
        <x:v>Text extras</x:v>
      </x:c>
      <x:c r="H514" s="8" t="str">
        <x:v>Document local; transmiterea individuală neconfirmată</x:v>
      </x:c>
      <x:c r="I514" s="8" t="str"/>
      <x:c r="J514" s="8" t="e">
        <x:f>HYPERLINK("file:///Z:/00. Proiecte 2025/AFIR FotoVoltaic 1/15. Implementare Proiect Fotovoltaic/3.Suntree-Neets/Proforma nr.5.pdf","Deschide sursa")</x:f>
        <x:v>HYPERLINK is not implemented. linkLocation=file:///Z:/00. Proiecte 2025/AFIR FotoVoltaic 1/15. Implementare Proiect Fotovoltaic/3.Suntree-Neets/Proforma nr.5.pdf, friendlyName=Deschide sursa</x:v>
      </x:c>
    </x:row>
    <x:row r="515" ht="36" customHeight="1">
      <x:c r="A515" s="8" t="str">
        <x:v>F0511</x:v>
      </x:c>
      <x:c r="B515" s="8" t="str">
        <x:v>Proforma nr.6.pdf</x:v>
      </x:c>
      <x:c r="C515" s="8" t="str">
        <x:v>15. Implementare Proiect Fotovoltaic</x:v>
      </x:c>
      <x:c r="D515" s="8" t="str">
        <x:v>Proiect fotovoltaic</x:v>
      </x:c>
      <x:c r="E515" s="8" t="str">
        <x:v>.pdf</x:v>
      </x:c>
      <x:c r="F515" s="8" t="n">
        <x:v>8462</x:v>
      </x:c>
      <x:c r="G515" s="8" t="str">
        <x:v>Text extras</x:v>
      </x:c>
      <x:c r="H515" s="8" t="str">
        <x:v>Document local; transmiterea individuală neconfirmată</x:v>
      </x:c>
      <x:c r="I515" s="8" t="str">
        <x:v>F0433</x:v>
      </x:c>
      <x:c r="J515" s="8" t="e">
        <x:f>HYPERLINK("file:///Z:/00. Proiecte 2025/AFIR FotoVoltaic 1/15. Implementare Proiect Fotovoltaic/3.Suntree-Neets/Proforma nr.6.pdf","Deschide sursa")</x:f>
        <x:v>HYPERLINK is not implemented. linkLocation=file:///Z:/00. Proiecte 2025/AFIR FotoVoltaic 1/15. Implementare Proiect Fotovoltaic/3.Suntree-Neets/Proforma nr.6.pdf, friendlyName=Deschide sursa</x:v>
      </x:c>
    </x:row>
    <x:row r="516" ht="36" customHeight="1">
      <x:c r="A516" s="8" t="str">
        <x:v>F0512</x:v>
      </x:c>
      <x:c r="B516" s="8" t="str">
        <x:v>Proforma nr.8.pdf</x:v>
      </x:c>
      <x:c r="C516" s="8" t="str">
        <x:v>15. Implementare Proiect Fotovoltaic</x:v>
      </x:c>
      <x:c r="D516" s="8" t="str">
        <x:v>Proiect fotovoltaic</x:v>
      </x:c>
      <x:c r="E516" s="8" t="str">
        <x:v>.pdf</x:v>
      </x:c>
      <x:c r="F516" s="8" t="n">
        <x:v>8458</x:v>
      </x:c>
      <x:c r="G516" s="8" t="str">
        <x:v>Text extras</x:v>
      </x:c>
      <x:c r="H516" s="8" t="str">
        <x:v>Document local; transmiterea individuală neconfirmată</x:v>
      </x:c>
      <x:c r="I516" s="8" t="str"/>
      <x:c r="J516" s="8" t="e">
        <x:f>HYPERLINK("file:///Z:/00. Proiecte 2025/AFIR FotoVoltaic 1/15. Implementare Proiect Fotovoltaic/3.Suntree-Neets/Proforma nr.8.pdf","Deschide sursa")</x:f>
        <x:v>HYPERLINK is not implemented. linkLocation=file:///Z:/00. Proiecte 2025/AFIR FotoVoltaic 1/15. Implementare Proiect Fotovoltaic/3.Suntree-Neets/Proforma nr.8.pdf, friendlyName=Deschide sursa</x:v>
      </x:c>
    </x:row>
    <x:row r="517" ht="36" customHeight="1">
      <x:c r="A517" s="8" t="str">
        <x:v>F0513</x:v>
      </x:c>
      <x:c r="B517" s="8" t="str">
        <x:v>Proforma nr.9.pdf</x:v>
      </x:c>
      <x:c r="C517" s="8" t="str">
        <x:v>15. Implementare Proiect Fotovoltaic</x:v>
      </x:c>
      <x:c r="D517" s="8" t="str">
        <x:v>Proiect fotovoltaic</x:v>
      </x:c>
      <x:c r="E517" s="8" t="str">
        <x:v>.pdf</x:v>
      </x:c>
      <x:c r="F517" s="8" t="n">
        <x:v>8433</x:v>
      </x:c>
      <x:c r="G517" s="8" t="str">
        <x:v>Text extras</x:v>
      </x:c>
      <x:c r="H517" s="8" t="str">
        <x:v>Document local; transmiterea individuală neconfirmată</x:v>
      </x:c>
      <x:c r="I517" s="8" t="str"/>
      <x:c r="J517" s="8" t="e">
        <x:f>HYPERLINK("file:///Z:/00. Proiecte 2025/AFIR FotoVoltaic 1/15. Implementare Proiect Fotovoltaic/3.Suntree-Neets/Proforma nr.9.pdf","Deschide sursa")</x:f>
        <x:v>HYPERLINK is not implemented. linkLocation=file:///Z:/00. Proiecte 2025/AFIR FotoVoltaic 1/15. Implementare Proiect Fotovoltaic/3.Suntree-Neets/Proforma nr.9.pdf, friendlyName=Deschide sursa</x:v>
      </x:c>
    </x:row>
    <x:row r="518" ht="36" customHeight="1">
      <x:c r="A518" s="8" t="str">
        <x:v>F0514</x:v>
      </x:c>
      <x:c r="B518" s="8" t="str">
        <x:v>Proforma nr_7.pdf</x:v>
      </x:c>
      <x:c r="C518" s="8" t="str">
        <x:v>15. Implementare Proiect Fotovoltaic</x:v>
      </x:c>
      <x:c r="D518" s="8" t="str">
        <x:v>Proiect fotovoltaic</x:v>
      </x:c>
      <x:c r="E518" s="8" t="str">
        <x:v>.pdf</x:v>
      </x:c>
      <x:c r="F518" s="8" t="n">
        <x:v>8463</x:v>
      </x:c>
      <x:c r="G518" s="8" t="str">
        <x:v>Text extras</x:v>
      </x:c>
      <x:c r="H518" s="8" t="str">
        <x:v>Document local; transmiterea individuală neconfirmată</x:v>
      </x:c>
      <x:c r="I518" s="8" t="str">
        <x:v>F0436</x:v>
      </x:c>
      <x:c r="J518" s="8" t="e">
        <x:f>HYPERLINK("file:///Z:/00. Proiecte 2025/AFIR FotoVoltaic 1/15. Implementare Proiect Fotovoltaic/3.Suntree-Neets/Proforma nr_7.pdf","Deschide sursa")</x:f>
        <x:v>HYPERLINK is not implemented. linkLocation=file:///Z:/00. Proiecte 2025/AFIR FotoVoltaic 1/15. Implementare Proiect Fotovoltaic/3.Suntree-Neets/Proforma nr_7.pdf, friendlyName=Deschide sursa</x:v>
      </x:c>
    </x:row>
    <x:row r="519" ht="36" customHeight="1">
      <x:c r="A519" s="8" t="str">
        <x:v>F0515</x:v>
      </x:c>
      <x:c r="B519" s="8" t="str">
        <x:v>Situatie de lucrari Suntree 15.03.docx</x:v>
      </x:c>
      <x:c r="C519" s="8" t="str">
        <x:v>15. Implementare Proiect Fotovoltaic</x:v>
      </x:c>
      <x:c r="D519" s="8" t="str">
        <x:v>Proiect fotovoltaic</x:v>
      </x:c>
      <x:c r="E519" s="8" t="str">
        <x:v>.docx</x:v>
      </x:c>
      <x:c r="F519" s="8" t="n">
        <x:v>158487</x:v>
      </x:c>
      <x:c r="G519" s="8" t="str">
        <x:v>Text extras</x:v>
      </x:c>
      <x:c r="H519" s="8" t="str">
        <x:v>Document local; transmiterea individuală neconfirmată</x:v>
      </x:c>
      <x:c r="I519" s="8" t="str"/>
      <x:c r="J519" s="8" t="e">
        <x:f>HYPERLINK("file:///Z:/00. Proiecte 2025/AFIR FotoVoltaic 1/15. Implementare Proiect Fotovoltaic/3.Suntree-Neets/Situatie de lucrari Suntree 15.03.docx","Deschide sursa")</x:f>
        <x:v>HYPERLINK is not implemented. linkLocation=file:///Z:/00. Proiecte 2025/AFIR FotoVoltaic 1/15. Implementare Proiect Fotovoltaic/3.Suntree-Neets/Situatie de lucrari Suntree 15.03.docx, friendlyName=Deschide sursa</x:v>
      </x:c>
    </x:row>
    <x:row r="520" ht="36" customHeight="1">
      <x:c r="A520" s="8" t="str">
        <x:v>F0516</x:v>
      </x:c>
      <x:c r="B520" s="8" t="str">
        <x:v>Situatie de lucrari Suntree 15.04.docx</x:v>
      </x:c>
      <x:c r="C520" s="8" t="str">
        <x:v>15. Implementare Proiect Fotovoltaic</x:v>
      </x:c>
      <x:c r="D520" s="8" t="str">
        <x:v>Proiect fotovoltaic</x:v>
      </x:c>
      <x:c r="E520" s="8" t="str">
        <x:v>.docx</x:v>
      </x:c>
      <x:c r="F520" s="8" t="n">
        <x:v>158699</x:v>
      </x:c>
      <x:c r="G520" s="8" t="str">
        <x:v>Text extras</x:v>
      </x:c>
      <x:c r="H520" s="8" t="str">
        <x:v>Document local; transmiterea individuală neconfirmată</x:v>
      </x:c>
      <x:c r="I520" s="8" t="str"/>
      <x:c r="J520" s="8" t="e">
        <x:f>HYPERLINK("file:///Z:/00. Proiecte 2025/AFIR FotoVoltaic 1/15. Implementare Proiect Fotovoltaic/3.Suntree-Neets/Situatie de lucrari Suntree 15.04.docx","Deschide sursa")</x:f>
        <x:v>HYPERLINK is not implemented. linkLocation=file:///Z:/00. Proiecte 2025/AFIR FotoVoltaic 1/15. Implementare Proiect Fotovoltaic/3.Suntree-Neets/Situatie de lucrari Suntree 15.04.docx, friendlyName=Deschide sursa</x:v>
      </x:c>
    </x:row>
    <x:row r="521" ht="36" customHeight="1">
      <x:c r="A521" s="8" t="str">
        <x:v>F0517</x:v>
      </x:c>
      <x:c r="B521" s="8" t="str">
        <x:v>Oferta tablouri Tobimar.jpeg</x:v>
      </x:c>
      <x:c r="C521" s="8" t="str">
        <x:v>15. Implementare Proiect Fotovoltaic</x:v>
      </x:c>
      <x:c r="D521" s="8" t="str">
        <x:v>Proiect fotovoltaic</x:v>
      </x:c>
      <x:c r="E521" s="8" t="str">
        <x:v>.jpeg</x:v>
      </x:c>
      <x:c r="F521" s="8" t="n">
        <x:v>69835</x:v>
      </x:c>
      <x:c r="G521" s="8" t="str">
        <x:v>Inventariat; conținut neextras</x:v>
      </x:c>
      <x:c r="H521" s="8" t="str">
        <x:v>Document local; transmiterea individuală neconfirmată</x:v>
      </x:c>
      <x:c r="I521" s="8" t="str"/>
      <x:c r="J521" s="8" t="e">
        <x:f>HYPERLINK("file:///Z:/00. Proiecte 2025/AFIR FotoVoltaic 1/15. Implementare Proiect Fotovoltaic/30. Tablouri/Oferta tablouri Tobimar.jpeg","Deschide sursa")</x:f>
        <x:v>HYPERLINK is not implemented. linkLocation=file:///Z:/00. Proiecte 2025/AFIR FotoVoltaic 1/15. Implementare Proiect Fotovoltaic/30. Tablouri/Oferta tablouri Tobimar.jpeg, friendlyName=Deschide sursa</x:v>
      </x:c>
    </x:row>
    <x:row r="522" ht="36" customHeight="1">
      <x:c r="A522" s="8" t="str">
        <x:v>F0518</x:v>
      </x:c>
      <x:c r="B522" s="8" t="str">
        <x:v>Tablou_General_TEG-PV_1MVA_10zone_MINIMAL_2026.07.31.xlsx</x:v>
      </x:c>
      <x:c r="C522" s="8" t="str">
        <x:v>15. Implementare Proiect Fotovoltaic</x:v>
      </x:c>
      <x:c r="D522" s="8" t="str">
        <x:v>Proiect fotovoltaic</x:v>
      </x:c>
      <x:c r="E522" s="8" t="str">
        <x:v>.xlsx</x:v>
      </x:c>
      <x:c r="F522" s="8" t="n">
        <x:v>37143</x:v>
      </x:c>
      <x:c r="G522" s="8" t="str">
        <x:v>Inventariat; conținut neextras</x:v>
      </x:c>
      <x:c r="H522" s="8" t="str">
        <x:v>Document local; transmiterea individuală neconfirmată</x:v>
      </x:c>
      <x:c r="I522" s="8" t="str"/>
      <x:c r="J522" s="8" t="e">
        <x:f>HYPERLINK("file:///Z:/00. Proiecte 2025/AFIR FotoVoltaic 1/15. Implementare Proiect Fotovoltaic/30. Tablouri/Tablou_General_TEG-PV_1MVA_10zone_MINIMAL_2026.07.31.xlsx","Deschide sursa")</x:f>
        <x:v>HYPERLINK is not implemented. linkLocation=file:///Z:/00. Proiecte 2025/AFIR FotoVoltaic 1/15. Implementare Proiect Fotovoltaic/30. Tablouri/Tablou_General_TEG-PV_1MVA_10zone_MINIMAL_2026.07.31.xlsx, friendlyName=Deschide sursa</x:v>
      </x:c>
    </x:row>
    <x:row r="523" ht="36" customHeight="1">
      <x:c r="A523" s="8" t="str">
        <x:v>F0519</x:v>
      </x:c>
      <x:c r="B523" s="8" t="str">
        <x:v>Tablou_TEG-PV_Documentatie_asamblare_2026.08.12.docx</x:v>
      </x:c>
      <x:c r="C523" s="8" t="str">
        <x:v>15. Implementare Proiect Fotovoltaic</x:v>
      </x:c>
      <x:c r="D523" s="8" t="str">
        <x:v>Proiect fotovoltaic</x:v>
      </x:c>
      <x:c r="E523" s="8" t="str">
        <x:v>.docx</x:v>
      </x:c>
      <x:c r="F523" s="8" t="n">
        <x:v>14525</x:v>
      </x:c>
      <x:c r="G523" s="8" t="str">
        <x:v>Text extras</x:v>
      </x:c>
      <x:c r="H523" s="8" t="str">
        <x:v>Document local; transmiterea individuală neconfirmată</x:v>
      </x:c>
      <x:c r="I523" s="8" t="str"/>
      <x:c r="J523" s="8" t="e">
        <x:f>HYPERLINK("file:///Z:/00. Proiecte 2025/AFIR FotoVoltaic 1/15. Implementare Proiect Fotovoltaic/30. Tablouri/Tablou_TEG-PV_Documentatie_asamblare_2026.08.12.docx","Deschide sursa")</x:f>
        <x:v>HYPERLINK is not implemented. linkLocation=file:///Z:/00. Proiecte 2025/AFIR FotoVoltaic 1/15. Implementare Proiect Fotovoltaic/30. Tablouri/Tablou_TEG-PV_Documentatie_asamblare_2026.08.12.docx, friendlyName=Deschide sursa</x:v>
      </x:c>
    </x:row>
    <x:row r="524" ht="36" customHeight="1">
      <x:c r="A524" s="8" t="str">
        <x:v>F0520</x:v>
      </x:c>
      <x:c r="B524" s="8" t="str">
        <x:v>Tablou_TEG-PV_Documentatie_asamblare_2026.08.12.pdf</x:v>
      </x:c>
      <x:c r="C524" s="8" t="str">
        <x:v>15. Implementare Proiect Fotovoltaic</x:v>
      </x:c>
      <x:c r="D524" s="8" t="str">
        <x:v>Proiect fotovoltaic</x:v>
      </x:c>
      <x:c r="E524" s="8" t="str">
        <x:v>.pdf</x:v>
      </x:c>
      <x:c r="F524" s="8" t="n">
        <x:v>335593</x:v>
      </x:c>
      <x:c r="G524" s="8" t="str">
        <x:v>Text extras</x:v>
      </x:c>
      <x:c r="H524" s="8" t="str">
        <x:v>Document local; transmiterea individuală neconfirmată</x:v>
      </x:c>
      <x:c r="I524" s="8" t="str"/>
      <x:c r="J524" s="8" t="e">
        <x:f>HYPERLINK("file:///Z:/00. Proiecte 2025/AFIR FotoVoltaic 1/15. Implementare Proiect Fotovoltaic/30. Tablouri/Tablou_TEG-PV_Documentatie_asamblare_2026.08.12.pdf","Deschide sursa")</x:f>
        <x:v>HYPERLINK is not implemented. linkLocation=file:///Z:/00. Proiecte 2025/AFIR FotoVoltaic 1/15. Implementare Proiect Fotovoltaic/30. Tablouri/Tablou_TEG-PV_Documentatie_asamblare_2026.08.12.pdf, friendlyName=Deschide sursa</x:v>
      </x:c>
    </x:row>
    <x:row r="525" ht="36" customHeight="1">
      <x:c r="A525" s="8" t="str">
        <x:v>F0521</x:v>
      </x:c>
      <x:c r="B525" s="8" t="str">
        <x:v>Tablou_TEG-PV_LISTA_MATERIALE_FINALA_2026.08.12.xlsx</x:v>
      </x:c>
      <x:c r="C525" s="8" t="str">
        <x:v>15. Implementare Proiect Fotovoltaic</x:v>
      </x:c>
      <x:c r="D525" s="8" t="str">
        <x:v>Proiect fotovoltaic</x:v>
      </x:c>
      <x:c r="E525" s="8" t="str">
        <x:v>.xlsx</x:v>
      </x:c>
      <x:c r="F525" s="8" t="n">
        <x:v>16779</x:v>
      </x:c>
      <x:c r="G525" s="8" t="str">
        <x:v>Inventariat; conținut neextras</x:v>
      </x:c>
      <x:c r="H525" s="8" t="str">
        <x:v>Document local; transmiterea individuală neconfirmată</x:v>
      </x:c>
      <x:c r="I525" s="8" t="str"/>
      <x:c r="J525" s="8" t="e">
        <x:f>HYPERLINK("file:///Z:/00. Proiecte 2025/AFIR FotoVoltaic 1/15. Implementare Proiect Fotovoltaic/30. Tablouri/Tablou_TEG-PV_LISTA_MATERIALE_FINALA_2026.08.12.xlsx","Deschide sursa")</x:f>
        <x:v>HYPERLINK is not implemented. linkLocation=file:///Z:/00. Proiecte 2025/AFIR FotoVoltaic 1/15. Implementare Proiect Fotovoltaic/30. Tablouri/Tablou_TEG-PV_LISTA_MATERIALE_FINALA_2026.08.12.xlsx, friendlyName=Deschide sursa</x:v>
      </x:c>
    </x:row>
    <x:row r="526" ht="36" customHeight="1">
      <x:c r="A526" s="8" t="str">
        <x:v>F0522</x:v>
      </x:c>
      <x:c r="B526" s="8" t="str">
        <x:v>Tablou_TEG-PV_Scheme_electrice_2026.08.12.pdf</x:v>
      </x:c>
      <x:c r="C526" s="8" t="str">
        <x:v>15. Implementare Proiect Fotovoltaic</x:v>
      </x:c>
      <x:c r="D526" s="8" t="str">
        <x:v>Proiect fotovoltaic</x:v>
      </x:c>
      <x:c r="E526" s="8" t="str">
        <x:v>.pdf</x:v>
      </x:c>
      <x:c r="F526" s="8" t="n">
        <x:v>41763</x:v>
      </x:c>
      <x:c r="G526" s="8" t="str">
        <x:v>Text extras</x:v>
      </x:c>
      <x:c r="H526" s="8" t="str">
        <x:v>Document local; transmiterea individuală neconfirmată</x:v>
      </x:c>
      <x:c r="I526" s="8" t="str"/>
      <x:c r="J526" s="8" t="e">
        <x:f>HYPERLINK("file:///Z:/00. Proiecte 2025/AFIR FotoVoltaic 1/15. Implementare Proiect Fotovoltaic/30. Tablouri/Tablou_TEG-PV_Scheme_electrice_2026.08.12.pdf","Deschide sursa")</x:f>
        <x:v>HYPERLINK is not implemented. linkLocation=file:///Z:/00. Proiecte 2025/AFIR FotoVoltaic 1/15. Implementare Proiect Fotovoltaic/30. Tablouri/Tablou_TEG-PV_Scheme_electrice_2026.08.12.pdf, friendlyName=Deschide sursa</x:v>
      </x:c>
    </x:row>
    <x:row r="527" ht="36" customHeight="1">
      <x:c r="A527" s="8" t="str">
        <x:v>F0523</x:v>
      </x:c>
      <x:c r="B527" s="8" t="str">
        <x:v>Solicitare de verificare și aprobare actualizare tehnică (2).pdf</x:v>
      </x:c>
      <x:c r="C527" s="8" t="str">
        <x:v>15. Implementare Proiect Fotovoltaic</x:v>
      </x:c>
      <x:c r="D527" s="8" t="str">
        <x:v>Proiect fotovoltaic</x:v>
      </x:c>
      <x:c r="E527" s="8" t="str">
        <x:v>.pdf</x:v>
      </x:c>
      <x:c r="F527" s="8" t="n">
        <x:v>48230</x:v>
      </x:c>
      <x:c r="G527" s="8" t="str">
        <x:v>Text extras</x:v>
      </x:c>
      <x:c r="H527" s="8" t="str">
        <x:v>Document local; transmiterea individuală neconfirmată</x:v>
      </x:c>
      <x:c r="I527" s="8" t="str"/>
      <x:c r="J527" s="8" t="e">
        <x:f>HYPERLINK("file:///Z:/00. Proiecte 2025/AFIR FotoVoltaic 1/15. Implementare Proiect Fotovoltaic/4. AFIR Avizare solutie/Solicitare de verificare și aprobare actualizare tehnică (2).pdf","Deschide sursa")</x:f>
        <x:v>HYPERLINK is not implemented. linkLocation=file:///Z:/00. Proiecte 2025/AFIR FotoVoltaic 1/15. Implementare Proiect Fotovoltaic/4. AFIR Avizare solutie/Solicitare de verificare și aprobare actualizare tehnică (2).pdf, friendlyName=Deschide sursa</x:v>
      </x:c>
    </x:row>
    <x:row r="528" ht="36" customHeight="1">
      <x:c r="A528" s="8" t="str">
        <x:v>F0524</x:v>
      </x:c>
      <x:c r="B528" s="8" t="str">
        <x:v>Factura nr.1 Cesiro-Suntree.pdf</x:v>
      </x:c>
      <x:c r="C528" s="8" t="str">
        <x:v>15. Implementare Proiect Fotovoltaic</x:v>
      </x:c>
      <x:c r="D528" s="8" t="str">
        <x:v>Proiect fotovoltaic</x:v>
      </x:c>
      <x:c r="E528" s="8" t="str">
        <x:v>.pdf</x:v>
      </x:c>
      <x:c r="F528" s="8" t="n">
        <x:v>28053</x:v>
      </x:c>
      <x:c r="G528" s="8" t="str">
        <x:v>Text extras</x:v>
      </x:c>
      <x:c r="H528" s="8" t="str">
        <x:v>Document local; transmiterea individuală neconfirmată</x:v>
      </x:c>
      <x:c r="I528" s="8" t="str"/>
      <x:c r="J528" s="8" t="e">
        <x:f>HYPERLINK("file:///Z:/00. Proiecte 2025/AFIR FotoVoltaic 1/15. Implementare Proiect Fotovoltaic/5.Production-Suntree/Factura nr.1 Cesiro-Suntree.pdf","Deschide sursa")</x:f>
        <x:v>HYPERLINK is not implemented. linkLocation=file:///Z:/00. Proiecte 2025/AFIR FotoVoltaic 1/15. Implementare Proiect Fotovoltaic/5.Production-Suntree/Factura nr.1 Cesiro-Suntree.pdf, friendlyName=Deschide sursa</x:v>
      </x:c>
    </x:row>
    <x:row r="529" ht="36" customHeight="1">
      <x:c r="A529" s="8" t="str">
        <x:v>F0525</x:v>
      </x:c>
      <x:c r="B529" s="8" t="str">
        <x:v>Factura nr.2 Cesiro-Suntree.pdf</x:v>
      </x:c>
      <x:c r="C529" s="8" t="str">
        <x:v>15. Implementare Proiect Fotovoltaic</x:v>
      </x:c>
      <x:c r="D529" s="8" t="str">
        <x:v>Proiect fotovoltaic</x:v>
      </x:c>
      <x:c r="E529" s="8" t="str">
        <x:v>.pdf</x:v>
      </x:c>
      <x:c r="F529" s="8" t="n">
        <x:v>28075</x:v>
      </x:c>
      <x:c r="G529" s="8" t="str">
        <x:v>Text extras</x:v>
      </x:c>
      <x:c r="H529" s="8" t="str">
        <x:v>Document local; transmiterea individuală neconfirmată</x:v>
      </x:c>
      <x:c r="I529" s="8" t="str"/>
      <x:c r="J529" s="8" t="e">
        <x:f>HYPERLINK("file:///Z:/00. Proiecte 2025/AFIR FotoVoltaic 1/15. Implementare Proiect Fotovoltaic/5.Production-Suntree/Factura nr.2 Cesiro-Suntree.pdf","Deschide sursa")</x:f>
        <x:v>HYPERLINK is not implemented. linkLocation=file:///Z:/00. Proiecte 2025/AFIR FotoVoltaic 1/15. Implementare Proiect Fotovoltaic/5.Production-Suntree/Factura nr.2 Cesiro-Suntree.pdf, friendlyName=Deschide sursa</x:v>
      </x:c>
    </x:row>
    <x:row r="530" ht="36" customHeight="1">
      <x:c r="A530" s="8" t="str">
        <x:v>F0526</x:v>
      </x:c>
      <x:c r="B530" s="8" t="str">
        <x:v>Factura nr.2 Cesiro-Suntree.xlsx</x:v>
      </x:c>
      <x:c r="C530" s="8" t="str">
        <x:v>15. Implementare Proiect Fotovoltaic</x:v>
      </x:c>
      <x:c r="D530" s="8" t="str">
        <x:v>Proiect fotovoltaic</x:v>
      </x:c>
      <x:c r="E530" s="8" t="str">
        <x:v>.xlsx</x:v>
      </x:c>
      <x:c r="F530" s="8" t="n">
        <x:v>9151</x:v>
      </x:c>
      <x:c r="G530" s="8" t="str">
        <x:v>Inventariat; conținut neextras</x:v>
      </x:c>
      <x:c r="H530" s="8" t="str">
        <x:v>Document local; transmiterea individuală neconfirmată</x:v>
      </x:c>
      <x:c r="I530" s="8" t="str"/>
      <x:c r="J530" s="8" t="e">
        <x:f>HYPERLINK("file:///Z:/00. Proiecte 2025/AFIR FotoVoltaic 1/15. Implementare Proiect Fotovoltaic/5.Production-Suntree/Factura nr.2 Cesiro-Suntree.xlsx","Deschide sursa")</x:f>
        <x:v>HYPERLINK is not implemented. linkLocation=file:///Z:/00. Proiecte 2025/AFIR FotoVoltaic 1/15. Implementare Proiect Fotovoltaic/5.Production-Suntree/Factura nr.2 Cesiro-Suntree.xlsx, friendlyName=Deschide sursa</x:v>
      </x:c>
    </x:row>
    <x:row r="531" ht="36" customHeight="1">
      <x:c r="A531" s="8" t="str">
        <x:v>F0527</x:v>
      </x:c>
      <x:c r="B531" s="8" t="str">
        <x:v>Situatie Cesiro Production-Suntree.xlsx</x:v>
      </x:c>
      <x:c r="C531" s="8" t="str">
        <x:v>15. Implementare Proiect Fotovoltaic</x:v>
      </x:c>
      <x:c r="D531" s="8" t="str">
        <x:v>Proiect fotovoltaic</x:v>
      </x:c>
      <x:c r="E531" s="8" t="str">
        <x:v>.xlsx</x:v>
      </x:c>
      <x:c r="F531" s="8" t="n">
        <x:v>12818</x:v>
      </x:c>
      <x:c r="G531" s="8" t="str">
        <x:v>Inventariat; conținut neextras</x:v>
      </x:c>
      <x:c r="H531" s="8" t="str">
        <x:v>Document local; transmiterea individuală neconfirmată</x:v>
      </x:c>
      <x:c r="I531" s="8" t="str"/>
      <x:c r="J531" s="8" t="e">
        <x:f>HYPERLINK("file:///Z:/00. Proiecte 2025/AFIR FotoVoltaic 1/15. Implementare Proiect Fotovoltaic/5.Production-Suntree/Situatie Cesiro Production-Suntree.xlsx","Deschide sursa")</x:f>
        <x:v>HYPERLINK is not implemented. linkLocation=file:///Z:/00. Proiecte 2025/AFIR FotoVoltaic 1/15. Implementare Proiect Fotovoltaic/5.Production-Suntree/Situatie Cesiro Production-Suntree.xlsx, friendlyName=Deschide sursa</x:v>
      </x:c>
    </x:row>
    <x:row r="532" ht="36" customHeight="1">
      <x:c r="A532" s="8" t="str">
        <x:v>F0528</x:v>
      </x:c>
      <x:c r="B532" s="8" t="str">
        <x:v>CMR 594 STP710S-D66-NSH+.jpeg</x:v>
      </x:c>
      <x:c r="C532" s="8" t="str">
        <x:v>15. Implementare Proiect Fotovoltaic</x:v>
      </x:c>
      <x:c r="D532" s="8" t="str">
        <x:v>Proiect fotovoltaic</x:v>
      </x:c>
      <x:c r="E532" s="8" t="str">
        <x:v>.jpeg</x:v>
      </x:c>
      <x:c r="F532" s="8" t="n">
        <x:v>137794</x:v>
      </x:c>
      <x:c r="G532" s="8" t="str">
        <x:v>Inventariat; conținut neextras</x:v>
      </x:c>
      <x:c r="H532" s="8" t="str">
        <x:v>Document local; transmiterea individuală neconfirmată</x:v>
      </x:c>
      <x:c r="I532" s="8" t="str"/>
      <x:c r="J532" s="8" t="e">
        <x:f>HYPERLINK("file:///Z:/00. Proiecte 2025/AFIR FotoVoltaic 1/15. Implementare Proiect Fotovoltaic/10.Neets-Suntech/CMR- transport/CMR 594 STP710S-D66-NSH+.jpeg","Deschide sursa")</x:f>
        <x:v>HYPERLINK is not implemented. linkLocation=file:///Z:/00. Proiecte 2025/AFIR FotoVoltaic 1/15. Implementare Proiect Fotovoltaic/10.Neets-Suntech/CMR- transport/CMR 594 STP710S-D66-NSH+.jpeg, friendlyName=Deschide sursa</x:v>
      </x:c>
    </x:row>
    <x:row r="533" ht="36" customHeight="1">
      <x:c r="A533" s="8" t="str">
        <x:v>F0529</x:v>
      </x:c>
      <x:c r="B533" s="8" t="str">
        <x:v>CMR 684 STP450S-H48-NTH+3.jpg</x:v>
      </x:c>
      <x:c r="C533" s="8" t="str">
        <x:v>15. Implementare Proiect Fotovoltaic</x:v>
      </x:c>
      <x:c r="D533" s="8" t="str">
        <x:v>Proiect fotovoltaic</x:v>
      </x:c>
      <x:c r="E533" s="8" t="str">
        <x:v>.jpg</x:v>
      </x:c>
      <x:c r="F533" s="8" t="n">
        <x:v>477252</x:v>
      </x:c>
      <x:c r="G533" s="8" t="str">
        <x:v>Inventariat; conținut neextras</x:v>
      </x:c>
      <x:c r="H533" s="8" t="str">
        <x:v>Document local; transmiterea individuală neconfirmată</x:v>
      </x:c>
      <x:c r="I533" s="8" t="str"/>
      <x:c r="J533" s="8" t="e">
        <x:f>HYPERLINK("file:///Z:/00. Proiecte 2025/AFIR FotoVoltaic 1/15. Implementare Proiect Fotovoltaic/10.Neets-Suntech/CMR- transport/CMR 684 STP450S-H48-NTH+3.jpg","Deschide sursa")</x:f>
        <x:v>HYPERLINK is not implemented. linkLocation=file:///Z:/00. Proiecte 2025/AFIR FotoVoltaic 1/15. Implementare Proiect Fotovoltaic/10.Neets-Suntech/CMR- transport/CMR 684 STP450S-H48-NTH+3.jpg, friendlyName=Deschide sursa</x:v>
      </x:c>
    </x:row>
    <x:row r="534" ht="36" customHeight="1">
      <x:c r="A534" s="8" t="str">
        <x:v>F0530</x:v>
      </x:c>
      <x:c r="B534" s="8" t="str">
        <x:v>CMR 936 STP450S-H48-NKH+ (2).pdf</x:v>
      </x:c>
      <x:c r="C534" s="8" t="str">
        <x:v>15. Implementare Proiect Fotovoltaic</x:v>
      </x:c>
      <x:c r="D534" s="8" t="str">
        <x:v>Proiect fotovoltaic</x:v>
      </x:c>
      <x:c r="E534" s="8" t="str">
        <x:v>.pdf</x:v>
      </x:c>
      <x:c r="F534" s="8" t="n">
        <x:v>359593</x:v>
      </x:c>
      <x:c r="G534" s="8" t="str">
        <x:v>Scan / text insuficient</x:v>
      </x:c>
      <x:c r="H534" s="8" t="str">
        <x:v>Document local; transmiterea individuală neconfirmată</x:v>
      </x:c>
      <x:c r="I534" s="8" t="str"/>
      <x:c r="J534" s="8" t="e">
        <x:f>HYPERLINK("file:///Z:/00. Proiecte 2025/AFIR FotoVoltaic 1/15. Implementare Proiect Fotovoltaic/10.Neets-Suntech/CMR- transport/CMR 936 STP450S-H48-NKH+ (2).pdf","Deschide sursa")</x:f>
        <x:v>HYPERLINK is not implemented. linkLocation=file:///Z:/00. Proiecte 2025/AFIR FotoVoltaic 1/15. Implementare Proiect Fotovoltaic/10.Neets-Suntech/CMR- transport/CMR 936 STP450S-H48-NKH+ (2).pdf, friendlyName=Deschide sursa</x:v>
      </x:c>
    </x:row>
    <x:row r="535" ht="36" customHeight="1">
      <x:c r="A535" s="8" t="str">
        <x:v>F0531</x:v>
      </x:c>
      <x:c r="B535" s="8" t="str">
        <x:v>CMR 936 STP450S-H48-NKH+ (3).pdf</x:v>
      </x:c>
      <x:c r="C535" s="8" t="str">
        <x:v>15. Implementare Proiect Fotovoltaic</x:v>
      </x:c>
      <x:c r="D535" s="8" t="str">
        <x:v>Proiect fotovoltaic</x:v>
      </x:c>
      <x:c r="E535" s="8" t="str">
        <x:v>.pdf</x:v>
      </x:c>
      <x:c r="F535" s="8" t="n">
        <x:v>362929</x:v>
      </x:c>
      <x:c r="G535" s="8" t="str">
        <x:v>Scan / text insuficient</x:v>
      </x:c>
      <x:c r="H535" s="8" t="str">
        <x:v>Document local; transmiterea individuală neconfirmată</x:v>
      </x:c>
      <x:c r="I535" s="8" t="str"/>
      <x:c r="J535" s="8" t="e">
        <x:f>HYPERLINK("file:///Z:/00. Proiecte 2025/AFIR FotoVoltaic 1/15. Implementare Proiect Fotovoltaic/10.Neets-Suntech/CMR- transport/CMR 936 STP450S-H48-NKH+ (3).pdf","Deschide sursa")</x:f>
        <x:v>HYPERLINK is not implemented. linkLocation=file:///Z:/00. Proiecte 2025/AFIR FotoVoltaic 1/15. Implementare Proiect Fotovoltaic/10.Neets-Suntech/CMR- transport/CMR 936 STP450S-H48-NKH+ (3).pdf, friendlyName=Deschide sursa</x:v>
      </x:c>
    </x:row>
    <x:row r="536" ht="36" customHeight="1">
      <x:c r="A536" s="8" t="str">
        <x:v>F0532</x:v>
      </x:c>
      <x:c r="B536" s="8" t="str">
        <x:v>CMR 936 STP450S-H48-NKH+.pdf</x:v>
      </x:c>
      <x:c r="C536" s="8" t="str">
        <x:v>15. Implementare Proiect Fotovoltaic</x:v>
      </x:c>
      <x:c r="D536" s="8" t="str">
        <x:v>Proiect fotovoltaic</x:v>
      </x:c>
      <x:c r="E536" s="8" t="str">
        <x:v>.pdf</x:v>
      </x:c>
      <x:c r="F536" s="8" t="n">
        <x:v>362761</x:v>
      </x:c>
      <x:c r="G536" s="8" t="str">
        <x:v>Scan / text insuficient</x:v>
      </x:c>
      <x:c r="H536" s="8" t="str">
        <x:v>Document local; transmiterea individuală neconfirmată</x:v>
      </x:c>
      <x:c r="I536" s="8" t="str"/>
      <x:c r="J536" s="8" t="e">
        <x:f>HYPERLINK("file:///Z:/00. Proiecte 2025/AFIR FotoVoltaic 1/15. Implementare Proiect Fotovoltaic/10.Neets-Suntech/CMR- transport/CMR 936 STP450S-H48-NKH+.pdf","Deschide sursa")</x:f>
        <x:v>HYPERLINK is not implemented. linkLocation=file:///Z:/00. Proiecte 2025/AFIR FotoVoltaic 1/15. Implementare Proiect Fotovoltaic/10.Neets-Suntech/CMR- transport/CMR 936 STP450S-H48-NKH+.pdf, friendlyName=Deschide sursa</x:v>
      </x:c>
    </x:row>
    <x:row r="537" ht="36" customHeight="1">
      <x:c r="A537" s="8" t="str">
        <x:v>F0533</x:v>
      </x:c>
      <x:c r="B537" s="8" t="str">
        <x:v>CMR 936 STP450S-H48-NTH+ 1.jpg</x:v>
      </x:c>
      <x:c r="C537" s="8" t="str">
        <x:v>15. Implementare Proiect Fotovoltaic</x:v>
      </x:c>
      <x:c r="D537" s="8" t="str">
        <x:v>Proiect fotovoltaic</x:v>
      </x:c>
      <x:c r="E537" s="8" t="str">
        <x:v>.jpg</x:v>
      </x:c>
      <x:c r="F537" s="8" t="n">
        <x:v>506549</x:v>
      </x:c>
      <x:c r="G537" s="8" t="str">
        <x:v>Inventariat; conținut neextras</x:v>
      </x:c>
      <x:c r="H537" s="8" t="str">
        <x:v>Document local; transmiterea individuală neconfirmată</x:v>
      </x:c>
      <x:c r="I537" s="8" t="str"/>
      <x:c r="J537" s="8" t="e">
        <x:f>HYPERLINK("file:///Z:/00. Proiecte 2025/AFIR FotoVoltaic 1/15. Implementare Proiect Fotovoltaic/10.Neets-Suntech/CMR- transport/CMR 936 STP450S-H48-NTH+ 1.jpg","Deschide sursa")</x:f>
        <x:v>HYPERLINK is not implemented. linkLocation=file:///Z:/00. Proiecte 2025/AFIR FotoVoltaic 1/15. Implementare Proiect Fotovoltaic/10.Neets-Suntech/CMR- transport/CMR 936 STP450S-H48-NTH+ 1.jpg, friendlyName=Deschide sursa</x:v>
      </x:c>
    </x:row>
    <x:row r="538" ht="36" customHeight="1">
      <x:c r="A538" s="8" t="str">
        <x:v>F0534</x:v>
      </x:c>
      <x:c r="B538" s="8" t="str">
        <x:v>CMR 936 STP450S-H48-NTH+ 2.jpg</x:v>
      </x:c>
      <x:c r="C538" s="8" t="str">
        <x:v>15. Implementare Proiect Fotovoltaic</x:v>
      </x:c>
      <x:c r="D538" s="8" t="str">
        <x:v>Proiect fotovoltaic</x:v>
      </x:c>
      <x:c r="E538" s="8" t="str">
        <x:v>.jpg</x:v>
      </x:c>
      <x:c r="F538" s="8" t="n">
        <x:v>512240</x:v>
      </x:c>
      <x:c r="G538" s="8" t="str">
        <x:v>Inventariat; conținut neextras</x:v>
      </x:c>
      <x:c r="H538" s="8" t="str">
        <x:v>Document local; transmiterea individuală neconfirmată</x:v>
      </x:c>
      <x:c r="I538" s="8" t="str"/>
      <x:c r="J538" s="8" t="e">
        <x:f>HYPERLINK("file:///Z:/00. Proiecte 2025/AFIR FotoVoltaic 1/15. Implementare Proiect Fotovoltaic/10.Neets-Suntech/CMR- transport/CMR 936 STP450S-H48-NTH+ 2.jpg","Deschide sursa")</x:f>
        <x:v>HYPERLINK is not implemented. linkLocation=file:///Z:/00. Proiecte 2025/AFIR FotoVoltaic 1/15. Implementare Proiect Fotovoltaic/10.Neets-Suntech/CMR- transport/CMR 936 STP450S-H48-NTH+ 2.jpg, friendlyName=Deschide sursa</x:v>
      </x:c>
    </x:row>
    <x:row r="539" ht="36" customHeight="1">
      <x:c r="A539" s="8" t="str">
        <x:v>F0535</x:v>
      </x:c>
      <x:c r="B539" s="8" t="str">
        <x:v>CMR 936 STP450S-H48-NTH+.pdf</x:v>
      </x:c>
      <x:c r="C539" s="8" t="str">
        <x:v>15. Implementare Proiect Fotovoltaic</x:v>
      </x:c>
      <x:c r="D539" s="8" t="str">
        <x:v>Proiect fotovoltaic</x:v>
      </x:c>
      <x:c r="E539" s="8" t="str">
        <x:v>.pdf</x:v>
      </x:c>
      <x:c r="F539" s="8" t="n">
        <x:v>2854366</x:v>
      </x:c>
      <x:c r="G539" s="8" t="str">
        <x:v>Text extras</x:v>
      </x:c>
      <x:c r="H539" s="8" t="str">
        <x:v>Document local; transmiterea individuală neconfirmată</x:v>
      </x:c>
      <x:c r="I539" s="8" t="str"/>
      <x:c r="J539" s="8" t="e">
        <x:f>HYPERLINK("file:///Z:/00. Proiecte 2025/AFIR FotoVoltaic 1/15. Implementare Proiect Fotovoltaic/10.Neets-Suntech/CMR- transport/CMR 936 STP450S-H48-NTH+.pdf","Deschide sursa")</x:f>
        <x:v>HYPERLINK is not implemented. linkLocation=file:///Z:/00. Proiecte 2025/AFIR FotoVoltaic 1/15. Implementare Proiect Fotovoltaic/10.Neets-Suntech/CMR- transport/CMR 936 STP450S-H48-NTH+.pdf, friendlyName=Deschide sursa</x:v>
      </x:c>
    </x:row>
    <x:row r="540" ht="36" customHeight="1">
      <x:c r="A540" s="8" t="str">
        <x:v>F0536</x:v>
      </x:c>
      <x:c r="B540" s="8" t="str">
        <x:v>CMR 936 STP450S-H48-NTH+_Page_5.jpg</x:v>
      </x:c>
      <x:c r="C540" s="8" t="str">
        <x:v>15. Implementare Proiect Fotovoltaic</x:v>
      </x:c>
      <x:c r="D540" s="8" t="str">
        <x:v>Proiect fotovoltaic</x:v>
      </x:c>
      <x:c r="E540" s="8" t="str">
        <x:v>.jpg</x:v>
      </x:c>
      <x:c r="F540" s="8" t="n">
        <x:v>526462</x:v>
      </x:c>
      <x:c r="G540" s="8" t="str">
        <x:v>Inventariat; conținut neextras</x:v>
      </x:c>
      <x:c r="H540" s="8" t="str">
        <x:v>Document local; transmiterea individuală neconfirmată</x:v>
      </x:c>
      <x:c r="I540" s="8" t="str"/>
      <x:c r="J540" s="8" t="e">
        <x:f>HYPERLINK("file:///Z:/00. Proiecte 2025/AFIR FotoVoltaic 1/15. Implementare Proiect Fotovoltaic/10.Neets-Suntech/CMR- transport/CMR 936 STP450S-H48-NTH+_Page_5.jpg","Deschide sursa")</x:f>
        <x:v>HYPERLINK is not implemented. linkLocation=file:///Z:/00. Proiecte 2025/AFIR FotoVoltaic 1/15. Implementare Proiect Fotovoltaic/10.Neets-Suntech/CMR- transport/CMR 936 STP450S-H48-NTH+_Page_5.jpg, friendlyName=Deschide sursa</x:v>
      </x:c>
    </x:row>
    <x:row r="541" ht="36" customHeight="1">
      <x:c r="A541" s="8" t="str">
        <x:v>F0537</x:v>
      </x:c>
      <x:c r="B541" s="8" t="str">
        <x:v>CMR 936 STP450S-H48-NTH+_Page_6.jpg</x:v>
      </x:c>
      <x:c r="C541" s="8" t="str">
        <x:v>15. Implementare Proiect Fotovoltaic</x:v>
      </x:c>
      <x:c r="D541" s="8" t="str">
        <x:v>Proiect fotovoltaic</x:v>
      </x:c>
      <x:c r="E541" s="8" t="str">
        <x:v>.jpg</x:v>
      </x:c>
      <x:c r="F541" s="8" t="n">
        <x:v>147464</x:v>
      </x:c>
      <x:c r="G541" s="8" t="str">
        <x:v>Inventariat; conținut neextras</x:v>
      </x:c>
      <x:c r="H541" s="8" t="str">
        <x:v>Document local; transmiterea individuală neconfirmată</x:v>
      </x:c>
      <x:c r="I541" s="8" t="str"/>
      <x:c r="J541" s="8" t="e">
        <x:f>HYPERLINK("file:///Z:/00. Proiecte 2025/AFIR FotoVoltaic 1/15. Implementare Proiect Fotovoltaic/10.Neets-Suntech/CMR- transport/CMR 936 STP450S-H48-NTH+_Page_6.jpg","Deschide sursa")</x:f>
        <x:v>HYPERLINK is not implemented. linkLocation=file:///Z:/00. Proiecte 2025/AFIR FotoVoltaic 1/15. Implementare Proiect Fotovoltaic/10.Neets-Suntech/CMR- transport/CMR 936 STP450S-H48-NTH+_Page_6.jpg, friendlyName=Deschide sursa</x:v>
      </x:c>
    </x:row>
    <x:row r="542" ht="36" customHeight="1">
      <x:c r="A542" s="8" t="str">
        <x:v>F0538</x:v>
      </x:c>
      <x:c r="B542" s="8" t="str">
        <x:v>CMR 936 STP450S-H48-NTH+_Page_7.jpg</x:v>
      </x:c>
      <x:c r="C542" s="8" t="str">
        <x:v>15. Implementare Proiect Fotovoltaic</x:v>
      </x:c>
      <x:c r="D542" s="8" t="str">
        <x:v>Proiect fotovoltaic</x:v>
      </x:c>
      <x:c r="E542" s="8" t="str">
        <x:v>.jpg</x:v>
      </x:c>
      <x:c r="F542" s="8" t="n">
        <x:v>533608</x:v>
      </x:c>
      <x:c r="G542" s="8" t="str">
        <x:v>Inventariat; conținut neextras</x:v>
      </x:c>
      <x:c r="H542" s="8" t="str">
        <x:v>Document local; transmiterea individuală neconfirmată</x:v>
      </x:c>
      <x:c r="I542" s="8" t="str"/>
      <x:c r="J542" s="8" t="e">
        <x:f>HYPERLINK("file:///Z:/00. Proiecte 2025/AFIR FotoVoltaic 1/15. Implementare Proiect Fotovoltaic/10.Neets-Suntech/CMR- transport/CMR 936 STP450S-H48-NTH+_Page_7.jpg","Deschide sursa")</x:f>
        <x:v>HYPERLINK is not implemented. linkLocation=file:///Z:/00. Proiecte 2025/AFIR FotoVoltaic 1/15. Implementare Proiect Fotovoltaic/10.Neets-Suntech/CMR- transport/CMR 936 STP450S-H48-NTH+_Page_7.jpg, friendlyName=Deschide sursa</x:v>
      </x:c>
    </x:row>
    <x:row r="543" ht="36" customHeight="1">
      <x:c r="A543" s="8" t="str">
        <x:v>F0539</x:v>
      </x:c>
      <x:c r="B543" s="8" t="str">
        <x:v>01 NTFS2601双章合同_GE-HWDDXSHT-20260205-001 (4).pdf</x:v>
      </x:c>
      <x:c r="C543" s="8" t="str">
        <x:v>15. Implementare Proiect Fotovoltaic</x:v>
      </x:c>
      <x:c r="D543" s="8" t="str">
        <x:v>Proiect fotovoltaic</x:v>
      </x:c>
      <x:c r="E543" s="8" t="str">
        <x:v>.pdf</x:v>
      </x:c>
      <x:c r="F543" s="8" t="n">
        <x:v>5372958</x:v>
      </x:c>
      <x:c r="G543" s="8" t="str">
        <x:v>Text extras</x:v>
      </x:c>
      <x:c r="H543" s="8" t="str">
        <x:v>Document local; transmiterea individuală neconfirmată</x:v>
      </x:c>
      <x:c r="I543" s="8" t="str"/>
      <x:c r="J543" s="8" t="e">
        <x:f>HYPERLINK("file:///Z:/00. Proiecte 2025/AFIR FotoVoltaic 1/15. Implementare Proiect Fotovoltaic/10.Neets-Suntech/Comenzi/01 NTFS2601双章合同_GE-HWDDXSHT-20260205-001 (4).pdf","Deschide sursa")</x:f>
        <x:v>HYPERLINK is not implemented. linkLocation=file:///Z:/00. Proiecte 2025/AFIR FotoVoltaic 1/15. Implementare Proiect Fotovoltaic/10.Neets-Suntech/Comenzi/01 NTFS2601双章合同_GE-HWDDXSHT-20260205-001 (4).pdf, friendlyName=Deschide sursa</x:v>
      </x:c>
    </x:row>
    <x:row r="544" ht="36" customHeight="1">
      <x:c r="A544" s="8" t="str">
        <x:v>F0540</x:v>
      </x:c>
      <x:c r="B544" s="8" t="str">
        <x:v>Eticheta 1.jpeg</x:v>
      </x:c>
      <x:c r="C544" s="8" t="str">
        <x:v>15. Implementare Proiect Fotovoltaic</x:v>
      </x:c>
      <x:c r="D544" s="8" t="str">
        <x:v>Proiect fotovoltaic</x:v>
      </x:c>
      <x:c r="E544" s="8" t="str">
        <x:v>.jpeg</x:v>
      </x:c>
      <x:c r="F544" s="8" t="n">
        <x:v>255839</x:v>
      </x:c>
      <x:c r="G544" s="8" t="str">
        <x:v>Inventariat; conținut neextras</x:v>
      </x:c>
      <x:c r="H544" s="8" t="str">
        <x:v>Document local; transmiterea individuală neconfirmată</x:v>
      </x:c>
      <x:c r="I544" s="8" t="str"/>
      <x:c r="J544" s="8" t="e">
        <x:f>HYPERLINK("file:///Z:/00. Proiecte 2025/AFIR FotoVoltaic 1/15. Implementare Proiect Fotovoltaic/10.Neets-Suntech/Etichete/Eticheta 1.jpeg","Deschide sursa")</x:f>
        <x:v>HYPERLINK is not implemented. linkLocation=file:///Z:/00. Proiecte 2025/AFIR FotoVoltaic 1/15. Implementare Proiect Fotovoltaic/10.Neets-Suntech/Etichete/Eticheta 1.jpeg, friendlyName=Deschide sursa</x:v>
      </x:c>
    </x:row>
    <x:row r="545" ht="36" customHeight="1">
      <x:c r="A545" s="8" t="str">
        <x:v>F0541</x:v>
      </x:c>
      <x:c r="B545" s="8" t="str">
        <x:v>Eticheta palet 2.jpeg</x:v>
      </x:c>
      <x:c r="C545" s="8" t="str">
        <x:v>15. Implementare Proiect Fotovoltaic</x:v>
      </x:c>
      <x:c r="D545" s="8" t="str">
        <x:v>Proiect fotovoltaic</x:v>
      </x:c>
      <x:c r="E545" s="8" t="str">
        <x:v>.jpeg</x:v>
      </x:c>
      <x:c r="F545" s="8" t="n">
        <x:v>250050</x:v>
      </x:c>
      <x:c r="G545" s="8" t="str">
        <x:v>Inventariat; conținut neextras</x:v>
      </x:c>
      <x:c r="H545" s="8" t="str">
        <x:v>Document local; transmiterea individuală neconfirmată</x:v>
      </x:c>
      <x:c r="I545" s="8" t="str"/>
      <x:c r="J545" s="8" t="e">
        <x:f>HYPERLINK("file:///Z:/00. Proiecte 2025/AFIR FotoVoltaic 1/15. Implementare Proiect Fotovoltaic/10.Neets-Suntech/Etichete/Eticheta palet 2.jpeg","Deschide sursa")</x:f>
        <x:v>HYPERLINK is not implemented. linkLocation=file:///Z:/00. Proiecte 2025/AFIR FotoVoltaic 1/15. Implementare Proiect Fotovoltaic/10.Neets-Suntech/Etichete/Eticheta palet 2.jpeg, friendlyName=Deschide sursa</x:v>
      </x:c>
    </x:row>
    <x:row r="546" ht="36" customHeight="1">
      <x:c r="A546" s="8" t="str">
        <x:v>F0542</x:v>
      </x:c>
      <x:c r="B546" s="8" t="str">
        <x:v>Eticheta 1.jpeg</x:v>
      </x:c>
      <x:c r="C546" s="8" t="str">
        <x:v>15. Implementare Proiect Fotovoltaic</x:v>
      </x:c>
      <x:c r="D546" s="8" t="str">
        <x:v>Proiect fotovoltaic</x:v>
      </x:c>
      <x:c r="E546" s="8" t="str">
        <x:v>.jpeg</x:v>
      </x:c>
      <x:c r="F546" s="8" t="n">
        <x:v>308903</x:v>
      </x:c>
      <x:c r="G546" s="8" t="str">
        <x:v>Inventariat; conținut neextras</x:v>
      </x:c>
      <x:c r="H546" s="8" t="str">
        <x:v>Document local; transmiterea individuală neconfirmată</x:v>
      </x:c>
      <x:c r="I546" s="8" t="str"/>
      <x:c r="J546" s="8" t="e">
        <x:f>HYPERLINK("file:///Z:/00. Proiecte 2025/AFIR FotoVoltaic 1/15. Implementare Proiect Fotovoltaic/10.Neets-Suntech/Etichete Erika/Eticheta 1.jpeg","Deschide sursa")</x:f>
        <x:v>HYPERLINK is not implemented. linkLocation=file:///Z:/00. Proiecte 2025/AFIR FotoVoltaic 1/15. Implementare Proiect Fotovoltaic/10.Neets-Suntech/Etichete Erika/Eticheta 1.jpeg, friendlyName=Deschide sursa</x:v>
      </x:c>
    </x:row>
    <x:row r="547" ht="36" customHeight="1">
      <x:c r="A547" s="8" t="str">
        <x:v>F0543</x:v>
      </x:c>
      <x:c r="B547" s="8" t="str">
        <x:v>Lista completa panouri furate.xlsx</x:v>
      </x:c>
      <x:c r="C547" s="8" t="str">
        <x:v>15. Implementare Proiect Fotovoltaic</x:v>
      </x:c>
      <x:c r="D547" s="8" t="str">
        <x:v>Proiect fotovoltaic</x:v>
      </x:c>
      <x:c r="E547" s="8" t="str">
        <x:v>.xlsx</x:v>
      </x:c>
      <x:c r="F547" s="8" t="n">
        <x:v>15900</x:v>
      </x:c>
      <x:c r="G547" s="8" t="str">
        <x:v>Inventariat; conținut neextras</x:v>
      </x:c>
      <x:c r="H547" s="8" t="str">
        <x:v>Document local; transmiterea individuală neconfirmată</x:v>
      </x:c>
      <x:c r="I547" s="8" t="str"/>
      <x:c r="J547" s="8" t="e">
        <x:f>HYPERLINK("file:///Z:/00. Proiecte 2025/AFIR FotoVoltaic 1/15. Implementare Proiect Fotovoltaic/10.Neets-Suntech/Etichete Erika/Lista completa panouri furate.xlsx","Deschide sursa")</x:f>
        <x:v>HYPERLINK is not implemented. linkLocation=file:///Z:/00. Proiecte 2025/AFIR FotoVoltaic 1/15. Implementare Proiect Fotovoltaic/10.Neets-Suntech/Etichete Erika/Lista completa panouri furate.xlsx, friendlyName=Deschide sursa</x:v>
      </x:c>
    </x:row>
    <x:row r="548" ht="36" customHeight="1">
      <x:c r="A548" s="8" t="str">
        <x:v>F0544</x:v>
      </x:c>
      <x:c r="B548" s="8" t="str">
        <x:v>WhatsApp Image 2026-05-14 at 12.02.42.jpeg</x:v>
      </x:c>
      <x:c r="C548" s="8" t="str">
        <x:v>15. Implementare Proiect Fotovoltaic</x:v>
      </x:c>
      <x:c r="D548" s="8" t="str">
        <x:v>Proiect fotovoltaic</x:v>
      </x:c>
      <x:c r="E548" s="8" t="str">
        <x:v>.jpeg</x:v>
      </x:c>
      <x:c r="F548" s="8" t="n">
        <x:v>597317</x:v>
      </x:c>
      <x:c r="G548" s="8" t="str">
        <x:v>Inventariat; conținut neextras</x:v>
      </x:c>
      <x:c r="H548" s="8" t="str">
        <x:v>Document local; transmiterea individuală neconfirmată</x:v>
      </x:c>
      <x:c r="I548" s="8" t="str"/>
      <x:c r="J548" s="8" t="e">
        <x:f>HYPERLINK("file:///Z:/00. Proiecte 2025/AFIR FotoVoltaic 1/15. Implementare Proiect Fotovoltaic/10.Neets-Suntech/Etichete Erika/WhatsApp Image 2026-05-14 at 12.02.42.jpeg","Deschide sursa")</x:f>
        <x:v>HYPERLINK is not implemented. linkLocation=file:///Z:/00. Proiecte 2025/AFIR FotoVoltaic 1/15. Implementare Proiect Fotovoltaic/10.Neets-Suntech/Etichete Erika/WhatsApp Image 2026-05-14 at 12.02.42.jpeg, friendlyName=Deschide sursa</x:v>
      </x:c>
    </x:row>
    <x:row r="549" ht="36" customHeight="1">
      <x:c r="A549" s="8" t="str">
        <x:v>F0545</x:v>
      </x:c>
      <x:c r="B549" s="8" t="str">
        <x:v>WhatsApp Image 2026-05-14 at 13.40.26.jpeg</x:v>
      </x:c>
      <x:c r="C549" s="8" t="str">
        <x:v>15. Implementare Proiect Fotovoltaic</x:v>
      </x:c>
      <x:c r="D549" s="8" t="str">
        <x:v>Proiect fotovoltaic</x:v>
      </x:c>
      <x:c r="E549" s="8" t="str">
        <x:v>.jpeg</x:v>
      </x:c>
      <x:c r="F549" s="8" t="n">
        <x:v>633791</x:v>
      </x:c>
      <x:c r="G549" s="8" t="str">
        <x:v>Inventariat; conținut neextras</x:v>
      </x:c>
      <x:c r="H549" s="8" t="str">
        <x:v>Document local; transmiterea individuală neconfirmată</x:v>
      </x:c>
      <x:c r="I549" s="8" t="str"/>
      <x:c r="J549" s="8" t="e">
        <x:f>HYPERLINK("file:///Z:/00. Proiecte 2025/AFIR FotoVoltaic 1/15. Implementare Proiect Fotovoltaic/10.Neets-Suntech/Etichete Erika/WhatsApp Image 2026-05-14 at 13.40.26.jpeg","Deschide sursa")</x:f>
        <x:v>HYPERLINK is not implemented. linkLocation=file:///Z:/00. Proiecte 2025/AFIR FotoVoltaic 1/15. Implementare Proiect Fotovoltaic/10.Neets-Suntech/Etichete Erika/WhatsApp Image 2026-05-14 at 13.40.26.jpeg, friendlyName=Deschide sursa</x:v>
      </x:c>
    </x:row>
    <x:row r="550" ht="36" customHeight="1">
      <x:c r="A550" s="8" t="str">
        <x:v>F0546</x:v>
      </x:c>
      <x:c r="B550" s="8" t="str">
        <x:v>01 Invoice_NTFS2601-1.pdf</x:v>
      </x:c>
      <x:c r="C550" s="8" t="str">
        <x:v>15. Implementare Proiect Fotovoltaic</x:v>
      </x:c>
      <x:c r="D550" s="8" t="str">
        <x:v>Proiect fotovoltaic</x:v>
      </x:c>
      <x:c r="E550" s="8" t="str">
        <x:v>.pdf</x:v>
      </x:c>
      <x:c r="F550" s="8" t="n">
        <x:v>217064</x:v>
      </x:c>
      <x:c r="G550" s="8" t="str">
        <x:v>Text extras</x:v>
      </x:c>
      <x:c r="H550" s="8" t="str">
        <x:v>Document local; transmiterea individuală neconfirmată</x:v>
      </x:c>
      <x:c r="I550" s="8" t="str"/>
      <x:c r="J550" s="8" t="e">
        <x:f>HYPERLINK("file:///Z:/00. Proiecte 2025/AFIR FotoVoltaic 1/15. Implementare Proiect Fotovoltaic/10.Neets-Suntech/Facturi si Serii si Avize de Insotire/01 Invoice_NTFS2601-1.pdf","Deschide sursa")</x:f>
        <x:v>HYPERLINK is not implemented. linkLocation=file:///Z:/00. Proiecte 2025/AFIR FotoVoltaic 1/15. Implementare Proiect Fotovoltaic/10.Neets-Suntech/Facturi si Serii si Avize de Insotire/01 Invoice_NTFS2601-1.pdf, friendlyName=Deschide sursa</x:v>
      </x:c>
    </x:row>
    <x:row r="551" ht="36" customHeight="1">
      <x:c r="A551" s="8" t="str">
        <x:v>F0547</x:v>
      </x:c>
      <x:c r="B551" s="8" t="str">
        <x:v>01 Invoice_NTFS2601-2.pdf</x:v>
      </x:c>
      <x:c r="C551" s="8" t="str">
        <x:v>15. Implementare Proiect Fotovoltaic</x:v>
      </x:c>
      <x:c r="D551" s="8" t="str">
        <x:v>Proiect fotovoltaic</x:v>
      </x:c>
      <x:c r="E551" s="8" t="str">
        <x:v>.pdf</x:v>
      </x:c>
      <x:c r="F551" s="8" t="n">
        <x:v>216672</x:v>
      </x:c>
      <x:c r="G551" s="8" t="str">
        <x:v>Text extras</x:v>
      </x:c>
      <x:c r="H551" s="8" t="str">
        <x:v>Document local; transmiterea individuală neconfirmată</x:v>
      </x:c>
      <x:c r="I551" s="8" t="str"/>
      <x:c r="J551" s="8" t="e">
        <x:f>HYPERLINK("file:///Z:/00. Proiecte 2025/AFIR FotoVoltaic 1/15. Implementare Proiect Fotovoltaic/10.Neets-Suntech/Facturi si Serii si Avize de Insotire/01 Invoice_NTFS2601-2.pdf","Deschide sursa")</x:f>
        <x:v>HYPERLINK is not implemented. linkLocation=file:///Z:/00. Proiecte 2025/AFIR FotoVoltaic 1/15. Implementare Proiect Fotovoltaic/10.Neets-Suntech/Facturi si Serii si Avize de Insotire/01 Invoice_NTFS2601-2.pdf, friendlyName=Deschide sursa</x:v>
      </x:c>
    </x:row>
    <x:row r="552" ht="36" customHeight="1">
      <x:c r="A552" s="8" t="str">
        <x:v>F0548</x:v>
      </x:c>
      <x:c r="B552" s="8" t="str">
        <x:v>01 Invoice_NTFS2601-3.pdf</x:v>
      </x:c>
      <x:c r="C552" s="8" t="str">
        <x:v>15. Implementare Proiect Fotovoltaic</x:v>
      </x:c>
      <x:c r="D552" s="8" t="str">
        <x:v>Proiect fotovoltaic</x:v>
      </x:c>
      <x:c r="E552" s="8" t="str">
        <x:v>.pdf</x:v>
      </x:c>
      <x:c r="F552" s="8" t="n">
        <x:v>217167</x:v>
      </x:c>
      <x:c r="G552" s="8" t="str">
        <x:v>Text extras</x:v>
      </x:c>
      <x:c r="H552" s="8" t="str">
        <x:v>Document local; transmiterea individuală neconfirmată</x:v>
      </x:c>
      <x:c r="I552" s="8" t="str"/>
      <x:c r="J552" s="8" t="e">
        <x:f>HYPERLINK("file:///Z:/00. Proiecte 2025/AFIR FotoVoltaic 1/15. Implementare Proiect Fotovoltaic/10.Neets-Suntech/Facturi si Serii si Avize de Insotire/01 Invoice_NTFS2601-3.pdf","Deschide sursa")</x:f>
        <x:v>HYPERLINK is not implemented. linkLocation=file:///Z:/00. Proiecte 2025/AFIR FotoVoltaic 1/15. Implementare Proiect Fotovoltaic/10.Neets-Suntech/Facturi si Serii si Avize de Insotire/01 Invoice_NTFS2601-3.pdf, friendlyName=Deschide sursa</x:v>
      </x:c>
    </x:row>
    <x:row r="553" ht="36" customHeight="1">
      <x:c r="A553" s="8" t="str">
        <x:v>F0549</x:v>
      </x:c>
      <x:c r="B553" s="8" t="str">
        <x:v>02 Invoice_NTFS2602.pdf</x:v>
      </x:c>
      <x:c r="C553" s="8" t="str">
        <x:v>15. Implementare Proiect Fotovoltaic</x:v>
      </x:c>
      <x:c r="D553" s="8" t="str">
        <x:v>Proiect fotovoltaic</x:v>
      </x:c>
      <x:c r="E553" s="8" t="str">
        <x:v>.pdf</x:v>
      </x:c>
      <x:c r="F553" s="8" t="n">
        <x:v>205594</x:v>
      </x:c>
      <x:c r="G553" s="8" t="str">
        <x:v>Text extras</x:v>
      </x:c>
      <x:c r="H553" s="8" t="str">
        <x:v>Document local; transmiterea individuală neconfirmată</x:v>
      </x:c>
      <x:c r="I553" s="8" t="str"/>
      <x:c r="J553" s="8" t="e">
        <x:f>HYPERLINK("file:///Z:/00. Proiecte 2025/AFIR FotoVoltaic 1/15. Implementare Proiect Fotovoltaic/10.Neets-Suntech/Facturi si Serii si Avize de Insotire/02 Invoice_NTFS2602.pdf","Deschide sursa")</x:f>
        <x:v>HYPERLINK is not implemented. linkLocation=file:///Z:/00. Proiecte 2025/AFIR FotoVoltaic 1/15. Implementare Proiect Fotovoltaic/10.Neets-Suntech/Facturi si Serii si Avize de Insotire/02 Invoice_NTFS2602.pdf, friendlyName=Deschide sursa</x:v>
      </x:c>
    </x:row>
    <x:row r="554" ht="36" customHeight="1">
      <x:c r="A554" s="8" t="str">
        <x:v>F0550</x:v>
      </x:c>
      <x:c r="B554" s="8" t="str">
        <x:v>FR-BEAU4498368_1-Actualizat de la Suntech.xlsx</x:v>
      </x:c>
      <x:c r="C554" s="8" t="str">
        <x:v>15. Implementare Proiect Fotovoltaic</x:v>
      </x:c>
      <x:c r="D554" s="8" t="str">
        <x:v>Proiect fotovoltaic</x:v>
      </x:c>
      <x:c r="E554" s="8" t="str">
        <x:v>.xlsx</x:v>
      </x:c>
      <x:c r="F554" s="8" t="n">
        <x:v>66503</x:v>
      </x:c>
      <x:c r="G554" s="8" t="str">
        <x:v>Inventariat; conținut neextras</x:v>
      </x:c>
      <x:c r="H554" s="8" t="str">
        <x:v>Document local; transmiterea individuală neconfirmată</x:v>
      </x:c>
      <x:c r="I554" s="8" t="str"/>
      <x:c r="J554" s="8" t="e">
        <x:f>HYPERLINK("file:///Z:/00. Proiecte 2025/AFIR FotoVoltaic 1/15. Implementare Proiect Fotovoltaic/10.Neets-Suntech/Facturi si Serii si Avize de Insotire/FR-BEAU4498368_1-Actualizat de la Suntech.xlsx","Deschide sursa")</x:f>
        <x:v>HYPERLINK is not implemented. linkLocation=file:///Z:/00. Proiecte 2025/AFIR FotoVoltaic 1/15. Implementare Proiect Fotovoltaic/10.Neets-Suntech/Facturi si Serii si Avize de Insotire/FR-BEAU4498368_1-Actualizat de la Suntech.xlsx, friendlyName=Deschide sursa</x:v>
      </x:c>
    </x:row>
    <x:row r="555" ht="36" customHeight="1">
      <x:c r="A555" s="8" t="str">
        <x:v>F0551</x:v>
      </x:c>
      <x:c r="B555" s="8" t="str">
        <x:v>STP450S-H48-Nkh+_FR-FFAU6252867-1 .xlsx</x:v>
      </x:c>
      <x:c r="C555" s="8" t="str">
        <x:v>15. Implementare Proiect Fotovoltaic</x:v>
      </x:c>
      <x:c r="D555" s="8" t="str">
        <x:v>Proiect fotovoltaic</x:v>
      </x:c>
      <x:c r="E555" s="8" t="str">
        <x:v>.xlsx</x:v>
      </x:c>
      <x:c r="F555" s="8" t="n">
        <x:v>87947</x:v>
      </x:c>
      <x:c r="G555" s="8" t="str">
        <x:v>Inventariat; conținut neextras</x:v>
      </x:c>
      <x:c r="H555" s="8" t="str">
        <x:v>Document local; transmiterea individuală neconfirmată</x:v>
      </x:c>
      <x:c r="I555" s="8" t="str"/>
      <x:c r="J555" s="8" t="e">
        <x:f>HYPERLINK("file:///Z:/00. Proiecte 2025/AFIR FotoVoltaic 1/15. Implementare Proiect Fotovoltaic/10.Neets-Suntech/Facturi si Serii si Avize de Insotire/STP450S-H48-Nkh+_FR-FFAU6252867-1 .xlsx","Deschide sursa")</x:f>
        <x:v>HYPERLINK is not implemented. linkLocation=file:///Z:/00. Proiecte 2025/AFIR FotoVoltaic 1/15. Implementare Proiect Fotovoltaic/10.Neets-Suntech/Facturi si Serii si Avize de Insotire/STP450S-H48-Nkh+_FR-FFAU6252867-1 .xlsx, friendlyName=Deschide sursa</x:v>
      </x:c>
    </x:row>
    <x:row r="556" ht="36" customHeight="1">
      <x:c r="A556" s="8" t="str">
        <x:v>F0552</x:v>
      </x:c>
      <x:c r="B556" s="8" t="str">
        <x:v>STP450S-H48-Nkh+_FR-FFAU6252867-935pcs .xlsx</x:v>
      </x:c>
      <x:c r="C556" s="8" t="str">
        <x:v>15. Implementare Proiect Fotovoltaic</x:v>
      </x:c>
      <x:c r="D556" s="8" t="str">
        <x:v>Proiect fotovoltaic</x:v>
      </x:c>
      <x:c r="E556" s="8" t="str">
        <x:v>.xlsx</x:v>
      </x:c>
      <x:c r="F556" s="8" t="n">
        <x:v>87848</x:v>
      </x:c>
      <x:c r="G556" s="8" t="str">
        <x:v>Inventariat; conținut neextras</x:v>
      </x:c>
      <x:c r="H556" s="8" t="str">
        <x:v>Document local; transmiterea individuală neconfirmată</x:v>
      </x:c>
      <x:c r="I556" s="8" t="str"/>
      <x:c r="J556" s="8" t="e">
        <x:f>HYPERLINK("file:///Z:/00. Proiecte 2025/AFIR FotoVoltaic 1/15. Implementare Proiect Fotovoltaic/10.Neets-Suntech/Facturi si Serii si Avize de Insotire/STP450S-H48-Nkh+_FR-FFAU6252867-935pcs .xlsx","Deschide sursa")</x:f>
        <x:v>HYPERLINK is not implemented. linkLocation=file:///Z:/00. Proiecte 2025/AFIR FotoVoltaic 1/15. Implementare Proiect Fotovoltaic/10.Neets-Suntech/Facturi si Serii si Avize de Insotire/STP450S-H48-Nkh+_FR-FFAU6252867-935pcs .xlsx, friendlyName=Deschide sursa</x:v>
      </x:c>
    </x:row>
    <x:row r="557" ht="36" customHeight="1">
      <x:c r="A557" s="8" t="str">
        <x:v>F0553</x:v>
      </x:c>
      <x:c r="B557" s="8" t="str">
        <x:v>STP450S-H48-Nkh+_FR-TXGU7791940-1.xlsx</x:v>
      </x:c>
      <x:c r="C557" s="8" t="str">
        <x:v>15. Implementare Proiect Fotovoltaic</x:v>
      </x:c>
      <x:c r="D557" s="8" t="str">
        <x:v>Proiect fotovoltaic</x:v>
      </x:c>
      <x:c r="E557" s="8" t="str">
        <x:v>.xlsx</x:v>
      </x:c>
      <x:c r="F557" s="8" t="n">
        <x:v>87360</x:v>
      </x:c>
      <x:c r="G557" s="8" t="str">
        <x:v>Inventariat; conținut neextras</x:v>
      </x:c>
      <x:c r="H557" s="8" t="str">
        <x:v>Document local; transmiterea individuală neconfirmată</x:v>
      </x:c>
      <x:c r="I557" s="8" t="str"/>
      <x:c r="J557" s="8" t="e">
        <x:f>HYPERLINK("file:///Z:/00. Proiecte 2025/AFIR FotoVoltaic 1/15. Implementare Proiect Fotovoltaic/10.Neets-Suntech/Facturi si Serii si Avize de Insotire/STP450S-H48-Nkh+_FR-TXGU7791940-1.xlsx","Deschide sursa")</x:f>
        <x:v>HYPERLINK is not implemented. linkLocation=file:///Z:/00. Proiecte 2025/AFIR FotoVoltaic 1/15. Implementare Proiect Fotovoltaic/10.Neets-Suntech/Facturi si Serii si Avize de Insotire/STP450S-H48-Nkh+_FR-TXGU7791940-1.xlsx, friendlyName=Deschide sursa</x:v>
      </x:c>
    </x:row>
    <x:row r="558" ht="36" customHeight="1">
      <x:c r="A558" s="8" t="str">
        <x:v>F0554</x:v>
      </x:c>
      <x:c r="B558" s="8" t="str">
        <x:v>STP450S-H48-Nkh+_FR-TXGU7791940-939pcs.xlsx</x:v>
      </x:c>
      <x:c r="C558" s="8" t="str">
        <x:v>15. Implementare Proiect Fotovoltaic</x:v>
      </x:c>
      <x:c r="D558" s="8" t="str">
        <x:v>Proiect fotovoltaic</x:v>
      </x:c>
      <x:c r="E558" s="8" t="str">
        <x:v>.xlsx</x:v>
      </x:c>
      <x:c r="F558" s="8" t="n">
        <x:v>87827</x:v>
      </x:c>
      <x:c r="G558" s="8" t="str">
        <x:v>Inventariat; conținut neextras</x:v>
      </x:c>
      <x:c r="H558" s="8" t="str">
        <x:v>Document local; transmiterea individuală neconfirmată</x:v>
      </x:c>
      <x:c r="I558" s="8" t="str"/>
      <x:c r="J558" s="8" t="e">
        <x:f>HYPERLINK("file:///Z:/00. Proiecte 2025/AFIR FotoVoltaic 1/15. Implementare Proiect Fotovoltaic/10.Neets-Suntech/Facturi si Serii si Avize de Insotire/STP450S-H48-Nkh+_FR-TXGU7791940-939pcs.xlsx","Deschide sursa")</x:f>
        <x:v>HYPERLINK is not implemented. linkLocation=file:///Z:/00. Proiecte 2025/AFIR FotoVoltaic 1/15. Implementare Proiect Fotovoltaic/10.Neets-Suntech/Facturi si Serii si Avize de Insotire/STP450S-H48-Nkh+_FR-TXGU7791940-939pcs.xlsx, friendlyName=Deschide sursa</x:v>
      </x:c>
    </x:row>
    <x:row r="559" ht="36" customHeight="1">
      <x:c r="A559" s="8" t="str">
        <x:v>F0555</x:v>
      </x:c>
      <x:c r="B559" s="8" t="str">
        <x:v>STP450S-H48-Nkh+_FR-YMLU8562482-1.xlsx</x:v>
      </x:c>
      <x:c r="C559" s="8" t="str">
        <x:v>15. Implementare Proiect Fotovoltaic</x:v>
      </x:c>
      <x:c r="D559" s="8" t="str">
        <x:v>Proiect fotovoltaic</x:v>
      </x:c>
      <x:c r="E559" s="8" t="str">
        <x:v>.xlsx</x:v>
      </x:c>
      <x:c r="F559" s="8" t="n">
        <x:v>87745</x:v>
      </x:c>
      <x:c r="G559" s="8" t="str">
        <x:v>Inventariat; conținut neextras</x:v>
      </x:c>
      <x:c r="H559" s="8" t="str">
        <x:v>Document local; transmiterea individuală neconfirmată</x:v>
      </x:c>
      <x:c r="I559" s="8" t="str"/>
      <x:c r="J559" s="8" t="e">
        <x:f>HYPERLINK("file:///Z:/00. Proiecte 2025/AFIR FotoVoltaic 1/15. Implementare Proiect Fotovoltaic/10.Neets-Suntech/Facturi si Serii si Avize de Insotire/STP450S-H48-Nkh+_FR-YMLU8562482-1.xlsx","Deschide sursa")</x:f>
        <x:v>HYPERLINK is not implemented. linkLocation=file:///Z:/00. Proiecte 2025/AFIR FotoVoltaic 1/15. Implementare Proiect Fotovoltaic/10.Neets-Suntech/Facturi si Serii si Avize de Insotire/STP450S-H48-Nkh+_FR-YMLU8562482-1.xlsx, friendlyName=Deschide sursa</x:v>
      </x:c>
    </x:row>
    <x:row r="560" ht="36" customHeight="1">
      <x:c r="A560" s="8" t="str">
        <x:v>F0556</x:v>
      </x:c>
      <x:c r="B560" s="8" t="str">
        <x:v>STP450S-H48-Nkh+_FR-YMLU8562482-939pcs.xlsx</x:v>
      </x:c>
      <x:c r="C560" s="8" t="str">
        <x:v>15. Implementare Proiect Fotovoltaic</x:v>
      </x:c>
      <x:c r="D560" s="8" t="str">
        <x:v>Proiect fotovoltaic</x:v>
      </x:c>
      <x:c r="E560" s="8" t="str">
        <x:v>.xlsx</x:v>
      </x:c>
      <x:c r="F560" s="8" t="n">
        <x:v>87590</x:v>
      </x:c>
      <x:c r="G560" s="8" t="str">
        <x:v>Inventariat; conținut neextras</x:v>
      </x:c>
      <x:c r="H560" s="8" t="str">
        <x:v>Document local; transmiterea individuală neconfirmată</x:v>
      </x:c>
      <x:c r="I560" s="8" t="str"/>
      <x:c r="J560" s="8" t="e">
        <x:f>HYPERLINK("file:///Z:/00. Proiecte 2025/AFIR FotoVoltaic 1/15. Implementare Proiect Fotovoltaic/10.Neets-Suntech/Facturi si Serii si Avize de Insotire/STP450S-H48-Nkh+_FR-YMLU8562482-939pcs.xlsx","Deschide sursa")</x:f>
        <x:v>HYPERLINK is not implemented. linkLocation=file:///Z:/00. Proiecte 2025/AFIR FotoVoltaic 1/15. Implementare Proiect Fotovoltaic/10.Neets-Suntech/Facturi si Serii si Avize de Insotire/STP450S-H48-Nkh+_FR-YMLU8562482-939pcs.xlsx, friendlyName=Deschide sursa</x:v>
      </x:c>
    </x:row>
    <x:row r="561" ht="36" customHeight="1">
      <x:c r="A561" s="8" t="str">
        <x:v>F0557</x:v>
      </x:c>
      <x:c r="B561" s="8" t="str">
        <x:v>STP450S-H48-Nkh+_toate seriiles.xlsx</x:v>
      </x:c>
      <x:c r="C561" s="8" t="str">
        <x:v>15. Implementare Proiect Fotovoltaic</x:v>
      </x:c>
      <x:c r="D561" s="8" t="str">
        <x:v>Proiect fotovoltaic</x:v>
      </x:c>
      <x:c r="E561" s="8" t="str">
        <x:v>.xlsx</x:v>
      </x:c>
      <x:c r="F561" s="8" t="n">
        <x:v>255416</x:v>
      </x:c>
      <x:c r="G561" s="8" t="str">
        <x:v>Inventariat; conținut neextras</x:v>
      </x:c>
      <x:c r="H561" s="8" t="str">
        <x:v>Document local; transmiterea individuală neconfirmată</x:v>
      </x:c>
      <x:c r="I561" s="8" t="str"/>
      <x:c r="J561" s="8" t="e">
        <x:f>HYPERLINK("file:///Z:/00. Proiecte 2025/AFIR FotoVoltaic 1/15. Implementare Proiect Fotovoltaic/10.Neets-Suntech/Facturi si Serii si Avize de Insotire/STP450S-H48-Nkh+_toate seriiles.xlsx","Deschide sursa")</x:f>
        <x:v>HYPERLINK is not implemented. linkLocation=file:///Z:/00. Proiecte 2025/AFIR FotoVoltaic 1/15. Implementare Proiect Fotovoltaic/10.Neets-Suntech/Facturi si Serii si Avize de Insotire/STP450S-H48-Nkh+_toate seriiles.xlsx, friendlyName=Deschide sursa</x:v>
      </x:c>
    </x:row>
    <x:row r="562" ht="36" customHeight="1">
      <x:c r="A562" s="8" t="str">
        <x:v>F0558</x:v>
      </x:c>
      <x:c r="B562" s="8" t="str">
        <x:v>STP450S-H48-Nth+_FR-BEAU4498368-939pcs.xlsx</x:v>
      </x:c>
      <x:c r="C562" s="8" t="str">
        <x:v>15. Implementare Proiect Fotovoltaic</x:v>
      </x:c>
      <x:c r="D562" s="8" t="str">
        <x:v>Proiect fotovoltaic</x:v>
      </x:c>
      <x:c r="E562" s="8" t="str">
        <x:v>.xlsx</x:v>
      </x:c>
      <x:c r="F562" s="8" t="n">
        <x:v>88090</x:v>
      </x:c>
      <x:c r="G562" s="8" t="str">
        <x:v>Inventariat; conținut neextras</x:v>
      </x:c>
      <x:c r="H562" s="8" t="str">
        <x:v>Document local; transmiterea individuală neconfirmată</x:v>
      </x:c>
      <x:c r="I562" s="8" t="str"/>
      <x:c r="J562" s="8" t="e">
        <x:f>HYPERLINK("file:///Z:/00. Proiecte 2025/AFIR FotoVoltaic 1/15. Implementare Proiect Fotovoltaic/10.Neets-Suntech/Facturi si Serii si Avize de Insotire/STP450S-H48-Nth+_FR-BEAU4498368-939pcs.xlsx","Deschide sursa")</x:f>
        <x:v>HYPERLINK is not implemented. linkLocation=file:///Z:/00. Proiecte 2025/AFIR FotoVoltaic 1/15. Implementare Proiect Fotovoltaic/10.Neets-Suntech/Facturi si Serii si Avize de Insotire/STP450S-H48-Nth+_FR-BEAU4498368-939pcs.xlsx, friendlyName=Deschide sursa</x:v>
      </x:c>
    </x:row>
    <x:row r="563" ht="36" customHeight="1">
      <x:c r="A563" s="8" t="str">
        <x:v>F0559</x:v>
      </x:c>
      <x:c r="B563" s="8" t="str">
        <x:v>STP450S-H48-Nth+_FR-TCNU1712047-939pcs.xlsx</x:v>
      </x:c>
      <x:c r="C563" s="8" t="str">
        <x:v>15. Implementare Proiect Fotovoltaic</x:v>
      </x:c>
      <x:c r="D563" s="8" t="str">
        <x:v>Proiect fotovoltaic</x:v>
      </x:c>
      <x:c r="E563" s="8" t="str">
        <x:v>.xlsx</x:v>
      </x:c>
      <x:c r="F563" s="8" t="n">
        <x:v>88982</x:v>
      </x:c>
      <x:c r="G563" s="8" t="str">
        <x:v>Inventariat; conținut neextras</x:v>
      </x:c>
      <x:c r="H563" s="8" t="str">
        <x:v>Document local; transmiterea individuală neconfirmată</x:v>
      </x:c>
      <x:c r="I563" s="8" t="str"/>
      <x:c r="J563" s="8" t="e">
        <x:f>HYPERLINK("file:///Z:/00. Proiecte 2025/AFIR FotoVoltaic 1/15. Implementare Proiect Fotovoltaic/10.Neets-Suntech/Facturi si Serii si Avize de Insotire/STP450S-H48-Nth+_FR-TCNU1712047-939pcs.xlsx","Deschide sursa")</x:f>
        <x:v>HYPERLINK is not implemented. linkLocation=file:///Z:/00. Proiecte 2025/AFIR FotoVoltaic 1/15. Implementare Proiect Fotovoltaic/10.Neets-Suntech/Facturi si Serii si Avize de Insotire/STP450S-H48-Nth+_FR-TCNU1712047-939pcs.xlsx, friendlyName=Deschide sursa</x:v>
      </x:c>
    </x:row>
    <x:row r="564" ht="36" customHeight="1">
      <x:c r="A564" s="8" t="str">
        <x:v>F0560</x:v>
      </x:c>
      <x:c r="B564" s="8" t="str">
        <x:v>STP450S-H48-Nth+_FR-YMMU6831992-939pcs.xlsx</x:v>
      </x:c>
      <x:c r="C564" s="8" t="str">
        <x:v>15. Implementare Proiect Fotovoltaic</x:v>
      </x:c>
      <x:c r="D564" s="8" t="str">
        <x:v>Proiect fotovoltaic</x:v>
      </x:c>
      <x:c r="E564" s="8" t="str">
        <x:v>.xlsx</x:v>
      </x:c>
      <x:c r="F564" s="8" t="n">
        <x:v>88079</x:v>
      </x:c>
      <x:c r="G564" s="8" t="str">
        <x:v>Inventariat; conținut neextras</x:v>
      </x:c>
      <x:c r="H564" s="8" t="str">
        <x:v>Document local; transmiterea individuală neconfirmată</x:v>
      </x:c>
      <x:c r="I564" s="8" t="str"/>
      <x:c r="J564" s="8" t="e">
        <x:f>HYPERLINK("file:///Z:/00. Proiecte 2025/AFIR FotoVoltaic 1/15. Implementare Proiect Fotovoltaic/10.Neets-Suntech/Facturi si Serii si Avize de Insotire/STP450S-H48-Nth+_FR-YMMU6831992-939pcs.xlsx","Deschide sursa")</x:f>
        <x:v>HYPERLINK is not implemented. linkLocation=file:///Z:/00. Proiecte 2025/AFIR FotoVoltaic 1/15. Implementare Proiect Fotovoltaic/10.Neets-Suntech/Facturi si Serii si Avize de Insotire/STP450S-H48-Nth+_FR-YMMU6831992-939pcs.xlsx, friendlyName=Deschide sursa</x:v>
      </x:c>
    </x:row>
    <x:row r="565" ht="36" customHeight="1">
      <x:c r="A565" s="8" t="str">
        <x:v>F0561</x:v>
      </x:c>
      <x:c r="B565" s="8" t="str">
        <x:v>STP500S-H54-Nfb+_FR-CMAU4743375-867pcs.xlsx</x:v>
      </x:c>
      <x:c r="C565" s="8" t="str">
        <x:v>15. Implementare Proiect Fotovoltaic</x:v>
      </x:c>
      <x:c r="D565" s="8" t="str">
        <x:v>Proiect fotovoltaic</x:v>
      </x:c>
      <x:c r="E565" s="8" t="str">
        <x:v>.xlsx</x:v>
      </x:c>
      <x:c r="F565" s="8" t="n">
        <x:v>96517</x:v>
      </x:c>
      <x:c r="G565" s="8" t="str">
        <x:v>Inventariat; conținut neextras</x:v>
      </x:c>
      <x:c r="H565" s="8" t="str">
        <x:v>Document local; transmiterea individuală neconfirmată</x:v>
      </x:c>
      <x:c r="I565" s="8" t="str"/>
      <x:c r="J565" s="8" t="e">
        <x:f>HYPERLINK("file:///Z:/00. Proiecte 2025/AFIR FotoVoltaic 1/15. Implementare Proiect Fotovoltaic/10.Neets-Suntech/Facturi si Serii si Avize de Insotire/STP500S-H54-Nfb+_FR-CMAU4743375-867pcs.xlsx","Deschide sursa")</x:f>
        <x:v>HYPERLINK is not implemented. linkLocation=file:///Z:/00. Proiecte 2025/AFIR FotoVoltaic 1/15. Implementare Proiect Fotovoltaic/10.Neets-Suntech/Facturi si Serii si Avize de Insotire/STP500S-H54-Nfb+_FR-CMAU4743375-867pcs.xlsx, friendlyName=Deschide sursa</x:v>
      </x:c>
    </x:row>
    <x:row r="566" ht="36" customHeight="1">
      <x:c r="A566" s="8" t="str">
        <x:v>F0562</x:v>
      </x:c>
      <x:c r="B566" s="8" t="str">
        <x:v>STP500S-H54-Nfb+_FR-TCNU3081758-867pcs.xlsx</x:v>
      </x:c>
      <x:c r="C566" s="8" t="str">
        <x:v>15. Implementare Proiect Fotovoltaic</x:v>
      </x:c>
      <x:c r="D566" s="8" t="str">
        <x:v>Proiect fotovoltaic</x:v>
      </x:c>
      <x:c r="E566" s="8" t="str">
        <x:v>.xlsx</x:v>
      </x:c>
      <x:c r="F566" s="8" t="n">
        <x:v>96522</x:v>
      </x:c>
      <x:c r="G566" s="8" t="str">
        <x:v>Inventariat; conținut neextras</x:v>
      </x:c>
      <x:c r="H566" s="8" t="str">
        <x:v>Document local; transmiterea individuală neconfirmată</x:v>
      </x:c>
      <x:c r="I566" s="8" t="str"/>
      <x:c r="J566" s="8" t="e">
        <x:f>HYPERLINK("file:///Z:/00. Proiecte 2025/AFIR FotoVoltaic 1/15. Implementare Proiect Fotovoltaic/10.Neets-Suntech/Facturi si Serii si Avize de Insotire/STP500S-H54-Nfb+_FR-TCNU3081758-867pcs.xlsx","Deschide sursa")</x:f>
        <x:v>HYPERLINK is not implemented. linkLocation=file:///Z:/00. Proiecte 2025/AFIR FotoVoltaic 1/15. Implementare Proiect Fotovoltaic/10.Neets-Suntech/Facturi si Serii si Avize de Insotire/STP500S-H54-Nfb+_FR-TCNU3081758-867pcs.xlsx, friendlyName=Deschide sursa</x:v>
      </x:c>
    </x:row>
    <x:row r="567" ht="36" customHeight="1">
      <x:c r="A567" s="8" t="str">
        <x:v>F0563</x:v>
      </x:c>
      <x:c r="B567" s="8" t="str">
        <x:v>STP710S-D66-NSh+_FR-HMMU4020366 .xls</x:v>
      </x:c>
      <x:c r="C567" s="8" t="str">
        <x:v>15. Implementare Proiect Fotovoltaic</x:v>
      </x:c>
      <x:c r="D567" s="8" t="str">
        <x:v>Proiect fotovoltaic</x:v>
      </x:c>
      <x:c r="E567" s="8" t="str">
        <x:v>.xls</x:v>
      </x:c>
      <x:c r="F567" s="8" t="n">
        <x:v>176128</x:v>
      </x:c>
      <x:c r="G567" s="8" t="str">
        <x:v>Inventariat; conținut neextras</x:v>
      </x:c>
      <x:c r="H567" s="8" t="str">
        <x:v>Document local; transmiterea individuală neconfirmată</x:v>
      </x:c>
      <x:c r="I567" s="8" t="str"/>
      <x:c r="J567" s="8" t="e">
        <x:f>HYPERLINK("file:///Z:/00. Proiecte 2025/AFIR FotoVoltaic 1/15. Implementare Proiect Fotovoltaic/10.Neets-Suntech/Facturi si Serii si Avize de Insotire/STP710S-D66-NSh+_FR-HMMU4020366 .xls","Deschide sursa")</x:f>
        <x:v>HYPERLINK is not implemented. linkLocation=file:///Z:/00. Proiecte 2025/AFIR FotoVoltaic 1/15. Implementare Proiect Fotovoltaic/10.Neets-Suntech/Facturi si Serii si Avize de Insotire/STP710S-D66-NSh+_FR-HMMU4020366 .xls, friendlyName=Deschide sursa</x:v>
      </x:c>
    </x:row>
    <x:row r="568" ht="36" customHeight="1">
      <x:c r="A568" s="8" t="str">
        <x:v>F0564</x:v>
      </x:c>
      <x:c r="B568" s="8" t="str">
        <x:v>WhatsApp Image 2026-05-13 at 15.16.11 (1).jpeg</x:v>
      </x:c>
      <x:c r="C568" s="8" t="str">
        <x:v>15. Implementare Proiect Fotovoltaic</x:v>
      </x:c>
      <x:c r="D568" s="8" t="str">
        <x:v>Proiect fotovoltaic</x:v>
      </x:c>
      <x:c r="E568" s="8" t="str">
        <x:v>.jpeg</x:v>
      </x:c>
      <x:c r="F568" s="8" t="n">
        <x:v>523637</x:v>
      </x:c>
      <x:c r="G568" s="8" t="str">
        <x:v>Inventariat; conținut neextras</x:v>
      </x:c>
      <x:c r="H568" s="8" t="str">
        <x:v>Document local; transmiterea individuală neconfirmată</x:v>
      </x:c>
      <x:c r="I568" s="8" t="str"/>
      <x:c r="J568" s="8" t="e">
        <x:f>HYPERLINK("file:///Z:/00. Proiecte 2025/AFIR FotoVoltaic 1/15. Implementare Proiect Fotovoltaic/10.Neets-Suntech/Etichete panouri/Etichete Paleti Nicu/WhatsApp Image 2026-05-13 at 15.16.11 (1).jpeg","Deschide sursa")</x:f>
        <x:v>HYPERLINK is not implemented. linkLocation=file:///Z:/00. Proiecte 2025/AFIR FotoVoltaic 1/15. Implementare Proiect Fotovoltaic/10.Neets-Suntech/Etichete panouri/Etichete Paleti Nicu/WhatsApp Image 2026-05-13 at 15.16.11 (1).jpeg, friendlyName=Deschide sursa</x:v>
      </x:c>
    </x:row>
    <x:row r="569" ht="36" customHeight="1">
      <x:c r="A569" s="8" t="str">
        <x:v>F0565</x:v>
      </x:c>
      <x:c r="B569" s="8" t="str">
        <x:v>WhatsApp Image 2026-05-13 at 15.16.11 (2).jpeg</x:v>
      </x:c>
      <x:c r="C569" s="8" t="str">
        <x:v>15. Implementare Proiect Fotovoltaic</x:v>
      </x:c>
      <x:c r="D569" s="8" t="str">
        <x:v>Proiect fotovoltaic</x:v>
      </x:c>
      <x:c r="E569" s="8" t="str">
        <x:v>.jpeg</x:v>
      </x:c>
      <x:c r="F569" s="8" t="n">
        <x:v>447031</x:v>
      </x:c>
      <x:c r="G569" s="8" t="str">
        <x:v>Inventariat; conținut neextras</x:v>
      </x:c>
      <x:c r="H569" s="8" t="str">
        <x:v>Document local; transmiterea individuală neconfirmată</x:v>
      </x:c>
      <x:c r="I569" s="8" t="str"/>
      <x:c r="J569" s="8" t="e">
        <x:f>HYPERLINK("file:///Z:/00. Proiecte 2025/AFIR FotoVoltaic 1/15. Implementare Proiect Fotovoltaic/10.Neets-Suntech/Etichete panouri/Etichete Paleti Nicu/WhatsApp Image 2026-05-13 at 15.16.11 (2).jpeg","Deschide sursa")</x:f>
        <x:v>HYPERLINK is not implemented. linkLocation=file:///Z:/00. Proiecte 2025/AFIR FotoVoltaic 1/15. Implementare Proiect Fotovoltaic/10.Neets-Suntech/Etichete panouri/Etichete Paleti Nicu/WhatsApp Image 2026-05-13 at 15.16.11 (2).jpeg, friendlyName=Deschide sursa</x:v>
      </x:c>
    </x:row>
    <x:row r="570" ht="36" customHeight="1">
      <x:c r="A570" s="8" t="str">
        <x:v>F0566</x:v>
      </x:c>
      <x:c r="B570" s="8" t="str">
        <x:v>WhatsApp Image 2026-05-13 at 15.16.11 (3).jpeg</x:v>
      </x:c>
      <x:c r="C570" s="8" t="str">
        <x:v>15. Implementare Proiect Fotovoltaic</x:v>
      </x:c>
      <x:c r="D570" s="8" t="str">
        <x:v>Proiect fotovoltaic</x:v>
      </x:c>
      <x:c r="E570" s="8" t="str">
        <x:v>.jpeg</x:v>
      </x:c>
      <x:c r="F570" s="8" t="n">
        <x:v>441895</x:v>
      </x:c>
      <x:c r="G570" s="8" t="str">
        <x:v>Inventariat; conținut neextras</x:v>
      </x:c>
      <x:c r="H570" s="8" t="str">
        <x:v>Document local; transmiterea individuală neconfirmată</x:v>
      </x:c>
      <x:c r="I570" s="8" t="str"/>
      <x:c r="J570" s="8" t="e">
        <x:f>HYPERLINK("file:///Z:/00. Proiecte 2025/AFIR FotoVoltaic 1/15. Implementare Proiect Fotovoltaic/10.Neets-Suntech/Etichete panouri/Etichete Paleti Nicu/WhatsApp Image 2026-05-13 at 15.16.11 (3).jpeg","Deschide sursa")</x:f>
        <x:v>HYPERLINK is not implemented. linkLocation=file:///Z:/00. Proiecte 2025/AFIR FotoVoltaic 1/15. Implementare Proiect Fotovoltaic/10.Neets-Suntech/Etichete panouri/Etichete Paleti Nicu/WhatsApp Image 2026-05-13 at 15.16.11 (3).jpeg, friendlyName=Deschide sursa</x:v>
      </x:c>
    </x:row>
    <x:row r="571" ht="36" customHeight="1">
      <x:c r="A571" s="8" t="str">
        <x:v>F0567</x:v>
      </x:c>
      <x:c r="B571" s="8" t="str">
        <x:v>WhatsApp Image 2026-05-13 at 15.16.11.jpeg</x:v>
      </x:c>
      <x:c r="C571" s="8" t="str">
        <x:v>15. Implementare Proiect Fotovoltaic</x:v>
      </x:c>
      <x:c r="D571" s="8" t="str">
        <x:v>Proiect fotovoltaic</x:v>
      </x:c>
      <x:c r="E571" s="8" t="str">
        <x:v>.jpeg</x:v>
      </x:c>
      <x:c r="F571" s="8" t="n">
        <x:v>400094</x:v>
      </x:c>
      <x:c r="G571" s="8" t="str">
        <x:v>Inventariat; conținut neextras</x:v>
      </x:c>
      <x:c r="H571" s="8" t="str">
        <x:v>Document local; transmiterea individuală neconfirmată</x:v>
      </x:c>
      <x:c r="I571" s="8" t="str"/>
      <x:c r="J571" s="8" t="e">
        <x:f>HYPERLINK("file:///Z:/00. Proiecte 2025/AFIR FotoVoltaic 1/15. Implementare Proiect Fotovoltaic/10.Neets-Suntech/Etichete panouri/Etichete Paleti Nicu/WhatsApp Image 2026-05-13 at 15.16.11.jpeg","Deschide sursa")</x:f>
        <x:v>HYPERLINK is not implemented. linkLocation=file:///Z:/00. Proiecte 2025/AFIR FotoVoltaic 1/15. Implementare Proiect Fotovoltaic/10.Neets-Suntech/Etichete panouri/Etichete Paleti Nicu/WhatsApp Image 2026-05-13 at 15.16.11.jpeg, friendlyName=Deschide sursa</x:v>
      </x:c>
    </x:row>
    <x:row r="572" ht="36" customHeight="1">
      <x:c r="A572" s="8" t="str">
        <x:v>F0568</x:v>
      </x:c>
      <x:c r="B572" s="8" t="str">
        <x:v>WhatsApp Image 2026-05-13 at 15.16.12 (1).jpeg</x:v>
      </x:c>
      <x:c r="C572" s="8" t="str">
        <x:v>15. Implementare Proiect Fotovoltaic</x:v>
      </x:c>
      <x:c r="D572" s="8" t="str">
        <x:v>Proiect fotovoltaic</x:v>
      </x:c>
      <x:c r="E572" s="8" t="str">
        <x:v>.jpeg</x:v>
      </x:c>
      <x:c r="F572" s="8" t="n">
        <x:v>476609</x:v>
      </x:c>
      <x:c r="G572" s="8" t="str">
        <x:v>Inventariat; conținut neextras</x:v>
      </x:c>
      <x:c r="H572" s="8" t="str">
        <x:v>Document local; transmiterea individuală neconfirmată</x:v>
      </x:c>
      <x:c r="I572" s="8" t="str"/>
      <x:c r="J572" s="8" t="e">
        <x:f>HYPERLINK("file:///Z:/00. Proiecte 2025/AFIR FotoVoltaic 1/15. Implementare Proiect Fotovoltaic/10.Neets-Suntech/Etichete panouri/Etichete Paleti Nicu/WhatsApp Image 2026-05-13 at 15.16.12 (1).jpeg","Deschide sursa")</x:f>
        <x:v>HYPERLINK is not implemented. linkLocation=file:///Z:/00. Proiecte 2025/AFIR FotoVoltaic 1/15. Implementare Proiect Fotovoltaic/10.Neets-Suntech/Etichete panouri/Etichete Paleti Nicu/WhatsApp Image 2026-05-13 at 15.16.12 (1).jpeg, friendlyName=Deschide sursa</x:v>
      </x:c>
    </x:row>
    <x:row r="573" ht="36" customHeight="1">
      <x:c r="A573" s="8" t="str">
        <x:v>F0569</x:v>
      </x:c>
      <x:c r="B573" s="8" t="str">
        <x:v>WhatsApp Image 2026-05-13 at 15.16.12 (2).jpeg</x:v>
      </x:c>
      <x:c r="C573" s="8" t="str">
        <x:v>15. Implementare Proiect Fotovoltaic</x:v>
      </x:c>
      <x:c r="D573" s="8" t="str">
        <x:v>Proiect fotovoltaic</x:v>
      </x:c>
      <x:c r="E573" s="8" t="str">
        <x:v>.jpeg</x:v>
      </x:c>
      <x:c r="F573" s="8" t="n">
        <x:v>478368</x:v>
      </x:c>
      <x:c r="G573" s="8" t="str">
        <x:v>Inventariat; conținut neextras</x:v>
      </x:c>
      <x:c r="H573" s="8" t="str">
        <x:v>Document local; transmiterea individuală neconfirmată</x:v>
      </x:c>
      <x:c r="I573" s="8" t="str"/>
      <x:c r="J573" s="8" t="e">
        <x:f>HYPERLINK("file:///Z:/00. Proiecte 2025/AFIR FotoVoltaic 1/15. Implementare Proiect Fotovoltaic/10.Neets-Suntech/Etichete panouri/Etichete Paleti Nicu/WhatsApp Image 2026-05-13 at 15.16.12 (2).jpeg","Deschide sursa")</x:f>
        <x:v>HYPERLINK is not implemented. linkLocation=file:///Z:/00. Proiecte 2025/AFIR FotoVoltaic 1/15. Implementare Proiect Fotovoltaic/10.Neets-Suntech/Etichete panouri/Etichete Paleti Nicu/WhatsApp Image 2026-05-13 at 15.16.12 (2).jpeg, friendlyName=Deschide sursa</x:v>
      </x:c>
    </x:row>
    <x:row r="574" ht="36" customHeight="1">
      <x:c r="A574" s="8" t="str">
        <x:v>F0570</x:v>
      </x:c>
      <x:c r="B574" s="8" t="str">
        <x:v>WhatsApp Image 2026-05-13 at 15.16.12 (3).jpeg</x:v>
      </x:c>
      <x:c r="C574" s="8" t="str">
        <x:v>15. Implementare Proiect Fotovoltaic</x:v>
      </x:c>
      <x:c r="D574" s="8" t="str">
        <x:v>Proiect fotovoltaic</x:v>
      </x:c>
      <x:c r="E574" s="8" t="str">
        <x:v>.jpeg</x:v>
      </x:c>
      <x:c r="F574" s="8" t="n">
        <x:v>432672</x:v>
      </x:c>
      <x:c r="G574" s="8" t="str">
        <x:v>Inventariat; conținut neextras</x:v>
      </x:c>
      <x:c r="H574" s="8" t="str">
        <x:v>Document local; transmiterea individuală neconfirmată</x:v>
      </x:c>
      <x:c r="I574" s="8" t="str"/>
      <x:c r="J574" s="8" t="e">
        <x:f>HYPERLINK("file:///Z:/00. Proiecte 2025/AFIR FotoVoltaic 1/15. Implementare Proiect Fotovoltaic/10.Neets-Suntech/Etichete panouri/Etichete Paleti Nicu/WhatsApp Image 2026-05-13 at 15.16.12 (3).jpeg","Deschide sursa")</x:f>
        <x:v>HYPERLINK is not implemented. linkLocation=file:///Z:/00. Proiecte 2025/AFIR FotoVoltaic 1/15. Implementare Proiect Fotovoltaic/10.Neets-Suntech/Etichete panouri/Etichete Paleti Nicu/WhatsApp Image 2026-05-13 at 15.16.12 (3).jpeg, friendlyName=Deschide sursa</x:v>
      </x:c>
    </x:row>
    <x:row r="575" ht="36" customHeight="1">
      <x:c r="A575" s="8" t="str">
        <x:v>F0571</x:v>
      </x:c>
      <x:c r="B575" s="8" t="str">
        <x:v>WhatsApp Image 2026-05-13 at 15.16.12 (4).jpeg</x:v>
      </x:c>
      <x:c r="C575" s="8" t="str">
        <x:v>15. Implementare Proiect Fotovoltaic</x:v>
      </x:c>
      <x:c r="D575" s="8" t="str">
        <x:v>Proiect fotovoltaic</x:v>
      </x:c>
      <x:c r="E575" s="8" t="str">
        <x:v>.jpeg</x:v>
      </x:c>
      <x:c r="F575" s="8" t="n">
        <x:v>453743</x:v>
      </x:c>
      <x:c r="G575" s="8" t="str">
        <x:v>Inventariat; conținut neextras</x:v>
      </x:c>
      <x:c r="H575" s="8" t="str">
        <x:v>Document local; transmiterea individuală neconfirmată</x:v>
      </x:c>
      <x:c r="I575" s="8" t="str"/>
      <x:c r="J575" s="8" t="e">
        <x:f>HYPERLINK("file:///Z:/00. Proiecte 2025/AFIR FotoVoltaic 1/15. Implementare Proiect Fotovoltaic/10.Neets-Suntech/Etichete panouri/Etichete Paleti Nicu/WhatsApp Image 2026-05-13 at 15.16.12 (4).jpeg","Deschide sursa")</x:f>
        <x:v>HYPERLINK is not implemented. linkLocation=file:///Z:/00. Proiecte 2025/AFIR FotoVoltaic 1/15. Implementare Proiect Fotovoltaic/10.Neets-Suntech/Etichete panouri/Etichete Paleti Nicu/WhatsApp Image 2026-05-13 at 15.16.12 (4).jpeg, friendlyName=Deschide sursa</x:v>
      </x:c>
    </x:row>
    <x:row r="576" ht="36" customHeight="1">
      <x:c r="A576" s="8" t="str">
        <x:v>F0572</x:v>
      </x:c>
      <x:c r="B576" s="8" t="str">
        <x:v>WhatsApp Image 2026-05-13 at 15.16.12 (5).jpeg</x:v>
      </x:c>
      <x:c r="C576" s="8" t="str">
        <x:v>15. Implementare Proiect Fotovoltaic</x:v>
      </x:c>
      <x:c r="D576" s="8" t="str">
        <x:v>Proiect fotovoltaic</x:v>
      </x:c>
      <x:c r="E576" s="8" t="str">
        <x:v>.jpeg</x:v>
      </x:c>
      <x:c r="F576" s="8" t="n">
        <x:v>434791</x:v>
      </x:c>
      <x:c r="G576" s="8" t="str">
        <x:v>Inventariat; conținut neextras</x:v>
      </x:c>
      <x:c r="H576" s="8" t="str">
        <x:v>Document local; transmiterea individuală neconfirmată</x:v>
      </x:c>
      <x:c r="I576" s="8" t="str"/>
      <x:c r="J576" s="8" t="e">
        <x:f>HYPERLINK("file:///Z:/00. Proiecte 2025/AFIR FotoVoltaic 1/15. Implementare Proiect Fotovoltaic/10.Neets-Suntech/Etichete panouri/Etichete Paleti Nicu/WhatsApp Image 2026-05-13 at 15.16.12 (5).jpeg","Deschide sursa")</x:f>
        <x:v>HYPERLINK is not implemented. linkLocation=file:///Z:/00. Proiecte 2025/AFIR FotoVoltaic 1/15. Implementare Proiect Fotovoltaic/10.Neets-Suntech/Etichete panouri/Etichete Paleti Nicu/WhatsApp Image 2026-05-13 at 15.16.12 (5).jpeg, friendlyName=Deschide sursa</x:v>
      </x:c>
    </x:row>
    <x:row r="577" ht="36" customHeight="1">
      <x:c r="A577" s="8" t="str">
        <x:v>F0573</x:v>
      </x:c>
      <x:c r="B577" s="8" t="str">
        <x:v>WhatsApp Image 2026-05-13 at 15.16.12 (6).jpeg</x:v>
      </x:c>
      <x:c r="C577" s="8" t="str">
        <x:v>15. Implementare Proiect Fotovoltaic</x:v>
      </x:c>
      <x:c r="D577" s="8" t="str">
        <x:v>Proiect fotovoltaic</x:v>
      </x:c>
      <x:c r="E577" s="8" t="str">
        <x:v>.jpeg</x:v>
      </x:c>
      <x:c r="F577" s="8" t="n">
        <x:v>439593</x:v>
      </x:c>
      <x:c r="G577" s="8" t="str">
        <x:v>Inventariat; conținut neextras</x:v>
      </x:c>
      <x:c r="H577" s="8" t="str">
        <x:v>Document local; transmiterea individuală neconfirmată</x:v>
      </x:c>
      <x:c r="I577" s="8" t="str"/>
      <x:c r="J577" s="8" t="e">
        <x:f>HYPERLINK("file:///Z:/00. Proiecte 2025/AFIR FotoVoltaic 1/15. Implementare Proiect Fotovoltaic/10.Neets-Suntech/Etichete panouri/Etichete Paleti Nicu/WhatsApp Image 2026-05-13 at 15.16.12 (6).jpeg","Deschide sursa")</x:f>
        <x:v>HYPERLINK is not implemented. linkLocation=file:///Z:/00. Proiecte 2025/AFIR FotoVoltaic 1/15. Implementare Proiect Fotovoltaic/10.Neets-Suntech/Etichete panouri/Etichete Paleti Nicu/WhatsApp Image 2026-05-13 at 15.16.12 (6).jpeg, friendlyName=Deschide sursa</x:v>
      </x:c>
    </x:row>
    <x:row r="578" ht="36" customHeight="1">
      <x:c r="A578" s="8" t="str">
        <x:v>F0574</x:v>
      </x:c>
      <x:c r="B578" s="8" t="str">
        <x:v>WhatsApp Image 2026-05-13 at 15.16.12 (7).jpeg</x:v>
      </x:c>
      <x:c r="C578" s="8" t="str">
        <x:v>15. Implementare Proiect Fotovoltaic</x:v>
      </x:c>
      <x:c r="D578" s="8" t="str">
        <x:v>Proiect fotovoltaic</x:v>
      </x:c>
      <x:c r="E578" s="8" t="str">
        <x:v>.jpeg</x:v>
      </x:c>
      <x:c r="F578" s="8" t="n">
        <x:v>416042</x:v>
      </x:c>
      <x:c r="G578" s="8" t="str">
        <x:v>Inventariat; conținut neextras</x:v>
      </x:c>
      <x:c r="H578" s="8" t="str">
        <x:v>Document local; transmiterea individuală neconfirmată</x:v>
      </x:c>
      <x:c r="I578" s="8" t="str"/>
      <x:c r="J578" s="8" t="e">
        <x:f>HYPERLINK("file:///Z:/00. Proiecte 2025/AFIR FotoVoltaic 1/15. Implementare Proiect Fotovoltaic/10.Neets-Suntech/Etichete panouri/Etichete Paleti Nicu/WhatsApp Image 2026-05-13 at 15.16.12 (7).jpeg","Deschide sursa")</x:f>
        <x:v>HYPERLINK is not implemented. linkLocation=file:///Z:/00. Proiecte 2025/AFIR FotoVoltaic 1/15. Implementare Proiect Fotovoltaic/10.Neets-Suntech/Etichete panouri/Etichete Paleti Nicu/WhatsApp Image 2026-05-13 at 15.16.12 (7).jpeg, friendlyName=Deschide sursa</x:v>
      </x:c>
    </x:row>
    <x:row r="579" ht="36" customHeight="1">
      <x:c r="A579" s="8" t="str">
        <x:v>F0575</x:v>
      </x:c>
      <x:c r="B579" s="8" t="str">
        <x:v>WhatsApp Image 2026-05-13 at 15.16.12.jpeg</x:v>
      </x:c>
      <x:c r="C579" s="8" t="str">
        <x:v>15. Implementare Proiect Fotovoltaic</x:v>
      </x:c>
      <x:c r="D579" s="8" t="str">
        <x:v>Proiect fotovoltaic</x:v>
      </x:c>
      <x:c r="E579" s="8" t="str">
        <x:v>.jpeg</x:v>
      </x:c>
      <x:c r="F579" s="8" t="n">
        <x:v>426384</x:v>
      </x:c>
      <x:c r="G579" s="8" t="str">
        <x:v>Inventariat; conținut neextras</x:v>
      </x:c>
      <x:c r="H579" s="8" t="str">
        <x:v>Document local; transmiterea individuală neconfirmată</x:v>
      </x:c>
      <x:c r="I579" s="8" t="str"/>
      <x:c r="J579" s="8" t="e">
        <x:f>HYPERLINK("file:///Z:/00. Proiecte 2025/AFIR FotoVoltaic 1/15. Implementare Proiect Fotovoltaic/10.Neets-Suntech/Etichete panouri/Etichete Paleti Nicu/WhatsApp Image 2026-05-13 at 15.16.12.jpeg","Deschide sursa")</x:f>
        <x:v>HYPERLINK is not implemented. linkLocation=file:///Z:/00. Proiecte 2025/AFIR FotoVoltaic 1/15. Implementare Proiect Fotovoltaic/10.Neets-Suntech/Etichete panouri/Etichete Paleti Nicu/WhatsApp Image 2026-05-13 at 15.16.12.jpeg, friendlyName=Deschide sursa</x:v>
      </x:c>
    </x:row>
    <x:row r="580" ht="36" customHeight="1">
      <x:c r="A580" s="8" t="str">
        <x:v>F0576</x:v>
      </x:c>
      <x:c r="B580" s="8" t="str">
        <x:v>WhatsApp Image 2026-05-13 at 15.16.13 (1).jpeg</x:v>
      </x:c>
      <x:c r="C580" s="8" t="str">
        <x:v>15. Implementare Proiect Fotovoltaic</x:v>
      </x:c>
      <x:c r="D580" s="8" t="str">
        <x:v>Proiect fotovoltaic</x:v>
      </x:c>
      <x:c r="E580" s="8" t="str">
        <x:v>.jpeg</x:v>
      </x:c>
      <x:c r="F580" s="8" t="n">
        <x:v>443594</x:v>
      </x:c>
      <x:c r="G580" s="8" t="str">
        <x:v>Inventariat; conținut neextras</x:v>
      </x:c>
      <x:c r="H580" s="8" t="str">
        <x:v>Document local; transmiterea individuală neconfirmată</x:v>
      </x:c>
      <x:c r="I580" s="8" t="str"/>
      <x:c r="J580" s="8" t="e">
        <x:f>HYPERLINK("file:///Z:/00. Proiecte 2025/AFIR FotoVoltaic 1/15. Implementare Proiect Fotovoltaic/10.Neets-Suntech/Etichete panouri/Etichete Paleti Nicu/WhatsApp Image 2026-05-13 at 15.16.13 (1).jpeg","Deschide sursa")</x:f>
        <x:v>HYPERLINK is not implemented. linkLocation=file:///Z:/00. Proiecte 2025/AFIR FotoVoltaic 1/15. Implementare Proiect Fotovoltaic/10.Neets-Suntech/Etichete panouri/Etichete Paleti Nicu/WhatsApp Image 2026-05-13 at 15.16.13 (1).jpeg, friendlyName=Deschide sursa</x:v>
      </x:c>
    </x:row>
    <x:row r="581" ht="36" customHeight="1">
      <x:c r="A581" s="8" t="str">
        <x:v>F0577</x:v>
      </x:c>
      <x:c r="B581" s="8" t="str">
        <x:v>WhatsApp Image 2026-05-13 at 15.16.13 (2).jpeg</x:v>
      </x:c>
      <x:c r="C581" s="8" t="str">
        <x:v>15. Implementare Proiect Fotovoltaic</x:v>
      </x:c>
      <x:c r="D581" s="8" t="str">
        <x:v>Proiect fotovoltaic</x:v>
      </x:c>
      <x:c r="E581" s="8" t="str">
        <x:v>.jpeg</x:v>
      </x:c>
      <x:c r="F581" s="8" t="n">
        <x:v>447313</x:v>
      </x:c>
      <x:c r="G581" s="8" t="str">
        <x:v>Inventariat; conținut neextras</x:v>
      </x:c>
      <x:c r="H581" s="8" t="str">
        <x:v>Document local; transmiterea individuală neconfirmată</x:v>
      </x:c>
      <x:c r="I581" s="8" t="str"/>
      <x:c r="J581" s="8" t="e">
        <x:f>HYPERLINK("file:///Z:/00. Proiecte 2025/AFIR FotoVoltaic 1/15. Implementare Proiect Fotovoltaic/10.Neets-Suntech/Etichete panouri/Etichete Paleti Nicu/WhatsApp Image 2026-05-13 at 15.16.13 (2).jpeg","Deschide sursa")</x:f>
        <x:v>HYPERLINK is not implemented. linkLocation=file:///Z:/00. Proiecte 2025/AFIR FotoVoltaic 1/15. Implementare Proiect Fotovoltaic/10.Neets-Suntech/Etichete panouri/Etichete Paleti Nicu/WhatsApp Image 2026-05-13 at 15.16.13 (2).jpeg, friendlyName=Deschide sursa</x:v>
      </x:c>
    </x:row>
    <x:row r="582" ht="36" customHeight="1">
      <x:c r="A582" s="8" t="str">
        <x:v>F0578</x:v>
      </x:c>
      <x:c r="B582" s="8" t="str">
        <x:v>WhatsApp Image 2026-05-13 at 15.16.13 (3).jpeg</x:v>
      </x:c>
      <x:c r="C582" s="8" t="str">
        <x:v>15. Implementare Proiect Fotovoltaic</x:v>
      </x:c>
      <x:c r="D582" s="8" t="str">
        <x:v>Proiect fotovoltaic</x:v>
      </x:c>
      <x:c r="E582" s="8" t="str">
        <x:v>.jpeg</x:v>
      </x:c>
      <x:c r="F582" s="8" t="n">
        <x:v>402764</x:v>
      </x:c>
      <x:c r="G582" s="8" t="str">
        <x:v>Inventariat; conținut neextras</x:v>
      </x:c>
      <x:c r="H582" s="8" t="str">
        <x:v>Document local; transmiterea individuală neconfirmată</x:v>
      </x:c>
      <x:c r="I582" s="8" t="str"/>
      <x:c r="J582" s="8" t="e">
        <x:f>HYPERLINK("file:///Z:/00. Proiecte 2025/AFIR FotoVoltaic 1/15. Implementare Proiect Fotovoltaic/10.Neets-Suntech/Etichete panouri/Etichete Paleti Nicu/WhatsApp Image 2026-05-13 at 15.16.13 (3).jpeg","Deschide sursa")</x:f>
        <x:v>HYPERLINK is not implemented. linkLocation=file:///Z:/00. Proiecte 2025/AFIR FotoVoltaic 1/15. Implementare Proiect Fotovoltaic/10.Neets-Suntech/Etichete panouri/Etichete Paleti Nicu/WhatsApp Image 2026-05-13 at 15.16.13 (3).jpeg, friendlyName=Deschide sursa</x:v>
      </x:c>
    </x:row>
    <x:row r="583" ht="36" customHeight="1">
      <x:c r="A583" s="8" t="str">
        <x:v>F0579</x:v>
      </x:c>
      <x:c r="B583" s="8" t="str">
        <x:v>WhatsApp Image 2026-05-13 at 15.16.13 (4).jpeg</x:v>
      </x:c>
      <x:c r="C583" s="8" t="str">
        <x:v>15. Implementare Proiect Fotovoltaic</x:v>
      </x:c>
      <x:c r="D583" s="8" t="str">
        <x:v>Proiect fotovoltaic</x:v>
      </x:c>
      <x:c r="E583" s="8" t="str">
        <x:v>.jpeg</x:v>
      </x:c>
      <x:c r="F583" s="8" t="n">
        <x:v>455159</x:v>
      </x:c>
      <x:c r="G583" s="8" t="str">
        <x:v>Inventariat; conținut neextras</x:v>
      </x:c>
      <x:c r="H583" s="8" t="str">
        <x:v>Document local; transmiterea individuală neconfirmată</x:v>
      </x:c>
      <x:c r="I583" s="8" t="str"/>
      <x:c r="J583" s="8" t="e">
        <x:f>HYPERLINK("file:///Z:/00. Proiecte 2025/AFIR FotoVoltaic 1/15. Implementare Proiect Fotovoltaic/10.Neets-Suntech/Etichete panouri/Etichete Paleti Nicu/WhatsApp Image 2026-05-13 at 15.16.13 (4).jpeg","Deschide sursa")</x:f>
        <x:v>HYPERLINK is not implemented. linkLocation=file:///Z:/00. Proiecte 2025/AFIR FotoVoltaic 1/15. Implementare Proiect Fotovoltaic/10.Neets-Suntech/Etichete panouri/Etichete Paleti Nicu/WhatsApp Image 2026-05-13 at 15.16.13 (4).jpeg, friendlyName=Deschide sursa</x:v>
      </x:c>
    </x:row>
    <x:row r="584" ht="36" customHeight="1">
      <x:c r="A584" s="8" t="str">
        <x:v>F0580</x:v>
      </x:c>
      <x:c r="B584" s="8" t="str">
        <x:v>WhatsApp Image 2026-05-13 at 15.16.13 (5).jpeg</x:v>
      </x:c>
      <x:c r="C584" s="8" t="str">
        <x:v>15. Implementare Proiect Fotovoltaic</x:v>
      </x:c>
      <x:c r="D584" s="8" t="str">
        <x:v>Proiect fotovoltaic</x:v>
      </x:c>
      <x:c r="E584" s="8" t="str">
        <x:v>.jpeg</x:v>
      </x:c>
      <x:c r="F584" s="8" t="n">
        <x:v>488798</x:v>
      </x:c>
      <x:c r="G584" s="8" t="str">
        <x:v>Inventariat; conținut neextras</x:v>
      </x:c>
      <x:c r="H584" s="8" t="str">
        <x:v>Document local; transmiterea individuală neconfirmată</x:v>
      </x:c>
      <x:c r="I584" s="8" t="str"/>
      <x:c r="J584" s="8" t="e">
        <x:f>HYPERLINK("file:///Z:/00. Proiecte 2025/AFIR FotoVoltaic 1/15. Implementare Proiect Fotovoltaic/10.Neets-Suntech/Etichete panouri/Etichete Paleti Nicu/WhatsApp Image 2026-05-13 at 15.16.13 (5).jpeg","Deschide sursa")</x:f>
        <x:v>HYPERLINK is not implemented. linkLocation=file:///Z:/00. Proiecte 2025/AFIR FotoVoltaic 1/15. Implementare Proiect Fotovoltaic/10.Neets-Suntech/Etichete panouri/Etichete Paleti Nicu/WhatsApp Image 2026-05-13 at 15.16.13 (5).jpeg, friendlyName=Deschide sursa</x:v>
      </x:c>
    </x:row>
    <x:row r="585" ht="36" customHeight="1">
      <x:c r="A585" s="8" t="str">
        <x:v>F0581</x:v>
      </x:c>
      <x:c r="B585" s="8" t="str">
        <x:v>WhatsApp Image 2026-05-13 at 15.16.13 (6).jpeg</x:v>
      </x:c>
      <x:c r="C585" s="8" t="str">
        <x:v>15. Implementare Proiect Fotovoltaic</x:v>
      </x:c>
      <x:c r="D585" s="8" t="str">
        <x:v>Proiect fotovoltaic</x:v>
      </x:c>
      <x:c r="E585" s="8" t="str">
        <x:v>.jpeg</x:v>
      </x:c>
      <x:c r="F585" s="8" t="n">
        <x:v>416390</x:v>
      </x:c>
      <x:c r="G585" s="8" t="str">
        <x:v>Inventariat; conținut neextras</x:v>
      </x:c>
      <x:c r="H585" s="8" t="str">
        <x:v>Document local; transmiterea individuală neconfirmată</x:v>
      </x:c>
      <x:c r="I585" s="8" t="str"/>
      <x:c r="J585" s="8" t="e">
        <x:f>HYPERLINK("file:///Z:/00. Proiecte 2025/AFIR FotoVoltaic 1/15. Implementare Proiect Fotovoltaic/10.Neets-Suntech/Etichete panouri/Etichete Paleti Nicu/WhatsApp Image 2026-05-13 at 15.16.13 (6).jpeg","Deschide sursa")</x:f>
        <x:v>HYPERLINK is not implemented. linkLocation=file:///Z:/00. Proiecte 2025/AFIR FotoVoltaic 1/15. Implementare Proiect Fotovoltaic/10.Neets-Suntech/Etichete panouri/Etichete Paleti Nicu/WhatsApp Image 2026-05-13 at 15.16.13 (6).jpeg, friendlyName=Deschide sursa</x:v>
      </x:c>
    </x:row>
    <x:row r="586" ht="36" customHeight="1">
      <x:c r="A586" s="8" t="str">
        <x:v>F0582</x:v>
      </x:c>
      <x:c r="B586" s="8" t="str">
        <x:v>WhatsApp Image 2026-05-13 at 15.16.13.jpeg</x:v>
      </x:c>
      <x:c r="C586" s="8" t="str">
        <x:v>15. Implementare Proiect Fotovoltaic</x:v>
      </x:c>
      <x:c r="D586" s="8" t="str">
        <x:v>Proiect fotovoltaic</x:v>
      </x:c>
      <x:c r="E586" s="8" t="str">
        <x:v>.jpeg</x:v>
      </x:c>
      <x:c r="F586" s="8" t="n">
        <x:v>454696</x:v>
      </x:c>
      <x:c r="G586" s="8" t="str">
        <x:v>Inventariat; conținut neextras</x:v>
      </x:c>
      <x:c r="H586" s="8" t="str">
        <x:v>Document local; transmiterea individuală neconfirmată</x:v>
      </x:c>
      <x:c r="I586" s="8" t="str"/>
      <x:c r="J586" s="8" t="e">
        <x:f>HYPERLINK("file:///Z:/00. Proiecte 2025/AFIR FotoVoltaic 1/15. Implementare Proiect Fotovoltaic/10.Neets-Suntech/Etichete panouri/Etichete Paleti Nicu/WhatsApp Image 2026-05-13 at 15.16.13.jpeg","Deschide sursa")</x:f>
        <x:v>HYPERLINK is not implemented. linkLocation=file:///Z:/00. Proiecte 2025/AFIR FotoVoltaic 1/15. Implementare Proiect Fotovoltaic/10.Neets-Suntech/Etichete panouri/Etichete Paleti Nicu/WhatsApp Image 2026-05-13 at 15.16.13.jpeg, friendlyName=Deschide sursa</x:v>
      </x:c>
    </x:row>
    <x:row r="587" ht="36" customHeight="1">
      <x:c r="A587" s="8" t="str">
        <x:v>F0583</x:v>
      </x:c>
      <x:c r="B587" s="8" t="str">
        <x:v>WhatsApp Image 2026-05-13 at 15.16.14 (1).jpeg</x:v>
      </x:c>
      <x:c r="C587" s="8" t="str">
        <x:v>15. Implementare Proiect Fotovoltaic</x:v>
      </x:c>
      <x:c r="D587" s="8" t="str">
        <x:v>Proiect fotovoltaic</x:v>
      </x:c>
      <x:c r="E587" s="8" t="str">
        <x:v>.jpeg</x:v>
      </x:c>
      <x:c r="F587" s="8" t="n">
        <x:v>465629</x:v>
      </x:c>
      <x:c r="G587" s="8" t="str">
        <x:v>Inventariat; conținut neextras</x:v>
      </x:c>
      <x:c r="H587" s="8" t="str">
        <x:v>Document local; transmiterea individuală neconfirmată</x:v>
      </x:c>
      <x:c r="I587" s="8" t="str"/>
      <x:c r="J587" s="8" t="e">
        <x:f>HYPERLINK("file:///Z:/00. Proiecte 2025/AFIR FotoVoltaic 1/15. Implementare Proiect Fotovoltaic/10.Neets-Suntech/Etichete panouri/Etichete Paleti Nicu/WhatsApp Image 2026-05-13 at 15.16.14 (1).jpeg","Deschide sursa")</x:f>
        <x:v>HYPERLINK is not implemented. linkLocation=file:///Z:/00. Proiecte 2025/AFIR FotoVoltaic 1/15. Implementare Proiect Fotovoltaic/10.Neets-Suntech/Etichete panouri/Etichete Paleti Nicu/WhatsApp Image 2026-05-13 at 15.16.14 (1).jpeg, friendlyName=Deschide sursa</x:v>
      </x:c>
    </x:row>
    <x:row r="588" ht="36" customHeight="1">
      <x:c r="A588" s="8" t="str">
        <x:v>F0584</x:v>
      </x:c>
      <x:c r="B588" s="8" t="str">
        <x:v>WhatsApp Image 2026-05-13 at 15.16.14 (2).jpeg</x:v>
      </x:c>
      <x:c r="C588" s="8" t="str">
        <x:v>15. Implementare Proiect Fotovoltaic</x:v>
      </x:c>
      <x:c r="D588" s="8" t="str">
        <x:v>Proiect fotovoltaic</x:v>
      </x:c>
      <x:c r="E588" s="8" t="str">
        <x:v>.jpeg</x:v>
      </x:c>
      <x:c r="F588" s="8" t="n">
        <x:v>430876</x:v>
      </x:c>
      <x:c r="G588" s="8" t="str">
        <x:v>Inventariat; conținut neextras</x:v>
      </x:c>
      <x:c r="H588" s="8" t="str">
        <x:v>Document local; transmiterea individuală neconfirmată</x:v>
      </x:c>
      <x:c r="I588" s="8" t="str"/>
      <x:c r="J588" s="8" t="e">
        <x:f>HYPERLINK("file:///Z:/00. Proiecte 2025/AFIR FotoVoltaic 1/15. Implementare Proiect Fotovoltaic/10.Neets-Suntech/Etichete panouri/Etichete Paleti Nicu/WhatsApp Image 2026-05-13 at 15.16.14 (2).jpeg","Deschide sursa")</x:f>
        <x:v>HYPERLINK is not implemented. linkLocation=file:///Z:/00. Proiecte 2025/AFIR FotoVoltaic 1/15. Implementare Proiect Fotovoltaic/10.Neets-Suntech/Etichete panouri/Etichete Paleti Nicu/WhatsApp Image 2026-05-13 at 15.16.14 (2).jpeg, friendlyName=Deschide sursa</x:v>
      </x:c>
    </x:row>
    <x:row r="589" ht="36" customHeight="1">
      <x:c r="A589" s="8" t="str">
        <x:v>F0585</x:v>
      </x:c>
      <x:c r="B589" s="8" t="str">
        <x:v>WhatsApp Image 2026-05-13 at 15.16.14 (3).jpeg</x:v>
      </x:c>
      <x:c r="C589" s="8" t="str">
        <x:v>15. Implementare Proiect Fotovoltaic</x:v>
      </x:c>
      <x:c r="D589" s="8" t="str">
        <x:v>Proiect fotovoltaic</x:v>
      </x:c>
      <x:c r="E589" s="8" t="str">
        <x:v>.jpeg</x:v>
      </x:c>
      <x:c r="F589" s="8" t="n">
        <x:v>426939</x:v>
      </x:c>
      <x:c r="G589" s="8" t="str">
        <x:v>Inventariat; conținut neextras</x:v>
      </x:c>
      <x:c r="H589" s="8" t="str">
        <x:v>Document local; transmiterea individuală neconfirmată</x:v>
      </x:c>
      <x:c r="I589" s="8" t="str"/>
      <x:c r="J589" s="8" t="e">
        <x:f>HYPERLINK("file:///Z:/00. Proiecte 2025/AFIR FotoVoltaic 1/15. Implementare Proiect Fotovoltaic/10.Neets-Suntech/Etichete panouri/Etichete Paleti Nicu/WhatsApp Image 2026-05-13 at 15.16.14 (3).jpeg","Deschide sursa")</x:f>
        <x:v>HYPERLINK is not implemented. linkLocation=file:///Z:/00. Proiecte 2025/AFIR FotoVoltaic 1/15. Implementare Proiect Fotovoltaic/10.Neets-Suntech/Etichete panouri/Etichete Paleti Nicu/WhatsApp Image 2026-05-13 at 15.16.14 (3).jpeg, friendlyName=Deschide sursa</x:v>
      </x:c>
    </x:row>
    <x:row r="590" ht="36" customHeight="1">
      <x:c r="A590" s="8" t="str">
        <x:v>F0586</x:v>
      </x:c>
      <x:c r="B590" s="8" t="str">
        <x:v>WhatsApp Image 2026-05-13 at 15.16.14 (4).jpeg</x:v>
      </x:c>
      <x:c r="C590" s="8" t="str">
        <x:v>15. Implementare Proiect Fotovoltaic</x:v>
      </x:c>
      <x:c r="D590" s="8" t="str">
        <x:v>Proiect fotovoltaic</x:v>
      </x:c>
      <x:c r="E590" s="8" t="str">
        <x:v>.jpeg</x:v>
      </x:c>
      <x:c r="F590" s="8" t="n">
        <x:v>445885</x:v>
      </x:c>
      <x:c r="G590" s="8" t="str">
        <x:v>Inventariat; conținut neextras</x:v>
      </x:c>
      <x:c r="H590" s="8" t="str">
        <x:v>Document local; transmiterea individuală neconfirmată</x:v>
      </x:c>
      <x:c r="I590" s="8" t="str"/>
      <x:c r="J590" s="8" t="e">
        <x:f>HYPERLINK("file:///Z:/00. Proiecte 2025/AFIR FotoVoltaic 1/15. Implementare Proiect Fotovoltaic/10.Neets-Suntech/Etichete panouri/Etichete Paleti Nicu/WhatsApp Image 2026-05-13 at 15.16.14 (4).jpeg","Deschide sursa")</x:f>
        <x:v>HYPERLINK is not implemented. linkLocation=file:///Z:/00. Proiecte 2025/AFIR FotoVoltaic 1/15. Implementare Proiect Fotovoltaic/10.Neets-Suntech/Etichete panouri/Etichete Paleti Nicu/WhatsApp Image 2026-05-13 at 15.16.14 (4).jpeg, friendlyName=Deschide sursa</x:v>
      </x:c>
    </x:row>
    <x:row r="591" ht="36" customHeight="1">
      <x:c r="A591" s="8" t="str">
        <x:v>F0587</x:v>
      </x:c>
      <x:c r="B591" s="8" t="str">
        <x:v>WhatsApp Image 2026-05-13 at 15.16.14 (5).jpeg</x:v>
      </x:c>
      <x:c r="C591" s="8" t="str">
        <x:v>15. Implementare Proiect Fotovoltaic</x:v>
      </x:c>
      <x:c r="D591" s="8" t="str">
        <x:v>Proiect fotovoltaic</x:v>
      </x:c>
      <x:c r="E591" s="8" t="str">
        <x:v>.jpeg</x:v>
      </x:c>
      <x:c r="F591" s="8" t="n">
        <x:v>434082</x:v>
      </x:c>
      <x:c r="G591" s="8" t="str">
        <x:v>Inventariat; conținut neextras</x:v>
      </x:c>
      <x:c r="H591" s="8" t="str">
        <x:v>Document local; transmiterea individuală neconfirmată</x:v>
      </x:c>
      <x:c r="I591" s="8" t="str"/>
      <x:c r="J591" s="8" t="e">
        <x:f>HYPERLINK("file:///Z:/00. Proiecte 2025/AFIR FotoVoltaic 1/15. Implementare Proiect Fotovoltaic/10.Neets-Suntech/Etichete panouri/Etichete Paleti Nicu/WhatsApp Image 2026-05-13 at 15.16.14 (5).jpeg","Deschide sursa")</x:f>
        <x:v>HYPERLINK is not implemented. linkLocation=file:///Z:/00. Proiecte 2025/AFIR FotoVoltaic 1/15. Implementare Proiect Fotovoltaic/10.Neets-Suntech/Etichete panouri/Etichete Paleti Nicu/WhatsApp Image 2026-05-13 at 15.16.14 (5).jpeg, friendlyName=Deschide sursa</x:v>
      </x:c>
    </x:row>
    <x:row r="592" ht="36" customHeight="1">
      <x:c r="A592" s="8" t="str">
        <x:v>F0588</x:v>
      </x:c>
      <x:c r="B592" s="8" t="str">
        <x:v>WhatsApp Image 2026-05-13 at 15.16.14 (6).jpeg</x:v>
      </x:c>
      <x:c r="C592" s="8" t="str">
        <x:v>15. Implementare Proiect Fotovoltaic</x:v>
      </x:c>
      <x:c r="D592" s="8" t="str">
        <x:v>Proiect fotovoltaic</x:v>
      </x:c>
      <x:c r="E592" s="8" t="str">
        <x:v>.jpeg</x:v>
      </x:c>
      <x:c r="F592" s="8" t="n">
        <x:v>439529</x:v>
      </x:c>
      <x:c r="G592" s="8" t="str">
        <x:v>Inventariat; conținut neextras</x:v>
      </x:c>
      <x:c r="H592" s="8" t="str">
        <x:v>Document local; transmiterea individuală neconfirmată</x:v>
      </x:c>
      <x:c r="I592" s="8" t="str"/>
      <x:c r="J592" s="8" t="e">
        <x:f>HYPERLINK("file:///Z:/00. Proiecte 2025/AFIR FotoVoltaic 1/15. Implementare Proiect Fotovoltaic/10.Neets-Suntech/Etichete panouri/Etichete Paleti Nicu/WhatsApp Image 2026-05-13 at 15.16.14 (6).jpeg","Deschide sursa")</x:f>
        <x:v>HYPERLINK is not implemented. linkLocation=file:///Z:/00. Proiecte 2025/AFIR FotoVoltaic 1/15. Implementare Proiect Fotovoltaic/10.Neets-Suntech/Etichete panouri/Etichete Paleti Nicu/WhatsApp Image 2026-05-13 at 15.16.14 (6).jpeg, friendlyName=Deschide sursa</x:v>
      </x:c>
    </x:row>
    <x:row r="593" ht="36" customHeight="1">
      <x:c r="A593" s="8" t="str">
        <x:v>F0589</x:v>
      </x:c>
      <x:c r="B593" s="8" t="str">
        <x:v>WhatsApp Image 2026-05-13 at 15.16.14 (7).jpeg</x:v>
      </x:c>
      <x:c r="C593" s="8" t="str">
        <x:v>15. Implementare Proiect Fotovoltaic</x:v>
      </x:c>
      <x:c r="D593" s="8" t="str">
        <x:v>Proiect fotovoltaic</x:v>
      </x:c>
      <x:c r="E593" s="8" t="str">
        <x:v>.jpeg</x:v>
      </x:c>
      <x:c r="F593" s="8" t="n">
        <x:v>438127</x:v>
      </x:c>
      <x:c r="G593" s="8" t="str">
        <x:v>Inventariat; conținut neextras</x:v>
      </x:c>
      <x:c r="H593" s="8" t="str">
        <x:v>Document local; transmiterea individuală neconfirmată</x:v>
      </x:c>
      <x:c r="I593" s="8" t="str"/>
      <x:c r="J593" s="8" t="e">
        <x:f>HYPERLINK("file:///Z:/00. Proiecte 2025/AFIR FotoVoltaic 1/15. Implementare Proiect Fotovoltaic/10.Neets-Suntech/Etichete panouri/Etichete Paleti Nicu/WhatsApp Image 2026-05-13 at 15.16.14 (7).jpeg","Deschide sursa")</x:f>
        <x:v>HYPERLINK is not implemented. linkLocation=file:///Z:/00. Proiecte 2025/AFIR FotoVoltaic 1/15. Implementare Proiect Fotovoltaic/10.Neets-Suntech/Etichete panouri/Etichete Paleti Nicu/WhatsApp Image 2026-05-13 at 15.16.14 (7).jpeg, friendlyName=Deschide sursa</x:v>
      </x:c>
    </x:row>
    <x:row r="594" ht="36" customHeight="1">
      <x:c r="A594" s="8" t="str">
        <x:v>F0590</x:v>
      </x:c>
      <x:c r="B594" s="8" t="str">
        <x:v>WhatsApp Image 2026-05-13 at 15.16.14.jpeg</x:v>
      </x:c>
      <x:c r="C594" s="8" t="str">
        <x:v>15. Implementare Proiect Fotovoltaic</x:v>
      </x:c>
      <x:c r="D594" s="8" t="str">
        <x:v>Proiect fotovoltaic</x:v>
      </x:c>
      <x:c r="E594" s="8" t="str">
        <x:v>.jpeg</x:v>
      </x:c>
      <x:c r="F594" s="8" t="n">
        <x:v>460503</x:v>
      </x:c>
      <x:c r="G594" s="8" t="str">
        <x:v>Inventariat; conținut neextras</x:v>
      </x:c>
      <x:c r="H594" s="8" t="str">
        <x:v>Document local; transmiterea individuală neconfirmată</x:v>
      </x:c>
      <x:c r="I594" s="8" t="str"/>
      <x:c r="J594" s="8" t="e">
        <x:f>HYPERLINK("file:///Z:/00. Proiecte 2025/AFIR FotoVoltaic 1/15. Implementare Proiect Fotovoltaic/10.Neets-Suntech/Etichete panouri/Etichete Paleti Nicu/WhatsApp Image 2026-05-13 at 15.16.14.jpeg","Deschide sursa")</x:f>
        <x:v>HYPERLINK is not implemented. linkLocation=file:///Z:/00. Proiecte 2025/AFIR FotoVoltaic 1/15. Implementare Proiect Fotovoltaic/10.Neets-Suntech/Etichete panouri/Etichete Paleti Nicu/WhatsApp Image 2026-05-13 at 15.16.14.jpeg, friendlyName=Deschide sursa</x:v>
      </x:c>
    </x:row>
    <x:row r="595" ht="36" customHeight="1">
      <x:c r="A595" s="8" t="str">
        <x:v>F0591</x:v>
      </x:c>
      <x:c r="B595" s="8" t="str">
        <x:v>WhatsApp Image 2026-05-13 at 15.16.15 (1).jpeg</x:v>
      </x:c>
      <x:c r="C595" s="8" t="str">
        <x:v>15. Implementare Proiect Fotovoltaic</x:v>
      </x:c>
      <x:c r="D595" s="8" t="str">
        <x:v>Proiect fotovoltaic</x:v>
      </x:c>
      <x:c r="E595" s="8" t="str">
        <x:v>.jpeg</x:v>
      </x:c>
      <x:c r="F595" s="8" t="n">
        <x:v>426911</x:v>
      </x:c>
      <x:c r="G595" s="8" t="str">
        <x:v>Inventariat; conținut neextras</x:v>
      </x:c>
      <x:c r="H595" s="8" t="str">
        <x:v>Document local; transmiterea individuală neconfirmată</x:v>
      </x:c>
      <x:c r="I595" s="8" t="str"/>
      <x:c r="J595" s="8" t="e">
        <x:f>HYPERLINK("file:///Z:/00. Proiecte 2025/AFIR FotoVoltaic 1/15. Implementare Proiect Fotovoltaic/10.Neets-Suntech/Etichete panouri/Etichete Paleti Nicu/WhatsApp Image 2026-05-13 at 15.16.15 (1).jpeg","Deschide sursa")</x:f>
        <x:v>HYPERLINK is not implemented. linkLocation=file:///Z:/00. Proiecte 2025/AFIR FotoVoltaic 1/15. Implementare Proiect Fotovoltaic/10.Neets-Suntech/Etichete panouri/Etichete Paleti Nicu/WhatsApp Image 2026-05-13 at 15.16.15 (1).jpeg, friendlyName=Deschide sursa</x:v>
      </x:c>
    </x:row>
    <x:row r="596" ht="36" customHeight="1">
      <x:c r="A596" s="8" t="str">
        <x:v>F0592</x:v>
      </x:c>
      <x:c r="B596" s="8" t="str">
        <x:v>WhatsApp Image 2026-05-13 at 15.16.15 (2).jpeg</x:v>
      </x:c>
      <x:c r="C596" s="8" t="str">
        <x:v>15. Implementare Proiect Fotovoltaic</x:v>
      </x:c>
      <x:c r="D596" s="8" t="str">
        <x:v>Proiect fotovoltaic</x:v>
      </x:c>
      <x:c r="E596" s="8" t="str">
        <x:v>.jpeg</x:v>
      </x:c>
      <x:c r="F596" s="8" t="n">
        <x:v>467077</x:v>
      </x:c>
      <x:c r="G596" s="8" t="str">
        <x:v>Inventariat; conținut neextras</x:v>
      </x:c>
      <x:c r="H596" s="8" t="str">
        <x:v>Document local; transmiterea individuală neconfirmată</x:v>
      </x:c>
      <x:c r="I596" s="8" t="str"/>
      <x:c r="J596" s="8" t="e">
        <x:f>HYPERLINK("file:///Z:/00. Proiecte 2025/AFIR FotoVoltaic 1/15. Implementare Proiect Fotovoltaic/10.Neets-Suntech/Etichete panouri/Etichete Paleti Nicu/WhatsApp Image 2026-05-13 at 15.16.15 (2).jpeg","Deschide sursa")</x:f>
        <x:v>HYPERLINK is not implemented. linkLocation=file:///Z:/00. Proiecte 2025/AFIR FotoVoltaic 1/15. Implementare Proiect Fotovoltaic/10.Neets-Suntech/Etichete panouri/Etichete Paleti Nicu/WhatsApp Image 2026-05-13 at 15.16.15 (2).jpeg, friendlyName=Deschide sursa</x:v>
      </x:c>
    </x:row>
    <x:row r="597" ht="36" customHeight="1">
      <x:c r="A597" s="8" t="str">
        <x:v>F0593</x:v>
      </x:c>
      <x:c r="B597" s="8" t="str">
        <x:v>WhatsApp Image 2026-05-13 at 15.16.15 (3).jpeg</x:v>
      </x:c>
      <x:c r="C597" s="8" t="str">
        <x:v>15. Implementare Proiect Fotovoltaic</x:v>
      </x:c>
      <x:c r="D597" s="8" t="str">
        <x:v>Proiect fotovoltaic</x:v>
      </x:c>
      <x:c r="E597" s="8" t="str">
        <x:v>.jpeg</x:v>
      </x:c>
      <x:c r="F597" s="8" t="n">
        <x:v>422561</x:v>
      </x:c>
      <x:c r="G597" s="8" t="str">
        <x:v>Inventariat; conținut neextras</x:v>
      </x:c>
      <x:c r="H597" s="8" t="str">
        <x:v>Document local; transmiterea individuală neconfirmată</x:v>
      </x:c>
      <x:c r="I597" s="8" t="str"/>
      <x:c r="J597" s="8" t="e">
        <x:f>HYPERLINK("file:///Z:/00. Proiecte 2025/AFIR FotoVoltaic 1/15. Implementare Proiect Fotovoltaic/10.Neets-Suntech/Etichete panouri/Etichete Paleti Nicu/WhatsApp Image 2026-05-13 at 15.16.15 (3).jpeg","Deschide sursa")</x:f>
        <x:v>HYPERLINK is not implemented. linkLocation=file:///Z:/00. Proiecte 2025/AFIR FotoVoltaic 1/15. Implementare Proiect Fotovoltaic/10.Neets-Suntech/Etichete panouri/Etichete Paleti Nicu/WhatsApp Image 2026-05-13 at 15.16.15 (3).jpeg, friendlyName=Deschide sursa</x:v>
      </x:c>
    </x:row>
    <x:row r="598" ht="36" customHeight="1">
      <x:c r="A598" s="8" t="str">
        <x:v>F0594</x:v>
      </x:c>
      <x:c r="B598" s="8" t="str">
        <x:v>WhatsApp Image 2026-05-13 at 15.16.15 (4).jpeg</x:v>
      </x:c>
      <x:c r="C598" s="8" t="str">
        <x:v>15. Implementare Proiect Fotovoltaic</x:v>
      </x:c>
      <x:c r="D598" s="8" t="str">
        <x:v>Proiect fotovoltaic</x:v>
      </x:c>
      <x:c r="E598" s="8" t="str">
        <x:v>.jpeg</x:v>
      </x:c>
      <x:c r="F598" s="8" t="n">
        <x:v>403621</x:v>
      </x:c>
      <x:c r="G598" s="8" t="str">
        <x:v>Inventariat; conținut neextras</x:v>
      </x:c>
      <x:c r="H598" s="8" t="str">
        <x:v>Document local; transmiterea individuală neconfirmată</x:v>
      </x:c>
      <x:c r="I598" s="8" t="str"/>
      <x:c r="J598" s="8" t="e">
        <x:f>HYPERLINK("file:///Z:/00. Proiecte 2025/AFIR FotoVoltaic 1/15. Implementare Proiect Fotovoltaic/10.Neets-Suntech/Etichete panouri/Etichete Paleti Nicu/WhatsApp Image 2026-05-13 at 15.16.15 (4).jpeg","Deschide sursa")</x:f>
        <x:v>HYPERLINK is not implemented. linkLocation=file:///Z:/00. Proiecte 2025/AFIR FotoVoltaic 1/15. Implementare Proiect Fotovoltaic/10.Neets-Suntech/Etichete panouri/Etichete Paleti Nicu/WhatsApp Image 2026-05-13 at 15.16.15 (4).jpeg, friendlyName=Deschide sursa</x:v>
      </x:c>
    </x:row>
    <x:row r="599" ht="36" customHeight="1">
      <x:c r="A599" s="8" t="str">
        <x:v>F0595</x:v>
      </x:c>
      <x:c r="B599" s="8" t="str">
        <x:v>WhatsApp Image 2026-05-13 at 15.16.15 (5).jpeg</x:v>
      </x:c>
      <x:c r="C599" s="8" t="str">
        <x:v>15. Implementare Proiect Fotovoltaic</x:v>
      </x:c>
      <x:c r="D599" s="8" t="str">
        <x:v>Proiect fotovoltaic</x:v>
      </x:c>
      <x:c r="E599" s="8" t="str">
        <x:v>.jpeg</x:v>
      </x:c>
      <x:c r="F599" s="8" t="n">
        <x:v>497653</x:v>
      </x:c>
      <x:c r="G599" s="8" t="str">
        <x:v>Inventariat; conținut neextras</x:v>
      </x:c>
      <x:c r="H599" s="8" t="str">
        <x:v>Document local; transmiterea individuală neconfirmată</x:v>
      </x:c>
      <x:c r="I599" s="8" t="str"/>
      <x:c r="J599" s="8" t="e">
        <x:f>HYPERLINK("file:///Z:/00. Proiecte 2025/AFIR FotoVoltaic 1/15. Implementare Proiect Fotovoltaic/10.Neets-Suntech/Etichete panouri/Etichete Paleti Nicu/WhatsApp Image 2026-05-13 at 15.16.15 (5).jpeg","Deschide sursa")</x:f>
        <x:v>HYPERLINK is not implemented. linkLocation=file:///Z:/00. Proiecte 2025/AFIR FotoVoltaic 1/15. Implementare Proiect Fotovoltaic/10.Neets-Suntech/Etichete panouri/Etichete Paleti Nicu/WhatsApp Image 2026-05-13 at 15.16.15 (5).jpeg, friendlyName=Deschide sursa</x:v>
      </x:c>
    </x:row>
    <x:row r="600" ht="36" customHeight="1">
      <x:c r="A600" s="8" t="str">
        <x:v>F0596</x:v>
      </x:c>
      <x:c r="B600" s="8" t="str">
        <x:v>WhatsApp Image 2026-05-13 at 15.16.15 (6).jpeg</x:v>
      </x:c>
      <x:c r="C600" s="8" t="str">
        <x:v>15. Implementare Proiect Fotovoltaic</x:v>
      </x:c>
      <x:c r="D600" s="8" t="str">
        <x:v>Proiect fotovoltaic</x:v>
      </x:c>
      <x:c r="E600" s="8" t="str">
        <x:v>.jpeg</x:v>
      </x:c>
      <x:c r="F600" s="8" t="n">
        <x:v>422630</x:v>
      </x:c>
      <x:c r="G600" s="8" t="str">
        <x:v>Inventariat; conținut neextras</x:v>
      </x:c>
      <x:c r="H600" s="8" t="str">
        <x:v>Document local; transmiterea individuală neconfirmată</x:v>
      </x:c>
      <x:c r="I600" s="8" t="str"/>
      <x:c r="J600" s="8" t="e">
        <x:f>HYPERLINK("file:///Z:/00. Proiecte 2025/AFIR FotoVoltaic 1/15. Implementare Proiect Fotovoltaic/10.Neets-Suntech/Etichete panouri/Etichete Paleti Nicu/WhatsApp Image 2026-05-13 at 15.16.15 (6).jpeg","Deschide sursa")</x:f>
        <x:v>HYPERLINK is not implemented. linkLocation=file:///Z:/00. Proiecte 2025/AFIR FotoVoltaic 1/15. Implementare Proiect Fotovoltaic/10.Neets-Suntech/Etichete panouri/Etichete Paleti Nicu/WhatsApp Image 2026-05-13 at 15.16.15 (6).jpeg, friendlyName=Deschide sursa</x:v>
      </x:c>
    </x:row>
    <x:row r="601" ht="36" customHeight="1">
      <x:c r="A601" s="8" t="str">
        <x:v>F0597</x:v>
      </x:c>
      <x:c r="B601" s="8" t="str">
        <x:v>WhatsApp Image 2026-05-13 at 15.16.15.jpeg</x:v>
      </x:c>
      <x:c r="C601" s="8" t="str">
        <x:v>15. Implementare Proiect Fotovoltaic</x:v>
      </x:c>
      <x:c r="D601" s="8" t="str">
        <x:v>Proiect fotovoltaic</x:v>
      </x:c>
      <x:c r="E601" s="8" t="str">
        <x:v>.jpeg</x:v>
      </x:c>
      <x:c r="F601" s="8" t="n">
        <x:v>467347</x:v>
      </x:c>
      <x:c r="G601" s="8" t="str">
        <x:v>Inventariat; conținut neextras</x:v>
      </x:c>
      <x:c r="H601" s="8" t="str">
        <x:v>Document local; transmiterea individuală neconfirmată</x:v>
      </x:c>
      <x:c r="I601" s="8" t="str"/>
      <x:c r="J601" s="8" t="e">
        <x:f>HYPERLINK("file:///Z:/00. Proiecte 2025/AFIR FotoVoltaic 1/15. Implementare Proiect Fotovoltaic/10.Neets-Suntech/Etichete panouri/Etichete Paleti Nicu/WhatsApp Image 2026-05-13 at 15.16.15.jpeg","Deschide sursa")</x:f>
        <x:v>HYPERLINK is not implemented. linkLocation=file:///Z:/00. Proiecte 2025/AFIR FotoVoltaic 1/15. Implementare Proiect Fotovoltaic/10.Neets-Suntech/Etichete panouri/Etichete Paleti Nicu/WhatsApp Image 2026-05-13 at 15.16.15.jpeg, friendlyName=Deschide sursa</x:v>
      </x:c>
    </x:row>
    <x:row r="602" ht="36" customHeight="1">
      <x:c r="A602" s="8" t="str">
        <x:v>F0598</x:v>
      </x:c>
      <x:c r="B602" s="8" t="str">
        <x:v>WhatsApp Image 2026-05-13 at 15.16.16 (1).jpeg</x:v>
      </x:c>
      <x:c r="C602" s="8" t="str">
        <x:v>15. Implementare Proiect Fotovoltaic</x:v>
      </x:c>
      <x:c r="D602" s="8" t="str">
        <x:v>Proiect fotovoltaic</x:v>
      </x:c>
      <x:c r="E602" s="8" t="str">
        <x:v>.jpeg</x:v>
      </x:c>
      <x:c r="F602" s="8" t="n">
        <x:v>461900</x:v>
      </x:c>
      <x:c r="G602" s="8" t="str">
        <x:v>Inventariat; conținut neextras</x:v>
      </x:c>
      <x:c r="H602" s="8" t="str">
        <x:v>Document local; transmiterea individuală neconfirmată</x:v>
      </x:c>
      <x:c r="I602" s="8" t="str"/>
      <x:c r="J602" s="8" t="e">
        <x:f>HYPERLINK("file:///Z:/00. Proiecte 2025/AFIR FotoVoltaic 1/15. Implementare Proiect Fotovoltaic/10.Neets-Suntech/Etichete panouri/Etichete Paleti Nicu/WhatsApp Image 2026-05-13 at 15.16.16 (1).jpeg","Deschide sursa")</x:f>
        <x:v>HYPERLINK is not implemented. linkLocation=file:///Z:/00. Proiecte 2025/AFIR FotoVoltaic 1/15. Implementare Proiect Fotovoltaic/10.Neets-Suntech/Etichete panouri/Etichete Paleti Nicu/WhatsApp Image 2026-05-13 at 15.16.16 (1).jpeg, friendlyName=Deschide sursa</x:v>
      </x:c>
    </x:row>
    <x:row r="603" ht="36" customHeight="1">
      <x:c r="A603" s="8" t="str">
        <x:v>F0599</x:v>
      </x:c>
      <x:c r="B603" s="8" t="str">
        <x:v>WhatsApp Image 2026-05-13 at 15.16.16 (2).jpeg</x:v>
      </x:c>
      <x:c r="C603" s="8" t="str">
        <x:v>15. Implementare Proiect Fotovoltaic</x:v>
      </x:c>
      <x:c r="D603" s="8" t="str">
        <x:v>Proiect fotovoltaic</x:v>
      </x:c>
      <x:c r="E603" s="8" t="str">
        <x:v>.jpeg</x:v>
      </x:c>
      <x:c r="F603" s="8" t="n">
        <x:v>425718</x:v>
      </x:c>
      <x:c r="G603" s="8" t="str">
        <x:v>Inventariat; conținut neextras</x:v>
      </x:c>
      <x:c r="H603" s="8" t="str">
        <x:v>Document local; transmiterea individuală neconfirmată</x:v>
      </x:c>
      <x:c r="I603" s="8" t="str"/>
      <x:c r="J603" s="8" t="e">
        <x:f>HYPERLINK("file:///Z:/00. Proiecte 2025/AFIR FotoVoltaic 1/15. Implementare Proiect Fotovoltaic/10.Neets-Suntech/Etichete panouri/Etichete Paleti Nicu/WhatsApp Image 2026-05-13 at 15.16.16 (2).jpeg","Deschide sursa")</x:f>
        <x:v>HYPERLINK is not implemented. linkLocation=file:///Z:/00. Proiecte 2025/AFIR FotoVoltaic 1/15. Implementare Proiect Fotovoltaic/10.Neets-Suntech/Etichete panouri/Etichete Paleti Nicu/WhatsApp Image 2026-05-13 at 15.16.16 (2).jpeg, friendlyName=Deschide sursa</x:v>
      </x:c>
    </x:row>
    <x:row r="604" ht="36" customHeight="1">
      <x:c r="A604" s="8" t="str">
        <x:v>F0600</x:v>
      </x:c>
      <x:c r="B604" s="8" t="str">
        <x:v>WhatsApp Image 2026-05-13 at 15.16.16 (3).jpeg</x:v>
      </x:c>
      <x:c r="C604" s="8" t="str">
        <x:v>15. Implementare Proiect Fotovoltaic</x:v>
      </x:c>
      <x:c r="D604" s="8" t="str">
        <x:v>Proiect fotovoltaic</x:v>
      </x:c>
      <x:c r="E604" s="8" t="str">
        <x:v>.jpeg</x:v>
      </x:c>
      <x:c r="F604" s="8" t="n">
        <x:v>430757</x:v>
      </x:c>
      <x:c r="G604" s="8" t="str">
        <x:v>Inventariat; conținut neextras</x:v>
      </x:c>
      <x:c r="H604" s="8" t="str">
        <x:v>Document local; transmiterea individuală neconfirmată</x:v>
      </x:c>
      <x:c r="I604" s="8" t="str"/>
      <x:c r="J604" s="8" t="e">
        <x:f>HYPERLINK("file:///Z:/00. Proiecte 2025/AFIR FotoVoltaic 1/15. Implementare Proiect Fotovoltaic/10.Neets-Suntech/Etichete panouri/Etichete Paleti Nicu/WhatsApp Image 2026-05-13 at 15.16.16 (3).jpeg","Deschide sursa")</x:f>
        <x:v>HYPERLINK is not implemented. linkLocation=file:///Z:/00. Proiecte 2025/AFIR FotoVoltaic 1/15. Implementare Proiect Fotovoltaic/10.Neets-Suntech/Etichete panouri/Etichete Paleti Nicu/WhatsApp Image 2026-05-13 at 15.16.16 (3).jpeg, friendlyName=Deschide sursa</x:v>
      </x:c>
    </x:row>
    <x:row r="605" ht="36" customHeight="1">
      <x:c r="A605" s="8" t="str">
        <x:v>F0601</x:v>
      </x:c>
      <x:c r="B605" s="8" t="str">
        <x:v>WhatsApp Image 2026-05-13 at 15.16.16 (4).jpeg</x:v>
      </x:c>
      <x:c r="C605" s="8" t="str">
        <x:v>15. Implementare Proiect Fotovoltaic</x:v>
      </x:c>
      <x:c r="D605" s="8" t="str">
        <x:v>Proiect fotovoltaic</x:v>
      </x:c>
      <x:c r="E605" s="8" t="str">
        <x:v>.jpeg</x:v>
      </x:c>
      <x:c r="F605" s="8" t="n">
        <x:v>428726</x:v>
      </x:c>
      <x:c r="G605" s="8" t="str">
        <x:v>Inventariat; conținut neextras</x:v>
      </x:c>
      <x:c r="H605" s="8" t="str">
        <x:v>Document local; transmiterea individuală neconfirmată</x:v>
      </x:c>
      <x:c r="I605" s="8" t="str"/>
      <x:c r="J605" s="8" t="e">
        <x:f>HYPERLINK("file:///Z:/00. Proiecte 2025/AFIR FotoVoltaic 1/15. Implementare Proiect Fotovoltaic/10.Neets-Suntech/Etichete panouri/Etichete Paleti Nicu/WhatsApp Image 2026-05-13 at 15.16.16 (4).jpeg","Deschide sursa")</x:f>
        <x:v>HYPERLINK is not implemented. linkLocation=file:///Z:/00. Proiecte 2025/AFIR FotoVoltaic 1/15. Implementare Proiect Fotovoltaic/10.Neets-Suntech/Etichete panouri/Etichete Paleti Nicu/WhatsApp Image 2026-05-13 at 15.16.16 (4).jpeg, friendlyName=Deschide sursa</x:v>
      </x:c>
    </x:row>
    <x:row r="606" ht="36" customHeight="1">
      <x:c r="A606" s="8" t="str">
        <x:v>F0602</x:v>
      </x:c>
      <x:c r="B606" s="8" t="str">
        <x:v>WhatsApp Image 2026-05-13 at 15.16.16 (5).jpeg</x:v>
      </x:c>
      <x:c r="C606" s="8" t="str">
        <x:v>15. Implementare Proiect Fotovoltaic</x:v>
      </x:c>
      <x:c r="D606" s="8" t="str">
        <x:v>Proiect fotovoltaic</x:v>
      </x:c>
      <x:c r="E606" s="8" t="str">
        <x:v>.jpeg</x:v>
      </x:c>
      <x:c r="F606" s="8" t="n">
        <x:v>411784</x:v>
      </x:c>
      <x:c r="G606" s="8" t="str">
        <x:v>Inventariat; conținut neextras</x:v>
      </x:c>
      <x:c r="H606" s="8" t="str">
        <x:v>Document local; transmiterea individuală neconfirmată</x:v>
      </x:c>
      <x:c r="I606" s="8" t="str"/>
      <x:c r="J606" s="8" t="e">
        <x:f>HYPERLINK("file:///Z:/00. Proiecte 2025/AFIR FotoVoltaic 1/15. Implementare Proiect Fotovoltaic/10.Neets-Suntech/Etichete panouri/Etichete Paleti Nicu/WhatsApp Image 2026-05-13 at 15.16.16 (5).jpeg","Deschide sursa")</x:f>
        <x:v>HYPERLINK is not implemented. linkLocation=file:///Z:/00. Proiecte 2025/AFIR FotoVoltaic 1/15. Implementare Proiect Fotovoltaic/10.Neets-Suntech/Etichete panouri/Etichete Paleti Nicu/WhatsApp Image 2026-05-13 at 15.16.16 (5).jpeg, friendlyName=Deschide sursa</x:v>
      </x:c>
    </x:row>
    <x:row r="607" ht="36" customHeight="1">
      <x:c r="A607" s="8" t="str">
        <x:v>F0603</x:v>
      </x:c>
      <x:c r="B607" s="8" t="str">
        <x:v>WhatsApp Image 2026-05-13 at 15.16.16 (6).jpeg</x:v>
      </x:c>
      <x:c r="C607" s="8" t="str">
        <x:v>15. Implementare Proiect Fotovoltaic</x:v>
      </x:c>
      <x:c r="D607" s="8" t="str">
        <x:v>Proiect fotovoltaic</x:v>
      </x:c>
      <x:c r="E607" s="8" t="str">
        <x:v>.jpeg</x:v>
      </x:c>
      <x:c r="F607" s="8" t="n">
        <x:v>435332</x:v>
      </x:c>
      <x:c r="G607" s="8" t="str">
        <x:v>Inventariat; conținut neextras</x:v>
      </x:c>
      <x:c r="H607" s="8" t="str">
        <x:v>Document local; transmiterea individuală neconfirmată</x:v>
      </x:c>
      <x:c r="I607" s="8" t="str"/>
      <x:c r="J607" s="8" t="e">
        <x:f>HYPERLINK("file:///Z:/00. Proiecte 2025/AFIR FotoVoltaic 1/15. Implementare Proiect Fotovoltaic/10.Neets-Suntech/Etichete panouri/Etichete Paleti Nicu/WhatsApp Image 2026-05-13 at 15.16.16 (6).jpeg","Deschide sursa")</x:f>
        <x:v>HYPERLINK is not implemented. linkLocation=file:///Z:/00. Proiecte 2025/AFIR FotoVoltaic 1/15. Implementare Proiect Fotovoltaic/10.Neets-Suntech/Etichete panouri/Etichete Paleti Nicu/WhatsApp Image 2026-05-13 at 15.16.16 (6).jpeg, friendlyName=Deschide sursa</x:v>
      </x:c>
    </x:row>
    <x:row r="608" ht="36" customHeight="1">
      <x:c r="A608" s="8" t="str">
        <x:v>F0604</x:v>
      </x:c>
      <x:c r="B608" s="8" t="str">
        <x:v>WhatsApp Image 2026-05-13 at 15.16.16 (7).jpeg</x:v>
      </x:c>
      <x:c r="C608" s="8" t="str">
        <x:v>15. Implementare Proiect Fotovoltaic</x:v>
      </x:c>
      <x:c r="D608" s="8" t="str">
        <x:v>Proiect fotovoltaic</x:v>
      </x:c>
      <x:c r="E608" s="8" t="str">
        <x:v>.jpeg</x:v>
      </x:c>
      <x:c r="F608" s="8" t="n">
        <x:v>450320</x:v>
      </x:c>
      <x:c r="G608" s="8" t="str">
        <x:v>Inventariat; conținut neextras</x:v>
      </x:c>
      <x:c r="H608" s="8" t="str">
        <x:v>Document local; transmiterea individuală neconfirmată</x:v>
      </x:c>
      <x:c r="I608" s="8" t="str"/>
      <x:c r="J608" s="8" t="e">
        <x:f>HYPERLINK("file:///Z:/00. Proiecte 2025/AFIR FotoVoltaic 1/15. Implementare Proiect Fotovoltaic/10.Neets-Suntech/Etichete panouri/Etichete Paleti Nicu/WhatsApp Image 2026-05-13 at 15.16.16 (7).jpeg","Deschide sursa")</x:f>
        <x:v>HYPERLINK is not implemented. linkLocation=file:///Z:/00. Proiecte 2025/AFIR FotoVoltaic 1/15. Implementare Proiect Fotovoltaic/10.Neets-Suntech/Etichete panouri/Etichete Paleti Nicu/WhatsApp Image 2026-05-13 at 15.16.16 (7).jpeg, friendlyName=Deschide sursa</x:v>
      </x:c>
    </x:row>
    <x:row r="609" ht="36" customHeight="1">
      <x:c r="A609" s="8" t="str">
        <x:v>F0605</x:v>
      </x:c>
      <x:c r="B609" s="8" t="str">
        <x:v>WhatsApp Image 2026-05-13 at 15.16.16.jpeg</x:v>
      </x:c>
      <x:c r="C609" s="8" t="str">
        <x:v>15. Implementare Proiect Fotovoltaic</x:v>
      </x:c>
      <x:c r="D609" s="8" t="str">
        <x:v>Proiect fotovoltaic</x:v>
      </x:c>
      <x:c r="E609" s="8" t="str">
        <x:v>.jpeg</x:v>
      </x:c>
      <x:c r="F609" s="8" t="n">
        <x:v>485653</x:v>
      </x:c>
      <x:c r="G609" s="8" t="str">
        <x:v>Inventariat; conținut neextras</x:v>
      </x:c>
      <x:c r="H609" s="8" t="str">
        <x:v>Document local; transmiterea individuală neconfirmată</x:v>
      </x:c>
      <x:c r="I609" s="8" t="str"/>
      <x:c r="J609" s="8" t="e">
        <x:f>HYPERLINK("file:///Z:/00. Proiecte 2025/AFIR FotoVoltaic 1/15. Implementare Proiect Fotovoltaic/10.Neets-Suntech/Etichete panouri/Etichete Paleti Nicu/WhatsApp Image 2026-05-13 at 15.16.16.jpeg","Deschide sursa")</x:f>
        <x:v>HYPERLINK is not implemented. linkLocation=file:///Z:/00. Proiecte 2025/AFIR FotoVoltaic 1/15. Implementare Proiect Fotovoltaic/10.Neets-Suntech/Etichete panouri/Etichete Paleti Nicu/WhatsApp Image 2026-05-13 at 15.16.16.jpeg, friendlyName=Deschide sursa</x:v>
      </x:c>
    </x:row>
    <x:row r="610" ht="36" customHeight="1">
      <x:c r="A610" s="8" t="str">
        <x:v>F0606</x:v>
      </x:c>
      <x:c r="B610" s="8" t="str">
        <x:v>WhatsApp Image 2026-05-13 at 15.16.17 (1).jpeg</x:v>
      </x:c>
      <x:c r="C610" s="8" t="str">
        <x:v>15. Implementare Proiect Fotovoltaic</x:v>
      </x:c>
      <x:c r="D610" s="8" t="str">
        <x:v>Proiect fotovoltaic</x:v>
      </x:c>
      <x:c r="E610" s="8" t="str">
        <x:v>.jpeg</x:v>
      </x:c>
      <x:c r="F610" s="8" t="n">
        <x:v>471604</x:v>
      </x:c>
      <x:c r="G610" s="8" t="str">
        <x:v>Inventariat; conținut neextras</x:v>
      </x:c>
      <x:c r="H610" s="8" t="str">
        <x:v>Document local; transmiterea individuală neconfirmată</x:v>
      </x:c>
      <x:c r="I610" s="8" t="str"/>
      <x:c r="J610" s="8" t="e">
        <x:f>HYPERLINK("file:///Z:/00. Proiecte 2025/AFIR FotoVoltaic 1/15. Implementare Proiect Fotovoltaic/10.Neets-Suntech/Etichete panouri/Etichete Paleti Nicu/WhatsApp Image 2026-05-13 at 15.16.17 (1).jpeg","Deschide sursa")</x:f>
        <x:v>HYPERLINK is not implemented. linkLocation=file:///Z:/00. Proiecte 2025/AFIR FotoVoltaic 1/15. Implementare Proiect Fotovoltaic/10.Neets-Suntech/Etichete panouri/Etichete Paleti Nicu/WhatsApp Image 2026-05-13 at 15.16.17 (1).jpeg, friendlyName=Deschide sursa</x:v>
      </x:c>
    </x:row>
    <x:row r="611" ht="36" customHeight="1">
      <x:c r="A611" s="8" t="str">
        <x:v>F0607</x:v>
      </x:c>
      <x:c r="B611" s="8" t="str">
        <x:v>WhatsApp Image 2026-05-13 at 15.16.17 (2).jpeg</x:v>
      </x:c>
      <x:c r="C611" s="8" t="str">
        <x:v>15. Implementare Proiect Fotovoltaic</x:v>
      </x:c>
      <x:c r="D611" s="8" t="str">
        <x:v>Proiect fotovoltaic</x:v>
      </x:c>
      <x:c r="E611" s="8" t="str">
        <x:v>.jpeg</x:v>
      </x:c>
      <x:c r="F611" s="8" t="n">
        <x:v>454417</x:v>
      </x:c>
      <x:c r="G611" s="8" t="str">
        <x:v>Inventariat; conținut neextras</x:v>
      </x:c>
      <x:c r="H611" s="8" t="str">
        <x:v>Document local; transmiterea individuală neconfirmată</x:v>
      </x:c>
      <x:c r="I611" s="8" t="str"/>
      <x:c r="J611" s="8" t="e">
        <x:f>HYPERLINK("file:///Z:/00. Proiecte 2025/AFIR FotoVoltaic 1/15. Implementare Proiect Fotovoltaic/10.Neets-Suntech/Etichete panouri/Etichete Paleti Nicu/WhatsApp Image 2026-05-13 at 15.16.17 (2).jpeg","Deschide sursa")</x:f>
        <x:v>HYPERLINK is not implemented. linkLocation=file:///Z:/00. Proiecte 2025/AFIR FotoVoltaic 1/15. Implementare Proiect Fotovoltaic/10.Neets-Suntech/Etichete panouri/Etichete Paleti Nicu/WhatsApp Image 2026-05-13 at 15.16.17 (2).jpeg, friendlyName=Deschide sursa</x:v>
      </x:c>
    </x:row>
    <x:row r="612" ht="36" customHeight="1">
      <x:c r="A612" s="8" t="str">
        <x:v>F0608</x:v>
      </x:c>
      <x:c r="B612" s="8" t="str">
        <x:v>WhatsApp Image 2026-05-13 at 15.16.17 (3).jpeg</x:v>
      </x:c>
      <x:c r="C612" s="8" t="str">
        <x:v>15. Implementare Proiect Fotovoltaic</x:v>
      </x:c>
      <x:c r="D612" s="8" t="str">
        <x:v>Proiect fotovoltaic</x:v>
      </x:c>
      <x:c r="E612" s="8" t="str">
        <x:v>.jpeg</x:v>
      </x:c>
      <x:c r="F612" s="8" t="n">
        <x:v>473735</x:v>
      </x:c>
      <x:c r="G612" s="8" t="str">
        <x:v>Inventariat; conținut neextras</x:v>
      </x:c>
      <x:c r="H612" s="8" t="str">
        <x:v>Document local; transmiterea individuală neconfirmată</x:v>
      </x:c>
      <x:c r="I612" s="8" t="str"/>
      <x:c r="J612" s="8" t="e">
        <x:f>HYPERLINK("file:///Z:/00. Proiecte 2025/AFIR FotoVoltaic 1/15. Implementare Proiect Fotovoltaic/10.Neets-Suntech/Etichete panouri/Etichete Paleti Nicu/WhatsApp Image 2026-05-13 at 15.16.17 (3).jpeg","Deschide sursa")</x:f>
        <x:v>HYPERLINK is not implemented. linkLocation=file:///Z:/00. Proiecte 2025/AFIR FotoVoltaic 1/15. Implementare Proiect Fotovoltaic/10.Neets-Suntech/Etichete panouri/Etichete Paleti Nicu/WhatsApp Image 2026-05-13 at 15.16.17 (3).jpeg, friendlyName=Deschide sursa</x:v>
      </x:c>
    </x:row>
    <x:row r="613" ht="36" customHeight="1">
      <x:c r="A613" s="8" t="str">
        <x:v>F0609</x:v>
      </x:c>
      <x:c r="B613" s="8" t="str">
        <x:v>WhatsApp Image 2026-05-13 at 15.16.17 (4).jpeg</x:v>
      </x:c>
      <x:c r="C613" s="8" t="str">
        <x:v>15. Implementare Proiect Fotovoltaic</x:v>
      </x:c>
      <x:c r="D613" s="8" t="str">
        <x:v>Proiect fotovoltaic</x:v>
      </x:c>
      <x:c r="E613" s="8" t="str">
        <x:v>.jpeg</x:v>
      </x:c>
      <x:c r="F613" s="8" t="n">
        <x:v>467855</x:v>
      </x:c>
      <x:c r="G613" s="8" t="str">
        <x:v>Inventariat; conținut neextras</x:v>
      </x:c>
      <x:c r="H613" s="8" t="str">
        <x:v>Document local; transmiterea individuală neconfirmată</x:v>
      </x:c>
      <x:c r="I613" s="8" t="str"/>
      <x:c r="J613" s="8" t="e">
        <x:f>HYPERLINK("file:///Z:/00. Proiecte 2025/AFIR FotoVoltaic 1/15. Implementare Proiect Fotovoltaic/10.Neets-Suntech/Etichete panouri/Etichete Paleti Nicu/WhatsApp Image 2026-05-13 at 15.16.17 (4).jpeg","Deschide sursa")</x:f>
        <x:v>HYPERLINK is not implemented. linkLocation=file:///Z:/00. Proiecte 2025/AFIR FotoVoltaic 1/15. Implementare Proiect Fotovoltaic/10.Neets-Suntech/Etichete panouri/Etichete Paleti Nicu/WhatsApp Image 2026-05-13 at 15.16.17 (4).jpeg, friendlyName=Deschide sursa</x:v>
      </x:c>
    </x:row>
    <x:row r="614" ht="36" customHeight="1">
      <x:c r="A614" s="8" t="str">
        <x:v>F0610</x:v>
      </x:c>
      <x:c r="B614" s="8" t="str">
        <x:v>WhatsApp Image 2026-05-13 at 15.16.17.jpeg</x:v>
      </x:c>
      <x:c r="C614" s="8" t="str">
        <x:v>15. Implementare Proiect Fotovoltaic</x:v>
      </x:c>
      <x:c r="D614" s="8" t="str">
        <x:v>Proiect fotovoltaic</x:v>
      </x:c>
      <x:c r="E614" s="8" t="str">
        <x:v>.jpeg</x:v>
      </x:c>
      <x:c r="F614" s="8" t="n">
        <x:v>448328</x:v>
      </x:c>
      <x:c r="G614" s="8" t="str">
        <x:v>Inventariat; conținut neextras</x:v>
      </x:c>
      <x:c r="H614" s="8" t="str">
        <x:v>Document local; transmiterea individuală neconfirmată</x:v>
      </x:c>
      <x:c r="I614" s="8" t="str"/>
      <x:c r="J614" s="8" t="e">
        <x:f>HYPERLINK("file:///Z:/00. Proiecte 2025/AFIR FotoVoltaic 1/15. Implementare Proiect Fotovoltaic/10.Neets-Suntech/Etichete panouri/Etichete Paleti Nicu/WhatsApp Image 2026-05-13 at 15.16.17.jpeg","Deschide sursa")</x:f>
        <x:v>HYPERLINK is not implemented. linkLocation=file:///Z:/00. Proiecte 2025/AFIR FotoVoltaic 1/15. Implementare Proiect Fotovoltaic/10.Neets-Suntech/Etichete panouri/Etichete Paleti Nicu/WhatsApp Image 2026-05-13 at 15.16.17.jpeg, friendlyName=Deschide sursa</x:v>
      </x:c>
    </x:row>
    <x:row r="615" ht="36" customHeight="1">
      <x:c r="A615" s="8" t="str">
        <x:v>F0611</x:v>
      </x:c>
      <x:c r="B615" s="8" t="str">
        <x:v>WhatsApp Image 2026-05-14 at 10.22.20.jpeg</x:v>
      </x:c>
      <x:c r="C615" s="8" t="str">
        <x:v>15. Implementare Proiect Fotovoltaic</x:v>
      </x:c>
      <x:c r="D615" s="8" t="str">
        <x:v>Proiect fotovoltaic</x:v>
      </x:c>
      <x:c r="E615" s="8" t="str">
        <x:v>.jpeg</x:v>
      </x:c>
      <x:c r="F615" s="8" t="n">
        <x:v>354092</x:v>
      </x:c>
      <x:c r="G615" s="8" t="str">
        <x:v>Inventariat; conținut neextras</x:v>
      </x:c>
      <x:c r="H615" s="8" t="str">
        <x:v>Document local; transmiterea individuală neconfirmată</x:v>
      </x:c>
      <x:c r="I615" s="8" t="str"/>
      <x:c r="J615" s="8" t="e">
        <x:f>HYPERLINK("file:///Z:/00. Proiecte 2025/AFIR FotoVoltaic 1/15. Implementare Proiect Fotovoltaic/10.Neets-Suntech/Etichete panouri/Furate/WhatsApp Image 2026-05-14 at 10.22.20.jpeg","Deschide sursa")</x:f>
        <x:v>HYPERLINK is not implemented. linkLocation=file:///Z:/00. Proiecte 2025/AFIR FotoVoltaic 1/15. Implementare Proiect Fotovoltaic/10.Neets-Suntech/Etichete panouri/Furate/WhatsApp Image 2026-05-14 at 10.22.20.jpeg, friendlyName=Deschide sursa</x:v>
      </x:c>
    </x:row>
    <x:row r="616" ht="36" customHeight="1">
      <x:c r="A616" s="8" t="str">
        <x:v>F0612</x:v>
      </x:c>
      <x:c r="B616" s="8" t="str">
        <x:v>WhatsApp Image 2026-05-14 at 10.22.21 (1).jpeg</x:v>
      </x:c>
      <x:c r="C616" s="8" t="str">
        <x:v>15. Implementare Proiect Fotovoltaic</x:v>
      </x:c>
      <x:c r="D616" s="8" t="str">
        <x:v>Proiect fotovoltaic</x:v>
      </x:c>
      <x:c r="E616" s="8" t="str">
        <x:v>.jpeg</x:v>
      </x:c>
      <x:c r="F616" s="8" t="n">
        <x:v>330763</x:v>
      </x:c>
      <x:c r="G616" s="8" t="str">
        <x:v>Inventariat; conținut neextras</x:v>
      </x:c>
      <x:c r="H616" s="8" t="str">
        <x:v>Document local; transmiterea individuală neconfirmată</x:v>
      </x:c>
      <x:c r="I616" s="8" t="str"/>
      <x:c r="J616" s="8" t="e">
        <x:f>HYPERLINK("file:///Z:/00. Proiecte 2025/AFIR FotoVoltaic 1/15. Implementare Proiect Fotovoltaic/10.Neets-Suntech/Etichete panouri/Furate/WhatsApp Image 2026-05-14 at 10.22.21 (1).jpeg","Deschide sursa")</x:f>
        <x:v>HYPERLINK is not implemented. linkLocation=file:///Z:/00. Proiecte 2025/AFIR FotoVoltaic 1/15. Implementare Proiect Fotovoltaic/10.Neets-Suntech/Etichete panouri/Furate/WhatsApp Image 2026-05-14 at 10.22.21 (1).jpeg, friendlyName=Deschide sursa</x:v>
      </x:c>
    </x:row>
    <x:row r="617" ht="36" customHeight="1">
      <x:c r="A617" s="8" t="str">
        <x:v>F0613</x:v>
      </x:c>
      <x:c r="B617" s="8" t="str">
        <x:v>WhatsApp Image 2026-05-14 at 10.22.21.jpeg</x:v>
      </x:c>
      <x:c r="C617" s="8" t="str">
        <x:v>15. Implementare Proiect Fotovoltaic</x:v>
      </x:c>
      <x:c r="D617" s="8" t="str">
        <x:v>Proiect fotovoltaic</x:v>
      </x:c>
      <x:c r="E617" s="8" t="str">
        <x:v>.jpeg</x:v>
      </x:c>
      <x:c r="F617" s="8" t="n">
        <x:v>317459</x:v>
      </x:c>
      <x:c r="G617" s="8" t="str">
        <x:v>Inventariat; conținut neextras</x:v>
      </x:c>
      <x:c r="H617" s="8" t="str">
        <x:v>Document local; transmiterea individuală neconfirmată</x:v>
      </x:c>
      <x:c r="I617" s="8" t="str"/>
      <x:c r="J617" s="8" t="e">
        <x:f>HYPERLINK("file:///Z:/00. Proiecte 2025/AFIR FotoVoltaic 1/15. Implementare Proiect Fotovoltaic/10.Neets-Suntech/Etichete panouri/Furate/WhatsApp Image 2026-05-14 at 10.22.21.jpeg","Deschide sursa")</x:f>
        <x:v>HYPERLINK is not implemented. linkLocation=file:///Z:/00. Proiecte 2025/AFIR FotoVoltaic 1/15. Implementare Proiect Fotovoltaic/10.Neets-Suntech/Etichete panouri/Furate/WhatsApp Image 2026-05-14 at 10.22.21.jpeg, friendlyName=Deschide sursa</x:v>
      </x:c>
    </x:row>
    <x:row r="618" ht="36" customHeight="1">
      <x:c r="A618" s="8" t="str">
        <x:v>F0614</x:v>
      </x:c>
      <x:c r="B618" s="8" t="str">
        <x:v>WhatsApp Image 2026-05-14 at 10.22.22.jpeg</x:v>
      </x:c>
      <x:c r="C618" s="8" t="str">
        <x:v>15. Implementare Proiect Fotovoltaic</x:v>
      </x:c>
      <x:c r="D618" s="8" t="str">
        <x:v>Proiect fotovoltaic</x:v>
      </x:c>
      <x:c r="E618" s="8" t="str">
        <x:v>.jpeg</x:v>
      </x:c>
      <x:c r="F618" s="8" t="n">
        <x:v>317105</x:v>
      </x:c>
      <x:c r="G618" s="8" t="str">
        <x:v>Inventariat; conținut neextras</x:v>
      </x:c>
      <x:c r="H618" s="8" t="str">
        <x:v>Document local; transmiterea individuală neconfirmată</x:v>
      </x:c>
      <x:c r="I618" s="8" t="str"/>
      <x:c r="J618" s="8" t="e">
        <x:f>HYPERLINK("file:///Z:/00. Proiecte 2025/AFIR FotoVoltaic 1/15. Implementare Proiect Fotovoltaic/10.Neets-Suntech/Etichete panouri/Furate/WhatsApp Image 2026-05-14 at 10.22.22.jpeg","Deschide sursa")</x:f>
        <x:v>HYPERLINK is not implemented. linkLocation=file:///Z:/00. Proiecte 2025/AFIR FotoVoltaic 1/15. Implementare Proiect Fotovoltaic/10.Neets-Suntech/Etichete panouri/Furate/WhatsApp Image 2026-05-14 at 10.22.22.jpeg, friendlyName=Deschide sursa</x:v>
      </x:c>
    </x:row>
    <x:row r="619" ht="36" customHeight="1">
      <x:c r="A619" s="8" t="str">
        <x:v>F0615</x:v>
      </x:c>
      <x:c r="B619" s="8" t="str">
        <x:v>WhatsApp Image 2026-05-14 at 10.22.23.jpeg</x:v>
      </x:c>
      <x:c r="C619" s="8" t="str">
        <x:v>15. Implementare Proiect Fotovoltaic</x:v>
      </x:c>
      <x:c r="D619" s="8" t="str">
        <x:v>Proiect fotovoltaic</x:v>
      </x:c>
      <x:c r="E619" s="8" t="str">
        <x:v>.jpeg</x:v>
      </x:c>
      <x:c r="F619" s="8" t="n">
        <x:v>326222</x:v>
      </x:c>
      <x:c r="G619" s="8" t="str">
        <x:v>Inventariat; conținut neextras</x:v>
      </x:c>
      <x:c r="H619" s="8" t="str">
        <x:v>Document local; transmiterea individuală neconfirmată</x:v>
      </x:c>
      <x:c r="I619" s="8" t="str"/>
      <x:c r="J619" s="8" t="e">
        <x:f>HYPERLINK("file:///Z:/00. Proiecte 2025/AFIR FotoVoltaic 1/15. Implementare Proiect Fotovoltaic/10.Neets-Suntech/Etichete panouri/Furate/WhatsApp Image 2026-05-14 at 10.22.23.jpeg","Deschide sursa")</x:f>
        <x:v>HYPERLINK is not implemented. linkLocation=file:///Z:/00. Proiecte 2025/AFIR FotoVoltaic 1/15. Implementare Proiect Fotovoltaic/10.Neets-Suntech/Etichete panouri/Furate/WhatsApp Image 2026-05-14 at 10.22.23.jpeg, friendlyName=Deschide sursa</x:v>
      </x:c>
    </x:row>
    <x:row r="620" ht="36" customHeight="1">
      <x:c r="A620" s="8" t="str">
        <x:v>F0616</x:v>
      </x:c>
      <x:c r="B620" s="8" t="str">
        <x:v>WhatsApp Image 2026-05-14 at 10.22.24.jpeg</x:v>
      </x:c>
      <x:c r="C620" s="8" t="str">
        <x:v>15. Implementare Proiect Fotovoltaic</x:v>
      </x:c>
      <x:c r="D620" s="8" t="str">
        <x:v>Proiect fotovoltaic</x:v>
      </x:c>
      <x:c r="E620" s="8" t="str">
        <x:v>.jpeg</x:v>
      </x:c>
      <x:c r="F620" s="8" t="n">
        <x:v>324842</x:v>
      </x:c>
      <x:c r="G620" s="8" t="str">
        <x:v>Inventariat; conținut neextras</x:v>
      </x:c>
      <x:c r="H620" s="8" t="str">
        <x:v>Document local; transmiterea individuală neconfirmată</x:v>
      </x:c>
      <x:c r="I620" s="8" t="str"/>
      <x:c r="J620" s="8" t="e">
        <x:f>HYPERLINK("file:///Z:/00. Proiecte 2025/AFIR FotoVoltaic 1/15. Implementare Proiect Fotovoltaic/10.Neets-Suntech/Etichete panouri/Furate/WhatsApp Image 2026-05-14 at 10.22.24.jpeg","Deschide sursa")</x:f>
        <x:v>HYPERLINK is not implemented. linkLocation=file:///Z:/00. Proiecte 2025/AFIR FotoVoltaic 1/15. Implementare Proiect Fotovoltaic/10.Neets-Suntech/Etichete panouri/Furate/WhatsApp Image 2026-05-14 at 10.22.24.jpeg, friendlyName=Deschide sursa</x:v>
      </x:c>
    </x:row>
    <x:row r="621" ht="36" customHeight="1">
      <x:c r="A621" s="8" t="str">
        <x:v>F0617</x:v>
      </x:c>
      <x:c r="B621" s="8" t="str">
        <x:v>WhatsApp Image 2026-05-14 at 10.22.25.jpeg</x:v>
      </x:c>
      <x:c r="C621" s="8" t="str">
        <x:v>15. Implementare Proiect Fotovoltaic</x:v>
      </x:c>
      <x:c r="D621" s="8" t="str">
        <x:v>Proiect fotovoltaic</x:v>
      </x:c>
      <x:c r="E621" s="8" t="str">
        <x:v>.jpeg</x:v>
      </x:c>
      <x:c r="F621" s="8" t="n">
        <x:v>324442</x:v>
      </x:c>
      <x:c r="G621" s="8" t="str">
        <x:v>Inventariat; conținut neextras</x:v>
      </x:c>
      <x:c r="H621" s="8" t="str">
        <x:v>Document local; transmiterea individuală neconfirmată</x:v>
      </x:c>
      <x:c r="I621" s="8" t="str"/>
      <x:c r="J621" s="8" t="e">
        <x:f>HYPERLINK("file:///Z:/00. Proiecte 2025/AFIR FotoVoltaic 1/15. Implementare Proiect Fotovoltaic/10.Neets-Suntech/Etichete panouri/Furate/WhatsApp Image 2026-05-14 at 10.22.25.jpeg","Deschide sursa")</x:f>
        <x:v>HYPERLINK is not implemented. linkLocation=file:///Z:/00. Proiecte 2025/AFIR FotoVoltaic 1/15. Implementare Proiect Fotovoltaic/10.Neets-Suntech/Etichete panouri/Furate/WhatsApp Image 2026-05-14 at 10.22.25.jpeg, friendlyName=Deschide sursa</x:v>
      </x:c>
    </x:row>
    <x:row r="622" ht="36" customHeight="1">
      <x:c r="A622" s="8" t="str">
        <x:v>F0618</x:v>
      </x:c>
      <x:c r="B622" s="8" t="str">
        <x:v>WhatsApp Image 2026-05-14 at 10.22.26.jpeg</x:v>
      </x:c>
      <x:c r="C622" s="8" t="str">
        <x:v>15. Implementare Proiect Fotovoltaic</x:v>
      </x:c>
      <x:c r="D622" s="8" t="str">
        <x:v>Proiect fotovoltaic</x:v>
      </x:c>
      <x:c r="E622" s="8" t="str">
        <x:v>.jpeg</x:v>
      </x:c>
      <x:c r="F622" s="8" t="n">
        <x:v>325107</x:v>
      </x:c>
      <x:c r="G622" s="8" t="str">
        <x:v>Inventariat; conținut neextras</x:v>
      </x:c>
      <x:c r="H622" s="8" t="str">
        <x:v>Document local; transmiterea individuală neconfirmată</x:v>
      </x:c>
      <x:c r="I622" s="8" t="str"/>
      <x:c r="J622" s="8" t="e">
        <x:f>HYPERLINK("file:///Z:/00. Proiecte 2025/AFIR FotoVoltaic 1/15. Implementare Proiect Fotovoltaic/10.Neets-Suntech/Etichete panouri/Furate/WhatsApp Image 2026-05-14 at 10.22.26.jpeg","Deschide sursa")</x:f>
        <x:v>HYPERLINK is not implemented. linkLocation=file:///Z:/00. Proiecte 2025/AFIR FotoVoltaic 1/15. Implementare Proiect Fotovoltaic/10.Neets-Suntech/Etichete panouri/Furate/WhatsApp Image 2026-05-14 at 10.22.26.jpeg, friendlyName=Deschide sursa</x:v>
      </x:c>
    </x:row>
    <x:row r="623" ht="36" customHeight="1">
      <x:c r="A623" s="8" t="str">
        <x:v>F0619</x:v>
      </x:c>
      <x:c r="B623" s="8" t="str">
        <x:v>WhatsApp Image 2026-05-14 at 10.22.27.jpeg</x:v>
      </x:c>
      <x:c r="C623" s="8" t="str">
        <x:v>15. Implementare Proiect Fotovoltaic</x:v>
      </x:c>
      <x:c r="D623" s="8" t="str">
        <x:v>Proiect fotovoltaic</x:v>
      </x:c>
      <x:c r="E623" s="8" t="str">
        <x:v>.jpeg</x:v>
      </x:c>
      <x:c r="F623" s="8" t="n">
        <x:v>322100</x:v>
      </x:c>
      <x:c r="G623" s="8" t="str">
        <x:v>Inventariat; conținut neextras</x:v>
      </x:c>
      <x:c r="H623" s="8" t="str">
        <x:v>Document local; transmiterea individuală neconfirmată</x:v>
      </x:c>
      <x:c r="I623" s="8" t="str"/>
      <x:c r="J623" s="8" t="e">
        <x:f>HYPERLINK("file:///Z:/00. Proiecte 2025/AFIR FotoVoltaic 1/15. Implementare Proiect Fotovoltaic/10.Neets-Suntech/Etichete panouri/Furate/WhatsApp Image 2026-05-14 at 10.22.27.jpeg","Deschide sursa")</x:f>
        <x:v>HYPERLINK is not implemented. linkLocation=file:///Z:/00. Proiecte 2025/AFIR FotoVoltaic 1/15. Implementare Proiect Fotovoltaic/10.Neets-Suntech/Etichete panouri/Furate/WhatsApp Image 2026-05-14 at 10.22.27.jpeg, friendlyName=Deschide sursa</x:v>
      </x:c>
    </x:row>
    <x:row r="624" ht="36" customHeight="1">
      <x:c r="A624" s="8" t="str">
        <x:v>F0620</x:v>
      </x:c>
      <x:c r="B624" s="8" t="str">
        <x:v>WhatsApp Image 2026-05-14 at 10.22.28 (1).jpeg</x:v>
      </x:c>
      <x:c r="C624" s="8" t="str">
        <x:v>15. Implementare Proiect Fotovoltaic</x:v>
      </x:c>
      <x:c r="D624" s="8" t="str">
        <x:v>Proiect fotovoltaic</x:v>
      </x:c>
      <x:c r="E624" s="8" t="str">
        <x:v>.jpeg</x:v>
      </x:c>
      <x:c r="F624" s="8" t="n">
        <x:v>314519</x:v>
      </x:c>
      <x:c r="G624" s="8" t="str">
        <x:v>Inventariat; conținut neextras</x:v>
      </x:c>
      <x:c r="H624" s="8" t="str">
        <x:v>Document local; transmiterea individuală neconfirmată</x:v>
      </x:c>
      <x:c r="I624" s="8" t="str"/>
      <x:c r="J624" s="8" t="e">
        <x:f>HYPERLINK("file:///Z:/00. Proiecte 2025/AFIR FotoVoltaic 1/15. Implementare Proiect Fotovoltaic/10.Neets-Suntech/Etichete panouri/Furate/WhatsApp Image 2026-05-14 at 10.22.28 (1).jpeg","Deschide sursa")</x:f>
        <x:v>HYPERLINK is not implemented. linkLocation=file:///Z:/00. Proiecte 2025/AFIR FotoVoltaic 1/15. Implementare Proiect Fotovoltaic/10.Neets-Suntech/Etichete panouri/Furate/WhatsApp Image 2026-05-14 at 10.22.28 (1).jpeg, friendlyName=Deschide sursa</x:v>
      </x:c>
    </x:row>
    <x:row r="625" ht="36" customHeight="1">
      <x:c r="A625" s="8" t="str">
        <x:v>F0621</x:v>
      </x:c>
      <x:c r="B625" s="8" t="str">
        <x:v>WhatsApp Image 2026-05-14 at 10.22.28.jpeg</x:v>
      </x:c>
      <x:c r="C625" s="8" t="str">
        <x:v>15. Implementare Proiect Fotovoltaic</x:v>
      </x:c>
      <x:c r="D625" s="8" t="str">
        <x:v>Proiect fotovoltaic</x:v>
      </x:c>
      <x:c r="E625" s="8" t="str">
        <x:v>.jpeg</x:v>
      </x:c>
      <x:c r="F625" s="8" t="n">
        <x:v>310135</x:v>
      </x:c>
      <x:c r="G625" s="8" t="str">
        <x:v>Inventariat; conținut neextras</x:v>
      </x:c>
      <x:c r="H625" s="8" t="str">
        <x:v>Document local; transmiterea individuală neconfirmată</x:v>
      </x:c>
      <x:c r="I625" s="8" t="str"/>
      <x:c r="J625" s="8" t="e">
        <x:f>HYPERLINK("file:///Z:/00. Proiecte 2025/AFIR FotoVoltaic 1/15. Implementare Proiect Fotovoltaic/10.Neets-Suntech/Etichete panouri/Furate/WhatsApp Image 2026-05-14 at 10.22.28.jpeg","Deschide sursa")</x:f>
        <x:v>HYPERLINK is not implemented. linkLocation=file:///Z:/00. Proiecte 2025/AFIR FotoVoltaic 1/15. Implementare Proiect Fotovoltaic/10.Neets-Suntech/Etichete panouri/Furate/WhatsApp Image 2026-05-14 at 10.22.28.jpeg, friendlyName=Deschide sursa</x:v>
      </x:c>
    </x:row>
    <x:row r="626" ht="36" customHeight="1">
      <x:c r="A626" s="8" t="str">
        <x:v>F0622</x:v>
      </x:c>
      <x:c r="B626" s="8" t="str">
        <x:v>WhatsApp Image 2026-05-14 at 10.22.30.jpeg</x:v>
      </x:c>
      <x:c r="C626" s="8" t="str">
        <x:v>15. Implementare Proiect Fotovoltaic</x:v>
      </x:c>
      <x:c r="D626" s="8" t="str">
        <x:v>Proiect fotovoltaic</x:v>
      </x:c>
      <x:c r="E626" s="8" t="str">
        <x:v>.jpeg</x:v>
      </x:c>
      <x:c r="F626" s="8" t="n">
        <x:v>314732</x:v>
      </x:c>
      <x:c r="G626" s="8" t="str">
        <x:v>Inventariat; conținut neextras</x:v>
      </x:c>
      <x:c r="H626" s="8" t="str">
        <x:v>Document local; transmiterea individuală neconfirmată</x:v>
      </x:c>
      <x:c r="I626" s="8" t="str"/>
      <x:c r="J626" s="8" t="e">
        <x:f>HYPERLINK("file:///Z:/00. Proiecte 2025/AFIR FotoVoltaic 1/15. Implementare Proiect Fotovoltaic/10.Neets-Suntech/Etichete panouri/Furate/WhatsApp Image 2026-05-14 at 10.22.30.jpeg","Deschide sursa")</x:f>
        <x:v>HYPERLINK is not implemented. linkLocation=file:///Z:/00. Proiecte 2025/AFIR FotoVoltaic 1/15. Implementare Proiect Fotovoltaic/10.Neets-Suntech/Etichete panouri/Furate/WhatsApp Image 2026-05-14 at 10.22.30.jpeg, friendlyName=Deschide sursa</x:v>
      </x:c>
    </x:row>
    <x:row r="627" ht="36" customHeight="1">
      <x:c r="A627" s="8" t="str">
        <x:v>F0623</x:v>
      </x:c>
      <x:c r="B627" s="8" t="str">
        <x:v>WhatsApp Image 2026-05-14 at 10.22.31.jpeg</x:v>
      </x:c>
      <x:c r="C627" s="8" t="str">
        <x:v>15. Implementare Proiect Fotovoltaic</x:v>
      </x:c>
      <x:c r="D627" s="8" t="str">
        <x:v>Proiect fotovoltaic</x:v>
      </x:c>
      <x:c r="E627" s="8" t="str">
        <x:v>.jpeg</x:v>
      </x:c>
      <x:c r="F627" s="8" t="n">
        <x:v>304373</x:v>
      </x:c>
      <x:c r="G627" s="8" t="str">
        <x:v>Inventariat; conținut neextras</x:v>
      </x:c>
      <x:c r="H627" s="8" t="str">
        <x:v>Document local; transmiterea individuală neconfirmată</x:v>
      </x:c>
      <x:c r="I627" s="8" t="str"/>
      <x:c r="J627" s="8" t="e">
        <x:f>HYPERLINK("file:///Z:/00. Proiecte 2025/AFIR FotoVoltaic 1/15. Implementare Proiect Fotovoltaic/10.Neets-Suntech/Etichete panouri/Furate/WhatsApp Image 2026-05-14 at 10.22.31.jpeg","Deschide sursa")</x:f>
        <x:v>HYPERLINK is not implemented. linkLocation=file:///Z:/00. Proiecte 2025/AFIR FotoVoltaic 1/15. Implementare Proiect Fotovoltaic/10.Neets-Suntech/Etichete panouri/Furate/WhatsApp Image 2026-05-14 at 10.22.31.jpeg, friendlyName=Deschide sursa</x:v>
      </x:c>
    </x:row>
    <x:row r="628" ht="36" customHeight="1">
      <x:c r="A628" s="8" t="str">
        <x:v>F0624</x:v>
      </x:c>
      <x:c r="B628" s="8" t="str">
        <x:v>WhatsApp Image 2026-05-14 at 10.22.32.jpeg</x:v>
      </x:c>
      <x:c r="C628" s="8" t="str">
        <x:v>15. Implementare Proiect Fotovoltaic</x:v>
      </x:c>
      <x:c r="D628" s="8" t="str">
        <x:v>Proiect fotovoltaic</x:v>
      </x:c>
      <x:c r="E628" s="8" t="str">
        <x:v>.jpeg</x:v>
      </x:c>
      <x:c r="F628" s="8" t="n">
        <x:v>305711</x:v>
      </x:c>
      <x:c r="G628" s="8" t="str">
        <x:v>Inventariat; conținut neextras</x:v>
      </x:c>
      <x:c r="H628" s="8" t="str">
        <x:v>Document local; transmiterea individuală neconfirmată</x:v>
      </x:c>
      <x:c r="I628" s="8" t="str"/>
      <x:c r="J628" s="8" t="e">
        <x:f>HYPERLINK("file:///Z:/00. Proiecte 2025/AFIR FotoVoltaic 1/15. Implementare Proiect Fotovoltaic/10.Neets-Suntech/Etichete panouri/Furate/WhatsApp Image 2026-05-14 at 10.22.32.jpeg","Deschide sursa")</x:f>
        <x:v>HYPERLINK is not implemented. linkLocation=file:///Z:/00. Proiecte 2025/AFIR FotoVoltaic 1/15. Implementare Proiect Fotovoltaic/10.Neets-Suntech/Etichete panouri/Furate/WhatsApp Image 2026-05-14 at 10.22.32.jpeg, friendlyName=Deschide sursa</x:v>
      </x:c>
    </x:row>
    <x:row r="629" ht="36" customHeight="1">
      <x:c r="A629" s="8" t="str">
        <x:v>F0625</x:v>
      </x:c>
      <x:c r="B629" s="8" t="str">
        <x:v>WhatsApp Image 2026-05-14 at 10.22.33.jpeg</x:v>
      </x:c>
      <x:c r="C629" s="8" t="str">
        <x:v>15. Implementare Proiect Fotovoltaic</x:v>
      </x:c>
      <x:c r="D629" s="8" t="str">
        <x:v>Proiect fotovoltaic</x:v>
      </x:c>
      <x:c r="E629" s="8" t="str">
        <x:v>.jpeg</x:v>
      </x:c>
      <x:c r="F629" s="8" t="n">
        <x:v>257370</x:v>
      </x:c>
      <x:c r="G629" s="8" t="str">
        <x:v>Inventariat; conținut neextras</x:v>
      </x:c>
      <x:c r="H629" s="8" t="str">
        <x:v>Document local; transmiterea individuală neconfirmată</x:v>
      </x:c>
      <x:c r="I629" s="8" t="str"/>
      <x:c r="J629" s="8" t="e">
        <x:f>HYPERLINK("file:///Z:/00. Proiecte 2025/AFIR FotoVoltaic 1/15. Implementare Proiect Fotovoltaic/10.Neets-Suntech/Etichete panouri/Furate/WhatsApp Image 2026-05-14 at 10.22.33.jpeg","Deschide sursa")</x:f>
        <x:v>HYPERLINK is not implemented. linkLocation=file:///Z:/00. Proiecte 2025/AFIR FotoVoltaic 1/15. Implementare Proiect Fotovoltaic/10.Neets-Suntech/Etichete panouri/Furate/WhatsApp Image 2026-05-14 at 10.22.33.jpeg, friendlyName=Deschide sursa</x:v>
      </x:c>
    </x:row>
    <x:row r="630" ht="36" customHeight="1">
      <x:c r="A630" s="8" t="str">
        <x:v>F0626</x:v>
      </x:c>
      <x:c r="B630" s="8" t="str">
        <x:v>WhatsApp Image 2026-05-14 at 10.22.34.jpeg</x:v>
      </x:c>
      <x:c r="C630" s="8" t="str">
        <x:v>15. Implementare Proiect Fotovoltaic</x:v>
      </x:c>
      <x:c r="D630" s="8" t="str">
        <x:v>Proiect fotovoltaic</x:v>
      </x:c>
      <x:c r="E630" s="8" t="str">
        <x:v>.jpeg</x:v>
      </x:c>
      <x:c r="F630" s="8" t="n">
        <x:v>321485</x:v>
      </x:c>
      <x:c r="G630" s="8" t="str">
        <x:v>Inventariat; conținut neextras</x:v>
      </x:c>
      <x:c r="H630" s="8" t="str">
        <x:v>Document local; transmiterea individuală neconfirmată</x:v>
      </x:c>
      <x:c r="I630" s="8" t="str"/>
      <x:c r="J630" s="8" t="e">
        <x:f>HYPERLINK("file:///Z:/00. Proiecte 2025/AFIR FotoVoltaic 1/15. Implementare Proiect Fotovoltaic/10.Neets-Suntech/Etichete panouri/Furate/WhatsApp Image 2026-05-14 at 10.22.34.jpeg","Deschide sursa")</x:f>
        <x:v>HYPERLINK is not implemented. linkLocation=file:///Z:/00. Proiecte 2025/AFIR FotoVoltaic 1/15. Implementare Proiect Fotovoltaic/10.Neets-Suntech/Etichete panouri/Furate/WhatsApp Image 2026-05-14 at 10.22.34.jpeg, friendlyName=Deschide sursa</x:v>
      </x:c>
    </x:row>
    <x:row r="631" ht="36" customHeight="1">
      <x:c r="A631" s="8" t="str">
        <x:v>F0627</x:v>
      </x:c>
      <x:c r="B631" s="8" t="str">
        <x:v>WhatsApp Image 2026-05-14 at 10.22.35.jpeg</x:v>
      </x:c>
      <x:c r="C631" s="8" t="str">
        <x:v>15. Implementare Proiect Fotovoltaic</x:v>
      </x:c>
      <x:c r="D631" s="8" t="str">
        <x:v>Proiect fotovoltaic</x:v>
      </x:c>
      <x:c r="E631" s="8" t="str">
        <x:v>.jpeg</x:v>
      </x:c>
      <x:c r="F631" s="8" t="n">
        <x:v>399243</x:v>
      </x:c>
      <x:c r="G631" s="8" t="str">
        <x:v>Inventariat; conținut neextras</x:v>
      </x:c>
      <x:c r="H631" s="8" t="str">
        <x:v>Document local; transmiterea individuală neconfirmată</x:v>
      </x:c>
      <x:c r="I631" s="8" t="str"/>
      <x:c r="J631" s="8" t="e">
        <x:f>HYPERLINK("file:///Z:/00. Proiecte 2025/AFIR FotoVoltaic 1/15. Implementare Proiect Fotovoltaic/10.Neets-Suntech/Etichete panouri/Furate/WhatsApp Image 2026-05-14 at 10.22.35.jpeg","Deschide sursa")</x:f>
        <x:v>HYPERLINK is not implemented. linkLocation=file:///Z:/00. Proiecte 2025/AFIR FotoVoltaic 1/15. Implementare Proiect Fotovoltaic/10.Neets-Suntech/Etichete panouri/Furate/WhatsApp Image 2026-05-14 at 10.22.35.jpeg, friendlyName=Deschide sursa</x:v>
      </x:c>
    </x:row>
    <x:row r="632" ht="36" customHeight="1">
      <x:c r="A632" s="8" t="str">
        <x:v>F0628</x:v>
      </x:c>
      <x:c r="B632" s="8" t="str">
        <x:v>WhatsApp Image 2026-05-14 at 10.22.36 (1).jpeg</x:v>
      </x:c>
      <x:c r="C632" s="8" t="str">
        <x:v>15. Implementare Proiect Fotovoltaic</x:v>
      </x:c>
      <x:c r="D632" s="8" t="str">
        <x:v>Proiect fotovoltaic</x:v>
      </x:c>
      <x:c r="E632" s="8" t="str">
        <x:v>.jpeg</x:v>
      </x:c>
      <x:c r="F632" s="8" t="n">
        <x:v>285171</x:v>
      </x:c>
      <x:c r="G632" s="8" t="str">
        <x:v>Inventariat; conținut neextras</x:v>
      </x:c>
      <x:c r="H632" s="8" t="str">
        <x:v>Document local; transmiterea individuală neconfirmată</x:v>
      </x:c>
      <x:c r="I632" s="8" t="str"/>
      <x:c r="J632" s="8" t="e">
        <x:f>HYPERLINK("file:///Z:/00. Proiecte 2025/AFIR FotoVoltaic 1/15. Implementare Proiect Fotovoltaic/10.Neets-Suntech/Etichete panouri/Furate/WhatsApp Image 2026-05-14 at 10.22.36 (1).jpeg","Deschide sursa")</x:f>
        <x:v>HYPERLINK is not implemented. linkLocation=file:///Z:/00. Proiecte 2025/AFIR FotoVoltaic 1/15. Implementare Proiect Fotovoltaic/10.Neets-Suntech/Etichete panouri/Furate/WhatsApp Image 2026-05-14 at 10.22.36 (1).jpeg, friendlyName=Deschide sursa</x:v>
      </x:c>
    </x:row>
    <x:row r="633" ht="36" customHeight="1">
      <x:c r="A633" s="8" t="str">
        <x:v>F0629</x:v>
      </x:c>
      <x:c r="B633" s="8" t="str">
        <x:v>WhatsApp Image 2026-05-14 at 10.22.36.jpeg</x:v>
      </x:c>
      <x:c r="C633" s="8" t="str">
        <x:v>15. Implementare Proiect Fotovoltaic</x:v>
      </x:c>
      <x:c r="D633" s="8" t="str">
        <x:v>Proiect fotovoltaic</x:v>
      </x:c>
      <x:c r="E633" s="8" t="str">
        <x:v>.jpeg</x:v>
      </x:c>
      <x:c r="F633" s="8" t="n">
        <x:v>285348</x:v>
      </x:c>
      <x:c r="G633" s="8" t="str">
        <x:v>Inventariat; conținut neextras</x:v>
      </x:c>
      <x:c r="H633" s="8" t="str">
        <x:v>Document local; transmiterea individuală neconfirmată</x:v>
      </x:c>
      <x:c r="I633" s="8" t="str"/>
      <x:c r="J633" s="8" t="e">
        <x:f>HYPERLINK("file:///Z:/00. Proiecte 2025/AFIR FotoVoltaic 1/15. Implementare Proiect Fotovoltaic/10.Neets-Suntech/Etichete panouri/Furate/WhatsApp Image 2026-05-14 at 10.22.36.jpeg","Deschide sursa")</x:f>
        <x:v>HYPERLINK is not implemented. linkLocation=file:///Z:/00. Proiecte 2025/AFIR FotoVoltaic 1/15. Implementare Proiect Fotovoltaic/10.Neets-Suntech/Etichete panouri/Furate/WhatsApp Image 2026-05-14 at 10.22.36.jpeg, friendlyName=Deschide sursa</x:v>
      </x:c>
    </x:row>
    <x:row r="634" ht="36" customHeight="1">
      <x:c r="A634" s="8" t="str">
        <x:v>F0630</x:v>
      </x:c>
      <x:c r="B634" s="8" t="str">
        <x:v>WhatsApp Image 2026-05-14 at 10.22.37.jpeg</x:v>
      </x:c>
      <x:c r="C634" s="8" t="str">
        <x:v>15. Implementare Proiect Fotovoltaic</x:v>
      </x:c>
      <x:c r="D634" s="8" t="str">
        <x:v>Proiect fotovoltaic</x:v>
      </x:c>
      <x:c r="E634" s="8" t="str">
        <x:v>.jpeg</x:v>
      </x:c>
      <x:c r="F634" s="8" t="n">
        <x:v>124279</x:v>
      </x:c>
      <x:c r="G634" s="8" t="str">
        <x:v>Inventariat; conținut neextras</x:v>
      </x:c>
      <x:c r="H634" s="8" t="str">
        <x:v>Document local; transmiterea individuală neconfirmată</x:v>
      </x:c>
      <x:c r="I634" s="8" t="str"/>
      <x:c r="J634" s="8" t="e">
        <x:f>HYPERLINK("file:///Z:/00. Proiecte 2025/AFIR FotoVoltaic 1/15. Implementare Proiect Fotovoltaic/10.Neets-Suntech/Etichete panouri/Furate/WhatsApp Image 2026-05-14 at 10.22.37.jpeg","Deschide sursa")</x:f>
        <x:v>HYPERLINK is not implemented. linkLocation=file:///Z:/00. Proiecte 2025/AFIR FotoVoltaic 1/15. Implementare Proiect Fotovoltaic/10.Neets-Suntech/Etichete panouri/Furate/WhatsApp Image 2026-05-14 at 10.22.37.jpeg, friendlyName=Deschide sursa</x:v>
      </x:c>
    </x:row>
    <x:row r="635" ht="36" customHeight="1">
      <x:c r="A635" s="8" t="str">
        <x:v>F0631</x:v>
      </x:c>
      <x:c r="B635" s="8" t="str">
        <x:v>WhatsApp Image 2026-05-14 at 10.22.38 (1).jpeg</x:v>
      </x:c>
      <x:c r="C635" s="8" t="str">
        <x:v>15. Implementare Proiect Fotovoltaic</x:v>
      </x:c>
      <x:c r="D635" s="8" t="str">
        <x:v>Proiect fotovoltaic</x:v>
      </x:c>
      <x:c r="E635" s="8" t="str">
        <x:v>.jpeg</x:v>
      </x:c>
      <x:c r="F635" s="8" t="n">
        <x:v>279176</x:v>
      </x:c>
      <x:c r="G635" s="8" t="str">
        <x:v>Inventariat; conținut neextras</x:v>
      </x:c>
      <x:c r="H635" s="8" t="str">
        <x:v>Document local; transmiterea individuală neconfirmată</x:v>
      </x:c>
      <x:c r="I635" s="8" t="str"/>
      <x:c r="J635" s="8" t="e">
        <x:f>HYPERLINK("file:///Z:/00. Proiecte 2025/AFIR FotoVoltaic 1/15. Implementare Proiect Fotovoltaic/10.Neets-Suntech/Etichete panouri/Furate/WhatsApp Image 2026-05-14 at 10.22.38 (1).jpeg","Deschide sursa")</x:f>
        <x:v>HYPERLINK is not implemented. linkLocation=file:///Z:/00. Proiecte 2025/AFIR FotoVoltaic 1/15. Implementare Proiect Fotovoltaic/10.Neets-Suntech/Etichete panouri/Furate/WhatsApp Image 2026-05-14 at 10.22.38 (1).jpeg, friendlyName=Deschide sursa</x:v>
      </x:c>
    </x:row>
    <x:row r="636" ht="36" customHeight="1">
      <x:c r="A636" s="8" t="str">
        <x:v>F0632</x:v>
      </x:c>
      <x:c r="B636" s="8" t="str">
        <x:v>WhatsApp Image 2026-05-14 at 10.22.38.jpeg</x:v>
      </x:c>
      <x:c r="C636" s="8" t="str">
        <x:v>15. Implementare Proiect Fotovoltaic</x:v>
      </x:c>
      <x:c r="D636" s="8" t="str">
        <x:v>Proiect fotovoltaic</x:v>
      </x:c>
      <x:c r="E636" s="8" t="str">
        <x:v>.jpeg</x:v>
      </x:c>
      <x:c r="F636" s="8" t="n">
        <x:v>188840</x:v>
      </x:c>
      <x:c r="G636" s="8" t="str">
        <x:v>Inventariat; conținut neextras</x:v>
      </x:c>
      <x:c r="H636" s="8" t="str">
        <x:v>Document local; transmiterea individuală neconfirmată</x:v>
      </x:c>
      <x:c r="I636" s="8" t="str"/>
      <x:c r="J636" s="8" t="e">
        <x:f>HYPERLINK("file:///Z:/00. Proiecte 2025/AFIR FotoVoltaic 1/15. Implementare Proiect Fotovoltaic/10.Neets-Suntech/Etichete panouri/Furate/WhatsApp Image 2026-05-14 at 10.22.38.jpeg","Deschide sursa")</x:f>
        <x:v>HYPERLINK is not implemented. linkLocation=file:///Z:/00. Proiecte 2025/AFIR FotoVoltaic 1/15. Implementare Proiect Fotovoltaic/10.Neets-Suntech/Etichete panouri/Furate/WhatsApp Image 2026-05-14 at 10.22.38.jpeg, friendlyName=Deschide sursa</x:v>
      </x:c>
    </x:row>
    <x:row r="637" ht="36" customHeight="1">
      <x:c r="A637" s="8" t="str">
        <x:v>F0633</x:v>
      </x:c>
      <x:c r="B637" s="8" t="str">
        <x:v>WhatsApp Image 2026-05-14 at 10.22.39 (1).jpeg</x:v>
      </x:c>
      <x:c r="C637" s="8" t="str">
        <x:v>15. Implementare Proiect Fotovoltaic</x:v>
      </x:c>
      <x:c r="D637" s="8" t="str">
        <x:v>Proiect fotovoltaic</x:v>
      </x:c>
      <x:c r="E637" s="8" t="str">
        <x:v>.jpeg</x:v>
      </x:c>
      <x:c r="F637" s="8" t="n">
        <x:v>206013</x:v>
      </x:c>
      <x:c r="G637" s="8" t="str">
        <x:v>Inventariat; conținut neextras</x:v>
      </x:c>
      <x:c r="H637" s="8" t="str">
        <x:v>Document local; transmiterea individuală neconfirmată</x:v>
      </x:c>
      <x:c r="I637" s="8" t="str"/>
      <x:c r="J637" s="8" t="e">
        <x:f>HYPERLINK("file:///Z:/00. Proiecte 2025/AFIR FotoVoltaic 1/15. Implementare Proiect Fotovoltaic/10.Neets-Suntech/Etichete panouri/Furate/WhatsApp Image 2026-05-14 at 10.22.39 (1).jpeg","Deschide sursa")</x:f>
        <x:v>HYPERLINK is not implemented. linkLocation=file:///Z:/00. Proiecte 2025/AFIR FotoVoltaic 1/15. Implementare Proiect Fotovoltaic/10.Neets-Suntech/Etichete panouri/Furate/WhatsApp Image 2026-05-14 at 10.22.39 (1).jpeg, friendlyName=Deschide sursa</x:v>
      </x:c>
    </x:row>
    <x:row r="638" ht="36" customHeight="1">
      <x:c r="A638" s="8" t="str">
        <x:v>F0634</x:v>
      </x:c>
      <x:c r="B638" s="8" t="str">
        <x:v>WhatsApp Image 2026-05-14 at 10.22.39.jpeg</x:v>
      </x:c>
      <x:c r="C638" s="8" t="str">
        <x:v>15. Implementare Proiect Fotovoltaic</x:v>
      </x:c>
      <x:c r="D638" s="8" t="str">
        <x:v>Proiect fotovoltaic</x:v>
      </x:c>
      <x:c r="E638" s="8" t="str">
        <x:v>.jpeg</x:v>
      </x:c>
      <x:c r="F638" s="8" t="n">
        <x:v>227075</x:v>
      </x:c>
      <x:c r="G638" s="8" t="str">
        <x:v>Inventariat; conținut neextras</x:v>
      </x:c>
      <x:c r="H638" s="8" t="str">
        <x:v>Document local; transmiterea individuală neconfirmată</x:v>
      </x:c>
      <x:c r="I638" s="8" t="str"/>
      <x:c r="J638" s="8" t="e">
        <x:f>HYPERLINK("file:///Z:/00. Proiecte 2025/AFIR FotoVoltaic 1/15. Implementare Proiect Fotovoltaic/10.Neets-Suntech/Etichete panouri/Furate/WhatsApp Image 2026-05-14 at 10.22.39.jpeg","Deschide sursa")</x:f>
        <x:v>HYPERLINK is not implemented. linkLocation=file:///Z:/00. Proiecte 2025/AFIR FotoVoltaic 1/15. Implementare Proiect Fotovoltaic/10.Neets-Suntech/Etichete panouri/Furate/WhatsApp Image 2026-05-14 at 10.22.39.jpeg, friendlyName=Deschide sursa</x:v>
      </x:c>
    </x:row>
    <x:row r="639" ht="36" customHeight="1">
      <x:c r="A639" s="8" t="str">
        <x:v>F0635</x:v>
      </x:c>
      <x:c r="B639" s="8" t="str">
        <x:v>WhatsApp Image 2026-05-14 at 10.22.40.jpeg</x:v>
      </x:c>
      <x:c r="C639" s="8" t="str">
        <x:v>15. Implementare Proiect Fotovoltaic</x:v>
      </x:c>
      <x:c r="D639" s="8" t="str">
        <x:v>Proiect fotovoltaic</x:v>
      </x:c>
      <x:c r="E639" s="8" t="str">
        <x:v>.jpeg</x:v>
      </x:c>
      <x:c r="F639" s="8" t="n">
        <x:v>208202</x:v>
      </x:c>
      <x:c r="G639" s="8" t="str">
        <x:v>Inventariat; conținut neextras</x:v>
      </x:c>
      <x:c r="H639" s="8" t="str">
        <x:v>Document local; transmiterea individuală neconfirmată</x:v>
      </x:c>
      <x:c r="I639" s="8" t="str"/>
      <x:c r="J639" s="8" t="e">
        <x:f>HYPERLINK("file:///Z:/00. Proiecte 2025/AFIR FotoVoltaic 1/15. Implementare Proiect Fotovoltaic/10.Neets-Suntech/Etichete panouri/Furate/WhatsApp Image 2026-05-14 at 10.22.40.jpeg","Deschide sursa")</x:f>
        <x:v>HYPERLINK is not implemented. linkLocation=file:///Z:/00. Proiecte 2025/AFIR FotoVoltaic 1/15. Implementare Proiect Fotovoltaic/10.Neets-Suntech/Etichete panouri/Furate/WhatsApp Image 2026-05-14 at 10.22.40.jpeg, friendlyName=Deschide sursa</x:v>
      </x:c>
    </x:row>
    <x:row r="640" ht="36" customHeight="1">
      <x:c r="A640" s="8" t="str">
        <x:v>F0636</x:v>
      </x:c>
      <x:c r="B640" s="8" t="str">
        <x:v>WhatsApp Image 2026-05-14 at 10.22.41 (1).jpeg</x:v>
      </x:c>
      <x:c r="C640" s="8" t="str">
        <x:v>15. Implementare Proiect Fotovoltaic</x:v>
      </x:c>
      <x:c r="D640" s="8" t="str">
        <x:v>Proiect fotovoltaic</x:v>
      </x:c>
      <x:c r="E640" s="8" t="str">
        <x:v>.jpeg</x:v>
      </x:c>
      <x:c r="F640" s="8" t="n">
        <x:v>229454</x:v>
      </x:c>
      <x:c r="G640" s="8" t="str">
        <x:v>Inventariat; conținut neextras</x:v>
      </x:c>
      <x:c r="H640" s="8" t="str">
        <x:v>Document local; transmiterea individuală neconfirmată</x:v>
      </x:c>
      <x:c r="I640" s="8" t="str"/>
      <x:c r="J640" s="8" t="e">
        <x:f>HYPERLINK("file:///Z:/00. Proiecte 2025/AFIR FotoVoltaic 1/15. Implementare Proiect Fotovoltaic/10.Neets-Suntech/Etichete panouri/Furate/WhatsApp Image 2026-05-14 at 10.22.41 (1).jpeg","Deschide sursa")</x:f>
        <x:v>HYPERLINK is not implemented. linkLocation=file:///Z:/00. Proiecte 2025/AFIR FotoVoltaic 1/15. Implementare Proiect Fotovoltaic/10.Neets-Suntech/Etichete panouri/Furate/WhatsApp Image 2026-05-14 at 10.22.41 (1).jpeg, friendlyName=Deschide sursa</x:v>
      </x:c>
    </x:row>
    <x:row r="641" ht="36" customHeight="1">
      <x:c r="A641" s="8" t="str">
        <x:v>F0637</x:v>
      </x:c>
      <x:c r="B641" s="8" t="str">
        <x:v>WhatsApp Image 2026-05-14 at 10.22.41.jpeg</x:v>
      </x:c>
      <x:c r="C641" s="8" t="str">
        <x:v>15. Implementare Proiect Fotovoltaic</x:v>
      </x:c>
      <x:c r="D641" s="8" t="str">
        <x:v>Proiect fotovoltaic</x:v>
      </x:c>
      <x:c r="E641" s="8" t="str">
        <x:v>.jpeg</x:v>
      </x:c>
      <x:c r="F641" s="8" t="n">
        <x:v>127074</x:v>
      </x:c>
      <x:c r="G641" s="8" t="str">
        <x:v>Inventariat; conținut neextras</x:v>
      </x:c>
      <x:c r="H641" s="8" t="str">
        <x:v>Document local; transmiterea individuală neconfirmată</x:v>
      </x:c>
      <x:c r="I641" s="8" t="str"/>
      <x:c r="J641" s="8" t="e">
        <x:f>HYPERLINK("file:///Z:/00. Proiecte 2025/AFIR FotoVoltaic 1/15. Implementare Proiect Fotovoltaic/10.Neets-Suntech/Etichete panouri/Furate/WhatsApp Image 2026-05-14 at 10.22.41.jpeg","Deschide sursa")</x:f>
        <x:v>HYPERLINK is not implemented. linkLocation=file:///Z:/00. Proiecte 2025/AFIR FotoVoltaic 1/15. Implementare Proiect Fotovoltaic/10.Neets-Suntech/Etichete panouri/Furate/WhatsApp Image 2026-05-14 at 10.22.41.jpeg, friendlyName=Deschide sursa</x:v>
      </x:c>
    </x:row>
    <x:row r="642" ht="36" customHeight="1">
      <x:c r="A642" s="8" t="str">
        <x:v>F0638</x:v>
      </x:c>
      <x:c r="B642" s="8" t="str">
        <x:v>WhatsApp Image 2026-05-14 at 10.22.42.jpeg</x:v>
      </x:c>
      <x:c r="C642" s="8" t="str">
        <x:v>15. Implementare Proiect Fotovoltaic</x:v>
      </x:c>
      <x:c r="D642" s="8" t="str">
        <x:v>Proiect fotovoltaic</x:v>
      </x:c>
      <x:c r="E642" s="8" t="str">
        <x:v>.jpeg</x:v>
      </x:c>
      <x:c r="F642" s="8" t="n">
        <x:v>213126</x:v>
      </x:c>
      <x:c r="G642" s="8" t="str">
        <x:v>Inventariat; conținut neextras</x:v>
      </x:c>
      <x:c r="H642" s="8" t="str">
        <x:v>Document local; transmiterea individuală neconfirmată</x:v>
      </x:c>
      <x:c r="I642" s="8" t="str"/>
      <x:c r="J642" s="8" t="e">
        <x:f>HYPERLINK("file:///Z:/00. Proiecte 2025/AFIR FotoVoltaic 1/15. Implementare Proiect Fotovoltaic/10.Neets-Suntech/Etichete panouri/Furate/WhatsApp Image 2026-05-14 at 10.22.42.jpeg","Deschide sursa")</x:f>
        <x:v>HYPERLINK is not implemented. linkLocation=file:///Z:/00. Proiecte 2025/AFIR FotoVoltaic 1/15. Implementare Proiect Fotovoltaic/10.Neets-Suntech/Etichete panouri/Furate/WhatsApp Image 2026-05-14 at 10.22.42.jpeg, friendlyName=Deschide sursa</x:v>
      </x:c>
    </x:row>
    <x:row r="643" ht="36" customHeight="1">
      <x:c r="A643" s="8" t="str">
        <x:v>F0639</x:v>
      </x:c>
      <x:c r="B643" s="8" t="str">
        <x:v>WhatsApp Image 2026-05-14 at 10.22.44 (1).jpeg</x:v>
      </x:c>
      <x:c r="C643" s="8" t="str">
        <x:v>15. Implementare Proiect Fotovoltaic</x:v>
      </x:c>
      <x:c r="D643" s="8" t="str">
        <x:v>Proiect fotovoltaic</x:v>
      </x:c>
      <x:c r="E643" s="8" t="str">
        <x:v>.jpeg</x:v>
      </x:c>
      <x:c r="F643" s="8" t="n">
        <x:v>227899</x:v>
      </x:c>
      <x:c r="G643" s="8" t="str">
        <x:v>Inventariat; conținut neextras</x:v>
      </x:c>
      <x:c r="H643" s="8" t="str">
        <x:v>Document local; transmiterea individuală neconfirmată</x:v>
      </x:c>
      <x:c r="I643" s="8" t="str"/>
      <x:c r="J643" s="8" t="e">
        <x:f>HYPERLINK("file:///Z:/00. Proiecte 2025/AFIR FotoVoltaic 1/15. Implementare Proiect Fotovoltaic/10.Neets-Suntech/Etichete panouri/Furate/WhatsApp Image 2026-05-14 at 10.22.44 (1).jpeg","Deschide sursa")</x:f>
        <x:v>HYPERLINK is not implemented. linkLocation=file:///Z:/00. Proiecte 2025/AFIR FotoVoltaic 1/15. Implementare Proiect Fotovoltaic/10.Neets-Suntech/Etichete panouri/Furate/WhatsApp Image 2026-05-14 at 10.22.44 (1).jpeg, friendlyName=Deschide sursa</x:v>
      </x:c>
    </x:row>
    <x:row r="644" ht="36" customHeight="1">
      <x:c r="A644" s="8" t="str">
        <x:v>F0640</x:v>
      </x:c>
      <x:c r="B644" s="8" t="str">
        <x:v>WhatsApp Image 2026-05-14 at 10.22.44.jpeg</x:v>
      </x:c>
      <x:c r="C644" s="8" t="str">
        <x:v>15. Implementare Proiect Fotovoltaic</x:v>
      </x:c>
      <x:c r="D644" s="8" t="str">
        <x:v>Proiect fotovoltaic</x:v>
      </x:c>
      <x:c r="E644" s="8" t="str">
        <x:v>.jpeg</x:v>
      </x:c>
      <x:c r="F644" s="8" t="n">
        <x:v>423995</x:v>
      </x:c>
      <x:c r="G644" s="8" t="str">
        <x:v>Inventariat; conținut neextras</x:v>
      </x:c>
      <x:c r="H644" s="8" t="str">
        <x:v>Document local; transmiterea individuală neconfirmată</x:v>
      </x:c>
      <x:c r="I644" s="8" t="str"/>
      <x:c r="J644" s="8" t="e">
        <x:f>HYPERLINK("file:///Z:/00. Proiecte 2025/AFIR FotoVoltaic 1/15. Implementare Proiect Fotovoltaic/10.Neets-Suntech/Etichete panouri/Furate/WhatsApp Image 2026-05-14 at 10.22.44.jpeg","Deschide sursa")</x:f>
        <x:v>HYPERLINK is not implemented. linkLocation=file:///Z:/00. Proiecte 2025/AFIR FotoVoltaic 1/15. Implementare Proiect Fotovoltaic/10.Neets-Suntech/Etichete panouri/Furate/WhatsApp Image 2026-05-14 at 10.22.44.jpeg, friendlyName=Deschide sursa</x:v>
      </x:c>
    </x:row>
    <x:row r="645" ht="36" customHeight="1">
      <x:c r="A645" s="8" t="str">
        <x:v>F0641</x:v>
      </x:c>
      <x:c r="B645" s="8" t="str">
        <x:v>WhatsApp Image 2026-05-14 at 10.22.45.jpeg</x:v>
      </x:c>
      <x:c r="C645" s="8" t="str">
        <x:v>15. Implementare Proiect Fotovoltaic</x:v>
      </x:c>
      <x:c r="D645" s="8" t="str">
        <x:v>Proiect fotovoltaic</x:v>
      </x:c>
      <x:c r="E645" s="8" t="str">
        <x:v>.jpeg</x:v>
      </x:c>
      <x:c r="F645" s="8" t="n">
        <x:v>256266</x:v>
      </x:c>
      <x:c r="G645" s="8" t="str">
        <x:v>Inventariat; conținut neextras</x:v>
      </x:c>
      <x:c r="H645" s="8" t="str">
        <x:v>Document local; transmiterea individuală neconfirmată</x:v>
      </x:c>
      <x:c r="I645" s="8" t="str"/>
      <x:c r="J645" s="8" t="e">
        <x:f>HYPERLINK("file:///Z:/00. Proiecte 2025/AFIR FotoVoltaic 1/15. Implementare Proiect Fotovoltaic/10.Neets-Suntech/Etichete panouri/Furate/WhatsApp Image 2026-05-14 at 10.22.45.jpeg","Deschide sursa")</x:f>
        <x:v>HYPERLINK is not implemented. linkLocation=file:///Z:/00. Proiecte 2025/AFIR FotoVoltaic 1/15. Implementare Proiect Fotovoltaic/10.Neets-Suntech/Etichete panouri/Furate/WhatsApp Image 2026-05-14 at 10.22.45.jpeg, friendlyName=Deschide sursa</x:v>
      </x:c>
    </x:row>
    <x:row r="646" ht="36" customHeight="1">
      <x:c r="A646" s="8" t="str">
        <x:v>F0642</x:v>
      </x:c>
      <x:c r="B646" s="8" t="str">
        <x:v>WhatsApp Image 2026-05-14 at 10.22.46 (1).jpeg</x:v>
      </x:c>
      <x:c r="C646" s="8" t="str">
        <x:v>15. Implementare Proiect Fotovoltaic</x:v>
      </x:c>
      <x:c r="D646" s="8" t="str">
        <x:v>Proiect fotovoltaic</x:v>
      </x:c>
      <x:c r="E646" s="8" t="str">
        <x:v>.jpeg</x:v>
      </x:c>
      <x:c r="F646" s="8" t="n">
        <x:v>253226</x:v>
      </x:c>
      <x:c r="G646" s="8" t="str">
        <x:v>Inventariat; conținut neextras</x:v>
      </x:c>
      <x:c r="H646" s="8" t="str">
        <x:v>Document local; transmiterea individuală neconfirmată</x:v>
      </x:c>
      <x:c r="I646" s="8" t="str"/>
      <x:c r="J646" s="8" t="e">
        <x:f>HYPERLINK("file:///Z:/00. Proiecte 2025/AFIR FotoVoltaic 1/15. Implementare Proiect Fotovoltaic/10.Neets-Suntech/Etichete panouri/Furate/WhatsApp Image 2026-05-14 at 10.22.46 (1).jpeg","Deschide sursa")</x:f>
        <x:v>HYPERLINK is not implemented. linkLocation=file:///Z:/00. Proiecte 2025/AFIR FotoVoltaic 1/15. Implementare Proiect Fotovoltaic/10.Neets-Suntech/Etichete panouri/Furate/WhatsApp Image 2026-05-14 at 10.22.46 (1).jpeg, friendlyName=Deschide sursa</x:v>
      </x:c>
    </x:row>
    <x:row r="647" ht="36" customHeight="1">
      <x:c r="A647" s="8" t="str">
        <x:v>F0643</x:v>
      </x:c>
      <x:c r="B647" s="8" t="str">
        <x:v>WhatsApp Image 2026-05-14 at 10.22.46.jpeg</x:v>
      </x:c>
      <x:c r="C647" s="8" t="str">
        <x:v>15. Implementare Proiect Fotovoltaic</x:v>
      </x:c>
      <x:c r="D647" s="8" t="str">
        <x:v>Proiect fotovoltaic</x:v>
      </x:c>
      <x:c r="E647" s="8" t="str">
        <x:v>.jpeg</x:v>
      </x:c>
      <x:c r="F647" s="8" t="n">
        <x:v>130221</x:v>
      </x:c>
      <x:c r="G647" s="8" t="str">
        <x:v>Inventariat; conținut neextras</x:v>
      </x:c>
      <x:c r="H647" s="8" t="str">
        <x:v>Document local; transmiterea individuală neconfirmată</x:v>
      </x:c>
      <x:c r="I647" s="8" t="str"/>
      <x:c r="J647" s="8" t="e">
        <x:f>HYPERLINK("file:///Z:/00. Proiecte 2025/AFIR FotoVoltaic 1/15. Implementare Proiect Fotovoltaic/10.Neets-Suntech/Etichete panouri/Furate/WhatsApp Image 2026-05-14 at 10.22.46.jpeg","Deschide sursa")</x:f>
        <x:v>HYPERLINK is not implemented. linkLocation=file:///Z:/00. Proiecte 2025/AFIR FotoVoltaic 1/15. Implementare Proiect Fotovoltaic/10.Neets-Suntech/Etichete panouri/Furate/WhatsApp Image 2026-05-14 at 10.22.46.jpeg, friendlyName=Deschide sursa</x:v>
      </x:c>
    </x:row>
    <x:row r="648" ht="36" customHeight="1">
      <x:c r="A648" s="8" t="str">
        <x:v>F0644</x:v>
      </x:c>
      <x:c r="B648" s="8" t="str">
        <x:v>WhatsApp Image 2026-05-14 at 10.22.47.jpeg</x:v>
      </x:c>
      <x:c r="C648" s="8" t="str">
        <x:v>15. Implementare Proiect Fotovoltaic</x:v>
      </x:c>
      <x:c r="D648" s="8" t="str">
        <x:v>Proiect fotovoltaic</x:v>
      </x:c>
      <x:c r="E648" s="8" t="str">
        <x:v>.jpeg</x:v>
      </x:c>
      <x:c r="F648" s="8" t="n">
        <x:v>119373</x:v>
      </x:c>
      <x:c r="G648" s="8" t="str">
        <x:v>Inventariat; conținut neextras</x:v>
      </x:c>
      <x:c r="H648" s="8" t="str">
        <x:v>Document local; transmiterea individuală neconfirmată</x:v>
      </x:c>
      <x:c r="I648" s="8" t="str"/>
      <x:c r="J648" s="8" t="e">
        <x:f>HYPERLINK("file:///Z:/00. Proiecte 2025/AFIR FotoVoltaic 1/15. Implementare Proiect Fotovoltaic/10.Neets-Suntech/Etichete panouri/Furate/WhatsApp Image 2026-05-14 at 10.22.47.jpeg","Deschide sursa")</x:f>
        <x:v>HYPERLINK is not implemented. linkLocation=file:///Z:/00. Proiecte 2025/AFIR FotoVoltaic 1/15. Implementare Proiect Fotovoltaic/10.Neets-Suntech/Etichete panouri/Furate/WhatsApp Image 2026-05-14 at 10.22.47.jpeg, friendlyName=Deschide sursa</x:v>
      </x:c>
    </x:row>
    <x:row r="649" ht="36" customHeight="1">
      <x:c r="A649" s="8" t="str">
        <x:v>F0645</x:v>
      </x:c>
      <x:c r="B649" s="8" t="str">
        <x:v>WhatsApp Image 2026-05-14 at 10.22.48 (1).jpeg</x:v>
      </x:c>
      <x:c r="C649" s="8" t="str">
        <x:v>15. Implementare Proiect Fotovoltaic</x:v>
      </x:c>
      <x:c r="D649" s="8" t="str">
        <x:v>Proiect fotovoltaic</x:v>
      </x:c>
      <x:c r="E649" s="8" t="str">
        <x:v>.jpeg</x:v>
      </x:c>
      <x:c r="F649" s="8" t="n">
        <x:v>162088</x:v>
      </x:c>
      <x:c r="G649" s="8" t="str">
        <x:v>Inventariat; conținut neextras</x:v>
      </x:c>
      <x:c r="H649" s="8" t="str">
        <x:v>Document local; transmiterea individuală neconfirmată</x:v>
      </x:c>
      <x:c r="I649" s="8" t="str"/>
      <x:c r="J649" s="8" t="e">
        <x:f>HYPERLINK("file:///Z:/00. Proiecte 2025/AFIR FotoVoltaic 1/15. Implementare Proiect Fotovoltaic/10.Neets-Suntech/Etichete panouri/Furate/WhatsApp Image 2026-05-14 at 10.22.48 (1).jpeg","Deschide sursa")</x:f>
        <x:v>HYPERLINK is not implemented. linkLocation=file:///Z:/00. Proiecte 2025/AFIR FotoVoltaic 1/15. Implementare Proiect Fotovoltaic/10.Neets-Suntech/Etichete panouri/Furate/WhatsApp Image 2026-05-14 at 10.22.48 (1).jpeg, friendlyName=Deschide sursa</x:v>
      </x:c>
    </x:row>
    <x:row r="650" ht="36" customHeight="1">
      <x:c r="A650" s="8" t="str">
        <x:v>F0646</x:v>
      </x:c>
      <x:c r="B650" s="8" t="str">
        <x:v>WhatsApp Image 2026-05-14 at 10.22.48.jpeg</x:v>
      </x:c>
      <x:c r="C650" s="8" t="str">
        <x:v>15. Implementare Proiect Fotovoltaic</x:v>
      </x:c>
      <x:c r="D650" s="8" t="str">
        <x:v>Proiect fotovoltaic</x:v>
      </x:c>
      <x:c r="E650" s="8" t="str">
        <x:v>.jpeg</x:v>
      </x:c>
      <x:c r="F650" s="8" t="n">
        <x:v>243026</x:v>
      </x:c>
      <x:c r="G650" s="8" t="str">
        <x:v>Inventariat; conținut neextras</x:v>
      </x:c>
      <x:c r="H650" s="8" t="str">
        <x:v>Document local; transmiterea individuală neconfirmată</x:v>
      </x:c>
      <x:c r="I650" s="8" t="str"/>
      <x:c r="J650" s="8" t="e">
        <x:f>HYPERLINK("file:///Z:/00. Proiecte 2025/AFIR FotoVoltaic 1/15. Implementare Proiect Fotovoltaic/10.Neets-Suntech/Etichete panouri/Furate/WhatsApp Image 2026-05-14 at 10.22.48.jpeg","Deschide sursa")</x:f>
        <x:v>HYPERLINK is not implemented. linkLocation=file:///Z:/00. Proiecte 2025/AFIR FotoVoltaic 1/15. Implementare Proiect Fotovoltaic/10.Neets-Suntech/Etichete panouri/Furate/WhatsApp Image 2026-05-14 at 10.22.48.jpeg, friendlyName=Deschide sursa</x:v>
      </x:c>
    </x:row>
    <x:row r="651" ht="36" customHeight="1">
      <x:c r="A651" s="8" t="str">
        <x:v>F0647</x:v>
      </x:c>
      <x:c r="B651" s="8" t="str">
        <x:v>WhatsApp Image 2026-05-14 at 10.22.49.jpeg</x:v>
      </x:c>
      <x:c r="C651" s="8" t="str">
        <x:v>15. Implementare Proiect Fotovoltaic</x:v>
      </x:c>
      <x:c r="D651" s="8" t="str">
        <x:v>Proiect fotovoltaic</x:v>
      </x:c>
      <x:c r="E651" s="8" t="str">
        <x:v>.jpeg</x:v>
      </x:c>
      <x:c r="F651" s="8" t="n">
        <x:v>204903</x:v>
      </x:c>
      <x:c r="G651" s="8" t="str">
        <x:v>Inventariat; conținut neextras</x:v>
      </x:c>
      <x:c r="H651" s="8" t="str">
        <x:v>Document local; transmiterea individuală neconfirmată</x:v>
      </x:c>
      <x:c r="I651" s="8" t="str"/>
      <x:c r="J651" s="8" t="e">
        <x:f>HYPERLINK("file:///Z:/00. Proiecte 2025/AFIR FotoVoltaic 1/15. Implementare Proiect Fotovoltaic/10.Neets-Suntech/Etichete panouri/Furate/WhatsApp Image 2026-05-14 at 10.22.49.jpeg","Deschide sursa")</x:f>
        <x:v>HYPERLINK is not implemented. linkLocation=file:///Z:/00. Proiecte 2025/AFIR FotoVoltaic 1/15. Implementare Proiect Fotovoltaic/10.Neets-Suntech/Etichete panouri/Furate/WhatsApp Image 2026-05-14 at 10.22.49.jpeg, friendlyName=Deschide sursa</x:v>
      </x:c>
    </x:row>
    <x:row r="652" ht="36" customHeight="1">
      <x:c r="A652" s="8" t="str">
        <x:v>F0648</x:v>
      </x:c>
      <x:c r="B652" s="8" t="str">
        <x:v>WhatsApp Image 2026-05-14 at 10.22.50 (1).jpeg</x:v>
      </x:c>
      <x:c r="C652" s="8" t="str">
        <x:v>15. Implementare Proiect Fotovoltaic</x:v>
      </x:c>
      <x:c r="D652" s="8" t="str">
        <x:v>Proiect fotovoltaic</x:v>
      </x:c>
      <x:c r="E652" s="8" t="str">
        <x:v>.jpeg</x:v>
      </x:c>
      <x:c r="F652" s="8" t="n">
        <x:v>291441</x:v>
      </x:c>
      <x:c r="G652" s="8" t="str">
        <x:v>Inventariat; conținut neextras</x:v>
      </x:c>
      <x:c r="H652" s="8" t="str">
        <x:v>Document local; transmiterea individuală neconfirmată</x:v>
      </x:c>
      <x:c r="I652" s="8" t="str"/>
      <x:c r="J652" s="8" t="e">
        <x:f>HYPERLINK("file:///Z:/00. Proiecte 2025/AFIR FotoVoltaic 1/15. Implementare Proiect Fotovoltaic/10.Neets-Suntech/Etichete panouri/Furate/WhatsApp Image 2026-05-14 at 10.22.50 (1).jpeg","Deschide sursa")</x:f>
        <x:v>HYPERLINK is not implemented. linkLocation=file:///Z:/00. Proiecte 2025/AFIR FotoVoltaic 1/15. Implementare Proiect Fotovoltaic/10.Neets-Suntech/Etichete panouri/Furate/WhatsApp Image 2026-05-14 at 10.22.50 (1).jpeg, friendlyName=Deschide sursa</x:v>
      </x:c>
    </x:row>
    <x:row r="653" ht="36" customHeight="1">
      <x:c r="A653" s="8" t="str">
        <x:v>F0649</x:v>
      </x:c>
      <x:c r="B653" s="8" t="str">
        <x:v>WhatsApp Image 2026-05-14 at 10.22.50.jpeg</x:v>
      </x:c>
      <x:c r="C653" s="8" t="str">
        <x:v>15. Implementare Proiect Fotovoltaic</x:v>
      </x:c>
      <x:c r="D653" s="8" t="str">
        <x:v>Proiect fotovoltaic</x:v>
      </x:c>
      <x:c r="E653" s="8" t="str">
        <x:v>.jpeg</x:v>
      </x:c>
      <x:c r="F653" s="8" t="n">
        <x:v>180024</x:v>
      </x:c>
      <x:c r="G653" s="8" t="str">
        <x:v>Inventariat; conținut neextras</x:v>
      </x:c>
      <x:c r="H653" s="8" t="str">
        <x:v>Document local; transmiterea individuală neconfirmată</x:v>
      </x:c>
      <x:c r="I653" s="8" t="str"/>
      <x:c r="J653" s="8" t="e">
        <x:f>HYPERLINK("file:///Z:/00. Proiecte 2025/AFIR FotoVoltaic 1/15. Implementare Proiect Fotovoltaic/10.Neets-Suntech/Etichete panouri/Furate/WhatsApp Image 2026-05-14 at 10.22.50.jpeg","Deschide sursa")</x:f>
        <x:v>HYPERLINK is not implemented. linkLocation=file:///Z:/00. Proiecte 2025/AFIR FotoVoltaic 1/15. Implementare Proiect Fotovoltaic/10.Neets-Suntech/Etichete panouri/Furate/WhatsApp Image 2026-05-14 at 10.22.50.jpeg, friendlyName=Deschide sursa</x:v>
      </x:c>
    </x:row>
    <x:row r="654" ht="36" customHeight="1">
      <x:c r="A654" s="8" t="str">
        <x:v>F0650</x:v>
      </x:c>
      <x:c r="B654" s="8" t="str">
        <x:v>WhatsApp Image 2026-05-14 at 10.22.51.jpeg</x:v>
      </x:c>
      <x:c r="C654" s="8" t="str">
        <x:v>15. Implementare Proiect Fotovoltaic</x:v>
      </x:c>
      <x:c r="D654" s="8" t="str">
        <x:v>Proiect fotovoltaic</x:v>
      </x:c>
      <x:c r="E654" s="8" t="str">
        <x:v>.jpeg</x:v>
      </x:c>
      <x:c r="F654" s="8" t="n">
        <x:v>204285</x:v>
      </x:c>
      <x:c r="G654" s="8" t="str">
        <x:v>Inventariat; conținut neextras</x:v>
      </x:c>
      <x:c r="H654" s="8" t="str">
        <x:v>Document local; transmiterea individuală neconfirmată</x:v>
      </x:c>
      <x:c r="I654" s="8" t="str"/>
      <x:c r="J654" s="8" t="e">
        <x:f>HYPERLINK("file:///Z:/00. Proiecte 2025/AFIR FotoVoltaic 1/15. Implementare Proiect Fotovoltaic/10.Neets-Suntech/Etichete panouri/Furate/WhatsApp Image 2026-05-14 at 10.22.51.jpeg","Deschide sursa")</x:f>
        <x:v>HYPERLINK is not implemented. linkLocation=file:///Z:/00. Proiecte 2025/AFIR FotoVoltaic 1/15. Implementare Proiect Fotovoltaic/10.Neets-Suntech/Etichete panouri/Furate/WhatsApp Image 2026-05-14 at 10.22.51.jpeg, friendlyName=Deschide sursa</x:v>
      </x:c>
    </x:row>
    <x:row r="655" ht="36" customHeight="1">
      <x:c r="A655" s="8" t="str">
        <x:v>F0651</x:v>
      </x:c>
      <x:c r="B655" s="8" t="str">
        <x:v>WhatsApp Image 2026-05-14 at 10.22.52 (1).jpeg</x:v>
      </x:c>
      <x:c r="C655" s="8" t="str">
        <x:v>15. Implementare Proiect Fotovoltaic</x:v>
      </x:c>
      <x:c r="D655" s="8" t="str">
        <x:v>Proiect fotovoltaic</x:v>
      </x:c>
      <x:c r="E655" s="8" t="str">
        <x:v>.jpeg</x:v>
      </x:c>
      <x:c r="F655" s="8" t="n">
        <x:v>176576</x:v>
      </x:c>
      <x:c r="G655" s="8" t="str">
        <x:v>Inventariat; conținut neextras</x:v>
      </x:c>
      <x:c r="H655" s="8" t="str">
        <x:v>Document local; transmiterea individuală neconfirmată</x:v>
      </x:c>
      <x:c r="I655" s="8" t="str"/>
      <x:c r="J655" s="8" t="e">
        <x:f>HYPERLINK("file:///Z:/00. Proiecte 2025/AFIR FotoVoltaic 1/15. Implementare Proiect Fotovoltaic/10.Neets-Suntech/Etichete panouri/Furate/WhatsApp Image 2026-05-14 at 10.22.52 (1).jpeg","Deschide sursa")</x:f>
        <x:v>HYPERLINK is not implemented. linkLocation=file:///Z:/00. Proiecte 2025/AFIR FotoVoltaic 1/15. Implementare Proiect Fotovoltaic/10.Neets-Suntech/Etichete panouri/Furate/WhatsApp Image 2026-05-14 at 10.22.52 (1).jpeg, friendlyName=Deschide sursa</x:v>
      </x:c>
    </x:row>
    <x:row r="656" ht="36" customHeight="1">
      <x:c r="A656" s="8" t="str">
        <x:v>F0652</x:v>
      </x:c>
      <x:c r="B656" s="8" t="str">
        <x:v>WhatsApp Image 2026-05-14 at 10.22.52.jpeg</x:v>
      </x:c>
      <x:c r="C656" s="8" t="str">
        <x:v>15. Implementare Proiect Fotovoltaic</x:v>
      </x:c>
      <x:c r="D656" s="8" t="str">
        <x:v>Proiect fotovoltaic</x:v>
      </x:c>
      <x:c r="E656" s="8" t="str">
        <x:v>.jpeg</x:v>
      </x:c>
      <x:c r="F656" s="8" t="n">
        <x:v>224190</x:v>
      </x:c>
      <x:c r="G656" s="8" t="str">
        <x:v>Inventariat; conținut neextras</x:v>
      </x:c>
      <x:c r="H656" s="8" t="str">
        <x:v>Document local; transmiterea individuală neconfirmată</x:v>
      </x:c>
      <x:c r="I656" s="8" t="str"/>
      <x:c r="J656" s="8" t="e">
        <x:f>HYPERLINK("file:///Z:/00. Proiecte 2025/AFIR FotoVoltaic 1/15. Implementare Proiect Fotovoltaic/10.Neets-Suntech/Etichete panouri/Furate/WhatsApp Image 2026-05-14 at 10.22.52.jpeg","Deschide sursa")</x:f>
        <x:v>HYPERLINK is not implemented. linkLocation=file:///Z:/00. Proiecte 2025/AFIR FotoVoltaic 1/15. Implementare Proiect Fotovoltaic/10.Neets-Suntech/Etichete panouri/Furate/WhatsApp Image 2026-05-14 at 10.22.52.jpeg, friendlyName=Deschide sursa</x:v>
      </x:c>
    </x:row>
    <x:row r="657" ht="36" customHeight="1">
      <x:c r="A657" s="8" t="str">
        <x:v>F0653</x:v>
      </x:c>
      <x:c r="B657" s="8" t="str">
        <x:v>WhatsApp Image 2026-05-14 at 10.22.56.jpeg</x:v>
      </x:c>
      <x:c r="C657" s="8" t="str">
        <x:v>15. Implementare Proiect Fotovoltaic</x:v>
      </x:c>
      <x:c r="D657" s="8" t="str">
        <x:v>Proiect fotovoltaic</x:v>
      </x:c>
      <x:c r="E657" s="8" t="str">
        <x:v>.jpeg</x:v>
      </x:c>
      <x:c r="F657" s="8" t="n">
        <x:v>261608</x:v>
      </x:c>
      <x:c r="G657" s="8" t="str">
        <x:v>Inventariat; conținut neextras</x:v>
      </x:c>
      <x:c r="H657" s="8" t="str">
        <x:v>Document local; transmiterea individuală neconfirmată</x:v>
      </x:c>
      <x:c r="I657" s="8" t="str"/>
      <x:c r="J657" s="8" t="e">
        <x:f>HYPERLINK("file:///Z:/00. Proiecte 2025/AFIR FotoVoltaic 1/15. Implementare Proiect Fotovoltaic/10.Neets-Suntech/Etichete panouri/Furate/WhatsApp Image 2026-05-14 at 10.22.56.jpeg","Deschide sursa")</x:f>
        <x:v>HYPERLINK is not implemented. linkLocation=file:///Z:/00. Proiecte 2025/AFIR FotoVoltaic 1/15. Implementare Proiect Fotovoltaic/10.Neets-Suntech/Etichete panouri/Furate/WhatsApp Image 2026-05-14 at 10.22.56.jpeg, friendlyName=Deschide sursa</x:v>
      </x:c>
    </x:row>
    <x:row r="658" ht="36" customHeight="1">
      <x:c r="A658" s="8" t="str">
        <x:v>F0654</x:v>
      </x:c>
      <x:c r="B658" s="8" t="str">
        <x:v>WhatsApp Image 2026-05-14 at 10.22.57.jpeg</x:v>
      </x:c>
      <x:c r="C658" s="8" t="str">
        <x:v>15. Implementare Proiect Fotovoltaic</x:v>
      </x:c>
      <x:c r="D658" s="8" t="str">
        <x:v>Proiect fotovoltaic</x:v>
      </x:c>
      <x:c r="E658" s="8" t="str">
        <x:v>.jpeg</x:v>
      </x:c>
      <x:c r="F658" s="8" t="n">
        <x:v>252556</x:v>
      </x:c>
      <x:c r="G658" s="8" t="str">
        <x:v>Inventariat; conținut neextras</x:v>
      </x:c>
      <x:c r="H658" s="8" t="str">
        <x:v>Document local; transmiterea individuală neconfirmată</x:v>
      </x:c>
      <x:c r="I658" s="8" t="str"/>
      <x:c r="J658" s="8" t="e">
        <x:f>HYPERLINK("file:///Z:/00. Proiecte 2025/AFIR FotoVoltaic 1/15. Implementare Proiect Fotovoltaic/10.Neets-Suntech/Etichete panouri/Furate/WhatsApp Image 2026-05-14 at 10.22.57.jpeg","Deschide sursa")</x:f>
        <x:v>HYPERLINK is not implemented. linkLocation=file:///Z:/00. Proiecte 2025/AFIR FotoVoltaic 1/15. Implementare Proiect Fotovoltaic/10.Neets-Suntech/Etichete panouri/Furate/WhatsApp Image 2026-05-14 at 10.22.57.jpeg, friendlyName=Deschide sursa</x:v>
      </x:c>
    </x:row>
    <x:row r="659" ht="36" customHeight="1">
      <x:c r="A659" s="8" t="str">
        <x:v>F0655</x:v>
      </x:c>
      <x:c r="B659" s="8" t="str">
        <x:v>WhatsApp Image 2026-05-14 at 10.22.59 (1).jpeg</x:v>
      </x:c>
      <x:c r="C659" s="8" t="str">
        <x:v>15. Implementare Proiect Fotovoltaic</x:v>
      </x:c>
      <x:c r="D659" s="8" t="str">
        <x:v>Proiect fotovoltaic</x:v>
      </x:c>
      <x:c r="E659" s="8" t="str">
        <x:v>.jpeg</x:v>
      </x:c>
      <x:c r="F659" s="8" t="n">
        <x:v>218952</x:v>
      </x:c>
      <x:c r="G659" s="8" t="str">
        <x:v>Inventariat; conținut neextras</x:v>
      </x:c>
      <x:c r="H659" s="8" t="str">
        <x:v>Document local; transmiterea individuală neconfirmată</x:v>
      </x:c>
      <x:c r="I659" s="8" t="str"/>
      <x:c r="J659" s="8" t="e">
        <x:f>HYPERLINK("file:///Z:/00. Proiecte 2025/AFIR FotoVoltaic 1/15. Implementare Proiect Fotovoltaic/10.Neets-Suntech/Etichete panouri/Furate/WhatsApp Image 2026-05-14 at 10.22.59 (1).jpeg","Deschide sursa")</x:f>
        <x:v>HYPERLINK is not implemented. linkLocation=file:///Z:/00. Proiecte 2025/AFIR FotoVoltaic 1/15. Implementare Proiect Fotovoltaic/10.Neets-Suntech/Etichete panouri/Furate/WhatsApp Image 2026-05-14 at 10.22.59 (1).jpeg, friendlyName=Deschide sursa</x:v>
      </x:c>
    </x:row>
    <x:row r="660" ht="36" customHeight="1">
      <x:c r="A660" s="8" t="str">
        <x:v>F0656</x:v>
      </x:c>
      <x:c r="B660" s="8" t="str">
        <x:v>WhatsApp Image 2026-05-14 at 10.22.59 (2).jpeg</x:v>
      </x:c>
      <x:c r="C660" s="8" t="str">
        <x:v>15. Implementare Proiect Fotovoltaic</x:v>
      </x:c>
      <x:c r="D660" s="8" t="str">
        <x:v>Proiect fotovoltaic</x:v>
      </x:c>
      <x:c r="E660" s="8" t="str">
        <x:v>.jpeg</x:v>
      </x:c>
      <x:c r="F660" s="8" t="n">
        <x:v>102004</x:v>
      </x:c>
      <x:c r="G660" s="8" t="str">
        <x:v>Inventariat; conținut neextras</x:v>
      </x:c>
      <x:c r="H660" s="8" t="str">
        <x:v>Document local; transmiterea individuală neconfirmată</x:v>
      </x:c>
      <x:c r="I660" s="8" t="str"/>
      <x:c r="J660" s="8" t="e">
        <x:f>HYPERLINK("file:///Z:/00. Proiecte 2025/AFIR FotoVoltaic 1/15. Implementare Proiect Fotovoltaic/10.Neets-Suntech/Etichete panouri/Furate/WhatsApp Image 2026-05-14 at 10.22.59 (2).jpeg","Deschide sursa")</x:f>
        <x:v>HYPERLINK is not implemented. linkLocation=file:///Z:/00. Proiecte 2025/AFIR FotoVoltaic 1/15. Implementare Proiect Fotovoltaic/10.Neets-Suntech/Etichete panouri/Furate/WhatsApp Image 2026-05-14 at 10.22.59 (2).jpeg, friendlyName=Deschide sursa</x:v>
      </x:c>
    </x:row>
    <x:row r="661" ht="36" customHeight="1">
      <x:c r="A661" s="8" t="str">
        <x:v>F0657</x:v>
      </x:c>
      <x:c r="B661" s="8" t="str">
        <x:v>WhatsApp Image 2026-05-14 at 10.22.59.jpeg</x:v>
      </x:c>
      <x:c r="C661" s="8" t="str">
        <x:v>15. Implementare Proiect Fotovoltaic</x:v>
      </x:c>
      <x:c r="D661" s="8" t="str">
        <x:v>Proiect fotovoltaic</x:v>
      </x:c>
      <x:c r="E661" s="8" t="str">
        <x:v>.jpeg</x:v>
      </x:c>
      <x:c r="F661" s="8" t="n">
        <x:v>334777</x:v>
      </x:c>
      <x:c r="G661" s="8" t="str">
        <x:v>Inventariat; conținut neextras</x:v>
      </x:c>
      <x:c r="H661" s="8" t="str">
        <x:v>Document local; transmiterea individuală neconfirmată</x:v>
      </x:c>
      <x:c r="I661" s="8" t="str"/>
      <x:c r="J661" s="8" t="e">
        <x:f>HYPERLINK("file:///Z:/00. Proiecte 2025/AFIR FotoVoltaic 1/15. Implementare Proiect Fotovoltaic/10.Neets-Suntech/Etichete panouri/Furate/WhatsApp Image 2026-05-14 at 10.22.59.jpeg","Deschide sursa")</x:f>
        <x:v>HYPERLINK is not implemented. linkLocation=file:///Z:/00. Proiecte 2025/AFIR FotoVoltaic 1/15. Implementare Proiect Fotovoltaic/10.Neets-Suntech/Etichete panouri/Furate/WhatsApp Image 2026-05-14 at 10.22.59.jpeg, friendlyName=Deschide sursa</x:v>
      </x:c>
    </x:row>
    <x:row r="662" ht="36" customHeight="1">
      <x:c r="A662" s="8" t="str">
        <x:v>F0658</x:v>
      </x:c>
      <x:c r="B662" s="8" t="str">
        <x:v>WhatsApp Image 2026-05-14 at 10.23.00.jpeg</x:v>
      </x:c>
      <x:c r="C662" s="8" t="str">
        <x:v>15. Implementare Proiect Fotovoltaic</x:v>
      </x:c>
      <x:c r="D662" s="8" t="str">
        <x:v>Proiect fotovoltaic</x:v>
      </x:c>
      <x:c r="E662" s="8" t="str">
        <x:v>.jpeg</x:v>
      </x:c>
      <x:c r="F662" s="8" t="n">
        <x:v>228944</x:v>
      </x:c>
      <x:c r="G662" s="8" t="str">
        <x:v>Inventariat; conținut neextras</x:v>
      </x:c>
      <x:c r="H662" s="8" t="str">
        <x:v>Document local; transmiterea individuală neconfirmată</x:v>
      </x:c>
      <x:c r="I662" s="8" t="str"/>
      <x:c r="J662" s="8" t="e">
        <x:f>HYPERLINK("file:///Z:/00. Proiecte 2025/AFIR FotoVoltaic 1/15. Implementare Proiect Fotovoltaic/10.Neets-Suntech/Etichete panouri/Furate/WhatsApp Image 2026-05-14 at 10.23.00.jpeg","Deschide sursa")</x:f>
        <x:v>HYPERLINK is not implemented. linkLocation=file:///Z:/00. Proiecte 2025/AFIR FotoVoltaic 1/15. Implementare Proiect Fotovoltaic/10.Neets-Suntech/Etichete panouri/Furate/WhatsApp Image 2026-05-14 at 10.23.00.jpeg, friendlyName=Deschide sursa</x:v>
      </x:c>
    </x:row>
    <x:row r="663" ht="36" customHeight="1">
      <x:c r="A663" s="8" t="str">
        <x:v>F0659</x:v>
      </x:c>
      <x:c r="B663" s="8" t="str">
        <x:v>WhatsApp Image 2026-05-14 at 10.23.01.jpeg</x:v>
      </x:c>
      <x:c r="C663" s="8" t="str">
        <x:v>15. Implementare Proiect Fotovoltaic</x:v>
      </x:c>
      <x:c r="D663" s="8" t="str">
        <x:v>Proiect fotovoltaic</x:v>
      </x:c>
      <x:c r="E663" s="8" t="str">
        <x:v>.jpeg</x:v>
      </x:c>
      <x:c r="F663" s="8" t="n">
        <x:v>218372</x:v>
      </x:c>
      <x:c r="G663" s="8" t="str">
        <x:v>Inventariat; conținut neextras</x:v>
      </x:c>
      <x:c r="H663" s="8" t="str">
        <x:v>Document local; transmiterea individuală neconfirmată</x:v>
      </x:c>
      <x:c r="I663" s="8" t="str"/>
      <x:c r="J663" s="8" t="e">
        <x:f>HYPERLINK("file:///Z:/00. Proiecte 2025/AFIR FotoVoltaic 1/15. Implementare Proiect Fotovoltaic/10.Neets-Suntech/Etichete panouri/Furate/WhatsApp Image 2026-05-14 at 10.23.01.jpeg","Deschide sursa")</x:f>
        <x:v>HYPERLINK is not implemented. linkLocation=file:///Z:/00. Proiecte 2025/AFIR FotoVoltaic 1/15. Implementare Proiect Fotovoltaic/10.Neets-Suntech/Etichete panouri/Furate/WhatsApp Image 2026-05-14 at 10.23.01.jpeg, friendlyName=Deschide sursa</x:v>
      </x:c>
    </x:row>
    <x:row r="664" ht="36" customHeight="1">
      <x:c r="A664" s="8" t="str">
        <x:v>F0660</x:v>
      </x:c>
      <x:c r="B664" s="8" t="str">
        <x:v>WhatsApp Image 2026-05-14 at 10.23.02 (1).jpeg</x:v>
      </x:c>
      <x:c r="C664" s="8" t="str">
        <x:v>15. Implementare Proiect Fotovoltaic</x:v>
      </x:c>
      <x:c r="D664" s="8" t="str">
        <x:v>Proiect fotovoltaic</x:v>
      </x:c>
      <x:c r="E664" s="8" t="str">
        <x:v>.jpeg</x:v>
      </x:c>
      <x:c r="F664" s="8" t="n">
        <x:v>159960</x:v>
      </x:c>
      <x:c r="G664" s="8" t="str">
        <x:v>Inventariat; conținut neextras</x:v>
      </x:c>
      <x:c r="H664" s="8" t="str">
        <x:v>Document local; transmiterea individuală neconfirmată</x:v>
      </x:c>
      <x:c r="I664" s="8" t="str"/>
      <x:c r="J664" s="8" t="e">
        <x:f>HYPERLINK("file:///Z:/00. Proiecte 2025/AFIR FotoVoltaic 1/15. Implementare Proiect Fotovoltaic/10.Neets-Suntech/Etichete panouri/Furate/WhatsApp Image 2026-05-14 at 10.23.02 (1).jpeg","Deschide sursa")</x:f>
        <x:v>HYPERLINK is not implemented. linkLocation=file:///Z:/00. Proiecte 2025/AFIR FotoVoltaic 1/15. Implementare Proiect Fotovoltaic/10.Neets-Suntech/Etichete panouri/Furate/WhatsApp Image 2026-05-14 at 10.23.02 (1).jpeg, friendlyName=Deschide sursa</x:v>
      </x:c>
    </x:row>
    <x:row r="665" ht="36" customHeight="1">
      <x:c r="A665" s="8" t="str">
        <x:v>F0661</x:v>
      </x:c>
      <x:c r="B665" s="8" t="str">
        <x:v>WhatsApp Image 2026-05-14 at 10.23.02.jpeg</x:v>
      </x:c>
      <x:c r="C665" s="8" t="str">
        <x:v>15. Implementare Proiect Fotovoltaic</x:v>
      </x:c>
      <x:c r="D665" s="8" t="str">
        <x:v>Proiect fotovoltaic</x:v>
      </x:c>
      <x:c r="E665" s="8" t="str">
        <x:v>.jpeg</x:v>
      </x:c>
      <x:c r="F665" s="8" t="n">
        <x:v>461781</x:v>
      </x:c>
      <x:c r="G665" s="8" t="str">
        <x:v>Inventariat; conținut neextras</x:v>
      </x:c>
      <x:c r="H665" s="8" t="str">
        <x:v>Document local; transmiterea individuală neconfirmată</x:v>
      </x:c>
      <x:c r="I665" s="8" t="str"/>
      <x:c r="J665" s="8" t="e">
        <x:f>HYPERLINK("file:///Z:/00. Proiecte 2025/AFIR FotoVoltaic 1/15. Implementare Proiect Fotovoltaic/10.Neets-Suntech/Etichete panouri/Furate/WhatsApp Image 2026-05-14 at 10.23.02.jpeg","Deschide sursa")</x:f>
        <x:v>HYPERLINK is not implemented. linkLocation=file:///Z:/00. Proiecte 2025/AFIR FotoVoltaic 1/15. Implementare Proiect Fotovoltaic/10.Neets-Suntech/Etichete panouri/Furate/WhatsApp Image 2026-05-14 at 10.23.02.jpeg, friendlyName=Deschide sursa</x:v>
      </x:c>
    </x:row>
    <x:row r="666" ht="36" customHeight="1">
      <x:c r="A666" s="8" t="str">
        <x:v>F0662</x:v>
      </x:c>
      <x:c r="B666" s="8" t="str">
        <x:v>WhatsApp Image 2026-05-14 at 10.23.03.jpeg</x:v>
      </x:c>
      <x:c r="C666" s="8" t="str">
        <x:v>15. Implementare Proiect Fotovoltaic</x:v>
      </x:c>
      <x:c r="D666" s="8" t="str">
        <x:v>Proiect fotovoltaic</x:v>
      </x:c>
      <x:c r="E666" s="8" t="str">
        <x:v>.jpeg</x:v>
      </x:c>
      <x:c r="F666" s="8" t="n">
        <x:v>279512</x:v>
      </x:c>
      <x:c r="G666" s="8" t="str">
        <x:v>Inventariat; conținut neextras</x:v>
      </x:c>
      <x:c r="H666" s="8" t="str">
        <x:v>Document local; transmiterea individuală neconfirmată</x:v>
      </x:c>
      <x:c r="I666" s="8" t="str"/>
      <x:c r="J666" s="8" t="e">
        <x:f>HYPERLINK("file:///Z:/00. Proiecte 2025/AFIR FotoVoltaic 1/15. Implementare Proiect Fotovoltaic/10.Neets-Suntech/Etichete panouri/Furate/WhatsApp Image 2026-05-14 at 10.23.03.jpeg","Deschide sursa")</x:f>
        <x:v>HYPERLINK is not implemented. linkLocation=file:///Z:/00. Proiecte 2025/AFIR FotoVoltaic 1/15. Implementare Proiect Fotovoltaic/10.Neets-Suntech/Etichete panouri/Furate/WhatsApp Image 2026-05-14 at 10.23.03.jpeg, friendlyName=Deschide sursa</x:v>
      </x:c>
    </x:row>
    <x:row r="667" ht="36" customHeight="1">
      <x:c r="A667" s="8" t="str">
        <x:v>F0663</x:v>
      </x:c>
      <x:c r="B667" s="8" t="str">
        <x:v>WhatsApp Image 2026-05-14 at 10.23.04 (1).jpeg</x:v>
      </x:c>
      <x:c r="C667" s="8" t="str">
        <x:v>15. Implementare Proiect Fotovoltaic</x:v>
      </x:c>
      <x:c r="D667" s="8" t="str">
        <x:v>Proiect fotovoltaic</x:v>
      </x:c>
      <x:c r="E667" s="8" t="str">
        <x:v>.jpeg</x:v>
      </x:c>
      <x:c r="F667" s="8" t="n">
        <x:v>175371</x:v>
      </x:c>
      <x:c r="G667" s="8" t="str">
        <x:v>Inventariat; conținut neextras</x:v>
      </x:c>
      <x:c r="H667" s="8" t="str">
        <x:v>Document local; transmiterea individuală neconfirmată</x:v>
      </x:c>
      <x:c r="I667" s="8" t="str"/>
      <x:c r="J667" s="8" t="e">
        <x:f>HYPERLINK("file:///Z:/00. Proiecte 2025/AFIR FotoVoltaic 1/15. Implementare Proiect Fotovoltaic/10.Neets-Suntech/Etichete panouri/Furate/WhatsApp Image 2026-05-14 at 10.23.04 (1).jpeg","Deschide sursa")</x:f>
        <x:v>HYPERLINK is not implemented. linkLocation=file:///Z:/00. Proiecte 2025/AFIR FotoVoltaic 1/15. Implementare Proiect Fotovoltaic/10.Neets-Suntech/Etichete panouri/Furate/WhatsApp Image 2026-05-14 at 10.23.04 (1).jpeg, friendlyName=Deschide sursa</x:v>
      </x:c>
    </x:row>
    <x:row r="668" ht="36" customHeight="1">
      <x:c r="A668" s="8" t="str">
        <x:v>F0664</x:v>
      </x:c>
      <x:c r="B668" s="8" t="str">
        <x:v>WhatsApp Image 2026-05-14 at 10.23.04.jpeg</x:v>
      </x:c>
      <x:c r="C668" s="8" t="str">
        <x:v>15. Implementare Proiect Fotovoltaic</x:v>
      </x:c>
      <x:c r="D668" s="8" t="str">
        <x:v>Proiect fotovoltaic</x:v>
      </x:c>
      <x:c r="E668" s="8" t="str">
        <x:v>.jpeg</x:v>
      </x:c>
      <x:c r="F668" s="8" t="n">
        <x:v>503519</x:v>
      </x:c>
      <x:c r="G668" s="8" t="str">
        <x:v>Inventariat; conținut neextras</x:v>
      </x:c>
      <x:c r="H668" s="8" t="str">
        <x:v>Document local; transmiterea individuală neconfirmată</x:v>
      </x:c>
      <x:c r="I668" s="8" t="str"/>
      <x:c r="J668" s="8" t="e">
        <x:f>HYPERLINK("file:///Z:/00. Proiecte 2025/AFIR FotoVoltaic 1/15. Implementare Proiect Fotovoltaic/10.Neets-Suntech/Etichete panouri/Furate/WhatsApp Image 2026-05-14 at 10.23.04.jpeg","Deschide sursa")</x:f>
        <x:v>HYPERLINK is not implemented. linkLocation=file:///Z:/00. Proiecte 2025/AFIR FotoVoltaic 1/15. Implementare Proiect Fotovoltaic/10.Neets-Suntech/Etichete panouri/Furate/WhatsApp Image 2026-05-14 at 10.23.04.jpeg, friendlyName=Deschide sursa</x:v>
      </x:c>
    </x:row>
    <x:row r="669" ht="36" customHeight="1">
      <x:c r="A669" s="8" t="str">
        <x:v>F0665</x:v>
      </x:c>
      <x:c r="B669" s="8" t="str">
        <x:v>WhatsApp Image 2026-05-14 at 10.23.05.jpeg</x:v>
      </x:c>
      <x:c r="C669" s="8" t="str">
        <x:v>15. Implementare Proiect Fotovoltaic</x:v>
      </x:c>
      <x:c r="D669" s="8" t="str">
        <x:v>Proiect fotovoltaic</x:v>
      </x:c>
      <x:c r="E669" s="8" t="str">
        <x:v>.jpeg</x:v>
      </x:c>
      <x:c r="F669" s="8" t="n">
        <x:v>189585</x:v>
      </x:c>
      <x:c r="G669" s="8" t="str">
        <x:v>Inventariat; conținut neextras</x:v>
      </x:c>
      <x:c r="H669" s="8" t="str">
        <x:v>Document local; transmiterea individuală neconfirmată</x:v>
      </x:c>
      <x:c r="I669" s="8" t="str"/>
      <x:c r="J669" s="8" t="e">
        <x:f>HYPERLINK("file:///Z:/00. Proiecte 2025/AFIR FotoVoltaic 1/15. Implementare Proiect Fotovoltaic/10.Neets-Suntech/Etichete panouri/Furate/WhatsApp Image 2026-05-14 at 10.23.05.jpeg","Deschide sursa")</x:f>
        <x:v>HYPERLINK is not implemented. linkLocation=file:///Z:/00. Proiecte 2025/AFIR FotoVoltaic 1/15. Implementare Proiect Fotovoltaic/10.Neets-Suntech/Etichete panouri/Furate/WhatsApp Image 2026-05-14 at 10.23.05.jpeg, friendlyName=Deschide sursa</x:v>
      </x:c>
    </x:row>
    <x:row r="670" ht="36" customHeight="1">
      <x:c r="A670" s="8" t="str">
        <x:v>F0666</x:v>
      </x:c>
      <x:c r="B670" s="8" t="str">
        <x:v>WhatsApp Image 2026-05-14 at 10.23.06.jpeg</x:v>
      </x:c>
      <x:c r="C670" s="8" t="str">
        <x:v>15. Implementare Proiect Fotovoltaic</x:v>
      </x:c>
      <x:c r="D670" s="8" t="str">
        <x:v>Proiect fotovoltaic</x:v>
      </x:c>
      <x:c r="E670" s="8" t="str">
        <x:v>.jpeg</x:v>
      </x:c>
      <x:c r="F670" s="8" t="n">
        <x:v>177622</x:v>
      </x:c>
      <x:c r="G670" s="8" t="str">
        <x:v>Inventariat; conținut neextras</x:v>
      </x:c>
      <x:c r="H670" s="8" t="str">
        <x:v>Document local; transmiterea individuală neconfirmată</x:v>
      </x:c>
      <x:c r="I670" s="8" t="str"/>
      <x:c r="J670" s="8" t="e">
        <x:f>HYPERLINK("file:///Z:/00. Proiecte 2025/AFIR FotoVoltaic 1/15. Implementare Proiect Fotovoltaic/10.Neets-Suntech/Etichete panouri/Furate/WhatsApp Image 2026-05-14 at 10.23.06.jpeg","Deschide sursa")</x:f>
        <x:v>HYPERLINK is not implemented. linkLocation=file:///Z:/00. Proiecte 2025/AFIR FotoVoltaic 1/15. Implementare Proiect Fotovoltaic/10.Neets-Suntech/Etichete panouri/Furate/WhatsApp Image 2026-05-14 at 10.23.06.jpeg, friendlyName=Deschide sursa</x:v>
      </x:c>
    </x:row>
    <x:row r="671" ht="36" customHeight="1">
      <x:c r="A671" s="8" t="str">
        <x:v>F0667</x:v>
      </x:c>
      <x:c r="B671" s="8" t="str">
        <x:v>WhatsApp Image 2026-05-14 at 10.23.07 (1).jpeg</x:v>
      </x:c>
      <x:c r="C671" s="8" t="str">
        <x:v>15. Implementare Proiect Fotovoltaic</x:v>
      </x:c>
      <x:c r="D671" s="8" t="str">
        <x:v>Proiect fotovoltaic</x:v>
      </x:c>
      <x:c r="E671" s="8" t="str">
        <x:v>.jpeg</x:v>
      </x:c>
      <x:c r="F671" s="8" t="n">
        <x:v>202356</x:v>
      </x:c>
      <x:c r="G671" s="8" t="str">
        <x:v>Inventariat; conținut neextras</x:v>
      </x:c>
      <x:c r="H671" s="8" t="str">
        <x:v>Document local; transmiterea individuală neconfirmată</x:v>
      </x:c>
      <x:c r="I671" s="8" t="str"/>
      <x:c r="J671" s="8" t="e">
        <x:f>HYPERLINK("file:///Z:/00. Proiecte 2025/AFIR FotoVoltaic 1/15. Implementare Proiect Fotovoltaic/10.Neets-Suntech/Etichete panouri/Furate/WhatsApp Image 2026-05-14 at 10.23.07 (1).jpeg","Deschide sursa")</x:f>
        <x:v>HYPERLINK is not implemented. linkLocation=file:///Z:/00. Proiecte 2025/AFIR FotoVoltaic 1/15. Implementare Proiect Fotovoltaic/10.Neets-Suntech/Etichete panouri/Furate/WhatsApp Image 2026-05-14 at 10.23.07 (1).jpeg, friendlyName=Deschide sursa</x:v>
      </x:c>
    </x:row>
    <x:row r="672" ht="36" customHeight="1">
      <x:c r="A672" s="8" t="str">
        <x:v>F0668</x:v>
      </x:c>
      <x:c r="B672" s="8" t="str">
        <x:v>WhatsApp Image 2026-05-14 at 10.23.07.jpeg</x:v>
      </x:c>
      <x:c r="C672" s="8" t="str">
        <x:v>15. Implementare Proiect Fotovoltaic</x:v>
      </x:c>
      <x:c r="D672" s="8" t="str">
        <x:v>Proiect fotovoltaic</x:v>
      </x:c>
      <x:c r="E672" s="8" t="str">
        <x:v>.jpeg</x:v>
      </x:c>
      <x:c r="F672" s="8" t="n">
        <x:v>462015</x:v>
      </x:c>
      <x:c r="G672" s="8" t="str">
        <x:v>Inventariat; conținut neextras</x:v>
      </x:c>
      <x:c r="H672" s="8" t="str">
        <x:v>Document local; transmiterea individuală neconfirmată</x:v>
      </x:c>
      <x:c r="I672" s="8" t="str"/>
      <x:c r="J672" s="8" t="e">
        <x:f>HYPERLINK("file:///Z:/00. Proiecte 2025/AFIR FotoVoltaic 1/15. Implementare Proiect Fotovoltaic/10.Neets-Suntech/Etichete panouri/Furate/WhatsApp Image 2026-05-14 at 10.23.07.jpeg","Deschide sursa")</x:f>
        <x:v>HYPERLINK is not implemented. linkLocation=file:///Z:/00. Proiecte 2025/AFIR FotoVoltaic 1/15. Implementare Proiect Fotovoltaic/10.Neets-Suntech/Etichete panouri/Furate/WhatsApp Image 2026-05-14 at 10.23.07.jpeg, friendlyName=Deschide sursa</x:v>
      </x:c>
    </x:row>
    <x:row r="673" ht="36" customHeight="1">
      <x:c r="A673" s="8" t="str">
        <x:v>F0669</x:v>
      </x:c>
      <x:c r="B673" s="8" t="str">
        <x:v>WhatsApp Image 2026-05-14 at 10.23.08.jpeg</x:v>
      </x:c>
      <x:c r="C673" s="8" t="str">
        <x:v>15. Implementare Proiect Fotovoltaic</x:v>
      </x:c>
      <x:c r="D673" s="8" t="str">
        <x:v>Proiect fotovoltaic</x:v>
      </x:c>
      <x:c r="E673" s="8" t="str">
        <x:v>.jpeg</x:v>
      </x:c>
      <x:c r="F673" s="8" t="n">
        <x:v>377265</x:v>
      </x:c>
      <x:c r="G673" s="8" t="str">
        <x:v>Inventariat; conținut neextras</x:v>
      </x:c>
      <x:c r="H673" s="8" t="str">
        <x:v>Document local; transmiterea individuală neconfirmată</x:v>
      </x:c>
      <x:c r="I673" s="8" t="str"/>
      <x:c r="J673" s="8" t="e">
        <x:f>HYPERLINK("file:///Z:/00. Proiecte 2025/AFIR FotoVoltaic 1/15. Implementare Proiect Fotovoltaic/10.Neets-Suntech/Etichete panouri/Furate/WhatsApp Image 2026-05-14 at 10.23.08.jpeg","Deschide sursa")</x:f>
        <x:v>HYPERLINK is not implemented. linkLocation=file:///Z:/00. Proiecte 2025/AFIR FotoVoltaic 1/15. Implementare Proiect Fotovoltaic/10.Neets-Suntech/Etichete panouri/Furate/WhatsApp Image 2026-05-14 at 10.23.08.jpeg, friendlyName=Deschide sursa</x:v>
      </x:c>
    </x:row>
    <x:row r="674" ht="36" customHeight="1">
      <x:c r="A674" s="8" t="str">
        <x:v>F0670</x:v>
      </x:c>
      <x:c r="B674" s="8" t="str">
        <x:v>WhatsApp Image 2026-05-14 at 10.23.09.jpeg</x:v>
      </x:c>
      <x:c r="C674" s="8" t="str">
        <x:v>15. Implementare Proiect Fotovoltaic</x:v>
      </x:c>
      <x:c r="D674" s="8" t="str">
        <x:v>Proiect fotovoltaic</x:v>
      </x:c>
      <x:c r="E674" s="8" t="str">
        <x:v>.jpeg</x:v>
      </x:c>
      <x:c r="F674" s="8" t="n">
        <x:v>396417</x:v>
      </x:c>
      <x:c r="G674" s="8" t="str">
        <x:v>Inventariat; conținut neextras</x:v>
      </x:c>
      <x:c r="H674" s="8" t="str">
        <x:v>Document local; transmiterea individuală neconfirmată</x:v>
      </x:c>
      <x:c r="I674" s="8" t="str"/>
      <x:c r="J674" s="8" t="e">
        <x:f>HYPERLINK("file:///Z:/00. Proiecte 2025/AFIR FotoVoltaic 1/15. Implementare Proiect Fotovoltaic/10.Neets-Suntech/Etichete panouri/Furate/WhatsApp Image 2026-05-14 at 10.23.09.jpeg","Deschide sursa")</x:f>
        <x:v>HYPERLINK is not implemented. linkLocation=file:///Z:/00. Proiecte 2025/AFIR FotoVoltaic 1/15. Implementare Proiect Fotovoltaic/10.Neets-Suntech/Etichete panouri/Furate/WhatsApp Image 2026-05-14 at 10.23.09.jpeg, friendlyName=Deschide sursa</x:v>
      </x:c>
    </x:row>
    <x:row r="675" ht="36" customHeight="1">
      <x:c r="A675" s="8" t="str">
        <x:v>F0671</x:v>
      </x:c>
      <x:c r="B675" s="8" t="str">
        <x:v>WhatsApp Image 2026-05-14 at 10.23.11 (1).jpeg</x:v>
      </x:c>
      <x:c r="C675" s="8" t="str">
        <x:v>15. Implementare Proiect Fotovoltaic</x:v>
      </x:c>
      <x:c r="D675" s="8" t="str">
        <x:v>Proiect fotovoltaic</x:v>
      </x:c>
      <x:c r="E675" s="8" t="str">
        <x:v>.jpeg</x:v>
      </x:c>
      <x:c r="F675" s="8" t="n">
        <x:v>366278</x:v>
      </x:c>
      <x:c r="G675" s="8" t="str">
        <x:v>Inventariat; conținut neextras</x:v>
      </x:c>
      <x:c r="H675" s="8" t="str">
        <x:v>Document local; transmiterea individuală neconfirmată</x:v>
      </x:c>
      <x:c r="I675" s="8" t="str"/>
      <x:c r="J675" s="8" t="e">
        <x:f>HYPERLINK("file:///Z:/00. Proiecte 2025/AFIR FotoVoltaic 1/15. Implementare Proiect Fotovoltaic/10.Neets-Suntech/Etichete panouri/Furate/WhatsApp Image 2026-05-14 at 10.23.11 (1).jpeg","Deschide sursa")</x:f>
        <x:v>HYPERLINK is not implemented. linkLocation=file:///Z:/00. Proiecte 2025/AFIR FotoVoltaic 1/15. Implementare Proiect Fotovoltaic/10.Neets-Suntech/Etichete panouri/Furate/WhatsApp Image 2026-05-14 at 10.23.11 (1).jpeg, friendlyName=Deschide sursa</x:v>
      </x:c>
    </x:row>
    <x:row r="676" ht="36" customHeight="1">
      <x:c r="A676" s="8" t="str">
        <x:v>F0672</x:v>
      </x:c>
      <x:c r="B676" s="8" t="str">
        <x:v>WhatsApp Image 2026-05-14 at 10.23.11.jpeg</x:v>
      </x:c>
      <x:c r="C676" s="8" t="str">
        <x:v>15. Implementare Proiect Fotovoltaic</x:v>
      </x:c>
      <x:c r="D676" s="8" t="str">
        <x:v>Proiect fotovoltaic</x:v>
      </x:c>
      <x:c r="E676" s="8" t="str">
        <x:v>.jpeg</x:v>
      </x:c>
      <x:c r="F676" s="8" t="n">
        <x:v>353962</x:v>
      </x:c>
      <x:c r="G676" s="8" t="str">
        <x:v>Inventariat; conținut neextras</x:v>
      </x:c>
      <x:c r="H676" s="8" t="str">
        <x:v>Document local; transmiterea individuală neconfirmată</x:v>
      </x:c>
      <x:c r="I676" s="8" t="str"/>
      <x:c r="J676" s="8" t="e">
        <x:f>HYPERLINK("file:///Z:/00. Proiecte 2025/AFIR FotoVoltaic 1/15. Implementare Proiect Fotovoltaic/10.Neets-Suntech/Etichete panouri/Furate/WhatsApp Image 2026-05-14 at 10.23.11.jpeg","Deschide sursa")</x:f>
        <x:v>HYPERLINK is not implemented. linkLocation=file:///Z:/00. Proiecte 2025/AFIR FotoVoltaic 1/15. Implementare Proiect Fotovoltaic/10.Neets-Suntech/Etichete panouri/Furate/WhatsApp Image 2026-05-14 at 10.23.11.jpeg, friendlyName=Deschide sursa</x:v>
      </x:c>
    </x:row>
    <x:row r="677" ht="36" customHeight="1">
      <x:c r="A677" s="8" t="str">
        <x:v>F0673</x:v>
      </x:c>
      <x:c r="B677" s="8" t="str">
        <x:v>WhatsApp Image 2026-05-14 at 10.23.12 (1).jpeg</x:v>
      </x:c>
      <x:c r="C677" s="8" t="str">
        <x:v>15. Implementare Proiect Fotovoltaic</x:v>
      </x:c>
      <x:c r="D677" s="8" t="str">
        <x:v>Proiect fotovoltaic</x:v>
      </x:c>
      <x:c r="E677" s="8" t="str">
        <x:v>.jpeg</x:v>
      </x:c>
      <x:c r="F677" s="8" t="n">
        <x:v>104406</x:v>
      </x:c>
      <x:c r="G677" s="8" t="str">
        <x:v>Inventariat; conținut neextras</x:v>
      </x:c>
      <x:c r="H677" s="8" t="str">
        <x:v>Document local; transmiterea individuală neconfirmată</x:v>
      </x:c>
      <x:c r="I677" s="8" t="str"/>
      <x:c r="J677" s="8" t="e">
        <x:f>HYPERLINK("file:///Z:/00. Proiecte 2025/AFIR FotoVoltaic 1/15. Implementare Proiect Fotovoltaic/10.Neets-Suntech/Etichete panouri/Furate/WhatsApp Image 2026-05-14 at 10.23.12 (1).jpeg","Deschide sursa")</x:f>
        <x:v>HYPERLINK is not implemented. linkLocation=file:///Z:/00. Proiecte 2025/AFIR FotoVoltaic 1/15. Implementare Proiect Fotovoltaic/10.Neets-Suntech/Etichete panouri/Furate/WhatsApp Image 2026-05-14 at 10.23.12 (1).jpeg, friendlyName=Deschide sursa</x:v>
      </x:c>
    </x:row>
    <x:row r="678" ht="36" customHeight="1">
      <x:c r="A678" s="8" t="str">
        <x:v>F0674</x:v>
      </x:c>
      <x:c r="B678" s="8" t="str">
        <x:v>WhatsApp Image 2026-05-14 at 10.23.12.jpeg</x:v>
      </x:c>
      <x:c r="C678" s="8" t="str">
        <x:v>15. Implementare Proiect Fotovoltaic</x:v>
      </x:c>
      <x:c r="D678" s="8" t="str">
        <x:v>Proiect fotovoltaic</x:v>
      </x:c>
      <x:c r="E678" s="8" t="str">
        <x:v>.jpeg</x:v>
      </x:c>
      <x:c r="F678" s="8" t="n">
        <x:v>314920</x:v>
      </x:c>
      <x:c r="G678" s="8" t="str">
        <x:v>Inventariat; conținut neextras</x:v>
      </x:c>
      <x:c r="H678" s="8" t="str">
        <x:v>Document local; transmiterea individuală neconfirmată</x:v>
      </x:c>
      <x:c r="I678" s="8" t="str"/>
      <x:c r="J678" s="8" t="e">
        <x:f>HYPERLINK("file:///Z:/00. Proiecte 2025/AFIR FotoVoltaic 1/15. Implementare Proiect Fotovoltaic/10.Neets-Suntech/Etichete panouri/Furate/WhatsApp Image 2026-05-14 at 10.23.12.jpeg","Deschide sursa")</x:f>
        <x:v>HYPERLINK is not implemented. linkLocation=file:///Z:/00. Proiecte 2025/AFIR FotoVoltaic 1/15. Implementare Proiect Fotovoltaic/10.Neets-Suntech/Etichete panouri/Furate/WhatsApp Image 2026-05-14 at 10.23.12.jpeg, friendlyName=Deschide sursa</x:v>
      </x:c>
    </x:row>
    <x:row r="679" ht="36" customHeight="1">
      <x:c r="A679" s="8" t="str">
        <x:v>F0675</x:v>
      </x:c>
      <x:c r="B679" s="8" t="str">
        <x:v>WhatsApp Image 2026-05-14 at 10.23.13.jpeg</x:v>
      </x:c>
      <x:c r="C679" s="8" t="str">
        <x:v>15. Implementare Proiect Fotovoltaic</x:v>
      </x:c>
      <x:c r="D679" s="8" t="str">
        <x:v>Proiect fotovoltaic</x:v>
      </x:c>
      <x:c r="E679" s="8" t="str">
        <x:v>.jpeg</x:v>
      </x:c>
      <x:c r="F679" s="8" t="n">
        <x:v>116092</x:v>
      </x:c>
      <x:c r="G679" s="8" t="str">
        <x:v>Inventariat; conținut neextras</x:v>
      </x:c>
      <x:c r="H679" s="8" t="str">
        <x:v>Document local; transmiterea individuală neconfirmată</x:v>
      </x:c>
      <x:c r="I679" s="8" t="str"/>
      <x:c r="J679" s="8" t="e">
        <x:f>HYPERLINK("file:///Z:/00. Proiecte 2025/AFIR FotoVoltaic 1/15. Implementare Proiect Fotovoltaic/10.Neets-Suntech/Etichete panouri/Furate/WhatsApp Image 2026-05-14 at 10.23.13.jpeg","Deschide sursa")</x:f>
        <x:v>HYPERLINK is not implemented. linkLocation=file:///Z:/00. Proiecte 2025/AFIR FotoVoltaic 1/15. Implementare Proiect Fotovoltaic/10.Neets-Suntech/Etichete panouri/Furate/WhatsApp Image 2026-05-14 at 10.23.13.jpeg, friendlyName=Deschide sursa</x:v>
      </x:c>
    </x:row>
    <x:row r="680" ht="36" customHeight="1">
      <x:c r="A680" s="8" t="str">
        <x:v>F0676</x:v>
      </x:c>
      <x:c r="B680" s="8" t="str">
        <x:v>WhatsApp Image 2026-05-14 at 10.23.15 (1).jpeg</x:v>
      </x:c>
      <x:c r="C680" s="8" t="str">
        <x:v>15. Implementare Proiect Fotovoltaic</x:v>
      </x:c>
      <x:c r="D680" s="8" t="str">
        <x:v>Proiect fotovoltaic</x:v>
      </x:c>
      <x:c r="E680" s="8" t="str">
        <x:v>.jpeg</x:v>
      </x:c>
      <x:c r="F680" s="8" t="n">
        <x:v>359225</x:v>
      </x:c>
      <x:c r="G680" s="8" t="str">
        <x:v>Inventariat; conținut neextras</x:v>
      </x:c>
      <x:c r="H680" s="8" t="str">
        <x:v>Document local; transmiterea individuală neconfirmată</x:v>
      </x:c>
      <x:c r="I680" s="8" t="str"/>
      <x:c r="J680" s="8" t="e">
        <x:f>HYPERLINK("file:///Z:/00. Proiecte 2025/AFIR FotoVoltaic 1/15. Implementare Proiect Fotovoltaic/10.Neets-Suntech/Etichete panouri/Furate/WhatsApp Image 2026-05-14 at 10.23.15 (1).jpeg","Deschide sursa")</x:f>
        <x:v>HYPERLINK is not implemented. linkLocation=file:///Z:/00. Proiecte 2025/AFIR FotoVoltaic 1/15. Implementare Proiect Fotovoltaic/10.Neets-Suntech/Etichete panouri/Furate/WhatsApp Image 2026-05-14 at 10.23.15 (1).jpeg, friendlyName=Deschide sursa</x:v>
      </x:c>
    </x:row>
    <x:row r="681" ht="36" customHeight="1">
      <x:c r="A681" s="8" t="str">
        <x:v>F0677</x:v>
      </x:c>
      <x:c r="B681" s="8" t="str">
        <x:v>WhatsApp Image 2026-05-14 at 10.23.15.jpeg</x:v>
      </x:c>
      <x:c r="C681" s="8" t="str">
        <x:v>15. Implementare Proiect Fotovoltaic</x:v>
      </x:c>
      <x:c r="D681" s="8" t="str">
        <x:v>Proiect fotovoltaic</x:v>
      </x:c>
      <x:c r="E681" s="8" t="str">
        <x:v>.jpeg</x:v>
      </x:c>
      <x:c r="F681" s="8" t="n">
        <x:v>181632</x:v>
      </x:c>
      <x:c r="G681" s="8" t="str">
        <x:v>Inventariat; conținut neextras</x:v>
      </x:c>
      <x:c r="H681" s="8" t="str">
        <x:v>Document local; transmiterea individuală neconfirmată</x:v>
      </x:c>
      <x:c r="I681" s="8" t="str"/>
      <x:c r="J681" s="8" t="e">
        <x:f>HYPERLINK("file:///Z:/00. Proiecte 2025/AFIR FotoVoltaic 1/15. Implementare Proiect Fotovoltaic/10.Neets-Suntech/Etichete panouri/Furate/WhatsApp Image 2026-05-14 at 10.23.15.jpeg","Deschide sursa")</x:f>
        <x:v>HYPERLINK is not implemented. linkLocation=file:///Z:/00. Proiecte 2025/AFIR FotoVoltaic 1/15. Implementare Proiect Fotovoltaic/10.Neets-Suntech/Etichete panouri/Furate/WhatsApp Image 2026-05-14 at 10.23.15.jpeg, friendlyName=Deschide sursa</x:v>
      </x:c>
    </x:row>
    <x:row r="682" ht="36" customHeight="1">
      <x:c r="A682" s="8" t="str">
        <x:v>F0678</x:v>
      </x:c>
      <x:c r="B682" s="8" t="str">
        <x:v>WhatsApp Image 2026-05-14 at 10.23.16.jpeg</x:v>
      </x:c>
      <x:c r="C682" s="8" t="str">
        <x:v>15. Implementare Proiect Fotovoltaic</x:v>
      </x:c>
      <x:c r="D682" s="8" t="str">
        <x:v>Proiect fotovoltaic</x:v>
      </x:c>
      <x:c r="E682" s="8" t="str">
        <x:v>.jpeg</x:v>
      </x:c>
      <x:c r="F682" s="8" t="n">
        <x:v>230021</x:v>
      </x:c>
      <x:c r="G682" s="8" t="str">
        <x:v>Inventariat; conținut neextras</x:v>
      </x:c>
      <x:c r="H682" s="8" t="str">
        <x:v>Document local; transmiterea individuală neconfirmată</x:v>
      </x:c>
      <x:c r="I682" s="8" t="str"/>
      <x:c r="J682" s="8" t="e">
        <x:f>HYPERLINK("file:///Z:/00. Proiecte 2025/AFIR FotoVoltaic 1/15. Implementare Proiect Fotovoltaic/10.Neets-Suntech/Etichete panouri/Furate/WhatsApp Image 2026-05-14 at 10.23.16.jpeg","Deschide sursa")</x:f>
        <x:v>HYPERLINK is not implemented. linkLocation=file:///Z:/00. Proiecte 2025/AFIR FotoVoltaic 1/15. Implementare Proiect Fotovoltaic/10.Neets-Suntech/Etichete panouri/Furate/WhatsApp Image 2026-05-14 at 10.23.16.jpeg, friendlyName=Deschide sursa</x:v>
      </x:c>
    </x:row>
    <x:row r="683" ht="36" customHeight="1">
      <x:c r="A683" s="8" t="str">
        <x:v>F0679</x:v>
      </x:c>
      <x:c r="B683" s="8" t="str">
        <x:v>WhatsApp Image 2026-05-14 at 10.23.17 (1).jpeg</x:v>
      </x:c>
      <x:c r="C683" s="8" t="str">
        <x:v>15. Implementare Proiect Fotovoltaic</x:v>
      </x:c>
      <x:c r="D683" s="8" t="str">
        <x:v>Proiect fotovoltaic</x:v>
      </x:c>
      <x:c r="E683" s="8" t="str">
        <x:v>.jpeg</x:v>
      </x:c>
      <x:c r="F683" s="8" t="n">
        <x:v>190934</x:v>
      </x:c>
      <x:c r="G683" s="8" t="str">
        <x:v>Inventariat; conținut neextras</x:v>
      </x:c>
      <x:c r="H683" s="8" t="str">
        <x:v>Document local; transmiterea individuală neconfirmată</x:v>
      </x:c>
      <x:c r="I683" s="8" t="str"/>
      <x:c r="J683" s="8" t="e">
        <x:f>HYPERLINK("file:///Z:/00. Proiecte 2025/AFIR FotoVoltaic 1/15. Implementare Proiect Fotovoltaic/10.Neets-Suntech/Etichete panouri/Furate/WhatsApp Image 2026-05-14 at 10.23.17 (1).jpeg","Deschide sursa")</x:f>
        <x:v>HYPERLINK is not implemented. linkLocation=file:///Z:/00. Proiecte 2025/AFIR FotoVoltaic 1/15. Implementare Proiect Fotovoltaic/10.Neets-Suntech/Etichete panouri/Furate/WhatsApp Image 2026-05-14 at 10.23.17 (1).jpeg, friendlyName=Deschide sursa</x:v>
      </x:c>
    </x:row>
    <x:row r="684" ht="36" customHeight="1">
      <x:c r="A684" s="8" t="str">
        <x:v>F0680</x:v>
      </x:c>
      <x:c r="B684" s="8" t="str">
        <x:v>WhatsApp Image 2026-05-14 at 10.23.17.jpeg</x:v>
      </x:c>
      <x:c r="C684" s="8" t="str">
        <x:v>15. Implementare Proiect Fotovoltaic</x:v>
      </x:c>
      <x:c r="D684" s="8" t="str">
        <x:v>Proiect fotovoltaic</x:v>
      </x:c>
      <x:c r="E684" s="8" t="str">
        <x:v>.jpeg</x:v>
      </x:c>
      <x:c r="F684" s="8" t="n">
        <x:v>192504</x:v>
      </x:c>
      <x:c r="G684" s="8" t="str">
        <x:v>Inventariat; conținut neextras</x:v>
      </x:c>
      <x:c r="H684" s="8" t="str">
        <x:v>Document local; transmiterea individuală neconfirmată</x:v>
      </x:c>
      <x:c r="I684" s="8" t="str"/>
      <x:c r="J684" s="8" t="e">
        <x:f>HYPERLINK("file:///Z:/00. Proiecte 2025/AFIR FotoVoltaic 1/15. Implementare Proiect Fotovoltaic/10.Neets-Suntech/Etichete panouri/Furate/WhatsApp Image 2026-05-14 at 10.23.17.jpeg","Deschide sursa")</x:f>
        <x:v>HYPERLINK is not implemented. linkLocation=file:///Z:/00. Proiecte 2025/AFIR FotoVoltaic 1/15. Implementare Proiect Fotovoltaic/10.Neets-Suntech/Etichete panouri/Furate/WhatsApp Image 2026-05-14 at 10.23.17.jpeg, friendlyName=Deschide sursa</x:v>
      </x:c>
    </x:row>
    <x:row r="685" ht="36" customHeight="1">
      <x:c r="A685" s="8" t="str">
        <x:v>F0681</x:v>
      </x:c>
      <x:c r="B685" s="8" t="str">
        <x:v>WhatsApp Image 2026-05-14 at 10.23.18.jpeg</x:v>
      </x:c>
      <x:c r="C685" s="8" t="str">
        <x:v>15. Implementare Proiect Fotovoltaic</x:v>
      </x:c>
      <x:c r="D685" s="8" t="str">
        <x:v>Proiect fotovoltaic</x:v>
      </x:c>
      <x:c r="E685" s="8" t="str">
        <x:v>.jpeg</x:v>
      </x:c>
      <x:c r="F685" s="8" t="n">
        <x:v>205072</x:v>
      </x:c>
      <x:c r="G685" s="8" t="str">
        <x:v>Inventariat; conținut neextras</x:v>
      </x:c>
      <x:c r="H685" s="8" t="str">
        <x:v>Document local; transmiterea individuală neconfirmată</x:v>
      </x:c>
      <x:c r="I685" s="8" t="str"/>
      <x:c r="J685" s="8" t="e">
        <x:f>HYPERLINK("file:///Z:/00. Proiecte 2025/AFIR FotoVoltaic 1/15. Implementare Proiect Fotovoltaic/10.Neets-Suntech/Etichete panouri/Furate/WhatsApp Image 2026-05-14 at 10.23.18.jpeg","Deschide sursa")</x:f>
        <x:v>HYPERLINK is not implemented. linkLocation=file:///Z:/00. Proiecte 2025/AFIR FotoVoltaic 1/15. Implementare Proiect Fotovoltaic/10.Neets-Suntech/Etichete panouri/Furate/WhatsApp Image 2026-05-14 at 10.23.18.jpeg, friendlyName=Deschide sursa</x:v>
      </x:c>
    </x:row>
    <x:row r="686" ht="36" customHeight="1">
      <x:c r="A686" s="8" t="str">
        <x:v>F0682</x:v>
      </x:c>
      <x:c r="B686" s="8" t="str">
        <x:v>WhatsApp Image 2026-05-14 at 10.23.20 (1).jpeg</x:v>
      </x:c>
      <x:c r="C686" s="8" t="str">
        <x:v>15. Implementare Proiect Fotovoltaic</x:v>
      </x:c>
      <x:c r="D686" s="8" t="str">
        <x:v>Proiect fotovoltaic</x:v>
      </x:c>
      <x:c r="E686" s="8" t="str">
        <x:v>.jpeg</x:v>
      </x:c>
      <x:c r="F686" s="8" t="n">
        <x:v>442004</x:v>
      </x:c>
      <x:c r="G686" s="8" t="str">
        <x:v>Inventariat; conținut neextras</x:v>
      </x:c>
      <x:c r="H686" s="8" t="str">
        <x:v>Document local; transmiterea individuală neconfirmată</x:v>
      </x:c>
      <x:c r="I686" s="8" t="str"/>
      <x:c r="J686" s="8" t="e">
        <x:f>HYPERLINK("file:///Z:/00. Proiecte 2025/AFIR FotoVoltaic 1/15. Implementare Proiect Fotovoltaic/10.Neets-Suntech/Etichete panouri/Furate/WhatsApp Image 2026-05-14 at 10.23.20 (1).jpeg","Deschide sursa")</x:f>
        <x:v>HYPERLINK is not implemented. linkLocation=file:///Z:/00. Proiecte 2025/AFIR FotoVoltaic 1/15. Implementare Proiect Fotovoltaic/10.Neets-Suntech/Etichete panouri/Furate/WhatsApp Image 2026-05-14 at 10.23.20 (1).jpeg, friendlyName=Deschide sursa</x:v>
      </x:c>
    </x:row>
    <x:row r="687" ht="36" customHeight="1">
      <x:c r="A687" s="8" t="str">
        <x:v>F0683</x:v>
      </x:c>
      <x:c r="B687" s="8" t="str">
        <x:v>WhatsApp Image 2026-05-14 at 10.23.20.jpeg</x:v>
      </x:c>
      <x:c r="C687" s="8" t="str">
        <x:v>15. Implementare Proiect Fotovoltaic</x:v>
      </x:c>
      <x:c r="D687" s="8" t="str">
        <x:v>Proiect fotovoltaic</x:v>
      </x:c>
      <x:c r="E687" s="8" t="str">
        <x:v>.jpeg</x:v>
      </x:c>
      <x:c r="F687" s="8" t="n">
        <x:v>418022</x:v>
      </x:c>
      <x:c r="G687" s="8" t="str">
        <x:v>Inventariat; conținut neextras</x:v>
      </x:c>
      <x:c r="H687" s="8" t="str">
        <x:v>Document local; transmiterea individuală neconfirmată</x:v>
      </x:c>
      <x:c r="I687" s="8" t="str"/>
      <x:c r="J687" s="8" t="e">
        <x:f>HYPERLINK("file:///Z:/00. Proiecte 2025/AFIR FotoVoltaic 1/15. Implementare Proiect Fotovoltaic/10.Neets-Suntech/Etichete panouri/Furate/WhatsApp Image 2026-05-14 at 10.23.20.jpeg","Deschide sursa")</x:f>
        <x:v>HYPERLINK is not implemented. linkLocation=file:///Z:/00. Proiecte 2025/AFIR FotoVoltaic 1/15. Implementare Proiect Fotovoltaic/10.Neets-Suntech/Etichete panouri/Furate/WhatsApp Image 2026-05-14 at 10.23.20.jpeg, friendlyName=Deschide sursa</x:v>
      </x:c>
    </x:row>
    <x:row r="688" ht="36" customHeight="1">
      <x:c r="A688" s="8" t="str">
        <x:v>F0684</x:v>
      </x:c>
      <x:c r="B688" s="8" t="str">
        <x:v>WhatsApp Image 2026-05-14 at 10.23.21.jpeg</x:v>
      </x:c>
      <x:c r="C688" s="8" t="str">
        <x:v>15. Implementare Proiect Fotovoltaic</x:v>
      </x:c>
      <x:c r="D688" s="8" t="str">
        <x:v>Proiect fotovoltaic</x:v>
      </x:c>
      <x:c r="E688" s="8" t="str">
        <x:v>.jpeg</x:v>
      </x:c>
      <x:c r="F688" s="8" t="n">
        <x:v>239521</x:v>
      </x:c>
      <x:c r="G688" s="8" t="str">
        <x:v>Inventariat; conținut neextras</x:v>
      </x:c>
      <x:c r="H688" s="8" t="str">
        <x:v>Document local; transmiterea individuală neconfirmată</x:v>
      </x:c>
      <x:c r="I688" s="8" t="str"/>
      <x:c r="J688" s="8" t="e">
        <x:f>HYPERLINK("file:///Z:/00. Proiecte 2025/AFIR FotoVoltaic 1/15. Implementare Proiect Fotovoltaic/10.Neets-Suntech/Etichete panouri/Furate/WhatsApp Image 2026-05-14 at 10.23.21.jpeg","Deschide sursa")</x:f>
        <x:v>HYPERLINK is not implemented. linkLocation=file:///Z:/00. Proiecte 2025/AFIR FotoVoltaic 1/15. Implementare Proiect Fotovoltaic/10.Neets-Suntech/Etichete panouri/Furate/WhatsApp Image 2026-05-14 at 10.23.21.jpeg, friendlyName=Deschide sursa</x:v>
      </x:c>
    </x:row>
    <x:row r="689" ht="36" customHeight="1">
      <x:c r="A689" s="8" t="str">
        <x:v>F0685</x:v>
      </x:c>
      <x:c r="B689" s="8" t="str">
        <x:v>WhatsApp Image 2026-05-14 at 10.23.22.jpeg</x:v>
      </x:c>
      <x:c r="C689" s="8" t="str">
        <x:v>15. Implementare Proiect Fotovoltaic</x:v>
      </x:c>
      <x:c r="D689" s="8" t="str">
        <x:v>Proiect fotovoltaic</x:v>
      </x:c>
      <x:c r="E689" s="8" t="str">
        <x:v>.jpeg</x:v>
      </x:c>
      <x:c r="F689" s="8" t="n">
        <x:v>212877</x:v>
      </x:c>
      <x:c r="G689" s="8" t="str">
        <x:v>Inventariat; conținut neextras</x:v>
      </x:c>
      <x:c r="H689" s="8" t="str">
        <x:v>Document local; transmiterea individuală neconfirmată</x:v>
      </x:c>
      <x:c r="I689" s="8" t="str"/>
      <x:c r="J689" s="8" t="e">
        <x:f>HYPERLINK("file:///Z:/00. Proiecte 2025/AFIR FotoVoltaic 1/15. Implementare Proiect Fotovoltaic/10.Neets-Suntech/Etichete panouri/Furate/WhatsApp Image 2026-05-14 at 10.23.22.jpeg","Deschide sursa")</x:f>
        <x:v>HYPERLINK is not implemented. linkLocation=file:///Z:/00. Proiecte 2025/AFIR FotoVoltaic 1/15. Implementare Proiect Fotovoltaic/10.Neets-Suntech/Etichete panouri/Furate/WhatsApp Image 2026-05-14 at 10.23.22.jpeg, friendlyName=Deschide sursa</x:v>
      </x:c>
    </x:row>
    <x:row r="690" ht="36" customHeight="1">
      <x:c r="A690" s="8" t="str">
        <x:v>F0686</x:v>
      </x:c>
      <x:c r="B690" s="8" t="str">
        <x:v>WhatsApp Image 2026-05-14 at 10.23.23.jpeg</x:v>
      </x:c>
      <x:c r="C690" s="8" t="str">
        <x:v>15. Implementare Proiect Fotovoltaic</x:v>
      </x:c>
      <x:c r="D690" s="8" t="str">
        <x:v>Proiect fotovoltaic</x:v>
      </x:c>
      <x:c r="E690" s="8" t="str">
        <x:v>.jpeg</x:v>
      </x:c>
      <x:c r="F690" s="8" t="n">
        <x:v>392613</x:v>
      </x:c>
      <x:c r="G690" s="8" t="str">
        <x:v>Inventariat; conținut neextras</x:v>
      </x:c>
      <x:c r="H690" s="8" t="str">
        <x:v>Document local; transmiterea individuală neconfirmată</x:v>
      </x:c>
      <x:c r="I690" s="8" t="str"/>
      <x:c r="J690" s="8" t="e">
        <x:f>HYPERLINK("file:///Z:/00. Proiecte 2025/AFIR FotoVoltaic 1/15. Implementare Proiect Fotovoltaic/10.Neets-Suntech/Etichete panouri/Furate/WhatsApp Image 2026-05-14 at 10.23.23.jpeg","Deschide sursa")</x:f>
        <x:v>HYPERLINK is not implemented. linkLocation=file:///Z:/00. Proiecte 2025/AFIR FotoVoltaic 1/15. Implementare Proiect Fotovoltaic/10.Neets-Suntech/Etichete panouri/Furate/WhatsApp Image 2026-05-14 at 10.23.23.jpeg, friendlyName=Deschide sursa</x:v>
      </x:c>
    </x:row>
    <x:row r="691" ht="36" customHeight="1">
      <x:c r="A691" s="8" t="str">
        <x:v>F0687</x:v>
      </x:c>
      <x:c r="B691" s="8" t="str">
        <x:v>WhatsApp Image 2026-05-14 at 10.23.24.jpeg</x:v>
      </x:c>
      <x:c r="C691" s="8" t="str">
        <x:v>15. Implementare Proiect Fotovoltaic</x:v>
      </x:c>
      <x:c r="D691" s="8" t="str">
        <x:v>Proiect fotovoltaic</x:v>
      </x:c>
      <x:c r="E691" s="8" t="str">
        <x:v>.jpeg</x:v>
      </x:c>
      <x:c r="F691" s="8" t="n">
        <x:v>286523</x:v>
      </x:c>
      <x:c r="G691" s="8" t="str">
        <x:v>Inventariat; conținut neextras</x:v>
      </x:c>
      <x:c r="H691" s="8" t="str">
        <x:v>Document local; transmiterea individuală neconfirmată</x:v>
      </x:c>
      <x:c r="I691" s="8" t="str"/>
      <x:c r="J691" s="8" t="e">
        <x:f>HYPERLINK("file:///Z:/00. Proiecte 2025/AFIR FotoVoltaic 1/15. Implementare Proiect Fotovoltaic/10.Neets-Suntech/Etichete panouri/Furate/WhatsApp Image 2026-05-14 at 10.23.24.jpeg","Deschide sursa")</x:f>
        <x:v>HYPERLINK is not implemented. linkLocation=file:///Z:/00. Proiecte 2025/AFIR FotoVoltaic 1/15. Implementare Proiect Fotovoltaic/10.Neets-Suntech/Etichete panouri/Furate/WhatsApp Image 2026-05-14 at 10.23.24.jpeg, friendlyName=Deschide sursa</x:v>
      </x:c>
    </x:row>
    <x:row r="692" ht="36" customHeight="1">
      <x:c r="A692" s="8" t="str">
        <x:v>F0688</x:v>
      </x:c>
      <x:c r="B692" s="8" t="str">
        <x:v>WhatsApp Image 2026-05-14 at 10.23.25.jpeg</x:v>
      </x:c>
      <x:c r="C692" s="8" t="str">
        <x:v>15. Implementare Proiect Fotovoltaic</x:v>
      </x:c>
      <x:c r="D692" s="8" t="str">
        <x:v>Proiect fotovoltaic</x:v>
      </x:c>
      <x:c r="E692" s="8" t="str">
        <x:v>.jpeg</x:v>
      </x:c>
      <x:c r="F692" s="8" t="n">
        <x:v>369959</x:v>
      </x:c>
      <x:c r="G692" s="8" t="str">
        <x:v>Inventariat; conținut neextras</x:v>
      </x:c>
      <x:c r="H692" s="8" t="str">
        <x:v>Document local; transmiterea individuală neconfirmată</x:v>
      </x:c>
      <x:c r="I692" s="8" t="str"/>
      <x:c r="J692" s="8" t="e">
        <x:f>HYPERLINK("file:///Z:/00. Proiecte 2025/AFIR FotoVoltaic 1/15. Implementare Proiect Fotovoltaic/10.Neets-Suntech/Etichete panouri/Furate/WhatsApp Image 2026-05-14 at 10.23.25.jpeg","Deschide sursa")</x:f>
        <x:v>HYPERLINK is not implemented. linkLocation=file:///Z:/00. Proiecte 2025/AFIR FotoVoltaic 1/15. Implementare Proiect Fotovoltaic/10.Neets-Suntech/Etichete panouri/Furate/WhatsApp Image 2026-05-14 at 10.23.25.jpeg, friendlyName=Deschide sursa</x:v>
      </x:c>
    </x:row>
    <x:row r="693" ht="36" customHeight="1">
      <x:c r="A693" s="8" t="str">
        <x:v>F0689</x:v>
      </x:c>
      <x:c r="B693" s="8" t="str">
        <x:v>WhatsApp Image 2026-05-14 at 10.23.26.jpeg</x:v>
      </x:c>
      <x:c r="C693" s="8" t="str">
        <x:v>15. Implementare Proiect Fotovoltaic</x:v>
      </x:c>
      <x:c r="D693" s="8" t="str">
        <x:v>Proiect fotovoltaic</x:v>
      </x:c>
      <x:c r="E693" s="8" t="str">
        <x:v>.jpeg</x:v>
      </x:c>
      <x:c r="F693" s="8" t="n">
        <x:v>312528</x:v>
      </x:c>
      <x:c r="G693" s="8" t="str">
        <x:v>Inventariat; conținut neextras</x:v>
      </x:c>
      <x:c r="H693" s="8" t="str">
        <x:v>Document local; transmiterea individuală neconfirmată</x:v>
      </x:c>
      <x:c r="I693" s="8" t="str"/>
      <x:c r="J693" s="8" t="e">
        <x:f>HYPERLINK("file:///Z:/00. Proiecte 2025/AFIR FotoVoltaic 1/15. Implementare Proiect Fotovoltaic/10.Neets-Suntech/Etichete panouri/Furate/WhatsApp Image 2026-05-14 at 10.23.26.jpeg","Deschide sursa")</x:f>
        <x:v>HYPERLINK is not implemented. linkLocation=file:///Z:/00. Proiecte 2025/AFIR FotoVoltaic 1/15. Implementare Proiect Fotovoltaic/10.Neets-Suntech/Etichete panouri/Furate/WhatsApp Image 2026-05-14 at 10.23.26.jpeg, friendlyName=Deschide sursa</x:v>
      </x:c>
    </x:row>
    <x:row r="694" ht="36" customHeight="1">
      <x:c r="A694" s="8" t="str">
        <x:v>F0690</x:v>
      </x:c>
      <x:c r="B694" s="8" t="str">
        <x:v>WhatsApp Image 2026-05-14 at 10.23.27.jpeg</x:v>
      </x:c>
      <x:c r="C694" s="8" t="str">
        <x:v>15. Implementare Proiect Fotovoltaic</x:v>
      </x:c>
      <x:c r="D694" s="8" t="str">
        <x:v>Proiect fotovoltaic</x:v>
      </x:c>
      <x:c r="E694" s="8" t="str">
        <x:v>.jpeg</x:v>
      </x:c>
      <x:c r="F694" s="8" t="n">
        <x:v>386787</x:v>
      </x:c>
      <x:c r="G694" s="8" t="str">
        <x:v>Inventariat; conținut neextras</x:v>
      </x:c>
      <x:c r="H694" s="8" t="str">
        <x:v>Document local; transmiterea individuală neconfirmată</x:v>
      </x:c>
      <x:c r="I694" s="8" t="str"/>
      <x:c r="J694" s="8" t="e">
        <x:f>HYPERLINK("file:///Z:/00. Proiecte 2025/AFIR FotoVoltaic 1/15. Implementare Proiect Fotovoltaic/10.Neets-Suntech/Etichete panouri/Furate/WhatsApp Image 2026-05-14 at 10.23.27.jpeg","Deschide sursa")</x:f>
        <x:v>HYPERLINK is not implemented. linkLocation=file:///Z:/00. Proiecte 2025/AFIR FotoVoltaic 1/15. Implementare Proiect Fotovoltaic/10.Neets-Suntech/Etichete panouri/Furate/WhatsApp Image 2026-05-14 at 10.23.27.jpeg, friendlyName=Deschide sursa</x:v>
      </x:c>
    </x:row>
    <x:row r="695" ht="36" customHeight="1">
      <x:c r="A695" s="8" t="str">
        <x:v>F0691</x:v>
      </x:c>
      <x:c r="B695" s="8" t="str">
        <x:v>WhatsApp Image 2026-05-14 at 10.23.28.jpeg</x:v>
      </x:c>
      <x:c r="C695" s="8" t="str">
        <x:v>15. Implementare Proiect Fotovoltaic</x:v>
      </x:c>
      <x:c r="D695" s="8" t="str">
        <x:v>Proiect fotovoltaic</x:v>
      </x:c>
      <x:c r="E695" s="8" t="str">
        <x:v>.jpeg</x:v>
      </x:c>
      <x:c r="F695" s="8" t="n">
        <x:v>383938</x:v>
      </x:c>
      <x:c r="G695" s="8" t="str">
        <x:v>Inventariat; conținut neextras</x:v>
      </x:c>
      <x:c r="H695" s="8" t="str">
        <x:v>Document local; transmiterea individuală neconfirmată</x:v>
      </x:c>
      <x:c r="I695" s="8" t="str"/>
      <x:c r="J695" s="8" t="e">
        <x:f>HYPERLINK("file:///Z:/00. Proiecte 2025/AFIR FotoVoltaic 1/15. Implementare Proiect Fotovoltaic/10.Neets-Suntech/Etichete panouri/Furate/WhatsApp Image 2026-05-14 at 10.23.28.jpeg","Deschide sursa")</x:f>
        <x:v>HYPERLINK is not implemented. linkLocation=file:///Z:/00. Proiecte 2025/AFIR FotoVoltaic 1/15. Implementare Proiect Fotovoltaic/10.Neets-Suntech/Etichete panouri/Furate/WhatsApp Image 2026-05-14 at 10.23.28.jpeg, friendlyName=Deschide sursa</x:v>
      </x:c>
    </x:row>
    <x:row r="696" ht="36" customHeight="1">
      <x:c r="A696" s="8" t="str">
        <x:v>F0692</x:v>
      </x:c>
      <x:c r="B696" s="8" t="str">
        <x:v>WhatsApp Image 2026-05-14 at 10.23.29 (1).jpeg</x:v>
      </x:c>
      <x:c r="C696" s="8" t="str">
        <x:v>15. Implementare Proiect Fotovoltaic</x:v>
      </x:c>
      <x:c r="D696" s="8" t="str">
        <x:v>Proiect fotovoltaic</x:v>
      </x:c>
      <x:c r="E696" s="8" t="str">
        <x:v>.jpeg</x:v>
      </x:c>
      <x:c r="F696" s="8" t="n">
        <x:v>205823</x:v>
      </x:c>
      <x:c r="G696" s="8" t="str">
        <x:v>Inventariat; conținut neextras</x:v>
      </x:c>
      <x:c r="H696" s="8" t="str">
        <x:v>Document local; transmiterea individuală neconfirmată</x:v>
      </x:c>
      <x:c r="I696" s="8" t="str"/>
      <x:c r="J696" s="8" t="e">
        <x:f>HYPERLINK("file:///Z:/00. Proiecte 2025/AFIR FotoVoltaic 1/15. Implementare Proiect Fotovoltaic/10.Neets-Suntech/Etichete panouri/Furate/WhatsApp Image 2026-05-14 at 10.23.29 (1).jpeg","Deschide sursa")</x:f>
        <x:v>HYPERLINK is not implemented. linkLocation=file:///Z:/00. Proiecte 2025/AFIR FotoVoltaic 1/15. Implementare Proiect Fotovoltaic/10.Neets-Suntech/Etichete panouri/Furate/WhatsApp Image 2026-05-14 at 10.23.29 (1).jpeg, friendlyName=Deschide sursa</x:v>
      </x:c>
    </x:row>
    <x:row r="697" ht="36" customHeight="1">
      <x:c r="A697" s="8" t="str">
        <x:v>F0693</x:v>
      </x:c>
      <x:c r="B697" s="8" t="str">
        <x:v>WhatsApp Image 2026-05-14 at 10.23.29.jpeg</x:v>
      </x:c>
      <x:c r="C697" s="8" t="str">
        <x:v>15. Implementare Proiect Fotovoltaic</x:v>
      </x:c>
      <x:c r="D697" s="8" t="str">
        <x:v>Proiect fotovoltaic</x:v>
      </x:c>
      <x:c r="E697" s="8" t="str">
        <x:v>.jpeg</x:v>
      </x:c>
      <x:c r="F697" s="8" t="n">
        <x:v>468936</x:v>
      </x:c>
      <x:c r="G697" s="8" t="str">
        <x:v>Inventariat; conținut neextras</x:v>
      </x:c>
      <x:c r="H697" s="8" t="str">
        <x:v>Document local; transmiterea individuală neconfirmată</x:v>
      </x:c>
      <x:c r="I697" s="8" t="str"/>
      <x:c r="J697" s="8" t="e">
        <x:f>HYPERLINK("file:///Z:/00. Proiecte 2025/AFIR FotoVoltaic 1/15. Implementare Proiect Fotovoltaic/10.Neets-Suntech/Etichete panouri/Furate/WhatsApp Image 2026-05-14 at 10.23.29.jpeg","Deschide sursa")</x:f>
        <x:v>HYPERLINK is not implemented. linkLocation=file:///Z:/00. Proiecte 2025/AFIR FotoVoltaic 1/15. Implementare Proiect Fotovoltaic/10.Neets-Suntech/Etichete panouri/Furate/WhatsApp Image 2026-05-14 at 10.23.29.jpeg, friendlyName=Deschide sursa</x:v>
      </x:c>
    </x:row>
    <x:row r="698" ht="36" customHeight="1">
      <x:c r="A698" s="8" t="str">
        <x:v>F0694</x:v>
      </x:c>
      <x:c r="B698" s="8" t="str">
        <x:v>WhatsApp Image 2026-05-14 at 10.23.30.jpeg</x:v>
      </x:c>
      <x:c r="C698" s="8" t="str">
        <x:v>15. Implementare Proiect Fotovoltaic</x:v>
      </x:c>
      <x:c r="D698" s="8" t="str">
        <x:v>Proiect fotovoltaic</x:v>
      </x:c>
      <x:c r="E698" s="8" t="str">
        <x:v>.jpeg</x:v>
      </x:c>
      <x:c r="F698" s="8" t="n">
        <x:v>175114</x:v>
      </x:c>
      <x:c r="G698" s="8" t="str">
        <x:v>Inventariat; conținut neextras</x:v>
      </x:c>
      <x:c r="H698" s="8" t="str">
        <x:v>Document local; transmiterea individuală neconfirmată</x:v>
      </x:c>
      <x:c r="I698" s="8" t="str"/>
      <x:c r="J698" s="8" t="e">
        <x:f>HYPERLINK("file:///Z:/00. Proiecte 2025/AFIR FotoVoltaic 1/15. Implementare Proiect Fotovoltaic/10.Neets-Suntech/Etichete panouri/Furate/WhatsApp Image 2026-05-14 at 10.23.30.jpeg","Deschide sursa")</x:f>
        <x:v>HYPERLINK is not implemented. linkLocation=file:///Z:/00. Proiecte 2025/AFIR FotoVoltaic 1/15. Implementare Proiect Fotovoltaic/10.Neets-Suntech/Etichete panouri/Furate/WhatsApp Image 2026-05-14 at 10.23.30.jpeg, friendlyName=Deschide sursa</x:v>
      </x:c>
    </x:row>
    <x:row r="699" ht="36" customHeight="1">
      <x:c r="A699" s="8" t="str">
        <x:v>F0695</x:v>
      </x:c>
      <x:c r="B699" s="8" t="str">
        <x:v>WhatsApp Image 2026-05-14 at 10.23.31.jpeg</x:v>
      </x:c>
      <x:c r="C699" s="8" t="str">
        <x:v>15. Implementare Proiect Fotovoltaic</x:v>
      </x:c>
      <x:c r="D699" s="8" t="str">
        <x:v>Proiect fotovoltaic</x:v>
      </x:c>
      <x:c r="E699" s="8" t="str">
        <x:v>.jpeg</x:v>
      </x:c>
      <x:c r="F699" s="8" t="n">
        <x:v>94694</x:v>
      </x:c>
      <x:c r="G699" s="8" t="str">
        <x:v>Inventariat; conținut neextras</x:v>
      </x:c>
      <x:c r="H699" s="8" t="str">
        <x:v>Document local; transmiterea individuală neconfirmată</x:v>
      </x:c>
      <x:c r="I699" s="8" t="str"/>
      <x:c r="J699" s="8" t="e">
        <x:f>HYPERLINK("file:///Z:/00. Proiecte 2025/AFIR FotoVoltaic 1/15. Implementare Proiect Fotovoltaic/10.Neets-Suntech/Etichete panouri/Furate/WhatsApp Image 2026-05-14 at 10.23.31.jpeg","Deschide sursa")</x:f>
        <x:v>HYPERLINK is not implemented. linkLocation=file:///Z:/00. Proiecte 2025/AFIR FotoVoltaic 1/15. Implementare Proiect Fotovoltaic/10.Neets-Suntech/Etichete panouri/Furate/WhatsApp Image 2026-05-14 at 10.23.31.jpeg, friendlyName=Deschide sursa</x:v>
      </x:c>
    </x:row>
    <x:row r="700" ht="36" customHeight="1">
      <x:c r="A700" s="8" t="str">
        <x:v>F0696</x:v>
      </x:c>
      <x:c r="B700" s="8" t="str">
        <x:v>WhatsApp Image 2026-05-14 at 10.53.06.jpeg</x:v>
      </x:c>
      <x:c r="C700" s="8" t="str">
        <x:v>15. Implementare Proiect Fotovoltaic</x:v>
      </x:c>
      <x:c r="D700" s="8" t="str">
        <x:v>Proiect fotovoltaic</x:v>
      </x:c>
      <x:c r="E700" s="8" t="str">
        <x:v>.jpeg</x:v>
      </x:c>
      <x:c r="F700" s="8" t="n">
        <x:v>53092</x:v>
      </x:c>
      <x:c r="G700" s="8" t="str">
        <x:v>Inventariat; conținut neextras</x:v>
      </x:c>
      <x:c r="H700" s="8" t="str">
        <x:v>Document local; transmiterea individuală neconfirmată</x:v>
      </x:c>
      <x:c r="I700" s="8" t="str"/>
      <x:c r="J700" s="8" t="e">
        <x:f>HYPERLINK("file:///Z:/00. Proiecte 2025/AFIR FotoVoltaic 1/15. Implementare Proiect Fotovoltaic/10.Neets-Suntech/Etichete panouri/Furate 1/WhatsApp Image 2026-05-14 at 10.53.06.jpeg","Deschide sursa")</x:f>
        <x:v>HYPERLINK is not implemented. linkLocation=file:///Z:/00. Proiecte 2025/AFIR FotoVoltaic 1/15. Implementare Proiect Fotovoltaic/10.Neets-Suntech/Etichete panouri/Furate 1/WhatsApp Image 2026-05-14 at 10.53.06.jpeg, friendlyName=Deschide sursa</x:v>
      </x:c>
    </x:row>
    <x:row r="701" ht="36" customHeight="1">
      <x:c r="A701" s="8" t="str">
        <x:v>F0697</x:v>
      </x:c>
      <x:c r="B701" s="8" t="str">
        <x:v>WhatsApp Image 2026-05-14 at 10.53.06.zip</x:v>
      </x:c>
      <x:c r="C701" s="8" t="str">
        <x:v>15. Implementare Proiect Fotovoltaic</x:v>
      </x:c>
      <x:c r="D701" s="8" t="str">
        <x:v>Proiect fotovoltaic</x:v>
      </x:c>
      <x:c r="E701" s="8" t="str">
        <x:v>.zip</x:v>
      </x:c>
      <x:c r="F701" s="8" t="n">
        <x:v>3901911</x:v>
      </x:c>
      <x:c r="G701" s="8" t="str">
        <x:v>Inventar ZIP</x:v>
      </x:c>
      <x:c r="H701" s="8" t="str">
        <x:v>Document local; transmiterea individuală neconfirmată</x:v>
      </x:c>
      <x:c r="I701" s="8" t="str"/>
      <x:c r="J701" s="8" t="e">
        <x:f>HYPERLINK("file:///Z:/00. Proiecte 2025/AFIR FotoVoltaic 1/15. Implementare Proiect Fotovoltaic/10.Neets-Suntech/Etichete panouri/Furate 1/WhatsApp Image 2026-05-14 at 10.53.06.zip","Deschide sursa")</x:f>
        <x:v>HYPERLINK is not implemented. linkLocation=file:///Z:/00. Proiecte 2025/AFIR FotoVoltaic 1/15. Implementare Proiect Fotovoltaic/10.Neets-Suntech/Etichete panouri/Furate 1/WhatsApp Image 2026-05-14 at 10.53.06.zip, friendlyName=Deschide sursa</x:v>
      </x:c>
    </x:row>
    <x:row r="702" ht="36" customHeight="1">
      <x:c r="A702" s="8" t="str">
        <x:v>F0698</x:v>
      </x:c>
      <x:c r="B702" s="8" t="str">
        <x:v>WhatsApp Image 2026-05-14 at 10.53.16 (1).jpeg</x:v>
      </x:c>
      <x:c r="C702" s="8" t="str">
        <x:v>15. Implementare Proiect Fotovoltaic</x:v>
      </x:c>
      <x:c r="D702" s="8" t="str">
        <x:v>Proiect fotovoltaic</x:v>
      </x:c>
      <x:c r="E702" s="8" t="str">
        <x:v>.jpeg</x:v>
      </x:c>
      <x:c r="F702" s="8" t="n">
        <x:v>50182</x:v>
      </x:c>
      <x:c r="G702" s="8" t="str">
        <x:v>Inventariat; conținut neextras</x:v>
      </x:c>
      <x:c r="H702" s="8" t="str">
        <x:v>Document local; transmiterea individuală neconfirmată</x:v>
      </x:c>
      <x:c r="I702" s="8" t="str"/>
      <x:c r="J702" s="8" t="e">
        <x:f>HYPERLINK("file:///Z:/00. Proiecte 2025/AFIR FotoVoltaic 1/15. Implementare Proiect Fotovoltaic/10.Neets-Suntech/Etichete panouri/Furate 1/WhatsApp Image 2026-05-14 at 10.53.16 (1).jpeg","Deschide sursa")</x:f>
        <x:v>HYPERLINK is not implemented. linkLocation=file:///Z:/00. Proiecte 2025/AFIR FotoVoltaic 1/15. Implementare Proiect Fotovoltaic/10.Neets-Suntech/Etichete panouri/Furate 1/WhatsApp Image 2026-05-14 at 10.53.16 (1).jpeg, friendlyName=Deschide sursa</x:v>
      </x:c>
    </x:row>
    <x:row r="703" ht="36" customHeight="1">
      <x:c r="A703" s="8" t="str">
        <x:v>F0699</x:v>
      </x:c>
      <x:c r="B703" s="8" t="str">
        <x:v>WhatsApp Image 2026-05-14 at 10.53.16.jpeg</x:v>
      </x:c>
      <x:c r="C703" s="8" t="str">
        <x:v>15. Implementare Proiect Fotovoltaic</x:v>
      </x:c>
      <x:c r="D703" s="8" t="str">
        <x:v>Proiect fotovoltaic</x:v>
      </x:c>
      <x:c r="E703" s="8" t="str">
        <x:v>.jpeg</x:v>
      </x:c>
      <x:c r="F703" s="8" t="n">
        <x:v>47978</x:v>
      </x:c>
      <x:c r="G703" s="8" t="str">
        <x:v>Inventariat; conținut neextras</x:v>
      </x:c>
      <x:c r="H703" s="8" t="str">
        <x:v>Document local; transmiterea individuală neconfirmată</x:v>
      </x:c>
      <x:c r="I703" s="8" t="str"/>
      <x:c r="J703" s="8" t="e">
        <x:f>HYPERLINK("file:///Z:/00. Proiecte 2025/AFIR FotoVoltaic 1/15. Implementare Proiect Fotovoltaic/10.Neets-Suntech/Etichete panouri/Furate 1/WhatsApp Image 2026-05-14 at 10.53.16.jpeg","Deschide sursa")</x:f>
        <x:v>HYPERLINK is not implemented. linkLocation=file:///Z:/00. Proiecte 2025/AFIR FotoVoltaic 1/15. Implementare Proiect Fotovoltaic/10.Neets-Suntech/Etichete panouri/Furate 1/WhatsApp Image 2026-05-14 at 10.53.16.jpeg, friendlyName=Deschide sursa</x:v>
      </x:c>
    </x:row>
    <x:row r="704" ht="36" customHeight="1">
      <x:c r="A704" s="8" t="str">
        <x:v>F0700</x:v>
      </x:c>
      <x:c r="B704" s="8" t="str">
        <x:v>WhatsApp Image 2026-05-14 at 10.53.17 (1).jpeg</x:v>
      </x:c>
      <x:c r="C704" s="8" t="str">
        <x:v>15. Implementare Proiect Fotovoltaic</x:v>
      </x:c>
      <x:c r="D704" s="8" t="str">
        <x:v>Proiect fotovoltaic</x:v>
      </x:c>
      <x:c r="E704" s="8" t="str">
        <x:v>.jpeg</x:v>
      </x:c>
      <x:c r="F704" s="8" t="n">
        <x:v>64202</x:v>
      </x:c>
      <x:c r="G704" s="8" t="str">
        <x:v>Inventariat; conținut neextras</x:v>
      </x:c>
      <x:c r="H704" s="8" t="str">
        <x:v>Document local; transmiterea individuală neconfirmată</x:v>
      </x:c>
      <x:c r="I704" s="8" t="str"/>
      <x:c r="J704" s="8" t="e">
        <x:f>HYPERLINK("file:///Z:/00. Proiecte 2025/AFIR FotoVoltaic 1/15. Implementare Proiect Fotovoltaic/10.Neets-Suntech/Etichete panouri/Furate 1/WhatsApp Image 2026-05-14 at 10.53.17 (1).jpeg","Deschide sursa")</x:f>
        <x:v>HYPERLINK is not implemented. linkLocation=file:///Z:/00. Proiecte 2025/AFIR FotoVoltaic 1/15. Implementare Proiect Fotovoltaic/10.Neets-Suntech/Etichete panouri/Furate 1/WhatsApp Image 2026-05-14 at 10.53.17 (1).jpeg, friendlyName=Deschide sursa</x:v>
      </x:c>
    </x:row>
    <x:row r="705" ht="36" customHeight="1">
      <x:c r="A705" s="8" t="str">
        <x:v>F0701</x:v>
      </x:c>
      <x:c r="B705" s="8" t="str">
        <x:v>WhatsApp Image 2026-05-14 at 10.53.17.jpeg</x:v>
      </x:c>
      <x:c r="C705" s="8" t="str">
        <x:v>15. Implementare Proiect Fotovoltaic</x:v>
      </x:c>
      <x:c r="D705" s="8" t="str">
        <x:v>Proiect fotovoltaic</x:v>
      </x:c>
      <x:c r="E705" s="8" t="str">
        <x:v>.jpeg</x:v>
      </x:c>
      <x:c r="F705" s="8" t="n">
        <x:v>69969</x:v>
      </x:c>
      <x:c r="G705" s="8" t="str">
        <x:v>Inventariat; conținut neextras</x:v>
      </x:c>
      <x:c r="H705" s="8" t="str">
        <x:v>Document local; transmiterea individuală neconfirmată</x:v>
      </x:c>
      <x:c r="I705" s="8" t="str"/>
      <x:c r="J705" s="8" t="e">
        <x:f>HYPERLINK("file:///Z:/00. Proiecte 2025/AFIR FotoVoltaic 1/15. Implementare Proiect Fotovoltaic/10.Neets-Suntech/Etichete panouri/Furate 1/WhatsApp Image 2026-05-14 at 10.53.17.jpeg","Deschide sursa")</x:f>
        <x:v>HYPERLINK is not implemented. linkLocation=file:///Z:/00. Proiecte 2025/AFIR FotoVoltaic 1/15. Implementare Proiect Fotovoltaic/10.Neets-Suntech/Etichete panouri/Furate 1/WhatsApp Image 2026-05-14 at 10.53.17.jpeg, friendlyName=Deschide sursa</x:v>
      </x:c>
    </x:row>
    <x:row r="706" ht="36" customHeight="1">
      <x:c r="A706" s="8" t="str">
        <x:v>F0702</x:v>
      </x:c>
      <x:c r="B706" s="8" t="str">
        <x:v>WhatsApp Image 2026-05-14 at 10.54.09 (1).jpeg</x:v>
      </x:c>
      <x:c r="C706" s="8" t="str">
        <x:v>15. Implementare Proiect Fotovoltaic</x:v>
      </x:c>
      <x:c r="D706" s="8" t="str">
        <x:v>Proiect fotovoltaic</x:v>
      </x:c>
      <x:c r="E706" s="8" t="str">
        <x:v>.jpeg</x:v>
      </x:c>
      <x:c r="F706" s="8" t="n">
        <x:v>86222</x:v>
      </x:c>
      <x:c r="G706" s="8" t="str">
        <x:v>Inventariat; conținut neextras</x:v>
      </x:c>
      <x:c r="H706" s="8" t="str">
        <x:v>Document local; transmiterea individuală neconfirmată</x:v>
      </x:c>
      <x:c r="I706" s="8" t="str"/>
      <x:c r="J706" s="8" t="e">
        <x:f>HYPERLINK("file:///Z:/00. Proiecte 2025/AFIR FotoVoltaic 1/15. Implementare Proiect Fotovoltaic/10.Neets-Suntech/Etichete panouri/Furate 1/WhatsApp Image 2026-05-14 at 10.54.09 (1).jpeg","Deschide sursa")</x:f>
        <x:v>HYPERLINK is not implemented. linkLocation=file:///Z:/00. Proiecte 2025/AFIR FotoVoltaic 1/15. Implementare Proiect Fotovoltaic/10.Neets-Suntech/Etichete panouri/Furate 1/WhatsApp Image 2026-05-14 at 10.54.09 (1).jpeg, friendlyName=Deschide sursa</x:v>
      </x:c>
    </x:row>
    <x:row r="707" ht="36" customHeight="1">
      <x:c r="A707" s="8" t="str">
        <x:v>F0703</x:v>
      </x:c>
      <x:c r="B707" s="8" t="str">
        <x:v>WhatsApp Image 2026-05-14 at 10.54.09 (2).jpeg</x:v>
      </x:c>
      <x:c r="C707" s="8" t="str">
        <x:v>15. Implementare Proiect Fotovoltaic</x:v>
      </x:c>
      <x:c r="D707" s="8" t="str">
        <x:v>Proiect fotovoltaic</x:v>
      </x:c>
      <x:c r="E707" s="8" t="str">
        <x:v>.jpeg</x:v>
      </x:c>
      <x:c r="F707" s="8" t="n">
        <x:v>79053</x:v>
      </x:c>
      <x:c r="G707" s="8" t="str">
        <x:v>Inventariat; conținut neextras</x:v>
      </x:c>
      <x:c r="H707" s="8" t="str">
        <x:v>Document local; transmiterea individuală neconfirmată</x:v>
      </x:c>
      <x:c r="I707" s="8" t="str"/>
      <x:c r="J707" s="8" t="e">
        <x:f>HYPERLINK("file:///Z:/00. Proiecte 2025/AFIR FotoVoltaic 1/15. Implementare Proiect Fotovoltaic/10.Neets-Suntech/Etichete panouri/Furate 1/WhatsApp Image 2026-05-14 at 10.54.09 (2).jpeg","Deschide sursa")</x:f>
        <x:v>HYPERLINK is not implemented. linkLocation=file:///Z:/00. Proiecte 2025/AFIR FotoVoltaic 1/15. Implementare Proiect Fotovoltaic/10.Neets-Suntech/Etichete panouri/Furate 1/WhatsApp Image 2026-05-14 at 10.54.09 (2).jpeg, friendlyName=Deschide sursa</x:v>
      </x:c>
    </x:row>
    <x:row r="708" ht="36" customHeight="1">
      <x:c r="A708" s="8" t="str">
        <x:v>F0704</x:v>
      </x:c>
      <x:c r="B708" s="8" t="str">
        <x:v>WhatsApp Image 2026-05-14 at 10.54.09.jpeg</x:v>
      </x:c>
      <x:c r="C708" s="8" t="str">
        <x:v>15. Implementare Proiect Fotovoltaic</x:v>
      </x:c>
      <x:c r="D708" s="8" t="str">
        <x:v>Proiect fotovoltaic</x:v>
      </x:c>
      <x:c r="E708" s="8" t="str">
        <x:v>.jpeg</x:v>
      </x:c>
      <x:c r="F708" s="8" t="n">
        <x:v>75698</x:v>
      </x:c>
      <x:c r="G708" s="8" t="str">
        <x:v>Inventariat; conținut neextras</x:v>
      </x:c>
      <x:c r="H708" s="8" t="str">
        <x:v>Document local; transmiterea individuală neconfirmată</x:v>
      </x:c>
      <x:c r="I708" s="8" t="str"/>
      <x:c r="J708" s="8" t="e">
        <x:f>HYPERLINK("file:///Z:/00. Proiecte 2025/AFIR FotoVoltaic 1/15. Implementare Proiect Fotovoltaic/10.Neets-Suntech/Etichete panouri/Furate 1/WhatsApp Image 2026-05-14 at 10.54.09.jpeg","Deschide sursa")</x:f>
        <x:v>HYPERLINK is not implemented. linkLocation=file:///Z:/00. Proiecte 2025/AFIR FotoVoltaic 1/15. Implementare Proiect Fotovoltaic/10.Neets-Suntech/Etichete panouri/Furate 1/WhatsApp Image 2026-05-14 at 10.54.09.jpeg, friendlyName=Deschide sursa</x:v>
      </x:c>
    </x:row>
    <x:row r="709" ht="36" customHeight="1">
      <x:c r="A709" s="8" t="str">
        <x:v>F0705</x:v>
      </x:c>
      <x:c r="B709" s="8" t="str">
        <x:v>WhatsApp Image 2026-05-14 at 10.54.10 (1).jpeg</x:v>
      </x:c>
      <x:c r="C709" s="8" t="str">
        <x:v>15. Implementare Proiect Fotovoltaic</x:v>
      </x:c>
      <x:c r="D709" s="8" t="str">
        <x:v>Proiect fotovoltaic</x:v>
      </x:c>
      <x:c r="E709" s="8" t="str">
        <x:v>.jpeg</x:v>
      </x:c>
      <x:c r="F709" s="8" t="n">
        <x:v>78278</x:v>
      </x:c>
      <x:c r="G709" s="8" t="str">
        <x:v>Inventariat; conținut neextras</x:v>
      </x:c>
      <x:c r="H709" s="8" t="str">
        <x:v>Document local; transmiterea individuală neconfirmată</x:v>
      </x:c>
      <x:c r="I709" s="8" t="str"/>
      <x:c r="J709" s="8" t="e">
        <x:f>HYPERLINK("file:///Z:/00. Proiecte 2025/AFIR FotoVoltaic 1/15. Implementare Proiect Fotovoltaic/10.Neets-Suntech/Etichete panouri/Furate 1/WhatsApp Image 2026-05-14 at 10.54.10 (1).jpeg","Deschide sursa")</x:f>
        <x:v>HYPERLINK is not implemented. linkLocation=file:///Z:/00. Proiecte 2025/AFIR FotoVoltaic 1/15. Implementare Proiect Fotovoltaic/10.Neets-Suntech/Etichete panouri/Furate 1/WhatsApp Image 2026-05-14 at 10.54.10 (1).jpeg, friendlyName=Deschide sursa</x:v>
      </x:c>
    </x:row>
    <x:row r="710" ht="36" customHeight="1">
      <x:c r="A710" s="8" t="str">
        <x:v>F0706</x:v>
      </x:c>
      <x:c r="B710" s="8" t="str">
        <x:v>WhatsApp Image 2026-05-14 at 10.54.10 (2).jpeg</x:v>
      </x:c>
      <x:c r="C710" s="8" t="str">
        <x:v>15. Implementare Proiect Fotovoltaic</x:v>
      </x:c>
      <x:c r="D710" s="8" t="str">
        <x:v>Proiect fotovoltaic</x:v>
      </x:c>
      <x:c r="E710" s="8" t="str">
        <x:v>.jpeg</x:v>
      </x:c>
      <x:c r="F710" s="8" t="n">
        <x:v>76191</x:v>
      </x:c>
      <x:c r="G710" s="8" t="str">
        <x:v>Inventariat; conținut neextras</x:v>
      </x:c>
      <x:c r="H710" s="8" t="str">
        <x:v>Document local; transmiterea individuală neconfirmată</x:v>
      </x:c>
      <x:c r="I710" s="8" t="str"/>
      <x:c r="J710" s="8" t="e">
        <x:f>HYPERLINK("file:///Z:/00. Proiecte 2025/AFIR FotoVoltaic 1/15. Implementare Proiect Fotovoltaic/10.Neets-Suntech/Etichete panouri/Furate 1/WhatsApp Image 2026-05-14 at 10.54.10 (2).jpeg","Deschide sursa")</x:f>
        <x:v>HYPERLINK is not implemented. linkLocation=file:///Z:/00. Proiecte 2025/AFIR FotoVoltaic 1/15. Implementare Proiect Fotovoltaic/10.Neets-Suntech/Etichete panouri/Furate 1/WhatsApp Image 2026-05-14 at 10.54.10 (2).jpeg, friendlyName=Deschide sursa</x:v>
      </x:c>
    </x:row>
    <x:row r="711" ht="36" customHeight="1">
      <x:c r="A711" s="8" t="str">
        <x:v>F0707</x:v>
      </x:c>
      <x:c r="B711" s="8" t="str">
        <x:v>WhatsApp Image 2026-05-14 at 10.54.10 (3).jpeg</x:v>
      </x:c>
      <x:c r="C711" s="8" t="str">
        <x:v>15. Implementare Proiect Fotovoltaic</x:v>
      </x:c>
      <x:c r="D711" s="8" t="str">
        <x:v>Proiect fotovoltaic</x:v>
      </x:c>
      <x:c r="E711" s="8" t="str">
        <x:v>.jpeg</x:v>
      </x:c>
      <x:c r="F711" s="8" t="n">
        <x:v>61215</x:v>
      </x:c>
      <x:c r="G711" s="8" t="str">
        <x:v>Inventariat; conținut neextras</x:v>
      </x:c>
      <x:c r="H711" s="8" t="str">
        <x:v>Document local; transmiterea individuală neconfirmată</x:v>
      </x:c>
      <x:c r="I711" s="8" t="str"/>
      <x:c r="J711" s="8" t="e">
        <x:f>HYPERLINK("file:///Z:/00. Proiecte 2025/AFIR FotoVoltaic 1/15. Implementare Proiect Fotovoltaic/10.Neets-Suntech/Etichete panouri/Furate 1/WhatsApp Image 2026-05-14 at 10.54.10 (3).jpeg","Deschide sursa")</x:f>
        <x:v>HYPERLINK is not implemented. linkLocation=file:///Z:/00. Proiecte 2025/AFIR FotoVoltaic 1/15. Implementare Proiect Fotovoltaic/10.Neets-Suntech/Etichete panouri/Furate 1/WhatsApp Image 2026-05-14 at 10.54.10 (3).jpeg, friendlyName=Deschide sursa</x:v>
      </x:c>
    </x:row>
    <x:row r="712" ht="36" customHeight="1">
      <x:c r="A712" s="8" t="str">
        <x:v>F0708</x:v>
      </x:c>
      <x:c r="B712" s="8" t="str">
        <x:v>WhatsApp Image 2026-05-14 at 10.54.10.jpeg</x:v>
      </x:c>
      <x:c r="C712" s="8" t="str">
        <x:v>15. Implementare Proiect Fotovoltaic</x:v>
      </x:c>
      <x:c r="D712" s="8" t="str">
        <x:v>Proiect fotovoltaic</x:v>
      </x:c>
      <x:c r="E712" s="8" t="str">
        <x:v>.jpeg</x:v>
      </x:c>
      <x:c r="F712" s="8" t="n">
        <x:v>77231</x:v>
      </x:c>
      <x:c r="G712" s="8" t="str">
        <x:v>Inventariat; conținut neextras</x:v>
      </x:c>
      <x:c r="H712" s="8" t="str">
        <x:v>Document local; transmiterea individuală neconfirmată</x:v>
      </x:c>
      <x:c r="I712" s="8" t="str"/>
      <x:c r="J712" s="8" t="e">
        <x:f>HYPERLINK("file:///Z:/00. Proiecte 2025/AFIR FotoVoltaic 1/15. Implementare Proiect Fotovoltaic/10.Neets-Suntech/Etichete panouri/Furate 1/WhatsApp Image 2026-05-14 at 10.54.10.jpeg","Deschide sursa")</x:f>
        <x:v>HYPERLINK is not implemented. linkLocation=file:///Z:/00. Proiecte 2025/AFIR FotoVoltaic 1/15. Implementare Proiect Fotovoltaic/10.Neets-Suntech/Etichete panouri/Furate 1/WhatsApp Image 2026-05-14 at 10.54.10.jpeg, friendlyName=Deschide sursa</x:v>
      </x:c>
    </x:row>
    <x:row r="713" ht="36" customHeight="1">
      <x:c r="A713" s="8" t="str">
        <x:v>F0709</x:v>
      </x:c>
      <x:c r="B713" s="8" t="str">
        <x:v>WhatsApp Image 2026-05-14 at 10.54.11 (1).jpeg</x:v>
      </x:c>
      <x:c r="C713" s="8" t="str">
        <x:v>15. Implementare Proiect Fotovoltaic</x:v>
      </x:c>
      <x:c r="D713" s="8" t="str">
        <x:v>Proiect fotovoltaic</x:v>
      </x:c>
      <x:c r="E713" s="8" t="str">
        <x:v>.jpeg</x:v>
      </x:c>
      <x:c r="F713" s="8" t="n">
        <x:v>187575</x:v>
      </x:c>
      <x:c r="G713" s="8" t="str">
        <x:v>Inventariat; conținut neextras</x:v>
      </x:c>
      <x:c r="H713" s="8" t="str">
        <x:v>Document local; transmiterea individuală neconfirmată</x:v>
      </x:c>
      <x:c r="I713" s="8" t="str"/>
      <x:c r="J713" s="8" t="e">
        <x:f>HYPERLINK("file:///Z:/00. Proiecte 2025/AFIR FotoVoltaic 1/15. Implementare Proiect Fotovoltaic/10.Neets-Suntech/Etichete panouri/Furate 1/WhatsApp Image 2026-05-14 at 10.54.11 (1).jpeg","Deschide sursa")</x:f>
        <x:v>HYPERLINK is not implemented. linkLocation=file:///Z:/00. Proiecte 2025/AFIR FotoVoltaic 1/15. Implementare Proiect Fotovoltaic/10.Neets-Suntech/Etichete panouri/Furate 1/WhatsApp Image 2026-05-14 at 10.54.11 (1).jpeg, friendlyName=Deschide sursa</x:v>
      </x:c>
    </x:row>
    <x:row r="714" ht="36" customHeight="1">
      <x:c r="A714" s="8" t="str">
        <x:v>F0710</x:v>
      </x:c>
      <x:c r="B714" s="8" t="str">
        <x:v>WhatsApp Image 2026-05-14 at 10.54.11 (2).jpeg</x:v>
      </x:c>
      <x:c r="C714" s="8" t="str">
        <x:v>15. Implementare Proiect Fotovoltaic</x:v>
      </x:c>
      <x:c r="D714" s="8" t="str">
        <x:v>Proiect fotovoltaic</x:v>
      </x:c>
      <x:c r="E714" s="8" t="str">
        <x:v>.jpeg</x:v>
      </x:c>
      <x:c r="F714" s="8" t="n">
        <x:v>76832</x:v>
      </x:c>
      <x:c r="G714" s="8" t="str">
        <x:v>Inventariat; conținut neextras</x:v>
      </x:c>
      <x:c r="H714" s="8" t="str">
        <x:v>Document local; transmiterea individuală neconfirmată</x:v>
      </x:c>
      <x:c r="I714" s="8" t="str"/>
      <x:c r="J714" s="8" t="e">
        <x:f>HYPERLINK("file:///Z:/00. Proiecte 2025/AFIR FotoVoltaic 1/15. Implementare Proiect Fotovoltaic/10.Neets-Suntech/Etichete panouri/Furate 1/WhatsApp Image 2026-05-14 at 10.54.11 (2).jpeg","Deschide sursa")</x:f>
        <x:v>HYPERLINK is not implemented. linkLocation=file:///Z:/00. Proiecte 2025/AFIR FotoVoltaic 1/15. Implementare Proiect Fotovoltaic/10.Neets-Suntech/Etichete panouri/Furate 1/WhatsApp Image 2026-05-14 at 10.54.11 (2).jpeg, friendlyName=Deschide sursa</x:v>
      </x:c>
    </x:row>
    <x:row r="715" ht="36" customHeight="1">
      <x:c r="A715" s="8" t="str">
        <x:v>F0711</x:v>
      </x:c>
      <x:c r="B715" s="8" t="str">
        <x:v>WhatsApp Image 2026-05-14 at 10.54.11 (3).jpeg</x:v>
      </x:c>
      <x:c r="C715" s="8" t="str">
        <x:v>15. Implementare Proiect Fotovoltaic</x:v>
      </x:c>
      <x:c r="D715" s="8" t="str">
        <x:v>Proiect fotovoltaic</x:v>
      </x:c>
      <x:c r="E715" s="8" t="str">
        <x:v>.jpeg</x:v>
      </x:c>
      <x:c r="F715" s="8" t="n">
        <x:v>215247</x:v>
      </x:c>
      <x:c r="G715" s="8" t="str">
        <x:v>Inventariat; conținut neextras</x:v>
      </x:c>
      <x:c r="H715" s="8" t="str">
        <x:v>Document local; transmiterea individuală neconfirmată</x:v>
      </x:c>
      <x:c r="I715" s="8" t="str"/>
      <x:c r="J715" s="8" t="e">
        <x:f>HYPERLINK("file:///Z:/00. Proiecte 2025/AFIR FotoVoltaic 1/15. Implementare Proiect Fotovoltaic/10.Neets-Suntech/Etichete panouri/Furate 1/WhatsApp Image 2026-05-14 at 10.54.11 (3).jpeg","Deschide sursa")</x:f>
        <x:v>HYPERLINK is not implemented. linkLocation=file:///Z:/00. Proiecte 2025/AFIR FotoVoltaic 1/15. Implementare Proiect Fotovoltaic/10.Neets-Suntech/Etichete panouri/Furate 1/WhatsApp Image 2026-05-14 at 10.54.11 (3).jpeg, friendlyName=Deschide sursa</x:v>
      </x:c>
    </x:row>
    <x:row r="716" ht="36" customHeight="1">
      <x:c r="A716" s="8" t="str">
        <x:v>F0712</x:v>
      </x:c>
      <x:c r="B716" s="8" t="str">
        <x:v>WhatsApp Image 2026-05-14 at 10.54.11 (4).jpeg</x:v>
      </x:c>
      <x:c r="C716" s="8" t="str">
        <x:v>15. Implementare Proiect Fotovoltaic</x:v>
      </x:c>
      <x:c r="D716" s="8" t="str">
        <x:v>Proiect fotovoltaic</x:v>
      </x:c>
      <x:c r="E716" s="8" t="str">
        <x:v>.jpeg</x:v>
      </x:c>
      <x:c r="F716" s="8" t="n">
        <x:v>168398</x:v>
      </x:c>
      <x:c r="G716" s="8" t="str">
        <x:v>Inventariat; conținut neextras</x:v>
      </x:c>
      <x:c r="H716" s="8" t="str">
        <x:v>Document local; transmiterea individuală neconfirmată</x:v>
      </x:c>
      <x:c r="I716" s="8" t="str"/>
      <x:c r="J716" s="8" t="e">
        <x:f>HYPERLINK("file:///Z:/00. Proiecte 2025/AFIR FotoVoltaic 1/15. Implementare Proiect Fotovoltaic/10.Neets-Suntech/Etichete panouri/Furate 1/WhatsApp Image 2026-05-14 at 10.54.11 (4).jpeg","Deschide sursa")</x:f>
        <x:v>HYPERLINK is not implemented. linkLocation=file:///Z:/00. Proiecte 2025/AFIR FotoVoltaic 1/15. Implementare Proiect Fotovoltaic/10.Neets-Suntech/Etichete panouri/Furate 1/WhatsApp Image 2026-05-14 at 10.54.11 (4).jpeg, friendlyName=Deschide sursa</x:v>
      </x:c>
    </x:row>
    <x:row r="717" ht="36" customHeight="1">
      <x:c r="A717" s="8" t="str">
        <x:v>F0713</x:v>
      </x:c>
      <x:c r="B717" s="8" t="str">
        <x:v>WhatsApp Image 2026-05-14 at 10.54.11.jpeg</x:v>
      </x:c>
      <x:c r="C717" s="8" t="str">
        <x:v>15. Implementare Proiect Fotovoltaic</x:v>
      </x:c>
      <x:c r="D717" s="8" t="str">
        <x:v>Proiect fotovoltaic</x:v>
      </x:c>
      <x:c r="E717" s="8" t="str">
        <x:v>.jpeg</x:v>
      </x:c>
      <x:c r="F717" s="8" t="n">
        <x:v>64293</x:v>
      </x:c>
      <x:c r="G717" s="8" t="str">
        <x:v>Inventariat; conținut neextras</x:v>
      </x:c>
      <x:c r="H717" s="8" t="str">
        <x:v>Document local; transmiterea individuală neconfirmată</x:v>
      </x:c>
      <x:c r="I717" s="8" t="str"/>
      <x:c r="J717" s="8" t="e">
        <x:f>HYPERLINK("file:///Z:/00. Proiecte 2025/AFIR FotoVoltaic 1/15. Implementare Proiect Fotovoltaic/10.Neets-Suntech/Etichete panouri/Furate 1/WhatsApp Image 2026-05-14 at 10.54.11.jpeg","Deschide sursa")</x:f>
        <x:v>HYPERLINK is not implemented. linkLocation=file:///Z:/00. Proiecte 2025/AFIR FotoVoltaic 1/15. Implementare Proiect Fotovoltaic/10.Neets-Suntech/Etichete panouri/Furate 1/WhatsApp Image 2026-05-14 at 10.54.11.jpeg, friendlyName=Deschide sursa</x:v>
      </x:c>
    </x:row>
    <x:row r="718" ht="36" customHeight="1">
      <x:c r="A718" s="8" t="str">
        <x:v>F0714</x:v>
      </x:c>
      <x:c r="B718" s="8" t="str">
        <x:v>WhatsApp Image 2026-05-14 at 10.54.12 (1).jpeg</x:v>
      </x:c>
      <x:c r="C718" s="8" t="str">
        <x:v>15. Implementare Proiect Fotovoltaic</x:v>
      </x:c>
      <x:c r="D718" s="8" t="str">
        <x:v>Proiect fotovoltaic</x:v>
      </x:c>
      <x:c r="E718" s="8" t="str">
        <x:v>.jpeg</x:v>
      </x:c>
      <x:c r="F718" s="8" t="n">
        <x:v>115261</x:v>
      </x:c>
      <x:c r="G718" s="8" t="str">
        <x:v>Inventariat; conținut neextras</x:v>
      </x:c>
      <x:c r="H718" s="8" t="str">
        <x:v>Document local; transmiterea individuală neconfirmată</x:v>
      </x:c>
      <x:c r="I718" s="8" t="str"/>
      <x:c r="J718" s="8" t="e">
        <x:f>HYPERLINK("file:///Z:/00. Proiecte 2025/AFIR FotoVoltaic 1/15. Implementare Proiect Fotovoltaic/10.Neets-Suntech/Etichete panouri/Furate 1/WhatsApp Image 2026-05-14 at 10.54.12 (1).jpeg","Deschide sursa")</x:f>
        <x:v>HYPERLINK is not implemented. linkLocation=file:///Z:/00. Proiecte 2025/AFIR FotoVoltaic 1/15. Implementare Proiect Fotovoltaic/10.Neets-Suntech/Etichete panouri/Furate 1/WhatsApp Image 2026-05-14 at 10.54.12 (1).jpeg, friendlyName=Deschide sursa</x:v>
      </x:c>
    </x:row>
    <x:row r="719" ht="36" customHeight="1">
      <x:c r="A719" s="8" t="str">
        <x:v>F0715</x:v>
      </x:c>
      <x:c r="B719" s="8" t="str">
        <x:v>WhatsApp Image 2026-05-14 at 10.54.12 (2).jpeg</x:v>
      </x:c>
      <x:c r="C719" s="8" t="str">
        <x:v>15. Implementare Proiect Fotovoltaic</x:v>
      </x:c>
      <x:c r="D719" s="8" t="str">
        <x:v>Proiect fotovoltaic</x:v>
      </x:c>
      <x:c r="E719" s="8" t="str">
        <x:v>.jpeg</x:v>
      </x:c>
      <x:c r="F719" s="8" t="n">
        <x:v>84652</x:v>
      </x:c>
      <x:c r="G719" s="8" t="str">
        <x:v>Inventariat; conținut neextras</x:v>
      </x:c>
      <x:c r="H719" s="8" t="str">
        <x:v>Document local; transmiterea individuală neconfirmată</x:v>
      </x:c>
      <x:c r="I719" s="8" t="str"/>
      <x:c r="J719" s="8" t="e">
        <x:f>HYPERLINK("file:///Z:/00. Proiecte 2025/AFIR FotoVoltaic 1/15. Implementare Proiect Fotovoltaic/10.Neets-Suntech/Etichete panouri/Furate 1/WhatsApp Image 2026-05-14 at 10.54.12 (2).jpeg","Deschide sursa")</x:f>
        <x:v>HYPERLINK is not implemented. linkLocation=file:///Z:/00. Proiecte 2025/AFIR FotoVoltaic 1/15. Implementare Proiect Fotovoltaic/10.Neets-Suntech/Etichete panouri/Furate 1/WhatsApp Image 2026-05-14 at 10.54.12 (2).jpeg, friendlyName=Deschide sursa</x:v>
      </x:c>
    </x:row>
    <x:row r="720" ht="36" customHeight="1">
      <x:c r="A720" s="8" t="str">
        <x:v>F0716</x:v>
      </x:c>
      <x:c r="B720" s="8" t="str">
        <x:v>WhatsApp Image 2026-05-14 at 10.54.12 (3).jpeg</x:v>
      </x:c>
      <x:c r="C720" s="8" t="str">
        <x:v>15. Implementare Proiect Fotovoltaic</x:v>
      </x:c>
      <x:c r="D720" s="8" t="str">
        <x:v>Proiect fotovoltaic</x:v>
      </x:c>
      <x:c r="E720" s="8" t="str">
        <x:v>.jpeg</x:v>
      </x:c>
      <x:c r="F720" s="8" t="n">
        <x:v>80217</x:v>
      </x:c>
      <x:c r="G720" s="8" t="str">
        <x:v>Inventariat; conținut neextras</x:v>
      </x:c>
      <x:c r="H720" s="8" t="str">
        <x:v>Document local; transmiterea individuală neconfirmată</x:v>
      </x:c>
      <x:c r="I720" s="8" t="str"/>
      <x:c r="J720" s="8" t="e">
        <x:f>HYPERLINK("file:///Z:/00. Proiecte 2025/AFIR FotoVoltaic 1/15. Implementare Proiect Fotovoltaic/10.Neets-Suntech/Etichete panouri/Furate 1/WhatsApp Image 2026-05-14 at 10.54.12 (3).jpeg","Deschide sursa")</x:f>
        <x:v>HYPERLINK is not implemented. linkLocation=file:///Z:/00. Proiecte 2025/AFIR FotoVoltaic 1/15. Implementare Proiect Fotovoltaic/10.Neets-Suntech/Etichete panouri/Furate 1/WhatsApp Image 2026-05-14 at 10.54.12 (3).jpeg, friendlyName=Deschide sursa</x:v>
      </x:c>
    </x:row>
    <x:row r="721" ht="36" customHeight="1">
      <x:c r="A721" s="8" t="str">
        <x:v>F0717</x:v>
      </x:c>
      <x:c r="B721" s="8" t="str">
        <x:v>WhatsApp Image 2026-05-14 at 10.54.12.jpeg</x:v>
      </x:c>
      <x:c r="C721" s="8" t="str">
        <x:v>15. Implementare Proiect Fotovoltaic</x:v>
      </x:c>
      <x:c r="D721" s="8" t="str">
        <x:v>Proiect fotovoltaic</x:v>
      </x:c>
      <x:c r="E721" s="8" t="str">
        <x:v>.jpeg</x:v>
      </x:c>
      <x:c r="F721" s="8" t="n">
        <x:v>151450</x:v>
      </x:c>
      <x:c r="G721" s="8" t="str">
        <x:v>Inventariat; conținut neextras</x:v>
      </x:c>
      <x:c r="H721" s="8" t="str">
        <x:v>Document local; transmiterea individuală neconfirmată</x:v>
      </x:c>
      <x:c r="I721" s="8" t="str"/>
      <x:c r="J721" s="8" t="e">
        <x:f>HYPERLINK("file:///Z:/00. Proiecte 2025/AFIR FotoVoltaic 1/15. Implementare Proiect Fotovoltaic/10.Neets-Suntech/Etichete panouri/Furate 1/WhatsApp Image 2026-05-14 at 10.54.12.jpeg","Deschide sursa")</x:f>
        <x:v>HYPERLINK is not implemented. linkLocation=file:///Z:/00. Proiecte 2025/AFIR FotoVoltaic 1/15. Implementare Proiect Fotovoltaic/10.Neets-Suntech/Etichete panouri/Furate 1/WhatsApp Image 2026-05-14 at 10.54.12.jpeg, friendlyName=Deschide sursa</x:v>
      </x:c>
    </x:row>
    <x:row r="722" ht="36" customHeight="1">
      <x:c r="A722" s="8" t="str">
        <x:v>F0718</x:v>
      </x:c>
      <x:c r="B722" s="8" t="str">
        <x:v>WhatsApp Image 2026-05-14 at 10.54.13 (1).jpeg</x:v>
      </x:c>
      <x:c r="C722" s="8" t="str">
        <x:v>15. Implementare Proiect Fotovoltaic</x:v>
      </x:c>
      <x:c r="D722" s="8" t="str">
        <x:v>Proiect fotovoltaic</x:v>
      </x:c>
      <x:c r="E722" s="8" t="str">
        <x:v>.jpeg</x:v>
      </x:c>
      <x:c r="F722" s="8" t="n">
        <x:v>205292</x:v>
      </x:c>
      <x:c r="G722" s="8" t="str">
        <x:v>Inventariat; conținut neextras</x:v>
      </x:c>
      <x:c r="H722" s="8" t="str">
        <x:v>Document local; transmiterea individuală neconfirmată</x:v>
      </x:c>
      <x:c r="I722" s="8" t="str"/>
      <x:c r="J722" s="8" t="e">
        <x:f>HYPERLINK("file:///Z:/00. Proiecte 2025/AFIR FotoVoltaic 1/15. Implementare Proiect Fotovoltaic/10.Neets-Suntech/Etichete panouri/Furate 1/WhatsApp Image 2026-05-14 at 10.54.13 (1).jpeg","Deschide sursa")</x:f>
        <x:v>HYPERLINK is not implemented. linkLocation=file:///Z:/00. Proiecte 2025/AFIR FotoVoltaic 1/15. Implementare Proiect Fotovoltaic/10.Neets-Suntech/Etichete panouri/Furate 1/WhatsApp Image 2026-05-14 at 10.54.13 (1).jpeg, friendlyName=Deschide sursa</x:v>
      </x:c>
    </x:row>
    <x:row r="723" ht="36" customHeight="1">
      <x:c r="A723" s="8" t="str">
        <x:v>F0719</x:v>
      </x:c>
      <x:c r="B723" s="8" t="str">
        <x:v>WhatsApp Image 2026-05-14 at 10.54.13 (2).jpeg</x:v>
      </x:c>
      <x:c r="C723" s="8" t="str">
        <x:v>15. Implementare Proiect Fotovoltaic</x:v>
      </x:c>
      <x:c r="D723" s="8" t="str">
        <x:v>Proiect fotovoltaic</x:v>
      </x:c>
      <x:c r="E723" s="8" t="str">
        <x:v>.jpeg</x:v>
      </x:c>
      <x:c r="F723" s="8" t="n">
        <x:v>184630</x:v>
      </x:c>
      <x:c r="G723" s="8" t="str">
        <x:v>Inventariat; conținut neextras</x:v>
      </x:c>
      <x:c r="H723" s="8" t="str">
        <x:v>Document local; transmiterea individuală neconfirmată</x:v>
      </x:c>
      <x:c r="I723" s="8" t="str"/>
      <x:c r="J723" s="8" t="e">
        <x:f>HYPERLINK("file:///Z:/00. Proiecte 2025/AFIR FotoVoltaic 1/15. Implementare Proiect Fotovoltaic/10.Neets-Suntech/Etichete panouri/Furate 1/WhatsApp Image 2026-05-14 at 10.54.13 (2).jpeg","Deschide sursa")</x:f>
        <x:v>HYPERLINK is not implemented. linkLocation=file:///Z:/00. Proiecte 2025/AFIR FotoVoltaic 1/15. Implementare Proiect Fotovoltaic/10.Neets-Suntech/Etichete panouri/Furate 1/WhatsApp Image 2026-05-14 at 10.54.13 (2).jpeg, friendlyName=Deschide sursa</x:v>
      </x:c>
    </x:row>
    <x:row r="724" ht="36" customHeight="1">
      <x:c r="A724" s="8" t="str">
        <x:v>F0720</x:v>
      </x:c>
      <x:c r="B724" s="8" t="str">
        <x:v>WhatsApp Image 2026-05-14 at 10.54.13 (3).jpeg</x:v>
      </x:c>
      <x:c r="C724" s="8" t="str">
        <x:v>15. Implementare Proiect Fotovoltaic</x:v>
      </x:c>
      <x:c r="D724" s="8" t="str">
        <x:v>Proiect fotovoltaic</x:v>
      </x:c>
      <x:c r="E724" s="8" t="str">
        <x:v>.jpeg</x:v>
      </x:c>
      <x:c r="F724" s="8" t="n">
        <x:v>194829</x:v>
      </x:c>
      <x:c r="G724" s="8" t="str">
        <x:v>Inventariat; conținut neextras</x:v>
      </x:c>
      <x:c r="H724" s="8" t="str">
        <x:v>Document local; transmiterea individuală neconfirmată</x:v>
      </x:c>
      <x:c r="I724" s="8" t="str"/>
      <x:c r="J724" s="8" t="e">
        <x:f>HYPERLINK("file:///Z:/00. Proiecte 2025/AFIR FotoVoltaic 1/15. Implementare Proiect Fotovoltaic/10.Neets-Suntech/Etichete panouri/Furate 1/WhatsApp Image 2026-05-14 at 10.54.13 (3).jpeg","Deschide sursa")</x:f>
        <x:v>HYPERLINK is not implemented. linkLocation=file:///Z:/00. Proiecte 2025/AFIR FotoVoltaic 1/15. Implementare Proiect Fotovoltaic/10.Neets-Suntech/Etichete panouri/Furate 1/WhatsApp Image 2026-05-14 at 10.54.13 (3).jpeg, friendlyName=Deschide sursa</x:v>
      </x:c>
    </x:row>
    <x:row r="725" ht="36" customHeight="1">
      <x:c r="A725" s="8" t="str">
        <x:v>F0721</x:v>
      </x:c>
      <x:c r="B725" s="8" t="str">
        <x:v>WhatsApp Image 2026-05-14 at 10.54.13 (4).jpeg</x:v>
      </x:c>
      <x:c r="C725" s="8" t="str">
        <x:v>15. Implementare Proiect Fotovoltaic</x:v>
      </x:c>
      <x:c r="D725" s="8" t="str">
        <x:v>Proiect fotovoltaic</x:v>
      </x:c>
      <x:c r="E725" s="8" t="str">
        <x:v>.jpeg</x:v>
      </x:c>
      <x:c r="F725" s="8" t="n">
        <x:v>207399</x:v>
      </x:c>
      <x:c r="G725" s="8" t="str">
        <x:v>Inventariat; conținut neextras</x:v>
      </x:c>
      <x:c r="H725" s="8" t="str">
        <x:v>Document local; transmiterea individuală neconfirmată</x:v>
      </x:c>
      <x:c r="I725" s="8" t="str"/>
      <x:c r="J725" s="8" t="e">
        <x:f>HYPERLINK("file:///Z:/00. Proiecte 2025/AFIR FotoVoltaic 1/15. Implementare Proiect Fotovoltaic/10.Neets-Suntech/Etichete panouri/Furate 1/WhatsApp Image 2026-05-14 at 10.54.13 (4).jpeg","Deschide sursa")</x:f>
        <x:v>HYPERLINK is not implemented. linkLocation=file:///Z:/00. Proiecte 2025/AFIR FotoVoltaic 1/15. Implementare Proiect Fotovoltaic/10.Neets-Suntech/Etichete panouri/Furate 1/WhatsApp Image 2026-05-14 at 10.54.13 (4).jpeg, friendlyName=Deschide sursa</x:v>
      </x:c>
    </x:row>
    <x:row r="726" ht="36" customHeight="1">
      <x:c r="A726" s="8" t="str">
        <x:v>F0722</x:v>
      </x:c>
      <x:c r="B726" s="8" t="str">
        <x:v>WhatsApp Image 2026-05-14 at 10.54.13.jpeg</x:v>
      </x:c>
      <x:c r="C726" s="8" t="str">
        <x:v>15. Implementare Proiect Fotovoltaic</x:v>
      </x:c>
      <x:c r="D726" s="8" t="str">
        <x:v>Proiect fotovoltaic</x:v>
      </x:c>
      <x:c r="E726" s="8" t="str">
        <x:v>.jpeg</x:v>
      </x:c>
      <x:c r="F726" s="8" t="n">
        <x:v>176089</x:v>
      </x:c>
      <x:c r="G726" s="8" t="str">
        <x:v>Inventariat; conținut neextras</x:v>
      </x:c>
      <x:c r="H726" s="8" t="str">
        <x:v>Document local; transmiterea individuală neconfirmată</x:v>
      </x:c>
      <x:c r="I726" s="8" t="str"/>
      <x:c r="J726" s="8" t="e">
        <x:f>HYPERLINK("file:///Z:/00. Proiecte 2025/AFIR FotoVoltaic 1/15. Implementare Proiect Fotovoltaic/10.Neets-Suntech/Etichete panouri/Furate 1/WhatsApp Image 2026-05-14 at 10.54.13.jpeg","Deschide sursa")</x:f>
        <x:v>HYPERLINK is not implemented. linkLocation=file:///Z:/00. Proiecte 2025/AFIR FotoVoltaic 1/15. Implementare Proiect Fotovoltaic/10.Neets-Suntech/Etichete panouri/Furate 1/WhatsApp Image 2026-05-14 at 10.54.13.jpeg, friendlyName=Deschide sursa</x:v>
      </x:c>
    </x:row>
    <x:row r="727" ht="36" customHeight="1">
      <x:c r="A727" s="8" t="str">
        <x:v>F0723</x:v>
      </x:c>
      <x:c r="B727" s="8" t="str">
        <x:v>WhatsApp Image 2026-05-14 at 10.54.14 (1).jpeg</x:v>
      </x:c>
      <x:c r="C727" s="8" t="str">
        <x:v>15. Implementare Proiect Fotovoltaic</x:v>
      </x:c>
      <x:c r="D727" s="8" t="str">
        <x:v>Proiect fotovoltaic</x:v>
      </x:c>
      <x:c r="E727" s="8" t="str">
        <x:v>.jpeg</x:v>
      </x:c>
      <x:c r="F727" s="8" t="n">
        <x:v>193740</x:v>
      </x:c>
      <x:c r="G727" s="8" t="str">
        <x:v>Inventariat; conținut neextras</x:v>
      </x:c>
      <x:c r="H727" s="8" t="str">
        <x:v>Document local; transmiterea individuală neconfirmată</x:v>
      </x:c>
      <x:c r="I727" s="8" t="str"/>
      <x:c r="J727" s="8" t="e">
        <x:f>HYPERLINK("file:///Z:/00. Proiecte 2025/AFIR FotoVoltaic 1/15. Implementare Proiect Fotovoltaic/10.Neets-Suntech/Etichete panouri/Furate 1/WhatsApp Image 2026-05-14 at 10.54.14 (1).jpeg","Deschide sursa")</x:f>
        <x:v>HYPERLINK is not implemented. linkLocation=file:///Z:/00. Proiecte 2025/AFIR FotoVoltaic 1/15. Implementare Proiect Fotovoltaic/10.Neets-Suntech/Etichete panouri/Furate 1/WhatsApp Image 2026-05-14 at 10.54.14 (1).jpeg, friendlyName=Deschide sursa</x:v>
      </x:c>
    </x:row>
    <x:row r="728" ht="36" customHeight="1">
      <x:c r="A728" s="8" t="str">
        <x:v>F0724</x:v>
      </x:c>
      <x:c r="B728" s="8" t="str">
        <x:v>WhatsApp Image 2026-05-14 at 10.54.14 (2).jpeg</x:v>
      </x:c>
      <x:c r="C728" s="8" t="str">
        <x:v>15. Implementare Proiect Fotovoltaic</x:v>
      </x:c>
      <x:c r="D728" s="8" t="str">
        <x:v>Proiect fotovoltaic</x:v>
      </x:c>
      <x:c r="E728" s="8" t="str">
        <x:v>.jpeg</x:v>
      </x:c>
      <x:c r="F728" s="8" t="n">
        <x:v>110957</x:v>
      </x:c>
      <x:c r="G728" s="8" t="str">
        <x:v>Inventariat; conținut neextras</x:v>
      </x:c>
      <x:c r="H728" s="8" t="str">
        <x:v>Document local; transmiterea individuală neconfirmată</x:v>
      </x:c>
      <x:c r="I728" s="8" t="str"/>
      <x:c r="J728" s="8" t="e">
        <x:f>HYPERLINK("file:///Z:/00. Proiecte 2025/AFIR FotoVoltaic 1/15. Implementare Proiect Fotovoltaic/10.Neets-Suntech/Etichete panouri/Furate 1/WhatsApp Image 2026-05-14 at 10.54.14 (2).jpeg","Deschide sursa")</x:f>
        <x:v>HYPERLINK is not implemented. linkLocation=file:///Z:/00. Proiecte 2025/AFIR FotoVoltaic 1/15. Implementare Proiect Fotovoltaic/10.Neets-Suntech/Etichete panouri/Furate 1/WhatsApp Image 2026-05-14 at 10.54.14 (2).jpeg, friendlyName=Deschide sursa</x:v>
      </x:c>
    </x:row>
    <x:row r="729" ht="36" customHeight="1">
      <x:c r="A729" s="8" t="str">
        <x:v>F0725</x:v>
      </x:c>
      <x:c r="B729" s="8" t="str">
        <x:v>WhatsApp Image 2026-05-14 at 10.54.14 (3).jpeg</x:v>
      </x:c>
      <x:c r="C729" s="8" t="str">
        <x:v>15. Implementare Proiect Fotovoltaic</x:v>
      </x:c>
      <x:c r="D729" s="8" t="str">
        <x:v>Proiect fotovoltaic</x:v>
      </x:c>
      <x:c r="E729" s="8" t="str">
        <x:v>.jpeg</x:v>
      </x:c>
      <x:c r="F729" s="8" t="n">
        <x:v>86271</x:v>
      </x:c>
      <x:c r="G729" s="8" t="str">
        <x:v>Inventariat; conținut neextras</x:v>
      </x:c>
      <x:c r="H729" s="8" t="str">
        <x:v>Document local; transmiterea individuală neconfirmată</x:v>
      </x:c>
      <x:c r="I729" s="8" t="str"/>
      <x:c r="J729" s="8" t="e">
        <x:f>HYPERLINK("file:///Z:/00. Proiecte 2025/AFIR FotoVoltaic 1/15. Implementare Proiect Fotovoltaic/10.Neets-Suntech/Etichete panouri/Furate 1/WhatsApp Image 2026-05-14 at 10.54.14 (3).jpeg","Deschide sursa")</x:f>
        <x:v>HYPERLINK is not implemented. linkLocation=file:///Z:/00. Proiecte 2025/AFIR FotoVoltaic 1/15. Implementare Proiect Fotovoltaic/10.Neets-Suntech/Etichete panouri/Furate 1/WhatsApp Image 2026-05-14 at 10.54.14 (3).jpeg, friendlyName=Deschide sursa</x:v>
      </x:c>
    </x:row>
    <x:row r="730" ht="36" customHeight="1">
      <x:c r="A730" s="8" t="str">
        <x:v>F0726</x:v>
      </x:c>
      <x:c r="B730" s="8" t="str">
        <x:v>WhatsApp Image 2026-05-14 at 10.54.14.jpeg</x:v>
      </x:c>
      <x:c r="C730" s="8" t="str">
        <x:v>15. Implementare Proiect Fotovoltaic</x:v>
      </x:c>
      <x:c r="D730" s="8" t="str">
        <x:v>Proiect fotovoltaic</x:v>
      </x:c>
      <x:c r="E730" s="8" t="str">
        <x:v>.jpeg</x:v>
      </x:c>
      <x:c r="F730" s="8" t="n">
        <x:v>92546</x:v>
      </x:c>
      <x:c r="G730" s="8" t="str">
        <x:v>Inventariat; conținut neextras</x:v>
      </x:c>
      <x:c r="H730" s="8" t="str">
        <x:v>Document local; transmiterea individuală neconfirmată</x:v>
      </x:c>
      <x:c r="I730" s="8" t="str"/>
      <x:c r="J730" s="8" t="e">
        <x:f>HYPERLINK("file:///Z:/00. Proiecte 2025/AFIR FotoVoltaic 1/15. Implementare Proiect Fotovoltaic/10.Neets-Suntech/Etichete panouri/Furate 1/WhatsApp Image 2026-05-14 at 10.54.14.jpeg","Deschide sursa")</x:f>
        <x:v>HYPERLINK is not implemented. linkLocation=file:///Z:/00. Proiecte 2025/AFIR FotoVoltaic 1/15. Implementare Proiect Fotovoltaic/10.Neets-Suntech/Etichete panouri/Furate 1/WhatsApp Image 2026-05-14 at 10.54.14.jpeg, friendlyName=Deschide sursa</x:v>
      </x:c>
    </x:row>
    <x:row r="731" ht="36" customHeight="1">
      <x:c r="A731" s="8" t="str">
        <x:v>F0727</x:v>
      </x:c>
      <x:c r="B731" s="8" t="str">
        <x:v>WhatsApp Image 2026-05-14 at 10.54.15 (1).jpeg</x:v>
      </x:c>
      <x:c r="C731" s="8" t="str">
        <x:v>15. Implementare Proiect Fotovoltaic</x:v>
      </x:c>
      <x:c r="D731" s="8" t="str">
        <x:v>Proiect fotovoltaic</x:v>
      </x:c>
      <x:c r="E731" s="8" t="str">
        <x:v>.jpeg</x:v>
      </x:c>
      <x:c r="F731" s="8" t="n">
        <x:v>144469</x:v>
      </x:c>
      <x:c r="G731" s="8" t="str">
        <x:v>Inventariat; conținut neextras</x:v>
      </x:c>
      <x:c r="H731" s="8" t="str">
        <x:v>Document local; transmiterea individuală neconfirmată</x:v>
      </x:c>
      <x:c r="I731" s="8" t="str"/>
      <x:c r="J731" s="8" t="e">
        <x:f>HYPERLINK("file:///Z:/00. Proiecte 2025/AFIR FotoVoltaic 1/15. Implementare Proiect Fotovoltaic/10.Neets-Suntech/Etichete panouri/Furate 1/WhatsApp Image 2026-05-14 at 10.54.15 (1).jpeg","Deschide sursa")</x:f>
        <x:v>HYPERLINK is not implemented. linkLocation=file:///Z:/00. Proiecte 2025/AFIR FotoVoltaic 1/15. Implementare Proiect Fotovoltaic/10.Neets-Suntech/Etichete panouri/Furate 1/WhatsApp Image 2026-05-14 at 10.54.15 (1).jpeg, friendlyName=Deschide sursa</x:v>
      </x:c>
    </x:row>
    <x:row r="732" ht="36" customHeight="1">
      <x:c r="A732" s="8" t="str">
        <x:v>F0728</x:v>
      </x:c>
      <x:c r="B732" s="8" t="str">
        <x:v>WhatsApp Image 2026-05-14 at 10.54.15 (2).jpeg</x:v>
      </x:c>
      <x:c r="C732" s="8" t="str">
        <x:v>15. Implementare Proiect Fotovoltaic</x:v>
      </x:c>
      <x:c r="D732" s="8" t="str">
        <x:v>Proiect fotovoltaic</x:v>
      </x:c>
      <x:c r="E732" s="8" t="str">
        <x:v>.jpeg</x:v>
      </x:c>
      <x:c r="F732" s="8" t="n">
        <x:v>66501</x:v>
      </x:c>
      <x:c r="G732" s="8" t="str">
        <x:v>Inventariat; conținut neextras</x:v>
      </x:c>
      <x:c r="H732" s="8" t="str">
        <x:v>Document local; transmiterea individuală neconfirmată</x:v>
      </x:c>
      <x:c r="I732" s="8" t="str"/>
      <x:c r="J732" s="8" t="e">
        <x:f>HYPERLINK("file:///Z:/00. Proiecte 2025/AFIR FotoVoltaic 1/15. Implementare Proiect Fotovoltaic/10.Neets-Suntech/Etichete panouri/Furate 1/WhatsApp Image 2026-05-14 at 10.54.15 (2).jpeg","Deschide sursa")</x:f>
        <x:v>HYPERLINK is not implemented. linkLocation=file:///Z:/00. Proiecte 2025/AFIR FotoVoltaic 1/15. Implementare Proiect Fotovoltaic/10.Neets-Suntech/Etichete panouri/Furate 1/WhatsApp Image 2026-05-14 at 10.54.15 (2).jpeg, friendlyName=Deschide sursa</x:v>
      </x:c>
    </x:row>
    <x:row r="733" ht="36" customHeight="1">
      <x:c r="A733" s="8" t="str">
        <x:v>F0729</x:v>
      </x:c>
      <x:c r="B733" s="8" t="str">
        <x:v>WhatsApp Image 2026-05-14 at 10.54.15.jpeg</x:v>
      </x:c>
      <x:c r="C733" s="8" t="str">
        <x:v>15. Implementare Proiect Fotovoltaic</x:v>
      </x:c>
      <x:c r="D733" s="8" t="str">
        <x:v>Proiect fotovoltaic</x:v>
      </x:c>
      <x:c r="E733" s="8" t="str">
        <x:v>.jpeg</x:v>
      </x:c>
      <x:c r="F733" s="8" t="n">
        <x:v>178531</x:v>
      </x:c>
      <x:c r="G733" s="8" t="str">
        <x:v>Inventariat; conținut neextras</x:v>
      </x:c>
      <x:c r="H733" s="8" t="str">
        <x:v>Document local; transmiterea individuală neconfirmată</x:v>
      </x:c>
      <x:c r="I733" s="8" t="str"/>
      <x:c r="J733" s="8" t="e">
        <x:f>HYPERLINK("file:///Z:/00. Proiecte 2025/AFIR FotoVoltaic 1/15. Implementare Proiect Fotovoltaic/10.Neets-Suntech/Etichete panouri/Furate 1/WhatsApp Image 2026-05-14 at 10.54.15.jpeg","Deschide sursa")</x:f>
        <x:v>HYPERLINK is not implemented. linkLocation=file:///Z:/00. Proiecte 2025/AFIR FotoVoltaic 1/15. Implementare Proiect Fotovoltaic/10.Neets-Suntech/Etichete panouri/Furate 1/WhatsApp Image 2026-05-14 at 10.54.15.jpeg, friendlyName=Deschide sursa</x:v>
      </x:c>
    </x:row>
    <x:row r="734" ht="36" customHeight="1">
      <x:c r="A734" s="8" t="str">
        <x:v>F0730</x:v>
      </x:c>
      <x:c r="B734" s="8" t="str">
        <x:v>WhatsApp Image 2026-05-14 at 10.54.19.jpeg</x:v>
      </x:c>
      <x:c r="C734" s="8" t="str">
        <x:v>15. Implementare Proiect Fotovoltaic</x:v>
      </x:c>
      <x:c r="D734" s="8" t="str">
        <x:v>Proiect fotovoltaic</x:v>
      </x:c>
      <x:c r="E734" s="8" t="str">
        <x:v>.jpeg</x:v>
      </x:c>
      <x:c r="F734" s="8" t="n">
        <x:v>175714</x:v>
      </x:c>
      <x:c r="G734" s="8" t="str">
        <x:v>Inventariat; conținut neextras</x:v>
      </x:c>
      <x:c r="H734" s="8" t="str">
        <x:v>Document local; transmiterea individuală neconfirmată</x:v>
      </x:c>
      <x:c r="I734" s="8" t="str"/>
      <x:c r="J734" s="8" t="e">
        <x:f>HYPERLINK("file:///Z:/00. Proiecte 2025/AFIR FotoVoltaic 1/15. Implementare Proiect Fotovoltaic/10.Neets-Suntech/Etichete panouri/Furate 1/WhatsApp Image 2026-05-14 at 10.54.19.jpeg","Deschide sursa")</x:f>
        <x:v>HYPERLINK is not implemented. linkLocation=file:///Z:/00. Proiecte 2025/AFIR FotoVoltaic 1/15. Implementare Proiect Fotovoltaic/10.Neets-Suntech/Etichete panouri/Furate 1/WhatsApp Image 2026-05-14 at 10.54.19.jpeg, friendlyName=Deschide sursa</x:v>
      </x:c>
    </x:row>
    <x:row r="735" ht="36" customHeight="1">
      <x:c r="A735" s="8" t="str">
        <x:v>F0731</x:v>
      </x:c>
      <x:c r="B735" s="8" t="str">
        <x:v>WhatsApp Image 2026-05-14 at 10.54.20.jpeg</x:v>
      </x:c>
      <x:c r="C735" s="8" t="str">
        <x:v>15. Implementare Proiect Fotovoltaic</x:v>
      </x:c>
      <x:c r="D735" s="8" t="str">
        <x:v>Proiect fotovoltaic</x:v>
      </x:c>
      <x:c r="E735" s="8" t="str">
        <x:v>.jpeg</x:v>
      </x:c>
      <x:c r="F735" s="8" t="n">
        <x:v>105852</x:v>
      </x:c>
      <x:c r="G735" s="8" t="str">
        <x:v>Inventariat; conținut neextras</x:v>
      </x:c>
      <x:c r="H735" s="8" t="str">
        <x:v>Document local; transmiterea individuală neconfirmată</x:v>
      </x:c>
      <x:c r="I735" s="8" t="str"/>
      <x:c r="J735" s="8" t="e">
        <x:f>HYPERLINK("file:///Z:/00. Proiecte 2025/AFIR FotoVoltaic 1/15. Implementare Proiect Fotovoltaic/10.Neets-Suntech/Etichete panouri/Furate 1/WhatsApp Image 2026-05-14 at 10.54.20.jpeg","Deschide sursa")</x:f>
        <x:v>HYPERLINK is not implemented. linkLocation=file:///Z:/00. Proiecte 2025/AFIR FotoVoltaic 1/15. Implementare Proiect Fotovoltaic/10.Neets-Suntech/Etichete panouri/Furate 1/WhatsApp Image 2026-05-14 at 10.54.20.jpeg, friendlyName=Deschide sursa</x:v>
      </x:c>
    </x:row>
    <x:row r="736" ht="36" customHeight="1">
      <x:c r="A736" s="8" t="str">
        <x:v>F0732</x:v>
      </x:c>
      <x:c r="B736" s="8" t="str">
        <x:v>lista materiale parc PV 1MVA - 21.04.2026.xlsx</x:v>
      </x:c>
      <x:c r="C736" s="8" t="str">
        <x:v>15. Implementare Proiect Fotovoltaic</x:v>
      </x:c>
      <x:c r="D736" s="8" t="str">
        <x:v>Proiect fotovoltaic</x:v>
      </x:c>
      <x:c r="E736" s="8" t="str">
        <x:v>.xlsx</x:v>
      </x:c>
      <x:c r="F736" s="8" t="n">
        <x:v>11107</x:v>
      </x:c>
      <x:c r="G736" s="8" t="str">
        <x:v>Inventariat; conținut neextras</x:v>
      </x:c>
      <x:c r="H736" s="8" t="str">
        <x:v>Versiune de lucru / arhivă</x:v>
      </x:c>
      <x:c r="I736" s="8" t="str"/>
      <x:c r="J736" s="8" t="e">
        <x:f>HYPERLINK("file:///Z:/00. Proiecte 2025/AFIR FotoVoltaic 1/15. Implementare Proiect Fotovoltaic/30. Tablouri/Arhiva/lista materiale parc PV 1MVA - 21.04.2026.xlsx","Deschide sursa")</x:f>
        <x:v>HYPERLINK is not implemented. linkLocation=file:///Z:/00. Proiecte 2025/AFIR FotoVoltaic 1/15. Implementare Proiect Fotovoltaic/30. Tablouri/Arhiva/lista materiale parc PV 1MVA - 21.04.2026.xlsx, friendlyName=Deschide sursa</x:v>
      </x:c>
    </x:row>
    <x:row r="737" ht="36" customHeight="1">
      <x:c r="A737" s="8" t="str">
        <x:v>F0733</x:v>
      </x:c>
      <x:c r="B737" s="8" t="str">
        <x:v>Tablouri_PV_1MVA_2026.07.23.xlsx</x:v>
      </x:c>
      <x:c r="C737" s="8" t="str">
        <x:v>15. Implementare Proiect Fotovoltaic</x:v>
      </x:c>
      <x:c r="D737" s="8" t="str">
        <x:v>Proiect fotovoltaic</x:v>
      </x:c>
      <x:c r="E737" s="8" t="str">
        <x:v>.xlsx</x:v>
      </x:c>
      <x:c r="F737" s="8" t="n">
        <x:v>57906</x:v>
      </x:c>
      <x:c r="G737" s="8" t="str">
        <x:v>Inventariat; conținut neextras</x:v>
      </x:c>
      <x:c r="H737" s="8" t="str">
        <x:v>Versiune de lucru / arhivă</x:v>
      </x:c>
      <x:c r="I737" s="8" t="str"/>
      <x:c r="J737" s="8" t="e">
        <x:f>HYPERLINK("file:///Z:/00. Proiecte 2025/AFIR FotoVoltaic 1/15. Implementare Proiect Fotovoltaic/30. Tablouri/Arhiva/Tablouri_PV_1MVA_2026.07.23.xlsx","Deschide sursa")</x:f>
        <x:v>HYPERLINK is not implemented. linkLocation=file:///Z:/00. Proiecte 2025/AFIR FotoVoltaic 1/15. Implementare Proiect Fotovoltaic/30. Tablouri/Arhiva/Tablouri_PV_1MVA_2026.07.23.xlsx, friendlyName=Deschide sursa</x:v>
      </x:c>
    </x:row>
    <x:row r="738" ht="36" customHeight="1">
      <x:c r="A738" s="8" t="str">
        <x:v>F0734</x:v>
      </x:c>
      <x:c r="B738" s="8" t="str">
        <x:v>Tablou_General_TEG-PV_1MVA_10zone_2026.07.30.xlsx</x:v>
      </x:c>
      <x:c r="C738" s="8" t="str">
        <x:v>15. Implementare Proiect Fotovoltaic</x:v>
      </x:c>
      <x:c r="D738" s="8" t="str">
        <x:v>Proiect fotovoltaic</x:v>
      </x:c>
      <x:c r="E738" s="8" t="str">
        <x:v>.xlsx</x:v>
      </x:c>
      <x:c r="F738" s="8" t="n">
        <x:v>59158</x:v>
      </x:c>
      <x:c r="G738" s="8" t="str">
        <x:v>Inventariat; conținut neextras</x:v>
      </x:c>
      <x:c r="H738" s="8" t="str">
        <x:v>Versiune de lucru / arhivă</x:v>
      </x:c>
      <x:c r="I738" s="8" t="str"/>
      <x:c r="J738" s="8" t="e">
        <x:f>HYPERLINK("file:///Z:/00. Proiecte 2025/AFIR FotoVoltaic 1/15. Implementare Proiect Fotovoltaic/30. Tablouri/Arhiva/Tablou_General_TEG-PV_1MVA_10zone_2026.07.30.xlsx","Deschide sursa")</x:f>
        <x:v>HYPERLINK is not implemented. linkLocation=file:///Z:/00. Proiecte 2025/AFIR FotoVoltaic 1/15. Implementare Proiect Fotovoltaic/30. Tablouri/Arhiva/Tablou_General_TEG-PV_1MVA_10zone_2026.07.30.xlsx, friendlyName=Deschide sursa</x:v>
      </x:c>
    </x:row>
    <x:row r="739" ht="36" customHeight="1">
      <x:c r="A739" s="8" t="str">
        <x:v>F0735</x:v>
      </x:c>
      <x:c r="B739" s="8" t="str">
        <x:v>Tablou_General_TEG-PV_1MVA_10zone_2026.07.31.xlsx</x:v>
      </x:c>
      <x:c r="C739" s="8" t="str">
        <x:v>15. Implementare Proiect Fotovoltaic</x:v>
      </x:c>
      <x:c r="D739" s="8" t="str">
        <x:v>Proiect fotovoltaic</x:v>
      </x:c>
      <x:c r="E739" s="8" t="str">
        <x:v>.xlsx</x:v>
      </x:c>
      <x:c r="F739" s="8" t="n">
        <x:v>59207</x:v>
      </x:c>
      <x:c r="G739" s="8" t="str">
        <x:v>Inventariat; conținut neextras</x:v>
      </x:c>
      <x:c r="H739" s="8" t="str">
        <x:v>Versiune de lucru / arhivă</x:v>
      </x:c>
      <x:c r="I739" s="8" t="str"/>
      <x:c r="J739" s="8" t="e">
        <x:f>HYPERLINK("file:///Z:/00. Proiecte 2025/AFIR FotoVoltaic 1/15. Implementare Proiect Fotovoltaic/30. Tablouri/Arhiva/Tablou_General_TEG-PV_1MVA_10zone_2026.07.31.xlsx","Deschide sursa")</x:f>
        <x:v>HYPERLINK is not implemented. linkLocation=file:///Z:/00. Proiecte 2025/AFIR FotoVoltaic 1/15. Implementare Proiect Fotovoltaic/30. Tablouri/Arhiva/Tablou_General_TEG-PV_1MVA_10zone_2026.07.31.xlsx, friendlyName=Deschide sursa</x:v>
      </x:c>
    </x:row>
    <x:row r="740" ht="36" customHeight="1">
      <x:c r="A740" s="8" t="str">
        <x:v>F0736</x:v>
      </x:c>
      <x:c r="B740" s="8" t="str">
        <x:v>Tablou_General_TEG-PV_1MVA_10zone_MINIMAL_3variante_2026.07.31.xlsx</x:v>
      </x:c>
      <x:c r="C740" s="8" t="str">
        <x:v>15. Implementare Proiect Fotovoltaic</x:v>
      </x:c>
      <x:c r="D740" s="8" t="str">
        <x:v>Proiect fotovoltaic</x:v>
      </x:c>
      <x:c r="E740" s="8" t="str">
        <x:v>.xlsx</x:v>
      </x:c>
      <x:c r="F740" s="8" t="n">
        <x:v>33127</x:v>
      </x:c>
      <x:c r="G740" s="8" t="str">
        <x:v>Inventariat; conținut neextras</x:v>
      </x:c>
      <x:c r="H740" s="8" t="str">
        <x:v>Versiune de lucru / arhivă</x:v>
      </x:c>
      <x:c r="I740" s="8" t="str"/>
      <x:c r="J740" s="8" t="e">
        <x:f>HYPERLINK("file:///Z:/00. Proiecte 2025/AFIR FotoVoltaic 1/15. Implementare Proiect Fotovoltaic/30. Tablouri/Arhiva/Tablou_General_TEG-PV_1MVA_10zone_MINIMAL_3variante_2026.07.31.xlsx","Deschide sursa")</x:f>
        <x:v>HYPERLINK is not implemented. linkLocation=file:///Z:/00. Proiecte 2025/AFIR FotoVoltaic 1/15. Implementare Proiect Fotovoltaic/30. Tablouri/Arhiva/Tablou_General_TEG-PV_1MVA_10zone_MINIMAL_3variante_2026.07.31.xlsx, friendlyName=Deschide sursa</x:v>
      </x:c>
    </x:row>
    <x:row r="741" ht="36" customHeight="1">
      <x:c r="A741" s="8" t="str">
        <x:v>F0737</x:v>
      </x:c>
      <x:c r="B741" s="8" t="str">
        <x:v>Tablou_General_TEG-PV_1MVA_10zone_SPARTAN_v2_2026.07.31.xlsx</x:v>
      </x:c>
      <x:c r="C741" s="8" t="str">
        <x:v>15. Implementare Proiect Fotovoltaic</x:v>
      </x:c>
      <x:c r="D741" s="8" t="str">
        <x:v>Proiect fotovoltaic</x:v>
      </x:c>
      <x:c r="E741" s="8" t="str">
        <x:v>.xlsx</x:v>
      </x:c>
      <x:c r="F741" s="8" t="n">
        <x:v>12961</x:v>
      </x:c>
      <x:c r="G741" s="8" t="str">
        <x:v>Inventariat; conținut neextras</x:v>
      </x:c>
      <x:c r="H741" s="8" t="str">
        <x:v>Versiune de lucru / arhivă</x:v>
      </x:c>
      <x:c r="I741" s="8" t="str"/>
      <x:c r="J741" s="8" t="e">
        <x:f>HYPERLINK("file:///Z:/00. Proiecte 2025/AFIR FotoVoltaic 1/15. Implementare Proiect Fotovoltaic/30. Tablouri/Arhiva/Tablou_General_TEG-PV_1MVA_10zone_SPARTAN_v2_2026.07.31.xlsx","Deschide sursa")</x:f>
        <x:v>HYPERLINK is not implemented. linkLocation=file:///Z:/00. Proiecte 2025/AFIR FotoVoltaic 1/15. Implementare Proiect Fotovoltaic/30. Tablouri/Arhiva/Tablou_General_TEG-PV_1MVA_10zone_SPARTAN_v2_2026.07.31.xlsx, friendlyName=Deschide sursa</x:v>
      </x:c>
    </x:row>
    <x:row r="742" ht="36" customHeight="1">
      <x:c r="A742" s="8" t="str">
        <x:v>F0738</x:v>
      </x:c>
      <x:c r="B742" s="8" t="str">
        <x:v>Tablou_General_TEG-PV_1MVA_10zone_V3_avizabil_2026.07.31.xlsx</x:v>
      </x:c>
      <x:c r="C742" s="8" t="str">
        <x:v>15. Implementare Proiect Fotovoltaic</x:v>
      </x:c>
      <x:c r="D742" s="8" t="str">
        <x:v>Proiect fotovoltaic</x:v>
      </x:c>
      <x:c r="E742" s="8" t="str">
        <x:v>.xlsx</x:v>
      </x:c>
      <x:c r="F742" s="8" t="n">
        <x:v>16901</x:v>
      </x:c>
      <x:c r="G742" s="8" t="str">
        <x:v>Inventariat; conținut neextras</x:v>
      </x:c>
      <x:c r="H742" s="8" t="str">
        <x:v>Versiune de lucru / arhivă</x:v>
      </x:c>
      <x:c r="I742" s="8" t="str"/>
      <x:c r="J742" s="8" t="e">
        <x:f>HYPERLINK("file:///Z:/00. Proiecte 2025/AFIR FotoVoltaic 1/15. Implementare Proiect Fotovoltaic/30. Tablouri/Arhiva/Tablou_General_TEG-PV_1MVA_10zone_V3_avizabil_2026.07.31.xlsx","Deschide sursa")</x:f>
        <x:v>HYPERLINK is not implemented. linkLocation=file:///Z:/00. Proiecte 2025/AFIR FotoVoltaic 1/15. Implementare Proiect Fotovoltaic/30. Tablouri/Arhiva/Tablou_General_TEG-PV_1MVA_10zone_V3_avizabil_2026.07.31.xlsx, friendlyName=Deschide sursa</x:v>
      </x:c>
    </x:row>
    <x:row r="743" ht="36" customHeight="1">
      <x:c r="A743" s="8" t="str">
        <x:v>F0739</x:v>
      </x:c>
      <x:c r="B743" s="8" t="str">
        <x:v>index.html</x:v>
      </x:c>
      <x:c r="C743" s="8" t="str">
        <x:v>15.1 Promovare-Informare</x:v>
      </x:c>
      <x:c r="D743" s="8" t="str">
        <x:v>Proiect fotovoltaic</x:v>
      </x:c>
      <x:c r="E743" s="8" t="str">
        <x:v>.html</x:v>
      </x:c>
      <x:c r="F743" s="8" t="n">
        <x:v>20664</x:v>
      </x:c>
      <x:c r="G743" s="8" t="str">
        <x:v>Inventariat; conținut neextras</x:v>
      </x:c>
      <x:c r="H743" s="8" t="str">
        <x:v>Document local; transmiterea individuală neconfirmată</x:v>
      </x:c>
      <x:c r="I743" s="8" t="str"/>
      <x:c r="J743" s="8" t="e">
        <x:f>HYPERLINK("file:///Z:/00. Proiecte 2025/AFIR FotoVoltaic 1/15.1 Promovare-Informare/cesiro_promovare_afir_fm_final/index.html","Deschide sursa")</x:f>
        <x:v>HYPERLINK is not implemented. linkLocation=file:///Z:/00. Proiecte 2025/AFIR FotoVoltaic 1/15.1 Promovare-Informare/cesiro_promovare_afir_fm_final/index.html, friendlyName=Deschide sursa</x:v>
      </x:c>
    </x:row>
    <x:row r="744" ht="36" customHeight="1">
      <x:c r="A744" s="8" t="str">
        <x:v>F0740</x:v>
      </x:c>
      <x:c r="B744" s="8" t="str">
        <x:v>logo_afir.png</x:v>
      </x:c>
      <x:c r="C744" s="8" t="str">
        <x:v>15.1 Promovare-Informare</x:v>
      </x:c>
      <x:c r="D744" s="8" t="str">
        <x:v>Proiect fotovoltaic</x:v>
      </x:c>
      <x:c r="E744" s="8" t="str">
        <x:v>.png</x:v>
      </x:c>
      <x:c r="F744" s="8" t="n">
        <x:v>41910</x:v>
      </x:c>
      <x:c r="G744" s="8" t="str">
        <x:v>Inventariat; conținut neextras</x:v>
      </x:c>
      <x:c r="H744" s="8" t="str">
        <x:v>Document local; transmiterea individuală neconfirmată</x:v>
      </x:c>
      <x:c r="I744" s="8" t="str"/>
      <x:c r="J744" s="8" t="e">
        <x:f>HYPERLINK("file:///Z:/00. Proiecte 2025/AFIR FotoVoltaic 1/15.1 Promovare-Informare/cesiro_promovare_afir_fm_final/assets/logo_afir.png","Deschide sursa")</x:f>
        <x:v>HYPERLINK is not implemented. linkLocation=file:///Z:/00. Proiecte 2025/AFIR FotoVoltaic 1/15.1 Promovare-Informare/cesiro_promovare_afir_fm_final/assets/logo_afir.png, friendlyName=Deschide sursa</x:v>
      </x:c>
    </x:row>
    <x:row r="745" ht="36" customHeight="1">
      <x:c r="A745" s="8" t="str">
        <x:v>F0741</x:v>
      </x:c>
      <x:c r="B745" s="8" t="str">
        <x:v>logo_bei_ro.png</x:v>
      </x:c>
      <x:c r="C745" s="8" t="str">
        <x:v>15.1 Promovare-Informare</x:v>
      </x:c>
      <x:c r="D745" s="8" t="str">
        <x:v>Proiect fotovoltaic</x:v>
      </x:c>
      <x:c r="E745" s="8" t="str">
        <x:v>.png</x:v>
      </x:c>
      <x:c r="F745" s="8" t="n">
        <x:v>9990</x:v>
      </x:c>
      <x:c r="G745" s="8" t="str">
        <x:v>Inventariat; conținut neextras</x:v>
      </x:c>
      <x:c r="H745" s="8" t="str">
        <x:v>Document local; transmiterea individuală neconfirmată</x:v>
      </x:c>
      <x:c r="I745" s="8" t="str"/>
      <x:c r="J745" s="8" t="e">
        <x:f>HYPERLINK("file:///Z:/00. Proiecte 2025/AFIR FotoVoltaic 1/15.1 Promovare-Informare/cesiro_promovare_afir_fm_final/assets/logo_bei_ro.png","Deschide sursa")</x:f>
        <x:v>HYPERLINK is not implemented. linkLocation=file:///Z:/00. Proiecte 2025/AFIR FotoVoltaic 1/15.1 Promovare-Informare/cesiro_promovare_afir_fm_final/assets/logo_bei_ro.png, friendlyName=Deschide sursa</x:v>
      </x:c>
    </x:row>
    <x:row r="746" ht="36" customHeight="1">
      <x:c r="A746" s="8" t="str">
        <x:v>F0742</x:v>
      </x:c>
      <x:c r="B746" s="8" t="str">
        <x:v>logo_comisia_europeana_ro.png</x:v>
      </x:c>
      <x:c r="C746" s="8" t="str">
        <x:v>15.1 Promovare-Informare</x:v>
      </x:c>
      <x:c r="D746" s="8" t="str">
        <x:v>Proiect fotovoltaic</x:v>
      </x:c>
      <x:c r="E746" s="8" t="str">
        <x:v>.png</x:v>
      </x:c>
      <x:c r="F746" s="8" t="n">
        <x:v>57297</x:v>
      </x:c>
      <x:c r="G746" s="8" t="str">
        <x:v>Inventariat; conținut neextras</x:v>
      </x:c>
      <x:c r="H746" s="8" t="str">
        <x:v>Document local; transmiterea individuală neconfirmată</x:v>
      </x:c>
      <x:c r="I746" s="8" t="str"/>
      <x:c r="J746" s="8" t="e">
        <x:f>HYPERLINK("file:///Z:/00. Proiecte 2025/AFIR FotoVoltaic 1/15.1 Promovare-Informare/cesiro_promovare_afir_fm_final/assets/logo_comisia_europeana_ro.png","Deschide sursa")</x:f>
        <x:v>HYPERLINK is not implemented. linkLocation=file:///Z:/00. Proiecte 2025/AFIR FotoVoltaic 1/15.1 Promovare-Informare/cesiro_promovare_afir_fm_final/assets/logo_comisia_europeana_ro.png, friendlyName=Deschide sursa</x:v>
      </x:c>
    </x:row>
    <x:row r="747" ht="36" customHeight="1">
      <x:c r="A747" s="8" t="str">
        <x:v>F0743</x:v>
      </x:c>
      <x:c r="B747" s="8" t="str">
        <x:v>logo_fm_finantat_ue_ets.png</x:v>
      </x:c>
      <x:c r="C747" s="8" t="str">
        <x:v>15.1 Promovare-Informare</x:v>
      </x:c>
      <x:c r="D747" s="8" t="str">
        <x:v>Proiect fotovoltaic</x:v>
      </x:c>
      <x:c r="E747" s="8" t="str">
        <x:v>.png</x:v>
      </x:c>
      <x:c r="F747" s="8" t="n">
        <x:v>26419</x:v>
      </x:c>
      <x:c r="G747" s="8" t="str">
        <x:v>Inventariat; conținut neextras</x:v>
      </x:c>
      <x:c r="H747" s="8" t="str">
        <x:v>Document local; transmiterea individuală neconfirmată</x:v>
      </x:c>
      <x:c r="I747" s="8" t="str"/>
      <x:c r="J747" s="8" t="e">
        <x:f>HYPERLINK("file:///Z:/00. Proiecte 2025/AFIR FotoVoltaic 1/15.1 Promovare-Informare/cesiro_promovare_afir_fm_final/assets/logo_fm_finantat_ue_ets.png","Deschide sursa")</x:f>
        <x:v>HYPERLINK is not implemented. linkLocation=file:///Z:/00. Proiecte 2025/AFIR FotoVoltaic 1/15.1 Promovare-Informare/cesiro_promovare_afir_fm_final/assets/logo_fm_finantat_ue_ets.png, friendlyName=Deschide sursa</x:v>
      </x:c>
    </x:row>
    <x:row r="748" ht="36" customHeight="1">
      <x:c r="A748" s="8" t="str">
        <x:v>F0744</x:v>
      </x:c>
      <x:c r="B748" s="8" t="str">
        <x:v>logo_guvern.png</x:v>
      </x:c>
      <x:c r="C748" s="8" t="str">
        <x:v>15.1 Promovare-Informare</x:v>
      </x:c>
      <x:c r="D748" s="8" t="str">
        <x:v>Proiect fotovoltaic</x:v>
      </x:c>
      <x:c r="E748" s="8" t="str">
        <x:v>.png</x:v>
      </x:c>
      <x:c r="F748" s="8" t="n">
        <x:v>52911</x:v>
      </x:c>
      <x:c r="G748" s="8" t="str">
        <x:v>Inventariat; conținut neextras</x:v>
      </x:c>
      <x:c r="H748" s="8" t="str">
        <x:v>Document local; transmiterea individuală neconfirmată</x:v>
      </x:c>
      <x:c r="I748" s="8" t="str"/>
      <x:c r="J748" s="8" t="e">
        <x:f>HYPERLINK("file:///Z:/00. Proiecte 2025/AFIR FotoVoltaic 1/15.1 Promovare-Informare/cesiro_promovare_afir_fm_final/assets/logo_guvern.png","Deschide sursa")</x:f>
        <x:v>HYPERLINK is not implemented. linkLocation=file:///Z:/00. Proiecte 2025/AFIR FotoVoltaic 1/15.1 Promovare-Informare/cesiro_promovare_afir_fm_final/assets/logo_guvern.png, friendlyName=Deschide sursa</x:v>
      </x:c>
    </x:row>
    <x:row r="749" ht="32" customHeight="1">
      <x:c r="A749" s="8" t="str">
        <x:v>F0745</x:v>
      </x:c>
      <x:c r="B749" s="8" t="str">
        <x:v>Act Adițional.docx</x:v>
      </x:c>
      <x:c r="C749" s="8" t="str">
        <x:v>16.1 Act aditional 1</x:v>
      </x:c>
      <x:c r="D749" s="8" t="str">
        <x:v>Proiect fotovoltaic</x:v>
      </x:c>
      <x:c r="E749" s="8" t="str">
        <x:v>.docx</x:v>
      </x:c>
      <x:c r="F749" s="8" t="n">
        <x:v>31883</x:v>
      </x:c>
      <x:c r="G749" s="8" t="str">
        <x:v>Text extras</x:v>
      </x:c>
      <x:c r="H749" s="8" t="str">
        <x:v>Versiune de lucru / arhivă</x:v>
      </x:c>
      <x:c r="I749" s="8" t="str"/>
      <x:c r="J749" s="8" t="e">
        <x:f>HYPERLINK("file:///Z:/00. Proiecte 2025/AFIR FotoVoltaic 1/16.1 Act aditional 1/DRAFT/Act Adițional.docx","Deschide sursa")</x:f>
        <x:v>HYPERLINK is not implemented. linkLocation=file:///Z:/00. Proiecte 2025/AFIR FotoVoltaic 1/16.1 Act aditional 1/DRAFT/Act Adițional.docx, friendlyName=Deschide sursa</x:v>
      </x:c>
    </x:row>
    <x:row r="750" ht="32" customHeight="1">
      <x:c r="A750" s="8" t="str">
        <x:v>F0746</x:v>
      </x:c>
      <x:c r="B750" s="8" t="str">
        <x:v>Confirmare Tehnico-Comercială.docx</x:v>
      </x:c>
      <x:c r="C750" s="8" t="str">
        <x:v>16.1 Act aditional 1</x:v>
      </x:c>
      <x:c r="D750" s="8" t="str">
        <x:v>Proiect fotovoltaic</x:v>
      </x:c>
      <x:c r="E750" s="8" t="str">
        <x:v>.docx</x:v>
      </x:c>
      <x:c r="F750" s="8" t="n">
        <x:v>15523</x:v>
      </x:c>
      <x:c r="G750" s="8" t="str">
        <x:v>Text extras</x:v>
      </x:c>
      <x:c r="H750" s="8" t="str">
        <x:v>Versiune de lucru / arhivă</x:v>
      </x:c>
      <x:c r="I750" s="8" t="str"/>
      <x:c r="J750" s="8" t="e">
        <x:f>HYPERLINK("file:///Z:/00. Proiecte 2025/AFIR FotoVoltaic 1/16.1 Act aditional 1/DRAFT/Confirmare Tehnico-Comercială.docx","Deschide sursa")</x:f>
        <x:v>HYPERLINK is not implemented. linkLocation=file:///Z:/00. Proiecte 2025/AFIR FotoVoltaic 1/16.1 Act aditional 1/DRAFT/Confirmare Tehnico-Comercială.docx, friendlyName=Deschide sursa</x:v>
      </x:c>
    </x:row>
    <x:row r="751" ht="32" customHeight="1">
      <x:c r="A751" s="8" t="str">
        <x:v>F0747</x:v>
      </x:c>
      <x:c r="B751" s="8" t="str">
        <x:v>Confirmare Tehnico-Comercială.pdf</x:v>
      </x:c>
      <x:c r="C751" s="8" t="str">
        <x:v>16.1 Act aditional 1</x:v>
      </x:c>
      <x:c r="D751" s="8" t="str">
        <x:v>Proiect fotovoltaic</x:v>
      </x:c>
      <x:c r="E751" s="8" t="str">
        <x:v>.pdf</x:v>
      </x:c>
      <x:c r="F751" s="8" t="n">
        <x:v>33687</x:v>
      </x:c>
      <x:c r="G751" s="8" t="str">
        <x:v>Text extras</x:v>
      </x:c>
      <x:c r="H751" s="8" t="str">
        <x:v>Versiune de lucru / arhivă</x:v>
      </x:c>
      <x:c r="I751" s="8" t="str"/>
      <x:c r="J751" s="8" t="e">
        <x:f>HYPERLINK("file:///Z:/00. Proiecte 2025/AFIR FotoVoltaic 1/16.1 Act aditional 1/DRAFT/Confirmare Tehnico-Comercială.pdf","Deschide sursa")</x:f>
        <x:v>HYPERLINK is not implemented. linkLocation=file:///Z:/00. Proiecte 2025/AFIR FotoVoltaic 1/16.1 Act aditional 1/DRAFT/Confirmare Tehnico-Comercială.pdf, friendlyName=Deschide sursa</x:v>
      </x:c>
    </x:row>
    <x:row r="752" ht="36" customHeight="1">
      <x:c r="A752" s="8" t="str">
        <x:v>F0748</x:v>
      </x:c>
      <x:c r="B752" s="8" t="str">
        <x:v>Formular C3.1 Nota Explicativa Modificare Contract De Finantare.docx</x:v>
      </x:c>
      <x:c r="C752" s="8" t="str">
        <x:v>16.1 Act aditional 1</x:v>
      </x:c>
      <x:c r="D752" s="8" t="str">
        <x:v>Proiect fotovoltaic</x:v>
      </x:c>
      <x:c r="E752" s="8" t="str">
        <x:v>.docx</x:v>
      </x:c>
      <x:c r="F752" s="8" t="n">
        <x:v>44539</x:v>
      </x:c>
      <x:c r="G752" s="8" t="str">
        <x:v>Text extras</x:v>
      </x:c>
      <x:c r="H752" s="8" t="str">
        <x:v>Versiune de lucru / arhivă</x:v>
      </x:c>
      <x:c r="I752" s="8" t="str"/>
      <x:c r="J752" s="8" t="e">
        <x:f>HYPERLINK("file:///Z:/00. Proiecte 2025/AFIR FotoVoltaic 1/16.1 Act aditional 1/DRAFT/Formular C3.1 Nota Explicativa Modificare Contract De Finantare.docx","Deschide sursa")</x:f>
        <x:v>HYPERLINK is not implemented. linkLocation=file:///Z:/00. Proiecte 2025/AFIR FotoVoltaic 1/16.1 Act aditional 1/DRAFT/Formular C3.1 Nota Explicativa Modificare Contract De Finantare.docx, friendlyName=Deschide sursa</x:v>
      </x:c>
    </x:row>
    <x:row r="753" ht="32" customHeight="1">
      <x:c r="A753" s="8" t="str">
        <x:v>F0749</x:v>
      </x:c>
      <x:c r="B753" s="8" t="str">
        <x:v>Memoriu Justificativ.docx</x:v>
      </x:c>
      <x:c r="C753" s="8" t="str">
        <x:v>16.1 Act aditional 1</x:v>
      </x:c>
      <x:c r="D753" s="8" t="str">
        <x:v>Proiect fotovoltaic</x:v>
      </x:c>
      <x:c r="E753" s="8" t="str">
        <x:v>.docx</x:v>
      </x:c>
      <x:c r="F753" s="8" t="n">
        <x:v>25827</x:v>
      </x:c>
      <x:c r="G753" s="8" t="str">
        <x:v>Text extras</x:v>
      </x:c>
      <x:c r="H753" s="8" t="str">
        <x:v>Versiune de lucru / arhivă</x:v>
      </x:c>
      <x:c r="I753" s="8" t="str"/>
      <x:c r="J753" s="8" t="e">
        <x:f>HYPERLINK("file:///Z:/00. Proiecte 2025/AFIR FotoVoltaic 1/16.1 Act aditional 1/DRAFT/Memoriu Justificativ.docx","Deschide sursa")</x:f>
        <x:v>HYPERLINK is not implemented. linkLocation=file:///Z:/00. Proiecte 2025/AFIR FotoVoltaic 1/16.1 Act aditional 1/DRAFT/Memoriu Justificativ.docx, friendlyName=Deschide sursa</x:v>
      </x:c>
    </x:row>
    <x:row r="754" ht="36" customHeight="1">
      <x:c r="A754" s="8" t="str">
        <x:v>F0750</x:v>
      </x:c>
      <x:c r="B754" s="8" t="str">
        <x:v>Memoriu_Justificativ_Consolidat_CESIRO.docx</x:v>
      </x:c>
      <x:c r="C754" s="8" t="str">
        <x:v>16.1 Act aditional 1</x:v>
      </x:c>
      <x:c r="D754" s="8" t="str">
        <x:v>Proiect fotovoltaic</x:v>
      </x:c>
      <x:c r="E754" s="8" t="str">
        <x:v>.docx</x:v>
      </x:c>
      <x:c r="F754" s="8" t="n">
        <x:v>33446</x:v>
      </x:c>
      <x:c r="G754" s="8" t="str">
        <x:v>Text extras</x:v>
      </x:c>
      <x:c r="H754" s="8" t="str">
        <x:v>Versiune de lucru / arhivă</x:v>
      </x:c>
      <x:c r="I754" s="8" t="str"/>
      <x:c r="J754" s="8" t="e">
        <x:f>HYPERLINK("file:///Z:/00. Proiecte 2025/AFIR FotoVoltaic 1/16.1 Act aditional 1/DRAFT/Memoriu_Justificativ_Consolidat_CESIRO.docx","Deschide sursa")</x:f>
        <x:v>HYPERLINK is not implemented. linkLocation=file:///Z:/00. Proiecte 2025/AFIR FotoVoltaic 1/16.1 Act aditional 1/DRAFT/Memoriu_Justificativ_Consolidat_CESIRO.docx, friendlyName=Deschide sursa</x:v>
      </x:c>
    </x:row>
    <x:row r="755" ht="32" customHeight="1">
      <x:c r="A755" s="8" t="str">
        <x:v>F0751</x:v>
      </x:c>
      <x:c r="B755" s="8" t="str">
        <x:v>Notificare tehnică.docx</x:v>
      </x:c>
      <x:c r="C755" s="8" t="str">
        <x:v>16.1 Act aditional 1</x:v>
      </x:c>
      <x:c r="D755" s="8" t="str">
        <x:v>Proiect fotovoltaic</x:v>
      </x:c>
      <x:c r="E755" s="8" t="str">
        <x:v>.docx</x:v>
      </x:c>
      <x:c r="F755" s="8" t="n">
        <x:v>24321</x:v>
      </x:c>
      <x:c r="G755" s="8" t="str">
        <x:v>Text extras</x:v>
      </x:c>
      <x:c r="H755" s="8" t="str">
        <x:v>Versiune de lucru / arhivă</x:v>
      </x:c>
      <x:c r="I755" s="8" t="str"/>
      <x:c r="J755" s="8" t="e">
        <x:f>HYPERLINK("file:///Z:/00. Proiecte 2025/AFIR FotoVoltaic 1/16.1 Act aditional 1/DRAFT/Notificare tehnică.docx","Deschide sursa")</x:f>
        <x:v>HYPERLINK is not implemented. linkLocation=file:///Z:/00. Proiecte 2025/AFIR FotoVoltaic 1/16.1 Act aditional 1/DRAFT/Notificare tehnică.docx, friendlyName=Deschide sursa</x:v>
      </x:c>
    </x:row>
    <x:row r="756" ht="32" customHeight="1">
      <x:c r="A756" s="8" t="str">
        <x:v>F0752</x:v>
      </x:c>
      <x:c r="B756" s="8" t="str">
        <x:v>Punct de vedere tehnic.docx</x:v>
      </x:c>
      <x:c r="C756" s="8" t="str">
        <x:v>16.1 Act aditional 1</x:v>
      </x:c>
      <x:c r="D756" s="8" t="str">
        <x:v>Proiect fotovoltaic</x:v>
      </x:c>
      <x:c r="E756" s="8" t="str">
        <x:v>.docx</x:v>
      </x:c>
      <x:c r="F756" s="8" t="n">
        <x:v>82872</x:v>
      </x:c>
      <x:c r="G756" s="8" t="str">
        <x:v>Text extras</x:v>
      </x:c>
      <x:c r="H756" s="8" t="str">
        <x:v>Versiune de lucru / arhivă</x:v>
      </x:c>
      <x:c r="I756" s="8" t="str"/>
      <x:c r="J756" s="8" t="e">
        <x:f>HYPERLINK("file:///Z:/00. Proiecte 2025/AFIR FotoVoltaic 1/16.1 Act aditional 1/DRAFT/Punct de vedere tehnic.docx","Deschide sursa")</x:f>
        <x:v>HYPERLINK is not implemented. linkLocation=file:///Z:/00. Proiecte 2025/AFIR FotoVoltaic 1/16.1 Act aditional 1/DRAFT/Punct de vedere tehnic.docx, friendlyName=Deschide sursa</x:v>
      </x:c>
    </x:row>
    <x:row r="757" ht="32" customHeight="1">
      <x:c r="A757" s="8" t="str">
        <x:v>F0753</x:v>
      </x:c>
      <x:c r="B757" s="8" t="str">
        <x:v>Referat_proiectant_CESIRO (1).docx</x:v>
      </x:c>
      <x:c r="C757" s="8" t="str">
        <x:v>16.1 Act aditional 1</x:v>
      </x:c>
      <x:c r="D757" s="8" t="str">
        <x:v>Proiect fotovoltaic</x:v>
      </x:c>
      <x:c r="E757" s="8" t="str">
        <x:v>.docx</x:v>
      </x:c>
      <x:c r="F757" s="8" t="n">
        <x:v>86952</x:v>
      </x:c>
      <x:c r="G757" s="8" t="str">
        <x:v>Text extras</x:v>
      </x:c>
      <x:c r="H757" s="8" t="str">
        <x:v>Versiune de lucru / arhivă</x:v>
      </x:c>
      <x:c r="I757" s="8" t="str"/>
      <x:c r="J757" s="8" t="e">
        <x:f>HYPERLINK("file:///Z:/00. Proiecte 2025/AFIR FotoVoltaic 1/16.1 Act aditional 1/DRAFT/Referat_proiectant_CESIRO (1).docx","Deschide sursa")</x:f>
        <x:v>HYPERLINK is not implemented. linkLocation=file:///Z:/00. Proiecte 2025/AFIR FotoVoltaic 1/16.1 Act aditional 1/DRAFT/Referat_proiectant_CESIRO (1).docx, friendlyName=Deschide sursa</x:v>
      </x:c>
    </x:row>
    <x:row r="758" ht="36" customHeight="1">
      <x:c r="A758" s="8" t="str">
        <x:v>F0754</x:v>
      </x:c>
      <x:c r="B758" s="8" t="str">
        <x:v>Solicitare de verificare și aprobare actualizare tehnică.docx</x:v>
      </x:c>
      <x:c r="C758" s="8" t="str">
        <x:v>16.1 Act aditional 1</x:v>
      </x:c>
      <x:c r="D758" s="8" t="str">
        <x:v>Proiect fotovoltaic</x:v>
      </x:c>
      <x:c r="E758" s="8" t="str">
        <x:v>.docx</x:v>
      </x:c>
      <x:c r="F758" s="8" t="n">
        <x:v>32020</x:v>
      </x:c>
      <x:c r="G758" s="8" t="str">
        <x:v>Text extras</x:v>
      </x:c>
      <x:c r="H758" s="8" t="str">
        <x:v>Versiune de lucru / arhivă</x:v>
      </x:c>
      <x:c r="I758" s="8" t="str"/>
      <x:c r="J758" s="8" t="e">
        <x:f>HYPERLINK("file:///Z:/00. Proiecte 2025/AFIR FotoVoltaic 1/16.1 Act aditional 1/DRAFT/Solicitare de verificare și aprobare actualizare tehnică.docx","Deschide sursa")</x:f>
        <x:v>HYPERLINK is not implemented. linkLocation=file:///Z:/00. Proiecte 2025/AFIR FotoVoltaic 1/16.1 Act aditional 1/DRAFT/Solicitare de verificare și aprobare actualizare tehnică.docx, friendlyName=Deschide sursa</x:v>
      </x:c>
    </x:row>
    <x:row r="759" ht="32" customHeight="1">
      <x:c r="A759" s="8" t="str">
        <x:v>F0755</x:v>
      </x:c>
      <x:c r="B759" s="8" t="str">
        <x:v>Studiu Justificativ Aprofundat.docx</x:v>
      </x:c>
      <x:c r="C759" s="8" t="str">
        <x:v>16.1 Act aditional 1</x:v>
      </x:c>
      <x:c r="D759" s="8" t="str">
        <x:v>Proiect fotovoltaic</x:v>
      </x:c>
      <x:c r="E759" s="8" t="str">
        <x:v>.docx</x:v>
      </x:c>
      <x:c r="F759" s="8" t="n">
        <x:v>18184</x:v>
      </x:c>
      <x:c r="G759" s="8" t="str">
        <x:v>Text extras</x:v>
      </x:c>
      <x:c r="H759" s="8" t="str">
        <x:v>Versiune de lucru / arhivă</x:v>
      </x:c>
      <x:c r="I759" s="8" t="str"/>
      <x:c r="J759" s="8" t="e">
        <x:f>HYPERLINK("file:///Z:/00. Proiecte 2025/AFIR FotoVoltaic 1/16.1 Act aditional 1/DRAFT/Studiu Justificativ Aprofundat.docx","Deschide sursa")</x:f>
        <x:v>HYPERLINK is not implemented. linkLocation=file:///Z:/00. Proiecte 2025/AFIR FotoVoltaic 1/16.1 Act aditional 1/DRAFT/Studiu Justificativ Aprofundat.docx, friendlyName=Deschide sursa</x:v>
      </x:c>
    </x:row>
    <x:row r="760" ht="32" customHeight="1">
      <x:c r="A760" s="8" t="str">
        <x:v>F0756</x:v>
      </x:c>
      <x:c r="B760" s="8" t="str">
        <x:v>Studiu Justificativ Aprofundat.pdf</x:v>
      </x:c>
      <x:c r="C760" s="8" t="str">
        <x:v>16.1 Act aditional 1</x:v>
      </x:c>
      <x:c r="D760" s="8" t="str">
        <x:v>Proiect fotovoltaic</x:v>
      </x:c>
      <x:c r="E760" s="8" t="str">
        <x:v>.pdf</x:v>
      </x:c>
      <x:c r="F760" s="8" t="n">
        <x:v>31964</x:v>
      </x:c>
      <x:c r="G760" s="8" t="str">
        <x:v>Text extras</x:v>
      </x:c>
      <x:c r="H760" s="8" t="str">
        <x:v>Versiune de lucru / arhivă</x:v>
      </x:c>
      <x:c r="I760" s="8" t="str"/>
      <x:c r="J760" s="8" t="e">
        <x:f>HYPERLINK("file:///Z:/00. Proiecte 2025/AFIR FotoVoltaic 1/16.1 Act aditional 1/DRAFT/Studiu Justificativ Aprofundat.pdf","Deschide sursa")</x:f>
        <x:v>HYPERLINK is not implemented. linkLocation=file:///Z:/00. Proiecte 2025/AFIR FotoVoltaic 1/16.1 Act aditional 1/DRAFT/Studiu Justificativ Aprofundat.pdf, friendlyName=Deschide sursa</x:v>
      </x:c>
    </x:row>
    <x:row r="761" ht="36" customHeight="1">
      <x:c r="A761" s="8" t="str">
        <x:v>F0757</x:v>
      </x:c>
      <x:c r="B761" s="8" t="str">
        <x:v>Studiu_Justificativ_Aprofundat_CESIRO.docx</x:v>
      </x:c>
      <x:c r="C761" s="8" t="str">
        <x:v>16.1 Act aditional 1</x:v>
      </x:c>
      <x:c r="D761" s="8" t="str">
        <x:v>Proiect fotovoltaic</x:v>
      </x:c>
      <x:c r="E761" s="8" t="str">
        <x:v>.docx</x:v>
      </x:c>
      <x:c r="F761" s="8" t="n">
        <x:v>473689</x:v>
      </x:c>
      <x:c r="G761" s="8" t="str">
        <x:v>Text extras</x:v>
      </x:c>
      <x:c r="H761" s="8" t="str">
        <x:v>Versiune de lucru / arhivă</x:v>
      </x:c>
      <x:c r="I761" s="8" t="str"/>
      <x:c r="J761" s="8" t="e">
        <x:f>HYPERLINK("file:///Z:/00. Proiecte 2025/AFIR FotoVoltaic 1/16.1 Act aditional 1/DRAFT/Studiu_Justificativ_Aprofundat_CESIRO.docx","Deschide sursa")</x:f>
        <x:v>HYPERLINK is not implemented. linkLocation=file:///Z:/00. Proiecte 2025/AFIR FotoVoltaic 1/16.1 Act aditional 1/DRAFT/Studiu_Justificativ_Aprofundat_CESIRO.docx, friendlyName=Deschide sursa</x:v>
      </x:c>
    </x:row>
    <x:row r="762" ht="36" customHeight="1">
      <x:c r="A762" s="8" t="str">
        <x:v>F0758</x:v>
      </x:c>
      <x:c r="B762" s="8" t="str">
        <x:v>Studiu_Justificativ_Aprofundat_v3 (1).pdf</x:v>
      </x:c>
      <x:c r="C762" s="8" t="str">
        <x:v>16.1 Act aditional 1</x:v>
      </x:c>
      <x:c r="D762" s="8" t="str">
        <x:v>Proiect fotovoltaic</x:v>
      </x:c>
      <x:c r="E762" s="8" t="str">
        <x:v>.pdf</x:v>
      </x:c>
      <x:c r="F762" s="8" t="n">
        <x:v>360367</x:v>
      </x:c>
      <x:c r="G762" s="8" t="str">
        <x:v>Text extras</x:v>
      </x:c>
      <x:c r="H762" s="8" t="str">
        <x:v>Versiune de lucru / arhivă</x:v>
      </x:c>
      <x:c r="I762" s="8" t="str"/>
      <x:c r="J762" s="8" t="e">
        <x:f>HYPERLINK("file:///Z:/00. Proiecte 2025/AFIR FotoVoltaic 1/16.1 Act aditional 1/DRAFT/Studiu_Justificativ_Aprofundat_v3 (1).pdf","Deschide sursa")</x:f>
        <x:v>HYPERLINK is not implemented. linkLocation=file:///Z:/00. Proiecte 2025/AFIR FotoVoltaic 1/16.1 Act aditional 1/DRAFT/Studiu_Justificativ_Aprofundat_v3 (1).pdf, friendlyName=Deschide sursa</x:v>
      </x:c>
    </x:row>
    <x:row r="763" ht="36" customHeight="1">
      <x:c r="A763" s="8" t="str">
        <x:v>F0759</x:v>
      </x:c>
      <x:c r="B763" s="8" t="str">
        <x:v>Fisa tehnica invertor.pdf</x:v>
      </x:c>
      <x:c r="C763" s="8" t="str">
        <x:v>16.1 Act aditional 1</x:v>
      </x:c>
      <x:c r="D763" s="8" t="str">
        <x:v>Proiect fotovoltaic</x:v>
      </x:c>
      <x:c r="E763" s="8" t="str">
        <x:v>.pdf</x:v>
      </x:c>
      <x:c r="F763" s="8" t="n">
        <x:v>441689</x:v>
      </x:c>
      <x:c r="G763" s="8" t="str">
        <x:v>Text extras</x:v>
      </x:c>
      <x:c r="H763" s="8" t="str">
        <x:v>Depus conform denumirii dosarului; recipisă neidentificată</x:v>
      </x:c>
      <x:c r="I763" s="8" t="str">
        <x:v>F0486</x:v>
      </x:c>
      <x:c r="J763" s="8" t="e">
        <x:f>HYPERLINK("file:///Z:/00. Proiecte 2025/AFIR FotoVoltaic 1/16.1 Act aditional 1/PDF Semnat si Depus/Fisa tehnica invertor.pdf","Deschide sursa")</x:f>
        <x:v>HYPERLINK is not implemented. linkLocation=file:///Z:/00. Proiecte 2025/AFIR FotoVoltaic 1/16.1 Act aditional 1/PDF Semnat si Depus/Fisa tehnica invertor.pdf, friendlyName=Deschide sursa</x:v>
      </x:c>
    </x:row>
    <x:row r="764" ht="32" customHeight="1">
      <x:c r="A764" s="8" t="str">
        <x:v>F0760</x:v>
      </x:c>
      <x:c r="B764" s="8" t="str">
        <x:v>Fisa tehnica panou.pdf</x:v>
      </x:c>
      <x:c r="C764" s="8" t="str">
        <x:v>16.1 Act aditional 1</x:v>
      </x:c>
      <x:c r="D764" s="8" t="str">
        <x:v>Proiect fotovoltaic</x:v>
      </x:c>
      <x:c r="E764" s="8" t="str">
        <x:v>.pdf</x:v>
      </x:c>
      <x:c r="F764" s="8" t="n">
        <x:v>255454</x:v>
      </x:c>
      <x:c r="G764" s="8" t="str">
        <x:v>Text extras</x:v>
      </x:c>
      <x:c r="H764" s="8" t="str">
        <x:v>Depus conform denumirii dosarului; recipisă neidentificată</x:v>
      </x:c>
      <x:c r="I764" s="8" t="str">
        <x:v>F0269</x:v>
      </x:c>
      <x:c r="J764" s="8" t="e">
        <x:f>HYPERLINK("file:///Z:/00. Proiecte 2025/AFIR FotoVoltaic 1/16.1 Act aditional 1/PDF Semnat si Depus/Fisa tehnica panou.pdf","Deschide sursa")</x:f>
        <x:v>HYPERLINK is not implemented. linkLocation=file:///Z:/00. Proiecte 2025/AFIR FotoVoltaic 1/16.1 Act aditional 1/PDF Semnat si Depus/Fisa tehnica panou.pdf, friendlyName=Deschide sursa</x:v>
      </x:c>
    </x:row>
    <x:row r="765" ht="36" customHeight="1">
      <x:c r="A765" s="8" t="str">
        <x:v>F0761</x:v>
      </x:c>
      <x:c r="B765" s="8" t="str">
        <x:v>Formular_C3_1_completat _.pdf</x:v>
      </x:c>
      <x:c r="C765" s="8" t="str">
        <x:v>16.1 Act aditional 1</x:v>
      </x:c>
      <x:c r="D765" s="8" t="str">
        <x:v>Proiect fotovoltaic</x:v>
      </x:c>
      <x:c r="E765" s="8" t="str">
        <x:v>.pdf</x:v>
      </x:c>
      <x:c r="F765" s="8" t="n">
        <x:v>320142</x:v>
      </x:c>
      <x:c r="G765" s="8" t="str">
        <x:v>Text extras</x:v>
      </x:c>
      <x:c r="H765" s="8" t="str">
        <x:v>Depus conform denumirii dosarului; recipisă neidentificată</x:v>
      </x:c>
      <x:c r="I765" s="8" t="str"/>
      <x:c r="J765" s="8" t="e">
        <x:f>HYPERLINK("file:///Z:/00. Proiecte 2025/AFIR FotoVoltaic 1/16.1 Act aditional 1/PDF Semnat si Depus/Formular_C3_1_completat _.pdf","Deschide sursa")</x:f>
        <x:v>HYPERLINK is not implemented. linkLocation=file:///Z:/00. Proiecte 2025/AFIR FotoVoltaic 1/16.1 Act aditional 1/PDF Semnat si Depus/Formular_C3_1_completat _.pdf, friendlyName=Deschide sursa</x:v>
      </x:c>
    </x:row>
    <x:row r="766" ht="36" customHeight="1">
      <x:c r="A766" s="8" t="str">
        <x:v>F0762</x:v>
      </x:c>
      <x:c r="B766" s="8" t="str">
        <x:v>Memoriu Justificativ si Referat Cesiro Production.zip</x:v>
      </x:c>
      <x:c r="C766" s="8" t="str">
        <x:v>16.1 Act aditional 1</x:v>
      </x:c>
      <x:c r="D766" s="8" t="str">
        <x:v>Proiect fotovoltaic</x:v>
      </x:c>
      <x:c r="E766" s="8" t="str">
        <x:v>.zip</x:v>
      </x:c>
      <x:c r="F766" s="8" t="n">
        <x:v>10604973</x:v>
      </x:c>
      <x:c r="G766" s="8" t="str">
        <x:v>Inventar ZIP</x:v>
      </x:c>
      <x:c r="H766" s="8" t="str">
        <x:v>Depus conform denumirii dosarului; recipisă neidentificată</x:v>
      </x:c>
      <x:c r="I766" s="8" t="str"/>
      <x:c r="J766" s="8" t="e">
        <x:f>HYPERLINK("file:///Z:/00. Proiecte 2025/AFIR FotoVoltaic 1/16.1 Act aditional 1/PDF Semnat si Depus/Memoriu Justificativ si Referat Cesiro Production.zip","Deschide sursa")</x:f>
        <x:v>HYPERLINK is not implemented. linkLocation=file:///Z:/00. Proiecte 2025/AFIR FotoVoltaic 1/16.1 Act aditional 1/PDF Semnat si Depus/Memoriu Justificativ si Referat Cesiro Production.zip, friendlyName=Deschide sursa</x:v>
      </x:c>
    </x:row>
    <x:row r="767" ht="36" customHeight="1">
      <x:c r="A767" s="8" t="str">
        <x:v>F0763</x:v>
      </x:c>
      <x:c r="B767" s="8" t="str">
        <x:v>Memoriu_Justificativ_Consolidat_CESIRO (2).pdf</x:v>
      </x:c>
      <x:c r="C767" s="8" t="str">
        <x:v>16.1 Act aditional 1</x:v>
      </x:c>
      <x:c r="D767" s="8" t="str">
        <x:v>Proiect fotovoltaic</x:v>
      </x:c>
      <x:c r="E767" s="8" t="str">
        <x:v>.pdf</x:v>
      </x:c>
      <x:c r="F767" s="8" t="n">
        <x:v>367855</x:v>
      </x:c>
      <x:c r="G767" s="8" t="str">
        <x:v>Text extras</x:v>
      </x:c>
      <x:c r="H767" s="8" t="str">
        <x:v>Depus conform denumirii dosarului; recipisă neidentificată</x:v>
      </x:c>
      <x:c r="I767" s="8" t="str"/>
      <x:c r="J767" s="8" t="e">
        <x:f>HYPERLINK("file:///Z:/00. Proiecte 2025/AFIR FotoVoltaic 1/16.1 Act aditional 1/PDF Semnat si Depus/Memoriu_Justificativ_Consolidat_CESIRO (2).pdf","Deschide sursa")</x:f>
        <x:v>HYPERLINK is not implemented. linkLocation=file:///Z:/00. Proiecte 2025/AFIR FotoVoltaic 1/16.1 Act aditional 1/PDF Semnat si Depus/Memoriu_Justificativ_Consolidat_CESIRO (2).pdf, friendlyName=Deschide sursa</x:v>
      </x:c>
    </x:row>
    <x:row r="768" ht="36" customHeight="1">
      <x:c r="A768" s="8" t="str">
        <x:v>F0764</x:v>
      </x:c>
      <x:c r="B768" s="8" t="str">
        <x:v>Referat_proiectant_CESIRO__s.pdf</x:v>
      </x:c>
      <x:c r="C768" s="8" t="str">
        <x:v>16.1 Act aditional 1</x:v>
      </x:c>
      <x:c r="D768" s="8" t="str">
        <x:v>Proiect fotovoltaic</x:v>
      </x:c>
      <x:c r="E768" s="8" t="str">
        <x:v>.pdf</x:v>
      </x:c>
      <x:c r="F768" s="8" t="n">
        <x:v>12457305</x:v>
      </x:c>
      <x:c r="G768" s="8" t="str">
        <x:v>Text extras</x:v>
      </x:c>
      <x:c r="H768" s="8" t="str">
        <x:v>Depus conform denumirii dosarului; recipisă neidentificată</x:v>
      </x:c>
      <x:c r="I768" s="8" t="str"/>
      <x:c r="J768" s="8" t="e">
        <x:f>HYPERLINK("file:///Z:/00. Proiecte 2025/AFIR FotoVoltaic 1/16.1 Act aditional 1/PDF Semnat si Depus/Referat_proiectant_CESIRO__s.pdf","Deschide sursa")</x:f>
        <x:v>HYPERLINK is not implemented. linkLocation=file:///Z:/00. Proiecte 2025/AFIR FotoVoltaic 1/16.1 Act aditional 1/PDF Semnat si Depus/Referat_proiectant_CESIRO__s.pdf, friendlyName=Deschide sursa</x:v>
      </x:c>
    </x:row>
    <x:row r="769" ht="36" customHeight="1">
      <x:c r="A769" s="8" t="str">
        <x:v>F0765</x:v>
      </x:c>
      <x:c r="B769" s="8" t="str">
        <x:v>Studiu_Justificativ_Aprofundat_CESIRO (2).pdf</x:v>
      </x:c>
      <x:c r="C769" s="8" t="str">
        <x:v>16.1 Act aditional 1</x:v>
      </x:c>
      <x:c r="D769" s="8" t="str">
        <x:v>Proiect fotovoltaic</x:v>
      </x:c>
      <x:c r="E769" s="8" t="str">
        <x:v>.pdf</x:v>
      </x:c>
      <x:c r="F769" s="8" t="n">
        <x:v>527000</x:v>
      </x:c>
      <x:c r="G769" s="8" t="str">
        <x:v>Text extras</x:v>
      </x:c>
      <x:c r="H769" s="8" t="str">
        <x:v>Depus conform denumirii dosarului; recipisă neidentificată</x:v>
      </x:c>
      <x:c r="I769" s="8" t="str"/>
      <x:c r="J769" s="8" t="e">
        <x:f>HYPERLINK("file:///Z:/00. Proiecte 2025/AFIR FotoVoltaic 1/16.1 Act aditional 1/PDF Semnat si Depus/Studiu_Justificativ_Aprofundat_CESIRO (2).pdf","Deschide sursa")</x:f>
        <x:v>HYPERLINK is not implemented. linkLocation=file:///Z:/00. Proiecte 2025/AFIR FotoVoltaic 1/16.1 Act aditional 1/PDF Semnat si Depus/Studiu_Justificativ_Aprofundat_CESIRO (2).pdf, friendlyName=Deschide sursa</x:v>
      </x:c>
    </x:row>
    <x:row r="770" ht="36" customHeight="1">
      <x:c r="A770" s="8" t="str">
        <x:v>F0766</x:v>
      </x:c>
      <x:c r="B770" s="8" t="str">
        <x:v>C3.3.4.pdf</x:v>
      </x:c>
      <x:c r="C770" s="8" t="str">
        <x:v>16.1 Act aditional 1</x:v>
      </x:c>
      <x:c r="D770" s="8" t="str">
        <x:v>Proiect fotovoltaic</x:v>
      </x:c>
      <x:c r="E770" s="8" t="str">
        <x:v>.pdf</x:v>
      </x:c>
      <x:c r="F770" s="8" t="n">
        <x:v>659929</x:v>
      </x:c>
      <x:c r="G770" s="8" t="str">
        <x:v>Text extras</x:v>
      </x:c>
      <x:c r="H770" s="8" t="str">
        <x:v>Document local; transmiterea individuală neconfirmată</x:v>
      </x:c>
      <x:c r="I770" s="8" t="str"/>
      <x:c r="J770" s="8" t="e">
        <x:f>HYPERLINK("file:///Z:/00. Proiecte 2025/AFIR FotoVoltaic 1/16.1 Act aditional 1/Act de semnat AFIR/Act Aditional NESEMNAT/C3.3.4.pdf","Deschide sursa")</x:f>
        <x:v>HYPERLINK is not implemented. linkLocation=file:///Z:/00. Proiecte 2025/AFIR FotoVoltaic 1/16.1 Act aditional 1/Act de semnat AFIR/Act Aditional NESEMNAT/C3.3.4.pdf, friendlyName=Deschide sursa</x:v>
      </x:c>
    </x:row>
    <x:row r="771" ht="36" customHeight="1">
      <x:c r="A771" s="8" t="str">
        <x:v>F0767</x:v>
      </x:c>
      <x:c r="B771" s="8" t="str">
        <x:v>C3.3.4_.pdf</x:v>
      </x:c>
      <x:c r="C771" s="8" t="str">
        <x:v>16.1 Act aditional 1</x:v>
      </x:c>
      <x:c r="D771" s="8" t="str">
        <x:v>Proiect fotovoltaic</x:v>
      </x:c>
      <x:c r="E771" s="8" t="str">
        <x:v>.pdf</x:v>
      </x:c>
      <x:c r="F771" s="8" t="n">
        <x:v>683510</x:v>
      </x:c>
      <x:c r="G771" s="8" t="str">
        <x:v>Text extras</x:v>
      </x:c>
      <x:c r="H771" s="8" t="str">
        <x:v>Document local; transmiterea individuală neconfirmată</x:v>
      </x:c>
      <x:c r="I771" s="8" t="str"/>
      <x:c r="J771" s="8" t="e">
        <x:f>HYPERLINK("file:///Z:/00. Proiecte 2025/AFIR FotoVoltaic 1/16.1 Act aditional 1/Act de semnat AFIR/Act Aditional Semnat/C3.3.4_.pdf","Deschide sursa")</x:f>
        <x:v>HYPERLINK is not implemented. linkLocation=file:///Z:/00. Proiecte 2025/AFIR FotoVoltaic 1/16.1 Act aditional 1/Act de semnat AFIR/Act Aditional Semnat/C3.3.4_.pdf, friendlyName=Deschide sursa</x:v>
      </x:c>
    </x:row>
    <x:row r="772" ht="36" customHeight="1">
      <x:c r="A772" s="8" t="str">
        <x:v>F0768</x:v>
      </x:c>
      <x:c r="B772" s="8" t="str">
        <x:v>EN_STP430-450S-H48-Nth+.pdf</x:v>
      </x:c>
      <x:c r="C772" s="8" t="str">
        <x:v>16.1 Act aditional 1</x:v>
      </x:c>
      <x:c r="D772" s="8" t="str">
        <x:v>Proiect fotovoltaic</x:v>
      </x:c>
      <x:c r="E772" s="8" t="str">
        <x:v>.pdf</x:v>
      </x:c>
      <x:c r="F772" s="8" t="n">
        <x:v>255454</x:v>
      </x:c>
      <x:c r="G772" s="8" t="str">
        <x:v>Text extras</x:v>
      </x:c>
      <x:c r="H772" s="8" t="str">
        <x:v>Document local; transmiterea individuală neconfirmată</x:v>
      </x:c>
      <x:c r="I772" s="8" t="str">
        <x:v>F0269</x:v>
      </x:c>
      <x:c r="J772" s="8" t="e">
        <x:f>HYPERLINK("file:///Z:/00. Proiecte 2025/AFIR FotoVoltaic 1/16.1 Act aditional 1/Fise Tehnice/Fise tehnice noi/EN_STP430-450S-H48-Nth+.pdf","Deschide sursa")</x:f>
        <x:v>HYPERLINK is not implemented. linkLocation=file:///Z:/00. Proiecte 2025/AFIR FotoVoltaic 1/16.1 Act aditional 1/Fise Tehnice/Fise tehnice noi/EN_STP430-450S-H48-Nth+.pdf, friendlyName=Deschide sursa</x:v>
      </x:c>
    </x:row>
    <x:row r="773" ht="36" customHeight="1">
      <x:c r="A773" s="8" t="str">
        <x:v>F0769</x:v>
      </x:c>
      <x:c r="B773" s="8" t="str">
        <x:v>SUN2000-100KTL-M2-2023.pdf</x:v>
      </x:c>
      <x:c r="C773" s="8" t="str">
        <x:v>16.1 Act aditional 1</x:v>
      </x:c>
      <x:c r="D773" s="8" t="str">
        <x:v>Proiect fotovoltaic</x:v>
      </x:c>
      <x:c r="E773" s="8" t="str">
        <x:v>.pdf</x:v>
      </x:c>
      <x:c r="F773" s="8" t="n">
        <x:v>441689</x:v>
      </x:c>
      <x:c r="G773" s="8" t="str">
        <x:v>Text extras</x:v>
      </x:c>
      <x:c r="H773" s="8" t="str">
        <x:v>Document local; transmiterea individuală neconfirmată</x:v>
      </x:c>
      <x:c r="I773" s="8" t="str">
        <x:v>F0486</x:v>
      </x:c>
      <x:c r="J773" s="8" t="e">
        <x:f>HYPERLINK("file:///Z:/00. Proiecte 2025/AFIR FotoVoltaic 1/16.1 Act aditional 1/Fise Tehnice/Fise tehnice noi/SUN2000-100KTL-M2-2023.pdf","Deschide sursa")</x:f>
        <x:v>HYPERLINK is not implemented. linkLocation=file:///Z:/00. Proiecte 2025/AFIR FotoVoltaic 1/16.1 Act aditional 1/Fise Tehnice/Fise tehnice noi/SUN2000-100KTL-M2-2023.pdf, friendlyName=Deschide sursa</x:v>
      </x:c>
    </x:row>
    <x:row r="774" ht="36" customHeight="1">
      <x:c r="A774" s="8" t="str">
        <x:v>F0770</x:v>
      </x:c>
      <x:c r="B774" s="8" t="str">
        <x:v>sun2000-100ktl-m2-datasheet-20230210.pdf</x:v>
      </x:c>
      <x:c r="C774" s="8" t="str">
        <x:v>16.1 Act aditional 1</x:v>
      </x:c>
      <x:c r="D774" s="8" t="str">
        <x:v>Proiect fotovoltaic</x:v>
      </x:c>
      <x:c r="E774" s="8" t="str">
        <x:v>.pdf</x:v>
      </x:c>
      <x:c r="F774" s="8" t="n">
        <x:v>354196</x:v>
      </x:c>
      <x:c r="G774" s="8" t="str">
        <x:v>Text extras</x:v>
      </x:c>
      <x:c r="H774" s="8" t="str">
        <x:v>Document local; transmiterea individuală neconfirmată</x:v>
      </x:c>
      <x:c r="I774" s="8" t="str">
        <x:v>F0487</x:v>
      </x:c>
      <x:c r="J774" s="8" t="e">
        <x:f>HYPERLINK("file:///Z:/00. Proiecte 2025/AFIR FotoVoltaic 1/16.1 Act aditional 1/Fise Tehnice/Fise tehnice noi/sun2000-100ktl-m2-datasheet-20230210.pdf","Deschide sursa")</x:f>
        <x:v>HYPERLINK is not implemented. linkLocation=file:///Z:/00. Proiecte 2025/AFIR FotoVoltaic 1/16.1 Act aditional 1/Fise Tehnice/Fise tehnice noi/sun2000-100ktl-m2-datasheet-20230210.pdf, friendlyName=Deschide sursa</x:v>
      </x:c>
    </x:row>
    <x:row r="775" ht="36" customHeight="1">
      <x:c r="A775" s="8" t="str">
        <x:v>F0771</x:v>
      </x:c>
      <x:c r="B775" s="8" t="str">
        <x:v>LUNA2000-(107-215) Series Smart String ESS User Manual.pdf</x:v>
      </x:c>
      <x:c r="C775" s="8" t="str">
        <x:v>16.1 Act aditional 1</x:v>
      </x:c>
      <x:c r="D775" s="8" t="str">
        <x:v>Proiect fotovoltaic</x:v>
      </x:c>
      <x:c r="E775" s="8" t="str">
        <x:v>.pdf</x:v>
      </x:c>
      <x:c r="F775" s="8" t="n">
        <x:v>6522311</x:v>
      </x:c>
      <x:c r="G775" s="8" t="str">
        <x:v>Text extras</x:v>
      </x:c>
      <x:c r="H775" s="8" t="str">
        <x:v>Document local; transmiterea individuală neconfirmată</x:v>
      </x:c>
      <x:c r="I775" s="8" t="str">
        <x:v>F0244</x:v>
      </x:c>
      <x:c r="J775" s="8" t="e">
        <x:f>HYPERLINK("file:///Z:/00. Proiecte 2025/AFIR FotoVoltaic 1/16.1 Act aditional 1/Fise Tehnice/Fise tehnice vechi/LUNA2000-(107-215) Series Smart String ESS User Manual.pdf","Deschide sursa")</x:f>
        <x:v>HYPERLINK is not implemented. linkLocation=file:///Z:/00. Proiecte 2025/AFIR FotoVoltaic 1/16.1 Act aditional 1/Fise Tehnice/Fise tehnice vechi/LUNA2000-(107-215) Series Smart String ESS User Manual.pdf, friendlyName=Deschide sursa</x:v>
      </x:c>
    </x:row>
    <x:row r="776" ht="36" customHeight="1">
      <x:c r="A776" s="8" t="str">
        <x:v>F0772</x:v>
      </x:c>
      <x:c r="B776" s="8" t="str">
        <x:v>SUN2000-5-10KTL-M0-M1.pdf</x:v>
      </x:c>
      <x:c r="C776" s="8" t="str">
        <x:v>16.1 Act aditional 1</x:v>
      </x:c>
      <x:c r="D776" s="8" t="str">
        <x:v>Proiect fotovoltaic</x:v>
      </x:c>
      <x:c r="E776" s="8" t="str">
        <x:v>.pdf</x:v>
      </x:c>
      <x:c r="F776" s="8" t="n">
        <x:v>380042</x:v>
      </x:c>
      <x:c r="G776" s="8" t="str">
        <x:v>Text extras</x:v>
      </x:c>
      <x:c r="H776" s="8" t="str">
        <x:v>Document local; transmiterea individuală neconfirmată</x:v>
      </x:c>
      <x:c r="I776" s="8" t="str"/>
      <x:c r="J776" s="8" t="e">
        <x:f>HYPERLINK("file:///Z:/00. Proiecte 2025/AFIR FotoVoltaic 1/16.1 Act aditional 1/Fise Tehnice/Fise tehnice vechi/SUN2000-5-10KTL-M0-M1.pdf","Deschide sursa")</x:f>
        <x:v>HYPERLINK is not implemented. linkLocation=file:///Z:/00. Proiecte 2025/AFIR FotoVoltaic 1/16.1 Act aditional 1/Fise Tehnice/Fise tehnice vechi/SUN2000-5-10KTL-M0-M1.pdf, friendlyName=Deschide sursa</x:v>
      </x:c>
    </x:row>
    <x:row r="777" ht="36" customHeight="1">
      <x:c r="A777" s="8" t="str">
        <x:v>F0773</x:v>
      </x:c>
      <x:c r="B777" s="8" t="str">
        <x:v>TOPHiKu6.pdf</x:v>
      </x:c>
      <x:c r="C777" s="8" t="str">
        <x:v>16.1 Act aditional 1</x:v>
      </x:c>
      <x:c r="D777" s="8" t="str">
        <x:v>Proiect fotovoltaic</x:v>
      </x:c>
      <x:c r="E777" s="8" t="str">
        <x:v>.pdf</x:v>
      </x:c>
      <x:c r="F777" s="8" t="n">
        <x:v>354028</x:v>
      </x:c>
      <x:c r="G777" s="8" t="str">
        <x:v>Text extras</x:v>
      </x:c>
      <x:c r="H777" s="8" t="str">
        <x:v>Document local; transmiterea individuală neconfirmată</x:v>
      </x:c>
      <x:c r="I777" s="8" t="str">
        <x:v>F0277</x:v>
      </x:c>
      <x:c r="J777" s="8" t="e">
        <x:f>HYPERLINK("file:///Z:/00. Proiecte 2025/AFIR FotoVoltaic 1/16.1 Act aditional 1/Fise Tehnice/Fise tehnice vechi/TOPHiKu6.pdf","Deschide sursa")</x:f>
        <x:v>HYPERLINK is not implemented. linkLocation=file:///Z:/00. Proiecte 2025/AFIR FotoVoltaic 1/16.1 Act aditional 1/Fise Tehnice/Fise tehnice vechi/TOPHiKu6.pdf, friendlyName=Deschide sursa</x:v>
      </x:c>
    </x:row>
    <x:row r="778" ht="36" customHeight="1">
      <x:c r="A778" s="8" t="str">
        <x:v>F0774</x:v>
      </x:c>
      <x:c r="B778" s="8" t="str">
        <x:v>HUAWEI+LUNA2000-241-2S1+Datasheet.pdf</x:v>
      </x:c>
      <x:c r="C778" s="8" t="str">
        <x:v>16.1 Act aditional 1</x:v>
      </x:c>
      <x:c r="D778" s="8" t="str">
        <x:v>Proiect fotovoltaic</x:v>
      </x:c>
      <x:c r="E778" s="8" t="str">
        <x:v>.pdf</x:v>
      </x:c>
      <x:c r="F778" s="8" t="n">
        <x:v>225210</x:v>
      </x:c>
      <x:c r="G778" s="8" t="str">
        <x:v>Text extras</x:v>
      </x:c>
      <x:c r="H778" s="8" t="str">
        <x:v>Document local; transmiterea individuală neconfirmată</x:v>
      </x:c>
      <x:c r="I778" s="8" t="str">
        <x:v>F0482</x:v>
      </x:c>
      <x:c r="J778" s="8" t="e">
        <x:f>HYPERLINK("file:///Z:/00. Proiecte 2025/AFIR FotoVoltaic 1/16.1 Act aditional 1/Fise Tehnice/Fise tehnice noi/nu se mai transmit/HUAWEI+LUNA2000-241-2S1+Datasheet.pdf","Deschide sursa")</x:f>
        <x:v>HYPERLINK is not implemented. linkLocation=file:///Z:/00. Proiecte 2025/AFIR FotoVoltaic 1/16.1 Act aditional 1/Fise Tehnice/Fise tehnice noi/nu se mai transmit/HUAWEI+LUNA2000-241-2S1+Datasheet.pdf, friendlyName=Deschide sursa</x:v>
      </x:c>
    </x:row>
    <x:row r="779" ht="36" customHeight="1">
      <x:c r="A779" s="8" t="str">
        <x:v>F0775</x:v>
      </x:c>
      <x:c r="B779" s="8" t="str">
        <x:v>SUN2000-20303640KTL-M3.pdf</x:v>
      </x:c>
      <x:c r="C779" s="8" t="str">
        <x:v>16.1 Act aditional 1</x:v>
      </x:c>
      <x:c r="D779" s="8" t="str">
        <x:v>Proiect fotovoltaic</x:v>
      </x:c>
      <x:c r="E779" s="8" t="str">
        <x:v>.pdf</x:v>
      </x:c>
      <x:c r="F779" s="8" t="n">
        <x:v>232512</x:v>
      </x:c>
      <x:c r="G779" s="8" t="str">
        <x:v>Text extras</x:v>
      </x:c>
      <x:c r="H779" s="8" t="str">
        <x:v>Document local; transmiterea individuală neconfirmată</x:v>
      </x:c>
      <x:c r="I779" s="8" t="str">
        <x:v>F0488</x:v>
      </x:c>
      <x:c r="J779" s="8" t="e">
        <x:f>HYPERLINK("file:///Z:/00. Proiecte 2025/AFIR FotoVoltaic 1/16.1 Act aditional 1/Fise Tehnice/Fise tehnice noi/nu se mai transmit/SUN2000-20303640KTL-M3.pdf","Deschide sursa")</x:f>
        <x:v>HYPERLINK is not implemented. linkLocation=file:///Z:/00. Proiecte 2025/AFIR FotoVoltaic 1/16.1 Act aditional 1/Fise Tehnice/Fise tehnice noi/nu se mai transmit/SUN2000-20303640KTL-M3.pdf, friendlyName=Deschide sursa</x:v>
      </x:c>
    </x:row>
    <x:row r="780" ht="36" customHeight="1">
      <x:c r="A780" s="8" t="str">
        <x:v>F0776</x:v>
      </x:c>
      <x:c r="B780" s="8" t="str">
        <x:v>Adresa_Inaintare_CESIRO_AFIR.docx</x:v>
      </x:c>
      <x:c r="C780" s="8" t="str">
        <x:v>16.2 Act Aditional 2-Neaprobat</x:v>
      </x:c>
      <x:c r="D780" s="8" t="str">
        <x:v>Proiect fotovoltaic</x:v>
      </x:c>
      <x:c r="E780" s="8" t="str">
        <x:v>.docx</x:v>
      </x:c>
      <x:c r="F780" s="8" t="n">
        <x:v>16295</x:v>
      </x:c>
      <x:c r="G780" s="8" t="str">
        <x:v>Text extras</x:v>
      </x:c>
      <x:c r="H780" s="8" t="str">
        <x:v>Document local; transmiterea individuală neconfirmată</x:v>
      </x:c>
      <x:c r="I780" s="8" t="str"/>
      <x:c r="J780" s="8" t="e">
        <x:f>HYPERLINK("file:///Z:/00. Proiecte 2025/AFIR FotoVoltaic 1/16.2 Act Aditional 2-Neaprobat/.Doc/Adresa_Inaintare_CESIRO_AFIR.docx","Deschide sursa")</x:f>
        <x:v>HYPERLINK is not implemented. linkLocation=file:///Z:/00. Proiecte 2025/AFIR FotoVoltaic 1/16.2 Act Aditional 2-Neaprobat/.Doc/Adresa_Inaintare_CESIRO_AFIR.docx, friendlyName=Deschide sursa</x:v>
      </x:c>
    </x:row>
    <x:row r="781" ht="36" customHeight="1">
      <x:c r="A781" s="8" t="str">
        <x:v>F0777</x:v>
      </x:c>
      <x:c r="B781" s="8" t="str">
        <x:v>Declaratie_proiectant_rectificare_CESIRO_AFIR.docx</x:v>
      </x:c>
      <x:c r="C781" s="8" t="str">
        <x:v>16.2 Act Aditional 2-Neaprobat</x:v>
      </x:c>
      <x:c r="D781" s="8" t="str">
        <x:v>Proiect fotovoltaic</x:v>
      </x:c>
      <x:c r="E781" s="8" t="str">
        <x:v>.docx</x:v>
      </x:c>
      <x:c r="F781" s="8" t="n">
        <x:v>87765</x:v>
      </x:c>
      <x:c r="G781" s="8" t="str">
        <x:v>Text extras</x:v>
      </x:c>
      <x:c r="H781" s="8" t="str">
        <x:v>Document local; transmiterea individuală neconfirmată</x:v>
      </x:c>
      <x:c r="I781" s="8" t="str"/>
      <x:c r="J781" s="8" t="e">
        <x:f>HYPERLINK("file:///Z:/00. Proiecte 2025/AFIR FotoVoltaic 1/16.2 Act Aditional 2-Neaprobat/.Doc/Declaratie_proiectant_rectificare_CESIRO_AFIR.docx","Deschide sursa")</x:f>
        <x:v>HYPERLINK is not implemented. linkLocation=file:///Z:/00. Proiecte 2025/AFIR FotoVoltaic 1/16.2 Act Aditional 2-Neaprobat/.Doc/Declaratie_proiectant_rectificare_CESIRO_AFIR.docx, friendlyName=Deschide sursa</x:v>
      </x:c>
    </x:row>
    <x:row r="782" ht="36" customHeight="1">
      <x:c r="A782" s="8" t="str">
        <x:v>F0778</x:v>
      </x:c>
      <x:c r="B782" s="8" t="str">
        <x:v>Declaratie_SUNTREE_rectificare_garantii_CESIRO_AFIR.docx</x:v>
      </x:c>
      <x:c r="C782" s="8" t="str">
        <x:v>16.2 Act Aditional 2-Neaprobat</x:v>
      </x:c>
      <x:c r="D782" s="8" t="str">
        <x:v>Proiect fotovoltaic</x:v>
      </x:c>
      <x:c r="E782" s="8" t="str">
        <x:v>.docx</x:v>
      </x:c>
      <x:c r="F782" s="8" t="n">
        <x:v>40662</x:v>
      </x:c>
      <x:c r="G782" s="8" t="str">
        <x:v>Text extras</x:v>
      </x:c>
      <x:c r="H782" s="8" t="str">
        <x:v>Document local; transmiterea individuală neconfirmată</x:v>
      </x:c>
      <x:c r="I782" s="8" t="str"/>
      <x:c r="J782" s="8" t="e">
        <x:f>HYPERLINK("file:///Z:/00. Proiecte 2025/AFIR FotoVoltaic 1/16.2 Act Aditional 2-Neaprobat/.Doc/Declaratie_SUNTREE_rectificare_garantii_CESIRO_AFIR.docx","Deschide sursa")</x:f>
        <x:v>HYPERLINK is not implemented. linkLocation=file:///Z:/00. Proiecte 2025/AFIR FotoVoltaic 1/16.2 Act Aditional 2-Neaprobat/.Doc/Declaratie_SUNTREE_rectificare_garantii_CESIRO_AFIR.docx, friendlyName=Deschide sursa</x:v>
      </x:c>
    </x:row>
    <x:row r="783" ht="36" customHeight="1">
      <x:c r="A783" s="8" t="str">
        <x:v>F0779</x:v>
      </x:c>
      <x:c r="B783" s="8" t="str">
        <x:v>Formular_C3_1_completat-de solicitare.docx</x:v>
      </x:c>
      <x:c r="C783" s="8" t="str">
        <x:v>16.2 Act Aditional 2-Neaprobat</x:v>
      </x:c>
      <x:c r="D783" s="8" t="str">
        <x:v>Proiect fotovoltaic</x:v>
      </x:c>
      <x:c r="E783" s="8" t="str">
        <x:v>.docx</x:v>
      </x:c>
      <x:c r="F783" s="8" t="n">
        <x:v>45072</x:v>
      </x:c>
      <x:c r="G783" s="8" t="str">
        <x:v>Text extras</x:v>
      </x:c>
      <x:c r="H783" s="8" t="str">
        <x:v>Document local; transmiterea individuală neconfirmată</x:v>
      </x:c>
      <x:c r="I783" s="8" t="str"/>
      <x:c r="J783" s="8" t="e">
        <x:f>HYPERLINK("file:///Z:/00. Proiecte 2025/AFIR FotoVoltaic 1/16.2 Act Aditional 2-Neaprobat/.Doc/Formular_C3_1_completat-de solicitare.docx","Deschide sursa")</x:f>
        <x:v>HYPERLINK is not implemented. linkLocation=file:///Z:/00. Proiecte 2025/AFIR FotoVoltaic 1/16.2 Act Aditional 2-Neaprobat/.Doc/Formular_C3_1_completat-de solicitare.docx, friendlyName=Deschide sursa</x:v>
      </x:c>
    </x:row>
    <x:row r="784" ht="36" customHeight="1">
      <x:c r="A784" s="8" t="str">
        <x:v>F0780</x:v>
      </x:c>
      <x:c r="B784" s="8" t="str">
        <x:v>Notificare_Rectificare_CESIRO_AFIR.docx</x:v>
      </x:c>
      <x:c r="C784" s="8" t="str">
        <x:v>16.2 Act Aditional 2-Neaprobat</x:v>
      </x:c>
      <x:c r="D784" s="8" t="str">
        <x:v>Proiect fotovoltaic</x:v>
      </x:c>
      <x:c r="E784" s="8" t="str">
        <x:v>.docx</x:v>
      </x:c>
      <x:c r="F784" s="8" t="n">
        <x:v>1810466</x:v>
      </x:c>
      <x:c r="G784" s="8" t="str">
        <x:v>Text extras</x:v>
      </x:c>
      <x:c r="H784" s="8" t="str">
        <x:v>Document local; transmiterea individuală neconfirmată</x:v>
      </x:c>
      <x:c r="I784" s="8" t="str"/>
      <x:c r="J784" s="8" t="e">
        <x:f>HYPERLINK("file:///Z:/00. Proiecte 2025/AFIR FotoVoltaic 1/16.2 Act Aditional 2-Neaprobat/.Doc/Notificare_Rectificare_CESIRO_AFIR.docx","Deschide sursa")</x:f>
        <x:v>HYPERLINK is not implemented. linkLocation=file:///Z:/00. Proiecte 2025/AFIR FotoVoltaic 1/16.2 Act Aditional 2-Neaprobat/.Doc/Notificare_Rectificare_CESIRO_AFIR.docx, friendlyName=Deschide sursa</x:v>
      </x:c>
    </x:row>
    <x:row r="785" ht="36" customHeight="1">
      <x:c r="A785" s="8" t="str">
        <x:v>F0781</x:v>
      </x:c>
      <x:c r="B785" s="8" t="str">
        <x:v>Declaratia Proiectantului Scan.pdf</x:v>
      </x:c>
      <x:c r="C785" s="8" t="str">
        <x:v>16.2 Act Aditional 2-Neaprobat</x:v>
      </x:c>
      <x:c r="D785" s="8" t="str">
        <x:v>Proiect fotovoltaic</x:v>
      </x:c>
      <x:c r="E785" s="8" t="str">
        <x:v>.pdf</x:v>
      </x:c>
      <x:c r="F785" s="8" t="n">
        <x:v>6911503</x:v>
      </x:c>
      <x:c r="G785" s="8" t="str">
        <x:v>Scan / text insuficient</x:v>
      </x:c>
      <x:c r="H785" s="8" t="str">
        <x:v>Versiune de lucru / arhivă</x:v>
      </x:c>
      <x:c r="I785" s="8" t="str"/>
      <x:c r="J785" s="8" t="e">
        <x:f>HYPERLINK("file:///Z:/00. Proiecte 2025/AFIR FotoVoltaic 1/16.2 Act Aditional 2-Neaprobat/Arhiva/Declaratia Proiectantului Scan.pdf","Deschide sursa")</x:f>
        <x:v>HYPERLINK is not implemented. linkLocation=file:///Z:/00. Proiecte 2025/AFIR FotoVoltaic 1/16.2 Act Aditional 2-Neaprobat/Arhiva/Declaratia Proiectantului Scan.pdf, friendlyName=Deschide sursa</x:v>
      </x:c>
    </x:row>
    <x:row r="786" ht="36" customHeight="1">
      <x:c r="A786" s="8" t="str">
        <x:v>F0782</x:v>
      </x:c>
      <x:c r="B786" s="8" t="str">
        <x:v>Declaratia Proiectantului-s.pdf</x:v>
      </x:c>
      <x:c r="C786" s="8" t="str">
        <x:v>16.2 Act Aditional 2-Neaprobat</x:v>
      </x:c>
      <x:c r="D786" s="8" t="str">
        <x:v>Proiect fotovoltaic</x:v>
      </x:c>
      <x:c r="E786" s="8" t="str">
        <x:v>.pdf</x:v>
      </x:c>
      <x:c r="F786" s="8" t="n">
        <x:v>6502652</x:v>
      </x:c>
      <x:c r="G786" s="8" t="str">
        <x:v>Scan / text insuficient</x:v>
      </x:c>
      <x:c r="H786" s="8" t="str">
        <x:v>Versiune de lucru / arhivă</x:v>
      </x:c>
      <x:c r="I786" s="8" t="str"/>
      <x:c r="J786" s="8" t="e">
        <x:f>HYPERLINK("file:///Z:/00. Proiecte 2025/AFIR FotoVoltaic 1/16.2 Act Aditional 2-Neaprobat/Arhiva/Declaratia Proiectantului-s.pdf","Deschide sursa")</x:f>
        <x:v>HYPERLINK is not implemented. linkLocation=file:///Z:/00. Proiecte 2025/AFIR FotoVoltaic 1/16.2 Act Aditional 2-Neaprobat/Arhiva/Declaratia Proiectantului-s.pdf, friendlyName=Deschide sursa</x:v>
      </x:c>
    </x:row>
    <x:row r="787" ht="36" customHeight="1">
      <x:c r="A787" s="8" t="str">
        <x:v>F0783</x:v>
      </x:c>
      <x:c r="B787" s="8" t="str">
        <x:v>Declaratie_proiectant_rectificare_CESIRO_AFIR.pdf</x:v>
      </x:c>
      <x:c r="C787" s="8" t="str">
        <x:v>16.2 Act Aditional 2-Neaprobat</x:v>
      </x:c>
      <x:c r="D787" s="8" t="str">
        <x:v>Proiect fotovoltaic</x:v>
      </x:c>
      <x:c r="E787" s="8" t="str">
        <x:v>.pdf</x:v>
      </x:c>
      <x:c r="F787" s="8" t="n">
        <x:v>173644</x:v>
      </x:c>
      <x:c r="G787" s="8" t="str">
        <x:v>Text extras</x:v>
      </x:c>
      <x:c r="H787" s="8" t="str">
        <x:v>Versiune de lucru / arhivă</x:v>
      </x:c>
      <x:c r="I787" s="8" t="str"/>
      <x:c r="J787" s="8" t="e">
        <x:f>HYPERLINK("file:///Z:/00. Proiecte 2025/AFIR FotoVoltaic 1/16.2 Act Aditional 2-Neaprobat/Arhiva/Declaratie_proiectant_rectificare_CESIRO_AFIR.pdf","Deschide sursa")</x:f>
        <x:v>HYPERLINK is not implemented. linkLocation=file:///Z:/00. Proiecte 2025/AFIR FotoVoltaic 1/16.2 Act Aditional 2-Neaprobat/Arhiva/Declaratie_proiectant_rectificare_CESIRO_AFIR.pdf, friendlyName=Deschide sursa</x:v>
      </x:c>
    </x:row>
    <x:row r="788" ht="36" customHeight="1">
      <x:c r="A788" s="8" t="str">
        <x:v>F0784</x:v>
      </x:c>
      <x:c r="B788" s="8" t="str">
        <x:v>Declaratie_SUNTREE_rectificare_garantii_CESIRO_AFIR.pdf</x:v>
      </x:c>
      <x:c r="C788" s="8" t="str">
        <x:v>16.2 Act Aditional 2-Neaprobat</x:v>
      </x:c>
      <x:c r="D788" s="8" t="str">
        <x:v>Proiect fotovoltaic</x:v>
      </x:c>
      <x:c r="E788" s="8" t="str">
        <x:v>.pdf</x:v>
      </x:c>
      <x:c r="F788" s="8" t="n">
        <x:v>104994</x:v>
      </x:c>
      <x:c r="G788" s="8" t="str">
        <x:v>Text extras</x:v>
      </x:c>
      <x:c r="H788" s="8" t="str">
        <x:v>Versiune de lucru / arhivă</x:v>
      </x:c>
      <x:c r="I788" s="8" t="str"/>
      <x:c r="J788" s="8" t="e">
        <x:f>HYPERLINK("file:///Z:/00. Proiecte 2025/AFIR FotoVoltaic 1/16.2 Act Aditional 2-Neaprobat/Arhiva/Declaratie_SUNTREE_rectificare_garantii_CESIRO_AFIR.pdf","Deschide sursa")</x:f>
        <x:v>HYPERLINK is not implemented. linkLocation=file:///Z:/00. Proiecte 2025/AFIR FotoVoltaic 1/16.2 Act Aditional 2-Neaprobat/Arhiva/Declaratie_SUNTREE_rectificare_garantii_CESIRO_AFIR.pdf, friendlyName=Deschide sursa</x:v>
      </x:c>
    </x:row>
    <x:row r="789" ht="36" customHeight="1">
      <x:c r="A789" s="8" t="str">
        <x:v>F0785</x:v>
      </x:c>
      <x:c r="B789" s="8" t="str">
        <x:v>Notificare_Rectificare_CESIRO_AFIR semnat.pdf</x:v>
      </x:c>
      <x:c r="C789" s="8" t="str">
        <x:v>16.2 Act Aditional 2-Neaprobat</x:v>
      </x:c>
      <x:c r="D789" s="8" t="str">
        <x:v>Proiect fotovoltaic</x:v>
      </x:c>
      <x:c r="E789" s="8" t="str">
        <x:v>.pdf</x:v>
      </x:c>
      <x:c r="F789" s="8" t="n">
        <x:v>230453</x:v>
      </x:c>
      <x:c r="G789" s="8" t="str">
        <x:v>Text extras</x:v>
      </x:c>
      <x:c r="H789" s="8" t="str">
        <x:v>Versiune de lucru / arhivă</x:v>
      </x:c>
      <x:c r="I789" s="8" t="str"/>
      <x:c r="J789" s="8" t="e">
        <x:f>HYPERLINK("file:///Z:/00. Proiecte 2025/AFIR FotoVoltaic 1/16.2 Act Aditional 2-Neaprobat/Arhiva/Notificare_Rectificare_CESIRO_AFIR semnat.pdf","Deschide sursa")</x:f>
        <x:v>HYPERLINK is not implemented. linkLocation=file:///Z:/00. Proiecte 2025/AFIR FotoVoltaic 1/16.2 Act Aditional 2-Neaprobat/Arhiva/Notificare_Rectificare_CESIRO_AFIR semnat.pdf, friendlyName=Deschide sursa</x:v>
      </x:c>
    </x:row>
    <x:row r="790" ht="36" customHeight="1">
      <x:c r="A790" s="8" t="str">
        <x:v>F0786</x:v>
      </x:c>
      <x:c r="B790" s="8" t="str">
        <x:v>Notificare_Rectificare_CESIRO_AFIR.pdf</x:v>
      </x:c>
      <x:c r="C790" s="8" t="str">
        <x:v>16.2 Act Aditional 2-Neaprobat</x:v>
      </x:c>
      <x:c r="D790" s="8" t="str">
        <x:v>Proiect fotovoltaic</x:v>
      </x:c>
      <x:c r="E790" s="8" t="str">
        <x:v>.pdf</x:v>
      </x:c>
      <x:c r="F790" s="8" t="n">
        <x:v>157620</x:v>
      </x:c>
      <x:c r="G790" s="8" t="str">
        <x:v>Text extras</x:v>
      </x:c>
      <x:c r="H790" s="8" t="str">
        <x:v>Versiune de lucru / arhivă</x:v>
      </x:c>
      <x:c r="I790" s="8" t="str"/>
      <x:c r="J790" s="8" t="e">
        <x:f>HYPERLINK("file:///Z:/00. Proiecte 2025/AFIR FotoVoltaic 1/16.2 Act Aditional 2-Neaprobat/Arhiva/Notificare_Rectificare_CESIRO_AFIR.pdf","Deschide sursa")</x:f>
        <x:v>HYPERLINK is not implemented. linkLocation=file:///Z:/00. Proiecte 2025/AFIR FotoVoltaic 1/16.2 Act Aditional 2-Neaprobat/Arhiva/Notificare_Rectificare_CESIRO_AFIR.pdf, friendlyName=Deschide sursa</x:v>
      </x:c>
    </x:row>
    <x:row r="791" ht="36" customHeight="1">
      <x:c r="A791" s="8" t="str">
        <x:v>F0787</x:v>
      </x:c>
      <x:c r="B791" s="8" t="str">
        <x:v>Act. Aditional Nr.1 Cesiro-Suntree.pdf</x:v>
      </x:c>
      <x:c r="C791" s="8" t="str">
        <x:v>16.2 Act Aditional 2-Neaprobat</x:v>
      </x:c>
      <x:c r="D791" s="8" t="str">
        <x:v>Proiect fotovoltaic</x:v>
      </x:c>
      <x:c r="E791" s="8" t="str">
        <x:v>.pdf</x:v>
      </x:c>
      <x:c r="F791" s="8" t="n">
        <x:v>2891517</x:v>
      </x:c>
      <x:c r="G791" s="8" t="str">
        <x:v>Scan / text insuficient</x:v>
      </x:c>
      <x:c r="H791" s="8" t="str">
        <x:v>Document local; transmiterea individuală neconfirmată</x:v>
      </x:c>
      <x:c r="I791" s="8" t="str"/>
      <x:c r="J791" s="8" t="e">
        <x:f>HYPERLINK("file:///Z:/00. Proiecte 2025/AFIR FotoVoltaic 1/16.2 Act Aditional 2-Neaprobat/PDF/Act. Aditional Nr.1 Cesiro-Suntree.pdf","Deschide sursa")</x:f>
        <x:v>HYPERLINK is not implemented. linkLocation=file:///Z:/00. Proiecte 2025/AFIR FotoVoltaic 1/16.2 Act Aditional 2-Neaprobat/PDF/Act. Aditional Nr.1 Cesiro-Suntree.pdf, friendlyName=Deschide sursa</x:v>
      </x:c>
    </x:row>
    <x:row r="792" ht="36" customHeight="1">
      <x:c r="A792" s="8" t="str">
        <x:v>F0788</x:v>
      </x:c>
      <x:c r="B792" s="8" t="str">
        <x:v>Act. Aditional Nr.2- Cesiro-Suntree.pdf</x:v>
      </x:c>
      <x:c r="C792" s="8" t="str">
        <x:v>16.2 Act Aditional 2-Neaprobat</x:v>
      </x:c>
      <x:c r="D792" s="8" t="str">
        <x:v>Proiect fotovoltaic</x:v>
      </x:c>
      <x:c r="E792" s="8" t="str">
        <x:v>.pdf</x:v>
      </x:c>
      <x:c r="F792" s="8" t="n">
        <x:v>6634826</x:v>
      </x:c>
      <x:c r="G792" s="8" t="str">
        <x:v>Scan / text insuficient</x:v>
      </x:c>
      <x:c r="H792" s="8" t="str">
        <x:v>Document local; transmiterea individuală neconfirmată</x:v>
      </x:c>
      <x:c r="I792" s="8" t="str"/>
      <x:c r="J792" s="8" t="e">
        <x:f>HYPERLINK("file:///Z:/00. Proiecte 2025/AFIR FotoVoltaic 1/16.2 Act Aditional 2-Neaprobat/PDF/Act. Aditional Nr.2- Cesiro-Suntree.pdf","Deschide sursa")</x:f>
        <x:v>HYPERLINK is not implemented. linkLocation=file:///Z:/00. Proiecte 2025/AFIR FotoVoltaic 1/16.2 Act Aditional 2-Neaprobat/PDF/Act. Aditional Nr.2- Cesiro-Suntree.pdf, friendlyName=Deschide sursa</x:v>
      </x:c>
    </x:row>
    <x:row r="793" ht="36" customHeight="1">
      <x:c r="A793" s="8" t="str">
        <x:v>F0789</x:v>
      </x:c>
      <x:c r="B793" s="8" t="str">
        <x:v>Adresa_Inaintare_CESIRO_AFIR.pdf</x:v>
      </x:c>
      <x:c r="C793" s="8" t="str">
        <x:v>16.2 Act Aditional 2-Neaprobat</x:v>
      </x:c>
      <x:c r="D793" s="8" t="str">
        <x:v>Proiect fotovoltaic</x:v>
      </x:c>
      <x:c r="E793" s="8" t="str">
        <x:v>.pdf</x:v>
      </x:c>
      <x:c r="F793" s="8" t="n">
        <x:v>118259</x:v>
      </x:c>
      <x:c r="G793" s="8" t="str">
        <x:v>Text extras</x:v>
      </x:c>
      <x:c r="H793" s="8" t="str">
        <x:v>Document local; transmiterea individuală neconfirmată</x:v>
      </x:c>
      <x:c r="I793" s="8" t="str"/>
      <x:c r="J793" s="8" t="e">
        <x:f>HYPERLINK("file:///Z:/00. Proiecte 2025/AFIR FotoVoltaic 1/16.2 Act Aditional 2-Neaprobat/PDF/Adresa_Inaintare_CESIRO_AFIR.pdf","Deschide sursa")</x:f>
        <x:v>HYPERLINK is not implemented. linkLocation=file:///Z:/00. Proiecte 2025/AFIR FotoVoltaic 1/16.2 Act Aditional 2-Neaprobat/PDF/Adresa_Inaintare_CESIRO_AFIR.pdf, friendlyName=Deschide sursa</x:v>
      </x:c>
    </x:row>
    <x:row r="794" ht="36" customHeight="1">
      <x:c r="A794" s="8" t="str">
        <x:v>F0790</x:v>
      </x:c>
      <x:c r="B794" s="8" t="str">
        <x:v>Declaratia Proiectantului-s_.pdf</x:v>
      </x:c>
      <x:c r="C794" s="8" t="str">
        <x:v>16.2 Act Aditional 2-Neaprobat</x:v>
      </x:c>
      <x:c r="D794" s="8" t="str">
        <x:v>Proiect fotovoltaic</x:v>
      </x:c>
      <x:c r="E794" s="8" t="str">
        <x:v>.pdf</x:v>
      </x:c>
      <x:c r="F794" s="8" t="n">
        <x:v>4836149</x:v>
      </x:c>
      <x:c r="G794" s="8" t="str">
        <x:v>Text extras</x:v>
      </x:c>
      <x:c r="H794" s="8" t="str">
        <x:v>Document local; transmiterea individuală neconfirmată</x:v>
      </x:c>
      <x:c r="I794" s="8" t="str"/>
      <x:c r="J794" s="8" t="e">
        <x:f>HYPERLINK("file:///Z:/00. Proiecte 2025/AFIR FotoVoltaic 1/16.2 Act Aditional 2-Neaprobat/PDF/Declaratia Proiectantului-s_.pdf","Deschide sursa")</x:f>
        <x:v>HYPERLINK is not implemented. linkLocation=file:///Z:/00. Proiecte 2025/AFIR FotoVoltaic 1/16.2 Act Aditional 2-Neaprobat/PDF/Declaratia Proiectantului-s_.pdf, friendlyName=Deschide sursa</x:v>
      </x:c>
    </x:row>
    <x:row r="795" ht="36" customHeight="1">
      <x:c r="A795" s="8" t="str">
        <x:v>F0791</x:v>
      </x:c>
      <x:c r="B795" s="8" t="str">
        <x:v>Fisa Tehnica- EN_STP430-450S-H48-Nkh+.pdf</x:v>
      </x:c>
      <x:c r="C795" s="8" t="str">
        <x:v>16.2 Act Aditional 2-Neaprobat</x:v>
      </x:c>
      <x:c r="D795" s="8" t="str">
        <x:v>Proiect fotovoltaic</x:v>
      </x:c>
      <x:c r="E795" s="8" t="str">
        <x:v>.pdf</x:v>
      </x:c>
      <x:c r="F795" s="8" t="n">
        <x:v>412146</x:v>
      </x:c>
      <x:c r="G795" s="8" t="str">
        <x:v>Text extras</x:v>
      </x:c>
      <x:c r="H795" s="8" t="str">
        <x:v>Document local; transmiterea individuală neconfirmată</x:v>
      </x:c>
      <x:c r="I795" s="8" t="str">
        <x:v>F0271</x:v>
      </x:c>
      <x:c r="J795" s="8" t="e">
        <x:f>HYPERLINK("file:///Z:/00. Proiecte 2025/AFIR FotoVoltaic 1/16.2 Act Aditional 2-Neaprobat/PDF/Fisa Tehnica- EN_STP430-450S-H48-Nkh+.pdf","Deschide sursa")</x:f>
        <x:v>HYPERLINK is not implemented. linkLocation=file:///Z:/00. Proiecte 2025/AFIR FotoVoltaic 1/16.2 Act Aditional 2-Neaprobat/PDF/Fisa Tehnica- EN_STP430-450S-H48-Nkh+.pdf, friendlyName=Deschide sursa</x:v>
      </x:c>
    </x:row>
    <x:row r="796" ht="36" customHeight="1">
      <x:c r="A796" s="8" t="str">
        <x:v>F0792</x:v>
      </x:c>
      <x:c r="B796" s="8" t="str">
        <x:v>Fisa Tehnica- EN_STP430-450S-H48-Nth+.pdf</x:v>
      </x:c>
      <x:c r="C796" s="8" t="str">
        <x:v>16.2 Act Aditional 2-Neaprobat</x:v>
      </x:c>
      <x:c r="D796" s="8" t="str">
        <x:v>Proiect fotovoltaic</x:v>
      </x:c>
      <x:c r="E796" s="8" t="str">
        <x:v>.pdf</x:v>
      </x:c>
      <x:c r="F796" s="8" t="n">
        <x:v>255454</x:v>
      </x:c>
      <x:c r="G796" s="8" t="str">
        <x:v>Text extras</x:v>
      </x:c>
      <x:c r="H796" s="8" t="str">
        <x:v>Document local; transmiterea individuală neconfirmată</x:v>
      </x:c>
      <x:c r="I796" s="8" t="str">
        <x:v>F0269</x:v>
      </x:c>
      <x:c r="J796" s="8" t="e">
        <x:f>HYPERLINK("file:///Z:/00. Proiecte 2025/AFIR FotoVoltaic 1/16.2 Act Aditional 2-Neaprobat/PDF/Fisa Tehnica- EN_STP430-450S-H48-Nth+.pdf","Deschide sursa")</x:f>
        <x:v>HYPERLINK is not implemented. linkLocation=file:///Z:/00. Proiecte 2025/AFIR FotoVoltaic 1/16.2 Act Aditional 2-Neaprobat/PDF/Fisa Tehnica- EN_STP430-450S-H48-Nth+.pdf, friendlyName=Deschide sursa</x:v>
      </x:c>
    </x:row>
    <x:row r="797" ht="36" customHeight="1">
      <x:c r="A797" s="8" t="str">
        <x:v>F0793</x:v>
      </x:c>
      <x:c r="B797" s="8" t="str">
        <x:v>Formular_C3_1_completat-de solicitare.pdf</x:v>
      </x:c>
      <x:c r="C797" s="8" t="str">
        <x:v>16.2 Act Aditional 2-Neaprobat</x:v>
      </x:c>
      <x:c r="D797" s="8" t="str">
        <x:v>Proiect fotovoltaic</x:v>
      </x:c>
      <x:c r="E797" s="8" t="str">
        <x:v>.pdf</x:v>
      </x:c>
      <x:c r="F797" s="8" t="n">
        <x:v>148519</x:v>
      </x:c>
      <x:c r="G797" s="8" t="str">
        <x:v>Text extras</x:v>
      </x:c>
      <x:c r="H797" s="8" t="str">
        <x:v>Document local; transmiterea individuală neconfirmată</x:v>
      </x:c>
      <x:c r="I797" s="8" t="str"/>
      <x:c r="J797" s="8" t="e">
        <x:f>HYPERLINK("file:///Z:/00. Proiecte 2025/AFIR FotoVoltaic 1/16.2 Act Aditional 2-Neaprobat/PDF/Formular_C3_1_completat-de solicitare.pdf","Deschide sursa")</x:f>
        <x:v>HYPERLINK is not implemented. linkLocation=file:///Z:/00. Proiecte 2025/AFIR FotoVoltaic 1/16.2 Act Aditional 2-Neaprobat/PDF/Formular_C3_1_completat-de solicitare.pdf, friendlyName=Deschide sursa</x:v>
      </x:c>
    </x:row>
    <x:row r="798" ht="36" customHeight="1">
      <x:c r="A798" s="8" t="str">
        <x:v>F0794</x:v>
      </x:c>
      <x:c r="B798" s="8" t="str">
        <x:v>Act. Aditional Nr.1 Cesiro-Suntree_.pdf</x:v>
      </x:c>
      <x:c r="C798" s="8" t="str">
        <x:v>16.2 Act Aditional 2-Neaprobat</x:v>
      </x:c>
      <x:c r="D798" s="8" t="str">
        <x:v>Proiect fotovoltaic</x:v>
      </x:c>
      <x:c r="E798" s="8" t="str">
        <x:v>.pdf</x:v>
      </x:c>
      <x:c r="F798" s="8" t="n">
        <x:v>1275016</x:v>
      </x:c>
      <x:c r="G798" s="8" t="str">
        <x:v>Text extras</x:v>
      </x:c>
      <x:c r="H798" s="8" t="str">
        <x:v>Document local; transmiterea individuală neconfirmată</x:v>
      </x:c>
      <x:c r="I798" s="8" t="str"/>
      <x:c r="J798" s="8" t="e">
        <x:f>HYPERLINK("file:///Z:/00. Proiecte 2025/AFIR FotoVoltaic 1/16.2 Act Aditional 2-Neaprobat/PDF - Semnat/Act. Aditional Nr.1 Cesiro-Suntree_.pdf","Deschide sursa")</x:f>
        <x:v>HYPERLINK is not implemented. linkLocation=file:///Z:/00. Proiecte 2025/AFIR FotoVoltaic 1/16.2 Act Aditional 2-Neaprobat/PDF - Semnat/Act. Aditional Nr.1 Cesiro-Suntree_.pdf, friendlyName=Deschide sursa</x:v>
      </x:c>
    </x:row>
    <x:row r="799" ht="36" customHeight="1">
      <x:c r="A799" s="8" t="str">
        <x:v>F0795</x:v>
      </x:c>
      <x:c r="B799" s="8" t="str">
        <x:v>Act. Aditional Nr.2- Cesiro-Suntree__.pdf</x:v>
      </x:c>
      <x:c r="C799" s="8" t="str">
        <x:v>16.2 Act Aditional 2-Neaprobat</x:v>
      </x:c>
      <x:c r="D799" s="8" t="str">
        <x:v>Proiect fotovoltaic</x:v>
      </x:c>
      <x:c r="E799" s="8" t="str">
        <x:v>.pdf</x:v>
      </x:c>
      <x:c r="F799" s="8" t="n">
        <x:v>3149917</x:v>
      </x:c>
      <x:c r="G799" s="8" t="str">
        <x:v>Text extras</x:v>
      </x:c>
      <x:c r="H799" s="8" t="str">
        <x:v>Document local; transmiterea individuală neconfirmată</x:v>
      </x:c>
      <x:c r="I799" s="8" t="str"/>
      <x:c r="J799" s="8" t="e">
        <x:f>HYPERLINK("file:///Z:/00. Proiecte 2025/AFIR FotoVoltaic 1/16.2 Act Aditional 2-Neaprobat/PDF - Semnat/Act. Aditional Nr.2- Cesiro-Suntree__.pdf","Deschide sursa")</x:f>
        <x:v>HYPERLINK is not implemented. linkLocation=file:///Z:/00. Proiecte 2025/AFIR FotoVoltaic 1/16.2 Act Aditional 2-Neaprobat/PDF - Semnat/Act. Aditional Nr.2- Cesiro-Suntree__.pdf, friendlyName=Deschide sursa</x:v>
      </x:c>
    </x:row>
    <x:row r="800" ht="36" customHeight="1">
      <x:c r="A800" s="8" t="str">
        <x:v>F0796</x:v>
      </x:c>
      <x:c r="B800" s="8" t="str">
        <x:v>Adresa_Inaintare_CESIRO_AFIR_.pdf</x:v>
      </x:c>
      <x:c r="C800" s="8" t="str">
        <x:v>16.2 Act Aditional 2-Neaprobat</x:v>
      </x:c>
      <x:c r="D800" s="8" t="str">
        <x:v>Proiect fotovoltaic</x:v>
      </x:c>
      <x:c r="E800" s="8" t="str">
        <x:v>.pdf</x:v>
      </x:c>
      <x:c r="F800" s="8" t="n">
        <x:v>315697</x:v>
      </x:c>
      <x:c r="G800" s="8" t="str">
        <x:v>Text extras</x:v>
      </x:c>
      <x:c r="H800" s="8" t="str">
        <x:v>Document local; transmiterea individuală neconfirmată</x:v>
      </x:c>
      <x:c r="I800" s="8" t="str"/>
      <x:c r="J800" s="8" t="e">
        <x:f>HYPERLINK("file:///Z:/00. Proiecte 2025/AFIR FotoVoltaic 1/16.2 Act Aditional 2-Neaprobat/PDF - Semnat/Adresa_Inaintare_CESIRO_AFIR_.pdf","Deschide sursa")</x:f>
        <x:v>HYPERLINK is not implemented. linkLocation=file:///Z:/00. Proiecte 2025/AFIR FotoVoltaic 1/16.2 Act Aditional 2-Neaprobat/PDF - Semnat/Adresa_Inaintare_CESIRO_AFIR_.pdf, friendlyName=Deschide sursa</x:v>
      </x:c>
    </x:row>
    <x:row r="801" ht="32" customHeight="1">
      <x:c r="A801" s="8" t="str">
        <x:v>F0797</x:v>
      </x:c>
      <x:c r="B801" s="8" t="str">
        <x:v>C3.3.8 (2) (1).pdf</x:v>
      </x:c>
      <x:c r="C801" s="8" t="str">
        <x:v>16.2 Act Aditional 2-Neaprobat</x:v>
      </x:c>
      <x:c r="D801" s="8" t="str">
        <x:v>Proiect fotovoltaic</x:v>
      </x:c>
      <x:c r="E801" s="8" t="str">
        <x:v>.pdf</x:v>
      </x:c>
      <x:c r="F801" s="8" t="n">
        <x:v>508599</x:v>
      </x:c>
      <x:c r="G801" s="8" t="str">
        <x:v>Text extras</x:v>
      </x:c>
      <x:c r="H801" s="8" t="str">
        <x:v>Document local; transmiterea individuală neconfirmată</x:v>
      </x:c>
      <x:c r="I801" s="8" t="str"/>
      <x:c r="J801" s="8" t="e">
        <x:f>HYPERLINK("file:///Z:/00. Proiecte 2025/AFIR FotoVoltaic 1/16.2 Act Aditional 2-Neaprobat/PDF - Semnat/C3.3.8 (2) (1).pdf","Deschide sursa")</x:f>
        <x:v>HYPERLINK is not implemented. linkLocation=file:///Z:/00. Proiecte 2025/AFIR FotoVoltaic 1/16.2 Act Aditional 2-Neaprobat/PDF - Semnat/C3.3.8 (2) (1).pdf, friendlyName=Deschide sursa</x:v>
      </x:c>
    </x:row>
    <x:row r="802" ht="36" customHeight="1">
      <x:c r="A802" s="8" t="str">
        <x:v>F0798</x:v>
      </x:c>
      <x:c r="B802" s="8" t="str">
        <x:v>Declaratia Proiectantului-s__.pdf</x:v>
      </x:c>
      <x:c r="C802" s="8" t="str">
        <x:v>16.2 Act Aditional 2-Neaprobat</x:v>
      </x:c>
      <x:c r="D802" s="8" t="str">
        <x:v>Proiect fotovoltaic</x:v>
      </x:c>
      <x:c r="E802" s="8" t="str">
        <x:v>.pdf</x:v>
      </x:c>
      <x:c r="F802" s="8" t="n">
        <x:v>5008901</x:v>
      </x:c>
      <x:c r="G802" s="8" t="str">
        <x:v>Text extras</x:v>
      </x:c>
      <x:c r="H802" s="8" t="str">
        <x:v>Document local; transmiterea individuală neconfirmată</x:v>
      </x:c>
      <x:c r="I802" s="8" t="str"/>
      <x:c r="J802" s="8" t="e">
        <x:f>HYPERLINK("file:///Z:/00. Proiecte 2025/AFIR FotoVoltaic 1/16.2 Act Aditional 2-Neaprobat/PDF - Semnat/Declaratia Proiectantului-s__.pdf","Deschide sursa")</x:f>
        <x:v>HYPERLINK is not implemented. linkLocation=file:///Z:/00. Proiecte 2025/AFIR FotoVoltaic 1/16.2 Act Aditional 2-Neaprobat/PDF - Semnat/Declaratia Proiectantului-s__.pdf, friendlyName=Deschide sursa</x:v>
      </x:c>
    </x:row>
    <x:row r="803" ht="32" customHeight="1">
      <x:c r="A803" s="8" t="str">
        <x:v>F0799</x:v>
      </x:c>
      <x:c r="B803" s="8" t="str">
        <x:v>Documente Anexe.zip</x:v>
      </x:c>
      <x:c r="C803" s="8" t="str">
        <x:v>16.2 Act Aditional 2-Neaprobat</x:v>
      </x:c>
      <x:c r="D803" s="8" t="str">
        <x:v>Proiect fotovoltaic</x:v>
      </x:c>
      <x:c r="E803" s="8" t="str">
        <x:v>.zip</x:v>
      </x:c>
      <x:c r="F803" s="8" t="n">
        <x:v>7473257</x:v>
      </x:c>
      <x:c r="G803" s="8" t="str">
        <x:v>Inventar ZIP</x:v>
      </x:c>
      <x:c r="H803" s="8" t="str">
        <x:v>Document local; transmiterea individuală neconfirmată</x:v>
      </x:c>
      <x:c r="I803" s="8" t="str"/>
      <x:c r="J803" s="8" t="e">
        <x:f>HYPERLINK("file:///Z:/00. Proiecte 2025/AFIR FotoVoltaic 1/16.2 Act Aditional 2-Neaprobat/PDF - Semnat/Documente Anexe.zip","Deschide sursa")</x:f>
        <x:v>HYPERLINK is not implemented. linkLocation=file:///Z:/00. Proiecte 2025/AFIR FotoVoltaic 1/16.2 Act Aditional 2-Neaprobat/PDF - Semnat/Documente Anexe.zip, friendlyName=Deschide sursa</x:v>
      </x:c>
    </x:row>
    <x:row r="804" ht="36" customHeight="1">
      <x:c r="A804" s="8" t="str">
        <x:v>F0800</x:v>
      </x:c>
      <x:c r="B804" s="8" t="str">
        <x:v>Fisa Tehnica- EN_STP430-450S-H48-Nkh+.pdf</x:v>
      </x:c>
      <x:c r="C804" s="8" t="str">
        <x:v>16.2 Act Aditional 2-Neaprobat</x:v>
      </x:c>
      <x:c r="D804" s="8" t="str">
        <x:v>Proiect fotovoltaic</x:v>
      </x:c>
      <x:c r="E804" s="8" t="str">
        <x:v>.pdf</x:v>
      </x:c>
      <x:c r="F804" s="8" t="n">
        <x:v>490526</x:v>
      </x:c>
      <x:c r="G804" s="8" t="str">
        <x:v>Text extras</x:v>
      </x:c>
      <x:c r="H804" s="8" t="str">
        <x:v>Document local; transmiterea individuală neconfirmată</x:v>
      </x:c>
      <x:c r="I804" s="8" t="str"/>
      <x:c r="J804" s="8" t="e">
        <x:f>HYPERLINK("file:///Z:/00. Proiecte 2025/AFIR FotoVoltaic 1/16.2 Act Aditional 2-Neaprobat/PDF - Semnat/Fisa Tehnica- EN_STP430-450S-H48-Nkh+.pdf","Deschide sursa")</x:f>
        <x:v>HYPERLINK is not implemented. linkLocation=file:///Z:/00. Proiecte 2025/AFIR FotoVoltaic 1/16.2 Act Aditional 2-Neaprobat/PDF - Semnat/Fisa Tehnica- EN_STP430-450S-H48-Nkh+.pdf, friendlyName=Deschide sursa</x:v>
      </x:c>
    </x:row>
    <x:row r="805" ht="36" customHeight="1">
      <x:c r="A805" s="8" t="str">
        <x:v>F0801</x:v>
      </x:c>
      <x:c r="B805" s="8" t="str">
        <x:v>Fisa Tehnica- EN_STP430-450S-H48-Nth+.pdf</x:v>
      </x:c>
      <x:c r="C805" s="8" t="str">
        <x:v>16.2 Act Aditional 2-Neaprobat</x:v>
      </x:c>
      <x:c r="D805" s="8" t="str">
        <x:v>Proiect fotovoltaic</x:v>
      </x:c>
      <x:c r="E805" s="8" t="str">
        <x:v>.pdf</x:v>
      </x:c>
      <x:c r="F805" s="8" t="n">
        <x:v>409856</x:v>
      </x:c>
      <x:c r="G805" s="8" t="str">
        <x:v>Text extras</x:v>
      </x:c>
      <x:c r="H805" s="8" t="str">
        <x:v>Document local; transmiterea individuală neconfirmată</x:v>
      </x:c>
      <x:c r="I805" s="8" t="str"/>
      <x:c r="J805" s="8" t="e">
        <x:f>HYPERLINK("file:///Z:/00. Proiecte 2025/AFIR FotoVoltaic 1/16.2 Act Aditional 2-Neaprobat/PDF - Semnat/Fisa Tehnica- EN_STP430-450S-H48-Nth+.pdf","Deschide sursa")</x:f>
        <x:v>HYPERLINK is not implemented. linkLocation=file:///Z:/00. Proiecte 2025/AFIR FotoVoltaic 1/16.2 Act Aditional 2-Neaprobat/PDF - Semnat/Fisa Tehnica- EN_STP430-450S-H48-Nth+.pdf, friendlyName=Deschide sursa</x:v>
      </x:c>
    </x:row>
    <x:row r="806" ht="36" customHeight="1">
      <x:c r="A806" s="8" t="str">
        <x:v>F0802</x:v>
      </x:c>
      <x:c r="B806" s="8" t="str">
        <x:v>Formular_C3_1_completat-de solicitare_.pdf</x:v>
      </x:c>
      <x:c r="C806" s="8" t="str">
        <x:v>16.2 Act Aditional 2-Neaprobat</x:v>
      </x:c>
      <x:c r="D806" s="8" t="str">
        <x:v>Proiect fotovoltaic</x:v>
      </x:c>
      <x:c r="E806" s="8" t="str">
        <x:v>.pdf</x:v>
      </x:c>
      <x:c r="F806" s="8" t="n">
        <x:v>317597</x:v>
      </x:c>
      <x:c r="G806" s="8" t="str">
        <x:v>Text extras</x:v>
      </x:c>
      <x:c r="H806" s="8" t="str">
        <x:v>Document local; transmiterea individuală neconfirmată</x:v>
      </x:c>
      <x:c r="I806" s="8" t="str"/>
      <x:c r="J806" s="8" t="e">
        <x:f>HYPERLINK("file:///Z:/00. Proiecte 2025/AFIR FotoVoltaic 1/16.2 Act Aditional 2-Neaprobat/PDF - Semnat/Formular_C3_1_completat-de solicitare_.pdf","Deschide sursa")</x:f>
        <x:v>HYPERLINK is not implemented. linkLocation=file:///Z:/00. Proiecte 2025/AFIR FotoVoltaic 1/16.2 Act Aditional 2-Neaprobat/PDF - Semnat/Formular_C3_1_completat-de solicitare_.pdf, friendlyName=Deschide sursa</x:v>
      </x:c>
    </x:row>
    <x:row r="807" ht="36" customHeight="1">
      <x:c r="A807" s="8" t="str">
        <x:v>F0803</x:v>
      </x:c>
      <x:c r="B807" s="8" t="str">
        <x:v>Act_Aditional_Nr1_unificat_Cesiro_Suntree.docx</x:v>
      </x:c>
      <x:c r="C807" s="8" t="str">
        <x:v>16.2 Act Aditional 2-Neaprobat</x:v>
      </x:c>
      <x:c r="D807" s="8" t="str">
        <x:v>Proiect fotovoltaic</x:v>
      </x:c>
      <x:c r="E807" s="8" t="str">
        <x:v>.docx</x:v>
      </x:c>
      <x:c r="F807" s="8" t="n">
        <x:v>17227</x:v>
      </x:c>
      <x:c r="G807" s="8" t="str">
        <x:v>Text extras</x:v>
      </x:c>
      <x:c r="H807" s="8" t="str">
        <x:v>Versiune de lucru / arhivă</x:v>
      </x:c>
      <x:c r="I807" s="8" t="str"/>
      <x:c r="J807" s="8" t="e">
        <x:f>HYPERLINK("file:///Z:/00. Proiecte 2025/AFIR FotoVoltaic 1/16.2 Act Aditional 2-Neaprobat/Clarificare nr.1/editabile/Act_Aditional_Nr1_unificat_Cesiro_Suntree.docx","Deschide sursa")</x:f>
        <x:v>HYPERLINK is not implemented. linkLocation=file:///Z:/00. Proiecte 2025/AFIR FotoVoltaic 1/16.2 Act Aditional 2-Neaprobat/Clarificare nr.1/editabile/Act_Aditional_Nr1_unificat_Cesiro_Suntree.docx, friendlyName=Deschide sursa</x:v>
      </x:c>
    </x:row>
    <x:row r="808" ht="36" customHeight="1">
      <x:c r="A808" s="8" t="str">
        <x:v>F0804</x:v>
      </x:c>
      <x:c r="B808" s="8" t="str">
        <x:v>Memoriu_justificativ_completare_Nkh (1).docx</x:v>
      </x:c>
      <x:c r="C808" s="8" t="str">
        <x:v>16.2 Act Aditional 2-Neaprobat</x:v>
      </x:c>
      <x:c r="D808" s="8" t="str">
        <x:v>Proiect fotovoltaic</x:v>
      </x:c>
      <x:c r="E808" s="8" t="str">
        <x:v>.docx</x:v>
      </x:c>
      <x:c r="F808" s="8" t="n">
        <x:v>16702</x:v>
      </x:c>
      <x:c r="G808" s="8" t="str">
        <x:v>Text extras</x:v>
      </x:c>
      <x:c r="H808" s="8" t="str">
        <x:v>Versiune de lucru / arhivă</x:v>
      </x:c>
      <x:c r="I808" s="8" t="str"/>
      <x:c r="J808" s="8" t="e">
        <x:f>HYPERLINK("file:///Z:/00. Proiecte 2025/AFIR FotoVoltaic 1/16.2 Act Aditional 2-Neaprobat/Clarificare nr.1/editabile/Memoriu_justificativ_completare_Nkh (1).docx","Deschide sursa")</x:f>
        <x:v>HYPERLINK is not implemented. linkLocation=file:///Z:/00. Proiecte 2025/AFIR FotoVoltaic 1/16.2 Act Aditional 2-Neaprobat/Clarificare nr.1/editabile/Memoriu_justificativ_completare_Nkh (1).docx, friendlyName=Deschide sursa</x:v>
      </x:c>
    </x:row>
    <x:row r="809" ht="36" customHeight="1">
      <x:c r="A809" s="8" t="str">
        <x:v>F0805</x:v>
      </x:c>
      <x:c r="B809" s="8" t="str">
        <x:v>Act_Aditional_Nr1_unificat_Cesiro_Suntree.pdf</x:v>
      </x:c>
      <x:c r="C809" s="8" t="str">
        <x:v>16.2 Act Aditional 2-Neaprobat</x:v>
      </x:c>
      <x:c r="D809" s="8" t="str">
        <x:v>Proiect fotovoltaic</x:v>
      </x:c>
      <x:c r="E809" s="8" t="str">
        <x:v>.pdf</x:v>
      </x:c>
      <x:c r="F809" s="8" t="n">
        <x:v>349712</x:v>
      </x:c>
      <x:c r="G809" s="8" t="str">
        <x:v>Text extras</x:v>
      </x:c>
      <x:c r="H809" s="8" t="str">
        <x:v>Document local; transmiterea individuală neconfirmată</x:v>
      </x:c>
      <x:c r="I809" s="8" t="str"/>
      <x:c r="J809" s="8" t="e">
        <x:f>HYPERLINK("file:///Z:/00. Proiecte 2025/AFIR FotoVoltaic 1/16.2 Act Aditional 2-Neaprobat/Clarificare nr.1/pdf/Act_Aditional_Nr1_unificat_Cesiro_Suntree.pdf","Deschide sursa")</x:f>
        <x:v>HYPERLINK is not implemented. linkLocation=file:///Z:/00. Proiecte 2025/AFIR FotoVoltaic 1/16.2 Act Aditional 2-Neaprobat/Clarificare nr.1/pdf/Act_Aditional_Nr1_unificat_Cesiro_Suntree.pdf, friendlyName=Deschide sursa</x:v>
      </x:c>
    </x:row>
    <x:row r="810" ht="36" customHeight="1">
      <x:c r="A810" s="8" t="str">
        <x:v>F0806</x:v>
      </x:c>
      <x:c r="B810" s="8" t="str">
        <x:v>Contract de Prestari servicii suntree-cesiro production.pdf</x:v>
      </x:c>
      <x:c r="C810" s="8" t="str">
        <x:v>16.2 Act Aditional 2-Neaprobat</x:v>
      </x:c>
      <x:c r="D810" s="8" t="str">
        <x:v>Proiect fotovoltaic</x:v>
      </x:c>
      <x:c r="E810" s="8" t="str">
        <x:v>.pdf</x:v>
      </x:c>
      <x:c r="F810" s="8" t="n">
        <x:v>20986793</x:v>
      </x:c>
      <x:c r="G810" s="8" t="str">
        <x:v>Text extras</x:v>
      </x:c>
      <x:c r="H810" s="8" t="str">
        <x:v>Document local; transmiterea individuală neconfirmată</x:v>
      </x:c>
      <x:c r="I810" s="8" t="str"/>
      <x:c r="J810" s="8" t="e">
        <x:f>HYPERLINK("file:///Z:/00. Proiecte 2025/AFIR FotoVoltaic 1/16.2 Act Aditional 2-Neaprobat/Clarificare nr.1/pdf/Contract de Prestari servicii suntree-cesiro production.pdf","Deschide sursa")</x:f>
        <x:v>HYPERLINK is not implemented. linkLocation=file:///Z:/00. Proiecte 2025/AFIR FotoVoltaic 1/16.2 Act Aditional 2-Neaprobat/Clarificare nr.1/pdf/Contract de Prestari servicii suntree-cesiro production.pdf, friendlyName=Deschide sursa</x:v>
      </x:c>
    </x:row>
    <x:row r="811" ht="36" customHeight="1">
      <x:c r="A811" s="8" t="str">
        <x:v>F0807</x:v>
      </x:c>
      <x:c r="B811" s="8" t="str">
        <x:v>Memoriu Justificativ.pdf</x:v>
      </x:c>
      <x:c r="C811" s="8" t="str">
        <x:v>16.2 Act Aditional 2-Neaprobat</x:v>
      </x:c>
      <x:c r="D811" s="8" t="str">
        <x:v>Proiect fotovoltaic</x:v>
      </x:c>
      <x:c r="E811" s="8" t="str">
        <x:v>.pdf</x:v>
      </x:c>
      <x:c r="F811" s="8" t="n">
        <x:v>5459917</x:v>
      </x:c>
      <x:c r="G811" s="8" t="str">
        <x:v>Scan / text insuficient</x:v>
      </x:c>
      <x:c r="H811" s="8" t="str">
        <x:v>Document local; transmiterea individuală neconfirmată</x:v>
      </x:c>
      <x:c r="I811" s="8" t="str"/>
      <x:c r="J811" s="8" t="e">
        <x:f>HYPERLINK("file:///Z:/00. Proiecte 2025/AFIR FotoVoltaic 1/16.2 Act Aditional 2-Neaprobat/Clarificare nr.1/pdf/Memoriu Justificativ.pdf","Deschide sursa")</x:f>
        <x:v>HYPERLINK is not implemented. linkLocation=file:///Z:/00. Proiecte 2025/AFIR FotoVoltaic 1/16.2 Act Aditional 2-Neaprobat/Clarificare nr.1/pdf/Memoriu Justificativ.pdf, friendlyName=Deschide sursa</x:v>
      </x:c>
    </x:row>
    <x:row r="812" ht="36" customHeight="1">
      <x:c r="A812" s="8" t="str">
        <x:v>F0808</x:v>
      </x:c>
      <x:c r="B812" s="8" t="str">
        <x:v>Act_Aditional_Nr1_unificat_Cesiro_Suntree_s.pdf</x:v>
      </x:c>
      <x:c r="C812" s="8" t="str">
        <x:v>16.2 Act Aditional 2-Neaprobat</x:v>
      </x:c>
      <x:c r="D812" s="8" t="str">
        <x:v>Proiect fotovoltaic</x:v>
      </x:c>
      <x:c r="E812" s="8" t="str">
        <x:v>.pdf</x:v>
      </x:c>
      <x:c r="F812" s="8" t="n">
        <x:v>513801</x:v>
      </x:c>
      <x:c r="G812" s="8" t="str">
        <x:v>Text extras</x:v>
      </x:c>
      <x:c r="H812" s="8" t="str">
        <x:v>Document local; transmiterea individuală neconfirmată</x:v>
      </x:c>
      <x:c r="I812" s="8" t="str"/>
      <x:c r="J812" s="8" t="e">
        <x:f>HYPERLINK("file:///Z:/00. Proiecte 2025/AFIR FotoVoltaic 1/16.2 Act Aditional 2-Neaprobat/Clarificare nr.1/semnat/Act_Aditional_Nr1_unificat_Cesiro_Suntree_s.pdf","Deschide sursa")</x:f>
        <x:v>HYPERLINK is not implemented. linkLocation=file:///Z:/00. Proiecte 2025/AFIR FotoVoltaic 1/16.2 Act Aditional 2-Neaprobat/Clarificare nr.1/semnat/Act_Aditional_Nr1_unificat_Cesiro_Suntree_s.pdf, friendlyName=Deschide sursa</x:v>
      </x:c>
    </x:row>
    <x:row r="813" ht="36" customHeight="1">
      <x:c r="A813" s="8" t="str">
        <x:v>F0809</x:v>
      </x:c>
      <x:c r="B813" s="8" t="str">
        <x:v>Contract de Prestari servicii suntree-cesiro production_s.pdf</x:v>
      </x:c>
      <x:c r="C813" s="8" t="str">
        <x:v>16.2 Act Aditional 2-Neaprobat</x:v>
      </x:c>
      <x:c r="D813" s="8" t="str">
        <x:v>Proiect fotovoltaic</x:v>
      </x:c>
      <x:c r="E813" s="8" t="str">
        <x:v>.pdf</x:v>
      </x:c>
      <x:c r="F813" s="8" t="n">
        <x:v>21161276</x:v>
      </x:c>
      <x:c r="G813" s="8" t="str">
        <x:v>Text extras</x:v>
      </x:c>
      <x:c r="H813" s="8" t="str">
        <x:v>Document local; transmiterea individuală neconfirmată</x:v>
      </x:c>
      <x:c r="I813" s="8" t="str"/>
      <x:c r="J813" s="8" t="e">
        <x:f>HYPERLINK("file:///Z:/00. Proiecte 2025/AFIR FotoVoltaic 1/16.2 Act Aditional 2-Neaprobat/Clarificare nr.1/semnat/Contract de Prestari servicii suntree-cesiro production_s.pdf","Deschide sursa")</x:f>
        <x:v>HYPERLINK is not implemented. linkLocation=file:///Z:/00. Proiecte 2025/AFIR FotoVoltaic 1/16.2 Act Aditional 2-Neaprobat/Clarificare nr.1/semnat/Contract de Prestari servicii suntree-cesiro production_s.pdf, friendlyName=Deschide sursa</x:v>
      </x:c>
    </x:row>
    <x:row r="814" ht="36" customHeight="1">
      <x:c r="A814" s="8" t="str">
        <x:v>F0810</x:v>
      </x:c>
      <x:c r="B814" s="8" t="str">
        <x:v>Memoriu Justificativ_s.pdf</x:v>
      </x:c>
      <x:c r="C814" s="8" t="str">
        <x:v>16.2 Act Aditional 2-Neaprobat</x:v>
      </x:c>
      <x:c r="D814" s="8" t="str">
        <x:v>Proiect fotovoltaic</x:v>
      </x:c>
      <x:c r="E814" s="8" t="str">
        <x:v>.pdf</x:v>
      </x:c>
      <x:c r="F814" s="8" t="n">
        <x:v>5633720</x:v>
      </x:c>
      <x:c r="G814" s="8" t="str">
        <x:v>Scan / text insuficient</x:v>
      </x:c>
      <x:c r="H814" s="8" t="str">
        <x:v>Document local; transmiterea individuală neconfirmată</x:v>
      </x:c>
      <x:c r="I814" s="8" t="str"/>
      <x:c r="J814" s="8" t="e">
        <x:f>HYPERLINK("file:///Z:/00. Proiecte 2025/AFIR FotoVoltaic 1/16.2 Act Aditional 2-Neaprobat/Clarificare nr.1/semnat/Memoriu Justificativ_s.pdf","Deschide sursa")</x:f>
        <x:v>HYPERLINK is not implemented. linkLocation=file:///Z:/00. Proiecte 2025/AFIR FotoVoltaic 1/16.2 Act Aditional 2-Neaprobat/Clarificare nr.1/semnat/Memoriu Justificativ_s.pdf, friendlyName=Deschide sursa</x:v>
      </x:c>
    </x:row>
    <x:row r="815" ht="36" customHeight="1">
      <x:c r="A815" s="8" t="str">
        <x:v>F0811</x:v>
      </x:c>
      <x:c r="B815" s="8" t="str">
        <x:v>Act aditional durata contract C3.3.4 (1) (1).pdf</x:v>
      </x:c>
      <x:c r="C815" s="8" t="str">
        <x:v>16.3 Act aditional 2 - Prelungire termen</x:v>
      </x:c>
      <x:c r="D815" s="8" t="str">
        <x:v>Proiect fotovoltaic</x:v>
      </x:c>
      <x:c r="E815" s="8" t="str">
        <x:v>.pdf</x:v>
      </x:c>
      <x:c r="F815" s="8" t="n">
        <x:v>650443</x:v>
      </x:c>
      <x:c r="G815" s="8" t="str">
        <x:v>Text extras</x:v>
      </x:c>
      <x:c r="H815" s="8" t="str">
        <x:v>Document local; transmiterea individuală neconfirmată</x:v>
      </x:c>
      <x:c r="I815" s="8" t="str"/>
      <x:c r="J815" s="8" t="e">
        <x:f>HYPERLINK("file:///Z:/00. Proiecte 2025/AFIR FotoVoltaic 1/16.3 Act aditional 2 - Prelungire termen/Act Aditional nr.2/Act aditional durata contract C3.3.4 (1) (1).pdf","Deschide sursa")</x:f>
        <x:v>HYPERLINK is not implemented. linkLocation=file:///Z:/00. Proiecte 2025/AFIR FotoVoltaic 1/16.3 Act aditional 2 - Prelungire termen/Act Aditional nr.2/Act aditional durata contract C3.3.4 (1) (1).pdf, friendlyName=Deschide sursa</x:v>
      </x:c>
    </x:row>
    <x:row r="816" ht="36" customHeight="1">
      <x:c r="A816" s="8" t="str">
        <x:v>F0812</x:v>
      </x:c>
      <x:c r="B816" s="8" t="str">
        <x:v>1_Formular_C3_1_Nota_explicativa_revizuita_31_05_2027_EXECUTIE_31_08_2027_s.pdf</x:v>
      </x:c>
      <x:c r="C816" s="8" t="str">
        <x:v>16.3 Act aditional 2 - Prelungire termen</x:v>
      </x:c>
      <x:c r="D816" s="8" t="str">
        <x:v>Proiect fotovoltaic</x:v>
      </x:c>
      <x:c r="E816" s="8" t="str">
        <x:v>.pdf</x:v>
      </x:c>
      <x:c r="F816" s="8" t="n">
        <x:v>366767</x:v>
      </x:c>
      <x:c r="G816" s="8" t="str">
        <x:v>Text extras</x:v>
      </x:c>
      <x:c r="H816" s="8" t="str">
        <x:v>Document local; transmiterea individuală neconfirmată</x:v>
      </x:c>
      <x:c r="I816" s="8" t="str"/>
      <x:c r="J816" s="8" t="e">
        <x:f>HYPERLINK("file:///Z:/00. Proiecte 2025/AFIR FotoVoltaic 1/16.3 Act aditional 2 - Prelungire termen/Clarificare nr1/1_Formular_C3_1_Nota_explicativa_revizuita_31_05_2027_EXECUTIE_31_08_2027_s.pdf","Deschide sursa")</x:f>
        <x:v>HYPERLINK is not implemented. linkLocation=file:///Z:/00. Proiecte 2025/AFIR FotoVoltaic 1/16.3 Act aditional 2 - Prelungire termen/Clarificare nr1/1_Formular_C3_1_Nota_explicativa_revizuita_31_05_2027_EXECUTIE_31_08_2027_s.pdf, friendlyName=Deschide sursa</x:v>
      </x:c>
    </x:row>
    <x:row r="817" ht="36" customHeight="1">
      <x:c r="A817" s="8" t="str">
        <x:v>F0813</x:v>
      </x:c>
      <x:c r="B817" s="8" t="str">
        <x:v>2_Memoriu_justificativ_prelungire_ss.pdf</x:v>
      </x:c>
      <x:c r="C817" s="8" t="str">
        <x:v>16.3 Act aditional 2 - Prelungire termen</x:v>
      </x:c>
      <x:c r="D817" s="8" t="str">
        <x:v>Proiect fotovoltaic</x:v>
      </x:c>
      <x:c r="E817" s="8" t="str">
        <x:v>.pdf</x:v>
      </x:c>
      <x:c r="F817" s="8" t="n">
        <x:v>414483</x:v>
      </x:c>
      <x:c r="G817" s="8" t="str">
        <x:v>Text extras</x:v>
      </x:c>
      <x:c r="H817" s="8" t="str">
        <x:v>Document local; transmiterea individuală neconfirmată</x:v>
      </x:c>
      <x:c r="I817" s="8" t="str"/>
      <x:c r="J817" s="8" t="e">
        <x:f>HYPERLINK("file:///Z:/00. Proiecte 2025/AFIR FotoVoltaic 1/16.3 Act aditional 2 - Prelungire termen/Clarificare nr1/2_Memoriu_justificativ_prelungire_ss.pdf","Deschide sursa")</x:f>
        <x:v>HYPERLINK is not implemented. linkLocation=file:///Z:/00. Proiecte 2025/AFIR FotoVoltaic 1/16.3 Act aditional 2 - Prelungire termen/Clarificare nr1/2_Memoriu_justificativ_prelungire_ss.pdf, friendlyName=Deschide sursa</x:v>
      </x:c>
    </x:row>
    <x:row r="818" ht="36" customHeight="1">
      <x:c r="A818" s="8" t="str">
        <x:v>F0814</x:v>
      </x:c>
      <x:c r="B818" s="8" t="str">
        <x:v>3. Referat_proiectant_prelungire_CESIRO_s.pdf</x:v>
      </x:c>
      <x:c r="C818" s="8" t="str">
        <x:v>16.3 Act aditional 2 - Prelungire termen</x:v>
      </x:c>
      <x:c r="D818" s="8" t="str">
        <x:v>Proiect fotovoltaic</x:v>
      </x:c>
      <x:c r="E818" s="8" t="str">
        <x:v>.pdf</x:v>
      </x:c>
      <x:c r="F818" s="8" t="n">
        <x:v>6571167</x:v>
      </x:c>
      <x:c r="G818" s="8" t="str">
        <x:v>Scan / text insuficient</x:v>
      </x:c>
      <x:c r="H818" s="8" t="str">
        <x:v>Document local; transmiterea individuală neconfirmată</x:v>
      </x:c>
      <x:c r="I818" s="8" t="str"/>
      <x:c r="J818" s="8" t="e">
        <x:f>HYPERLINK("file:///Z:/00. Proiecte 2025/AFIR FotoVoltaic 1/16.3 Act aditional 2 - Prelungire termen/Clarificare nr1/3. Referat_proiectant_prelungire_CESIRO_s.pdf","Deschide sursa")</x:f>
        <x:v>HYPERLINK is not implemented. linkLocation=file:///Z:/00. Proiecte 2025/AFIR FotoVoltaic 1/16.3 Act aditional 2 - Prelungire termen/Clarificare nr1/3. Referat_proiectant_prelungire_CESIRO_s.pdf, friendlyName=Deschide sursa</x:v>
      </x:c>
    </x:row>
    <x:row r="819" ht="36" customHeight="1">
      <x:c r="A819" s="8" t="str">
        <x:v>F0815</x:v>
      </x:c>
      <x:c r="B819" s="8" t="str">
        <x:v>4. AP_0.0_grafic_de_esalonare_SEs__.pdf</x:v>
      </x:c>
      <x:c r="C819" s="8" t="str">
        <x:v>16.3 Act aditional 2 - Prelungire termen</x:v>
      </x:c>
      <x:c r="D819" s="8" t="str">
        <x:v>Proiect fotovoltaic</x:v>
      </x:c>
      <x:c r="E819" s="8" t="str">
        <x:v>.pdf</x:v>
      </x:c>
      <x:c r="F819" s="8" t="n">
        <x:v>711170</x:v>
      </x:c>
      <x:c r="G819" s="8" t="str">
        <x:v>Text extras</x:v>
      </x:c>
      <x:c r="H819" s="8" t="str">
        <x:v>Document local; transmiterea individuală neconfirmată</x:v>
      </x:c>
      <x:c r="I819" s="8" t="str"/>
      <x:c r="J819" s="8" t="e">
        <x:f>HYPERLINK("file:///Z:/00. Proiecte 2025/AFIR FotoVoltaic 1/16.3 Act aditional 2 - Prelungire termen/Clarificare nr1/4. AP_0.0_grafic_de_esalonare_SEs__.pdf","Deschide sursa")</x:f>
        <x:v>HYPERLINK is not implemented. linkLocation=file:///Z:/00. Proiecte 2025/AFIR FotoVoltaic 1/16.3 Act aditional 2 - Prelungire termen/Clarificare nr1/4. AP_0.0_grafic_de_esalonare_SEs__.pdf, friendlyName=Deschide sursa</x:v>
      </x:c>
    </x:row>
    <x:row r="820" ht="36" customHeight="1">
      <x:c r="A820" s="8" t="str">
        <x:v>F0816</x:v>
      </x:c>
      <x:c r="B820" s="8" t="str">
        <x:v>5_Declaratie_proprie_raspundere_ss_.pdf</x:v>
      </x:c>
      <x:c r="C820" s="8" t="str">
        <x:v>16.3 Act aditional 2 - Prelungire termen</x:v>
      </x:c>
      <x:c r="D820" s="8" t="str">
        <x:v>Proiect fotovoltaic</x:v>
      </x:c>
      <x:c r="E820" s="8" t="str">
        <x:v>.pdf</x:v>
      </x:c>
      <x:c r="F820" s="8" t="n">
        <x:v>314789</x:v>
      </x:c>
      <x:c r="G820" s="8" t="str">
        <x:v>Text extras</x:v>
      </x:c>
      <x:c r="H820" s="8" t="str">
        <x:v>Document local; transmiterea individuală neconfirmată</x:v>
      </x:c>
      <x:c r="I820" s="8" t="str"/>
      <x:c r="J820" s="8" t="e">
        <x:f>HYPERLINK("file:///Z:/00. Proiecte 2025/AFIR FotoVoltaic 1/16.3 Act aditional 2 - Prelungire termen/Clarificare nr1/5_Declaratie_proprie_raspundere_ss_.pdf","Deschide sursa")</x:f>
        <x:v>HYPERLINK is not implemented. linkLocation=file:///Z:/00. Proiecte 2025/AFIR FotoVoltaic 1/16.3 Act aditional 2 - Prelungire termen/Clarificare nr1/5_Declaratie_proprie_raspundere_ss_.pdf, friendlyName=Deschide sursa</x:v>
      </x:c>
    </x:row>
    <x:row r="821" ht="36" customHeight="1">
      <x:c r="A821" s="8" t="str">
        <x:v>F0817</x:v>
      </x:c>
      <x:c r="B821" s="8" t="str">
        <x:v>6. Grafic_implementare_fizica_financiara_CESIRO_31_05_2027_.pdf</x:v>
      </x:c>
      <x:c r="C821" s="8" t="str">
        <x:v>16.3 Act aditional 2 - Prelungire termen</x:v>
      </x:c>
      <x:c r="D821" s="8" t="str">
        <x:v>Proiect fotovoltaic</x:v>
      </x:c>
      <x:c r="E821" s="8" t="str">
        <x:v>.pdf</x:v>
      </x:c>
      <x:c r="F821" s="8" t="n">
        <x:v>303399</x:v>
      </x:c>
      <x:c r="G821" s="8" t="str">
        <x:v>Text extras</x:v>
      </x:c>
      <x:c r="H821" s="8" t="str">
        <x:v>Document local; transmiterea individuală neconfirmată</x:v>
      </x:c>
      <x:c r="I821" s="8" t="str"/>
      <x:c r="J821" s="8" t="e">
        <x:f>HYPERLINK("file:///Z:/00. Proiecte 2025/AFIR FotoVoltaic 1/16.3 Act aditional 2 - Prelungire termen/Clarificare nr1/6. Grafic_implementare_fizica_financiara_CESIRO_31_05_2027_.pdf","Deschide sursa")</x:f>
        <x:v>HYPERLINK is not implemented. linkLocation=file:///Z:/00. Proiecte 2025/AFIR FotoVoltaic 1/16.3 Act aditional 2 - Prelungire termen/Clarificare nr1/6. Grafic_implementare_fizica_financiara_CESIRO_31_05_2027_.pdf, friendlyName=Deschide sursa</x:v>
      </x:c>
    </x:row>
    <x:row r="822" ht="36" customHeight="1">
      <x:c r="A822" s="8" t="str">
        <x:v>F0818</x:v>
      </x:c>
      <x:c r="B822" s="8" t="str">
        <x:v>a0989908-f627-40d8-b6f0-f5dc56352e9e.pdf</x:v>
      </x:c>
      <x:c r="C822" s="8" t="str">
        <x:v>16.3 Act aditional 2 - Prelungire termen</x:v>
      </x:c>
      <x:c r="D822" s="8" t="str">
        <x:v>Proiect fotovoltaic</x:v>
      </x:c>
      <x:c r="E822" s="8" t="str">
        <x:v>.pdf</x:v>
      </x:c>
      <x:c r="F822" s="8" t="n">
        <x:v>395325</x:v>
      </x:c>
      <x:c r="G822" s="8" t="str">
        <x:v>Text extras</x:v>
      </x:c>
      <x:c r="H822" s="8" t="str">
        <x:v>Document local; transmiterea individuală neconfirmată</x:v>
      </x:c>
      <x:c r="I822" s="8" t="str"/>
      <x:c r="J822" s="8" t="e">
        <x:f>HYPERLINK("file:///Z:/00. Proiecte 2025/AFIR FotoVoltaic 1/16.3 Act aditional 2 - Prelungire termen/Clarificare nr1/a0989908-f627-40d8-b6f0-f5dc56352e9e.pdf","Deschide sursa")</x:f>
        <x:v>HYPERLINK is not implemented. linkLocation=file:///Z:/00. Proiecte 2025/AFIR FotoVoltaic 1/16.3 Act aditional 2 - Prelungire termen/Clarificare nr1/a0989908-f627-40d8-b6f0-f5dc56352e9e.pdf, friendlyName=Deschide sursa</x:v>
      </x:c>
    </x:row>
    <x:row r="823" ht="36" customHeight="1">
      <x:c r="A823" s="8" t="str">
        <x:v>F0819</x:v>
      </x:c>
      <x:c r="B823" s="8" t="str">
        <x:v>AP_0.0_grafic_de_esalonare_SEs.pdf</x:v>
      </x:c>
      <x:c r="C823" s="8" t="str">
        <x:v>16.3 Act aditional 2 - Prelungire termen</x:v>
      </x:c>
      <x:c r="D823" s="8" t="str">
        <x:v>Proiect fotovoltaic</x:v>
      </x:c>
      <x:c r="E823" s="8" t="str">
        <x:v>.pdf</x:v>
      </x:c>
      <x:c r="F823" s="8" t="n">
        <x:v>308641</x:v>
      </x:c>
      <x:c r="G823" s="8" t="str">
        <x:v>Text extras</x:v>
      </x:c>
      <x:c r="H823" s="8" t="str">
        <x:v>Document local; transmiterea individuală neconfirmată</x:v>
      </x:c>
      <x:c r="I823" s="8" t="str"/>
      <x:c r="J823" s="8" t="e">
        <x:f>HYPERLINK("file:///Z:/00. Proiecte 2025/AFIR FotoVoltaic 1/16.3 Act aditional 2 - Prelungire termen/Clarificare nr1/AP_0.0_grafic_de_esalonare_SEs.pdf","Deschide sursa")</x:f>
        <x:v>HYPERLINK is not implemented. linkLocation=file:///Z:/00. Proiecte 2025/AFIR FotoVoltaic 1/16.3 Act aditional 2 - Prelungire termen/Clarificare nr1/AP_0.0_grafic_de_esalonare_SEs.pdf, friendlyName=Deschide sursa</x:v>
      </x:c>
    </x:row>
    <x:row r="824" ht="36" customHeight="1">
      <x:c r="A824" s="8" t="str">
        <x:v>F0820</x:v>
      </x:c>
      <x:c r="B824" s="8" t="str">
        <x:v>Fisa de informatii suplimentare partea I Extern.pdf</x:v>
      </x:c>
      <x:c r="C824" s="8" t="str">
        <x:v>16.3 Act aditional 2 - Prelungire termen</x:v>
      </x:c>
      <x:c r="D824" s="8" t="str">
        <x:v>Proiect fotovoltaic</x:v>
      </x:c>
      <x:c r="E824" s="8" t="str">
        <x:v>.pdf</x:v>
      </x:c>
      <x:c r="F824" s="8" t="n">
        <x:v>395325</x:v>
      </x:c>
      <x:c r="G824" s="8" t="str">
        <x:v>Text extras</x:v>
      </x:c>
      <x:c r="H824" s="8" t="str">
        <x:v>Document local; transmiterea individuală neconfirmată</x:v>
      </x:c>
      <x:c r="I824" s="8" t="str">
        <x:v>F0818</x:v>
      </x:c>
      <x:c r="J824" s="8" t="e">
        <x:f>HYPERLINK("file:///Z:/00. Proiecte 2025/AFIR FotoVoltaic 1/16.3 Act aditional 2 - Prelungire termen/Clarificare nr1/Fisa de informatii suplimentare partea I Extern.pdf","Deschide sursa")</x:f>
        <x:v>HYPERLINK is not implemented. linkLocation=file:///Z:/00. Proiecte 2025/AFIR FotoVoltaic 1/16.3 Act aditional 2 - Prelungire termen/Clarificare nr1/Fisa de informatii suplimentare partea I Extern.pdf, friendlyName=Deschide sursa</x:v>
      </x:c>
    </x:row>
    <x:row r="825" ht="36" customHeight="1">
      <x:c r="A825" s="8" t="str">
        <x:v>F0821</x:v>
      </x:c>
      <x:c r="B825" s="8" t="str">
        <x:v>Raspuns Clarificare nr1.zip</x:v>
      </x:c>
      <x:c r="C825" s="8" t="str">
        <x:v>16.3 Act aditional 2 - Prelungire termen</x:v>
      </x:c>
      <x:c r="D825" s="8" t="str">
        <x:v>Proiect fotovoltaic</x:v>
      </x:c>
      <x:c r="E825" s="8" t="str">
        <x:v>.zip</x:v>
      </x:c>
      <x:c r="F825" s="8" t="n">
        <x:v>6923970</x:v>
      </x:c>
      <x:c r="G825" s="8" t="str">
        <x:v>Inventar ZIP</x:v>
      </x:c>
      <x:c r="H825" s="8" t="str">
        <x:v>Document local; transmiterea individuală neconfirmată</x:v>
      </x:c>
      <x:c r="I825" s="8" t="str"/>
      <x:c r="J825" s="8" t="e">
        <x:f>HYPERLINK("file:///Z:/00. Proiecte 2025/AFIR FotoVoltaic 1/16.3 Act aditional 2 - Prelungire termen/Clarificare nr1/Raspuns Clarificare nr1.zip","Deschide sursa")</x:f>
        <x:v>HYPERLINK is not implemented. linkLocation=file:///Z:/00. Proiecte 2025/AFIR FotoVoltaic 1/16.3 Act aditional 2 - Prelungire termen/Clarificare nr1/Raspuns Clarificare nr1.zip, friendlyName=Deschide sursa</x:v>
      </x:c>
    </x:row>
    <x:row r="826" ht="36" customHeight="1">
      <x:c r="A826" s="8" t="str">
        <x:v>F0822</x:v>
      </x:c>
      <x:c r="B826" s="8" t="str">
        <x:v>3_Grafic_implementare_revizuit.docx</x:v>
      </x:c>
      <x:c r="C826" s="8" t="str">
        <x:v>16.3 Act aditional 2 - Prelungire termen</x:v>
      </x:c>
      <x:c r="D826" s="8" t="str">
        <x:v>Proiect fotovoltaic</x:v>
      </x:c>
      <x:c r="E826" s="8" t="str">
        <x:v>.docx</x:v>
      </x:c>
      <x:c r="F826" s="8" t="n">
        <x:v>21755</x:v>
      </x:c>
      <x:c r="G826" s="8" t="str">
        <x:v>Text extras</x:v>
      </x:c>
      <x:c r="H826" s="8" t="str">
        <x:v>Versiune de lucru / arhivă</x:v>
      </x:c>
      <x:c r="I826" s="8" t="str"/>
      <x:c r="J826" s="8" t="e">
        <x:f>HYPERLINK("file:///Z:/00. Proiecte 2025/AFIR FotoVoltaic 1/16.3 Act aditional 2 - Prelungire termen/draft/3_Grafic_implementare_revizuit.docx","Deschide sursa")</x:f>
        <x:v>HYPERLINK is not implemented. linkLocation=file:///Z:/00. Proiecte 2025/AFIR FotoVoltaic 1/16.3 Act aditional 2 - Prelungire termen/draft/3_Grafic_implementare_revizuit.docx, friendlyName=Deschide sursa</x:v>
      </x:c>
    </x:row>
    <x:row r="827" ht="36" customHeight="1">
      <x:c r="A827" s="8" t="str">
        <x:v>F0823</x:v>
      </x:c>
      <x:c r="B827" s="8" t="str">
        <x:v>4_Nota_stadiu_fizic_financiar.docx</x:v>
      </x:c>
      <x:c r="C827" s="8" t="str">
        <x:v>16.3 Act aditional 2 - Prelungire termen</x:v>
      </x:c>
      <x:c r="D827" s="8" t="str">
        <x:v>Proiect fotovoltaic</x:v>
      </x:c>
      <x:c r="E827" s="8" t="str">
        <x:v>.docx</x:v>
      </x:c>
      <x:c r="F827" s="8" t="n">
        <x:v>20448</x:v>
      </x:c>
      <x:c r="G827" s="8" t="str">
        <x:v>Text extras</x:v>
      </x:c>
      <x:c r="H827" s="8" t="str">
        <x:v>Versiune de lucru / arhivă</x:v>
      </x:c>
      <x:c r="I827" s="8" t="str"/>
      <x:c r="J827" s="8" t="e">
        <x:f>HYPERLINK("file:///Z:/00. Proiecte 2025/AFIR FotoVoltaic 1/16.3 Act aditional 2 - Prelungire termen/draft/4_Nota_stadiu_fizic_financiar.docx","Deschide sursa")</x:f>
        <x:v>HYPERLINK is not implemented. linkLocation=file:///Z:/00. Proiecte 2025/AFIR FotoVoltaic 1/16.3 Act aditional 2 - Prelungire termen/draft/4_Nota_stadiu_fizic_financiar.docx, friendlyName=Deschide sursa</x:v>
      </x:c>
    </x:row>
    <x:row r="828" ht="36" customHeight="1">
      <x:c r="A828" s="8" t="str">
        <x:v>F0824</x:v>
      </x:c>
      <x:c r="B828" s="8" t="str">
        <x:v>1. Formular_C3_1_prelungire_CESIRO_.pdf</x:v>
      </x:c>
      <x:c r="C828" s="8" t="str">
        <x:v>16.3 Act aditional 2 - Prelungire termen</x:v>
      </x:c>
      <x:c r="D828" s="8" t="str">
        <x:v>Proiect fotovoltaic</x:v>
      </x:c>
      <x:c r="E828" s="8" t="str">
        <x:v>.pdf</x:v>
      </x:c>
      <x:c r="F828" s="8" t="n">
        <x:v>363726</x:v>
      </x:c>
      <x:c r="G828" s="8" t="str">
        <x:v>Text extras</x:v>
      </x:c>
      <x:c r="H828" s="8" t="str">
        <x:v>Depus conform denumirii dosarului; recipisă neidentificată</x:v>
      </x:c>
      <x:c r="I828" s="8" t="str"/>
      <x:c r="J828" s="8" t="e">
        <x:f>HYPERLINK("file:///Z:/00. Proiecte 2025/AFIR FotoVoltaic 1/16.3 Act aditional 2 - Prelungire termen/PDF_Semnat si Depus/1. Formular_C3_1_prelungire_CESIRO_.pdf","Deschide sursa")</x:f>
        <x:v>HYPERLINK is not implemented. linkLocation=file:///Z:/00. Proiecte 2025/AFIR FotoVoltaic 1/16.3 Act aditional 2 - Prelungire termen/PDF_Semnat si Depus/1. Formular_C3_1_prelungire_CESIRO_.pdf, friendlyName=Deschide sursa</x:v>
      </x:c>
    </x:row>
    <x:row r="829" ht="36" customHeight="1">
      <x:c r="A829" s="8" t="str">
        <x:v>F0825</x:v>
      </x:c>
      <x:c r="B829" s="8" t="str">
        <x:v>2_Memoriu_justificativ_prelungire_S_.pdf</x:v>
      </x:c>
      <x:c r="C829" s="8" t="str">
        <x:v>16.3 Act aditional 2 - Prelungire termen</x:v>
      </x:c>
      <x:c r="D829" s="8" t="str">
        <x:v>Proiect fotovoltaic</x:v>
      </x:c>
      <x:c r="E829" s="8" t="str">
        <x:v>.pdf</x:v>
      </x:c>
      <x:c r="F829" s="8" t="n">
        <x:v>5536900</x:v>
      </x:c>
      <x:c r="G829" s="8" t="str">
        <x:v>Text extras</x:v>
      </x:c>
      <x:c r="H829" s="8" t="str">
        <x:v>Depus conform denumirii dosarului; recipisă neidentificată</x:v>
      </x:c>
      <x:c r="I829" s="8" t="str"/>
      <x:c r="J829" s="8" t="e">
        <x:f>HYPERLINK("file:///Z:/00. Proiecte 2025/AFIR FotoVoltaic 1/16.3 Act aditional 2 - Prelungire termen/PDF_Semnat si Depus/2_Memoriu_justificativ_prelungire_S_.pdf","Deschide sursa")</x:f>
        <x:v>HYPERLINK is not implemented. linkLocation=file:///Z:/00. Proiecte 2025/AFIR FotoVoltaic 1/16.3 Act aditional 2 - Prelungire termen/PDF_Semnat si Depus/2_Memoriu_justificativ_prelungire_S_.pdf, friendlyName=Deschide sursa</x:v>
      </x:c>
    </x:row>
    <x:row r="830" ht="36" customHeight="1">
      <x:c r="A830" s="8" t="str">
        <x:v>F0826</x:v>
      </x:c>
      <x:c r="B830" s="8" t="str">
        <x:v>3. Referat_proiectant_prelungire_CESIRO (1).pdf</x:v>
      </x:c>
      <x:c r="C830" s="8" t="str">
        <x:v>16.3 Act aditional 2 - Prelungire termen</x:v>
      </x:c>
      <x:c r="D830" s="8" t="str">
        <x:v>Proiect fotovoltaic</x:v>
      </x:c>
      <x:c r="E830" s="8" t="str">
        <x:v>.pdf</x:v>
      </x:c>
      <x:c r="F830" s="8" t="n">
        <x:v>6095235</x:v>
      </x:c>
      <x:c r="G830" s="8" t="str">
        <x:v>Scan / text insuficient</x:v>
      </x:c>
      <x:c r="H830" s="8" t="str">
        <x:v>Depus conform denumirii dosarului; recipisă neidentificată</x:v>
      </x:c>
      <x:c r="I830" s="8" t="str"/>
      <x:c r="J830" s="8" t="e">
        <x:f>HYPERLINK("file:///Z:/00. Proiecte 2025/AFIR FotoVoltaic 1/16.3 Act aditional 2 - Prelungire termen/PDF_Semnat si Depus/3. Referat_proiectant_prelungire_CESIRO (1).pdf","Deschide sursa")</x:f>
        <x:v>HYPERLINK is not implemented. linkLocation=file:///Z:/00. Proiecte 2025/AFIR FotoVoltaic 1/16.3 Act aditional 2 - Prelungire termen/PDF_Semnat si Depus/3. Referat_proiectant_prelungire_CESIRO (1).pdf, friendlyName=Deschide sursa</x:v>
      </x:c>
    </x:row>
    <x:row r="831" ht="36" customHeight="1">
      <x:c r="A831" s="8" t="str">
        <x:v>F0827</x:v>
      </x:c>
      <x:c r="B831" s="8" t="str">
        <x:v>5_Declaratie_proprie_raspundere_s.pdf</x:v>
      </x:c>
      <x:c r="C831" s="8" t="str">
        <x:v>16.3 Act aditional 2 - Prelungire termen</x:v>
      </x:c>
      <x:c r="D831" s="8" t="str">
        <x:v>Proiect fotovoltaic</x:v>
      </x:c>
      <x:c r="E831" s="8" t="str">
        <x:v>.pdf</x:v>
      </x:c>
      <x:c r="F831" s="8" t="n">
        <x:v>2231616</x:v>
      </x:c>
      <x:c r="G831" s="8" t="str">
        <x:v>Scan / text insuficient</x:v>
      </x:c>
      <x:c r="H831" s="8" t="str">
        <x:v>Depus conform denumirii dosarului; recipisă neidentificată</x:v>
      </x:c>
      <x:c r="I831" s="8" t="str"/>
      <x:c r="J831" s="8" t="e">
        <x:f>HYPERLINK("file:///Z:/00. Proiecte 2025/AFIR FotoVoltaic 1/16.3 Act aditional 2 - Prelungire termen/PDF_Semnat si Depus/5_Declaratie_proprie_raspundere_s.pdf","Deschide sursa")</x:f>
        <x:v>HYPERLINK is not implemented. linkLocation=file:///Z:/00. Proiecte 2025/AFIR FotoVoltaic 1/16.3 Act aditional 2 - Prelungire termen/PDF_Semnat si Depus/5_Declaratie_proprie_raspundere_s.pdf, friendlyName=Deschide sursa</x:v>
      </x:c>
    </x:row>
    <x:row r="832" ht="36" customHeight="1">
      <x:c r="A832" s="8" t="str">
        <x:v>F0828</x:v>
      </x:c>
      <x:c r="B832" s="8" t="str">
        <x:v>AP_0.0_grafic_de_esalonare_s_.pdf</x:v>
      </x:c>
      <x:c r="C832" s="8" t="str">
        <x:v>16.3 Act aditional 2 - Prelungire termen</x:v>
      </x:c>
      <x:c r="D832" s="8" t="str">
        <x:v>Proiect fotovoltaic</x:v>
      </x:c>
      <x:c r="E832" s="8" t="str">
        <x:v>.pdf</x:v>
      </x:c>
      <x:c r="F832" s="8" t="n">
        <x:v>308568</x:v>
      </x:c>
      <x:c r="G832" s="8" t="str">
        <x:v>Text extras</x:v>
      </x:c>
      <x:c r="H832" s="8" t="str">
        <x:v>Depus conform denumirii dosarului; recipisă neidentificată</x:v>
      </x:c>
      <x:c r="I832" s="8" t="str"/>
      <x:c r="J832" s="8" t="e">
        <x:f>HYPERLINK("file:///Z:/00. Proiecte 2025/AFIR FotoVoltaic 1/16.3 Act aditional 2 - Prelungire termen/PDF_Semnat si Depus/AP_0.0_grafic_de_esalonare_s_.pdf","Deschide sursa")</x:f>
        <x:v>HYPERLINK is not implemented. linkLocation=file:///Z:/00. Proiecte 2025/AFIR FotoVoltaic 1/16.3 Act aditional 2 - Prelungire termen/PDF_Semnat si Depus/AP_0.0_grafic_de_esalonare_s_.pdf, friendlyName=Deschide sursa</x:v>
      </x:c>
    </x:row>
    <x:row r="833" ht="36" customHeight="1">
      <x:c r="A833" s="8" t="str">
        <x:v>F0829</x:v>
      </x:c>
      <x:c r="B833" s="8" t="str">
        <x:v>1. Formular_C3_1_prelungire_CESIRO.docx</x:v>
      </x:c>
      <x:c r="C833" s="8" t="str">
        <x:v>16.3 Act aditional 2 - Prelungire termen</x:v>
      </x:c>
      <x:c r="D833" s="8" t="str">
        <x:v>Proiect fotovoltaic</x:v>
      </x:c>
      <x:c r="E833" s="8" t="str">
        <x:v>.docx</x:v>
      </x:c>
      <x:c r="F833" s="8" t="n">
        <x:v>45905</x:v>
      </x:c>
      <x:c r="G833" s="8" t="str">
        <x:v>Text extras</x:v>
      </x:c>
      <x:c r="H833" s="8" t="str">
        <x:v>Versiune de lucru / arhivă</x:v>
      </x:c>
      <x:c r="I833" s="8" t="str"/>
      <x:c r="J833" s="8" t="e">
        <x:f>HYPERLINK("file:///Z:/00. Proiecte 2025/AFIR FotoVoltaic 1/16.3 Act aditional 2 - Prelungire termen/word/1. Formular_C3_1_prelungire_CESIRO.docx","Deschide sursa")</x:f>
        <x:v>HYPERLINK is not implemented. linkLocation=file:///Z:/00. Proiecte 2025/AFIR FotoVoltaic 1/16.3 Act aditional 2 - Prelungire termen/word/1. Formular_C3_1_prelungire_CESIRO.docx, friendlyName=Deschide sursa</x:v>
      </x:c>
    </x:row>
    <x:row r="834" ht="36" customHeight="1">
      <x:c r="A834" s="8" t="str">
        <x:v>F0830</x:v>
      </x:c>
      <x:c r="B834" s="8" t="str">
        <x:v>2_Memoriu_justificativ_prelungire.docx</x:v>
      </x:c>
      <x:c r="C834" s="8" t="str">
        <x:v>16.3 Act aditional 2 - Prelungire termen</x:v>
      </x:c>
      <x:c r="D834" s="8" t="str">
        <x:v>Proiect fotovoltaic</x:v>
      </x:c>
      <x:c r="E834" s="8" t="str">
        <x:v>.docx</x:v>
      </x:c>
      <x:c r="F834" s="8" t="n">
        <x:v>26616</x:v>
      </x:c>
      <x:c r="G834" s="8" t="str">
        <x:v>Text extras</x:v>
      </x:c>
      <x:c r="H834" s="8" t="str">
        <x:v>Versiune de lucru / arhivă</x:v>
      </x:c>
      <x:c r="I834" s="8" t="str"/>
      <x:c r="J834" s="8" t="e">
        <x:f>HYPERLINK("file:///Z:/00. Proiecte 2025/AFIR FotoVoltaic 1/16.3 Act aditional 2 - Prelungire termen/word/2_Memoriu_justificativ_prelungire.docx","Deschide sursa")</x:f>
        <x:v>HYPERLINK is not implemented. linkLocation=file:///Z:/00. Proiecte 2025/AFIR FotoVoltaic 1/16.3 Act aditional 2 - Prelungire termen/word/2_Memoriu_justificativ_prelungire.docx, friendlyName=Deschide sursa</x:v>
      </x:c>
    </x:row>
    <x:row r="835" ht="36" customHeight="1">
      <x:c r="A835" s="8" t="str">
        <x:v>F0831</x:v>
      </x:c>
      <x:c r="B835" s="8" t="str">
        <x:v>3. Referat_proiectant_prelungire_CESIRO (1).docx</x:v>
      </x:c>
      <x:c r="C835" s="8" t="str">
        <x:v>16.3 Act aditional 2 - Prelungire termen</x:v>
      </x:c>
      <x:c r="D835" s="8" t="str">
        <x:v>Proiect fotovoltaic</x:v>
      </x:c>
      <x:c r="E835" s="8" t="str">
        <x:v>.docx</x:v>
      </x:c>
      <x:c r="F835" s="8" t="n">
        <x:v>76001</x:v>
      </x:c>
      <x:c r="G835" s="8" t="str">
        <x:v>Text extras</x:v>
      </x:c>
      <x:c r="H835" s="8" t="str">
        <x:v>Versiune de lucru / arhivă</x:v>
      </x:c>
      <x:c r="I835" s="8" t="str"/>
      <x:c r="J835" s="8" t="e">
        <x:f>HYPERLINK("file:///Z:/00. Proiecte 2025/AFIR FotoVoltaic 1/16.3 Act aditional 2 - Prelungire termen/word/3. Referat_proiectant_prelungire_CESIRO (1).docx","Deschide sursa")</x:f>
        <x:v>HYPERLINK is not implemented. linkLocation=file:///Z:/00. Proiecte 2025/AFIR FotoVoltaic 1/16.3 Act aditional 2 - Prelungire termen/word/3. Referat_proiectant_prelungire_CESIRO (1).docx, friendlyName=Deschide sursa</x:v>
      </x:c>
    </x:row>
    <x:row r="836" ht="36" customHeight="1">
      <x:c r="A836" s="8" t="str">
        <x:v>F0832</x:v>
      </x:c>
      <x:c r="B836" s="8" t="str">
        <x:v>4. Nota_justificativa_Suntree_prelungire_v2.docx</x:v>
      </x:c>
      <x:c r="C836" s="8" t="str">
        <x:v>16.3 Act aditional 2 - Prelungire termen</x:v>
      </x:c>
      <x:c r="D836" s="8" t="str">
        <x:v>Proiect fotovoltaic</x:v>
      </x:c>
      <x:c r="E836" s="8" t="str">
        <x:v>.docx</x:v>
      </x:c>
      <x:c r="F836" s="8" t="n">
        <x:v>21950</x:v>
      </x:c>
      <x:c r="G836" s="8" t="str">
        <x:v>Text extras</x:v>
      </x:c>
      <x:c r="H836" s="8" t="str">
        <x:v>Versiune de lucru / arhivă</x:v>
      </x:c>
      <x:c r="I836" s="8" t="str"/>
      <x:c r="J836" s="8" t="e">
        <x:f>HYPERLINK("file:///Z:/00. Proiecte 2025/AFIR FotoVoltaic 1/16.3 Act aditional 2 - Prelungire termen/word/4. Nota_justificativa_Suntree_prelungire_v2.docx","Deschide sursa")</x:f>
        <x:v>HYPERLINK is not implemented. linkLocation=file:///Z:/00. Proiecte 2025/AFIR FotoVoltaic 1/16.3 Act aditional 2 - Prelungire termen/word/4. Nota_justificativa_Suntree_prelungire_v2.docx, friendlyName=Deschide sursa</x:v>
      </x:c>
    </x:row>
    <x:row r="837" ht="36" customHeight="1">
      <x:c r="A837" s="8" t="str">
        <x:v>F0833</x:v>
      </x:c>
      <x:c r="B837" s="8" t="str">
        <x:v>5_Declaratie_proprie_raspundere.docx</x:v>
      </x:c>
      <x:c r="C837" s="8" t="str">
        <x:v>16.3 Act aditional 2 - Prelungire termen</x:v>
      </x:c>
      <x:c r="D837" s="8" t="str">
        <x:v>Proiect fotovoltaic</x:v>
      </x:c>
      <x:c r="E837" s="8" t="str">
        <x:v>.docx</x:v>
      </x:c>
      <x:c r="F837" s="8" t="n">
        <x:v>15675</x:v>
      </x:c>
      <x:c r="G837" s="8" t="str">
        <x:v>Text extras</x:v>
      </x:c>
      <x:c r="H837" s="8" t="str">
        <x:v>Versiune de lucru / arhivă</x:v>
      </x:c>
      <x:c r="I837" s="8" t="str"/>
      <x:c r="J837" s="8" t="e">
        <x:f>HYPERLINK("file:///Z:/00. Proiecte 2025/AFIR FotoVoltaic 1/16.3 Act aditional 2 - Prelungire termen/word/5_Declaratie_proprie_raspundere.docx","Deschide sursa")</x:f>
        <x:v>HYPERLINK is not implemented. linkLocation=file:///Z:/00. Proiecte 2025/AFIR FotoVoltaic 1/16.3 Act aditional 2 - Prelungire termen/word/5_Declaratie_proprie_raspundere.docx, friendlyName=Deschide sursa</x:v>
      </x:c>
    </x:row>
    <x:row r="838" ht="36" customHeight="1">
      <x:c r="A838" s="8" t="str">
        <x:v>F0834</x:v>
      </x:c>
      <x:c r="B838" s="8" t="str">
        <x:v>6_Act_aditional_nr4_contract_275.docx</x:v>
      </x:c>
      <x:c r="C838" s="8" t="str">
        <x:v>16.3 Act aditional 2 - Prelungire termen</x:v>
      </x:c>
      <x:c r="D838" s="8" t="str">
        <x:v>Proiect fotovoltaic</x:v>
      </x:c>
      <x:c r="E838" s="8" t="str">
        <x:v>.docx</x:v>
      </x:c>
      <x:c r="F838" s="8" t="n">
        <x:v>154612</x:v>
      </x:c>
      <x:c r="G838" s="8" t="str">
        <x:v>Text extras</x:v>
      </x:c>
      <x:c r="H838" s="8" t="str">
        <x:v>Versiune de lucru / arhivă</x:v>
      </x:c>
      <x:c r="I838" s="8" t="str"/>
      <x:c r="J838" s="8" t="e">
        <x:f>HYPERLINK("file:///Z:/00. Proiecte 2025/AFIR FotoVoltaic 1/16.3 Act aditional 2 - Prelungire termen/word/6_Act_aditional_nr4_contract_275.docx","Deschide sursa")</x:f>
        <x:v>HYPERLINK is not implemented. linkLocation=file:///Z:/00. Proiecte 2025/AFIR FotoVoltaic 1/16.3 Act aditional 2 - Prelungire termen/word/6_Act_aditional_nr4_contract_275.docx, friendlyName=Deschide sursa</x:v>
      </x:c>
    </x:row>
    <x:row r="839" ht="36" customHeight="1">
      <x:c r="A839" s="8" t="str">
        <x:v>F0835</x:v>
      </x:c>
      <x:c r="B839" s="8" t="str">
        <x:v>Act_aditional_nr4_contract_275.docx</x:v>
      </x:c>
      <x:c r="C839" s="8" t="str">
        <x:v>16.3 Act aditional 2 - Prelungire termen</x:v>
      </x:c>
      <x:c r="D839" s="8" t="str">
        <x:v>Proiect fotovoltaic</x:v>
      </x:c>
      <x:c r="E839" s="8" t="str">
        <x:v>.docx</x:v>
      </x:c>
      <x:c r="F839" s="8" t="n">
        <x:v>152835</x:v>
      </x:c>
      <x:c r="G839" s="8" t="str">
        <x:v>Text extras</x:v>
      </x:c>
      <x:c r="H839" s="8" t="str">
        <x:v>Versiune de lucru / arhivă</x:v>
      </x:c>
      <x:c r="I839" s="8" t="str"/>
      <x:c r="J839" s="8" t="e">
        <x:f>HYPERLINK("file:///Z:/00. Proiecte 2025/AFIR FotoVoltaic 1/16.3 Act aditional 2 - Prelungire termen/word/Act_aditional_nr4_contract_275.docx","Deschide sursa")</x:f>
        <x:v>HYPERLINK is not implemented. linkLocation=file:///Z:/00. Proiecte 2025/AFIR FotoVoltaic 1/16.3 Act aditional 2 - Prelungire termen/word/Act_aditional_nr4_contract_275.docx, friendlyName=Deschide sursa</x:v>
      </x:c>
    </x:row>
    <x:row r="840" ht="36" customHeight="1">
      <x:c r="A840" s="8" t="str">
        <x:v>F0836</x:v>
      </x:c>
      <x:c r="B840" s="8" t="str">
        <x:v>1_Formular_C3_1_Nota_explicativa_revizuita_31_05_2027_EXECUTIE_31_08_2027.docx</x:v>
      </x:c>
      <x:c r="C840" s="8" t="str">
        <x:v>16.3 Act aditional 2 - Prelungire termen</x:v>
      </x:c>
      <x:c r="D840" s="8" t="str">
        <x:v>Proiect fotovoltaic</x:v>
      </x:c>
      <x:c r="E840" s="8" t="str">
        <x:v>.docx</x:v>
      </x:c>
      <x:c r="F840" s="8" t="n">
        <x:v>45807</x:v>
      </x:c>
      <x:c r="G840" s="8" t="str">
        <x:v>Text extras</x:v>
      </x:c>
      <x:c r="H840" s="8" t="str">
        <x:v>Versiune de lucru / arhivă</x:v>
      </x:c>
      <x:c r="I840" s="8" t="str"/>
      <x:c r="J840" s="8" t="e">
        <x:f>HYPERLINK("file:///Z:/00. Proiecte 2025/AFIR FotoVoltaic 1/16.3 Act aditional 2 - Prelungire termen/Clarificare nr1/draft/1_Formular_C3_1_Nota_explicativa_revizuita_31_05_2027_EXECUTIE_31_08_2027.docx","Deschide sursa")</x:f>
        <x:v>HYPERLINK is not implemented. linkLocation=file:///Z:/00. Proiecte 2025/AFIR FotoVoltaic 1/16.3 Act aditional 2 - Prelungire termen/Clarificare nr1/draft/1_Formular_C3_1_Nota_explicativa_revizuita_31_05_2027_EXECUTIE_31_08_2027.docx, friendlyName=Deschide sursa</x:v>
      </x:c>
    </x:row>
    <x:row r="841" ht="36" customHeight="1">
      <x:c r="A841" s="8" t="str">
        <x:v>F0837</x:v>
      </x:c>
      <x:c r="B841" s="8" t="str">
        <x:v>1_Formular_C3_1_Nota_explicativa_revizuita_31_05_2027_EXECUTIE_31_08_2027.pdf</x:v>
      </x:c>
      <x:c r="C841" s="8" t="str">
        <x:v>16.3 Act aditional 2 - Prelungire termen</x:v>
      </x:c>
      <x:c r="D841" s="8" t="str">
        <x:v>Proiect fotovoltaic</x:v>
      </x:c>
      <x:c r="E841" s="8" t="str">
        <x:v>.pdf</x:v>
      </x:c>
      <x:c r="F841" s="8" t="n">
        <x:v>188607</x:v>
      </x:c>
      <x:c r="G841" s="8" t="str">
        <x:v>Text extras</x:v>
      </x:c>
      <x:c r="H841" s="8" t="str">
        <x:v>Versiune de lucru / arhivă</x:v>
      </x:c>
      <x:c r="I841" s="8" t="str"/>
      <x:c r="J841" s="8" t="e">
        <x:f>HYPERLINK("file:///Z:/00. Proiecte 2025/AFIR FotoVoltaic 1/16.3 Act aditional 2 - Prelungire termen/Clarificare nr1/draft/1_Formular_C3_1_Nota_explicativa_revizuita_31_05_2027_EXECUTIE_31_08_2027.pdf","Deschide sursa")</x:f>
        <x:v>HYPERLINK is not implemented. linkLocation=file:///Z:/00. Proiecte 2025/AFIR FotoVoltaic 1/16.3 Act aditional 2 - Prelungire termen/Clarificare nr1/draft/1_Formular_C3_1_Nota_explicativa_revizuita_31_05_2027_EXECUTIE_31_08_2027.pdf, friendlyName=Deschide sursa</x:v>
      </x:c>
    </x:row>
    <x:row r="842" ht="36" customHeight="1">
      <x:c r="A842" s="8" t="str">
        <x:v>F0838</x:v>
      </x:c>
      <x:c r="B842" s="8" t="str">
        <x:v>2_Memoriu_justificativ_prelungire_S_.pdf</x:v>
      </x:c>
      <x:c r="C842" s="8" t="str">
        <x:v>16.3 Act aditional 2 - Prelungire termen</x:v>
      </x:c>
      <x:c r="D842" s="8" t="str">
        <x:v>Proiect fotovoltaic</x:v>
      </x:c>
      <x:c r="E842" s="8" t="str">
        <x:v>.pdf</x:v>
      </x:c>
      <x:c r="F842" s="8" t="n">
        <x:v>225622</x:v>
      </x:c>
      <x:c r="G842" s="8" t="str">
        <x:v>Text extras</x:v>
      </x:c>
      <x:c r="H842" s="8" t="str">
        <x:v>Versiune de lucru / arhivă</x:v>
      </x:c>
      <x:c r="I842" s="8" t="str"/>
      <x:c r="J842" s="8" t="e">
        <x:f>HYPERLINK("file:///Z:/00. Proiecte 2025/AFIR FotoVoltaic 1/16.3 Act aditional 2 - Prelungire termen/Clarificare nr1/draft/2_Memoriu_justificativ_prelungire_S_.pdf","Deschide sursa")</x:f>
        <x:v>HYPERLINK is not implemented. linkLocation=file:///Z:/00. Proiecte 2025/AFIR FotoVoltaic 1/16.3 Act aditional 2 - Prelungire termen/Clarificare nr1/draft/2_Memoriu_justificativ_prelungire_S_.pdf, friendlyName=Deschide sursa</x:v>
      </x:c>
    </x:row>
    <x:row r="843" ht="36" customHeight="1">
      <x:c r="A843" s="8" t="str">
        <x:v>F0839</x:v>
      </x:c>
      <x:c r="B843" s="8" t="str">
        <x:v>2_Memoriu_justificativ_revizuit_31_05_2027.docx</x:v>
      </x:c>
      <x:c r="C843" s="8" t="str">
        <x:v>16.3 Act aditional 2 - Prelungire termen</x:v>
      </x:c>
      <x:c r="D843" s="8" t="str">
        <x:v>Proiect fotovoltaic</x:v>
      </x:c>
      <x:c r="E843" s="8" t="str">
        <x:v>.docx</x:v>
      </x:c>
      <x:c r="F843" s="8" t="n">
        <x:v>23239</x:v>
      </x:c>
      <x:c r="G843" s="8" t="str">
        <x:v>Text extras</x:v>
      </x:c>
      <x:c r="H843" s="8" t="str">
        <x:v>Versiune de lucru / arhivă</x:v>
      </x:c>
      <x:c r="I843" s="8" t="str"/>
      <x:c r="J843" s="8" t="e">
        <x:f>HYPERLINK("file:///Z:/00. Proiecte 2025/AFIR FotoVoltaic 1/16.3 Act aditional 2 - Prelungire termen/Clarificare nr1/draft/2_Memoriu_justificativ_revizuit_31_05_2027.docx","Deschide sursa")</x:f>
        <x:v>HYPERLINK is not implemented. linkLocation=file:///Z:/00. Proiecte 2025/AFIR FotoVoltaic 1/16.3 Act aditional 2 - Prelungire termen/Clarificare nr1/draft/2_Memoriu_justificativ_revizuit_31_05_2027.docx, friendlyName=Deschide sursa</x:v>
      </x:c>
    </x:row>
    <x:row r="844" ht="36" customHeight="1">
      <x:c r="A844" s="8" t="str">
        <x:v>F0840</x:v>
      </x:c>
      <x:c r="B844" s="8" t="str">
        <x:v>3. Referat_proiectant_prelungire_CESIRO (1).pdf</x:v>
      </x:c>
      <x:c r="C844" s="8" t="str">
        <x:v>16.3 Act aditional 2 - Prelungire termen</x:v>
      </x:c>
      <x:c r="D844" s="8" t="str">
        <x:v>Proiect fotovoltaic</x:v>
      </x:c>
      <x:c r="E844" s="8" t="str">
        <x:v>.pdf</x:v>
      </x:c>
      <x:c r="F844" s="8" t="n">
        <x:v>6388202</x:v>
      </x:c>
      <x:c r="G844" s="8" t="str">
        <x:v>Scan / text insuficient</x:v>
      </x:c>
      <x:c r="H844" s="8" t="str">
        <x:v>Versiune de lucru / arhivă</x:v>
      </x:c>
      <x:c r="I844" s="8" t="str"/>
      <x:c r="J844" s="8" t="e">
        <x:f>HYPERLINK("file:///Z:/00. Proiecte 2025/AFIR FotoVoltaic 1/16.3 Act aditional 2 - Prelungire termen/Clarificare nr1/draft/3. Referat_proiectant_prelungire_CESIRO (1).pdf","Deschide sursa")</x:f>
        <x:v>HYPERLINK is not implemented. linkLocation=file:///Z:/00. Proiecte 2025/AFIR FotoVoltaic 1/16.3 Act aditional 2 - Prelungire termen/Clarificare nr1/draft/3. Referat_proiectant_prelungire_CESIRO (1).pdf, friendlyName=Deschide sursa</x:v>
      </x:c>
    </x:row>
    <x:row r="845" ht="36" customHeight="1">
      <x:c r="A845" s="8" t="str">
        <x:v>F0841</x:v>
      </x:c>
      <x:c r="B845" s="8" t="str">
        <x:v>3_Referat_tehnic_revizuit_31_05_2027.docx</x:v>
      </x:c>
      <x:c r="C845" s="8" t="str">
        <x:v>16.3 Act aditional 2 - Prelungire termen</x:v>
      </x:c>
      <x:c r="D845" s="8" t="str">
        <x:v>Proiect fotovoltaic</x:v>
      </x:c>
      <x:c r="E845" s="8" t="str">
        <x:v>.docx</x:v>
      </x:c>
      <x:c r="F845" s="8" t="n">
        <x:v>74323</x:v>
      </x:c>
      <x:c r="G845" s="8" t="str">
        <x:v>Text extras</x:v>
      </x:c>
      <x:c r="H845" s="8" t="str">
        <x:v>Versiune de lucru / arhivă</x:v>
      </x:c>
      <x:c r="I845" s="8" t="str"/>
      <x:c r="J845" s="8" t="e">
        <x:f>HYPERLINK("file:///Z:/00. Proiecte 2025/AFIR FotoVoltaic 1/16.3 Act aditional 2 - Prelungire termen/Clarificare nr1/draft/3_Referat_tehnic_revizuit_31_05_2027.docx","Deschide sursa")</x:f>
        <x:v>HYPERLINK is not implemented. linkLocation=file:///Z:/00. Proiecte 2025/AFIR FotoVoltaic 1/16.3 Act aditional 2 - Prelungire termen/Clarificare nr1/draft/3_Referat_tehnic_revizuit_31_05_2027.docx, friendlyName=Deschide sursa</x:v>
      </x:c>
    </x:row>
    <x:row r="846" ht="36" customHeight="1">
      <x:c r="A846" s="8" t="str">
        <x:v>F0842</x:v>
      </x:c>
      <x:c r="B846" s="8" t="str">
        <x:v>5_Declaratie_proprie_raspundere_s.pdf</x:v>
      </x:c>
      <x:c r="C846" s="8" t="str">
        <x:v>16.3 Act aditional 2 - Prelungire termen</x:v>
      </x:c>
      <x:c r="D846" s="8" t="str">
        <x:v>Proiect fotovoltaic</x:v>
      </x:c>
      <x:c r="E846" s="8" t="str">
        <x:v>.pdf</x:v>
      </x:c>
      <x:c r="F846" s="8" t="n">
        <x:v>109209</x:v>
      </x:c>
      <x:c r="G846" s="8" t="str">
        <x:v>Text extras</x:v>
      </x:c>
      <x:c r="H846" s="8" t="str">
        <x:v>Versiune de lucru / arhivă</x:v>
      </x:c>
      <x:c r="I846" s="8" t="str"/>
      <x:c r="J846" s="8" t="e">
        <x:f>HYPERLINK("file:///Z:/00. Proiecte 2025/AFIR FotoVoltaic 1/16.3 Act aditional 2 - Prelungire termen/Clarificare nr1/draft/5_Declaratie_proprie_raspundere_s.pdf","Deschide sursa")</x:f>
        <x:v>HYPERLINK is not implemented. linkLocation=file:///Z:/00. Proiecte 2025/AFIR FotoVoltaic 1/16.3 Act aditional 2 - Prelungire termen/Clarificare nr1/draft/5_Declaratie_proprie_raspundere_s.pdf, friendlyName=Deschide sursa</x:v>
      </x:c>
    </x:row>
    <x:row r="847" ht="36" customHeight="1">
      <x:c r="A847" s="8" t="str">
        <x:v>F0843</x:v>
      </x:c>
      <x:c r="B847" s="8" t="str">
        <x:v>5_Declaratie_proprie_raspundere_ss.pdf</x:v>
      </x:c>
      <x:c r="C847" s="8" t="str">
        <x:v>16.3 Act aditional 2 - Prelungire termen</x:v>
      </x:c>
      <x:c r="D847" s="8" t="str">
        <x:v>Proiect fotovoltaic</x:v>
      </x:c>
      <x:c r="E847" s="8" t="str">
        <x:v>.pdf</x:v>
      </x:c>
      <x:c r="F847" s="8" t="n">
        <x:v>317226</x:v>
      </x:c>
      <x:c r="G847" s="8" t="str">
        <x:v>Text extras</x:v>
      </x:c>
      <x:c r="H847" s="8" t="str">
        <x:v>Versiune de lucru / arhivă</x:v>
      </x:c>
      <x:c r="I847" s="8" t="str"/>
      <x:c r="J847" s="8" t="e">
        <x:f>HYPERLINK("file:///Z:/00. Proiecte 2025/AFIR FotoVoltaic 1/16.3 Act aditional 2 - Prelungire termen/Clarificare nr1/draft/5_Declaratie_proprie_raspundere_ss.pdf","Deschide sursa")</x:f>
        <x:v>HYPERLINK is not implemented. linkLocation=file:///Z:/00. Proiecte 2025/AFIR FotoVoltaic 1/16.3 Act aditional 2 - Prelungire termen/Clarificare nr1/draft/5_Declaratie_proprie_raspundere_ss.pdf, friendlyName=Deschide sursa</x:v>
      </x:c>
    </x:row>
    <x:row r="848" ht="36" customHeight="1">
      <x:c r="A848" s="8" t="str">
        <x:v>F0844</x:v>
      </x:c>
      <x:c r="B848" s="8" t="str">
        <x:v>SKMBT_C28026093013200.pdf</x:v>
      </x:c>
      <x:c r="C848" s="8" t="str">
        <x:v>16.3 Act aditional 2 - Prelungire termen</x:v>
      </x:c>
      <x:c r="D848" s="8" t="str">
        <x:v>Proiect fotovoltaic</x:v>
      </x:c>
      <x:c r="E848" s="8" t="str">
        <x:v>.pdf</x:v>
      </x:c>
      <x:c r="F848" s="8" t="n">
        <x:v>6936925</x:v>
      </x:c>
      <x:c r="G848" s="8" t="str">
        <x:v>Scan / text insuficient</x:v>
      </x:c>
      <x:c r="H848" s="8" t="str">
        <x:v>Versiune de lucru / arhivă</x:v>
      </x:c>
      <x:c r="I848" s="8" t="str"/>
      <x:c r="J848" s="8" t="e">
        <x:f>HYPERLINK("file:///Z:/00. Proiecte 2025/AFIR FotoVoltaic 1/16.3 Act aditional 2 - Prelungire termen/Clarificare nr1/draft/SKMBT_C28026093013200.pdf","Deschide sursa")</x:f>
        <x:v>HYPERLINK is not implemented. linkLocation=file:///Z:/00. Proiecte 2025/AFIR FotoVoltaic 1/16.3 Act aditional 2 - Prelungire termen/Clarificare nr1/draft/SKMBT_C28026093013200.pdf, friendlyName=Deschide sursa</x:v>
      </x:c>
    </x:row>
    <x:row r="849" ht="36" customHeight="1">
      <x:c r="A849" s="8" t="str">
        <x:v>F0845</x:v>
      </x:c>
      <x:c r="B849" s="8" t="str">
        <x:v>2_Memoriu_justificativ_prelungire_S_.pdf</x:v>
      </x:c>
      <x:c r="C849" s="8" t="str">
        <x:v>16.3 Act aditional 2 - Prelungire termen</x:v>
      </x:c>
      <x:c r="D849" s="8" t="str">
        <x:v>Proiect fotovoltaic</x:v>
      </x:c>
      <x:c r="E849" s="8" t="str">
        <x:v>.pdf</x:v>
      </x:c>
      <x:c r="F849" s="8" t="n">
        <x:v>5536900</x:v>
      </x:c>
      <x:c r="G849" s="8" t="str">
        <x:v>Text extras</x:v>
      </x:c>
      <x:c r="H849" s="8" t="str">
        <x:v>Copie din dosar etichetat descărcat de pe AFIR</x:v>
      </x:c>
      <x:c r="I849" s="8" t="str">
        <x:v>F0825</x:v>
      </x:c>
      <x:c r="J849" s="8" t="e">
        <x:f>HYPERLINK("file:///Z:/00. Proiecte 2025/AFIR FotoVoltaic 1/16.3 Act aditional 2 - Prelungire termen/PDF_Semnat si Depus/Descarcate de pe AFIR-/2_Memoriu_justificativ_prelungire_S_.pdf","Deschide sursa")</x:f>
        <x:v>HYPERLINK is not implemented. linkLocation=file:///Z:/00. Proiecte 2025/AFIR FotoVoltaic 1/16.3 Act aditional 2 - Prelungire termen/PDF_Semnat si Depus/Descarcate de pe AFIR-/2_Memoriu_justificativ_prelungire_S_.pdf, friendlyName=Deschide sursa</x:v>
      </x:c>
    </x:row>
    <x:row r="850" ht="36" customHeight="1">
      <x:c r="A850" s="8" t="str">
        <x:v>F0846</x:v>
      </x:c>
      <x:c r="B850" s="8" t="str">
        <x:v>3. Referat_proiectant_prelungire_CESIRO (1).pdf</x:v>
      </x:c>
      <x:c r="C850" s="8" t="str">
        <x:v>16.3 Act aditional 2 - Prelungire termen</x:v>
      </x:c>
      <x:c r="D850" s="8" t="str">
        <x:v>Proiect fotovoltaic</x:v>
      </x:c>
      <x:c r="E850" s="8" t="str">
        <x:v>.pdf</x:v>
      </x:c>
      <x:c r="F850" s="8" t="n">
        <x:v>6095235</x:v>
      </x:c>
      <x:c r="G850" s="8" t="str">
        <x:v>Scan / text insuficient</x:v>
      </x:c>
      <x:c r="H850" s="8" t="str">
        <x:v>Copie din dosar etichetat descărcat de pe AFIR</x:v>
      </x:c>
      <x:c r="I850" s="8" t="str">
        <x:v>F0826</x:v>
      </x:c>
      <x:c r="J850" s="8" t="e">
        <x:f>HYPERLINK("file:///Z:/00. Proiecte 2025/AFIR FotoVoltaic 1/16.3 Act aditional 2 - Prelungire termen/PDF_Semnat si Depus/Descarcate de pe AFIR-/3. Referat_proiectant_prelungire_CESIRO (1).pdf","Deschide sursa")</x:f>
        <x:v>HYPERLINK is not implemented. linkLocation=file:///Z:/00. Proiecte 2025/AFIR FotoVoltaic 1/16.3 Act aditional 2 - Prelungire termen/PDF_Semnat si Depus/Descarcate de pe AFIR-/3. Referat_proiectant_prelungire_CESIRO (1).pdf, friendlyName=Deschide sursa</x:v>
      </x:c>
    </x:row>
    <x:row r="851" ht="36" customHeight="1">
      <x:c r="A851" s="8" t="str">
        <x:v>F0847</x:v>
      </x:c>
      <x:c r="B851" s="8" t="str">
        <x:v>5_Declaratie_proprie_raspundere_s.pdf</x:v>
      </x:c>
      <x:c r="C851" s="8" t="str">
        <x:v>16.3 Act aditional 2 - Prelungire termen</x:v>
      </x:c>
      <x:c r="D851" s="8" t="str">
        <x:v>Proiect fotovoltaic</x:v>
      </x:c>
      <x:c r="E851" s="8" t="str">
        <x:v>.pdf</x:v>
      </x:c>
      <x:c r="F851" s="8" t="n">
        <x:v>2231616</x:v>
      </x:c>
      <x:c r="G851" s="8" t="str">
        <x:v>Scan / text insuficient</x:v>
      </x:c>
      <x:c r="H851" s="8" t="str">
        <x:v>Copie din dosar etichetat descărcat de pe AFIR</x:v>
      </x:c>
      <x:c r="I851" s="8" t="str">
        <x:v>F0827</x:v>
      </x:c>
      <x:c r="J851" s="8" t="e">
        <x:f>HYPERLINK("file:///Z:/00. Proiecte 2025/AFIR FotoVoltaic 1/16.3 Act aditional 2 - Prelungire termen/PDF_Semnat si Depus/Descarcate de pe AFIR-/5_Declaratie_proprie_raspundere_s.pdf","Deschide sursa")</x:f>
        <x:v>HYPERLINK is not implemented. linkLocation=file:///Z:/00. Proiecte 2025/AFIR FotoVoltaic 1/16.3 Act aditional 2 - Prelungire termen/PDF_Semnat si Depus/Descarcate de pe AFIR-/5_Declaratie_proprie_raspundere_s.pdf, friendlyName=Deschide sursa</x:v>
      </x:c>
    </x:row>
    <x:row r="852" ht="36" customHeight="1">
      <x:c r="A852" s="8" t="str">
        <x:v>F0848</x:v>
      </x:c>
      <x:c r="B852" s="8" t="str">
        <x:v>AP_0.0_grafic_de_esalonare_s_.pdf</x:v>
      </x:c>
      <x:c r="C852" s="8" t="str">
        <x:v>16.3 Act aditional 2 - Prelungire termen</x:v>
      </x:c>
      <x:c r="D852" s="8" t="str">
        <x:v>Proiect fotovoltaic</x:v>
      </x:c>
      <x:c r="E852" s="8" t="str">
        <x:v>.pdf</x:v>
      </x:c>
      <x:c r="F852" s="8" t="n">
        <x:v>707656</x:v>
      </x:c>
      <x:c r="G852" s="8" t="str">
        <x:v>Text extras</x:v>
      </x:c>
      <x:c r="H852" s="8" t="str">
        <x:v>Copie din dosar etichetat descărcat de pe AFIR</x:v>
      </x:c>
      <x:c r="I852" s="8" t="str"/>
      <x:c r="J852" s="8" t="e">
        <x:f>HYPERLINK("file:///Z:/00. Proiecte 2025/AFIR FotoVoltaic 1/16.3 Act aditional 2 - Prelungire termen/PDF_Semnat si Depus/Descarcate de pe AFIR-/AP_0.0_grafic_de_esalonare_s_.pdf","Deschide sursa")</x:f>
        <x:v>HYPERLINK is not implemented. linkLocation=file:///Z:/00. Proiecte 2025/AFIR FotoVoltaic 1/16.3 Act aditional 2 - Prelungire termen/PDF_Semnat si Depus/Descarcate de pe AFIR-/AP_0.0_grafic_de_esalonare_s_.pdf, friendlyName=Deschide sursa</x:v>
      </x:c>
    </x:row>
    <x:row r="853" ht="32" customHeight="1">
      <x:c r="A853" s="8" t="str">
        <x:v>F0849</x:v>
      </x:c>
      <x:c r="B853" s="8" t="str">
        <x:v>ARTFIL PLAN ETAJ.pdf</x:v>
      </x:c>
      <x:c r="C853" s="8" t="str">
        <x:v>20. ATR</x:v>
      </x:c>
      <x:c r="D853" s="8" t="str">
        <x:v>Proiect fotovoltaic</x:v>
      </x:c>
      <x:c r="E853" s="8" t="str">
        <x:v>.pdf</x:v>
      </x:c>
      <x:c r="F853" s="8" t="n">
        <x:v>663751</x:v>
      </x:c>
      <x:c r="G853" s="8" t="str">
        <x:v>Scan / text insuficient</x:v>
      </x:c>
      <x:c r="H853" s="8" t="str">
        <x:v>Document local; transmiterea individuală neconfirmată</x:v>
      </x:c>
      <x:c r="I853" s="8" t="str"/>
      <x:c r="J853" s="8" t="e">
        <x:f>HYPERLINK("file:///Z:/00. Proiecte 2025/AFIR FotoVoltaic 1/20. ATR/1. Documente Solicitare ATR/ARTFIL PLAN ETAJ.pdf","Deschide sursa")</x:f>
        <x:v>HYPERLINK is not implemented. linkLocation=file:///Z:/00. Proiecte 2025/AFIR FotoVoltaic 1/20. ATR/1. Documente Solicitare ATR/ARTFIL PLAN ETAJ.pdf, friendlyName=Deschide sursa</x:v>
      </x:c>
    </x:row>
    <x:row r="854" ht="32" customHeight="1">
      <x:c r="A854" s="8" t="str">
        <x:v>F0850</x:v>
      </x:c>
      <x:c r="B854" s="8" t="str">
        <x:v>ARTFIL PLAN PARTER.pdf</x:v>
      </x:c>
      <x:c r="C854" s="8" t="str">
        <x:v>20. ATR</x:v>
      </x:c>
      <x:c r="D854" s="8" t="str">
        <x:v>Proiect fotovoltaic</x:v>
      </x:c>
      <x:c r="E854" s="8" t="str">
        <x:v>.pdf</x:v>
      </x:c>
      <x:c r="F854" s="8" t="n">
        <x:v>623593</x:v>
      </x:c>
      <x:c r="G854" s="8" t="str">
        <x:v>Scan / text insuficient</x:v>
      </x:c>
      <x:c r="H854" s="8" t="str">
        <x:v>Document local; transmiterea individuală neconfirmată</x:v>
      </x:c>
      <x:c r="I854" s="8" t="str"/>
      <x:c r="J854" s="8" t="e">
        <x:f>HYPERLINK("file:///Z:/00. Proiecte 2025/AFIR FotoVoltaic 1/20. ATR/1. Documente Solicitare ATR/ARTFIL PLAN PARTER.pdf","Deschide sursa")</x:f>
        <x:v>HYPERLINK is not implemented. linkLocation=file:///Z:/00. Proiecte 2025/AFIR FotoVoltaic 1/20. ATR/1. Documente Solicitare ATR/ARTFIL PLAN PARTER.pdf, friendlyName=Deschide sursa</x:v>
      </x:c>
    </x:row>
    <x:row r="855" ht="32" customHeight="1">
      <x:c r="A855" s="8" t="str">
        <x:v>F0851</x:v>
      </x:c>
      <x:c r="B855" s="8" t="str">
        <x:v>artfil utilat.pdf</x:v>
      </x:c>
      <x:c r="C855" s="8" t="str">
        <x:v>20. ATR</x:v>
      </x:c>
      <x:c r="D855" s="8" t="str">
        <x:v>Proiect fotovoltaic</x:v>
      </x:c>
      <x:c r="E855" s="8" t="str">
        <x:v>.pdf</x:v>
      </x:c>
      <x:c r="F855" s="8" t="n">
        <x:v>309798</x:v>
      </x:c>
      <x:c r="G855" s="8" t="str">
        <x:v>Text extras</x:v>
      </x:c>
      <x:c r="H855" s="8" t="str">
        <x:v>Document local; transmiterea individuală neconfirmată</x:v>
      </x:c>
      <x:c r="I855" s="8" t="str"/>
      <x:c r="J855" s="8" t="e">
        <x:f>HYPERLINK("file:///Z:/00. Proiecte 2025/AFIR FotoVoltaic 1/20. ATR/1. Documente Solicitare ATR/artfil utilat.pdf","Deschide sursa")</x:f>
        <x:v>HYPERLINK is not implemented. linkLocation=file:///Z:/00. Proiecte 2025/AFIR FotoVoltaic 1/20. ATR/1. Documente Solicitare ATR/artfil utilat.pdf, friendlyName=Deschide sursa</x:v>
      </x:c>
    </x:row>
    <x:row r="856" ht="32" customHeight="1">
      <x:c r="A856" s="8" t="str">
        <x:v>F0852</x:v>
      </x:c>
      <x:c r="B856" s="8" t="str">
        <x:v>ATR Cesiro.pdf</x:v>
      </x:c>
      <x:c r="C856" s="8" t="str">
        <x:v>20. ATR</x:v>
      </x:c>
      <x:c r="D856" s="8" t="str">
        <x:v>Proiect fotovoltaic</x:v>
      </x:c>
      <x:c r="E856" s="8" t="str">
        <x:v>.pdf</x:v>
      </x:c>
      <x:c r="F856" s="8" t="n">
        <x:v>207874</x:v>
      </x:c>
      <x:c r="G856" s="8" t="str">
        <x:v>Scan / text insuficient</x:v>
      </x:c>
      <x:c r="H856" s="8" t="str">
        <x:v>Document local; transmiterea individuală neconfirmată</x:v>
      </x:c>
      <x:c r="I856" s="8" t="str"/>
      <x:c r="J856" s="8" t="e">
        <x:f>HYPERLINK("file:///Z:/00. Proiecte 2025/AFIR FotoVoltaic 1/20. ATR/1. Documente Solicitare ATR/ATR Cesiro.pdf","Deschide sursa")</x:f>
        <x:v>HYPERLINK is not implemented. linkLocation=file:///Z:/00. Proiecte 2025/AFIR FotoVoltaic 1/20. ATR/1. Documente Solicitare ATR/ATR Cesiro.pdf, friendlyName=Deschide sursa</x:v>
      </x:c>
    </x:row>
    <x:row r="857" ht="36" customHeight="1">
      <x:c r="A857" s="8" t="str">
        <x:v>F0853</x:v>
      </x:c>
      <x:c r="B857" s="8" t="str">
        <x:v>CERERE DE EMITERE A DOUĂ AVIZE TEHNICE DE RACORDARE.docx</x:v>
      </x:c>
      <x:c r="C857" s="8" t="str">
        <x:v>20. ATR</x:v>
      </x:c>
      <x:c r="D857" s="8" t="str">
        <x:v>Proiect fotovoltaic</x:v>
      </x:c>
      <x:c r="E857" s="8" t="str">
        <x:v>.docx</x:v>
      </x:c>
      <x:c r="F857" s="8" t="n">
        <x:v>17618</x:v>
      </x:c>
      <x:c r="G857" s="8" t="str">
        <x:v>Text extras</x:v>
      </x:c>
      <x:c r="H857" s="8" t="str">
        <x:v>Document local; transmiterea individuală neconfirmată</x:v>
      </x:c>
      <x:c r="I857" s="8" t="str"/>
      <x:c r="J857" s="8" t="e">
        <x:f>HYPERLINK("file:///Z:/00. Proiecte 2025/AFIR FotoVoltaic 1/20. ATR/1. Documente Solicitare ATR/CERERE DE EMITERE A DOUĂ AVIZE TEHNICE DE RACORDARE.docx","Deschide sursa")</x:f>
        <x:v>HYPERLINK is not implemented. linkLocation=file:///Z:/00. Proiecte 2025/AFIR FotoVoltaic 1/20. ATR/1. Documente Solicitare ATR/CERERE DE EMITERE A DOUĂ AVIZE TEHNICE DE RACORDARE.docx, friendlyName=Deschide sursa</x:v>
      </x:c>
    </x:row>
    <x:row r="858" ht="36" customHeight="1">
      <x:c r="A858" s="8" t="str">
        <x:v>F0854</x:v>
      </x:c>
      <x:c r="B858" s="8" t="str">
        <x:v>cerere-si-chestionar-pentru-obtinere-atr-cu-o-putere-mai-mare-de-100-kw.pdf</x:v>
      </x:c>
      <x:c r="C858" s="8" t="str">
        <x:v>20. ATR</x:v>
      </x:c>
      <x:c r="D858" s="8" t="str">
        <x:v>Proiect fotovoltaic</x:v>
      </x:c>
      <x:c r="E858" s="8" t="str">
        <x:v>.pdf</x:v>
      </x:c>
      <x:c r="F858" s="8" t="n">
        <x:v>211535</x:v>
      </x:c>
      <x:c r="G858" s="8" t="str">
        <x:v>Text extras</x:v>
      </x:c>
      <x:c r="H858" s="8" t="str">
        <x:v>Document local; transmiterea individuală neconfirmată</x:v>
      </x:c>
      <x:c r="I858" s="8" t="str"/>
      <x:c r="J858" s="8" t="e">
        <x:f>HYPERLINK("file:///Z:/00. Proiecte 2025/AFIR FotoVoltaic 1/20. ATR/1. Documente Solicitare ATR/cerere-si-chestionar-pentru-obtinere-atr-cu-o-putere-mai-mare-de-100-kw.pdf","Deschide sursa")</x:f>
        <x:v>HYPERLINK is not implemented. linkLocation=file:///Z:/00. Proiecte 2025/AFIR FotoVoltaic 1/20. ATR/1. Documente Solicitare ATR/cerere-si-chestionar-pentru-obtinere-atr-cu-o-putere-mai-mare-de-100-kw.pdf, friendlyName=Deschide sursa</x:v>
      </x:c>
    </x:row>
    <x:row r="859" ht="36" customHeight="1">
      <x:c r="A859" s="8" t="str">
        <x:v>F0855</x:v>
      </x:c>
      <x:c r="B859" s="8" t="str">
        <x:v>GDPR ATR Distributie Energie Electrica Mures.docx</x:v>
      </x:c>
      <x:c r="C859" s="8" t="str">
        <x:v>20. ATR</x:v>
      </x:c>
      <x:c r="D859" s="8" t="str">
        <x:v>Proiect fotovoltaic</x:v>
      </x:c>
      <x:c r="E859" s="8" t="str">
        <x:v>.docx</x:v>
      </x:c>
      <x:c r="F859" s="8" t="n">
        <x:v>16680</x:v>
      </x:c>
      <x:c r="G859" s="8" t="str">
        <x:v>Text extras</x:v>
      </x:c>
      <x:c r="H859" s="8" t="str">
        <x:v>Document local; transmiterea individuală neconfirmată</x:v>
      </x:c>
      <x:c r="I859" s="8" t="str"/>
      <x:c r="J859" s="8" t="e">
        <x:f>HYPERLINK("file:///Z:/00. Proiecte 2025/AFIR FotoVoltaic 1/20. ATR/1. Documente Solicitare ATR/GDPR ATR Distributie Energie Electrica Mures.docx","Deschide sursa")</x:f>
        <x:v>HYPERLINK is not implemented. linkLocation=file:///Z:/00. Proiecte 2025/AFIR FotoVoltaic 1/20. ATR/1. Documente Solicitare ATR/GDPR ATR Distributie Energie Electrica Mures.docx, friendlyName=Deschide sursa</x:v>
      </x:c>
    </x:row>
    <x:row r="860" ht="36" customHeight="1">
      <x:c r="A860" s="8" t="str">
        <x:v>F0856</x:v>
      </x:c>
      <x:c r="B860" s="8" t="str">
        <x:v>GDPR ATR Distributie Energie Electrica Mures.pdf</x:v>
      </x:c>
      <x:c r="C860" s="8" t="str">
        <x:v>20. ATR</x:v>
      </x:c>
      <x:c r="D860" s="8" t="str">
        <x:v>Proiect fotovoltaic</x:v>
      </x:c>
      <x:c r="E860" s="8" t="str">
        <x:v>.pdf</x:v>
      </x:c>
      <x:c r="F860" s="8" t="n">
        <x:v>115257</x:v>
      </x:c>
      <x:c r="G860" s="8" t="str">
        <x:v>Text extras</x:v>
      </x:c>
      <x:c r="H860" s="8" t="str">
        <x:v>Document local; transmiterea individuală neconfirmată</x:v>
      </x:c>
      <x:c r="I860" s="8" t="str"/>
      <x:c r="J860" s="8" t="e">
        <x:f>HYPERLINK("file:///Z:/00. Proiecte 2025/AFIR FotoVoltaic 1/20. ATR/1. Documente Solicitare ATR/GDPR ATR Distributie Energie Electrica Mures.pdf","Deschide sursa")</x:f>
        <x:v>HYPERLINK is not implemented. linkLocation=file:///Z:/00. Proiecte 2025/AFIR FotoVoltaic 1/20. ATR/1. Documente Solicitare ATR/GDPR ATR Distributie Energie Electrica Mures.pdf, friendlyName=Deschide sursa</x:v>
      </x:c>
    </x:row>
    <x:row r="861" ht="36" customHeight="1">
      <x:c r="A861" s="8" t="str">
        <x:v>F0857</x:v>
      </x:c>
      <x:c r="B861" s="8" t="str">
        <x:v>GDPR Nota-informare-clienti-DEER-final.pdf</x:v>
      </x:c>
      <x:c r="C861" s="8" t="str">
        <x:v>20. ATR</x:v>
      </x:c>
      <x:c r="D861" s="8" t="str">
        <x:v>Proiect fotovoltaic</x:v>
      </x:c>
      <x:c r="E861" s="8" t="str">
        <x:v>.pdf</x:v>
      </x:c>
      <x:c r="F861" s="8" t="n">
        <x:v>304502</x:v>
      </x:c>
      <x:c r="G861" s="8" t="str">
        <x:v>Text extras</x:v>
      </x:c>
      <x:c r="H861" s="8" t="str">
        <x:v>Document local; transmiterea individuală neconfirmată</x:v>
      </x:c>
      <x:c r="I861" s="8" t="str"/>
      <x:c r="J861" s="8" t="e">
        <x:f>HYPERLINK("file:///Z:/00. Proiecte 2025/AFIR FotoVoltaic 1/20. ATR/1. Documente Solicitare ATR/GDPR Nota-informare-clienti-DEER-final.pdf","Deschide sursa")</x:f>
        <x:v>HYPERLINK is not implemented. linkLocation=file:///Z:/00. Proiecte 2025/AFIR FotoVoltaic 1/20. ATR/1. Documente Solicitare ATR/GDPR Nota-informare-clienti-DEER-final.pdf, friendlyName=Deschide sursa</x:v>
      </x:c>
    </x:row>
    <x:row r="862" ht="36" customHeight="1">
      <x:c r="A862" s="8" t="str">
        <x:v>F0858</x:v>
      </x:c>
      <x:c r="B862" s="8" t="str">
        <x:v>Plan ARTFIL scara 1 la 1000.doc</x:v>
      </x:c>
      <x:c r="C862" s="8" t="str">
        <x:v>20. ATR</x:v>
      </x:c>
      <x:c r="D862" s="8" t="str">
        <x:v>Proiect fotovoltaic</x:v>
      </x:c>
      <x:c r="E862" s="8" t="str">
        <x:v>.doc</x:v>
      </x:c>
      <x:c r="F862" s="8" t="n">
        <x:v>162816</x:v>
      </x:c>
      <x:c r="G862" s="8" t="str">
        <x:v>Inventariat; conținut neextras</x:v>
      </x:c>
      <x:c r="H862" s="8" t="str">
        <x:v>Document local; transmiterea individuală neconfirmată</x:v>
      </x:c>
      <x:c r="I862" s="8" t="str"/>
      <x:c r="J862" s="8" t="e">
        <x:f>HYPERLINK("file:///Z:/00. Proiecte 2025/AFIR FotoVoltaic 1/20. ATR/1. Documente Solicitare ATR/Plan ARTFIL scara 1 la 1000.doc","Deschide sursa")</x:f>
        <x:v>HYPERLINK is not implemented. linkLocation=file:///Z:/00. Proiecte 2025/AFIR FotoVoltaic 1/20. ATR/1. Documente Solicitare ATR/Plan ARTFIL scara 1 la 1000.doc, friendlyName=Deschide sursa</x:v>
      </x:c>
    </x:row>
    <x:row r="863" ht="36" customHeight="1">
      <x:c r="A863" s="8" t="str">
        <x:v>F0859</x:v>
      </x:c>
      <x:c r="B863" s="8" t="str">
        <x:v>Proiect Fotovoltaice Cesiro.pdf</x:v>
      </x:c>
      <x:c r="C863" s="8" t="str">
        <x:v>20. ATR</x:v>
      </x:c>
      <x:c r="D863" s="8" t="str">
        <x:v>Proiect fotovoltaic</x:v>
      </x:c>
      <x:c r="E863" s="8" t="str">
        <x:v>.pdf</x:v>
      </x:c>
      <x:c r="F863" s="8" t="n">
        <x:v>525878</x:v>
      </x:c>
      <x:c r="G863" s="8" t="str">
        <x:v>Text extras</x:v>
      </x:c>
      <x:c r="H863" s="8" t="str">
        <x:v>Document local; transmiterea individuală neconfirmată</x:v>
      </x:c>
      <x:c r="I863" s="8" t="str"/>
      <x:c r="J863" s="8" t="e">
        <x:f>HYPERLINK("file:///Z:/00. Proiecte 2025/AFIR FotoVoltaic 1/20. ATR/1. Documente Solicitare ATR/Proiect Fotovoltaice Cesiro.pdf","Deschide sursa")</x:f>
        <x:v>HYPERLINK is not implemented. linkLocation=file:///Z:/00. Proiecte 2025/AFIR FotoVoltaic 1/20. ATR/1. Documente Solicitare ATR/Proiect Fotovoltaice Cesiro.pdf, friendlyName=Deschide sursa</x:v>
      </x:c>
    </x:row>
    <x:row r="864" ht="36" customHeight="1">
      <x:c r="A864" s="8" t="str">
        <x:v>F0860</x:v>
      </x:c>
      <x:c r="B864" s="8" t="str">
        <x:v>PROTOCOL DE ÎMPĂRȚIRE A CONSUMULUI ȘI RACORDĂRII ÎNTRE IPEC SA ȘI CESIRO PRODUCTION SRL.docx</x:v>
      </x:c>
      <x:c r="C864" s="8" t="str">
        <x:v>20. ATR</x:v>
      </x:c>
      <x:c r="D864" s="8" t="str">
        <x:v>Proiect fotovoltaic</x:v>
      </x:c>
      <x:c r="E864" s="8" t="str">
        <x:v>.docx</x:v>
      </x:c>
      <x:c r="F864" s="8" t="n">
        <x:v>16880</x:v>
      </x:c>
      <x:c r="G864" s="8" t="str">
        <x:v>Text extras</x:v>
      </x:c>
      <x:c r="H864" s="8" t="str">
        <x:v>Document local; transmiterea individuală neconfirmată</x:v>
      </x:c>
      <x:c r="I864" s="8" t="str"/>
      <x:c r="J864" s="8" t="e">
        <x:f>HYPERLINK("file:///Z:/00. Proiecte 2025/AFIR FotoVoltaic 1/20. ATR/1. Documente Solicitare ATR/PROTOCOL DE ÎMPĂRȚIRE A CONSUMULUI ȘI RACORDĂRII ÎNTRE IPEC SA ȘI CESIRO PRODUCTION SRL.docx","Deschide sursa")</x:f>
        <x:v>HYPERLINK is not implemented. linkLocation=file:///Z:/00. Proiecte 2025/AFIR FotoVoltaic 1/20. ATR/1. Documente Solicitare ATR/PROTOCOL DE ÎMPĂRȚIRE A CONSUMULUI ȘI RACORDĂRII ÎNTRE IPEC SA ȘI CESIRO PRODUCTION SRL.docx, friendlyName=Deschide sursa</x:v>
      </x:c>
    </x:row>
    <x:row r="865" ht="36" customHeight="1">
      <x:c r="A865" s="8" t="str">
        <x:v>F0861</x:v>
      </x:c>
      <x:c r="B865" s="8" t="str">
        <x:v>SaCERERE DE MODIFICARE ATR.docx</x:v>
      </x:c>
      <x:c r="C865" s="8" t="str">
        <x:v>20. ATR</x:v>
      </x:c>
      <x:c r="D865" s="8" t="str">
        <x:v>Proiect fotovoltaic</x:v>
      </x:c>
      <x:c r="E865" s="8" t="str">
        <x:v>.docx</x:v>
      </x:c>
      <x:c r="F865" s="8" t="n">
        <x:v>18132</x:v>
      </x:c>
      <x:c r="G865" s="8" t="str">
        <x:v>Text extras</x:v>
      </x:c>
      <x:c r="H865" s="8" t="str">
        <x:v>Document local; transmiterea individuală neconfirmată</x:v>
      </x:c>
      <x:c r="I865" s="8" t="str"/>
      <x:c r="J865" s="8" t="e">
        <x:f>HYPERLINK("file:///Z:/00. Proiecte 2025/AFIR FotoVoltaic 1/20. ATR/1. Documente Solicitare ATR/SaCERERE DE MODIFICARE ATR.docx","Deschide sursa")</x:f>
        <x:v>HYPERLINK is not implemented. linkLocation=file:///Z:/00. Proiecte 2025/AFIR FotoVoltaic 1/20. ATR/1. Documente Solicitare ATR/SaCERERE DE MODIFICARE ATR.docx, friendlyName=Deschide sursa</x:v>
      </x:c>
    </x:row>
    <x:row r="866" ht="36" customHeight="1">
      <x:c r="A866" s="8" t="str">
        <x:v>F0862</x:v>
      </x:c>
      <x:c r="B866" s="8" t="str">
        <x:v>Tema de proiectare schema monofilara sistemului fotovoltaic CESIRO 1MW.docx</x:v>
      </x:c>
      <x:c r="C866" s="8" t="str">
        <x:v>20. ATR</x:v>
      </x:c>
      <x:c r="D866" s="8" t="str">
        <x:v>Proiect fotovoltaic</x:v>
      </x:c>
      <x:c r="E866" s="8" t="str">
        <x:v>.docx</x:v>
      </x:c>
      <x:c r="F866" s="8" t="n">
        <x:v>22718</x:v>
      </x:c>
      <x:c r="G866" s="8" t="str">
        <x:v>Text extras</x:v>
      </x:c>
      <x:c r="H866" s="8" t="str">
        <x:v>Document local; transmiterea individuală neconfirmată</x:v>
      </x:c>
      <x:c r="I866" s="8" t="str"/>
      <x:c r="J866" s="8" t="e">
        <x:f>HYPERLINK("file:///Z:/00. Proiecte 2025/AFIR FotoVoltaic 1/20. ATR/1. Documente Solicitare ATR/Tema de proiectare schema monofilara sistemului fotovoltaic CESIRO 1MW.docx","Deschide sursa")</x:f>
        <x:v>HYPERLINK is not implemented. linkLocation=file:///Z:/00. Proiecte 2025/AFIR FotoVoltaic 1/20. ATR/1. Documente Solicitare ATR/Tema de proiectare schema monofilara sistemului fotovoltaic CESIRO 1MW.docx, friendlyName=Deschide sursa</x:v>
      </x:c>
    </x:row>
    <x:row r="867" ht="36" customHeight="1">
      <x:c r="A867" s="8" t="str">
        <x:v>F0863</x:v>
      </x:c>
      <x:c r="B867" s="8" t="str">
        <x:v>CI Nou Cosmin Covaciu 2025 semnat (1) (1).pdf</x:v>
      </x:c>
      <x:c r="C867" s="8" t="str">
        <x:v>20. ATR</x:v>
      </x:c>
      <x:c r="D867" s="8" t="str">
        <x:v>Proiect fotovoltaic</x:v>
      </x:c>
      <x:c r="E867" s="8" t="str">
        <x:v>.pdf</x:v>
      </x:c>
      <x:c r="F867" s="8" t="n">
        <x:v>2975908</x:v>
      </x:c>
      <x:c r="G867" s="8" t="str">
        <x:v>Scan / text insuficient</x:v>
      </x:c>
      <x:c r="H867" s="8" t="str">
        <x:v>Document local; transmiterea individuală neconfirmată</x:v>
      </x:c>
      <x:c r="I867" s="8" t="str"/>
      <x:c r="J867" s="8" t="e">
        <x:f>HYPERLINK("file:///Z:/00. Proiecte 2025/AFIR FotoVoltaic 1/20. ATR/2026.05.19 de semnat/CI Nou Cosmin Covaciu 2025 semnat (1) (1).pdf","Deschide sursa")</x:f>
        <x:v>HYPERLINK is not implemented. linkLocation=file:///Z:/00. Proiecte 2025/AFIR FotoVoltaic 1/20. ATR/2026.05.19 de semnat/CI Nou Cosmin Covaciu 2025 semnat (1) (1).pdf, friendlyName=Deschide sursa</x:v>
      </x:c>
    </x:row>
    <x:row r="868" ht="32" customHeight="1">
      <x:c r="A868" s="8" t="str">
        <x:v>F0864</x:v>
      </x:c>
      <x:c r="B868" s="8" t="str">
        <x:v>Contract de prestări servicii.pdf</x:v>
      </x:c>
      <x:c r="C868" s="8" t="str">
        <x:v>20. ATR</x:v>
      </x:c>
      <x:c r="D868" s="8" t="str">
        <x:v>Proiect fotovoltaic</x:v>
      </x:c>
      <x:c r="E868" s="8" t="str">
        <x:v>.pdf</x:v>
      </x:c>
      <x:c r="F868" s="8" t="n">
        <x:v>355948</x:v>
      </x:c>
      <x:c r="G868" s="8" t="str">
        <x:v>Text extras</x:v>
      </x:c>
      <x:c r="H868" s="8" t="str">
        <x:v>Document local; transmiterea individuală neconfirmată</x:v>
      </x:c>
      <x:c r="I868" s="8" t="str"/>
      <x:c r="J868" s="8" t="e">
        <x:f>HYPERLINK("file:///Z:/00. Proiecte 2025/AFIR FotoVoltaic 1/20. ATR/2026.05.19 de semnat/Contract de prestări servicii.pdf","Deschide sursa")</x:f>
        <x:v>HYPERLINK is not implemented. linkLocation=file:///Z:/00. Proiecte 2025/AFIR FotoVoltaic 1/20. ATR/2026.05.19 de semnat/Contract de prestări servicii.pdf, friendlyName=Deschide sursa</x:v>
      </x:c>
    </x:row>
    <x:row r="869" ht="32" customHeight="1">
      <x:c r="A869" s="8" t="str">
        <x:v>F0865</x:v>
      </x:c>
      <x:c r="B869" s="8" t="str">
        <x:v>CUI Cesiro Production.pdf</x:v>
      </x:c>
      <x:c r="C869" s="8" t="str">
        <x:v>20. ATR</x:v>
      </x:c>
      <x:c r="D869" s="8" t="str">
        <x:v>Proiect fotovoltaic</x:v>
      </x:c>
      <x:c r="E869" s="8" t="str">
        <x:v>.pdf</x:v>
      </x:c>
      <x:c r="F869" s="8" t="n">
        <x:v>62687</x:v>
      </x:c>
      <x:c r="G869" s="8" t="str">
        <x:v>Scan / text insuficient</x:v>
      </x:c>
      <x:c r="H869" s="8" t="str">
        <x:v>Document local; transmiterea individuală neconfirmată</x:v>
      </x:c>
      <x:c r="I869" s="8" t="str"/>
      <x:c r="J869" s="8" t="e">
        <x:f>HYPERLINK("file:///Z:/00. Proiecte 2025/AFIR FotoVoltaic 1/20. ATR/2026.05.19 de semnat/CUI Cesiro Production.pdf","Deschide sursa")</x:f>
        <x:v>HYPERLINK is not implemented. linkLocation=file:///Z:/00. Proiecte 2025/AFIR FotoVoltaic 1/20. ATR/2026.05.19 de semnat/CUI Cesiro Production.pdf, friendlyName=Deschide sursa</x:v>
      </x:c>
    </x:row>
    <x:row r="870" ht="32" customHeight="1">
      <x:c r="A870" s="8" t="str">
        <x:v>F0866</x:v>
      </x:c>
      <x:c r="B870" s="8" t="str">
        <x:v>DATR011 ProsumatorPJ.pdf</x:v>
      </x:c>
      <x:c r="C870" s="8" t="str">
        <x:v>20. ATR</x:v>
      </x:c>
      <x:c r="D870" s="8" t="str">
        <x:v>Proiect fotovoltaic</x:v>
      </x:c>
      <x:c r="E870" s="8" t="str">
        <x:v>.pdf</x:v>
      </x:c>
      <x:c r="F870" s="8" t="n">
        <x:v>565630</x:v>
      </x:c>
      <x:c r="G870" s="8" t="str">
        <x:v>Text extras</x:v>
      </x:c>
      <x:c r="H870" s="8" t="str">
        <x:v>Document local; transmiterea individuală neconfirmată</x:v>
      </x:c>
      <x:c r="I870" s="8" t="str"/>
      <x:c r="J870" s="8" t="e">
        <x:f>HYPERLINK("file:///Z:/00. Proiecte 2025/AFIR FotoVoltaic 1/20. ATR/2026.05.19 de semnat/DATR011 ProsumatorPJ.pdf","Deschide sursa")</x:f>
        <x:v>HYPERLINK is not implemented. linkLocation=file:///Z:/00. Proiecte 2025/AFIR FotoVoltaic 1/20. ATR/2026.05.19 de semnat/DATR011 ProsumatorPJ.pdf, friendlyName=Deschide sursa</x:v>
      </x:c>
    </x:row>
    <x:row r="871" ht="36" customHeight="1">
      <x:c r="A871" s="8" t="str">
        <x:v>F0867</x:v>
      </x:c>
      <x:c r="B871" s="8" t="str">
        <x:v>Notificare-utilizator-incheiere-contract-cu-tert-Ordin-181 (1).pdf</x:v>
      </x:c>
      <x:c r="C871" s="8" t="str">
        <x:v>20. ATR</x:v>
      </x:c>
      <x:c r="D871" s="8" t="str">
        <x:v>Proiect fotovoltaic</x:v>
      </x:c>
      <x:c r="E871" s="8" t="str">
        <x:v>.pdf</x:v>
      </x:c>
      <x:c r="F871" s="8" t="n">
        <x:v>424573</x:v>
      </x:c>
      <x:c r="G871" s="8" t="str">
        <x:v>Text extras</x:v>
      </x:c>
      <x:c r="H871" s="8" t="str">
        <x:v>Document local; transmiterea individuală neconfirmată</x:v>
      </x:c>
      <x:c r="I871" s="8" t="str"/>
      <x:c r="J871" s="8" t="e">
        <x:f>HYPERLINK("file:///Z:/00. Proiecte 2025/AFIR FotoVoltaic 1/20. ATR/2026.05.19 de semnat/Notificare-utilizator-incheiere-contract-cu-tert-Ordin-181 (1).pdf","Deschide sursa")</x:f>
        <x:v>HYPERLINK is not implemented. linkLocation=file:///Z:/00. Proiecte 2025/AFIR FotoVoltaic 1/20. ATR/2026.05.19 de semnat/Notificare-utilizator-incheiere-contract-cu-tert-Ordin-181 (1).pdf, friendlyName=Deschide sursa</x:v>
      </x:c>
    </x:row>
    <x:row r="872" ht="32" customHeight="1">
      <x:c r="A872" s="8" t="str">
        <x:v>F0868</x:v>
      </x:c>
      <x:c r="B872" s="8" t="str">
        <x:v>Reglare Protectii.pdf</x:v>
      </x:c>
      <x:c r="C872" s="8" t="str">
        <x:v>20. ATR</x:v>
      </x:c>
      <x:c r="D872" s="8" t="str">
        <x:v>Proiect fotovoltaic</x:v>
      </x:c>
      <x:c r="E872" s="8" t="str">
        <x:v>.pdf</x:v>
      </x:c>
      <x:c r="F872" s="8" t="n">
        <x:v>290029</x:v>
      </x:c>
      <x:c r="G872" s="8" t="str">
        <x:v>Text extras</x:v>
      </x:c>
      <x:c r="H872" s="8" t="str">
        <x:v>Document local; transmiterea individuală neconfirmată</x:v>
      </x:c>
      <x:c r="I872" s="8" t="str"/>
      <x:c r="J872" s="8" t="e">
        <x:f>HYPERLINK("file:///Z:/00. Proiecte 2025/AFIR FotoVoltaic 1/20. ATR/2026.05.19 de semnat/Reglare Protectii.pdf","Deschide sursa")</x:f>
        <x:v>HYPERLINK is not implemented. linkLocation=file:///Z:/00. Proiecte 2025/AFIR FotoVoltaic 1/20. ATR/2026.05.19 de semnat/Reglare Protectii.pdf, friendlyName=Deschide sursa</x:v>
      </x:c>
    </x:row>
    <x:row r="873" ht="36" customHeight="1">
      <x:c r="A873" s="8" t="str">
        <x:v>F0869</x:v>
      </x:c>
      <x:c r="B873" s="8" t="str">
        <x:v>CI Nou Cosmin Covaciu 2025 semnat (1) (1).pdf</x:v>
      </x:c>
      <x:c r="C873" s="8" t="str">
        <x:v>20. ATR</x:v>
      </x:c>
      <x:c r="D873" s="8" t="str">
        <x:v>Proiect fotovoltaic</x:v>
      </x:c>
      <x:c r="E873" s="8" t="str">
        <x:v>.pdf</x:v>
      </x:c>
      <x:c r="F873" s="8" t="n">
        <x:v>2975908</x:v>
      </x:c>
      <x:c r="G873" s="8" t="str">
        <x:v>Scan / text insuficient</x:v>
      </x:c>
      <x:c r="H873" s="8" t="str">
        <x:v>Document local; transmiterea individuală neconfirmată</x:v>
      </x:c>
      <x:c r="I873" s="8" t="str">
        <x:v>F0863</x:v>
      </x:c>
      <x:c r="J873" s="8" t="e">
        <x:f>HYPERLINK("file:///Z:/00. Proiecte 2025/AFIR FotoVoltaic 1/20. ATR/2026.05.19 semnat/CI Nou Cosmin Covaciu 2025 semnat (1) (1).pdf","Deschide sursa")</x:f>
        <x:v>HYPERLINK is not implemented. linkLocation=file:///Z:/00. Proiecte 2025/AFIR FotoVoltaic 1/20. ATR/2026.05.19 semnat/CI Nou Cosmin Covaciu 2025 semnat (1) (1).pdf, friendlyName=Deschide sursa</x:v>
      </x:c>
    </x:row>
    <x:row r="874" ht="32" customHeight="1">
      <x:c r="A874" s="8" t="str">
        <x:v>F0870</x:v>
      </x:c>
      <x:c r="B874" s="8" t="str">
        <x:v>Contract de prestări servicii.pdf</x:v>
      </x:c>
      <x:c r="C874" s="8" t="str">
        <x:v>20. ATR</x:v>
      </x:c>
      <x:c r="D874" s="8" t="str">
        <x:v>Proiect fotovoltaic</x:v>
      </x:c>
      <x:c r="E874" s="8" t="str">
        <x:v>.pdf</x:v>
      </x:c>
      <x:c r="F874" s="8" t="n">
        <x:v>421522</x:v>
      </x:c>
      <x:c r="G874" s="8" t="str">
        <x:v>Text extras</x:v>
      </x:c>
      <x:c r="H874" s="8" t="str">
        <x:v>Document local; transmiterea individuală neconfirmată</x:v>
      </x:c>
      <x:c r="I874" s="8" t="str"/>
      <x:c r="J874" s="8" t="e">
        <x:f>HYPERLINK("file:///Z:/00. Proiecte 2025/AFIR FotoVoltaic 1/20. ATR/2026.05.19 semnat/Contract de prestări servicii.pdf","Deschide sursa")</x:f>
        <x:v>HYPERLINK is not implemented. linkLocation=file:///Z:/00. Proiecte 2025/AFIR FotoVoltaic 1/20. ATR/2026.05.19 semnat/Contract de prestări servicii.pdf, friendlyName=Deschide sursa</x:v>
      </x:c>
    </x:row>
    <x:row r="875" ht="32" customHeight="1">
      <x:c r="A875" s="8" t="str">
        <x:v>F0871</x:v>
      </x:c>
      <x:c r="B875" s="8" t="str">
        <x:v>CUI Cesiro Production.pdf</x:v>
      </x:c>
      <x:c r="C875" s="8" t="str">
        <x:v>20. ATR</x:v>
      </x:c>
      <x:c r="D875" s="8" t="str">
        <x:v>Proiect fotovoltaic</x:v>
      </x:c>
      <x:c r="E875" s="8" t="str">
        <x:v>.pdf</x:v>
      </x:c>
      <x:c r="F875" s="8" t="n">
        <x:v>139787</x:v>
      </x:c>
      <x:c r="G875" s="8" t="str">
        <x:v>Scan / text insuficient</x:v>
      </x:c>
      <x:c r="H875" s="8" t="str">
        <x:v>Document local; transmiterea individuală neconfirmată</x:v>
      </x:c>
      <x:c r="I875" s="8" t="str"/>
      <x:c r="J875" s="8" t="e">
        <x:f>HYPERLINK("file:///Z:/00. Proiecte 2025/AFIR FotoVoltaic 1/20. ATR/2026.05.19 semnat/CUI Cesiro Production.pdf","Deschide sursa")</x:f>
        <x:v>HYPERLINK is not implemented. linkLocation=file:///Z:/00. Proiecte 2025/AFIR FotoVoltaic 1/20. ATR/2026.05.19 semnat/CUI Cesiro Production.pdf, friendlyName=Deschide sursa</x:v>
      </x:c>
    </x:row>
    <x:row r="876" ht="32" customHeight="1">
      <x:c r="A876" s="8" t="str">
        <x:v>F0872</x:v>
      </x:c>
      <x:c r="B876" s="8" t="str">
        <x:v>DATR011 ProsumatorPJ.pdf</x:v>
      </x:c>
      <x:c r="C876" s="8" t="str">
        <x:v>20. ATR</x:v>
      </x:c>
      <x:c r="D876" s="8" t="str">
        <x:v>Proiect fotovoltaic</x:v>
      </x:c>
      <x:c r="E876" s="8" t="str">
        <x:v>.pdf</x:v>
      </x:c>
      <x:c r="F876" s="8" t="n">
        <x:v>585392</x:v>
      </x:c>
      <x:c r="G876" s="8" t="str">
        <x:v>Text extras</x:v>
      </x:c>
      <x:c r="H876" s="8" t="str">
        <x:v>Document local; transmiterea individuală neconfirmată</x:v>
      </x:c>
      <x:c r="I876" s="8" t="str"/>
      <x:c r="J876" s="8" t="e">
        <x:f>HYPERLINK("file:///Z:/00. Proiecte 2025/AFIR FotoVoltaic 1/20. ATR/2026.05.19 semnat/DATR011 ProsumatorPJ.pdf","Deschide sursa")</x:f>
        <x:v>HYPERLINK is not implemented. linkLocation=file:///Z:/00. Proiecte 2025/AFIR FotoVoltaic 1/20. ATR/2026.05.19 semnat/DATR011 ProsumatorPJ.pdf, friendlyName=Deschide sursa</x:v>
      </x:c>
    </x:row>
    <x:row r="877" ht="36" customHeight="1">
      <x:c r="A877" s="8" t="str">
        <x:v>F0873</x:v>
      </x:c>
      <x:c r="B877" s="8" t="str">
        <x:v>Notificare-utilizator-incheiere-contract-cu-tert-Ordin-181 (1).pdf</x:v>
      </x:c>
      <x:c r="C877" s="8" t="str">
        <x:v>20. ATR</x:v>
      </x:c>
      <x:c r="D877" s="8" t="str">
        <x:v>Proiect fotovoltaic</x:v>
      </x:c>
      <x:c r="E877" s="8" t="str">
        <x:v>.pdf</x:v>
      </x:c>
      <x:c r="F877" s="8" t="n">
        <x:v>486948</x:v>
      </x:c>
      <x:c r="G877" s="8" t="str">
        <x:v>Text extras</x:v>
      </x:c>
      <x:c r="H877" s="8" t="str">
        <x:v>Document local; transmiterea individuală neconfirmată</x:v>
      </x:c>
      <x:c r="I877" s="8" t="str"/>
      <x:c r="J877" s="8" t="e">
        <x:f>HYPERLINK("file:///Z:/00. Proiecte 2025/AFIR FotoVoltaic 1/20. ATR/2026.05.19 semnat/Notificare-utilizator-incheiere-contract-cu-tert-Ordin-181 (1).pdf","Deschide sursa")</x:f>
        <x:v>HYPERLINK is not implemented. linkLocation=file:///Z:/00. Proiecte 2025/AFIR FotoVoltaic 1/20. ATR/2026.05.19 semnat/Notificare-utilizator-incheiere-contract-cu-tert-Ordin-181 (1).pdf, friendlyName=Deschide sursa</x:v>
      </x:c>
    </x:row>
    <x:row r="878" ht="32" customHeight="1">
      <x:c r="A878" s="8" t="str">
        <x:v>F0874</x:v>
      </x:c>
      <x:c r="B878" s="8" t="str">
        <x:v>Reglare Protectii.pdf</x:v>
      </x:c>
      <x:c r="C878" s="8" t="str">
        <x:v>20. ATR</x:v>
      </x:c>
      <x:c r="D878" s="8" t="str">
        <x:v>Proiect fotovoltaic</x:v>
      </x:c>
      <x:c r="E878" s="8" t="str">
        <x:v>.pdf</x:v>
      </x:c>
      <x:c r="F878" s="8" t="n">
        <x:v>352590</x:v>
      </x:c>
      <x:c r="G878" s="8" t="str">
        <x:v>Text extras</x:v>
      </x:c>
      <x:c r="H878" s="8" t="str">
        <x:v>Document local; transmiterea individuală neconfirmată</x:v>
      </x:c>
      <x:c r="I878" s="8" t="str"/>
      <x:c r="J878" s="8" t="e">
        <x:f>HYPERLINK("file:///Z:/00. Proiecte 2025/AFIR FotoVoltaic 1/20. ATR/2026.05.19 semnat/Reglare Protectii.pdf","Deschide sursa")</x:f>
        <x:v>HYPERLINK is not implemented. linkLocation=file:///Z:/00. Proiecte 2025/AFIR FotoVoltaic 1/20. ATR/2026.05.19 semnat/Reglare Protectii.pdf, friendlyName=Deschide sursa</x:v>
      </x:c>
    </x:row>
    <x:row r="879" ht="32" customHeight="1">
      <x:c r="A879" s="8" t="str">
        <x:v>F0875</x:v>
      </x:c>
      <x:c r="B879" s="8" t="str">
        <x:v>F_8016085802_MS2250036875_05-08-2026.pdf</x:v>
      </x:c>
      <x:c r="C879" s="8" t="str">
        <x:v>20. ATR</x:v>
      </x:c>
      <x:c r="D879" s="8" t="str">
        <x:v>Proiect fotovoltaic</x:v>
      </x:c>
      <x:c r="E879" s="8" t="str">
        <x:v>.pdf</x:v>
      </x:c>
      <x:c r="F879" s="8" t="n">
        <x:v>29301</x:v>
      </x:c>
      <x:c r="G879" s="8" t="str">
        <x:v>Text extras</x:v>
      </x:c>
      <x:c r="H879" s="8" t="str">
        <x:v>Document local; transmiterea individuală neconfirmată</x:v>
      </x:c>
      <x:c r="I879" s="8" t="str"/>
      <x:c r="J879" s="8" t="e">
        <x:f>HYPERLINK("file:///Z:/00. Proiecte 2025/AFIR FotoVoltaic 1/20. ATR/2026.08.11/F_8016085802_MS2250036875_05-08-2026.pdf","Deschide sursa")</x:f>
        <x:v>HYPERLINK is not implemented. linkLocation=file:///Z:/00. Proiecte 2025/AFIR FotoVoltaic 1/20. ATR/2026.08.11/F_8016085802_MS2250036875_05-08-2026.pdf, friendlyName=Deschide sursa</x:v>
      </x:c>
    </x:row>
    <x:row r="880" ht="32" customHeight="1">
      <x:c r="A880" s="8" t="str">
        <x:v>F0876</x:v>
      </x:c>
      <x:c r="B880" s="8" t="str">
        <x:v>F_8100240401_MS2250036867_05-08-2026.pdf</x:v>
      </x:c>
      <x:c r="C880" s="8" t="str">
        <x:v>20. ATR</x:v>
      </x:c>
      <x:c r="D880" s="8" t="str">
        <x:v>Proiect fotovoltaic</x:v>
      </x:c>
      <x:c r="E880" s="8" t="str">
        <x:v>.pdf</x:v>
      </x:c>
      <x:c r="F880" s="8" t="n">
        <x:v>29508</x:v>
      </x:c>
      <x:c r="G880" s="8" t="str">
        <x:v>Text extras</x:v>
      </x:c>
      <x:c r="H880" s="8" t="str">
        <x:v>Document local; transmiterea individuală neconfirmată</x:v>
      </x:c>
      <x:c r="I880" s="8" t="str"/>
      <x:c r="J880" s="8" t="e">
        <x:f>HYPERLINK("file:///Z:/00. Proiecte 2025/AFIR FotoVoltaic 1/20. ATR/2026.08.11/F_8100240401_MS2250036867_05-08-2026.pdf","Deschide sursa")</x:f>
        <x:v>HYPERLINK is not implemented. linkLocation=file:///Z:/00. Proiecte 2025/AFIR FotoVoltaic 1/20. ATR/2026.08.11/F_8100240401_MS2250036867_05-08-2026.pdf, friendlyName=Deschide sursa</x:v>
      </x:c>
    </x:row>
    <x:row r="881" ht="32" customHeight="1">
      <x:c r="A881" s="8" t="str">
        <x:v>F0877</x:v>
      </x:c>
      <x:c r="B881" s="8" t="str">
        <x:v>F_8100240715_MS2250036868_05-08-2026.pdf</x:v>
      </x:c>
      <x:c r="C881" s="8" t="str">
        <x:v>20. ATR</x:v>
      </x:c>
      <x:c r="D881" s="8" t="str">
        <x:v>Proiect fotovoltaic</x:v>
      </x:c>
      <x:c r="E881" s="8" t="str">
        <x:v>.pdf</x:v>
      </x:c>
      <x:c r="F881" s="8" t="n">
        <x:v>29509</x:v>
      </x:c>
      <x:c r="G881" s="8" t="str">
        <x:v>Text extras</x:v>
      </x:c>
      <x:c r="H881" s="8" t="str">
        <x:v>Document local; transmiterea individuală neconfirmată</x:v>
      </x:c>
      <x:c r="I881" s="8" t="str"/>
      <x:c r="J881" s="8" t="e">
        <x:f>HYPERLINK("file:///Z:/00. Proiecte 2025/AFIR FotoVoltaic 1/20. ATR/2026.08.11/F_8100240715_MS2250036868_05-08-2026.pdf","Deschide sursa")</x:f>
        <x:v>HYPERLINK is not implemented. linkLocation=file:///Z:/00. Proiecte 2025/AFIR FotoVoltaic 1/20. ATR/2026.08.11/F_8100240715_MS2250036868_05-08-2026.pdf, friendlyName=Deschide sursa</x:v>
      </x:c>
    </x:row>
    <x:row r="882" ht="32" customHeight="1">
      <x:c r="A882" s="8" t="str">
        <x:v>F0878</x:v>
      </x:c>
      <x:c r="B882" s="8" t="str">
        <x:v>DATR006 Prosumator Ord.pdf</x:v>
      </x:c>
      <x:c r="C882" s="8" t="str">
        <x:v>20. ATR</x:v>
      </x:c>
      <x:c r="D882" s="8" t="str">
        <x:v>Proiect fotovoltaic</x:v>
      </x:c>
      <x:c r="E882" s="8" t="str">
        <x:v>.pdf</x:v>
      </x:c>
      <x:c r="F882" s="8" t="n">
        <x:v>451493</x:v>
      </x:c>
      <x:c r="G882" s="8" t="str">
        <x:v>Text extras</x:v>
      </x:c>
      <x:c r="H882" s="8" t="str">
        <x:v>Document local; transmiterea individuală neconfirmată</x:v>
      </x:c>
      <x:c r="I882" s="8" t="str"/>
      <x:c r="J882" s="8" t="e">
        <x:f>HYPERLINK("file:///Z:/00. Proiecte 2025/AFIR FotoVoltaic 1/20. ATR/2026.08.12/DATR006 Prosumator Ord.pdf","Deschide sursa")</x:f>
        <x:v>HYPERLINK is not implemented. linkLocation=file:///Z:/00. Proiecte 2025/AFIR FotoVoltaic 1/20. ATR/2026.08.12/DATR006 Prosumator Ord.pdf, friendlyName=Deschide sursa</x:v>
      </x:c>
    </x:row>
    <x:row r="883" ht="32" customHeight="1">
      <x:c r="A883" s="8" t="str">
        <x:v>F0879</x:v>
      </x:c>
      <x:c r="B883" s="8" t="str">
        <x:v>DATR011 ProsumatorPJ v0.pdf</x:v>
      </x:c>
      <x:c r="C883" s="8" t="str">
        <x:v>20. ATR</x:v>
      </x:c>
      <x:c r="D883" s="8" t="str">
        <x:v>Proiect fotovoltaic</x:v>
      </x:c>
      <x:c r="E883" s="8" t="str">
        <x:v>.pdf</x:v>
      </x:c>
      <x:c r="F883" s="8" t="n">
        <x:v>364606</x:v>
      </x:c>
      <x:c r="G883" s="8" t="str">
        <x:v>Text extras</x:v>
      </x:c>
      <x:c r="H883" s="8" t="str">
        <x:v>Document local; transmiterea individuală neconfirmată</x:v>
      </x:c>
      <x:c r="I883" s="8" t="str"/>
      <x:c r="J883" s="8" t="e">
        <x:f>HYPERLINK("file:///Z:/00. Proiecte 2025/AFIR FotoVoltaic 1/20. ATR/2026.08.12/DATR011 ProsumatorPJ v0.pdf","Deschide sursa")</x:f>
        <x:v>HYPERLINK is not implemented. linkLocation=file:///Z:/00. Proiecte 2025/AFIR FotoVoltaic 1/20. ATR/2026.08.12/DATR011 ProsumatorPJ v0.pdf, friendlyName=Deschide sursa</x:v>
      </x:c>
    </x:row>
    <x:row r="884" ht="32" customHeight="1">
      <x:c r="A884" s="8" t="str">
        <x:v>F0880</x:v>
      </x:c>
      <x:c r="B884" s="8" t="str">
        <x:v>DATR011 ProsumatorPJ.pdf</x:v>
      </x:c>
      <x:c r="C884" s="8" t="str">
        <x:v>20. ATR</x:v>
      </x:c>
      <x:c r="D884" s="8" t="str">
        <x:v>Proiect fotovoltaic</x:v>
      </x:c>
      <x:c r="E884" s="8" t="str">
        <x:v>.pdf</x:v>
      </x:c>
      <x:c r="F884" s="8" t="n">
        <x:v>388076</x:v>
      </x:c>
      <x:c r="G884" s="8" t="str">
        <x:v>Text extras</x:v>
      </x:c>
      <x:c r="H884" s="8" t="str">
        <x:v>Document local; transmiterea individuală neconfirmată</x:v>
      </x:c>
      <x:c r="I884" s="8" t="str"/>
      <x:c r="J884" s="8" t="e">
        <x:f>HYPERLINK("file:///Z:/00. Proiecte 2025/AFIR FotoVoltaic 1/20. ATR/2026.08.12/DATR011 ProsumatorPJ.pdf","Deschide sursa")</x:f>
        <x:v>HYPERLINK is not implemented. linkLocation=file:///Z:/00. Proiecte 2025/AFIR FotoVoltaic 1/20. ATR/2026.08.12/DATR011 ProsumatorPJ.pdf, friendlyName=Deschide sursa</x:v>
      </x:c>
    </x:row>
    <x:row r="885" ht="32" customHeight="1">
      <x:c r="A885" s="8" t="str">
        <x:v>F0881</x:v>
      </x:c>
      <x:c r="B885" s="8" t="str">
        <x:v>Obligațiile conform ATR.docx</x:v>
      </x:c>
      <x:c r="C885" s="8" t="str">
        <x:v>20. ATR</x:v>
      </x:c>
      <x:c r="D885" s="8" t="str">
        <x:v>Proiect fotovoltaic</x:v>
      </x:c>
      <x:c r="E885" s="8" t="str">
        <x:v>.docx</x:v>
      </x:c>
      <x:c r="F885" s="8" t="n">
        <x:v>15546</x:v>
      </x:c>
      <x:c r="G885" s="8" t="str">
        <x:v>Text extras</x:v>
      </x:c>
      <x:c r="H885" s="8" t="str">
        <x:v>Document local; transmiterea individuală neconfirmată</x:v>
      </x:c>
      <x:c r="I885" s="8" t="str"/>
      <x:c r="J885" s="8" t="e">
        <x:f>HYPERLINK("file:///Z:/00. Proiecte 2025/AFIR FotoVoltaic 1/20. ATR/2026.08.12/Obligațiile conform ATR.docx","Deschide sursa")</x:f>
        <x:v>HYPERLINK is not implemented. linkLocation=file:///Z:/00. Proiecte 2025/AFIR FotoVoltaic 1/20. ATR/2026.08.12/Obligațiile conform ATR.docx, friendlyName=Deschide sursa</x:v>
      </x:c>
    </x:row>
    <x:row r="886" ht="36" customHeight="1">
      <x:c r="A886" s="8" t="str">
        <x:v>F0882</x:v>
      </x:c>
      <x:c r="B886" s="8" t="str">
        <x:v>5.-Cerere-de-racordare-prosumator-–-prin-programe-de-finantare-Anexa-4.docx</x:v>
      </x:c>
      <x:c r="C886" s="8" t="str">
        <x:v>20. ATR</x:v>
      </x:c>
      <x:c r="D886" s="8" t="str">
        <x:v>Proiect fotovoltaic</x:v>
      </x:c>
      <x:c r="E886" s="8" t="str">
        <x:v>.docx</x:v>
      </x:c>
      <x:c r="F886" s="8" t="n">
        <x:v>31078</x:v>
      </x:c>
      <x:c r="G886" s="8" t="str">
        <x:v>Text extras</x:v>
      </x:c>
      <x:c r="H886" s="8" t="str">
        <x:v>Document local; transmiterea individuală neconfirmată</x:v>
      </x:c>
      <x:c r="I886" s="8" t="str"/>
      <x:c r="J886" s="8" t="e">
        <x:f>HYPERLINK("file:///Z:/00. Proiecte 2025/AFIR FotoVoltaic 1/20. ATR/1. Documente Solicitare ATR/2025.05.05 cerere de inscriere nume in ATR/5.-Cerere-de-racordare-prosumator-–-prin-programe-de-finantare-Anexa-4.docx","Deschide sursa")</x:f>
        <x:v>HYPERLINK is not implemented. linkLocation=file:///Z:/00. Proiecte 2025/AFIR FotoVoltaic 1/20. ATR/1. Documente Solicitare ATR/2025.05.05 cerere de inscriere nume in ATR/5.-Cerere-de-racordare-prosumator-–-prin-programe-de-finantare-Anexa-4.docx, friendlyName=Deschide sursa</x:v>
      </x:c>
    </x:row>
    <x:row r="887" ht="36" customHeight="1">
      <x:c r="A887" s="8" t="str">
        <x:v>F0883</x:v>
      </x:c>
      <x:c r="B887" s="8" t="str">
        <x:v>2. Loc de consum existent_Anexa nr 2.docx</x:v>
      </x:c>
      <x:c r="C887" s="8" t="str">
        <x:v>20. ATR</x:v>
      </x:c>
      <x:c r="D887" s="8" t="str">
        <x:v>Proiect fotovoltaic</x:v>
      </x:c>
      <x:c r="E887" s="8" t="str">
        <x:v>.docx</x:v>
      </x:c>
      <x:c r="F887" s="8" t="n">
        <x:v>25896</x:v>
      </x:c>
      <x:c r="G887" s="8" t="str">
        <x:v>Text extras</x:v>
      </x:c>
      <x:c r="H887" s="8" t="str">
        <x:v>Document local; transmiterea individuală neconfirmată</x:v>
      </x:c>
      <x:c r="I887" s="8" t="str"/>
      <x:c r="J887" s="8" t="e">
        <x:f>HYPERLINK("file:///Z:/00. Proiecte 2025/AFIR FotoVoltaic 1/20. ATR/1. Documente Solicitare ATR/ACTE Tg. Mures/2. Loc de consum existent_Anexa nr 2.docx","Deschide sursa")</x:f>
        <x:v>HYPERLINK is not implemented. linkLocation=file:///Z:/00. Proiecte 2025/AFIR FotoVoltaic 1/20. ATR/1. Documente Solicitare ATR/ACTE Tg. Mures/2. Loc de consum existent_Anexa nr 2.docx, friendlyName=Deschide sursa</x:v>
      </x:c>
    </x:row>
    <x:row r="888" ht="36" customHeight="1">
      <x:c r="A888" s="8" t="str">
        <x:v>F0884</x:v>
      </x:c>
      <x:c r="B888" s="8" t="str">
        <x:v>atr sigh 2.pdf</x:v>
      </x:c>
      <x:c r="C888" s="8" t="str">
        <x:v>20. ATR</x:v>
      </x:c>
      <x:c r="D888" s="8" t="str">
        <x:v>Proiect fotovoltaic</x:v>
      </x:c>
      <x:c r="E888" s="8" t="str">
        <x:v>.pdf</x:v>
      </x:c>
      <x:c r="F888" s="8" t="n">
        <x:v>167290</x:v>
      </x:c>
      <x:c r="G888" s="8" t="str">
        <x:v>Text extras</x:v>
      </x:c>
      <x:c r="H888" s="8" t="str">
        <x:v>Document local; transmiterea individuală neconfirmată</x:v>
      </x:c>
      <x:c r="I888" s="8" t="str"/>
      <x:c r="J888" s="8" t="e">
        <x:f>HYPERLINK("file:///Z:/00. Proiecte 2025/AFIR FotoVoltaic 1/20. ATR/1. Documente Solicitare ATR/ACTE Tg. Mures/atr sigh 2.pdf","Deschide sursa")</x:f>
        <x:v>HYPERLINK is not implemented. linkLocation=file:///Z:/00. Proiecte 2025/AFIR FotoVoltaic 1/20. ATR/1. Documente Solicitare ATR/ACTE Tg. Mures/atr sigh 2.pdf, friendlyName=Deschide sursa</x:v>
      </x:c>
    </x:row>
    <x:row r="889" ht="32" customHeight="1">
      <x:c r="A889" s="8" t="str">
        <x:v>F0885</x:v>
      </x:c>
      <x:c r="B889" s="8" t="str">
        <x:v>atr sigh.pdf</x:v>
      </x:c>
      <x:c r="C889" s="8" t="str">
        <x:v>20. ATR</x:v>
      </x:c>
      <x:c r="D889" s="8" t="str">
        <x:v>Proiect fotovoltaic</x:v>
      </x:c>
      <x:c r="E889" s="8" t="str">
        <x:v>.pdf</x:v>
      </x:c>
      <x:c r="F889" s="8" t="n">
        <x:v>167033</x:v>
      </x:c>
      <x:c r="G889" s="8" t="str">
        <x:v>Text extras</x:v>
      </x:c>
      <x:c r="H889" s="8" t="str">
        <x:v>Document local; transmiterea individuală neconfirmată</x:v>
      </x:c>
      <x:c r="I889" s="8" t="str"/>
      <x:c r="J889" s="8" t="e">
        <x:f>HYPERLINK("file:///Z:/00. Proiecte 2025/AFIR FotoVoltaic 1/20. ATR/1. Documente Solicitare ATR/ACTE Tg. Mures/atr sigh.pdf","Deschide sursa")</x:f>
        <x:v>HYPERLINK is not implemented. linkLocation=file:///Z:/00. Proiecte 2025/AFIR FotoVoltaic 1/20. ATR/1. Documente Solicitare ATR/ACTE Tg. Mures/atr sigh.pdf, friendlyName=Deschide sursa</x:v>
      </x:c>
    </x:row>
    <x:row r="890" ht="36" customHeight="1">
      <x:c r="A890" s="8" t="str">
        <x:v>F0886</x:v>
      </x:c>
      <x:c r="B890" s="8" t="str">
        <x:v>crr sigh 2.pdf</x:v>
      </x:c>
      <x:c r="C890" s="8" t="str">
        <x:v>20. ATR</x:v>
      </x:c>
      <x:c r="D890" s="8" t="str">
        <x:v>Proiect fotovoltaic</x:v>
      </x:c>
      <x:c r="E890" s="8" t="str">
        <x:v>.pdf</x:v>
      </x:c>
      <x:c r="F890" s="8" t="n">
        <x:v>154561</x:v>
      </x:c>
      <x:c r="G890" s="8" t="str">
        <x:v>Text extras</x:v>
      </x:c>
      <x:c r="H890" s="8" t="str">
        <x:v>Document local; transmiterea individuală neconfirmată</x:v>
      </x:c>
      <x:c r="I890" s="8" t="str"/>
      <x:c r="J890" s="8" t="e">
        <x:f>HYPERLINK("file:///Z:/00. Proiecte 2025/AFIR FotoVoltaic 1/20. ATR/1. Documente Solicitare ATR/ACTE Tg. Mures/crr sigh 2.pdf","Deschide sursa")</x:f>
        <x:v>HYPERLINK is not implemented. linkLocation=file:///Z:/00. Proiecte 2025/AFIR FotoVoltaic 1/20. ATR/1. Documente Solicitare ATR/ACTE Tg. Mures/crr sigh 2.pdf, friendlyName=Deschide sursa</x:v>
      </x:c>
    </x:row>
    <x:row r="891" ht="36" customHeight="1">
      <x:c r="A891" s="8" t="str">
        <x:v>F0887</x:v>
      </x:c>
      <x:c r="B891" s="8" t="str">
        <x:v>crr sighisoara.pdf</x:v>
      </x:c>
      <x:c r="C891" s="8" t="str">
        <x:v>20. ATR</x:v>
      </x:c>
      <x:c r="D891" s="8" t="str">
        <x:v>Proiect fotovoltaic</x:v>
      </x:c>
      <x:c r="E891" s="8" t="str">
        <x:v>.pdf</x:v>
      </x:c>
      <x:c r="F891" s="8" t="n">
        <x:v>153817</x:v>
      </x:c>
      <x:c r="G891" s="8" t="str">
        <x:v>Text extras</x:v>
      </x:c>
      <x:c r="H891" s="8" t="str">
        <x:v>Document local; transmiterea individuală neconfirmată</x:v>
      </x:c>
      <x:c r="I891" s="8" t="str"/>
      <x:c r="J891" s="8" t="e">
        <x:f>HYPERLINK("file:///Z:/00. Proiecte 2025/AFIR FotoVoltaic 1/20. ATR/1. Documente Solicitare ATR/ACTE Tg. Mures/crr sighisoara.pdf","Deschide sursa")</x:f>
        <x:v>HYPERLINK is not implemented. linkLocation=file:///Z:/00. Proiecte 2025/AFIR FotoVoltaic 1/20. ATR/1. Documente Solicitare ATR/ACTE Tg. Mures/crr sighisoara.pdf, friendlyName=Deschide sursa</x:v>
      </x:c>
    </x:row>
    <x:row r="892" ht="36" customHeight="1">
      <x:c r="A892" s="8" t="str">
        <x:v>F0888</x:v>
      </x:c>
      <x:c r="B892" s="8" t="str">
        <x:v>Declaratie autenticitate date  RACORDARE.doc</x:v>
      </x:c>
      <x:c r="C892" s="8" t="str">
        <x:v>20. ATR</x:v>
      </x:c>
      <x:c r="D892" s="8" t="str">
        <x:v>Proiect fotovoltaic</x:v>
      </x:c>
      <x:c r="E892" s="8" t="str">
        <x:v>.doc</x:v>
      </x:c>
      <x:c r="F892" s="8" t="n">
        <x:v>35840</x:v>
      </x:c>
      <x:c r="G892" s="8" t="str">
        <x:v>Inventariat; conținut neextras</x:v>
      </x:c>
      <x:c r="H892" s="8" t="str">
        <x:v>Document local; transmiterea individuală neconfirmată</x:v>
      </x:c>
      <x:c r="I892" s="8" t="str"/>
      <x:c r="J892" s="8" t="e">
        <x:f>HYPERLINK("file:///Z:/00. Proiecte 2025/AFIR FotoVoltaic 1/20. ATR/1. Documente Solicitare ATR/ACTE Tg. Mures/Declaratie autenticitate date  RACORDARE.doc","Deschide sursa")</x:f>
        <x:v>HYPERLINK is not implemented. linkLocation=file:///Z:/00. Proiecte 2025/AFIR FotoVoltaic 1/20. ATR/1. Documente Solicitare ATR/ACTE Tg. Mures/Declaratie autenticitate date  RACORDARE.doc, friendlyName=Deschide sursa</x:v>
      </x:c>
    </x:row>
    <x:row r="893" ht="36" customHeight="1">
      <x:c r="A893" s="8" t="str">
        <x:v>F0889</x:v>
      </x:c>
      <x:c r="B893" s="8" t="str">
        <x:v>model imputernicire.pdf</x:v>
      </x:c>
      <x:c r="C893" s="8" t="str">
        <x:v>20. ATR</x:v>
      </x:c>
      <x:c r="D893" s="8" t="str">
        <x:v>Proiect fotovoltaic</x:v>
      </x:c>
      <x:c r="E893" s="8" t="str">
        <x:v>.pdf</x:v>
      </x:c>
      <x:c r="F893" s="8" t="n">
        <x:v>310282</x:v>
      </x:c>
      <x:c r="G893" s="8" t="str">
        <x:v>Text extras</x:v>
      </x:c>
      <x:c r="H893" s="8" t="str">
        <x:v>Document local; transmiterea individuală neconfirmată</x:v>
      </x:c>
      <x:c r="I893" s="8" t="str"/>
      <x:c r="J893" s="8" t="e">
        <x:f>HYPERLINK("file:///Z:/00. Proiecte 2025/AFIR FotoVoltaic 1/20. ATR/1. Documente Solicitare ATR/ACTE Tg. Mures/model imputernicire.pdf","Deschide sursa")</x:f>
        <x:v>HYPERLINK is not implemented. linkLocation=file:///Z:/00. Proiecte 2025/AFIR FotoVoltaic 1/20. ATR/1. Documente Solicitare ATR/ACTE Tg. Mures/model imputernicire.pdf, friendlyName=Deschide sursa</x:v>
      </x:c>
    </x:row>
    <x:row r="894" ht="36" customHeight="1">
      <x:c r="A894" s="8" t="str">
        <x:v>F0890</x:v>
      </x:c>
      <x:c r="B894" s="8" t="str">
        <x:v>Nota-informare-clienti-DEER.doc</x:v>
      </x:c>
      <x:c r="C894" s="8" t="str">
        <x:v>20. ATR</x:v>
      </x:c>
      <x:c r="D894" s="8" t="str">
        <x:v>Proiect fotovoltaic</x:v>
      </x:c>
      <x:c r="E894" s="8" t="str">
        <x:v>.doc</x:v>
      </x:c>
      <x:c r="F894" s="8" t="n">
        <x:v>103424</x:v>
      </x:c>
      <x:c r="G894" s="8" t="str">
        <x:v>Inventariat; conținut neextras</x:v>
      </x:c>
      <x:c r="H894" s="8" t="str">
        <x:v>Document local; transmiterea individuală neconfirmată</x:v>
      </x:c>
      <x:c r="I894" s="8" t="str"/>
      <x:c r="J894" s="8" t="e">
        <x:f>HYPERLINK("file:///Z:/00. Proiecte 2025/AFIR FotoVoltaic 1/20. ATR/1. Documente Solicitare ATR/ACTE Tg. Mures/Nota-informare-clienti-DEER.doc","Deschide sursa")</x:f>
        <x:v>HYPERLINK is not implemented. linkLocation=file:///Z:/00. Proiecte 2025/AFIR FotoVoltaic 1/20. ATR/1. Documente Solicitare ATR/ACTE Tg. Mures/Nota-informare-clienti-DEER.doc, friendlyName=Deschide sursa</x:v>
      </x:c>
    </x:row>
    <x:row r="895" ht="36" customHeight="1">
      <x:c r="A895" s="8" t="str">
        <x:v>F0891</x:v>
      </x:c>
      <x:c r="B895" s="8" t="str">
        <x:v>3. Certificat Constatator Cesiro Production.pdf</x:v>
      </x:c>
      <x:c r="C895" s="8" t="str">
        <x:v>20. ATR</x:v>
      </x:c>
      <x:c r="D895" s="8" t="str">
        <x:v>Proiect fotovoltaic</x:v>
      </x:c>
      <x:c r="E895" s="8" t="str">
        <x:v>.pdf</x:v>
      </x:c>
      <x:c r="F895" s="8" t="n">
        <x:v>209255</x:v>
      </x:c>
      <x:c r="G895" s="8" t="str">
        <x:v>Text extras</x:v>
      </x:c>
      <x:c r="H895" s="8" t="str">
        <x:v>Pregătit pentru depunere; confirmare de verificat</x:v>
      </x:c>
      <x:c r="I895" s="8" t="str">
        <x:v>F0050</x:v>
      </x:c>
      <x:c r="J895" s="8" t="e">
        <x:f>HYPERLINK("file:///Z:/00. Proiecte 2025/AFIR FotoVoltaic 1/20. ATR/1. Documente Solicitare ATR/De Depus/3. Certificat Constatator Cesiro Production.pdf","Deschide sursa")</x:f>
        <x:v>HYPERLINK is not implemented. linkLocation=file:///Z:/00. Proiecte 2025/AFIR FotoVoltaic 1/20. ATR/1. Documente Solicitare ATR/De Depus/3. Certificat Constatator Cesiro Production.pdf, friendlyName=Deschide sursa</x:v>
      </x:c>
    </x:row>
    <x:row r="896" ht="32" customHeight="1">
      <x:c r="A896" s="8" t="str">
        <x:v>F0892</x:v>
      </x:c>
      <x:c r="B896" s="8" t="str">
        <x:v>58300 IPEC.pdf</x:v>
      </x:c>
      <x:c r="C896" s="8" t="str">
        <x:v>20. ATR</x:v>
      </x:c>
      <x:c r="D896" s="8" t="str">
        <x:v>Proiect fotovoltaic</x:v>
      </x:c>
      <x:c r="E896" s="8" t="str">
        <x:v>.pdf</x:v>
      </x:c>
      <x:c r="F896" s="8" t="n">
        <x:v>117771</x:v>
      </x:c>
      <x:c r="G896" s="8" t="str">
        <x:v>Text extras</x:v>
      </x:c>
      <x:c r="H896" s="8" t="str">
        <x:v>Pregătit pentru depunere; confirmare de verificat</x:v>
      </x:c>
      <x:c r="I896" s="8" t="str">
        <x:v>F0108</x:v>
      </x:c>
      <x:c r="J896" s="8" t="e">
        <x:f>HYPERLINK("file:///Z:/00. Proiecte 2025/AFIR FotoVoltaic 1/20. ATR/1. Documente Solicitare ATR/De Depus/58300 IPEC.pdf","Deschide sursa")</x:f>
        <x:v>HYPERLINK is not implemented. linkLocation=file:///Z:/00. Proiecte 2025/AFIR FotoVoltaic 1/20. ATR/1. Documente Solicitare ATR/De Depus/58300 IPEC.pdf, friendlyName=Deschide sursa</x:v>
      </x:c>
    </x:row>
    <x:row r="897" ht="32" customHeight="1">
      <x:c r="A897" s="8" t="str">
        <x:v>F0893</x:v>
      </x:c>
      <x:c r="B897" s="8" t="str">
        <x:v>ATR Cesiro.pdf</x:v>
      </x:c>
      <x:c r="C897" s="8" t="str">
        <x:v>20. ATR</x:v>
      </x:c>
      <x:c r="D897" s="8" t="str">
        <x:v>Proiect fotovoltaic</x:v>
      </x:c>
      <x:c r="E897" s="8" t="str">
        <x:v>.pdf</x:v>
      </x:c>
      <x:c r="F897" s="8" t="n">
        <x:v>207874</x:v>
      </x:c>
      <x:c r="G897" s="8" t="str">
        <x:v>Scan / text insuficient</x:v>
      </x:c>
      <x:c r="H897" s="8" t="str">
        <x:v>Pregătit pentru depunere; confirmare de verificat</x:v>
      </x:c>
      <x:c r="I897" s="8" t="str">
        <x:v>F0852</x:v>
      </x:c>
      <x:c r="J897" s="8" t="e">
        <x:f>HYPERLINK("file:///Z:/00. Proiecte 2025/AFIR FotoVoltaic 1/20. ATR/1. Documente Solicitare ATR/De Depus/ATR Cesiro.pdf","Deschide sursa")</x:f>
        <x:v>HYPERLINK is not implemented. linkLocation=file:///Z:/00. Proiecte 2025/AFIR FotoVoltaic 1/20. ATR/1. Documente Solicitare ATR/De Depus/ATR Cesiro.pdf, friendlyName=Deschide sursa</x:v>
      </x:c>
    </x:row>
    <x:row r="898" ht="36" customHeight="1">
      <x:c r="A898" s="8" t="str">
        <x:v>F0894</x:v>
      </x:c>
      <x:c r="B898" s="8" t="str">
        <x:v>Cesiro Production 2025_Page_1.png</x:v>
      </x:c>
      <x:c r="C898" s="8" t="str">
        <x:v>20. ATR</x:v>
      </x:c>
      <x:c r="D898" s="8" t="str">
        <x:v>Proiect fotovoltaic</x:v>
      </x:c>
      <x:c r="E898" s="8" t="str">
        <x:v>.png</x:v>
      </x:c>
      <x:c r="F898" s="8" t="n">
        <x:v>11651026</x:v>
      </x:c>
      <x:c r="G898" s="8" t="str">
        <x:v>Inventariat; conținut neextras</x:v>
      </x:c>
      <x:c r="H898" s="8" t="str">
        <x:v>Pregătit pentru depunere; confirmare de verificat</x:v>
      </x:c>
      <x:c r="I898" s="8" t="str"/>
      <x:c r="J898" s="8" t="e">
        <x:f>HYPERLINK("file:///Z:/00. Proiecte 2025/AFIR FotoVoltaic 1/20. ATR/1. Documente Solicitare ATR/De Depus/Cesiro Production 2025_Page_1.png","Deschide sursa")</x:f>
        <x:v>HYPERLINK is not implemented. linkLocation=file:///Z:/00. Proiecte 2025/AFIR FotoVoltaic 1/20. ATR/1. Documente Solicitare ATR/De Depus/Cesiro Production 2025_Page_1.png, friendlyName=Deschide sursa</x:v>
      </x:c>
    </x:row>
    <x:row r="899" ht="36" customHeight="1">
      <x:c r="A899" s="8" t="str">
        <x:v>F0895</x:v>
      </x:c>
      <x:c r="B899" s="8" t="str">
        <x:v>Cesiro Production 2025_Page_2.png</x:v>
      </x:c>
      <x:c r="C899" s="8" t="str">
        <x:v>20. ATR</x:v>
      </x:c>
      <x:c r="D899" s="8" t="str">
        <x:v>Proiect fotovoltaic</x:v>
      </x:c>
      <x:c r="E899" s="8" t="str">
        <x:v>.png</x:v>
      </x:c>
      <x:c r="F899" s="8" t="n">
        <x:v>2288852</x:v>
      </x:c>
      <x:c r="G899" s="8" t="str">
        <x:v>Inventariat; conținut neextras</x:v>
      </x:c>
      <x:c r="H899" s="8" t="str">
        <x:v>Pregătit pentru depunere; confirmare de verificat</x:v>
      </x:c>
      <x:c r="I899" s="8" t="str"/>
      <x:c r="J899" s="8" t="e">
        <x:f>HYPERLINK("file:///Z:/00. Proiecte 2025/AFIR FotoVoltaic 1/20. ATR/1. Documente Solicitare ATR/De Depus/Cesiro Production 2025_Page_2.png","Deschide sursa")</x:f>
        <x:v>HYPERLINK is not implemented. linkLocation=file:///Z:/00. Proiecte 2025/AFIR FotoVoltaic 1/20. ATR/1. Documente Solicitare ATR/De Depus/Cesiro Production 2025_Page_2.png, friendlyName=Deschide sursa</x:v>
      </x:c>
    </x:row>
    <x:row r="900" ht="36" customHeight="1">
      <x:c r="A900" s="8" t="str">
        <x:v>F0896</x:v>
      </x:c>
      <x:c r="B900" s="8" t="str">
        <x:v>Cesiro Production 2025_Page_3.png</x:v>
      </x:c>
      <x:c r="C900" s="8" t="str">
        <x:v>20. ATR</x:v>
      </x:c>
      <x:c r="D900" s="8" t="str">
        <x:v>Proiect fotovoltaic</x:v>
      </x:c>
      <x:c r="E900" s="8" t="str">
        <x:v>.png</x:v>
      </x:c>
      <x:c r="F900" s="8" t="n">
        <x:v>2118687</x:v>
      </x:c>
      <x:c r="G900" s="8" t="str">
        <x:v>Inventariat; conținut neextras</x:v>
      </x:c>
      <x:c r="H900" s="8" t="str">
        <x:v>Pregătit pentru depunere; confirmare de verificat</x:v>
      </x:c>
      <x:c r="I900" s="8" t="str"/>
      <x:c r="J900" s="8" t="e">
        <x:f>HYPERLINK("file:///Z:/00. Proiecte 2025/AFIR FotoVoltaic 1/20. ATR/1. Documente Solicitare ATR/De Depus/Cesiro Production 2025_Page_3.png","Deschide sursa")</x:f>
        <x:v>HYPERLINK is not implemented. linkLocation=file:///Z:/00. Proiecte 2025/AFIR FotoVoltaic 1/20. ATR/1. Documente Solicitare ATR/De Depus/Cesiro Production 2025_Page_3.png, friendlyName=Deschide sursa</x:v>
      </x:c>
    </x:row>
    <x:row r="901" ht="36" customHeight="1">
      <x:c r="A901" s="8" t="str">
        <x:v>F0897</x:v>
      </x:c>
      <x:c r="B901" s="8" t="str">
        <x:v>Cesiro Production 2025_Page_4.png</x:v>
      </x:c>
      <x:c r="C901" s="8" t="str">
        <x:v>20. ATR</x:v>
      </x:c>
      <x:c r="D901" s="8" t="str">
        <x:v>Proiect fotovoltaic</x:v>
      </x:c>
      <x:c r="E901" s="8" t="str">
        <x:v>.png</x:v>
      </x:c>
      <x:c r="F901" s="8" t="n">
        <x:v>1153587</x:v>
      </x:c>
      <x:c r="G901" s="8" t="str">
        <x:v>Inventariat; conținut neextras</x:v>
      </x:c>
      <x:c r="H901" s="8" t="str">
        <x:v>Pregătit pentru depunere; confirmare de verificat</x:v>
      </x:c>
      <x:c r="I901" s="8" t="str"/>
      <x:c r="J901" s="8" t="e">
        <x:f>HYPERLINK("file:///Z:/00. Proiecte 2025/AFIR FotoVoltaic 1/20. ATR/1. Documente Solicitare ATR/De Depus/Cesiro Production 2025_Page_4.png","Deschide sursa")</x:f>
        <x:v>HYPERLINK is not implemented. linkLocation=file:///Z:/00. Proiecte 2025/AFIR FotoVoltaic 1/20. ATR/1. Documente Solicitare ATR/De Depus/Cesiro Production 2025_Page_4.png, friendlyName=Deschide sursa</x:v>
      </x:c>
    </x:row>
    <x:row r="902" ht="36" customHeight="1">
      <x:c r="A902" s="8" t="str">
        <x:v>F0898</x:v>
      </x:c>
      <x:c r="B902" s="8" t="str">
        <x:v>Cesiro Production 2025_Page_5.png</x:v>
      </x:c>
      <x:c r="C902" s="8" t="str">
        <x:v>20. ATR</x:v>
      </x:c>
      <x:c r="D902" s="8" t="str">
        <x:v>Proiect fotovoltaic</x:v>
      </x:c>
      <x:c r="E902" s="8" t="str">
        <x:v>.png</x:v>
      </x:c>
      <x:c r="F902" s="8" t="n">
        <x:v>3209744</x:v>
      </x:c>
      <x:c r="G902" s="8" t="str">
        <x:v>Inventariat; conținut neextras</x:v>
      </x:c>
      <x:c r="H902" s="8" t="str">
        <x:v>Pregătit pentru depunere; confirmare de verificat</x:v>
      </x:c>
      <x:c r="I902" s="8" t="str"/>
      <x:c r="J902" s="8" t="e">
        <x:f>HYPERLINK("file:///Z:/00. Proiecte 2025/AFIR FotoVoltaic 1/20. ATR/1. Documente Solicitare ATR/De Depus/Cesiro Production 2025_Page_5.png","Deschide sursa")</x:f>
        <x:v>HYPERLINK is not implemented. linkLocation=file:///Z:/00. Proiecte 2025/AFIR FotoVoltaic 1/20. ATR/1. Documente Solicitare ATR/De Depus/Cesiro Production 2025_Page_5.png, friendlyName=Deschide sursa</x:v>
      </x:c>
    </x:row>
    <x:row r="903" ht="36" customHeight="1">
      <x:c r="A903" s="8" t="str">
        <x:v>F0899</x:v>
      </x:c>
      <x:c r="B903" s="8" t="str">
        <x:v>CI Cosmin Covaciu .jpg</x:v>
      </x:c>
      <x:c r="C903" s="8" t="str">
        <x:v>20. ATR</x:v>
      </x:c>
      <x:c r="D903" s="8" t="str">
        <x:v>Proiect fotovoltaic</x:v>
      </x:c>
      <x:c r="E903" s="8" t="str">
        <x:v>.jpg</x:v>
      </x:c>
      <x:c r="F903" s="8" t="n">
        <x:v>298244</x:v>
      </x:c>
      <x:c r="G903" s="8" t="str">
        <x:v>Inventariat; conținut neextras</x:v>
      </x:c>
      <x:c r="H903" s="8" t="str">
        <x:v>Pregătit pentru depunere; confirmare de verificat</x:v>
      </x:c>
      <x:c r="I903" s="8" t="str"/>
      <x:c r="J903" s="8" t="e">
        <x:f>HYPERLINK("file:///Z:/00. Proiecte 2025/AFIR FotoVoltaic 1/20. ATR/1. Documente Solicitare ATR/De Depus/CI Cosmin Covaciu .jpg","Deschide sursa")</x:f>
        <x:v>HYPERLINK is not implemented. linkLocation=file:///Z:/00. Proiecte 2025/AFIR FotoVoltaic 1/20. ATR/1. Documente Solicitare ATR/De Depus/CI Cosmin Covaciu .jpg, friendlyName=Deschide sursa</x:v>
      </x:c>
    </x:row>
    <x:row r="904" ht="36" customHeight="1">
      <x:c r="A904" s="8" t="str">
        <x:v>F0900</x:v>
      </x:c>
      <x:c r="B904" s="8" t="str">
        <x:v>Contract de inchiriere IPEC SA cu Cesiro Production.pdf</x:v>
      </x:c>
      <x:c r="C904" s="8" t="str">
        <x:v>20. ATR</x:v>
      </x:c>
      <x:c r="D904" s="8" t="str">
        <x:v>Proiect fotovoltaic</x:v>
      </x:c>
      <x:c r="E904" s="8" t="str">
        <x:v>.pdf</x:v>
      </x:c>
      <x:c r="F904" s="8" t="n">
        <x:v>8565306</x:v>
      </x:c>
      <x:c r="G904" s="8" t="str">
        <x:v>Text extras</x:v>
      </x:c>
      <x:c r="H904" s="8" t="str">
        <x:v>Pregătit pentru depunere; confirmare de verificat</x:v>
      </x:c>
      <x:c r="I904" s="8" t="str">
        <x:v>F0114</x:v>
      </x:c>
      <x:c r="J904" s="8" t="e">
        <x:f>HYPERLINK("file:///Z:/00. Proiecte 2025/AFIR FotoVoltaic 1/20. ATR/1. Documente Solicitare ATR/De Depus/Contract de inchiriere IPEC SA cu Cesiro Production.pdf","Deschide sursa")</x:f>
        <x:v>HYPERLINK is not implemented. linkLocation=file:///Z:/00. Proiecte 2025/AFIR FotoVoltaic 1/20. ATR/1. Documente Solicitare ATR/De Depus/Contract de inchiriere IPEC SA cu Cesiro Production.pdf, friendlyName=Deschide sursa</x:v>
      </x:c>
    </x:row>
    <x:row r="905" ht="36" customHeight="1">
      <x:c r="A905" s="8" t="str">
        <x:v>F0901</x:v>
      </x:c>
      <x:c r="B905" s="8" t="str">
        <x:v>CUI Cesiro Production 2025.pdf</x:v>
      </x:c>
      <x:c r="C905" s="8" t="str">
        <x:v>20. ATR</x:v>
      </x:c>
      <x:c r="D905" s="8" t="str">
        <x:v>Proiect fotovoltaic</x:v>
      </x:c>
      <x:c r="E905" s="8" t="str">
        <x:v>.pdf</x:v>
      </x:c>
      <x:c r="F905" s="8" t="n">
        <x:v>3010907</x:v>
      </x:c>
      <x:c r="G905" s="8" t="str">
        <x:v>Scan / text insuficient</x:v>
      </x:c>
      <x:c r="H905" s="8" t="str">
        <x:v>Pregătit pentru depunere; confirmare de verificat</x:v>
      </x:c>
      <x:c r="I905" s="8" t="str"/>
      <x:c r="J905" s="8" t="e">
        <x:f>HYPERLINK("file:///Z:/00. Proiecte 2025/AFIR FotoVoltaic 1/20. ATR/1. Documente Solicitare ATR/De Depus/CUI Cesiro Production 2025.pdf","Deschide sursa")</x:f>
        <x:v>HYPERLINK is not implemented. linkLocation=file:///Z:/00. Proiecte 2025/AFIR FotoVoltaic 1/20. ATR/1. Documente Solicitare ATR/De Depus/CUI Cesiro Production 2025.pdf, friendlyName=Deschide sursa</x:v>
      </x:c>
    </x:row>
    <x:row r="906" ht="36" customHeight="1">
      <x:c r="A906" s="8" t="str">
        <x:v>F0902</x:v>
      </x:c>
      <x:c r="B906" s="8" t="str">
        <x:v>GDPR ATR Distributie Energie Electrica Mures.pdf</x:v>
      </x:c>
      <x:c r="C906" s="8" t="str">
        <x:v>20. ATR</x:v>
      </x:c>
      <x:c r="D906" s="8" t="str">
        <x:v>Proiect fotovoltaic</x:v>
      </x:c>
      <x:c r="E906" s="8" t="str">
        <x:v>.pdf</x:v>
      </x:c>
      <x:c r="F906" s="8" t="n">
        <x:v>228524</x:v>
      </x:c>
      <x:c r="G906" s="8" t="str">
        <x:v>Text extras</x:v>
      </x:c>
      <x:c r="H906" s="8" t="str">
        <x:v>Pregătit pentru depunere; confirmare de verificat</x:v>
      </x:c>
      <x:c r="I906" s="8" t="str"/>
      <x:c r="J906" s="8" t="e">
        <x:f>HYPERLINK("file:///Z:/00. Proiecte 2025/AFIR FotoVoltaic 1/20. ATR/1. Documente Solicitare ATR/De Depus/GDPR ATR Distributie Energie Electrica Mures.pdf","Deschide sursa")</x:f>
        <x:v>HYPERLINK is not implemented. linkLocation=file:///Z:/00. Proiecte 2025/AFIR FotoVoltaic 1/20. ATR/1. Documente Solicitare ATR/De Depus/GDPR ATR Distributie Energie Electrica Mures.pdf, friendlyName=Deschide sursa</x:v>
      </x:c>
    </x:row>
    <x:row r="907" ht="36" customHeight="1">
      <x:c r="A907" s="8" t="str">
        <x:v>F0903</x:v>
      </x:c>
      <x:c r="B907" s="8" t="str">
        <x:v>1.-Loc-consum-si-producere-nou-_Anexa-nr-1.docx</x:v>
      </x:c>
      <x:c r="C907" s="8" t="str">
        <x:v>20. ATR</x:v>
      </x:c>
      <x:c r="D907" s="8" t="str">
        <x:v>Proiect fotovoltaic</x:v>
      </x:c>
      <x:c r="E907" s="8" t="str">
        <x:v>.docx</x:v>
      </x:c>
      <x:c r="F907" s="8" t="n">
        <x:v>24295</x:v>
      </x:c>
      <x:c r="G907" s="8" t="str">
        <x:v>Text extras</x:v>
      </x:c>
      <x:c r="H907" s="8" t="str">
        <x:v>Document local; transmiterea individuală neconfirmată</x:v>
      </x:c>
      <x:c r="I907" s="8" t="str"/>
      <x:c r="J907" s="8" t="e">
        <x:f>HYPERLINK("file:///Z:/00. Proiecte 2025/AFIR FotoVoltaic 1/20. ATR/1. Documente Solicitare ATR/Prosumator/1.-Loc-consum-si-producere-nou-_Anexa-nr-1.docx","Deschide sursa")</x:f>
        <x:v>HYPERLINK is not implemented. linkLocation=file:///Z:/00. Proiecte 2025/AFIR FotoVoltaic 1/20. ATR/1. Documente Solicitare ATR/Prosumator/1.-Loc-consum-si-producere-nou-_Anexa-nr-1.docx, friendlyName=Deschide sursa</x:v>
      </x:c>
    </x:row>
    <x:row r="908" ht="36" customHeight="1">
      <x:c r="A908" s="8" t="str">
        <x:v>F0904</x:v>
      </x:c>
      <x:c r="B908" s="8" t="str">
        <x:v>2.-Loc-de-consum-existent_Anexa-nr-2.docx</x:v>
      </x:c>
      <x:c r="C908" s="8" t="str">
        <x:v>20. ATR</x:v>
      </x:c>
      <x:c r="D908" s="8" t="str">
        <x:v>Proiect fotovoltaic</x:v>
      </x:c>
      <x:c r="E908" s="8" t="str">
        <x:v>.docx</x:v>
      </x:c>
      <x:c r="F908" s="8" t="n">
        <x:v>26346</x:v>
      </x:c>
      <x:c r="G908" s="8" t="str">
        <x:v>Text extras</x:v>
      </x:c>
      <x:c r="H908" s="8" t="str">
        <x:v>Document local; transmiterea individuală neconfirmată</x:v>
      </x:c>
      <x:c r="I908" s="8" t="str"/>
      <x:c r="J908" s="8" t="e">
        <x:f>HYPERLINK("file:///Z:/00. Proiecte 2025/AFIR FotoVoltaic 1/20. ATR/1. Documente Solicitare ATR/Prosumator/2.-Loc-de-consum-existent_Anexa-nr-2.docx","Deschide sursa")</x:f>
        <x:v>HYPERLINK is not implemented. linkLocation=file:///Z:/00. Proiecte 2025/AFIR FotoVoltaic 1/20. ATR/1. Documente Solicitare ATR/Prosumator/2.-Loc-de-consum-existent_Anexa-nr-2.docx, friendlyName=Deschide sursa</x:v>
      </x:c>
    </x:row>
    <x:row r="909" ht="36" customHeight="1">
      <x:c r="A909" s="8" t="str">
        <x:v>F0905</x:v>
      </x:c>
      <x:c r="B909" s="8" t="str">
        <x:v>Autoproducator.doc</x:v>
      </x:c>
      <x:c r="C909" s="8" t="str">
        <x:v>20. ATR</x:v>
      </x:c>
      <x:c r="D909" s="8" t="str">
        <x:v>Proiect fotovoltaic</x:v>
      </x:c>
      <x:c r="E909" s="8" t="str">
        <x:v>.doc</x:v>
      </x:c>
      <x:c r="F909" s="8" t="n">
        <x:v>227840</x:v>
      </x:c>
      <x:c r="G909" s="8" t="str">
        <x:v>Inventariat; conținut neextras</x:v>
      </x:c>
      <x:c r="H909" s="8" t="str">
        <x:v>Document local; transmiterea individuală neconfirmată</x:v>
      </x:c>
      <x:c r="I909" s="8" t="str"/>
      <x:c r="J909" s="8" t="e">
        <x:f>HYPERLINK("file:///Z:/00. Proiecte 2025/AFIR FotoVoltaic 1/20. ATR/1. Documente Solicitare ATR/Prosumator/Autoproducator.doc","Deschide sursa")</x:f>
        <x:v>HYPERLINK is not implemented. linkLocation=file:///Z:/00. Proiecte 2025/AFIR FotoVoltaic 1/20. ATR/1. Documente Solicitare ATR/Prosumator/Autoproducator.doc, friendlyName=Deschide sursa</x:v>
      </x:c>
    </x:row>
    <x:row r="910" ht="36" customHeight="1">
      <x:c r="A910" s="8" t="str">
        <x:v>F0906</x:v>
      </x:c>
      <x:c r="B910" s="8" t="str">
        <x:v>Persoane fizice si juridice care au puterea instalata pe producere mai mare de  400kW.doc</x:v>
      </x:c>
      <x:c r="C910" s="8" t="str">
        <x:v>20. ATR</x:v>
      </x:c>
      <x:c r="D910" s="8" t="str">
        <x:v>Proiect fotovoltaic</x:v>
      </x:c>
      <x:c r="E910" s="8" t="str">
        <x:v>.doc</x:v>
      </x:c>
      <x:c r="F910" s="8" t="n">
        <x:v>241664</x:v>
      </x:c>
      <x:c r="G910" s="8" t="str">
        <x:v>Inventariat; conținut neextras</x:v>
      </x:c>
      <x:c r="H910" s="8" t="str">
        <x:v>Document local; transmiterea individuală neconfirmată</x:v>
      </x:c>
      <x:c r="I910" s="8" t="str"/>
      <x:c r="J910" s="8" t="e">
        <x:f>HYPERLINK("file:///Z:/00. Proiecte 2025/AFIR FotoVoltaic 1/20. ATR/1. Documente Solicitare ATR/Prosumator/Persoane fizice si juridice care au puterea instalata pe producere mai mare de  400kW.doc","Deschide sursa")</x:f>
        <x:v>HYPERLINK is not implemented. linkLocation=file:///Z:/00. Proiecte 2025/AFIR FotoVoltaic 1/20. ATR/1. Documente Solicitare ATR/Prosumator/Persoane fizice si juridice care au puterea instalata pe producere mai mare de  400kW.doc, friendlyName=Deschide sursa</x:v>
      </x:c>
    </x:row>
    <x:row r="911" ht="32" customHeight="1">
      <x:c r="A911" s="8" t="str">
        <x:v>F0907</x:v>
      </x:c>
      <x:c r="B911" s="8" t="str">
        <x:v>DATR011 ProsumatorPJ.pdf</x:v>
      </x:c>
      <x:c r="C911" s="8" t="str">
        <x:v>20. ATR</x:v>
      </x:c>
      <x:c r="D911" s="8" t="str">
        <x:v>Proiect fotovoltaic</x:v>
      </x:c>
      <x:c r="E911" s="8" t="str">
        <x:v>.pdf</x:v>
      </x:c>
      <x:c r="F911" s="8" t="n">
        <x:v>565630</x:v>
      </x:c>
      <x:c r="G911" s="8" t="str">
        <x:v>Text extras</x:v>
      </x:c>
      <x:c r="H911" s="8" t="str">
        <x:v>Document local; transmiterea individuală neconfirmată</x:v>
      </x:c>
      <x:c r="I911" s="8" t="str">
        <x:v>F0866</x:v>
      </x:c>
      <x:c r="J911" s="8" t="e">
        <x:f>HYPERLINK("file:///Z:/00. Proiecte 2025/AFIR FotoVoltaic 1/20. ATR/2. ATR/2025.05.23/DATR011 ProsumatorPJ.pdf","Deschide sursa")</x:f>
        <x:v>HYPERLINK is not implemented. linkLocation=file:///Z:/00. Proiecte 2025/AFIR FotoVoltaic 1/20. ATR/2. ATR/2025.05.23/DATR011 ProsumatorPJ.pdf, friendlyName=Deschide sursa</x:v>
      </x:c>
    </x:row>
    <x:row r="912" ht="36" customHeight="1">
      <x:c r="A912" s="8" t="str">
        <x:v>F0908</x:v>
      </x:c>
      <x:c r="B912" s="8" t="str">
        <x:v>Analiza cost-beneficiu.pdf</x:v>
      </x:c>
      <x:c r="C912" s="8" t="str">
        <x:v>3.1. Analiza Cost Beneficiu</x:v>
      </x:c>
      <x:c r="D912" s="8" t="str">
        <x:v>Proiect fotovoltaic</x:v>
      </x:c>
      <x:c r="E912" s="8" t="str">
        <x:v>.pdf</x:v>
      </x:c>
      <x:c r="F912" s="8" t="n">
        <x:v>929363</x:v>
      </x:c>
      <x:c r="G912" s="8" t="str">
        <x:v>Text extras</x:v>
      </x:c>
      <x:c r="H912" s="8" t="str">
        <x:v>Document local; transmiterea individuală neconfirmată</x:v>
      </x:c>
      <x:c r="I912" s="8" t="str"/>
      <x:c r="J912" s="8" t="e">
        <x:f>HYPERLINK("file:///Z:/00. Proiecte 2025/AFIR FotoVoltaic 1/3.1. Analiza Cost Beneficiu/Modele pentru Analiza CB/Analiza cost-beneficiu.pdf","Deschide sursa")</x:f>
        <x:v>HYPERLINK is not implemented. linkLocation=file:///Z:/00. Proiecte 2025/AFIR FotoVoltaic 1/3.1. Analiza Cost Beneficiu/Modele pentru Analiza CB/Analiza cost-beneficiu.pdf, friendlyName=Deschide sursa</x:v>
      </x:c>
    </x:row>
    <x:row r="913" ht="36" customHeight="1">
      <x:c r="A913" s="8" t="str">
        <x:v>F0909</x:v>
      </x:c>
      <x:c r="B913" s="8" t="str">
        <x:v>Memoriu pentru APM Parc fotovoltaic.pdf</x:v>
      </x:c>
      <x:c r="C913" s="8" t="str">
        <x:v>3.1. Analiza Cost Beneficiu</x:v>
      </x:c>
      <x:c r="D913" s="8" t="str">
        <x:v>Proiect fotovoltaic</x:v>
      </x:c>
      <x:c r="E913" s="8" t="str">
        <x:v>.pdf</x:v>
      </x:c>
      <x:c r="F913" s="8" t="n">
        <x:v>1203128</x:v>
      </x:c>
      <x:c r="G913" s="8" t="str">
        <x:v>Text extras</x:v>
      </x:c>
      <x:c r="H913" s="8" t="str">
        <x:v>Document local; transmiterea individuală neconfirmată</x:v>
      </x:c>
      <x:c r="I913" s="8" t="str"/>
      <x:c r="J913" s="8" t="e">
        <x:f>HYPERLINK("file:///Z:/00. Proiecte 2025/AFIR FotoVoltaic 1/3.1. Analiza Cost Beneficiu/Modele pentru Analiza CB/Memoriu pentru APM Parc fotovoltaic.pdf","Deschide sursa")</x:f>
        <x:v>HYPERLINK is not implemented. linkLocation=file:///Z:/00. Proiecte 2025/AFIR FotoVoltaic 1/3.1. Analiza Cost Beneficiu/Modele pentru Analiza CB/Memoriu pentru APM Parc fotovoltaic.pdf, friendlyName=Deschide sursa</x:v>
      </x:c>
    </x:row>
    <x:row r="914" ht="36" customHeight="1">
      <x:c r="A914" s="8" t="str">
        <x:v>F0910</x:v>
      </x:c>
      <x:c r="B914" s="8" t="str">
        <x:v>SF Sf Gheorghe.docx</x:v>
      </x:c>
      <x:c r="C914" s="8" t="str">
        <x:v>3.1. Analiza Cost Beneficiu</x:v>
      </x:c>
      <x:c r="D914" s="8" t="str">
        <x:v>Proiect fotovoltaic</x:v>
      </x:c>
      <x:c r="E914" s="8" t="str">
        <x:v>.docx</x:v>
      </x:c>
      <x:c r="F914" s="8" t="n">
        <x:v>2283434</x:v>
      </x:c>
      <x:c r="G914" s="8" t="str">
        <x:v>Text extras</x:v>
      </x:c>
      <x:c r="H914" s="8" t="str">
        <x:v>Document local; transmiterea individuală neconfirmată</x:v>
      </x:c>
      <x:c r="I914" s="8" t="str"/>
      <x:c r="J914" s="8" t="e">
        <x:f>HYPERLINK("file:///Z:/00. Proiecte 2025/AFIR FotoVoltaic 1/3.1. Analiza Cost Beneficiu/Modele pentru Analiza CB/SF Sf Gheorghe.docx","Deschide sursa")</x:f>
        <x:v>HYPERLINK is not implemented. linkLocation=file:///Z:/00. Proiecte 2025/AFIR FotoVoltaic 1/3.1. Analiza Cost Beneficiu/Modele pentru Analiza CB/SF Sf Gheorghe.docx, friendlyName=Deschide sursa</x:v>
      </x:c>
    </x:row>
    <x:row r="915" ht="36" customHeight="1">
      <x:c r="A915" s="8" t="str">
        <x:v>F0911</x:v>
      </x:c>
      <x:c r="B915" s="8" t="str">
        <x:v>SF Sf Gheorghe.pdf</x:v>
      </x:c>
      <x:c r="C915" s="8" t="str">
        <x:v>3.1. Analiza Cost Beneficiu</x:v>
      </x:c>
      <x:c r="D915" s="8" t="str">
        <x:v>Proiect fotovoltaic</x:v>
      </x:c>
      <x:c r="E915" s="8" t="str">
        <x:v>.pdf</x:v>
      </x:c>
      <x:c r="F915" s="8" t="n">
        <x:v>2691443</x:v>
      </x:c>
      <x:c r="G915" s="8" t="str">
        <x:v>Text extras</x:v>
      </x:c>
      <x:c r="H915" s="8" t="str">
        <x:v>Document local; transmiterea individuală neconfirmată</x:v>
      </x:c>
      <x:c r="I915" s="8" t="str"/>
      <x:c r="J915" s="8" t="e">
        <x:f>HYPERLINK("file:///Z:/00. Proiecte 2025/AFIR FotoVoltaic 1/3.1. Analiza Cost Beneficiu/Modele pentru Analiza CB/SF Sf Gheorghe.pdf","Deschide sursa")</x:f>
        <x:v>HYPERLINK is not implemented. linkLocation=file:///Z:/00. Proiecte 2025/AFIR FotoVoltaic 1/3.1. Analiza Cost Beneficiu/Modele pentru Analiza CB/SF Sf Gheorghe.pdf, friendlyName=Deschide sursa</x:v>
      </x:c>
    </x:row>
    <x:row r="916" ht="36" customHeight="1">
      <x:c r="A916" s="8" t="str">
        <x:v>F0912</x:v>
      </x:c>
      <x:c r="B916" s="8" t="str">
        <x:v>Cerere_de_Credit_Cesiro_Production[1].docx</x:v>
      </x:c>
      <x:c r="C916" s="8" t="str">
        <x:v>3.5. Dovada Cofinantare</x:v>
      </x:c>
      <x:c r="D916" s="8" t="str">
        <x:v>Proiect fotovoltaic</x:v>
      </x:c>
      <x:c r="E916" s="8" t="str">
        <x:v>.docx</x:v>
      </x:c>
      <x:c r="F916" s="8" t="n">
        <x:v>51634</x:v>
      </x:c>
      <x:c r="G916" s="8" t="str">
        <x:v>Text extras</x:v>
      </x:c>
      <x:c r="H916" s="8" t="str">
        <x:v>Document local; transmiterea individuală neconfirmată</x:v>
      </x:c>
      <x:c r="I916" s="8" t="str"/>
      <x:c r="J916" s="8" t="e">
        <x:f>HYPERLINK("file:///Z:/00. Proiecte 2025/AFIR FotoVoltaic 1/3.5. Dovada Cofinantare/1. EximBank/Cerere_de_Credit_Cesiro_Production[1].docx","Deschide sursa")</x:f>
        <x:v>HYPERLINK is not implemented. linkLocation=file:///Z:/00. Proiecte 2025/AFIR FotoVoltaic 1/3.5. Dovada Cofinantare/1. EximBank/Cerere_de_Credit_Cesiro_Production[1].docx, friendlyName=Deschide sursa</x:v>
      </x:c>
    </x:row>
    <x:row r="917" ht="36" customHeight="1">
      <x:c r="A917" s="8" t="str">
        <x:v>F0913</x:v>
      </x:c>
      <x:c r="B917" s="8" t="str">
        <x:v>Declaratie conflict de interese Suntree Solar Tech SRL.docx</x:v>
      </x:c>
      <x:c r="C917" s="8" t="str">
        <x:v>3.6. Oferte</x:v>
      </x:c>
      <x:c r="D917" s="8" t="str">
        <x:v>Proiect fotovoltaic</x:v>
      </x:c>
      <x:c r="E917" s="8" t="str">
        <x:v>.docx</x:v>
      </x:c>
      <x:c r="F917" s="8" t="n">
        <x:v>2747589</x:v>
      </x:c>
      <x:c r="G917" s="8" t="str">
        <x:v>Text extras</x:v>
      </x:c>
      <x:c r="H917" s="8" t="str">
        <x:v>Document local; transmiterea individuală neconfirmată</x:v>
      </x:c>
      <x:c r="I917" s="8" t="str"/>
      <x:c r="J917" s="8" t="e">
        <x:f>HYPERLINK("file:///Z:/00. Proiecte 2025/AFIR FotoVoltaic 1/3.6. Oferte/1. Suntree Solar Tech SRL/Declaratie conflict de interese Suntree Solar Tech SRL.docx","Deschide sursa")</x:f>
        <x:v>HYPERLINK is not implemented. linkLocation=file:///Z:/00. Proiecte 2025/AFIR FotoVoltaic 1/3.6. Oferte/1. Suntree Solar Tech SRL/Declaratie conflict de interese Suntree Solar Tech SRL.docx, friendlyName=Deschide sursa</x:v>
      </x:c>
    </x:row>
    <x:row r="918" ht="36" customHeight="1">
      <x:c r="A918" s="8" t="str">
        <x:v>F0914</x:v>
      </x:c>
      <x:c r="B918" s="8" t="str">
        <x:v>Declaratie conflict de interese Suntree Solar Tech SRL.pdf</x:v>
      </x:c>
      <x:c r="C918" s="8" t="str">
        <x:v>3.6. Oferte</x:v>
      </x:c>
      <x:c r="D918" s="8" t="str">
        <x:v>Proiect fotovoltaic</x:v>
      </x:c>
      <x:c r="E918" s="8" t="str">
        <x:v>.pdf</x:v>
      </x:c>
      <x:c r="F918" s="8" t="n">
        <x:v>422684</x:v>
      </x:c>
      <x:c r="G918" s="8" t="str">
        <x:v>Scan / text insuficient</x:v>
      </x:c>
      <x:c r="H918" s="8" t="str">
        <x:v>Document local; transmiterea individuală neconfirmată</x:v>
      </x:c>
      <x:c r="I918" s="8" t="str"/>
      <x:c r="J918" s="8" t="e">
        <x:f>HYPERLINK("file:///Z:/00. Proiecte 2025/AFIR FotoVoltaic 1/3.6. Oferte/1. Suntree Solar Tech SRL/Declaratie conflict de interese Suntree Solar Tech SRL.pdf","Deschide sursa")</x:f>
        <x:v>HYPERLINK is not implemented. linkLocation=file:///Z:/00. Proiecte 2025/AFIR FotoVoltaic 1/3.6. Oferte/1. Suntree Solar Tech SRL/Declaratie conflict de interese Suntree Solar Tech SRL.pdf, friendlyName=Deschide sursa</x:v>
      </x:c>
    </x:row>
    <x:row r="919" ht="36" customHeight="1">
      <x:c r="A919" s="8" t="str">
        <x:v>F0915</x:v>
      </x:c>
      <x:c r="B919" s="8" t="str">
        <x:v>Oferta completa Suntree Solar Tech SRL.pdf</x:v>
      </x:c>
      <x:c r="C919" s="8" t="str">
        <x:v>3.6. Oferte</x:v>
      </x:c>
      <x:c r="D919" s="8" t="str">
        <x:v>Proiect fotovoltaic</x:v>
      </x:c>
      <x:c r="E919" s="8" t="str">
        <x:v>.pdf</x:v>
      </x:c>
      <x:c r="F919" s="8" t="n">
        <x:v>7662971</x:v>
      </x:c>
      <x:c r="G919" s="8" t="str">
        <x:v>Text extras</x:v>
      </x:c>
      <x:c r="H919" s="8" t="str">
        <x:v>Document local; transmiterea individuală neconfirmată</x:v>
      </x:c>
      <x:c r="I919" s="8" t="str">
        <x:v>F0390</x:v>
      </x:c>
      <x:c r="J919" s="8" t="e">
        <x:f>HYPERLINK("file:///Z:/00. Proiecte 2025/AFIR FotoVoltaic 1/3.6. Oferte/1. Suntree Solar Tech SRL/Oferta completa Suntree Solar Tech SRL.pdf","Deschide sursa")</x:f>
        <x:v>HYPERLINK is not implemented. linkLocation=file:///Z:/00. Proiecte 2025/AFIR FotoVoltaic 1/3.6. Oferte/1. Suntree Solar Tech SRL/Oferta completa Suntree Solar Tech SRL.pdf, friendlyName=Deschide sursa</x:v>
      </x:c>
    </x:row>
    <x:row r="920" ht="36" customHeight="1">
      <x:c r="A920" s="8" t="str">
        <x:v>F0916</x:v>
      </x:c>
      <x:c r="B920" s="8" t="str">
        <x:v>Oferta Suntree Solar Tech SRL.docx</x:v>
      </x:c>
      <x:c r="C920" s="8" t="str">
        <x:v>3.6. Oferte</x:v>
      </x:c>
      <x:c r="D920" s="8" t="str">
        <x:v>Proiect fotovoltaic</x:v>
      </x:c>
      <x:c r="E920" s="8" t="str">
        <x:v>.docx</x:v>
      </x:c>
      <x:c r="F920" s="8" t="n">
        <x:v>301133</x:v>
      </x:c>
      <x:c r="G920" s="8" t="str">
        <x:v>Text extras</x:v>
      </x:c>
      <x:c r="H920" s="8" t="str">
        <x:v>Document local; transmiterea individuală neconfirmată</x:v>
      </x:c>
      <x:c r="I920" s="8" t="str"/>
      <x:c r="J920" s="8" t="e">
        <x:f>HYPERLINK("file:///Z:/00. Proiecte 2025/AFIR FotoVoltaic 1/3.6. Oferte/1. Suntree Solar Tech SRL/Oferta Suntree Solar Tech SRL.docx","Deschide sursa")</x:f>
        <x:v>HYPERLINK is not implemented. linkLocation=file:///Z:/00. Proiecte 2025/AFIR FotoVoltaic 1/3.6. Oferte/1. Suntree Solar Tech SRL/Oferta Suntree Solar Tech SRL.docx, friendlyName=Deschide sursa</x:v>
      </x:c>
    </x:row>
    <x:row r="921" ht="36" customHeight="1">
      <x:c r="A921" s="8" t="str">
        <x:v>F0917</x:v>
      </x:c>
      <x:c r="B921" s="8" t="str">
        <x:v>Oferta Suntree Solar Tech SRL.pdf</x:v>
      </x:c>
      <x:c r="C921" s="8" t="str">
        <x:v>3.6. Oferte</x:v>
      </x:c>
      <x:c r="D921" s="8" t="str">
        <x:v>Proiect fotovoltaic</x:v>
      </x:c>
      <x:c r="E921" s="8" t="str">
        <x:v>.pdf</x:v>
      </x:c>
      <x:c r="F921" s="8" t="n">
        <x:v>2935372</x:v>
      </x:c>
      <x:c r="G921" s="8" t="str">
        <x:v>Text extras</x:v>
      </x:c>
      <x:c r="H921" s="8" t="str">
        <x:v>Document local; transmiterea individuală neconfirmată</x:v>
      </x:c>
      <x:c r="I921" s="8" t="str"/>
      <x:c r="J921" s="8" t="e">
        <x:f>HYPERLINK("file:///Z:/00. Proiecte 2025/AFIR FotoVoltaic 1/3.6. Oferte/1. Suntree Solar Tech SRL/Oferta Suntree Solar Tech SRL.pdf","Deschide sursa")</x:f>
        <x:v>HYPERLINK is not implemented. linkLocation=file:///Z:/00. Proiecte 2025/AFIR FotoVoltaic 1/3.6. Oferte/1. Suntree Solar Tech SRL/Oferta Suntree Solar Tech SRL.pdf, friendlyName=Deschide sursa</x:v>
      </x:c>
    </x:row>
    <x:row r="922" ht="36" customHeight="1">
      <x:c r="A922" s="8" t="str">
        <x:v>F0918</x:v>
      </x:c>
      <x:c r="B922" s="8" t="str">
        <x:v>Solicitare oferta Suntree Solar Tech SRL.docx</x:v>
      </x:c>
      <x:c r="C922" s="8" t="str">
        <x:v>3.6. Oferte</x:v>
      </x:c>
      <x:c r="D922" s="8" t="str">
        <x:v>Proiect fotovoltaic</x:v>
      </x:c>
      <x:c r="E922" s="8" t="str">
        <x:v>.docx</x:v>
      </x:c>
      <x:c r="F922" s="8" t="n">
        <x:v>2759995</x:v>
      </x:c>
      <x:c r="G922" s="8" t="str">
        <x:v>Text extras</x:v>
      </x:c>
      <x:c r="H922" s="8" t="str">
        <x:v>Document local; transmiterea individuală neconfirmată</x:v>
      </x:c>
      <x:c r="I922" s="8" t="str"/>
      <x:c r="J922" s="8" t="e">
        <x:f>HYPERLINK("file:///Z:/00. Proiecte 2025/AFIR FotoVoltaic 1/3.6. Oferte/1. Suntree Solar Tech SRL/Solicitare oferta Suntree Solar Tech SRL.docx","Deschide sursa")</x:f>
        <x:v>HYPERLINK is not implemented. linkLocation=file:///Z:/00. Proiecte 2025/AFIR FotoVoltaic 1/3.6. Oferte/1. Suntree Solar Tech SRL/Solicitare oferta Suntree Solar Tech SRL.docx, friendlyName=Deschide sursa</x:v>
      </x:c>
    </x:row>
    <x:row r="923" ht="36" customHeight="1">
      <x:c r="A923" s="8" t="str">
        <x:v>F0919</x:v>
      </x:c>
      <x:c r="B923" s="8" t="str">
        <x:v>Declaratie conflict de interese Albaco Exim SRL.docx</x:v>
      </x:c>
      <x:c r="C923" s="8" t="str">
        <x:v>3.6. Oferte</x:v>
      </x:c>
      <x:c r="D923" s="8" t="str">
        <x:v>Proiect fotovoltaic</x:v>
      </x:c>
      <x:c r="E923" s="8" t="str">
        <x:v>.docx</x:v>
      </x:c>
      <x:c r="F923" s="8" t="n">
        <x:v>2747667</x:v>
      </x:c>
      <x:c r="G923" s="8" t="str">
        <x:v>Text extras</x:v>
      </x:c>
      <x:c r="H923" s="8" t="str">
        <x:v>Document local; transmiterea individuală neconfirmată</x:v>
      </x:c>
      <x:c r="I923" s="8" t="str"/>
      <x:c r="J923" s="8" t="e">
        <x:f>HYPERLINK("file:///Z:/00. Proiecte 2025/AFIR FotoVoltaic 1/3.6. Oferte/2. Albaco Exim SRL/Declaratie conflict de interese Albaco Exim SRL.docx","Deschide sursa")</x:f>
        <x:v>HYPERLINK is not implemented. linkLocation=file:///Z:/00. Proiecte 2025/AFIR FotoVoltaic 1/3.6. Oferte/2. Albaco Exim SRL/Declaratie conflict de interese Albaco Exim SRL.docx, friendlyName=Deschide sursa</x:v>
      </x:c>
    </x:row>
    <x:row r="924" ht="36" customHeight="1">
      <x:c r="A924" s="8" t="str">
        <x:v>F0920</x:v>
      </x:c>
      <x:c r="B924" s="8" t="str">
        <x:v>Declaratie conflict de interese Albaco Exim SRL.pdf</x:v>
      </x:c>
      <x:c r="C924" s="8" t="str">
        <x:v>3.6. Oferte</x:v>
      </x:c>
      <x:c r="D924" s="8" t="str">
        <x:v>Proiect fotovoltaic</x:v>
      </x:c>
      <x:c r="E924" s="8" t="str">
        <x:v>.pdf</x:v>
      </x:c>
      <x:c r="F924" s="8" t="n">
        <x:v>419710</x:v>
      </x:c>
      <x:c r="G924" s="8" t="str">
        <x:v>Scan / text insuficient</x:v>
      </x:c>
      <x:c r="H924" s="8" t="str">
        <x:v>Document local; transmiterea individuală neconfirmată</x:v>
      </x:c>
      <x:c r="I924" s="8" t="str"/>
      <x:c r="J924" s="8" t="e">
        <x:f>HYPERLINK("file:///Z:/00. Proiecte 2025/AFIR FotoVoltaic 1/3.6. Oferte/2. Albaco Exim SRL/Declaratie conflict de interese Albaco Exim SRL.pdf","Deschide sursa")</x:f>
        <x:v>HYPERLINK is not implemented. linkLocation=file:///Z:/00. Proiecte 2025/AFIR FotoVoltaic 1/3.6. Oferte/2. Albaco Exim SRL/Declaratie conflict de interese Albaco Exim SRL.pdf, friendlyName=Deschide sursa</x:v>
      </x:c>
    </x:row>
    <x:row r="925" ht="32" customHeight="1">
      <x:c r="A925" s="8" t="str">
        <x:v>F0921</x:v>
      </x:c>
      <x:c r="B925" s="8" t="str">
        <x:v>Oferta Albaco Exim SRL.docx</x:v>
      </x:c>
      <x:c r="C925" s="8" t="str">
        <x:v>3.6. Oferte</x:v>
      </x:c>
      <x:c r="D925" s="8" t="str">
        <x:v>Proiect fotovoltaic</x:v>
      </x:c>
      <x:c r="E925" s="8" t="str">
        <x:v>.docx</x:v>
      </x:c>
      <x:c r="F925" s="8" t="n">
        <x:v>230366</x:v>
      </x:c>
      <x:c r="G925" s="8" t="str">
        <x:v>Text extras</x:v>
      </x:c>
      <x:c r="H925" s="8" t="str">
        <x:v>Document local; transmiterea individuală neconfirmată</x:v>
      </x:c>
      <x:c r="I925" s="8" t="str"/>
      <x:c r="J925" s="8" t="e">
        <x:f>HYPERLINK("file:///Z:/00. Proiecte 2025/AFIR FotoVoltaic 1/3.6. Oferte/2. Albaco Exim SRL/Oferta Albaco Exim SRL.docx","Deschide sursa")</x:f>
        <x:v>HYPERLINK is not implemented. linkLocation=file:///Z:/00. Proiecte 2025/AFIR FotoVoltaic 1/3.6. Oferte/2. Albaco Exim SRL/Oferta Albaco Exim SRL.docx, friendlyName=Deschide sursa</x:v>
      </x:c>
    </x:row>
    <x:row r="926" ht="32" customHeight="1">
      <x:c r="A926" s="8" t="str">
        <x:v>F0922</x:v>
      </x:c>
      <x:c r="B926" s="8" t="str">
        <x:v>Oferta Albaco Exim SRL.pdf</x:v>
      </x:c>
      <x:c r="C926" s="8" t="str">
        <x:v>3.6. Oferte</x:v>
      </x:c>
      <x:c r="D926" s="8" t="str">
        <x:v>Proiect fotovoltaic</x:v>
      </x:c>
      <x:c r="E926" s="8" t="str">
        <x:v>.pdf</x:v>
      </x:c>
      <x:c r="F926" s="8" t="n">
        <x:v>2674877</x:v>
      </x:c>
      <x:c r="G926" s="8" t="str">
        <x:v>Scan / text insuficient</x:v>
      </x:c>
      <x:c r="H926" s="8" t="str">
        <x:v>Document local; transmiterea individuală neconfirmată</x:v>
      </x:c>
      <x:c r="I926" s="8" t="str"/>
      <x:c r="J926" s="8" t="e">
        <x:f>HYPERLINK("file:///Z:/00. Proiecte 2025/AFIR FotoVoltaic 1/3.6. Oferte/2. Albaco Exim SRL/Oferta Albaco Exim SRL.pdf","Deschide sursa")</x:f>
        <x:v>HYPERLINK is not implemented. linkLocation=file:///Z:/00. Proiecte 2025/AFIR FotoVoltaic 1/3.6. Oferte/2. Albaco Exim SRL/Oferta Albaco Exim SRL.pdf, friendlyName=Deschide sursa</x:v>
      </x:c>
    </x:row>
    <x:row r="927" ht="36" customHeight="1">
      <x:c r="A927" s="8" t="str">
        <x:v>F0923</x:v>
      </x:c>
      <x:c r="B927" s="8" t="str">
        <x:v>Oferta completa Albaco Exim SRL.pdf</x:v>
      </x:c>
      <x:c r="C927" s="8" t="str">
        <x:v>3.6. Oferte</x:v>
      </x:c>
      <x:c r="D927" s="8" t="str">
        <x:v>Proiect fotovoltaic</x:v>
      </x:c>
      <x:c r="E927" s="8" t="str">
        <x:v>.pdf</x:v>
      </x:c>
      <x:c r="F927" s="8" t="n">
        <x:v>8786981</x:v>
      </x:c>
      <x:c r="G927" s="8" t="str">
        <x:v>Text extras</x:v>
      </x:c>
      <x:c r="H927" s="8" t="str">
        <x:v>Document local; transmiterea individuală neconfirmată</x:v>
      </x:c>
      <x:c r="I927" s="8" t="str"/>
      <x:c r="J927" s="8" t="e">
        <x:f>HYPERLINK("file:///Z:/00. Proiecte 2025/AFIR FotoVoltaic 1/3.6. Oferte/2. Albaco Exim SRL/Oferta completa Albaco Exim SRL.pdf","Deschide sursa")</x:f>
        <x:v>HYPERLINK is not implemented. linkLocation=file:///Z:/00. Proiecte 2025/AFIR FotoVoltaic 1/3.6. Oferte/2. Albaco Exim SRL/Oferta completa Albaco Exim SRL.pdf, friendlyName=Deschide sursa</x:v>
      </x:c>
    </x:row>
    <x:row r="928" ht="36" customHeight="1">
      <x:c r="A928" s="8" t="str">
        <x:v>F0924</x:v>
      </x:c>
      <x:c r="B928" s="8" t="str">
        <x:v>Solicitare oferta Albaco Exim SRL.docx</x:v>
      </x:c>
      <x:c r="C928" s="8" t="str">
        <x:v>3.6. Oferte</x:v>
      </x:c>
      <x:c r="D928" s="8" t="str">
        <x:v>Proiect fotovoltaic</x:v>
      </x:c>
      <x:c r="E928" s="8" t="str">
        <x:v>.docx</x:v>
      </x:c>
      <x:c r="F928" s="8" t="n">
        <x:v>2760046</x:v>
      </x:c>
      <x:c r="G928" s="8" t="str">
        <x:v>Text extras</x:v>
      </x:c>
      <x:c r="H928" s="8" t="str">
        <x:v>Document local; transmiterea individuală neconfirmată</x:v>
      </x:c>
      <x:c r="I928" s="8" t="str"/>
      <x:c r="J928" s="8" t="e">
        <x:f>HYPERLINK("file:///Z:/00. Proiecte 2025/AFIR FotoVoltaic 1/3.6. Oferte/2. Albaco Exim SRL/Solicitare oferta Albaco Exim SRL.docx","Deschide sursa")</x:f>
        <x:v>HYPERLINK is not implemented. linkLocation=file:///Z:/00. Proiecte 2025/AFIR FotoVoltaic 1/3.6. Oferte/2. Albaco Exim SRL/Solicitare oferta Albaco Exim SRL.docx, friendlyName=Deschide sursa</x:v>
      </x:c>
    </x:row>
    <x:row r="929" ht="36" customHeight="1">
      <x:c r="A929" s="8" t="str">
        <x:v>F0925</x:v>
      </x:c>
      <x:c r="B929" s="8" t="str">
        <x:v>Declaratie conflict de interese Energotehnica SRL.docx</x:v>
      </x:c>
      <x:c r="C929" s="8" t="str">
        <x:v>3.6. Oferte</x:v>
      </x:c>
      <x:c r="D929" s="8" t="str">
        <x:v>Proiect fotovoltaic</x:v>
      </x:c>
      <x:c r="E929" s="8" t="str">
        <x:v>.docx</x:v>
      </x:c>
      <x:c r="F929" s="8" t="n">
        <x:v>2747787</x:v>
      </x:c>
      <x:c r="G929" s="8" t="str">
        <x:v>Text extras</x:v>
      </x:c>
      <x:c r="H929" s="8" t="str">
        <x:v>Document local; transmiterea individuală neconfirmată</x:v>
      </x:c>
      <x:c r="I929" s="8" t="str"/>
      <x:c r="J929" s="8" t="e">
        <x:f>HYPERLINK("file:///Z:/00. Proiecte 2025/AFIR FotoVoltaic 1/3.6. Oferte/3. Energotehnica SRL/Declaratie conflict de interese Energotehnica SRL.docx","Deschide sursa")</x:f>
        <x:v>HYPERLINK is not implemented. linkLocation=file:///Z:/00. Proiecte 2025/AFIR FotoVoltaic 1/3.6. Oferte/3. Energotehnica SRL/Declaratie conflict de interese Energotehnica SRL.docx, friendlyName=Deschide sursa</x:v>
      </x:c>
    </x:row>
    <x:row r="930" ht="36" customHeight="1">
      <x:c r="A930" s="8" t="str">
        <x:v>F0926</x:v>
      </x:c>
      <x:c r="B930" s="8" t="str">
        <x:v>Declaratie conflict de interese Energotehnica SRL.pdf</x:v>
      </x:c>
      <x:c r="C930" s="8" t="str">
        <x:v>3.6. Oferte</x:v>
      </x:c>
      <x:c r="D930" s="8" t="str">
        <x:v>Proiect fotovoltaic</x:v>
      </x:c>
      <x:c r="E930" s="8" t="str">
        <x:v>.pdf</x:v>
      </x:c>
      <x:c r="F930" s="8" t="n">
        <x:v>67474</x:v>
      </x:c>
      <x:c r="G930" s="8" t="str">
        <x:v>Scan / text insuficient</x:v>
      </x:c>
      <x:c r="H930" s="8" t="str">
        <x:v>Document local; transmiterea individuală neconfirmată</x:v>
      </x:c>
      <x:c r="I930" s="8" t="str"/>
      <x:c r="J930" s="8" t="e">
        <x:f>HYPERLINK("file:///Z:/00. Proiecte 2025/AFIR FotoVoltaic 1/3.6. Oferte/3. Energotehnica SRL/Declaratie conflict de interese Energotehnica SRL.pdf","Deschide sursa")</x:f>
        <x:v>HYPERLINK is not implemented. linkLocation=file:///Z:/00. Proiecte 2025/AFIR FotoVoltaic 1/3.6. Oferte/3. Energotehnica SRL/Declaratie conflict de interese Energotehnica SRL.pdf, friendlyName=Deschide sursa</x:v>
      </x:c>
    </x:row>
    <x:row r="931" ht="36" customHeight="1">
      <x:c r="A931" s="8" t="str">
        <x:v>F0927</x:v>
      </x:c>
      <x:c r="B931" s="8" t="str">
        <x:v>Oferta completa Energotehnica SRL.pdf</x:v>
      </x:c>
      <x:c r="C931" s="8" t="str">
        <x:v>3.6. Oferte</x:v>
      </x:c>
      <x:c r="D931" s="8" t="str">
        <x:v>Proiect fotovoltaic</x:v>
      </x:c>
      <x:c r="E931" s="8" t="str">
        <x:v>.pdf</x:v>
      </x:c>
      <x:c r="F931" s="8" t="n">
        <x:v>9979690</x:v>
      </x:c>
      <x:c r="G931" s="8" t="str">
        <x:v>Text extras</x:v>
      </x:c>
      <x:c r="H931" s="8" t="str">
        <x:v>Document local; transmiterea individuală neconfirmată</x:v>
      </x:c>
      <x:c r="I931" s="8" t="str"/>
      <x:c r="J931" s="8" t="e">
        <x:f>HYPERLINK("file:///Z:/00. Proiecte 2025/AFIR FotoVoltaic 1/3.6. Oferte/3. Energotehnica SRL/Oferta completa Energotehnica SRL.pdf","Deschide sursa")</x:f>
        <x:v>HYPERLINK is not implemented. linkLocation=file:///Z:/00. Proiecte 2025/AFIR FotoVoltaic 1/3.6. Oferte/3. Energotehnica SRL/Oferta completa Energotehnica SRL.pdf, friendlyName=Deschide sursa</x:v>
      </x:c>
    </x:row>
    <x:row r="932" ht="32" customHeight="1">
      <x:c r="A932" s="8" t="str">
        <x:v>F0928</x:v>
      </x:c>
      <x:c r="B932" s="8" t="str">
        <x:v>Oferta Energotehnica SRL.docx</x:v>
      </x:c>
      <x:c r="C932" s="8" t="str">
        <x:v>3.6. Oferte</x:v>
      </x:c>
      <x:c r="D932" s="8" t="str">
        <x:v>Proiect fotovoltaic</x:v>
      </x:c>
      <x:c r="E932" s="8" t="str">
        <x:v>.docx</x:v>
      </x:c>
      <x:c r="F932" s="8" t="n">
        <x:v>150253</x:v>
      </x:c>
      <x:c r="G932" s="8" t="str">
        <x:v>Text extras</x:v>
      </x:c>
      <x:c r="H932" s="8" t="str">
        <x:v>Document local; transmiterea individuală neconfirmată</x:v>
      </x:c>
      <x:c r="I932" s="8" t="str"/>
      <x:c r="J932" s="8" t="e">
        <x:f>HYPERLINK("file:///Z:/00. Proiecte 2025/AFIR FotoVoltaic 1/3.6. Oferte/3. Energotehnica SRL/Oferta Energotehnica SRL.docx","Deschide sursa")</x:f>
        <x:v>HYPERLINK is not implemented. linkLocation=file:///Z:/00. Proiecte 2025/AFIR FotoVoltaic 1/3.6. Oferte/3. Energotehnica SRL/Oferta Energotehnica SRL.docx, friendlyName=Deschide sursa</x:v>
      </x:c>
    </x:row>
    <x:row r="933" ht="32" customHeight="1">
      <x:c r="A933" s="8" t="str">
        <x:v>F0929</x:v>
      </x:c>
      <x:c r="B933" s="8" t="str">
        <x:v>Oferta Energotehnica SRL.pdf</x:v>
      </x:c>
      <x:c r="C933" s="8" t="str">
        <x:v>3.6. Oferte</x:v>
      </x:c>
      <x:c r="D933" s="8" t="str">
        <x:v>Proiect fotovoltaic</x:v>
      </x:c>
      <x:c r="E933" s="8" t="str">
        <x:v>.pdf</x:v>
      </x:c>
      <x:c r="F933" s="8" t="n">
        <x:v>2021480</x:v>
      </x:c>
      <x:c r="G933" s="8" t="str">
        <x:v>Scan / text insuficient</x:v>
      </x:c>
      <x:c r="H933" s="8" t="str">
        <x:v>Document local; transmiterea individuală neconfirmată</x:v>
      </x:c>
      <x:c r="I933" s="8" t="str"/>
      <x:c r="J933" s="8" t="e">
        <x:f>HYPERLINK("file:///Z:/00. Proiecte 2025/AFIR FotoVoltaic 1/3.6. Oferte/3. Energotehnica SRL/Oferta Energotehnica SRL.pdf","Deschide sursa")</x:f>
        <x:v>HYPERLINK is not implemented. linkLocation=file:///Z:/00. Proiecte 2025/AFIR FotoVoltaic 1/3.6. Oferte/3. Energotehnica SRL/Oferta Energotehnica SRL.pdf, friendlyName=Deschide sursa</x:v>
      </x:c>
    </x:row>
    <x:row r="934" ht="36" customHeight="1">
      <x:c r="A934" s="8" t="str">
        <x:v>F0930</x:v>
      </x:c>
      <x:c r="B934" s="8" t="str">
        <x:v>Solicitare oferta Energotehnica SRL.docx</x:v>
      </x:c>
      <x:c r="C934" s="8" t="str">
        <x:v>3.6. Oferte</x:v>
      </x:c>
      <x:c r="D934" s="8" t="str">
        <x:v>Proiect fotovoltaic</x:v>
      </x:c>
      <x:c r="E934" s="8" t="str">
        <x:v>.docx</x:v>
      </x:c>
      <x:c r="F934" s="8" t="n">
        <x:v>2760136</x:v>
      </x:c>
      <x:c r="G934" s="8" t="str">
        <x:v>Text extras</x:v>
      </x:c>
      <x:c r="H934" s="8" t="str">
        <x:v>Document local; transmiterea individuală neconfirmată</x:v>
      </x:c>
      <x:c r="I934" s="8" t="str"/>
      <x:c r="J934" s="8" t="e">
        <x:f>HYPERLINK("file:///Z:/00. Proiecte 2025/AFIR FotoVoltaic 1/3.6. Oferte/3. Energotehnica SRL/Solicitare oferta Energotehnica SRL.docx","Deschide sursa")</x:f>
        <x:v>HYPERLINK is not implemented. linkLocation=file:///Z:/00. Proiecte 2025/AFIR FotoVoltaic 1/3.6. Oferte/3. Energotehnica SRL/Solicitare oferta Energotehnica SRL.docx, friendlyName=Deschide sursa</x:v>
      </x:c>
    </x:row>
    <x:row r="935" ht="36" customHeight="1">
      <x:c r="A935" s="8" t="str">
        <x:v>F0931</x:v>
      </x:c>
      <x:c r="B935" s="8" t="str">
        <x:v>Certificat constatator Suntree Solar Tech SRL.pdf</x:v>
      </x:c>
      <x:c r="C935" s="8" t="str">
        <x:v>3.6. Oferte</x:v>
      </x:c>
      <x:c r="D935" s="8" t="str">
        <x:v>Proiect fotovoltaic</x:v>
      </x:c>
      <x:c r="E935" s="8" t="str">
        <x:v>.pdf</x:v>
      </x:c>
      <x:c r="F935" s="8" t="n">
        <x:v>1000385</x:v>
      </x:c>
      <x:c r="G935" s="8" t="str">
        <x:v>Scan / text insuficient</x:v>
      </x:c>
      <x:c r="H935" s="8" t="str">
        <x:v>Document local; transmiterea individuală neconfirmată</x:v>
      </x:c>
      <x:c r="I935" s="8" t="str"/>
      <x:c r="J935" s="8" t="e">
        <x:f>HYPERLINK("file:///Z:/00. Proiecte 2025/AFIR FotoVoltaic 1/3.6. Oferte/1. Suntree Solar Tech SRL/Anexe/Acte societate/Certificat constatator Suntree Solar Tech SRL.pdf","Deschide sursa")</x:f>
        <x:v>HYPERLINK is not implemented. linkLocation=file:///Z:/00. Proiecte 2025/AFIR FotoVoltaic 1/3.6. Oferte/1. Suntree Solar Tech SRL/Anexe/Acte societate/Certificat constatator Suntree Solar Tech SRL.pdf, friendlyName=Deschide sursa</x:v>
      </x:c>
    </x:row>
    <x:row r="936" ht="36" customHeight="1">
      <x:c r="A936" s="8" t="str">
        <x:v>F0932</x:v>
      </x:c>
      <x:c r="B936" s="8" t="str">
        <x:v>Certificat de inregistrare Suntree Solar Tech SRL.pdf</x:v>
      </x:c>
      <x:c r="C936" s="8" t="str">
        <x:v>3.6. Oferte</x:v>
      </x:c>
      <x:c r="D936" s="8" t="str">
        <x:v>Proiect fotovoltaic</x:v>
      </x:c>
      <x:c r="E936" s="8" t="str">
        <x:v>.pdf</x:v>
      </x:c>
      <x:c r="F936" s="8" t="n">
        <x:v>2426307</x:v>
      </x:c>
      <x:c r="G936" s="8" t="str">
        <x:v>Scan / text insuficient</x:v>
      </x:c>
      <x:c r="H936" s="8" t="str">
        <x:v>Document local; transmiterea individuală neconfirmată</x:v>
      </x:c>
      <x:c r="I936" s="8" t="str"/>
      <x:c r="J936" s="8" t="e">
        <x:f>HYPERLINK("file:///Z:/00. Proiecte 2025/AFIR FotoVoltaic 1/3.6. Oferte/1. Suntree Solar Tech SRL/Anexe/Acte societate/Certificat de inregistrare Suntree Solar Tech SRL.pdf","Deschide sursa")</x:f>
        <x:v>HYPERLINK is not implemented. linkLocation=file:///Z:/00. Proiecte 2025/AFIR FotoVoltaic 1/3.6. Oferte/1. Suntree Solar Tech SRL/Anexe/Acte societate/Certificat de inregistrare Suntree Solar Tech SRL.pdf, friendlyName=Deschide sursa</x:v>
      </x:c>
    </x:row>
    <x:row r="937" ht="36" customHeight="1">
      <x:c r="A937" s="8" t="str">
        <x:v>F0933</x:v>
      </x:c>
      <x:c r="B937" s="8" t="str">
        <x:v>LUNA2000-200KWH-2H1.pdf</x:v>
      </x:c>
      <x:c r="C937" s="8" t="str">
        <x:v>3.6. Oferte</x:v>
      </x:c>
      <x:c r="D937" s="8" t="str">
        <x:v>Proiect fotovoltaic</x:v>
      </x:c>
      <x:c r="E937" s="8" t="str">
        <x:v>.pdf</x:v>
      </x:c>
      <x:c r="F937" s="8" t="n">
        <x:v>171915</x:v>
      </x:c>
      <x:c r="G937" s="8" t="str">
        <x:v>Text extras</x:v>
      </x:c>
      <x:c r="H937" s="8" t="str">
        <x:v>Document local; transmiterea individuală neconfirmată</x:v>
      </x:c>
      <x:c r="I937" s="8" t="str">
        <x:v>F0483</x:v>
      </x:c>
      <x:c r="J937" s="8" t="e">
        <x:f>HYPERLINK("file:///Z:/00. Proiecte 2025/AFIR FotoVoltaic 1/3.6. Oferte/1. Suntree Solar Tech SRL/Anexe/Fise tehnice echipamente ofertate/LUNA2000-200KWH-2H1.pdf","Deschide sursa")</x:f>
        <x:v>HYPERLINK is not implemented. linkLocation=file:///Z:/00. Proiecte 2025/AFIR FotoVoltaic 1/3.6. Oferte/1. Suntree Solar Tech SRL/Anexe/Fise tehnice echipamente ofertate/LUNA2000-200KWH-2H1.pdf, friendlyName=Deschide sursa</x:v>
      </x:c>
    </x:row>
    <x:row r="938" ht="36" customHeight="1">
      <x:c r="A938" s="8" t="str">
        <x:v>F0934</x:v>
      </x:c>
      <x:c r="B938" s="8" t="str">
        <x:v>SUN2000-100KTL-M2.pdf</x:v>
      </x:c>
      <x:c r="C938" s="8" t="str">
        <x:v>3.6. Oferte</x:v>
      </x:c>
      <x:c r="D938" s="8" t="str">
        <x:v>Proiect fotovoltaic</x:v>
      </x:c>
      <x:c r="E938" s="8" t="str">
        <x:v>.pdf</x:v>
      </x:c>
      <x:c r="F938" s="8" t="n">
        <x:v>441689</x:v>
      </x:c>
      <x:c r="G938" s="8" t="str">
        <x:v>Text extras</x:v>
      </x:c>
      <x:c r="H938" s="8" t="str">
        <x:v>Document local; transmiterea individuală neconfirmată</x:v>
      </x:c>
      <x:c r="I938" s="8" t="str">
        <x:v>F0486</x:v>
      </x:c>
      <x:c r="J938" s="8" t="e">
        <x:f>HYPERLINK("file:///Z:/00. Proiecte 2025/AFIR FotoVoltaic 1/3.6. Oferte/1. Suntree Solar Tech SRL/Anexe/Fise tehnice echipamente ofertate/SUN2000-100KTL-M2.pdf","Deschide sursa")</x:f>
        <x:v>HYPERLINK is not implemented. linkLocation=file:///Z:/00. Proiecte 2025/AFIR FotoVoltaic 1/3.6. Oferte/1. Suntree Solar Tech SRL/Anexe/Fise tehnice echipamente ofertate/SUN2000-100KTL-M2.pdf, friendlyName=Deschide sursa</x:v>
      </x:c>
    </x:row>
    <x:row r="939" ht="36" customHeight="1">
      <x:c r="A939" s="8" t="str">
        <x:v>F0935</x:v>
      </x:c>
      <x:c r="B939" s="8" t="str">
        <x:v>SUN2000-10KTL-M1.pdf</x:v>
      </x:c>
      <x:c r="C939" s="8" t="str">
        <x:v>3.6. Oferte</x:v>
      </x:c>
      <x:c r="D939" s="8" t="str">
        <x:v>Proiect fotovoltaic</x:v>
      </x:c>
      <x:c r="E939" s="8" t="str">
        <x:v>.pdf</x:v>
      </x:c>
      <x:c r="F939" s="8" t="n">
        <x:v>1544755</x:v>
      </x:c>
      <x:c r="G939" s="8" t="str">
        <x:v>Text extras</x:v>
      </x:c>
      <x:c r="H939" s="8" t="str">
        <x:v>Document local; transmiterea individuală neconfirmată</x:v>
      </x:c>
      <x:c r="I939" s="8" t="str"/>
      <x:c r="J939" s="8" t="e">
        <x:f>HYPERLINK("file:///Z:/00. Proiecte 2025/AFIR FotoVoltaic 1/3.6. Oferte/1. Suntree Solar Tech SRL/Anexe/Fise tehnice echipamente ofertate/SUN2000-10KTL-M1.pdf","Deschide sursa")</x:f>
        <x:v>HYPERLINK is not implemented. linkLocation=file:///Z:/00. Proiecte 2025/AFIR FotoVoltaic 1/3.6. Oferte/1. Suntree Solar Tech SRL/Anexe/Fise tehnice echipamente ofertate/SUN2000-10KTL-M1.pdf, friendlyName=Deschide sursa</x:v>
      </x:c>
    </x:row>
    <x:row r="940" ht="36" customHeight="1">
      <x:c r="A940" s="8" t="str">
        <x:v>F0936</x:v>
      </x:c>
      <x:c r="B940" s="8" t="str">
        <x:v>TOPHiKu6.pdf</x:v>
      </x:c>
      <x:c r="C940" s="8" t="str">
        <x:v>3.6. Oferte</x:v>
      </x:c>
      <x:c r="D940" s="8" t="str">
        <x:v>Proiect fotovoltaic</x:v>
      </x:c>
      <x:c r="E940" s="8" t="str">
        <x:v>.pdf</x:v>
      </x:c>
      <x:c r="F940" s="8" t="n">
        <x:v>354028</x:v>
      </x:c>
      <x:c r="G940" s="8" t="str">
        <x:v>Text extras</x:v>
      </x:c>
      <x:c r="H940" s="8" t="str">
        <x:v>Document local; transmiterea individuală neconfirmată</x:v>
      </x:c>
      <x:c r="I940" s="8" t="str">
        <x:v>F0277</x:v>
      </x:c>
      <x:c r="J940" s="8" t="e">
        <x:f>HYPERLINK("file:///Z:/00. Proiecte 2025/AFIR FotoVoltaic 1/3.6. Oferte/1. Suntree Solar Tech SRL/Anexe/Fise tehnice echipamente ofertate/TOPHiKu6.pdf","Deschide sursa")</x:f>
        <x:v>HYPERLINK is not implemented. linkLocation=file:///Z:/00. Proiecte 2025/AFIR FotoVoltaic 1/3.6. Oferte/1. Suntree Solar Tech SRL/Anexe/Fise tehnice echipamente ofertate/TOPHiKu6.pdf, friendlyName=Deschide sursa</x:v>
      </x:c>
    </x:row>
    <x:row r="941" ht="36" customHeight="1">
      <x:c r="A941" s="8" t="str">
        <x:v>F0937</x:v>
      </x:c>
      <x:c r="B941" s="8" t="str">
        <x:v>TOPHiKu6_Page_1.png</x:v>
      </x:c>
      <x:c r="C941" s="8" t="str">
        <x:v>3.6. Oferte</x:v>
      </x:c>
      <x:c r="D941" s="8" t="str">
        <x:v>Proiect fotovoltaic</x:v>
      </x:c>
      <x:c r="E941" s="8" t="str">
        <x:v>.png</x:v>
      </x:c>
      <x:c r="F941" s="8" t="n">
        <x:v>1053099</x:v>
      </x:c>
      <x:c r="G941" s="8" t="str">
        <x:v>Inventariat; conținut neextras</x:v>
      </x:c>
      <x:c r="H941" s="8" t="str">
        <x:v>Document local; transmiterea individuală neconfirmată</x:v>
      </x:c>
      <x:c r="I941" s="8" t="str"/>
      <x:c r="J941" s="8" t="e">
        <x:f>HYPERLINK("file:///Z:/00. Proiecte 2025/AFIR FotoVoltaic 1/3.6. Oferte/1. Suntree Solar Tech SRL/Anexe/Fise tehnice echipamente ofertate/TOPHiKu6_Page_1.png","Deschide sursa")</x:f>
        <x:v>HYPERLINK is not implemented. linkLocation=file:///Z:/00. Proiecte 2025/AFIR FotoVoltaic 1/3.6. Oferte/1. Suntree Solar Tech SRL/Anexe/Fise tehnice echipamente ofertate/TOPHiKu6_Page_1.png, friendlyName=Deschide sursa</x:v>
      </x:c>
    </x:row>
    <x:row r="942" ht="36" customHeight="1">
      <x:c r="A942" s="8" t="str">
        <x:v>F0938</x:v>
      </x:c>
      <x:c r="B942" s="8" t="str">
        <x:v>TOPHiKu6_Page_2.png</x:v>
      </x:c>
      <x:c r="C942" s="8" t="str">
        <x:v>3.6. Oferte</x:v>
      </x:c>
      <x:c r="D942" s="8" t="str">
        <x:v>Proiect fotovoltaic</x:v>
      </x:c>
      <x:c r="E942" s="8" t="str">
        <x:v>.png</x:v>
      </x:c>
      <x:c r="F942" s="8" t="n">
        <x:v>126378</x:v>
      </x:c>
      <x:c r="G942" s="8" t="str">
        <x:v>Inventariat; conținut neextras</x:v>
      </x:c>
      <x:c r="H942" s="8" t="str">
        <x:v>Document local; transmiterea individuală neconfirmată</x:v>
      </x:c>
      <x:c r="I942" s="8" t="str"/>
      <x:c r="J942" s="8" t="e">
        <x:f>HYPERLINK("file:///Z:/00. Proiecte 2025/AFIR FotoVoltaic 1/3.6. Oferte/1. Suntree Solar Tech SRL/Anexe/Fise tehnice echipamente ofertate/TOPHiKu6_Page_2.png","Deschide sursa")</x:f>
        <x:v>HYPERLINK is not implemented. linkLocation=file:///Z:/00. Proiecte 2025/AFIR FotoVoltaic 1/3.6. Oferte/1. Suntree Solar Tech SRL/Anexe/Fise tehnice echipamente ofertate/TOPHiKu6_Page_2.png, friendlyName=Deschide sursa</x:v>
      </x:c>
    </x:row>
    <x:row r="943" ht="36" customHeight="1">
      <x:c r="A943" s="8" t="str">
        <x:v>F0939</x:v>
      </x:c>
      <x:c r="B943" s="8" t="str">
        <x:v>Certificat constatator Albaco Exim SRL.pdf</x:v>
      </x:c>
      <x:c r="C943" s="8" t="str">
        <x:v>3.6. Oferte</x:v>
      </x:c>
      <x:c r="D943" s="8" t="str">
        <x:v>Proiect fotovoltaic</x:v>
      </x:c>
      <x:c r="E943" s="8" t="str">
        <x:v>.pdf</x:v>
      </x:c>
      <x:c r="F943" s="8" t="n">
        <x:v>583873</x:v>
      </x:c>
      <x:c r="G943" s="8" t="str">
        <x:v>Scan / text insuficient</x:v>
      </x:c>
      <x:c r="H943" s="8" t="str">
        <x:v>Document local; transmiterea individuală neconfirmată</x:v>
      </x:c>
      <x:c r="I943" s="8" t="str"/>
      <x:c r="J943" s="8" t="e">
        <x:f>HYPERLINK("file:///Z:/00. Proiecte 2025/AFIR FotoVoltaic 1/3.6. Oferte/2. Albaco Exim SRL/Anexe/Acte societate/Certificat constatator Albaco Exim SRL.pdf","Deschide sursa")</x:f>
        <x:v>HYPERLINK is not implemented. linkLocation=file:///Z:/00. Proiecte 2025/AFIR FotoVoltaic 1/3.6. Oferte/2. Albaco Exim SRL/Anexe/Acte societate/Certificat constatator Albaco Exim SRL.pdf, friendlyName=Deschide sursa</x:v>
      </x:c>
    </x:row>
    <x:row r="944" ht="36" customHeight="1">
      <x:c r="A944" s="8" t="str">
        <x:v>F0940</x:v>
      </x:c>
      <x:c r="B944" s="8" t="str">
        <x:v>Certificat de inregistrare Albaco Exim SRL.pdf</x:v>
      </x:c>
      <x:c r="C944" s="8" t="str">
        <x:v>3.6. Oferte</x:v>
      </x:c>
      <x:c r="D944" s="8" t="str">
        <x:v>Proiect fotovoltaic</x:v>
      </x:c>
      <x:c r="E944" s="8" t="str">
        <x:v>.pdf</x:v>
      </x:c>
      <x:c r="F944" s="8" t="n">
        <x:v>1823403</x:v>
      </x:c>
      <x:c r="G944" s="8" t="str">
        <x:v>Scan / text insuficient</x:v>
      </x:c>
      <x:c r="H944" s="8" t="str">
        <x:v>Document local; transmiterea individuală neconfirmată</x:v>
      </x:c>
      <x:c r="I944" s="8" t="str"/>
      <x:c r="J944" s="8" t="e">
        <x:f>HYPERLINK("file:///Z:/00. Proiecte 2025/AFIR FotoVoltaic 1/3.6. Oferte/2. Albaco Exim SRL/Anexe/Acte societate/Certificat de inregistrare Albaco Exim SRL.pdf","Deschide sursa")</x:f>
        <x:v>HYPERLINK is not implemented. linkLocation=file:///Z:/00. Proiecte 2025/AFIR FotoVoltaic 1/3.6. Oferte/2. Albaco Exim SRL/Anexe/Acte societate/Certificat de inregistrare Albaco Exim SRL.pdf, friendlyName=Deschide sursa</x:v>
      </x:c>
    </x:row>
    <x:row r="945" ht="36" customHeight="1">
      <x:c r="A945" s="8" t="str">
        <x:v>F0941</x:v>
      </x:c>
      <x:c r="B945" s="8" t="str">
        <x:v>JKM570N-72HL4-BDV.pdf</x:v>
      </x:c>
      <x:c r="C945" s="8" t="str">
        <x:v>3.6. Oferte</x:v>
      </x:c>
      <x:c r="D945" s="8" t="str">
        <x:v>Proiect fotovoltaic</x:v>
      </x:c>
      <x:c r="E945" s="8" t="str">
        <x:v>.pdf</x:v>
      </x:c>
      <x:c r="F945" s="8" t="n">
        <x:v>444795</x:v>
      </x:c>
      <x:c r="G945" s="8" t="str">
        <x:v>Text extras</x:v>
      </x:c>
      <x:c r="H945" s="8" t="str">
        <x:v>Document local; transmiterea individuală neconfirmată</x:v>
      </x:c>
      <x:c r="I945" s="8" t="str"/>
      <x:c r="J945" s="8" t="e">
        <x:f>HYPERLINK("file:///Z:/00. Proiecte 2025/AFIR FotoVoltaic 1/3.6. Oferte/2. Albaco Exim SRL/Anexe/Fise tehnice echipamente ofertate/JKM570N-72HL4-BDV.pdf","Deschide sursa")</x:f>
        <x:v>HYPERLINK is not implemented. linkLocation=file:///Z:/00. Proiecte 2025/AFIR FotoVoltaic 1/3.6. Oferte/2. Albaco Exim SRL/Anexe/Fise tehnice echipamente ofertate/JKM570N-72HL4-BDV.pdf, friendlyName=Deschide sursa</x:v>
      </x:c>
    </x:row>
    <x:row r="946" ht="36" customHeight="1">
      <x:c r="A946" s="8" t="str">
        <x:v>F0942</x:v>
      </x:c>
      <x:c r="B946" s="8" t="str">
        <x:v>LUNA2000-200KWH-2H1.pdf</x:v>
      </x:c>
      <x:c r="C946" s="8" t="str">
        <x:v>3.6. Oferte</x:v>
      </x:c>
      <x:c r="D946" s="8" t="str">
        <x:v>Proiect fotovoltaic</x:v>
      </x:c>
      <x:c r="E946" s="8" t="str">
        <x:v>.pdf</x:v>
      </x:c>
      <x:c r="F946" s="8" t="n">
        <x:v>171915</x:v>
      </x:c>
      <x:c r="G946" s="8" t="str">
        <x:v>Text extras</x:v>
      </x:c>
      <x:c r="H946" s="8" t="str">
        <x:v>Document local; transmiterea individuală neconfirmată</x:v>
      </x:c>
      <x:c r="I946" s="8" t="str">
        <x:v>F0483</x:v>
      </x:c>
      <x:c r="J946" s="8" t="e">
        <x:f>HYPERLINK("file:///Z:/00. Proiecte 2025/AFIR FotoVoltaic 1/3.6. Oferte/2. Albaco Exim SRL/Anexe/Fise tehnice echipamente ofertate/LUNA2000-200KWH-2H1.pdf","Deschide sursa")</x:f>
        <x:v>HYPERLINK is not implemented. linkLocation=file:///Z:/00. Proiecte 2025/AFIR FotoVoltaic 1/3.6. Oferte/2. Albaco Exim SRL/Anexe/Fise tehnice echipamente ofertate/LUNA2000-200KWH-2H1.pdf, friendlyName=Deschide sursa</x:v>
      </x:c>
    </x:row>
    <x:row r="947" ht="36" customHeight="1">
      <x:c r="A947" s="8" t="str">
        <x:v>F0943</x:v>
      </x:c>
      <x:c r="B947" s="8" t="str">
        <x:v>SUN2000-100KTL-M2.pdf</x:v>
      </x:c>
      <x:c r="C947" s="8" t="str">
        <x:v>3.6. Oferte</x:v>
      </x:c>
      <x:c r="D947" s="8" t="str">
        <x:v>Proiect fotovoltaic</x:v>
      </x:c>
      <x:c r="E947" s="8" t="str">
        <x:v>.pdf</x:v>
      </x:c>
      <x:c r="F947" s="8" t="n">
        <x:v>441689</x:v>
      </x:c>
      <x:c r="G947" s="8" t="str">
        <x:v>Text extras</x:v>
      </x:c>
      <x:c r="H947" s="8" t="str">
        <x:v>Document local; transmiterea individuală neconfirmată</x:v>
      </x:c>
      <x:c r="I947" s="8" t="str">
        <x:v>F0486</x:v>
      </x:c>
      <x:c r="J947" s="8" t="e">
        <x:f>HYPERLINK("file:///Z:/00. Proiecte 2025/AFIR FotoVoltaic 1/3.6. Oferte/2. Albaco Exim SRL/Anexe/Fise tehnice echipamente ofertate/SUN2000-100KTL-M2.pdf","Deschide sursa")</x:f>
        <x:v>HYPERLINK is not implemented. linkLocation=file:///Z:/00. Proiecte 2025/AFIR FotoVoltaic 1/3.6. Oferte/2. Albaco Exim SRL/Anexe/Fise tehnice echipamente ofertate/SUN2000-100KTL-M2.pdf, friendlyName=Deschide sursa</x:v>
      </x:c>
    </x:row>
    <x:row r="948" ht="36" customHeight="1">
      <x:c r="A948" s="8" t="str">
        <x:v>F0944</x:v>
      </x:c>
      <x:c r="B948" s="8" t="str">
        <x:v>SUN2000-10KTL-M1.pdf</x:v>
      </x:c>
      <x:c r="C948" s="8" t="str">
        <x:v>3.6. Oferte</x:v>
      </x:c>
      <x:c r="D948" s="8" t="str">
        <x:v>Proiect fotovoltaic</x:v>
      </x:c>
      <x:c r="E948" s="8" t="str">
        <x:v>.pdf</x:v>
      </x:c>
      <x:c r="F948" s="8" t="n">
        <x:v>1544755</x:v>
      </x:c>
      <x:c r="G948" s="8" t="str">
        <x:v>Text extras</x:v>
      </x:c>
      <x:c r="H948" s="8" t="str">
        <x:v>Document local; transmiterea individuală neconfirmată</x:v>
      </x:c>
      <x:c r="I948" s="8" t="str">
        <x:v>F0935</x:v>
      </x:c>
      <x:c r="J948" s="8" t="e">
        <x:f>HYPERLINK("file:///Z:/00. Proiecte 2025/AFIR FotoVoltaic 1/3.6. Oferte/2. Albaco Exim SRL/Anexe/Fise tehnice echipamente ofertate/SUN2000-10KTL-M1.pdf","Deschide sursa")</x:f>
        <x:v>HYPERLINK is not implemented. linkLocation=file:///Z:/00. Proiecte 2025/AFIR FotoVoltaic 1/3.6. Oferte/2. Albaco Exim SRL/Anexe/Fise tehnice echipamente ofertate/SUN2000-10KTL-M1.pdf, friendlyName=Deschide sursa</x:v>
      </x:c>
    </x:row>
    <x:row r="949" ht="36" customHeight="1">
      <x:c r="A949" s="8" t="str">
        <x:v>F0945</x:v>
      </x:c>
      <x:c r="B949" s="8" t="str">
        <x:v>Certificat constatator Energotehnica SRL.pdf</x:v>
      </x:c>
      <x:c r="C949" s="8" t="str">
        <x:v>3.6. Oferte</x:v>
      </x:c>
      <x:c r="D949" s="8" t="str">
        <x:v>Proiect fotovoltaic</x:v>
      </x:c>
      <x:c r="E949" s="8" t="str">
        <x:v>.pdf</x:v>
      </x:c>
      <x:c r="F949" s="8" t="n">
        <x:v>200833</x:v>
      </x:c>
      <x:c r="G949" s="8" t="str">
        <x:v>Text extras</x:v>
      </x:c>
      <x:c r="H949" s="8" t="str">
        <x:v>Document local; transmiterea individuală neconfirmată</x:v>
      </x:c>
      <x:c r="I949" s="8" t="str"/>
      <x:c r="J949" s="8" t="e">
        <x:f>HYPERLINK("file:///Z:/00. Proiecte 2025/AFIR FotoVoltaic 1/3.6. Oferte/3. Energotehnica SRL/Anexe/Acte societate/Certificat constatator Energotehnica SRL.pdf","Deschide sursa")</x:f>
        <x:v>HYPERLINK is not implemented. linkLocation=file:///Z:/00. Proiecte 2025/AFIR FotoVoltaic 1/3.6. Oferte/3. Energotehnica SRL/Anexe/Acte societate/Certificat constatator Energotehnica SRL.pdf, friendlyName=Deschide sursa</x:v>
      </x:c>
    </x:row>
    <x:row r="950" ht="36" customHeight="1">
      <x:c r="A950" s="8" t="str">
        <x:v>F0946</x:v>
      </x:c>
      <x:c r="B950" s="8" t="str">
        <x:v>Certificat de inregsitrare Energotehnica SRL.pdf</x:v>
      </x:c>
      <x:c r="C950" s="8" t="str">
        <x:v>3.6. Oferte</x:v>
      </x:c>
      <x:c r="D950" s="8" t="str">
        <x:v>Proiect fotovoltaic</x:v>
      </x:c>
      <x:c r="E950" s="8" t="str">
        <x:v>.pdf</x:v>
      </x:c>
      <x:c r="F950" s="8" t="n">
        <x:v>1896605</x:v>
      </x:c>
      <x:c r="G950" s="8" t="str">
        <x:v>Scan / text insuficient</x:v>
      </x:c>
      <x:c r="H950" s="8" t="str">
        <x:v>Document local; transmiterea individuală neconfirmată</x:v>
      </x:c>
      <x:c r="I950" s="8" t="str"/>
      <x:c r="J950" s="8" t="e">
        <x:f>HYPERLINK("file:///Z:/00. Proiecte 2025/AFIR FotoVoltaic 1/3.6. Oferte/3. Energotehnica SRL/Anexe/Acte societate/Certificat de inregsitrare Energotehnica SRL.pdf","Deschide sursa")</x:f>
        <x:v>HYPERLINK is not implemented. linkLocation=file:///Z:/00. Proiecte 2025/AFIR FotoVoltaic 1/3.6. Oferte/3. Energotehnica SRL/Anexe/Acte societate/Certificat de inregsitrare Energotehnica SRL.pdf, friendlyName=Deschide sursa</x:v>
      </x:c>
    </x:row>
    <x:row r="951" ht="36" customHeight="1">
      <x:c r="A951" s="8" t="str">
        <x:v>F0947</x:v>
      </x:c>
      <x:c r="B951" s="8" t="str">
        <x:v>SG110CX.pdf</x:v>
      </x:c>
      <x:c r="C951" s="8" t="str">
        <x:v>3.6. Oferte</x:v>
      </x:c>
      <x:c r="D951" s="8" t="str">
        <x:v>Proiect fotovoltaic</x:v>
      </x:c>
      <x:c r="E951" s="8" t="str">
        <x:v>.pdf</x:v>
      </x:c>
      <x:c r="F951" s="8" t="n">
        <x:v>364045</x:v>
      </x:c>
      <x:c r="G951" s="8" t="str">
        <x:v>Text extras</x:v>
      </x:c>
      <x:c r="H951" s="8" t="str">
        <x:v>Document local; transmiterea individuală neconfirmată</x:v>
      </x:c>
      <x:c r="I951" s="8" t="str">
        <x:v>F0273</x:v>
      </x:c>
      <x:c r="J951" s="8" t="e">
        <x:f>HYPERLINK("file:///Z:/00. Proiecte 2025/AFIR FotoVoltaic 1/3.6. Oferte/3. Energotehnica SRL/Anexe/Fise tehnice echipamente ofertate/SG110CX.pdf","Deschide sursa")</x:f>
        <x:v>HYPERLINK is not implemented. linkLocation=file:///Z:/00. Proiecte 2025/AFIR FotoVoltaic 1/3.6. Oferte/3. Energotehnica SRL/Anexe/Fise tehnice echipamente ofertate/SG110CX.pdf, friendlyName=Deschide sursa</x:v>
      </x:c>
    </x:row>
    <x:row r="952" ht="36" customHeight="1">
      <x:c r="A952" s="8" t="str">
        <x:v>F0948</x:v>
      </x:c>
      <x:c r="B952" s="8" t="str">
        <x:v>SH10RT.pdf</x:v>
      </x:c>
      <x:c r="C952" s="8" t="str">
        <x:v>3.6. Oferte</x:v>
      </x:c>
      <x:c r="D952" s="8" t="str">
        <x:v>Proiect fotovoltaic</x:v>
      </x:c>
      <x:c r="E952" s="8" t="str">
        <x:v>.pdf</x:v>
      </x:c>
      <x:c r="F952" s="8" t="n">
        <x:v>193735</x:v>
      </x:c>
      <x:c r="G952" s="8" t="str">
        <x:v>Text extras</x:v>
      </x:c>
      <x:c r="H952" s="8" t="str">
        <x:v>Document local; transmiterea individuală neconfirmată</x:v>
      </x:c>
      <x:c r="I952" s="8" t="str">
        <x:v>F0274</x:v>
      </x:c>
      <x:c r="J952" s="8" t="e">
        <x:f>HYPERLINK("file:///Z:/00. Proiecte 2025/AFIR FotoVoltaic 1/3.6. Oferte/3. Energotehnica SRL/Anexe/Fise tehnice echipamente ofertate/SH10RT.pdf","Deschide sursa")</x:f>
        <x:v>HYPERLINK is not implemented. linkLocation=file:///Z:/00. Proiecte 2025/AFIR FotoVoltaic 1/3.6. Oferte/3. Energotehnica SRL/Anexe/Fise tehnice echipamente ofertate/SH10RT.pdf, friendlyName=Deschide sursa</x:v>
      </x:c>
    </x:row>
    <x:row r="953" ht="36" customHeight="1">
      <x:c r="A953" s="8" t="str">
        <x:v>F0949</x:v>
      </x:c>
      <x:c r="B953" s="8" t="str">
        <x:v>SMA SC200.pdf</x:v>
      </x:c>
      <x:c r="C953" s="8" t="str">
        <x:v>3.6. Oferte</x:v>
      </x:c>
      <x:c r="D953" s="8" t="str">
        <x:v>Proiect fotovoltaic</x:v>
      </x:c>
      <x:c r="E953" s="8" t="str">
        <x:v>.pdf</x:v>
      </x:c>
      <x:c r="F953" s="8" t="n">
        <x:v>1180417</x:v>
      </x:c>
      <x:c r="G953" s="8" t="str">
        <x:v>Text extras</x:v>
      </x:c>
      <x:c r="H953" s="8" t="str">
        <x:v>Document local; transmiterea individuală neconfirmată</x:v>
      </x:c>
      <x:c r="I953" s="8" t="str">
        <x:v>F0276</x:v>
      </x:c>
      <x:c r="J953" s="8" t="e">
        <x:f>HYPERLINK("file:///Z:/00. Proiecte 2025/AFIR FotoVoltaic 1/3.6. Oferte/3. Energotehnica SRL/Anexe/Fise tehnice echipamente ofertate/SMA SC200.pdf","Deschide sursa")</x:f>
        <x:v>HYPERLINK is not implemented. linkLocation=file:///Z:/00. Proiecte 2025/AFIR FotoVoltaic 1/3.6. Oferte/3. Energotehnica SRL/Anexe/Fise tehnice echipamente ofertate/SMA SC200.pdf, friendlyName=Deschide sursa</x:v>
      </x:c>
    </x:row>
    <x:row r="954" ht="36" customHeight="1">
      <x:c r="A954" s="8" t="str">
        <x:v>F0950</x:v>
      </x:c>
      <x:c r="B954" s="8" t="str">
        <x:v>TOPHiKu6.pdf</x:v>
      </x:c>
      <x:c r="C954" s="8" t="str">
        <x:v>3.6. Oferte</x:v>
      </x:c>
      <x:c r="D954" s="8" t="str">
        <x:v>Proiect fotovoltaic</x:v>
      </x:c>
      <x:c r="E954" s="8" t="str">
        <x:v>.pdf</x:v>
      </x:c>
      <x:c r="F954" s="8" t="n">
        <x:v>354028</x:v>
      </x:c>
      <x:c r="G954" s="8" t="str">
        <x:v>Text extras</x:v>
      </x:c>
      <x:c r="H954" s="8" t="str">
        <x:v>Document local; transmiterea individuală neconfirmată</x:v>
      </x:c>
      <x:c r="I954" s="8" t="str">
        <x:v>F0277</x:v>
      </x:c>
      <x:c r="J954" s="8" t="e">
        <x:f>HYPERLINK("file:///Z:/00. Proiecte 2025/AFIR FotoVoltaic 1/3.6. Oferte/3. Energotehnica SRL/Anexe/Fise tehnice echipamente ofertate/TOPHiKu6.pdf","Deschide sursa")</x:f>
        <x:v>HYPERLINK is not implemented. linkLocation=file:///Z:/00. Proiecte 2025/AFIR FotoVoltaic 1/3.6. Oferte/3. Energotehnica SRL/Anexe/Fise tehnice echipamente ofertate/TOPHiKu6.pdf, friendlyName=Deschide sursa</x:v>
      </x:c>
    </x:row>
    <x:row r="955" ht="36" customHeight="1">
      <x:c r="A955" s="8" t="str">
        <x:v>F0951</x:v>
      </x:c>
      <x:c r="B955" s="8" t="str">
        <x:v>Deviz General 1 MW.xlsx</x:v>
      </x:c>
      <x:c r="C955" s="8" t="str">
        <x:v>3.7. Memoriu Tehnic &amp; Justificativ</x:v>
      </x:c>
      <x:c r="D955" s="8" t="str">
        <x:v>Proiect fotovoltaic</x:v>
      </x:c>
      <x:c r="E955" s="8" t="str">
        <x:v>.xlsx</x:v>
      </x:c>
      <x:c r="F955" s="8" t="n">
        <x:v>42377</x:v>
      </x:c>
      <x:c r="G955" s="8" t="str">
        <x:v>Inventariat; conținut neextras</x:v>
      </x:c>
      <x:c r="H955" s="8" t="str">
        <x:v>Versiune de lucru / arhivă</x:v>
      </x:c>
      <x:c r="I955" s="8" t="str"/>
      <x:c r="J955" s="8" t="e">
        <x:f>HYPERLINK("file:///Z:/00. Proiecte 2025/AFIR FotoVoltaic 1/3.7. Memoriu Tehnic &amp; Justificativ/Arhiva/Deviz General 1 MW.xlsx","Deschide sursa")</x:f>
        <x:v>HYPERLINK is not implemented. linkLocation=file:///Z:/00. Proiecte 2025/AFIR FotoVoltaic 1/3.7. Memoriu Tehnic &amp; Justificativ/Arhiva/Deviz General 1 MW.xlsx, friendlyName=Deschide sursa</x:v>
      </x:c>
    </x:row>
    <x:row r="956" ht="36" customHeight="1">
      <x:c r="A956" s="8" t="str">
        <x:v>F0952</x:v>
      </x:c>
      <x:c r="B956" s="8" t="str">
        <x:v>Deviz impecabil facut de Nicos.docx</x:v>
      </x:c>
      <x:c r="C956" s="8" t="str">
        <x:v>3.7. Memoriu Tehnic &amp; Justificativ</x:v>
      </x:c>
      <x:c r="D956" s="8" t="str">
        <x:v>Proiect fotovoltaic</x:v>
      </x:c>
      <x:c r="E956" s="8" t="str">
        <x:v>.docx</x:v>
      </x:c>
      <x:c r="F956" s="8" t="n">
        <x:v>23045</x:v>
      </x:c>
      <x:c r="G956" s="8" t="str">
        <x:v>Text extras</x:v>
      </x:c>
      <x:c r="H956" s="8" t="str">
        <x:v>Versiune de lucru / arhivă</x:v>
      </x:c>
      <x:c r="I956" s="8" t="str"/>
      <x:c r="J956" s="8" t="e">
        <x:f>HYPERLINK("file:///Z:/00. Proiecte 2025/AFIR FotoVoltaic 1/3.7. Memoriu Tehnic &amp; Justificativ/Arhiva/Deviz impecabil facut de Nicos.docx","Deschide sursa")</x:f>
        <x:v>HYPERLINK is not implemented. linkLocation=file:///Z:/00. Proiecte 2025/AFIR FotoVoltaic 1/3.7. Memoriu Tehnic &amp; Justificativ/Arhiva/Deviz impecabil facut de Nicos.docx, friendlyName=Deschide sursa</x:v>
      </x:c>
    </x:row>
    <x:row r="957" ht="36" customHeight="1">
      <x:c r="A957" s="8" t="str">
        <x:v>F0953</x:v>
      </x:c>
      <x:c r="B957" s="8" t="str">
        <x:v>DOCX Document nou.docx</x:v>
      </x:c>
      <x:c r="C957" s="8" t="str">
        <x:v>3.7. Memoriu Tehnic &amp; Justificativ</x:v>
      </x:c>
      <x:c r="D957" s="8" t="str">
        <x:v>Proiect fotovoltaic</x:v>
      </x:c>
      <x:c r="E957" s="8" t="str">
        <x:v>.docx</x:v>
      </x:c>
      <x:c r="F957" s="8" t="n">
        <x:v>26298</x:v>
      </x:c>
      <x:c r="G957" s="8" t="str">
        <x:v>Text extras</x:v>
      </x:c>
      <x:c r="H957" s="8" t="str">
        <x:v>Versiune de lucru / arhivă</x:v>
      </x:c>
      <x:c r="I957" s="8" t="str"/>
      <x:c r="J957" s="8" t="e">
        <x:f>HYPERLINK("file:///Z:/00. Proiecte 2025/AFIR FotoVoltaic 1/3.7. Memoriu Tehnic &amp; Justificativ/Arhiva/DOCX Document nou.docx","Deschide sursa")</x:f>
        <x:v>HYPERLINK is not implemented. linkLocation=file:///Z:/00. Proiecte 2025/AFIR FotoVoltaic 1/3.7. Memoriu Tehnic &amp; Justificativ/Arhiva/DOCX Document nou.docx, friendlyName=Deschide sursa</x:v>
      </x:c>
    </x:row>
    <x:row r="958" ht="32" customHeight="1">
      <x:c r="A958" s="8" t="str">
        <x:v>F0954</x:v>
      </x:c>
      <x:c r="B958" s="8" t="str">
        <x:v>Exemplu deviz.docx</x:v>
      </x:c>
      <x:c r="C958" s="8" t="str">
        <x:v>3.7. Memoriu Tehnic &amp; Justificativ</x:v>
      </x:c>
      <x:c r="D958" s="8" t="str">
        <x:v>Proiect fotovoltaic</x:v>
      </x:c>
      <x:c r="E958" s="8" t="str">
        <x:v>.docx</x:v>
      </x:c>
      <x:c r="F958" s="8" t="n">
        <x:v>22639</x:v>
      </x:c>
      <x:c r="G958" s="8" t="str">
        <x:v>Text extras</x:v>
      </x:c>
      <x:c r="H958" s="8" t="str">
        <x:v>Versiune de lucru / arhivă</x:v>
      </x:c>
      <x:c r="I958" s="8" t="str"/>
      <x:c r="J958" s="8" t="e">
        <x:f>HYPERLINK("file:///Z:/00. Proiecte 2025/AFIR FotoVoltaic 1/3.7. Memoriu Tehnic &amp; Justificativ/Arhiva/Exemplu deviz.docx","Deschide sursa")</x:f>
        <x:v>HYPERLINK is not implemented. linkLocation=file:///Z:/00. Proiecte 2025/AFIR FotoVoltaic 1/3.7. Memoriu Tehnic &amp; Justificativ/Arhiva/Exemplu deviz.docx, friendlyName=Deschide sursa</x:v>
      </x:c>
    </x:row>
    <x:row r="959" ht="36" customHeight="1">
      <x:c r="A959" s="8" t="str">
        <x:v>F0955</x:v>
      </x:c>
      <x:c r="B959" s="8" t="str">
        <x:v>Memoriu Justificativ 26.01.2024.docx</x:v>
      </x:c>
      <x:c r="C959" s="8" t="str">
        <x:v>3.7. Memoriu Tehnic &amp; Justificativ</x:v>
      </x:c>
      <x:c r="D959" s="8" t="str">
        <x:v>Proiect fotovoltaic</x:v>
      </x:c>
      <x:c r="E959" s="8" t="str">
        <x:v>.docx</x:v>
      </x:c>
      <x:c r="F959" s="8" t="n">
        <x:v>31084</x:v>
      </x:c>
      <x:c r="G959" s="8" t="str">
        <x:v>Text extras</x:v>
      </x:c>
      <x:c r="H959" s="8" t="str">
        <x:v>Versiune de lucru / arhivă</x:v>
      </x:c>
      <x:c r="I959" s="8" t="str"/>
      <x:c r="J959" s="8" t="e">
        <x:f>HYPERLINK("file:///Z:/00. Proiecte 2025/AFIR FotoVoltaic 1/3.7. Memoriu Tehnic &amp; Justificativ/Arhiva/Memoriu Justificativ 26.01.2024.docx","Deschide sursa")</x:f>
        <x:v>HYPERLINK is not implemented. linkLocation=file:///Z:/00. Proiecte 2025/AFIR FotoVoltaic 1/3.7. Memoriu Tehnic &amp; Justificativ/Arhiva/Memoriu Justificativ 26.01.2024.docx, friendlyName=Deschide sursa</x:v>
      </x:c>
    </x:row>
    <x:row r="960" ht="36" customHeight="1">
      <x:c r="A960" s="8" t="str">
        <x:v>F0956</x:v>
      </x:c>
      <x:c r="B960" s="8" t="str">
        <x:v>Memoriu Tehnic &amp; Justificativ 28.01.2024 (AutoRecovered).docx</x:v>
      </x:c>
      <x:c r="C960" s="8" t="str">
        <x:v>3.7. Memoriu Tehnic &amp; Justificativ</x:v>
      </x:c>
      <x:c r="D960" s="8" t="str">
        <x:v>Proiect fotovoltaic</x:v>
      </x:c>
      <x:c r="E960" s="8" t="str">
        <x:v>.docx</x:v>
      </x:c>
      <x:c r="F960" s="8" t="n">
        <x:v>2834690</x:v>
      </x:c>
      <x:c r="G960" s="8" t="str">
        <x:v>Text extras</x:v>
      </x:c>
      <x:c r="H960" s="8" t="str">
        <x:v>Versiune de lucru / arhivă</x:v>
      </x:c>
      <x:c r="I960" s="8" t="str"/>
      <x:c r="J960" s="8" t="e">
        <x:f>HYPERLINK("file:///Z:/00. Proiecte 2025/AFIR FotoVoltaic 1/3.7. Memoriu Tehnic &amp; Justificativ/Arhiva/Memoriu Tehnic &amp; Justificativ 28.01.2024 (AutoRecovered).docx","Deschide sursa")</x:f>
        <x:v>HYPERLINK is not implemented. linkLocation=file:///Z:/00. Proiecte 2025/AFIR FotoVoltaic 1/3.7. Memoriu Tehnic &amp; Justificativ/Arhiva/Memoriu Tehnic &amp; Justificativ 28.01.2024 (AutoRecovered).docx, friendlyName=Deschide sursa</x:v>
      </x:c>
    </x:row>
    <x:row r="961" ht="36" customHeight="1">
      <x:c r="A961" s="8" t="str">
        <x:v>F0957</x:v>
      </x:c>
      <x:c r="B961" s="8" t="str">
        <x:v>Memoriu Tehnic &amp; Justificativ 28.01.2024.docx</x:v>
      </x:c>
      <x:c r="C961" s="8" t="str">
        <x:v>3.7. Memoriu Tehnic &amp; Justificativ</x:v>
      </x:c>
      <x:c r="D961" s="8" t="str">
        <x:v>Proiect fotovoltaic</x:v>
      </x:c>
      <x:c r="E961" s="8" t="str">
        <x:v>.docx</x:v>
      </x:c>
      <x:c r="F961" s="8" t="n">
        <x:v>2854001</x:v>
      </x:c>
      <x:c r="G961" s="8" t="str">
        <x:v>Text extras</x:v>
      </x:c>
      <x:c r="H961" s="8" t="str">
        <x:v>Versiune de lucru / arhivă</x:v>
      </x:c>
      <x:c r="I961" s="8" t="str"/>
      <x:c r="J961" s="8" t="e">
        <x:f>HYPERLINK("file:///Z:/00. Proiecte 2025/AFIR FotoVoltaic 1/3.7. Memoriu Tehnic &amp; Justificativ/Arhiva/Memoriu Tehnic &amp; Justificativ 28.01.2024.docx","Deschide sursa")</x:f>
        <x:v>HYPERLINK is not implemented. linkLocation=file:///Z:/00. Proiecte 2025/AFIR FotoVoltaic 1/3.7. Memoriu Tehnic &amp; Justificativ/Arhiva/Memoriu Tehnic &amp; Justificativ 28.01.2024.docx, friendlyName=Deschide sursa</x:v>
      </x:c>
    </x:row>
    <x:row r="962" ht="36" customHeight="1">
      <x:c r="A962" s="8" t="str">
        <x:v>F0958</x:v>
      </x:c>
      <x:c r="B962" s="8" t="str">
        <x:v>Memoriu Tehnic 26.01.2024.docx</x:v>
      </x:c>
      <x:c r="C962" s="8" t="str">
        <x:v>3.7. Memoriu Tehnic &amp; Justificativ</x:v>
      </x:c>
      <x:c r="D962" s="8" t="str">
        <x:v>Proiect fotovoltaic</x:v>
      </x:c>
      <x:c r="E962" s="8" t="str">
        <x:v>.docx</x:v>
      </x:c>
      <x:c r="F962" s="8" t="n">
        <x:v>72513</x:v>
      </x:c>
      <x:c r="G962" s="8" t="str">
        <x:v>Text extras</x:v>
      </x:c>
      <x:c r="H962" s="8" t="str">
        <x:v>Versiune de lucru / arhivă</x:v>
      </x:c>
      <x:c r="I962" s="8" t="str"/>
      <x:c r="J962" s="8" t="e">
        <x:f>HYPERLINK("file:///Z:/00. Proiecte 2025/AFIR FotoVoltaic 1/3.7. Memoriu Tehnic &amp; Justificativ/Arhiva/Memoriu Tehnic 26.01.2024.docx","Deschide sursa")</x:f>
        <x:v>HYPERLINK is not implemented. linkLocation=file:///Z:/00. Proiecte 2025/AFIR FotoVoltaic 1/3.7. Memoriu Tehnic &amp; Justificativ/Arhiva/Memoriu Tehnic 26.01.2024.docx, friendlyName=Deschide sursa</x:v>
      </x:c>
    </x:row>
    <x:row r="963" ht="36" customHeight="1">
      <x:c r="A963" s="8" t="str">
        <x:v>F0959</x:v>
      </x:c>
      <x:c r="B963" s="8" t="str">
        <x:v>Memoriu Tehnic 27.01.2024.docx</x:v>
      </x:c>
      <x:c r="C963" s="8" t="str">
        <x:v>3.7. Memoriu Tehnic &amp; Justificativ</x:v>
      </x:c>
      <x:c r="D963" s="8" t="str">
        <x:v>Proiect fotovoltaic</x:v>
      </x:c>
      <x:c r="E963" s="8" t="str">
        <x:v>.docx</x:v>
      </x:c>
      <x:c r="F963" s="8" t="n">
        <x:v>57794</x:v>
      </x:c>
      <x:c r="G963" s="8" t="str">
        <x:v>Text extras</x:v>
      </x:c>
      <x:c r="H963" s="8" t="str">
        <x:v>Versiune de lucru / arhivă</x:v>
      </x:c>
      <x:c r="I963" s="8" t="str"/>
      <x:c r="J963" s="8" t="e">
        <x:f>HYPERLINK("file:///Z:/00. Proiecte 2025/AFIR FotoVoltaic 1/3.7. Memoriu Tehnic &amp; Justificativ/Arhiva/Memoriu Tehnic 27.01.2024.docx","Deschide sursa")</x:f>
        <x:v>HYPERLINK is not implemented. linkLocation=file:///Z:/00. Proiecte 2025/AFIR FotoVoltaic 1/3.7. Memoriu Tehnic &amp; Justificativ/Arhiva/Memoriu Tehnic 27.01.2024.docx, friendlyName=Deschide sursa</x:v>
      </x:c>
    </x:row>
    <x:row r="964" ht="36" customHeight="1">
      <x:c r="A964" s="8" t="str">
        <x:v>F0960</x:v>
      </x:c>
      <x:c r="B964" s="8" t="str">
        <x:v>PVGIS-5_GridConnectedPV_46.223_24.803_undefined_crystSi_1000kWp_14_36 (opt)deg_4 (opt)deg_page-0001.jpg</x:v>
      </x:c>
      <x:c r="C964" s="8" t="str">
        <x:v>3.7. Memoriu Tehnic &amp; Justificativ</x:v>
      </x:c>
      <x:c r="D964" s="8" t="str">
        <x:v>Proiect fotovoltaic</x:v>
      </x:c>
      <x:c r="E964" s="8" t="str">
        <x:v>.jpg</x:v>
      </x:c>
      <x:c r="F964" s="8" t="n">
        <x:v>735107</x:v>
      </x:c>
      <x:c r="G964" s="8" t="str">
        <x:v>Inventariat; conținut neextras</x:v>
      </x:c>
      <x:c r="H964" s="8" t="str">
        <x:v>Versiune de lucru / arhivă</x:v>
      </x:c>
      <x:c r="I964" s="8" t="str"/>
      <x:c r="J964" s="8" t="e">
        <x:f>HYPERLINK("file:///Z:/00. Proiecte 2025/AFIR FotoVoltaic 1/3.7. Memoriu Tehnic &amp; Justificativ/Arhiva/PVGIS-5_GridConnectedPV_46.223_24.803_undefined_crystSi_1000kWp_14_36 (opt)deg_4 (opt)deg_page-0001.jpg","Deschide sursa")</x:f>
        <x:v>HYPERLINK is not implemented. linkLocation=file:///Z:/00. Proiecte 2025/AFIR FotoVoltaic 1/3.7. Memoriu Tehnic &amp; Justificativ/Arhiva/PVGIS-5_GridConnectedPV_46.223_24.803_undefined_crystSi_1000kWp_14_36 (opt)deg_4 (opt)deg_page-0001.jpg, friendlyName=Deschide sursa</x:v>
      </x:c>
    </x:row>
    <x:row r="965" ht="36" customHeight="1">
      <x:c r="A965" s="8" t="str">
        <x:v>F0961</x:v>
      </x:c>
      <x:c r="B965" s="8" t="str">
        <x:v>Declaratie conflict de interese Suntree Solar Tech SRL.docx</x:v>
      </x:c>
      <x:c r="C965" s="8" t="str">
        <x:v>3.7. Memoriu Tehnic &amp; Justificativ</x:v>
      </x:c>
      <x:c r="D965" s="8" t="str">
        <x:v>Proiect fotovoltaic</x:v>
      </x:c>
      <x:c r="E965" s="8" t="str">
        <x:v>.docx</x:v>
      </x:c>
      <x:c r="F965" s="8" t="n">
        <x:v>2747589</x:v>
      </x:c>
      <x:c r="G965" s="8" t="str">
        <x:v>Text extras</x:v>
      </x:c>
      <x:c r="H965" s="8" t="str">
        <x:v>Document local; transmiterea individuală neconfirmată</x:v>
      </x:c>
      <x:c r="I965" s="8" t="str">
        <x:v>F0913</x:v>
      </x:c>
      <x:c r="J965" s="8" t="e">
        <x:f>HYPERLINK("file:///Z:/00. Proiecte 2025/AFIR FotoVoltaic 1/3.7. Memoriu Tehnic &amp; Justificativ/Oferte/1. Suntree Solar Tech SRL/Declaratie conflict de interese Suntree Solar Tech SRL.docx","Deschide sursa")</x:f>
        <x:v>HYPERLINK is not implemented. linkLocation=file:///Z:/00. Proiecte 2025/AFIR FotoVoltaic 1/3.7. Memoriu Tehnic &amp; Justificativ/Oferte/1. Suntree Solar Tech SRL/Declaratie conflict de interese Suntree Solar Tech SRL.docx, friendlyName=Deschide sursa</x:v>
      </x:c>
    </x:row>
    <x:row r="966" ht="36" customHeight="1">
      <x:c r="A966" s="8" t="str">
        <x:v>F0962</x:v>
      </x:c>
      <x:c r="B966" s="8" t="str">
        <x:v>Declaratie conflict de interese Suntree Solar Tech SRL.pdf</x:v>
      </x:c>
      <x:c r="C966" s="8" t="str">
        <x:v>3.7. Memoriu Tehnic &amp; Justificativ</x:v>
      </x:c>
      <x:c r="D966" s="8" t="str">
        <x:v>Proiect fotovoltaic</x:v>
      </x:c>
      <x:c r="E966" s="8" t="str">
        <x:v>.pdf</x:v>
      </x:c>
      <x:c r="F966" s="8" t="n">
        <x:v>422684</x:v>
      </x:c>
      <x:c r="G966" s="8" t="str">
        <x:v>Scan / text insuficient</x:v>
      </x:c>
      <x:c r="H966" s="8" t="str">
        <x:v>Document local; transmiterea individuală neconfirmată</x:v>
      </x:c>
      <x:c r="I966" s="8" t="str">
        <x:v>F0914</x:v>
      </x:c>
      <x:c r="J966" s="8" t="e">
        <x:f>HYPERLINK("file:///Z:/00. Proiecte 2025/AFIR FotoVoltaic 1/3.7. Memoriu Tehnic &amp; Justificativ/Oferte/1. Suntree Solar Tech SRL/Declaratie conflict de interese Suntree Solar Tech SRL.pdf","Deschide sursa")</x:f>
        <x:v>HYPERLINK is not implemented. linkLocation=file:///Z:/00. Proiecte 2025/AFIR FotoVoltaic 1/3.7. Memoriu Tehnic &amp; Justificativ/Oferte/1. Suntree Solar Tech SRL/Declaratie conflict de interese Suntree Solar Tech SRL.pdf, friendlyName=Deschide sursa</x:v>
      </x:c>
    </x:row>
    <x:row r="967" ht="36" customHeight="1">
      <x:c r="A967" s="8" t="str">
        <x:v>F0963</x:v>
      </x:c>
      <x:c r="B967" s="8" t="str">
        <x:v>Oferta completa Suntree Solar Tech SRL.pdf</x:v>
      </x:c>
      <x:c r="C967" s="8" t="str">
        <x:v>3.7. Memoriu Tehnic &amp; Justificativ</x:v>
      </x:c>
      <x:c r="D967" s="8" t="str">
        <x:v>Proiect fotovoltaic</x:v>
      </x:c>
      <x:c r="E967" s="8" t="str">
        <x:v>.pdf</x:v>
      </x:c>
      <x:c r="F967" s="8" t="n">
        <x:v>7662971</x:v>
      </x:c>
      <x:c r="G967" s="8" t="str">
        <x:v>Text extras</x:v>
      </x:c>
      <x:c r="H967" s="8" t="str">
        <x:v>Document local; transmiterea individuală neconfirmată</x:v>
      </x:c>
      <x:c r="I967" s="8" t="str">
        <x:v>F0390</x:v>
      </x:c>
      <x:c r="J967" s="8" t="e">
        <x:f>HYPERLINK("file:///Z:/00. Proiecte 2025/AFIR FotoVoltaic 1/3.7. Memoriu Tehnic &amp; Justificativ/Oferte/1. Suntree Solar Tech SRL/Oferta completa Suntree Solar Tech SRL.pdf","Deschide sursa")</x:f>
        <x:v>HYPERLINK is not implemented. linkLocation=file:///Z:/00. Proiecte 2025/AFIR FotoVoltaic 1/3.7. Memoriu Tehnic &amp; Justificativ/Oferte/1. Suntree Solar Tech SRL/Oferta completa Suntree Solar Tech SRL.pdf, friendlyName=Deschide sursa</x:v>
      </x:c>
    </x:row>
    <x:row r="968" ht="36" customHeight="1">
      <x:c r="A968" s="8" t="str">
        <x:v>F0964</x:v>
      </x:c>
      <x:c r="B968" s="8" t="str">
        <x:v>Oferta Suntree Solar Tech SRL.docx</x:v>
      </x:c>
      <x:c r="C968" s="8" t="str">
        <x:v>3.7. Memoriu Tehnic &amp; Justificativ</x:v>
      </x:c>
      <x:c r="D968" s="8" t="str">
        <x:v>Proiect fotovoltaic</x:v>
      </x:c>
      <x:c r="E968" s="8" t="str">
        <x:v>.docx</x:v>
      </x:c>
      <x:c r="F968" s="8" t="n">
        <x:v>301133</x:v>
      </x:c>
      <x:c r="G968" s="8" t="str">
        <x:v>Text extras</x:v>
      </x:c>
      <x:c r="H968" s="8" t="str">
        <x:v>Document local; transmiterea individuală neconfirmată</x:v>
      </x:c>
      <x:c r="I968" s="8" t="str">
        <x:v>F0916</x:v>
      </x:c>
      <x:c r="J968" s="8" t="e">
        <x:f>HYPERLINK("file:///Z:/00. Proiecte 2025/AFIR FotoVoltaic 1/3.7. Memoriu Tehnic &amp; Justificativ/Oferte/1. Suntree Solar Tech SRL/Oferta Suntree Solar Tech SRL.docx","Deschide sursa")</x:f>
        <x:v>HYPERLINK is not implemented. linkLocation=file:///Z:/00. Proiecte 2025/AFIR FotoVoltaic 1/3.7. Memoriu Tehnic &amp; Justificativ/Oferte/1. Suntree Solar Tech SRL/Oferta Suntree Solar Tech SRL.docx, friendlyName=Deschide sursa</x:v>
      </x:c>
    </x:row>
    <x:row r="969" ht="36" customHeight="1">
      <x:c r="A969" s="8" t="str">
        <x:v>F0965</x:v>
      </x:c>
      <x:c r="B969" s="8" t="str">
        <x:v>Oferta Suntree Solar Tech SRL.pdf</x:v>
      </x:c>
      <x:c r="C969" s="8" t="str">
        <x:v>3.7. Memoriu Tehnic &amp; Justificativ</x:v>
      </x:c>
      <x:c r="D969" s="8" t="str">
        <x:v>Proiect fotovoltaic</x:v>
      </x:c>
      <x:c r="E969" s="8" t="str">
        <x:v>.pdf</x:v>
      </x:c>
      <x:c r="F969" s="8" t="n">
        <x:v>2935372</x:v>
      </x:c>
      <x:c r="G969" s="8" t="str">
        <x:v>Text extras</x:v>
      </x:c>
      <x:c r="H969" s="8" t="str">
        <x:v>Document local; transmiterea individuală neconfirmată</x:v>
      </x:c>
      <x:c r="I969" s="8" t="str">
        <x:v>F0917</x:v>
      </x:c>
      <x:c r="J969" s="8" t="e">
        <x:f>HYPERLINK("file:///Z:/00. Proiecte 2025/AFIR FotoVoltaic 1/3.7. Memoriu Tehnic &amp; Justificativ/Oferte/1. Suntree Solar Tech SRL/Oferta Suntree Solar Tech SRL.pdf","Deschide sursa")</x:f>
        <x:v>HYPERLINK is not implemented. linkLocation=file:///Z:/00. Proiecte 2025/AFIR FotoVoltaic 1/3.7. Memoriu Tehnic &amp; Justificativ/Oferte/1. Suntree Solar Tech SRL/Oferta Suntree Solar Tech SRL.pdf, friendlyName=Deschide sursa</x:v>
      </x:c>
    </x:row>
    <x:row r="970" ht="36" customHeight="1">
      <x:c r="A970" s="8" t="str">
        <x:v>F0966</x:v>
      </x:c>
      <x:c r="B970" s="8" t="str">
        <x:v>Solicitare oferta Suntree Solar Tech SRL.docx</x:v>
      </x:c>
      <x:c r="C970" s="8" t="str">
        <x:v>3.7. Memoriu Tehnic &amp; Justificativ</x:v>
      </x:c>
      <x:c r="D970" s="8" t="str">
        <x:v>Proiect fotovoltaic</x:v>
      </x:c>
      <x:c r="E970" s="8" t="str">
        <x:v>.docx</x:v>
      </x:c>
      <x:c r="F970" s="8" t="n">
        <x:v>2759937</x:v>
      </x:c>
      <x:c r="G970" s="8" t="str">
        <x:v>Text extras</x:v>
      </x:c>
      <x:c r="H970" s="8" t="str">
        <x:v>Document local; transmiterea individuală neconfirmată</x:v>
      </x:c>
      <x:c r="I970" s="8" t="str"/>
      <x:c r="J970" s="8" t="e">
        <x:f>HYPERLINK("file:///Z:/00. Proiecte 2025/AFIR FotoVoltaic 1/3.7. Memoriu Tehnic &amp; Justificativ/Oferte/1. Suntree Solar Tech SRL/Solicitare oferta Suntree Solar Tech SRL.docx","Deschide sursa")</x:f>
        <x:v>HYPERLINK is not implemented. linkLocation=file:///Z:/00. Proiecte 2025/AFIR FotoVoltaic 1/3.7. Memoriu Tehnic &amp; Justificativ/Oferte/1. Suntree Solar Tech SRL/Solicitare oferta Suntree Solar Tech SRL.docx, friendlyName=Deschide sursa</x:v>
      </x:c>
    </x:row>
    <x:row r="971" ht="36" customHeight="1">
      <x:c r="A971" s="8" t="str">
        <x:v>F0967</x:v>
      </x:c>
      <x:c r="B971" s="8" t="str">
        <x:v>Declaratie conflict de interese Albaco Exim SRL.docx</x:v>
      </x:c>
      <x:c r="C971" s="8" t="str">
        <x:v>3.7. Memoriu Tehnic &amp; Justificativ</x:v>
      </x:c>
      <x:c r="D971" s="8" t="str">
        <x:v>Proiect fotovoltaic</x:v>
      </x:c>
      <x:c r="E971" s="8" t="str">
        <x:v>.docx</x:v>
      </x:c>
      <x:c r="F971" s="8" t="n">
        <x:v>2747667</x:v>
      </x:c>
      <x:c r="G971" s="8" t="str">
        <x:v>Text extras</x:v>
      </x:c>
      <x:c r="H971" s="8" t="str">
        <x:v>Document local; transmiterea individuală neconfirmată</x:v>
      </x:c>
      <x:c r="I971" s="8" t="str">
        <x:v>F0919</x:v>
      </x:c>
      <x:c r="J971" s="8" t="e">
        <x:f>HYPERLINK("file:///Z:/00. Proiecte 2025/AFIR FotoVoltaic 1/3.7. Memoriu Tehnic &amp; Justificativ/Oferte/2. Albaco Exim SRL/Declaratie conflict de interese Albaco Exim SRL.docx","Deschide sursa")</x:f>
        <x:v>HYPERLINK is not implemented. linkLocation=file:///Z:/00. Proiecte 2025/AFIR FotoVoltaic 1/3.7. Memoriu Tehnic &amp; Justificativ/Oferte/2. Albaco Exim SRL/Declaratie conflict de interese Albaco Exim SRL.docx, friendlyName=Deschide sursa</x:v>
      </x:c>
    </x:row>
    <x:row r="972" ht="36" customHeight="1">
      <x:c r="A972" s="8" t="str">
        <x:v>F0968</x:v>
      </x:c>
      <x:c r="B972" s="8" t="str">
        <x:v>Declaratie conflict de interese Albaco Exim SRL.pdf</x:v>
      </x:c>
      <x:c r="C972" s="8" t="str">
        <x:v>3.7. Memoriu Tehnic &amp; Justificativ</x:v>
      </x:c>
      <x:c r="D972" s="8" t="str">
        <x:v>Proiect fotovoltaic</x:v>
      </x:c>
      <x:c r="E972" s="8" t="str">
        <x:v>.pdf</x:v>
      </x:c>
      <x:c r="F972" s="8" t="n">
        <x:v>419710</x:v>
      </x:c>
      <x:c r="G972" s="8" t="str">
        <x:v>Scan / text insuficient</x:v>
      </x:c>
      <x:c r="H972" s="8" t="str">
        <x:v>Document local; transmiterea individuală neconfirmată</x:v>
      </x:c>
      <x:c r="I972" s="8" t="str">
        <x:v>F0920</x:v>
      </x:c>
      <x:c r="J972" s="8" t="e">
        <x:f>HYPERLINK("file:///Z:/00. Proiecte 2025/AFIR FotoVoltaic 1/3.7. Memoriu Tehnic &amp; Justificativ/Oferte/2. Albaco Exim SRL/Declaratie conflict de interese Albaco Exim SRL.pdf","Deschide sursa")</x:f>
        <x:v>HYPERLINK is not implemented. linkLocation=file:///Z:/00. Proiecte 2025/AFIR FotoVoltaic 1/3.7. Memoriu Tehnic &amp; Justificativ/Oferte/2. Albaco Exim SRL/Declaratie conflict de interese Albaco Exim SRL.pdf, friendlyName=Deschide sursa</x:v>
      </x:c>
    </x:row>
    <x:row r="973" ht="36" customHeight="1">
      <x:c r="A973" s="8" t="str">
        <x:v>F0969</x:v>
      </x:c>
      <x:c r="B973" s="8" t="str">
        <x:v>Oferta Albaco Exim SRL.docx</x:v>
      </x:c>
      <x:c r="C973" s="8" t="str">
        <x:v>3.7. Memoriu Tehnic &amp; Justificativ</x:v>
      </x:c>
      <x:c r="D973" s="8" t="str">
        <x:v>Proiect fotovoltaic</x:v>
      </x:c>
      <x:c r="E973" s="8" t="str">
        <x:v>.docx</x:v>
      </x:c>
      <x:c r="F973" s="8" t="n">
        <x:v>230366</x:v>
      </x:c>
      <x:c r="G973" s="8" t="str">
        <x:v>Text extras</x:v>
      </x:c>
      <x:c r="H973" s="8" t="str">
        <x:v>Document local; transmiterea individuală neconfirmată</x:v>
      </x:c>
      <x:c r="I973" s="8" t="str">
        <x:v>F0921</x:v>
      </x:c>
      <x:c r="J973" s="8" t="e">
        <x:f>HYPERLINK("file:///Z:/00. Proiecte 2025/AFIR FotoVoltaic 1/3.7. Memoriu Tehnic &amp; Justificativ/Oferte/2. Albaco Exim SRL/Oferta Albaco Exim SRL.docx","Deschide sursa")</x:f>
        <x:v>HYPERLINK is not implemented. linkLocation=file:///Z:/00. Proiecte 2025/AFIR FotoVoltaic 1/3.7. Memoriu Tehnic &amp; Justificativ/Oferte/2. Albaco Exim SRL/Oferta Albaco Exim SRL.docx, friendlyName=Deschide sursa</x:v>
      </x:c>
    </x:row>
    <x:row r="974" ht="36" customHeight="1">
      <x:c r="A974" s="8" t="str">
        <x:v>F0970</x:v>
      </x:c>
      <x:c r="B974" s="8" t="str">
        <x:v>Oferta Albaco Exim SRL.pdf</x:v>
      </x:c>
      <x:c r="C974" s="8" t="str">
        <x:v>3.7. Memoriu Tehnic &amp; Justificativ</x:v>
      </x:c>
      <x:c r="D974" s="8" t="str">
        <x:v>Proiect fotovoltaic</x:v>
      </x:c>
      <x:c r="E974" s="8" t="str">
        <x:v>.pdf</x:v>
      </x:c>
      <x:c r="F974" s="8" t="n">
        <x:v>2674877</x:v>
      </x:c>
      <x:c r="G974" s="8" t="str">
        <x:v>Scan / text insuficient</x:v>
      </x:c>
      <x:c r="H974" s="8" t="str">
        <x:v>Document local; transmiterea individuală neconfirmată</x:v>
      </x:c>
      <x:c r="I974" s="8" t="str">
        <x:v>F0922</x:v>
      </x:c>
      <x:c r="J974" s="8" t="e">
        <x:f>HYPERLINK("file:///Z:/00. Proiecte 2025/AFIR FotoVoltaic 1/3.7. Memoriu Tehnic &amp; Justificativ/Oferte/2. Albaco Exim SRL/Oferta Albaco Exim SRL.pdf","Deschide sursa")</x:f>
        <x:v>HYPERLINK is not implemented. linkLocation=file:///Z:/00. Proiecte 2025/AFIR FotoVoltaic 1/3.7. Memoriu Tehnic &amp; Justificativ/Oferte/2. Albaco Exim SRL/Oferta Albaco Exim SRL.pdf, friendlyName=Deschide sursa</x:v>
      </x:c>
    </x:row>
    <x:row r="975" ht="36" customHeight="1">
      <x:c r="A975" s="8" t="str">
        <x:v>F0971</x:v>
      </x:c>
      <x:c r="B975" s="8" t="str">
        <x:v>Oferta completa Albaco Exim SRL.pdf</x:v>
      </x:c>
      <x:c r="C975" s="8" t="str">
        <x:v>3.7. Memoriu Tehnic &amp; Justificativ</x:v>
      </x:c>
      <x:c r="D975" s="8" t="str">
        <x:v>Proiect fotovoltaic</x:v>
      </x:c>
      <x:c r="E975" s="8" t="str">
        <x:v>.pdf</x:v>
      </x:c>
      <x:c r="F975" s="8" t="n">
        <x:v>8786981</x:v>
      </x:c>
      <x:c r="G975" s="8" t="str">
        <x:v>Text extras</x:v>
      </x:c>
      <x:c r="H975" s="8" t="str">
        <x:v>Document local; transmiterea individuală neconfirmată</x:v>
      </x:c>
      <x:c r="I975" s="8" t="str">
        <x:v>F0923</x:v>
      </x:c>
      <x:c r="J975" s="8" t="e">
        <x:f>HYPERLINK("file:///Z:/00. Proiecte 2025/AFIR FotoVoltaic 1/3.7. Memoriu Tehnic &amp; Justificativ/Oferte/2. Albaco Exim SRL/Oferta completa Albaco Exim SRL.pdf","Deschide sursa")</x:f>
        <x:v>HYPERLINK is not implemented. linkLocation=file:///Z:/00. Proiecte 2025/AFIR FotoVoltaic 1/3.7. Memoriu Tehnic &amp; Justificativ/Oferte/2. Albaco Exim SRL/Oferta completa Albaco Exim SRL.pdf, friendlyName=Deschide sursa</x:v>
      </x:c>
    </x:row>
    <x:row r="976" ht="36" customHeight="1">
      <x:c r="A976" s="8" t="str">
        <x:v>F0972</x:v>
      </x:c>
      <x:c r="B976" s="8" t="str">
        <x:v>Solicitare oferta Albaco Exim SRL.docx</x:v>
      </x:c>
      <x:c r="C976" s="8" t="str">
        <x:v>3.7. Memoriu Tehnic &amp; Justificativ</x:v>
      </x:c>
      <x:c r="D976" s="8" t="str">
        <x:v>Proiect fotovoltaic</x:v>
      </x:c>
      <x:c r="E976" s="8" t="str">
        <x:v>.docx</x:v>
      </x:c>
      <x:c r="F976" s="8" t="n">
        <x:v>2759359</x:v>
      </x:c>
      <x:c r="G976" s="8" t="str">
        <x:v>Text extras</x:v>
      </x:c>
      <x:c r="H976" s="8" t="str">
        <x:v>Document local; transmiterea individuală neconfirmată</x:v>
      </x:c>
      <x:c r="I976" s="8" t="str"/>
      <x:c r="J976" s="8" t="e">
        <x:f>HYPERLINK("file:///Z:/00. Proiecte 2025/AFIR FotoVoltaic 1/3.7. Memoriu Tehnic &amp; Justificativ/Oferte/2. Albaco Exim SRL/Solicitare oferta Albaco Exim SRL.docx","Deschide sursa")</x:f>
        <x:v>HYPERLINK is not implemented. linkLocation=file:///Z:/00. Proiecte 2025/AFIR FotoVoltaic 1/3.7. Memoriu Tehnic &amp; Justificativ/Oferte/2. Albaco Exim SRL/Solicitare oferta Albaco Exim SRL.docx, friendlyName=Deschide sursa</x:v>
      </x:c>
    </x:row>
    <x:row r="977" ht="36" customHeight="1">
      <x:c r="A977" s="8" t="str">
        <x:v>F0973</x:v>
      </x:c>
      <x:c r="B977" s="8" t="str">
        <x:v>Declaratie conflict de interese Energotehnica SRL.docx</x:v>
      </x:c>
      <x:c r="C977" s="8" t="str">
        <x:v>3.7. Memoriu Tehnic &amp; Justificativ</x:v>
      </x:c>
      <x:c r="D977" s="8" t="str">
        <x:v>Proiect fotovoltaic</x:v>
      </x:c>
      <x:c r="E977" s="8" t="str">
        <x:v>.docx</x:v>
      </x:c>
      <x:c r="F977" s="8" t="n">
        <x:v>2747787</x:v>
      </x:c>
      <x:c r="G977" s="8" t="str">
        <x:v>Text extras</x:v>
      </x:c>
      <x:c r="H977" s="8" t="str">
        <x:v>Document local; transmiterea individuală neconfirmată</x:v>
      </x:c>
      <x:c r="I977" s="8" t="str">
        <x:v>F0925</x:v>
      </x:c>
      <x:c r="J977" s="8" t="e">
        <x:f>HYPERLINK("file:///Z:/00. Proiecte 2025/AFIR FotoVoltaic 1/3.7. Memoriu Tehnic &amp; Justificativ/Oferte/3. Energotehnica SRL/Declaratie conflict de interese Energotehnica SRL.docx","Deschide sursa")</x:f>
        <x:v>HYPERLINK is not implemented. linkLocation=file:///Z:/00. Proiecte 2025/AFIR FotoVoltaic 1/3.7. Memoriu Tehnic &amp; Justificativ/Oferte/3. Energotehnica SRL/Declaratie conflict de interese Energotehnica SRL.docx, friendlyName=Deschide sursa</x:v>
      </x:c>
    </x:row>
    <x:row r="978" ht="36" customHeight="1">
      <x:c r="A978" s="8" t="str">
        <x:v>F0974</x:v>
      </x:c>
      <x:c r="B978" s="8" t="str">
        <x:v>Declaratie conflict de interese Energotehnica SRL.pdf</x:v>
      </x:c>
      <x:c r="C978" s="8" t="str">
        <x:v>3.7. Memoriu Tehnic &amp; Justificativ</x:v>
      </x:c>
      <x:c r="D978" s="8" t="str">
        <x:v>Proiect fotovoltaic</x:v>
      </x:c>
      <x:c r="E978" s="8" t="str">
        <x:v>.pdf</x:v>
      </x:c>
      <x:c r="F978" s="8" t="n">
        <x:v>67474</x:v>
      </x:c>
      <x:c r="G978" s="8" t="str">
        <x:v>Scan / text insuficient</x:v>
      </x:c>
      <x:c r="H978" s="8" t="str">
        <x:v>Document local; transmiterea individuală neconfirmată</x:v>
      </x:c>
      <x:c r="I978" s="8" t="str">
        <x:v>F0926</x:v>
      </x:c>
      <x:c r="J978" s="8" t="e">
        <x:f>HYPERLINK("file:///Z:/00. Proiecte 2025/AFIR FotoVoltaic 1/3.7. Memoriu Tehnic &amp; Justificativ/Oferte/3. Energotehnica SRL/Declaratie conflict de interese Energotehnica SRL.pdf","Deschide sursa")</x:f>
        <x:v>HYPERLINK is not implemented. linkLocation=file:///Z:/00. Proiecte 2025/AFIR FotoVoltaic 1/3.7. Memoriu Tehnic &amp; Justificativ/Oferte/3. Energotehnica SRL/Declaratie conflict de interese Energotehnica SRL.pdf, friendlyName=Deschide sursa</x:v>
      </x:c>
    </x:row>
    <x:row r="979" ht="36" customHeight="1">
      <x:c r="A979" s="8" t="str">
        <x:v>F0975</x:v>
      </x:c>
      <x:c r="B979" s="8" t="str">
        <x:v>Oferta completa Energotehnica SRL.pdf</x:v>
      </x:c>
      <x:c r="C979" s="8" t="str">
        <x:v>3.7. Memoriu Tehnic &amp; Justificativ</x:v>
      </x:c>
      <x:c r="D979" s="8" t="str">
        <x:v>Proiect fotovoltaic</x:v>
      </x:c>
      <x:c r="E979" s="8" t="str">
        <x:v>.pdf</x:v>
      </x:c>
      <x:c r="F979" s="8" t="n">
        <x:v>8351483</x:v>
      </x:c>
      <x:c r="G979" s="8" t="str">
        <x:v>Text extras</x:v>
      </x:c>
      <x:c r="H979" s="8" t="str">
        <x:v>Document local; transmiterea individuală neconfirmată</x:v>
      </x:c>
      <x:c r="I979" s="8" t="str"/>
      <x:c r="J979" s="8" t="e">
        <x:f>HYPERLINK("file:///Z:/00. Proiecte 2025/AFIR FotoVoltaic 1/3.7. Memoriu Tehnic &amp; Justificativ/Oferte/3. Energotehnica SRL/Oferta completa Energotehnica SRL.pdf","Deschide sursa")</x:f>
        <x:v>HYPERLINK is not implemented. linkLocation=file:///Z:/00. Proiecte 2025/AFIR FotoVoltaic 1/3.7. Memoriu Tehnic &amp; Justificativ/Oferte/3. Energotehnica SRL/Oferta completa Energotehnica SRL.pdf, friendlyName=Deschide sursa</x:v>
      </x:c>
    </x:row>
    <x:row r="980" ht="36" customHeight="1">
      <x:c r="A980" s="8" t="str">
        <x:v>F0976</x:v>
      </x:c>
      <x:c r="B980" s="8" t="str">
        <x:v>Oferta Energotehnica SRL.docx</x:v>
      </x:c>
      <x:c r="C980" s="8" t="str">
        <x:v>3.7. Memoriu Tehnic &amp; Justificativ</x:v>
      </x:c>
      <x:c r="D980" s="8" t="str">
        <x:v>Proiect fotovoltaic</x:v>
      </x:c>
      <x:c r="E980" s="8" t="str">
        <x:v>.docx</x:v>
      </x:c>
      <x:c r="F980" s="8" t="n">
        <x:v>150253</x:v>
      </x:c>
      <x:c r="G980" s="8" t="str">
        <x:v>Text extras</x:v>
      </x:c>
      <x:c r="H980" s="8" t="str">
        <x:v>Document local; transmiterea individuală neconfirmată</x:v>
      </x:c>
      <x:c r="I980" s="8" t="str">
        <x:v>F0928</x:v>
      </x:c>
      <x:c r="J980" s="8" t="e">
        <x:f>HYPERLINK("file:///Z:/00. Proiecte 2025/AFIR FotoVoltaic 1/3.7. Memoriu Tehnic &amp; Justificativ/Oferte/3. Energotehnica SRL/Oferta Energotehnica SRL.docx","Deschide sursa")</x:f>
        <x:v>HYPERLINK is not implemented. linkLocation=file:///Z:/00. Proiecte 2025/AFIR FotoVoltaic 1/3.7. Memoriu Tehnic &amp; Justificativ/Oferte/3. Energotehnica SRL/Oferta Energotehnica SRL.docx, friendlyName=Deschide sursa</x:v>
      </x:c>
    </x:row>
    <x:row r="981" ht="36" customHeight="1">
      <x:c r="A981" s="8" t="str">
        <x:v>F0977</x:v>
      </x:c>
      <x:c r="B981" s="8" t="str">
        <x:v>Oferta Energotehnica SRL.pdf</x:v>
      </x:c>
      <x:c r="C981" s="8" t="str">
        <x:v>3.7. Memoriu Tehnic &amp; Justificativ</x:v>
      </x:c>
      <x:c r="D981" s="8" t="str">
        <x:v>Proiect fotovoltaic</x:v>
      </x:c>
      <x:c r="E981" s="8" t="str">
        <x:v>.pdf</x:v>
      </x:c>
      <x:c r="F981" s="8" t="n">
        <x:v>394421</x:v>
      </x:c>
      <x:c r="G981" s="8" t="str">
        <x:v>Scan / text insuficient</x:v>
      </x:c>
      <x:c r="H981" s="8" t="str">
        <x:v>Document local; transmiterea individuală neconfirmată</x:v>
      </x:c>
      <x:c r="I981" s="8" t="str"/>
      <x:c r="J981" s="8" t="e">
        <x:f>HYPERLINK("file:///Z:/00. Proiecte 2025/AFIR FotoVoltaic 1/3.7. Memoriu Tehnic &amp; Justificativ/Oferte/3. Energotehnica SRL/Oferta Energotehnica SRL.pdf","Deschide sursa")</x:f>
        <x:v>HYPERLINK is not implemented. linkLocation=file:///Z:/00. Proiecte 2025/AFIR FotoVoltaic 1/3.7. Memoriu Tehnic &amp; Justificativ/Oferte/3. Energotehnica SRL/Oferta Energotehnica SRL.pdf, friendlyName=Deschide sursa</x:v>
      </x:c>
    </x:row>
    <x:row r="982" ht="36" customHeight="1">
      <x:c r="A982" s="8" t="str">
        <x:v>F0978</x:v>
      </x:c>
      <x:c r="B982" s="8" t="str">
        <x:v>Solicitare oferta Energotehnica SRL.docx</x:v>
      </x:c>
      <x:c r="C982" s="8" t="str">
        <x:v>3.7. Memoriu Tehnic &amp; Justificativ</x:v>
      </x:c>
      <x:c r="D982" s="8" t="str">
        <x:v>Proiect fotovoltaic</x:v>
      </x:c>
      <x:c r="E982" s="8" t="str">
        <x:v>.docx</x:v>
      </x:c>
      <x:c r="F982" s="8" t="n">
        <x:v>2760061</x:v>
      </x:c>
      <x:c r="G982" s="8" t="str">
        <x:v>Text extras</x:v>
      </x:c>
      <x:c r="H982" s="8" t="str">
        <x:v>Document local; transmiterea individuală neconfirmată</x:v>
      </x:c>
      <x:c r="I982" s="8" t="str"/>
      <x:c r="J982" s="8" t="e">
        <x:f>HYPERLINK("file:///Z:/00. Proiecte 2025/AFIR FotoVoltaic 1/3.7. Memoriu Tehnic &amp; Justificativ/Oferte/3. Energotehnica SRL/Solicitare oferta Energotehnica SRL.docx","Deschide sursa")</x:f>
        <x:v>HYPERLINK is not implemented. linkLocation=file:///Z:/00. Proiecte 2025/AFIR FotoVoltaic 1/3.7. Memoriu Tehnic &amp; Justificativ/Oferte/3. Energotehnica SRL/Solicitare oferta Energotehnica SRL.docx, friendlyName=Deschide sursa</x:v>
      </x:c>
    </x:row>
    <x:row r="983" ht="36" customHeight="1">
      <x:c r="A983" s="8" t="str">
        <x:v>F0979</x:v>
      </x:c>
      <x:c r="B983" s="8" t="str">
        <x:v>Certificat constatator Suntree Solar Tech SRL.pdf</x:v>
      </x:c>
      <x:c r="C983" s="8" t="str">
        <x:v>3.7. Memoriu Tehnic &amp; Justificativ</x:v>
      </x:c>
      <x:c r="D983" s="8" t="str">
        <x:v>Proiect fotovoltaic</x:v>
      </x:c>
      <x:c r="E983" s="8" t="str">
        <x:v>.pdf</x:v>
      </x:c>
      <x:c r="F983" s="8" t="n">
        <x:v>1000385</x:v>
      </x:c>
      <x:c r="G983" s="8" t="str">
        <x:v>Scan / text insuficient</x:v>
      </x:c>
      <x:c r="H983" s="8" t="str">
        <x:v>Document local; transmiterea individuală neconfirmată</x:v>
      </x:c>
      <x:c r="I983" s="8" t="str">
        <x:v>F0931</x:v>
      </x:c>
      <x:c r="J983" s="8" t="e">
        <x:f>HYPERLINK("file:///Z:/00. Proiecte 2025/AFIR FotoVoltaic 1/3.7. Memoriu Tehnic &amp; Justificativ/Oferte/1. Suntree Solar Tech SRL/Anexe/Acte societate/Certificat constatator Suntree Solar Tech SRL.pdf","Deschide sursa")</x:f>
        <x:v>HYPERLINK is not implemented. linkLocation=file:///Z:/00. Proiecte 2025/AFIR FotoVoltaic 1/3.7. Memoriu Tehnic &amp; Justificativ/Oferte/1. Suntree Solar Tech SRL/Anexe/Acte societate/Certificat constatator Suntree Solar Tech SRL.pdf, friendlyName=Deschide sursa</x:v>
      </x:c>
    </x:row>
    <x:row r="984" ht="36" customHeight="1">
      <x:c r="A984" s="8" t="str">
        <x:v>F0980</x:v>
      </x:c>
      <x:c r="B984" s="8" t="str">
        <x:v>Certificat de inregistrare Suntree Solar Tech SRL.pdf</x:v>
      </x:c>
      <x:c r="C984" s="8" t="str">
        <x:v>3.7. Memoriu Tehnic &amp; Justificativ</x:v>
      </x:c>
      <x:c r="D984" s="8" t="str">
        <x:v>Proiect fotovoltaic</x:v>
      </x:c>
      <x:c r="E984" s="8" t="str">
        <x:v>.pdf</x:v>
      </x:c>
      <x:c r="F984" s="8" t="n">
        <x:v>2426307</x:v>
      </x:c>
      <x:c r="G984" s="8" t="str">
        <x:v>Scan / text insuficient</x:v>
      </x:c>
      <x:c r="H984" s="8" t="str">
        <x:v>Document local; transmiterea individuală neconfirmată</x:v>
      </x:c>
      <x:c r="I984" s="8" t="str">
        <x:v>F0932</x:v>
      </x:c>
      <x:c r="J984" s="8" t="e">
        <x:f>HYPERLINK("file:///Z:/00. Proiecte 2025/AFIR FotoVoltaic 1/3.7. Memoriu Tehnic &amp; Justificativ/Oferte/1. Suntree Solar Tech SRL/Anexe/Acte societate/Certificat de inregistrare Suntree Solar Tech SRL.pdf","Deschide sursa")</x:f>
        <x:v>HYPERLINK is not implemented. linkLocation=file:///Z:/00. Proiecte 2025/AFIR FotoVoltaic 1/3.7. Memoriu Tehnic &amp; Justificativ/Oferte/1. Suntree Solar Tech SRL/Anexe/Acte societate/Certificat de inregistrare Suntree Solar Tech SRL.pdf, friendlyName=Deschide sursa</x:v>
      </x:c>
    </x:row>
    <x:row r="985" ht="36" customHeight="1">
      <x:c r="A985" s="8" t="str">
        <x:v>F0981</x:v>
      </x:c>
      <x:c r="B985" s="8" t="str">
        <x:v>LUNA2000-200KWH-2H1.pdf</x:v>
      </x:c>
      <x:c r="C985" s="8" t="str">
        <x:v>3.7. Memoriu Tehnic &amp; Justificativ</x:v>
      </x:c>
      <x:c r="D985" s="8" t="str">
        <x:v>Proiect fotovoltaic</x:v>
      </x:c>
      <x:c r="E985" s="8" t="str">
        <x:v>.pdf</x:v>
      </x:c>
      <x:c r="F985" s="8" t="n">
        <x:v>171915</x:v>
      </x:c>
      <x:c r="G985" s="8" t="str">
        <x:v>Text extras</x:v>
      </x:c>
      <x:c r="H985" s="8" t="str">
        <x:v>Document local; transmiterea individuală neconfirmată</x:v>
      </x:c>
      <x:c r="I985" s="8" t="str">
        <x:v>F0483</x:v>
      </x:c>
      <x:c r="J985" s="8" t="e">
        <x:f>HYPERLINK("file:///Z:/00. Proiecte 2025/AFIR FotoVoltaic 1/3.7. Memoriu Tehnic &amp; Justificativ/Oferte/1. Suntree Solar Tech SRL/Anexe/Fise tehnice echipamente ofertate/LUNA2000-200KWH-2H1.pdf","Deschide sursa")</x:f>
        <x:v>HYPERLINK is not implemented. linkLocation=file:///Z:/00. Proiecte 2025/AFIR FotoVoltaic 1/3.7. Memoriu Tehnic &amp; Justificativ/Oferte/1. Suntree Solar Tech SRL/Anexe/Fise tehnice echipamente ofertate/LUNA2000-200KWH-2H1.pdf, friendlyName=Deschide sursa</x:v>
      </x:c>
    </x:row>
    <x:row r="986" ht="36" customHeight="1">
      <x:c r="A986" s="8" t="str">
        <x:v>F0982</x:v>
      </x:c>
      <x:c r="B986" s="8" t="str">
        <x:v>SUN2000-100KTL-M2.pdf</x:v>
      </x:c>
      <x:c r="C986" s="8" t="str">
        <x:v>3.7. Memoriu Tehnic &amp; Justificativ</x:v>
      </x:c>
      <x:c r="D986" s="8" t="str">
        <x:v>Proiect fotovoltaic</x:v>
      </x:c>
      <x:c r="E986" s="8" t="str">
        <x:v>.pdf</x:v>
      </x:c>
      <x:c r="F986" s="8" t="n">
        <x:v>441689</x:v>
      </x:c>
      <x:c r="G986" s="8" t="str">
        <x:v>Text extras</x:v>
      </x:c>
      <x:c r="H986" s="8" t="str">
        <x:v>Document local; transmiterea individuală neconfirmată</x:v>
      </x:c>
      <x:c r="I986" s="8" t="str">
        <x:v>F0486</x:v>
      </x:c>
      <x:c r="J986" s="8" t="e">
        <x:f>HYPERLINK("file:///Z:/00. Proiecte 2025/AFIR FotoVoltaic 1/3.7. Memoriu Tehnic &amp; Justificativ/Oferte/1. Suntree Solar Tech SRL/Anexe/Fise tehnice echipamente ofertate/SUN2000-100KTL-M2.pdf","Deschide sursa")</x:f>
        <x:v>HYPERLINK is not implemented. linkLocation=file:///Z:/00. Proiecte 2025/AFIR FotoVoltaic 1/3.7. Memoriu Tehnic &amp; Justificativ/Oferte/1. Suntree Solar Tech SRL/Anexe/Fise tehnice echipamente ofertate/SUN2000-100KTL-M2.pdf, friendlyName=Deschide sursa</x:v>
      </x:c>
    </x:row>
    <x:row r="987" ht="36" customHeight="1">
      <x:c r="A987" s="8" t="str">
        <x:v>F0983</x:v>
      </x:c>
      <x:c r="B987" s="8" t="str">
        <x:v>SUN2000-10KTL-M1.pdf</x:v>
      </x:c>
      <x:c r="C987" s="8" t="str">
        <x:v>3.7. Memoriu Tehnic &amp; Justificativ</x:v>
      </x:c>
      <x:c r="D987" s="8" t="str">
        <x:v>Proiect fotovoltaic</x:v>
      </x:c>
      <x:c r="E987" s="8" t="str">
        <x:v>.pdf</x:v>
      </x:c>
      <x:c r="F987" s="8" t="n">
        <x:v>1544755</x:v>
      </x:c>
      <x:c r="G987" s="8" t="str">
        <x:v>Text extras</x:v>
      </x:c>
      <x:c r="H987" s="8" t="str">
        <x:v>Document local; transmiterea individuală neconfirmată</x:v>
      </x:c>
      <x:c r="I987" s="8" t="str">
        <x:v>F0935</x:v>
      </x:c>
      <x:c r="J987" s="8" t="e">
        <x:f>HYPERLINK("file:///Z:/00. Proiecte 2025/AFIR FotoVoltaic 1/3.7. Memoriu Tehnic &amp; Justificativ/Oferte/1. Suntree Solar Tech SRL/Anexe/Fise tehnice echipamente ofertate/SUN2000-10KTL-M1.pdf","Deschide sursa")</x:f>
        <x:v>HYPERLINK is not implemented. linkLocation=file:///Z:/00. Proiecte 2025/AFIR FotoVoltaic 1/3.7. Memoriu Tehnic &amp; Justificativ/Oferte/1. Suntree Solar Tech SRL/Anexe/Fise tehnice echipamente ofertate/SUN2000-10KTL-M1.pdf, friendlyName=Deschide sursa</x:v>
      </x:c>
    </x:row>
    <x:row r="988" ht="36" customHeight="1">
      <x:c r="A988" s="8" t="str">
        <x:v>F0984</x:v>
      </x:c>
      <x:c r="B988" s="8" t="str">
        <x:v>TOPHiKu6.pdf</x:v>
      </x:c>
      <x:c r="C988" s="8" t="str">
        <x:v>3.7. Memoriu Tehnic &amp; Justificativ</x:v>
      </x:c>
      <x:c r="D988" s="8" t="str">
        <x:v>Proiect fotovoltaic</x:v>
      </x:c>
      <x:c r="E988" s="8" t="str">
        <x:v>.pdf</x:v>
      </x:c>
      <x:c r="F988" s="8" t="n">
        <x:v>354028</x:v>
      </x:c>
      <x:c r="G988" s="8" t="str">
        <x:v>Text extras</x:v>
      </x:c>
      <x:c r="H988" s="8" t="str">
        <x:v>Document local; transmiterea individuală neconfirmată</x:v>
      </x:c>
      <x:c r="I988" s="8" t="str">
        <x:v>F0277</x:v>
      </x:c>
      <x:c r="J988" s="8" t="e">
        <x:f>HYPERLINK("file:///Z:/00. Proiecte 2025/AFIR FotoVoltaic 1/3.7. Memoriu Tehnic &amp; Justificativ/Oferte/1. Suntree Solar Tech SRL/Anexe/Fise tehnice echipamente ofertate/TOPHiKu6.pdf","Deschide sursa")</x:f>
        <x:v>HYPERLINK is not implemented. linkLocation=file:///Z:/00. Proiecte 2025/AFIR FotoVoltaic 1/3.7. Memoriu Tehnic &amp; Justificativ/Oferte/1. Suntree Solar Tech SRL/Anexe/Fise tehnice echipamente ofertate/TOPHiKu6.pdf, friendlyName=Deschide sursa</x:v>
      </x:c>
    </x:row>
    <x:row r="989" ht="36" customHeight="1">
      <x:c r="A989" s="8" t="str">
        <x:v>F0985</x:v>
      </x:c>
      <x:c r="B989" s="8" t="str">
        <x:v>Certificat constatator Albaco Exim SRL.pdf</x:v>
      </x:c>
      <x:c r="C989" s="8" t="str">
        <x:v>3.7. Memoriu Tehnic &amp; Justificativ</x:v>
      </x:c>
      <x:c r="D989" s="8" t="str">
        <x:v>Proiect fotovoltaic</x:v>
      </x:c>
      <x:c r="E989" s="8" t="str">
        <x:v>.pdf</x:v>
      </x:c>
      <x:c r="F989" s="8" t="n">
        <x:v>583873</x:v>
      </x:c>
      <x:c r="G989" s="8" t="str">
        <x:v>Scan / text insuficient</x:v>
      </x:c>
      <x:c r="H989" s="8" t="str">
        <x:v>Document local; transmiterea individuală neconfirmată</x:v>
      </x:c>
      <x:c r="I989" s="8" t="str">
        <x:v>F0939</x:v>
      </x:c>
      <x:c r="J989" s="8" t="e">
        <x:f>HYPERLINK("file:///Z:/00. Proiecte 2025/AFIR FotoVoltaic 1/3.7. Memoriu Tehnic &amp; Justificativ/Oferte/2. Albaco Exim SRL/Anexe/Acte societate/Certificat constatator Albaco Exim SRL.pdf","Deschide sursa")</x:f>
        <x:v>HYPERLINK is not implemented. linkLocation=file:///Z:/00. Proiecte 2025/AFIR FotoVoltaic 1/3.7. Memoriu Tehnic &amp; Justificativ/Oferte/2. Albaco Exim SRL/Anexe/Acte societate/Certificat constatator Albaco Exim SRL.pdf, friendlyName=Deschide sursa</x:v>
      </x:c>
    </x:row>
    <x:row r="990" ht="36" customHeight="1">
      <x:c r="A990" s="8" t="str">
        <x:v>F0986</x:v>
      </x:c>
      <x:c r="B990" s="8" t="str">
        <x:v>Certificat de inregistrare Albaco Exim SRL.pdf</x:v>
      </x:c>
      <x:c r="C990" s="8" t="str">
        <x:v>3.7. Memoriu Tehnic &amp; Justificativ</x:v>
      </x:c>
      <x:c r="D990" s="8" t="str">
        <x:v>Proiect fotovoltaic</x:v>
      </x:c>
      <x:c r="E990" s="8" t="str">
        <x:v>.pdf</x:v>
      </x:c>
      <x:c r="F990" s="8" t="n">
        <x:v>1823403</x:v>
      </x:c>
      <x:c r="G990" s="8" t="str">
        <x:v>Scan / text insuficient</x:v>
      </x:c>
      <x:c r="H990" s="8" t="str">
        <x:v>Document local; transmiterea individuală neconfirmată</x:v>
      </x:c>
      <x:c r="I990" s="8" t="str">
        <x:v>F0940</x:v>
      </x:c>
      <x:c r="J990" s="8" t="e">
        <x:f>HYPERLINK("file:///Z:/00. Proiecte 2025/AFIR FotoVoltaic 1/3.7. Memoriu Tehnic &amp; Justificativ/Oferte/2. Albaco Exim SRL/Anexe/Acte societate/Certificat de inregistrare Albaco Exim SRL.pdf","Deschide sursa")</x:f>
        <x:v>HYPERLINK is not implemented. linkLocation=file:///Z:/00. Proiecte 2025/AFIR FotoVoltaic 1/3.7. Memoriu Tehnic &amp; Justificativ/Oferte/2. Albaco Exim SRL/Anexe/Acte societate/Certificat de inregistrare Albaco Exim SRL.pdf, friendlyName=Deschide sursa</x:v>
      </x:c>
    </x:row>
    <x:row r="991" ht="36" customHeight="1">
      <x:c r="A991" s="8" t="str">
        <x:v>F0987</x:v>
      </x:c>
      <x:c r="B991" s="8" t="str">
        <x:v>JKM570N-72HL4-BDV.pdf</x:v>
      </x:c>
      <x:c r="C991" s="8" t="str">
        <x:v>3.7. Memoriu Tehnic &amp; Justificativ</x:v>
      </x:c>
      <x:c r="D991" s="8" t="str">
        <x:v>Proiect fotovoltaic</x:v>
      </x:c>
      <x:c r="E991" s="8" t="str">
        <x:v>.pdf</x:v>
      </x:c>
      <x:c r="F991" s="8" t="n">
        <x:v>444795</x:v>
      </x:c>
      <x:c r="G991" s="8" t="str">
        <x:v>Text extras</x:v>
      </x:c>
      <x:c r="H991" s="8" t="str">
        <x:v>Document local; transmiterea individuală neconfirmată</x:v>
      </x:c>
      <x:c r="I991" s="8" t="str">
        <x:v>F0941</x:v>
      </x:c>
      <x:c r="J991" s="8" t="e">
        <x:f>HYPERLINK("file:///Z:/00. Proiecte 2025/AFIR FotoVoltaic 1/3.7. Memoriu Tehnic &amp; Justificativ/Oferte/2. Albaco Exim SRL/Anexe/Fise tehnice echipamente ofertate/JKM570N-72HL4-BDV.pdf","Deschide sursa")</x:f>
        <x:v>HYPERLINK is not implemented. linkLocation=file:///Z:/00. Proiecte 2025/AFIR FotoVoltaic 1/3.7. Memoriu Tehnic &amp; Justificativ/Oferte/2. Albaco Exim SRL/Anexe/Fise tehnice echipamente ofertate/JKM570N-72HL4-BDV.pdf, friendlyName=Deschide sursa</x:v>
      </x:c>
    </x:row>
    <x:row r="992" ht="36" customHeight="1">
      <x:c r="A992" s="8" t="str">
        <x:v>F0988</x:v>
      </x:c>
      <x:c r="B992" s="8" t="str">
        <x:v>LUNA2000-200KWH-2H1.pdf</x:v>
      </x:c>
      <x:c r="C992" s="8" t="str">
        <x:v>3.7. Memoriu Tehnic &amp; Justificativ</x:v>
      </x:c>
      <x:c r="D992" s="8" t="str">
        <x:v>Proiect fotovoltaic</x:v>
      </x:c>
      <x:c r="E992" s="8" t="str">
        <x:v>.pdf</x:v>
      </x:c>
      <x:c r="F992" s="8" t="n">
        <x:v>171915</x:v>
      </x:c>
      <x:c r="G992" s="8" t="str">
        <x:v>Text extras</x:v>
      </x:c>
      <x:c r="H992" s="8" t="str">
        <x:v>Document local; transmiterea individuală neconfirmată</x:v>
      </x:c>
      <x:c r="I992" s="8" t="str">
        <x:v>F0483</x:v>
      </x:c>
      <x:c r="J992" s="8" t="e">
        <x:f>HYPERLINK("file:///Z:/00. Proiecte 2025/AFIR FotoVoltaic 1/3.7. Memoriu Tehnic &amp; Justificativ/Oferte/2. Albaco Exim SRL/Anexe/Fise tehnice echipamente ofertate/LUNA2000-200KWH-2H1.pdf","Deschide sursa")</x:f>
        <x:v>HYPERLINK is not implemented. linkLocation=file:///Z:/00. Proiecte 2025/AFIR FotoVoltaic 1/3.7. Memoriu Tehnic &amp; Justificativ/Oferte/2. Albaco Exim SRL/Anexe/Fise tehnice echipamente ofertate/LUNA2000-200KWH-2H1.pdf, friendlyName=Deschide sursa</x:v>
      </x:c>
    </x:row>
    <x:row r="993" ht="36" customHeight="1">
      <x:c r="A993" s="8" t="str">
        <x:v>F0989</x:v>
      </x:c>
      <x:c r="B993" s="8" t="str">
        <x:v>SUN2000-100KTL-M2.pdf</x:v>
      </x:c>
      <x:c r="C993" s="8" t="str">
        <x:v>3.7. Memoriu Tehnic &amp; Justificativ</x:v>
      </x:c>
      <x:c r="D993" s="8" t="str">
        <x:v>Proiect fotovoltaic</x:v>
      </x:c>
      <x:c r="E993" s="8" t="str">
        <x:v>.pdf</x:v>
      </x:c>
      <x:c r="F993" s="8" t="n">
        <x:v>441689</x:v>
      </x:c>
      <x:c r="G993" s="8" t="str">
        <x:v>Text extras</x:v>
      </x:c>
      <x:c r="H993" s="8" t="str">
        <x:v>Document local; transmiterea individuală neconfirmată</x:v>
      </x:c>
      <x:c r="I993" s="8" t="str">
        <x:v>F0486</x:v>
      </x:c>
      <x:c r="J993" s="8" t="e">
        <x:f>HYPERLINK("file:///Z:/00. Proiecte 2025/AFIR FotoVoltaic 1/3.7. Memoriu Tehnic &amp; Justificativ/Oferte/2. Albaco Exim SRL/Anexe/Fise tehnice echipamente ofertate/SUN2000-100KTL-M2.pdf","Deschide sursa")</x:f>
        <x:v>HYPERLINK is not implemented. linkLocation=file:///Z:/00. Proiecte 2025/AFIR FotoVoltaic 1/3.7. Memoriu Tehnic &amp; Justificativ/Oferte/2. Albaco Exim SRL/Anexe/Fise tehnice echipamente ofertate/SUN2000-100KTL-M2.pdf, friendlyName=Deschide sursa</x:v>
      </x:c>
    </x:row>
    <x:row r="994" ht="36" customHeight="1">
      <x:c r="A994" s="8" t="str">
        <x:v>F0990</x:v>
      </x:c>
      <x:c r="B994" s="8" t="str">
        <x:v>SUN2000-10KTL-M1.pdf</x:v>
      </x:c>
      <x:c r="C994" s="8" t="str">
        <x:v>3.7. Memoriu Tehnic &amp; Justificativ</x:v>
      </x:c>
      <x:c r="D994" s="8" t="str">
        <x:v>Proiect fotovoltaic</x:v>
      </x:c>
      <x:c r="E994" s="8" t="str">
        <x:v>.pdf</x:v>
      </x:c>
      <x:c r="F994" s="8" t="n">
        <x:v>1544755</x:v>
      </x:c>
      <x:c r="G994" s="8" t="str">
        <x:v>Text extras</x:v>
      </x:c>
      <x:c r="H994" s="8" t="str">
        <x:v>Document local; transmiterea individuală neconfirmată</x:v>
      </x:c>
      <x:c r="I994" s="8" t="str">
        <x:v>F0935</x:v>
      </x:c>
      <x:c r="J994" s="8" t="e">
        <x:f>HYPERLINK("file:///Z:/00. Proiecte 2025/AFIR FotoVoltaic 1/3.7. Memoriu Tehnic &amp; Justificativ/Oferte/2. Albaco Exim SRL/Anexe/Fise tehnice echipamente ofertate/SUN2000-10KTL-M1.pdf","Deschide sursa")</x:f>
        <x:v>HYPERLINK is not implemented. linkLocation=file:///Z:/00. Proiecte 2025/AFIR FotoVoltaic 1/3.7. Memoriu Tehnic &amp; Justificativ/Oferte/2. Albaco Exim SRL/Anexe/Fise tehnice echipamente ofertate/SUN2000-10KTL-M1.pdf, friendlyName=Deschide sursa</x:v>
      </x:c>
    </x:row>
    <x:row r="995" ht="36" customHeight="1">
      <x:c r="A995" s="8" t="str">
        <x:v>F0991</x:v>
      </x:c>
      <x:c r="B995" s="8" t="str">
        <x:v>Certificat constatator Energotehnica SRL.pdf</x:v>
      </x:c>
      <x:c r="C995" s="8" t="str">
        <x:v>3.7. Memoriu Tehnic &amp; Justificativ</x:v>
      </x:c>
      <x:c r="D995" s="8" t="str">
        <x:v>Proiect fotovoltaic</x:v>
      </x:c>
      <x:c r="E995" s="8" t="str">
        <x:v>.pdf</x:v>
      </x:c>
      <x:c r="F995" s="8" t="n">
        <x:v>200833</x:v>
      </x:c>
      <x:c r="G995" s="8" t="str">
        <x:v>Text extras</x:v>
      </x:c>
      <x:c r="H995" s="8" t="str">
        <x:v>Document local; transmiterea individuală neconfirmată</x:v>
      </x:c>
      <x:c r="I995" s="8" t="str">
        <x:v>F0945</x:v>
      </x:c>
      <x:c r="J995" s="8" t="e">
        <x:f>HYPERLINK("file:///Z:/00. Proiecte 2025/AFIR FotoVoltaic 1/3.7. Memoriu Tehnic &amp; Justificativ/Oferte/3. Energotehnica SRL/Anexe/Acte societate/Certificat constatator Energotehnica SRL.pdf","Deschide sursa")</x:f>
        <x:v>HYPERLINK is not implemented. linkLocation=file:///Z:/00. Proiecte 2025/AFIR FotoVoltaic 1/3.7. Memoriu Tehnic &amp; Justificativ/Oferte/3. Energotehnica SRL/Anexe/Acte societate/Certificat constatator Energotehnica SRL.pdf, friendlyName=Deschide sursa</x:v>
      </x:c>
    </x:row>
    <x:row r="996" ht="36" customHeight="1">
      <x:c r="A996" s="8" t="str">
        <x:v>F0992</x:v>
      </x:c>
      <x:c r="B996" s="8" t="str">
        <x:v>Certificat de inregsitrare Energotehnica SRL.pdf</x:v>
      </x:c>
      <x:c r="C996" s="8" t="str">
        <x:v>3.7. Memoriu Tehnic &amp; Justificativ</x:v>
      </x:c>
      <x:c r="D996" s="8" t="str">
        <x:v>Proiect fotovoltaic</x:v>
      </x:c>
      <x:c r="E996" s="8" t="str">
        <x:v>.pdf</x:v>
      </x:c>
      <x:c r="F996" s="8" t="n">
        <x:v>1896605</x:v>
      </x:c>
      <x:c r="G996" s="8" t="str">
        <x:v>Scan / text insuficient</x:v>
      </x:c>
      <x:c r="H996" s="8" t="str">
        <x:v>Document local; transmiterea individuală neconfirmată</x:v>
      </x:c>
      <x:c r="I996" s="8" t="str">
        <x:v>F0946</x:v>
      </x:c>
      <x:c r="J996" s="8" t="e">
        <x:f>HYPERLINK("file:///Z:/00. Proiecte 2025/AFIR FotoVoltaic 1/3.7. Memoriu Tehnic &amp; Justificativ/Oferte/3. Energotehnica SRL/Anexe/Acte societate/Certificat de inregsitrare Energotehnica SRL.pdf","Deschide sursa")</x:f>
        <x:v>HYPERLINK is not implemented. linkLocation=file:///Z:/00. Proiecte 2025/AFIR FotoVoltaic 1/3.7. Memoriu Tehnic &amp; Justificativ/Oferte/3. Energotehnica SRL/Anexe/Acte societate/Certificat de inregsitrare Energotehnica SRL.pdf, friendlyName=Deschide sursa</x:v>
      </x:c>
    </x:row>
    <x:row r="997" ht="36" customHeight="1">
      <x:c r="A997" s="8" t="str">
        <x:v>F0993</x:v>
      </x:c>
      <x:c r="B997" s="8" t="str">
        <x:v>SG110CX.pdf</x:v>
      </x:c>
      <x:c r="C997" s="8" t="str">
        <x:v>3.7. Memoriu Tehnic &amp; Justificativ</x:v>
      </x:c>
      <x:c r="D997" s="8" t="str">
        <x:v>Proiect fotovoltaic</x:v>
      </x:c>
      <x:c r="E997" s="8" t="str">
        <x:v>.pdf</x:v>
      </x:c>
      <x:c r="F997" s="8" t="n">
        <x:v>364045</x:v>
      </x:c>
      <x:c r="G997" s="8" t="str">
        <x:v>Text extras</x:v>
      </x:c>
      <x:c r="H997" s="8" t="str">
        <x:v>Document local; transmiterea individuală neconfirmată</x:v>
      </x:c>
      <x:c r="I997" s="8" t="str">
        <x:v>F0273</x:v>
      </x:c>
      <x:c r="J997" s="8" t="e">
        <x:f>HYPERLINK("file:///Z:/00. Proiecte 2025/AFIR FotoVoltaic 1/3.7. Memoriu Tehnic &amp; Justificativ/Oferte/3. Energotehnica SRL/Anexe/Fise tehnice echipamente ofertate/SG110CX.pdf","Deschide sursa")</x:f>
        <x:v>HYPERLINK is not implemented. linkLocation=file:///Z:/00. Proiecte 2025/AFIR FotoVoltaic 1/3.7. Memoriu Tehnic &amp; Justificativ/Oferte/3. Energotehnica SRL/Anexe/Fise tehnice echipamente ofertate/SG110CX.pdf, friendlyName=Deschide sursa</x:v>
      </x:c>
    </x:row>
    <x:row r="998" ht="36" customHeight="1">
      <x:c r="A998" s="8" t="str">
        <x:v>F0994</x:v>
      </x:c>
      <x:c r="B998" s="8" t="str">
        <x:v>SH10RT.pdf</x:v>
      </x:c>
      <x:c r="C998" s="8" t="str">
        <x:v>3.7. Memoriu Tehnic &amp; Justificativ</x:v>
      </x:c>
      <x:c r="D998" s="8" t="str">
        <x:v>Proiect fotovoltaic</x:v>
      </x:c>
      <x:c r="E998" s="8" t="str">
        <x:v>.pdf</x:v>
      </x:c>
      <x:c r="F998" s="8" t="n">
        <x:v>193735</x:v>
      </x:c>
      <x:c r="G998" s="8" t="str">
        <x:v>Text extras</x:v>
      </x:c>
      <x:c r="H998" s="8" t="str">
        <x:v>Document local; transmiterea individuală neconfirmată</x:v>
      </x:c>
      <x:c r="I998" s="8" t="str">
        <x:v>F0274</x:v>
      </x:c>
      <x:c r="J998" s="8" t="e">
        <x:f>HYPERLINK("file:///Z:/00. Proiecte 2025/AFIR FotoVoltaic 1/3.7. Memoriu Tehnic &amp; Justificativ/Oferte/3. Energotehnica SRL/Anexe/Fise tehnice echipamente ofertate/SH10RT.pdf","Deschide sursa")</x:f>
        <x:v>HYPERLINK is not implemented. linkLocation=file:///Z:/00. Proiecte 2025/AFIR FotoVoltaic 1/3.7. Memoriu Tehnic &amp; Justificativ/Oferte/3. Energotehnica SRL/Anexe/Fise tehnice echipamente ofertate/SH10RT.pdf, friendlyName=Deschide sursa</x:v>
      </x:c>
    </x:row>
    <x:row r="999" ht="36" customHeight="1">
      <x:c r="A999" s="8" t="str">
        <x:v>F0995</x:v>
      </x:c>
      <x:c r="B999" s="8" t="str">
        <x:v>SMA SC200.pdf</x:v>
      </x:c>
      <x:c r="C999" s="8" t="str">
        <x:v>3.7. Memoriu Tehnic &amp; Justificativ</x:v>
      </x:c>
      <x:c r="D999" s="8" t="str">
        <x:v>Proiect fotovoltaic</x:v>
      </x:c>
      <x:c r="E999" s="8" t="str">
        <x:v>.pdf</x:v>
      </x:c>
      <x:c r="F999" s="8" t="n">
        <x:v>1180417</x:v>
      </x:c>
      <x:c r="G999" s="8" t="str">
        <x:v>Text extras</x:v>
      </x:c>
      <x:c r="H999" s="8" t="str">
        <x:v>Document local; transmiterea individuală neconfirmată</x:v>
      </x:c>
      <x:c r="I999" s="8" t="str">
        <x:v>F0276</x:v>
      </x:c>
      <x:c r="J999" s="8" t="e">
        <x:f>HYPERLINK("file:///Z:/00. Proiecte 2025/AFIR FotoVoltaic 1/3.7. Memoriu Tehnic &amp; Justificativ/Oferte/3. Energotehnica SRL/Anexe/Fise tehnice echipamente ofertate/SMA SC200.pdf","Deschide sursa")</x:f>
        <x:v>HYPERLINK is not implemented. linkLocation=file:///Z:/00. Proiecte 2025/AFIR FotoVoltaic 1/3.7. Memoriu Tehnic &amp; Justificativ/Oferte/3. Energotehnica SRL/Anexe/Fise tehnice echipamente ofertate/SMA SC200.pdf, friendlyName=Deschide sursa</x:v>
      </x:c>
    </x:row>
    <x:row r="1000" ht="36" customHeight="1">
      <x:c r="A1000" s="8" t="str">
        <x:v>F0996</x:v>
      </x:c>
      <x:c r="B1000" s="8" t="str">
        <x:v>TOPHiKu6.pdf</x:v>
      </x:c>
      <x:c r="C1000" s="8" t="str">
        <x:v>3.7. Memoriu Tehnic &amp; Justificativ</x:v>
      </x:c>
      <x:c r="D1000" s="8" t="str">
        <x:v>Proiect fotovoltaic</x:v>
      </x:c>
      <x:c r="E1000" s="8" t="str">
        <x:v>.pdf</x:v>
      </x:c>
      <x:c r="F1000" s="8" t="n">
        <x:v>354028</x:v>
      </x:c>
      <x:c r="G1000" s="8" t="str">
        <x:v>Text extras</x:v>
      </x:c>
      <x:c r="H1000" s="8" t="str">
        <x:v>Document local; transmiterea individuală neconfirmată</x:v>
      </x:c>
      <x:c r="I1000" s="8" t="str">
        <x:v>F0277</x:v>
      </x:c>
      <x:c r="J1000" s="8" t="e">
        <x:f>HYPERLINK("file:///Z:/00. Proiecte 2025/AFIR FotoVoltaic 1/3.7. Memoriu Tehnic &amp; Justificativ/Oferte/3. Energotehnica SRL/Anexe/Fise tehnice echipamente ofertate/TOPHiKu6.pdf","Deschide sursa")</x:f>
        <x:v>HYPERLINK is not implemented. linkLocation=file:///Z:/00. Proiecte 2025/AFIR FotoVoltaic 1/3.7. Memoriu Tehnic &amp; Justificativ/Oferte/3. Energotehnica SRL/Anexe/Fise tehnice echipamente ofertate/TOPHiKu6.pdf, friendlyName=Deschide sursa</x:v>
      </x:c>
    </x:row>
    <x:row r="1001" ht="36" customHeight="1">
      <x:c r="A1001" s="8" t="str">
        <x:v>F0997</x:v>
      </x:c>
      <x:c r="B1001" s="8" t="str">
        <x:v>AP_0.0_grafic_de_esalonare_SEV4.pdf</x:v>
      </x:c>
      <x:c r="C1001" s="8" t="str">
        <x:v>30.1 Cerere Rambursare 1</x:v>
      </x:c>
      <x:c r="D1001" s="8" t="str">
        <x:v>Proiect fotovoltaic</x:v>
      </x:c>
      <x:c r="E1001" s="8" t="str">
        <x:v>.pdf</x:v>
      </x:c>
      <x:c r="F1001" s="8" t="n">
        <x:v>706934</x:v>
      </x:c>
      <x:c r="G1001" s="8" t="str">
        <x:v>Text extras</x:v>
      </x:c>
      <x:c r="H1001" s="8" t="str">
        <x:v>Document local; transmiterea individuală neconfirmată</x:v>
      </x:c>
      <x:c r="I1001" s="8" t="str"/>
      <x:c r="J1001" s="8" t="e">
        <x:f>HYPERLINK("file:///Z:/00. Proiecte 2025/AFIR FotoVoltaic 1/30.1 Cerere Rambursare 1/1. Graficul de Esalonare a platilor/AP_0.0_grafic_de_esalonare_SEV4.pdf","Deschide sursa")</x:f>
        <x:v>HYPERLINK is not implemented. linkLocation=file:///Z:/00. Proiecte 2025/AFIR FotoVoltaic 1/30.1 Cerere Rambursare 1/1. Graficul de Esalonare a platilor/AP_0.0_grafic_de_esalonare_SEV4.pdf, friendlyName=Deschide sursa</x:v>
      </x:c>
    </x:row>
    <x:row r="1002" ht="36" customHeight="1">
      <x:c r="A1002" s="8" t="str">
        <x:v>F0998</x:v>
      </x:c>
      <x:c r="B1002" s="8" t="str">
        <x:v>Contract de prestari servicii Atta-Cesiro Production.pdf</x:v>
      </x:c>
      <x:c r="C1002" s="8" t="str">
        <x:v>30.1 Cerere Rambursare 1</x:v>
      </x:c>
      <x:c r="D1002" s="8" t="str">
        <x:v>Proiect fotovoltaic</x:v>
      </x:c>
      <x:c r="E1002" s="8" t="str">
        <x:v>.pdf</x:v>
      </x:c>
      <x:c r="F1002" s="8" t="n">
        <x:v>21599737</x:v>
      </x:c>
      <x:c r="G1002" s="8" t="str">
        <x:v>Text extras</x:v>
      </x:c>
      <x:c r="H1002" s="8" t="str">
        <x:v>Document local; transmiterea individuală neconfirmată</x:v>
      </x:c>
      <x:c r="I1002" s="8" t="str"/>
      <x:c r="J1002" s="8" t="e">
        <x:f>HYPERLINK("file:///Z:/00. Proiecte 2025/AFIR FotoVoltaic 1/30.1 Cerere Rambursare 1/12. Raportul de audit financiar/Contract de prestari servicii Atta-Cesiro Production.pdf","Deschide sursa")</x:f>
        <x:v>HYPERLINK is not implemented. linkLocation=file:///Z:/00. Proiecte 2025/AFIR FotoVoltaic 1/30.1 Cerere Rambursare 1/12. Raportul de audit financiar/Contract de prestari servicii Atta-Cesiro Production.pdf, friendlyName=Deschide sursa</x:v>
      </x:c>
    </x:row>
    <x:row r="1003" ht="36" customHeight="1">
      <x:c r="A1003" s="8" t="str">
        <x:v>F0999</x:v>
      </x:c>
      <x:c r="B1003" s="8" t="str">
        <x:v>Documente  Acreditare Auditor.pdf</x:v>
      </x:c>
      <x:c r="C1003" s="8" t="str">
        <x:v>30.1 Cerere Rambursare 1</x:v>
      </x:c>
      <x:c r="D1003" s="8" t="str">
        <x:v>Proiect fotovoltaic</x:v>
      </x:c>
      <x:c r="E1003" s="8" t="str">
        <x:v>.pdf</x:v>
      </x:c>
      <x:c r="F1003" s="8" t="n">
        <x:v>2041299</x:v>
      </x:c>
      <x:c r="G1003" s="8" t="str">
        <x:v>Text extras</x:v>
      </x:c>
      <x:c r="H1003" s="8" t="str">
        <x:v>Document local; transmiterea individuală neconfirmată</x:v>
      </x:c>
      <x:c r="I1003" s="8" t="str"/>
      <x:c r="J1003" s="8" t="e">
        <x:f>HYPERLINK("file:///Z:/00. Proiecte 2025/AFIR FotoVoltaic 1/30.1 Cerere Rambursare 1/12. Raportul de audit financiar/Documente  Acreditare Auditor.pdf","Deschide sursa")</x:f>
        <x:v>HYPERLINK is not implemented. linkLocation=file:///Z:/00. Proiecte 2025/AFIR FotoVoltaic 1/30.1 Cerere Rambursare 1/12. Raportul de audit financiar/Documente  Acreditare Auditor.pdf, friendlyName=Deschide sursa</x:v>
      </x:c>
    </x:row>
    <x:row r="1004" ht="36" customHeight="1">
      <x:c r="A1004" s="8" t="str">
        <x:v>F1000</x:v>
      </x:c>
      <x:c r="B1004" s="8" t="str">
        <x:v>pv predare primire (1).pdf</x:v>
      </x:c>
      <x:c r="C1004" s="8" t="str">
        <x:v>30.1 Cerere Rambursare 1</x:v>
      </x:c>
      <x:c r="D1004" s="8" t="str">
        <x:v>Proiect fotovoltaic</x:v>
      </x:c>
      <x:c r="E1004" s="8" t="str">
        <x:v>.pdf</x:v>
      </x:c>
      <x:c r="F1004" s="8" t="n">
        <x:v>238234</x:v>
      </x:c>
      <x:c r="G1004" s="8" t="str">
        <x:v>Scan / text insuficient</x:v>
      </x:c>
      <x:c r="H1004" s="8" t="str">
        <x:v>Document local; transmiterea individuală neconfirmată</x:v>
      </x:c>
      <x:c r="I1004" s="8" t="str"/>
      <x:c r="J1004" s="8" t="e">
        <x:f>HYPERLINK("file:///Z:/00. Proiecte 2025/AFIR FotoVoltaic 1/30.1 Cerere Rambursare 1/12. Raportul de audit financiar/pv predare primire (1).pdf","Deschide sursa")</x:f>
        <x:v>HYPERLINK is not implemented. linkLocation=file:///Z:/00. Proiecte 2025/AFIR FotoVoltaic 1/30.1 Cerere Rambursare 1/12. Raportul de audit financiar/pv predare primire (1).pdf, friendlyName=Deschide sursa</x:v>
      </x:c>
    </x:row>
    <x:row r="1005" ht="36" customHeight="1">
      <x:c r="A1005" s="8" t="str">
        <x:v>F1001</x:v>
      </x:c>
      <x:c r="B1005" s="8" t="str">
        <x:v>Raport de Audit Atta-Consulting_.pdf</x:v>
      </x:c>
      <x:c r="C1005" s="8" t="str">
        <x:v>30.1 Cerere Rambursare 1</x:v>
      </x:c>
      <x:c r="D1005" s="8" t="str">
        <x:v>Proiect fotovoltaic</x:v>
      </x:c>
      <x:c r="E1005" s="8" t="str">
        <x:v>.pdf</x:v>
      </x:c>
      <x:c r="F1005" s="8" t="n">
        <x:v>2067109</x:v>
      </x:c>
      <x:c r="G1005" s="8" t="str">
        <x:v>Text extras</x:v>
      </x:c>
      <x:c r="H1005" s="8" t="str">
        <x:v>Document local; transmiterea individuală neconfirmată</x:v>
      </x:c>
      <x:c r="I1005" s="8" t="str"/>
      <x:c r="J1005" s="8" t="e">
        <x:f>HYPERLINK("file:///Z:/00. Proiecte 2025/AFIR FotoVoltaic 1/30.1 Cerere Rambursare 1/12. Raportul de audit financiar/Raport de Audit Atta-Consulting_.pdf","Deschide sursa")</x:f>
        <x:v>HYPERLINK is not implemented. linkLocation=file:///Z:/00. Proiecte 2025/AFIR FotoVoltaic 1/30.1 Cerere Rambursare 1/12. Raportul de audit financiar/Raport de Audit Atta-Consulting_.pdf, friendlyName=Deschide sursa</x:v>
      </x:c>
    </x:row>
    <x:row r="1006" ht="36" customHeight="1">
      <x:c r="A1006" s="8" t="str">
        <x:v>F1002</x:v>
      </x:c>
      <x:c r="B1006" s="8" t="str">
        <x:v>AP 1.4 SE Declarație pe propria răspundere.docx</x:v>
      </x:c>
      <x:c r="C1006" s="8" t="str">
        <x:v>30.1 Cerere Rambursare 1</x:v>
      </x:c>
      <x:c r="D1006" s="8" t="str">
        <x:v>Proiect fotovoltaic</x:v>
      </x:c>
      <x:c r="E1006" s="8" t="str">
        <x:v>.docx</x:v>
      </x:c>
      <x:c r="F1006" s="8" t="n">
        <x:v>23691</x:v>
      </x:c>
      <x:c r="G1006" s="8" t="str">
        <x:v>Text extras</x:v>
      </x:c>
      <x:c r="H1006" s="8" t="str">
        <x:v>Document local; transmiterea individuală neconfirmată</x:v>
      </x:c>
      <x:c r="I1006" s="8" t="str"/>
      <x:c r="J1006" s="8" t="e">
        <x:f>HYPERLINK("file:///Z:/00. Proiecte 2025/AFIR FotoVoltaic 1/30.1 Cerere Rambursare 1/13. Declarația pe propria raspundere a  beneficiarului/AP 1.4 SE Declarație pe propria răspundere.docx","Deschide sursa")</x:f>
        <x:v>HYPERLINK is not implemented. linkLocation=file:///Z:/00. Proiecte 2025/AFIR FotoVoltaic 1/30.1 Cerere Rambursare 1/13. Declarația pe propria raspundere a  beneficiarului/AP 1.4 SE Declarație pe propria răspundere.docx, friendlyName=Deschide sursa</x:v>
      </x:c>
    </x:row>
    <x:row r="1007" ht="36" customHeight="1">
      <x:c r="A1007" s="8" t="str">
        <x:v>F1003</x:v>
      </x:c>
      <x:c r="B1007" s="8" t="str">
        <x:v>AP 1.4 SE Declarație pe propria răspundere_v3.pdf</x:v>
      </x:c>
      <x:c r="C1007" s="8" t="str">
        <x:v>30.1 Cerere Rambursare 1</x:v>
      </x:c>
      <x:c r="D1007" s="8" t="str">
        <x:v>Proiect fotovoltaic</x:v>
      </x:c>
      <x:c r="E1007" s="8" t="str">
        <x:v>.pdf</x:v>
      </x:c>
      <x:c r="F1007" s="8" t="n">
        <x:v>1705228</x:v>
      </x:c>
      <x:c r="G1007" s="8" t="str">
        <x:v>Scan / text insuficient</x:v>
      </x:c>
      <x:c r="H1007" s="8" t="str">
        <x:v>Document local; transmiterea individuală neconfirmată</x:v>
      </x:c>
      <x:c r="I1007" s="8" t="str"/>
      <x:c r="J1007" s="8" t="e">
        <x:f>HYPERLINK("file:///Z:/00. Proiecte 2025/AFIR FotoVoltaic 1/30.1 Cerere Rambursare 1/13. Declarația pe propria raspundere a  beneficiarului/AP 1.4 SE Declarație pe propria răspundere_v3.pdf","Deschide sursa")</x:f>
        <x:v>HYPERLINK is not implemented. linkLocation=file:///Z:/00. Proiecte 2025/AFIR FotoVoltaic 1/30.1 Cerere Rambursare 1/13. Declarația pe propria raspundere a  beneficiarului/AP 1.4 SE Declarație pe propria răspundere_v3.pdf, friendlyName=Deschide sursa</x:v>
      </x:c>
    </x:row>
    <x:row r="1008" ht="36" customHeight="1">
      <x:c r="A1008" s="8" t="str">
        <x:v>F1004</x:v>
      </x:c>
      <x:c r="B1008" s="8" t="str">
        <x:v>CESIRO_Ordin_incepere_lucrari-v1.pdf</x:v>
      </x:c>
      <x:c r="C1008" s="8" t="str">
        <x:v>30.1 Cerere Rambursare 1</x:v>
      </x:c>
      <x:c r="D1008" s="8" t="str">
        <x:v>Proiect fotovoltaic</x:v>
      </x:c>
      <x:c r="E1008" s="8" t="str">
        <x:v>.pdf</x:v>
      </x:c>
      <x:c r="F1008" s="8" t="n">
        <x:v>3591964</x:v>
      </x:c>
      <x:c r="G1008" s="8" t="str">
        <x:v>Scan / text insuficient</x:v>
      </x:c>
      <x:c r="H1008" s="8" t="str">
        <x:v>Document local; transmiterea individuală neconfirmată</x:v>
      </x:c>
      <x:c r="I1008" s="8" t="str"/>
      <x:c r="J1008" s="8" t="e">
        <x:f>HYPERLINK("file:///Z:/00. Proiecte 2025/AFIR FotoVoltaic 1/30.1 Cerere Rambursare 1/14. Ordinul de începere a lucrărilor/CESIRO_Ordin_incepere_lucrari-v1.pdf","Deschide sursa")</x:f>
        <x:v>HYPERLINK is not implemented. linkLocation=file:///Z:/00. Proiecte 2025/AFIR FotoVoltaic 1/30.1 Cerere Rambursare 1/14. Ordinul de începere a lucrărilor/CESIRO_Ordin_incepere_lucrari-v1.pdf, friendlyName=Deschide sursa</x:v>
      </x:c>
    </x:row>
    <x:row r="1009" ht="36" customHeight="1">
      <x:c r="A1009" s="8" t="str">
        <x:v>F1005</x:v>
      </x:c>
      <x:c r="B1009" s="8" t="str">
        <x:v>CESIRO_Ordin_incepere_lucrari.docx</x:v>
      </x:c>
      <x:c r="C1009" s="8" t="str">
        <x:v>30.1 Cerere Rambursare 1</x:v>
      </x:c>
      <x:c r="D1009" s="8" t="str">
        <x:v>Proiect fotovoltaic</x:v>
      </x:c>
      <x:c r="E1009" s="8" t="str">
        <x:v>.docx</x:v>
      </x:c>
      <x:c r="F1009" s="8" t="n">
        <x:v>18790</x:v>
      </x:c>
      <x:c r="G1009" s="8" t="str">
        <x:v>Text extras</x:v>
      </x:c>
      <x:c r="H1009" s="8" t="str">
        <x:v>Document local; transmiterea individuală neconfirmată</x:v>
      </x:c>
      <x:c r="I1009" s="8" t="str"/>
      <x:c r="J1009" s="8" t="e">
        <x:f>HYPERLINK("file:///Z:/00. Proiecte 2025/AFIR FotoVoltaic 1/30.1 Cerere Rambursare 1/14. Ordinul de începere a lucrărilor/CESIRO_Ordin_incepere_lucrari.docx","Deschide sursa")</x:f>
        <x:v>HYPERLINK is not implemented. linkLocation=file:///Z:/00. Proiecte 2025/AFIR FotoVoltaic 1/30.1 Cerere Rambursare 1/14. Ordinul de începere a lucrărilor/CESIRO_Ordin_incepere_lucrari.docx, friendlyName=Deschide sursa</x:v>
      </x:c>
    </x:row>
    <x:row r="1010" ht="36" customHeight="1">
      <x:c r="A1010" s="8" t="str">
        <x:v>F1006</x:v>
      </x:c>
      <x:c r="B1010" s="8" t="str">
        <x:v>cesiro_pagina_promovare_fm_final_standalone.html</x:v>
      </x:c>
      <x:c r="C1010" s="8" t="str">
        <x:v>30.1 Cerere Rambursare 1</x:v>
      </x:c>
      <x:c r="D1010" s="8" t="str">
        <x:v>Proiect fotovoltaic</x:v>
      </x:c>
      <x:c r="E1010" s="8" t="str">
        <x:v>.html</x:v>
      </x:c>
      <x:c r="F1010" s="8" t="n">
        <x:v>523360</x:v>
      </x:c>
      <x:c r="G1010" s="8" t="str">
        <x:v>Inventariat; conținut neextras</x:v>
      </x:c>
      <x:c r="H1010" s="8" t="str">
        <x:v>Document local; transmiterea individuală neconfirmată</x:v>
      </x:c>
      <x:c r="I1010" s="8" t="str"/>
      <x:c r="J1010" s="8" t="e">
        <x:f>HYPERLINK("file:///Z:/00. Proiecte 2025/AFIR FotoVoltaic 1/30.1 Cerere Rambursare 1/16. Documente privind informarea și publicitatea/cesiro_pagina_promovare_fm_final_standalone.html","Deschide sursa")</x:f>
        <x:v>HYPERLINK is not implemented. linkLocation=file:///Z:/00. Proiecte 2025/AFIR FotoVoltaic 1/30.1 Cerere Rambursare 1/16. Documente privind informarea și publicitatea/cesiro_pagina_promovare_fm_final_standalone.html, friendlyName=Deschide sursa</x:v>
      </x:c>
    </x:row>
    <x:row r="1011" ht="36" customHeight="1">
      <x:c r="A1011" s="8" t="str">
        <x:v>F1007</x:v>
      </x:c>
      <x:c r="B1011" s="8" t="str">
        <x:v>Comunicat_inceput_CESIRO_PRODUCTION_FM_AFIR.pdf</x:v>
      </x:c>
      <x:c r="C1011" s="8" t="str">
        <x:v>30.1 Cerere Rambursare 1</x:v>
      </x:c>
      <x:c r="D1011" s="8" t="str">
        <x:v>Proiect fotovoltaic</x:v>
      </x:c>
      <x:c r="E1011" s="8" t="str">
        <x:v>.pdf</x:v>
      </x:c>
      <x:c r="F1011" s="8" t="n">
        <x:v>204875</x:v>
      </x:c>
      <x:c r="G1011" s="8" t="str">
        <x:v>Text extras</x:v>
      </x:c>
      <x:c r="H1011" s="8" t="str">
        <x:v>Document local; transmiterea individuală neconfirmată</x:v>
      </x:c>
      <x:c r="I1011" s="8" t="str"/>
      <x:c r="J1011" s="8" t="e">
        <x:f>HYPERLINK("file:///Z:/00. Proiecte 2025/AFIR FotoVoltaic 1/30.1 Cerere Rambursare 1/16. Documente privind informarea și publicitatea/Comunicat_inceput_CESIRO_PRODUCTION_FM_AFIR.pdf","Deschide sursa")</x:f>
        <x:v>HYPERLINK is not implemented. linkLocation=file:///Z:/00. Proiecte 2025/AFIR FotoVoltaic 1/30.1 Cerere Rambursare 1/16. Documente privind informarea și publicitatea/Comunicat_inceput_CESIRO_PRODUCTION_FM_AFIR.pdf, friendlyName=Deschide sursa</x:v>
      </x:c>
    </x:row>
    <x:row r="1012" ht="36" customHeight="1">
      <x:c r="A1012" s="8" t="str">
        <x:v>F1008</x:v>
      </x:c>
      <x:c r="B1012" s="8" t="str">
        <x:v>Balante Ianuarie - Iunie.pdf</x:v>
      </x:c>
      <x:c r="C1012" s="8" t="str">
        <x:v>30.1 Cerere Rambursare 1</x:v>
      </x:c>
      <x:c r="D1012" s="8" t="str">
        <x:v>Proiect fotovoltaic</x:v>
      </x:c>
      <x:c r="E1012" s="8" t="str">
        <x:v>.pdf</x:v>
      </x:c>
      <x:c r="F1012" s="8" t="n">
        <x:v>152051</x:v>
      </x:c>
      <x:c r="G1012" s="8" t="str">
        <x:v>Text extras</x:v>
      </x:c>
      <x:c r="H1012" s="8" t="str">
        <x:v>Document local; transmiterea individuală neconfirmată</x:v>
      </x:c>
      <x:c r="I1012" s="8" t="str"/>
      <x:c r="J1012" s="8" t="e">
        <x:f>HYPERLINK("file:///Z:/00. Proiecte 2025/AFIR FotoVoltaic 1/30.1 Cerere Rambursare 1/17. Documente contabile și evidență analitică-/Balante Ianuarie - Iunie.pdf","Deschide sursa")</x:f>
        <x:v>HYPERLINK is not implemented. linkLocation=file:///Z:/00. Proiecte 2025/AFIR FotoVoltaic 1/30.1 Cerere Rambursare 1/17. Documente contabile și evidență analitică-/Balante Ianuarie - Iunie.pdf, friendlyName=Deschide sursa</x:v>
      </x:c>
    </x:row>
    <x:row r="1013" ht="36" customHeight="1">
      <x:c r="A1013" s="8" t="str">
        <x:v>F1009</x:v>
      </x:c>
      <x:c r="B1013" s="8" t="str">
        <x:v>jurnal banca ian-iulie 2026.pdf</x:v>
      </x:c>
      <x:c r="C1013" s="8" t="str">
        <x:v>30.1 Cerere Rambursare 1</x:v>
      </x:c>
      <x:c r="D1013" s="8" t="str">
        <x:v>Proiect fotovoltaic</x:v>
      </x:c>
      <x:c r="E1013" s="8" t="str">
        <x:v>.pdf</x:v>
      </x:c>
      <x:c r="F1013" s="8" t="n">
        <x:v>54506</x:v>
      </x:c>
      <x:c r="G1013" s="8" t="str">
        <x:v>Text extras</x:v>
      </x:c>
      <x:c r="H1013" s="8" t="str">
        <x:v>Document local; transmiterea individuală neconfirmată</x:v>
      </x:c>
      <x:c r="I1013" s="8" t="str"/>
      <x:c r="J1013" s="8" t="e">
        <x:f>HYPERLINK("file:///Z:/00. Proiecte 2025/AFIR FotoVoltaic 1/30.1 Cerere Rambursare 1/17. Documente contabile și evidență analitică-/jurnal banca ian-iulie 2026.pdf","Deschide sursa")</x:f>
        <x:v>HYPERLINK is not implemented. linkLocation=file:///Z:/00. Proiecte 2025/AFIR FotoVoltaic 1/30.1 Cerere Rambursare 1/17. Documente contabile și evidență analitică-/jurnal banca ian-iulie 2026.pdf, friendlyName=Deschide sursa</x:v>
      </x:c>
    </x:row>
    <x:row r="1014" ht="36" customHeight="1">
      <x:c r="A1014" s="8" t="str">
        <x:v>F1010</x:v>
      </x:c>
      <x:c r="B1014" s="8" t="str">
        <x:v>reg jurnal ian-iul 2026.pdf</x:v>
      </x:c>
      <x:c r="C1014" s="8" t="str">
        <x:v>30.1 Cerere Rambursare 1</x:v>
      </x:c>
      <x:c r="D1014" s="8" t="str">
        <x:v>Proiect fotovoltaic</x:v>
      </x:c>
      <x:c r="E1014" s="8" t="str">
        <x:v>.pdf</x:v>
      </x:c>
      <x:c r="F1014" s="8" t="n">
        <x:v>72945</x:v>
      </x:c>
      <x:c r="G1014" s="8" t="str">
        <x:v>Text extras</x:v>
      </x:c>
      <x:c r="H1014" s="8" t="str">
        <x:v>Document local; transmiterea individuală neconfirmată</x:v>
      </x:c>
      <x:c r="I1014" s="8" t="str"/>
      <x:c r="J1014" s="8" t="e">
        <x:f>HYPERLINK("file:///Z:/00. Proiecte 2025/AFIR FotoVoltaic 1/30.1 Cerere Rambursare 1/17. Documente contabile și evidență analitică-/reg jurnal ian-iul 2026.pdf","Deschide sursa")</x:f>
        <x:v>HYPERLINK is not implemented. linkLocation=file:///Z:/00. Proiecte 2025/AFIR FotoVoltaic 1/30.1 Cerere Rambursare 1/17. Documente contabile și evidență analitică-/reg jurnal ian-iul 2026.pdf, friendlyName=Deschide sursa</x:v>
      </x:c>
    </x:row>
    <x:row r="1015" ht="36" customHeight="1">
      <x:c r="A1015" s="8" t="str">
        <x:v>F1011</x:v>
      </x:c>
      <x:c r="B1015" s="8" t="str">
        <x:v>PV_01_Predare_primire_amplasament_16_02_2026 (1).docx</x:v>
      </x:c>
      <x:c r="C1015" s="8" t="str">
        <x:v>30.1 Cerere Rambursare 1</x:v>
      </x:c>
      <x:c r="D1015" s="8" t="str">
        <x:v>Proiect fotovoltaic</x:v>
      </x:c>
      <x:c r="E1015" s="8" t="str">
        <x:v>.docx</x:v>
      </x:c>
      <x:c r="F1015" s="8" t="n">
        <x:v>16573</x:v>
      </x:c>
      <x:c r="G1015" s="8" t="str">
        <x:v>Text extras</x:v>
      </x:c>
      <x:c r="H1015" s="8" t="str">
        <x:v>Document local; transmiterea individuală neconfirmată</x:v>
      </x:c>
      <x:c r="I1015" s="8" t="str"/>
      <x:c r="J1015" s="8" t="e">
        <x:f>HYPERLINK("file:///Z:/00. Proiecte 2025/AFIR FotoVoltaic 1/30.1 Cerere Rambursare 1/18. PV_predare primire  16_02_2026/PV_01_Predare_primire_amplasament_16_02_2026 (1).docx","Deschide sursa")</x:f>
        <x:v>HYPERLINK is not implemented. linkLocation=file:///Z:/00. Proiecte 2025/AFIR FotoVoltaic 1/30.1 Cerere Rambursare 1/18. PV_predare primire  16_02_2026/PV_01_Predare_primire_amplasament_16_02_2026 (1).docx, friendlyName=Deschide sursa</x:v>
      </x:c>
    </x:row>
    <x:row r="1016" ht="36" customHeight="1">
      <x:c r="A1016" s="8" t="str">
        <x:v>F1012</x:v>
      </x:c>
      <x:c r="B1016" s="8" t="str">
        <x:v>PV_01_Predare_primire_amplasament_16_02_2026v3.pdf</x:v>
      </x:c>
      <x:c r="C1016" s="8" t="str">
        <x:v>30.1 Cerere Rambursare 1</x:v>
      </x:c>
      <x:c r="D1016" s="8" t="str">
        <x:v>Proiect fotovoltaic</x:v>
      </x:c>
      <x:c r="E1016" s="8" t="str">
        <x:v>.pdf</x:v>
      </x:c>
      <x:c r="F1016" s="8" t="n">
        <x:v>458773</x:v>
      </x:c>
      <x:c r="G1016" s="8" t="str">
        <x:v>Text extras</x:v>
      </x:c>
      <x:c r="H1016" s="8" t="str">
        <x:v>Document local; transmiterea individuală neconfirmată</x:v>
      </x:c>
      <x:c r="I1016" s="8" t="str"/>
      <x:c r="J1016" s="8" t="e">
        <x:f>HYPERLINK("file:///Z:/00. Proiecte 2025/AFIR FotoVoltaic 1/30.1 Cerere Rambursare 1/18. PV_predare primire  16_02_2026/PV_01_Predare_primire_amplasament_16_02_2026v3.pdf","Deschide sursa")</x:f>
        <x:v>HYPERLINK is not implemented. linkLocation=file:///Z:/00. Proiecte 2025/AFIR FotoVoltaic 1/30.1 Cerere Rambursare 1/18. PV_predare primire  16_02_2026/PV_01_Predare_primire_amplasament_16_02_2026v3.pdf, friendlyName=Deschide sursa</x:v>
      </x:c>
    </x:row>
    <x:row r="1017" ht="36" customHeight="1">
      <x:c r="A1017" s="8" t="str">
        <x:v>F1013</x:v>
      </x:c>
      <x:c r="B1017" s="8" t="str">
        <x:v>PV_02_Organizare_santier_17_02_2026 (1).docx</x:v>
      </x:c>
      <x:c r="C1017" s="8" t="str">
        <x:v>30.1 Cerere Rambursare 1</x:v>
      </x:c>
      <x:c r="D1017" s="8" t="str">
        <x:v>Proiect fotovoltaic</x:v>
      </x:c>
      <x:c r="E1017" s="8" t="str">
        <x:v>.docx</x:v>
      </x:c>
      <x:c r="F1017" s="8" t="n">
        <x:v>17250</x:v>
      </x:c>
      <x:c r="G1017" s="8" t="str">
        <x:v>Text extras</x:v>
      </x:c>
      <x:c r="H1017" s="8" t="str">
        <x:v>Document local; transmiterea individuală neconfirmată</x:v>
      </x:c>
      <x:c r="I1017" s="8" t="str"/>
      <x:c r="J1017" s="8" t="e">
        <x:f>HYPERLINK("file:///Z:/00. Proiecte 2025/AFIR FotoVoltaic 1/30.1 Cerere Rambursare 1/19. PV Organizare Santier 16_02_2026/PV_02_Organizare_santier_17_02_2026 (1).docx","Deschide sursa")</x:f>
        <x:v>HYPERLINK is not implemented. linkLocation=file:///Z:/00. Proiecte 2025/AFIR FotoVoltaic 1/30.1 Cerere Rambursare 1/19. PV Organizare Santier 16_02_2026/PV_02_Organizare_santier_17_02_2026 (1).docx, friendlyName=Deschide sursa</x:v>
      </x:c>
    </x:row>
    <x:row r="1018" ht="36" customHeight="1">
      <x:c r="A1018" s="8" t="str">
        <x:v>F1014</x:v>
      </x:c>
      <x:c r="B1018" s="8" t="str">
        <x:v>PV_02_Organizare_santier_17_02_2026v1.pdf</x:v>
      </x:c>
      <x:c r="C1018" s="8" t="str">
        <x:v>30.1 Cerere Rambursare 1</x:v>
      </x:c>
      <x:c r="D1018" s="8" t="str">
        <x:v>Proiect fotovoltaic</x:v>
      </x:c>
      <x:c r="E1018" s="8" t="str">
        <x:v>.pdf</x:v>
      </x:c>
      <x:c r="F1018" s="8" t="n">
        <x:v>1773097</x:v>
      </x:c>
      <x:c r="G1018" s="8" t="str">
        <x:v>Scan / text insuficient</x:v>
      </x:c>
      <x:c r="H1018" s="8" t="str">
        <x:v>Document local; transmiterea individuală neconfirmată</x:v>
      </x:c>
      <x:c r="I1018" s="8" t="str"/>
      <x:c r="J1018" s="8" t="e">
        <x:f>HYPERLINK("file:///Z:/00. Proiecte 2025/AFIR FotoVoltaic 1/30.1 Cerere Rambursare 1/19. PV Organizare Santier 16_02_2026/PV_02_Organizare_santier_17_02_2026v1.pdf","Deschide sursa")</x:f>
        <x:v>HYPERLINK is not implemented. linkLocation=file:///Z:/00. Proiecte 2025/AFIR FotoVoltaic 1/30.1 Cerere Rambursare 1/19. PV Organizare Santier 16_02_2026/PV_02_Organizare_santier_17_02_2026v1.pdf, friendlyName=Deschide sursa</x:v>
      </x:c>
    </x:row>
    <x:row r="1019" ht="36" customHeight="1">
      <x:c r="A1019" s="8" t="str">
        <x:v>F1015</x:v>
      </x:c>
      <x:c r="B1019" s="8" t="str">
        <x:v>AP 1.1 SE Cerere de rambursare-v1.pdf</x:v>
      </x:c>
      <x:c r="C1019" s="8" t="str">
        <x:v>30.1 Cerere Rambursare 1</x:v>
      </x:c>
      <x:c r="D1019" s="8" t="str">
        <x:v>Proiect fotovoltaic</x:v>
      </x:c>
      <x:c r="E1019" s="8" t="str">
        <x:v>.pdf</x:v>
      </x:c>
      <x:c r="F1019" s="8" t="n">
        <x:v>341949</x:v>
      </x:c>
      <x:c r="G1019" s="8" t="str">
        <x:v>Text extras</x:v>
      </x:c>
      <x:c r="H1019" s="8" t="str">
        <x:v>Document local; transmiterea individuală neconfirmată</x:v>
      </x:c>
      <x:c r="I1019" s="8" t="str"/>
      <x:c r="J1019" s="8" t="e">
        <x:f>HYPERLINK("file:///Z:/00. Proiecte 2025/AFIR FotoVoltaic 1/30.1 Cerere Rambursare 1/2.1  Cererea de rambursare propriu-zisă/AP 1.1 SE Cerere de rambursare-v1.pdf","Deschide sursa")</x:f>
        <x:v>HYPERLINK is not implemented. linkLocation=file:///Z:/00. Proiecte 2025/AFIR FotoVoltaic 1/30.1 Cerere Rambursare 1/2.1  Cererea de rambursare propriu-zisă/AP 1.1 SE Cerere de rambursare-v1.pdf, friendlyName=Deschide sursa</x:v>
      </x:c>
    </x:row>
    <x:row r="1020" ht="36" customHeight="1">
      <x:c r="A1020" s="8" t="str">
        <x:v>F1016</x:v>
      </x:c>
      <x:c r="B1020" s="8" t="str">
        <x:v>AP 1.1 SE Cerere de rambursare-v2.pdf</x:v>
      </x:c>
      <x:c r="C1020" s="8" t="str">
        <x:v>30.1 Cerere Rambursare 1</x:v>
      </x:c>
      <x:c r="D1020" s="8" t="str">
        <x:v>Proiect fotovoltaic</x:v>
      </x:c>
      <x:c r="E1020" s="8" t="str">
        <x:v>.pdf</x:v>
      </x:c>
      <x:c r="F1020" s="8" t="n">
        <x:v>761090</x:v>
      </x:c>
      <x:c r="G1020" s="8" t="str">
        <x:v>Text extras</x:v>
      </x:c>
      <x:c r="H1020" s="8" t="str">
        <x:v>Document local; transmiterea individuală neconfirmată</x:v>
      </x:c>
      <x:c r="I1020" s="8" t="str"/>
      <x:c r="J1020" s="8" t="e">
        <x:f>HYPERLINK("file:///Z:/00. Proiecte 2025/AFIR FotoVoltaic 1/30.1 Cerere Rambursare 1/2.1  Cererea de rambursare propriu-zisă/AP 1.1 SE Cerere de rambursare-v2.pdf","Deschide sursa")</x:f>
        <x:v>HYPERLINK is not implemented. linkLocation=file:///Z:/00. Proiecte 2025/AFIR FotoVoltaic 1/30.1 Cerere Rambursare 1/2.1  Cererea de rambursare propriu-zisă/AP 1.1 SE Cerere de rambursare-v2.pdf, friendlyName=Deschide sursa</x:v>
      </x:c>
    </x:row>
    <x:row r="1021" ht="36" customHeight="1">
      <x:c r="A1021" s="8" t="str">
        <x:v>F1017</x:v>
      </x:c>
      <x:c r="B1021" s="8" t="str">
        <x:v>Extras de cont_factura_situatie_de_lucrari_furnizor.pdf</x:v>
      </x:c>
      <x:c r="C1021" s="8" t="str">
        <x:v>30.1 Cerere Rambursare 1</x:v>
      </x:c>
      <x:c r="D1021" s="8" t="str">
        <x:v>Proiect fotovoltaic</x:v>
      </x:c>
      <x:c r="E1021" s="8" t="str">
        <x:v>.pdf</x:v>
      </x:c>
      <x:c r="F1021" s="8" t="n">
        <x:v>2107721</x:v>
      </x:c>
      <x:c r="G1021" s="8" t="str">
        <x:v>Text extras</x:v>
      </x:c>
      <x:c r="H1021" s="8" t="str">
        <x:v>Document local; transmiterea individuală neconfirmată</x:v>
      </x:c>
      <x:c r="I1021" s="8" t="str"/>
      <x:c r="J1021" s="8" t="e">
        <x:f>HYPERLINK("file:///Z:/00. Proiecte 2025/AFIR FotoVoltaic 1/30.1 Cerere Rambursare 1/2.2 Facturi si Extrase de cont- DE EDITAT/Extras de cont_factura_situatie_de_lucrari_furnizor.pdf","Deschide sursa")</x:f>
        <x:v>HYPERLINK is not implemented. linkLocation=file:///Z:/00. Proiecte 2025/AFIR FotoVoltaic 1/30.1 Cerere Rambursare 1/2.2 Facturi si Extrase de cont- DE EDITAT/Extras de cont_factura_situatie_de_lucrari_furnizor.pdf, friendlyName=Deschide sursa</x:v>
      </x:c>
    </x:row>
    <x:row r="1022" ht="36" customHeight="1">
      <x:c r="A1022" s="8" t="str">
        <x:v>F1018</x:v>
      </x:c>
      <x:c r="B1022" s="8" t="str">
        <x:v>Centralizator_2222_panouri_montate_CD1 v2.pdf</x:v>
      </x:c>
      <x:c r="C1022" s="8" t="str">
        <x:v>30.1 Cerere Rambursare 1</x:v>
      </x:c>
      <x:c r="D1022" s="8" t="str">
        <x:v>Proiect fotovoltaic</x:v>
      </x:c>
      <x:c r="E1022" s="8" t="str">
        <x:v>.pdf</x:v>
      </x:c>
      <x:c r="F1022" s="8" t="n">
        <x:v>2127393</x:v>
      </x:c>
      <x:c r="G1022" s="8" t="str">
        <x:v>Text extras</x:v>
      </x:c>
      <x:c r="H1022" s="8" t="str">
        <x:v>Document local; transmiterea individuală neconfirmată</x:v>
      </x:c>
      <x:c r="I1022" s="8" t="str"/>
      <x:c r="J1022" s="8" t="e">
        <x:f>HYPERLINK("file:///Z:/00. Proiecte 2025/AFIR FotoVoltaic 1/30.1 Cerere Rambursare 1/20. PV Receptie Structura  08_04_2026/Centralizator_2222_panouri_montate_CD1 v2.pdf","Deschide sursa")</x:f>
        <x:v>HYPERLINK is not implemented. linkLocation=file:///Z:/00. Proiecte 2025/AFIR FotoVoltaic 1/30.1 Cerere Rambursare 1/20. PV Receptie Structura  08_04_2026/Centralizator_2222_panouri_montate_CD1 v2.pdf, friendlyName=Deschide sursa</x:v>
      </x:c>
    </x:row>
    <x:row r="1023" ht="36" customHeight="1">
      <x:c r="A1023" s="8" t="str">
        <x:v>F1019</x:v>
      </x:c>
      <x:c r="B1023" s="8" t="str">
        <x:v>Opis_Cerere_rambursare_nr1_CESIRO (4).docx</x:v>
      </x:c>
      <x:c r="C1023" s="8" t="str">
        <x:v>30.1 Cerere Rambursare 1</x:v>
      </x:c>
      <x:c r="D1023" s="8" t="str">
        <x:v>Proiect fotovoltaic</x:v>
      </x:c>
      <x:c r="E1023" s="8" t="str">
        <x:v>.docx</x:v>
      </x:c>
      <x:c r="F1023" s="8" t="n">
        <x:v>17365</x:v>
      </x:c>
      <x:c r="G1023" s="8" t="str">
        <x:v>Text extras</x:v>
      </x:c>
      <x:c r="H1023" s="8" t="str">
        <x:v>Document local; transmiterea individuală neconfirmată</x:v>
      </x:c>
      <x:c r="I1023" s="8" t="str"/>
      <x:c r="J1023" s="8" t="e">
        <x:f>HYPERLINK("file:///Z:/00. Proiecte 2025/AFIR FotoVoltaic 1/30.1 Cerere Rambursare 1/20. PV Receptie Structura  08_04_2026/Opis_Cerere_rambursare_nr1_CESIRO (4).docx","Deschide sursa")</x:f>
        <x:v>HYPERLINK is not implemented. linkLocation=file:///Z:/00. Proiecte 2025/AFIR FotoVoltaic 1/30.1 Cerere Rambursare 1/20. PV Receptie Structura  08_04_2026/Opis_Cerere_rambursare_nr1_CESIRO (4).docx, friendlyName=Deschide sursa</x:v>
      </x:c>
    </x:row>
    <x:row r="1024" ht="36" customHeight="1">
      <x:c r="A1024" s="8" t="str">
        <x:v>F1020</x:v>
      </x:c>
      <x:c r="B1024" s="8" t="str">
        <x:v>PV_03_Receptie_structura_08_04_2026 (2).docx</x:v>
      </x:c>
      <x:c r="C1024" s="8" t="str">
        <x:v>30.1 Cerere Rambursare 1</x:v>
      </x:c>
      <x:c r="D1024" s="8" t="str">
        <x:v>Proiect fotovoltaic</x:v>
      </x:c>
      <x:c r="E1024" s="8" t="str">
        <x:v>.docx</x:v>
      </x:c>
      <x:c r="F1024" s="8" t="n">
        <x:v>16016</x:v>
      </x:c>
      <x:c r="G1024" s="8" t="str">
        <x:v>Text extras</x:v>
      </x:c>
      <x:c r="H1024" s="8" t="str">
        <x:v>Document local; transmiterea individuală neconfirmată</x:v>
      </x:c>
      <x:c r="I1024" s="8" t="str"/>
      <x:c r="J1024" s="8" t="e">
        <x:f>HYPERLINK("file:///Z:/00. Proiecte 2025/AFIR FotoVoltaic 1/30.1 Cerere Rambursare 1/20. PV Receptie Structura  08_04_2026/PV_03_Receptie_structura_08_04_2026 (2).docx","Deschide sursa")</x:f>
        <x:v>HYPERLINK is not implemented. linkLocation=file:///Z:/00. Proiecte 2025/AFIR FotoVoltaic 1/30.1 Cerere Rambursare 1/20. PV Receptie Structura  08_04_2026/PV_03_Receptie_structura_08_04_2026 (2).docx, friendlyName=Deschide sursa</x:v>
      </x:c>
    </x:row>
    <x:row r="1025" ht="36" customHeight="1">
      <x:c r="A1025" s="8" t="str">
        <x:v>F1021</x:v>
      </x:c>
      <x:c r="B1025" s="8" t="str">
        <x:v>PV_03_Receptie_structura_08_04_2026 (2).v1.pdf</x:v>
      </x:c>
      <x:c r="C1025" s="8" t="str">
        <x:v>30.1 Cerere Rambursare 1</x:v>
      </x:c>
      <x:c r="D1025" s="8" t="str">
        <x:v>Proiect fotovoltaic</x:v>
      </x:c>
      <x:c r="E1025" s="8" t="str">
        <x:v>.pdf</x:v>
      </x:c>
      <x:c r="F1025" s="8" t="n">
        <x:v>442149</x:v>
      </x:c>
      <x:c r="G1025" s="8" t="str">
        <x:v>Text extras</x:v>
      </x:c>
      <x:c r="H1025" s="8" t="str">
        <x:v>Document local; transmiterea individuală neconfirmată</x:v>
      </x:c>
      <x:c r="I1025" s="8" t="str"/>
      <x:c r="J1025" s="8" t="e">
        <x:f>HYPERLINK("file:///Z:/00. Proiecte 2025/AFIR FotoVoltaic 1/30.1 Cerere Rambursare 1/20. PV Receptie Structura  08_04_2026/PV_03_Receptie_structura_08_04_2026 (2).v1.pdf","Deschide sursa")</x:f>
        <x:v>HYPERLINK is not implemented. linkLocation=file:///Z:/00. Proiecte 2025/AFIR FotoVoltaic 1/30.1 Cerere Rambursare 1/20. PV Receptie Structura  08_04_2026/PV_03_Receptie_structura_08_04_2026 (2).v1.pdf, friendlyName=Deschide sursa</x:v>
      </x:c>
    </x:row>
    <x:row r="1026" ht="36" customHeight="1">
      <x:c r="A1026" s="8" t="str">
        <x:v>F1022</x:v>
      </x:c>
      <x:c r="B1026" s="8" t="str">
        <x:v>PV_04_Montaj_structura_14_04_2026 (1).docx</x:v>
      </x:c>
      <x:c r="C1026" s="8" t="str">
        <x:v>30.1 Cerere Rambursare 1</x:v>
      </x:c>
      <x:c r="D1026" s="8" t="str">
        <x:v>Proiect fotovoltaic</x:v>
      </x:c>
      <x:c r="E1026" s="8" t="str">
        <x:v>.docx</x:v>
      </x:c>
      <x:c r="F1026" s="8" t="n">
        <x:v>16463</x:v>
      </x:c>
      <x:c r="G1026" s="8" t="str">
        <x:v>Text extras</x:v>
      </x:c>
      <x:c r="H1026" s="8" t="str">
        <x:v>Document local; transmiterea individuală neconfirmată</x:v>
      </x:c>
      <x:c r="I1026" s="8" t="str"/>
      <x:c r="J1026" s="8" t="e">
        <x:f>HYPERLINK("file:///Z:/00. Proiecte 2025/AFIR FotoVoltaic 1/30.1 Cerere Rambursare 1/21. Montaj Structura 14_04_2026/PV_04_Montaj_structura_14_04_2026 (1).docx","Deschide sursa")</x:f>
        <x:v>HYPERLINK is not implemented. linkLocation=file:///Z:/00. Proiecte 2025/AFIR FotoVoltaic 1/30.1 Cerere Rambursare 1/21. Montaj Structura 14_04_2026/PV_04_Montaj_structura_14_04_2026 (1).docx, friendlyName=Deschide sursa</x:v>
      </x:c>
    </x:row>
    <x:row r="1027" ht="36" customHeight="1">
      <x:c r="A1027" s="8" t="str">
        <x:v>F1023</x:v>
      </x:c>
      <x:c r="B1027" s="8" t="str">
        <x:v>PV_04_Montaj_structura_14_04_2026 (1).v3.pdf</x:v>
      </x:c>
      <x:c r="C1027" s="8" t="str">
        <x:v>30.1 Cerere Rambursare 1</x:v>
      </x:c>
      <x:c r="D1027" s="8" t="str">
        <x:v>Proiect fotovoltaic</x:v>
      </x:c>
      <x:c r="E1027" s="8" t="str">
        <x:v>.pdf</x:v>
      </x:c>
      <x:c r="F1027" s="8" t="n">
        <x:v>500139</x:v>
      </x:c>
      <x:c r="G1027" s="8" t="str">
        <x:v>Text extras</x:v>
      </x:c>
      <x:c r="H1027" s="8" t="str">
        <x:v>Document local; transmiterea individuală neconfirmată</x:v>
      </x:c>
      <x:c r="I1027" s="8" t="str"/>
      <x:c r="J1027" s="8" t="e">
        <x:f>HYPERLINK("file:///Z:/00. Proiecte 2025/AFIR FotoVoltaic 1/30.1 Cerere Rambursare 1/21. Montaj Structura 14_04_2026/PV_04_Montaj_structura_14_04_2026 (1).v3.pdf","Deschide sursa")</x:f>
        <x:v>HYPERLINK is not implemented. linkLocation=file:///Z:/00. Proiecte 2025/AFIR FotoVoltaic 1/30.1 Cerere Rambursare 1/21. Montaj Structura 14_04_2026/PV_04_Montaj_structura_14_04_2026 (1).v3.pdf, friendlyName=Deschide sursa</x:v>
      </x:c>
    </x:row>
    <x:row r="1028" ht="36" customHeight="1">
      <x:c r="A1028" s="8" t="str">
        <x:v>F1024</x:v>
      </x:c>
      <x:c r="B1028" s="8" t="str">
        <x:v>Centralizator_2222_panouri_montate_CD1 v2.pdf</x:v>
      </x:c>
      <x:c r="C1028" s="8" t="str">
        <x:v>30.1 Cerere Rambursare 1</x:v>
      </x:c>
      <x:c r="D1028" s="8" t="str">
        <x:v>Proiect fotovoltaic</x:v>
      </x:c>
      <x:c r="E1028" s="8" t="str">
        <x:v>.pdf</x:v>
      </x:c>
      <x:c r="F1028" s="8" t="n">
        <x:v>2257825</x:v>
      </x:c>
      <x:c r="G1028" s="8" t="str">
        <x:v>Text extras</x:v>
      </x:c>
      <x:c r="H1028" s="8" t="str">
        <x:v>Document local; transmiterea individuală neconfirmată</x:v>
      </x:c>
      <x:c r="I1028" s="8" t="str"/>
      <x:c r="J1028" s="8" t="e">
        <x:f>HYPERLINK("file:///Z:/00. Proiecte 2025/AFIR FotoVoltaic 1/30.1 Cerere Rambursare 1/22. PV Receptie Panouri 23_06_2026/Centralizator_2222_panouri_montate_CD1 v2.pdf","Deschide sursa")</x:f>
        <x:v>HYPERLINK is not implemented. linkLocation=file:///Z:/00. Proiecte 2025/AFIR FotoVoltaic 1/30.1 Cerere Rambursare 1/22. PV Receptie Panouri 23_06_2026/Centralizator_2222_panouri_montate_CD1 v2.pdf, friendlyName=Deschide sursa</x:v>
      </x:c>
    </x:row>
    <x:row r="1029" ht="36" customHeight="1">
      <x:c r="A1029" s="8" t="str">
        <x:v>F1025</x:v>
      </x:c>
      <x:c r="B1029" s="8" t="str">
        <x:v>PV_05_Receptie_panouri_23_06_2026v1.pdf</x:v>
      </x:c>
      <x:c r="C1029" s="8" t="str">
        <x:v>30.1 Cerere Rambursare 1</x:v>
      </x:c>
      <x:c r="D1029" s="8" t="str">
        <x:v>Proiect fotovoltaic</x:v>
      </x:c>
      <x:c r="E1029" s="8" t="str">
        <x:v>.pdf</x:v>
      </x:c>
      <x:c r="F1029" s="8" t="n">
        <x:v>442740</x:v>
      </x:c>
      <x:c r="G1029" s="8" t="str">
        <x:v>Text extras</x:v>
      </x:c>
      <x:c r="H1029" s="8" t="str">
        <x:v>Document local; transmiterea individuală neconfirmată</x:v>
      </x:c>
      <x:c r="I1029" s="8" t="str"/>
      <x:c r="J1029" s="8" t="e">
        <x:f>HYPERLINK("file:///Z:/00. Proiecte 2025/AFIR FotoVoltaic 1/30.1 Cerere Rambursare 1/22. PV Receptie Panouri 23_06_2026/PV_05_Receptie_panouri_23_06_2026v1.pdf","Deschide sursa")</x:f>
        <x:v>HYPERLINK is not implemented. linkLocation=file:///Z:/00. Proiecte 2025/AFIR FotoVoltaic 1/30.1 Cerere Rambursare 1/22. PV Receptie Panouri 23_06_2026/PV_05_Receptie_panouri_23_06_2026v1.pdf, friendlyName=Deschide sursa</x:v>
      </x:c>
    </x:row>
    <x:row r="1030" ht="36" customHeight="1">
      <x:c r="A1030" s="8" t="str">
        <x:v>F1026</x:v>
      </x:c>
      <x:c r="B1030" s="8" t="str">
        <x:v>PV_06_Montaj_module_28_06_2026 (1).docx</x:v>
      </x:c>
      <x:c r="C1030" s="8" t="str">
        <x:v>30.1 Cerere Rambursare 1</x:v>
      </x:c>
      <x:c r="D1030" s="8" t="str">
        <x:v>Proiect fotovoltaic</x:v>
      </x:c>
      <x:c r="E1030" s="8" t="str">
        <x:v>.docx</x:v>
      </x:c>
      <x:c r="F1030" s="8" t="n">
        <x:v>16904</x:v>
      </x:c>
      <x:c r="G1030" s="8" t="str">
        <x:v>Text extras</x:v>
      </x:c>
      <x:c r="H1030" s="8" t="str">
        <x:v>Document local; transmiterea individuală neconfirmată</x:v>
      </x:c>
      <x:c r="I1030" s="8" t="str"/>
      <x:c r="J1030" s="8" t="e">
        <x:f>HYPERLINK("file:///Z:/00. Proiecte 2025/AFIR FotoVoltaic 1/30.1 Cerere Rambursare 1/23. PV  Montaj Panouri 28_06_2026/PV_06_Montaj_module_28_06_2026 (1).docx","Deschide sursa")</x:f>
        <x:v>HYPERLINK is not implemented. linkLocation=file:///Z:/00. Proiecte 2025/AFIR FotoVoltaic 1/30.1 Cerere Rambursare 1/23. PV  Montaj Panouri 28_06_2026/PV_06_Montaj_module_28_06_2026 (1).docx, friendlyName=Deschide sursa</x:v>
      </x:c>
    </x:row>
    <x:row r="1031" ht="36" customHeight="1">
      <x:c r="A1031" s="8" t="str">
        <x:v>F1027</x:v>
      </x:c>
      <x:c r="B1031" s="8" t="str">
        <x:v>PV_06_Montaj_module_28_06_2026 v1.pdf</x:v>
      </x:c>
      <x:c r="C1031" s="8" t="str">
        <x:v>30.1 Cerere Rambursare 1</x:v>
      </x:c>
      <x:c r="D1031" s="8" t="str">
        <x:v>Proiect fotovoltaic</x:v>
      </x:c>
      <x:c r="E1031" s="8" t="str">
        <x:v>.pdf</x:v>
      </x:c>
      <x:c r="F1031" s="8" t="n">
        <x:v>469832</x:v>
      </x:c>
      <x:c r="G1031" s="8" t="str">
        <x:v>Text extras</x:v>
      </x:c>
      <x:c r="H1031" s="8" t="str">
        <x:v>Document local; transmiterea individuală neconfirmată</x:v>
      </x:c>
      <x:c r="I1031" s="8" t="str"/>
      <x:c r="J1031" s="8" t="e">
        <x:f>HYPERLINK("file:///Z:/00. Proiecte 2025/AFIR FotoVoltaic 1/30.1 Cerere Rambursare 1/23. PV  Montaj Panouri 28_06_2026/PV_06_Montaj_module_28_06_2026 v1.pdf","Deschide sursa")</x:f>
        <x:v>HYPERLINK is not implemented. linkLocation=file:///Z:/00. Proiecte 2025/AFIR FotoVoltaic 1/30.1 Cerere Rambursare 1/23. PV  Montaj Panouri 28_06_2026/PV_06_Montaj_module_28_06_2026 v1.pdf, friendlyName=Deschide sursa</x:v>
      </x:c>
    </x:row>
    <x:row r="1032" ht="36" customHeight="1">
      <x:c r="A1032" s="8" t="str">
        <x:v>F1028</x:v>
      </x:c>
      <x:c r="B1032" s="8" t="str">
        <x:v>PV_07_Verificare_faze_determinante_30_06_2026 (1).docx</x:v>
      </x:c>
      <x:c r="C1032" s="8" t="str">
        <x:v>30.1 Cerere Rambursare 1</x:v>
      </x:c>
      <x:c r="D1032" s="8" t="str">
        <x:v>Proiect fotovoltaic</x:v>
      </x:c>
      <x:c r="E1032" s="8" t="str">
        <x:v>.docx</x:v>
      </x:c>
      <x:c r="F1032" s="8" t="n">
        <x:v>16328</x:v>
      </x:c>
      <x:c r="G1032" s="8" t="str">
        <x:v>Text extras</x:v>
      </x:c>
      <x:c r="H1032" s="8" t="str">
        <x:v>Document local; transmiterea individuală neconfirmată</x:v>
      </x:c>
      <x:c r="I1032" s="8" t="str"/>
      <x:c r="J1032" s="8" t="e">
        <x:f>HYPERLINK("file:///Z:/00. Proiecte 2025/AFIR FotoVoltaic 1/30.1 Cerere Rambursare 1/24. PV Verificare faze determinante/PV_07_Verificare_faze_determinante_30_06_2026 (1).docx","Deschide sursa")</x:f>
        <x:v>HYPERLINK is not implemented. linkLocation=file:///Z:/00. Proiecte 2025/AFIR FotoVoltaic 1/30.1 Cerere Rambursare 1/24. PV Verificare faze determinante/PV_07_Verificare_faze_determinante_30_06_2026 (1).docx, friendlyName=Deschide sursa</x:v>
      </x:c>
    </x:row>
    <x:row r="1033" ht="36" customHeight="1">
      <x:c r="A1033" s="8" t="str">
        <x:v>F1029</x:v>
      </x:c>
      <x:c r="B1033" s="8" t="str">
        <x:v>PV_07_Verificare_faze_determinante_30_06_2026 v1.pdf</x:v>
      </x:c>
      <x:c r="C1033" s="8" t="str">
        <x:v>30.1 Cerere Rambursare 1</x:v>
      </x:c>
      <x:c r="D1033" s="8" t="str">
        <x:v>Proiect fotovoltaic</x:v>
      </x:c>
      <x:c r="E1033" s="8" t="str">
        <x:v>.pdf</x:v>
      </x:c>
      <x:c r="F1033" s="8" t="n">
        <x:v>461316</x:v>
      </x:c>
      <x:c r="G1033" s="8" t="str">
        <x:v>Text extras</x:v>
      </x:c>
      <x:c r="H1033" s="8" t="str">
        <x:v>Document local; transmiterea individuală neconfirmată</x:v>
      </x:c>
      <x:c r="I1033" s="8" t="str"/>
      <x:c r="J1033" s="8" t="e">
        <x:f>HYPERLINK("file:///Z:/00. Proiecte 2025/AFIR FotoVoltaic 1/30.1 Cerere Rambursare 1/24. PV Verificare faze determinante/PV_07_Verificare_faze_determinante_30_06_2026 v1.pdf","Deschide sursa")</x:f>
        <x:v>HYPERLINK is not implemented. linkLocation=file:///Z:/00. Proiecte 2025/AFIR FotoVoltaic 1/30.1 Cerere Rambursare 1/24. PV Verificare faze determinante/PV_07_Verificare_faze_determinante_30_06_2026 v1.pdf, friendlyName=Deschide sursa</x:v>
      </x:c>
    </x:row>
    <x:row r="1034" ht="36" customHeight="1">
      <x:c r="A1034" s="8" t="str">
        <x:v>F1030</x:v>
      </x:c>
      <x:c r="B1034" s="8" t="str">
        <x:v>Procese verbale de receptie provizorie_partiala_s.pdf</x:v>
      </x:c>
      <x:c r="C1034" s="8" t="str">
        <x:v>30.1 Cerere Rambursare 1</x:v>
      </x:c>
      <x:c r="D1034" s="8" t="str">
        <x:v>Proiect fotovoltaic</x:v>
      </x:c>
      <x:c r="E1034" s="8" t="str">
        <x:v>.pdf</x:v>
      </x:c>
      <x:c r="F1034" s="8" t="n">
        <x:v>12815606</x:v>
      </x:c>
      <x:c r="G1034" s="8" t="str">
        <x:v>Text extras</x:v>
      </x:c>
      <x:c r="H1034" s="8" t="str">
        <x:v>Document local; transmiterea individuală neconfirmată</x:v>
      </x:c>
      <x:c r="I1034" s="8" t="str"/>
      <x:c r="J1034" s="8" t="e">
        <x:f>HYPERLINK("file:///Z:/00. Proiecte 2025/AFIR FotoVoltaic 1/30.1 Cerere Rambursare 1/25. PV receptie partiala CD 1 03_07_2026/Procese verbale de receptie provizorie_partiala_s.pdf","Deschide sursa")</x:f>
        <x:v>HYPERLINK is not implemented. linkLocation=file:///Z:/00. Proiecte 2025/AFIR FotoVoltaic 1/30.1 Cerere Rambursare 1/25. PV receptie partiala CD 1 03_07_2026/Procese verbale de receptie provizorie_partiala_s.pdf, friendlyName=Deschide sursa</x:v>
      </x:c>
    </x:row>
    <x:row r="1035" ht="36" customHeight="1">
      <x:c r="A1035" s="8" t="str">
        <x:v>F1031</x:v>
      </x:c>
      <x:c r="B1035" s="8" t="str">
        <x:v>PV_08_Receptie_partiala_transa1_03_07_2026 v1.docx</x:v>
      </x:c>
      <x:c r="C1035" s="8" t="str">
        <x:v>30.1 Cerere Rambursare 1</x:v>
      </x:c>
      <x:c r="D1035" s="8" t="str">
        <x:v>Proiect fotovoltaic</x:v>
      </x:c>
      <x:c r="E1035" s="8" t="str">
        <x:v>.docx</x:v>
      </x:c>
      <x:c r="F1035" s="8" t="n">
        <x:v>18158</x:v>
      </x:c>
      <x:c r="G1035" s="8" t="str">
        <x:v>Text extras</x:v>
      </x:c>
      <x:c r="H1035" s="8" t="str">
        <x:v>Document local; transmiterea individuală neconfirmată</x:v>
      </x:c>
      <x:c r="I1035" s="8" t="str"/>
      <x:c r="J1035" s="8" t="e">
        <x:f>HYPERLINK("file:///Z:/00. Proiecte 2025/AFIR FotoVoltaic 1/30.1 Cerere Rambursare 1/25. PV receptie partiala CD 1 03_07_2026/PV_08_Receptie_partiala_transa1_03_07_2026 v1.docx","Deschide sursa")</x:f>
        <x:v>HYPERLINK is not implemented. linkLocation=file:///Z:/00. Proiecte 2025/AFIR FotoVoltaic 1/30.1 Cerere Rambursare 1/25. PV receptie partiala CD 1 03_07_2026/PV_08_Receptie_partiala_transa1_03_07_2026 v1.docx, friendlyName=Deschide sursa</x:v>
      </x:c>
    </x:row>
    <x:row r="1036" ht="36" customHeight="1">
      <x:c r="A1036" s="8" t="str">
        <x:v>F1032</x:v>
      </x:c>
      <x:c r="B1036" s="8" t="str">
        <x:v>PV_08_Receptie_partiala_transa1_03_07_2026 v1.pdf</x:v>
      </x:c>
      <x:c r="C1036" s="8" t="str">
        <x:v>30.1 Cerere Rambursare 1</x:v>
      </x:c>
      <x:c r="D1036" s="8" t="str">
        <x:v>Proiect fotovoltaic</x:v>
      </x:c>
      <x:c r="E1036" s="8" t="str">
        <x:v>.pdf</x:v>
      </x:c>
      <x:c r="F1036" s="8" t="n">
        <x:v>489291</x:v>
      </x:c>
      <x:c r="G1036" s="8" t="str">
        <x:v>Text extras</x:v>
      </x:c>
      <x:c r="H1036" s="8" t="str">
        <x:v>Document local; transmiterea individuală neconfirmată</x:v>
      </x:c>
      <x:c r="I1036" s="8" t="str"/>
      <x:c r="J1036" s="8" t="e">
        <x:f>HYPERLINK("file:///Z:/00. Proiecte 2025/AFIR FotoVoltaic 1/30.1 Cerere Rambursare 1/25. PV receptie partiala CD 1 03_07_2026/PV_08_Receptie_partiala_transa1_03_07_2026 v1.pdf","Deschide sursa")</x:f>
        <x:v>HYPERLINK is not implemented. linkLocation=file:///Z:/00. Proiecte 2025/AFIR FotoVoltaic 1/30.1 Cerere Rambursare 1/25. PV receptie partiala CD 1 03_07_2026/PV_08_Receptie_partiala_transa1_03_07_2026 v1.pdf, friendlyName=Deschide sursa</x:v>
      </x:c>
    </x:row>
    <x:row r="1037" ht="36" customHeight="1">
      <x:c r="A1037" s="8" t="str">
        <x:v>F1033</x:v>
      </x:c>
      <x:c r="B1037" s="8" t="str">
        <x:v>C3.3.4_.pdf</x:v>
      </x:c>
      <x:c r="C1037" s="8" t="str">
        <x:v>30.1 Cerere Rambursare 1</x:v>
      </x:c>
      <x:c r="D1037" s="8" t="str">
        <x:v>Proiect fotovoltaic</x:v>
      </x:c>
      <x:c r="E1037" s="8" t="str">
        <x:v>.pdf</x:v>
      </x:c>
      <x:c r="F1037" s="8" t="n">
        <x:v>683510</x:v>
      </x:c>
      <x:c r="G1037" s="8" t="str">
        <x:v>Text extras</x:v>
      </x:c>
      <x:c r="H1037" s="8" t="str">
        <x:v>Document local; transmiterea individuală neconfirmată</x:v>
      </x:c>
      <x:c r="I1037" s="8" t="str">
        <x:v>F0767</x:v>
      </x:c>
      <x:c r="J1037" s="8" t="e">
        <x:f>HYPERLINK("file:///Z:/00. Proiecte 2025/AFIR FotoVoltaic 1/30.1 Cerere Rambursare 1/26. Avizare Act aditional nr.1/C3.3.4_.pdf","Deschide sursa")</x:f>
        <x:v>HYPERLINK is not implemented. linkLocation=file:///Z:/00. Proiecte 2025/AFIR FotoVoltaic 1/30.1 Cerere Rambursare 1/26. Avizare Act aditional nr.1/C3.3.4_.pdf, friendlyName=Deschide sursa</x:v>
      </x:c>
    </x:row>
    <x:row r="1038" ht="36" customHeight="1">
      <x:c r="A1038" s="8" t="str">
        <x:v>F1034</x:v>
      </x:c>
      <x:c r="B1038" s="8" t="str">
        <x:v>Fisa tehnica invertor.pdf</x:v>
      </x:c>
      <x:c r="C1038" s="8" t="str">
        <x:v>30.1 Cerere Rambursare 1</x:v>
      </x:c>
      <x:c r="D1038" s="8" t="str">
        <x:v>Proiect fotovoltaic</x:v>
      </x:c>
      <x:c r="E1038" s="8" t="str">
        <x:v>.pdf</x:v>
      </x:c>
      <x:c r="F1038" s="8" t="n">
        <x:v>441689</x:v>
      </x:c>
      <x:c r="G1038" s="8" t="str">
        <x:v>Text extras</x:v>
      </x:c>
      <x:c r="H1038" s="8" t="str">
        <x:v>Document local; transmiterea individuală neconfirmată</x:v>
      </x:c>
      <x:c r="I1038" s="8" t="str">
        <x:v>F0486</x:v>
      </x:c>
      <x:c r="J1038" s="8" t="e">
        <x:f>HYPERLINK("file:///Z:/00. Proiecte 2025/AFIR FotoVoltaic 1/30.1 Cerere Rambursare 1/26. Avizare Act aditional nr.1/Fisa tehnica invertor.pdf","Deschide sursa")</x:f>
        <x:v>HYPERLINK is not implemented. linkLocation=file:///Z:/00. Proiecte 2025/AFIR FotoVoltaic 1/30.1 Cerere Rambursare 1/26. Avizare Act aditional nr.1/Fisa tehnica invertor.pdf, friendlyName=Deschide sursa</x:v>
      </x:c>
    </x:row>
    <x:row r="1039" ht="36" customHeight="1">
      <x:c r="A1039" s="8" t="str">
        <x:v>F1035</x:v>
      </x:c>
      <x:c r="B1039" s="8" t="str">
        <x:v>Fisa tehnica panou.pdf</x:v>
      </x:c>
      <x:c r="C1039" s="8" t="str">
        <x:v>30.1 Cerere Rambursare 1</x:v>
      </x:c>
      <x:c r="D1039" s="8" t="str">
        <x:v>Proiect fotovoltaic</x:v>
      </x:c>
      <x:c r="E1039" s="8" t="str">
        <x:v>.pdf</x:v>
      </x:c>
      <x:c r="F1039" s="8" t="n">
        <x:v>255454</x:v>
      </x:c>
      <x:c r="G1039" s="8" t="str">
        <x:v>Text extras</x:v>
      </x:c>
      <x:c r="H1039" s="8" t="str">
        <x:v>Document local; transmiterea individuală neconfirmată</x:v>
      </x:c>
      <x:c r="I1039" s="8" t="str">
        <x:v>F0269</x:v>
      </x:c>
      <x:c r="J1039" s="8" t="e">
        <x:f>HYPERLINK("file:///Z:/00. Proiecte 2025/AFIR FotoVoltaic 1/30.1 Cerere Rambursare 1/26. Avizare Act aditional nr.1/Fisa tehnica panou.pdf","Deschide sursa")</x:f>
        <x:v>HYPERLINK is not implemented. linkLocation=file:///Z:/00. Proiecte 2025/AFIR FotoVoltaic 1/30.1 Cerere Rambursare 1/26. Avizare Act aditional nr.1/Fisa tehnica panou.pdf, friendlyName=Deschide sursa</x:v>
      </x:c>
    </x:row>
    <x:row r="1040" ht="36" customHeight="1">
      <x:c r="A1040" s="8" t="str">
        <x:v>F1036</x:v>
      </x:c>
      <x:c r="B1040" s="8" t="str">
        <x:v>Formular_C3_1_completat _.pdf</x:v>
      </x:c>
      <x:c r="C1040" s="8" t="str">
        <x:v>30.1 Cerere Rambursare 1</x:v>
      </x:c>
      <x:c r="D1040" s="8" t="str">
        <x:v>Proiect fotovoltaic</x:v>
      </x:c>
      <x:c r="E1040" s="8" t="str">
        <x:v>.pdf</x:v>
      </x:c>
      <x:c r="F1040" s="8" t="n">
        <x:v>320142</x:v>
      </x:c>
      <x:c r="G1040" s="8" t="str">
        <x:v>Text extras</x:v>
      </x:c>
      <x:c r="H1040" s="8" t="str">
        <x:v>Document local; transmiterea individuală neconfirmată</x:v>
      </x:c>
      <x:c r="I1040" s="8" t="str">
        <x:v>F0761</x:v>
      </x:c>
      <x:c r="J1040" s="8" t="e">
        <x:f>HYPERLINK("file:///Z:/00. Proiecte 2025/AFIR FotoVoltaic 1/30.1 Cerere Rambursare 1/26. Avizare Act aditional nr.1/Formular_C3_1_completat _.pdf","Deschide sursa")</x:f>
        <x:v>HYPERLINK is not implemented. linkLocation=file:///Z:/00. Proiecte 2025/AFIR FotoVoltaic 1/30.1 Cerere Rambursare 1/26. Avizare Act aditional nr.1/Formular_C3_1_completat _.pdf, friendlyName=Deschide sursa</x:v>
      </x:c>
    </x:row>
    <x:row r="1041" ht="36" customHeight="1">
      <x:c r="A1041" s="8" t="str">
        <x:v>F1037</x:v>
      </x:c>
      <x:c r="B1041" s="8" t="str">
        <x:v>Memoriu_Justificativ_Consolidat_CESIRO (2).pdf</x:v>
      </x:c>
      <x:c r="C1041" s="8" t="str">
        <x:v>30.1 Cerere Rambursare 1</x:v>
      </x:c>
      <x:c r="D1041" s="8" t="str">
        <x:v>Proiect fotovoltaic</x:v>
      </x:c>
      <x:c r="E1041" s="8" t="str">
        <x:v>.pdf</x:v>
      </x:c>
      <x:c r="F1041" s="8" t="n">
        <x:v>367855</x:v>
      </x:c>
      <x:c r="G1041" s="8" t="str">
        <x:v>Text extras</x:v>
      </x:c>
      <x:c r="H1041" s="8" t="str">
        <x:v>Document local; transmiterea individuală neconfirmată</x:v>
      </x:c>
      <x:c r="I1041" s="8" t="str">
        <x:v>F0763</x:v>
      </x:c>
      <x:c r="J1041" s="8" t="e">
        <x:f>HYPERLINK("file:///Z:/00. Proiecte 2025/AFIR FotoVoltaic 1/30.1 Cerere Rambursare 1/26. Avizare Act aditional nr.1/Memoriu_Justificativ_Consolidat_CESIRO (2).pdf","Deschide sursa")</x:f>
        <x:v>HYPERLINK is not implemented. linkLocation=file:///Z:/00. Proiecte 2025/AFIR FotoVoltaic 1/30.1 Cerere Rambursare 1/26. Avizare Act aditional nr.1/Memoriu_Justificativ_Consolidat_CESIRO (2).pdf, friendlyName=Deschide sursa</x:v>
      </x:c>
    </x:row>
    <x:row r="1042" ht="36" customHeight="1">
      <x:c r="A1042" s="8" t="str">
        <x:v>F1038</x:v>
      </x:c>
      <x:c r="B1042" s="8" t="str">
        <x:v>Referat_proiectant_CESIRO__s.pdf</x:v>
      </x:c>
      <x:c r="C1042" s="8" t="str">
        <x:v>30.1 Cerere Rambursare 1</x:v>
      </x:c>
      <x:c r="D1042" s="8" t="str">
        <x:v>Proiect fotovoltaic</x:v>
      </x:c>
      <x:c r="E1042" s="8" t="str">
        <x:v>.pdf</x:v>
      </x:c>
      <x:c r="F1042" s="8" t="n">
        <x:v>12457305</x:v>
      </x:c>
      <x:c r="G1042" s="8" t="str">
        <x:v>Text extras</x:v>
      </x:c>
      <x:c r="H1042" s="8" t="str">
        <x:v>Document local; transmiterea individuală neconfirmată</x:v>
      </x:c>
      <x:c r="I1042" s="8" t="str">
        <x:v>F0764</x:v>
      </x:c>
      <x:c r="J1042" s="8" t="e">
        <x:f>HYPERLINK("file:///Z:/00. Proiecte 2025/AFIR FotoVoltaic 1/30.1 Cerere Rambursare 1/26. Avizare Act aditional nr.1/Referat_proiectant_CESIRO__s.pdf","Deschide sursa")</x:f>
        <x:v>HYPERLINK is not implemented. linkLocation=file:///Z:/00. Proiecte 2025/AFIR FotoVoltaic 1/30.1 Cerere Rambursare 1/26. Avizare Act aditional nr.1/Referat_proiectant_CESIRO__s.pdf, friendlyName=Deschide sursa</x:v>
      </x:c>
    </x:row>
    <x:row r="1043" ht="36" customHeight="1">
      <x:c r="A1043" s="8" t="str">
        <x:v>F1039</x:v>
      </x:c>
      <x:c r="B1043" s="8" t="str">
        <x:v>Studiu_Justificativ_Aprofundat_CESIRO (2).pdf</x:v>
      </x:c>
      <x:c r="C1043" s="8" t="str">
        <x:v>30.1 Cerere Rambursare 1</x:v>
      </x:c>
      <x:c r="D1043" s="8" t="str">
        <x:v>Proiect fotovoltaic</x:v>
      </x:c>
      <x:c r="E1043" s="8" t="str">
        <x:v>.pdf</x:v>
      </x:c>
      <x:c r="F1043" s="8" t="n">
        <x:v>527000</x:v>
      </x:c>
      <x:c r="G1043" s="8" t="str">
        <x:v>Text extras</x:v>
      </x:c>
      <x:c r="H1043" s="8" t="str">
        <x:v>Document local; transmiterea individuală neconfirmată</x:v>
      </x:c>
      <x:c r="I1043" s="8" t="str">
        <x:v>F0765</x:v>
      </x:c>
      <x:c r="J1043" s="8" t="e">
        <x:f>HYPERLINK("file:///Z:/00. Proiecte 2025/AFIR FotoVoltaic 1/30.1 Cerere Rambursare 1/26. Avizare Act aditional nr.1/Studiu_Justificativ_Aprofundat_CESIRO (2).pdf","Deschide sursa")</x:f>
        <x:v>HYPERLINK is not implemented. linkLocation=file:///Z:/00. Proiecte 2025/AFIR FotoVoltaic 1/30.1 Cerere Rambursare 1/26. Avizare Act aditional nr.1/Studiu_Justificativ_Aprofundat_CESIRO (2).pdf, friendlyName=Deschide sursa</x:v>
      </x:c>
    </x:row>
    <x:row r="1044" ht="36" customHeight="1">
      <x:c r="A1044" s="8" t="str">
        <x:v>F1040</x:v>
      </x:c>
      <x:c r="B1044" s="8" t="str">
        <x:v>Adresa_Inaintare_CESIRO_AFIR_.pdf</x:v>
      </x:c>
      <x:c r="C1044" s="8" t="str">
        <x:v>30.1 Cerere Rambursare 1</x:v>
      </x:c>
      <x:c r="D1044" s="8" t="str">
        <x:v>Proiect fotovoltaic</x:v>
      </x:c>
      <x:c r="E1044" s="8" t="str">
        <x:v>.pdf</x:v>
      </x:c>
      <x:c r="F1044" s="8" t="n">
        <x:v>315697</x:v>
      </x:c>
      <x:c r="G1044" s="8" t="str">
        <x:v>Text extras</x:v>
      </x:c>
      <x:c r="H1044" s="8" t="str">
        <x:v>Document local; transmiterea individuală neconfirmată</x:v>
      </x:c>
      <x:c r="I1044" s="8" t="str">
        <x:v>F0796</x:v>
      </x:c>
      <x:c r="J1044" s="8" t="e">
        <x:f>HYPERLINK("file:///Z:/00. Proiecte 2025/AFIR FotoVoltaic 1/30.1 Cerere Rambursare 1/27. Avizare Notificare Nr.2/Adresa_Inaintare_CESIRO_AFIR_.pdf","Deschide sursa")</x:f>
        <x:v>HYPERLINK is not implemented. linkLocation=file:///Z:/00. Proiecte 2025/AFIR FotoVoltaic 1/30.1 Cerere Rambursare 1/27. Avizare Notificare Nr.2/Adresa_Inaintare_CESIRO_AFIR_.pdf, friendlyName=Deschide sursa</x:v>
      </x:c>
    </x:row>
    <x:row r="1045" ht="36" customHeight="1">
      <x:c r="A1045" s="8" t="str">
        <x:v>F1041</x:v>
      </x:c>
      <x:c r="B1045" s="8" t="str">
        <x:v>Declaratia Proiectantului-s__.pdf</x:v>
      </x:c>
      <x:c r="C1045" s="8" t="str">
        <x:v>30.1 Cerere Rambursare 1</x:v>
      </x:c>
      <x:c r="D1045" s="8" t="str">
        <x:v>Proiect fotovoltaic</x:v>
      </x:c>
      <x:c r="E1045" s="8" t="str">
        <x:v>.pdf</x:v>
      </x:c>
      <x:c r="F1045" s="8" t="n">
        <x:v>5008901</x:v>
      </x:c>
      <x:c r="G1045" s="8" t="str">
        <x:v>Text extras</x:v>
      </x:c>
      <x:c r="H1045" s="8" t="str">
        <x:v>Document local; transmiterea individuală neconfirmată</x:v>
      </x:c>
      <x:c r="I1045" s="8" t="str">
        <x:v>F0798</x:v>
      </x:c>
      <x:c r="J1045" s="8" t="e">
        <x:f>HYPERLINK("file:///Z:/00. Proiecte 2025/AFIR FotoVoltaic 1/30.1 Cerere Rambursare 1/27. Avizare Notificare Nr.2/Declaratia Proiectantului-s__.pdf","Deschide sursa")</x:f>
        <x:v>HYPERLINK is not implemented. linkLocation=file:///Z:/00. Proiecte 2025/AFIR FotoVoltaic 1/30.1 Cerere Rambursare 1/27. Avizare Notificare Nr.2/Declaratia Proiectantului-s__.pdf, friendlyName=Deschide sursa</x:v>
      </x:c>
    </x:row>
    <x:row r="1046" ht="36" customHeight="1">
      <x:c r="A1046" s="8" t="str">
        <x:v>F1042</x:v>
      </x:c>
      <x:c r="B1046" s="8" t="str">
        <x:v>Formular_C3_1_completat-de solicitare_.pdf</x:v>
      </x:c>
      <x:c r="C1046" s="8" t="str">
        <x:v>30.1 Cerere Rambursare 1</x:v>
      </x:c>
      <x:c r="D1046" s="8" t="str">
        <x:v>Proiect fotovoltaic</x:v>
      </x:c>
      <x:c r="E1046" s="8" t="str">
        <x:v>.pdf</x:v>
      </x:c>
      <x:c r="F1046" s="8" t="n">
        <x:v>317597</x:v>
      </x:c>
      <x:c r="G1046" s="8" t="str">
        <x:v>Text extras</x:v>
      </x:c>
      <x:c r="H1046" s="8" t="str">
        <x:v>Document local; transmiterea individuală neconfirmată</x:v>
      </x:c>
      <x:c r="I1046" s="8" t="str">
        <x:v>F0802</x:v>
      </x:c>
      <x:c r="J1046" s="8" t="e">
        <x:f>HYPERLINK("file:///Z:/00. Proiecte 2025/AFIR FotoVoltaic 1/30.1 Cerere Rambursare 1/27. Avizare Notificare Nr.2/Formular_C3_1_completat-de solicitare_.pdf","Deschide sursa")</x:f>
        <x:v>HYPERLINK is not implemented. linkLocation=file:///Z:/00. Proiecte 2025/AFIR FotoVoltaic 1/30.1 Cerere Rambursare 1/27. Avizare Notificare Nr.2/Formular_C3_1_completat-de solicitare_.pdf, friendlyName=Deschide sursa</x:v>
      </x:c>
    </x:row>
    <x:row r="1047" ht="36" customHeight="1">
      <x:c r="A1047" s="8" t="str">
        <x:v>F1043</x:v>
      </x:c>
      <x:c r="B1047" s="8" t="str">
        <x:v>Notificare C3.3.8 (4).pdf</x:v>
      </x:c>
      <x:c r="C1047" s="8" t="str">
        <x:v>30.1 Cerere Rambursare 1</x:v>
      </x:c>
      <x:c r="D1047" s="8" t="str">
        <x:v>Proiect fotovoltaic</x:v>
      </x:c>
      <x:c r="E1047" s="8" t="str">
        <x:v>.pdf</x:v>
      </x:c>
      <x:c r="F1047" s="8" t="n">
        <x:v>382812</x:v>
      </x:c>
      <x:c r="G1047" s="8" t="str">
        <x:v>Text extras</x:v>
      </x:c>
      <x:c r="H1047" s="8" t="str">
        <x:v>Document local; transmiterea individuală neconfirmată</x:v>
      </x:c>
      <x:c r="I1047" s="8" t="str"/>
      <x:c r="J1047" s="8" t="e">
        <x:f>HYPERLINK("file:///Z:/00. Proiecte 2025/AFIR FotoVoltaic 1/30.1 Cerere Rambursare 1/27. Avizare Notificare Nr.2/Notificare C3.3.8 (4).pdf","Deschide sursa")</x:f>
        <x:v>HYPERLINK is not implemented. linkLocation=file:///Z:/00. Proiecte 2025/AFIR FotoVoltaic 1/30.1 Cerere Rambursare 1/27. Avizare Notificare Nr.2/Notificare C3.3.8 (4).pdf, friendlyName=Deschide sursa</x:v>
      </x:c>
    </x:row>
    <x:row r="1048" ht="36" customHeight="1">
      <x:c r="A1048" s="8" t="str">
        <x:v>F1044</x:v>
      </x:c>
      <x:c r="B1048" s="8" t="str">
        <x:v>Notificare C3.3.8_.pdf</x:v>
      </x:c>
      <x:c r="C1048" s="8" t="str">
        <x:v>30.1 Cerere Rambursare 1</x:v>
      </x:c>
      <x:c r="D1048" s="8" t="str">
        <x:v>Proiect fotovoltaic</x:v>
      </x:c>
      <x:c r="E1048" s="8" t="str">
        <x:v>.pdf</x:v>
      </x:c>
      <x:c r="F1048" s="8" t="n">
        <x:v>509147</x:v>
      </x:c>
      <x:c r="G1048" s="8" t="str">
        <x:v>Text extras</x:v>
      </x:c>
      <x:c r="H1048" s="8" t="str">
        <x:v>Document local; transmiterea individuală neconfirmată</x:v>
      </x:c>
      <x:c r="I1048" s="8" t="str"/>
      <x:c r="J1048" s="8" t="e">
        <x:f>HYPERLINK("file:///Z:/00. Proiecte 2025/AFIR FotoVoltaic 1/30.1 Cerere Rambursare 1/27. Avizare Notificare Nr.2/Notificare C3.3.8_.pdf","Deschide sursa")</x:f>
        <x:v>HYPERLINK is not implemented. linkLocation=file:///Z:/00. Proiecte 2025/AFIR FotoVoltaic 1/30.1 Cerere Rambursare 1/27. Avizare Notificare Nr.2/Notificare C3.3.8_.pdf, friendlyName=Deschide sursa</x:v>
      </x:c>
    </x:row>
    <x:row r="1049" ht="36" customHeight="1">
      <x:c r="A1049" s="8" t="str">
        <x:v>F1045</x:v>
      </x:c>
      <x:c r="B1049" s="8" t="str">
        <x:v>Opis_Cerere_rambursare_nr1_CESIRO (1).docx</x:v>
      </x:c>
      <x:c r="C1049" s="8" t="str">
        <x:v>30.1 Cerere Rambursare 1</x:v>
      </x:c>
      <x:c r="D1049" s="8" t="str">
        <x:v>Proiect fotovoltaic</x:v>
      </x:c>
      <x:c r="E1049" s="8" t="str">
        <x:v>.docx</x:v>
      </x:c>
      <x:c r="F1049" s="8" t="n">
        <x:v>11808</x:v>
      </x:c>
      <x:c r="G1049" s="8" t="str">
        <x:v>Text extras</x:v>
      </x:c>
      <x:c r="H1049" s="8" t="str">
        <x:v>Document local; transmiterea individuală neconfirmată</x:v>
      </x:c>
      <x:c r="I1049" s="8" t="str"/>
      <x:c r="J1049" s="8" t="e">
        <x:f>HYPERLINK("file:///Z:/00. Proiecte 2025/AFIR FotoVoltaic 1/30.1 Cerere Rambursare 1/27. Avizare Notificare Nr.2/Opis_Cerere_rambursare_nr1_CESIRO (1).docx","Deschide sursa")</x:f>
        <x:v>HYPERLINK is not implemented. linkLocation=file:///Z:/00. Proiecte 2025/AFIR FotoVoltaic 1/30.1 Cerere Rambursare 1/27. Avizare Notificare Nr.2/Opis_Cerere_rambursare_nr1_CESIRO (1).docx, friendlyName=Deschide sursa</x:v>
      </x:c>
    </x:row>
    <x:row r="1050" ht="36" customHeight="1">
      <x:c r="A1050" s="8" t="str">
        <x:v>F1046</x:v>
      </x:c>
      <x:c r="B1050" s="8" t="str">
        <x:v>AP_1.2_SE_declaratie_de_cheltuieli--_v1.pdf</x:v>
      </x:c>
      <x:c r="C1050" s="8" t="str">
        <x:v>30.1 Cerere Rambursare 1</x:v>
      </x:c>
      <x:c r="D1050" s="8" t="str">
        <x:v>Proiect fotovoltaic</x:v>
      </x:c>
      <x:c r="E1050" s="8" t="str">
        <x:v>.pdf</x:v>
      </x:c>
      <x:c r="F1050" s="8" t="n">
        <x:v>725211</x:v>
      </x:c>
      <x:c r="G1050" s="8" t="str">
        <x:v>Text extras</x:v>
      </x:c>
      <x:c r="H1050" s="8" t="str">
        <x:v>Document local; transmiterea individuală neconfirmată</x:v>
      </x:c>
      <x:c r="I1050" s="8" t="str"/>
      <x:c r="J1050" s="8" t="e">
        <x:f>HYPERLINK("file:///Z:/00. Proiecte 2025/AFIR FotoVoltaic 1/30.1 Cerere Rambursare 1/3. Declarația de cheltuieli/AP_1.2_SE_declaratie_de_cheltuieli--_v1.pdf","Deschide sursa")</x:f>
        <x:v>HYPERLINK is not implemented. linkLocation=file:///Z:/00. Proiecte 2025/AFIR FotoVoltaic 1/30.1 Cerere Rambursare 1/3. Declarația de cheltuieli/AP_1.2_SE_declaratie_de_cheltuieli--_v1.pdf, friendlyName=Deschide sursa</x:v>
      </x:c>
    </x:row>
    <x:row r="1051" ht="36" customHeight="1">
      <x:c r="A1051" s="8" t="str">
        <x:v>F1047</x:v>
      </x:c>
      <x:c r="B1051" s="8" t="str">
        <x:v>Acte aditionale 1-2-3_.pdf</x:v>
      </x:c>
      <x:c r="C1051" s="8" t="str">
        <x:v>30.1 Cerere Rambursare 1</x:v>
      </x:c>
      <x:c r="D1051" s="8" t="str">
        <x:v>Proiect fotovoltaic</x:v>
      </x:c>
      <x:c r="E1051" s="8" t="str">
        <x:v>.pdf</x:v>
      </x:c>
      <x:c r="F1051" s="8" t="n">
        <x:v>11505889</x:v>
      </x:c>
      <x:c r="G1051" s="8" t="str">
        <x:v>Text extras</x:v>
      </x:c>
      <x:c r="H1051" s="8" t="str">
        <x:v>Document local; transmiterea individuală neconfirmată</x:v>
      </x:c>
      <x:c r="I1051" s="8" t="str"/>
      <x:c r="J1051" s="8" t="e">
        <x:f>HYPERLINK("file:///Z:/00. Proiecte 2025/AFIR FotoVoltaic 1/30.1 Cerere Rambursare 1/4. Contracte, achiziții și documente suport pentru cheltuieli/Acte aditionale 1-2-3_.pdf","Deschide sursa")</x:f>
        <x:v>HYPERLINK is not implemented. linkLocation=file:///Z:/00. Proiecte 2025/AFIR FotoVoltaic 1/30.1 Cerere Rambursare 1/4. Contracte, achiziții și documente suport pentru cheltuieli/Acte aditionale 1-2-3_.pdf, friendlyName=Deschide sursa</x:v>
      </x:c>
    </x:row>
    <x:row r="1052" ht="36" customHeight="1">
      <x:c r="A1052" s="8" t="str">
        <x:v>F1048</x:v>
      </x:c>
      <x:c r="B1052" s="8" t="str">
        <x:v>Contract de achizitie Cesiro Production-Suntree.pdf</x:v>
      </x:c>
      <x:c r="C1052" s="8" t="str">
        <x:v>30.1 Cerere Rambursare 1</x:v>
      </x:c>
      <x:c r="D1052" s="8" t="str">
        <x:v>Proiect fotovoltaic</x:v>
      </x:c>
      <x:c r="E1052" s="8" t="str">
        <x:v>.pdf</x:v>
      </x:c>
      <x:c r="F1052" s="8" t="n">
        <x:v>4840623</x:v>
      </x:c>
      <x:c r="G1052" s="8" t="str">
        <x:v>Text extras</x:v>
      </x:c>
      <x:c r="H1052" s="8" t="str">
        <x:v>Document local; transmiterea individuală neconfirmată</x:v>
      </x:c>
      <x:c r="I1052" s="8" t="str">
        <x:v>F0098</x:v>
      </x:c>
      <x:c r="J1052" s="8" t="e">
        <x:f>HYPERLINK("file:///Z:/00. Proiecte 2025/AFIR FotoVoltaic 1/30.1 Cerere Rambursare 1/4. Contracte, achiziții și documente suport pentru cheltuieli/Contract de achizitie Cesiro Production-Suntree.pdf","Deschide sursa")</x:f>
        <x:v>HYPERLINK is not implemented. linkLocation=file:///Z:/00. Proiecte 2025/AFIR FotoVoltaic 1/30.1 Cerere Rambursare 1/4. Contracte, achiziții și documente suport pentru cheltuieli/Contract de achizitie Cesiro Production-Suntree.pdf, friendlyName=Deschide sursa</x:v>
      </x:c>
    </x:row>
    <x:row r="1053" ht="36" customHeight="1">
      <x:c r="A1053" s="8" t="str">
        <x:v>F1049</x:v>
      </x:c>
      <x:c r="B1053" s="8" t="str">
        <x:v>Contract de achizitie Cesiro Production-Suntree_.pdf</x:v>
      </x:c>
      <x:c r="C1053" s="8" t="str">
        <x:v>30.1 Cerere Rambursare 1</x:v>
      </x:c>
      <x:c r="D1053" s="8" t="str">
        <x:v>Proiect fotovoltaic</x:v>
      </x:c>
      <x:c r="E1053" s="8" t="str">
        <x:v>.pdf</x:v>
      </x:c>
      <x:c r="F1053" s="8" t="n">
        <x:v>5023039</x:v>
      </x:c>
      <x:c r="G1053" s="8" t="str">
        <x:v>Text extras</x:v>
      </x:c>
      <x:c r="H1053" s="8" t="str">
        <x:v>Document local; transmiterea individuală neconfirmată</x:v>
      </x:c>
      <x:c r="I1053" s="8" t="str"/>
      <x:c r="J1053" s="8" t="e">
        <x:f>HYPERLINK("file:///Z:/00. Proiecte 2025/AFIR FotoVoltaic 1/30.1 Cerere Rambursare 1/4. Contracte, achiziții și documente suport pentru cheltuieli/Contract de achizitie Cesiro Production-Suntree_.pdf","Deschide sursa")</x:f>
        <x:v>HYPERLINK is not implemented. linkLocation=file:///Z:/00. Proiecte 2025/AFIR FotoVoltaic 1/30.1 Cerere Rambursare 1/4. Contracte, achiziții și documente suport pentru cheltuieli/Contract de achizitie Cesiro Production-Suntree_.pdf, friendlyName=Deschide sursa</x:v>
      </x:c>
    </x:row>
    <x:row r="1054" ht="36" customHeight="1">
      <x:c r="A1054" s="8" t="str">
        <x:v>F1050</x:v>
      </x:c>
      <x:c r="B1054" s="8" t="str">
        <x:v>AP_1_3_SE_Raport_executie_Transa1_v2.docx</x:v>
      </x:c>
      <x:c r="C1054" s="8" t="str">
        <x:v>30.1 Cerere Rambursare 1</x:v>
      </x:c>
      <x:c r="D1054" s="8" t="str">
        <x:v>Proiect fotovoltaic</x:v>
      </x:c>
      <x:c r="E1054" s="8" t="str">
        <x:v>.docx</x:v>
      </x:c>
      <x:c r="F1054" s="8" t="n">
        <x:v>23771</x:v>
      </x:c>
      <x:c r="G1054" s="8" t="str">
        <x:v>Text extras</x:v>
      </x:c>
      <x:c r="H1054" s="8" t="str">
        <x:v>Document local; transmiterea individuală neconfirmată</x:v>
      </x:c>
      <x:c r="I1054" s="8" t="str"/>
      <x:c r="J1054" s="8" t="e">
        <x:f>HYPERLINK("file:///Z:/00. Proiecte 2025/AFIR FotoVoltaic 1/30.1 Cerere Rambursare 1/5. Raportul de execuție si procese verbale si centralizator panouri si invertore/AP_1_3_SE_Raport_executie_Transa1_v2.docx","Deschide sursa")</x:f>
        <x:v>HYPERLINK is not implemented. linkLocation=file:///Z:/00. Proiecte 2025/AFIR FotoVoltaic 1/30.1 Cerere Rambursare 1/5. Raportul de execuție si procese verbale si centralizator panouri si invertore/AP_1_3_SE_Raport_executie_Transa1_v2.docx, friendlyName=Deschide sursa</x:v>
      </x:c>
    </x:row>
    <x:row r="1055" ht="36" customHeight="1">
      <x:c r="A1055" s="8" t="str">
        <x:v>F1051</x:v>
      </x:c>
      <x:c r="B1055" s="8" t="str">
        <x:v>AP_1_3_SE_Raport_executie_Transa1_v4.pdf</x:v>
      </x:c>
      <x:c r="C1055" s="8" t="str">
        <x:v>30.1 Cerere Rambursare 1</x:v>
      </x:c>
      <x:c r="D1055" s="8" t="str">
        <x:v>Proiect fotovoltaic</x:v>
      </x:c>
      <x:c r="E1055" s="8" t="str">
        <x:v>.pdf</x:v>
      </x:c>
      <x:c r="F1055" s="8" t="n">
        <x:v>2829552</x:v>
      </x:c>
      <x:c r="G1055" s="8" t="str">
        <x:v>Text extras</x:v>
      </x:c>
      <x:c r="H1055" s="8" t="str">
        <x:v>Document local; transmiterea individuală neconfirmată</x:v>
      </x:c>
      <x:c r="I1055" s="8" t="str"/>
      <x:c r="J1055" s="8" t="e">
        <x:f>HYPERLINK("file:///Z:/00. Proiecte 2025/AFIR FotoVoltaic 1/30.1 Cerere Rambursare 1/5. Raportul de execuție si procese verbale si centralizator panouri si invertore/AP_1_3_SE_Raport_executie_Transa1_v4.pdf","Deschide sursa")</x:f>
        <x:v>HYPERLINK is not implemented. linkLocation=file:///Z:/00. Proiecte 2025/AFIR FotoVoltaic 1/30.1 Cerere Rambursare 1/5. Raportul de execuție si procese verbale si centralizator panouri si invertore/AP_1_3_SE_Raport_executie_Transa1_v4.pdf, friendlyName=Deschide sursa</x:v>
      </x:c>
    </x:row>
    <x:row r="1056" ht="36" customHeight="1">
      <x:c r="A1056" s="8" t="str">
        <x:v>F1052</x:v>
      </x:c>
      <x:c r="B1056" s="8" t="str">
        <x:v>Anexa_1_Centralizator_procese_verbale_Transa1 (1).docx</x:v>
      </x:c>
      <x:c r="C1056" s="8" t="str">
        <x:v>30.1 Cerere Rambursare 1</x:v>
      </x:c>
      <x:c r="D1056" s="8" t="str">
        <x:v>Proiect fotovoltaic</x:v>
      </x:c>
      <x:c r="E1056" s="8" t="str">
        <x:v>.docx</x:v>
      </x:c>
      <x:c r="F1056" s="8" t="n">
        <x:v>20737</x:v>
      </x:c>
      <x:c r="G1056" s="8" t="str">
        <x:v>Text extras</x:v>
      </x:c>
      <x:c r="H1056" s="8" t="str">
        <x:v>Document local; transmiterea individuală neconfirmată</x:v>
      </x:c>
      <x:c r="I1056" s="8" t="str"/>
      <x:c r="J1056" s="8" t="e">
        <x:f>HYPERLINK("file:///Z:/00. Proiecte 2025/AFIR FotoVoltaic 1/30.1 Cerere Rambursare 1/6. Anexa 1 cu centralizatorul proceselor verbale/Anexa_1_Centralizator_procese_verbale_Transa1 (1).docx","Deschide sursa")</x:f>
        <x:v>HYPERLINK is not implemented. linkLocation=file:///Z:/00. Proiecte 2025/AFIR FotoVoltaic 1/30.1 Cerere Rambursare 1/6. Anexa 1 cu centralizatorul proceselor verbale/Anexa_1_Centralizator_procese_verbale_Transa1 (1).docx, friendlyName=Deschide sursa</x:v>
      </x:c>
    </x:row>
    <x:row r="1057" ht="36" customHeight="1">
      <x:c r="A1057" s="8" t="str">
        <x:v>F1053</x:v>
      </x:c>
      <x:c r="B1057" s="8" t="str">
        <x:v>Anexa_1_Centralizator_procese_verbale_Transa1v1.pdf</x:v>
      </x:c>
      <x:c r="C1057" s="8" t="str">
        <x:v>30.1 Cerere Rambursare 1</x:v>
      </x:c>
      <x:c r="D1057" s="8" t="str">
        <x:v>Proiect fotovoltaic</x:v>
      </x:c>
      <x:c r="E1057" s="8" t="str">
        <x:v>.pdf</x:v>
      </x:c>
      <x:c r="F1057" s="8" t="n">
        <x:v>322547</x:v>
      </x:c>
      <x:c r="G1057" s="8" t="str">
        <x:v>Text extras</x:v>
      </x:c>
      <x:c r="H1057" s="8" t="str">
        <x:v>Document local; transmiterea individuală neconfirmată</x:v>
      </x:c>
      <x:c r="I1057" s="8" t="str"/>
      <x:c r="J1057" s="8" t="e">
        <x:f>HYPERLINK("file:///Z:/00. Proiecte 2025/AFIR FotoVoltaic 1/30.1 Cerere Rambursare 1/6. Anexa 1 cu centralizatorul proceselor verbale/Anexa_1_Centralizator_procese_verbale_Transa1v1.pdf","Deschide sursa")</x:f>
        <x:v>HYPERLINK is not implemented. linkLocation=file:///Z:/00. Proiecte 2025/AFIR FotoVoltaic 1/30.1 Cerere Rambursare 1/6. Anexa 1 cu centralizatorul proceselor verbale/Anexa_1_Centralizator_procese_verbale_Transa1v1.pdf, friendlyName=Deschide sursa</x:v>
      </x:c>
    </x:row>
    <x:row r="1058" ht="36" customHeight="1">
      <x:c r="A1058" s="8" t="str">
        <x:v>F1054</x:v>
      </x:c>
      <x:c r="B1058" s="8" t="str">
        <x:v>Situatie_de_plata_transa_V2_v3.pdf</x:v>
      </x:c>
      <x:c r="C1058" s="8" t="str">
        <x:v>30.1 Cerere Rambursare 1</x:v>
      </x:c>
      <x:c r="D1058" s="8" t="str">
        <x:v>Proiect fotovoltaic</x:v>
      </x:c>
      <x:c r="E1058" s="8" t="str">
        <x:v>.pdf</x:v>
      </x:c>
      <x:c r="F1058" s="8" t="n">
        <x:v>778954</x:v>
      </x:c>
      <x:c r="G1058" s="8" t="str">
        <x:v>Text extras</x:v>
      </x:c>
      <x:c r="H1058" s="8" t="str">
        <x:v>Document local; transmiterea individuală neconfirmată</x:v>
      </x:c>
      <x:c r="I1058" s="8" t="str"/>
      <x:c r="J1058" s="8" t="e">
        <x:f>HYPERLINK("file:///Z:/00. Proiecte 2025/AFIR FotoVoltaic 1/30.1 Cerere Rambursare 1/7. Situații de plată pentru lucrări_Situatie de lucrari/Situatie_de_plata_transa_V2_v3.pdf","Deschide sursa")</x:f>
        <x:v>HYPERLINK is not implemented. linkLocation=file:///Z:/00. Proiecte 2025/AFIR FotoVoltaic 1/30.1 Cerere Rambursare 1/7. Situații de plată pentru lucrări_Situatie de lucrari/Situatie_de_plata_transa_V2_v3.pdf, friendlyName=Deschide sursa</x:v>
      </x:c>
    </x:row>
    <x:row r="1059" ht="36" customHeight="1">
      <x:c r="A1059" s="8" t="str">
        <x:v>F1055</x:v>
      </x:c>
      <x:c r="B1059" s="8" t="str">
        <x:v>Fise Tehnice Huawei.pdf</x:v>
      </x:c>
      <x:c r="C1059" s="8" t="str">
        <x:v>30.1 Cerere Rambursare 1</x:v>
      </x:c>
      <x:c r="D1059" s="8" t="str">
        <x:v>Proiect fotovoltaic</x:v>
      </x:c>
      <x:c r="E1059" s="8" t="str">
        <x:v>.pdf</x:v>
      </x:c>
      <x:c r="F1059" s="8" t="n">
        <x:v>2563426</x:v>
      </x:c>
      <x:c r="G1059" s="8" t="str">
        <x:v>Text extras</x:v>
      </x:c>
      <x:c r="H1059" s="8" t="str">
        <x:v>Document local; transmiterea individuală neconfirmată</x:v>
      </x:c>
      <x:c r="I1059" s="8" t="str"/>
      <x:c r="J1059" s="8" t="e">
        <x:f>HYPERLINK("file:///Z:/00. Proiecte 2025/AFIR FotoVoltaic 1/30.1 Cerere Rambursare 1/8. Certificate, conformitate, calitate, garanții- DE FACUT/Fise Tehnice Huawei.pdf","Deschide sursa")</x:f>
        <x:v>HYPERLINK is not implemented. linkLocation=file:///Z:/00. Proiecte 2025/AFIR FotoVoltaic 1/30.1 Cerere Rambursare 1/8. Certificate, conformitate, calitate, garanții- DE FACUT/Fise Tehnice Huawei.pdf, friendlyName=Deschide sursa</x:v>
      </x:c>
    </x:row>
    <x:row r="1060" ht="36" customHeight="1">
      <x:c r="A1060" s="8" t="str">
        <x:v>F1056</x:v>
      </x:c>
      <x:c r="B1060" s="8" t="str">
        <x:v>Fise Tehnice Panouri.pdf</x:v>
      </x:c>
      <x:c r="C1060" s="8" t="str">
        <x:v>30.1 Cerere Rambursare 1</x:v>
      </x:c>
      <x:c r="D1060" s="8" t="str">
        <x:v>Proiect fotovoltaic</x:v>
      </x:c>
      <x:c r="E1060" s="8" t="str">
        <x:v>.pdf</x:v>
      </x:c>
      <x:c r="F1060" s="8" t="n">
        <x:v>2309403</x:v>
      </x:c>
      <x:c r="G1060" s="8" t="str">
        <x:v>Text extras</x:v>
      </x:c>
      <x:c r="H1060" s="8" t="str">
        <x:v>Document local; transmiterea individuală neconfirmată</x:v>
      </x:c>
      <x:c r="I1060" s="8" t="str"/>
      <x:c r="J1060" s="8" t="e">
        <x:f>HYPERLINK("file:///Z:/00. Proiecte 2025/AFIR FotoVoltaic 1/30.1 Cerere Rambursare 1/8. Certificate, conformitate, calitate, garanții- DE FACUT/Fise Tehnice Panouri.pdf","Deschide sursa")</x:f>
        <x:v>HYPERLINK is not implemented. linkLocation=file:///Z:/00. Proiecte 2025/AFIR FotoVoltaic 1/30.1 Cerere Rambursare 1/8. Certificate, conformitate, calitate, garanții- DE FACUT/Fise Tehnice Panouri.pdf, friendlyName=Deschide sursa</x:v>
      </x:c>
    </x:row>
    <x:row r="1061" ht="36" customHeight="1">
      <x:c r="A1061" s="8" t="str">
        <x:v>F1057</x:v>
      </x:c>
      <x:c r="B1061" s="8" t="str">
        <x:v>Fise tehnice Producatori Huawei_Panouri_Avasco_s.pdf</x:v>
      </x:c>
      <x:c r="C1061" s="8" t="str">
        <x:v>30.1 Cerere Rambursare 1</x:v>
      </x:c>
      <x:c r="D1061" s="8" t="str">
        <x:v>Proiect fotovoltaic</x:v>
      </x:c>
      <x:c r="E1061" s="8" t="str">
        <x:v>.pdf</x:v>
      </x:c>
      <x:c r="F1061" s="8" t="n">
        <x:v>11302367</x:v>
      </x:c>
      <x:c r="G1061" s="8" t="str">
        <x:v>Text extras</x:v>
      </x:c>
      <x:c r="H1061" s="8" t="str">
        <x:v>Document local; transmiterea individuală neconfirmată</x:v>
      </x:c>
      <x:c r="I1061" s="8" t="str"/>
      <x:c r="J1061" s="8" t="e">
        <x:f>HYPERLINK("file:///Z:/00. Proiecte 2025/AFIR FotoVoltaic 1/30.1 Cerere Rambursare 1/8. Certificate, conformitate, calitate, garanții- DE FACUT/Fise tehnice Producatori Huawei_Panouri_Avasco_s.pdf","Deschide sursa")</x:f>
        <x:v>HYPERLINK is not implemented. linkLocation=file:///Z:/00. Proiecte 2025/AFIR FotoVoltaic 1/30.1 Cerere Rambursare 1/8. Certificate, conformitate, calitate, garanții- DE FACUT/Fise tehnice Producatori Huawei_Panouri_Avasco_s.pdf, friendlyName=Deschide sursa</x:v>
      </x:c>
    </x:row>
    <x:row r="1062" ht="36" customHeight="1">
      <x:c r="A1062" s="8" t="str">
        <x:v>F1058</x:v>
      </x:c>
      <x:c r="B1062" s="8" t="str">
        <x:v>Fise tehnice si garantie Avasco.pdf</x:v>
      </x:c>
      <x:c r="C1062" s="8" t="str">
        <x:v>30.1 Cerere Rambursare 1</x:v>
      </x:c>
      <x:c r="D1062" s="8" t="str">
        <x:v>Proiect fotovoltaic</x:v>
      </x:c>
      <x:c r="E1062" s="8" t="str">
        <x:v>.pdf</x:v>
      </x:c>
      <x:c r="F1062" s="8" t="n">
        <x:v>6894892</x:v>
      </x:c>
      <x:c r="G1062" s="8" t="str">
        <x:v>Text extras</x:v>
      </x:c>
      <x:c r="H1062" s="8" t="str">
        <x:v>Document local; transmiterea individuală neconfirmată</x:v>
      </x:c>
      <x:c r="I1062" s="8" t="str"/>
      <x:c r="J1062" s="8" t="e">
        <x:f>HYPERLINK("file:///Z:/00. Proiecte 2025/AFIR FotoVoltaic 1/30.1 Cerere Rambursare 1/8. Certificate, conformitate, calitate, garanții- DE FACUT/Fise tehnice si garantie Avasco.pdf","Deschide sursa")</x:f>
        <x:v>HYPERLINK is not implemented. linkLocation=file:///Z:/00. Proiecte 2025/AFIR FotoVoltaic 1/30.1 Cerere Rambursare 1/8. Certificate, conformitate, calitate, garanții- DE FACUT/Fise tehnice si garantie Avasco.pdf, friendlyName=Deschide sursa</x:v>
      </x:c>
    </x:row>
    <x:row r="1063" ht="36" customHeight="1">
      <x:c r="A1063" s="8" t="str">
        <x:v>F1059</x:v>
      </x:c>
      <x:c r="B1063" s="8" t="str">
        <x:v>Documentar_fotografic_CESIRO_Transa1_REVIZUITv1.pdf</x:v>
      </x:c>
      <x:c r="C1063" s="8" t="str">
        <x:v>30.1 Cerere Rambursare 1</x:v>
      </x:c>
      <x:c r="D1063" s="8" t="str">
        <x:v>Proiect fotovoltaic</x:v>
      </x:c>
      <x:c r="E1063" s="8" t="str">
        <x:v>.pdf</x:v>
      </x:c>
      <x:c r="F1063" s="8" t="n">
        <x:v>4997337</x:v>
      </x:c>
      <x:c r="G1063" s="8" t="str">
        <x:v>Text extras</x:v>
      </x:c>
      <x:c r="H1063" s="8" t="str">
        <x:v>Document local; transmiterea individuală neconfirmată</x:v>
      </x:c>
      <x:c r="I1063" s="8" t="str"/>
      <x:c r="J1063" s="8" t="e">
        <x:f>HYPERLINK("file:///Z:/00. Proiecte 2025/AFIR FotoVoltaic 1/30.1 Cerere Rambursare 1/9-10. Fotografii relevante ale investiției/Documentar_fotografic_CESIRO_Transa1_REVIZUITv1.pdf","Deschide sursa")</x:f>
        <x:v>HYPERLINK is not implemented. linkLocation=file:///Z:/00. Proiecte 2025/AFIR FotoVoltaic 1/30.1 Cerere Rambursare 1/9-10. Fotografii relevante ale investiției/Documentar_fotografic_CESIRO_Transa1_REVIZUITv1.pdf, friendlyName=Deschide sursa</x:v>
      </x:c>
    </x:row>
    <x:row r="1064" ht="36" customHeight="1">
      <x:c r="A1064" s="8" t="str">
        <x:v>F1060</x:v>
      </x:c>
      <x:c r="B1064" s="8" t="str">
        <x:v>1. Documentar_fotografic_CESIRO_Transa1_REVIZUITv1__.pdf</x:v>
      </x:c>
      <x:c r="C1064" s="8" t="str">
        <x:v>30.1 Cerere Rambursare 1</x:v>
      </x:c>
      <x:c r="D1064" s="8" t="str">
        <x:v>Proiect fotovoltaic</x:v>
      </x:c>
      <x:c r="E1064" s="8" t="str">
        <x:v>.pdf</x:v>
      </x:c>
      <x:c r="F1064" s="8" t="n">
        <x:v>5190811</x:v>
      </x:c>
      <x:c r="G1064" s="8" t="str">
        <x:v>Text extras</x:v>
      </x:c>
      <x:c r="H1064" s="8" t="str">
        <x:v>Document local; transmiterea individuală neconfirmată</x:v>
      </x:c>
      <x:c r="I1064" s="8" t="str"/>
      <x:c r="J1064" s="8" t="e">
        <x:f>HYPERLINK("file:///Z:/00. Proiecte 2025/AFIR FotoVoltaic 1/30.1 Cerere Rambursare 1/Clarificare nr.1/1. Documentar_fotografic_CESIRO_Transa1_REVIZUITv1__.pdf","Deschide sursa")</x:f>
        <x:v>HYPERLINK is not implemented. linkLocation=file:///Z:/00. Proiecte 2025/AFIR FotoVoltaic 1/30.1 Cerere Rambursare 1/Clarificare nr.1/1. Documentar_fotografic_CESIRO_Transa1_REVIZUITv1__.pdf, friendlyName=Deschide sursa</x:v>
      </x:c>
    </x:row>
    <x:row r="1065" ht="36" customHeight="1">
      <x:c r="A1065" s="8" t="str">
        <x:v>F1061</x:v>
      </x:c>
      <x:c r="B1065" s="8" t="str">
        <x:v>2.1 Traducere_Certificat_TUV_PV50721072 (2).pdf</x:v>
      </x:c>
      <x:c r="C1065" s="8" t="str">
        <x:v>30.1 Cerere Rambursare 1</x:v>
      </x:c>
      <x:c r="D1065" s="8" t="str">
        <x:v>Proiect fotovoltaic</x:v>
      </x:c>
      <x:c r="E1065" s="8" t="str">
        <x:v>.pdf</x:v>
      </x:c>
      <x:c r="F1065" s="8" t="n">
        <x:v>363681</x:v>
      </x:c>
      <x:c r="G1065" s="8" t="str">
        <x:v>Text extras</x:v>
      </x:c>
      <x:c r="H1065" s="8" t="str">
        <x:v>Document local; transmiterea individuală neconfirmată</x:v>
      </x:c>
      <x:c r="I1065" s="8" t="str"/>
      <x:c r="J1065" s="8" t="e">
        <x:f>HYPERLINK("file:///Z:/00. Proiecte 2025/AFIR FotoVoltaic 1/30.1 Cerere Rambursare 1/Clarificare nr.1/2.1 Traducere_Certificat_TUV_PV50721072 (2).pdf","Deschide sursa")</x:f>
        <x:v>HYPERLINK is not implemented. linkLocation=file:///Z:/00. Proiecte 2025/AFIR FotoVoltaic 1/30.1 Cerere Rambursare 1/Clarificare nr.1/2.1 Traducere_Certificat_TUV_PV50721072 (2).pdf, friendlyName=Deschide sursa</x:v>
      </x:c>
    </x:row>
    <x:row r="1066" ht="36" customHeight="1">
      <x:c r="A1066" s="8" t="str">
        <x:v>F1062</x:v>
      </x:c>
      <x:c r="B1066" s="8" t="str">
        <x:v>2.2 Certificate de calitate engelza.pdf</x:v>
      </x:c>
      <x:c r="C1066" s="8" t="str">
        <x:v>30.1 Cerere Rambursare 1</x:v>
      </x:c>
      <x:c r="D1066" s="8" t="str">
        <x:v>Proiect fotovoltaic</x:v>
      </x:c>
      <x:c r="E1066" s="8" t="str">
        <x:v>.pdf</x:v>
      </x:c>
      <x:c r="F1066" s="8" t="n">
        <x:v>526991</x:v>
      </x:c>
      <x:c r="G1066" s="8" t="str">
        <x:v>Text extras</x:v>
      </x:c>
      <x:c r="H1066" s="8" t="str">
        <x:v>Document local; transmiterea individuală neconfirmată</x:v>
      </x:c>
      <x:c r="I1066" s="8" t="str"/>
      <x:c r="J1066" s="8" t="e">
        <x:f>HYPERLINK("file:///Z:/00. Proiecte 2025/AFIR FotoVoltaic 1/30.1 Cerere Rambursare 1/Clarificare nr.1/2.2 Certificate de calitate engelza.pdf","Deschide sursa")</x:f>
        <x:v>HYPERLINK is not implemented. linkLocation=file:///Z:/00. Proiecte 2025/AFIR FotoVoltaic 1/30.1 Cerere Rambursare 1/Clarificare nr.1/2.2 Certificate de calitate engelza.pdf, friendlyName=Deschide sursa</x:v>
      </x:c>
    </x:row>
    <x:row r="1067" ht="36" customHeight="1">
      <x:c r="A1067" s="8" t="str">
        <x:v>F1063</x:v>
      </x:c>
      <x:c r="B1067" s="8" t="str">
        <x:v>3.1 Certificat de Calitate si Conformitate-traduse__.pdf</x:v>
      </x:c>
      <x:c r="C1067" s="8" t="str">
        <x:v>30.1 Cerere Rambursare 1</x:v>
      </x:c>
      <x:c r="D1067" s="8" t="str">
        <x:v>Proiect fotovoltaic</x:v>
      </x:c>
      <x:c r="E1067" s="8" t="str">
        <x:v>.pdf</x:v>
      </x:c>
      <x:c r="F1067" s="8" t="n">
        <x:v>8972629</x:v>
      </x:c>
      <x:c r="G1067" s="8" t="str">
        <x:v>Text extras</x:v>
      </x:c>
      <x:c r="H1067" s="8" t="str">
        <x:v>Document local; transmiterea individuală neconfirmată</x:v>
      </x:c>
      <x:c r="I1067" s="8" t="str"/>
      <x:c r="J1067" s="8" t="e">
        <x:f>HYPERLINK("file:///Z:/00. Proiecte 2025/AFIR FotoVoltaic 1/30.1 Cerere Rambursare 1/Clarificare nr.1/3.1 Certificat de Calitate si Conformitate-traduse__.pdf","Deschide sursa")</x:f>
        <x:v>HYPERLINK is not implemented. linkLocation=file:///Z:/00. Proiecte 2025/AFIR FotoVoltaic 1/30.1 Cerere Rambursare 1/Clarificare nr.1/3.1 Certificat de Calitate si Conformitate-traduse__.pdf, friendlyName=Deschide sursa</x:v>
      </x:c>
    </x:row>
    <x:row r="1068" ht="36" customHeight="1">
      <x:c r="A1068" s="8" t="str">
        <x:v>F1064</x:v>
      </x:c>
      <x:c r="B1068" s="8" t="str">
        <x:v>3.2 Decizie_121_08092026_rev3_.pdf</x:v>
      </x:c>
      <x:c r="C1068" s="8" t="str">
        <x:v>30.1 Cerere Rambursare 1</x:v>
      </x:c>
      <x:c r="D1068" s="8" t="str">
        <x:v>Proiect fotovoltaic</x:v>
      </x:c>
      <x:c r="E1068" s="8" t="str">
        <x:v>.pdf</x:v>
      </x:c>
      <x:c r="F1068" s="8" t="n">
        <x:v>252012</x:v>
      </x:c>
      <x:c r="G1068" s="8" t="str">
        <x:v>Text extras</x:v>
      </x:c>
      <x:c r="H1068" s="8" t="str">
        <x:v>Document local; transmiterea individuală neconfirmată</x:v>
      </x:c>
      <x:c r="I1068" s="8" t="str"/>
      <x:c r="J1068" s="8" t="e">
        <x:f>HYPERLINK("file:///Z:/00. Proiecte 2025/AFIR FotoVoltaic 1/30.1 Cerere Rambursare 1/Clarificare nr.1/3.2 Decizie_121_08092026_rev3_.pdf","Deschide sursa")</x:f>
        <x:v>HYPERLINK is not implemented. linkLocation=file:///Z:/00. Proiecte 2025/AFIR FotoVoltaic 1/30.1 Cerere Rambursare 1/Clarificare nr.1/3.2 Decizie_121_08092026_rev3_.pdf, friendlyName=Deschide sursa</x:v>
      </x:c>
    </x:row>
    <x:row r="1069" ht="36" customHeight="1">
      <x:c r="A1069" s="8" t="str">
        <x:v>F1065</x:v>
      </x:c>
      <x:c r="B1069" s="8" t="str">
        <x:v>4, Nota_eroare_materiala_pct4_Skybase.pdf</x:v>
      </x:c>
      <x:c r="C1069" s="8" t="str">
        <x:v>30.1 Cerere Rambursare 1</x:v>
      </x:c>
      <x:c r="D1069" s="8" t="str">
        <x:v>Proiect fotovoltaic</x:v>
      </x:c>
      <x:c r="E1069" s="8" t="str">
        <x:v>.pdf</x:v>
      </x:c>
      <x:c r="F1069" s="8" t="n">
        <x:v>308703</x:v>
      </x:c>
      <x:c r="G1069" s="8" t="str">
        <x:v>Text extras</x:v>
      </x:c>
      <x:c r="H1069" s="8" t="str">
        <x:v>Document local; transmiterea individuală neconfirmată</x:v>
      </x:c>
      <x:c r="I1069" s="8" t="str"/>
      <x:c r="J1069" s="8" t="e">
        <x:f>HYPERLINK("file:///Z:/00. Proiecte 2025/AFIR FotoVoltaic 1/30.1 Cerere Rambursare 1/Clarificare nr.1/4, Nota_eroare_materiala_pct4_Skybase.pdf","Deschide sursa")</x:f>
        <x:v>HYPERLINK is not implemented. linkLocation=file:///Z:/00. Proiecte 2025/AFIR FotoVoltaic 1/30.1 Cerere Rambursare 1/Clarificare nr.1/4, Nota_eroare_materiala_pct4_Skybase.pdf, friendlyName=Deschide sursa</x:v>
      </x:c>
    </x:row>
    <x:row r="1070" ht="36" customHeight="1">
      <x:c r="A1070" s="8" t="str">
        <x:v>F1066</x:v>
      </x:c>
      <x:c r="B1070" s="8" t="str">
        <x:v>5. Documente financiar-contabile.pdf</x:v>
      </x:c>
      <x:c r="C1070" s="8" t="str">
        <x:v>30.1 Cerere Rambursare 1</x:v>
      </x:c>
      <x:c r="D1070" s="8" t="str">
        <x:v>Proiect fotovoltaic</x:v>
      </x:c>
      <x:c r="E1070" s="8" t="str">
        <x:v>.pdf</x:v>
      </x:c>
      <x:c r="F1070" s="8" t="n">
        <x:v>32091094</x:v>
      </x:c>
      <x:c r="G1070" s="8" t="str">
        <x:v>Text extras</x:v>
      </x:c>
      <x:c r="H1070" s="8" t="str">
        <x:v>Document local; transmiterea individuală neconfirmată</x:v>
      </x:c>
      <x:c r="I1070" s="8" t="str"/>
      <x:c r="J1070" s="8" t="e">
        <x:f>HYPERLINK("file:///Z:/00. Proiecte 2025/AFIR FotoVoltaic 1/30.1 Cerere Rambursare 1/Clarificare nr.1/5. Documente financiar-contabile.pdf","Deschide sursa")</x:f>
        <x:v>HYPERLINK is not implemented. linkLocation=file:///Z:/00. Proiecte 2025/AFIR FotoVoltaic 1/30.1 Cerere Rambursare 1/Clarificare nr.1/5. Documente financiar-contabile.pdf, friendlyName=Deschide sursa</x:v>
      </x:c>
    </x:row>
    <x:row r="1071" ht="36" customHeight="1">
      <x:c r="A1071" s="8" t="str">
        <x:v>F1067</x:v>
      </x:c>
      <x:c r="B1071" s="8" t="str">
        <x:v>6, Facturi proforme SST_ nr_1_8.pdf</x:v>
      </x:c>
      <x:c r="C1071" s="8" t="str">
        <x:v>30.1 Cerere Rambursare 1</x:v>
      </x:c>
      <x:c r="D1071" s="8" t="str">
        <x:v>Proiect fotovoltaic</x:v>
      </x:c>
      <x:c r="E1071" s="8" t="str">
        <x:v>.pdf</x:v>
      </x:c>
      <x:c r="F1071" s="8" t="n">
        <x:v>10262232</x:v>
      </x:c>
      <x:c r="G1071" s="8" t="str">
        <x:v>Text extras</x:v>
      </x:c>
      <x:c r="H1071" s="8" t="str">
        <x:v>Document local; transmiterea individuală neconfirmată</x:v>
      </x:c>
      <x:c r="I1071" s="8" t="str"/>
      <x:c r="J1071" s="8" t="e">
        <x:f>HYPERLINK("file:///Z:/00. Proiecte 2025/AFIR FotoVoltaic 1/30.1 Cerere Rambursare 1/Clarificare nr.1/6, Facturi proforme SST_ nr_1_8.pdf","Deschide sursa")</x:f>
        <x:v>HYPERLINK is not implemented. linkLocation=file:///Z:/00. Proiecte 2025/AFIR FotoVoltaic 1/30.1 Cerere Rambursare 1/Clarificare nr.1/6, Facturi proforme SST_ nr_1_8.pdf, friendlyName=Deschide sursa</x:v>
      </x:c>
    </x:row>
    <x:row r="1072" ht="36" customHeight="1">
      <x:c r="A1072" s="8" t="str">
        <x:v>F1068</x:v>
      </x:c>
      <x:c r="B1072" s="8" t="str">
        <x:v>AP_1.2_SE_declaratie_de_cheltuieli--_.pdf</x:v>
      </x:c>
      <x:c r="C1072" s="8" t="str">
        <x:v>30.1 Cerere Rambursare 1</x:v>
      </x:c>
      <x:c r="D1072" s="8" t="str">
        <x:v>Proiect fotovoltaic</x:v>
      </x:c>
      <x:c r="E1072" s="8" t="str">
        <x:v>.pdf</x:v>
      </x:c>
      <x:c r="F1072" s="8" t="n">
        <x:v>765387</x:v>
      </x:c>
      <x:c r="G1072" s="8" t="str">
        <x:v>Text extras</x:v>
      </x:c>
      <x:c r="H1072" s="8" t="str">
        <x:v>Document local; transmiterea individuală neconfirmată</x:v>
      </x:c>
      <x:c r="I1072" s="8" t="str"/>
      <x:c r="J1072" s="8" t="e">
        <x:f>HYPERLINK("file:///Z:/00. Proiecte 2025/AFIR FotoVoltaic 1/30.1 Cerere Rambursare 1/Clarificare nr.1/AP_1.2_SE_declaratie_de_cheltuieli--_.pdf","Deschide sursa")</x:f>
        <x:v>HYPERLINK is not implemented. linkLocation=file:///Z:/00. Proiecte 2025/AFIR FotoVoltaic 1/30.1 Cerere Rambursare 1/Clarificare nr.1/AP_1.2_SE_declaratie_de_cheltuieli--_.pdf, friendlyName=Deschide sursa</x:v>
      </x:c>
    </x:row>
    <x:row r="1073" ht="36" customHeight="1">
      <x:c r="A1073" s="8" t="str">
        <x:v>F1069</x:v>
      </x:c>
      <x:c r="B1073" s="8" t="str">
        <x:v>AP_raspuns_informatii_suplimentare_-.pdf</x:v>
      </x:c>
      <x:c r="C1073" s="8" t="str">
        <x:v>30.1 Cerere Rambursare 1</x:v>
      </x:c>
      <x:c r="D1073" s="8" t="str">
        <x:v>Proiect fotovoltaic</x:v>
      </x:c>
      <x:c r="E1073" s="8" t="str">
        <x:v>.pdf</x:v>
      </x:c>
      <x:c r="F1073" s="8" t="n">
        <x:v>341143</x:v>
      </x:c>
      <x:c r="G1073" s="8" t="str">
        <x:v>Text extras</x:v>
      </x:c>
      <x:c r="H1073" s="8" t="str">
        <x:v>Document local; transmiterea individuală neconfirmată</x:v>
      </x:c>
      <x:c r="I1073" s="8" t="str"/>
      <x:c r="J1073" s="8" t="e">
        <x:f>HYPERLINK("file:///Z:/00. Proiecte 2025/AFIR FotoVoltaic 1/30.1 Cerere Rambursare 1/Clarificare nr.1/AP_raspuns_informatii_suplimentare_-.pdf","Deschide sursa")</x:f>
        <x:v>HYPERLINK is not implemented. linkLocation=file:///Z:/00. Proiecte 2025/AFIR FotoVoltaic 1/30.1 Cerere Rambursare 1/Clarificare nr.1/AP_raspuns_informatii_suplimentare_-.pdf, friendlyName=Deschide sursa</x:v>
      </x:c>
    </x:row>
    <x:row r="1074" ht="36" customHeight="1">
      <x:c r="A1074" s="8" t="str">
        <x:v>F1070</x:v>
      </x:c>
      <x:c r="B1074" s="8" t="str">
        <x:v>Formular de raspuns Informatii Suplimentare .zip</x:v>
      </x:c>
      <x:c r="C1074" s="8" t="str">
        <x:v>30.1 Cerere Rambursare 1</x:v>
      </x:c>
      <x:c r="D1074" s="8" t="str">
        <x:v>Proiect fotovoltaic</x:v>
      </x:c>
      <x:c r="E1074" s="8" t="str">
        <x:v>.zip</x:v>
      </x:c>
      <x:c r="F1074" s="8" t="n">
        <x:v>45538874</x:v>
      </x:c>
      <x:c r="G1074" s="8" t="str">
        <x:v>Inventar ZIP</x:v>
      </x:c>
      <x:c r="H1074" s="8" t="str">
        <x:v>Document local; transmiterea individuală neconfirmată</x:v>
      </x:c>
      <x:c r="I1074" s="8" t="str"/>
      <x:c r="J1074" s="8" t="e">
        <x:f>HYPERLINK("file:///Z:/00. Proiecte 2025/AFIR FotoVoltaic 1/30.1 Cerere Rambursare 1/Clarificare nr.1/Formular de raspuns Informatii Suplimentare .zip","Deschide sursa")</x:f>
        <x:v>HYPERLINK is not implemented. linkLocation=file:///Z:/00. Proiecte 2025/AFIR FotoVoltaic 1/30.1 Cerere Rambursare 1/Clarificare nr.1/Formular de raspuns Informatii Suplimentare .zip, friendlyName=Deschide sursa</x:v>
      </x:c>
    </x:row>
    <x:row r="1075" ht="36" customHeight="1">
      <x:c r="A1075" s="8" t="str">
        <x:v>F1071</x:v>
      </x:c>
      <x:c r="B1075" s="8" t="str">
        <x:v>0. VERIFICARE_SEVERA_PRE-AUDIT_si_Fisa_date_auditor.docx</x:v>
      </x:c>
      <x:c r="C1075" s="8" t="str">
        <x:v>30.1 Cerere Rambursare 1</x:v>
      </x:c>
      <x:c r="D1075" s="8" t="str">
        <x:v>Proiect fotovoltaic</x:v>
      </x:c>
      <x:c r="E1075" s="8" t="str">
        <x:v>.docx</x:v>
      </x:c>
      <x:c r="F1075" s="8" t="n">
        <x:v>14883</x:v>
      </x:c>
      <x:c r="G1075" s="8" t="str">
        <x:v>Text extras</x:v>
      </x:c>
      <x:c r="H1075" s="8" t="str">
        <x:v>Versiune de lucru / arhivă</x:v>
      </x:c>
      <x:c r="I1075" s="8" t="str"/>
      <x:c r="J1075" s="8" t="e">
        <x:f>HYPERLINK("file:///Z:/00. Proiecte 2025/AFIR FotoVoltaic 1/30.1 Cerere Rambursare 1/draft/0. VERIFICARE_SEVERA_PRE-AUDIT_si_Fisa_date_auditor.docx","Deschide sursa")</x:f>
        <x:v>HYPERLINK is not implemented. linkLocation=file:///Z:/00. Proiecte 2025/AFIR FotoVoltaic 1/30.1 Cerere Rambursare 1/draft/0. VERIFICARE_SEVERA_PRE-AUDIT_si_Fisa_date_auditor.docx, friendlyName=Deschide sursa</x:v>
      </x:c>
    </x:row>
    <x:row r="1076" ht="36" customHeight="1">
      <x:c r="A1076" s="8" t="str">
        <x:v>F1072</x:v>
      </x:c>
      <x:c r="B1076" s="8" t="str">
        <x:v>0. VERIFICARE_SEVERA_PRE-AUDIT_si_Fisa_date_auditor.pdf</x:v>
      </x:c>
      <x:c r="C1076" s="8" t="str">
        <x:v>30.1 Cerere Rambursare 1</x:v>
      </x:c>
      <x:c r="D1076" s="8" t="str">
        <x:v>Proiect fotovoltaic</x:v>
      </x:c>
      <x:c r="E1076" s="8" t="str">
        <x:v>.pdf</x:v>
      </x:c>
      <x:c r="F1076" s="8" t="n">
        <x:v>333432</x:v>
      </x:c>
      <x:c r="G1076" s="8" t="str">
        <x:v>Text extras</x:v>
      </x:c>
      <x:c r="H1076" s="8" t="str">
        <x:v>Versiune de lucru / arhivă</x:v>
      </x:c>
      <x:c r="I1076" s="8" t="str"/>
      <x:c r="J1076" s="8" t="e">
        <x:f>HYPERLINK("file:///Z:/00. Proiecte 2025/AFIR FotoVoltaic 1/30.1 Cerere Rambursare 1/draft/0. VERIFICARE_SEVERA_PRE-AUDIT_si_Fisa_date_auditor.pdf","Deschide sursa")</x:f>
        <x:v>HYPERLINK is not implemented. linkLocation=file:///Z:/00. Proiecte 2025/AFIR FotoVoltaic 1/30.1 Cerere Rambursare 1/draft/0. VERIFICARE_SEVERA_PRE-AUDIT_si_Fisa_date_auditor.pdf, friendlyName=Deschide sursa</x:v>
      </x:c>
    </x:row>
    <x:row r="1077" ht="36" customHeight="1">
      <x:c r="A1077" s="8" t="str">
        <x:v>F1073</x:v>
      </x:c>
      <x:c r="B1077" s="8" t="str">
        <x:v>Nota_justificativa_stadiu_investitie_Transa1.docx</x:v>
      </x:c>
      <x:c r="C1077" s="8" t="str">
        <x:v>30.1 Cerere Rambursare 1</x:v>
      </x:c>
      <x:c r="D1077" s="8" t="str">
        <x:v>Proiect fotovoltaic</x:v>
      </x:c>
      <x:c r="E1077" s="8" t="str">
        <x:v>.docx</x:v>
      </x:c>
      <x:c r="F1077" s="8" t="n">
        <x:v>13492</x:v>
      </x:c>
      <x:c r="G1077" s="8" t="str">
        <x:v>Text extras</x:v>
      </x:c>
      <x:c r="H1077" s="8" t="str">
        <x:v>Versiune de lucru / arhivă</x:v>
      </x:c>
      <x:c r="I1077" s="8" t="str"/>
      <x:c r="J1077" s="8" t="e">
        <x:f>HYPERLINK("file:///Z:/00. Proiecte 2025/AFIR FotoVoltaic 1/30.1 Cerere Rambursare 1/draft/Nota_justificativa_stadiu_investitie_Transa1.docx","Deschide sursa")</x:f>
        <x:v>HYPERLINK is not implemented. linkLocation=file:///Z:/00. Proiecte 2025/AFIR FotoVoltaic 1/30.1 Cerere Rambursare 1/draft/Nota_justificativa_stadiu_investitie_Transa1.docx, friendlyName=Deschide sursa</x:v>
      </x:c>
    </x:row>
    <x:row r="1078" ht="36" customHeight="1">
      <x:c r="A1078" s="8" t="str">
        <x:v>F1074</x:v>
      </x:c>
      <x:c r="B1078" s="8" t="str">
        <x:v>Nota_justificativa_stadiu_investitie_Transa1.pdf</x:v>
      </x:c>
      <x:c r="C1078" s="8" t="str">
        <x:v>30.1 Cerere Rambursare 1</x:v>
      </x:c>
      <x:c r="D1078" s="8" t="str">
        <x:v>Proiect fotovoltaic</x:v>
      </x:c>
      <x:c r="E1078" s="8" t="str">
        <x:v>.pdf</x:v>
      </x:c>
      <x:c r="F1078" s="8" t="n">
        <x:v>340639</x:v>
      </x:c>
      <x:c r="G1078" s="8" t="str">
        <x:v>Text extras</x:v>
      </x:c>
      <x:c r="H1078" s="8" t="str">
        <x:v>Versiune de lucru / arhivă</x:v>
      </x:c>
      <x:c r="I1078" s="8" t="str"/>
      <x:c r="J1078" s="8" t="e">
        <x:f>HYPERLINK("file:///Z:/00. Proiecte 2025/AFIR FotoVoltaic 1/30.1 Cerere Rambursare 1/draft/Nota_justificativa_stadiu_investitie_Transa1.pdf","Deschide sursa")</x:f>
        <x:v>HYPERLINK is not implemented. linkLocation=file:///Z:/00. Proiecte 2025/AFIR FotoVoltaic 1/30.1 Cerere Rambursare 1/draft/Nota_justificativa_stadiu_investitie_Transa1.pdf, friendlyName=Deschide sursa</x:v>
      </x:c>
    </x:row>
    <x:row r="1079" ht="36" customHeight="1">
      <x:c r="A1079" s="8" t="str">
        <x:v>F1075</x:v>
      </x:c>
      <x:c r="B1079" s="8" t="str">
        <x:v>Nota_justificativa_stadiu_investitie_Transa1_v2.docx</x:v>
      </x:c>
      <x:c r="C1079" s="8" t="str">
        <x:v>30.1 Cerere Rambursare 1</x:v>
      </x:c>
      <x:c r="D1079" s="8" t="str">
        <x:v>Proiect fotovoltaic</x:v>
      </x:c>
      <x:c r="E1079" s="8" t="str">
        <x:v>.docx</x:v>
      </x:c>
      <x:c r="F1079" s="8" t="n">
        <x:v>17380</x:v>
      </x:c>
      <x:c r="G1079" s="8" t="str">
        <x:v>Text extras</x:v>
      </x:c>
      <x:c r="H1079" s="8" t="str">
        <x:v>Versiune de lucru / arhivă</x:v>
      </x:c>
      <x:c r="I1079" s="8" t="str"/>
      <x:c r="J1079" s="8" t="e">
        <x:f>HYPERLINK("file:///Z:/00. Proiecte 2025/AFIR FotoVoltaic 1/30.1 Cerere Rambursare 1/draft/Nota_justificativa_stadiu_investitie_Transa1_v2.docx","Deschide sursa")</x:f>
        <x:v>HYPERLINK is not implemented. linkLocation=file:///Z:/00. Proiecte 2025/AFIR FotoVoltaic 1/30.1 Cerere Rambursare 1/draft/Nota_justificativa_stadiu_investitie_Transa1_v2.docx, friendlyName=Deschide sursa</x:v>
      </x:c>
    </x:row>
    <x:row r="1080" ht="36" customHeight="1">
      <x:c r="A1080" s="8" t="str">
        <x:v>F1076</x:v>
      </x:c>
      <x:c r="B1080" s="8" t="str">
        <x:v>Nota_justificativa_stadiu_investitie_Transa1_v2.pdf</x:v>
      </x:c>
      <x:c r="C1080" s="8" t="str">
        <x:v>30.1 Cerere Rambursare 1</x:v>
      </x:c>
      <x:c r="D1080" s="8" t="str">
        <x:v>Proiect fotovoltaic</x:v>
      </x:c>
      <x:c r="E1080" s="8" t="str">
        <x:v>.pdf</x:v>
      </x:c>
      <x:c r="F1080" s="8" t="n">
        <x:v>386712</x:v>
      </x:c>
      <x:c r="G1080" s="8" t="str">
        <x:v>Text extras</x:v>
      </x:c>
      <x:c r="H1080" s="8" t="str">
        <x:v>Versiune de lucru / arhivă</x:v>
      </x:c>
      <x:c r="I1080" s="8" t="str"/>
      <x:c r="J1080" s="8" t="e">
        <x:f>HYPERLINK("file:///Z:/00. Proiecte 2025/AFIR FotoVoltaic 1/30.1 Cerere Rambursare 1/draft/Nota_justificativa_stadiu_investitie_Transa1_v2.pdf","Deschide sursa")</x:f>
        <x:v>HYPERLINK is not implemented. linkLocation=file:///Z:/00. Proiecte 2025/AFIR FotoVoltaic 1/30.1 Cerere Rambursare 1/draft/Nota_justificativa_stadiu_investitie_Transa1_v2.pdf, friendlyName=Deschide sursa</x:v>
      </x:c>
    </x:row>
    <x:row r="1081" ht="36" customHeight="1">
      <x:c r="A1081" s="8" t="str">
        <x:v>F1077</x:v>
      </x:c>
      <x:c r="B1081" s="8" t="str">
        <x:v>Opis_documentatie_Cerere_rambursare_Transa1 v1.docx</x:v>
      </x:c>
      <x:c r="C1081" s="8" t="str">
        <x:v>30.1 Cerere Rambursare 1</x:v>
      </x:c>
      <x:c r="D1081" s="8" t="str">
        <x:v>Proiect fotovoltaic</x:v>
      </x:c>
      <x:c r="E1081" s="8" t="str">
        <x:v>.docx</x:v>
      </x:c>
      <x:c r="F1081" s="8" t="n">
        <x:v>23235</x:v>
      </x:c>
      <x:c r="G1081" s="8" t="str">
        <x:v>Text extras</x:v>
      </x:c>
      <x:c r="H1081" s="8" t="str">
        <x:v>Versiune de lucru / arhivă</x:v>
      </x:c>
      <x:c r="I1081" s="8" t="str"/>
      <x:c r="J1081" s="8" t="e">
        <x:f>HYPERLINK("file:///Z:/00. Proiecte 2025/AFIR FotoVoltaic 1/30.1 Cerere Rambursare 1/draft/Opis_documentatie_Cerere_rambursare_Transa1 v1.docx","Deschide sursa")</x:f>
        <x:v>HYPERLINK is not implemented. linkLocation=file:///Z:/00. Proiecte 2025/AFIR FotoVoltaic 1/30.1 Cerere Rambursare 1/draft/Opis_documentatie_Cerere_rambursare_Transa1 v1.docx, friendlyName=Deschide sursa</x:v>
      </x:c>
    </x:row>
    <x:row r="1082" ht="36" customHeight="1">
      <x:c r="A1082" s="8" t="str">
        <x:v>F1078</x:v>
      </x:c>
      <x:c r="B1082" s="8" t="str">
        <x:v>Opis_documentatie_Cerere_rambursare_Transa1.docx</x:v>
      </x:c>
      <x:c r="C1082" s="8" t="str">
        <x:v>30.1 Cerere Rambursare 1</x:v>
      </x:c>
      <x:c r="D1082" s="8" t="str">
        <x:v>Proiect fotovoltaic</x:v>
      </x:c>
      <x:c r="E1082" s="8" t="str">
        <x:v>.docx</x:v>
      </x:c>
      <x:c r="F1082" s="8" t="n">
        <x:v>26146</x:v>
      </x:c>
      <x:c r="G1082" s="8" t="str">
        <x:v>Text extras</x:v>
      </x:c>
      <x:c r="H1082" s="8" t="str">
        <x:v>Versiune de lucru / arhivă</x:v>
      </x:c>
      <x:c r="I1082" s="8" t="str"/>
      <x:c r="J1082" s="8" t="e">
        <x:f>HYPERLINK("file:///Z:/00. Proiecte 2025/AFIR FotoVoltaic 1/30.1 Cerere Rambursare 1/draft/Opis_documentatie_Cerere_rambursare_Transa1.docx","Deschide sursa")</x:f>
        <x:v>HYPERLINK is not implemented. linkLocation=file:///Z:/00. Proiecte 2025/AFIR FotoVoltaic 1/30.1 Cerere Rambursare 1/draft/Opis_documentatie_Cerere_rambursare_Transa1.docx, friendlyName=Deschide sursa</x:v>
      </x:c>
    </x:row>
    <x:row r="1083" ht="36" customHeight="1">
      <x:c r="A1083" s="8" t="str">
        <x:v>F1079</x:v>
      </x:c>
      <x:c r="B1083" s="8" t="str">
        <x:v>PANOURI MONTATE 2222 BUCATI - PROIECT.xlsx</x:v>
      </x:c>
      <x:c r="C1083" s="8" t="str">
        <x:v>30.1 Cerere Rambursare 1</x:v>
      </x:c>
      <x:c r="D1083" s="8" t="str">
        <x:v>Proiect fotovoltaic</x:v>
      </x:c>
      <x:c r="E1083" s="8" t="str">
        <x:v>.xlsx</x:v>
      </x:c>
      <x:c r="F1083" s="8" t="n">
        <x:v>174537</x:v>
      </x:c>
      <x:c r="G1083" s="8" t="str">
        <x:v>Inventariat; conținut neextras</x:v>
      </x:c>
      <x:c r="H1083" s="8" t="str">
        <x:v>Versiune de lucru / arhivă</x:v>
      </x:c>
      <x:c r="I1083" s="8" t="str"/>
      <x:c r="J1083" s="8" t="e">
        <x:f>HYPERLINK("file:///Z:/00. Proiecte 2025/AFIR FotoVoltaic 1/30.1 Cerere Rambursare 1/draft/PANOURI MONTATE 2222 BUCATI - PROIECT.xlsx","Deschide sursa")</x:f>
        <x:v>HYPERLINK is not implemented. linkLocation=file:///Z:/00. Proiecte 2025/AFIR FotoVoltaic 1/30.1 Cerere Rambursare 1/draft/PANOURI MONTATE 2222 BUCATI - PROIECT.xlsx, friendlyName=Deschide sursa</x:v>
      </x:c>
    </x:row>
    <x:row r="1084" ht="36" customHeight="1">
      <x:c r="A1084" s="8" t="str">
        <x:v>F1080</x:v>
      </x:c>
      <x:c r="B1084" s="8" t="str">
        <x:v>PANOURI MONTATE IN PLIS 30 BUCATI.xlsx</x:v>
      </x:c>
      <x:c r="C1084" s="8" t="str">
        <x:v>30.1 Cerere Rambursare 1</x:v>
      </x:c>
      <x:c r="D1084" s="8" t="str">
        <x:v>Proiect fotovoltaic</x:v>
      </x:c>
      <x:c r="E1084" s="8" t="str">
        <x:v>.xlsx</x:v>
      </x:c>
      <x:c r="F1084" s="8" t="n">
        <x:v>11565</x:v>
      </x:c>
      <x:c r="G1084" s="8" t="str">
        <x:v>Inventariat; conținut neextras</x:v>
      </x:c>
      <x:c r="H1084" s="8" t="str">
        <x:v>Versiune de lucru / arhivă</x:v>
      </x:c>
      <x:c r="I1084" s="8" t="str"/>
      <x:c r="J1084" s="8" t="e">
        <x:f>HYPERLINK("file:///Z:/00. Proiecte 2025/AFIR FotoVoltaic 1/30.1 Cerere Rambursare 1/draft/PANOURI MONTATE IN PLIS 30 BUCATI.xlsx","Deschide sursa")</x:f>
        <x:v>HYPERLINK is not implemented. linkLocation=file:///Z:/00. Proiecte 2025/AFIR FotoVoltaic 1/30.1 Cerere Rambursare 1/draft/PANOURI MONTATE IN PLIS 30 BUCATI.xlsx, friendlyName=Deschide sursa</x:v>
      </x:c>
    </x:row>
    <x:row r="1085" ht="32" customHeight="1">
      <x:c r="A1085" s="8" t="str">
        <x:v>F1081</x:v>
      </x:c>
      <x:c r="B1085" s="8" t="str">
        <x:v>panouri nkh.xlsx</x:v>
      </x:c>
      <x:c r="C1085" s="8" t="str">
        <x:v>30.1 Cerere Rambursare 1</x:v>
      </x:c>
      <x:c r="D1085" s="8" t="str">
        <x:v>Proiect fotovoltaic</x:v>
      </x:c>
      <x:c r="E1085" s="8" t="str">
        <x:v>.xlsx</x:v>
      </x:c>
      <x:c r="F1085" s="8" t="n">
        <x:v>244729</x:v>
      </x:c>
      <x:c r="G1085" s="8" t="str">
        <x:v>Inventariat; conținut neextras</x:v>
      </x:c>
      <x:c r="H1085" s="8" t="str">
        <x:v>Versiune de lucru / arhivă</x:v>
      </x:c>
      <x:c r="I1085" s="8" t="str"/>
      <x:c r="J1085" s="8" t="e">
        <x:f>HYPERLINK("file:///Z:/00. Proiecte 2025/AFIR FotoVoltaic 1/30.1 Cerere Rambursare 1/draft/panouri nkh.xlsx","Deschide sursa")</x:f>
        <x:v>HYPERLINK is not implemented. linkLocation=file:///Z:/00. Proiecte 2025/AFIR FotoVoltaic 1/30.1 Cerere Rambursare 1/draft/panouri nkh.xlsx, friendlyName=Deschide sursa</x:v>
      </x:c>
    </x:row>
    <x:row r="1086" ht="36" customHeight="1">
      <x:c r="A1086" s="8" t="str">
        <x:v>F1082</x:v>
      </x:c>
      <x:c r="B1086" s="8" t="str">
        <x:v>Plan detaliat de implementare pentru proiectul fotovoltaic CESIRO PRODUCTION S.docx</x:v>
      </x:c>
      <x:c r="C1086" s="8" t="str">
        <x:v>30.1 Cerere Rambursare 1</x:v>
      </x:c>
      <x:c r="D1086" s="8" t="str">
        <x:v>Proiect fotovoltaic</x:v>
      </x:c>
      <x:c r="E1086" s="8" t="str">
        <x:v>.docx</x:v>
      </x:c>
      <x:c r="F1086" s="8" t="n">
        <x:v>49251</x:v>
      </x:c>
      <x:c r="G1086" s="8" t="str">
        <x:v>Text extras</x:v>
      </x:c>
      <x:c r="H1086" s="8" t="str">
        <x:v>Versiune de lucru / arhivă</x:v>
      </x:c>
      <x:c r="I1086" s="8" t="str"/>
      <x:c r="J1086" s="8" t="e">
        <x:f>HYPERLINK("file:///Z:/00. Proiecte 2025/AFIR FotoVoltaic 1/30.1 Cerere Rambursare 1/draft/Plan detaliat de implementare pentru proiectul fotovoltaic CESIRO PRODUCTION S.docx","Deschide sursa")</x:f>
        <x:v>HYPERLINK is not implemented. linkLocation=file:///Z:/00. Proiecte 2025/AFIR FotoVoltaic 1/30.1 Cerere Rambursare 1/draft/Plan detaliat de implementare pentru proiectul fotovoltaic CESIRO PRODUCTION S.docx, friendlyName=Deschide sursa</x:v>
      </x:c>
    </x:row>
    <x:row r="1087" ht="36" customHeight="1">
      <x:c r="A1087" s="8" t="str">
        <x:v>F1083</x:v>
      </x:c>
      <x:c r="B1087" s="8" t="str">
        <x:v>RAPORT AUDIT Cerere Rambursare 1 - CESIRO.docx</x:v>
      </x:c>
      <x:c r="C1087" s="8" t="str">
        <x:v>30.1 Cerere Rambursare 1</x:v>
      </x:c>
      <x:c r="D1087" s="8" t="str">
        <x:v>Proiect fotovoltaic</x:v>
      </x:c>
      <x:c r="E1087" s="8" t="str">
        <x:v>.docx</x:v>
      </x:c>
      <x:c r="F1087" s="8" t="n">
        <x:v>42281</x:v>
      </x:c>
      <x:c r="G1087" s="8" t="str">
        <x:v>Text extras</x:v>
      </x:c>
      <x:c r="H1087" s="8" t="str">
        <x:v>Versiune de lucru / arhivă</x:v>
      </x:c>
      <x:c r="I1087" s="8" t="str"/>
      <x:c r="J1087" s="8" t="e">
        <x:f>HYPERLINK("file:///Z:/00. Proiecte 2025/AFIR FotoVoltaic 1/30.1 Cerere Rambursare 1/draft/RAPORT AUDIT Cerere Rambursare 1 - CESIRO.docx","Deschide sursa")</x:f>
        <x:v>HYPERLINK is not implemented. linkLocation=file:///Z:/00. Proiecte 2025/AFIR FotoVoltaic 1/30.1 Cerere Rambursare 1/draft/RAPORT AUDIT Cerere Rambursare 1 - CESIRO.docx, friendlyName=Deschide sursa</x:v>
      </x:c>
    </x:row>
    <x:row r="1088" ht="36" customHeight="1">
      <x:c r="A1088" s="8" t="str">
        <x:v>F1084</x:v>
      </x:c>
      <x:c r="B1088" s="8" t="str">
        <x:v>RAPORT AUDIT Cerere Rambursare 1 - CESIRO.pdf</x:v>
      </x:c>
      <x:c r="C1088" s="8" t="str">
        <x:v>30.1 Cerere Rambursare 1</x:v>
      </x:c>
      <x:c r="D1088" s="8" t="str">
        <x:v>Proiect fotovoltaic</x:v>
      </x:c>
      <x:c r="E1088" s="8" t="str">
        <x:v>.pdf</x:v>
      </x:c>
      <x:c r="F1088" s="8" t="n">
        <x:v>444928</x:v>
      </x:c>
      <x:c r="G1088" s="8" t="str">
        <x:v>Text extras</x:v>
      </x:c>
      <x:c r="H1088" s="8" t="str">
        <x:v>Versiune de lucru / arhivă</x:v>
      </x:c>
      <x:c r="I1088" s="8" t="str"/>
      <x:c r="J1088" s="8" t="e">
        <x:f>HYPERLINK("file:///Z:/00. Proiecte 2025/AFIR FotoVoltaic 1/30.1 Cerere Rambursare 1/draft/RAPORT AUDIT Cerere Rambursare 1 - CESIRO.pdf","Deschide sursa")</x:f>
        <x:v>HYPERLINK is not implemented. linkLocation=file:///Z:/00. Proiecte 2025/AFIR FotoVoltaic 1/30.1 Cerere Rambursare 1/draft/RAPORT AUDIT Cerere Rambursare 1 - CESIRO.pdf, friendlyName=Deschide sursa</x:v>
      </x:c>
    </x:row>
    <x:row r="1089" ht="36" customHeight="1">
      <x:c r="A1089" s="8" t="str">
        <x:v>F1085</x:v>
      </x:c>
      <x:c r="B1089" s="8" t="str">
        <x:v>RAPORT_AUDIT_v2_CR1_CESIRO_10.08.2026.docx</x:v>
      </x:c>
      <x:c r="C1089" s="8" t="str">
        <x:v>30.1 Cerere Rambursare 1</x:v>
      </x:c>
      <x:c r="D1089" s="8" t="str">
        <x:v>Proiect fotovoltaic</x:v>
      </x:c>
      <x:c r="E1089" s="8" t="str">
        <x:v>.docx</x:v>
      </x:c>
      <x:c r="F1089" s="8" t="n">
        <x:v>15248</x:v>
      </x:c>
      <x:c r="G1089" s="8" t="str">
        <x:v>Text extras</x:v>
      </x:c>
      <x:c r="H1089" s="8" t="str">
        <x:v>Versiune de lucru / arhivă</x:v>
      </x:c>
      <x:c r="I1089" s="8" t="str"/>
      <x:c r="J1089" s="8" t="e">
        <x:f>HYPERLINK("file:///Z:/00. Proiecte 2025/AFIR FotoVoltaic 1/30.1 Cerere Rambursare 1/draft/RAPORT_AUDIT_v2_CR1_CESIRO_10.08.2026.docx","Deschide sursa")</x:f>
        <x:v>HYPERLINK is not implemented. linkLocation=file:///Z:/00. Proiecte 2025/AFIR FotoVoltaic 1/30.1 Cerere Rambursare 1/draft/RAPORT_AUDIT_v2_CR1_CESIRO_10.08.2026.docx, friendlyName=Deschide sursa</x:v>
      </x:c>
    </x:row>
    <x:row r="1090" ht="36" customHeight="1">
      <x:c r="A1090" s="8" t="str">
        <x:v>F1086</x:v>
      </x:c>
      <x:c r="B1090" s="8" t="str">
        <x:v>RAPORT_AUDIT_v2_CR1_CESIRO_10.08.2026.pdf</x:v>
      </x:c>
      <x:c r="C1090" s="8" t="str">
        <x:v>30.1 Cerere Rambursare 1</x:v>
      </x:c>
      <x:c r="D1090" s="8" t="str">
        <x:v>Proiect fotovoltaic</x:v>
      </x:c>
      <x:c r="E1090" s="8" t="str">
        <x:v>.pdf</x:v>
      </x:c>
      <x:c r="F1090" s="8" t="n">
        <x:v>346049</x:v>
      </x:c>
      <x:c r="G1090" s="8" t="str">
        <x:v>Text extras</x:v>
      </x:c>
      <x:c r="H1090" s="8" t="str">
        <x:v>Versiune de lucru / arhivă</x:v>
      </x:c>
      <x:c r="I1090" s="8" t="str"/>
      <x:c r="J1090" s="8" t="e">
        <x:f>HYPERLINK("file:///Z:/00. Proiecte 2025/AFIR FotoVoltaic 1/30.1 Cerere Rambursare 1/draft/RAPORT_AUDIT_v2_CR1_CESIRO_10.08.2026.pdf","Deschide sursa")</x:f>
        <x:v>HYPERLINK is not implemented. linkLocation=file:///Z:/00. Proiecte 2025/AFIR FotoVoltaic 1/30.1 Cerere Rambursare 1/draft/RAPORT_AUDIT_v2_CR1_CESIRO_10.08.2026.pdf, friendlyName=Deschide sursa</x:v>
      </x:c>
    </x:row>
    <x:row r="1091" ht="36" customHeight="1">
      <x:c r="A1091" s="8" t="str">
        <x:v>F1087</x:v>
      </x:c>
      <x:c r="B1091" s="8" t="str">
        <x:v>Situatie de Lucrari Suntree_Production.pdf</x:v>
      </x:c>
      <x:c r="C1091" s="8" t="str">
        <x:v>30.1 Cerere Rambursare 1</x:v>
      </x:c>
      <x:c r="D1091" s="8" t="str">
        <x:v>Proiect fotovoltaic</x:v>
      </x:c>
      <x:c r="E1091" s="8" t="str">
        <x:v>.pdf</x:v>
      </x:c>
      <x:c r="F1091" s="8" t="n">
        <x:v>1705106</x:v>
      </x:c>
      <x:c r="G1091" s="8" t="str">
        <x:v>Scan / text insuficient</x:v>
      </x:c>
      <x:c r="H1091" s="8" t="str">
        <x:v>Versiune de lucru / arhivă</x:v>
      </x:c>
      <x:c r="I1091" s="8" t="str"/>
      <x:c r="J1091" s="8" t="e">
        <x:f>HYPERLINK("file:///Z:/00. Proiecte 2025/AFIR FotoVoltaic 1/30.1 Cerere Rambursare 1/draft/Situatie de Lucrari Suntree_Production.pdf","Deschide sursa")</x:f>
        <x:v>HYPERLINK is not implemented. linkLocation=file:///Z:/00. Proiecte 2025/AFIR FotoVoltaic 1/30.1 Cerere Rambursare 1/draft/Situatie de Lucrari Suntree_Production.pdf, friendlyName=Deschide sursa</x:v>
      </x:c>
    </x:row>
    <x:row r="1092" ht="36" customHeight="1">
      <x:c r="A1092" s="8" t="str">
        <x:v>F1088</x:v>
      </x:c>
      <x:c r="B1092" s="8" t="str">
        <x:v>1. AP_0.0_grafic_de_esalonare_SEV3.pdf</x:v>
      </x:c>
      <x:c r="C1092" s="8" t="str">
        <x:v>30.1 Cerere Rambursare 1</x:v>
      </x:c>
      <x:c r="D1092" s="8" t="str">
        <x:v>Proiect fotovoltaic</x:v>
      </x:c>
      <x:c r="E1092" s="8" t="str">
        <x:v>.pdf</x:v>
      </x:c>
      <x:c r="F1092" s="8" t="n">
        <x:v>706616</x:v>
      </x:c>
      <x:c r="G1092" s="8" t="str">
        <x:v>Text extras</x:v>
      </x:c>
      <x:c r="H1092" s="8" t="str">
        <x:v>Pachet pentru auditor; nu dovedește depunere AFIR</x:v>
      </x:c>
      <x:c r="I1092" s="8" t="str"/>
      <x:c r="J1092" s="8" t="e">
        <x:f>HYPERLINK("file:///Z:/00. Proiecte 2025/AFIR FotoVoltaic 1/30.1 Cerere Rambursare 1/12. Raportul de audit financiar/Ce s-a trimis la Tamas/1. AP_0.0_grafic_de_esalonare_SEV3.pdf","Deschide sursa")</x:f>
        <x:v>HYPERLINK is not implemented. linkLocation=file:///Z:/00. Proiecte 2025/AFIR FotoVoltaic 1/30.1 Cerere Rambursare 1/12. Raportul de audit financiar/Ce s-a trimis la Tamas/1. AP_0.0_grafic_de_esalonare_SEV3.pdf, friendlyName=Deschide sursa</x:v>
      </x:c>
    </x:row>
    <x:row r="1093" ht="36" customHeight="1">
      <x:c r="A1093" s="8" t="str">
        <x:v>F1089</x:v>
      </x:c>
      <x:c r="B1093" s="8" t="str">
        <x:v>11. 1.3.1 SE Raport de audit.doc</x:v>
      </x:c>
      <x:c r="C1093" s="8" t="str">
        <x:v>30.1 Cerere Rambursare 1</x:v>
      </x:c>
      <x:c r="D1093" s="8" t="str">
        <x:v>Proiect fotovoltaic</x:v>
      </x:c>
      <x:c r="E1093" s="8" t="str">
        <x:v>.doc</x:v>
      </x:c>
      <x:c r="F1093" s="8" t="n">
        <x:v>82944</x:v>
      </x:c>
      <x:c r="G1093" s="8" t="str">
        <x:v>Inventariat; conținut neextras</x:v>
      </x:c>
      <x:c r="H1093" s="8" t="str">
        <x:v>Pachet pentru auditor; nu dovedește depunere AFIR</x:v>
      </x:c>
      <x:c r="I1093" s="8" t="str"/>
      <x:c r="J1093" s="8" t="e">
        <x:f>HYPERLINK("file:///Z:/00. Proiecte 2025/AFIR FotoVoltaic 1/30.1 Cerere Rambursare 1/12. Raportul de audit financiar/Ce s-a trimis la Tamas/11. 1.3.1 SE Raport de audit.doc","Deschide sursa")</x:f>
        <x:v>HYPERLINK is not implemented. linkLocation=file:///Z:/00. Proiecte 2025/AFIR FotoVoltaic 1/30.1 Cerere Rambursare 1/12. Raportul de audit financiar/Ce s-a trimis la Tamas/11. 1.3.1 SE Raport de audit.doc, friendlyName=Deschide sursa</x:v>
      </x:c>
    </x:row>
    <x:row r="1094" ht="36" customHeight="1">
      <x:c r="A1094" s="8" t="str">
        <x:v>F1090</x:v>
      </x:c>
      <x:c r="B1094" s="8" t="str">
        <x:v>13. AP 1.4 SE Declarație pe propria răspundere_v2.pdf</x:v>
      </x:c>
      <x:c r="C1094" s="8" t="str">
        <x:v>30.1 Cerere Rambursare 1</x:v>
      </x:c>
      <x:c r="D1094" s="8" t="str">
        <x:v>Proiect fotovoltaic</x:v>
      </x:c>
      <x:c r="E1094" s="8" t="str">
        <x:v>.pdf</x:v>
      </x:c>
      <x:c r="F1094" s="8" t="n">
        <x:v>1704918</x:v>
      </x:c>
      <x:c r="G1094" s="8" t="str">
        <x:v>Scan / text insuficient</x:v>
      </x:c>
      <x:c r="H1094" s="8" t="str">
        <x:v>Pachet pentru auditor; nu dovedește depunere AFIR</x:v>
      </x:c>
      <x:c r="I1094" s="8" t="str"/>
      <x:c r="J1094" s="8" t="e">
        <x:f>HYPERLINK("file:///Z:/00. Proiecte 2025/AFIR FotoVoltaic 1/30.1 Cerere Rambursare 1/12. Raportul de audit financiar/Ce s-a trimis la Tamas/13. AP 1.4 SE Declarație pe propria răspundere_v2.pdf","Deschide sursa")</x:f>
        <x:v>HYPERLINK is not implemented. linkLocation=file:///Z:/00. Proiecte 2025/AFIR FotoVoltaic 1/30.1 Cerere Rambursare 1/12. Raportul de audit financiar/Ce s-a trimis la Tamas/13. AP 1.4 SE Declarație pe propria răspundere_v2.pdf, friendlyName=Deschide sursa</x:v>
      </x:c>
    </x:row>
    <x:row r="1095" ht="36" customHeight="1">
      <x:c r="A1095" s="8" t="str">
        <x:v>F1091</x:v>
      </x:c>
      <x:c r="B1095" s="8" t="str">
        <x:v>14. CESIRO_Ordin_incepere_lucrari-v2.pdf</x:v>
      </x:c>
      <x:c r="C1095" s="8" t="str">
        <x:v>30.1 Cerere Rambursare 1</x:v>
      </x:c>
      <x:c r="D1095" s="8" t="str">
        <x:v>Proiect fotovoltaic</x:v>
      </x:c>
      <x:c r="E1095" s="8" t="str">
        <x:v>.pdf</x:v>
      </x:c>
      <x:c r="F1095" s="8" t="n">
        <x:v>3591658</x:v>
      </x:c>
      <x:c r="G1095" s="8" t="str">
        <x:v>Scan / text insuficient</x:v>
      </x:c>
      <x:c r="H1095" s="8" t="str">
        <x:v>Pachet pentru auditor; nu dovedește depunere AFIR</x:v>
      </x:c>
      <x:c r="I1095" s="8" t="str"/>
      <x:c r="J1095" s="8" t="e">
        <x:f>HYPERLINK("file:///Z:/00. Proiecte 2025/AFIR FotoVoltaic 1/30.1 Cerere Rambursare 1/12. Raportul de audit financiar/Ce s-a trimis la Tamas/14. CESIRO_Ordin_incepere_lucrari-v2.pdf","Deschide sursa")</x:f>
        <x:v>HYPERLINK is not implemented. linkLocation=file:///Z:/00. Proiecte 2025/AFIR FotoVoltaic 1/30.1 Cerere Rambursare 1/12. Raportul de audit financiar/Ce s-a trimis la Tamas/14. CESIRO_Ordin_incepere_lucrari-v2.pdf, friendlyName=Deschide sursa</x:v>
      </x:c>
    </x:row>
    <x:row r="1096" ht="36" customHeight="1">
      <x:c r="A1096" s="8" t="str">
        <x:v>F1092</x:v>
      </x:c>
      <x:c r="B1096" s="8" t="str">
        <x:v>15. cesiro_pagina_promovare_fm_final_standalone.html</x:v>
      </x:c>
      <x:c r="C1096" s="8" t="str">
        <x:v>30.1 Cerere Rambursare 1</x:v>
      </x:c>
      <x:c r="D1096" s="8" t="str">
        <x:v>Proiect fotovoltaic</x:v>
      </x:c>
      <x:c r="E1096" s="8" t="str">
        <x:v>.html</x:v>
      </x:c>
      <x:c r="F1096" s="8" t="n">
        <x:v>523360</x:v>
      </x:c>
      <x:c r="G1096" s="8" t="str">
        <x:v>Inventariat; conținut neextras</x:v>
      </x:c>
      <x:c r="H1096" s="8" t="str">
        <x:v>Pachet pentru auditor; nu dovedește depunere AFIR</x:v>
      </x:c>
      <x:c r="I1096" s="8" t="str"/>
      <x:c r="J1096" s="8" t="e">
        <x:f>HYPERLINK("file:///Z:/00. Proiecte 2025/AFIR FotoVoltaic 1/30.1 Cerere Rambursare 1/12. Raportul de audit financiar/Ce s-a trimis la Tamas/15. cesiro_pagina_promovare_fm_final_standalone.html","Deschide sursa")</x:f>
        <x:v>HYPERLINK is not implemented. linkLocation=file:///Z:/00. Proiecte 2025/AFIR FotoVoltaic 1/30.1 Cerere Rambursare 1/12. Raportul de audit financiar/Ce s-a trimis la Tamas/15. cesiro_pagina_promovare_fm_final_standalone.html, friendlyName=Deschide sursa</x:v>
      </x:c>
    </x:row>
    <x:row r="1097" ht="36" customHeight="1">
      <x:c r="A1097" s="8" t="str">
        <x:v>F1093</x:v>
      </x:c>
      <x:c r="B1097" s="8" t="str">
        <x:v>16. Comunicat_inceput_CESIRO_PRODUCTION_FM_AFIR.pdf</x:v>
      </x:c>
      <x:c r="C1097" s="8" t="str">
        <x:v>30.1 Cerere Rambursare 1</x:v>
      </x:c>
      <x:c r="D1097" s="8" t="str">
        <x:v>Proiect fotovoltaic</x:v>
      </x:c>
      <x:c r="E1097" s="8" t="str">
        <x:v>.pdf</x:v>
      </x:c>
      <x:c r="F1097" s="8" t="n">
        <x:v>204875</x:v>
      </x:c>
      <x:c r="G1097" s="8" t="str">
        <x:v>Text extras</x:v>
      </x:c>
      <x:c r="H1097" s="8" t="str">
        <x:v>Pachet pentru auditor; nu dovedește depunere AFIR</x:v>
      </x:c>
      <x:c r="I1097" s="8" t="str">
        <x:v>F1007</x:v>
      </x:c>
      <x:c r="J1097" s="8" t="e">
        <x:f>HYPERLINK("file:///Z:/00. Proiecte 2025/AFIR FotoVoltaic 1/30.1 Cerere Rambursare 1/12. Raportul de audit financiar/Ce s-a trimis la Tamas/16. Comunicat_inceput_CESIRO_PRODUCTION_FM_AFIR.pdf","Deschide sursa")</x:f>
        <x:v>HYPERLINK is not implemented. linkLocation=file:///Z:/00. Proiecte 2025/AFIR FotoVoltaic 1/30.1 Cerere Rambursare 1/12. Raportul de audit financiar/Ce s-a trimis la Tamas/16. Comunicat_inceput_CESIRO_PRODUCTION_FM_AFIR.pdf, friendlyName=Deschide sursa</x:v>
      </x:c>
    </x:row>
    <x:row r="1098" ht="36" customHeight="1">
      <x:c r="A1098" s="8" t="str">
        <x:v>F1094</x:v>
      </x:c>
      <x:c r="B1098" s="8" t="str">
        <x:v>17. balanta_de_verificare_10082026_125949v2.pdf</x:v>
      </x:c>
      <x:c r="C1098" s="8" t="str">
        <x:v>30.1 Cerere Rambursare 1</x:v>
      </x:c>
      <x:c r="D1098" s="8" t="str">
        <x:v>Proiect fotovoltaic</x:v>
      </x:c>
      <x:c r="E1098" s="8" t="str">
        <x:v>.pdf</x:v>
      </x:c>
      <x:c r="F1098" s="8" t="n">
        <x:v>3607006</x:v>
      </x:c>
      <x:c r="G1098" s="8" t="str">
        <x:v>Scan / text insuficient</x:v>
      </x:c>
      <x:c r="H1098" s="8" t="str">
        <x:v>Pachet pentru auditor; nu dovedește depunere AFIR</x:v>
      </x:c>
      <x:c r="I1098" s="8" t="str"/>
      <x:c r="J1098" s="8" t="e">
        <x:f>HYPERLINK("file:///Z:/00. Proiecte 2025/AFIR FotoVoltaic 1/30.1 Cerere Rambursare 1/12. Raportul de audit financiar/Ce s-a trimis la Tamas/17. balanta_de_verificare_10082026_125949v2.pdf","Deschide sursa")</x:f>
        <x:v>HYPERLINK is not implemented. linkLocation=file:///Z:/00. Proiecte 2025/AFIR FotoVoltaic 1/30.1 Cerere Rambursare 1/12. Raportul de audit financiar/Ce s-a trimis la Tamas/17. balanta_de_verificare_10082026_125949v2.pdf, friendlyName=Deschide sursa</x:v>
      </x:c>
    </x:row>
    <x:row r="1099" ht="36" customHeight="1">
      <x:c r="A1099" s="8" t="str">
        <x:v>F1095</x:v>
      </x:c>
      <x:c r="B1099" s="8" t="str">
        <x:v>18. PV_01_Predare_primire_amplasament_16_02_2026v2.pdf</x:v>
      </x:c>
      <x:c r="C1099" s="8" t="str">
        <x:v>30.1 Cerere Rambursare 1</x:v>
      </x:c>
      <x:c r="D1099" s="8" t="str">
        <x:v>Proiect fotovoltaic</x:v>
      </x:c>
      <x:c r="E1099" s="8" t="str">
        <x:v>.pdf</x:v>
      </x:c>
      <x:c r="F1099" s="8" t="n">
        <x:v>279520</x:v>
      </x:c>
      <x:c r="G1099" s="8" t="str">
        <x:v>Text extras</x:v>
      </x:c>
      <x:c r="H1099" s="8" t="str">
        <x:v>Pachet pentru auditor; nu dovedește depunere AFIR</x:v>
      </x:c>
      <x:c r="I1099" s="8" t="str"/>
      <x:c r="J1099" s="8" t="e">
        <x:f>HYPERLINK("file:///Z:/00. Proiecte 2025/AFIR FotoVoltaic 1/30.1 Cerere Rambursare 1/12. Raportul de audit financiar/Ce s-a trimis la Tamas/18. PV_01_Predare_primire_amplasament_16_02_2026v2.pdf","Deschide sursa")</x:f>
        <x:v>HYPERLINK is not implemented. linkLocation=file:///Z:/00. Proiecte 2025/AFIR FotoVoltaic 1/30.1 Cerere Rambursare 1/12. Raportul de audit financiar/Ce s-a trimis la Tamas/18. PV_01_Predare_primire_amplasament_16_02_2026v2.pdf, friendlyName=Deschide sursa</x:v>
      </x:c>
    </x:row>
    <x:row r="1100" ht="36" customHeight="1">
      <x:c r="A1100" s="8" t="str">
        <x:v>F1096</x:v>
      </x:c>
      <x:c r="B1100" s="8" t="str">
        <x:v>19. PV_02_Organizare_santier_17_02_2026 (1).pdf</x:v>
      </x:c>
      <x:c r="C1100" s="8" t="str">
        <x:v>30.1 Cerere Rambursare 1</x:v>
      </x:c>
      <x:c r="D1100" s="8" t="str">
        <x:v>Proiect fotovoltaic</x:v>
      </x:c>
      <x:c r="E1100" s="8" t="str">
        <x:v>.pdf</x:v>
      </x:c>
      <x:c r="F1100" s="8" t="n">
        <x:v>113053</x:v>
      </x:c>
      <x:c r="G1100" s="8" t="str">
        <x:v>Text extras</x:v>
      </x:c>
      <x:c r="H1100" s="8" t="str">
        <x:v>Pachet pentru auditor; nu dovedește depunere AFIR</x:v>
      </x:c>
      <x:c r="I1100" s="8" t="str"/>
      <x:c r="J1100" s="8" t="e">
        <x:f>HYPERLINK("file:///Z:/00. Proiecte 2025/AFIR FotoVoltaic 1/30.1 Cerere Rambursare 1/12. Raportul de audit financiar/Ce s-a trimis la Tamas/19. PV_02_Organizare_santier_17_02_2026 (1).pdf","Deschide sursa")</x:f>
        <x:v>HYPERLINK is not implemented. linkLocation=file:///Z:/00. Proiecte 2025/AFIR FotoVoltaic 1/30.1 Cerere Rambursare 1/12. Raportul de audit financiar/Ce s-a trimis la Tamas/19. PV_02_Organizare_santier_17_02_2026 (1).pdf, friendlyName=Deschide sursa</x:v>
      </x:c>
    </x:row>
    <x:row r="1101" ht="36" customHeight="1">
      <x:c r="A1101" s="8" t="str">
        <x:v>F1097</x:v>
      </x:c>
      <x:c r="B1101" s="8" t="str">
        <x:v>2.1. AP 1.1 SE Cerere de rambursare-v3.pdf</x:v>
      </x:c>
      <x:c r="C1101" s="8" t="str">
        <x:v>30.1 Cerere Rambursare 1</x:v>
      </x:c>
      <x:c r="D1101" s="8" t="str">
        <x:v>Proiect fotovoltaic</x:v>
      </x:c>
      <x:c r="E1101" s="8" t="str">
        <x:v>.pdf</x:v>
      </x:c>
      <x:c r="F1101" s="8" t="n">
        <x:v>760000</x:v>
      </x:c>
      <x:c r="G1101" s="8" t="str">
        <x:v>Text extras</x:v>
      </x:c>
      <x:c r="H1101" s="8" t="str">
        <x:v>Pachet pentru auditor; nu dovedește depunere AFIR</x:v>
      </x:c>
      <x:c r="I1101" s="8" t="str"/>
      <x:c r="J1101" s="8" t="e">
        <x:f>HYPERLINK("file:///Z:/00. Proiecte 2025/AFIR FotoVoltaic 1/30.1 Cerere Rambursare 1/12. Raportul de audit financiar/Ce s-a trimis la Tamas/2.1. AP 1.1 SE Cerere de rambursare-v3.pdf","Deschide sursa")</x:f>
        <x:v>HYPERLINK is not implemented. linkLocation=file:///Z:/00. Proiecte 2025/AFIR FotoVoltaic 1/30.1 Cerere Rambursare 1/12. Raportul de audit financiar/Ce s-a trimis la Tamas/2.1. AP 1.1 SE Cerere de rambursare-v3.pdf, friendlyName=Deschide sursa</x:v>
      </x:c>
    </x:row>
    <x:row r="1102" ht="36" customHeight="1">
      <x:c r="A1102" s="8" t="str">
        <x:v>F1098</x:v>
      </x:c>
      <x:c r="B1102" s="8" t="str">
        <x:v>2.2 Factura SST 33.pdf</x:v>
      </x:c>
      <x:c r="C1102" s="8" t="str">
        <x:v>30.1 Cerere Rambursare 1</x:v>
      </x:c>
      <x:c r="D1102" s="8" t="str">
        <x:v>Proiect fotovoltaic</x:v>
      </x:c>
      <x:c r="E1102" s="8" t="str">
        <x:v>.pdf</x:v>
      </x:c>
      <x:c r="F1102" s="8" t="n">
        <x:v>107593</x:v>
      </x:c>
      <x:c r="G1102" s="8" t="str">
        <x:v>Text extras</x:v>
      </x:c>
      <x:c r="H1102" s="8" t="str">
        <x:v>Pachet pentru auditor; nu dovedește depunere AFIR</x:v>
      </x:c>
      <x:c r="I1102" s="8" t="str"/>
      <x:c r="J1102" s="8" t="e">
        <x:f>HYPERLINK("file:///Z:/00. Proiecte 2025/AFIR FotoVoltaic 1/30.1 Cerere Rambursare 1/12. Raportul de audit financiar/Ce s-a trimis la Tamas/2.2 Factura SST 33.pdf","Deschide sursa")</x:f>
        <x:v>HYPERLINK is not implemented. linkLocation=file:///Z:/00. Proiecte 2025/AFIR FotoVoltaic 1/30.1 Cerere Rambursare 1/12. Raportul de audit financiar/Ce s-a trimis la Tamas/2.2 Factura SST 33.pdf, friendlyName=Deschide sursa</x:v>
      </x:c>
    </x:row>
    <x:row r="1103" ht="36" customHeight="1">
      <x:c r="A1103" s="8" t="str">
        <x:v>F1099</x:v>
      </x:c>
      <x:c r="B1103" s="8" t="str">
        <x:v>2.3 Extras Cont BCR 1.pdf</x:v>
      </x:c>
      <x:c r="C1103" s="8" t="str">
        <x:v>30.1 Cerere Rambursare 1</x:v>
      </x:c>
      <x:c r="D1103" s="8" t="str">
        <x:v>Proiect fotovoltaic</x:v>
      </x:c>
      <x:c r="E1103" s="8" t="str">
        <x:v>.pdf</x:v>
      </x:c>
      <x:c r="F1103" s="8" t="n">
        <x:v>104842</x:v>
      </x:c>
      <x:c r="G1103" s="8" t="str">
        <x:v>Text extras</x:v>
      </x:c>
      <x:c r="H1103" s="8" t="str">
        <x:v>Pachet pentru auditor; nu dovedește depunere AFIR</x:v>
      </x:c>
      <x:c r="I1103" s="8" t="str"/>
      <x:c r="J1103" s="8" t="e">
        <x:f>HYPERLINK("file:///Z:/00. Proiecte 2025/AFIR FotoVoltaic 1/30.1 Cerere Rambursare 1/12. Raportul de audit financiar/Ce s-a trimis la Tamas/2.3 Extras Cont BCR 1.pdf","Deschide sursa")</x:f>
        <x:v>HYPERLINK is not implemented. linkLocation=file:///Z:/00. Proiecte 2025/AFIR FotoVoltaic 1/30.1 Cerere Rambursare 1/12. Raportul de audit financiar/Ce s-a trimis la Tamas/2.3 Extras Cont BCR 1.pdf, friendlyName=Deschide sursa</x:v>
      </x:c>
    </x:row>
    <x:row r="1104" ht="36" customHeight="1">
      <x:c r="A1104" s="8" t="str">
        <x:v>F1100</x:v>
      </x:c>
      <x:c r="B1104" s="8" t="str">
        <x:v>2.4 Extras Cont BCR 2.pdf</x:v>
      </x:c>
      <x:c r="C1104" s="8" t="str">
        <x:v>30.1 Cerere Rambursare 1</x:v>
      </x:c>
      <x:c r="D1104" s="8" t="str">
        <x:v>Proiect fotovoltaic</x:v>
      </x:c>
      <x:c r="E1104" s="8" t="str">
        <x:v>.pdf</x:v>
      </x:c>
      <x:c r="F1104" s="8" t="n">
        <x:v>96164</x:v>
      </x:c>
      <x:c r="G1104" s="8" t="str">
        <x:v>Text extras</x:v>
      </x:c>
      <x:c r="H1104" s="8" t="str">
        <x:v>Pachet pentru auditor; nu dovedește depunere AFIR</x:v>
      </x:c>
      <x:c r="I1104" s="8" t="str"/>
      <x:c r="J1104" s="8" t="e">
        <x:f>HYPERLINK("file:///Z:/00. Proiecte 2025/AFIR FotoVoltaic 1/30.1 Cerere Rambursare 1/12. Raportul de audit financiar/Ce s-a trimis la Tamas/2.4 Extras Cont BCR 2.pdf","Deschide sursa")</x:f>
        <x:v>HYPERLINK is not implemented. linkLocation=file:///Z:/00. Proiecte 2025/AFIR FotoVoltaic 1/30.1 Cerere Rambursare 1/12. Raportul de audit financiar/Ce s-a trimis la Tamas/2.4 Extras Cont BCR 2.pdf, friendlyName=Deschide sursa</x:v>
      </x:c>
    </x:row>
    <x:row r="1105" ht="36" customHeight="1">
      <x:c r="A1105" s="8" t="str">
        <x:v>F1101</x:v>
      </x:c>
      <x:c r="B1105" s="8" t="str">
        <x:v>20.1 PV_03_Receptie_structura_08_04_2026 (2).v2.pdf</x:v>
      </x:c>
      <x:c r="C1105" s="8" t="str">
        <x:v>30.1 Cerere Rambursare 1</x:v>
      </x:c>
      <x:c r="D1105" s="8" t="str">
        <x:v>Proiect fotovoltaic</x:v>
      </x:c>
      <x:c r="E1105" s="8" t="str">
        <x:v>.pdf</x:v>
      </x:c>
      <x:c r="F1105" s="8" t="n">
        <x:v>262918</x:v>
      </x:c>
      <x:c r="G1105" s="8" t="str">
        <x:v>Text extras</x:v>
      </x:c>
      <x:c r="H1105" s="8" t="str">
        <x:v>Pachet pentru auditor; nu dovedește depunere AFIR</x:v>
      </x:c>
      <x:c r="I1105" s="8" t="str"/>
      <x:c r="J1105" s="8" t="e">
        <x:f>HYPERLINK("file:///Z:/00. Proiecte 2025/AFIR FotoVoltaic 1/30.1 Cerere Rambursare 1/12. Raportul de audit financiar/Ce s-a trimis la Tamas/20.1 PV_03_Receptie_structura_08_04_2026 (2).v2.pdf","Deschide sursa")</x:f>
        <x:v>HYPERLINK is not implemented. linkLocation=file:///Z:/00. Proiecte 2025/AFIR FotoVoltaic 1/30.1 Cerere Rambursare 1/12. Raportul de audit financiar/Ce s-a trimis la Tamas/20.1 PV_03_Receptie_structura_08_04_2026 (2).v2.pdf, friendlyName=Deschide sursa</x:v>
      </x:c>
    </x:row>
    <x:row r="1106" ht="36" customHeight="1">
      <x:c r="A1106" s="8" t="str">
        <x:v>F1102</x:v>
      </x:c>
      <x:c r="B1106" s="8" t="str">
        <x:v>20.2 PV_03_Receptie_structura_08_04_2026 (2).v2.pdf</x:v>
      </x:c>
      <x:c r="C1106" s="8" t="str">
        <x:v>30.1 Cerere Rambursare 1</x:v>
      </x:c>
      <x:c r="D1106" s="8" t="str">
        <x:v>Proiect fotovoltaic</x:v>
      </x:c>
      <x:c r="E1106" s="8" t="str">
        <x:v>.pdf</x:v>
      </x:c>
      <x:c r="F1106" s="8" t="n">
        <x:v>262918</x:v>
      </x:c>
      <x:c r="G1106" s="8" t="str">
        <x:v>Text extras</x:v>
      </x:c>
      <x:c r="H1106" s="8" t="str">
        <x:v>Pachet pentru auditor; nu dovedește depunere AFIR</x:v>
      </x:c>
      <x:c r="I1106" s="8" t="str">
        <x:v>F1101</x:v>
      </x:c>
      <x:c r="J1106" s="8" t="e">
        <x:f>HYPERLINK("file:///Z:/00. Proiecte 2025/AFIR FotoVoltaic 1/30.1 Cerere Rambursare 1/12. Raportul de audit financiar/Ce s-a trimis la Tamas/20.2 PV_03_Receptie_structura_08_04_2026 (2).v2.pdf","Deschide sursa")</x:f>
        <x:v>HYPERLINK is not implemented. linkLocation=file:///Z:/00. Proiecte 2025/AFIR FotoVoltaic 1/30.1 Cerere Rambursare 1/12. Raportul de audit financiar/Ce s-a trimis la Tamas/20.2 PV_03_Receptie_structura_08_04_2026 (2).v2.pdf, friendlyName=Deschide sursa</x:v>
      </x:c>
    </x:row>
    <x:row r="1107" ht="36" customHeight="1">
      <x:c r="A1107" s="8" t="str">
        <x:v>F1103</x:v>
      </x:c>
      <x:c r="B1107" s="8" t="str">
        <x:v>21 PV_04_Montaj_structura_14_04_2026 (1).v2.pdf</x:v>
      </x:c>
      <x:c r="C1107" s="8" t="str">
        <x:v>30.1 Cerere Rambursare 1</x:v>
      </x:c>
      <x:c r="D1107" s="8" t="str">
        <x:v>Proiect fotovoltaic</x:v>
      </x:c>
      <x:c r="E1107" s="8" t="str">
        <x:v>.pdf</x:v>
      </x:c>
      <x:c r="F1107" s="8" t="n">
        <x:v>320894</x:v>
      </x:c>
      <x:c r="G1107" s="8" t="str">
        <x:v>Text extras</x:v>
      </x:c>
      <x:c r="H1107" s="8" t="str">
        <x:v>Pachet pentru auditor; nu dovedește depunere AFIR</x:v>
      </x:c>
      <x:c r="I1107" s="8" t="str"/>
      <x:c r="J1107" s="8" t="e">
        <x:f>HYPERLINK("file:///Z:/00. Proiecte 2025/AFIR FotoVoltaic 1/30.1 Cerere Rambursare 1/12. Raportul de audit financiar/Ce s-a trimis la Tamas/21 PV_04_Montaj_structura_14_04_2026 (1).v2.pdf","Deschide sursa")</x:f>
        <x:v>HYPERLINK is not implemented. linkLocation=file:///Z:/00. Proiecte 2025/AFIR FotoVoltaic 1/30.1 Cerere Rambursare 1/12. Raportul de audit financiar/Ce s-a trimis la Tamas/21 PV_04_Montaj_structura_14_04_2026 (1).v2.pdf, friendlyName=Deschide sursa</x:v>
      </x:c>
    </x:row>
    <x:row r="1108" ht="36" customHeight="1">
      <x:c r="A1108" s="8" t="str">
        <x:v>F1104</x:v>
      </x:c>
      <x:c r="B1108" s="8" t="str">
        <x:v>22.1 PV_04_Montaj_structura_14_04_2026 (1).v2.pdf</x:v>
      </x:c>
      <x:c r="C1108" s="8" t="str">
        <x:v>30.1 Cerere Rambursare 1</x:v>
      </x:c>
      <x:c r="D1108" s="8" t="str">
        <x:v>Proiect fotovoltaic</x:v>
      </x:c>
      <x:c r="E1108" s="8" t="str">
        <x:v>.pdf</x:v>
      </x:c>
      <x:c r="F1108" s="8" t="n">
        <x:v>320894</x:v>
      </x:c>
      <x:c r="G1108" s="8" t="str">
        <x:v>Text extras</x:v>
      </x:c>
      <x:c r="H1108" s="8" t="str">
        <x:v>Pachet pentru auditor; nu dovedește depunere AFIR</x:v>
      </x:c>
      <x:c r="I1108" s="8" t="str">
        <x:v>F1103</x:v>
      </x:c>
      <x:c r="J1108" s="8" t="e">
        <x:f>HYPERLINK("file:///Z:/00. Proiecte 2025/AFIR FotoVoltaic 1/30.1 Cerere Rambursare 1/12. Raportul de audit financiar/Ce s-a trimis la Tamas/22.1 PV_04_Montaj_structura_14_04_2026 (1).v2.pdf","Deschide sursa")</x:f>
        <x:v>HYPERLINK is not implemented. linkLocation=file:///Z:/00. Proiecte 2025/AFIR FotoVoltaic 1/30.1 Cerere Rambursare 1/12. Raportul de audit financiar/Ce s-a trimis la Tamas/22.1 PV_04_Montaj_structura_14_04_2026 (1).v2.pdf, friendlyName=Deschide sursa</x:v>
      </x:c>
    </x:row>
    <x:row r="1109" ht="36" customHeight="1">
      <x:c r="A1109" s="8" t="str">
        <x:v>F1105</x:v>
      </x:c>
      <x:c r="B1109" s="8" t="str">
        <x:v>22.2 Centralizator_2222_panouri_montate_CD1 v1.pdf</x:v>
      </x:c>
      <x:c r="C1109" s="8" t="str">
        <x:v>30.1 Cerere Rambursare 1</x:v>
      </x:c>
      <x:c r="D1109" s="8" t="str">
        <x:v>Proiect fotovoltaic</x:v>
      </x:c>
      <x:c r="E1109" s="8" t="str">
        <x:v>.pdf</x:v>
      </x:c>
      <x:c r="F1109" s="8" t="n">
        <x:v>7228685</x:v>
      </x:c>
      <x:c r="G1109" s="8" t="str">
        <x:v>Text extras</x:v>
      </x:c>
      <x:c r="H1109" s="8" t="str">
        <x:v>Pachet pentru auditor; nu dovedește depunere AFIR</x:v>
      </x:c>
      <x:c r="I1109" s="8" t="str"/>
      <x:c r="J1109" s="8" t="e">
        <x:f>HYPERLINK("file:///Z:/00. Proiecte 2025/AFIR FotoVoltaic 1/30.1 Cerere Rambursare 1/12. Raportul de audit financiar/Ce s-a trimis la Tamas/22.2 Centralizator_2222_panouri_montate_CD1 v1.pdf","Deschide sursa")</x:f>
        <x:v>HYPERLINK is not implemented. linkLocation=file:///Z:/00. Proiecte 2025/AFIR FotoVoltaic 1/30.1 Cerere Rambursare 1/12. Raportul de audit financiar/Ce s-a trimis la Tamas/22.2 Centralizator_2222_panouri_montate_CD1 v1.pdf, friendlyName=Deschide sursa</x:v>
      </x:c>
    </x:row>
    <x:row r="1110" ht="36" customHeight="1">
      <x:c r="A1110" s="8" t="str">
        <x:v>F1106</x:v>
      </x:c>
      <x:c r="B1110" s="8" t="str">
        <x:v>23. PV_06_Montaj_module_28_06_2026 v2.pdf</x:v>
      </x:c>
      <x:c r="C1110" s="8" t="str">
        <x:v>30.1 Cerere Rambursare 1</x:v>
      </x:c>
      <x:c r="D1110" s="8" t="str">
        <x:v>Proiect fotovoltaic</x:v>
      </x:c>
      <x:c r="E1110" s="8" t="str">
        <x:v>.pdf</x:v>
      </x:c>
      <x:c r="F1110" s="8" t="n">
        <x:v>290586</x:v>
      </x:c>
      <x:c r="G1110" s="8" t="str">
        <x:v>Text extras</x:v>
      </x:c>
      <x:c r="H1110" s="8" t="str">
        <x:v>Pachet pentru auditor; nu dovedește depunere AFIR</x:v>
      </x:c>
      <x:c r="I1110" s="8" t="str"/>
      <x:c r="J1110" s="8" t="e">
        <x:f>HYPERLINK("file:///Z:/00. Proiecte 2025/AFIR FotoVoltaic 1/30.1 Cerere Rambursare 1/12. Raportul de audit financiar/Ce s-a trimis la Tamas/23. PV_06_Montaj_module_28_06_2026 v2.pdf","Deschide sursa")</x:f>
        <x:v>HYPERLINK is not implemented. linkLocation=file:///Z:/00. Proiecte 2025/AFIR FotoVoltaic 1/30.1 Cerere Rambursare 1/12. Raportul de audit financiar/Ce s-a trimis la Tamas/23. PV_06_Montaj_module_28_06_2026 v2.pdf, friendlyName=Deschide sursa</x:v>
      </x:c>
    </x:row>
    <x:row r="1111" ht="36" customHeight="1">
      <x:c r="A1111" s="8" t="str">
        <x:v>F1107</x:v>
      </x:c>
      <x:c r="B1111" s="8" t="str">
        <x:v>24. PV_07_Verificare_faze_determinante_30_06_2026 v3.pdf</x:v>
      </x:c>
      <x:c r="C1111" s="8" t="str">
        <x:v>30.1 Cerere Rambursare 1</x:v>
      </x:c>
      <x:c r="D1111" s="8" t="str">
        <x:v>Proiect fotovoltaic</x:v>
      </x:c>
      <x:c r="E1111" s="8" t="str">
        <x:v>.pdf</x:v>
      </x:c>
      <x:c r="F1111" s="8" t="n">
        <x:v>282064</x:v>
      </x:c>
      <x:c r="G1111" s="8" t="str">
        <x:v>Text extras</x:v>
      </x:c>
      <x:c r="H1111" s="8" t="str">
        <x:v>Pachet pentru auditor; nu dovedește depunere AFIR</x:v>
      </x:c>
      <x:c r="I1111" s="8" t="str"/>
      <x:c r="J1111" s="8" t="e">
        <x:f>HYPERLINK("file:///Z:/00. Proiecte 2025/AFIR FotoVoltaic 1/30.1 Cerere Rambursare 1/12. Raportul de audit financiar/Ce s-a trimis la Tamas/24. PV_07_Verificare_faze_determinante_30_06_2026 v3.pdf","Deschide sursa")</x:f>
        <x:v>HYPERLINK is not implemented. linkLocation=file:///Z:/00. Proiecte 2025/AFIR FotoVoltaic 1/30.1 Cerere Rambursare 1/12. Raportul de audit financiar/Ce s-a trimis la Tamas/24. PV_07_Verificare_faze_determinante_30_06_2026 v3.pdf, friendlyName=Deschide sursa</x:v>
      </x:c>
    </x:row>
    <x:row r="1112" ht="36" customHeight="1">
      <x:c r="A1112" s="8" t="str">
        <x:v>F1108</x:v>
      </x:c>
      <x:c r="B1112" s="8" t="str">
        <x:v>25. PV_08_Receptie_partiala_transa1_03_07_2026 v2.pdf</x:v>
      </x:c>
      <x:c r="C1112" s="8" t="str">
        <x:v>30.1 Cerere Rambursare 1</x:v>
      </x:c>
      <x:c r="D1112" s="8" t="str">
        <x:v>Proiect fotovoltaic</x:v>
      </x:c>
      <x:c r="E1112" s="8" t="str">
        <x:v>.pdf</x:v>
      </x:c>
      <x:c r="F1112" s="8" t="n">
        <x:v>310025</x:v>
      </x:c>
      <x:c r="G1112" s="8" t="str">
        <x:v>Text extras</x:v>
      </x:c>
      <x:c r="H1112" s="8" t="str">
        <x:v>Pachet pentru auditor; nu dovedește depunere AFIR</x:v>
      </x:c>
      <x:c r="I1112" s="8" t="str"/>
      <x:c r="J1112" s="8" t="e">
        <x:f>HYPERLINK("file:///Z:/00. Proiecte 2025/AFIR FotoVoltaic 1/30.1 Cerere Rambursare 1/12. Raportul de audit financiar/Ce s-a trimis la Tamas/25. PV_08_Receptie_partiala_transa1_03_07_2026 v2.pdf","Deschide sursa")</x:f>
        <x:v>HYPERLINK is not implemented. linkLocation=file:///Z:/00. Proiecte 2025/AFIR FotoVoltaic 1/30.1 Cerere Rambursare 1/12. Raportul de audit financiar/Ce s-a trimis la Tamas/25. PV_08_Receptie_partiala_transa1_03_07_2026 v2.pdf, friendlyName=Deschide sursa</x:v>
      </x:c>
    </x:row>
    <x:row r="1113" ht="36" customHeight="1">
      <x:c r="A1113" s="8" t="str">
        <x:v>F1109</x:v>
      </x:c>
      <x:c r="B1113" s="8" t="str">
        <x:v>3. AP_1.2_SE_declaratie_de_cheltuieli--_V3.pdf</x:v>
      </x:c>
      <x:c r="C1113" s="8" t="str">
        <x:v>30.1 Cerere Rambursare 1</x:v>
      </x:c>
      <x:c r="D1113" s="8" t="str">
        <x:v>Proiect fotovoltaic</x:v>
      </x:c>
      <x:c r="E1113" s="8" t="str">
        <x:v>.pdf</x:v>
      </x:c>
      <x:c r="F1113" s="8" t="n">
        <x:v>724890</x:v>
      </x:c>
      <x:c r="G1113" s="8" t="str">
        <x:v>Text extras</x:v>
      </x:c>
      <x:c r="H1113" s="8" t="str">
        <x:v>Pachet pentru auditor; nu dovedește depunere AFIR</x:v>
      </x:c>
      <x:c r="I1113" s="8" t="str"/>
      <x:c r="J1113" s="8" t="e">
        <x:f>HYPERLINK("file:///Z:/00. Proiecte 2025/AFIR FotoVoltaic 1/30.1 Cerere Rambursare 1/12. Raportul de audit financiar/Ce s-a trimis la Tamas/3. AP_1.2_SE_declaratie_de_cheltuieli--_V3.pdf","Deschide sursa")</x:f>
        <x:v>HYPERLINK is not implemented. linkLocation=file:///Z:/00. Proiecte 2025/AFIR FotoVoltaic 1/30.1 Cerere Rambursare 1/12. Raportul de audit financiar/Ce s-a trimis la Tamas/3. AP_1.2_SE_declaratie_de_cheltuieli--_V3.pdf, friendlyName=Deschide sursa</x:v>
      </x:c>
    </x:row>
    <x:row r="1114" ht="36" customHeight="1">
      <x:c r="A1114" s="8" t="str">
        <x:v>F1110</x:v>
      </x:c>
      <x:c r="B1114" s="8" t="str">
        <x:v>4. 2 Acte Aditionale Contract de Achizitie.pdf</x:v>
      </x:c>
      <x:c r="C1114" s="8" t="str">
        <x:v>30.1 Cerere Rambursare 1</x:v>
      </x:c>
      <x:c r="D1114" s="8" t="str">
        <x:v>Proiect fotovoltaic</x:v>
      </x:c>
      <x:c r="E1114" s="8" t="str">
        <x:v>.pdf</x:v>
      </x:c>
      <x:c r="F1114" s="8" t="n">
        <x:v>11327172</x:v>
      </x:c>
      <x:c r="G1114" s="8" t="str">
        <x:v>Text extras</x:v>
      </x:c>
      <x:c r="H1114" s="8" t="str">
        <x:v>Pachet pentru auditor; nu dovedește depunere AFIR</x:v>
      </x:c>
      <x:c r="I1114" s="8" t="str"/>
      <x:c r="J1114" s="8" t="e">
        <x:f>HYPERLINK("file:///Z:/00. Proiecte 2025/AFIR FotoVoltaic 1/30.1 Cerere Rambursare 1/12. Raportul de audit financiar/Ce s-a trimis la Tamas/4. 2 Acte Aditionale Contract de Achizitie.pdf","Deschide sursa")</x:f>
        <x:v>HYPERLINK is not implemented. linkLocation=file:///Z:/00. Proiecte 2025/AFIR FotoVoltaic 1/30.1 Cerere Rambursare 1/12. Raportul de audit financiar/Ce s-a trimis la Tamas/4. 2 Acte Aditionale Contract de Achizitie.pdf, friendlyName=Deschide sursa</x:v>
      </x:c>
    </x:row>
    <x:row r="1115" ht="36" customHeight="1">
      <x:c r="A1115" s="8" t="str">
        <x:v>F1111</x:v>
      </x:c>
      <x:c r="B1115" s="8" t="str">
        <x:v>4.1 Contract de achizitie Cesiro Production-Suntree.pdf</x:v>
      </x:c>
      <x:c r="C1115" s="8" t="str">
        <x:v>30.1 Cerere Rambursare 1</x:v>
      </x:c>
      <x:c r="D1115" s="8" t="str">
        <x:v>Proiect fotovoltaic</x:v>
      </x:c>
      <x:c r="E1115" s="8" t="str">
        <x:v>.pdf</x:v>
      </x:c>
      <x:c r="F1115" s="8" t="n">
        <x:v>4840623</x:v>
      </x:c>
      <x:c r="G1115" s="8" t="str">
        <x:v>Text extras</x:v>
      </x:c>
      <x:c r="H1115" s="8" t="str">
        <x:v>Pachet pentru auditor; nu dovedește depunere AFIR</x:v>
      </x:c>
      <x:c r="I1115" s="8" t="str">
        <x:v>F0098</x:v>
      </x:c>
      <x:c r="J1115" s="8" t="e">
        <x:f>HYPERLINK("file:///Z:/00. Proiecte 2025/AFIR FotoVoltaic 1/30.1 Cerere Rambursare 1/12. Raportul de audit financiar/Ce s-a trimis la Tamas/4.1 Contract de achizitie Cesiro Production-Suntree.pdf","Deschide sursa")</x:f>
        <x:v>HYPERLINK is not implemented. linkLocation=file:///Z:/00. Proiecte 2025/AFIR FotoVoltaic 1/30.1 Cerere Rambursare 1/12. Raportul de audit financiar/Ce s-a trimis la Tamas/4.1 Contract de achizitie Cesiro Production-Suntree.pdf, friendlyName=Deschide sursa</x:v>
      </x:c>
    </x:row>
    <x:row r="1116" ht="36" customHeight="1">
      <x:c r="A1116" s="8" t="str">
        <x:v>F1112</x:v>
      </x:c>
      <x:c r="B1116" s="8" t="str">
        <x:v>5. AP_1_3_SE_Raport_executie_Transa1_v4.pdf</x:v>
      </x:c>
      <x:c r="C1116" s="8" t="str">
        <x:v>30.1 Cerere Rambursare 1</x:v>
      </x:c>
      <x:c r="D1116" s="8" t="str">
        <x:v>Proiect fotovoltaic</x:v>
      </x:c>
      <x:c r="E1116" s="8" t="str">
        <x:v>.pdf</x:v>
      </x:c>
      <x:c r="F1116" s="8" t="n">
        <x:v>5622719</x:v>
      </x:c>
      <x:c r="G1116" s="8" t="str">
        <x:v>Scan / text insuficient</x:v>
      </x:c>
      <x:c r="H1116" s="8" t="str">
        <x:v>Pachet pentru auditor; nu dovedește depunere AFIR</x:v>
      </x:c>
      <x:c r="I1116" s="8" t="str"/>
      <x:c r="J1116" s="8" t="e">
        <x:f>HYPERLINK("file:///Z:/00. Proiecte 2025/AFIR FotoVoltaic 1/30.1 Cerere Rambursare 1/12. Raportul de audit financiar/Ce s-a trimis la Tamas/5. AP_1_3_SE_Raport_executie_Transa1_v4.pdf","Deschide sursa")</x:f>
        <x:v>HYPERLINK is not implemented. linkLocation=file:///Z:/00. Proiecte 2025/AFIR FotoVoltaic 1/30.1 Cerere Rambursare 1/12. Raportul de audit financiar/Ce s-a trimis la Tamas/5. AP_1_3_SE_Raport_executie_Transa1_v4.pdf, friendlyName=Deschide sursa</x:v>
      </x:c>
    </x:row>
    <x:row r="1117" ht="36" customHeight="1">
      <x:c r="A1117" s="8" t="str">
        <x:v>F1113</x:v>
      </x:c>
      <x:c r="B1117" s="8" t="str">
        <x:v>6. Anexa_1_Centralizator_procese_verbale_Transa1v2.pdf</x:v>
      </x:c>
      <x:c r="C1117" s="8" t="str">
        <x:v>30.1 Cerere Rambursare 1</x:v>
      </x:c>
      <x:c r="D1117" s="8" t="str">
        <x:v>Proiect fotovoltaic</x:v>
      </x:c>
      <x:c r="E1117" s="8" t="str">
        <x:v>.pdf</x:v>
      </x:c>
      <x:c r="F1117" s="8" t="n">
        <x:v>297977</x:v>
      </x:c>
      <x:c r="G1117" s="8" t="str">
        <x:v>Text extras</x:v>
      </x:c>
      <x:c r="H1117" s="8" t="str">
        <x:v>Pachet pentru auditor; nu dovedește depunere AFIR</x:v>
      </x:c>
      <x:c r="I1117" s="8" t="str"/>
      <x:c r="J1117" s="8" t="e">
        <x:f>HYPERLINK("file:///Z:/00. Proiecte 2025/AFIR FotoVoltaic 1/30.1 Cerere Rambursare 1/12. Raportul de audit financiar/Ce s-a trimis la Tamas/6. Anexa_1_Centralizator_procese_verbale_Transa1v2.pdf","Deschide sursa")</x:f>
        <x:v>HYPERLINK is not implemented. linkLocation=file:///Z:/00. Proiecte 2025/AFIR FotoVoltaic 1/30.1 Cerere Rambursare 1/12. Raportul de audit financiar/Ce s-a trimis la Tamas/6. Anexa_1_Centralizator_procese_verbale_Transa1v2.pdf, friendlyName=Deschide sursa</x:v>
      </x:c>
    </x:row>
    <x:row r="1118" ht="36" customHeight="1">
      <x:c r="A1118" s="8" t="str">
        <x:v>F1114</x:v>
      </x:c>
      <x:c r="B1118" s="8" t="str">
        <x:v>7. Situatie_de_plata_transa_V2_v4.pdf</x:v>
      </x:c>
      <x:c r="C1118" s="8" t="str">
        <x:v>30.1 Cerere Rambursare 1</x:v>
      </x:c>
      <x:c r="D1118" s="8" t="str">
        <x:v>Proiect fotovoltaic</x:v>
      </x:c>
      <x:c r="E1118" s="8" t="str">
        <x:v>.pdf</x:v>
      </x:c>
      <x:c r="F1118" s="8" t="n">
        <x:v>5360647</x:v>
      </x:c>
      <x:c r="G1118" s="8" t="str">
        <x:v>Text extras</x:v>
      </x:c>
      <x:c r="H1118" s="8" t="str">
        <x:v>Pachet pentru auditor; nu dovedește depunere AFIR</x:v>
      </x:c>
      <x:c r="I1118" s="8" t="str"/>
      <x:c r="J1118" s="8" t="e">
        <x:f>HYPERLINK("file:///Z:/00. Proiecte 2025/AFIR FotoVoltaic 1/30.1 Cerere Rambursare 1/12. Raportul de audit financiar/Ce s-a trimis la Tamas/7. Situatie_de_plata_transa_V2_v4.pdf","Deschide sursa")</x:f>
        <x:v>HYPERLINK is not implemented. linkLocation=file:///Z:/00. Proiecte 2025/AFIR FotoVoltaic 1/30.1 Cerere Rambursare 1/12. Raportul de audit financiar/Ce s-a trimis la Tamas/7. Situatie_de_plata_transa_V2_v4.pdf, friendlyName=Deschide sursa</x:v>
      </x:c>
    </x:row>
    <x:row r="1119" ht="36" customHeight="1">
      <x:c r="A1119" s="8" t="str">
        <x:v>F1115</x:v>
      </x:c>
      <x:c r="B1119" s="8" t="str">
        <x:v>8. Certificate, conformitate, calitate, garanții- DE FACUT.zip</x:v>
      </x:c>
      <x:c r="C1119" s="8" t="str">
        <x:v>30.1 Cerere Rambursare 1</x:v>
      </x:c>
      <x:c r="D1119" s="8" t="str">
        <x:v>Proiect fotovoltaic</x:v>
      </x:c>
      <x:c r="E1119" s="8" t="str">
        <x:v>.zip</x:v>
      </x:c>
      <x:c r="F1119" s="8" t="n">
        <x:v>32750358</x:v>
      </x:c>
      <x:c r="G1119" s="8" t="str">
        <x:v>Inventar ZIP</x:v>
      </x:c>
      <x:c r="H1119" s="8" t="str">
        <x:v>Pachet pentru auditor; nu dovedește depunere AFIR</x:v>
      </x:c>
      <x:c r="I1119" s="8" t="str"/>
      <x:c r="J1119" s="8" t="e">
        <x:f>HYPERLINK("file:///Z:/00. Proiecte 2025/AFIR FotoVoltaic 1/30.1 Cerere Rambursare 1/12. Raportul de audit financiar/Ce s-a trimis la Tamas/8. Certificate, conformitate, calitate, garanții- DE FACUT.zip","Deschide sursa")</x:f>
        <x:v>HYPERLINK is not implemented. linkLocation=file:///Z:/00. Proiecte 2025/AFIR FotoVoltaic 1/30.1 Cerere Rambursare 1/12. Raportul de audit financiar/Ce s-a trimis la Tamas/8. Certificate, conformitate, calitate, garanții- DE FACUT.zip, friendlyName=Deschide sursa</x:v>
      </x:c>
    </x:row>
    <x:row r="1120" ht="36" customHeight="1">
      <x:c r="A1120" s="8" t="str">
        <x:v>F1116</x:v>
      </x:c>
      <x:c r="B1120" s="8" t="str">
        <x:v>9-10 Documentar_fotografic_CESIRO_Transa1_REVIZUITv2.pdf</x:v>
      </x:c>
      <x:c r="C1120" s="8" t="str">
        <x:v>30.1 Cerere Rambursare 1</x:v>
      </x:c>
      <x:c r="D1120" s="8" t="str">
        <x:v>Proiect fotovoltaic</x:v>
      </x:c>
      <x:c r="E1120" s="8" t="str">
        <x:v>.pdf</x:v>
      </x:c>
      <x:c r="F1120" s="8" t="n">
        <x:v>5000127</x:v>
      </x:c>
      <x:c r="G1120" s="8" t="str">
        <x:v>Text extras</x:v>
      </x:c>
      <x:c r="H1120" s="8" t="str">
        <x:v>Pachet pentru auditor; nu dovedește depunere AFIR</x:v>
      </x:c>
      <x:c r="I1120" s="8" t="str"/>
      <x:c r="J1120" s="8" t="e">
        <x:f>HYPERLINK("file:///Z:/00. Proiecte 2025/AFIR FotoVoltaic 1/30.1 Cerere Rambursare 1/12. Raportul de audit financiar/Ce s-a trimis la Tamas/9-10 Documentar_fotografic_CESIRO_Transa1_REVIZUITv2.pdf","Deschide sursa")</x:f>
        <x:v>HYPERLINK is not implemented. linkLocation=file:///Z:/00. Proiecte 2025/AFIR FotoVoltaic 1/30.1 Cerere Rambursare 1/12. Raportul de audit financiar/Ce s-a trimis la Tamas/9-10 Documentar_fotografic_CESIRO_Transa1_REVIZUITv2.pdf, friendlyName=Deschide sursa</x:v>
      </x:c>
    </x:row>
    <x:row r="1121" ht="36" customHeight="1">
      <x:c r="A1121" s="8" t="str">
        <x:v>F1117</x:v>
      </x:c>
      <x:c r="B1121" s="8" t="str">
        <x:v>CesiroProductionAFIR.zip</x:v>
      </x:c>
      <x:c r="C1121" s="8" t="str">
        <x:v>30.1 Cerere Rambursare 1</x:v>
      </x:c>
      <x:c r="D1121" s="8" t="str">
        <x:v>Proiect fotovoltaic</x:v>
      </x:c>
      <x:c r="E1121" s="8" t="str">
        <x:v>.zip</x:v>
      </x:c>
      <x:c r="F1121" s="8" t="n">
        <x:v>90603641</x:v>
      </x:c>
      <x:c r="G1121" s="8" t="str">
        <x:v>Inventar ZIP</x:v>
      </x:c>
      <x:c r="H1121" s="8" t="str">
        <x:v>Pachet pentru auditor; nu dovedește depunere AFIR</x:v>
      </x:c>
      <x:c r="I1121" s="8" t="str"/>
      <x:c r="J1121" s="8" t="e">
        <x:f>HYPERLINK("file:///Z:/00. Proiecte 2025/AFIR FotoVoltaic 1/30.1 Cerere Rambursare 1/12. Raportul de audit financiar/Ce s-a trimis la Tamas/CesiroProductionAFIR.zip","Deschide sursa")</x:f>
        <x:v>HYPERLINK is not implemented. linkLocation=file:///Z:/00. Proiecte 2025/AFIR FotoVoltaic 1/30.1 Cerere Rambursare 1/12. Raportul de audit financiar/Ce s-a trimis la Tamas/CesiroProductionAFIR.zip, friendlyName=Deschide sursa</x:v>
      </x:c>
    </x:row>
    <x:row r="1122" ht="36" customHeight="1">
      <x:c r="A1122" s="8" t="str">
        <x:v>F1118</x:v>
      </x:c>
      <x:c r="B1122" s="8" t="str">
        <x:v>C3.3.4_.pdf</x:v>
      </x:c>
      <x:c r="C1122" s="8" t="str">
        <x:v>30.1 Cerere Rambursare 1</x:v>
      </x:c>
      <x:c r="D1122" s="8" t="str">
        <x:v>Proiect fotovoltaic</x:v>
      </x:c>
      <x:c r="E1122" s="8" t="str">
        <x:v>.pdf</x:v>
      </x:c>
      <x:c r="F1122" s="8" t="n">
        <x:v>683510</x:v>
      </x:c>
      <x:c r="G1122" s="8" t="str">
        <x:v>Text extras</x:v>
      </x:c>
      <x:c r="H1122" s="8" t="str">
        <x:v>Pachet pentru auditor; nu dovedește depunere AFIR</x:v>
      </x:c>
      <x:c r="I1122" s="8" t="str">
        <x:v>F0767</x:v>
      </x:c>
      <x:c r="J1122" s="8" t="e">
        <x:f>HYPERLINK("file:///Z:/00. Proiecte 2025/AFIR FotoVoltaic 1/30.1 Cerere Rambursare 1/12. Raportul de audit financiar/Ce s-a trimis la Tamas/26. Avizare Act aditional nr.1/C3.3.4_.pdf","Deschide sursa")</x:f>
        <x:v>HYPERLINK is not implemented. linkLocation=file:///Z:/00. Proiecte 2025/AFIR FotoVoltaic 1/30.1 Cerere Rambursare 1/12. Raportul de audit financiar/Ce s-a trimis la Tamas/26. Avizare Act aditional nr.1/C3.3.4_.pdf, friendlyName=Deschide sursa</x:v>
      </x:c>
    </x:row>
    <x:row r="1123" ht="36" customHeight="1">
      <x:c r="A1123" s="8" t="str">
        <x:v>F1119</x:v>
      </x:c>
      <x:c r="B1123" s="8" t="str">
        <x:v>Fisa tehnica invertor.pdf</x:v>
      </x:c>
      <x:c r="C1123" s="8" t="str">
        <x:v>30.1 Cerere Rambursare 1</x:v>
      </x:c>
      <x:c r="D1123" s="8" t="str">
        <x:v>Proiect fotovoltaic</x:v>
      </x:c>
      <x:c r="E1123" s="8" t="str">
        <x:v>.pdf</x:v>
      </x:c>
      <x:c r="F1123" s="8" t="n">
        <x:v>441689</x:v>
      </x:c>
      <x:c r="G1123" s="8" t="str">
        <x:v>Text extras</x:v>
      </x:c>
      <x:c r="H1123" s="8" t="str">
        <x:v>Pachet pentru auditor; nu dovedește depunere AFIR</x:v>
      </x:c>
      <x:c r="I1123" s="8" t="str">
        <x:v>F0486</x:v>
      </x:c>
      <x:c r="J1123" s="8" t="e">
        <x:f>HYPERLINK("file:///Z:/00. Proiecte 2025/AFIR FotoVoltaic 1/30.1 Cerere Rambursare 1/12. Raportul de audit financiar/Ce s-a trimis la Tamas/26. Avizare Act aditional nr.1/Fisa tehnica invertor.pdf","Deschide sursa")</x:f>
        <x:v>HYPERLINK is not implemented. linkLocation=file:///Z:/00. Proiecte 2025/AFIR FotoVoltaic 1/30.1 Cerere Rambursare 1/12. Raportul de audit financiar/Ce s-a trimis la Tamas/26. Avizare Act aditional nr.1/Fisa tehnica invertor.pdf, friendlyName=Deschide sursa</x:v>
      </x:c>
    </x:row>
    <x:row r="1124" ht="36" customHeight="1">
      <x:c r="A1124" s="8" t="str">
        <x:v>F1120</x:v>
      </x:c>
      <x:c r="B1124" s="8" t="str">
        <x:v>Fisa tehnica panou.pdf</x:v>
      </x:c>
      <x:c r="C1124" s="8" t="str">
        <x:v>30.1 Cerere Rambursare 1</x:v>
      </x:c>
      <x:c r="D1124" s="8" t="str">
        <x:v>Proiect fotovoltaic</x:v>
      </x:c>
      <x:c r="E1124" s="8" t="str">
        <x:v>.pdf</x:v>
      </x:c>
      <x:c r="F1124" s="8" t="n">
        <x:v>255454</x:v>
      </x:c>
      <x:c r="G1124" s="8" t="str">
        <x:v>Text extras</x:v>
      </x:c>
      <x:c r="H1124" s="8" t="str">
        <x:v>Pachet pentru auditor; nu dovedește depunere AFIR</x:v>
      </x:c>
      <x:c r="I1124" s="8" t="str">
        <x:v>F0269</x:v>
      </x:c>
      <x:c r="J1124" s="8" t="e">
        <x:f>HYPERLINK("file:///Z:/00. Proiecte 2025/AFIR FotoVoltaic 1/30.1 Cerere Rambursare 1/12. Raportul de audit financiar/Ce s-a trimis la Tamas/26. Avizare Act aditional nr.1/Fisa tehnica panou.pdf","Deschide sursa")</x:f>
        <x:v>HYPERLINK is not implemented. linkLocation=file:///Z:/00. Proiecte 2025/AFIR FotoVoltaic 1/30.1 Cerere Rambursare 1/12. Raportul de audit financiar/Ce s-a trimis la Tamas/26. Avizare Act aditional nr.1/Fisa tehnica panou.pdf, friendlyName=Deschide sursa</x:v>
      </x:c>
    </x:row>
    <x:row r="1125" ht="36" customHeight="1">
      <x:c r="A1125" s="8" t="str">
        <x:v>F1121</x:v>
      </x:c>
      <x:c r="B1125" s="8" t="str">
        <x:v>Formular_C3_1_completat _.pdf</x:v>
      </x:c>
      <x:c r="C1125" s="8" t="str">
        <x:v>30.1 Cerere Rambursare 1</x:v>
      </x:c>
      <x:c r="D1125" s="8" t="str">
        <x:v>Proiect fotovoltaic</x:v>
      </x:c>
      <x:c r="E1125" s="8" t="str">
        <x:v>.pdf</x:v>
      </x:c>
      <x:c r="F1125" s="8" t="n">
        <x:v>320142</x:v>
      </x:c>
      <x:c r="G1125" s="8" t="str">
        <x:v>Text extras</x:v>
      </x:c>
      <x:c r="H1125" s="8" t="str">
        <x:v>Pachet pentru auditor; nu dovedește depunere AFIR</x:v>
      </x:c>
      <x:c r="I1125" s="8" t="str">
        <x:v>F0761</x:v>
      </x:c>
      <x:c r="J1125" s="8" t="e">
        <x:f>HYPERLINK("file:///Z:/00. Proiecte 2025/AFIR FotoVoltaic 1/30.1 Cerere Rambursare 1/12. Raportul de audit financiar/Ce s-a trimis la Tamas/26. Avizare Act aditional nr.1/Formular_C3_1_completat _.pdf","Deschide sursa")</x:f>
        <x:v>HYPERLINK is not implemented. linkLocation=file:///Z:/00. Proiecte 2025/AFIR FotoVoltaic 1/30.1 Cerere Rambursare 1/12. Raportul de audit financiar/Ce s-a trimis la Tamas/26. Avizare Act aditional nr.1/Formular_C3_1_completat _.pdf, friendlyName=Deschide sursa</x:v>
      </x:c>
    </x:row>
    <x:row r="1126" ht="36" customHeight="1">
      <x:c r="A1126" s="8" t="str">
        <x:v>F1122</x:v>
      </x:c>
      <x:c r="B1126" s="8" t="str">
        <x:v>Memoriu_Justificativ_Consolidat_CESIRO (2).pdf</x:v>
      </x:c>
      <x:c r="C1126" s="8" t="str">
        <x:v>30.1 Cerere Rambursare 1</x:v>
      </x:c>
      <x:c r="D1126" s="8" t="str">
        <x:v>Proiect fotovoltaic</x:v>
      </x:c>
      <x:c r="E1126" s="8" t="str">
        <x:v>.pdf</x:v>
      </x:c>
      <x:c r="F1126" s="8" t="n">
        <x:v>367855</x:v>
      </x:c>
      <x:c r="G1126" s="8" t="str">
        <x:v>Text extras</x:v>
      </x:c>
      <x:c r="H1126" s="8" t="str">
        <x:v>Pachet pentru auditor; nu dovedește depunere AFIR</x:v>
      </x:c>
      <x:c r="I1126" s="8" t="str">
        <x:v>F0763</x:v>
      </x:c>
      <x:c r="J1126" s="8" t="e">
        <x:f>HYPERLINK("file:///Z:/00. Proiecte 2025/AFIR FotoVoltaic 1/30.1 Cerere Rambursare 1/12. Raportul de audit financiar/Ce s-a trimis la Tamas/26. Avizare Act aditional nr.1/Memoriu_Justificativ_Consolidat_CESIRO (2).pdf","Deschide sursa")</x:f>
        <x:v>HYPERLINK is not implemented. linkLocation=file:///Z:/00. Proiecte 2025/AFIR FotoVoltaic 1/30.1 Cerere Rambursare 1/12. Raportul de audit financiar/Ce s-a trimis la Tamas/26. Avizare Act aditional nr.1/Memoriu_Justificativ_Consolidat_CESIRO (2).pdf, friendlyName=Deschide sursa</x:v>
      </x:c>
    </x:row>
    <x:row r="1127" ht="36" customHeight="1">
      <x:c r="A1127" s="8" t="str">
        <x:v>F1123</x:v>
      </x:c>
      <x:c r="B1127" s="8" t="str">
        <x:v>Referat_proiectant_CESIRO__s.pdf</x:v>
      </x:c>
      <x:c r="C1127" s="8" t="str">
        <x:v>30.1 Cerere Rambursare 1</x:v>
      </x:c>
      <x:c r="D1127" s="8" t="str">
        <x:v>Proiect fotovoltaic</x:v>
      </x:c>
      <x:c r="E1127" s="8" t="str">
        <x:v>.pdf</x:v>
      </x:c>
      <x:c r="F1127" s="8" t="n">
        <x:v>12457305</x:v>
      </x:c>
      <x:c r="G1127" s="8" t="str">
        <x:v>Text extras</x:v>
      </x:c>
      <x:c r="H1127" s="8" t="str">
        <x:v>Pachet pentru auditor; nu dovedește depunere AFIR</x:v>
      </x:c>
      <x:c r="I1127" s="8" t="str">
        <x:v>F0764</x:v>
      </x:c>
      <x:c r="J1127" s="8" t="e">
        <x:f>HYPERLINK("file:///Z:/00. Proiecte 2025/AFIR FotoVoltaic 1/30.1 Cerere Rambursare 1/12. Raportul de audit financiar/Ce s-a trimis la Tamas/26. Avizare Act aditional nr.1/Referat_proiectant_CESIRO__s.pdf","Deschide sursa")</x:f>
        <x:v>HYPERLINK is not implemented. linkLocation=file:///Z:/00. Proiecte 2025/AFIR FotoVoltaic 1/30.1 Cerere Rambursare 1/12. Raportul de audit financiar/Ce s-a trimis la Tamas/26. Avizare Act aditional nr.1/Referat_proiectant_CESIRO__s.pdf, friendlyName=Deschide sursa</x:v>
      </x:c>
    </x:row>
    <x:row r="1128" ht="36" customHeight="1">
      <x:c r="A1128" s="8" t="str">
        <x:v>F1124</x:v>
      </x:c>
      <x:c r="B1128" s="8" t="str">
        <x:v>Studiu_Justificativ_Aprofundat_CESIRO (2).pdf</x:v>
      </x:c>
      <x:c r="C1128" s="8" t="str">
        <x:v>30.1 Cerere Rambursare 1</x:v>
      </x:c>
      <x:c r="D1128" s="8" t="str">
        <x:v>Proiect fotovoltaic</x:v>
      </x:c>
      <x:c r="E1128" s="8" t="str">
        <x:v>.pdf</x:v>
      </x:c>
      <x:c r="F1128" s="8" t="n">
        <x:v>527000</x:v>
      </x:c>
      <x:c r="G1128" s="8" t="str">
        <x:v>Text extras</x:v>
      </x:c>
      <x:c r="H1128" s="8" t="str">
        <x:v>Pachet pentru auditor; nu dovedește depunere AFIR</x:v>
      </x:c>
      <x:c r="I1128" s="8" t="str">
        <x:v>F0765</x:v>
      </x:c>
      <x:c r="J1128" s="8" t="e">
        <x:f>HYPERLINK("file:///Z:/00. Proiecte 2025/AFIR FotoVoltaic 1/30.1 Cerere Rambursare 1/12. Raportul de audit financiar/Ce s-a trimis la Tamas/26. Avizare Act aditional nr.1/Studiu_Justificativ_Aprofundat_CESIRO (2).pdf","Deschide sursa")</x:f>
        <x:v>HYPERLINK is not implemented. linkLocation=file:///Z:/00. Proiecte 2025/AFIR FotoVoltaic 1/30.1 Cerere Rambursare 1/12. Raportul de audit financiar/Ce s-a trimis la Tamas/26. Avizare Act aditional nr.1/Studiu_Justificativ_Aprofundat_CESIRO (2).pdf, friendlyName=Deschide sursa</x:v>
      </x:c>
    </x:row>
    <x:row r="1129" ht="36" customHeight="1">
      <x:c r="A1129" s="8" t="str">
        <x:v>F1125</x:v>
      </x:c>
      <x:c r="B1129" s="8" t="str">
        <x:v>Adresa_Inaintare_CESIRO_AFIR_.pdf</x:v>
      </x:c>
      <x:c r="C1129" s="8" t="str">
        <x:v>30.1 Cerere Rambursare 1</x:v>
      </x:c>
      <x:c r="D1129" s="8" t="str">
        <x:v>Proiect fotovoltaic</x:v>
      </x:c>
      <x:c r="E1129" s="8" t="str">
        <x:v>.pdf</x:v>
      </x:c>
      <x:c r="F1129" s="8" t="n">
        <x:v>315697</x:v>
      </x:c>
      <x:c r="G1129" s="8" t="str">
        <x:v>Text extras</x:v>
      </x:c>
      <x:c r="H1129" s="8" t="str">
        <x:v>Pachet pentru auditor; nu dovedește depunere AFIR</x:v>
      </x:c>
      <x:c r="I1129" s="8" t="str">
        <x:v>F0796</x:v>
      </x:c>
      <x:c r="J1129" s="8" t="e">
        <x:f>HYPERLINK("file:///Z:/00. Proiecte 2025/AFIR FotoVoltaic 1/30.1 Cerere Rambursare 1/12. Raportul de audit financiar/Ce s-a trimis la Tamas/27. Avizare Notificare Nr.2/Adresa_Inaintare_CESIRO_AFIR_.pdf","Deschide sursa")</x:f>
        <x:v>HYPERLINK is not implemented. linkLocation=file:///Z:/00. Proiecte 2025/AFIR FotoVoltaic 1/30.1 Cerere Rambursare 1/12. Raportul de audit financiar/Ce s-a trimis la Tamas/27. Avizare Notificare Nr.2/Adresa_Inaintare_CESIRO_AFIR_.pdf, friendlyName=Deschide sursa</x:v>
      </x:c>
    </x:row>
    <x:row r="1130" ht="36" customHeight="1">
      <x:c r="A1130" s="8" t="str">
        <x:v>F1126</x:v>
      </x:c>
      <x:c r="B1130" s="8" t="str">
        <x:v>C3.3.8 (1) (1).pdf</x:v>
      </x:c>
      <x:c r="C1130" s="8" t="str">
        <x:v>30.1 Cerere Rambursare 1</x:v>
      </x:c>
      <x:c r="D1130" s="8" t="str">
        <x:v>Proiect fotovoltaic</x:v>
      </x:c>
      <x:c r="E1130" s="8" t="str">
        <x:v>.pdf</x:v>
      </x:c>
      <x:c r="F1130" s="8" t="n">
        <x:v>382812</x:v>
      </x:c>
      <x:c r="G1130" s="8" t="str">
        <x:v>Text extras</x:v>
      </x:c>
      <x:c r="H1130" s="8" t="str">
        <x:v>Pachet pentru auditor; nu dovedește depunere AFIR</x:v>
      </x:c>
      <x:c r="I1130" s="8" t="str">
        <x:v>F1043</x:v>
      </x:c>
      <x:c r="J1130" s="8" t="e">
        <x:f>HYPERLINK("file:///Z:/00. Proiecte 2025/AFIR FotoVoltaic 1/30.1 Cerere Rambursare 1/12. Raportul de audit financiar/Ce s-a trimis la Tamas/27. Avizare Notificare Nr.2/C3.3.8 (1) (1).pdf","Deschide sursa")</x:f>
        <x:v>HYPERLINK is not implemented. linkLocation=file:///Z:/00. Proiecte 2025/AFIR FotoVoltaic 1/30.1 Cerere Rambursare 1/12. Raportul de audit financiar/Ce s-a trimis la Tamas/27. Avizare Notificare Nr.2/C3.3.8 (1) (1).pdf, friendlyName=Deschide sursa</x:v>
      </x:c>
    </x:row>
    <x:row r="1131" ht="36" customHeight="1">
      <x:c r="A1131" s="8" t="str">
        <x:v>F1127</x:v>
      </x:c>
      <x:c r="B1131" s="8" t="str">
        <x:v>Declaratia Proiectantului-s__.pdf</x:v>
      </x:c>
      <x:c r="C1131" s="8" t="str">
        <x:v>30.1 Cerere Rambursare 1</x:v>
      </x:c>
      <x:c r="D1131" s="8" t="str">
        <x:v>Proiect fotovoltaic</x:v>
      </x:c>
      <x:c r="E1131" s="8" t="str">
        <x:v>.pdf</x:v>
      </x:c>
      <x:c r="F1131" s="8" t="n">
        <x:v>5008901</x:v>
      </x:c>
      <x:c r="G1131" s="8" t="str">
        <x:v>Text extras</x:v>
      </x:c>
      <x:c r="H1131" s="8" t="str">
        <x:v>Pachet pentru auditor; nu dovedește depunere AFIR</x:v>
      </x:c>
      <x:c r="I1131" s="8" t="str">
        <x:v>F0798</x:v>
      </x:c>
      <x:c r="J1131" s="8" t="e">
        <x:f>HYPERLINK("file:///Z:/00. Proiecte 2025/AFIR FotoVoltaic 1/30.1 Cerere Rambursare 1/12. Raportul de audit financiar/Ce s-a trimis la Tamas/27. Avizare Notificare Nr.2/Declaratia Proiectantului-s__.pdf","Deschide sursa")</x:f>
        <x:v>HYPERLINK is not implemented. linkLocation=file:///Z:/00. Proiecte 2025/AFIR FotoVoltaic 1/30.1 Cerere Rambursare 1/12. Raportul de audit financiar/Ce s-a trimis la Tamas/27. Avizare Notificare Nr.2/Declaratia Proiectantului-s__.pdf, friendlyName=Deschide sursa</x:v>
      </x:c>
    </x:row>
    <x:row r="1132" ht="36" customHeight="1">
      <x:c r="A1132" s="8" t="str">
        <x:v>F1128</x:v>
      </x:c>
      <x:c r="B1132" s="8" t="str">
        <x:v>Formular_C3_1_completat-de solicitare_.pdf</x:v>
      </x:c>
      <x:c r="C1132" s="8" t="str">
        <x:v>30.1 Cerere Rambursare 1</x:v>
      </x:c>
      <x:c r="D1132" s="8" t="str">
        <x:v>Proiect fotovoltaic</x:v>
      </x:c>
      <x:c r="E1132" s="8" t="str">
        <x:v>.pdf</x:v>
      </x:c>
      <x:c r="F1132" s="8" t="n">
        <x:v>317597</x:v>
      </x:c>
      <x:c r="G1132" s="8" t="str">
        <x:v>Text extras</x:v>
      </x:c>
      <x:c r="H1132" s="8" t="str">
        <x:v>Pachet pentru auditor; nu dovedește depunere AFIR</x:v>
      </x:c>
      <x:c r="I1132" s="8" t="str">
        <x:v>F0802</x:v>
      </x:c>
      <x:c r="J1132" s="8" t="e">
        <x:f>HYPERLINK("file:///Z:/00. Proiecte 2025/AFIR FotoVoltaic 1/30.1 Cerere Rambursare 1/12. Raportul de audit financiar/Ce s-a trimis la Tamas/27. Avizare Notificare Nr.2/Formular_C3_1_completat-de solicitare_.pdf","Deschide sursa")</x:f>
        <x:v>HYPERLINK is not implemented. linkLocation=file:///Z:/00. Proiecte 2025/AFIR FotoVoltaic 1/30.1 Cerere Rambursare 1/12. Raportul de audit financiar/Ce s-a trimis la Tamas/27. Avizare Notificare Nr.2/Formular_C3_1_completat-de solicitare_.pdf, friendlyName=Deschide sursa</x:v>
      </x:c>
    </x:row>
    <x:row r="1133" ht="36" customHeight="1">
      <x:c r="A1133" s="8" t="str">
        <x:v>F1129</x:v>
      </x:c>
      <x:c r="B1133" s="8" t="str">
        <x:v>bal apr 26.pdf</x:v>
      </x:c>
      <x:c r="C1133" s="8" t="str">
        <x:v>30.1 Cerere Rambursare 1</x:v>
      </x:c>
      <x:c r="D1133" s="8" t="str">
        <x:v>Proiect fotovoltaic</x:v>
      </x:c>
      <x:c r="E1133" s="8" t="str">
        <x:v>.pdf</x:v>
      </x:c>
      <x:c r="F1133" s="8" t="n">
        <x:v>26417</x:v>
      </x:c>
      <x:c r="G1133" s="8" t="str">
        <x:v>Text extras</x:v>
      </x:c>
      <x:c r="H1133" s="8" t="str">
        <x:v>Versiune de lucru / arhivă</x:v>
      </x:c>
      <x:c r="I1133" s="8" t="str"/>
      <x:c r="J1133" s="8" t="e">
        <x:f>HYPERLINK("file:///Z:/00. Proiecte 2025/AFIR FotoVoltaic 1/30.1 Cerere Rambursare 1/17. Documente contabile și evidență analitică-/Draft/bal apr 26.pdf","Deschide sursa")</x:f>
        <x:v>HYPERLINK is not implemented. linkLocation=file:///Z:/00. Proiecte 2025/AFIR FotoVoltaic 1/30.1 Cerere Rambursare 1/17. Documente contabile și evidență analitică-/Draft/bal apr 26.pdf, friendlyName=Deschide sursa</x:v>
      </x:c>
    </x:row>
    <x:row r="1134" ht="36" customHeight="1">
      <x:c r="A1134" s="8" t="str">
        <x:v>F1130</x:v>
      </x:c>
      <x:c r="B1134" s="8" t="str">
        <x:v>bal febr 26.pdf</x:v>
      </x:c>
      <x:c r="C1134" s="8" t="str">
        <x:v>30.1 Cerere Rambursare 1</x:v>
      </x:c>
      <x:c r="D1134" s="8" t="str">
        <x:v>Proiect fotovoltaic</x:v>
      </x:c>
      <x:c r="E1134" s="8" t="str">
        <x:v>.pdf</x:v>
      </x:c>
      <x:c r="F1134" s="8" t="n">
        <x:v>23997</x:v>
      </x:c>
      <x:c r="G1134" s="8" t="str">
        <x:v>Text extras</x:v>
      </x:c>
      <x:c r="H1134" s="8" t="str">
        <x:v>Versiune de lucru / arhivă</x:v>
      </x:c>
      <x:c r="I1134" s="8" t="str"/>
      <x:c r="J1134" s="8" t="e">
        <x:f>HYPERLINK("file:///Z:/00. Proiecte 2025/AFIR FotoVoltaic 1/30.1 Cerere Rambursare 1/17. Documente contabile și evidență analitică-/Draft/bal febr 26.pdf","Deschide sursa")</x:f>
        <x:v>HYPERLINK is not implemented. linkLocation=file:///Z:/00. Proiecte 2025/AFIR FotoVoltaic 1/30.1 Cerere Rambursare 1/17. Documente contabile și evidență analitică-/Draft/bal febr 26.pdf, friendlyName=Deschide sursa</x:v>
      </x:c>
    </x:row>
    <x:row r="1135" ht="36" customHeight="1">
      <x:c r="A1135" s="8" t="str">
        <x:v>F1131</x:v>
      </x:c>
      <x:c r="B1135" s="8" t="str">
        <x:v>bal iul 26.pdf</x:v>
      </x:c>
      <x:c r="C1135" s="8" t="str">
        <x:v>30.1 Cerere Rambursare 1</x:v>
      </x:c>
      <x:c r="D1135" s="8" t="str">
        <x:v>Proiect fotovoltaic</x:v>
      </x:c>
      <x:c r="E1135" s="8" t="str">
        <x:v>.pdf</x:v>
      </x:c>
      <x:c r="F1135" s="8" t="n">
        <x:v>27374</x:v>
      </x:c>
      <x:c r="G1135" s="8" t="str">
        <x:v>Text extras</x:v>
      </x:c>
      <x:c r="H1135" s="8" t="str">
        <x:v>Versiune de lucru / arhivă</x:v>
      </x:c>
      <x:c r="I1135" s="8" t="str"/>
      <x:c r="J1135" s="8" t="e">
        <x:f>HYPERLINK("file:///Z:/00. Proiecte 2025/AFIR FotoVoltaic 1/30.1 Cerere Rambursare 1/17. Documente contabile și evidență analitică-/Draft/bal iul 26.pdf","Deschide sursa")</x:f>
        <x:v>HYPERLINK is not implemented. linkLocation=file:///Z:/00. Proiecte 2025/AFIR FotoVoltaic 1/30.1 Cerere Rambursare 1/17. Documente contabile și evidență analitică-/Draft/bal iul 26.pdf, friendlyName=Deschide sursa</x:v>
      </x:c>
    </x:row>
    <x:row r="1136" ht="36" customHeight="1">
      <x:c r="A1136" s="8" t="str">
        <x:v>F1132</x:v>
      </x:c>
      <x:c r="B1136" s="8" t="str">
        <x:v>bal iun 26.pdf</x:v>
      </x:c>
      <x:c r="C1136" s="8" t="str">
        <x:v>30.1 Cerere Rambursare 1</x:v>
      </x:c>
      <x:c r="D1136" s="8" t="str">
        <x:v>Proiect fotovoltaic</x:v>
      </x:c>
      <x:c r="E1136" s="8" t="str">
        <x:v>.pdf</x:v>
      </x:c>
      <x:c r="F1136" s="8" t="n">
        <x:v>27351</x:v>
      </x:c>
      <x:c r="G1136" s="8" t="str">
        <x:v>Text extras</x:v>
      </x:c>
      <x:c r="H1136" s="8" t="str">
        <x:v>Versiune de lucru / arhivă</x:v>
      </x:c>
      <x:c r="I1136" s="8" t="str"/>
      <x:c r="J1136" s="8" t="e">
        <x:f>HYPERLINK("file:///Z:/00. Proiecte 2025/AFIR FotoVoltaic 1/30.1 Cerere Rambursare 1/17. Documente contabile și evidență analitică-/Draft/bal iun 26.pdf","Deschide sursa")</x:f>
        <x:v>HYPERLINK is not implemented. linkLocation=file:///Z:/00. Proiecte 2025/AFIR FotoVoltaic 1/30.1 Cerere Rambursare 1/17. Documente contabile și evidență analitică-/Draft/bal iun 26.pdf, friendlyName=Deschide sursa</x:v>
      </x:c>
    </x:row>
    <x:row r="1137" ht="36" customHeight="1">
      <x:c r="A1137" s="8" t="str">
        <x:v>F1133</x:v>
      </x:c>
      <x:c r="B1137" s="8" t="str">
        <x:v>bal mai 26.pdf</x:v>
      </x:c>
      <x:c r="C1137" s="8" t="str">
        <x:v>30.1 Cerere Rambursare 1</x:v>
      </x:c>
      <x:c r="D1137" s="8" t="str">
        <x:v>Proiect fotovoltaic</x:v>
      </x:c>
      <x:c r="E1137" s="8" t="str">
        <x:v>.pdf</x:v>
      </x:c>
      <x:c r="F1137" s="8" t="n">
        <x:v>27177</x:v>
      </x:c>
      <x:c r="G1137" s="8" t="str">
        <x:v>Text extras</x:v>
      </x:c>
      <x:c r="H1137" s="8" t="str">
        <x:v>Versiune de lucru / arhivă</x:v>
      </x:c>
      <x:c r="I1137" s="8" t="str"/>
      <x:c r="J1137" s="8" t="e">
        <x:f>HYPERLINK("file:///Z:/00. Proiecte 2025/AFIR FotoVoltaic 1/30.1 Cerere Rambursare 1/17. Documente contabile și evidență analitică-/Draft/bal mai 26.pdf","Deschide sursa")</x:f>
        <x:v>HYPERLINK is not implemented. linkLocation=file:///Z:/00. Proiecte 2025/AFIR FotoVoltaic 1/30.1 Cerere Rambursare 1/17. Documente contabile și evidență analitică-/Draft/bal mai 26.pdf, friendlyName=Deschide sursa</x:v>
      </x:c>
    </x:row>
    <x:row r="1138" ht="36" customHeight="1">
      <x:c r="A1138" s="8" t="str">
        <x:v>F1134</x:v>
      </x:c>
      <x:c r="B1138" s="8" t="str">
        <x:v>bal mart 26.pdf</x:v>
      </x:c>
      <x:c r="C1138" s="8" t="str">
        <x:v>30.1 Cerere Rambursare 1</x:v>
      </x:c>
      <x:c r="D1138" s="8" t="str">
        <x:v>Proiect fotovoltaic</x:v>
      </x:c>
      <x:c r="E1138" s="8" t="str">
        <x:v>.pdf</x:v>
      </x:c>
      <x:c r="F1138" s="8" t="n">
        <x:v>24918</x:v>
      </x:c>
      <x:c r="G1138" s="8" t="str">
        <x:v>Text extras</x:v>
      </x:c>
      <x:c r="H1138" s="8" t="str">
        <x:v>Versiune de lucru / arhivă</x:v>
      </x:c>
      <x:c r="I1138" s="8" t="str"/>
      <x:c r="J1138" s="8" t="e">
        <x:f>HYPERLINK("file:///Z:/00. Proiecte 2025/AFIR FotoVoltaic 1/30.1 Cerere Rambursare 1/17. Documente contabile și evidență analitică-/Draft/bal mart 26.pdf","Deschide sursa")</x:f>
        <x:v>HYPERLINK is not implemented. linkLocation=file:///Z:/00. Proiecte 2025/AFIR FotoVoltaic 1/30.1 Cerere Rambursare 1/17. Documente contabile și evidență analitică-/Draft/bal mart 26.pdf, friendlyName=Deschide sursa</x:v>
      </x:c>
    </x:row>
    <x:row r="1139" ht="36" customHeight="1">
      <x:c r="A1139" s="8" t="str">
        <x:v>F1135</x:v>
      </x:c>
      <x:c r="B1139" s="8" t="str">
        <x:v>balanta ian 2026.pdf</x:v>
      </x:c>
      <x:c r="C1139" s="8" t="str">
        <x:v>30.1 Cerere Rambursare 1</x:v>
      </x:c>
      <x:c r="D1139" s="8" t="str">
        <x:v>Proiect fotovoltaic</x:v>
      </x:c>
      <x:c r="E1139" s="8" t="str">
        <x:v>.pdf</x:v>
      </x:c>
      <x:c r="F1139" s="8" t="n">
        <x:v>22193</x:v>
      </x:c>
      <x:c r="G1139" s="8" t="str">
        <x:v>Text extras</x:v>
      </x:c>
      <x:c r="H1139" s="8" t="str">
        <x:v>Versiune de lucru / arhivă</x:v>
      </x:c>
      <x:c r="I1139" s="8" t="str"/>
      <x:c r="J1139" s="8" t="e">
        <x:f>HYPERLINK("file:///Z:/00. Proiecte 2025/AFIR FotoVoltaic 1/30.1 Cerere Rambursare 1/17. Documente contabile și evidență analitică-/Draft/balanta ian 2026.pdf","Deschide sursa")</x:f>
        <x:v>HYPERLINK is not implemented. linkLocation=file:///Z:/00. Proiecte 2025/AFIR FotoVoltaic 1/30.1 Cerere Rambursare 1/17. Documente contabile și evidență analitică-/Draft/balanta ian 2026.pdf, friendlyName=Deschide sursa</x:v>
      </x:c>
    </x:row>
    <x:row r="1140" ht="36" customHeight="1">
      <x:c r="A1140" s="8" t="str">
        <x:v>F1136</x:v>
      </x:c>
      <x:c r="B1140" s="8" t="str">
        <x:v>Centralizator_2222_panouri_montate_CD1 v1.docx</x:v>
      </x:c>
      <x:c r="C1140" s="8" t="str">
        <x:v>30.1 Cerere Rambursare 1</x:v>
      </x:c>
      <x:c r="D1140" s="8" t="str">
        <x:v>Proiect fotovoltaic</x:v>
      </x:c>
      <x:c r="E1140" s="8" t="str">
        <x:v>.docx</x:v>
      </x:c>
      <x:c r="F1140" s="8" t="n">
        <x:v>439307</x:v>
      </x:c>
      <x:c r="G1140" s="8" t="str">
        <x:v>Text extras</x:v>
      </x:c>
      <x:c r="H1140" s="8" t="str">
        <x:v>Versiune de lucru / arhivă</x:v>
      </x:c>
      <x:c r="I1140" s="8" t="str"/>
      <x:c r="J1140" s="8" t="e">
        <x:f>HYPERLINK("file:///Z:/00. Proiecte 2025/AFIR FotoVoltaic 1/30.1 Cerere Rambursare 1/22. PV Receptie Panouri 23_06_2026/draft/Centralizator_2222_panouri_montate_CD1 v1.docx","Deschide sursa")</x:f>
        <x:v>HYPERLINK is not implemented. linkLocation=file:///Z:/00. Proiecte 2025/AFIR FotoVoltaic 1/30.1 Cerere Rambursare 1/22. PV Receptie Panouri 23_06_2026/draft/Centralizator_2222_panouri_montate_CD1 v1.docx, friendlyName=Deschide sursa</x:v>
      </x:c>
    </x:row>
    <x:row r="1141" ht="36" customHeight="1">
      <x:c r="A1141" s="8" t="str">
        <x:v>F1137</x:v>
      </x:c>
      <x:c r="B1141" s="8" t="str">
        <x:v>Centralizator_2222_panouri_montate_CD1.docx</x:v>
      </x:c>
      <x:c r="C1141" s="8" t="str">
        <x:v>30.1 Cerere Rambursare 1</x:v>
      </x:c>
      <x:c r="D1141" s="8" t="str">
        <x:v>Proiect fotovoltaic</x:v>
      </x:c>
      <x:c r="E1141" s="8" t="str">
        <x:v>.docx</x:v>
      </x:c>
      <x:c r="F1141" s="8" t="n">
        <x:v>464794</x:v>
      </x:c>
      <x:c r="G1141" s="8" t="str">
        <x:v>Text extras</x:v>
      </x:c>
      <x:c r="H1141" s="8" t="str">
        <x:v>Versiune de lucru / arhivă</x:v>
      </x:c>
      <x:c r="I1141" s="8" t="str"/>
      <x:c r="J1141" s="8" t="e">
        <x:f>HYPERLINK("file:///Z:/00. Proiecte 2025/AFIR FotoVoltaic 1/30.1 Cerere Rambursare 1/22. PV Receptie Panouri 23_06_2026/draft/Centralizator_2222_panouri_montate_CD1.docx","Deschide sursa")</x:f>
        <x:v>HYPERLINK is not implemented. linkLocation=file:///Z:/00. Proiecte 2025/AFIR FotoVoltaic 1/30.1 Cerere Rambursare 1/22. PV Receptie Panouri 23_06_2026/draft/Centralizator_2222_panouri_montate_CD1.docx, friendlyName=Deschide sursa</x:v>
      </x:c>
    </x:row>
    <x:row r="1142" ht="36" customHeight="1">
      <x:c r="A1142" s="8" t="str">
        <x:v>F1138</x:v>
      </x:c>
      <x:c r="B1142" s="8" t="str">
        <x:v>PV_05_Receptie_panouri_23_06_2026 (2).docx</x:v>
      </x:c>
      <x:c r="C1142" s="8" t="str">
        <x:v>30.1 Cerere Rambursare 1</x:v>
      </x:c>
      <x:c r="D1142" s="8" t="str">
        <x:v>Proiect fotovoltaic</x:v>
      </x:c>
      <x:c r="E1142" s="8" t="str">
        <x:v>.docx</x:v>
      </x:c>
      <x:c r="F1142" s="8" t="n">
        <x:v>16292</x:v>
      </x:c>
      <x:c r="G1142" s="8" t="str">
        <x:v>Text extras</x:v>
      </x:c>
      <x:c r="H1142" s="8" t="str">
        <x:v>Versiune de lucru / arhivă</x:v>
      </x:c>
      <x:c r="I1142" s="8" t="str"/>
      <x:c r="J1142" s="8" t="e">
        <x:f>HYPERLINK("file:///Z:/00. Proiecte 2025/AFIR FotoVoltaic 1/30.1 Cerere Rambursare 1/22. PV Receptie Panouri 23_06_2026/draft/PV_05_Receptie_panouri_23_06_2026 (2).docx","Deschide sursa")</x:f>
        <x:v>HYPERLINK is not implemented. linkLocation=file:///Z:/00. Proiecte 2025/AFIR FotoVoltaic 1/30.1 Cerere Rambursare 1/22. PV Receptie Panouri 23_06_2026/draft/PV_05_Receptie_panouri_23_06_2026 (2).docx, friendlyName=Deschide sursa</x:v>
      </x:c>
    </x:row>
    <x:row r="1143" ht="36" customHeight="1">
      <x:c r="A1143" s="8" t="str">
        <x:v>F1139</x:v>
      </x:c>
      <x:c r="B1143" s="8" t="str">
        <x:v>AP_1.2_SE_declaratie_de_cheltuieli--.pdf</x:v>
      </x:c>
      <x:c r="C1143" s="8" t="str">
        <x:v>30.1 Cerere Rambursare 1</x:v>
      </x:c>
      <x:c r="D1143" s="8" t="str">
        <x:v>Proiect fotovoltaic</x:v>
      </x:c>
      <x:c r="E1143" s="8" t="str">
        <x:v>.pdf</x:v>
      </x:c>
      <x:c r="F1143" s="8" t="n">
        <x:v>308569</x:v>
      </x:c>
      <x:c r="G1143" s="8" t="str">
        <x:v>Text extras</x:v>
      </x:c>
      <x:c r="H1143" s="8" t="str">
        <x:v>Document local; transmiterea individuală neconfirmată</x:v>
      </x:c>
      <x:c r="I1143" s="8" t="str"/>
      <x:c r="J1143" s="8" t="e">
        <x:f>HYPERLINK("file:///Z:/00. Proiecte 2025/AFIR FotoVoltaic 1/30.1 Cerere Rambursare 1/3. Declarația de cheltuieli/editabil/AP_1.2_SE_declaratie_de_cheltuieli--.pdf","Deschide sursa")</x:f>
        <x:v>HYPERLINK is not implemented. linkLocation=file:///Z:/00. Proiecte 2025/AFIR FotoVoltaic 1/30.1 Cerere Rambursare 1/3. Declarația de cheltuieli/editabil/AP_1.2_SE_declaratie_de_cheltuieli--.pdf, friendlyName=Deschide sursa</x:v>
      </x:c>
    </x:row>
    <x:row r="1144" ht="36" customHeight="1">
      <x:c r="A1144" s="8" t="str">
        <x:v>F1140</x:v>
      </x:c>
      <x:c r="B1144" s="8" t="str">
        <x:v>Act_aditional_prelungire_termen_Suntree.docx</x:v>
      </x:c>
      <x:c r="C1144" s="8" t="str">
        <x:v>30.1 Cerere Rambursare 1</x:v>
      </x:c>
      <x:c r="D1144" s="8" t="str">
        <x:v>Proiect fotovoltaic</x:v>
      </x:c>
      <x:c r="E1144" s="8" t="str">
        <x:v>.docx</x:v>
      </x:c>
      <x:c r="F1144" s="8" t="n">
        <x:v>16250</x:v>
      </x:c>
      <x:c r="G1144" s="8" t="str">
        <x:v>Text extras</x:v>
      </x:c>
      <x:c r="H1144" s="8" t="str">
        <x:v>Versiune de lucru / arhivă</x:v>
      </x:c>
      <x:c r="I1144" s="8" t="str"/>
      <x:c r="J1144" s="8" t="e">
        <x:f>HYPERLINK("file:///Z:/00. Proiecte 2025/AFIR FotoVoltaic 1/30.1 Cerere Rambursare 1/4. Contracte, achiziții și documente suport pentru cheltuieli/draft/Act_aditional_prelungire_termen_Suntree.docx","Deschide sursa")</x:f>
        <x:v>HYPERLINK is not implemented. linkLocation=file:///Z:/00. Proiecte 2025/AFIR FotoVoltaic 1/30.1 Cerere Rambursare 1/4. Contracte, achiziții și documente suport pentru cheltuieli/draft/Act_aditional_prelungire_termen_Suntree.docx, friendlyName=Deschide sursa</x:v>
      </x:c>
    </x:row>
    <x:row r="1145" ht="36" customHeight="1">
      <x:c r="A1145" s="8" t="str">
        <x:v>F1141</x:v>
      </x:c>
      <x:c r="B1145" s="8" t="str">
        <x:v>AP 1.3 SE Raport de execuție.docx</x:v>
      </x:c>
      <x:c r="C1145" s="8" t="str">
        <x:v>30.1 Cerere Rambursare 1</x:v>
      </x:c>
      <x:c r="D1145" s="8" t="str">
        <x:v>Proiect fotovoltaic</x:v>
      </x:c>
      <x:c r="E1145" s="8" t="str">
        <x:v>.docx</x:v>
      </x:c>
      <x:c r="F1145" s="8" t="n">
        <x:v>32388</x:v>
      </x:c>
      <x:c r="G1145" s="8" t="str">
        <x:v>Text extras</x:v>
      </x:c>
      <x:c r="H1145" s="8" t="str">
        <x:v>Versiune de lucru / arhivă</x:v>
      </x:c>
      <x:c r="I1145" s="8" t="str">
        <x:v>F0450</x:v>
      </x:c>
      <x:c r="J1145" s="8" t="e">
        <x:f>HYPERLINK("file:///Z:/00. Proiecte 2025/AFIR FotoVoltaic 1/30.1 Cerere Rambursare 1/5. Raportul de execuție si procese verbale si centralizator panouri si invertore/draft/AP 1.3 SE Raport de execuție.docx","Deschide sursa")</x:f>
        <x:v>HYPERLINK is not implemented. linkLocation=file:///Z:/00. Proiecte 2025/AFIR FotoVoltaic 1/30.1 Cerere Rambursare 1/5. Raportul de execuție si procese verbale si centralizator panouri si invertore/draft/AP 1.3 SE Raport de execuție.docx, friendlyName=Deschide sursa</x:v>
      </x:c>
    </x:row>
    <x:row r="1146" ht="36" customHeight="1">
      <x:c r="A1146" s="8" t="str">
        <x:v>F1142</x:v>
      </x:c>
      <x:c r="B1146" s="8" t="str">
        <x:v>AP_1.3_SE_Raport_executie_CESIRO (3).docx</x:v>
      </x:c>
      <x:c r="C1146" s="8" t="str">
        <x:v>30.1 Cerere Rambursare 1</x:v>
      </x:c>
      <x:c r="D1146" s="8" t="str">
        <x:v>Proiect fotovoltaic</x:v>
      </x:c>
      <x:c r="E1146" s="8" t="str">
        <x:v>.docx</x:v>
      </x:c>
      <x:c r="F1146" s="8" t="n">
        <x:v>34917</x:v>
      </x:c>
      <x:c r="G1146" s="8" t="str">
        <x:v>Text extras</x:v>
      </x:c>
      <x:c r="H1146" s="8" t="str">
        <x:v>Versiune de lucru / arhivă</x:v>
      </x:c>
      <x:c r="I1146" s="8" t="str"/>
      <x:c r="J1146" s="8" t="e">
        <x:f>HYPERLINK("file:///Z:/00. Proiecte 2025/AFIR FotoVoltaic 1/30.1 Cerere Rambursare 1/5. Raportul de execuție si procese verbale si centralizator panouri si invertore/draft/AP_1.3_SE_Raport_executie_CESIRO (3).docx","Deschide sursa")</x:f>
        <x:v>HYPERLINK is not implemented. linkLocation=file:///Z:/00. Proiecte 2025/AFIR FotoVoltaic 1/30.1 Cerere Rambursare 1/5. Raportul de execuție si procese verbale si centralizator panouri si invertore/draft/AP_1.3_SE_Raport_executie_CESIRO (3).docx, friendlyName=Deschide sursa</x:v>
      </x:c>
    </x:row>
    <x:row r="1147" ht="36" customHeight="1">
      <x:c r="A1147" s="8" t="str">
        <x:v>F1143</x:v>
      </x:c>
      <x:c r="B1147" s="8" t="str">
        <x:v>AP_1.3_SE_Raport_executie_CESIRO_FINAL.docx</x:v>
      </x:c>
      <x:c r="C1147" s="8" t="str">
        <x:v>30.1 Cerere Rambursare 1</x:v>
      </x:c>
      <x:c r="D1147" s="8" t="str">
        <x:v>Proiect fotovoltaic</x:v>
      </x:c>
      <x:c r="E1147" s="8" t="str">
        <x:v>.docx</x:v>
      </x:c>
      <x:c r="F1147" s="8" t="n">
        <x:v>31122</x:v>
      </x:c>
      <x:c r="G1147" s="8" t="str">
        <x:v>Text extras</x:v>
      </x:c>
      <x:c r="H1147" s="8" t="str">
        <x:v>Versiune de lucru / arhivă</x:v>
      </x:c>
      <x:c r="I1147" s="8" t="str"/>
      <x:c r="J1147" s="8" t="e">
        <x:f>HYPERLINK("file:///Z:/00. Proiecte 2025/AFIR FotoVoltaic 1/30.1 Cerere Rambursare 1/5. Raportul de execuție si procese verbale si centralizator panouri si invertore/draft/AP_1.3_SE_Raport_executie_CESIRO_FINAL.docx","Deschide sursa")</x:f>
        <x:v>HYPERLINK is not implemented. linkLocation=file:///Z:/00. Proiecte 2025/AFIR FotoVoltaic 1/30.1 Cerere Rambursare 1/5. Raportul de execuție si procese verbale si centralizator panouri si invertore/draft/AP_1.3_SE_Raport_executie_CESIRO_FINAL.docx, friendlyName=Deschide sursa</x:v>
      </x:c>
    </x:row>
    <x:row r="1148" ht="36" customHeight="1">
      <x:c r="A1148" s="8" t="str">
        <x:v>F1144</x:v>
      </x:c>
      <x:c r="B1148" s="8" t="str">
        <x:v>AP_1_3_SE_Raport_executie_Transa1 v1.docx</x:v>
      </x:c>
      <x:c r="C1148" s="8" t="str">
        <x:v>30.1 Cerere Rambursare 1</x:v>
      </x:c>
      <x:c r="D1148" s="8" t="str">
        <x:v>Proiect fotovoltaic</x:v>
      </x:c>
      <x:c r="E1148" s="8" t="str">
        <x:v>.docx</x:v>
      </x:c>
      <x:c r="F1148" s="8" t="n">
        <x:v>22839</x:v>
      </x:c>
      <x:c r="G1148" s="8" t="str">
        <x:v>Text extras</x:v>
      </x:c>
      <x:c r="H1148" s="8" t="str">
        <x:v>Versiune de lucru / arhivă</x:v>
      </x:c>
      <x:c r="I1148" s="8" t="str"/>
      <x:c r="J1148" s="8" t="e">
        <x:f>HYPERLINK("file:///Z:/00. Proiecte 2025/AFIR FotoVoltaic 1/30.1 Cerere Rambursare 1/5. Raportul de execuție si procese verbale si centralizator panouri si invertore/draft/AP_1_3_SE_Raport_executie_Transa1 v1.docx","Deschide sursa")</x:f>
        <x:v>HYPERLINK is not implemented. linkLocation=file:///Z:/00. Proiecte 2025/AFIR FotoVoltaic 1/30.1 Cerere Rambursare 1/5. Raportul de execuție si procese verbale si centralizator panouri si invertore/draft/AP_1_3_SE_Raport_executie_Transa1 v1.docx, friendlyName=Deschide sursa</x:v>
      </x:c>
    </x:row>
    <x:row r="1149" ht="36" customHeight="1">
      <x:c r="A1149" s="8" t="str">
        <x:v>F1145</x:v>
      </x:c>
      <x:c r="B1149" s="8" t="str">
        <x:v>AP_1_3_SE_Raport_executie_Transa1.docx</x:v>
      </x:c>
      <x:c r="C1149" s="8" t="str">
        <x:v>30.1 Cerere Rambursare 1</x:v>
      </x:c>
      <x:c r="D1149" s="8" t="str">
        <x:v>Proiect fotovoltaic</x:v>
      </x:c>
      <x:c r="E1149" s="8" t="str">
        <x:v>.docx</x:v>
      </x:c>
      <x:c r="F1149" s="8" t="n">
        <x:v>25165</x:v>
      </x:c>
      <x:c r="G1149" s="8" t="str">
        <x:v>Text extras</x:v>
      </x:c>
      <x:c r="H1149" s="8" t="str">
        <x:v>Versiune de lucru / arhivă</x:v>
      </x:c>
      <x:c r="I1149" s="8" t="str"/>
      <x:c r="J1149" s="8" t="e">
        <x:f>HYPERLINK("file:///Z:/00. Proiecte 2025/AFIR FotoVoltaic 1/30.1 Cerere Rambursare 1/5. Raportul de execuție si procese verbale si centralizator panouri si invertore/draft/AP_1_3_SE_Raport_executie_Transa1.docx","Deschide sursa")</x:f>
        <x:v>HYPERLINK is not implemented. linkLocation=file:///Z:/00. Proiecte 2025/AFIR FotoVoltaic 1/30.1 Cerere Rambursare 1/5. Raportul de execuție si procese verbale si centralizator panouri si invertore/draft/AP_1_3_SE_Raport_executie_Transa1.docx, friendlyName=Deschide sursa</x:v>
      </x:c>
    </x:row>
    <x:row r="1150" ht="36" customHeight="1">
      <x:c r="A1150" s="8" t="str">
        <x:v>F1146</x:v>
      </x:c>
      <x:c r="B1150" s="8" t="str">
        <x:v>Centralizatore Panouri Folosite pentru CD1.xlsx</x:v>
      </x:c>
      <x:c r="C1150" s="8" t="str">
        <x:v>30.1 Cerere Rambursare 1</x:v>
      </x:c>
      <x:c r="D1150" s="8" t="str">
        <x:v>Proiect fotovoltaic</x:v>
      </x:c>
      <x:c r="E1150" s="8" t="str">
        <x:v>.xlsx</x:v>
      </x:c>
      <x:c r="F1150" s="8" t="n">
        <x:v>55785</x:v>
      </x:c>
      <x:c r="G1150" s="8" t="str">
        <x:v>Inventariat; conținut neextras</x:v>
      </x:c>
      <x:c r="H1150" s="8" t="str">
        <x:v>Versiune de lucru / arhivă</x:v>
      </x:c>
      <x:c r="I1150" s="8" t="str"/>
      <x:c r="J1150" s="8" t="e">
        <x:f>HYPERLINK("file:///Z:/00. Proiecte 2025/AFIR FotoVoltaic 1/30.1 Cerere Rambursare 1/5. Raportul de execuție si procese verbale si centralizator panouri si invertore/draft/Centralizatore Panouri Folosite pentru CD1.xlsx","Deschide sursa")</x:f>
        <x:v>HYPERLINK is not implemented. linkLocation=file:///Z:/00. Proiecte 2025/AFIR FotoVoltaic 1/30.1 Cerere Rambursare 1/5. Raportul de execuție si procese verbale si centralizator panouri si invertore/draft/Centralizatore Panouri Folosite pentru CD1.xlsx, friendlyName=Deschide sursa</x:v>
      </x:c>
    </x:row>
    <x:row r="1151" ht="36" customHeight="1">
      <x:c r="A1151" s="8" t="str">
        <x:v>F1147</x:v>
      </x:c>
      <x:c r="B1151" s="8" t="str">
        <x:v>Centralizator_2222_panouri_montate_CD1.docx</x:v>
      </x:c>
      <x:c r="C1151" s="8" t="str">
        <x:v>30.1 Cerere Rambursare 1</x:v>
      </x:c>
      <x:c r="D1151" s="8" t="str">
        <x:v>Proiect fotovoltaic</x:v>
      </x:c>
      <x:c r="E1151" s="8" t="str">
        <x:v>.docx</x:v>
      </x:c>
      <x:c r="F1151" s="8" t="n">
        <x:v>464726</x:v>
      </x:c>
      <x:c r="G1151" s="8" t="str">
        <x:v>Text extras</x:v>
      </x:c>
      <x:c r="H1151" s="8" t="str">
        <x:v>Versiune de lucru / arhivă</x:v>
      </x:c>
      <x:c r="I1151" s="8" t="str"/>
      <x:c r="J1151" s="8" t="e">
        <x:f>HYPERLINK("file:///Z:/00. Proiecte 2025/AFIR FotoVoltaic 1/30.1 Cerere Rambursare 1/5. Raportul de execuție si procese verbale si centralizator panouri si invertore/draft/Centralizator_2222_panouri_montate_CD1.docx","Deschide sursa")</x:f>
        <x:v>HYPERLINK is not implemented. linkLocation=file:///Z:/00. Proiecte 2025/AFIR FotoVoltaic 1/30.1 Cerere Rambursare 1/5. Raportul de execuție si procese verbale si centralizator panouri si invertore/draft/Centralizator_2222_panouri_montate_CD1.docx, friendlyName=Deschide sursa</x:v>
      </x:c>
    </x:row>
    <x:row r="1152" ht="36" customHeight="1">
      <x:c r="A1152" s="8" t="str">
        <x:v>F1148</x:v>
      </x:c>
      <x:c r="B1152" s="8" t="str">
        <x:v>Centralizator_2222_panouri_montate_CD1.xlsx</x:v>
      </x:c>
      <x:c r="C1152" s="8" t="str">
        <x:v>30.1 Cerere Rambursare 1</x:v>
      </x:c>
      <x:c r="D1152" s="8" t="str">
        <x:v>Proiect fotovoltaic</x:v>
      </x:c>
      <x:c r="E1152" s="8" t="str">
        <x:v>.xlsx</x:v>
      </x:c>
      <x:c r="F1152" s="8" t="n">
        <x:v>201895</x:v>
      </x:c>
      <x:c r="G1152" s="8" t="str">
        <x:v>Inventariat; conținut neextras</x:v>
      </x:c>
      <x:c r="H1152" s="8" t="str">
        <x:v>Versiune de lucru / arhivă</x:v>
      </x:c>
      <x:c r="I1152" s="8" t="str"/>
      <x:c r="J1152" s="8" t="e">
        <x:f>HYPERLINK("file:///Z:/00. Proiecte 2025/AFIR FotoVoltaic 1/30.1 Cerere Rambursare 1/5. Raportul de execuție si procese verbale si centralizator panouri si invertore/draft/Centralizator_2222_panouri_montate_CD1.xlsx","Deschide sursa")</x:f>
        <x:v>HYPERLINK is not implemented. linkLocation=file:///Z:/00. Proiecte 2025/AFIR FotoVoltaic 1/30.1 Cerere Rambursare 1/5. Raportul de execuție si procese verbale si centralizator panouri si invertore/draft/Centralizator_2222_panouri_montate_CD1.xlsx, friendlyName=Deschide sursa</x:v>
      </x:c>
    </x:row>
    <x:row r="1153" ht="36" customHeight="1">
      <x:c r="A1153" s="8" t="str">
        <x:v>F1149</x:v>
      </x:c>
      <x:c r="B1153" s="8" t="str">
        <x:v>Centralizator_serii_invertoare_100kW.docx</x:v>
      </x:c>
      <x:c r="C1153" s="8" t="str">
        <x:v>30.1 Cerere Rambursare 1</x:v>
      </x:c>
      <x:c r="D1153" s="8" t="str">
        <x:v>Proiect fotovoltaic</x:v>
      </x:c>
      <x:c r="E1153" s="8" t="str">
        <x:v>.docx</x:v>
      </x:c>
      <x:c r="F1153" s="8" t="n">
        <x:v>16762</x:v>
      </x:c>
      <x:c r="G1153" s="8" t="str">
        <x:v>Text extras</x:v>
      </x:c>
      <x:c r="H1153" s="8" t="str">
        <x:v>Versiune de lucru / arhivă</x:v>
      </x:c>
      <x:c r="I1153" s="8" t="str"/>
      <x:c r="J1153" s="8" t="e">
        <x:f>HYPERLINK("file:///Z:/00. Proiecte 2025/AFIR FotoVoltaic 1/30.1 Cerere Rambursare 1/5. Raportul de execuție si procese verbale si centralizator panouri si invertore/draft/Centralizator_serii_invertoare_100kW.docx","Deschide sursa")</x:f>
        <x:v>HYPERLINK is not implemented. linkLocation=file:///Z:/00. Proiecte 2025/AFIR FotoVoltaic 1/30.1 Cerere Rambursare 1/5. Raportul de execuție si procese verbale si centralizator panouri si invertore/draft/Centralizator_serii_invertoare_100kW.docx, friendlyName=Deschide sursa</x:v>
      </x:c>
    </x:row>
    <x:row r="1154" ht="36" customHeight="1">
      <x:c r="A1154" s="8" t="str">
        <x:v>F1150</x:v>
      </x:c>
      <x:c r="B1154" s="8" t="str">
        <x:v>CMR_Invertoare.pdf</x:v>
      </x:c>
      <x:c r="C1154" s="8" t="str">
        <x:v>30.1 Cerere Rambursare 1</x:v>
      </x:c>
      <x:c r="D1154" s="8" t="str">
        <x:v>Proiect fotovoltaic</x:v>
      </x:c>
      <x:c r="E1154" s="8" t="str">
        <x:v>.pdf</x:v>
      </x:c>
      <x:c r="F1154" s="8" t="n">
        <x:v>2153562</x:v>
      </x:c>
      <x:c r="G1154" s="8" t="str">
        <x:v>Text extras</x:v>
      </x:c>
      <x:c r="H1154" s="8" t="str">
        <x:v>Versiune de lucru / arhivă</x:v>
      </x:c>
      <x:c r="I1154" s="8" t="str">
        <x:v>F0480</x:v>
      </x:c>
      <x:c r="J1154" s="8" t="e">
        <x:f>HYPERLINK("file:///Z:/00. Proiecte 2025/AFIR FotoVoltaic 1/30.1 Cerere Rambursare 1/5. Raportul de execuție si procese verbale si centralizator panouri si invertore/draft/CMR_Invertoare.pdf","Deschide sursa")</x:f>
        <x:v>HYPERLINK is not implemented. linkLocation=file:///Z:/00. Proiecte 2025/AFIR FotoVoltaic 1/30.1 Cerere Rambursare 1/5. Raportul de execuție si procese verbale si centralizator panouri si invertore/draft/CMR_Invertoare.pdf, friendlyName=Deschide sursa</x:v>
      </x:c>
    </x:row>
    <x:row r="1155" ht="36" customHeight="1">
      <x:c r="A1155" s="8" t="str">
        <x:v>F1151</x:v>
      </x:c>
      <x:c r="B1155" s="8" t="str">
        <x:v>FR-BEAU4498368 (1).xlsx</x:v>
      </x:c>
      <x:c r="C1155" s="8" t="str">
        <x:v>30.1 Cerere Rambursare 1</x:v>
      </x:c>
      <x:c r="D1155" s="8" t="str">
        <x:v>Proiect fotovoltaic</x:v>
      </x:c>
      <x:c r="E1155" s="8" t="str">
        <x:v>.xlsx</x:v>
      </x:c>
      <x:c r="F1155" s="8" t="n">
        <x:v>88090</x:v>
      </x:c>
      <x:c r="G1155" s="8" t="str">
        <x:v>Inventariat; conținut neextras</x:v>
      </x:c>
      <x:c r="H1155" s="8" t="str">
        <x:v>Versiune de lucru / arhivă</x:v>
      </x:c>
      <x:c r="I1155" s="8" t="str"/>
      <x:c r="J1155" s="8" t="e">
        <x:f>HYPERLINK("file:///Z:/00. Proiecte 2025/AFIR FotoVoltaic 1/30.1 Cerere Rambursare 1/5. Raportul de execuție si procese verbale si centralizator panouri si invertore/draft/FR-BEAU4498368 (1).xlsx","Deschide sursa")</x:f>
        <x:v>HYPERLINK is not implemented. linkLocation=file:///Z:/00. Proiecte 2025/AFIR FotoVoltaic 1/30.1 Cerere Rambursare 1/5. Raportul de execuție si procese verbale si centralizator panouri si invertore/draft/FR-BEAU4498368 (1).xlsx, friendlyName=Deschide sursa</x:v>
      </x:c>
    </x:row>
    <x:row r="1156" ht="36" customHeight="1">
      <x:c r="A1156" s="8" t="str">
        <x:v>F1152</x:v>
      </x:c>
      <x:c r="B1156" s="8" t="str">
        <x:v>FR-BEAU4498368_1 (2).xlsx</x:v>
      </x:c>
      <x:c r="C1156" s="8" t="str">
        <x:v>30.1 Cerere Rambursare 1</x:v>
      </x:c>
      <x:c r="D1156" s="8" t="str">
        <x:v>Proiect fotovoltaic</x:v>
      </x:c>
      <x:c r="E1156" s="8" t="str">
        <x:v>.xlsx</x:v>
      </x:c>
      <x:c r="F1156" s="8" t="n">
        <x:v>66503</x:v>
      </x:c>
      <x:c r="G1156" s="8" t="str">
        <x:v>Inventariat; conținut neextras</x:v>
      </x:c>
      <x:c r="H1156" s="8" t="str">
        <x:v>Versiune de lucru / arhivă</x:v>
      </x:c>
      <x:c r="I1156" s="8" t="str"/>
      <x:c r="J1156" s="8" t="e">
        <x:f>HYPERLINK("file:///Z:/00. Proiecte 2025/AFIR FotoVoltaic 1/30.1 Cerere Rambursare 1/5. Raportul de execuție si procese verbale si centralizator panouri si invertore/draft/FR-BEAU4498368_1 (2).xlsx","Deschide sursa")</x:f>
        <x:v>HYPERLINK is not implemented. linkLocation=file:///Z:/00. Proiecte 2025/AFIR FotoVoltaic 1/30.1 Cerere Rambursare 1/5. Raportul de execuție si procese verbale si centralizator panouri si invertore/draft/FR-BEAU4498368_1 (2).xlsx, friendlyName=Deschide sursa</x:v>
      </x:c>
    </x:row>
    <x:row r="1157" ht="36" customHeight="1">
      <x:c r="A1157" s="8" t="str">
        <x:v>F1153</x:v>
      </x:c>
      <x:c r="B1157" s="8" t="str">
        <x:v>FR-CMAU4743375 (1).xlsx</x:v>
      </x:c>
      <x:c r="C1157" s="8" t="str">
        <x:v>30.1 Cerere Rambursare 1</x:v>
      </x:c>
      <x:c r="D1157" s="8" t="str">
        <x:v>Proiect fotovoltaic</x:v>
      </x:c>
      <x:c r="E1157" s="8" t="str">
        <x:v>.xlsx</x:v>
      </x:c>
      <x:c r="F1157" s="8" t="n">
        <x:v>96517</x:v>
      </x:c>
      <x:c r="G1157" s="8" t="str">
        <x:v>Inventariat; conținut neextras</x:v>
      </x:c>
      <x:c r="H1157" s="8" t="str">
        <x:v>Versiune de lucru / arhivă</x:v>
      </x:c>
      <x:c r="I1157" s="8" t="str"/>
      <x:c r="J1157" s="8" t="e">
        <x:f>HYPERLINK("file:///Z:/00. Proiecte 2025/AFIR FotoVoltaic 1/30.1 Cerere Rambursare 1/5. Raportul de execuție si procese verbale si centralizator panouri si invertore/draft/FR-CMAU4743375 (1).xlsx","Deschide sursa")</x:f>
        <x:v>HYPERLINK is not implemented. linkLocation=file:///Z:/00. Proiecte 2025/AFIR FotoVoltaic 1/30.1 Cerere Rambursare 1/5. Raportul de execuție si procese verbale si centralizator panouri si invertore/draft/FR-CMAU4743375 (1).xlsx, friendlyName=Deschide sursa</x:v>
      </x:c>
    </x:row>
    <x:row r="1158" ht="36" customHeight="1">
      <x:c r="A1158" s="8" t="str">
        <x:v>F1154</x:v>
      </x:c>
      <x:c r="B1158" s="8" t="str">
        <x:v>FR-FFAU6252867 (1).xlsx</x:v>
      </x:c>
      <x:c r="C1158" s="8" t="str">
        <x:v>30.1 Cerere Rambursare 1</x:v>
      </x:c>
      <x:c r="D1158" s="8" t="str">
        <x:v>Proiect fotovoltaic</x:v>
      </x:c>
      <x:c r="E1158" s="8" t="str">
        <x:v>.xlsx</x:v>
      </x:c>
      <x:c r="F1158" s="8" t="n">
        <x:v>87848</x:v>
      </x:c>
      <x:c r="G1158" s="8" t="str">
        <x:v>Inventariat; conținut neextras</x:v>
      </x:c>
      <x:c r="H1158" s="8" t="str">
        <x:v>Versiune de lucru / arhivă</x:v>
      </x:c>
      <x:c r="I1158" s="8" t="str"/>
      <x:c r="J1158" s="8" t="e">
        <x:f>HYPERLINK("file:///Z:/00. Proiecte 2025/AFIR FotoVoltaic 1/30.1 Cerere Rambursare 1/5. Raportul de execuție si procese verbale si centralizator panouri si invertore/draft/FR-FFAU6252867 (1).xlsx","Deschide sursa")</x:f>
        <x:v>HYPERLINK is not implemented. linkLocation=file:///Z:/00. Proiecte 2025/AFIR FotoVoltaic 1/30.1 Cerere Rambursare 1/5. Raportul de execuție si procese verbale si centralizator panouri si invertore/draft/FR-FFAU6252867 (1).xlsx, friendlyName=Deschide sursa</x:v>
      </x:c>
    </x:row>
    <x:row r="1159" ht="36" customHeight="1">
      <x:c r="A1159" s="8" t="str">
        <x:v>F1155</x:v>
      </x:c>
      <x:c r="B1159" s="8" t="str">
        <x:v>FR-HMMU4020366 (1).xls</x:v>
      </x:c>
      <x:c r="C1159" s="8" t="str">
        <x:v>30.1 Cerere Rambursare 1</x:v>
      </x:c>
      <x:c r="D1159" s="8" t="str">
        <x:v>Proiect fotovoltaic</x:v>
      </x:c>
      <x:c r="E1159" s="8" t="str">
        <x:v>.xls</x:v>
      </x:c>
      <x:c r="F1159" s="8" t="n">
        <x:v>176128</x:v>
      </x:c>
      <x:c r="G1159" s="8" t="str">
        <x:v>Inventariat; conținut neextras</x:v>
      </x:c>
      <x:c r="H1159" s="8" t="str">
        <x:v>Versiune de lucru / arhivă</x:v>
      </x:c>
      <x:c r="I1159" s="8" t="str"/>
      <x:c r="J1159" s="8" t="e">
        <x:f>HYPERLINK("file:///Z:/00. Proiecte 2025/AFIR FotoVoltaic 1/30.1 Cerere Rambursare 1/5. Raportul de execuție si procese verbale si centralizator panouri si invertore/draft/FR-HMMU4020366 (1).xls","Deschide sursa")</x:f>
        <x:v>HYPERLINK is not implemented. linkLocation=file:///Z:/00. Proiecte 2025/AFIR FotoVoltaic 1/30.1 Cerere Rambursare 1/5. Raportul de execuție si procese verbale si centralizator panouri si invertore/draft/FR-HMMU4020366 (1).xls, friendlyName=Deschide sursa</x:v>
      </x:c>
    </x:row>
    <x:row r="1160" ht="36" customHeight="1">
      <x:c r="A1160" s="8" t="str">
        <x:v>F1156</x:v>
      </x:c>
      <x:c r="B1160" s="8" t="str">
        <x:v>FR-TCNU3081758 (1).xlsx</x:v>
      </x:c>
      <x:c r="C1160" s="8" t="str">
        <x:v>30.1 Cerere Rambursare 1</x:v>
      </x:c>
      <x:c r="D1160" s="8" t="str">
        <x:v>Proiect fotovoltaic</x:v>
      </x:c>
      <x:c r="E1160" s="8" t="str">
        <x:v>.xlsx</x:v>
      </x:c>
      <x:c r="F1160" s="8" t="n">
        <x:v>96522</x:v>
      </x:c>
      <x:c r="G1160" s="8" t="str">
        <x:v>Inventariat; conținut neextras</x:v>
      </x:c>
      <x:c r="H1160" s="8" t="str">
        <x:v>Versiune de lucru / arhivă</x:v>
      </x:c>
      <x:c r="I1160" s="8" t="str"/>
      <x:c r="J1160" s="8" t="e">
        <x:f>HYPERLINK("file:///Z:/00. Proiecte 2025/AFIR FotoVoltaic 1/30.1 Cerere Rambursare 1/5. Raportul de execuție si procese verbale si centralizator panouri si invertore/draft/FR-TCNU3081758 (1).xlsx","Deschide sursa")</x:f>
        <x:v>HYPERLINK is not implemented. linkLocation=file:///Z:/00. Proiecte 2025/AFIR FotoVoltaic 1/30.1 Cerere Rambursare 1/5. Raportul de execuție si procese verbale si centralizator panouri si invertore/draft/FR-TCNU3081758 (1).xlsx, friendlyName=Deschide sursa</x:v>
      </x:c>
    </x:row>
    <x:row r="1161" ht="36" customHeight="1">
      <x:c r="A1161" s="8" t="str">
        <x:v>F1157</x:v>
      </x:c>
      <x:c r="B1161" s="8" t="str">
        <x:v>FR-TXGU7791940 (1).xlsx</x:v>
      </x:c>
      <x:c r="C1161" s="8" t="str">
        <x:v>30.1 Cerere Rambursare 1</x:v>
      </x:c>
      <x:c r="D1161" s="8" t="str">
        <x:v>Proiect fotovoltaic</x:v>
      </x:c>
      <x:c r="E1161" s="8" t="str">
        <x:v>.xlsx</x:v>
      </x:c>
      <x:c r="F1161" s="8" t="n">
        <x:v>87827</x:v>
      </x:c>
      <x:c r="G1161" s="8" t="str">
        <x:v>Inventariat; conținut neextras</x:v>
      </x:c>
      <x:c r="H1161" s="8" t="str">
        <x:v>Versiune de lucru / arhivă</x:v>
      </x:c>
      <x:c r="I1161" s="8" t="str"/>
      <x:c r="J1161" s="8" t="e">
        <x:f>HYPERLINK("file:///Z:/00. Proiecte 2025/AFIR FotoVoltaic 1/30.1 Cerere Rambursare 1/5. Raportul de execuție si procese verbale si centralizator panouri si invertore/draft/FR-TXGU7791940 (1).xlsx","Deschide sursa")</x:f>
        <x:v>HYPERLINK is not implemented. linkLocation=file:///Z:/00. Proiecte 2025/AFIR FotoVoltaic 1/30.1 Cerere Rambursare 1/5. Raportul de execuție si procese verbale si centralizator panouri si invertore/draft/FR-TXGU7791940 (1).xlsx, friendlyName=Deschide sursa</x:v>
      </x:c>
    </x:row>
    <x:row r="1162" ht="36" customHeight="1">
      <x:c r="A1162" s="8" t="str">
        <x:v>F1158</x:v>
      </x:c>
      <x:c r="B1162" s="8" t="str">
        <x:v>FR-YMLU8562482 (1).xlsx</x:v>
      </x:c>
      <x:c r="C1162" s="8" t="str">
        <x:v>30.1 Cerere Rambursare 1</x:v>
      </x:c>
      <x:c r="D1162" s="8" t="str">
        <x:v>Proiect fotovoltaic</x:v>
      </x:c>
      <x:c r="E1162" s="8" t="str">
        <x:v>.xlsx</x:v>
      </x:c>
      <x:c r="F1162" s="8" t="n">
        <x:v>87590</x:v>
      </x:c>
      <x:c r="G1162" s="8" t="str">
        <x:v>Inventariat; conținut neextras</x:v>
      </x:c>
      <x:c r="H1162" s="8" t="str">
        <x:v>Versiune de lucru / arhivă</x:v>
      </x:c>
      <x:c r="I1162" s="8" t="str"/>
      <x:c r="J1162" s="8" t="e">
        <x:f>HYPERLINK("file:///Z:/00. Proiecte 2025/AFIR FotoVoltaic 1/30.1 Cerere Rambursare 1/5. Raportul de execuție si procese verbale si centralizator panouri si invertore/draft/FR-YMLU8562482 (1).xlsx","Deschide sursa")</x:f>
        <x:v>HYPERLINK is not implemented. linkLocation=file:///Z:/00. Proiecte 2025/AFIR FotoVoltaic 1/30.1 Cerere Rambursare 1/5. Raportul de execuție si procese verbale si centralizator panouri si invertore/draft/FR-YMLU8562482 (1).xlsx, friendlyName=Deschide sursa</x:v>
      </x:c>
    </x:row>
    <x:row r="1163" ht="36" customHeight="1">
      <x:c r="A1163" s="8" t="str">
        <x:v>F1159</x:v>
      </x:c>
      <x:c r="B1163" s="8" t="str">
        <x:v>FR-YMMU6831992 (2).xlsx</x:v>
      </x:c>
      <x:c r="C1163" s="8" t="str">
        <x:v>30.1 Cerere Rambursare 1</x:v>
      </x:c>
      <x:c r="D1163" s="8" t="str">
        <x:v>Proiect fotovoltaic</x:v>
      </x:c>
      <x:c r="E1163" s="8" t="str">
        <x:v>.xlsx</x:v>
      </x:c>
      <x:c r="F1163" s="8" t="n">
        <x:v>88079</x:v>
      </x:c>
      <x:c r="G1163" s="8" t="str">
        <x:v>Inventariat; conținut neextras</x:v>
      </x:c>
      <x:c r="H1163" s="8" t="str">
        <x:v>Versiune de lucru / arhivă</x:v>
      </x:c>
      <x:c r="I1163" s="8" t="str"/>
      <x:c r="J1163" s="8" t="e">
        <x:f>HYPERLINK("file:///Z:/00. Proiecte 2025/AFIR FotoVoltaic 1/30.1 Cerere Rambursare 1/5. Raportul de execuție si procese verbale si centralizator panouri si invertore/draft/FR-YMMU6831992 (2).xlsx","Deschide sursa")</x:f>
        <x:v>HYPERLINK is not implemented. linkLocation=file:///Z:/00. Proiecte 2025/AFIR FotoVoltaic 1/30.1 Cerere Rambursare 1/5. Raportul de execuție si procese verbale si centralizator panouri si invertore/draft/FR-YMMU6831992 (2).xlsx, friendlyName=Deschide sursa</x:v>
      </x:c>
    </x:row>
    <x:row r="1164" ht="36" customHeight="1">
      <x:c r="A1164" s="8" t="str">
        <x:v>F1160</x:v>
      </x:c>
      <x:c r="B1164" s="8" t="str">
        <x:v>Situate de plata transa 1.docx</x:v>
      </x:c>
      <x:c r="C1164" s="8" t="str">
        <x:v>30.1 Cerere Rambursare 1</x:v>
      </x:c>
      <x:c r="D1164" s="8" t="str">
        <x:v>Proiect fotovoltaic</x:v>
      </x:c>
      <x:c r="E1164" s="8" t="str">
        <x:v>.docx</x:v>
      </x:c>
      <x:c r="F1164" s="8" t="n">
        <x:v>29139</x:v>
      </x:c>
      <x:c r="G1164" s="8" t="str">
        <x:v>Text extras</x:v>
      </x:c>
      <x:c r="H1164" s="8" t="str">
        <x:v>Versiune de lucru / arhivă</x:v>
      </x:c>
      <x:c r="I1164" s="8" t="str"/>
      <x:c r="J1164" s="8" t="e">
        <x:f>HYPERLINK("file:///Z:/00. Proiecte 2025/AFIR FotoVoltaic 1/30.1 Cerere Rambursare 1/7. Situații de plată pentru lucrări_Situatie de lucrari/draft/Situate de plata transa 1.docx","Deschide sursa")</x:f>
        <x:v>HYPERLINK is not implemented. linkLocation=file:///Z:/00. Proiecte 2025/AFIR FotoVoltaic 1/30.1 Cerere Rambursare 1/7. Situații de plată pentru lucrări_Situatie de lucrari/draft/Situate de plata transa 1.docx, friendlyName=Deschide sursa</x:v>
      </x:c>
    </x:row>
    <x:row r="1165" ht="36" customHeight="1">
      <x:c r="A1165" s="8" t="str">
        <x:v>F1161</x:v>
      </x:c>
      <x:c r="B1165" s="8" t="str">
        <x:v>Situatie_de_plata_transa_V2.docx</x:v>
      </x:c>
      <x:c r="C1165" s="8" t="str">
        <x:v>30.1 Cerere Rambursare 1</x:v>
      </x:c>
      <x:c r="D1165" s="8" t="str">
        <x:v>Proiect fotovoltaic</x:v>
      </x:c>
      <x:c r="E1165" s="8" t="str">
        <x:v>.docx</x:v>
      </x:c>
      <x:c r="F1165" s="8" t="n">
        <x:v>28250</x:v>
      </x:c>
      <x:c r="G1165" s="8" t="str">
        <x:v>Text extras</x:v>
      </x:c>
      <x:c r="H1165" s="8" t="str">
        <x:v>Versiune de lucru / arhivă</x:v>
      </x:c>
      <x:c r="I1165" s="8" t="str"/>
      <x:c r="J1165" s="8" t="e">
        <x:f>HYPERLINK("file:///Z:/00. Proiecte 2025/AFIR FotoVoltaic 1/30.1 Cerere Rambursare 1/7. Situații de plată pentru lucrări_Situatie de lucrari/draft/Situatie_de_plata_transa_V2.docx","Deschide sursa")</x:f>
        <x:v>HYPERLINK is not implemented. linkLocation=file:///Z:/00. Proiecte 2025/AFIR FotoVoltaic 1/30.1 Cerere Rambursare 1/7. Situații de plată pentru lucrări_Situatie de lucrari/draft/Situatie_de_plata_transa_V2.docx, friendlyName=Deschide sursa</x:v>
      </x:c>
    </x:row>
    <x:row r="1166" ht="36" customHeight="1">
      <x:c r="A1166" s="8" t="str">
        <x:v>F1162</x:v>
      </x:c>
      <x:c r="B1166" s="8" t="str">
        <x:v>Situatie_de_plata_transa_V2_v2.docx</x:v>
      </x:c>
      <x:c r="C1166" s="8" t="str">
        <x:v>30.1 Cerere Rambursare 1</x:v>
      </x:c>
      <x:c r="D1166" s="8" t="str">
        <x:v>Proiect fotovoltaic</x:v>
      </x:c>
      <x:c r="E1166" s="8" t="str">
        <x:v>.docx</x:v>
      </x:c>
      <x:c r="F1166" s="8" t="n">
        <x:v>28466</x:v>
      </x:c>
      <x:c r="G1166" s="8" t="str">
        <x:v>Text extras</x:v>
      </x:c>
      <x:c r="H1166" s="8" t="str">
        <x:v>Versiune de lucru / arhivă</x:v>
      </x:c>
      <x:c r="I1166" s="8" t="str"/>
      <x:c r="J1166" s="8" t="e">
        <x:f>HYPERLINK("file:///Z:/00. Proiecte 2025/AFIR FotoVoltaic 1/30.1 Cerere Rambursare 1/7. Situații de plată pentru lucrări_Situatie de lucrari/draft/Situatie_de_plata_transa_V2_v2.docx","Deschide sursa")</x:f>
        <x:v>HYPERLINK is not implemented. linkLocation=file:///Z:/00. Proiecte 2025/AFIR FotoVoltaic 1/30.1 Cerere Rambursare 1/7. Situații de plată pentru lucrări_Situatie de lucrari/draft/Situatie_de_plata_transa_V2_v2.docx, friendlyName=Deschide sursa</x:v>
      </x:c>
    </x:row>
    <x:row r="1167" ht="36" customHeight="1">
      <x:c r="A1167" s="8" t="str">
        <x:v>F1163</x:v>
      </x:c>
      <x:c r="B1167" s="8" t="str">
        <x:v>Situatie_de_plata_transa_V2_v2.pdf</x:v>
      </x:c>
      <x:c r="C1167" s="8" t="str">
        <x:v>30.1 Cerere Rambursare 1</x:v>
      </x:c>
      <x:c r="D1167" s="8" t="str">
        <x:v>Proiect fotovoltaic</x:v>
      </x:c>
      <x:c r="E1167" s="8" t="str">
        <x:v>.pdf</x:v>
      </x:c>
      <x:c r="F1167" s="8" t="n">
        <x:v>5181554</x:v>
      </x:c>
      <x:c r="G1167" s="8" t="str">
        <x:v>Text extras</x:v>
      </x:c>
      <x:c r="H1167" s="8" t="str">
        <x:v>Versiune de lucru / arhivă</x:v>
      </x:c>
      <x:c r="I1167" s="8" t="str"/>
      <x:c r="J1167" s="8" t="e">
        <x:f>HYPERLINK("file:///Z:/00. Proiecte 2025/AFIR FotoVoltaic 1/30.1 Cerere Rambursare 1/7. Situații de plată pentru lucrări_Situatie de lucrari/draft/Situatie_de_plata_transa_V2_v2.pdf","Deschide sursa")</x:f>
        <x:v>HYPERLINK is not implemented. linkLocation=file:///Z:/00. Proiecte 2025/AFIR FotoVoltaic 1/30.1 Cerere Rambursare 1/7. Situații de plată pentru lucrări_Situatie de lucrari/draft/Situatie_de_plata_transa_V2_v2.pdf, friendlyName=Deschide sursa</x:v>
      </x:c>
    </x:row>
    <x:row r="1168" ht="50" customHeight="1">
      <x:c r="A1168" s="8" t="str">
        <x:v>F1164</x:v>
      </x:c>
      <x:c r="B1168" s="8" t="str">
        <x:v>Declaration of conformity - Neets Fotoshooting SRL - Avasco Solar Signed.pdf</x:v>
      </x:c>
      <x:c r="C1168" s="8" t="str">
        <x:v>30.1 Cerere Rambursare 1</x:v>
      </x:c>
      <x:c r="D1168" s="8" t="str">
        <x:v>Proiect fotovoltaic</x:v>
      </x:c>
      <x:c r="E1168" s="8" t="str">
        <x:v>.pdf</x:v>
      </x:c>
      <x:c r="F1168" s="8" t="n">
        <x:v>242850</x:v>
      </x:c>
      <x:c r="G1168" s="8" t="str">
        <x:v>Text extras</x:v>
      </x:c>
      <x:c r="H1168" s="8" t="str">
        <x:v>Versiune de lucru / arhivă</x:v>
      </x:c>
      <x:c r="I1168" s="8" t="str">
        <x:v>F0468</x:v>
      </x:c>
      <x:c r="J1168" s="8" t="e">
        <x:f>HYPERLINK("file:///Z:/00. Proiecte 2025/AFIR FotoVoltaic 1/30.1 Cerere Rambursare 1/8. Certificate, conformitate, calitate, garanții- DE FACUT/AVASCO Solar/Draft/Declaration of conformity - Neets Fotoshooting SRL - Avasco Solar Signed.pdf","Deschide sursa")</x:f>
        <x:v>HYPERLINK is not implemented. linkLocation=file:///Z:/00. Proiecte 2025/AFIR FotoVoltaic 1/30.1 Cerere Rambursare 1/8. Certificate, conformitate, calitate, garanții- DE FACUT/AVASCO Solar/Draft/Declaration of conformity - Neets Fotoshooting SRL - Avasco Solar Signed.pdf, friendlyName=Deschide sursa</x:v>
      </x:c>
    </x:row>
    <x:row r="1169" ht="50" customHeight="1">
      <x:c r="A1169" s="8" t="str">
        <x:v>F1165</x:v>
      </x:c>
      <x:c r="B1169" s="8" t="str">
        <x:v>Product warranty - Cesiro Production SRL - Avasco Solar Signed.pdf</x:v>
      </x:c>
      <x:c r="C1169" s="8" t="str">
        <x:v>30.1 Cerere Rambursare 1</x:v>
      </x:c>
      <x:c r="D1169" s="8" t="str">
        <x:v>Proiect fotovoltaic</x:v>
      </x:c>
      <x:c r="E1169" s="8" t="str">
        <x:v>.pdf</x:v>
      </x:c>
      <x:c r="F1169" s="8" t="n">
        <x:v>219503</x:v>
      </x:c>
      <x:c r="G1169" s="8" t="str">
        <x:v>Text extras</x:v>
      </x:c>
      <x:c r="H1169" s="8" t="str">
        <x:v>Versiune de lucru / arhivă</x:v>
      </x:c>
      <x:c r="I1169" s="8" t="str"/>
      <x:c r="J1169" s="8" t="e">
        <x:f>HYPERLINK("file:///Z:/00. Proiecte 2025/AFIR FotoVoltaic 1/30.1 Cerere Rambursare 1/8. Certificate, conformitate, calitate, garanții- DE FACUT/AVASCO Solar/Draft/Product warranty - Cesiro Production SRL - Avasco Solar Signed.pdf","Deschide sursa")</x:f>
        <x:v>HYPERLINK is not implemented. linkLocation=file:///Z:/00. Proiecte 2025/AFIR FotoVoltaic 1/30.1 Cerere Rambursare 1/8. Certificate, conformitate, calitate, garanții- DE FACUT/AVASCO Solar/Draft/Product warranty - Cesiro Production SRL - Avasco Solar Signed.pdf, friendlyName=Deschide sursa</x:v>
      </x:c>
    </x:row>
    <x:row r="1170" ht="36" customHeight="1">
      <x:c r="A1170" s="8" t="str">
        <x:v>F1166</x:v>
      </x:c>
      <x:c r="B1170" s="8" t="str">
        <x:v>Project report -.pdf</x:v>
      </x:c>
      <x:c r="C1170" s="8" t="str">
        <x:v>30.1 Cerere Rambursare 1</x:v>
      </x:c>
      <x:c r="D1170" s="8" t="str">
        <x:v>Proiect fotovoltaic</x:v>
      </x:c>
      <x:c r="E1170" s="8" t="str">
        <x:v>.pdf</x:v>
      </x:c>
      <x:c r="F1170" s="8" t="n">
        <x:v>6349411</x:v>
      </x:c>
      <x:c r="G1170" s="8" t="str">
        <x:v>Text extras</x:v>
      </x:c>
      <x:c r="H1170" s="8" t="str">
        <x:v>Versiune de lucru / arhivă</x:v>
      </x:c>
      <x:c r="I1170" s="8" t="str"/>
      <x:c r="J1170" s="8" t="e">
        <x:f>HYPERLINK("file:///Z:/00. Proiecte 2025/AFIR FotoVoltaic 1/30.1 Cerere Rambursare 1/8. Certificate, conformitate, calitate, garanții- DE FACUT/AVASCO Solar/Draft/Project report -.pdf","Deschide sursa")</x:f>
        <x:v>HYPERLINK is not implemented. linkLocation=file:///Z:/00. Proiecte 2025/AFIR FotoVoltaic 1/30.1 Cerere Rambursare 1/8. Certificate, conformitate, calitate, garanții- DE FACUT/AVASCO Solar/Draft/Project report -.pdf, friendlyName=Deschide sursa</x:v>
      </x:c>
    </x:row>
    <x:row r="1171" ht="36" customHeight="1">
      <x:c r="A1171" s="8" t="str">
        <x:v>F1167</x:v>
      </x:c>
      <x:c r="B1171" s="8" t="str">
        <x:v>Certificate_SUN2000-100-115KTL-M2_CE-EMC_EN.pdf</x:v>
      </x:c>
      <x:c r="C1171" s="8" t="str">
        <x:v>30.1 Cerere Rambursare 1</x:v>
      </x:c>
      <x:c r="D1171" s="8" t="str">
        <x:v>Proiect fotovoltaic</x:v>
      </x:c>
      <x:c r="E1171" s="8" t="str">
        <x:v>.pdf</x:v>
      </x:c>
      <x:c r="F1171" s="8" t="n">
        <x:v>171711</x:v>
      </x:c>
      <x:c r="G1171" s="8" t="str">
        <x:v>Text extras</x:v>
      </x:c>
      <x:c r="H1171" s="8" t="str">
        <x:v>Versiune de lucru / arhivă</x:v>
      </x:c>
      <x:c r="I1171" s="8" t="str"/>
      <x:c r="J1171" s="8" t="e">
        <x:f>HYPERLINK("file:///Z:/00. Proiecte 2025/AFIR FotoVoltaic 1/30.1 Cerere Rambursare 1/8. Certificate, conformitate, calitate, garanții- DE FACUT/Huawei Cerificate/Draft/Certificate_SUN2000-100-115KTL-M2_CE-EMC_EN.pdf","Deschide sursa")</x:f>
        <x:v>HYPERLINK is not implemented. linkLocation=file:///Z:/00. Proiecte 2025/AFIR FotoVoltaic 1/30.1 Cerere Rambursare 1/8. Certificate, conformitate, calitate, garanții- DE FACUT/Huawei Cerificate/Draft/Certificate_SUN2000-100-115KTL-M2_CE-EMC_EN.pdf, friendlyName=Deschide sursa</x:v>
      </x:c>
    </x:row>
    <x:row r="1172" ht="36" customHeight="1">
      <x:c r="A1172" s="8" t="str">
        <x:v>F1168</x:v>
      </x:c>
      <x:c r="B1172" s="8" t="str">
        <x:v>Certificate_SUN2000-100-115KTL-M2_EN50549-1_EN.pdf</x:v>
      </x:c>
      <x:c r="C1172" s="8" t="str">
        <x:v>30.1 Cerere Rambursare 1</x:v>
      </x:c>
      <x:c r="D1172" s="8" t="str">
        <x:v>Proiect fotovoltaic</x:v>
      </x:c>
      <x:c r="E1172" s="8" t="str">
        <x:v>.pdf</x:v>
      </x:c>
      <x:c r="F1172" s="8" t="n">
        <x:v>469119</x:v>
      </x:c>
      <x:c r="G1172" s="8" t="str">
        <x:v>Text extras</x:v>
      </x:c>
      <x:c r="H1172" s="8" t="str">
        <x:v>Versiune de lucru / arhivă</x:v>
      </x:c>
      <x:c r="I1172" s="8" t="str"/>
      <x:c r="J1172" s="8" t="e">
        <x:f>HYPERLINK("file:///Z:/00. Proiecte 2025/AFIR FotoVoltaic 1/30.1 Cerere Rambursare 1/8. Certificate, conformitate, calitate, garanții- DE FACUT/Huawei Cerificate/Draft/Certificate_SUN2000-100-115KTL-M2_EN50549-1_EN.pdf","Deschide sursa")</x:f>
        <x:v>HYPERLINK is not implemented. linkLocation=file:///Z:/00. Proiecte 2025/AFIR FotoVoltaic 1/30.1 Cerere Rambursare 1/8. Certificate, conformitate, calitate, garanții- DE FACUT/Huawei Cerificate/Draft/Certificate_SUN2000-100-115KTL-M2_EN50549-1_EN.pdf, friendlyName=Deschide sursa</x:v>
      </x:c>
    </x:row>
    <x:row r="1173" ht="36" customHeight="1">
      <x:c r="A1173" s="8" t="str">
        <x:v>F1169</x:v>
      </x:c>
      <x:c r="B1173" s="8" t="str">
        <x:v>Certificate_SUN2000-100-115KTL-M2_EN50549-2_EN.pdf</x:v>
      </x:c>
      <x:c r="C1173" s="8" t="str">
        <x:v>30.1 Cerere Rambursare 1</x:v>
      </x:c>
      <x:c r="D1173" s="8" t="str">
        <x:v>Proiect fotovoltaic</x:v>
      </x:c>
      <x:c r="E1173" s="8" t="str">
        <x:v>.pdf</x:v>
      </x:c>
      <x:c r="F1173" s="8" t="n">
        <x:v>420705</x:v>
      </x:c>
      <x:c r="G1173" s="8" t="str">
        <x:v>Text extras</x:v>
      </x:c>
      <x:c r="H1173" s="8" t="str">
        <x:v>Versiune de lucru / arhivă</x:v>
      </x:c>
      <x:c r="I1173" s="8" t="str"/>
      <x:c r="J1173" s="8" t="e">
        <x:f>HYPERLINK("file:///Z:/00. Proiecte 2025/AFIR FotoVoltaic 1/30.1 Cerere Rambursare 1/8. Certificate, conformitate, calitate, garanții- DE FACUT/Huawei Cerificate/Draft/Certificate_SUN2000-100-115KTL-M2_EN50549-2_EN.pdf","Deschide sursa")</x:f>
        <x:v>HYPERLINK is not implemented. linkLocation=file:///Z:/00. Proiecte 2025/AFIR FotoVoltaic 1/30.1 Cerere Rambursare 1/8. Certificate, conformitate, calitate, garanții- DE FACUT/Huawei Cerificate/Draft/Certificate_SUN2000-100-115KTL-M2_EN50549-2_EN.pdf, friendlyName=Deschide sursa</x:v>
      </x:c>
    </x:row>
    <x:row r="1174" ht="36" customHeight="1">
      <x:c r="A1174" s="8" t="str">
        <x:v>F1170</x:v>
      </x:c>
      <x:c r="B1174" s="8" t="str">
        <x:v>Certificate_SUN2000-100-115KTL-M2_EN62109-1-2_EN.pdf</x:v>
      </x:c>
      <x:c r="C1174" s="8" t="str">
        <x:v>30.1 Cerere Rambursare 1</x:v>
      </x:c>
      <x:c r="D1174" s="8" t="str">
        <x:v>Proiect fotovoltaic</x:v>
      </x:c>
      <x:c r="E1174" s="8" t="str">
        <x:v>.pdf</x:v>
      </x:c>
      <x:c r="F1174" s="8" t="n">
        <x:v>243037</x:v>
      </x:c>
      <x:c r="G1174" s="8" t="str">
        <x:v>Text extras</x:v>
      </x:c>
      <x:c r="H1174" s="8" t="str">
        <x:v>Versiune de lucru / arhivă</x:v>
      </x:c>
      <x:c r="I1174" s="8" t="str"/>
      <x:c r="J1174" s="8" t="e">
        <x:f>HYPERLINK("file:///Z:/00. Proiecte 2025/AFIR FotoVoltaic 1/30.1 Cerere Rambursare 1/8. Certificate, conformitate, calitate, garanții- DE FACUT/Huawei Cerificate/Draft/Certificate_SUN2000-100-115KTL-M2_EN62109-1-2_EN.pdf","Deschide sursa")</x:f>
        <x:v>HYPERLINK is not implemented. linkLocation=file:///Z:/00. Proiecte 2025/AFIR FotoVoltaic 1/30.1 Cerere Rambursare 1/8. Certificate, conformitate, calitate, garanții- DE FACUT/Huawei Cerificate/Draft/Certificate_SUN2000-100-115KTL-M2_EN62109-1-2_EN.pdf, friendlyName=Deschide sursa</x:v>
      </x:c>
    </x:row>
    <x:row r="1175" ht="36" customHeight="1">
      <x:c r="A1175" s="8" t="str">
        <x:v>F1171</x:v>
      </x:c>
      <x:c r="B1175" s="8" t="str">
        <x:v>Certificate_SUN2000-100-115KTL-M2_IEC61727_IEC62116_EN.pdf</x:v>
      </x:c>
      <x:c r="C1175" s="8" t="str">
        <x:v>30.1 Cerere Rambursare 1</x:v>
      </x:c>
      <x:c r="D1175" s="8" t="str">
        <x:v>Proiect fotovoltaic</x:v>
      </x:c>
      <x:c r="E1175" s="8" t="str">
        <x:v>.pdf</x:v>
      </x:c>
      <x:c r="F1175" s="8" t="n">
        <x:v>358837</x:v>
      </x:c>
      <x:c r="G1175" s="8" t="str">
        <x:v>Text extras</x:v>
      </x:c>
      <x:c r="H1175" s="8" t="str">
        <x:v>Versiune de lucru / arhivă</x:v>
      </x:c>
      <x:c r="I1175" s="8" t="str"/>
      <x:c r="J1175" s="8" t="e">
        <x:f>HYPERLINK("file:///Z:/00. Proiecte 2025/AFIR FotoVoltaic 1/30.1 Cerere Rambursare 1/8. Certificate, conformitate, calitate, garanții- DE FACUT/Huawei Cerificate/Draft/Certificate_SUN2000-100-115KTL-M2_IEC61727_IEC62116_EN.pdf","Deschide sursa")</x:f>
        <x:v>HYPERLINK is not implemented. linkLocation=file:///Z:/00. Proiecte 2025/AFIR FotoVoltaic 1/30.1 Cerere Rambursare 1/8. Certificate, conformitate, calitate, garanții- DE FACUT/Huawei Cerificate/Draft/Certificate_SUN2000-100-115KTL-M2_IEC61727_IEC62116_EN.pdf, friendlyName=Deschide sursa</x:v>
      </x:c>
    </x:row>
    <x:row r="1176" ht="36" customHeight="1">
      <x:c r="A1176" s="8" t="str">
        <x:v>F1172</x:v>
      </x:c>
      <x:c r="B1176" s="8" t="str">
        <x:v>Certificate_SUN2000-100-115KTL-M2_IEC_61683_60068_EN.pdf</x:v>
      </x:c>
      <x:c r="C1176" s="8" t="str">
        <x:v>30.1 Cerere Rambursare 1</x:v>
      </x:c>
      <x:c r="D1176" s="8" t="str">
        <x:v>Proiect fotovoltaic</x:v>
      </x:c>
      <x:c r="E1176" s="8" t="str">
        <x:v>.pdf</x:v>
      </x:c>
      <x:c r="F1176" s="8" t="n">
        <x:v>297814</x:v>
      </x:c>
      <x:c r="G1176" s="8" t="str">
        <x:v>Text extras</x:v>
      </x:c>
      <x:c r="H1176" s="8" t="str">
        <x:v>Versiune de lucru / arhivă</x:v>
      </x:c>
      <x:c r="I1176" s="8" t="str"/>
      <x:c r="J1176" s="8" t="e">
        <x:f>HYPERLINK("file:///Z:/00. Proiecte 2025/AFIR FotoVoltaic 1/30.1 Cerere Rambursare 1/8. Certificate, conformitate, calitate, garanții- DE FACUT/Huawei Cerificate/Draft/Certificate_SUN2000-100-115KTL-M2_IEC_61683_60068_EN.pdf","Deschide sursa")</x:f>
        <x:v>HYPERLINK is not implemented. linkLocation=file:///Z:/00. Proiecte 2025/AFIR FotoVoltaic 1/30.1 Cerere Rambursare 1/8. Certificate, conformitate, calitate, garanții- DE FACUT/Huawei Cerificate/Draft/Certificate_SUN2000-100-115KTL-M2_IEC_61683_60068_EN.pdf, friendlyName=Deschide sursa</x:v>
      </x:c>
    </x:row>
    <x:row r="1177" ht="36" customHeight="1">
      <x:c r="A1177" s="8" t="str">
        <x:v>F1173</x:v>
      </x:c>
      <x:c r="B1177" s="8" t="str">
        <x:v>Certificate_SUN2000-100-115KTL-M2_RED_Article_3.3d_EN.pdf</x:v>
      </x:c>
      <x:c r="C1177" s="8" t="str">
        <x:v>30.1 Cerere Rambursare 1</x:v>
      </x:c>
      <x:c r="D1177" s="8" t="str">
        <x:v>Proiect fotovoltaic</x:v>
      </x:c>
      <x:c r="E1177" s="8" t="str">
        <x:v>.pdf</x:v>
      </x:c>
      <x:c r="F1177" s="8" t="n">
        <x:v>591497</x:v>
      </x:c>
      <x:c r="G1177" s="8" t="str">
        <x:v>Text extras</x:v>
      </x:c>
      <x:c r="H1177" s="8" t="str">
        <x:v>Versiune de lucru / arhivă</x:v>
      </x:c>
      <x:c r="I1177" s="8" t="str"/>
      <x:c r="J1177" s="8" t="e">
        <x:f>HYPERLINK("file:///Z:/00. Proiecte 2025/AFIR FotoVoltaic 1/30.1 Cerere Rambursare 1/8. Certificate, conformitate, calitate, garanții- DE FACUT/Huawei Cerificate/Draft/Certificate_SUN2000-100-115KTL-M2_RED_Article_3.3d_EN.pdf","Deschide sursa")</x:f>
        <x:v>HYPERLINK is not implemented. linkLocation=file:///Z:/00. Proiecte 2025/AFIR FotoVoltaic 1/30.1 Cerere Rambursare 1/8. Certificate, conformitate, calitate, garanții- DE FACUT/Huawei Cerificate/Draft/Certificate_SUN2000-100-115KTL-M2_RED_Article_3.3d_EN.pdf, friendlyName=Deschide sursa</x:v>
      </x:c>
    </x:row>
    <x:row r="1178" ht="36" customHeight="1">
      <x:c r="A1178" s="8" t="str">
        <x:v>F1174</x:v>
      </x:c>
      <x:c r="B1178" s="8" t="str">
        <x:v>DataSheet_SUN2000-100KTL-M2_Type_I_II_EN.pdf</x:v>
      </x:c>
      <x:c r="C1178" s="8" t="str">
        <x:v>30.1 Cerere Rambursare 1</x:v>
      </x:c>
      <x:c r="D1178" s="8" t="str">
        <x:v>Proiect fotovoltaic</x:v>
      </x:c>
      <x:c r="E1178" s="8" t="str">
        <x:v>.pdf</x:v>
      </x:c>
      <x:c r="F1178" s="8" t="n">
        <x:v>252960</x:v>
      </x:c>
      <x:c r="G1178" s="8" t="str">
        <x:v>Text extras</x:v>
      </x:c>
      <x:c r="H1178" s="8" t="str">
        <x:v>Versiune de lucru / arhivă</x:v>
      </x:c>
      <x:c r="I1178" s="8" t="str"/>
      <x:c r="J1178" s="8" t="e">
        <x:f>HYPERLINK("file:///Z:/00. Proiecte 2025/AFIR FotoVoltaic 1/30.1 Cerere Rambursare 1/8. Certificate, conformitate, calitate, garanții- DE FACUT/Huawei Cerificate/Draft/DataSheet_SUN2000-100KTL-M2_Type_I_II_EN.pdf","Deschide sursa")</x:f>
        <x:v>HYPERLINK is not implemented. linkLocation=file:///Z:/00. Proiecte 2025/AFIR FotoVoltaic 1/30.1 Cerere Rambursare 1/8. Certificate, conformitate, calitate, garanții- DE FACUT/Huawei Cerificate/Draft/DataSheet_SUN2000-100KTL-M2_Type_I_II_EN.pdf, friendlyName=Deschide sursa</x:v>
      </x:c>
    </x:row>
    <x:row r="1179" ht="36" customHeight="1">
      <x:c r="A1179" s="8" t="str">
        <x:v>F1175</x:v>
      </x:c>
      <x:c r="B1179" s="8" t="str">
        <x:v>2026-Special-for-Global-Market-EN.pdf</x:v>
      </x:c>
      <x:c r="C1179" s="8" t="str">
        <x:v>30.1 Cerere Rambursare 1</x:v>
      </x:c>
      <x:c r="D1179" s="8" t="str">
        <x:v>Proiect fotovoltaic</x:v>
      </x:c>
      <x:c r="E1179" s="8" t="str">
        <x:v>.pdf</x:v>
      </x:c>
      <x:c r="F1179" s="8" t="n">
        <x:v>254443</x:v>
      </x:c>
      <x:c r="G1179" s="8" t="str">
        <x:v>Text extras</x:v>
      </x:c>
      <x:c r="H1179" s="8" t="str">
        <x:v>Versiune de lucru / arhivă</x:v>
      </x:c>
      <x:c r="I1179" s="8" t="str"/>
      <x:c r="J1179" s="8" t="e">
        <x:f>HYPERLINK("file:///Z:/00. Proiecte 2025/AFIR FotoVoltaic 1/30.1 Cerere Rambursare 1/8. Certificate, conformitate, calitate, garanții- DE FACUT/Panouri Certificate/draft/2026-Special-for-Global-Market-EN.pdf","Deschide sursa")</x:f>
        <x:v>HYPERLINK is not implemented. linkLocation=file:///Z:/00. Proiecte 2025/AFIR FotoVoltaic 1/30.1 Cerere Rambursare 1/8. Certificate, conformitate, calitate, garanții- DE FACUT/Panouri Certificate/draft/2026-Special-for-Global-Market-EN.pdf, friendlyName=Deschide sursa</x:v>
      </x:c>
    </x:row>
    <x:row r="1180" ht="50" customHeight="1">
      <x:c r="A1180" s="8" t="str">
        <x:v>F1176</x:v>
      </x:c>
      <x:c r="B1180" s="8" t="str">
        <x:v>Certificat de Calitate_Suntech STP450S-H48-Nkh+_2222 buc_RO_DRAFT.pdf</x:v>
      </x:c>
      <x:c r="C1180" s="8" t="str">
        <x:v>30.1 Cerere Rambursare 1</x:v>
      </x:c>
      <x:c r="D1180" s="8" t="str">
        <x:v>Proiect fotovoltaic</x:v>
      </x:c>
      <x:c r="E1180" s="8" t="str">
        <x:v>.pdf</x:v>
      </x:c>
      <x:c r="F1180" s="8" t="n">
        <x:v>998911</x:v>
      </x:c>
      <x:c r="G1180" s="8" t="str">
        <x:v>Text extras</x:v>
      </x:c>
      <x:c r="H1180" s="8" t="str">
        <x:v>Versiune de lucru / arhivă</x:v>
      </x:c>
      <x:c r="I1180" s="8" t="str"/>
      <x:c r="J1180" s="8" t="e">
        <x:f>HYPERLINK("file:///Z:/00. Proiecte 2025/AFIR FotoVoltaic 1/30.1 Cerere Rambursare 1/8. Certificate, conformitate, calitate, garanții- DE FACUT/Panouri Certificate/draft/Certificat de Calitate_Suntech STP450S-H48-Nkh+_2222 buc_RO_DRAFT.pdf","Deschide sursa")</x:f>
        <x:v>HYPERLINK is not implemented. linkLocation=file:///Z:/00. Proiecte 2025/AFIR FotoVoltaic 1/30.1 Cerere Rambursare 1/8. Certificate, conformitate, calitate, garanții- DE FACUT/Panouri Certificate/draft/Certificat de Calitate_Suntech STP450S-H48-Nkh+_2222 buc_RO_DRAFT.pdf, friendlyName=Deschide sursa</x:v>
      </x:c>
    </x:row>
    <x:row r="1181" ht="50" customHeight="1">
      <x:c r="A1181" s="8" t="str">
        <x:v>F1177</x:v>
      </x:c>
      <x:c r="B1181" s="8" t="str">
        <x:v>Certificat de Conformitate_Suntech STP450S-H48-Nkh+_2222 buc_RO_DRAFT.pdf</x:v>
      </x:c>
      <x:c r="C1181" s="8" t="str">
        <x:v>30.1 Cerere Rambursare 1</x:v>
      </x:c>
      <x:c r="D1181" s="8" t="str">
        <x:v>Proiect fotovoltaic</x:v>
      </x:c>
      <x:c r="E1181" s="8" t="str">
        <x:v>.pdf</x:v>
      </x:c>
      <x:c r="F1181" s="8" t="n">
        <x:v>994096</x:v>
      </x:c>
      <x:c r="G1181" s="8" t="str">
        <x:v>Text extras</x:v>
      </x:c>
      <x:c r="H1181" s="8" t="str">
        <x:v>Versiune de lucru / arhivă</x:v>
      </x:c>
      <x:c r="I1181" s="8" t="str"/>
      <x:c r="J1181" s="8" t="e">
        <x:f>HYPERLINK("file:///Z:/00. Proiecte 2025/AFIR FotoVoltaic 1/30.1 Cerere Rambursare 1/8. Certificate, conformitate, calitate, garanții- DE FACUT/Panouri Certificate/draft/Certificat de Conformitate_Suntech STP450S-H48-Nkh+_2222 buc_RO_DRAFT.pdf","Deschide sursa")</x:f>
        <x:v>HYPERLINK is not implemented. linkLocation=file:///Z:/00. Proiecte 2025/AFIR FotoVoltaic 1/30.1 Cerere Rambursare 1/8. Certificate, conformitate, calitate, garanții- DE FACUT/Panouri Certificate/draft/Certificat de Conformitate_Suntech STP450S-H48-Nkh+_2222 buc_RO_DRAFT.pdf, friendlyName=Deschide sursa</x:v>
      </x:c>
    </x:row>
    <x:row r="1182" ht="50" customHeight="1">
      <x:c r="A1182" s="8" t="str">
        <x:v>F1178</x:v>
      </x:c>
      <x:c r="B1182" s="8" t="str">
        <x:v>Certificate of Conformity_Suntech STP450S-H48-Nkh+_2222 pcs_DRAFT.docx</x:v>
      </x:c>
      <x:c r="C1182" s="8" t="str">
        <x:v>30.1 Cerere Rambursare 1</x:v>
      </x:c>
      <x:c r="D1182" s="8" t="str">
        <x:v>Proiect fotovoltaic</x:v>
      </x:c>
      <x:c r="E1182" s="8" t="str">
        <x:v>.docx</x:v>
      </x:c>
      <x:c r="F1182" s="8" t="n">
        <x:v>74398</x:v>
      </x:c>
      <x:c r="G1182" s="8" t="str">
        <x:v>Text extras</x:v>
      </x:c>
      <x:c r="H1182" s="8" t="str">
        <x:v>Versiune de lucru / arhivă</x:v>
      </x:c>
      <x:c r="I1182" s="8" t="str"/>
      <x:c r="J1182" s="8" t="e">
        <x:f>HYPERLINK("file:///Z:/00. Proiecte 2025/AFIR FotoVoltaic 1/30.1 Cerere Rambursare 1/8. Certificate, conformitate, calitate, garanții- DE FACUT/Panouri Certificate/draft/Certificate of Conformity_Suntech STP450S-H48-Nkh+_2222 pcs_DRAFT.docx","Deschide sursa")</x:f>
        <x:v>HYPERLINK is not implemented. linkLocation=file:///Z:/00. Proiecte 2025/AFIR FotoVoltaic 1/30.1 Cerere Rambursare 1/8. Certificate, conformitate, calitate, garanții- DE FACUT/Panouri Certificate/draft/Certificate of Conformity_Suntech STP450S-H48-Nkh+_2222 pcs_DRAFT.docx, friendlyName=Deschide sursa</x:v>
      </x:c>
    </x:row>
    <x:row r="1183" ht="50" customHeight="1">
      <x:c r="A1183" s="8" t="str">
        <x:v>F1179</x:v>
      </x:c>
      <x:c r="B1183" s="8" t="str">
        <x:v>Certificate of Conformity_Suntech STP450S-H48-Nkh+_2222 pcs_DRAFT.pdf</x:v>
      </x:c>
      <x:c r="C1183" s="8" t="str">
        <x:v>30.1 Cerere Rambursare 1</x:v>
      </x:c>
      <x:c r="D1183" s="8" t="str">
        <x:v>Proiect fotovoltaic</x:v>
      </x:c>
      <x:c r="E1183" s="8" t="str">
        <x:v>.pdf</x:v>
      </x:c>
      <x:c r="F1183" s="8" t="n">
        <x:v>986393</x:v>
      </x:c>
      <x:c r="G1183" s="8" t="str">
        <x:v>Text extras</x:v>
      </x:c>
      <x:c r="H1183" s="8" t="str">
        <x:v>Versiune de lucru / arhivă</x:v>
      </x:c>
      <x:c r="I1183" s="8" t="str"/>
      <x:c r="J1183" s="8" t="e">
        <x:f>HYPERLINK("file:///Z:/00. Proiecte 2025/AFIR FotoVoltaic 1/30.1 Cerere Rambursare 1/8. Certificate, conformitate, calitate, garanții- DE FACUT/Panouri Certificate/draft/Certificate of Conformity_Suntech STP450S-H48-Nkh+_2222 pcs_DRAFT.pdf","Deschide sursa")</x:f>
        <x:v>HYPERLINK is not implemented. linkLocation=file:///Z:/00. Proiecte 2025/AFIR FotoVoltaic 1/30.1 Cerere Rambursare 1/8. Certificate, conformitate, calitate, garanții- DE FACUT/Panouri Certificate/draft/Certificate of Conformity_Suntech STP450S-H48-Nkh+_2222 pcs_DRAFT.pdf, friendlyName=Deschide sursa</x:v>
      </x:c>
    </x:row>
    <x:row r="1184" ht="36" customHeight="1">
      <x:c r="A1184" s="8" t="str">
        <x:v>F1180</x:v>
      </x:c>
      <x:c r="B1184" s="8" t="str">
        <x:v>IEC62941.pdf</x:v>
      </x:c>
      <x:c r="C1184" s="8" t="str">
        <x:v>30.1 Cerere Rambursare 1</x:v>
      </x:c>
      <x:c r="D1184" s="8" t="str">
        <x:v>Proiect fotovoltaic</x:v>
      </x:c>
      <x:c r="E1184" s="8" t="str">
        <x:v>.pdf</x:v>
      </x:c>
      <x:c r="F1184" s="8" t="n">
        <x:v>1398177</x:v>
      </x:c>
      <x:c r="G1184" s="8" t="str">
        <x:v>Text extras</x:v>
      </x:c>
      <x:c r="H1184" s="8" t="str">
        <x:v>Versiune de lucru / arhivă</x:v>
      </x:c>
      <x:c r="I1184" s="8" t="str"/>
      <x:c r="J1184" s="8" t="e">
        <x:f>HYPERLINK("file:///Z:/00. Proiecte 2025/AFIR FotoVoltaic 1/30.1 Cerere Rambursare 1/8. Certificate, conformitate, calitate, garanții- DE FACUT/Panouri Certificate/draft/IEC62941.pdf","Deschide sursa")</x:f>
        <x:v>HYPERLINK is not implemented. linkLocation=file:///Z:/00. Proiecte 2025/AFIR FotoVoltaic 1/30.1 Cerere Rambursare 1/8. Certificate, conformitate, calitate, garanții- DE FACUT/Panouri Certificate/draft/IEC62941.pdf, friendlyName=Deschide sursa</x:v>
      </x:c>
    </x:row>
    <x:row r="1185" ht="36" customHeight="1">
      <x:c r="A1185" s="8" t="str">
        <x:v>F1181</x:v>
      </x:c>
      <x:c r="B1185" s="8" t="str">
        <x:v>Installation-Manual_GLOBAL.pdf</x:v>
      </x:c>
      <x:c r="C1185" s="8" t="str">
        <x:v>30.1 Cerere Rambursare 1</x:v>
      </x:c>
      <x:c r="D1185" s="8" t="str">
        <x:v>Proiect fotovoltaic</x:v>
      </x:c>
      <x:c r="E1185" s="8" t="str">
        <x:v>.pdf</x:v>
      </x:c>
      <x:c r="F1185" s="8" t="n">
        <x:v>4035192</x:v>
      </x:c>
      <x:c r="G1185" s="8" t="str">
        <x:v>Text extras</x:v>
      </x:c>
      <x:c r="H1185" s="8" t="str">
        <x:v>Versiune de lucru / arhivă</x:v>
      </x:c>
      <x:c r="I1185" s="8" t="str">
        <x:v>F0327</x:v>
      </x:c>
      <x:c r="J1185" s="8" t="e">
        <x:f>HYPERLINK("file:///Z:/00. Proiecte 2025/AFIR FotoVoltaic 1/30.1 Cerere Rambursare 1/8. Certificate, conformitate, calitate, garanții- DE FACUT/Panouri Certificate/draft/Installation-Manual_GLOBAL.pdf","Deschide sursa")</x:f>
        <x:v>HYPERLINK is not implemented. linkLocation=file:///Z:/00. Proiecte 2025/AFIR FotoVoltaic 1/30.1 Cerere Rambursare 1/8. Certificate, conformitate, calitate, garanții- DE FACUT/Panouri Certificate/draft/Installation-Manual_GLOBAL.pdf, friendlyName=Deschide sursa</x:v>
      </x:c>
    </x:row>
    <x:row r="1186" ht="36" customHeight="1">
      <x:c r="A1186" s="8" t="str">
        <x:v>F1182</x:v>
      </x:c>
      <x:c r="B1186" s="8" t="str">
        <x:v>ISO14001.pdf</x:v>
      </x:c>
      <x:c r="C1186" s="8" t="str">
        <x:v>30.1 Cerere Rambursare 1</x:v>
      </x:c>
      <x:c r="D1186" s="8" t="str">
        <x:v>Proiect fotovoltaic</x:v>
      </x:c>
      <x:c r="E1186" s="8" t="str">
        <x:v>.pdf</x:v>
      </x:c>
      <x:c r="F1186" s="8" t="n">
        <x:v>198552</x:v>
      </x:c>
      <x:c r="G1186" s="8" t="str">
        <x:v>Text extras</x:v>
      </x:c>
      <x:c r="H1186" s="8" t="str">
        <x:v>Versiune de lucru / arhivă</x:v>
      </x:c>
      <x:c r="I1186" s="8" t="str"/>
      <x:c r="J1186" s="8" t="e">
        <x:f>HYPERLINK("file:///Z:/00. Proiecte 2025/AFIR FotoVoltaic 1/30.1 Cerere Rambursare 1/8. Certificate, conformitate, calitate, garanții- DE FACUT/Panouri Certificate/draft/ISO14001.pdf","Deschide sursa")</x:f>
        <x:v>HYPERLINK is not implemented. linkLocation=file:///Z:/00. Proiecte 2025/AFIR FotoVoltaic 1/30.1 Cerere Rambursare 1/8. Certificate, conformitate, calitate, garanții- DE FACUT/Panouri Certificate/draft/ISO14001.pdf, friendlyName=Deschide sursa</x:v>
      </x:c>
    </x:row>
    <x:row r="1187" ht="36" customHeight="1">
      <x:c r="A1187" s="8" t="str">
        <x:v>F1183</x:v>
      </x:c>
      <x:c r="B1187" s="8" t="str">
        <x:v>ISO45001.pdf</x:v>
      </x:c>
      <x:c r="C1187" s="8" t="str">
        <x:v>30.1 Cerere Rambursare 1</x:v>
      </x:c>
      <x:c r="D1187" s="8" t="str">
        <x:v>Proiect fotovoltaic</x:v>
      </x:c>
      <x:c r="E1187" s="8" t="str">
        <x:v>.pdf</x:v>
      </x:c>
      <x:c r="F1187" s="8" t="n">
        <x:v>191794</x:v>
      </x:c>
      <x:c r="G1187" s="8" t="str">
        <x:v>Text extras</x:v>
      </x:c>
      <x:c r="H1187" s="8" t="str">
        <x:v>Versiune de lucru / arhivă</x:v>
      </x:c>
      <x:c r="I1187" s="8" t="str"/>
      <x:c r="J1187" s="8" t="e">
        <x:f>HYPERLINK("file:///Z:/00. Proiecte 2025/AFIR FotoVoltaic 1/30.1 Cerere Rambursare 1/8. Certificate, conformitate, calitate, garanții- DE FACUT/Panouri Certificate/draft/ISO45001.pdf","Deschide sursa")</x:f>
        <x:v>HYPERLINK is not implemented. linkLocation=file:///Z:/00. Proiecte 2025/AFIR FotoVoltaic 1/30.1 Cerere Rambursare 1/8. Certificate, conformitate, calitate, garanții- DE FACUT/Panouri Certificate/draft/ISO45001.pdf, friendlyName=Deschide sursa</x:v>
      </x:c>
    </x:row>
    <x:row r="1188" ht="36" customHeight="1">
      <x:c r="A1188" s="8" t="str">
        <x:v>F1184</x:v>
      </x:c>
      <x:c r="B1188" s="8" t="str">
        <x:v>ISO9001.pdf</x:v>
      </x:c>
      <x:c r="C1188" s="8" t="str">
        <x:v>30.1 Cerere Rambursare 1</x:v>
      </x:c>
      <x:c r="D1188" s="8" t="str">
        <x:v>Proiect fotovoltaic</x:v>
      </x:c>
      <x:c r="E1188" s="8" t="str">
        <x:v>.pdf</x:v>
      </x:c>
      <x:c r="F1188" s="8" t="n">
        <x:v>205026</x:v>
      </x:c>
      <x:c r="G1188" s="8" t="str">
        <x:v>Text extras</x:v>
      </x:c>
      <x:c r="H1188" s="8" t="str">
        <x:v>Versiune de lucru / arhivă</x:v>
      </x:c>
      <x:c r="I1188" s="8" t="str"/>
      <x:c r="J1188" s="8" t="e">
        <x:f>HYPERLINK("file:///Z:/00. Proiecte 2025/AFIR FotoVoltaic 1/30.1 Cerere Rambursare 1/8. Certificate, conformitate, calitate, garanții- DE FACUT/Panouri Certificate/draft/ISO9001.pdf","Deschide sursa")</x:f>
        <x:v>HYPERLINK is not implemented. linkLocation=file:///Z:/00. Proiecte 2025/AFIR FotoVoltaic 1/30.1 Cerere Rambursare 1/8. Certificate, conformitate, calitate, garanții- DE FACUT/Panouri Certificate/draft/ISO9001.pdf, friendlyName=Deschide sursa</x:v>
      </x:c>
    </x:row>
    <x:row r="1189" ht="36" customHeight="1">
      <x:c r="A1189" s="8" t="str">
        <x:v>F1185</x:v>
      </x:c>
      <x:c r="B1189" s="8" t="str">
        <x:v>Member-of-CBCA.pdf</x:v>
      </x:c>
      <x:c r="C1189" s="8" t="str">
        <x:v>30.1 Cerere Rambursare 1</x:v>
      </x:c>
      <x:c r="D1189" s="8" t="str">
        <x:v>Proiect fotovoltaic</x:v>
      </x:c>
      <x:c r="E1189" s="8" t="str">
        <x:v>.pdf</x:v>
      </x:c>
      <x:c r="F1189" s="8" t="n">
        <x:v>908292</x:v>
      </x:c>
      <x:c r="G1189" s="8" t="str">
        <x:v>Scan / text insuficient</x:v>
      </x:c>
      <x:c r="H1189" s="8" t="str">
        <x:v>Versiune de lucru / arhivă</x:v>
      </x:c>
      <x:c r="I1189" s="8" t="str"/>
      <x:c r="J1189" s="8" t="e">
        <x:f>HYPERLINK("file:///Z:/00. Proiecte 2025/AFIR FotoVoltaic 1/30.1 Cerere Rambursare 1/8. Certificate, conformitate, calitate, garanții- DE FACUT/Panouri Certificate/draft/Member-of-CBCA.pdf","Deschide sursa")</x:f>
        <x:v>HYPERLINK is not implemented. linkLocation=file:///Z:/00. Proiecte 2025/AFIR FotoVoltaic 1/30.1 Cerere Rambursare 1/8. Certificate, conformitate, calitate, garanții- DE FACUT/Panouri Certificate/draft/Member-of-CBCA.pdf, friendlyName=Deschide sursa</x:v>
      </x:c>
    </x:row>
    <x:row r="1190" ht="36" customHeight="1">
      <x:c r="A1190" s="8" t="str">
        <x:v>F1186</x:v>
      </x:c>
      <x:c r="B1190" s="8" t="str">
        <x:v>Participant-of-UNGC.pdf</x:v>
      </x:c>
      <x:c r="C1190" s="8" t="str">
        <x:v>30.1 Cerere Rambursare 1</x:v>
      </x:c>
      <x:c r="D1190" s="8" t="str">
        <x:v>Proiect fotovoltaic</x:v>
      </x:c>
      <x:c r="E1190" s="8" t="str">
        <x:v>.pdf</x:v>
      </x:c>
      <x:c r="F1190" s="8" t="n">
        <x:v>193686</x:v>
      </x:c>
      <x:c r="G1190" s="8" t="str">
        <x:v>Scan / text insuficient</x:v>
      </x:c>
      <x:c r="H1190" s="8" t="str">
        <x:v>Versiune de lucru / arhivă</x:v>
      </x:c>
      <x:c r="I1190" s="8" t="str"/>
      <x:c r="J1190" s="8" t="e">
        <x:f>HYPERLINK("file:///Z:/00. Proiecte 2025/AFIR FotoVoltaic 1/30.1 Cerere Rambursare 1/8. Certificate, conformitate, calitate, garanții- DE FACUT/Panouri Certificate/draft/Participant-of-UNGC.pdf","Deschide sursa")</x:f>
        <x:v>HYPERLINK is not implemented. linkLocation=file:///Z:/00. Proiecte 2025/AFIR FotoVoltaic 1/30.1 Cerere Rambursare 1/8. Certificate, conformitate, calitate, garanții- DE FACUT/Panouri Certificate/draft/Participant-of-UNGC.pdf, friendlyName=Deschide sursa</x:v>
      </x:c>
    </x:row>
    <x:row r="1191" ht="50" customHeight="1">
      <x:c r="A1191" s="8" t="str">
        <x:v>F1187</x:v>
      </x:c>
      <x:c r="B1191" s="8" t="str">
        <x:v>Quality Certificate_Suntech STP450S-H48-Nkh+_2222 pcs_DRAFT.docx</x:v>
      </x:c>
      <x:c r="C1191" s="8" t="str">
        <x:v>30.1 Cerere Rambursare 1</x:v>
      </x:c>
      <x:c r="D1191" s="8" t="str">
        <x:v>Proiect fotovoltaic</x:v>
      </x:c>
      <x:c r="E1191" s="8" t="str">
        <x:v>.docx</x:v>
      </x:c>
      <x:c r="F1191" s="8" t="n">
        <x:v>74902</x:v>
      </x:c>
      <x:c r="G1191" s="8" t="str">
        <x:v>Text extras</x:v>
      </x:c>
      <x:c r="H1191" s="8" t="str">
        <x:v>Versiune de lucru / arhivă</x:v>
      </x:c>
      <x:c r="I1191" s="8" t="str"/>
      <x:c r="J1191" s="8" t="e">
        <x:f>HYPERLINK("file:///Z:/00. Proiecte 2025/AFIR FotoVoltaic 1/30.1 Cerere Rambursare 1/8. Certificate, conformitate, calitate, garanții- DE FACUT/Panouri Certificate/draft/Quality Certificate_Suntech STP450S-H48-Nkh+_2222 pcs_DRAFT.docx","Deschide sursa")</x:f>
        <x:v>HYPERLINK is not implemented. linkLocation=file:///Z:/00. Proiecte 2025/AFIR FotoVoltaic 1/30.1 Cerere Rambursare 1/8. Certificate, conformitate, calitate, garanții- DE FACUT/Panouri Certificate/draft/Quality Certificate_Suntech STP450S-H48-Nkh+_2222 pcs_DRAFT.docx, friendlyName=Deschide sursa</x:v>
      </x:c>
    </x:row>
    <x:row r="1192" ht="50" customHeight="1">
      <x:c r="A1192" s="8" t="str">
        <x:v>F1188</x:v>
      </x:c>
      <x:c r="B1192" s="8" t="str">
        <x:v>Quality Certificate_Suntech STP450S-H48-Nkh+_2222 pcs_DRAFT.pdf</x:v>
      </x:c>
      <x:c r="C1192" s="8" t="str">
        <x:v>30.1 Cerere Rambursare 1</x:v>
      </x:c>
      <x:c r="D1192" s="8" t="str">
        <x:v>Proiect fotovoltaic</x:v>
      </x:c>
      <x:c r="E1192" s="8" t="str">
        <x:v>.pdf</x:v>
      </x:c>
      <x:c r="F1192" s="8" t="n">
        <x:v>994324</x:v>
      </x:c>
      <x:c r="G1192" s="8" t="str">
        <x:v>Text extras</x:v>
      </x:c>
      <x:c r="H1192" s="8" t="str">
        <x:v>Versiune de lucru / arhivă</x:v>
      </x:c>
      <x:c r="I1192" s="8" t="str"/>
      <x:c r="J1192" s="8" t="e">
        <x:f>HYPERLINK("file:///Z:/00. Proiecte 2025/AFIR FotoVoltaic 1/30.1 Cerere Rambursare 1/8. Certificate, conformitate, calitate, garanții- DE FACUT/Panouri Certificate/draft/Quality Certificate_Suntech STP450S-H48-Nkh+_2222 pcs_DRAFT.pdf","Deschide sursa")</x:f>
        <x:v>HYPERLINK is not implemented. linkLocation=file:///Z:/00. Proiecte 2025/AFIR FotoVoltaic 1/30.1 Cerere Rambursare 1/8. Certificate, conformitate, calitate, garanții- DE FACUT/Panouri Certificate/draft/Quality Certificate_Suntech STP450S-H48-Nkh+_2222 pcs_DRAFT.pdf, friendlyName=Deschide sursa</x:v>
      </x:c>
    </x:row>
    <x:row r="1193" ht="36" customHeight="1">
      <x:c r="A1193" s="8" t="str">
        <x:v>F1189</x:v>
      </x:c>
      <x:c r="B1193" s="8" t="str">
        <x:v>SA8000.pdf</x:v>
      </x:c>
      <x:c r="C1193" s="8" t="str">
        <x:v>30.1 Cerere Rambursare 1</x:v>
      </x:c>
      <x:c r="D1193" s="8" t="str">
        <x:v>Proiect fotovoltaic</x:v>
      </x:c>
      <x:c r="E1193" s="8" t="str">
        <x:v>.pdf</x:v>
      </x:c>
      <x:c r="F1193" s="8" t="n">
        <x:v>381502</x:v>
      </x:c>
      <x:c r="G1193" s="8" t="str">
        <x:v>Text extras</x:v>
      </x:c>
      <x:c r="H1193" s="8" t="str">
        <x:v>Versiune de lucru / arhivă</x:v>
      </x:c>
      <x:c r="I1193" s="8" t="str"/>
      <x:c r="J1193" s="8" t="e">
        <x:f>HYPERLINK("file:///Z:/00. Proiecte 2025/AFIR FotoVoltaic 1/30.1 Cerere Rambursare 1/8. Certificate, conformitate, calitate, garanții- DE FACUT/Panouri Certificate/draft/SA8000.pdf","Deschide sursa")</x:f>
        <x:v>HYPERLINK is not implemented. linkLocation=file:///Z:/00. Proiecte 2025/AFIR FotoVoltaic 1/30.1 Cerere Rambursare 1/8. Certificate, conformitate, calitate, garanții- DE FACUT/Panouri Certificate/draft/SA8000.pdf, friendlyName=Deschide sursa</x:v>
      </x:c>
    </x:row>
    <x:row r="1194" ht="36" customHeight="1">
      <x:c r="A1194" s="8" t="str">
        <x:v>F1190</x:v>
      </x:c>
      <x:c r="B1194" s="8" t="str">
        <x:v>Suntech - partners.png</x:v>
      </x:c>
      <x:c r="C1194" s="8" t="str">
        <x:v>30.1 Cerere Rambursare 1</x:v>
      </x:c>
      <x:c r="D1194" s="8" t="str">
        <x:v>Proiect fotovoltaic</x:v>
      </x:c>
      <x:c r="E1194" s="8" t="str">
        <x:v>.png</x:v>
      </x:c>
      <x:c r="F1194" s="8" t="n">
        <x:v>59776</x:v>
      </x:c>
      <x:c r="G1194" s="8" t="str">
        <x:v>Inventariat; conținut neextras</x:v>
      </x:c>
      <x:c r="H1194" s="8" t="str">
        <x:v>Versiune de lucru / arhivă</x:v>
      </x:c>
      <x:c r="I1194" s="8" t="str"/>
      <x:c r="J1194" s="8" t="e">
        <x:f>HYPERLINK("file:///Z:/00. Proiecte 2025/AFIR FotoVoltaic 1/30.1 Cerere Rambursare 1/8. Certificate, conformitate, calitate, garanții- DE FACUT/Panouri Certificate/draft/Suntech - partners.png","Deschide sursa")</x:f>
        <x:v>HYPERLINK is not implemented. linkLocation=file:///Z:/00. Proiecte 2025/AFIR FotoVoltaic 1/30.1 Cerere Rambursare 1/8. Certificate, conformitate, calitate, garanții- DE FACUT/Panouri Certificate/draft/Suntech - partners.png, friendlyName=Deschide sursa</x:v>
      </x:c>
    </x:row>
    <x:row r="1195" ht="36" customHeight="1">
      <x:c r="A1195" s="8" t="str">
        <x:v>F1191</x:v>
      </x:c>
      <x:c r="B1195" s="8" t="str">
        <x:v>cesiro_pagina_promovare_fm_final_standalone.html</x:v>
      </x:c>
      <x:c r="C1195" s="8" t="str">
        <x:v>30.1 Cerere Rambursare 1</x:v>
      </x:c>
      <x:c r="D1195" s="8" t="str">
        <x:v>Proiect fotovoltaic</x:v>
      </x:c>
      <x:c r="E1195" s="8" t="str">
        <x:v>.html</x:v>
      </x:c>
      <x:c r="F1195" s="8" t="n">
        <x:v>523360</x:v>
      </x:c>
      <x:c r="G1195" s="8" t="str">
        <x:v>Inventariat; conținut neextras</x:v>
      </x:c>
      <x:c r="H1195" s="8" t="str">
        <x:v>Document local; transmiterea individuală neconfirmată</x:v>
      </x:c>
      <x:c r="I1195" s="8" t="str"/>
      <x:c r="J1195" s="8" t="e">
        <x:f>HYPERLINK("file:///Z:/00. Proiecte 2025/AFIR FotoVoltaic 1/30.1 Cerere Rambursare 1/9-10. Fotografii relevante ale investiției/11. Vizibilitate/cesiro_pagina_promovare_fm_final_standalone.html","Deschide sursa")</x:f>
        <x:v>HYPERLINK is not implemented. linkLocation=file:///Z:/00. Proiecte 2025/AFIR FotoVoltaic 1/30.1 Cerere Rambursare 1/9-10. Fotografii relevante ale investiției/11. Vizibilitate/cesiro_pagina_promovare_fm_final_standalone.html, friendlyName=Deschide sursa</x:v>
      </x:c>
    </x:row>
    <x:row r="1196" ht="36" customHeight="1">
      <x:c r="A1196" s="8" t="str">
        <x:v>F1192</x:v>
      </x:c>
      <x:c r="B1196" s="8" t="str">
        <x:v>Comunicat_inceput_CESIRO_PRODUCTION_FM_AFIR_standalone.html</x:v>
      </x:c>
      <x:c r="C1196" s="8" t="str">
        <x:v>30.1 Cerere Rambursare 1</x:v>
      </x:c>
      <x:c r="D1196" s="8" t="str">
        <x:v>Proiect fotovoltaic</x:v>
      </x:c>
      <x:c r="E1196" s="8" t="str">
        <x:v>.html</x:v>
      </x:c>
      <x:c r="F1196" s="8" t="n">
        <x:v>268169</x:v>
      </x:c>
      <x:c r="G1196" s="8" t="str">
        <x:v>Inventariat; conținut neextras</x:v>
      </x:c>
      <x:c r="H1196" s="8" t="str">
        <x:v>Document local; transmiterea individuală neconfirmată</x:v>
      </x:c>
      <x:c r="I1196" s="8" t="str"/>
      <x:c r="J1196" s="8" t="e">
        <x:f>HYPERLINK("file:///Z:/00. Proiecte 2025/AFIR FotoVoltaic 1/30.1 Cerere Rambursare 1/9-10. Fotografii relevante ale investiției/11. Vizibilitate/Comunicat_inceput_CESIRO_PRODUCTION_FM_AFIR_standalone.html","Deschide sursa")</x:f>
        <x:v>HYPERLINK is not implemented. linkLocation=file:///Z:/00. Proiecte 2025/AFIR FotoVoltaic 1/30.1 Cerere Rambursare 1/9-10. Fotografii relevante ale investiției/11. Vizibilitate/Comunicat_inceput_CESIRO_PRODUCTION_FM_AFIR_standalone.html, friendlyName=Deschide sursa</x:v>
      </x:c>
    </x:row>
    <x:row r="1197" ht="36" customHeight="1">
      <x:c r="A1197" s="8" t="str">
        <x:v>F1193</x:v>
      </x:c>
      <x:c r="B1197" s="8" t="str">
        <x:v>Panou publicitate AFIR.jpeg</x:v>
      </x:c>
      <x:c r="C1197" s="8" t="str">
        <x:v>30.1 Cerere Rambursare 1</x:v>
      </x:c>
      <x:c r="D1197" s="8" t="str">
        <x:v>Proiect fotovoltaic</x:v>
      </x:c>
      <x:c r="E1197" s="8" t="str">
        <x:v>.jpeg</x:v>
      </x:c>
      <x:c r="F1197" s="8" t="n">
        <x:v>395607</x:v>
      </x:c>
      <x:c r="G1197" s="8" t="str">
        <x:v>Inventariat; conținut neextras</x:v>
      </x:c>
      <x:c r="H1197" s="8" t="str">
        <x:v>Document local; transmiterea individuală neconfirmată</x:v>
      </x:c>
      <x:c r="I1197" s="8" t="str"/>
      <x:c r="J1197" s="8" t="e">
        <x:f>HYPERLINK("file:///Z:/00. Proiecte 2025/AFIR FotoVoltaic 1/30.1 Cerere Rambursare 1/9-10. Fotografii relevante ale investiției/11. Vizibilitate/Panou publicitate AFIR.jpeg","Deschide sursa")</x:f>
        <x:v>HYPERLINK is not implemented. linkLocation=file:///Z:/00. Proiecte 2025/AFIR FotoVoltaic 1/30.1 Cerere Rambursare 1/9-10. Fotografii relevante ale investiției/11. Vizibilitate/Panou publicitate AFIR.jpeg, friendlyName=Deschide sursa</x:v>
      </x:c>
    </x:row>
    <x:row r="1198" ht="36" customHeight="1">
      <x:c r="A1198" s="8" t="str">
        <x:v>F1194</x:v>
      </x:c>
      <x:c r="B1198" s="8" t="str">
        <x:v>Cesiro Production AFIR CFMSES011011372801030.png</x:v>
      </x:c>
      <x:c r="C1198" s="8" t="str">
        <x:v>30.1 Cerere Rambursare 1</x:v>
      </x:c>
      <x:c r="D1198" s="8" t="str">
        <x:v>Proiect fotovoltaic</x:v>
      </x:c>
      <x:c r="E1198" s="8" t="str">
        <x:v>.png</x:v>
      </x:c>
      <x:c r="F1198" s="8" t="n">
        <x:v>1579610</x:v>
      </x:c>
      <x:c r="G1198" s="8" t="str">
        <x:v>Inventariat; conținut neextras</x:v>
      </x:c>
      <x:c r="H1198" s="8" t="str">
        <x:v>Document local; transmiterea individuală neconfirmată</x:v>
      </x:c>
      <x:c r="I1198" s="8" t="str"/>
      <x:c r="J1198" s="8" t="e">
        <x:f>HYPERLINK("file:///Z:/00. Proiecte 2025/AFIR FotoVoltaic 1/30.1 Cerere Rambursare 1/9-10. Fotografii relevante ale investiției/11. Vizibilitate Panuou instalat/Cesiro Production AFIR CFMSES011011372801030.png","Deschide sursa")</x:f>
        <x:v>HYPERLINK is not implemented. linkLocation=file:///Z:/00. Proiecte 2025/AFIR FotoVoltaic 1/30.1 Cerere Rambursare 1/9-10. Fotografii relevante ale investiției/11. Vizibilitate Panuou instalat/Cesiro Production AFIR CFMSES011011372801030.png, friendlyName=Deschide sursa</x:v>
      </x:c>
    </x:row>
    <x:row r="1199" ht="36" customHeight="1">
      <x:c r="A1199" s="8" t="str">
        <x:v>F1195</x:v>
      </x:c>
      <x:c r="B1199" s="8" t="str">
        <x:v>Panou AFIR 1.1.jpeg</x:v>
      </x:c>
      <x:c r="C1199" s="8" t="str">
        <x:v>30.1 Cerere Rambursare 1</x:v>
      </x:c>
      <x:c r="D1199" s="8" t="str">
        <x:v>Proiect fotovoltaic</x:v>
      </x:c>
      <x:c r="E1199" s="8" t="str">
        <x:v>.jpeg</x:v>
      </x:c>
      <x:c r="F1199" s="8" t="n">
        <x:v>2903360</x:v>
      </x:c>
      <x:c r="G1199" s="8" t="str">
        <x:v>Inventariat; conținut neextras</x:v>
      </x:c>
      <x:c r="H1199" s="8" t="str">
        <x:v>Document local; transmiterea individuală neconfirmată</x:v>
      </x:c>
      <x:c r="I1199" s="8" t="str"/>
      <x:c r="J1199" s="8" t="e">
        <x:f>HYPERLINK("file:///Z:/00. Proiecte 2025/AFIR FotoVoltaic 1/30.1 Cerere Rambursare 1/9-10. Fotografii relevante ale investiției/11. Vizibilitate Panuou instalat/Panou AFIR 1.1.jpeg","Deschide sursa")</x:f>
        <x:v>HYPERLINK is not implemented. linkLocation=file:///Z:/00. Proiecte 2025/AFIR FotoVoltaic 1/30.1 Cerere Rambursare 1/9-10. Fotografii relevante ale investiției/11. Vizibilitate Panuou instalat/Panou AFIR 1.1.jpeg, friendlyName=Deschide sursa</x:v>
      </x:c>
    </x:row>
    <x:row r="1200" ht="36" customHeight="1">
      <x:c r="A1200" s="8" t="str">
        <x:v>F1196</x:v>
      </x:c>
      <x:c r="B1200" s="8" t="str">
        <x:v>Panou AFIR 1.2.jpeg</x:v>
      </x:c>
      <x:c r="C1200" s="8" t="str">
        <x:v>30.1 Cerere Rambursare 1</x:v>
      </x:c>
      <x:c r="D1200" s="8" t="str">
        <x:v>Proiect fotovoltaic</x:v>
      </x:c>
      <x:c r="E1200" s="8" t="str">
        <x:v>.jpeg</x:v>
      </x:c>
      <x:c r="F1200" s="8" t="n">
        <x:v>2716209</x:v>
      </x:c>
      <x:c r="G1200" s="8" t="str">
        <x:v>Inventariat; conținut neextras</x:v>
      </x:c>
      <x:c r="H1200" s="8" t="str">
        <x:v>Document local; transmiterea individuală neconfirmată</x:v>
      </x:c>
      <x:c r="I1200" s="8" t="str"/>
      <x:c r="J1200" s="8" t="e">
        <x:f>HYPERLINK("file:///Z:/00. Proiecte 2025/AFIR FotoVoltaic 1/30.1 Cerere Rambursare 1/9-10. Fotografii relevante ale investiției/11. Vizibilitate Panuou instalat/Panou AFIR 1.2.jpeg","Deschide sursa")</x:f>
        <x:v>HYPERLINK is not implemented. linkLocation=file:///Z:/00. Proiecte 2025/AFIR FotoVoltaic 1/30.1 Cerere Rambursare 1/9-10. Fotografii relevante ale investiției/11. Vizibilitate Panuou instalat/Panou AFIR 1.2.jpeg, friendlyName=Deschide sursa</x:v>
      </x:c>
    </x:row>
    <x:row r="1201" ht="36" customHeight="1">
      <x:c r="A1201" s="8" t="str">
        <x:v>F1197</x:v>
      </x:c>
      <x:c r="B1201" s="8" t="str">
        <x:v>Panou AFIR 2.1.jpeg</x:v>
      </x:c>
      <x:c r="C1201" s="8" t="str">
        <x:v>30.1 Cerere Rambursare 1</x:v>
      </x:c>
      <x:c r="D1201" s="8" t="str">
        <x:v>Proiect fotovoltaic</x:v>
      </x:c>
      <x:c r="E1201" s="8" t="str">
        <x:v>.jpeg</x:v>
      </x:c>
      <x:c r="F1201" s="8" t="n">
        <x:v>3309133</x:v>
      </x:c>
      <x:c r="G1201" s="8" t="str">
        <x:v>Inventariat; conținut neextras</x:v>
      </x:c>
      <x:c r="H1201" s="8" t="str">
        <x:v>Document local; transmiterea individuală neconfirmată</x:v>
      </x:c>
      <x:c r="I1201" s="8" t="str"/>
      <x:c r="J1201" s="8" t="e">
        <x:f>HYPERLINK("file:///Z:/00. Proiecte 2025/AFIR FotoVoltaic 1/30.1 Cerere Rambursare 1/9-10. Fotografii relevante ale investiției/11. Vizibilitate Panuou instalat/Panou AFIR 2.1.jpeg","Deschide sursa")</x:f>
        <x:v>HYPERLINK is not implemented. linkLocation=file:///Z:/00. Proiecte 2025/AFIR FotoVoltaic 1/30.1 Cerere Rambursare 1/9-10. Fotografii relevante ale investiției/11. Vizibilitate Panuou instalat/Panou AFIR 2.1.jpeg, friendlyName=Deschide sursa</x:v>
      </x:c>
    </x:row>
    <x:row r="1202" ht="36" customHeight="1">
      <x:c r="A1202" s="8" t="str">
        <x:v>F1198</x:v>
      </x:c>
      <x:c r="B1202" s="8" t="str">
        <x:v>Panou AFIR 2.2.jpeg</x:v>
      </x:c>
      <x:c r="C1202" s="8" t="str">
        <x:v>30.1 Cerere Rambursare 1</x:v>
      </x:c>
      <x:c r="D1202" s="8" t="str">
        <x:v>Proiect fotovoltaic</x:v>
      </x:c>
      <x:c r="E1202" s="8" t="str">
        <x:v>.jpeg</x:v>
      </x:c>
      <x:c r="F1202" s="8" t="n">
        <x:v>2520721</x:v>
      </x:c>
      <x:c r="G1202" s="8" t="str">
        <x:v>Inventariat; conținut neextras</x:v>
      </x:c>
      <x:c r="H1202" s="8" t="str">
        <x:v>Document local; transmiterea individuală neconfirmată</x:v>
      </x:c>
      <x:c r="I1202" s="8" t="str"/>
      <x:c r="J1202" s="8" t="e">
        <x:f>HYPERLINK("file:///Z:/00. Proiecte 2025/AFIR FotoVoltaic 1/30.1 Cerere Rambursare 1/9-10. Fotografii relevante ale investiției/11. Vizibilitate Panuou instalat/Panou AFIR 2.2.jpeg","Deschide sursa")</x:f>
        <x:v>HYPERLINK is not implemented. linkLocation=file:///Z:/00. Proiecte 2025/AFIR FotoVoltaic 1/30.1 Cerere Rambursare 1/9-10. Fotografii relevante ale investiției/11. Vizibilitate Panuou instalat/Panou AFIR 2.2.jpeg, friendlyName=Deschide sursa</x:v>
      </x:c>
    </x:row>
    <x:row r="1203" ht="36" customHeight="1">
      <x:c r="A1203" s="8" t="str">
        <x:v>F1199</x:v>
      </x:c>
      <x:c r="B1203" s="8" t="str">
        <x:v>Panou AFIR 2.3.jpeg</x:v>
      </x:c>
      <x:c r="C1203" s="8" t="str">
        <x:v>30.1 Cerere Rambursare 1</x:v>
      </x:c>
      <x:c r="D1203" s="8" t="str">
        <x:v>Proiect fotovoltaic</x:v>
      </x:c>
      <x:c r="E1203" s="8" t="str">
        <x:v>.jpeg</x:v>
      </x:c>
      <x:c r="F1203" s="8" t="n">
        <x:v>3508244</x:v>
      </x:c>
      <x:c r="G1203" s="8" t="str">
        <x:v>Inventariat; conținut neextras</x:v>
      </x:c>
      <x:c r="H1203" s="8" t="str">
        <x:v>Document local; transmiterea individuală neconfirmată</x:v>
      </x:c>
      <x:c r="I1203" s="8" t="str"/>
      <x:c r="J1203" s="8" t="e">
        <x:f>HYPERLINK("file:///Z:/00. Proiecte 2025/AFIR FotoVoltaic 1/30.1 Cerere Rambursare 1/9-10. Fotografii relevante ale investiției/11. Vizibilitate Panuou instalat/Panou AFIR 2.3.jpeg","Deschide sursa")</x:f>
        <x:v>HYPERLINK is not implemented. linkLocation=file:///Z:/00. Proiecte 2025/AFIR FotoVoltaic 1/30.1 Cerere Rambursare 1/9-10. Fotografii relevante ale investiției/11. Vizibilitate Panuou instalat/Panou AFIR 2.3.jpeg, friendlyName=Deschide sursa</x:v>
      </x:c>
    </x:row>
    <x:row r="1204" ht="36" customHeight="1">
      <x:c r="A1204" s="8" t="str">
        <x:v>F1200</x:v>
      </x:c>
      <x:c r="B1204" s="8" t="str">
        <x:v>Vizibilitate Identitate vizuala.docx</x:v>
      </x:c>
      <x:c r="C1204" s="8" t="str">
        <x:v>30.1 Cerere Rambursare 1</x:v>
      </x:c>
      <x:c r="D1204" s="8" t="str">
        <x:v>Proiect fotovoltaic</x:v>
      </x:c>
      <x:c r="E1204" s="8" t="str">
        <x:v>.docx</x:v>
      </x:c>
      <x:c r="F1204" s="8" t="n">
        <x:v>12553</x:v>
      </x:c>
      <x:c r="G1204" s="8" t="str">
        <x:v>Text extras</x:v>
      </x:c>
      <x:c r="H1204" s="8" t="str">
        <x:v>Document local; transmiterea individuală neconfirmată</x:v>
      </x:c>
      <x:c r="I1204" s="8" t="str">
        <x:v>F0217</x:v>
      </x:c>
      <x:c r="J1204" s="8" t="e">
        <x:f>HYPERLINK("file:///Z:/00. Proiecte 2025/AFIR FotoVoltaic 1/30.1 Cerere Rambursare 1/9-10. Fotografii relevante ale investiției/11. Vizibilitate Panuou instalat/Vizibilitate Identitate vizuala.docx","Deschide sursa")</x:f>
        <x:v>HYPERLINK is not implemented. linkLocation=file:///Z:/00. Proiecte 2025/AFIR FotoVoltaic 1/30.1 Cerere Rambursare 1/9-10. Fotografii relevante ale investiției/11. Vizibilitate Panuou instalat/Vizibilitate Identitate vizuala.docx, friendlyName=Deschide sursa</x:v>
      </x:c>
    </x:row>
    <x:row r="1205" ht="36" customHeight="1">
      <x:c r="A1205" s="8" t="str">
        <x:v>F1201</x:v>
      </x:c>
      <x:c r="B1205" s="8" t="str">
        <x:v>Acoperis + Panouri.jpeg</x:v>
      </x:c>
      <x:c r="C1205" s="8" t="str">
        <x:v>30.1 Cerere Rambursare 1</x:v>
      </x:c>
      <x:c r="D1205" s="8" t="str">
        <x:v>Proiect fotovoltaic</x:v>
      </x:c>
      <x:c r="E1205" s="8" t="str">
        <x:v>.jpeg</x:v>
      </x:c>
      <x:c r="F1205" s="8" t="n">
        <x:v>178566</x:v>
      </x:c>
      <x:c r="G1205" s="8" t="str">
        <x:v>Inventariat; conținut neextras</x:v>
      </x:c>
      <x:c r="H1205" s="8" t="str">
        <x:v>Document local; transmiterea individuală neconfirmată</x:v>
      </x:c>
      <x:c r="I1205" s="8" t="str"/>
      <x:c r="J1205" s="8" t="e">
        <x:f>HYPERLINK("file:///Z:/00. Proiecte 2025/AFIR FotoVoltaic 1/30.1 Cerere Rambursare 1/9-10. Fotografii relevante ale investiției/Panou Vizibilitate/Acoperis + Panouri.jpeg","Deschide sursa")</x:f>
        <x:v>HYPERLINK is not implemented. linkLocation=file:///Z:/00. Proiecte 2025/AFIR FotoVoltaic 1/30.1 Cerere Rambursare 1/9-10. Fotografii relevante ale investiției/Panou Vizibilitate/Acoperis + Panouri.jpeg, friendlyName=Deschide sursa</x:v>
      </x:c>
    </x:row>
    <x:row r="1206" ht="36" customHeight="1">
      <x:c r="A1206" s="8" t="str">
        <x:v>F1202</x:v>
      </x:c>
      <x:c r="B1206" s="8" t="str">
        <x:v>Documentar_fotografic_CESIRO_Transa1_REVIZUIT.docx</x:v>
      </x:c>
      <x:c r="C1206" s="8" t="str">
        <x:v>30.1 Cerere Rambursare 1</x:v>
      </x:c>
      <x:c r="D1206" s="8" t="str">
        <x:v>Proiect fotovoltaic</x:v>
      </x:c>
      <x:c r="E1206" s="8" t="str">
        <x:v>.docx</x:v>
      </x:c>
      <x:c r="F1206" s="8" t="n">
        <x:v>8726656</x:v>
      </x:c>
      <x:c r="G1206" s="8" t="str">
        <x:v>Text extras</x:v>
      </x:c>
      <x:c r="H1206" s="8" t="str">
        <x:v>Document local; transmiterea individuală neconfirmată</x:v>
      </x:c>
      <x:c r="I1206" s="8" t="str"/>
      <x:c r="J1206" s="8" t="e">
        <x:f>HYPERLINK("file:///Z:/00. Proiecte 2025/AFIR FotoVoltaic 1/30.1 Cerere Rambursare 1/9-10. Fotografii relevante ale investiției/Panou Vizibilitate/Documentar_fotografic_CESIRO_Transa1_REVIZUIT.docx","Deschide sursa")</x:f>
        <x:v>HYPERLINK is not implemented. linkLocation=file:///Z:/00. Proiecte 2025/AFIR FotoVoltaic 1/30.1 Cerere Rambursare 1/9-10. Fotografii relevante ale investiției/Panou Vizibilitate/Documentar_fotografic_CESIRO_Transa1_REVIZUIT.docx, friendlyName=Deschide sursa</x:v>
      </x:c>
    </x:row>
    <x:row r="1207" ht="36" customHeight="1">
      <x:c r="A1207" s="8" t="str">
        <x:v>F1203</x:v>
      </x:c>
      <x:c r="B1207" s="8" t="str">
        <x:v>Documentar_fotografic_CESIRO_Transa1_REVIZUIT.pdf</x:v>
      </x:c>
      <x:c r="C1207" s="8" t="str">
        <x:v>30.1 Cerere Rambursare 1</x:v>
      </x:c>
      <x:c r="D1207" s="8" t="str">
        <x:v>Proiect fotovoltaic</x:v>
      </x:c>
      <x:c r="E1207" s="8" t="str">
        <x:v>.pdf</x:v>
      </x:c>
      <x:c r="F1207" s="8" t="n">
        <x:v>4798206</x:v>
      </x:c>
      <x:c r="G1207" s="8" t="str">
        <x:v>Text extras</x:v>
      </x:c>
      <x:c r="H1207" s="8" t="str">
        <x:v>Document local; transmiterea individuală neconfirmată</x:v>
      </x:c>
      <x:c r="I1207" s="8" t="str"/>
      <x:c r="J1207" s="8" t="e">
        <x:f>HYPERLINK("file:///Z:/00. Proiecte 2025/AFIR FotoVoltaic 1/30.1 Cerere Rambursare 1/9-10. Fotografii relevante ale investiției/Panou Vizibilitate/Documentar_fotografic_CESIRO_Transa1_REVIZUIT.pdf","Deschide sursa")</x:f>
        <x:v>HYPERLINK is not implemented. linkLocation=file:///Z:/00. Proiecte 2025/AFIR FotoVoltaic 1/30.1 Cerere Rambursare 1/9-10. Fotografii relevante ale investiției/Panou Vizibilitate/Documentar_fotografic_CESIRO_Transa1_REVIZUIT.pdf, friendlyName=Deschide sursa</x:v>
      </x:c>
    </x:row>
    <x:row r="1208" ht="36" customHeight="1">
      <x:c r="A1208" s="8" t="str">
        <x:v>F1204</x:v>
      </x:c>
      <x:c r="B1208" s="8" t="str">
        <x:v>Invertor 1.jpeg</x:v>
      </x:c>
      <x:c r="C1208" s="8" t="str">
        <x:v>30.1 Cerere Rambursare 1</x:v>
      </x:c>
      <x:c r="D1208" s="8" t="str">
        <x:v>Proiect fotovoltaic</x:v>
      </x:c>
      <x:c r="E1208" s="8" t="str">
        <x:v>.jpeg</x:v>
      </x:c>
      <x:c r="F1208" s="8" t="n">
        <x:v>179900</x:v>
      </x:c>
      <x:c r="G1208" s="8" t="str">
        <x:v>Inventariat; conținut neextras</x:v>
      </x:c>
      <x:c r="H1208" s="8" t="str">
        <x:v>Document local; transmiterea individuală neconfirmată</x:v>
      </x:c>
      <x:c r="I1208" s="8" t="str"/>
      <x:c r="J1208" s="8" t="e">
        <x:f>HYPERLINK("file:///Z:/00. Proiecte 2025/AFIR FotoVoltaic 1/30.1 Cerere Rambursare 1/9-10. Fotografii relevante ale investiției/Panou Vizibilitate/Invertor 1.jpeg","Deschide sursa")</x:f>
        <x:v>HYPERLINK is not implemented. linkLocation=file:///Z:/00. Proiecte 2025/AFIR FotoVoltaic 1/30.1 Cerere Rambursare 1/9-10. Fotografii relevante ale investiției/Panou Vizibilitate/Invertor 1.jpeg, friendlyName=Deschide sursa</x:v>
      </x:c>
    </x:row>
    <x:row r="1209" ht="36" customHeight="1">
      <x:c r="A1209" s="8" t="str">
        <x:v>F1205</x:v>
      </x:c>
      <x:c r="B1209" s="8" t="str">
        <x:v>Invertor 2.jpeg</x:v>
      </x:c>
      <x:c r="C1209" s="8" t="str">
        <x:v>30.1 Cerere Rambursare 1</x:v>
      </x:c>
      <x:c r="D1209" s="8" t="str">
        <x:v>Proiect fotovoltaic</x:v>
      </x:c>
      <x:c r="E1209" s="8" t="str">
        <x:v>.jpeg</x:v>
      </x:c>
      <x:c r="F1209" s="8" t="n">
        <x:v>173171</x:v>
      </x:c>
      <x:c r="G1209" s="8" t="str">
        <x:v>Inventariat; conținut neextras</x:v>
      </x:c>
      <x:c r="H1209" s="8" t="str">
        <x:v>Document local; transmiterea individuală neconfirmată</x:v>
      </x:c>
      <x:c r="I1209" s="8" t="str"/>
      <x:c r="J1209" s="8" t="e">
        <x:f>HYPERLINK("file:///Z:/00. Proiecte 2025/AFIR FotoVoltaic 1/30.1 Cerere Rambursare 1/9-10. Fotografii relevante ale investiției/Panou Vizibilitate/Invertor 2.jpeg","Deschide sursa")</x:f>
        <x:v>HYPERLINK is not implemented. linkLocation=file:///Z:/00. Proiecte 2025/AFIR FotoVoltaic 1/30.1 Cerere Rambursare 1/9-10. Fotografii relevante ale investiției/Panou Vizibilitate/Invertor 2.jpeg, friendlyName=Deschide sursa</x:v>
      </x:c>
    </x:row>
    <x:row r="1210" ht="36" customHeight="1">
      <x:c r="A1210" s="8" t="str">
        <x:v>F1206</x:v>
      </x:c>
      <x:c r="B1210" s="8" t="str">
        <x:v>Invertor 3.jpeg</x:v>
      </x:c>
      <x:c r="C1210" s="8" t="str">
        <x:v>30.1 Cerere Rambursare 1</x:v>
      </x:c>
      <x:c r="D1210" s="8" t="str">
        <x:v>Proiect fotovoltaic</x:v>
      </x:c>
      <x:c r="E1210" s="8" t="str">
        <x:v>.jpeg</x:v>
      </x:c>
      <x:c r="F1210" s="8" t="n">
        <x:v>165096</x:v>
      </x:c>
      <x:c r="G1210" s="8" t="str">
        <x:v>Inventariat; conținut neextras</x:v>
      </x:c>
      <x:c r="H1210" s="8" t="str">
        <x:v>Document local; transmiterea individuală neconfirmată</x:v>
      </x:c>
      <x:c r="I1210" s="8" t="str"/>
      <x:c r="J1210" s="8" t="e">
        <x:f>HYPERLINK("file:///Z:/00. Proiecte 2025/AFIR FotoVoltaic 1/30.1 Cerere Rambursare 1/9-10. Fotografii relevante ale investiției/Panou Vizibilitate/Invertor 3.jpeg","Deschide sursa")</x:f>
        <x:v>HYPERLINK is not implemented. linkLocation=file:///Z:/00. Proiecte 2025/AFIR FotoVoltaic 1/30.1 Cerere Rambursare 1/9-10. Fotografii relevante ale investiției/Panou Vizibilitate/Invertor 3.jpeg, friendlyName=Deschide sursa</x:v>
      </x:c>
    </x:row>
    <x:row r="1211" ht="36" customHeight="1">
      <x:c r="A1211" s="8" t="str">
        <x:v>F1207</x:v>
      </x:c>
      <x:c r="B1211" s="8" t="str">
        <x:v>Invertor 4.jpeg</x:v>
      </x:c>
      <x:c r="C1211" s="8" t="str">
        <x:v>30.1 Cerere Rambursare 1</x:v>
      </x:c>
      <x:c r="D1211" s="8" t="str">
        <x:v>Proiect fotovoltaic</x:v>
      </x:c>
      <x:c r="E1211" s="8" t="str">
        <x:v>.jpeg</x:v>
      </x:c>
      <x:c r="F1211" s="8" t="n">
        <x:v>174310</x:v>
      </x:c>
      <x:c r="G1211" s="8" t="str">
        <x:v>Inventariat; conținut neextras</x:v>
      </x:c>
      <x:c r="H1211" s="8" t="str">
        <x:v>Document local; transmiterea individuală neconfirmată</x:v>
      </x:c>
      <x:c r="I1211" s="8" t="str"/>
      <x:c r="J1211" s="8" t="e">
        <x:f>HYPERLINK("file:///Z:/00. Proiecte 2025/AFIR FotoVoltaic 1/30.1 Cerere Rambursare 1/9-10. Fotografii relevante ale investiției/Panou Vizibilitate/Invertor 4.jpeg","Deschide sursa")</x:f>
        <x:v>HYPERLINK is not implemented. linkLocation=file:///Z:/00. Proiecte 2025/AFIR FotoVoltaic 1/30.1 Cerere Rambursare 1/9-10. Fotografii relevante ale investiției/Panou Vizibilitate/Invertor 4.jpeg, friendlyName=Deschide sursa</x:v>
      </x:c>
    </x:row>
    <x:row r="1212" ht="36" customHeight="1">
      <x:c r="A1212" s="8" t="str">
        <x:v>F1208</x:v>
      </x:c>
      <x:c r="B1212" s="8" t="str">
        <x:v>Invertor 5.jpeg</x:v>
      </x:c>
      <x:c r="C1212" s="8" t="str">
        <x:v>30.1 Cerere Rambursare 1</x:v>
      </x:c>
      <x:c r="D1212" s="8" t="str">
        <x:v>Proiect fotovoltaic</x:v>
      </x:c>
      <x:c r="E1212" s="8" t="str">
        <x:v>.jpeg</x:v>
      </x:c>
      <x:c r="F1212" s="8" t="n">
        <x:v>174988</x:v>
      </x:c>
      <x:c r="G1212" s="8" t="str">
        <x:v>Inventariat; conținut neextras</x:v>
      </x:c>
      <x:c r="H1212" s="8" t="str">
        <x:v>Document local; transmiterea individuală neconfirmată</x:v>
      </x:c>
      <x:c r="I1212" s="8" t="str"/>
      <x:c r="J1212" s="8" t="e">
        <x:f>HYPERLINK("file:///Z:/00. Proiecte 2025/AFIR FotoVoltaic 1/30.1 Cerere Rambursare 1/9-10. Fotografii relevante ale investiției/Panou Vizibilitate/Invertor 5.jpeg","Deschide sursa")</x:f>
        <x:v>HYPERLINK is not implemented. linkLocation=file:///Z:/00. Proiecte 2025/AFIR FotoVoltaic 1/30.1 Cerere Rambursare 1/9-10. Fotografii relevante ale investiției/Panou Vizibilitate/Invertor 5.jpeg, friendlyName=Deschide sursa</x:v>
      </x:c>
    </x:row>
    <x:row r="1213" ht="36" customHeight="1">
      <x:c r="A1213" s="8" t="str">
        <x:v>F1209</x:v>
      </x:c>
      <x:c r="B1213" s="8" t="str">
        <x:v>Invertor 6.jpeg</x:v>
      </x:c>
      <x:c r="C1213" s="8" t="str">
        <x:v>30.1 Cerere Rambursare 1</x:v>
      </x:c>
      <x:c r="D1213" s="8" t="str">
        <x:v>Proiect fotovoltaic</x:v>
      </x:c>
      <x:c r="E1213" s="8" t="str">
        <x:v>.jpeg</x:v>
      </x:c>
      <x:c r="F1213" s="8" t="n">
        <x:v>176566</x:v>
      </x:c>
      <x:c r="G1213" s="8" t="str">
        <x:v>Inventariat; conținut neextras</x:v>
      </x:c>
      <x:c r="H1213" s="8" t="str">
        <x:v>Document local; transmiterea individuală neconfirmată</x:v>
      </x:c>
      <x:c r="I1213" s="8" t="str"/>
      <x:c r="J1213" s="8" t="e">
        <x:f>HYPERLINK("file:///Z:/00. Proiecte 2025/AFIR FotoVoltaic 1/30.1 Cerere Rambursare 1/9-10. Fotografii relevante ale investiției/Panou Vizibilitate/Invertor 6.jpeg","Deschide sursa")</x:f>
        <x:v>HYPERLINK is not implemented. linkLocation=file:///Z:/00. Proiecte 2025/AFIR FotoVoltaic 1/30.1 Cerere Rambursare 1/9-10. Fotografii relevante ale investiției/Panou Vizibilitate/Invertor 6.jpeg, friendlyName=Deschide sursa</x:v>
      </x:c>
    </x:row>
    <x:row r="1214" ht="36" customHeight="1">
      <x:c r="A1214" s="8" t="str">
        <x:v>F1210</x:v>
      </x:c>
      <x:c r="B1214" s="8" t="str">
        <x:v>Panou AFIR 1.1.jpeg</x:v>
      </x:c>
      <x:c r="C1214" s="8" t="str">
        <x:v>30.1 Cerere Rambursare 1</x:v>
      </x:c>
      <x:c r="D1214" s="8" t="str">
        <x:v>Proiect fotovoltaic</x:v>
      </x:c>
      <x:c r="E1214" s="8" t="str">
        <x:v>.jpeg</x:v>
      </x:c>
      <x:c r="F1214" s="8" t="n">
        <x:v>2903360</x:v>
      </x:c>
      <x:c r="G1214" s="8" t="str">
        <x:v>Inventariat; conținut neextras</x:v>
      </x:c>
      <x:c r="H1214" s="8" t="str">
        <x:v>Document local; transmiterea individuală neconfirmată</x:v>
      </x:c>
      <x:c r="I1214" s="8" t="str"/>
      <x:c r="J1214" s="8" t="e">
        <x:f>HYPERLINK("file:///Z:/00. Proiecte 2025/AFIR FotoVoltaic 1/30.1 Cerere Rambursare 1/9-10. Fotografii relevante ale investiției/Panou Vizibilitate/Panou AFIR 1.1.jpeg","Deschide sursa")</x:f>
        <x:v>HYPERLINK is not implemented. linkLocation=file:///Z:/00. Proiecte 2025/AFIR FotoVoltaic 1/30.1 Cerere Rambursare 1/9-10. Fotografii relevante ale investiției/Panou Vizibilitate/Panou AFIR 1.1.jpeg, friendlyName=Deschide sursa</x:v>
      </x:c>
    </x:row>
    <x:row r="1215" ht="36" customHeight="1">
      <x:c r="A1215" s="8" t="str">
        <x:v>F1211</x:v>
      </x:c>
      <x:c r="B1215" s="8" t="str">
        <x:v>Panou AFIR 1.2.jpeg</x:v>
      </x:c>
      <x:c r="C1215" s="8" t="str">
        <x:v>30.1 Cerere Rambursare 1</x:v>
      </x:c>
      <x:c r="D1215" s="8" t="str">
        <x:v>Proiect fotovoltaic</x:v>
      </x:c>
      <x:c r="E1215" s="8" t="str">
        <x:v>.jpeg</x:v>
      </x:c>
      <x:c r="F1215" s="8" t="n">
        <x:v>2716209</x:v>
      </x:c>
      <x:c r="G1215" s="8" t="str">
        <x:v>Inventariat; conținut neextras</x:v>
      </x:c>
      <x:c r="H1215" s="8" t="str">
        <x:v>Document local; transmiterea individuală neconfirmată</x:v>
      </x:c>
      <x:c r="I1215" s="8" t="str"/>
      <x:c r="J1215" s="8" t="e">
        <x:f>HYPERLINK("file:///Z:/00. Proiecte 2025/AFIR FotoVoltaic 1/30.1 Cerere Rambursare 1/9-10. Fotografii relevante ale investiției/Panou Vizibilitate/Panou AFIR 1.2.jpeg","Deschide sursa")</x:f>
        <x:v>HYPERLINK is not implemented. linkLocation=file:///Z:/00. Proiecte 2025/AFIR FotoVoltaic 1/30.1 Cerere Rambursare 1/9-10. Fotografii relevante ale investiției/Panou Vizibilitate/Panou AFIR 1.2.jpeg, friendlyName=Deschide sursa</x:v>
      </x:c>
    </x:row>
    <x:row r="1216" ht="36" customHeight="1">
      <x:c r="A1216" s="8" t="str">
        <x:v>F1212</x:v>
      </x:c>
      <x:c r="B1216" s="8" t="str">
        <x:v>Panou AFIR 2.1.jpeg</x:v>
      </x:c>
      <x:c r="C1216" s="8" t="str">
        <x:v>30.1 Cerere Rambursare 1</x:v>
      </x:c>
      <x:c r="D1216" s="8" t="str">
        <x:v>Proiect fotovoltaic</x:v>
      </x:c>
      <x:c r="E1216" s="8" t="str">
        <x:v>.jpeg</x:v>
      </x:c>
      <x:c r="F1216" s="8" t="n">
        <x:v>3309133</x:v>
      </x:c>
      <x:c r="G1216" s="8" t="str">
        <x:v>Inventariat; conținut neextras</x:v>
      </x:c>
      <x:c r="H1216" s="8" t="str">
        <x:v>Document local; transmiterea individuală neconfirmată</x:v>
      </x:c>
      <x:c r="I1216" s="8" t="str"/>
      <x:c r="J1216" s="8" t="e">
        <x:f>HYPERLINK("file:///Z:/00. Proiecte 2025/AFIR FotoVoltaic 1/30.1 Cerere Rambursare 1/9-10. Fotografii relevante ale investiției/Panou Vizibilitate/Panou AFIR 2.1.jpeg","Deschide sursa")</x:f>
        <x:v>HYPERLINK is not implemented. linkLocation=file:///Z:/00. Proiecte 2025/AFIR FotoVoltaic 1/30.1 Cerere Rambursare 1/9-10. Fotografii relevante ale investiției/Panou Vizibilitate/Panou AFIR 2.1.jpeg, friendlyName=Deschide sursa</x:v>
      </x:c>
    </x:row>
    <x:row r="1217" ht="36" customHeight="1">
      <x:c r="A1217" s="8" t="str">
        <x:v>F1213</x:v>
      </x:c>
      <x:c r="B1217" s="8" t="str">
        <x:v>Panou AFIR 2.2.jpeg</x:v>
      </x:c>
      <x:c r="C1217" s="8" t="str">
        <x:v>30.1 Cerere Rambursare 1</x:v>
      </x:c>
      <x:c r="D1217" s="8" t="str">
        <x:v>Proiect fotovoltaic</x:v>
      </x:c>
      <x:c r="E1217" s="8" t="str">
        <x:v>.jpeg</x:v>
      </x:c>
      <x:c r="F1217" s="8" t="n">
        <x:v>2520721</x:v>
      </x:c>
      <x:c r="G1217" s="8" t="str">
        <x:v>Inventariat; conținut neextras</x:v>
      </x:c>
      <x:c r="H1217" s="8" t="str">
        <x:v>Document local; transmiterea individuală neconfirmată</x:v>
      </x:c>
      <x:c r="I1217" s="8" t="str"/>
      <x:c r="J1217" s="8" t="e">
        <x:f>HYPERLINK("file:///Z:/00. Proiecte 2025/AFIR FotoVoltaic 1/30.1 Cerere Rambursare 1/9-10. Fotografii relevante ale investiției/Panou Vizibilitate/Panou AFIR 2.2.jpeg","Deschide sursa")</x:f>
        <x:v>HYPERLINK is not implemented. linkLocation=file:///Z:/00. Proiecte 2025/AFIR FotoVoltaic 1/30.1 Cerere Rambursare 1/9-10. Fotografii relevante ale investiției/Panou Vizibilitate/Panou AFIR 2.2.jpeg, friendlyName=Deschide sursa</x:v>
      </x:c>
    </x:row>
    <x:row r="1218" ht="36" customHeight="1">
      <x:c r="A1218" s="8" t="str">
        <x:v>F1214</x:v>
      </x:c>
      <x:c r="B1218" s="8" t="str">
        <x:v>Panou AFIR 2.3.jpeg</x:v>
      </x:c>
      <x:c r="C1218" s="8" t="str">
        <x:v>30.1 Cerere Rambursare 1</x:v>
      </x:c>
      <x:c r="D1218" s="8" t="str">
        <x:v>Proiect fotovoltaic</x:v>
      </x:c>
      <x:c r="E1218" s="8" t="str">
        <x:v>.jpeg</x:v>
      </x:c>
      <x:c r="F1218" s="8" t="n">
        <x:v>3508244</x:v>
      </x:c>
      <x:c r="G1218" s="8" t="str">
        <x:v>Inventariat; conținut neextras</x:v>
      </x:c>
      <x:c r="H1218" s="8" t="str">
        <x:v>Document local; transmiterea individuală neconfirmată</x:v>
      </x:c>
      <x:c r="I1218" s="8" t="str"/>
      <x:c r="J1218" s="8" t="e">
        <x:f>HYPERLINK("file:///Z:/00. Proiecte 2025/AFIR FotoVoltaic 1/30.1 Cerere Rambursare 1/9-10. Fotografii relevante ale investiției/Panou Vizibilitate/Panou AFIR 2.3.jpeg","Deschide sursa")</x:f>
        <x:v>HYPERLINK is not implemented. linkLocation=file:///Z:/00. Proiecte 2025/AFIR FotoVoltaic 1/30.1 Cerere Rambursare 1/9-10. Fotografii relevante ale investiției/Panou Vizibilitate/Panou AFIR 2.3.jpeg, friendlyName=Deschide sursa</x:v>
      </x:c>
    </x:row>
    <x:row r="1219" ht="36" customHeight="1">
      <x:c r="A1219" s="8" t="str">
        <x:v>F1215</x:v>
      </x:c>
      <x:c r="B1219" s="8" t="str">
        <x:v>20260702_144217.jpg</x:v>
      </x:c>
      <x:c r="C1219" s="8" t="str">
        <x:v>30.1 Cerere Rambursare 1</x:v>
      </x:c>
      <x:c r="D1219" s="8" t="str">
        <x:v>Proiect fotovoltaic</x:v>
      </x:c>
      <x:c r="E1219" s="8" t="str">
        <x:v>.jpg</x:v>
      </x:c>
      <x:c r="F1219" s="8" t="n">
        <x:v>3087205</x:v>
      </x:c>
      <x:c r="G1219" s="8" t="str">
        <x:v>Inventariat; conținut neextras</x:v>
      </x:c>
      <x:c r="H1219" s="8" t="str">
        <x:v>Document local; transmiterea individuală neconfirmată</x:v>
      </x:c>
      <x:c r="I1219" s="8" t="str"/>
      <x:c r="J1219" s="8" t="e">
        <x:f>HYPERLINK("file:///Z:/00. Proiecte 2025/AFIR FotoVoltaic 1/30.1 Cerere Rambursare 1/9-10. Fotografii relevante ale investiției/10. Poze/INVERTOARE (1)/20260702_144217.jpg","Deschide sursa")</x:f>
        <x:v>HYPERLINK is not implemented. linkLocation=file:///Z:/00. Proiecte 2025/AFIR FotoVoltaic 1/30.1 Cerere Rambursare 1/9-10. Fotografii relevante ale investiției/10. Poze/INVERTOARE (1)/20260702_144217.jpg, friendlyName=Deschide sursa</x:v>
      </x:c>
    </x:row>
    <x:row r="1220" ht="36" customHeight="1">
      <x:c r="A1220" s="8" t="str">
        <x:v>F1216</x:v>
      </x:c>
      <x:c r="B1220" s="8" t="str">
        <x:v>20260702_144220.jpg</x:v>
      </x:c>
      <x:c r="C1220" s="8" t="str">
        <x:v>30.1 Cerere Rambursare 1</x:v>
      </x:c>
      <x:c r="D1220" s="8" t="str">
        <x:v>Proiect fotovoltaic</x:v>
      </x:c>
      <x:c r="E1220" s="8" t="str">
        <x:v>.jpg</x:v>
      </x:c>
      <x:c r="F1220" s="8" t="n">
        <x:v>2857037</x:v>
      </x:c>
      <x:c r="G1220" s="8" t="str">
        <x:v>Inventariat; conținut neextras</x:v>
      </x:c>
      <x:c r="H1220" s="8" t="str">
        <x:v>Document local; transmiterea individuală neconfirmată</x:v>
      </x:c>
      <x:c r="I1220" s="8" t="str"/>
      <x:c r="J1220" s="8" t="e">
        <x:f>HYPERLINK("file:///Z:/00. Proiecte 2025/AFIR FotoVoltaic 1/30.1 Cerere Rambursare 1/9-10. Fotografii relevante ale investiției/10. Poze/INVERTOARE (1)/20260702_144220.jpg","Deschide sursa")</x:f>
        <x:v>HYPERLINK is not implemented. linkLocation=file:///Z:/00. Proiecte 2025/AFIR FotoVoltaic 1/30.1 Cerere Rambursare 1/9-10. Fotografii relevante ale investiției/10. Poze/INVERTOARE (1)/20260702_144220.jpg, friendlyName=Deschide sursa</x:v>
      </x:c>
    </x:row>
    <x:row r="1221" ht="36" customHeight="1">
      <x:c r="A1221" s="8" t="str">
        <x:v>F1217</x:v>
      </x:c>
      <x:c r="B1221" s="8" t="str">
        <x:v>20260702_144222.jpg</x:v>
      </x:c>
      <x:c r="C1221" s="8" t="str">
        <x:v>30.1 Cerere Rambursare 1</x:v>
      </x:c>
      <x:c r="D1221" s="8" t="str">
        <x:v>Proiect fotovoltaic</x:v>
      </x:c>
      <x:c r="E1221" s="8" t="str">
        <x:v>.jpg</x:v>
      </x:c>
      <x:c r="F1221" s="8" t="n">
        <x:v>2111028</x:v>
      </x:c>
      <x:c r="G1221" s="8" t="str">
        <x:v>Inventariat; conținut neextras</x:v>
      </x:c>
      <x:c r="H1221" s="8" t="str">
        <x:v>Document local; transmiterea individuală neconfirmată</x:v>
      </x:c>
      <x:c r="I1221" s="8" t="str"/>
      <x:c r="J1221" s="8" t="e">
        <x:f>HYPERLINK("file:///Z:/00. Proiecte 2025/AFIR FotoVoltaic 1/30.1 Cerere Rambursare 1/9-10. Fotografii relevante ale investiției/10. Poze/INVERTOARE (1)/20260702_144222.jpg","Deschide sursa")</x:f>
        <x:v>HYPERLINK is not implemented. linkLocation=file:///Z:/00. Proiecte 2025/AFIR FotoVoltaic 1/30.1 Cerere Rambursare 1/9-10. Fotografii relevante ale investiției/10. Poze/INVERTOARE (1)/20260702_144222.jpg, friendlyName=Deschide sursa</x:v>
      </x:c>
    </x:row>
    <x:row r="1222" ht="36" customHeight="1">
      <x:c r="A1222" s="8" t="str">
        <x:v>F1218</x:v>
      </x:c>
      <x:c r="B1222" s="8" t="str">
        <x:v>20260702_144252.jpg</x:v>
      </x:c>
      <x:c r="C1222" s="8" t="str">
        <x:v>30.1 Cerere Rambursare 1</x:v>
      </x:c>
      <x:c r="D1222" s="8" t="str">
        <x:v>Proiect fotovoltaic</x:v>
      </x:c>
      <x:c r="E1222" s="8" t="str">
        <x:v>.jpg</x:v>
      </x:c>
      <x:c r="F1222" s="8" t="n">
        <x:v>3376489</x:v>
      </x:c>
      <x:c r="G1222" s="8" t="str">
        <x:v>Inventariat; conținut neextras</x:v>
      </x:c>
      <x:c r="H1222" s="8" t="str">
        <x:v>Document local; transmiterea individuală neconfirmată</x:v>
      </x:c>
      <x:c r="I1222" s="8" t="str"/>
      <x:c r="J1222" s="8" t="e">
        <x:f>HYPERLINK("file:///Z:/00. Proiecte 2025/AFIR FotoVoltaic 1/30.1 Cerere Rambursare 1/9-10. Fotografii relevante ale investiției/10. Poze/INVERTOARE (1)/20260702_144252.jpg","Deschide sursa")</x:f>
        <x:v>HYPERLINK is not implemented. linkLocation=file:///Z:/00. Proiecte 2025/AFIR FotoVoltaic 1/30.1 Cerere Rambursare 1/9-10. Fotografii relevante ale investiției/10. Poze/INVERTOARE (1)/20260702_144252.jpg, friendlyName=Deschide sursa</x:v>
      </x:c>
    </x:row>
    <x:row r="1223" ht="36" customHeight="1">
      <x:c r="A1223" s="8" t="str">
        <x:v>F1219</x:v>
      </x:c>
      <x:c r="B1223" s="8" t="str">
        <x:v>20260702_144255.jpg</x:v>
      </x:c>
      <x:c r="C1223" s="8" t="str">
        <x:v>30.1 Cerere Rambursare 1</x:v>
      </x:c>
      <x:c r="D1223" s="8" t="str">
        <x:v>Proiect fotovoltaic</x:v>
      </x:c>
      <x:c r="E1223" s="8" t="str">
        <x:v>.jpg</x:v>
      </x:c>
      <x:c r="F1223" s="8" t="n">
        <x:v>2867800</x:v>
      </x:c>
      <x:c r="G1223" s="8" t="str">
        <x:v>Inventariat; conținut neextras</x:v>
      </x:c>
      <x:c r="H1223" s="8" t="str">
        <x:v>Document local; transmiterea individuală neconfirmată</x:v>
      </x:c>
      <x:c r="I1223" s="8" t="str"/>
      <x:c r="J1223" s="8" t="e">
        <x:f>HYPERLINK("file:///Z:/00. Proiecte 2025/AFIR FotoVoltaic 1/30.1 Cerere Rambursare 1/9-10. Fotografii relevante ale investiției/10. Poze/INVERTOARE (1)/20260702_144255.jpg","Deschide sursa")</x:f>
        <x:v>HYPERLINK is not implemented. linkLocation=file:///Z:/00. Proiecte 2025/AFIR FotoVoltaic 1/30.1 Cerere Rambursare 1/9-10. Fotografii relevante ale investiției/10. Poze/INVERTOARE (1)/20260702_144255.jpg, friendlyName=Deschide sursa</x:v>
      </x:c>
    </x:row>
    <x:row r="1224" ht="36" customHeight="1">
      <x:c r="A1224" s="8" t="str">
        <x:v>F1220</x:v>
      </x:c>
      <x:c r="B1224" s="8" t="str">
        <x:v>20260702_144258.jpg</x:v>
      </x:c>
      <x:c r="C1224" s="8" t="str">
        <x:v>30.1 Cerere Rambursare 1</x:v>
      </x:c>
      <x:c r="D1224" s="8" t="str">
        <x:v>Proiect fotovoltaic</x:v>
      </x:c>
      <x:c r="E1224" s="8" t="str">
        <x:v>.jpg</x:v>
      </x:c>
      <x:c r="F1224" s="8" t="n">
        <x:v>1975276</x:v>
      </x:c>
      <x:c r="G1224" s="8" t="str">
        <x:v>Inventariat; conținut neextras</x:v>
      </x:c>
      <x:c r="H1224" s="8" t="str">
        <x:v>Document local; transmiterea individuală neconfirmată</x:v>
      </x:c>
      <x:c r="I1224" s="8" t="str"/>
      <x:c r="J1224" s="8" t="e">
        <x:f>HYPERLINK("file:///Z:/00. Proiecte 2025/AFIR FotoVoltaic 1/30.1 Cerere Rambursare 1/9-10. Fotografii relevante ale investiției/10. Poze/INVERTOARE (1)/20260702_144258.jpg","Deschide sursa")</x:f>
        <x:v>HYPERLINK is not implemented. linkLocation=file:///Z:/00. Proiecte 2025/AFIR FotoVoltaic 1/30.1 Cerere Rambursare 1/9-10. Fotografii relevante ale investiției/10. Poze/INVERTOARE (1)/20260702_144258.jpg, friendlyName=Deschide sursa</x:v>
      </x:c>
    </x:row>
    <x:row r="1225" ht="36" customHeight="1">
      <x:c r="A1225" s="8" t="str">
        <x:v>F1221</x:v>
      </x:c>
      <x:c r="B1225" s="8" t="str">
        <x:v>20260702_144317.jpg</x:v>
      </x:c>
      <x:c r="C1225" s="8" t="str">
        <x:v>30.1 Cerere Rambursare 1</x:v>
      </x:c>
      <x:c r="D1225" s="8" t="str">
        <x:v>Proiect fotovoltaic</x:v>
      </x:c>
      <x:c r="E1225" s="8" t="str">
        <x:v>.jpg</x:v>
      </x:c>
      <x:c r="F1225" s="8" t="n">
        <x:v>2045382</x:v>
      </x:c>
      <x:c r="G1225" s="8" t="str">
        <x:v>Inventariat; conținut neextras</x:v>
      </x:c>
      <x:c r="H1225" s="8" t="str">
        <x:v>Document local; transmiterea individuală neconfirmată</x:v>
      </x:c>
      <x:c r="I1225" s="8" t="str"/>
      <x:c r="J1225" s="8" t="e">
        <x:f>HYPERLINK("file:///Z:/00. Proiecte 2025/AFIR FotoVoltaic 1/30.1 Cerere Rambursare 1/9-10. Fotografii relevante ale investiției/10. Poze/INVERTOARE (1)/20260702_144317.jpg","Deschide sursa")</x:f>
        <x:v>HYPERLINK is not implemented. linkLocation=file:///Z:/00. Proiecte 2025/AFIR FotoVoltaic 1/30.1 Cerere Rambursare 1/9-10. Fotografii relevante ale investiției/10. Poze/INVERTOARE (1)/20260702_144317.jpg, friendlyName=Deschide sursa</x:v>
      </x:c>
    </x:row>
    <x:row r="1226" ht="36" customHeight="1">
      <x:c r="A1226" s="8" t="str">
        <x:v>F1222</x:v>
      </x:c>
      <x:c r="B1226" s="8" t="str">
        <x:v>20260702_144325.jpg</x:v>
      </x:c>
      <x:c r="C1226" s="8" t="str">
        <x:v>30.1 Cerere Rambursare 1</x:v>
      </x:c>
      <x:c r="D1226" s="8" t="str">
        <x:v>Proiect fotovoltaic</x:v>
      </x:c>
      <x:c r="E1226" s="8" t="str">
        <x:v>.jpg</x:v>
      </x:c>
      <x:c r="F1226" s="8" t="n">
        <x:v>3368467</x:v>
      </x:c>
      <x:c r="G1226" s="8" t="str">
        <x:v>Inventariat; conținut neextras</x:v>
      </x:c>
      <x:c r="H1226" s="8" t="str">
        <x:v>Document local; transmiterea individuală neconfirmată</x:v>
      </x:c>
      <x:c r="I1226" s="8" t="str"/>
      <x:c r="J1226" s="8" t="e">
        <x:f>HYPERLINK("file:///Z:/00. Proiecte 2025/AFIR FotoVoltaic 1/30.1 Cerere Rambursare 1/9-10. Fotografii relevante ale investiției/10. Poze/INVERTOARE (1)/20260702_144325.jpg","Deschide sursa")</x:f>
        <x:v>HYPERLINK is not implemented. linkLocation=file:///Z:/00. Proiecte 2025/AFIR FotoVoltaic 1/30.1 Cerere Rambursare 1/9-10. Fotografii relevante ale investiției/10. Poze/INVERTOARE (1)/20260702_144325.jpg, friendlyName=Deschide sursa</x:v>
      </x:c>
    </x:row>
    <x:row r="1227" ht="36" customHeight="1">
      <x:c r="A1227" s="8" t="str">
        <x:v>F1223</x:v>
      </x:c>
      <x:c r="B1227" s="8" t="str">
        <x:v>20260702_144327.jpg</x:v>
      </x:c>
      <x:c r="C1227" s="8" t="str">
        <x:v>30.1 Cerere Rambursare 1</x:v>
      </x:c>
      <x:c r="D1227" s="8" t="str">
        <x:v>Proiect fotovoltaic</x:v>
      </x:c>
      <x:c r="E1227" s="8" t="str">
        <x:v>.jpg</x:v>
      </x:c>
      <x:c r="F1227" s="8" t="n">
        <x:v>3134964</x:v>
      </x:c>
      <x:c r="G1227" s="8" t="str">
        <x:v>Inventariat; conținut neextras</x:v>
      </x:c>
      <x:c r="H1227" s="8" t="str">
        <x:v>Document local; transmiterea individuală neconfirmată</x:v>
      </x:c>
      <x:c r="I1227" s="8" t="str"/>
      <x:c r="J1227" s="8" t="e">
        <x:f>HYPERLINK("file:///Z:/00. Proiecte 2025/AFIR FotoVoltaic 1/30.1 Cerere Rambursare 1/9-10. Fotografii relevante ale investiției/10. Poze/INVERTOARE (1)/20260702_144327.jpg","Deschide sursa")</x:f>
        <x:v>HYPERLINK is not implemented. linkLocation=file:///Z:/00. Proiecte 2025/AFIR FotoVoltaic 1/30.1 Cerere Rambursare 1/9-10. Fotografii relevante ale investiției/10. Poze/INVERTOARE (1)/20260702_144327.jpg, friendlyName=Deschide sursa</x:v>
      </x:c>
    </x:row>
    <x:row r="1228" ht="36" customHeight="1">
      <x:c r="A1228" s="8" t="str">
        <x:v>F1224</x:v>
      </x:c>
      <x:c r="B1228" s="8" t="str">
        <x:v>20260702_144329.jpg</x:v>
      </x:c>
      <x:c r="C1228" s="8" t="str">
        <x:v>30.1 Cerere Rambursare 1</x:v>
      </x:c>
      <x:c r="D1228" s="8" t="str">
        <x:v>Proiect fotovoltaic</x:v>
      </x:c>
      <x:c r="E1228" s="8" t="str">
        <x:v>.jpg</x:v>
      </x:c>
      <x:c r="F1228" s="8" t="n">
        <x:v>1933476</x:v>
      </x:c>
      <x:c r="G1228" s="8" t="str">
        <x:v>Inventariat; conținut neextras</x:v>
      </x:c>
      <x:c r="H1228" s="8" t="str">
        <x:v>Document local; transmiterea individuală neconfirmată</x:v>
      </x:c>
      <x:c r="I1228" s="8" t="str"/>
      <x:c r="J1228" s="8" t="e">
        <x:f>HYPERLINK("file:///Z:/00. Proiecte 2025/AFIR FotoVoltaic 1/30.1 Cerere Rambursare 1/9-10. Fotografii relevante ale investiției/10. Poze/INVERTOARE (1)/20260702_144329.jpg","Deschide sursa")</x:f>
        <x:v>HYPERLINK is not implemented. linkLocation=file:///Z:/00. Proiecte 2025/AFIR FotoVoltaic 1/30.1 Cerere Rambursare 1/9-10. Fotografii relevante ale investiției/10. Poze/INVERTOARE (1)/20260702_144329.jpg, friendlyName=Deschide sursa</x:v>
      </x:c>
    </x:row>
    <x:row r="1229" ht="36" customHeight="1">
      <x:c r="A1229" s="8" t="str">
        <x:v>F1225</x:v>
      </x:c>
      <x:c r="B1229" s="8" t="str">
        <x:v>20260702_144338.jpg</x:v>
      </x:c>
      <x:c r="C1229" s="8" t="str">
        <x:v>30.1 Cerere Rambursare 1</x:v>
      </x:c>
      <x:c r="D1229" s="8" t="str">
        <x:v>Proiect fotovoltaic</x:v>
      </x:c>
      <x:c r="E1229" s="8" t="str">
        <x:v>.jpg</x:v>
      </x:c>
      <x:c r="F1229" s="8" t="n">
        <x:v>3187692</x:v>
      </x:c>
      <x:c r="G1229" s="8" t="str">
        <x:v>Inventariat; conținut neextras</x:v>
      </x:c>
      <x:c r="H1229" s="8" t="str">
        <x:v>Document local; transmiterea individuală neconfirmată</x:v>
      </x:c>
      <x:c r="I1229" s="8" t="str"/>
      <x:c r="J1229" s="8" t="e">
        <x:f>HYPERLINK("file:///Z:/00. Proiecte 2025/AFIR FotoVoltaic 1/30.1 Cerere Rambursare 1/9-10. Fotografii relevante ale investiției/10. Poze/INVERTOARE (1)/20260702_144338.jpg","Deschide sursa")</x:f>
        <x:v>HYPERLINK is not implemented. linkLocation=file:///Z:/00. Proiecte 2025/AFIR FotoVoltaic 1/30.1 Cerere Rambursare 1/9-10. Fotografii relevante ale investiției/10. Poze/INVERTOARE (1)/20260702_144338.jpg, friendlyName=Deschide sursa</x:v>
      </x:c>
    </x:row>
    <x:row r="1230" ht="36" customHeight="1">
      <x:c r="A1230" s="8" t="str">
        <x:v>F1226</x:v>
      </x:c>
      <x:c r="B1230" s="8" t="str">
        <x:v>20260702_144341.jpg</x:v>
      </x:c>
      <x:c r="C1230" s="8" t="str">
        <x:v>30.1 Cerere Rambursare 1</x:v>
      </x:c>
      <x:c r="D1230" s="8" t="str">
        <x:v>Proiect fotovoltaic</x:v>
      </x:c>
      <x:c r="E1230" s="8" t="str">
        <x:v>.jpg</x:v>
      </x:c>
      <x:c r="F1230" s="8" t="n">
        <x:v>1812795</x:v>
      </x:c>
      <x:c r="G1230" s="8" t="str">
        <x:v>Inventariat; conținut neextras</x:v>
      </x:c>
      <x:c r="H1230" s="8" t="str">
        <x:v>Document local; transmiterea individuală neconfirmată</x:v>
      </x:c>
      <x:c r="I1230" s="8" t="str"/>
      <x:c r="J1230" s="8" t="e">
        <x:f>HYPERLINK("file:///Z:/00. Proiecte 2025/AFIR FotoVoltaic 1/30.1 Cerere Rambursare 1/9-10. Fotografii relevante ale investiției/10. Poze/INVERTOARE (1)/20260702_144341.jpg","Deschide sursa")</x:f>
        <x:v>HYPERLINK is not implemented. linkLocation=file:///Z:/00. Proiecte 2025/AFIR FotoVoltaic 1/30.1 Cerere Rambursare 1/9-10. Fotografii relevante ale investiției/10. Poze/INVERTOARE (1)/20260702_144341.jpg, friendlyName=Deschide sursa</x:v>
      </x:c>
    </x:row>
    <x:row r="1231" ht="36" customHeight="1">
      <x:c r="A1231" s="8" t="str">
        <x:v>F1227</x:v>
      </x:c>
      <x:c r="B1231" s="8" t="str">
        <x:v>20260702_144342.jpg</x:v>
      </x:c>
      <x:c r="C1231" s="8" t="str">
        <x:v>30.1 Cerere Rambursare 1</x:v>
      </x:c>
      <x:c r="D1231" s="8" t="str">
        <x:v>Proiect fotovoltaic</x:v>
      </x:c>
      <x:c r="E1231" s="8" t="str">
        <x:v>.jpg</x:v>
      </x:c>
      <x:c r="F1231" s="8" t="n">
        <x:v>2166056</x:v>
      </x:c>
      <x:c r="G1231" s="8" t="str">
        <x:v>Inventariat; conținut neextras</x:v>
      </x:c>
      <x:c r="H1231" s="8" t="str">
        <x:v>Document local; transmiterea individuală neconfirmată</x:v>
      </x:c>
      <x:c r="I1231" s="8" t="str"/>
      <x:c r="J1231" s="8" t="e">
        <x:f>HYPERLINK("file:///Z:/00. Proiecte 2025/AFIR FotoVoltaic 1/30.1 Cerere Rambursare 1/9-10. Fotografii relevante ale investiției/10. Poze/INVERTOARE (1)/20260702_144342.jpg","Deschide sursa")</x:f>
        <x:v>HYPERLINK is not implemented. linkLocation=file:///Z:/00. Proiecte 2025/AFIR FotoVoltaic 1/30.1 Cerere Rambursare 1/9-10. Fotografii relevante ale investiției/10. Poze/INVERTOARE (1)/20260702_144342.jpg, friendlyName=Deschide sursa</x:v>
      </x:c>
    </x:row>
    <x:row r="1232" ht="36" customHeight="1">
      <x:c r="A1232" s="8" t="str">
        <x:v>F1228</x:v>
      </x:c>
      <x:c r="B1232" s="8" t="str">
        <x:v>20260702_144349.jpg</x:v>
      </x:c>
      <x:c r="C1232" s="8" t="str">
        <x:v>30.1 Cerere Rambursare 1</x:v>
      </x:c>
      <x:c r="D1232" s="8" t="str">
        <x:v>Proiect fotovoltaic</x:v>
      </x:c>
      <x:c r="E1232" s="8" t="str">
        <x:v>.jpg</x:v>
      </x:c>
      <x:c r="F1232" s="8" t="n">
        <x:v>2896880</x:v>
      </x:c>
      <x:c r="G1232" s="8" t="str">
        <x:v>Inventariat; conținut neextras</x:v>
      </x:c>
      <x:c r="H1232" s="8" t="str">
        <x:v>Document local; transmiterea individuală neconfirmată</x:v>
      </x:c>
      <x:c r="I1232" s="8" t="str"/>
      <x:c r="J1232" s="8" t="e">
        <x:f>HYPERLINK("file:///Z:/00. Proiecte 2025/AFIR FotoVoltaic 1/30.1 Cerere Rambursare 1/9-10. Fotografii relevante ale investiției/10. Poze/INVERTOARE (1)/20260702_144349.jpg","Deschide sursa")</x:f>
        <x:v>HYPERLINK is not implemented. linkLocation=file:///Z:/00. Proiecte 2025/AFIR FotoVoltaic 1/30.1 Cerere Rambursare 1/9-10. Fotografii relevante ale investiției/10. Poze/INVERTOARE (1)/20260702_144349.jpg, friendlyName=Deschide sursa</x:v>
      </x:c>
    </x:row>
    <x:row r="1233" ht="36" customHeight="1">
      <x:c r="A1233" s="8" t="str">
        <x:v>F1229</x:v>
      </x:c>
      <x:c r="B1233" s="8" t="str">
        <x:v>20260702_144352.jpg</x:v>
      </x:c>
      <x:c r="C1233" s="8" t="str">
        <x:v>30.1 Cerere Rambursare 1</x:v>
      </x:c>
      <x:c r="D1233" s="8" t="str">
        <x:v>Proiect fotovoltaic</x:v>
      </x:c>
      <x:c r="E1233" s="8" t="str">
        <x:v>.jpg</x:v>
      </x:c>
      <x:c r="F1233" s="8" t="n">
        <x:v>1831825</x:v>
      </x:c>
      <x:c r="G1233" s="8" t="str">
        <x:v>Inventariat; conținut neextras</x:v>
      </x:c>
      <x:c r="H1233" s="8" t="str">
        <x:v>Document local; transmiterea individuală neconfirmată</x:v>
      </x:c>
      <x:c r="I1233" s="8" t="str"/>
      <x:c r="J1233" s="8" t="e">
        <x:f>HYPERLINK("file:///Z:/00. Proiecte 2025/AFIR FotoVoltaic 1/30.1 Cerere Rambursare 1/9-10. Fotografii relevante ale investiției/10. Poze/INVERTOARE (1)/20260702_144352.jpg","Deschide sursa")</x:f>
        <x:v>HYPERLINK is not implemented. linkLocation=file:///Z:/00. Proiecte 2025/AFIR FotoVoltaic 1/30.1 Cerere Rambursare 1/9-10. Fotografii relevante ale investiției/10. Poze/INVERTOARE (1)/20260702_144352.jpg, friendlyName=Deschide sursa</x:v>
      </x:c>
    </x:row>
    <x:row r="1234" ht="36" customHeight="1">
      <x:c r="A1234" s="8" t="str">
        <x:v>F1230</x:v>
      </x:c>
      <x:c r="B1234" s="8" t="str">
        <x:v>20260702_144354.jpg</x:v>
      </x:c>
      <x:c r="C1234" s="8" t="str">
        <x:v>30.1 Cerere Rambursare 1</x:v>
      </x:c>
      <x:c r="D1234" s="8" t="str">
        <x:v>Proiect fotovoltaic</x:v>
      </x:c>
      <x:c r="E1234" s="8" t="str">
        <x:v>.jpg</x:v>
      </x:c>
      <x:c r="F1234" s="8" t="n">
        <x:v>3169433</x:v>
      </x:c>
      <x:c r="G1234" s="8" t="str">
        <x:v>Inventariat; conținut neextras</x:v>
      </x:c>
      <x:c r="H1234" s="8" t="str">
        <x:v>Document local; transmiterea individuală neconfirmată</x:v>
      </x:c>
      <x:c r="I1234" s="8" t="str"/>
      <x:c r="J1234" s="8" t="e">
        <x:f>HYPERLINK("file:///Z:/00. Proiecte 2025/AFIR FotoVoltaic 1/30.1 Cerere Rambursare 1/9-10. Fotografii relevante ale investiției/10. Poze/INVERTOARE (1)/20260702_144354.jpg","Deschide sursa")</x:f>
        <x:v>HYPERLINK is not implemented. linkLocation=file:///Z:/00. Proiecte 2025/AFIR FotoVoltaic 1/30.1 Cerere Rambursare 1/9-10. Fotografii relevante ale investiției/10. Poze/INVERTOARE (1)/20260702_144354.jpg, friendlyName=Deschide sursa</x:v>
      </x:c>
    </x:row>
    <x:row r="1235" ht="36" customHeight="1">
      <x:c r="A1235" s="8" t="str">
        <x:v>F1231</x:v>
      </x:c>
      <x:c r="B1235" s="8" t="str">
        <x:v>20260702_144358.jpg</x:v>
      </x:c>
      <x:c r="C1235" s="8" t="str">
        <x:v>30.1 Cerere Rambursare 1</x:v>
      </x:c>
      <x:c r="D1235" s="8" t="str">
        <x:v>Proiect fotovoltaic</x:v>
      </x:c>
      <x:c r="E1235" s="8" t="str">
        <x:v>.jpg</x:v>
      </x:c>
      <x:c r="F1235" s="8" t="n">
        <x:v>3393163</x:v>
      </x:c>
      <x:c r="G1235" s="8" t="str">
        <x:v>Inventariat; conținut neextras</x:v>
      </x:c>
      <x:c r="H1235" s="8" t="str">
        <x:v>Document local; transmiterea individuală neconfirmată</x:v>
      </x:c>
      <x:c r="I1235" s="8" t="str"/>
      <x:c r="J1235" s="8" t="e">
        <x:f>HYPERLINK("file:///Z:/00. Proiecte 2025/AFIR FotoVoltaic 1/30.1 Cerere Rambursare 1/9-10. Fotografii relevante ale investiției/10. Poze/INVERTOARE (1)/20260702_144358.jpg","Deschide sursa")</x:f>
        <x:v>HYPERLINK is not implemented. linkLocation=file:///Z:/00. Proiecte 2025/AFIR FotoVoltaic 1/30.1 Cerere Rambursare 1/9-10. Fotografii relevante ale investiției/10. Poze/INVERTOARE (1)/20260702_144358.jpg, friendlyName=Deschide sursa</x:v>
      </x:c>
    </x:row>
    <x:row r="1236" ht="36" customHeight="1">
      <x:c r="A1236" s="8" t="str">
        <x:v>F1232</x:v>
      </x:c>
      <x:c r="B1236" s="8" t="str">
        <x:v>20260702_144400.jpg</x:v>
      </x:c>
      <x:c r="C1236" s="8" t="str">
        <x:v>30.1 Cerere Rambursare 1</x:v>
      </x:c>
      <x:c r="D1236" s="8" t="str">
        <x:v>Proiect fotovoltaic</x:v>
      </x:c>
      <x:c r="E1236" s="8" t="str">
        <x:v>.jpg</x:v>
      </x:c>
      <x:c r="F1236" s="8" t="n">
        <x:v>3303321</x:v>
      </x:c>
      <x:c r="G1236" s="8" t="str">
        <x:v>Inventariat; conținut neextras</x:v>
      </x:c>
      <x:c r="H1236" s="8" t="str">
        <x:v>Document local; transmiterea individuală neconfirmată</x:v>
      </x:c>
      <x:c r="I1236" s="8" t="str"/>
      <x:c r="J1236" s="8" t="e">
        <x:f>HYPERLINK("file:///Z:/00. Proiecte 2025/AFIR FotoVoltaic 1/30.1 Cerere Rambursare 1/9-10. Fotografii relevante ale investiției/10. Poze/INVERTOARE (1)/20260702_144400.jpg","Deschide sursa")</x:f>
        <x:v>HYPERLINK is not implemented. linkLocation=file:///Z:/00. Proiecte 2025/AFIR FotoVoltaic 1/30.1 Cerere Rambursare 1/9-10. Fotografii relevante ale investiției/10. Poze/INVERTOARE (1)/20260702_144400.jpg, friendlyName=Deschide sursa</x:v>
      </x:c>
    </x:row>
    <x:row r="1237" ht="36" customHeight="1">
      <x:c r="A1237" s="8" t="str">
        <x:v>F1233</x:v>
      </x:c>
      <x:c r="B1237" s="8" t="str">
        <x:v>20260702_144403.jpg</x:v>
      </x:c>
      <x:c r="C1237" s="8" t="str">
        <x:v>30.1 Cerere Rambursare 1</x:v>
      </x:c>
      <x:c r="D1237" s="8" t="str">
        <x:v>Proiect fotovoltaic</x:v>
      </x:c>
      <x:c r="E1237" s="8" t="str">
        <x:v>.jpg</x:v>
      </x:c>
      <x:c r="F1237" s="8" t="n">
        <x:v>3311326</x:v>
      </x:c>
      <x:c r="G1237" s="8" t="str">
        <x:v>Inventariat; conținut neextras</x:v>
      </x:c>
      <x:c r="H1237" s="8" t="str">
        <x:v>Document local; transmiterea individuală neconfirmată</x:v>
      </x:c>
      <x:c r="I1237" s="8" t="str"/>
      <x:c r="J1237" s="8" t="e">
        <x:f>HYPERLINK("file:///Z:/00. Proiecte 2025/AFIR FotoVoltaic 1/30.1 Cerere Rambursare 1/9-10. Fotografii relevante ale investiției/10. Poze/INVERTOARE (1)/20260702_144403.jpg","Deschide sursa")</x:f>
        <x:v>HYPERLINK is not implemented. linkLocation=file:///Z:/00. Proiecte 2025/AFIR FotoVoltaic 1/30.1 Cerere Rambursare 1/9-10. Fotografii relevante ale investiției/10. Poze/INVERTOARE (1)/20260702_144403.jpg, friendlyName=Deschide sursa</x:v>
      </x:c>
    </x:row>
    <x:row r="1238" ht="36" customHeight="1">
      <x:c r="A1238" s="8" t="str">
        <x:v>F1234</x:v>
      </x:c>
      <x:c r="B1238" s="8" t="str">
        <x:v>20260702_144405.jpg</x:v>
      </x:c>
      <x:c r="C1238" s="8" t="str">
        <x:v>30.1 Cerere Rambursare 1</x:v>
      </x:c>
      <x:c r="D1238" s="8" t="str">
        <x:v>Proiect fotovoltaic</x:v>
      </x:c>
      <x:c r="E1238" s="8" t="str">
        <x:v>.jpg</x:v>
      </x:c>
      <x:c r="F1238" s="8" t="n">
        <x:v>2804141</x:v>
      </x:c>
      <x:c r="G1238" s="8" t="str">
        <x:v>Inventariat; conținut neextras</x:v>
      </x:c>
      <x:c r="H1238" s="8" t="str">
        <x:v>Document local; transmiterea individuală neconfirmată</x:v>
      </x:c>
      <x:c r="I1238" s="8" t="str"/>
      <x:c r="J1238" s="8" t="e">
        <x:f>HYPERLINK("file:///Z:/00. Proiecte 2025/AFIR FotoVoltaic 1/30.1 Cerere Rambursare 1/9-10. Fotografii relevante ale investiției/10. Poze/INVERTOARE (1)/20260702_144405.jpg","Deschide sursa")</x:f>
        <x:v>HYPERLINK is not implemented. linkLocation=file:///Z:/00. Proiecte 2025/AFIR FotoVoltaic 1/30.1 Cerere Rambursare 1/9-10. Fotografii relevante ale investiției/10. Poze/INVERTOARE (1)/20260702_144405.jpg, friendlyName=Deschide sursa</x:v>
      </x:c>
    </x:row>
    <x:row r="1239" ht="36" customHeight="1">
      <x:c r="A1239" s="8" t="str">
        <x:v>F1235</x:v>
      </x:c>
      <x:c r="B1239" s="8" t="str">
        <x:v>20260702_144407.jpg</x:v>
      </x:c>
      <x:c r="C1239" s="8" t="str">
        <x:v>30.1 Cerere Rambursare 1</x:v>
      </x:c>
      <x:c r="D1239" s="8" t="str">
        <x:v>Proiect fotovoltaic</x:v>
      </x:c>
      <x:c r="E1239" s="8" t="str">
        <x:v>.jpg</x:v>
      </x:c>
      <x:c r="F1239" s="8" t="n">
        <x:v>2811750</x:v>
      </x:c>
      <x:c r="G1239" s="8" t="str">
        <x:v>Inventariat; conținut neextras</x:v>
      </x:c>
      <x:c r="H1239" s="8" t="str">
        <x:v>Document local; transmiterea individuală neconfirmată</x:v>
      </x:c>
      <x:c r="I1239" s="8" t="str"/>
      <x:c r="J1239" s="8" t="e">
        <x:f>HYPERLINK("file:///Z:/00. Proiecte 2025/AFIR FotoVoltaic 1/30.1 Cerere Rambursare 1/9-10. Fotografii relevante ale investiției/10. Poze/INVERTOARE (1)/20260702_144407.jpg","Deschide sursa")</x:f>
        <x:v>HYPERLINK is not implemented. linkLocation=file:///Z:/00. Proiecte 2025/AFIR FotoVoltaic 1/30.1 Cerere Rambursare 1/9-10. Fotografii relevante ale investiției/10. Poze/INVERTOARE (1)/20260702_144407.jpg, friendlyName=Deschide sursa</x:v>
      </x:c>
    </x:row>
    <x:row r="1240" ht="36" customHeight="1">
      <x:c r="A1240" s="8" t="str">
        <x:v>F1236</x:v>
      </x:c>
      <x:c r="B1240" s="8" t="str">
        <x:v>20260702_144516.jpg</x:v>
      </x:c>
      <x:c r="C1240" s="8" t="str">
        <x:v>30.1 Cerere Rambursare 1</x:v>
      </x:c>
      <x:c r="D1240" s="8" t="str">
        <x:v>Proiect fotovoltaic</x:v>
      </x:c>
      <x:c r="E1240" s="8" t="str">
        <x:v>.jpg</x:v>
      </x:c>
      <x:c r="F1240" s="8" t="n">
        <x:v>3026288</x:v>
      </x:c>
      <x:c r="G1240" s="8" t="str">
        <x:v>Inventariat; conținut neextras</x:v>
      </x:c>
      <x:c r="H1240" s="8" t="str">
        <x:v>Document local; transmiterea individuală neconfirmată</x:v>
      </x:c>
      <x:c r="I1240" s="8" t="str"/>
      <x:c r="J1240" s="8" t="e">
        <x:f>HYPERLINK("file:///Z:/00. Proiecte 2025/AFIR FotoVoltaic 1/30.1 Cerere Rambursare 1/9-10. Fotografii relevante ale investiției/10. Poze/INVERTOARE (1)/20260702_144516.jpg","Deschide sursa")</x:f>
        <x:v>HYPERLINK is not implemented. linkLocation=file:///Z:/00. Proiecte 2025/AFIR FotoVoltaic 1/30.1 Cerere Rambursare 1/9-10. Fotografii relevante ale investiției/10. Poze/INVERTOARE (1)/20260702_144516.jpg, friendlyName=Deschide sursa</x:v>
      </x:c>
    </x:row>
    <x:row r="1241" ht="36" customHeight="1">
      <x:c r="A1241" s="8" t="str">
        <x:v>F1237</x:v>
      </x:c>
      <x:c r="B1241" s="8" t="str">
        <x:v>20260702_144521.jpg</x:v>
      </x:c>
      <x:c r="C1241" s="8" t="str">
        <x:v>30.1 Cerere Rambursare 1</x:v>
      </x:c>
      <x:c r="D1241" s="8" t="str">
        <x:v>Proiect fotovoltaic</x:v>
      </x:c>
      <x:c r="E1241" s="8" t="str">
        <x:v>.jpg</x:v>
      </x:c>
      <x:c r="F1241" s="8" t="n">
        <x:v>2009013</x:v>
      </x:c>
      <x:c r="G1241" s="8" t="str">
        <x:v>Inventariat; conținut neextras</x:v>
      </x:c>
      <x:c r="H1241" s="8" t="str">
        <x:v>Document local; transmiterea individuală neconfirmată</x:v>
      </x:c>
      <x:c r="I1241" s="8" t="str"/>
      <x:c r="J1241" s="8" t="e">
        <x:f>HYPERLINK("file:///Z:/00. Proiecte 2025/AFIR FotoVoltaic 1/30.1 Cerere Rambursare 1/9-10. Fotografii relevante ale investiției/10. Poze/INVERTOARE (1)/20260702_144521.jpg","Deschide sursa")</x:f>
        <x:v>HYPERLINK is not implemented. linkLocation=file:///Z:/00. Proiecte 2025/AFIR FotoVoltaic 1/30.1 Cerere Rambursare 1/9-10. Fotografii relevante ale investiției/10. Poze/INVERTOARE (1)/20260702_144521.jpg, friendlyName=Deschide sursa</x:v>
      </x:c>
    </x:row>
    <x:row r="1242" ht="36" customHeight="1">
      <x:c r="A1242" s="8" t="str">
        <x:v>F1238</x:v>
      </x:c>
      <x:c r="B1242" s="8" t="str">
        <x:v>20260702_144523.jpg</x:v>
      </x:c>
      <x:c r="C1242" s="8" t="str">
        <x:v>30.1 Cerere Rambursare 1</x:v>
      </x:c>
      <x:c r="D1242" s="8" t="str">
        <x:v>Proiect fotovoltaic</x:v>
      </x:c>
      <x:c r="E1242" s="8" t="str">
        <x:v>.jpg</x:v>
      </x:c>
      <x:c r="F1242" s="8" t="n">
        <x:v>2040663</x:v>
      </x:c>
      <x:c r="G1242" s="8" t="str">
        <x:v>Inventariat; conținut neextras</x:v>
      </x:c>
      <x:c r="H1242" s="8" t="str">
        <x:v>Document local; transmiterea individuală neconfirmată</x:v>
      </x:c>
      <x:c r="I1242" s="8" t="str"/>
      <x:c r="J1242" s="8" t="e">
        <x:f>HYPERLINK("file:///Z:/00. Proiecte 2025/AFIR FotoVoltaic 1/30.1 Cerere Rambursare 1/9-10. Fotografii relevante ale investiției/10. Poze/INVERTOARE (1)/20260702_144523.jpg","Deschide sursa")</x:f>
        <x:v>HYPERLINK is not implemented. linkLocation=file:///Z:/00. Proiecte 2025/AFIR FotoVoltaic 1/30.1 Cerere Rambursare 1/9-10. Fotografii relevante ale investiției/10. Poze/INVERTOARE (1)/20260702_144523.jpg, friendlyName=Deschide sursa</x:v>
      </x:c>
    </x:row>
    <x:row r="1243" ht="36" customHeight="1">
      <x:c r="A1243" s="8" t="str">
        <x:v>F1239</x:v>
      </x:c>
      <x:c r="B1243" s="8" t="str">
        <x:v>20260702_144527.jpg</x:v>
      </x:c>
      <x:c r="C1243" s="8" t="str">
        <x:v>30.1 Cerere Rambursare 1</x:v>
      </x:c>
      <x:c r="D1243" s="8" t="str">
        <x:v>Proiect fotovoltaic</x:v>
      </x:c>
      <x:c r="E1243" s="8" t="str">
        <x:v>.jpg</x:v>
      </x:c>
      <x:c r="F1243" s="8" t="n">
        <x:v>3042098</x:v>
      </x:c>
      <x:c r="G1243" s="8" t="str">
        <x:v>Inventariat; conținut neextras</x:v>
      </x:c>
      <x:c r="H1243" s="8" t="str">
        <x:v>Document local; transmiterea individuală neconfirmată</x:v>
      </x:c>
      <x:c r="I1243" s="8" t="str"/>
      <x:c r="J1243" s="8" t="e">
        <x:f>HYPERLINK("file:///Z:/00. Proiecte 2025/AFIR FotoVoltaic 1/30.1 Cerere Rambursare 1/9-10. Fotografii relevante ale investiției/10. Poze/INVERTOARE (1)/20260702_144527.jpg","Deschide sursa")</x:f>
        <x:v>HYPERLINK is not implemented. linkLocation=file:///Z:/00. Proiecte 2025/AFIR FotoVoltaic 1/30.1 Cerere Rambursare 1/9-10. Fotografii relevante ale investiției/10. Poze/INVERTOARE (1)/20260702_144527.jpg, friendlyName=Deschide sursa</x:v>
      </x:c>
    </x:row>
    <x:row r="1244" ht="36" customHeight="1">
      <x:c r="A1244" s="8" t="str">
        <x:v>F1240</x:v>
      </x:c>
      <x:c r="B1244" s="8" t="str">
        <x:v>20260702_144529.jpg</x:v>
      </x:c>
      <x:c r="C1244" s="8" t="str">
        <x:v>30.1 Cerere Rambursare 1</x:v>
      </x:c>
      <x:c r="D1244" s="8" t="str">
        <x:v>Proiect fotovoltaic</x:v>
      </x:c>
      <x:c r="E1244" s="8" t="str">
        <x:v>.jpg</x:v>
      </x:c>
      <x:c r="F1244" s="8" t="n">
        <x:v>2934359</x:v>
      </x:c>
      <x:c r="G1244" s="8" t="str">
        <x:v>Inventariat; conținut neextras</x:v>
      </x:c>
      <x:c r="H1244" s="8" t="str">
        <x:v>Document local; transmiterea individuală neconfirmată</x:v>
      </x:c>
      <x:c r="I1244" s="8" t="str"/>
      <x:c r="J1244" s="8" t="e">
        <x:f>HYPERLINK("file:///Z:/00. Proiecte 2025/AFIR FotoVoltaic 1/30.1 Cerere Rambursare 1/9-10. Fotografii relevante ale investiției/10. Poze/INVERTOARE (1)/20260702_144529.jpg","Deschide sursa")</x:f>
        <x:v>HYPERLINK is not implemented. linkLocation=file:///Z:/00. Proiecte 2025/AFIR FotoVoltaic 1/30.1 Cerere Rambursare 1/9-10. Fotografii relevante ale investiției/10. Poze/INVERTOARE (1)/20260702_144529.jpg, friendlyName=Deschide sursa</x:v>
      </x:c>
    </x:row>
    <x:row r="1245" ht="36" customHeight="1">
      <x:c r="A1245" s="8" t="str">
        <x:v>F1241</x:v>
      </x:c>
      <x:c r="B1245" s="8" t="str">
        <x:v>20260702_144543.jpg</x:v>
      </x:c>
      <x:c r="C1245" s="8" t="str">
        <x:v>30.1 Cerere Rambursare 1</x:v>
      </x:c>
      <x:c r="D1245" s="8" t="str">
        <x:v>Proiect fotovoltaic</x:v>
      </x:c>
      <x:c r="E1245" s="8" t="str">
        <x:v>.jpg</x:v>
      </x:c>
      <x:c r="F1245" s="8" t="n">
        <x:v>3487511</x:v>
      </x:c>
      <x:c r="G1245" s="8" t="str">
        <x:v>Inventariat; conținut neextras</x:v>
      </x:c>
      <x:c r="H1245" s="8" t="str">
        <x:v>Document local; transmiterea individuală neconfirmată</x:v>
      </x:c>
      <x:c r="I1245" s="8" t="str"/>
      <x:c r="J1245" s="8" t="e">
        <x:f>HYPERLINK("file:///Z:/00. Proiecte 2025/AFIR FotoVoltaic 1/30.1 Cerere Rambursare 1/9-10. Fotografii relevante ale investiției/10. Poze/INVERTOARE (1)/20260702_144543.jpg","Deschide sursa")</x:f>
        <x:v>HYPERLINK is not implemented. linkLocation=file:///Z:/00. Proiecte 2025/AFIR FotoVoltaic 1/30.1 Cerere Rambursare 1/9-10. Fotografii relevante ale investiției/10. Poze/INVERTOARE (1)/20260702_144543.jpg, friendlyName=Deschide sursa</x:v>
      </x:c>
    </x:row>
    <x:row r="1246" ht="36" customHeight="1">
      <x:c r="A1246" s="8" t="str">
        <x:v>F1242</x:v>
      </x:c>
      <x:c r="B1246" s="8" t="str">
        <x:v>20260702_144546.jpg</x:v>
      </x:c>
      <x:c r="C1246" s="8" t="str">
        <x:v>30.1 Cerere Rambursare 1</x:v>
      </x:c>
      <x:c r="D1246" s="8" t="str">
        <x:v>Proiect fotovoltaic</x:v>
      </x:c>
      <x:c r="E1246" s="8" t="str">
        <x:v>.jpg</x:v>
      </x:c>
      <x:c r="F1246" s="8" t="n">
        <x:v>3652132</x:v>
      </x:c>
      <x:c r="G1246" s="8" t="str">
        <x:v>Inventariat; conținut neextras</x:v>
      </x:c>
      <x:c r="H1246" s="8" t="str">
        <x:v>Document local; transmiterea individuală neconfirmată</x:v>
      </x:c>
      <x:c r="I1246" s="8" t="str"/>
      <x:c r="J1246" s="8" t="e">
        <x:f>HYPERLINK("file:///Z:/00. Proiecte 2025/AFIR FotoVoltaic 1/30.1 Cerere Rambursare 1/9-10. Fotografii relevante ale investiției/10. Poze/INVERTOARE (1)/20260702_144546.jpg","Deschide sursa")</x:f>
        <x:v>HYPERLINK is not implemented. linkLocation=file:///Z:/00. Proiecte 2025/AFIR FotoVoltaic 1/30.1 Cerere Rambursare 1/9-10. Fotografii relevante ale investiției/10. Poze/INVERTOARE (1)/20260702_144546.jpg, friendlyName=Deschide sursa</x:v>
      </x:c>
    </x:row>
    <x:row r="1247" ht="36" customHeight="1">
      <x:c r="A1247" s="8" t="str">
        <x:v>F1243</x:v>
      </x:c>
      <x:c r="B1247" s="8" t="str">
        <x:v>20260702_144548.jpg</x:v>
      </x:c>
      <x:c r="C1247" s="8" t="str">
        <x:v>30.1 Cerere Rambursare 1</x:v>
      </x:c>
      <x:c r="D1247" s="8" t="str">
        <x:v>Proiect fotovoltaic</x:v>
      </x:c>
      <x:c r="E1247" s="8" t="str">
        <x:v>.jpg</x:v>
      </x:c>
      <x:c r="F1247" s="8" t="n">
        <x:v>3249399</x:v>
      </x:c>
      <x:c r="G1247" s="8" t="str">
        <x:v>Inventariat; conținut neextras</x:v>
      </x:c>
      <x:c r="H1247" s="8" t="str">
        <x:v>Document local; transmiterea individuală neconfirmată</x:v>
      </x:c>
      <x:c r="I1247" s="8" t="str"/>
      <x:c r="J1247" s="8" t="e">
        <x:f>HYPERLINK("file:///Z:/00. Proiecte 2025/AFIR FotoVoltaic 1/30.1 Cerere Rambursare 1/9-10. Fotografii relevante ale investiției/10. Poze/INVERTOARE (1)/20260702_144548.jpg","Deschide sursa")</x:f>
        <x:v>HYPERLINK is not implemented. linkLocation=file:///Z:/00. Proiecte 2025/AFIR FotoVoltaic 1/30.1 Cerere Rambursare 1/9-10. Fotografii relevante ale investiției/10. Poze/INVERTOARE (1)/20260702_144548.jpg, friendlyName=Deschide sursa</x:v>
      </x:c>
    </x:row>
    <x:row r="1248" ht="36" customHeight="1">
      <x:c r="A1248" s="8" t="str">
        <x:v>F1244</x:v>
      </x:c>
      <x:c r="B1248" s="8" t="str">
        <x:v>20260702_144550.jpg</x:v>
      </x:c>
      <x:c r="C1248" s="8" t="str">
        <x:v>30.1 Cerere Rambursare 1</x:v>
      </x:c>
      <x:c r="D1248" s="8" t="str">
        <x:v>Proiect fotovoltaic</x:v>
      </x:c>
      <x:c r="E1248" s="8" t="str">
        <x:v>.jpg</x:v>
      </x:c>
      <x:c r="F1248" s="8" t="n">
        <x:v>2520104</x:v>
      </x:c>
      <x:c r="G1248" s="8" t="str">
        <x:v>Inventariat; conținut neextras</x:v>
      </x:c>
      <x:c r="H1248" s="8" t="str">
        <x:v>Document local; transmiterea individuală neconfirmată</x:v>
      </x:c>
      <x:c r="I1248" s="8" t="str"/>
      <x:c r="J1248" s="8" t="e">
        <x:f>HYPERLINK("file:///Z:/00. Proiecte 2025/AFIR FotoVoltaic 1/30.1 Cerere Rambursare 1/9-10. Fotografii relevante ale investiției/10. Poze/INVERTOARE (1)/20260702_144550.jpg","Deschide sursa")</x:f>
        <x:v>HYPERLINK is not implemented. linkLocation=file:///Z:/00. Proiecte 2025/AFIR FotoVoltaic 1/30.1 Cerere Rambursare 1/9-10. Fotografii relevante ale investiției/10. Poze/INVERTOARE (1)/20260702_144550.jpg, friendlyName=Deschide sursa</x:v>
      </x:c>
    </x:row>
    <x:row r="1249" ht="36" customHeight="1">
      <x:c r="A1249" s="8" t="str">
        <x:v>F1245</x:v>
      </x:c>
      <x:c r="B1249" s="8" t="str">
        <x:v>20260702_144552.jpg</x:v>
      </x:c>
      <x:c r="C1249" s="8" t="str">
        <x:v>30.1 Cerere Rambursare 1</x:v>
      </x:c>
      <x:c r="D1249" s="8" t="str">
        <x:v>Proiect fotovoltaic</x:v>
      </x:c>
      <x:c r="E1249" s="8" t="str">
        <x:v>.jpg</x:v>
      </x:c>
      <x:c r="F1249" s="8" t="n">
        <x:v>2432719</x:v>
      </x:c>
      <x:c r="G1249" s="8" t="str">
        <x:v>Inventariat; conținut neextras</x:v>
      </x:c>
      <x:c r="H1249" s="8" t="str">
        <x:v>Document local; transmiterea individuală neconfirmată</x:v>
      </x:c>
      <x:c r="I1249" s="8" t="str"/>
      <x:c r="J1249" s="8" t="e">
        <x:f>HYPERLINK("file:///Z:/00. Proiecte 2025/AFIR FotoVoltaic 1/30.1 Cerere Rambursare 1/9-10. Fotografii relevante ale investiției/10. Poze/INVERTOARE (1)/20260702_144552.jpg","Deschide sursa")</x:f>
        <x:v>HYPERLINK is not implemented. linkLocation=file:///Z:/00. Proiecte 2025/AFIR FotoVoltaic 1/30.1 Cerere Rambursare 1/9-10. Fotografii relevante ale investiției/10. Poze/INVERTOARE (1)/20260702_144552.jpg, friendlyName=Deschide sursa</x:v>
      </x:c>
    </x:row>
    <x:row r="1250" ht="36" customHeight="1">
      <x:c r="A1250" s="8" t="str">
        <x:v>F1246</x:v>
      </x:c>
      <x:c r="B1250" s="8" t="str">
        <x:v>20260702_144556.jpg</x:v>
      </x:c>
      <x:c r="C1250" s="8" t="str">
        <x:v>30.1 Cerere Rambursare 1</x:v>
      </x:c>
      <x:c r="D1250" s="8" t="str">
        <x:v>Proiect fotovoltaic</x:v>
      </x:c>
      <x:c r="E1250" s="8" t="str">
        <x:v>.jpg</x:v>
      </x:c>
      <x:c r="F1250" s="8" t="n">
        <x:v>2670749</x:v>
      </x:c>
      <x:c r="G1250" s="8" t="str">
        <x:v>Inventariat; conținut neextras</x:v>
      </x:c>
      <x:c r="H1250" s="8" t="str">
        <x:v>Document local; transmiterea individuală neconfirmată</x:v>
      </x:c>
      <x:c r="I1250" s="8" t="str"/>
      <x:c r="J1250" s="8" t="e">
        <x:f>HYPERLINK("file:///Z:/00. Proiecte 2025/AFIR FotoVoltaic 1/30.1 Cerere Rambursare 1/9-10. Fotografii relevante ale investiției/10. Poze/INVERTOARE (1)/20260702_144556.jpg","Deschide sursa")</x:f>
        <x:v>HYPERLINK is not implemented. linkLocation=file:///Z:/00. Proiecte 2025/AFIR FotoVoltaic 1/30.1 Cerere Rambursare 1/9-10. Fotografii relevante ale investiției/10. Poze/INVERTOARE (1)/20260702_144556.jpg, friendlyName=Deschide sursa</x:v>
      </x:c>
    </x:row>
    <x:row r="1251" ht="36" customHeight="1">
      <x:c r="A1251" s="8" t="str">
        <x:v>F1247</x:v>
      </x:c>
      <x:c r="B1251" s="8" t="str">
        <x:v>20260702_144558.jpg</x:v>
      </x:c>
      <x:c r="C1251" s="8" t="str">
        <x:v>30.1 Cerere Rambursare 1</x:v>
      </x:c>
      <x:c r="D1251" s="8" t="str">
        <x:v>Proiect fotovoltaic</x:v>
      </x:c>
      <x:c r="E1251" s="8" t="str">
        <x:v>.jpg</x:v>
      </x:c>
      <x:c r="F1251" s="8" t="n">
        <x:v>2433245</x:v>
      </x:c>
      <x:c r="G1251" s="8" t="str">
        <x:v>Inventariat; conținut neextras</x:v>
      </x:c>
      <x:c r="H1251" s="8" t="str">
        <x:v>Document local; transmiterea individuală neconfirmată</x:v>
      </x:c>
      <x:c r="I1251" s="8" t="str"/>
      <x:c r="J1251" s="8" t="e">
        <x:f>HYPERLINK("file:///Z:/00. Proiecte 2025/AFIR FotoVoltaic 1/30.1 Cerere Rambursare 1/9-10. Fotografii relevante ale investiției/10. Poze/INVERTOARE (1)/20260702_144558.jpg","Deschide sursa")</x:f>
        <x:v>HYPERLINK is not implemented. linkLocation=file:///Z:/00. Proiecte 2025/AFIR FotoVoltaic 1/30.1 Cerere Rambursare 1/9-10. Fotografii relevante ale investiției/10. Poze/INVERTOARE (1)/20260702_144558.jpg, friendlyName=Deschide sursa</x:v>
      </x:c>
    </x:row>
    <x:row r="1252" ht="36" customHeight="1">
      <x:c r="A1252" s="8" t="str">
        <x:v>F1248</x:v>
      </x:c>
      <x:c r="B1252" s="8" t="str">
        <x:v>20260702_144622.jpg</x:v>
      </x:c>
      <x:c r="C1252" s="8" t="str">
        <x:v>30.1 Cerere Rambursare 1</x:v>
      </x:c>
      <x:c r="D1252" s="8" t="str">
        <x:v>Proiect fotovoltaic</x:v>
      </x:c>
      <x:c r="E1252" s="8" t="str">
        <x:v>.jpg</x:v>
      </x:c>
      <x:c r="F1252" s="8" t="n">
        <x:v>2460501</x:v>
      </x:c>
      <x:c r="G1252" s="8" t="str">
        <x:v>Inventariat; conținut neextras</x:v>
      </x:c>
      <x:c r="H1252" s="8" t="str">
        <x:v>Document local; transmiterea individuală neconfirmată</x:v>
      </x:c>
      <x:c r="I1252" s="8" t="str"/>
      <x:c r="J1252" s="8" t="e">
        <x:f>HYPERLINK("file:///Z:/00. Proiecte 2025/AFIR FotoVoltaic 1/30.1 Cerere Rambursare 1/9-10. Fotografii relevante ale investiției/10. Poze/INVERTOARE (1)/20260702_144622.jpg","Deschide sursa")</x:f>
        <x:v>HYPERLINK is not implemented. linkLocation=file:///Z:/00. Proiecte 2025/AFIR FotoVoltaic 1/30.1 Cerere Rambursare 1/9-10. Fotografii relevante ale investiției/10. Poze/INVERTOARE (1)/20260702_144622.jpg, friendlyName=Deschide sursa</x:v>
      </x:c>
    </x:row>
    <x:row r="1253" ht="36" customHeight="1">
      <x:c r="A1253" s="8" t="str">
        <x:v>F1249</x:v>
      </x:c>
      <x:c r="B1253" s="8" t="str">
        <x:v>20260702_144624.jpg</x:v>
      </x:c>
      <x:c r="C1253" s="8" t="str">
        <x:v>30.1 Cerere Rambursare 1</x:v>
      </x:c>
      <x:c r="D1253" s="8" t="str">
        <x:v>Proiect fotovoltaic</x:v>
      </x:c>
      <x:c r="E1253" s="8" t="str">
        <x:v>.jpg</x:v>
      </x:c>
      <x:c r="F1253" s="8" t="n">
        <x:v>2491496</x:v>
      </x:c>
      <x:c r="G1253" s="8" t="str">
        <x:v>Inventariat; conținut neextras</x:v>
      </x:c>
      <x:c r="H1253" s="8" t="str">
        <x:v>Document local; transmiterea individuală neconfirmată</x:v>
      </x:c>
      <x:c r="I1253" s="8" t="str"/>
      <x:c r="J1253" s="8" t="e">
        <x:f>HYPERLINK("file:///Z:/00. Proiecte 2025/AFIR FotoVoltaic 1/30.1 Cerere Rambursare 1/9-10. Fotografii relevante ale investiției/10. Poze/INVERTOARE (1)/20260702_144624.jpg","Deschide sursa")</x:f>
        <x:v>HYPERLINK is not implemented. linkLocation=file:///Z:/00. Proiecte 2025/AFIR FotoVoltaic 1/30.1 Cerere Rambursare 1/9-10. Fotografii relevante ale investiției/10. Poze/INVERTOARE (1)/20260702_144624.jpg, friendlyName=Deschide sursa</x:v>
      </x:c>
    </x:row>
    <x:row r="1254" ht="36" customHeight="1">
      <x:c r="A1254" s="8" t="str">
        <x:v>F1250</x:v>
      </x:c>
      <x:c r="B1254" s="8" t="str">
        <x:v>20260702_144626.jpg</x:v>
      </x:c>
      <x:c r="C1254" s="8" t="str">
        <x:v>30.1 Cerere Rambursare 1</x:v>
      </x:c>
      <x:c r="D1254" s="8" t="str">
        <x:v>Proiect fotovoltaic</x:v>
      </x:c>
      <x:c r="E1254" s="8" t="str">
        <x:v>.jpg</x:v>
      </x:c>
      <x:c r="F1254" s="8" t="n">
        <x:v>2734853</x:v>
      </x:c>
      <x:c r="G1254" s="8" t="str">
        <x:v>Inventariat; conținut neextras</x:v>
      </x:c>
      <x:c r="H1254" s="8" t="str">
        <x:v>Document local; transmiterea individuală neconfirmată</x:v>
      </x:c>
      <x:c r="I1254" s="8" t="str"/>
      <x:c r="J1254" s="8" t="e">
        <x:f>HYPERLINK("file:///Z:/00. Proiecte 2025/AFIR FotoVoltaic 1/30.1 Cerere Rambursare 1/9-10. Fotografii relevante ale investiției/10. Poze/INVERTOARE (1)/20260702_144626.jpg","Deschide sursa")</x:f>
        <x:v>HYPERLINK is not implemented. linkLocation=file:///Z:/00. Proiecte 2025/AFIR FotoVoltaic 1/30.1 Cerere Rambursare 1/9-10. Fotografii relevante ale investiției/10. Poze/INVERTOARE (1)/20260702_144626.jpg, friendlyName=Deschide sursa</x:v>
      </x:c>
    </x:row>
    <x:row r="1255" ht="36" customHeight="1">
      <x:c r="A1255" s="8" t="str">
        <x:v>F1251</x:v>
      </x:c>
      <x:c r="B1255" s="8" t="str">
        <x:v>20260702_144628.jpg</x:v>
      </x:c>
      <x:c r="C1255" s="8" t="str">
        <x:v>30.1 Cerere Rambursare 1</x:v>
      </x:c>
      <x:c r="D1255" s="8" t="str">
        <x:v>Proiect fotovoltaic</x:v>
      </x:c>
      <x:c r="E1255" s="8" t="str">
        <x:v>.jpg</x:v>
      </x:c>
      <x:c r="F1255" s="8" t="n">
        <x:v>2905954</x:v>
      </x:c>
      <x:c r="G1255" s="8" t="str">
        <x:v>Inventariat; conținut neextras</x:v>
      </x:c>
      <x:c r="H1255" s="8" t="str">
        <x:v>Document local; transmiterea individuală neconfirmată</x:v>
      </x:c>
      <x:c r="I1255" s="8" t="str"/>
      <x:c r="J1255" s="8" t="e">
        <x:f>HYPERLINK("file:///Z:/00. Proiecte 2025/AFIR FotoVoltaic 1/30.1 Cerere Rambursare 1/9-10. Fotografii relevante ale investiției/10. Poze/INVERTOARE (1)/20260702_144628.jpg","Deschide sursa")</x:f>
        <x:v>HYPERLINK is not implemented. linkLocation=file:///Z:/00. Proiecte 2025/AFIR FotoVoltaic 1/30.1 Cerere Rambursare 1/9-10. Fotografii relevante ale investiției/10. Poze/INVERTOARE (1)/20260702_144628.jpg, friendlyName=Deschide sursa</x:v>
      </x:c>
    </x:row>
    <x:row r="1256" ht="36" customHeight="1">
      <x:c r="A1256" s="8" t="str">
        <x:v>F1252</x:v>
      </x:c>
      <x:c r="B1256" s="8" t="str">
        <x:v>20260702_144630.jpg</x:v>
      </x:c>
      <x:c r="C1256" s="8" t="str">
        <x:v>30.1 Cerere Rambursare 1</x:v>
      </x:c>
      <x:c r="D1256" s="8" t="str">
        <x:v>Proiect fotovoltaic</x:v>
      </x:c>
      <x:c r="E1256" s="8" t="str">
        <x:v>.jpg</x:v>
      </x:c>
      <x:c r="F1256" s="8" t="n">
        <x:v>2668468</x:v>
      </x:c>
      <x:c r="G1256" s="8" t="str">
        <x:v>Inventariat; conținut neextras</x:v>
      </x:c>
      <x:c r="H1256" s="8" t="str">
        <x:v>Document local; transmiterea individuală neconfirmată</x:v>
      </x:c>
      <x:c r="I1256" s="8" t="str"/>
      <x:c r="J1256" s="8" t="e">
        <x:f>HYPERLINK("file:///Z:/00. Proiecte 2025/AFIR FotoVoltaic 1/30.1 Cerere Rambursare 1/9-10. Fotografii relevante ale investiției/10. Poze/INVERTOARE (1)/20260702_144630.jpg","Deschide sursa")</x:f>
        <x:v>HYPERLINK is not implemented. linkLocation=file:///Z:/00. Proiecte 2025/AFIR FotoVoltaic 1/30.1 Cerere Rambursare 1/9-10. Fotografii relevante ale investiției/10. Poze/INVERTOARE (1)/20260702_144630.jpg, friendlyName=Deschide sursa</x:v>
      </x:c>
    </x:row>
    <x:row r="1257" ht="36" customHeight="1">
      <x:c r="A1257" s="8" t="str">
        <x:v>F1253</x:v>
      </x:c>
      <x:c r="B1257" s="8" t="str">
        <x:v>20260702_144634.jpg</x:v>
      </x:c>
      <x:c r="C1257" s="8" t="str">
        <x:v>30.1 Cerere Rambursare 1</x:v>
      </x:c>
      <x:c r="D1257" s="8" t="str">
        <x:v>Proiect fotovoltaic</x:v>
      </x:c>
      <x:c r="E1257" s="8" t="str">
        <x:v>.jpg</x:v>
      </x:c>
      <x:c r="F1257" s="8" t="n">
        <x:v>2536571</x:v>
      </x:c>
      <x:c r="G1257" s="8" t="str">
        <x:v>Inventariat; conținut neextras</x:v>
      </x:c>
      <x:c r="H1257" s="8" t="str">
        <x:v>Document local; transmiterea individuală neconfirmată</x:v>
      </x:c>
      <x:c r="I1257" s="8" t="str"/>
      <x:c r="J1257" s="8" t="e">
        <x:f>HYPERLINK("file:///Z:/00. Proiecte 2025/AFIR FotoVoltaic 1/30.1 Cerere Rambursare 1/9-10. Fotografii relevante ale investiției/10. Poze/INVERTOARE (1)/20260702_144634.jpg","Deschide sursa")</x:f>
        <x:v>HYPERLINK is not implemented. linkLocation=file:///Z:/00. Proiecte 2025/AFIR FotoVoltaic 1/30.1 Cerere Rambursare 1/9-10. Fotografii relevante ale investiției/10. Poze/INVERTOARE (1)/20260702_144634.jpg, friendlyName=Deschide sursa</x:v>
      </x:c>
    </x:row>
    <x:row r="1258" ht="36" customHeight="1">
      <x:c r="A1258" s="8" t="str">
        <x:v>F1254</x:v>
      </x:c>
      <x:c r="B1258" s="8" t="str">
        <x:v>20260702_144639.jpg</x:v>
      </x:c>
      <x:c r="C1258" s="8" t="str">
        <x:v>30.1 Cerere Rambursare 1</x:v>
      </x:c>
      <x:c r="D1258" s="8" t="str">
        <x:v>Proiect fotovoltaic</x:v>
      </x:c>
      <x:c r="E1258" s="8" t="str">
        <x:v>.jpg</x:v>
      </x:c>
      <x:c r="F1258" s="8" t="n">
        <x:v>2363241</x:v>
      </x:c>
      <x:c r="G1258" s="8" t="str">
        <x:v>Inventariat; conținut neextras</x:v>
      </x:c>
      <x:c r="H1258" s="8" t="str">
        <x:v>Document local; transmiterea individuală neconfirmată</x:v>
      </x:c>
      <x:c r="I1258" s="8" t="str"/>
      <x:c r="J1258" s="8" t="e">
        <x:f>HYPERLINK("file:///Z:/00. Proiecte 2025/AFIR FotoVoltaic 1/30.1 Cerere Rambursare 1/9-10. Fotografii relevante ale investiției/10. Poze/INVERTOARE (1)/20260702_144639.jpg","Deschide sursa")</x:f>
        <x:v>HYPERLINK is not implemented. linkLocation=file:///Z:/00. Proiecte 2025/AFIR FotoVoltaic 1/30.1 Cerere Rambursare 1/9-10. Fotografii relevante ale investiției/10. Poze/INVERTOARE (1)/20260702_144639.jpg, friendlyName=Deschide sursa</x:v>
      </x:c>
    </x:row>
    <x:row r="1259" ht="36" customHeight="1">
      <x:c r="A1259" s="8" t="str">
        <x:v>F1255</x:v>
      </x:c>
      <x:c r="B1259" s="8" t="str">
        <x:v>20260702_144642.jpg</x:v>
      </x:c>
      <x:c r="C1259" s="8" t="str">
        <x:v>30.1 Cerere Rambursare 1</x:v>
      </x:c>
      <x:c r="D1259" s="8" t="str">
        <x:v>Proiect fotovoltaic</x:v>
      </x:c>
      <x:c r="E1259" s="8" t="str">
        <x:v>.jpg</x:v>
      </x:c>
      <x:c r="F1259" s="8" t="n">
        <x:v>2461245</x:v>
      </x:c>
      <x:c r="G1259" s="8" t="str">
        <x:v>Inventariat; conținut neextras</x:v>
      </x:c>
      <x:c r="H1259" s="8" t="str">
        <x:v>Document local; transmiterea individuală neconfirmată</x:v>
      </x:c>
      <x:c r="I1259" s="8" t="str"/>
      <x:c r="J1259" s="8" t="e">
        <x:f>HYPERLINK("file:///Z:/00. Proiecte 2025/AFIR FotoVoltaic 1/30.1 Cerere Rambursare 1/9-10. Fotografii relevante ale investiției/10. Poze/INVERTOARE (1)/20260702_144642.jpg","Deschide sursa")</x:f>
        <x:v>HYPERLINK is not implemented. linkLocation=file:///Z:/00. Proiecte 2025/AFIR FotoVoltaic 1/30.1 Cerere Rambursare 1/9-10. Fotografii relevante ale investiției/10. Poze/INVERTOARE (1)/20260702_144642.jpg, friendlyName=Deschide sursa</x:v>
      </x:c>
    </x:row>
    <x:row r="1260" ht="36" customHeight="1">
      <x:c r="A1260" s="8" t="str">
        <x:v>F1256</x:v>
      </x:c>
      <x:c r="B1260" s="8" t="str">
        <x:v>20260702_144644.jpg</x:v>
      </x:c>
      <x:c r="C1260" s="8" t="str">
        <x:v>30.1 Cerere Rambursare 1</x:v>
      </x:c>
      <x:c r="D1260" s="8" t="str">
        <x:v>Proiect fotovoltaic</x:v>
      </x:c>
      <x:c r="E1260" s="8" t="str">
        <x:v>.jpg</x:v>
      </x:c>
      <x:c r="F1260" s="8" t="n">
        <x:v>2757716</x:v>
      </x:c>
      <x:c r="G1260" s="8" t="str">
        <x:v>Inventariat; conținut neextras</x:v>
      </x:c>
      <x:c r="H1260" s="8" t="str">
        <x:v>Document local; transmiterea individuală neconfirmată</x:v>
      </x:c>
      <x:c r="I1260" s="8" t="str"/>
      <x:c r="J1260" s="8" t="e">
        <x:f>HYPERLINK("file:///Z:/00. Proiecte 2025/AFIR FotoVoltaic 1/30.1 Cerere Rambursare 1/9-10. Fotografii relevante ale investiției/10. Poze/INVERTOARE (1)/20260702_144644.jpg","Deschide sursa")</x:f>
        <x:v>HYPERLINK is not implemented. linkLocation=file:///Z:/00. Proiecte 2025/AFIR FotoVoltaic 1/30.1 Cerere Rambursare 1/9-10. Fotografii relevante ale investiției/10. Poze/INVERTOARE (1)/20260702_144644.jpg, friendlyName=Deschide sursa</x:v>
      </x:c>
    </x:row>
    <x:row r="1261" ht="36" customHeight="1">
      <x:c r="A1261" s="8" t="str">
        <x:v>F1257</x:v>
      </x:c>
      <x:c r="B1261" s="8" t="str">
        <x:v>20260702_144646.jpg</x:v>
      </x:c>
      <x:c r="C1261" s="8" t="str">
        <x:v>30.1 Cerere Rambursare 1</x:v>
      </x:c>
      <x:c r="D1261" s="8" t="str">
        <x:v>Proiect fotovoltaic</x:v>
      </x:c>
      <x:c r="E1261" s="8" t="str">
        <x:v>.jpg</x:v>
      </x:c>
      <x:c r="F1261" s="8" t="n">
        <x:v>2589887</x:v>
      </x:c>
      <x:c r="G1261" s="8" t="str">
        <x:v>Inventariat; conținut neextras</x:v>
      </x:c>
      <x:c r="H1261" s="8" t="str">
        <x:v>Document local; transmiterea individuală neconfirmată</x:v>
      </x:c>
      <x:c r="I1261" s="8" t="str"/>
      <x:c r="J1261" s="8" t="e">
        <x:f>HYPERLINK("file:///Z:/00. Proiecte 2025/AFIR FotoVoltaic 1/30.1 Cerere Rambursare 1/9-10. Fotografii relevante ale investiției/10. Poze/INVERTOARE (1)/20260702_144646.jpg","Deschide sursa")</x:f>
        <x:v>HYPERLINK is not implemented. linkLocation=file:///Z:/00. Proiecte 2025/AFIR FotoVoltaic 1/30.1 Cerere Rambursare 1/9-10. Fotografii relevante ale investiției/10. Poze/INVERTOARE (1)/20260702_144646.jpg, friendlyName=Deschide sursa</x:v>
      </x:c>
    </x:row>
    <x:row r="1262" ht="36" customHeight="1">
      <x:c r="A1262" s="8" t="str">
        <x:v>F1258</x:v>
      </x:c>
      <x:c r="B1262" s="8" t="str">
        <x:v>20260702_144649.jpg</x:v>
      </x:c>
      <x:c r="C1262" s="8" t="str">
        <x:v>30.1 Cerere Rambursare 1</x:v>
      </x:c>
      <x:c r="D1262" s="8" t="str">
        <x:v>Proiect fotovoltaic</x:v>
      </x:c>
      <x:c r="E1262" s="8" t="str">
        <x:v>.jpg</x:v>
      </x:c>
      <x:c r="F1262" s="8" t="n">
        <x:v>2770024</x:v>
      </x:c>
      <x:c r="G1262" s="8" t="str">
        <x:v>Inventariat; conținut neextras</x:v>
      </x:c>
      <x:c r="H1262" s="8" t="str">
        <x:v>Document local; transmiterea individuală neconfirmată</x:v>
      </x:c>
      <x:c r="I1262" s="8" t="str"/>
      <x:c r="J1262" s="8" t="e">
        <x:f>HYPERLINK("file:///Z:/00. Proiecte 2025/AFIR FotoVoltaic 1/30.1 Cerere Rambursare 1/9-10. Fotografii relevante ale investiției/10. Poze/INVERTOARE (1)/20260702_144649.jpg","Deschide sursa")</x:f>
        <x:v>HYPERLINK is not implemented. linkLocation=file:///Z:/00. Proiecte 2025/AFIR FotoVoltaic 1/30.1 Cerere Rambursare 1/9-10. Fotografii relevante ale investiției/10. Poze/INVERTOARE (1)/20260702_144649.jpg, friendlyName=Deschide sursa</x:v>
      </x:c>
    </x:row>
    <x:row r="1263" ht="36" customHeight="1">
      <x:c r="A1263" s="8" t="str">
        <x:v>F1259</x:v>
      </x:c>
      <x:c r="B1263" s="8" t="str">
        <x:v>20260702_144651.jpg</x:v>
      </x:c>
      <x:c r="C1263" s="8" t="str">
        <x:v>30.1 Cerere Rambursare 1</x:v>
      </x:c>
      <x:c r="D1263" s="8" t="str">
        <x:v>Proiect fotovoltaic</x:v>
      </x:c>
      <x:c r="E1263" s="8" t="str">
        <x:v>.jpg</x:v>
      </x:c>
      <x:c r="F1263" s="8" t="n">
        <x:v>2838349</x:v>
      </x:c>
      <x:c r="G1263" s="8" t="str">
        <x:v>Inventariat; conținut neextras</x:v>
      </x:c>
      <x:c r="H1263" s="8" t="str">
        <x:v>Document local; transmiterea individuală neconfirmată</x:v>
      </x:c>
      <x:c r="I1263" s="8" t="str"/>
      <x:c r="J1263" s="8" t="e">
        <x:f>HYPERLINK("file:///Z:/00. Proiecte 2025/AFIR FotoVoltaic 1/30.1 Cerere Rambursare 1/9-10. Fotografii relevante ale investiției/10. Poze/INVERTOARE (1)/20260702_144651.jpg","Deschide sursa")</x:f>
        <x:v>HYPERLINK is not implemented. linkLocation=file:///Z:/00. Proiecte 2025/AFIR FotoVoltaic 1/30.1 Cerere Rambursare 1/9-10. Fotografii relevante ale investiției/10. Poze/INVERTOARE (1)/20260702_144651.jpg, friendlyName=Deschide sursa</x:v>
      </x:c>
    </x:row>
    <x:row r="1264" ht="36" customHeight="1">
      <x:c r="A1264" s="8" t="str">
        <x:v>F1260</x:v>
      </x:c>
      <x:c r="B1264" s="8" t="str">
        <x:v>20260702_144700.jpg</x:v>
      </x:c>
      <x:c r="C1264" s="8" t="str">
        <x:v>30.1 Cerere Rambursare 1</x:v>
      </x:c>
      <x:c r="D1264" s="8" t="str">
        <x:v>Proiect fotovoltaic</x:v>
      </x:c>
      <x:c r="E1264" s="8" t="str">
        <x:v>.jpg</x:v>
      </x:c>
      <x:c r="F1264" s="8" t="n">
        <x:v>2605208</x:v>
      </x:c>
      <x:c r="G1264" s="8" t="str">
        <x:v>Inventariat; conținut neextras</x:v>
      </x:c>
      <x:c r="H1264" s="8" t="str">
        <x:v>Document local; transmiterea individuală neconfirmată</x:v>
      </x:c>
      <x:c r="I1264" s="8" t="str"/>
      <x:c r="J1264" s="8" t="e">
        <x:f>HYPERLINK("file:///Z:/00. Proiecte 2025/AFIR FotoVoltaic 1/30.1 Cerere Rambursare 1/9-10. Fotografii relevante ale investiției/10. Poze/INVERTOARE (1)/20260702_144700.jpg","Deschide sursa")</x:f>
        <x:v>HYPERLINK is not implemented. linkLocation=file:///Z:/00. Proiecte 2025/AFIR FotoVoltaic 1/30.1 Cerere Rambursare 1/9-10. Fotografii relevante ale investiției/10. Poze/INVERTOARE (1)/20260702_144700.jpg, friendlyName=Deschide sursa</x:v>
      </x:c>
    </x:row>
    <x:row r="1265" ht="36" customHeight="1">
      <x:c r="A1265" s="8" t="str">
        <x:v>F1261</x:v>
      </x:c>
      <x:c r="B1265" s="8" t="str">
        <x:v>20260702_144702.jpg</x:v>
      </x:c>
      <x:c r="C1265" s="8" t="str">
        <x:v>30.1 Cerere Rambursare 1</x:v>
      </x:c>
      <x:c r="D1265" s="8" t="str">
        <x:v>Proiect fotovoltaic</x:v>
      </x:c>
      <x:c r="E1265" s="8" t="str">
        <x:v>.jpg</x:v>
      </x:c>
      <x:c r="F1265" s="8" t="n">
        <x:v>2363625</x:v>
      </x:c>
      <x:c r="G1265" s="8" t="str">
        <x:v>Inventariat; conținut neextras</x:v>
      </x:c>
      <x:c r="H1265" s="8" t="str">
        <x:v>Document local; transmiterea individuală neconfirmată</x:v>
      </x:c>
      <x:c r="I1265" s="8" t="str"/>
      <x:c r="J1265" s="8" t="e">
        <x:f>HYPERLINK("file:///Z:/00. Proiecte 2025/AFIR FotoVoltaic 1/30.1 Cerere Rambursare 1/9-10. Fotografii relevante ale investiției/10. Poze/INVERTOARE (1)/20260702_144702.jpg","Deschide sursa")</x:f>
        <x:v>HYPERLINK is not implemented. linkLocation=file:///Z:/00. Proiecte 2025/AFIR FotoVoltaic 1/30.1 Cerere Rambursare 1/9-10. Fotografii relevante ale investiției/10. Poze/INVERTOARE (1)/20260702_144702.jpg, friendlyName=Deschide sursa</x:v>
      </x:c>
    </x:row>
    <x:row r="1266" ht="36" customHeight="1">
      <x:c r="A1266" s="8" t="str">
        <x:v>F1262</x:v>
      </x:c>
      <x:c r="B1266" s="8" t="str">
        <x:v>20260702_144705.jpg</x:v>
      </x:c>
      <x:c r="C1266" s="8" t="str">
        <x:v>30.1 Cerere Rambursare 1</x:v>
      </x:c>
      <x:c r="D1266" s="8" t="str">
        <x:v>Proiect fotovoltaic</x:v>
      </x:c>
      <x:c r="E1266" s="8" t="str">
        <x:v>.jpg</x:v>
      </x:c>
      <x:c r="F1266" s="8" t="n">
        <x:v>2446222</x:v>
      </x:c>
      <x:c r="G1266" s="8" t="str">
        <x:v>Inventariat; conținut neextras</x:v>
      </x:c>
      <x:c r="H1266" s="8" t="str">
        <x:v>Document local; transmiterea individuală neconfirmată</x:v>
      </x:c>
      <x:c r="I1266" s="8" t="str"/>
      <x:c r="J1266" s="8" t="e">
        <x:f>HYPERLINK("file:///Z:/00. Proiecte 2025/AFIR FotoVoltaic 1/30.1 Cerere Rambursare 1/9-10. Fotografii relevante ale investiției/10. Poze/INVERTOARE (1)/20260702_144705.jpg","Deschide sursa")</x:f>
        <x:v>HYPERLINK is not implemented. linkLocation=file:///Z:/00. Proiecte 2025/AFIR FotoVoltaic 1/30.1 Cerere Rambursare 1/9-10. Fotografii relevante ale investiției/10. Poze/INVERTOARE (1)/20260702_144705.jpg, friendlyName=Deschide sursa</x:v>
      </x:c>
    </x:row>
    <x:row r="1267" ht="36" customHeight="1">
      <x:c r="A1267" s="8" t="str">
        <x:v>F1263</x:v>
      </x:c>
      <x:c r="B1267" s="8" t="str">
        <x:v>20260702_144707.jpg</x:v>
      </x:c>
      <x:c r="C1267" s="8" t="str">
        <x:v>30.1 Cerere Rambursare 1</x:v>
      </x:c>
      <x:c r="D1267" s="8" t="str">
        <x:v>Proiect fotovoltaic</x:v>
      </x:c>
      <x:c r="E1267" s="8" t="str">
        <x:v>.jpg</x:v>
      </x:c>
      <x:c r="F1267" s="8" t="n">
        <x:v>2350537</x:v>
      </x:c>
      <x:c r="G1267" s="8" t="str">
        <x:v>Inventariat; conținut neextras</x:v>
      </x:c>
      <x:c r="H1267" s="8" t="str">
        <x:v>Document local; transmiterea individuală neconfirmată</x:v>
      </x:c>
      <x:c r="I1267" s="8" t="str"/>
      <x:c r="J1267" s="8" t="e">
        <x:f>HYPERLINK("file:///Z:/00. Proiecte 2025/AFIR FotoVoltaic 1/30.1 Cerere Rambursare 1/9-10. Fotografii relevante ale investiției/10. Poze/INVERTOARE (1)/20260702_144707.jpg","Deschide sursa")</x:f>
        <x:v>HYPERLINK is not implemented. linkLocation=file:///Z:/00. Proiecte 2025/AFIR FotoVoltaic 1/30.1 Cerere Rambursare 1/9-10. Fotografii relevante ale investiției/10. Poze/INVERTOARE (1)/20260702_144707.jpg, friendlyName=Deschide sursa</x:v>
      </x:c>
    </x:row>
    <x:row r="1268" ht="36" customHeight="1">
      <x:c r="A1268" s="8" t="str">
        <x:v>F1264</x:v>
      </x:c>
      <x:c r="B1268" s="8" t="str">
        <x:v>20260702_144711.jpg</x:v>
      </x:c>
      <x:c r="C1268" s="8" t="str">
        <x:v>30.1 Cerere Rambursare 1</x:v>
      </x:c>
      <x:c r="D1268" s="8" t="str">
        <x:v>Proiect fotovoltaic</x:v>
      </x:c>
      <x:c r="E1268" s="8" t="str">
        <x:v>.jpg</x:v>
      </x:c>
      <x:c r="F1268" s="8" t="n">
        <x:v>2711467</x:v>
      </x:c>
      <x:c r="G1268" s="8" t="str">
        <x:v>Inventariat; conținut neextras</x:v>
      </x:c>
      <x:c r="H1268" s="8" t="str">
        <x:v>Document local; transmiterea individuală neconfirmată</x:v>
      </x:c>
      <x:c r="I1268" s="8" t="str"/>
      <x:c r="J1268" s="8" t="e">
        <x:f>HYPERLINK("file:///Z:/00. Proiecte 2025/AFIR FotoVoltaic 1/30.1 Cerere Rambursare 1/9-10. Fotografii relevante ale investiției/10. Poze/INVERTOARE (1)/20260702_144711.jpg","Deschide sursa")</x:f>
        <x:v>HYPERLINK is not implemented. linkLocation=file:///Z:/00. Proiecte 2025/AFIR FotoVoltaic 1/30.1 Cerere Rambursare 1/9-10. Fotografii relevante ale investiției/10. Poze/INVERTOARE (1)/20260702_144711.jpg, friendlyName=Deschide sursa</x:v>
      </x:c>
    </x:row>
    <x:row r="1269" ht="36" customHeight="1">
      <x:c r="A1269" s="8" t="str">
        <x:v>F1265</x:v>
      </x:c>
      <x:c r="B1269" s="8" t="str">
        <x:v>20260702_144713.jpg</x:v>
      </x:c>
      <x:c r="C1269" s="8" t="str">
        <x:v>30.1 Cerere Rambursare 1</x:v>
      </x:c>
      <x:c r="D1269" s="8" t="str">
        <x:v>Proiect fotovoltaic</x:v>
      </x:c>
      <x:c r="E1269" s="8" t="str">
        <x:v>.jpg</x:v>
      </x:c>
      <x:c r="F1269" s="8" t="n">
        <x:v>2312117</x:v>
      </x:c>
      <x:c r="G1269" s="8" t="str">
        <x:v>Inventariat; conținut neextras</x:v>
      </x:c>
      <x:c r="H1269" s="8" t="str">
        <x:v>Document local; transmiterea individuală neconfirmată</x:v>
      </x:c>
      <x:c r="I1269" s="8" t="str"/>
      <x:c r="J1269" s="8" t="e">
        <x:f>HYPERLINK("file:///Z:/00. Proiecte 2025/AFIR FotoVoltaic 1/30.1 Cerere Rambursare 1/9-10. Fotografii relevante ale investiției/10. Poze/INVERTOARE (1)/20260702_144713.jpg","Deschide sursa")</x:f>
        <x:v>HYPERLINK is not implemented. linkLocation=file:///Z:/00. Proiecte 2025/AFIR FotoVoltaic 1/30.1 Cerere Rambursare 1/9-10. Fotografii relevante ale investiției/10. Poze/INVERTOARE (1)/20260702_144713.jpg, friendlyName=Deschide sursa</x:v>
      </x:c>
    </x:row>
    <x:row r="1270" ht="36" customHeight="1">
      <x:c r="A1270" s="8" t="str">
        <x:v>F1266</x:v>
      </x:c>
      <x:c r="B1270" s="8" t="str">
        <x:v>20260702_144720.jpg</x:v>
      </x:c>
      <x:c r="C1270" s="8" t="str">
        <x:v>30.1 Cerere Rambursare 1</x:v>
      </x:c>
      <x:c r="D1270" s="8" t="str">
        <x:v>Proiect fotovoltaic</x:v>
      </x:c>
      <x:c r="E1270" s="8" t="str">
        <x:v>.jpg</x:v>
      </x:c>
      <x:c r="F1270" s="8" t="n">
        <x:v>3313536</x:v>
      </x:c>
      <x:c r="G1270" s="8" t="str">
        <x:v>Inventariat; conținut neextras</x:v>
      </x:c>
      <x:c r="H1270" s="8" t="str">
        <x:v>Document local; transmiterea individuală neconfirmată</x:v>
      </x:c>
      <x:c r="I1270" s="8" t="str"/>
      <x:c r="J1270" s="8" t="e">
        <x:f>HYPERLINK("file:///Z:/00. Proiecte 2025/AFIR FotoVoltaic 1/30.1 Cerere Rambursare 1/9-10. Fotografii relevante ale investiției/10. Poze/INVERTOARE (1)/20260702_144720.jpg","Deschide sursa")</x:f>
        <x:v>HYPERLINK is not implemented. linkLocation=file:///Z:/00. Proiecte 2025/AFIR FotoVoltaic 1/30.1 Cerere Rambursare 1/9-10. Fotografii relevante ale investiției/10. Poze/INVERTOARE (1)/20260702_144720.jpg, friendlyName=Deschide sursa</x:v>
      </x:c>
    </x:row>
    <x:row r="1271" ht="36" customHeight="1">
      <x:c r="A1271" s="8" t="str">
        <x:v>F1267</x:v>
      </x:c>
      <x:c r="B1271" s="8" t="str">
        <x:v>20260702_144722.jpg</x:v>
      </x:c>
      <x:c r="C1271" s="8" t="str">
        <x:v>30.1 Cerere Rambursare 1</x:v>
      </x:c>
      <x:c r="D1271" s="8" t="str">
        <x:v>Proiect fotovoltaic</x:v>
      </x:c>
      <x:c r="E1271" s="8" t="str">
        <x:v>.jpg</x:v>
      </x:c>
      <x:c r="F1271" s="8" t="n">
        <x:v>3207919</x:v>
      </x:c>
      <x:c r="G1271" s="8" t="str">
        <x:v>Inventariat; conținut neextras</x:v>
      </x:c>
      <x:c r="H1271" s="8" t="str">
        <x:v>Document local; transmiterea individuală neconfirmată</x:v>
      </x:c>
      <x:c r="I1271" s="8" t="str"/>
      <x:c r="J1271" s="8" t="e">
        <x:f>HYPERLINK("file:///Z:/00. Proiecte 2025/AFIR FotoVoltaic 1/30.1 Cerere Rambursare 1/9-10. Fotografii relevante ale investiției/10. Poze/INVERTOARE (1)/20260702_144722.jpg","Deschide sursa")</x:f>
        <x:v>HYPERLINK is not implemented. linkLocation=file:///Z:/00. Proiecte 2025/AFIR FotoVoltaic 1/30.1 Cerere Rambursare 1/9-10. Fotografii relevante ale investiției/10. Poze/INVERTOARE (1)/20260702_144722.jpg, friendlyName=Deschide sursa</x:v>
      </x:c>
    </x:row>
    <x:row r="1272" ht="36" customHeight="1">
      <x:c r="A1272" s="8" t="str">
        <x:v>F1268</x:v>
      </x:c>
      <x:c r="B1272" s="8" t="str">
        <x:v>20260702_144725.jpg</x:v>
      </x:c>
      <x:c r="C1272" s="8" t="str">
        <x:v>30.1 Cerere Rambursare 1</x:v>
      </x:c>
      <x:c r="D1272" s="8" t="str">
        <x:v>Proiect fotovoltaic</x:v>
      </x:c>
      <x:c r="E1272" s="8" t="str">
        <x:v>.jpg</x:v>
      </x:c>
      <x:c r="F1272" s="8" t="n">
        <x:v>2732616</x:v>
      </x:c>
      <x:c r="G1272" s="8" t="str">
        <x:v>Inventariat; conținut neextras</x:v>
      </x:c>
      <x:c r="H1272" s="8" t="str">
        <x:v>Document local; transmiterea individuală neconfirmată</x:v>
      </x:c>
      <x:c r="I1272" s="8" t="str"/>
      <x:c r="J1272" s="8" t="e">
        <x:f>HYPERLINK("file:///Z:/00. Proiecte 2025/AFIR FotoVoltaic 1/30.1 Cerere Rambursare 1/9-10. Fotografii relevante ale investiției/10. Poze/INVERTOARE (1)/20260702_144725.jpg","Deschide sursa")</x:f>
        <x:v>HYPERLINK is not implemented. linkLocation=file:///Z:/00. Proiecte 2025/AFIR FotoVoltaic 1/30.1 Cerere Rambursare 1/9-10. Fotografii relevante ale investiției/10. Poze/INVERTOARE (1)/20260702_144725.jpg, friendlyName=Deschide sursa</x:v>
      </x:c>
    </x:row>
    <x:row r="1273" ht="36" customHeight="1">
      <x:c r="A1273" s="8" t="str">
        <x:v>F1269</x:v>
      </x:c>
      <x:c r="B1273" s="8" t="str">
        <x:v>20260702_144727.jpg</x:v>
      </x:c>
      <x:c r="C1273" s="8" t="str">
        <x:v>30.1 Cerere Rambursare 1</x:v>
      </x:c>
      <x:c r="D1273" s="8" t="str">
        <x:v>Proiect fotovoltaic</x:v>
      </x:c>
      <x:c r="E1273" s="8" t="str">
        <x:v>.jpg</x:v>
      </x:c>
      <x:c r="F1273" s="8" t="n">
        <x:v>2946818</x:v>
      </x:c>
      <x:c r="G1273" s="8" t="str">
        <x:v>Inventariat; conținut neextras</x:v>
      </x:c>
      <x:c r="H1273" s="8" t="str">
        <x:v>Document local; transmiterea individuală neconfirmată</x:v>
      </x:c>
      <x:c r="I1273" s="8" t="str"/>
      <x:c r="J1273" s="8" t="e">
        <x:f>HYPERLINK("file:///Z:/00. Proiecte 2025/AFIR FotoVoltaic 1/30.1 Cerere Rambursare 1/9-10. Fotografii relevante ale investiției/10. Poze/INVERTOARE (1)/20260702_144727.jpg","Deschide sursa")</x:f>
        <x:v>HYPERLINK is not implemented. linkLocation=file:///Z:/00. Proiecte 2025/AFIR FotoVoltaic 1/30.1 Cerere Rambursare 1/9-10. Fotografii relevante ale investiției/10. Poze/INVERTOARE (1)/20260702_144727.jpg, friendlyName=Deschide sursa</x:v>
      </x:c>
    </x:row>
    <x:row r="1274" ht="36" customHeight="1">
      <x:c r="A1274" s="8" t="str">
        <x:v>F1270</x:v>
      </x:c>
      <x:c r="B1274" s="8" t="str">
        <x:v>20260702_144729.jpg</x:v>
      </x:c>
      <x:c r="C1274" s="8" t="str">
        <x:v>30.1 Cerere Rambursare 1</x:v>
      </x:c>
      <x:c r="D1274" s="8" t="str">
        <x:v>Proiect fotovoltaic</x:v>
      </x:c>
      <x:c r="E1274" s="8" t="str">
        <x:v>.jpg</x:v>
      </x:c>
      <x:c r="F1274" s="8" t="n">
        <x:v>2781041</x:v>
      </x:c>
      <x:c r="G1274" s="8" t="str">
        <x:v>Inventariat; conținut neextras</x:v>
      </x:c>
      <x:c r="H1274" s="8" t="str">
        <x:v>Document local; transmiterea individuală neconfirmată</x:v>
      </x:c>
      <x:c r="I1274" s="8" t="str"/>
      <x:c r="J1274" s="8" t="e">
        <x:f>HYPERLINK("file:///Z:/00. Proiecte 2025/AFIR FotoVoltaic 1/30.1 Cerere Rambursare 1/9-10. Fotografii relevante ale investiției/10. Poze/INVERTOARE (1)/20260702_144729.jpg","Deschide sursa")</x:f>
        <x:v>HYPERLINK is not implemented. linkLocation=file:///Z:/00. Proiecte 2025/AFIR FotoVoltaic 1/30.1 Cerere Rambursare 1/9-10. Fotografii relevante ale investiției/10. Poze/INVERTOARE (1)/20260702_144729.jpg, friendlyName=Deschide sursa</x:v>
      </x:c>
    </x:row>
    <x:row r="1275" ht="36" customHeight="1">
      <x:c r="A1275" s="8" t="str">
        <x:v>F1271</x:v>
      </x:c>
      <x:c r="B1275" s="8" t="str">
        <x:v>20260702_144732.jpg</x:v>
      </x:c>
      <x:c r="C1275" s="8" t="str">
        <x:v>30.1 Cerere Rambursare 1</x:v>
      </x:c>
      <x:c r="D1275" s="8" t="str">
        <x:v>Proiect fotovoltaic</x:v>
      </x:c>
      <x:c r="E1275" s="8" t="str">
        <x:v>.jpg</x:v>
      </x:c>
      <x:c r="F1275" s="8" t="n">
        <x:v>3335996</x:v>
      </x:c>
      <x:c r="G1275" s="8" t="str">
        <x:v>Inventariat; conținut neextras</x:v>
      </x:c>
      <x:c r="H1275" s="8" t="str">
        <x:v>Document local; transmiterea individuală neconfirmată</x:v>
      </x:c>
      <x:c r="I1275" s="8" t="str"/>
      <x:c r="J1275" s="8" t="e">
        <x:f>HYPERLINK("file:///Z:/00. Proiecte 2025/AFIR FotoVoltaic 1/30.1 Cerere Rambursare 1/9-10. Fotografii relevante ale investiției/10. Poze/INVERTOARE (1)/20260702_144732.jpg","Deschide sursa")</x:f>
        <x:v>HYPERLINK is not implemented. linkLocation=file:///Z:/00. Proiecte 2025/AFIR FotoVoltaic 1/30.1 Cerere Rambursare 1/9-10. Fotografii relevante ale investiției/10. Poze/INVERTOARE (1)/20260702_144732.jpg, friendlyName=Deschide sursa</x:v>
      </x:c>
    </x:row>
    <x:row r="1276" ht="36" customHeight="1">
      <x:c r="A1276" s="8" t="str">
        <x:v>F1272</x:v>
      </x:c>
      <x:c r="B1276" s="8" t="str">
        <x:v>20260702_144738.jpg</x:v>
      </x:c>
      <x:c r="C1276" s="8" t="str">
        <x:v>30.1 Cerere Rambursare 1</x:v>
      </x:c>
      <x:c r="D1276" s="8" t="str">
        <x:v>Proiect fotovoltaic</x:v>
      </x:c>
      <x:c r="E1276" s="8" t="str">
        <x:v>.jpg</x:v>
      </x:c>
      <x:c r="F1276" s="8" t="n">
        <x:v>2675708</x:v>
      </x:c>
      <x:c r="G1276" s="8" t="str">
        <x:v>Inventariat; conținut neextras</x:v>
      </x:c>
      <x:c r="H1276" s="8" t="str">
        <x:v>Document local; transmiterea individuală neconfirmată</x:v>
      </x:c>
      <x:c r="I1276" s="8" t="str"/>
      <x:c r="J1276" s="8" t="e">
        <x:f>HYPERLINK("file:///Z:/00. Proiecte 2025/AFIR FotoVoltaic 1/30.1 Cerere Rambursare 1/9-10. Fotografii relevante ale investiției/10. Poze/INVERTOARE (1)/20260702_144738.jpg","Deschide sursa")</x:f>
        <x:v>HYPERLINK is not implemented. linkLocation=file:///Z:/00. Proiecte 2025/AFIR FotoVoltaic 1/30.1 Cerere Rambursare 1/9-10. Fotografii relevante ale investiției/10. Poze/INVERTOARE (1)/20260702_144738.jpg, friendlyName=Deschide sursa</x:v>
      </x:c>
    </x:row>
    <x:row r="1277" ht="36" customHeight="1">
      <x:c r="A1277" s="8" t="str">
        <x:v>F1273</x:v>
      </x:c>
      <x:c r="B1277" s="8" t="str">
        <x:v>20260702_144741.jpg</x:v>
      </x:c>
      <x:c r="C1277" s="8" t="str">
        <x:v>30.1 Cerere Rambursare 1</x:v>
      </x:c>
      <x:c r="D1277" s="8" t="str">
        <x:v>Proiect fotovoltaic</x:v>
      </x:c>
      <x:c r="E1277" s="8" t="str">
        <x:v>.jpg</x:v>
      </x:c>
      <x:c r="F1277" s="8" t="n">
        <x:v>3039059</x:v>
      </x:c>
      <x:c r="G1277" s="8" t="str">
        <x:v>Inventariat; conținut neextras</x:v>
      </x:c>
      <x:c r="H1277" s="8" t="str">
        <x:v>Document local; transmiterea individuală neconfirmată</x:v>
      </x:c>
      <x:c r="I1277" s="8" t="str"/>
      <x:c r="J1277" s="8" t="e">
        <x:f>HYPERLINK("file:///Z:/00. Proiecte 2025/AFIR FotoVoltaic 1/30.1 Cerere Rambursare 1/9-10. Fotografii relevante ale investiției/10. Poze/INVERTOARE (1)/20260702_144741.jpg","Deschide sursa")</x:f>
        <x:v>HYPERLINK is not implemented. linkLocation=file:///Z:/00. Proiecte 2025/AFIR FotoVoltaic 1/30.1 Cerere Rambursare 1/9-10. Fotografii relevante ale investiției/10. Poze/INVERTOARE (1)/20260702_144741.jpg, friendlyName=Deschide sursa</x:v>
      </x:c>
    </x:row>
    <x:row r="1278" ht="36" customHeight="1">
      <x:c r="A1278" s="8" t="str">
        <x:v>F1274</x:v>
      </x:c>
      <x:c r="B1278" s="8" t="str">
        <x:v>20260702_144743.jpg</x:v>
      </x:c>
      <x:c r="C1278" s="8" t="str">
        <x:v>30.1 Cerere Rambursare 1</x:v>
      </x:c>
      <x:c r="D1278" s="8" t="str">
        <x:v>Proiect fotovoltaic</x:v>
      </x:c>
      <x:c r="E1278" s="8" t="str">
        <x:v>.jpg</x:v>
      </x:c>
      <x:c r="F1278" s="8" t="n">
        <x:v>3107843</x:v>
      </x:c>
      <x:c r="G1278" s="8" t="str">
        <x:v>Inventariat; conținut neextras</x:v>
      </x:c>
      <x:c r="H1278" s="8" t="str">
        <x:v>Document local; transmiterea individuală neconfirmată</x:v>
      </x:c>
      <x:c r="I1278" s="8" t="str"/>
      <x:c r="J1278" s="8" t="e">
        <x:f>HYPERLINK("file:///Z:/00. Proiecte 2025/AFIR FotoVoltaic 1/30.1 Cerere Rambursare 1/9-10. Fotografii relevante ale investiției/10. Poze/INVERTOARE (1)/20260702_144743.jpg","Deschide sursa")</x:f>
        <x:v>HYPERLINK is not implemented. linkLocation=file:///Z:/00. Proiecte 2025/AFIR FotoVoltaic 1/30.1 Cerere Rambursare 1/9-10. Fotografii relevante ale investiției/10. Poze/INVERTOARE (1)/20260702_144743.jpg, friendlyName=Deschide sursa</x:v>
      </x:c>
    </x:row>
    <x:row r="1279" ht="36" customHeight="1">
      <x:c r="A1279" s="8" t="str">
        <x:v>F1275</x:v>
      </x:c>
      <x:c r="B1279" s="8" t="str">
        <x:v>20260702_144745.jpg</x:v>
      </x:c>
      <x:c r="C1279" s="8" t="str">
        <x:v>30.1 Cerere Rambursare 1</x:v>
      </x:c>
      <x:c r="D1279" s="8" t="str">
        <x:v>Proiect fotovoltaic</x:v>
      </x:c>
      <x:c r="E1279" s="8" t="str">
        <x:v>.jpg</x:v>
      </x:c>
      <x:c r="F1279" s="8" t="n">
        <x:v>3157253</x:v>
      </x:c>
      <x:c r="G1279" s="8" t="str">
        <x:v>Inventariat; conținut neextras</x:v>
      </x:c>
      <x:c r="H1279" s="8" t="str">
        <x:v>Document local; transmiterea individuală neconfirmată</x:v>
      </x:c>
      <x:c r="I1279" s="8" t="str"/>
      <x:c r="J1279" s="8" t="e">
        <x:f>HYPERLINK("file:///Z:/00. Proiecte 2025/AFIR FotoVoltaic 1/30.1 Cerere Rambursare 1/9-10. Fotografii relevante ale investiției/10. Poze/INVERTOARE (1)/20260702_144745.jpg","Deschide sursa")</x:f>
        <x:v>HYPERLINK is not implemented. linkLocation=file:///Z:/00. Proiecte 2025/AFIR FotoVoltaic 1/30.1 Cerere Rambursare 1/9-10. Fotografii relevante ale investiției/10. Poze/INVERTOARE (1)/20260702_144745.jpg, friendlyName=Deschide sursa</x:v>
      </x:c>
    </x:row>
    <x:row r="1280" ht="36" customHeight="1">
      <x:c r="A1280" s="8" t="str">
        <x:v>F1276</x:v>
      </x:c>
      <x:c r="B1280" s="8" t="str">
        <x:v>20260702_144748.jpg</x:v>
      </x:c>
      <x:c r="C1280" s="8" t="str">
        <x:v>30.1 Cerere Rambursare 1</x:v>
      </x:c>
      <x:c r="D1280" s="8" t="str">
        <x:v>Proiect fotovoltaic</x:v>
      </x:c>
      <x:c r="E1280" s="8" t="str">
        <x:v>.jpg</x:v>
      </x:c>
      <x:c r="F1280" s="8" t="n">
        <x:v>3270122</x:v>
      </x:c>
      <x:c r="G1280" s="8" t="str">
        <x:v>Inventariat; conținut neextras</x:v>
      </x:c>
      <x:c r="H1280" s="8" t="str">
        <x:v>Document local; transmiterea individuală neconfirmată</x:v>
      </x:c>
      <x:c r="I1280" s="8" t="str"/>
      <x:c r="J1280" s="8" t="e">
        <x:f>HYPERLINK("file:///Z:/00. Proiecte 2025/AFIR FotoVoltaic 1/30.1 Cerere Rambursare 1/9-10. Fotografii relevante ale investiției/10. Poze/INVERTOARE (1)/20260702_144748.jpg","Deschide sursa")</x:f>
        <x:v>HYPERLINK is not implemented. linkLocation=file:///Z:/00. Proiecte 2025/AFIR FotoVoltaic 1/30.1 Cerere Rambursare 1/9-10. Fotografii relevante ale investiției/10. Poze/INVERTOARE (1)/20260702_144748.jpg, friendlyName=Deschide sursa</x:v>
      </x:c>
    </x:row>
    <x:row r="1281" ht="36" customHeight="1">
      <x:c r="A1281" s="8" t="str">
        <x:v>F1277</x:v>
      </x:c>
      <x:c r="B1281" s="8" t="str">
        <x:v>20260702_144749.jpg</x:v>
      </x:c>
      <x:c r="C1281" s="8" t="str">
        <x:v>30.1 Cerere Rambursare 1</x:v>
      </x:c>
      <x:c r="D1281" s="8" t="str">
        <x:v>Proiect fotovoltaic</x:v>
      </x:c>
      <x:c r="E1281" s="8" t="str">
        <x:v>.jpg</x:v>
      </x:c>
      <x:c r="F1281" s="8" t="n">
        <x:v>3184551</x:v>
      </x:c>
      <x:c r="G1281" s="8" t="str">
        <x:v>Inventariat; conținut neextras</x:v>
      </x:c>
      <x:c r="H1281" s="8" t="str">
        <x:v>Document local; transmiterea individuală neconfirmată</x:v>
      </x:c>
      <x:c r="I1281" s="8" t="str"/>
      <x:c r="J1281" s="8" t="e">
        <x:f>HYPERLINK("file:///Z:/00. Proiecte 2025/AFIR FotoVoltaic 1/30.1 Cerere Rambursare 1/9-10. Fotografii relevante ale investiției/10. Poze/INVERTOARE (1)/20260702_144749.jpg","Deschide sursa")</x:f>
        <x:v>HYPERLINK is not implemented. linkLocation=file:///Z:/00. Proiecte 2025/AFIR FotoVoltaic 1/30.1 Cerere Rambursare 1/9-10. Fotografii relevante ale investiției/10. Poze/INVERTOARE (1)/20260702_144749.jpg, friendlyName=Deschide sursa</x:v>
      </x:c>
    </x:row>
    <x:row r="1282" ht="36" customHeight="1">
      <x:c r="A1282" s="8" t="str">
        <x:v>F1278</x:v>
      </x:c>
      <x:c r="B1282" s="8" t="str">
        <x:v>INVERTOARE (1).jpg</x:v>
      </x:c>
      <x:c r="C1282" s="8" t="str">
        <x:v>30.1 Cerere Rambursare 1</x:v>
      </x:c>
      <x:c r="D1282" s="8" t="str">
        <x:v>Proiect fotovoltaic</x:v>
      </x:c>
      <x:c r="E1282" s="8" t="str">
        <x:v>.jpg</x:v>
      </x:c>
      <x:c r="F1282" s="8" t="n">
        <x:v>3101904</x:v>
      </x:c>
      <x:c r="G1282" s="8" t="str">
        <x:v>Inventariat; conținut neextras</x:v>
      </x:c>
      <x:c r="H1282" s="8" t="str">
        <x:v>Document local; transmiterea individuală neconfirmată</x:v>
      </x:c>
      <x:c r="I1282" s="8" t="str"/>
      <x:c r="J1282" s="8" t="e">
        <x:f>HYPERLINK("file:///Z:/00. Proiecte 2025/AFIR FotoVoltaic 1/30.1 Cerere Rambursare 1/9-10. Fotografii relevante ale investiției/10. Poze/INVERTOARE (1)/INVERTOARE (1).jpg","Deschide sursa")</x:f>
        <x:v>HYPERLINK is not implemented. linkLocation=file:///Z:/00. Proiecte 2025/AFIR FotoVoltaic 1/30.1 Cerere Rambursare 1/9-10. Fotografii relevante ale investiției/10. Poze/INVERTOARE (1)/INVERTOARE (1).jpg, friendlyName=Deschide sursa</x:v>
      </x:c>
    </x:row>
    <x:row r="1283" ht="36" customHeight="1">
      <x:c r="A1283" s="8" t="str">
        <x:v>F1279</x:v>
      </x:c>
      <x:c r="B1283" s="8" t="str">
        <x:v>INVERTOARE (2).jpg</x:v>
      </x:c>
      <x:c r="C1283" s="8" t="str">
        <x:v>30.1 Cerere Rambursare 1</x:v>
      </x:c>
      <x:c r="D1283" s="8" t="str">
        <x:v>Proiect fotovoltaic</x:v>
      </x:c>
      <x:c r="E1283" s="8" t="str">
        <x:v>.jpg</x:v>
      </x:c>
      <x:c r="F1283" s="8" t="n">
        <x:v>2975588</x:v>
      </x:c>
      <x:c r="G1283" s="8" t="str">
        <x:v>Inventariat; conținut neextras</x:v>
      </x:c>
      <x:c r="H1283" s="8" t="str">
        <x:v>Document local; transmiterea individuală neconfirmată</x:v>
      </x:c>
      <x:c r="I1283" s="8" t="str"/>
      <x:c r="J1283" s="8" t="e">
        <x:f>HYPERLINK("file:///Z:/00. Proiecte 2025/AFIR FotoVoltaic 1/30.1 Cerere Rambursare 1/9-10. Fotografii relevante ale investiției/10. Poze/INVERTOARE (1)/INVERTOARE (2).jpg","Deschide sursa")</x:f>
        <x:v>HYPERLINK is not implemented. linkLocation=file:///Z:/00. Proiecte 2025/AFIR FotoVoltaic 1/30.1 Cerere Rambursare 1/9-10. Fotografii relevante ale investiției/10. Poze/INVERTOARE (1)/INVERTOARE (2).jpg, friendlyName=Deschide sursa</x:v>
      </x:c>
    </x:row>
    <x:row r="1284" ht="36" customHeight="1">
      <x:c r="A1284" s="8" t="str">
        <x:v>F1280</x:v>
      </x:c>
      <x:c r="B1284" s="8" t="str">
        <x:v>Montat 1.jpeg</x:v>
      </x:c>
      <x:c r="C1284" s="8" t="str">
        <x:v>30.1 Cerere Rambursare 1</x:v>
      </x:c>
      <x:c r="D1284" s="8" t="str">
        <x:v>Proiect fotovoltaic</x:v>
      </x:c>
      <x:c r="E1284" s="8" t="str">
        <x:v>.jpeg</x:v>
      </x:c>
      <x:c r="F1284" s="8" t="n">
        <x:v>372343</x:v>
      </x:c>
      <x:c r="G1284" s="8" t="str">
        <x:v>Inventariat; conținut neextras</x:v>
      </x:c>
      <x:c r="H1284" s="8" t="str">
        <x:v>Document local; transmiterea individuală neconfirmată</x:v>
      </x:c>
      <x:c r="I1284" s="8" t="str"/>
      <x:c r="J1284" s="8" t="e">
        <x:f>HYPERLINK("file:///Z:/00. Proiecte 2025/AFIR FotoVoltaic 1/30.1 Cerere Rambursare 1/9-10. Fotografii relevante ale investiției/10. Poze/Montaj/Montat 1.jpeg","Deschide sursa")</x:f>
        <x:v>HYPERLINK is not implemented. linkLocation=file:///Z:/00. Proiecte 2025/AFIR FotoVoltaic 1/30.1 Cerere Rambursare 1/9-10. Fotografii relevante ale investiției/10. Poze/Montaj/Montat 1.jpeg, friendlyName=Deschide sursa</x:v>
      </x:c>
    </x:row>
    <x:row r="1285" ht="36" customHeight="1">
      <x:c r="A1285" s="8" t="str">
        <x:v>F1281</x:v>
      </x:c>
      <x:c r="B1285" s="8" t="str">
        <x:v>Montat 10.jpeg</x:v>
      </x:c>
      <x:c r="C1285" s="8" t="str">
        <x:v>30.1 Cerere Rambursare 1</x:v>
      </x:c>
      <x:c r="D1285" s="8" t="str">
        <x:v>Proiect fotovoltaic</x:v>
      </x:c>
      <x:c r="E1285" s="8" t="str">
        <x:v>.jpeg</x:v>
      </x:c>
      <x:c r="F1285" s="8" t="n">
        <x:v>354549</x:v>
      </x:c>
      <x:c r="G1285" s="8" t="str">
        <x:v>Inventariat; conținut neextras</x:v>
      </x:c>
      <x:c r="H1285" s="8" t="str">
        <x:v>Document local; transmiterea individuală neconfirmată</x:v>
      </x:c>
      <x:c r="I1285" s="8" t="str"/>
      <x:c r="J1285" s="8" t="e">
        <x:f>HYPERLINK("file:///Z:/00. Proiecte 2025/AFIR FotoVoltaic 1/30.1 Cerere Rambursare 1/9-10. Fotografii relevante ale investiției/10. Poze/Montaj/Montat 10.jpeg","Deschide sursa")</x:f>
        <x:v>HYPERLINK is not implemented. linkLocation=file:///Z:/00. Proiecte 2025/AFIR FotoVoltaic 1/30.1 Cerere Rambursare 1/9-10. Fotografii relevante ale investiției/10. Poze/Montaj/Montat 10.jpeg, friendlyName=Deschide sursa</x:v>
      </x:c>
    </x:row>
    <x:row r="1286" ht="36" customHeight="1">
      <x:c r="A1286" s="8" t="str">
        <x:v>F1282</x:v>
      </x:c>
      <x:c r="B1286" s="8" t="str">
        <x:v>Montat 2.jpeg</x:v>
      </x:c>
      <x:c r="C1286" s="8" t="str">
        <x:v>30.1 Cerere Rambursare 1</x:v>
      </x:c>
      <x:c r="D1286" s="8" t="str">
        <x:v>Proiect fotovoltaic</x:v>
      </x:c>
      <x:c r="E1286" s="8" t="str">
        <x:v>.jpeg</x:v>
      </x:c>
      <x:c r="F1286" s="8" t="n">
        <x:v>306666</x:v>
      </x:c>
      <x:c r="G1286" s="8" t="str">
        <x:v>Inventariat; conținut neextras</x:v>
      </x:c>
      <x:c r="H1286" s="8" t="str">
        <x:v>Document local; transmiterea individuală neconfirmată</x:v>
      </x:c>
      <x:c r="I1286" s="8" t="str"/>
      <x:c r="J1286" s="8" t="e">
        <x:f>HYPERLINK("file:///Z:/00. Proiecte 2025/AFIR FotoVoltaic 1/30.1 Cerere Rambursare 1/9-10. Fotografii relevante ale investiției/10. Poze/Montaj/Montat 2.jpeg","Deschide sursa")</x:f>
        <x:v>HYPERLINK is not implemented. linkLocation=file:///Z:/00. Proiecte 2025/AFIR FotoVoltaic 1/30.1 Cerere Rambursare 1/9-10. Fotografii relevante ale investiției/10. Poze/Montaj/Montat 2.jpeg, friendlyName=Deschide sursa</x:v>
      </x:c>
    </x:row>
    <x:row r="1287" ht="36" customHeight="1">
      <x:c r="A1287" s="8" t="str">
        <x:v>F1283</x:v>
      </x:c>
      <x:c r="B1287" s="8" t="str">
        <x:v>Montat 3.jpeg</x:v>
      </x:c>
      <x:c r="C1287" s="8" t="str">
        <x:v>30.1 Cerere Rambursare 1</x:v>
      </x:c>
      <x:c r="D1287" s="8" t="str">
        <x:v>Proiect fotovoltaic</x:v>
      </x:c>
      <x:c r="E1287" s="8" t="str">
        <x:v>.jpeg</x:v>
      </x:c>
      <x:c r="F1287" s="8" t="n">
        <x:v>334394</x:v>
      </x:c>
      <x:c r="G1287" s="8" t="str">
        <x:v>Inventariat; conținut neextras</x:v>
      </x:c>
      <x:c r="H1287" s="8" t="str">
        <x:v>Document local; transmiterea individuală neconfirmată</x:v>
      </x:c>
      <x:c r="I1287" s="8" t="str"/>
      <x:c r="J1287" s="8" t="e">
        <x:f>HYPERLINK("file:///Z:/00. Proiecte 2025/AFIR FotoVoltaic 1/30.1 Cerere Rambursare 1/9-10. Fotografii relevante ale investiției/10. Poze/Montaj/Montat 3.jpeg","Deschide sursa")</x:f>
        <x:v>HYPERLINK is not implemented. linkLocation=file:///Z:/00. Proiecte 2025/AFIR FotoVoltaic 1/30.1 Cerere Rambursare 1/9-10. Fotografii relevante ale investiției/10. Poze/Montaj/Montat 3.jpeg, friendlyName=Deschide sursa</x:v>
      </x:c>
    </x:row>
    <x:row r="1288" ht="36" customHeight="1">
      <x:c r="A1288" s="8" t="str">
        <x:v>F1284</x:v>
      </x:c>
      <x:c r="B1288" s="8" t="str">
        <x:v>Montat 4.jpeg</x:v>
      </x:c>
      <x:c r="C1288" s="8" t="str">
        <x:v>30.1 Cerere Rambursare 1</x:v>
      </x:c>
      <x:c r="D1288" s="8" t="str">
        <x:v>Proiect fotovoltaic</x:v>
      </x:c>
      <x:c r="E1288" s="8" t="str">
        <x:v>.jpeg</x:v>
      </x:c>
      <x:c r="F1288" s="8" t="n">
        <x:v>325250</x:v>
      </x:c>
      <x:c r="G1288" s="8" t="str">
        <x:v>Inventariat; conținut neextras</x:v>
      </x:c>
      <x:c r="H1288" s="8" t="str">
        <x:v>Document local; transmiterea individuală neconfirmată</x:v>
      </x:c>
      <x:c r="I1288" s="8" t="str"/>
      <x:c r="J1288" s="8" t="e">
        <x:f>HYPERLINK("file:///Z:/00. Proiecte 2025/AFIR FotoVoltaic 1/30.1 Cerere Rambursare 1/9-10. Fotografii relevante ale investiției/10. Poze/Montaj/Montat 4.jpeg","Deschide sursa")</x:f>
        <x:v>HYPERLINK is not implemented. linkLocation=file:///Z:/00. Proiecte 2025/AFIR FotoVoltaic 1/30.1 Cerere Rambursare 1/9-10. Fotografii relevante ale investiției/10. Poze/Montaj/Montat 4.jpeg, friendlyName=Deschide sursa</x:v>
      </x:c>
    </x:row>
    <x:row r="1289" ht="36" customHeight="1">
      <x:c r="A1289" s="8" t="str">
        <x:v>F1285</x:v>
      </x:c>
      <x:c r="B1289" s="8" t="str">
        <x:v>Montat 5.jpeg</x:v>
      </x:c>
      <x:c r="C1289" s="8" t="str">
        <x:v>30.1 Cerere Rambursare 1</x:v>
      </x:c>
      <x:c r="D1289" s="8" t="str">
        <x:v>Proiect fotovoltaic</x:v>
      </x:c>
      <x:c r="E1289" s="8" t="str">
        <x:v>.jpeg</x:v>
      </x:c>
      <x:c r="F1289" s="8" t="n">
        <x:v>403315</x:v>
      </x:c>
      <x:c r="G1289" s="8" t="str">
        <x:v>Inventariat; conținut neextras</x:v>
      </x:c>
      <x:c r="H1289" s="8" t="str">
        <x:v>Document local; transmiterea individuală neconfirmată</x:v>
      </x:c>
      <x:c r="I1289" s="8" t="str"/>
      <x:c r="J1289" s="8" t="e">
        <x:f>HYPERLINK("file:///Z:/00. Proiecte 2025/AFIR FotoVoltaic 1/30.1 Cerere Rambursare 1/9-10. Fotografii relevante ale investiției/10. Poze/Montaj/Montat 5.jpeg","Deschide sursa")</x:f>
        <x:v>HYPERLINK is not implemented. linkLocation=file:///Z:/00. Proiecte 2025/AFIR FotoVoltaic 1/30.1 Cerere Rambursare 1/9-10. Fotografii relevante ale investiției/10. Poze/Montaj/Montat 5.jpeg, friendlyName=Deschide sursa</x:v>
      </x:c>
    </x:row>
    <x:row r="1290" ht="36" customHeight="1">
      <x:c r="A1290" s="8" t="str">
        <x:v>F1286</x:v>
      </x:c>
      <x:c r="B1290" s="8" t="str">
        <x:v>Montat 6.jpeg</x:v>
      </x:c>
      <x:c r="C1290" s="8" t="str">
        <x:v>30.1 Cerere Rambursare 1</x:v>
      </x:c>
      <x:c r="D1290" s="8" t="str">
        <x:v>Proiect fotovoltaic</x:v>
      </x:c>
      <x:c r="E1290" s="8" t="str">
        <x:v>.jpeg</x:v>
      </x:c>
      <x:c r="F1290" s="8" t="n">
        <x:v>367960</x:v>
      </x:c>
      <x:c r="G1290" s="8" t="str">
        <x:v>Inventariat; conținut neextras</x:v>
      </x:c>
      <x:c r="H1290" s="8" t="str">
        <x:v>Document local; transmiterea individuală neconfirmată</x:v>
      </x:c>
      <x:c r="I1290" s="8" t="str"/>
      <x:c r="J1290" s="8" t="e">
        <x:f>HYPERLINK("file:///Z:/00. Proiecte 2025/AFIR FotoVoltaic 1/30.1 Cerere Rambursare 1/9-10. Fotografii relevante ale investiției/10. Poze/Montaj/Montat 6.jpeg","Deschide sursa")</x:f>
        <x:v>HYPERLINK is not implemented. linkLocation=file:///Z:/00. Proiecte 2025/AFIR FotoVoltaic 1/30.1 Cerere Rambursare 1/9-10. Fotografii relevante ale investiției/10. Poze/Montaj/Montat 6.jpeg, friendlyName=Deschide sursa</x:v>
      </x:c>
    </x:row>
    <x:row r="1291" ht="36" customHeight="1">
      <x:c r="A1291" s="8" t="str">
        <x:v>F1287</x:v>
      </x:c>
      <x:c r="B1291" s="8" t="str">
        <x:v>Montat 7.jpeg</x:v>
      </x:c>
      <x:c r="C1291" s="8" t="str">
        <x:v>30.1 Cerere Rambursare 1</x:v>
      </x:c>
      <x:c r="D1291" s="8" t="str">
        <x:v>Proiect fotovoltaic</x:v>
      </x:c>
      <x:c r="E1291" s="8" t="str">
        <x:v>.jpeg</x:v>
      </x:c>
      <x:c r="F1291" s="8" t="n">
        <x:v>304998</x:v>
      </x:c>
      <x:c r="G1291" s="8" t="str">
        <x:v>Inventariat; conținut neextras</x:v>
      </x:c>
      <x:c r="H1291" s="8" t="str">
        <x:v>Document local; transmiterea individuală neconfirmată</x:v>
      </x:c>
      <x:c r="I1291" s="8" t="str"/>
      <x:c r="J1291" s="8" t="e">
        <x:f>HYPERLINK("file:///Z:/00. Proiecte 2025/AFIR FotoVoltaic 1/30.1 Cerere Rambursare 1/9-10. Fotografii relevante ale investiției/10. Poze/Montaj/Montat 7.jpeg","Deschide sursa")</x:f>
        <x:v>HYPERLINK is not implemented. linkLocation=file:///Z:/00. Proiecte 2025/AFIR FotoVoltaic 1/30.1 Cerere Rambursare 1/9-10. Fotografii relevante ale investiției/10. Poze/Montaj/Montat 7.jpeg, friendlyName=Deschide sursa</x:v>
      </x:c>
    </x:row>
    <x:row r="1292" ht="36" customHeight="1">
      <x:c r="A1292" s="8" t="str">
        <x:v>F1288</x:v>
      </x:c>
      <x:c r="B1292" s="8" t="str">
        <x:v>Montat 8.jpeg</x:v>
      </x:c>
      <x:c r="C1292" s="8" t="str">
        <x:v>30.1 Cerere Rambursare 1</x:v>
      </x:c>
      <x:c r="D1292" s="8" t="str">
        <x:v>Proiect fotovoltaic</x:v>
      </x:c>
      <x:c r="E1292" s="8" t="str">
        <x:v>.jpeg</x:v>
      </x:c>
      <x:c r="F1292" s="8" t="n">
        <x:v>294984</x:v>
      </x:c>
      <x:c r="G1292" s="8" t="str">
        <x:v>Inventariat; conținut neextras</x:v>
      </x:c>
      <x:c r="H1292" s="8" t="str">
        <x:v>Document local; transmiterea individuală neconfirmată</x:v>
      </x:c>
      <x:c r="I1292" s="8" t="str"/>
      <x:c r="J1292" s="8" t="e">
        <x:f>HYPERLINK("file:///Z:/00. Proiecte 2025/AFIR FotoVoltaic 1/30.1 Cerere Rambursare 1/9-10. Fotografii relevante ale investiției/10. Poze/Montaj/Montat 8.jpeg","Deschide sursa")</x:f>
        <x:v>HYPERLINK is not implemented. linkLocation=file:///Z:/00. Proiecte 2025/AFIR FotoVoltaic 1/30.1 Cerere Rambursare 1/9-10. Fotografii relevante ale investiției/10. Poze/Montaj/Montat 8.jpeg, friendlyName=Deschide sursa</x:v>
      </x:c>
    </x:row>
    <x:row r="1293" ht="36" customHeight="1">
      <x:c r="A1293" s="8" t="str">
        <x:v>F1289</x:v>
      </x:c>
      <x:c r="B1293" s="8" t="str">
        <x:v>Montat 9.jpeg</x:v>
      </x:c>
      <x:c r="C1293" s="8" t="str">
        <x:v>30.1 Cerere Rambursare 1</x:v>
      </x:c>
      <x:c r="D1293" s="8" t="str">
        <x:v>Proiect fotovoltaic</x:v>
      </x:c>
      <x:c r="E1293" s="8" t="str">
        <x:v>.jpeg</x:v>
      </x:c>
      <x:c r="F1293" s="8" t="n">
        <x:v>294951</x:v>
      </x:c>
      <x:c r="G1293" s="8" t="str">
        <x:v>Inventariat; conținut neextras</x:v>
      </x:c>
      <x:c r="H1293" s="8" t="str">
        <x:v>Document local; transmiterea individuală neconfirmată</x:v>
      </x:c>
      <x:c r="I1293" s="8" t="str"/>
      <x:c r="J1293" s="8" t="e">
        <x:f>HYPERLINK("file:///Z:/00. Proiecte 2025/AFIR FotoVoltaic 1/30.1 Cerere Rambursare 1/9-10. Fotografii relevante ale investiției/10. Poze/Montaj/Montat 9.jpeg","Deschide sursa")</x:f>
        <x:v>HYPERLINK is not implemented. linkLocation=file:///Z:/00. Proiecte 2025/AFIR FotoVoltaic 1/30.1 Cerere Rambursare 1/9-10. Fotografii relevante ale investiției/10. Poze/Montaj/Montat 9.jpeg, friendlyName=Deschide sursa</x:v>
      </x:c>
    </x:row>
    <x:row r="1294" ht="36" customHeight="1">
      <x:c r="A1294" s="8" t="str">
        <x:v>F1290</x:v>
      </x:c>
      <x:c r="B1294" s="8" t="str">
        <x:v>Nemontat 0.jpeg</x:v>
      </x:c>
      <x:c r="C1294" s="8" t="str">
        <x:v>30.1 Cerere Rambursare 1</x:v>
      </x:c>
      <x:c r="D1294" s="8" t="str">
        <x:v>Proiect fotovoltaic</x:v>
      </x:c>
      <x:c r="E1294" s="8" t="str">
        <x:v>.jpeg</x:v>
      </x:c>
      <x:c r="F1294" s="8" t="n">
        <x:v>476304</x:v>
      </x:c>
      <x:c r="G1294" s="8" t="str">
        <x:v>Inventariat; conținut neextras</x:v>
      </x:c>
      <x:c r="H1294" s="8" t="str">
        <x:v>Document local; transmiterea individuală neconfirmată</x:v>
      </x:c>
      <x:c r="I1294" s="8" t="str"/>
      <x:c r="J1294" s="8" t="e">
        <x:f>HYPERLINK("file:///Z:/00. Proiecte 2025/AFIR FotoVoltaic 1/30.1 Cerere Rambursare 1/9-10. Fotografii relevante ale investiției/10. Poze/Montaj/Nemontat 0.jpeg","Deschide sursa")</x:f>
        <x:v>HYPERLINK is not implemented. linkLocation=file:///Z:/00. Proiecte 2025/AFIR FotoVoltaic 1/30.1 Cerere Rambursare 1/9-10. Fotografii relevante ale investiției/10. Poze/Montaj/Nemontat 0.jpeg, friendlyName=Deschide sursa</x:v>
      </x:c>
    </x:row>
    <x:row r="1295" ht="36" customHeight="1">
      <x:c r="A1295" s="8" t="str">
        <x:v>F1291</x:v>
      </x:c>
      <x:c r="B1295" s="8" t="str">
        <x:v>Nemontat 1.jpeg</x:v>
      </x:c>
      <x:c r="C1295" s="8" t="str">
        <x:v>30.1 Cerere Rambursare 1</x:v>
      </x:c>
      <x:c r="D1295" s="8" t="str">
        <x:v>Proiect fotovoltaic</x:v>
      </x:c>
      <x:c r="E1295" s="8" t="str">
        <x:v>.jpeg</x:v>
      </x:c>
      <x:c r="F1295" s="8" t="n">
        <x:v>348062</x:v>
      </x:c>
      <x:c r="G1295" s="8" t="str">
        <x:v>Inventariat; conținut neextras</x:v>
      </x:c>
      <x:c r="H1295" s="8" t="str">
        <x:v>Document local; transmiterea individuală neconfirmată</x:v>
      </x:c>
      <x:c r="I1295" s="8" t="str"/>
      <x:c r="J1295" s="8" t="e">
        <x:f>HYPERLINK("file:///Z:/00. Proiecte 2025/AFIR FotoVoltaic 1/30.1 Cerere Rambursare 1/9-10. Fotografii relevante ale investiției/10. Poze/Montaj/Nemontat 1.jpeg","Deschide sursa")</x:f>
        <x:v>HYPERLINK is not implemented. linkLocation=file:///Z:/00. Proiecte 2025/AFIR FotoVoltaic 1/30.1 Cerere Rambursare 1/9-10. Fotografii relevante ale investiției/10. Poze/Montaj/Nemontat 1.jpeg, friendlyName=Deschide sursa</x:v>
      </x:c>
    </x:row>
    <x:row r="1296" ht="36" customHeight="1">
      <x:c r="A1296" s="8" t="str">
        <x:v>F1292</x:v>
      </x:c>
      <x:c r="B1296" s="8" t="str">
        <x:v>IMG-20260323-WA0020.jpg</x:v>
      </x:c>
      <x:c r="C1296" s="8" t="str">
        <x:v>30.1 Cerere Rambursare 1</x:v>
      </x:c>
      <x:c r="D1296" s="8" t="str">
        <x:v>Proiect fotovoltaic</x:v>
      </x:c>
      <x:c r="E1296" s="8" t="str">
        <x:v>.jpg</x:v>
      </x:c>
      <x:c r="F1296" s="8" t="n">
        <x:v>152197</x:v>
      </x:c>
      <x:c r="G1296" s="8" t="str">
        <x:v>Inventariat; conținut neextras</x:v>
      </x:c>
      <x:c r="H1296" s="8" t="str">
        <x:v>Document local; transmiterea individuală neconfirmată</x:v>
      </x:c>
      <x:c r="I1296" s="8" t="str"/>
      <x:c r="J1296" s="8" t="e">
        <x:f>HYPERLINK("file:///Z:/00. Proiecte 2025/AFIR FotoVoltaic 1/30.1 Cerere Rambursare 1/9-10. Fotografii relevante ale investiției/10. Poze/PANOURI/IMG-20260323-WA0020.jpg","Deschide sursa")</x:f>
        <x:v>HYPERLINK is not implemented. linkLocation=file:///Z:/00. Proiecte 2025/AFIR FotoVoltaic 1/30.1 Cerere Rambursare 1/9-10. Fotografii relevante ale investiției/10. Poze/PANOURI/IMG-20260323-WA0020.jpg, friendlyName=Deschide sursa</x:v>
      </x:c>
    </x:row>
    <x:row r="1297" ht="36" customHeight="1">
      <x:c r="A1297" s="8" t="str">
        <x:v>F1293</x:v>
      </x:c>
      <x:c r="B1297" s="8" t="str">
        <x:v>IMG-20260323-WA0023.jpg</x:v>
      </x:c>
      <x:c r="C1297" s="8" t="str">
        <x:v>30.1 Cerere Rambursare 1</x:v>
      </x:c>
      <x:c r="D1297" s="8" t="str">
        <x:v>Proiect fotovoltaic</x:v>
      </x:c>
      <x:c r="E1297" s="8" t="str">
        <x:v>.jpg</x:v>
      </x:c>
      <x:c r="F1297" s="8" t="n">
        <x:v>200208</x:v>
      </x:c>
      <x:c r="G1297" s="8" t="str">
        <x:v>Inventariat; conținut neextras</x:v>
      </x:c>
      <x:c r="H1297" s="8" t="str">
        <x:v>Document local; transmiterea individuală neconfirmată</x:v>
      </x:c>
      <x:c r="I1297" s="8" t="str"/>
      <x:c r="J1297" s="8" t="e">
        <x:f>HYPERLINK("file:///Z:/00. Proiecte 2025/AFIR FotoVoltaic 1/30.1 Cerere Rambursare 1/9-10. Fotografii relevante ale investiției/10. Poze/PANOURI/IMG-20260323-WA0023.jpg","Deschide sursa")</x:f>
        <x:v>HYPERLINK is not implemented. linkLocation=file:///Z:/00. Proiecte 2025/AFIR FotoVoltaic 1/30.1 Cerere Rambursare 1/9-10. Fotografii relevante ale investiției/10. Poze/PANOURI/IMG-20260323-WA0023.jpg, friendlyName=Deschide sursa</x:v>
      </x:c>
    </x:row>
    <x:row r="1298" ht="36" customHeight="1">
      <x:c r="A1298" s="8" t="str">
        <x:v>F1294</x:v>
      </x:c>
      <x:c r="B1298" s="8" t="str">
        <x:v>IMG-20260323-WA0024.jpg</x:v>
      </x:c>
      <x:c r="C1298" s="8" t="str">
        <x:v>30.1 Cerere Rambursare 1</x:v>
      </x:c>
      <x:c r="D1298" s="8" t="str">
        <x:v>Proiect fotovoltaic</x:v>
      </x:c>
      <x:c r="E1298" s="8" t="str">
        <x:v>.jpg</x:v>
      </x:c>
      <x:c r="F1298" s="8" t="n">
        <x:v>175138</x:v>
      </x:c>
      <x:c r="G1298" s="8" t="str">
        <x:v>Inventariat; conținut neextras</x:v>
      </x:c>
      <x:c r="H1298" s="8" t="str">
        <x:v>Document local; transmiterea individuală neconfirmată</x:v>
      </x:c>
      <x:c r="I1298" s="8" t="str"/>
      <x:c r="J1298" s="8" t="e">
        <x:f>HYPERLINK("file:///Z:/00. Proiecte 2025/AFIR FotoVoltaic 1/30.1 Cerere Rambursare 1/9-10. Fotografii relevante ale investiției/10. Poze/PANOURI/IMG-20260323-WA0024.jpg","Deschide sursa")</x:f>
        <x:v>HYPERLINK is not implemented. linkLocation=file:///Z:/00. Proiecte 2025/AFIR FotoVoltaic 1/30.1 Cerere Rambursare 1/9-10. Fotografii relevante ale investiției/10. Poze/PANOURI/IMG-20260323-WA0024.jpg, friendlyName=Deschide sursa</x:v>
      </x:c>
    </x:row>
    <x:row r="1299" ht="36" customHeight="1">
      <x:c r="A1299" s="8" t="str">
        <x:v>F1295</x:v>
      </x:c>
      <x:c r="B1299" s="8" t="str">
        <x:v>IMG-20260323-WA0025.jpg</x:v>
      </x:c>
      <x:c r="C1299" s="8" t="str">
        <x:v>30.1 Cerere Rambursare 1</x:v>
      </x:c>
      <x:c r="D1299" s="8" t="str">
        <x:v>Proiect fotovoltaic</x:v>
      </x:c>
      <x:c r="E1299" s="8" t="str">
        <x:v>.jpg</x:v>
      </x:c>
      <x:c r="F1299" s="8" t="n">
        <x:v>167161</x:v>
      </x:c>
      <x:c r="G1299" s="8" t="str">
        <x:v>Inventariat; conținut neextras</x:v>
      </x:c>
      <x:c r="H1299" s="8" t="str">
        <x:v>Document local; transmiterea individuală neconfirmată</x:v>
      </x:c>
      <x:c r="I1299" s="8" t="str"/>
      <x:c r="J1299" s="8" t="e">
        <x:f>HYPERLINK("file:///Z:/00. Proiecte 2025/AFIR FotoVoltaic 1/30.1 Cerere Rambursare 1/9-10. Fotografii relevante ale investiției/10. Poze/PANOURI/IMG-20260323-WA0025.jpg","Deschide sursa")</x:f>
        <x:v>HYPERLINK is not implemented. linkLocation=file:///Z:/00. Proiecte 2025/AFIR FotoVoltaic 1/30.1 Cerere Rambursare 1/9-10. Fotografii relevante ale investiției/10. Poze/PANOURI/IMG-20260323-WA0025.jpg, friendlyName=Deschide sursa</x:v>
      </x:c>
    </x:row>
    <x:row r="1300" ht="36" customHeight="1">
      <x:c r="A1300" s="8" t="str">
        <x:v>F1296</x:v>
      </x:c>
      <x:c r="B1300" s="8" t="str">
        <x:v>IMG-20260323-WA0026.jpg</x:v>
      </x:c>
      <x:c r="C1300" s="8" t="str">
        <x:v>30.1 Cerere Rambursare 1</x:v>
      </x:c>
      <x:c r="D1300" s="8" t="str">
        <x:v>Proiect fotovoltaic</x:v>
      </x:c>
      <x:c r="E1300" s="8" t="str">
        <x:v>.jpg</x:v>
      </x:c>
      <x:c r="F1300" s="8" t="n">
        <x:v>157716</x:v>
      </x:c>
      <x:c r="G1300" s="8" t="str">
        <x:v>Inventariat; conținut neextras</x:v>
      </x:c>
      <x:c r="H1300" s="8" t="str">
        <x:v>Document local; transmiterea individuală neconfirmată</x:v>
      </x:c>
      <x:c r="I1300" s="8" t="str"/>
      <x:c r="J1300" s="8" t="e">
        <x:f>HYPERLINK("file:///Z:/00. Proiecte 2025/AFIR FotoVoltaic 1/30.1 Cerere Rambursare 1/9-10. Fotografii relevante ale investiției/10. Poze/PANOURI/IMG-20260323-WA0026.jpg","Deschide sursa")</x:f>
        <x:v>HYPERLINK is not implemented. linkLocation=file:///Z:/00. Proiecte 2025/AFIR FotoVoltaic 1/30.1 Cerere Rambursare 1/9-10. Fotografii relevante ale investiției/10. Poze/PANOURI/IMG-20260323-WA0026.jpg, friendlyName=Deschide sursa</x:v>
      </x:c>
    </x:row>
    <x:row r="1301" ht="36" customHeight="1">
      <x:c r="A1301" s="8" t="str">
        <x:v>F1297</x:v>
      </x:c>
      <x:c r="B1301" s="8" t="str">
        <x:v>IMG-20260323-WA0027.jpg</x:v>
      </x:c>
      <x:c r="C1301" s="8" t="str">
        <x:v>30.1 Cerere Rambursare 1</x:v>
      </x:c>
      <x:c r="D1301" s="8" t="str">
        <x:v>Proiect fotovoltaic</x:v>
      </x:c>
      <x:c r="E1301" s="8" t="str">
        <x:v>.jpg</x:v>
      </x:c>
      <x:c r="F1301" s="8" t="n">
        <x:v>161594</x:v>
      </x:c>
      <x:c r="G1301" s="8" t="str">
        <x:v>Inventariat; conținut neextras</x:v>
      </x:c>
      <x:c r="H1301" s="8" t="str">
        <x:v>Document local; transmiterea individuală neconfirmată</x:v>
      </x:c>
      <x:c r="I1301" s="8" t="str"/>
      <x:c r="J1301" s="8" t="e">
        <x:f>HYPERLINK("file:///Z:/00. Proiecte 2025/AFIR FotoVoltaic 1/30.1 Cerere Rambursare 1/9-10. Fotografii relevante ale investiției/10. Poze/PANOURI/IMG-20260323-WA0027.jpg","Deschide sursa")</x:f>
        <x:v>HYPERLINK is not implemented. linkLocation=file:///Z:/00. Proiecte 2025/AFIR FotoVoltaic 1/30.1 Cerere Rambursare 1/9-10. Fotografii relevante ale investiției/10. Poze/PANOURI/IMG-20260323-WA0027.jpg, friendlyName=Deschide sursa</x:v>
      </x:c>
    </x:row>
    <x:row r="1302" ht="36" customHeight="1">
      <x:c r="A1302" s="8" t="str">
        <x:v>F1298</x:v>
      </x:c>
      <x:c r="B1302" s="8" t="str">
        <x:v>IMG-20260323-WA0029.jpg</x:v>
      </x:c>
      <x:c r="C1302" s="8" t="str">
        <x:v>30.1 Cerere Rambursare 1</x:v>
      </x:c>
      <x:c r="D1302" s="8" t="str">
        <x:v>Proiect fotovoltaic</x:v>
      </x:c>
      <x:c r="E1302" s="8" t="str">
        <x:v>.jpg</x:v>
      </x:c>
      <x:c r="F1302" s="8" t="n">
        <x:v>169397</x:v>
      </x:c>
      <x:c r="G1302" s="8" t="str">
        <x:v>Inventariat; conținut neextras</x:v>
      </x:c>
      <x:c r="H1302" s="8" t="str">
        <x:v>Document local; transmiterea individuală neconfirmată</x:v>
      </x:c>
      <x:c r="I1302" s="8" t="str"/>
      <x:c r="J1302" s="8" t="e">
        <x:f>HYPERLINK("file:///Z:/00. Proiecte 2025/AFIR FotoVoltaic 1/30.1 Cerere Rambursare 1/9-10. Fotografii relevante ale investiției/10. Poze/PANOURI/IMG-20260323-WA0029.jpg","Deschide sursa")</x:f>
        <x:v>HYPERLINK is not implemented. linkLocation=file:///Z:/00. Proiecte 2025/AFIR FotoVoltaic 1/30.1 Cerere Rambursare 1/9-10. Fotografii relevante ale investiției/10. Poze/PANOURI/IMG-20260323-WA0029.jpg, friendlyName=Deschide sursa</x:v>
      </x:c>
    </x:row>
    <x:row r="1303" ht="36" customHeight="1">
      <x:c r="A1303" s="8" t="str">
        <x:v>F1299</x:v>
      </x:c>
      <x:c r="B1303" s="8" t="str">
        <x:v>IMG-20260323-WA0030.jpg</x:v>
      </x:c>
      <x:c r="C1303" s="8" t="str">
        <x:v>30.1 Cerere Rambursare 1</x:v>
      </x:c>
      <x:c r="D1303" s="8" t="str">
        <x:v>Proiect fotovoltaic</x:v>
      </x:c>
      <x:c r="E1303" s="8" t="str">
        <x:v>.jpg</x:v>
      </x:c>
      <x:c r="F1303" s="8" t="n">
        <x:v>190183</x:v>
      </x:c>
      <x:c r="G1303" s="8" t="str">
        <x:v>Inventariat; conținut neextras</x:v>
      </x:c>
      <x:c r="H1303" s="8" t="str">
        <x:v>Document local; transmiterea individuală neconfirmată</x:v>
      </x:c>
      <x:c r="I1303" s="8" t="str"/>
      <x:c r="J1303" s="8" t="e">
        <x:f>HYPERLINK("file:///Z:/00. Proiecte 2025/AFIR FotoVoltaic 1/30.1 Cerere Rambursare 1/9-10. Fotografii relevante ale investiției/10. Poze/PANOURI/IMG-20260323-WA0030.jpg","Deschide sursa")</x:f>
        <x:v>HYPERLINK is not implemented. linkLocation=file:///Z:/00. Proiecte 2025/AFIR FotoVoltaic 1/30.1 Cerere Rambursare 1/9-10. Fotografii relevante ale investiției/10. Poze/PANOURI/IMG-20260323-WA0030.jpg, friendlyName=Deschide sursa</x:v>
      </x:c>
    </x:row>
    <x:row r="1304" ht="36" customHeight="1">
      <x:c r="A1304" s="8" t="str">
        <x:v>F1300</x:v>
      </x:c>
      <x:c r="B1304" s="8" t="str">
        <x:v>IMG-20260323-WA0031.jpg</x:v>
      </x:c>
      <x:c r="C1304" s="8" t="str">
        <x:v>30.1 Cerere Rambursare 1</x:v>
      </x:c>
      <x:c r="D1304" s="8" t="str">
        <x:v>Proiect fotovoltaic</x:v>
      </x:c>
      <x:c r="E1304" s="8" t="str">
        <x:v>.jpg</x:v>
      </x:c>
      <x:c r="F1304" s="8" t="n">
        <x:v>116668</x:v>
      </x:c>
      <x:c r="G1304" s="8" t="str">
        <x:v>Inventariat; conținut neextras</x:v>
      </x:c>
      <x:c r="H1304" s="8" t="str">
        <x:v>Document local; transmiterea individuală neconfirmată</x:v>
      </x:c>
      <x:c r="I1304" s="8" t="str"/>
      <x:c r="J1304" s="8" t="e">
        <x:f>HYPERLINK("file:///Z:/00. Proiecte 2025/AFIR FotoVoltaic 1/30.1 Cerere Rambursare 1/9-10. Fotografii relevante ale investiției/10. Poze/PANOURI/IMG-20260323-WA0031.jpg","Deschide sursa")</x:f>
        <x:v>HYPERLINK is not implemented. linkLocation=file:///Z:/00. Proiecte 2025/AFIR FotoVoltaic 1/30.1 Cerere Rambursare 1/9-10. Fotografii relevante ale investiției/10. Poze/PANOURI/IMG-20260323-WA0031.jpg, friendlyName=Deschide sursa</x:v>
      </x:c>
    </x:row>
    <x:row r="1305" ht="36" customHeight="1">
      <x:c r="A1305" s="8" t="str">
        <x:v>F1301</x:v>
      </x:c>
      <x:c r="B1305" s="8" t="str">
        <x:v>IMG-20260323-WA0032.jpg</x:v>
      </x:c>
      <x:c r="C1305" s="8" t="str">
        <x:v>30.1 Cerere Rambursare 1</x:v>
      </x:c>
      <x:c r="D1305" s="8" t="str">
        <x:v>Proiect fotovoltaic</x:v>
      </x:c>
      <x:c r="E1305" s="8" t="str">
        <x:v>.jpg</x:v>
      </x:c>
      <x:c r="F1305" s="8" t="n">
        <x:v>133364</x:v>
      </x:c>
      <x:c r="G1305" s="8" t="str">
        <x:v>Inventariat; conținut neextras</x:v>
      </x:c>
      <x:c r="H1305" s="8" t="str">
        <x:v>Document local; transmiterea individuală neconfirmată</x:v>
      </x:c>
      <x:c r="I1305" s="8" t="str"/>
      <x:c r="J1305" s="8" t="e">
        <x:f>HYPERLINK("file:///Z:/00. Proiecte 2025/AFIR FotoVoltaic 1/30.1 Cerere Rambursare 1/9-10. Fotografii relevante ale investiției/10. Poze/PANOURI/IMG-20260323-WA0032.jpg","Deschide sursa")</x:f>
        <x:v>HYPERLINK is not implemented. linkLocation=file:///Z:/00. Proiecte 2025/AFIR FotoVoltaic 1/30.1 Cerere Rambursare 1/9-10. Fotografii relevante ale investiției/10. Poze/PANOURI/IMG-20260323-WA0032.jpg, friendlyName=Deschide sursa</x:v>
      </x:c>
    </x:row>
    <x:row r="1306" ht="36" customHeight="1">
      <x:c r="A1306" s="8" t="str">
        <x:v>F1302</x:v>
      </x:c>
      <x:c r="B1306" s="8" t="str">
        <x:v>IMG-20260323-WA0033.jpg</x:v>
      </x:c>
      <x:c r="C1306" s="8" t="str">
        <x:v>30.1 Cerere Rambursare 1</x:v>
      </x:c>
      <x:c r="D1306" s="8" t="str">
        <x:v>Proiect fotovoltaic</x:v>
      </x:c>
      <x:c r="E1306" s="8" t="str">
        <x:v>.jpg</x:v>
      </x:c>
      <x:c r="F1306" s="8" t="n">
        <x:v>150690</x:v>
      </x:c>
      <x:c r="G1306" s="8" t="str">
        <x:v>Inventariat; conținut neextras</x:v>
      </x:c>
      <x:c r="H1306" s="8" t="str">
        <x:v>Document local; transmiterea individuală neconfirmată</x:v>
      </x:c>
      <x:c r="I1306" s="8" t="str"/>
      <x:c r="J1306" s="8" t="e">
        <x:f>HYPERLINK("file:///Z:/00. Proiecte 2025/AFIR FotoVoltaic 1/30.1 Cerere Rambursare 1/9-10. Fotografii relevante ale investiției/10. Poze/PANOURI/IMG-20260323-WA0033.jpg","Deschide sursa")</x:f>
        <x:v>HYPERLINK is not implemented. linkLocation=file:///Z:/00. Proiecte 2025/AFIR FotoVoltaic 1/30.1 Cerere Rambursare 1/9-10. Fotografii relevante ale investiției/10. Poze/PANOURI/IMG-20260323-WA0033.jpg, friendlyName=Deschide sursa</x:v>
      </x:c>
    </x:row>
    <x:row r="1307" ht="36" customHeight="1">
      <x:c r="A1307" s="8" t="str">
        <x:v>F1303</x:v>
      </x:c>
      <x:c r="B1307" s="8" t="str">
        <x:v>IMG-20260323-WA0034.jpg</x:v>
      </x:c>
      <x:c r="C1307" s="8" t="str">
        <x:v>30.1 Cerere Rambursare 1</x:v>
      </x:c>
      <x:c r="D1307" s="8" t="str">
        <x:v>Proiect fotovoltaic</x:v>
      </x:c>
      <x:c r="E1307" s="8" t="str">
        <x:v>.jpg</x:v>
      </x:c>
      <x:c r="F1307" s="8" t="n">
        <x:v>138641</x:v>
      </x:c>
      <x:c r="G1307" s="8" t="str">
        <x:v>Inventariat; conținut neextras</x:v>
      </x:c>
      <x:c r="H1307" s="8" t="str">
        <x:v>Document local; transmiterea individuală neconfirmată</x:v>
      </x:c>
      <x:c r="I1307" s="8" t="str"/>
      <x:c r="J1307" s="8" t="e">
        <x:f>HYPERLINK("file:///Z:/00. Proiecte 2025/AFIR FotoVoltaic 1/30.1 Cerere Rambursare 1/9-10. Fotografii relevante ale investiției/10. Poze/PANOURI/IMG-20260323-WA0034.jpg","Deschide sursa")</x:f>
        <x:v>HYPERLINK is not implemented. linkLocation=file:///Z:/00. Proiecte 2025/AFIR FotoVoltaic 1/30.1 Cerere Rambursare 1/9-10. Fotografii relevante ale investiției/10. Poze/PANOURI/IMG-20260323-WA0034.jpg, friendlyName=Deschide sursa</x:v>
      </x:c>
    </x:row>
    <x:row r="1308" ht="36" customHeight="1">
      <x:c r="A1308" s="8" t="str">
        <x:v>F1304</x:v>
      </x:c>
      <x:c r="B1308" s="8" t="str">
        <x:v>IMG-20260323-WA0035.jpg</x:v>
      </x:c>
      <x:c r="C1308" s="8" t="str">
        <x:v>30.1 Cerere Rambursare 1</x:v>
      </x:c>
      <x:c r="D1308" s="8" t="str">
        <x:v>Proiect fotovoltaic</x:v>
      </x:c>
      <x:c r="E1308" s="8" t="str">
        <x:v>.jpg</x:v>
      </x:c>
      <x:c r="F1308" s="8" t="n">
        <x:v>154787</x:v>
      </x:c>
      <x:c r="G1308" s="8" t="str">
        <x:v>Inventariat; conținut neextras</x:v>
      </x:c>
      <x:c r="H1308" s="8" t="str">
        <x:v>Document local; transmiterea individuală neconfirmată</x:v>
      </x:c>
      <x:c r="I1308" s="8" t="str"/>
      <x:c r="J1308" s="8" t="e">
        <x:f>HYPERLINK("file:///Z:/00. Proiecte 2025/AFIR FotoVoltaic 1/30.1 Cerere Rambursare 1/9-10. Fotografii relevante ale investiției/10. Poze/PANOURI/IMG-20260323-WA0035.jpg","Deschide sursa")</x:f>
        <x:v>HYPERLINK is not implemented. linkLocation=file:///Z:/00. Proiecte 2025/AFIR FotoVoltaic 1/30.1 Cerere Rambursare 1/9-10. Fotografii relevante ale investiției/10. Poze/PANOURI/IMG-20260323-WA0035.jpg, friendlyName=Deschide sursa</x:v>
      </x:c>
    </x:row>
    <x:row r="1309" ht="36" customHeight="1">
      <x:c r="A1309" s="8" t="str">
        <x:v>F1305</x:v>
      </x:c>
      <x:c r="B1309" s="8" t="str">
        <x:v>IMG-20260323-WA0036.jpg</x:v>
      </x:c>
      <x:c r="C1309" s="8" t="str">
        <x:v>30.1 Cerere Rambursare 1</x:v>
      </x:c>
      <x:c r="D1309" s="8" t="str">
        <x:v>Proiect fotovoltaic</x:v>
      </x:c>
      <x:c r="E1309" s="8" t="str">
        <x:v>.jpg</x:v>
      </x:c>
      <x:c r="F1309" s="8" t="n">
        <x:v>125489</x:v>
      </x:c>
      <x:c r="G1309" s="8" t="str">
        <x:v>Inventariat; conținut neextras</x:v>
      </x:c>
      <x:c r="H1309" s="8" t="str">
        <x:v>Document local; transmiterea individuală neconfirmată</x:v>
      </x:c>
      <x:c r="I1309" s="8" t="str"/>
      <x:c r="J1309" s="8" t="e">
        <x:f>HYPERLINK("file:///Z:/00. Proiecte 2025/AFIR FotoVoltaic 1/30.1 Cerere Rambursare 1/9-10. Fotografii relevante ale investiției/10. Poze/PANOURI/IMG-20260323-WA0036.jpg","Deschide sursa")</x:f>
        <x:v>HYPERLINK is not implemented. linkLocation=file:///Z:/00. Proiecte 2025/AFIR FotoVoltaic 1/30.1 Cerere Rambursare 1/9-10. Fotografii relevante ale investiției/10. Poze/PANOURI/IMG-20260323-WA0036.jpg, friendlyName=Deschide sursa</x:v>
      </x:c>
    </x:row>
    <x:row r="1310" ht="36" customHeight="1">
      <x:c r="A1310" s="8" t="str">
        <x:v>F1306</x:v>
      </x:c>
      <x:c r="B1310" s="8" t="str">
        <x:v>IMG-20260323-WA0037.jpg</x:v>
      </x:c>
      <x:c r="C1310" s="8" t="str">
        <x:v>30.1 Cerere Rambursare 1</x:v>
      </x:c>
      <x:c r="D1310" s="8" t="str">
        <x:v>Proiect fotovoltaic</x:v>
      </x:c>
      <x:c r="E1310" s="8" t="str">
        <x:v>.jpg</x:v>
      </x:c>
      <x:c r="F1310" s="8" t="n">
        <x:v>150847</x:v>
      </x:c>
      <x:c r="G1310" s="8" t="str">
        <x:v>Inventariat; conținut neextras</x:v>
      </x:c>
      <x:c r="H1310" s="8" t="str">
        <x:v>Document local; transmiterea individuală neconfirmată</x:v>
      </x:c>
      <x:c r="I1310" s="8" t="str"/>
      <x:c r="J1310" s="8" t="e">
        <x:f>HYPERLINK("file:///Z:/00. Proiecte 2025/AFIR FotoVoltaic 1/30.1 Cerere Rambursare 1/9-10. Fotografii relevante ale investiției/10. Poze/PANOURI/IMG-20260323-WA0037.jpg","Deschide sursa")</x:f>
        <x:v>HYPERLINK is not implemented. linkLocation=file:///Z:/00. Proiecte 2025/AFIR FotoVoltaic 1/30.1 Cerere Rambursare 1/9-10. Fotografii relevante ale investiției/10. Poze/PANOURI/IMG-20260323-WA0037.jpg, friendlyName=Deschide sursa</x:v>
      </x:c>
    </x:row>
    <x:row r="1311" ht="36" customHeight="1">
      <x:c r="A1311" s="8" t="str">
        <x:v>F1307</x:v>
      </x:c>
      <x:c r="B1311" s="8" t="str">
        <x:v>IMG-20260323-WA0038.jpg</x:v>
      </x:c>
      <x:c r="C1311" s="8" t="str">
        <x:v>30.1 Cerere Rambursare 1</x:v>
      </x:c>
      <x:c r="D1311" s="8" t="str">
        <x:v>Proiect fotovoltaic</x:v>
      </x:c>
      <x:c r="E1311" s="8" t="str">
        <x:v>.jpg</x:v>
      </x:c>
      <x:c r="F1311" s="8" t="n">
        <x:v>127760</x:v>
      </x:c>
      <x:c r="G1311" s="8" t="str">
        <x:v>Inventariat; conținut neextras</x:v>
      </x:c>
      <x:c r="H1311" s="8" t="str">
        <x:v>Document local; transmiterea individuală neconfirmată</x:v>
      </x:c>
      <x:c r="I1311" s="8" t="str"/>
      <x:c r="J1311" s="8" t="e">
        <x:f>HYPERLINK("file:///Z:/00. Proiecte 2025/AFIR FotoVoltaic 1/30.1 Cerere Rambursare 1/9-10. Fotografii relevante ale investiției/10. Poze/PANOURI/IMG-20260323-WA0038.jpg","Deschide sursa")</x:f>
        <x:v>HYPERLINK is not implemented. linkLocation=file:///Z:/00. Proiecte 2025/AFIR FotoVoltaic 1/30.1 Cerere Rambursare 1/9-10. Fotografii relevante ale investiției/10. Poze/PANOURI/IMG-20260323-WA0038.jpg, friendlyName=Deschide sursa</x:v>
      </x:c>
    </x:row>
    <x:row r="1312" ht="36" customHeight="1">
      <x:c r="A1312" s="8" t="str">
        <x:v>F1308</x:v>
      </x:c>
      <x:c r="B1312" s="8" t="str">
        <x:v>IMG-20260323-WA0039.jpg</x:v>
      </x:c>
      <x:c r="C1312" s="8" t="str">
        <x:v>30.1 Cerere Rambursare 1</x:v>
      </x:c>
      <x:c r="D1312" s="8" t="str">
        <x:v>Proiect fotovoltaic</x:v>
      </x:c>
      <x:c r="E1312" s="8" t="str">
        <x:v>.jpg</x:v>
      </x:c>
      <x:c r="F1312" s="8" t="n">
        <x:v>101752</x:v>
      </x:c>
      <x:c r="G1312" s="8" t="str">
        <x:v>Inventariat; conținut neextras</x:v>
      </x:c>
      <x:c r="H1312" s="8" t="str">
        <x:v>Document local; transmiterea individuală neconfirmată</x:v>
      </x:c>
      <x:c r="I1312" s="8" t="str"/>
      <x:c r="J1312" s="8" t="e">
        <x:f>HYPERLINK("file:///Z:/00. Proiecte 2025/AFIR FotoVoltaic 1/30.1 Cerere Rambursare 1/9-10. Fotografii relevante ale investiției/10. Poze/PANOURI/IMG-20260323-WA0039.jpg","Deschide sursa")</x:f>
        <x:v>HYPERLINK is not implemented. linkLocation=file:///Z:/00. Proiecte 2025/AFIR FotoVoltaic 1/30.1 Cerere Rambursare 1/9-10. Fotografii relevante ale investiției/10. Poze/PANOURI/IMG-20260323-WA0039.jpg, friendlyName=Deschide sursa</x:v>
      </x:c>
    </x:row>
    <x:row r="1313" ht="36" customHeight="1">
      <x:c r="A1313" s="8" t="str">
        <x:v>F1309</x:v>
      </x:c>
      <x:c r="B1313" s="8" t="str">
        <x:v>IMG-20260323-WA0040.jpg</x:v>
      </x:c>
      <x:c r="C1313" s="8" t="str">
        <x:v>30.1 Cerere Rambursare 1</x:v>
      </x:c>
      <x:c r="D1313" s="8" t="str">
        <x:v>Proiect fotovoltaic</x:v>
      </x:c>
      <x:c r="E1313" s="8" t="str">
        <x:v>.jpg</x:v>
      </x:c>
      <x:c r="F1313" s="8" t="n">
        <x:v>104262</x:v>
      </x:c>
      <x:c r="G1313" s="8" t="str">
        <x:v>Inventariat; conținut neextras</x:v>
      </x:c>
      <x:c r="H1313" s="8" t="str">
        <x:v>Document local; transmiterea individuală neconfirmată</x:v>
      </x:c>
      <x:c r="I1313" s="8" t="str"/>
      <x:c r="J1313" s="8" t="e">
        <x:f>HYPERLINK("file:///Z:/00. Proiecte 2025/AFIR FotoVoltaic 1/30.1 Cerere Rambursare 1/9-10. Fotografii relevante ale investiției/10. Poze/PANOURI/IMG-20260323-WA0040.jpg","Deschide sursa")</x:f>
        <x:v>HYPERLINK is not implemented. linkLocation=file:///Z:/00. Proiecte 2025/AFIR FotoVoltaic 1/30.1 Cerere Rambursare 1/9-10. Fotografii relevante ale investiției/10. Poze/PANOURI/IMG-20260323-WA0040.jpg, friendlyName=Deschide sursa</x:v>
      </x:c>
    </x:row>
    <x:row r="1314" ht="36" customHeight="1">
      <x:c r="A1314" s="8" t="str">
        <x:v>F1310</x:v>
      </x:c>
      <x:c r="B1314" s="8" t="str">
        <x:v>IMG-20260323-WA0042.jpg</x:v>
      </x:c>
      <x:c r="C1314" s="8" t="str">
        <x:v>30.1 Cerere Rambursare 1</x:v>
      </x:c>
      <x:c r="D1314" s="8" t="str">
        <x:v>Proiect fotovoltaic</x:v>
      </x:c>
      <x:c r="E1314" s="8" t="str">
        <x:v>.jpg</x:v>
      </x:c>
      <x:c r="F1314" s="8" t="n">
        <x:v>106284</x:v>
      </x:c>
      <x:c r="G1314" s="8" t="str">
        <x:v>Inventariat; conținut neextras</x:v>
      </x:c>
      <x:c r="H1314" s="8" t="str">
        <x:v>Document local; transmiterea individuală neconfirmată</x:v>
      </x:c>
      <x:c r="I1314" s="8" t="str"/>
      <x:c r="J1314" s="8" t="e">
        <x:f>HYPERLINK("file:///Z:/00. Proiecte 2025/AFIR FotoVoltaic 1/30.1 Cerere Rambursare 1/9-10. Fotografii relevante ale investiției/10. Poze/PANOURI/IMG-20260323-WA0042.jpg","Deschide sursa")</x:f>
        <x:v>HYPERLINK is not implemented. linkLocation=file:///Z:/00. Proiecte 2025/AFIR FotoVoltaic 1/30.1 Cerere Rambursare 1/9-10. Fotografii relevante ale investiției/10. Poze/PANOURI/IMG-20260323-WA0042.jpg, friendlyName=Deschide sursa</x:v>
      </x:c>
    </x:row>
    <x:row r="1315" ht="36" customHeight="1">
      <x:c r="A1315" s="8" t="str">
        <x:v>F1311</x:v>
      </x:c>
      <x:c r="B1315" s="8" t="str">
        <x:v>IMG-20260323-WA0043(1).jpg</x:v>
      </x:c>
      <x:c r="C1315" s="8" t="str">
        <x:v>30.1 Cerere Rambursare 1</x:v>
      </x:c>
      <x:c r="D1315" s="8" t="str">
        <x:v>Proiect fotovoltaic</x:v>
      </x:c>
      <x:c r="E1315" s="8" t="str">
        <x:v>.jpg</x:v>
      </x:c>
      <x:c r="F1315" s="8" t="n">
        <x:v>138740</x:v>
      </x:c>
      <x:c r="G1315" s="8" t="str">
        <x:v>Inventariat; conținut neextras</x:v>
      </x:c>
      <x:c r="H1315" s="8" t="str">
        <x:v>Document local; transmiterea individuală neconfirmată</x:v>
      </x:c>
      <x:c r="I1315" s="8" t="str"/>
      <x:c r="J1315" s="8" t="e">
        <x:f>HYPERLINK("file:///Z:/00. Proiecte 2025/AFIR FotoVoltaic 1/30.1 Cerere Rambursare 1/9-10. Fotografii relevante ale investiției/10. Poze/PANOURI/IMG-20260323-WA0043(1).jpg","Deschide sursa")</x:f>
        <x:v>HYPERLINK is not implemented. linkLocation=file:///Z:/00. Proiecte 2025/AFIR FotoVoltaic 1/30.1 Cerere Rambursare 1/9-10. Fotografii relevante ale investiției/10. Poze/PANOURI/IMG-20260323-WA0043(1).jpg, friendlyName=Deschide sursa</x:v>
      </x:c>
    </x:row>
    <x:row r="1316" ht="36" customHeight="1">
      <x:c r="A1316" s="8" t="str">
        <x:v>F1312</x:v>
      </x:c>
      <x:c r="B1316" s="8" t="str">
        <x:v>IMG-20260323-WA0043.jpg</x:v>
      </x:c>
      <x:c r="C1316" s="8" t="str">
        <x:v>30.1 Cerere Rambursare 1</x:v>
      </x:c>
      <x:c r="D1316" s="8" t="str">
        <x:v>Proiect fotovoltaic</x:v>
      </x:c>
      <x:c r="E1316" s="8" t="str">
        <x:v>.jpg</x:v>
      </x:c>
      <x:c r="F1316" s="8" t="n">
        <x:v>138740</x:v>
      </x:c>
      <x:c r="G1316" s="8" t="str">
        <x:v>Inventariat; conținut neextras</x:v>
      </x:c>
      <x:c r="H1316" s="8" t="str">
        <x:v>Document local; transmiterea individuală neconfirmată</x:v>
      </x:c>
      <x:c r="I1316" s="8" t="str"/>
      <x:c r="J1316" s="8" t="e">
        <x:f>HYPERLINK("file:///Z:/00. Proiecte 2025/AFIR FotoVoltaic 1/30.1 Cerere Rambursare 1/9-10. Fotografii relevante ale investiției/10. Poze/PANOURI/IMG-20260323-WA0043.jpg","Deschide sursa")</x:f>
        <x:v>HYPERLINK is not implemented. linkLocation=file:///Z:/00. Proiecte 2025/AFIR FotoVoltaic 1/30.1 Cerere Rambursare 1/9-10. Fotografii relevante ale investiției/10. Poze/PANOURI/IMG-20260323-WA0043.jpg, friendlyName=Deschide sursa</x:v>
      </x:c>
    </x:row>
    <x:row r="1317" ht="36" customHeight="1">
      <x:c r="A1317" s="8" t="str">
        <x:v>F1313</x:v>
      </x:c>
      <x:c r="B1317" s="8" t="str">
        <x:v>IMG-20260323-WA0044.jpg</x:v>
      </x:c>
      <x:c r="C1317" s="8" t="str">
        <x:v>30.1 Cerere Rambursare 1</x:v>
      </x:c>
      <x:c r="D1317" s="8" t="str">
        <x:v>Proiect fotovoltaic</x:v>
      </x:c>
      <x:c r="E1317" s="8" t="str">
        <x:v>.jpg</x:v>
      </x:c>
      <x:c r="F1317" s="8" t="n">
        <x:v>141370</x:v>
      </x:c>
      <x:c r="G1317" s="8" t="str">
        <x:v>Inventariat; conținut neextras</x:v>
      </x:c>
      <x:c r="H1317" s="8" t="str">
        <x:v>Document local; transmiterea individuală neconfirmată</x:v>
      </x:c>
      <x:c r="I1317" s="8" t="str"/>
      <x:c r="J1317" s="8" t="e">
        <x:f>HYPERLINK("file:///Z:/00. Proiecte 2025/AFIR FotoVoltaic 1/30.1 Cerere Rambursare 1/9-10. Fotografii relevante ale investiției/10. Poze/PANOURI/IMG-20260323-WA0044.jpg","Deschide sursa")</x:f>
        <x:v>HYPERLINK is not implemented. linkLocation=file:///Z:/00. Proiecte 2025/AFIR FotoVoltaic 1/30.1 Cerere Rambursare 1/9-10. Fotografii relevante ale investiției/10. Poze/PANOURI/IMG-20260323-WA0044.jpg, friendlyName=Deschide sursa</x:v>
      </x:c>
    </x:row>
    <x:row r="1318" ht="36" customHeight="1">
      <x:c r="A1318" s="8" t="str">
        <x:v>F1314</x:v>
      </x:c>
      <x:c r="B1318" s="8" t="str">
        <x:v>IMG-20260323-WA0045.jpg</x:v>
      </x:c>
      <x:c r="C1318" s="8" t="str">
        <x:v>30.1 Cerere Rambursare 1</x:v>
      </x:c>
      <x:c r="D1318" s="8" t="str">
        <x:v>Proiect fotovoltaic</x:v>
      </x:c>
      <x:c r="E1318" s="8" t="str">
        <x:v>.jpg</x:v>
      </x:c>
      <x:c r="F1318" s="8" t="n">
        <x:v>138857</x:v>
      </x:c>
      <x:c r="G1318" s="8" t="str">
        <x:v>Inventariat; conținut neextras</x:v>
      </x:c>
      <x:c r="H1318" s="8" t="str">
        <x:v>Document local; transmiterea individuală neconfirmată</x:v>
      </x:c>
      <x:c r="I1318" s="8" t="str"/>
      <x:c r="J1318" s="8" t="e">
        <x:f>HYPERLINK("file:///Z:/00. Proiecte 2025/AFIR FotoVoltaic 1/30.1 Cerere Rambursare 1/9-10. Fotografii relevante ale investiției/10. Poze/PANOURI/IMG-20260323-WA0045.jpg","Deschide sursa")</x:f>
        <x:v>HYPERLINK is not implemented. linkLocation=file:///Z:/00. Proiecte 2025/AFIR FotoVoltaic 1/30.1 Cerere Rambursare 1/9-10. Fotografii relevante ale investiției/10. Poze/PANOURI/IMG-20260323-WA0045.jpg, friendlyName=Deschide sursa</x:v>
      </x:c>
    </x:row>
    <x:row r="1319" ht="36" customHeight="1">
      <x:c r="A1319" s="8" t="str">
        <x:v>F1315</x:v>
      </x:c>
      <x:c r="B1319" s="8" t="str">
        <x:v>IMG-20260323-WA0046.jpg</x:v>
      </x:c>
      <x:c r="C1319" s="8" t="str">
        <x:v>30.1 Cerere Rambursare 1</x:v>
      </x:c>
      <x:c r="D1319" s="8" t="str">
        <x:v>Proiect fotovoltaic</x:v>
      </x:c>
      <x:c r="E1319" s="8" t="str">
        <x:v>.jpg</x:v>
      </x:c>
      <x:c r="F1319" s="8" t="n">
        <x:v>107563</x:v>
      </x:c>
      <x:c r="G1319" s="8" t="str">
        <x:v>Inventariat; conținut neextras</x:v>
      </x:c>
      <x:c r="H1319" s="8" t="str">
        <x:v>Document local; transmiterea individuală neconfirmată</x:v>
      </x:c>
      <x:c r="I1319" s="8" t="str"/>
      <x:c r="J1319" s="8" t="e">
        <x:f>HYPERLINK("file:///Z:/00. Proiecte 2025/AFIR FotoVoltaic 1/30.1 Cerere Rambursare 1/9-10. Fotografii relevante ale investiției/10. Poze/PANOURI/IMG-20260323-WA0046.jpg","Deschide sursa")</x:f>
        <x:v>HYPERLINK is not implemented. linkLocation=file:///Z:/00. Proiecte 2025/AFIR FotoVoltaic 1/30.1 Cerere Rambursare 1/9-10. Fotografii relevante ale investiției/10. Poze/PANOURI/IMG-20260323-WA0046.jpg, friendlyName=Deschide sursa</x:v>
      </x:c>
    </x:row>
    <x:row r="1320" ht="36" customHeight="1">
      <x:c r="A1320" s="8" t="str">
        <x:v>F1316</x:v>
      </x:c>
      <x:c r="B1320" s="8" t="str">
        <x:v>IMG-20260323-WA0047.jpg</x:v>
      </x:c>
      <x:c r="C1320" s="8" t="str">
        <x:v>30.1 Cerere Rambursare 1</x:v>
      </x:c>
      <x:c r="D1320" s="8" t="str">
        <x:v>Proiect fotovoltaic</x:v>
      </x:c>
      <x:c r="E1320" s="8" t="str">
        <x:v>.jpg</x:v>
      </x:c>
      <x:c r="F1320" s="8" t="n">
        <x:v>125233</x:v>
      </x:c>
      <x:c r="G1320" s="8" t="str">
        <x:v>Inventariat; conținut neextras</x:v>
      </x:c>
      <x:c r="H1320" s="8" t="str">
        <x:v>Document local; transmiterea individuală neconfirmată</x:v>
      </x:c>
      <x:c r="I1320" s="8" t="str"/>
      <x:c r="J1320" s="8" t="e">
        <x:f>HYPERLINK("file:///Z:/00. Proiecte 2025/AFIR FotoVoltaic 1/30.1 Cerere Rambursare 1/9-10. Fotografii relevante ale investiției/10. Poze/PANOURI/IMG-20260323-WA0047.jpg","Deschide sursa")</x:f>
        <x:v>HYPERLINK is not implemented. linkLocation=file:///Z:/00. Proiecte 2025/AFIR FotoVoltaic 1/30.1 Cerere Rambursare 1/9-10. Fotografii relevante ale investiției/10. Poze/PANOURI/IMG-20260323-WA0047.jpg, friendlyName=Deschide sursa</x:v>
      </x:c>
    </x:row>
    <x:row r="1321" ht="36" customHeight="1">
      <x:c r="A1321" s="8" t="str">
        <x:v>F1317</x:v>
      </x:c>
      <x:c r="B1321" s="8" t="str">
        <x:v>IMG-20260323-WA0048.jpg</x:v>
      </x:c>
      <x:c r="C1321" s="8" t="str">
        <x:v>30.1 Cerere Rambursare 1</x:v>
      </x:c>
      <x:c r="D1321" s="8" t="str">
        <x:v>Proiect fotovoltaic</x:v>
      </x:c>
      <x:c r="E1321" s="8" t="str">
        <x:v>.jpg</x:v>
      </x:c>
      <x:c r="F1321" s="8" t="n">
        <x:v>127821</x:v>
      </x:c>
      <x:c r="G1321" s="8" t="str">
        <x:v>Inventariat; conținut neextras</x:v>
      </x:c>
      <x:c r="H1321" s="8" t="str">
        <x:v>Document local; transmiterea individuală neconfirmată</x:v>
      </x:c>
      <x:c r="I1321" s="8" t="str"/>
      <x:c r="J1321" s="8" t="e">
        <x:f>HYPERLINK("file:///Z:/00. Proiecte 2025/AFIR FotoVoltaic 1/30.1 Cerere Rambursare 1/9-10. Fotografii relevante ale investiției/10. Poze/PANOURI/IMG-20260323-WA0048.jpg","Deschide sursa")</x:f>
        <x:v>HYPERLINK is not implemented. linkLocation=file:///Z:/00. Proiecte 2025/AFIR FotoVoltaic 1/30.1 Cerere Rambursare 1/9-10. Fotografii relevante ale investiției/10. Poze/PANOURI/IMG-20260323-WA0048.jpg, friendlyName=Deschide sursa</x:v>
      </x:c>
    </x:row>
    <x:row r="1322" ht="36" customHeight="1">
      <x:c r="A1322" s="8" t="str">
        <x:v>F1318</x:v>
      </x:c>
      <x:c r="B1322" s="8" t="str">
        <x:v>IMG-20260514-WA0137.jpg</x:v>
      </x:c>
      <x:c r="C1322" s="8" t="str">
        <x:v>30.1 Cerere Rambursare 1</x:v>
      </x:c>
      <x:c r="D1322" s="8" t="str">
        <x:v>Proiect fotovoltaic</x:v>
      </x:c>
      <x:c r="E1322" s="8" t="str">
        <x:v>.jpg</x:v>
      </x:c>
      <x:c r="F1322" s="8" t="n">
        <x:v>507060</x:v>
      </x:c>
      <x:c r="G1322" s="8" t="str">
        <x:v>Inventariat; conținut neextras</x:v>
      </x:c>
      <x:c r="H1322" s="8" t="str">
        <x:v>Document local; transmiterea individuală neconfirmată</x:v>
      </x:c>
      <x:c r="I1322" s="8" t="str"/>
      <x:c r="J1322" s="8" t="e">
        <x:f>HYPERLINK("file:///Z:/00. Proiecte 2025/AFIR FotoVoltaic 1/30.1 Cerere Rambursare 1/9-10. Fotografii relevante ale investiției/10. Poze/PANOURI/IMG-20260514-WA0137.jpg","Deschide sursa")</x:f>
        <x:v>HYPERLINK is not implemented. linkLocation=file:///Z:/00. Proiecte 2025/AFIR FotoVoltaic 1/30.1 Cerere Rambursare 1/9-10. Fotografii relevante ale investiției/10. Poze/PANOURI/IMG-20260514-WA0137.jpg, friendlyName=Deschide sursa</x:v>
      </x:c>
    </x:row>
    <x:row r="1323" ht="36" customHeight="1">
      <x:c r="A1323" s="8" t="str">
        <x:v>F1319</x:v>
      </x:c>
      <x:c r="B1323" s="8" t="str">
        <x:v>WhatsApp Image 2026-07-03 at 12.16.34 PM.jpeg</x:v>
      </x:c>
      <x:c r="C1323" s="8" t="str">
        <x:v>30.1 Cerere Rambursare 1</x:v>
      </x:c>
      <x:c r="D1323" s="8" t="str">
        <x:v>Proiect fotovoltaic</x:v>
      </x:c>
      <x:c r="E1323" s="8" t="str">
        <x:v>.jpeg</x:v>
      </x:c>
      <x:c r="F1323" s="8" t="n">
        <x:v>144598</x:v>
      </x:c>
      <x:c r="G1323" s="8" t="str">
        <x:v>Inventariat; conținut neextras</x:v>
      </x:c>
      <x:c r="H1323" s="8" t="str">
        <x:v>Document local; transmiterea individuală neconfirmată</x:v>
      </x:c>
      <x:c r="I1323" s="8" t="str"/>
      <x:c r="J1323" s="8" t="e">
        <x:f>HYPERLINK("file:///Z:/00. Proiecte 2025/AFIR FotoVoltaic 1/30.1 Cerere Rambursare 1/9-10. Fotografii relevante ale investiției/10. Poze/STRUCURA/WhatsApp Image 2026-07-03 at 12.16.34 PM.jpeg","Deschide sursa")</x:f>
        <x:v>HYPERLINK is not implemented. linkLocation=file:///Z:/00. Proiecte 2025/AFIR FotoVoltaic 1/30.1 Cerere Rambursare 1/9-10. Fotografii relevante ale investiției/10. Poze/STRUCURA/WhatsApp Image 2026-07-03 at 12.16.34 PM.jpeg, friendlyName=Deschide sursa</x:v>
      </x:c>
    </x:row>
    <x:row r="1324" ht="36" customHeight="1">
      <x:c r="A1324" s="8" t="str">
        <x:v>F1320</x:v>
      </x:c>
      <x:c r="B1324" s="8" t="str">
        <x:v>WhatsApp Image 2026-07-03 at 12.19.17 PM.jpeg</x:v>
      </x:c>
      <x:c r="C1324" s="8" t="str">
        <x:v>30.1 Cerere Rambursare 1</x:v>
      </x:c>
      <x:c r="D1324" s="8" t="str">
        <x:v>Proiect fotovoltaic</x:v>
      </x:c>
      <x:c r="E1324" s="8" t="str">
        <x:v>.jpeg</x:v>
      </x:c>
      <x:c r="F1324" s="8" t="n">
        <x:v>782425</x:v>
      </x:c>
      <x:c r="G1324" s="8" t="str">
        <x:v>Inventariat; conținut neextras</x:v>
      </x:c>
      <x:c r="H1324" s="8" t="str">
        <x:v>Document local; transmiterea individuală neconfirmată</x:v>
      </x:c>
      <x:c r="I1324" s="8" t="str"/>
      <x:c r="J1324" s="8" t="e">
        <x:f>HYPERLINK("file:///Z:/00. Proiecte 2025/AFIR FotoVoltaic 1/30.1 Cerere Rambursare 1/9-10. Fotografii relevante ale investiției/10. Poze/STRUCURA/WhatsApp Image 2026-07-03 at 12.19.17 PM.jpeg","Deschide sursa")</x:f>
        <x:v>HYPERLINK is not implemented. linkLocation=file:///Z:/00. Proiecte 2025/AFIR FotoVoltaic 1/30.1 Cerere Rambursare 1/9-10. Fotografii relevante ale investiției/10. Poze/STRUCURA/WhatsApp Image 2026-07-03 at 12.19.17 PM.jpeg, friendlyName=Deschide sursa</x:v>
      </x:c>
    </x:row>
    <x:row r="1325" ht="36" customHeight="1">
      <x:c r="A1325" s="8" t="str">
        <x:v>F1321</x:v>
      </x:c>
      <x:c r="B1325" s="8" t="str">
        <x:v>WhatsApp Image 2026-07-03 at 12.19.27 PM.jpeg</x:v>
      </x:c>
      <x:c r="C1325" s="8" t="str">
        <x:v>30.1 Cerere Rambursare 1</x:v>
      </x:c>
      <x:c r="D1325" s="8" t="str">
        <x:v>Proiect fotovoltaic</x:v>
      </x:c>
      <x:c r="E1325" s="8" t="str">
        <x:v>.jpeg</x:v>
      </x:c>
      <x:c r="F1325" s="8" t="n">
        <x:v>641406</x:v>
      </x:c>
      <x:c r="G1325" s="8" t="str">
        <x:v>Inventariat; conținut neextras</x:v>
      </x:c>
      <x:c r="H1325" s="8" t="str">
        <x:v>Document local; transmiterea individuală neconfirmată</x:v>
      </x:c>
      <x:c r="I1325" s="8" t="str"/>
      <x:c r="J1325" s="8" t="e">
        <x:f>HYPERLINK("file:///Z:/00. Proiecte 2025/AFIR FotoVoltaic 1/30.1 Cerere Rambursare 1/9-10. Fotografii relevante ale investiției/10. Poze/STRUCURA/WhatsApp Image 2026-07-03 at 12.19.27 PM.jpeg","Deschide sursa")</x:f>
        <x:v>HYPERLINK is not implemented. linkLocation=file:///Z:/00. Proiecte 2025/AFIR FotoVoltaic 1/30.1 Cerere Rambursare 1/9-10. Fotografii relevante ale investiției/10. Poze/STRUCURA/WhatsApp Image 2026-07-03 at 12.19.27 PM.jpeg, friendlyName=Deschide sursa</x:v>
      </x:c>
    </x:row>
    <x:row r="1326" ht="36" customHeight="1">
      <x:c r="A1326" s="8" t="str">
        <x:v>F1322</x:v>
      </x:c>
      <x:c r="B1326" s="8" t="str">
        <x:v>WhatsApp Image 2026-07-03 at 12.22.23 PM (1).jpeg</x:v>
      </x:c>
      <x:c r="C1326" s="8" t="str">
        <x:v>30.1 Cerere Rambursare 1</x:v>
      </x:c>
      <x:c r="D1326" s="8" t="str">
        <x:v>Proiect fotovoltaic</x:v>
      </x:c>
      <x:c r="E1326" s="8" t="str">
        <x:v>.jpeg</x:v>
      </x:c>
      <x:c r="F1326" s="8" t="n">
        <x:v>341840</x:v>
      </x:c>
      <x:c r="G1326" s="8" t="str">
        <x:v>Inventariat; conținut neextras</x:v>
      </x:c>
      <x:c r="H1326" s="8" t="str">
        <x:v>Document local; transmiterea individuală neconfirmată</x:v>
      </x:c>
      <x:c r="I1326" s="8" t="str"/>
      <x:c r="J1326" s="8" t="e">
        <x:f>HYPERLINK("file:///Z:/00. Proiecte 2025/AFIR FotoVoltaic 1/30.1 Cerere Rambursare 1/9-10. Fotografii relevante ale investiției/10. Poze/STRUCURA/WhatsApp Image 2026-07-03 at 12.22.23 PM (1).jpeg","Deschide sursa")</x:f>
        <x:v>HYPERLINK is not implemented. linkLocation=file:///Z:/00. Proiecte 2025/AFIR FotoVoltaic 1/30.1 Cerere Rambursare 1/9-10. Fotografii relevante ale investiției/10. Poze/STRUCURA/WhatsApp Image 2026-07-03 at 12.22.23 PM (1).jpeg, friendlyName=Deschide sursa</x:v>
      </x:c>
    </x:row>
    <x:row r="1327" ht="36" customHeight="1">
      <x:c r="A1327" s="8" t="str">
        <x:v>F1323</x:v>
      </x:c>
      <x:c r="B1327" s="8" t="str">
        <x:v>WhatsApp Image 2026-07-03 at 12.22.23 PM (2).jpeg</x:v>
      </x:c>
      <x:c r="C1327" s="8" t="str">
        <x:v>30.1 Cerere Rambursare 1</x:v>
      </x:c>
      <x:c r="D1327" s="8" t="str">
        <x:v>Proiect fotovoltaic</x:v>
      </x:c>
      <x:c r="E1327" s="8" t="str">
        <x:v>.jpeg</x:v>
      </x:c>
      <x:c r="F1327" s="8" t="n">
        <x:v>280068</x:v>
      </x:c>
      <x:c r="G1327" s="8" t="str">
        <x:v>Inventariat; conținut neextras</x:v>
      </x:c>
      <x:c r="H1327" s="8" t="str">
        <x:v>Document local; transmiterea individuală neconfirmată</x:v>
      </x:c>
      <x:c r="I1327" s="8" t="str"/>
      <x:c r="J1327" s="8" t="e">
        <x:f>HYPERLINK("file:///Z:/00. Proiecte 2025/AFIR FotoVoltaic 1/30.1 Cerere Rambursare 1/9-10. Fotografii relevante ale investiției/10. Poze/STRUCURA/WhatsApp Image 2026-07-03 at 12.22.23 PM (2).jpeg","Deschide sursa")</x:f>
        <x:v>HYPERLINK is not implemented. linkLocation=file:///Z:/00. Proiecte 2025/AFIR FotoVoltaic 1/30.1 Cerere Rambursare 1/9-10. Fotografii relevante ale investiției/10. Poze/STRUCURA/WhatsApp Image 2026-07-03 at 12.22.23 PM (2).jpeg, friendlyName=Deschide sursa</x:v>
      </x:c>
    </x:row>
    <x:row r="1328" ht="36" customHeight="1">
      <x:c r="A1328" s="8" t="str">
        <x:v>F1324</x:v>
      </x:c>
      <x:c r="B1328" s="8" t="str">
        <x:v>WhatsApp Image 2026-07-03 at 12.22.23 PM (3).jpeg</x:v>
      </x:c>
      <x:c r="C1328" s="8" t="str">
        <x:v>30.1 Cerere Rambursare 1</x:v>
      </x:c>
      <x:c r="D1328" s="8" t="str">
        <x:v>Proiect fotovoltaic</x:v>
      </x:c>
      <x:c r="E1328" s="8" t="str">
        <x:v>.jpeg</x:v>
      </x:c>
      <x:c r="F1328" s="8" t="n">
        <x:v>280068</x:v>
      </x:c>
      <x:c r="G1328" s="8" t="str">
        <x:v>Inventariat; conținut neextras</x:v>
      </x:c>
      <x:c r="H1328" s="8" t="str">
        <x:v>Document local; transmiterea individuală neconfirmată</x:v>
      </x:c>
      <x:c r="I1328" s="8" t="str"/>
      <x:c r="J1328" s="8" t="e">
        <x:f>HYPERLINK("file:///Z:/00. Proiecte 2025/AFIR FotoVoltaic 1/30.1 Cerere Rambursare 1/9-10. Fotografii relevante ale investiției/10. Poze/STRUCURA/WhatsApp Image 2026-07-03 at 12.22.23 PM (3).jpeg","Deschide sursa")</x:f>
        <x:v>HYPERLINK is not implemented. linkLocation=file:///Z:/00. Proiecte 2025/AFIR FotoVoltaic 1/30.1 Cerere Rambursare 1/9-10. Fotografii relevante ale investiției/10. Poze/STRUCURA/WhatsApp Image 2026-07-03 at 12.22.23 PM (3).jpeg, friendlyName=Deschide sursa</x:v>
      </x:c>
    </x:row>
    <x:row r="1329" ht="36" customHeight="1">
      <x:c r="A1329" s="8" t="str">
        <x:v>F1325</x:v>
      </x:c>
      <x:c r="B1329" s="8" t="str">
        <x:v>WhatsApp Image 2026-07-03 at 12.22.23 PM.jpeg</x:v>
      </x:c>
      <x:c r="C1329" s="8" t="str">
        <x:v>30.1 Cerere Rambursare 1</x:v>
      </x:c>
      <x:c r="D1329" s="8" t="str">
        <x:v>Proiect fotovoltaic</x:v>
      </x:c>
      <x:c r="E1329" s="8" t="str">
        <x:v>.jpeg</x:v>
      </x:c>
      <x:c r="F1329" s="8" t="n">
        <x:v>292060</x:v>
      </x:c>
      <x:c r="G1329" s="8" t="str">
        <x:v>Inventariat; conținut neextras</x:v>
      </x:c>
      <x:c r="H1329" s="8" t="str">
        <x:v>Document local; transmiterea individuală neconfirmată</x:v>
      </x:c>
      <x:c r="I1329" s="8" t="str"/>
      <x:c r="J1329" s="8" t="e">
        <x:f>HYPERLINK("file:///Z:/00. Proiecte 2025/AFIR FotoVoltaic 1/30.1 Cerere Rambursare 1/9-10. Fotografii relevante ale investiției/10. Poze/STRUCURA/WhatsApp Image 2026-07-03 at 12.22.23 PM.jpeg","Deschide sursa")</x:f>
        <x:v>HYPERLINK is not implemented. linkLocation=file:///Z:/00. Proiecte 2025/AFIR FotoVoltaic 1/30.1 Cerere Rambursare 1/9-10. Fotografii relevante ale investiției/10. Poze/STRUCURA/WhatsApp Image 2026-07-03 at 12.22.23 PM.jpeg, friendlyName=Deschide sursa</x:v>
      </x:c>
    </x:row>
    <x:row r="1330" ht="36" customHeight="1">
      <x:c r="A1330" s="8" t="str">
        <x:v>F1326</x:v>
      </x:c>
      <x:c r="B1330" s="8" t="str">
        <x:v>WhatsApp Image 2026-07-03 at 12.22.24 PM (1).jpeg</x:v>
      </x:c>
      <x:c r="C1330" s="8" t="str">
        <x:v>30.1 Cerere Rambursare 1</x:v>
      </x:c>
      <x:c r="D1330" s="8" t="str">
        <x:v>Proiect fotovoltaic</x:v>
      </x:c>
      <x:c r="E1330" s="8" t="str">
        <x:v>.jpeg</x:v>
      </x:c>
      <x:c r="F1330" s="8" t="n">
        <x:v>222351</x:v>
      </x:c>
      <x:c r="G1330" s="8" t="str">
        <x:v>Inventariat; conținut neextras</x:v>
      </x:c>
      <x:c r="H1330" s="8" t="str">
        <x:v>Document local; transmiterea individuală neconfirmată</x:v>
      </x:c>
      <x:c r="I1330" s="8" t="str"/>
      <x:c r="J1330" s="8" t="e">
        <x:f>HYPERLINK("file:///Z:/00. Proiecte 2025/AFIR FotoVoltaic 1/30.1 Cerere Rambursare 1/9-10. Fotografii relevante ale investiției/10. Poze/STRUCURA/WhatsApp Image 2026-07-03 at 12.22.24 PM (1).jpeg","Deschide sursa")</x:f>
        <x:v>HYPERLINK is not implemented. linkLocation=file:///Z:/00. Proiecte 2025/AFIR FotoVoltaic 1/30.1 Cerere Rambursare 1/9-10. Fotografii relevante ale investiției/10. Poze/STRUCURA/WhatsApp Image 2026-07-03 at 12.22.24 PM (1).jpeg, friendlyName=Deschide sursa</x:v>
      </x:c>
    </x:row>
    <x:row r="1331" ht="36" customHeight="1">
      <x:c r="A1331" s="8" t="str">
        <x:v>F1327</x:v>
      </x:c>
      <x:c r="B1331" s="8" t="str">
        <x:v>WhatsApp Image 2026-07-03 at 12.22.24 PM (2).jpeg</x:v>
      </x:c>
      <x:c r="C1331" s="8" t="str">
        <x:v>30.1 Cerere Rambursare 1</x:v>
      </x:c>
      <x:c r="D1331" s="8" t="str">
        <x:v>Proiect fotovoltaic</x:v>
      </x:c>
      <x:c r="E1331" s="8" t="str">
        <x:v>.jpeg</x:v>
      </x:c>
      <x:c r="F1331" s="8" t="n">
        <x:v>473357</x:v>
      </x:c>
      <x:c r="G1331" s="8" t="str">
        <x:v>Inventariat; conținut neextras</x:v>
      </x:c>
      <x:c r="H1331" s="8" t="str">
        <x:v>Document local; transmiterea individuală neconfirmată</x:v>
      </x:c>
      <x:c r="I1331" s="8" t="str"/>
      <x:c r="J1331" s="8" t="e">
        <x:f>HYPERLINK("file:///Z:/00. Proiecte 2025/AFIR FotoVoltaic 1/30.1 Cerere Rambursare 1/9-10. Fotografii relevante ale investiției/10. Poze/STRUCURA/WhatsApp Image 2026-07-03 at 12.22.24 PM (2).jpeg","Deschide sursa")</x:f>
        <x:v>HYPERLINK is not implemented. linkLocation=file:///Z:/00. Proiecte 2025/AFIR FotoVoltaic 1/30.1 Cerere Rambursare 1/9-10. Fotografii relevante ale investiției/10. Poze/STRUCURA/WhatsApp Image 2026-07-03 at 12.22.24 PM (2).jpeg, friendlyName=Deschide sursa</x:v>
      </x:c>
    </x:row>
    <x:row r="1332" ht="36" customHeight="1">
      <x:c r="A1332" s="8" t="str">
        <x:v>F1328</x:v>
      </x:c>
      <x:c r="B1332" s="8" t="str">
        <x:v>WhatsApp Image 2026-07-03 at 12.22.24 PM (3).jpeg</x:v>
      </x:c>
      <x:c r="C1332" s="8" t="str">
        <x:v>30.1 Cerere Rambursare 1</x:v>
      </x:c>
      <x:c r="D1332" s="8" t="str">
        <x:v>Proiect fotovoltaic</x:v>
      </x:c>
      <x:c r="E1332" s="8" t="str">
        <x:v>.jpeg</x:v>
      </x:c>
      <x:c r="F1332" s="8" t="n">
        <x:v>220712</x:v>
      </x:c>
      <x:c r="G1332" s="8" t="str">
        <x:v>Inventariat; conținut neextras</x:v>
      </x:c>
      <x:c r="H1332" s="8" t="str">
        <x:v>Document local; transmiterea individuală neconfirmată</x:v>
      </x:c>
      <x:c r="I1332" s="8" t="str"/>
      <x:c r="J1332" s="8" t="e">
        <x:f>HYPERLINK("file:///Z:/00. Proiecte 2025/AFIR FotoVoltaic 1/30.1 Cerere Rambursare 1/9-10. Fotografii relevante ale investiției/10. Poze/STRUCURA/WhatsApp Image 2026-07-03 at 12.22.24 PM (3).jpeg","Deschide sursa")</x:f>
        <x:v>HYPERLINK is not implemented. linkLocation=file:///Z:/00. Proiecte 2025/AFIR FotoVoltaic 1/30.1 Cerere Rambursare 1/9-10. Fotografii relevante ale investiției/10. Poze/STRUCURA/WhatsApp Image 2026-07-03 at 12.22.24 PM (3).jpeg, friendlyName=Deschide sursa</x:v>
      </x:c>
    </x:row>
    <x:row r="1333" ht="36" customHeight="1">
      <x:c r="A1333" s="8" t="str">
        <x:v>F1329</x:v>
      </x:c>
      <x:c r="B1333" s="8" t="str">
        <x:v>WhatsApp Image 2026-07-03 at 12.22.24 PM (4).jpeg</x:v>
      </x:c>
      <x:c r="C1333" s="8" t="str">
        <x:v>30.1 Cerere Rambursare 1</x:v>
      </x:c>
      <x:c r="D1333" s="8" t="str">
        <x:v>Proiect fotovoltaic</x:v>
      </x:c>
      <x:c r="E1333" s="8" t="str">
        <x:v>.jpeg</x:v>
      </x:c>
      <x:c r="F1333" s="8" t="n">
        <x:v>462175</x:v>
      </x:c>
      <x:c r="G1333" s="8" t="str">
        <x:v>Inventariat; conținut neextras</x:v>
      </x:c>
      <x:c r="H1333" s="8" t="str">
        <x:v>Document local; transmiterea individuală neconfirmată</x:v>
      </x:c>
      <x:c r="I1333" s="8" t="str"/>
      <x:c r="J1333" s="8" t="e">
        <x:f>HYPERLINK("file:///Z:/00. Proiecte 2025/AFIR FotoVoltaic 1/30.1 Cerere Rambursare 1/9-10. Fotografii relevante ale investiției/10. Poze/STRUCURA/WhatsApp Image 2026-07-03 at 12.22.24 PM (4).jpeg","Deschide sursa")</x:f>
        <x:v>HYPERLINK is not implemented. linkLocation=file:///Z:/00. Proiecte 2025/AFIR FotoVoltaic 1/30.1 Cerere Rambursare 1/9-10. Fotografii relevante ale investiției/10. Poze/STRUCURA/WhatsApp Image 2026-07-03 at 12.22.24 PM (4).jpeg, friendlyName=Deschide sursa</x:v>
      </x:c>
    </x:row>
    <x:row r="1334" ht="36" customHeight="1">
      <x:c r="A1334" s="8" t="str">
        <x:v>F1330</x:v>
      </x:c>
      <x:c r="B1334" s="8" t="str">
        <x:v>WhatsApp Image 2026-07-03 at 12.22.24 PM.jpeg</x:v>
      </x:c>
      <x:c r="C1334" s="8" t="str">
        <x:v>30.1 Cerere Rambursare 1</x:v>
      </x:c>
      <x:c r="D1334" s="8" t="str">
        <x:v>Proiect fotovoltaic</x:v>
      </x:c>
      <x:c r="E1334" s="8" t="str">
        <x:v>.jpeg</x:v>
      </x:c>
      <x:c r="F1334" s="8" t="n">
        <x:v>222351</x:v>
      </x:c>
      <x:c r="G1334" s="8" t="str">
        <x:v>Inventariat; conținut neextras</x:v>
      </x:c>
      <x:c r="H1334" s="8" t="str">
        <x:v>Document local; transmiterea individuală neconfirmată</x:v>
      </x:c>
      <x:c r="I1334" s="8" t="str"/>
      <x:c r="J1334" s="8" t="e">
        <x:f>HYPERLINK("file:///Z:/00. Proiecte 2025/AFIR FotoVoltaic 1/30.1 Cerere Rambursare 1/9-10. Fotografii relevante ale investiției/10. Poze/STRUCURA/WhatsApp Image 2026-07-03 at 12.22.24 PM.jpeg","Deschide sursa")</x:f>
        <x:v>HYPERLINK is not implemented. linkLocation=file:///Z:/00. Proiecte 2025/AFIR FotoVoltaic 1/30.1 Cerere Rambursare 1/9-10. Fotografii relevante ale investiției/10. Poze/STRUCURA/WhatsApp Image 2026-07-03 at 12.22.24 PM.jpeg, friendlyName=Deschide sursa</x:v>
      </x:c>
    </x:row>
    <x:row r="1335" ht="36" customHeight="1">
      <x:c r="A1335" s="8" t="str">
        <x:v>F1331</x:v>
      </x:c>
      <x:c r="B1335" s="8" t="str">
        <x:v>Comunicat_inceput_CESIRO_PRODUCTION_FM_AFIR.pdf</x:v>
      </x:c>
      <x:c r="C1335" s="8" t="str">
        <x:v>30.1 Cerere Rambursare 1</x:v>
      </x:c>
      <x:c r="D1335" s="8" t="str">
        <x:v>Proiect fotovoltaic</x:v>
      </x:c>
      <x:c r="E1335" s="8" t="str">
        <x:v>.pdf</x:v>
      </x:c>
      <x:c r="F1335" s="8" t="n">
        <x:v>204875</x:v>
      </x:c>
      <x:c r="G1335" s="8" t="str">
        <x:v>Text extras</x:v>
      </x:c>
      <x:c r="H1335" s="8" t="str">
        <x:v>Versiune de lucru / arhivă</x:v>
      </x:c>
      <x:c r="I1335" s="8" t="str">
        <x:v>F1007</x:v>
      </x:c>
      <x:c r="J1335" s="8" t="e">
        <x:f>HYPERLINK("file:///Z:/00. Proiecte 2025/AFIR FotoVoltaic 1/30.1 Cerere Rambursare 1/9-10. Fotografii relevante ale investiției/11. Vizibilitate/Arhiva/Comunicat_inceput_CESIRO_PRODUCTION_FM_AFIR.pdf","Deschide sursa")</x:f>
        <x:v>HYPERLINK is not implemented. linkLocation=file:///Z:/00. Proiecte 2025/AFIR FotoVoltaic 1/30.1 Cerere Rambursare 1/9-10. Fotografii relevante ale investiției/11. Vizibilitate/Arhiva/Comunicat_inceput_CESIRO_PRODUCTION_FM_AFIR.pdf, friendlyName=Deschide sursa</x:v>
      </x:c>
    </x:row>
    <x:row r="1336" ht="36" customHeight="1">
      <x:c r="A1336" s="8" t="str">
        <x:v>F1332</x:v>
      </x:c>
      <x:c r="B1336" s="8" t="str">
        <x:v>Comunicat_inceput_CESIRO_PRODUCTION_FM_AFIR_pachet_site.zip</x:v>
      </x:c>
      <x:c r="C1336" s="8" t="str">
        <x:v>30.1 Cerere Rambursare 1</x:v>
      </x:c>
      <x:c r="D1336" s="8" t="str">
        <x:v>Proiect fotovoltaic</x:v>
      </x:c>
      <x:c r="E1336" s="8" t="str">
        <x:v>.zip</x:v>
      </x:c>
      <x:c r="F1336" s="8" t="n">
        <x:v>420199</x:v>
      </x:c>
      <x:c r="G1336" s="8" t="str">
        <x:v>Inventar ZIP</x:v>
      </x:c>
      <x:c r="H1336" s="8" t="str">
        <x:v>Versiune de lucru / arhivă</x:v>
      </x:c>
      <x:c r="I1336" s="8" t="str"/>
      <x:c r="J1336" s="8" t="e">
        <x:f>HYPERLINK("file:///Z:/00. Proiecte 2025/AFIR FotoVoltaic 1/30.1 Cerere Rambursare 1/9-10. Fotografii relevante ale investiției/11. Vizibilitate/Arhiva/Comunicat_inceput_CESIRO_PRODUCTION_FM_AFIR_pachet_site.zip","Deschide sursa")</x:f>
        <x:v>HYPERLINK is not implemented. linkLocation=file:///Z:/00. Proiecte 2025/AFIR FotoVoltaic 1/30.1 Cerere Rambursare 1/9-10. Fotografii relevante ale investiției/11. Vizibilitate/Arhiva/Comunicat_inceput_CESIRO_PRODUCTION_FM_AFIR_pachet_site.zip, friendlyName=Deschide sursa</x:v>
      </x:c>
    </x:row>
    <x:row r="1337" ht="36" customHeight="1">
      <x:c r="A1337" s="8" t="str">
        <x:v>F1333</x:v>
      </x:c>
      <x:c r="B1337" s="8" t="str">
        <x:v>Comunicat_inceput_CESIRO_PRODUCTION_FM_AFIR_snippet_wordpress.html</x:v>
      </x:c>
      <x:c r="C1337" s="8" t="str">
        <x:v>30.1 Cerere Rambursare 1</x:v>
      </x:c>
      <x:c r="D1337" s="8" t="str">
        <x:v>Proiect fotovoltaic</x:v>
      </x:c>
      <x:c r="E1337" s="8" t="str">
        <x:v>.html</x:v>
      </x:c>
      <x:c r="F1337" s="8" t="n">
        <x:v>18451</x:v>
      </x:c>
      <x:c r="G1337" s="8" t="str">
        <x:v>Inventariat; conținut neextras</x:v>
      </x:c>
      <x:c r="H1337" s="8" t="str">
        <x:v>Versiune de lucru / arhivă</x:v>
      </x:c>
      <x:c r="I1337" s="8" t="str"/>
      <x:c r="J1337" s="8" t="e">
        <x:f>HYPERLINK("file:///Z:/00. Proiecte 2025/AFIR FotoVoltaic 1/30.1 Cerere Rambursare 1/9-10. Fotografii relevante ale investiției/11. Vizibilitate/Arhiva/Comunicat_inceput_CESIRO_PRODUCTION_FM_AFIR_snippet_wordpress.html","Deschide sursa")</x:f>
        <x:v>HYPERLINK is not implemented. linkLocation=file:///Z:/00. Proiecte 2025/AFIR FotoVoltaic 1/30.1 Cerere Rambursare 1/9-10. Fotografii relevante ale investiției/11. Vizibilitate/Arhiva/Comunicat_inceput_CESIRO_PRODUCTION_FM_AFIR_snippet_wordpress.html, friendlyName=Deschide sursa</x:v>
      </x:c>
    </x:row>
    <x:row r="1338" ht="36" customHeight="1">
      <x:c r="A1338" s="8" t="str">
        <x:v>F1334</x:v>
      </x:c>
      <x:c r="B1338" s="8" t="str">
        <x:v>Comunicat_inceput_CESIRO_PRODUCTION_FM_AFIR_standalone.html</x:v>
      </x:c>
      <x:c r="C1338" s="8" t="str">
        <x:v>30.1 Cerere Rambursare 1</x:v>
      </x:c>
      <x:c r="D1338" s="8" t="str">
        <x:v>Proiect fotovoltaic</x:v>
      </x:c>
      <x:c r="E1338" s="8" t="str">
        <x:v>.html</x:v>
      </x:c>
      <x:c r="F1338" s="8" t="n">
        <x:v>268169</x:v>
      </x:c>
      <x:c r="G1338" s="8" t="str">
        <x:v>Inventariat; conținut neextras</x:v>
      </x:c>
      <x:c r="H1338" s="8" t="str">
        <x:v>Versiune de lucru / arhivă</x:v>
      </x:c>
      <x:c r="I1338" s="8" t="str"/>
      <x:c r="J1338" s="8" t="e">
        <x:f>HYPERLINK("file:///Z:/00. Proiecte 2025/AFIR FotoVoltaic 1/30.1 Cerere Rambursare 1/9-10. Fotografii relevante ale investiției/11. Vizibilitate/Arhiva/Comunicat_inceput_CESIRO_PRODUCTION_FM_AFIR_standalone.html","Deschide sursa")</x:f>
        <x:v>HYPERLINK is not implemented. linkLocation=file:///Z:/00. Proiecte 2025/AFIR FotoVoltaic 1/30.1 Cerere Rambursare 1/9-10. Fotografii relevante ale investiției/11. Vizibilitate/Arhiva/Comunicat_inceput_CESIRO_PRODUCTION_FM_AFIR_standalone.html, friendlyName=Deschide sursa</x:v>
      </x:c>
    </x:row>
    <x:row r="1339" ht="36" customHeight="1">
      <x:c r="A1339" s="8" t="str">
        <x:v>F1335</x:v>
      </x:c>
      <x:c r="B1339" s="8" t="str">
        <x:v>index (2).html</x:v>
      </x:c>
      <x:c r="C1339" s="8" t="str">
        <x:v>30.1 Cerere Rambursare 1</x:v>
      </x:c>
      <x:c r="D1339" s="8" t="str">
        <x:v>Proiect fotovoltaic</x:v>
      </x:c>
      <x:c r="E1339" s="8" t="str">
        <x:v>.html</x:v>
      </x:c>
      <x:c r="F1339" s="8" t="n">
        <x:v>18941</x:v>
      </x:c>
      <x:c r="G1339" s="8" t="str">
        <x:v>Inventariat; conținut neextras</x:v>
      </x:c>
      <x:c r="H1339" s="8" t="str">
        <x:v>Versiune de lucru / arhivă</x:v>
      </x:c>
      <x:c r="I1339" s="8" t="str"/>
      <x:c r="J1339" s="8" t="e">
        <x:f>HYPERLINK("file:///Z:/00. Proiecte 2025/AFIR FotoVoltaic 1/30.1 Cerere Rambursare 1/9-10. Fotografii relevante ale investiției/11. Vizibilitate/Arhiva/index (2).html","Deschide sursa")</x:f>
        <x:v>HYPERLINK is not implemented. linkLocation=file:///Z:/00. Proiecte 2025/AFIR FotoVoltaic 1/30.1 Cerere Rambursare 1/9-10. Fotografii relevante ale investiției/11. Vizibilitate/Arhiva/index (2).html, friendlyName=Deschide sursa</x:v>
      </x:c>
    </x:row>
    <x:row r="1340" ht="36" customHeight="1">
      <x:c r="A1340" s="8" t="str">
        <x:v>F1336</x:v>
      </x:c>
      <x:c r="B1340" s="8" t="str">
        <x:v>Imagine 1.jpeg</x:v>
      </x:c>
      <x:c r="C1340" s="8" t="str">
        <x:v>30.1 Cerere Rambursare 1</x:v>
      </x:c>
      <x:c r="D1340" s="8" t="str">
        <x:v>Proiect fotovoltaic</x:v>
      </x:c>
      <x:c r="E1340" s="8" t="str">
        <x:v>.jpeg</x:v>
      </x:c>
      <x:c r="F1340" s="8" t="n">
        <x:v>816077</x:v>
      </x:c>
      <x:c r="G1340" s="8" t="str">
        <x:v>Inventariat; conținut neextras</x:v>
      </x:c>
      <x:c r="H1340" s="8" t="str">
        <x:v>Document local; transmiterea individuală neconfirmată</x:v>
      </x:c>
      <x:c r="I1340" s="8" t="str"/>
      <x:c r="J1340" s="8" t="e">
        <x:f>HYPERLINK("file:///Z:/00. Proiecte 2025/AFIR FotoVoltaic 1/30.1 Cerere Rambursare 1/9-10. Fotografii relevante ale investiției/11. Vizibilitate/Poze/Imagine 1.jpeg","Deschide sursa")</x:f>
        <x:v>HYPERLINK is not implemented. linkLocation=file:///Z:/00. Proiecte 2025/AFIR FotoVoltaic 1/30.1 Cerere Rambursare 1/9-10. Fotografii relevante ale investiției/11. Vizibilitate/Poze/Imagine 1.jpeg, friendlyName=Deschide sursa</x:v>
      </x:c>
    </x:row>
    <x:row r="1341" ht="36" customHeight="1">
      <x:c r="A1341" s="8" t="str">
        <x:v>F1337</x:v>
      </x:c>
      <x:c r="B1341" s="8" t="str">
        <x:v>Imagine 2.jpeg</x:v>
      </x:c>
      <x:c r="C1341" s="8" t="str">
        <x:v>30.1 Cerere Rambursare 1</x:v>
      </x:c>
      <x:c r="D1341" s="8" t="str">
        <x:v>Proiect fotovoltaic</x:v>
      </x:c>
      <x:c r="E1341" s="8" t="str">
        <x:v>.jpeg</x:v>
      </x:c>
      <x:c r="F1341" s="8" t="n">
        <x:v>802437</x:v>
      </x:c>
      <x:c r="G1341" s="8" t="str">
        <x:v>Inventariat; conținut neextras</x:v>
      </x:c>
      <x:c r="H1341" s="8" t="str">
        <x:v>Document local; transmiterea individuală neconfirmată</x:v>
      </x:c>
      <x:c r="I1341" s="8" t="str"/>
      <x:c r="J1341" s="8" t="e">
        <x:f>HYPERLINK("file:///Z:/00. Proiecte 2025/AFIR FotoVoltaic 1/30.1 Cerere Rambursare 1/9-10. Fotografii relevante ale investiției/11. Vizibilitate/Poze/Imagine 2.jpeg","Deschide sursa")</x:f>
        <x:v>HYPERLINK is not implemented. linkLocation=file:///Z:/00. Proiecte 2025/AFIR FotoVoltaic 1/30.1 Cerere Rambursare 1/9-10. Fotografii relevante ale investiției/11. Vizibilitate/Poze/Imagine 2.jpeg, friendlyName=Deschide sursa</x:v>
      </x:c>
    </x:row>
    <x:row r="1342" ht="36" customHeight="1">
      <x:c r="A1342" s="8" t="str">
        <x:v>F1338</x:v>
      </x:c>
      <x:c r="B1342" s="8" t="str">
        <x:v>Imagine 3.jpeg</x:v>
      </x:c>
      <x:c r="C1342" s="8" t="str">
        <x:v>30.1 Cerere Rambursare 1</x:v>
      </x:c>
      <x:c r="D1342" s="8" t="str">
        <x:v>Proiect fotovoltaic</x:v>
      </x:c>
      <x:c r="E1342" s="8" t="str">
        <x:v>.jpeg</x:v>
      </x:c>
      <x:c r="F1342" s="8" t="n">
        <x:v>666374</x:v>
      </x:c>
      <x:c r="G1342" s="8" t="str">
        <x:v>Inventariat; conținut neextras</x:v>
      </x:c>
      <x:c r="H1342" s="8" t="str">
        <x:v>Document local; transmiterea individuală neconfirmată</x:v>
      </x:c>
      <x:c r="I1342" s="8" t="str"/>
      <x:c r="J1342" s="8" t="e">
        <x:f>HYPERLINK("file:///Z:/00. Proiecte 2025/AFIR FotoVoltaic 1/30.1 Cerere Rambursare 1/9-10. Fotografii relevante ale investiției/11. Vizibilitate/Poze/Imagine 3.jpeg","Deschide sursa")</x:f>
        <x:v>HYPERLINK is not implemented. linkLocation=file:///Z:/00. Proiecte 2025/AFIR FotoVoltaic 1/30.1 Cerere Rambursare 1/9-10. Fotografii relevante ale investiției/11. Vizibilitate/Poze/Imagine 3.jpeg, friendlyName=Deschide sursa</x:v>
      </x:c>
    </x:row>
    <x:row r="1343" ht="36" customHeight="1">
      <x:c r="A1343" s="8" t="str">
        <x:v>F1339</x:v>
      </x:c>
      <x:c r="B1343" s="8" t="str">
        <x:v>Imagine 4.jpeg</x:v>
      </x:c>
      <x:c r="C1343" s="8" t="str">
        <x:v>30.1 Cerere Rambursare 1</x:v>
      </x:c>
      <x:c r="D1343" s="8" t="str">
        <x:v>Proiect fotovoltaic</x:v>
      </x:c>
      <x:c r="E1343" s="8" t="str">
        <x:v>.jpeg</x:v>
      </x:c>
      <x:c r="F1343" s="8" t="n">
        <x:v>565793</x:v>
      </x:c>
      <x:c r="G1343" s="8" t="str">
        <x:v>Inventariat; conținut neextras</x:v>
      </x:c>
      <x:c r="H1343" s="8" t="str">
        <x:v>Document local; transmiterea individuală neconfirmată</x:v>
      </x:c>
      <x:c r="I1343" s="8" t="str"/>
      <x:c r="J1343" s="8" t="e">
        <x:f>HYPERLINK("file:///Z:/00. Proiecte 2025/AFIR FotoVoltaic 1/30.1 Cerere Rambursare 1/9-10. Fotografii relevante ale investiției/11. Vizibilitate/Poze/Imagine 4.jpeg","Deschide sursa")</x:f>
        <x:v>HYPERLINK is not implemented. linkLocation=file:///Z:/00. Proiecte 2025/AFIR FotoVoltaic 1/30.1 Cerere Rambursare 1/9-10. Fotografii relevante ale investiției/11. Vizibilitate/Poze/Imagine 4.jpeg, friendlyName=Deschide sursa</x:v>
      </x:c>
    </x:row>
    <x:row r="1344" ht="36" customHeight="1">
      <x:c r="A1344" s="8" t="str">
        <x:v>F1340</x:v>
      </x:c>
      <x:c r="B1344" s="8" t="str">
        <x:v>Imagine 5.jpeg</x:v>
      </x:c>
      <x:c r="C1344" s="8" t="str">
        <x:v>30.1 Cerere Rambursare 1</x:v>
      </x:c>
      <x:c r="D1344" s="8" t="str">
        <x:v>Proiect fotovoltaic</x:v>
      </x:c>
      <x:c r="E1344" s="8" t="str">
        <x:v>.jpeg</x:v>
      </x:c>
      <x:c r="F1344" s="8" t="n">
        <x:v>701982</x:v>
      </x:c>
      <x:c r="G1344" s="8" t="str">
        <x:v>Inventariat; conținut neextras</x:v>
      </x:c>
      <x:c r="H1344" s="8" t="str">
        <x:v>Document local; transmiterea individuală neconfirmată</x:v>
      </x:c>
      <x:c r="I1344" s="8" t="str"/>
      <x:c r="J1344" s="8" t="e">
        <x:f>HYPERLINK("file:///Z:/00. Proiecte 2025/AFIR FotoVoltaic 1/30.1 Cerere Rambursare 1/9-10. Fotografii relevante ale investiției/11. Vizibilitate/Poze/Imagine 5.jpeg","Deschide sursa")</x:f>
        <x:v>HYPERLINK is not implemented. linkLocation=file:///Z:/00. Proiecte 2025/AFIR FotoVoltaic 1/30.1 Cerere Rambursare 1/9-10. Fotografii relevante ale investiției/11. Vizibilitate/Poze/Imagine 5.jpeg, friendlyName=Deschide sursa</x:v>
      </x:c>
    </x:row>
    <x:row r="1345" ht="36" customHeight="1">
      <x:c r="A1345" s="8" t="str">
        <x:v>F1341</x:v>
      </x:c>
      <x:c r="B1345" s="8" t="str">
        <x:v>Imagine Fatada 1.jpeg</x:v>
      </x:c>
      <x:c r="C1345" s="8" t="str">
        <x:v>30.1 Cerere Rambursare 1</x:v>
      </x:c>
      <x:c r="D1345" s="8" t="str">
        <x:v>Proiect fotovoltaic</x:v>
      </x:c>
      <x:c r="E1345" s="8" t="str">
        <x:v>.jpeg</x:v>
      </x:c>
      <x:c r="F1345" s="8" t="n">
        <x:v>472088</x:v>
      </x:c>
      <x:c r="G1345" s="8" t="str">
        <x:v>Inventariat; conținut neextras</x:v>
      </x:c>
      <x:c r="H1345" s="8" t="str">
        <x:v>Document local; transmiterea individuală neconfirmată</x:v>
      </x:c>
      <x:c r="I1345" s="8" t="str"/>
      <x:c r="J1345" s="8" t="e">
        <x:f>HYPERLINK("file:///Z:/00. Proiecte 2025/AFIR FotoVoltaic 1/30.1 Cerere Rambursare 1/9-10. Fotografii relevante ale investiției/11. Vizibilitate/Poze/Imagine Fatada 1.jpeg","Deschide sursa")</x:f>
        <x:v>HYPERLINK is not implemented. linkLocation=file:///Z:/00. Proiecte 2025/AFIR FotoVoltaic 1/30.1 Cerere Rambursare 1/9-10. Fotografii relevante ale investiției/11. Vizibilitate/Poze/Imagine Fatada 1.jpeg, friendlyName=Deschide sursa</x:v>
      </x:c>
    </x:row>
    <x:row r="1346" ht="36" customHeight="1">
      <x:c r="A1346" s="8" t="str">
        <x:v>F1342</x:v>
      </x:c>
      <x:c r="B1346" s="8" t="str">
        <x:v>Imagine Fatada 2.jpeg</x:v>
      </x:c>
      <x:c r="C1346" s="8" t="str">
        <x:v>30.1 Cerere Rambursare 1</x:v>
      </x:c>
      <x:c r="D1346" s="8" t="str">
        <x:v>Proiect fotovoltaic</x:v>
      </x:c>
      <x:c r="E1346" s="8" t="str">
        <x:v>.jpeg</x:v>
      </x:c>
      <x:c r="F1346" s="8" t="n">
        <x:v>374673</x:v>
      </x:c>
      <x:c r="G1346" s="8" t="str">
        <x:v>Inventariat; conținut neextras</x:v>
      </x:c>
      <x:c r="H1346" s="8" t="str">
        <x:v>Document local; transmiterea individuală neconfirmată</x:v>
      </x:c>
      <x:c r="I1346" s="8" t="str"/>
      <x:c r="J1346" s="8" t="e">
        <x:f>HYPERLINK("file:///Z:/00. Proiecte 2025/AFIR FotoVoltaic 1/30.1 Cerere Rambursare 1/9-10. Fotografii relevante ale investiției/11. Vizibilitate/Poze/Imagine Fatada 2.jpeg","Deschide sursa")</x:f>
        <x:v>HYPERLINK is not implemented. linkLocation=file:///Z:/00. Proiecte 2025/AFIR FotoVoltaic 1/30.1 Cerere Rambursare 1/9-10. Fotografii relevante ale investiției/11. Vizibilitate/Poze/Imagine Fatada 2.jpeg, friendlyName=Deschide sursa</x:v>
      </x:c>
    </x:row>
    <x:row r="1347" ht="36" customHeight="1">
      <x:c r="A1347" s="8" t="str">
        <x:v>F1343</x:v>
      </x:c>
      <x:c r="B1347" s="8" t="str">
        <x:v>Imagine 1.jpeg</x:v>
      </x:c>
      <x:c r="C1347" s="8" t="str">
        <x:v>30.1 Cerere Rambursare 1</x:v>
      </x:c>
      <x:c r="D1347" s="8" t="str">
        <x:v>Proiect fotovoltaic</x:v>
      </x:c>
      <x:c r="E1347" s="8" t="str">
        <x:v>.jpeg</x:v>
      </x:c>
      <x:c r="F1347" s="8" t="n">
        <x:v>277678</x:v>
      </x:c>
      <x:c r="G1347" s="8" t="str">
        <x:v>Inventariat; conținut neextras</x:v>
      </x:c>
      <x:c r="H1347" s="8" t="str">
        <x:v>Document local; transmiterea individuală neconfirmată</x:v>
      </x:c>
      <x:c r="I1347" s="8" t="str"/>
      <x:c r="J1347" s="8" t="e">
        <x:f>HYPERLINK("file:///Z:/00. Proiecte 2025/AFIR FotoVoltaic 1/30.1 Cerere Rambursare 1/9-10. Fotografii relevante ale investiției/11. Vizibilitate Panuou instalat/Poze/Imagine 1.jpeg","Deschide sursa")</x:f>
        <x:v>HYPERLINK is not implemented. linkLocation=file:///Z:/00. Proiecte 2025/AFIR FotoVoltaic 1/30.1 Cerere Rambursare 1/9-10. Fotografii relevante ale investiției/11. Vizibilitate Panuou instalat/Poze/Imagine 1.jpeg, friendlyName=Deschide sursa</x:v>
      </x:c>
    </x:row>
    <x:row r="1348" ht="36" customHeight="1">
      <x:c r="A1348" s="8" t="str">
        <x:v>F1344</x:v>
      </x:c>
      <x:c r="B1348" s="8" t="str">
        <x:v>Imagine 2.jpeg</x:v>
      </x:c>
      <x:c r="C1348" s="8" t="str">
        <x:v>30.1 Cerere Rambursare 1</x:v>
      </x:c>
      <x:c r="D1348" s="8" t="str">
        <x:v>Proiect fotovoltaic</x:v>
      </x:c>
      <x:c r="E1348" s="8" t="str">
        <x:v>.jpeg</x:v>
      </x:c>
      <x:c r="F1348" s="8" t="n">
        <x:v>23868</x:v>
      </x:c>
      <x:c r="G1348" s="8" t="str">
        <x:v>Inventariat; conținut neextras</x:v>
      </x:c>
      <x:c r="H1348" s="8" t="str">
        <x:v>Document local; transmiterea individuală neconfirmată</x:v>
      </x:c>
      <x:c r="I1348" s="8" t="str"/>
      <x:c r="J1348" s="8" t="e">
        <x:f>HYPERLINK("file:///Z:/00. Proiecte 2025/AFIR FotoVoltaic 1/30.1 Cerere Rambursare 1/9-10. Fotografii relevante ale investiției/11. Vizibilitate Panuou instalat/Poze/Imagine 2.jpeg","Deschide sursa")</x:f>
        <x:v>HYPERLINK is not implemented. linkLocation=file:///Z:/00. Proiecte 2025/AFIR FotoVoltaic 1/30.1 Cerere Rambursare 1/9-10. Fotografii relevante ale investiției/11. Vizibilitate Panuou instalat/Poze/Imagine 2.jpeg, friendlyName=Deschide sursa</x:v>
      </x:c>
    </x:row>
    <x:row r="1349" ht="36" customHeight="1">
      <x:c r="A1349" s="8" t="str">
        <x:v>F1345</x:v>
      </x:c>
      <x:c r="B1349" s="8" t="str">
        <x:v>Imagine 3.jpeg</x:v>
      </x:c>
      <x:c r="C1349" s="8" t="str">
        <x:v>30.1 Cerere Rambursare 1</x:v>
      </x:c>
      <x:c r="D1349" s="8" t="str">
        <x:v>Proiect fotovoltaic</x:v>
      </x:c>
      <x:c r="E1349" s="8" t="str">
        <x:v>.jpeg</x:v>
      </x:c>
      <x:c r="F1349" s="8" t="n">
        <x:v>9987</x:v>
      </x:c>
      <x:c r="G1349" s="8" t="str">
        <x:v>Inventariat; conținut neextras</x:v>
      </x:c>
      <x:c r="H1349" s="8" t="str">
        <x:v>Document local; transmiterea individuală neconfirmată</x:v>
      </x:c>
      <x:c r="I1349" s="8" t="str"/>
      <x:c r="J1349" s="8" t="e">
        <x:f>HYPERLINK("file:///Z:/00. Proiecte 2025/AFIR FotoVoltaic 1/30.1 Cerere Rambursare 1/9-10. Fotografii relevante ale investiției/11. Vizibilitate Panuou instalat/Poze/Imagine 3.jpeg","Deschide sursa")</x:f>
        <x:v>HYPERLINK is not implemented. linkLocation=file:///Z:/00. Proiecte 2025/AFIR FotoVoltaic 1/30.1 Cerere Rambursare 1/9-10. Fotografii relevante ale investiției/11. Vizibilitate Panuou instalat/Poze/Imagine 3.jpeg, friendlyName=Deschide sursa</x:v>
      </x:c>
    </x:row>
    <x:row r="1350" ht="36" customHeight="1">
      <x:c r="A1350" s="8" t="str">
        <x:v>F1346</x:v>
      </x:c>
      <x:c r="B1350" s="8" t="str">
        <x:v>Certificat de Calitate si Conformitate-traduse.pdf</x:v>
      </x:c>
      <x:c r="C1350" s="8" t="str">
        <x:v>30.1 Cerere Rambursare 1</x:v>
      </x:c>
      <x:c r="D1350" s="8" t="str">
        <x:v>Proiect fotovoltaic</x:v>
      </x:c>
      <x:c r="E1350" s="8" t="str">
        <x:v>.pdf</x:v>
      </x:c>
      <x:c r="F1350" s="8" t="n">
        <x:v>11286162</x:v>
      </x:c>
      <x:c r="G1350" s="8" t="str">
        <x:v>Text extras</x:v>
      </x:c>
      <x:c r="H1350" s="8" t="str">
        <x:v>Document local; transmiterea individuală neconfirmată</x:v>
      </x:c>
      <x:c r="I1350" s="8" t="str"/>
      <x:c r="J1350" s="8" t="e">
        <x:f>HYPERLINK("file:///Z:/00. Proiecte 2025/AFIR FotoVoltaic 1/30.1 Cerere Rambursare 1/Clarificare nr.1/3. Certificat de calitate si garantii traduse/Certificat de Calitate si Conformitate-traduse.pdf","Deschide sursa")</x:f>
        <x:v>HYPERLINK is not implemented. linkLocation=file:///Z:/00. Proiecte 2025/AFIR FotoVoltaic 1/30.1 Cerere Rambursare 1/Clarificare nr.1/3. Certificat de calitate si garantii traduse/Certificat de Calitate si Conformitate-traduse.pdf, friendlyName=Deschide sursa</x:v>
      </x:c>
    </x:row>
    <x:row r="1351" ht="36" customHeight="1">
      <x:c r="A1351" s="8" t="str">
        <x:v>F1347</x:v>
      </x:c>
      <x:c r="B1351" s="8" t="str">
        <x:v>Decizie_121_08092026.pdf</x:v>
      </x:c>
      <x:c r="C1351" s="8" t="str">
        <x:v>30.1 Cerere Rambursare 1</x:v>
      </x:c>
      <x:c r="D1351" s="8" t="str">
        <x:v>Proiect fotovoltaic</x:v>
      </x:c>
      <x:c r="E1351" s="8" t="str">
        <x:v>.pdf</x:v>
      </x:c>
      <x:c r="F1351" s="8" t="n">
        <x:v>149148</x:v>
      </x:c>
      <x:c r="G1351" s="8" t="str">
        <x:v>Text extras</x:v>
      </x:c>
      <x:c r="H1351" s="8" t="str">
        <x:v>Document local; transmiterea individuală neconfirmată</x:v>
      </x:c>
      <x:c r="I1351" s="8" t="str"/>
      <x:c r="J1351" s="8" t="e">
        <x:f>HYPERLINK("file:///Z:/00. Proiecte 2025/AFIR FotoVoltaic 1/30.1 Cerere Rambursare 1/Clarificare nr.1/3. Certificat de calitate si garantii traduse/Decizie_121_08092026.pdf","Deschide sursa")</x:f>
        <x:v>HYPERLINK is not implemented. linkLocation=file:///Z:/00. Proiecte 2025/AFIR FotoVoltaic 1/30.1 Cerere Rambursare 1/Clarificare nr.1/3. Certificat de calitate si garantii traduse/Decizie_121_08092026.pdf, friendlyName=Deschide sursa</x:v>
      </x:c>
    </x:row>
    <x:row r="1352" ht="36" customHeight="1">
      <x:c r="A1352" s="8" t="str">
        <x:v>F1348</x:v>
      </x:c>
      <x:c r="B1352" s="8" t="str">
        <x:v>1. Documentar_fotografic_CESIRO_Transa1_REVIZUITv1.docx</x:v>
      </x:c>
      <x:c r="C1352" s="8" t="str">
        <x:v>30.1 Cerere Rambursare 1</x:v>
      </x:c>
      <x:c r="D1352" s="8" t="str">
        <x:v>Proiect fotovoltaic</x:v>
      </x:c>
      <x:c r="E1352" s="8" t="str">
        <x:v>.docx</x:v>
      </x:c>
      <x:c r="F1352" s="8" t="n">
        <x:v>8292216</x:v>
      </x:c>
      <x:c r="G1352" s="8" t="str">
        <x:v>Text extras</x:v>
      </x:c>
      <x:c r="H1352" s="8" t="str">
        <x:v>Versiune de lucru / arhivă</x:v>
      </x:c>
      <x:c r="I1352" s="8" t="str"/>
      <x:c r="J1352" s="8" t="e">
        <x:f>HYPERLINK("file:///Z:/00. Proiecte 2025/AFIR FotoVoltaic 1/30.1 Cerere Rambursare 1/Clarificare nr.1/draft/1. Documentar_fotografic_CESIRO_Transa1_REVIZUITv1.docx","Deschide sursa")</x:f>
        <x:v>HYPERLINK is not implemented. linkLocation=file:///Z:/00. Proiecte 2025/AFIR FotoVoltaic 1/30.1 Cerere Rambursare 1/Clarificare nr.1/draft/1. Documentar_fotografic_CESIRO_Transa1_REVIZUITv1.docx, friendlyName=Deschide sursa</x:v>
      </x:c>
    </x:row>
    <x:row r="1353" ht="36" customHeight="1">
      <x:c r="A1353" s="8" t="str">
        <x:v>F1349</x:v>
      </x:c>
      <x:c r="B1353" s="8" t="str">
        <x:v>3.1 Certificat de Calitate si Conformitate-traduse.pdf</x:v>
      </x:c>
      <x:c r="C1353" s="8" t="str">
        <x:v>30.1 Cerere Rambursare 1</x:v>
      </x:c>
      <x:c r="D1353" s="8" t="str">
        <x:v>Proiect fotovoltaic</x:v>
      </x:c>
      <x:c r="E1353" s="8" t="str">
        <x:v>.pdf</x:v>
      </x:c>
      <x:c r="F1353" s="8" t="n">
        <x:v>11286162</x:v>
      </x:c>
      <x:c r="G1353" s="8" t="str">
        <x:v>Text extras</x:v>
      </x:c>
      <x:c r="H1353" s="8" t="str">
        <x:v>Versiune de lucru / arhivă</x:v>
      </x:c>
      <x:c r="I1353" s="8" t="str">
        <x:v>F1346</x:v>
      </x:c>
      <x:c r="J1353" s="8" t="e">
        <x:f>HYPERLINK("file:///Z:/00. Proiecte 2025/AFIR FotoVoltaic 1/30.1 Cerere Rambursare 1/Clarificare nr.1/draft/3.1 Certificat de Calitate si Conformitate-traduse.pdf","Deschide sursa")</x:f>
        <x:v>HYPERLINK is not implemented. linkLocation=file:///Z:/00. Proiecte 2025/AFIR FotoVoltaic 1/30.1 Cerere Rambursare 1/Clarificare nr.1/draft/3.1 Certificat de Calitate si Conformitate-traduse.pdf, friendlyName=Deschide sursa</x:v>
      </x:c>
    </x:row>
    <x:row r="1354" ht="36" customHeight="1">
      <x:c r="A1354" s="8" t="str">
        <x:v>F1350</x:v>
      </x:c>
      <x:c r="B1354" s="8" t="str">
        <x:v>3.1 Certificat de Calitate si Conformitate-traduse_.pdf</x:v>
      </x:c>
      <x:c r="C1354" s="8" t="str">
        <x:v>30.1 Cerere Rambursare 1</x:v>
      </x:c>
      <x:c r="D1354" s="8" t="str">
        <x:v>Proiect fotovoltaic</x:v>
      </x:c>
      <x:c r="E1354" s="8" t="str">
        <x:v>.pdf</x:v>
      </x:c>
      <x:c r="F1354" s="8" t="n">
        <x:v>8791484</x:v>
      </x:c>
      <x:c r="G1354" s="8" t="str">
        <x:v>Text extras</x:v>
      </x:c>
      <x:c r="H1354" s="8" t="str">
        <x:v>Versiune de lucru / arhivă</x:v>
      </x:c>
      <x:c r="I1354" s="8" t="str"/>
      <x:c r="J1354" s="8" t="e">
        <x:f>HYPERLINK("file:///Z:/00. Proiecte 2025/AFIR FotoVoltaic 1/30.1 Cerere Rambursare 1/Clarificare nr.1/draft/3.1 Certificat de Calitate si Conformitate-traduse_.pdf","Deschide sursa")</x:f>
        <x:v>HYPERLINK is not implemented. linkLocation=file:///Z:/00. Proiecte 2025/AFIR FotoVoltaic 1/30.1 Cerere Rambursare 1/Clarificare nr.1/draft/3.1 Certificat de Calitate si Conformitate-traduse_.pdf, friendlyName=Deschide sursa</x:v>
      </x:c>
    </x:row>
    <x:row r="1355" ht="36" customHeight="1">
      <x:c r="A1355" s="8" t="str">
        <x:v>F1351</x:v>
      </x:c>
      <x:c r="B1355" s="8" t="str">
        <x:v>4, Nota_eroare_materiala_pct4_Skybase.docx</x:v>
      </x:c>
      <x:c r="C1355" s="8" t="str">
        <x:v>30.1 Cerere Rambursare 1</x:v>
      </x:c>
      <x:c r="D1355" s="8" t="str">
        <x:v>Proiect fotovoltaic</x:v>
      </x:c>
      <x:c r="E1355" s="8" t="str">
        <x:v>.docx</x:v>
      </x:c>
      <x:c r="F1355" s="8" t="n">
        <x:v>16212</x:v>
      </x:c>
      <x:c r="G1355" s="8" t="str">
        <x:v>Text extras</x:v>
      </x:c>
      <x:c r="H1355" s="8" t="str">
        <x:v>Versiune de lucru / arhivă</x:v>
      </x:c>
      <x:c r="I1355" s="8" t="str"/>
      <x:c r="J1355" s="8" t="e">
        <x:f>HYPERLINK("file:///Z:/00. Proiecte 2025/AFIR FotoVoltaic 1/30.1 Cerere Rambursare 1/Clarificare nr.1/draft/4, Nota_eroare_materiala_pct4_Skybase.docx","Deschide sursa")</x:f>
        <x:v>HYPERLINK is not implemented. linkLocation=file:///Z:/00. Proiecte 2025/AFIR FotoVoltaic 1/30.1 Cerere Rambursare 1/Clarificare nr.1/draft/4, Nota_eroare_materiala_pct4_Skybase.docx, friendlyName=Deschide sursa</x:v>
      </x:c>
    </x:row>
    <x:row r="1356" ht="36" customHeight="1">
      <x:c r="A1356" s="8" t="str">
        <x:v>F1352</x:v>
      </x:c>
      <x:c r="B1356" s="8" t="str">
        <x:v>AP_raspuns_informatii_suplimentare (2).pdf</x:v>
      </x:c>
      <x:c r="C1356" s="8" t="str">
        <x:v>30.1 Cerere Rambursare 1</x:v>
      </x:c>
      <x:c r="D1356" s="8" t="str">
        <x:v>Proiect fotovoltaic</x:v>
      </x:c>
      <x:c r="E1356" s="8" t="str">
        <x:v>.pdf</x:v>
      </x:c>
      <x:c r="F1356" s="8" t="n">
        <x:v>103952</x:v>
      </x:c>
      <x:c r="G1356" s="8" t="str">
        <x:v>Text extras</x:v>
      </x:c>
      <x:c r="H1356" s="8" t="str">
        <x:v>Versiune de lucru / arhivă</x:v>
      </x:c>
      <x:c r="I1356" s="8" t="str"/>
      <x:c r="J1356" s="8" t="e">
        <x:f>HYPERLINK("file:///Z:/00. Proiecte 2025/AFIR FotoVoltaic 1/30.1 Cerere Rambursare 1/Clarificare nr.1/draft/AP_raspuns_informatii_suplimentare (2).pdf","Deschide sursa")</x:f>
        <x:v>HYPERLINK is not implemented. linkLocation=file:///Z:/00. Proiecte 2025/AFIR FotoVoltaic 1/30.1 Cerere Rambursare 1/Clarificare nr.1/draft/AP_raspuns_informatii_suplimentare (2).pdf, friendlyName=Deschide sursa</x:v>
      </x:c>
    </x:row>
    <x:row r="1357" ht="36" customHeight="1">
      <x:c r="A1357" s="8" t="str">
        <x:v>F1353</x:v>
      </x:c>
      <x:c r="B1357" s="8" t="str">
        <x:v>Attestation of Conformity.pdf</x:v>
      </x:c>
      <x:c r="C1357" s="8" t="str">
        <x:v>30.1 Cerere Rambursare 1</x:v>
      </x:c>
      <x:c r="D1357" s="8" t="str">
        <x:v>Proiect fotovoltaic</x:v>
      </x:c>
      <x:c r="E1357" s="8" t="str">
        <x:v>.pdf</x:v>
      </x:c>
      <x:c r="F1357" s="8" t="n">
        <x:v>147787</x:v>
      </x:c>
      <x:c r="G1357" s="8" t="str">
        <x:v>Text extras</x:v>
      </x:c>
      <x:c r="H1357" s="8" t="str">
        <x:v>Versiune de lucru / arhivă</x:v>
      </x:c>
      <x:c r="I1357" s="8" t="str"/>
      <x:c r="J1357" s="8" t="e">
        <x:f>HYPERLINK("file:///Z:/00. Proiecte 2025/AFIR FotoVoltaic 1/30.1 Cerere Rambursare 1/Clarificare nr.1/draft/Attestation of Conformity.pdf","Deschide sursa")</x:f>
        <x:v>HYPERLINK is not implemented. linkLocation=file:///Z:/00. Proiecte 2025/AFIR FotoVoltaic 1/30.1 Cerere Rambursare 1/Clarificare nr.1/draft/Attestation of Conformity.pdf, friendlyName=Deschide sursa</x:v>
      </x:c>
    </x:row>
    <x:row r="1358" ht="36" customHeight="1">
      <x:c r="A1358" s="8" t="str">
        <x:v>F1354</x:v>
      </x:c>
      <x:c r="B1358" s="8" t="str">
        <x:v>Certificate de Calitate Panouri_engleaza.pdf</x:v>
      </x:c>
      <x:c r="C1358" s="8" t="str">
        <x:v>30.1 Cerere Rambursare 1</x:v>
      </x:c>
      <x:c r="D1358" s="8" t="str">
        <x:v>Proiect fotovoltaic</x:v>
      </x:c>
      <x:c r="E1358" s="8" t="str">
        <x:v>.pdf</x:v>
      </x:c>
      <x:c r="F1358" s="8" t="n">
        <x:v>314342</x:v>
      </x:c>
      <x:c r="G1358" s="8" t="str">
        <x:v>Text extras</x:v>
      </x:c>
      <x:c r="H1358" s="8" t="str">
        <x:v>Versiune de lucru / arhivă</x:v>
      </x:c>
      <x:c r="I1358" s="8" t="str"/>
      <x:c r="J1358" s="8" t="e">
        <x:f>HYPERLINK("file:///Z:/00. Proiecte 2025/AFIR FotoVoltaic 1/30.1 Cerere Rambursare 1/Clarificare nr.1/draft/Certificate de Calitate Panouri_engleaza.pdf","Deschide sursa")</x:f>
        <x:v>HYPERLINK is not implemented. linkLocation=file:///Z:/00. Proiecte 2025/AFIR FotoVoltaic 1/30.1 Cerere Rambursare 1/Clarificare nr.1/draft/Certificate de Calitate Panouri_engleaza.pdf, friendlyName=Deschide sursa</x:v>
      </x:c>
    </x:row>
    <x:row r="1359" ht="36" customHeight="1">
      <x:c r="A1359" s="8" t="str">
        <x:v>F1355</x:v>
      </x:c>
      <x:c r="B1359" s="8" t="str">
        <x:v>Certificate No. PV 50721072 - Certipedia.pdf</x:v>
      </x:c>
      <x:c r="C1359" s="8" t="str">
        <x:v>30.1 Cerere Rambursare 1</x:v>
      </x:c>
      <x:c r="D1359" s="8" t="str">
        <x:v>Proiect fotovoltaic</x:v>
      </x:c>
      <x:c r="E1359" s="8" t="str">
        <x:v>.pdf</x:v>
      </x:c>
      <x:c r="F1359" s="8" t="n">
        <x:v>80113</x:v>
      </x:c>
      <x:c r="G1359" s="8" t="str">
        <x:v>Text extras</x:v>
      </x:c>
      <x:c r="H1359" s="8" t="str">
        <x:v>Versiune de lucru / arhivă</x:v>
      </x:c>
      <x:c r="I1359" s="8" t="str"/>
      <x:c r="J1359" s="8" t="e">
        <x:f>HYPERLINK("file:///Z:/00. Proiecte 2025/AFIR FotoVoltaic 1/30.1 Cerere Rambursare 1/Clarificare nr.1/draft/Certificate No. PV 50721072 - Certipedia.pdf","Deschide sursa")</x:f>
        <x:v>HYPERLINK is not implemented. linkLocation=file:///Z:/00. Proiecte 2025/AFIR FotoVoltaic 1/30.1 Cerere Rambursare 1/Clarificare nr.1/draft/Certificate No. PV 50721072 - Certipedia.pdf, friendlyName=Deschide sursa</x:v>
      </x:c>
    </x:row>
    <x:row r="1360" ht="36" customHeight="1">
      <x:c r="A1360" s="8" t="str">
        <x:v>F1356</x:v>
      </x:c>
      <x:c r="B1360" s="8" t="str">
        <x:v>Certificate No. PV 50721072 - Certipedia_2.pdf</x:v>
      </x:c>
      <x:c r="C1360" s="8" t="str">
        <x:v>30.1 Cerere Rambursare 1</x:v>
      </x:c>
      <x:c r="D1360" s="8" t="str">
        <x:v>Proiect fotovoltaic</x:v>
      </x:c>
      <x:c r="E1360" s="8" t="str">
        <x:v>.pdf</x:v>
      </x:c>
      <x:c r="F1360" s="8" t="n">
        <x:v>97294</x:v>
      </x:c>
      <x:c r="G1360" s="8" t="str">
        <x:v>Text extras</x:v>
      </x:c>
      <x:c r="H1360" s="8" t="str">
        <x:v>Versiune de lucru / arhivă</x:v>
      </x:c>
      <x:c r="I1360" s="8" t="str"/>
      <x:c r="J1360" s="8" t="e">
        <x:f>HYPERLINK("file:///Z:/00. Proiecte 2025/AFIR FotoVoltaic 1/30.1 Cerere Rambursare 1/Clarificare nr.1/draft/Certificate No. PV 50721072 - Certipedia_2.pdf","Deschide sursa")</x:f>
        <x:v>HYPERLINK is not implemented. linkLocation=file:///Z:/00. Proiecte 2025/AFIR FotoVoltaic 1/30.1 Cerere Rambursare 1/Clarificare nr.1/draft/Certificate No. PV 50721072 - Certipedia_2.pdf, friendlyName=Deschide sursa</x:v>
      </x:c>
    </x:row>
    <x:row r="1361" ht="36" customHeight="1">
      <x:c r="A1361" s="8" t="str">
        <x:v>F1357</x:v>
      </x:c>
      <x:c r="B1361" s="8" t="str">
        <x:v>Decizie_121_08092026_rev3.pdf</x:v>
      </x:c>
      <x:c r="C1361" s="8" t="str">
        <x:v>30.1 Cerere Rambursare 1</x:v>
      </x:c>
      <x:c r="D1361" s="8" t="str">
        <x:v>Proiect fotovoltaic</x:v>
      </x:c>
      <x:c r="E1361" s="8" t="str">
        <x:v>.pdf</x:v>
      </x:c>
      <x:c r="F1361" s="8" t="n">
        <x:v>37817</x:v>
      </x:c>
      <x:c r="G1361" s="8" t="str">
        <x:v>Text extras</x:v>
      </x:c>
      <x:c r="H1361" s="8" t="str">
        <x:v>Versiune de lucru / arhivă</x:v>
      </x:c>
      <x:c r="I1361" s="8" t="str"/>
      <x:c r="J1361" s="8" t="e">
        <x:f>HYPERLINK("file:///Z:/00. Proiecte 2025/AFIR FotoVoltaic 1/30.1 Cerere Rambursare 1/Clarificare nr.1/draft/Decizie_121_08092026_rev3.pdf","Deschide sursa")</x:f>
        <x:v>HYPERLINK is not implemented. linkLocation=file:///Z:/00. Proiecte 2025/AFIR FotoVoltaic 1/30.1 Cerere Rambursare 1/Clarificare nr.1/draft/Decizie_121_08092026_rev3.pdf, friendlyName=Deschide sursa</x:v>
      </x:c>
    </x:row>
    <x:row r="1362" ht="36" customHeight="1">
      <x:c r="A1362" s="8" t="str">
        <x:v>F1358</x:v>
      </x:c>
      <x:c r="B1362" s="8" t="str">
        <x:v>Decizie_121_09092026_rev.docx</x:v>
      </x:c>
      <x:c r="C1362" s="8" t="str">
        <x:v>30.1 Cerere Rambursare 1</x:v>
      </x:c>
      <x:c r="D1362" s="8" t="str">
        <x:v>Proiect fotovoltaic</x:v>
      </x:c>
      <x:c r="E1362" s="8" t="str">
        <x:v>.docx</x:v>
      </x:c>
      <x:c r="F1362" s="8" t="n">
        <x:v>10210</x:v>
      </x:c>
      <x:c r="G1362" s="8" t="str">
        <x:v>Text extras</x:v>
      </x:c>
      <x:c r="H1362" s="8" t="str">
        <x:v>Versiune de lucru / arhivă</x:v>
      </x:c>
      <x:c r="I1362" s="8" t="str"/>
      <x:c r="J1362" s="8" t="e">
        <x:f>HYPERLINK("file:///Z:/00. Proiecte 2025/AFIR FotoVoltaic 1/30.1 Cerere Rambursare 1/Clarificare nr.1/draft/Decizie_121_09092026_rev.docx","Deschide sursa")</x:f>
        <x:v>HYPERLINK is not implemented. linkLocation=file:///Z:/00. Proiecte 2025/AFIR FotoVoltaic 1/30.1 Cerere Rambursare 1/Clarificare nr.1/draft/Decizie_121_09092026_rev.docx, friendlyName=Deschide sursa</x:v>
      </x:c>
    </x:row>
    <x:row r="1363" ht="36" customHeight="1">
      <x:c r="A1363" s="8" t="str">
        <x:v>F1359</x:v>
      </x:c>
      <x:c r="B1363" s="8" t="str">
        <x:v>Decizie_121_09092026_rev2.docx</x:v>
      </x:c>
      <x:c r="C1363" s="8" t="str">
        <x:v>30.1 Cerere Rambursare 1</x:v>
      </x:c>
      <x:c r="D1363" s="8" t="str">
        <x:v>Proiect fotovoltaic</x:v>
      </x:c>
      <x:c r="E1363" s="8" t="str">
        <x:v>.docx</x:v>
      </x:c>
      <x:c r="F1363" s="8" t="n">
        <x:v>18436</x:v>
      </x:c>
      <x:c r="G1363" s="8" t="str">
        <x:v>Text extras</x:v>
      </x:c>
      <x:c r="H1363" s="8" t="str">
        <x:v>Versiune de lucru / arhivă</x:v>
      </x:c>
      <x:c r="I1363" s="8" t="str"/>
      <x:c r="J1363" s="8" t="e">
        <x:f>HYPERLINK("file:///Z:/00. Proiecte 2025/AFIR FotoVoltaic 1/30.1 Cerere Rambursare 1/Clarificare nr.1/draft/Decizie_121_09092026_rev2.docx","Deschide sursa")</x:f>
        <x:v>HYPERLINK is not implemented. linkLocation=file:///Z:/00. Proiecte 2025/AFIR FotoVoltaic 1/30.1 Cerere Rambursare 1/Clarificare nr.1/draft/Decizie_121_09092026_rev2.docx, friendlyName=Deschide sursa</x:v>
      </x:c>
    </x:row>
    <x:row r="1364" ht="36" customHeight="1">
      <x:c r="A1364" s="8" t="str">
        <x:v>F1360</x:v>
      </x:c>
      <x:c r="B1364" s="8" t="str">
        <x:v>ID No. 1111315507_ Suntech Power Co.,Ltd - Certipedia.pdf</x:v>
      </x:c>
      <x:c r="C1364" s="8" t="str">
        <x:v>30.1 Cerere Rambursare 1</x:v>
      </x:c>
      <x:c r="D1364" s="8" t="str">
        <x:v>Proiect fotovoltaic</x:v>
      </x:c>
      <x:c r="E1364" s="8" t="str">
        <x:v>.pdf</x:v>
      </x:c>
      <x:c r="F1364" s="8" t="n">
        <x:v>136522</x:v>
      </x:c>
      <x:c r="G1364" s="8" t="str">
        <x:v>Text extras</x:v>
      </x:c>
      <x:c r="H1364" s="8" t="str">
        <x:v>Versiune de lucru / arhivă</x:v>
      </x:c>
      <x:c r="I1364" s="8" t="str"/>
      <x:c r="J1364" s="8" t="e">
        <x:f>HYPERLINK("file:///Z:/00. Proiecte 2025/AFIR FotoVoltaic 1/30.1 Cerere Rambursare 1/Clarificare nr.1/draft/ID No. 1111315507_ Suntech Power Co.,Ltd - Certipedia.pdf","Deschide sursa")</x:f>
        <x:v>HYPERLINK is not implemented. linkLocation=file:///Z:/00. Proiecte 2025/AFIR FotoVoltaic 1/30.1 Cerere Rambursare 1/Clarificare nr.1/draft/ID No. 1111315507_ Suntech Power Co.,Ltd - Certipedia.pdf, friendlyName=Deschide sursa</x:v>
      </x:c>
    </x:row>
    <x:row r="1365" ht="36" customHeight="1">
      <x:c r="A1365" s="8" t="str">
        <x:v>F1361</x:v>
      </x:c>
      <x:c r="B1365" s="8" t="str">
        <x:v>Fise_Tehnice_Huawei_RO.pdf</x:v>
      </x:c>
      <x:c r="C1365" s="8" t="str">
        <x:v>30.1 Cerere Rambursare 1</x:v>
      </x:c>
      <x:c r="D1365" s="8" t="str">
        <x:v>Proiect fotovoltaic</x:v>
      </x:c>
      <x:c r="E1365" s="8" t="str">
        <x:v>.pdf</x:v>
      </x:c>
      <x:c r="F1365" s="8" t="n">
        <x:v>2150324</x:v>
      </x:c>
      <x:c r="G1365" s="8" t="str">
        <x:v>Text extras</x:v>
      </x:c>
      <x:c r="H1365" s="8" t="str">
        <x:v>Versiune de lucru / arhivă</x:v>
      </x:c>
      <x:c r="I1365" s="8" t="str"/>
      <x:c r="J1365" s="8" t="e">
        <x:f>HYPERLINK("file:///Z:/00. Proiecte 2025/AFIR FotoVoltaic 1/30.1 Cerere Rambursare 1/Clarificare nr.1/3. Certificat de calitate si garantii traduse/draft/Fise_Tehnice_Huawei_RO.pdf","Deschide sursa")</x:f>
        <x:v>HYPERLINK is not implemented. linkLocation=file:///Z:/00. Proiecte 2025/AFIR FotoVoltaic 1/30.1 Cerere Rambursare 1/Clarificare nr.1/3. Certificat de calitate si garantii traduse/draft/Fise_Tehnice_Huawei_RO.pdf, friendlyName=Deschide sursa</x:v>
      </x:c>
    </x:row>
    <x:row r="1366" ht="36" customHeight="1">
      <x:c r="A1366" s="8" t="str">
        <x:v>F1362</x:v>
      </x:c>
      <x:c r="B1366" s="8" t="str">
        <x:v>Fise_Tehnice_Panouri_RO (1).pdf</x:v>
      </x:c>
      <x:c r="C1366" s="8" t="str">
        <x:v>30.1 Cerere Rambursare 1</x:v>
      </x:c>
      <x:c r="D1366" s="8" t="str">
        <x:v>Proiect fotovoltaic</x:v>
      </x:c>
      <x:c r="E1366" s="8" t="str">
        <x:v>.pdf</x:v>
      </x:c>
      <x:c r="F1366" s="8" t="n">
        <x:v>2400527</x:v>
      </x:c>
      <x:c r="G1366" s="8" t="str">
        <x:v>Text extras</x:v>
      </x:c>
      <x:c r="H1366" s="8" t="str">
        <x:v>Versiune de lucru / arhivă</x:v>
      </x:c>
      <x:c r="I1366" s="8" t="str"/>
      <x:c r="J1366" s="8" t="e">
        <x:f>HYPERLINK("file:///Z:/00. Proiecte 2025/AFIR FotoVoltaic 1/30.1 Cerere Rambursare 1/Clarificare nr.1/3. Certificat de calitate si garantii traduse/draft/Fise_Tehnice_Panouri_RO (1).pdf","Deschide sursa")</x:f>
        <x:v>HYPERLINK is not implemented. linkLocation=file:///Z:/00. Proiecte 2025/AFIR FotoVoltaic 1/30.1 Cerere Rambursare 1/Clarificare nr.1/3. Certificat de calitate si garantii traduse/draft/Fise_Tehnice_Panouri_RO (1).pdf, friendlyName=Deschide sursa</x:v>
      </x:c>
    </x:row>
    <x:row r="1367" ht="36" customHeight="1">
      <x:c r="A1367" s="8" t="str">
        <x:v>F1363</x:v>
      </x:c>
      <x:c r="B1367" s="8" t="str">
        <x:v>Fise_tehnice_si_garantie_Avasco_RO.pdf</x:v>
      </x:c>
      <x:c r="C1367" s="8" t="str">
        <x:v>30.1 Cerere Rambursare 1</x:v>
      </x:c>
      <x:c r="D1367" s="8" t="str">
        <x:v>Proiect fotovoltaic</x:v>
      </x:c>
      <x:c r="E1367" s="8" t="str">
        <x:v>.pdf</x:v>
      </x:c>
      <x:c r="F1367" s="8" t="n">
        <x:v>6799014</x:v>
      </x:c>
      <x:c r="G1367" s="8" t="str">
        <x:v>Text extras</x:v>
      </x:c>
      <x:c r="H1367" s="8" t="str">
        <x:v>Versiune de lucru / arhivă</x:v>
      </x:c>
      <x:c r="I1367" s="8" t="str"/>
      <x:c r="J1367" s="8" t="e">
        <x:f>HYPERLINK("file:///Z:/00. Proiecte 2025/AFIR FotoVoltaic 1/30.1 Cerere Rambursare 1/Clarificare nr.1/3. Certificat de calitate si garantii traduse/draft/Fise_tehnice_si_garantie_Avasco_RO.pdf","Deschide sursa")</x:f>
        <x:v>HYPERLINK is not implemented. linkLocation=file:///Z:/00. Proiecte 2025/AFIR FotoVoltaic 1/30.1 Cerere Rambursare 1/Clarificare nr.1/3. Certificat de calitate si garantii traduse/draft/Fise_tehnice_si_garantie_Avasco_RO.pdf, friendlyName=Deschide sursa</x:v>
      </x:c>
    </x:row>
    <x:row r="1368" ht="36" customHeight="1">
      <x:c r="A1368" s="8" t="str">
        <x:v>F1364</x:v>
      </x:c>
      <x:c r="B1368" s="8" t="str">
        <x:v>Pachet_documente_predare_primire_montaj_AFIR_CESIRO_PRODUCTION.docx</x:v>
      </x:c>
      <x:c r="C1368" s="8" t="str">
        <x:v>30.1 Cerere Rambursare 1</x:v>
      </x:c>
      <x:c r="D1368" s="8" t="str">
        <x:v>Proiect fotovoltaic</x:v>
      </x:c>
      <x:c r="E1368" s="8" t="str">
        <x:v>.docx</x:v>
      </x:c>
      <x:c r="F1368" s="8" t="n">
        <x:v>63398</x:v>
      </x:c>
      <x:c r="G1368" s="8" t="str">
        <x:v>Text extras</x:v>
      </x:c>
      <x:c r="H1368" s="8" t="str">
        <x:v>Versiune de lucru / arhivă</x:v>
      </x:c>
      <x:c r="I1368" s="8" t="str"/>
      <x:c r="J1368" s="8" t="e">
        <x:f>HYPERLINK("file:///Z:/00. Proiecte 2025/AFIR FotoVoltaic 1/30.1 Cerere Rambursare 1/draft/2026.07.01 v1/Pachet_documente_predare_primire_montaj_AFIR_CESIRO_PRODUCTION.docx","Deschide sursa")</x:f>
        <x:v>HYPERLINK is not implemented. linkLocation=file:///Z:/00. Proiecte 2025/AFIR FotoVoltaic 1/30.1 Cerere Rambursare 1/draft/2026.07.01 v1/Pachet_documente_predare_primire_montaj_AFIR_CESIRO_PRODUCTION.docx, friendlyName=Deschide sursa</x:v>
      </x:c>
    </x:row>
    <x:row r="1369" ht="36" customHeight="1">
      <x:c r="A1369" s="8" t="str">
        <x:v>F1365</x:v>
      </x:c>
      <x:c r="B1369" s="8" t="str">
        <x:v>Pachet_documente_predare_primire_montaj_AFIR_CESIRO_PRODUCTION.pdf</x:v>
      </x:c>
      <x:c r="C1369" s="8" t="str">
        <x:v>30.1 Cerere Rambursare 1</x:v>
      </x:c>
      <x:c r="D1369" s="8" t="str">
        <x:v>Proiect fotovoltaic</x:v>
      </x:c>
      <x:c r="E1369" s="8" t="str">
        <x:v>.pdf</x:v>
      </x:c>
      <x:c r="F1369" s="8" t="n">
        <x:v>575771</x:v>
      </x:c>
      <x:c r="G1369" s="8" t="str">
        <x:v>Text extras</x:v>
      </x:c>
      <x:c r="H1369" s="8" t="str">
        <x:v>Versiune de lucru / arhivă</x:v>
      </x:c>
      <x:c r="I1369" s="8" t="str"/>
      <x:c r="J1369" s="8" t="e">
        <x:f>HYPERLINK("file:///Z:/00. Proiecte 2025/AFIR FotoVoltaic 1/30.1 Cerere Rambursare 1/draft/2026.07.01 v1/Pachet_documente_predare_primire_montaj_AFIR_CESIRO_PRODUCTION.pdf","Deschide sursa")</x:f>
        <x:v>HYPERLINK is not implemented. linkLocation=file:///Z:/00. Proiecte 2025/AFIR FotoVoltaic 1/30.1 Cerere Rambursare 1/draft/2026.07.01 v1/Pachet_documente_predare_primire_montaj_AFIR_CESIRO_PRODUCTION.pdf, friendlyName=Deschide sursa</x:v>
      </x:c>
    </x:row>
    <x:row r="1370" ht="32" customHeight="1">
      <x:c r="A1370" s="8" t="str">
        <x:v>F1366</x:v>
      </x:c>
      <x:c r="B1370" s="8" t="str">
        <x:v>dale beton 2.jpg</x:v>
      </x:c>
      <x:c r="C1370" s="8" t="str">
        <x:v>30.1 Cerere Rambursare 1</x:v>
      </x:c>
      <x:c r="D1370" s="8" t="str">
        <x:v>Proiect fotovoltaic</x:v>
      </x:c>
      <x:c r="E1370" s="8" t="str">
        <x:v>.jpg</x:v>
      </x:c>
      <x:c r="F1370" s="8" t="n">
        <x:v>3803640</x:v>
      </x:c>
      <x:c r="G1370" s="8" t="str">
        <x:v>Inventariat; conținut neextras</x:v>
      </x:c>
      <x:c r="H1370" s="8" t="str">
        <x:v>Versiune de lucru / arhivă</x:v>
      </x:c>
      <x:c r="I1370" s="8" t="str"/>
      <x:c r="J1370" s="8" t="e">
        <x:f>HYPERLINK("file:///Z:/00. Proiecte 2025/AFIR FotoVoltaic 1/30.1 Cerere Rambursare 1/draft/Poze/dale beton 2.jpg","Deschide sursa")</x:f>
        <x:v>HYPERLINK is not implemented. linkLocation=file:///Z:/00. Proiecte 2025/AFIR FotoVoltaic 1/30.1 Cerere Rambursare 1/draft/Poze/dale beton 2.jpg, friendlyName=Deschide sursa</x:v>
      </x:c>
    </x:row>
    <x:row r="1371" ht="32" customHeight="1">
      <x:c r="A1371" s="8" t="str">
        <x:v>F1367</x:v>
      </x:c>
      <x:c r="B1371" s="8" t="str">
        <x:v>dale beton.jpg</x:v>
      </x:c>
      <x:c r="C1371" s="8" t="str">
        <x:v>30.1 Cerere Rambursare 1</x:v>
      </x:c>
      <x:c r="D1371" s="8" t="str">
        <x:v>Proiect fotovoltaic</x:v>
      </x:c>
      <x:c r="E1371" s="8" t="str">
        <x:v>.jpg</x:v>
      </x:c>
      <x:c r="F1371" s="8" t="n">
        <x:v>4505603</x:v>
      </x:c>
      <x:c r="G1371" s="8" t="str">
        <x:v>Inventariat; conținut neextras</x:v>
      </x:c>
      <x:c r="H1371" s="8" t="str">
        <x:v>Versiune de lucru / arhivă</x:v>
      </x:c>
      <x:c r="I1371" s="8" t="str"/>
      <x:c r="J1371" s="8" t="e">
        <x:f>HYPERLINK("file:///Z:/00. Proiecte 2025/AFIR FotoVoltaic 1/30.1 Cerere Rambursare 1/draft/Poze/dale beton.jpg","Deschide sursa")</x:f>
        <x:v>HYPERLINK is not implemented. linkLocation=file:///Z:/00. Proiecte 2025/AFIR FotoVoltaic 1/30.1 Cerere Rambursare 1/draft/Poze/dale beton.jpg, friendlyName=Deschide sursa</x:v>
      </x:c>
    </x:row>
    <x:row r="1372" ht="36" customHeight="1">
      <x:c r="A1372" s="8" t="str">
        <x:v>F1368</x:v>
      </x:c>
      <x:c r="B1372" s="8" t="str">
        <x:v>Proces Verbald de predare Primire.pdf</x:v>
      </x:c>
      <x:c r="C1372" s="8" t="str">
        <x:v>30.1 Cerere Rambursare 1</x:v>
      </x:c>
      <x:c r="D1372" s="8" t="str">
        <x:v>Proiect fotovoltaic</x:v>
      </x:c>
      <x:c r="E1372" s="8" t="str">
        <x:v>.pdf</x:v>
      </x:c>
      <x:c r="F1372" s="8" t="n">
        <x:v>1852129</x:v>
      </x:c>
      <x:c r="G1372" s="8" t="str">
        <x:v>Scan / text insuficient</x:v>
      </x:c>
      <x:c r="H1372" s="8" t="str">
        <x:v>Versiune de lucru / arhivă</x:v>
      </x:c>
      <x:c r="I1372" s="8" t="str"/>
      <x:c r="J1372" s="8" t="e">
        <x:f>HYPERLINK("file:///Z:/00. Proiecte 2025/AFIR FotoVoltaic 1/30.1 Cerere Rambursare 1/draft/PV_uri nicos/Proces Verbald de predare Primire.pdf","Deschide sursa")</x:f>
        <x:v>HYPERLINK is not implemented. linkLocation=file:///Z:/00. Proiecte 2025/AFIR FotoVoltaic 1/30.1 Cerere Rambursare 1/draft/PV_uri nicos/Proces Verbald de predare Primire.pdf, friendlyName=Deschide sursa</x:v>
      </x:c>
    </x:row>
    <x:row r="1373" ht="36" customHeight="1">
      <x:c r="A1373" s="8" t="str">
        <x:v>F1369</x:v>
      </x:c>
      <x:c r="B1373" s="8" t="str">
        <x:v>SUN2000-100KTL-M2-6T2589028774_1.jpg</x:v>
      </x:c>
      <x:c r="C1373" s="8" t="str">
        <x:v>30.1 Cerere Rambursare 1</x:v>
      </x:c>
      <x:c r="D1373" s="8" t="str">
        <x:v>Proiect fotovoltaic</x:v>
      </x:c>
      <x:c r="E1373" s="8" t="str">
        <x:v>.jpg</x:v>
      </x:c>
      <x:c r="F1373" s="8" t="n">
        <x:v>2896880</x:v>
      </x:c>
      <x:c r="G1373" s="8" t="str">
        <x:v>Inventariat; conținut neextras</x:v>
      </x:c>
      <x:c r="H1373" s="8" t="str">
        <x:v>Versiune de lucru / arhivă</x:v>
      </x:c>
      <x:c r="I1373" s="8" t="str"/>
      <x:c r="J1373" s="8" t="e">
        <x:f>HYPERLINK("file:///Z:/00. Proiecte 2025/AFIR FotoVoltaic 1/30.1 Cerere Rambursare 1/draft/Poze/INVERTOARE (1)/SUN2000-100KTL-M2-6T2589028774_1.jpg","Deschide sursa")</x:f>
        <x:v>HYPERLINK is not implemented. linkLocation=file:///Z:/00. Proiecte 2025/AFIR FotoVoltaic 1/30.1 Cerere Rambursare 1/draft/Poze/INVERTOARE (1)/SUN2000-100KTL-M2-6T2589028774_1.jpg, friendlyName=Deschide sursa</x:v>
      </x:c>
    </x:row>
    <x:row r="1374" ht="36" customHeight="1">
      <x:c r="A1374" s="8" t="str">
        <x:v>F1370</x:v>
      </x:c>
      <x:c r="B1374" s="8" t="str">
        <x:v>SUN2000-100KTL-M2-6T2589028774_2.jpg</x:v>
      </x:c>
      <x:c r="C1374" s="8" t="str">
        <x:v>30.1 Cerere Rambursare 1</x:v>
      </x:c>
      <x:c r="D1374" s="8" t="str">
        <x:v>Proiect fotovoltaic</x:v>
      </x:c>
      <x:c r="E1374" s="8" t="str">
        <x:v>.jpg</x:v>
      </x:c>
      <x:c r="F1374" s="8" t="n">
        <x:v>1831825</x:v>
      </x:c>
      <x:c r="G1374" s="8" t="str">
        <x:v>Inventariat; conținut neextras</x:v>
      </x:c>
      <x:c r="H1374" s="8" t="str">
        <x:v>Versiune de lucru / arhivă</x:v>
      </x:c>
      <x:c r="I1374" s="8" t="str"/>
      <x:c r="J1374" s="8" t="e">
        <x:f>HYPERLINK("file:///Z:/00. Proiecte 2025/AFIR FotoVoltaic 1/30.1 Cerere Rambursare 1/draft/Poze/INVERTOARE (1)/SUN2000-100KTL-M2-6T2589028774_2.jpg","Deschide sursa")</x:f>
        <x:v>HYPERLINK is not implemented. linkLocation=file:///Z:/00. Proiecte 2025/AFIR FotoVoltaic 1/30.1 Cerere Rambursare 1/draft/Poze/INVERTOARE (1)/SUN2000-100KTL-M2-6T2589028774_2.jpg, friendlyName=Deschide sursa</x:v>
      </x:c>
    </x:row>
    <x:row r="1375" ht="36" customHeight="1">
      <x:c r="A1375" s="8" t="str">
        <x:v>F1371</x:v>
      </x:c>
      <x:c r="B1375" s="8" t="str">
        <x:v>SUN2000-100KTL-M2-6T2589028774_3.jpg</x:v>
      </x:c>
      <x:c r="C1375" s="8" t="str">
        <x:v>30.1 Cerere Rambursare 1</x:v>
      </x:c>
      <x:c r="D1375" s="8" t="str">
        <x:v>Proiect fotovoltaic</x:v>
      </x:c>
      <x:c r="E1375" s="8" t="str">
        <x:v>.jpg</x:v>
      </x:c>
      <x:c r="F1375" s="8" t="n">
        <x:v>3169433</x:v>
      </x:c>
      <x:c r="G1375" s="8" t="str">
        <x:v>Inventariat; conținut neextras</x:v>
      </x:c>
      <x:c r="H1375" s="8" t="str">
        <x:v>Versiune de lucru / arhivă</x:v>
      </x:c>
      <x:c r="I1375" s="8" t="str"/>
      <x:c r="J1375" s="8" t="e">
        <x:f>HYPERLINK("file:///Z:/00. Proiecte 2025/AFIR FotoVoltaic 1/30.1 Cerere Rambursare 1/draft/Poze/INVERTOARE (1)/SUN2000-100KTL-M2-6T2589028774_3.jpg","Deschide sursa")</x:f>
        <x:v>HYPERLINK is not implemented. linkLocation=file:///Z:/00. Proiecte 2025/AFIR FotoVoltaic 1/30.1 Cerere Rambursare 1/draft/Poze/INVERTOARE (1)/SUN2000-100KTL-M2-6T2589028774_3.jpg, friendlyName=Deschide sursa</x:v>
      </x:c>
    </x:row>
    <x:row r="1376" ht="36" customHeight="1">
      <x:c r="A1376" s="8" t="str">
        <x:v>F1372</x:v>
      </x:c>
      <x:c r="B1376" s="8" t="str">
        <x:v>SUN2000-100KTL-M2-6T2589028789_1.jpg</x:v>
      </x:c>
      <x:c r="C1376" s="8" t="str">
        <x:v>30.1 Cerere Rambursare 1</x:v>
      </x:c>
      <x:c r="D1376" s="8" t="str">
        <x:v>Proiect fotovoltaic</x:v>
      </x:c>
      <x:c r="E1376" s="8" t="str">
        <x:v>.jpg</x:v>
      </x:c>
      <x:c r="F1376" s="8" t="n">
        <x:v>3187692</x:v>
      </x:c>
      <x:c r="G1376" s="8" t="str">
        <x:v>Inventariat; conținut neextras</x:v>
      </x:c>
      <x:c r="H1376" s="8" t="str">
        <x:v>Versiune de lucru / arhivă</x:v>
      </x:c>
      <x:c r="I1376" s="8" t="str"/>
      <x:c r="J1376" s="8" t="e">
        <x:f>HYPERLINK("file:///Z:/00. Proiecte 2025/AFIR FotoVoltaic 1/30.1 Cerere Rambursare 1/draft/Poze/INVERTOARE (1)/SUN2000-100KTL-M2-6T2589028789_1.jpg","Deschide sursa")</x:f>
        <x:v>HYPERLINK is not implemented. linkLocation=file:///Z:/00. Proiecte 2025/AFIR FotoVoltaic 1/30.1 Cerere Rambursare 1/draft/Poze/INVERTOARE (1)/SUN2000-100KTL-M2-6T2589028789_1.jpg, friendlyName=Deschide sursa</x:v>
      </x:c>
    </x:row>
    <x:row r="1377" ht="36" customHeight="1">
      <x:c r="A1377" s="8" t="str">
        <x:v>F1373</x:v>
      </x:c>
      <x:c r="B1377" s="8" t="str">
        <x:v>SUN2000-100KTL-M2-6T2589028789_2.jpg</x:v>
      </x:c>
      <x:c r="C1377" s="8" t="str">
        <x:v>30.1 Cerere Rambursare 1</x:v>
      </x:c>
      <x:c r="D1377" s="8" t="str">
        <x:v>Proiect fotovoltaic</x:v>
      </x:c>
      <x:c r="E1377" s="8" t="str">
        <x:v>.jpg</x:v>
      </x:c>
      <x:c r="F1377" s="8" t="n">
        <x:v>1812795</x:v>
      </x:c>
      <x:c r="G1377" s="8" t="str">
        <x:v>Inventariat; conținut neextras</x:v>
      </x:c>
      <x:c r="H1377" s="8" t="str">
        <x:v>Versiune de lucru / arhivă</x:v>
      </x:c>
      <x:c r="I1377" s="8" t="str"/>
      <x:c r="J1377" s="8" t="e">
        <x:f>HYPERLINK("file:///Z:/00. Proiecte 2025/AFIR FotoVoltaic 1/30.1 Cerere Rambursare 1/draft/Poze/INVERTOARE (1)/SUN2000-100KTL-M2-6T2589028789_2.jpg","Deschide sursa")</x:f>
        <x:v>HYPERLINK is not implemented. linkLocation=file:///Z:/00. Proiecte 2025/AFIR FotoVoltaic 1/30.1 Cerere Rambursare 1/draft/Poze/INVERTOARE (1)/SUN2000-100KTL-M2-6T2589028789_2.jpg, friendlyName=Deschide sursa</x:v>
      </x:c>
    </x:row>
    <x:row r="1378" ht="36" customHeight="1">
      <x:c r="A1378" s="8" t="str">
        <x:v>F1374</x:v>
      </x:c>
      <x:c r="B1378" s="8" t="str">
        <x:v>SUN2000-100KTL-M2-6T2589028789_3.jpg</x:v>
      </x:c>
      <x:c r="C1378" s="8" t="str">
        <x:v>30.1 Cerere Rambursare 1</x:v>
      </x:c>
      <x:c r="D1378" s="8" t="str">
        <x:v>Proiect fotovoltaic</x:v>
      </x:c>
      <x:c r="E1378" s="8" t="str">
        <x:v>.jpg</x:v>
      </x:c>
      <x:c r="F1378" s="8" t="n">
        <x:v>2166056</x:v>
      </x:c>
      <x:c r="G1378" s="8" t="str">
        <x:v>Inventariat; conținut neextras</x:v>
      </x:c>
      <x:c r="H1378" s="8" t="str">
        <x:v>Versiune de lucru / arhivă</x:v>
      </x:c>
      <x:c r="I1378" s="8" t="str"/>
      <x:c r="J1378" s="8" t="e">
        <x:f>HYPERLINK("file:///Z:/00. Proiecte 2025/AFIR FotoVoltaic 1/30.1 Cerere Rambursare 1/draft/Poze/INVERTOARE (1)/SUN2000-100KTL-M2-6T2589028789_3.jpg","Deschide sursa")</x:f>
        <x:v>HYPERLINK is not implemented. linkLocation=file:///Z:/00. Proiecte 2025/AFIR FotoVoltaic 1/30.1 Cerere Rambursare 1/draft/Poze/INVERTOARE (1)/SUN2000-100KTL-M2-6T2589028789_3.jpg, friendlyName=Deschide sursa</x:v>
      </x:c>
    </x:row>
    <x:row r="1379" ht="36" customHeight="1">
      <x:c r="A1379" s="8" t="str">
        <x:v>F1375</x:v>
      </x:c>
      <x:c r="B1379" s="8" t="str">
        <x:v>SUN2000-100KTL-M2-6T2589028797_1.jpg</x:v>
      </x:c>
      <x:c r="C1379" s="8" t="str">
        <x:v>30.1 Cerere Rambursare 1</x:v>
      </x:c>
      <x:c r="D1379" s="8" t="str">
        <x:v>Proiect fotovoltaic</x:v>
      </x:c>
      <x:c r="E1379" s="8" t="str">
        <x:v>.jpg</x:v>
      </x:c>
      <x:c r="F1379" s="8" t="n">
        <x:v>3101904</x:v>
      </x:c>
      <x:c r="G1379" s="8" t="str">
        <x:v>Inventariat; conținut neextras</x:v>
      </x:c>
      <x:c r="H1379" s="8" t="str">
        <x:v>Versiune de lucru / arhivă</x:v>
      </x:c>
      <x:c r="I1379" s="8" t="str"/>
      <x:c r="J1379" s="8" t="e">
        <x:f>HYPERLINK("file:///Z:/00. Proiecte 2025/AFIR FotoVoltaic 1/30.1 Cerere Rambursare 1/draft/Poze/INVERTOARE (1)/SUN2000-100KTL-M2-6T2589028797_1.jpg","Deschide sursa")</x:f>
        <x:v>HYPERLINK is not implemented. linkLocation=file:///Z:/00. Proiecte 2025/AFIR FotoVoltaic 1/30.1 Cerere Rambursare 1/draft/Poze/INVERTOARE (1)/SUN2000-100KTL-M2-6T2589028797_1.jpg, friendlyName=Deschide sursa</x:v>
      </x:c>
    </x:row>
    <x:row r="1380" ht="36" customHeight="1">
      <x:c r="A1380" s="8" t="str">
        <x:v>F1376</x:v>
      </x:c>
      <x:c r="B1380" s="8" t="str">
        <x:v>SUN2000-100KTL-M2-6T2589028797_2.jpg</x:v>
      </x:c>
      <x:c r="C1380" s="8" t="str">
        <x:v>30.1 Cerere Rambursare 1</x:v>
      </x:c>
      <x:c r="D1380" s="8" t="str">
        <x:v>Proiect fotovoltaic</x:v>
      </x:c>
      <x:c r="E1380" s="8" t="str">
        <x:v>.jpg</x:v>
      </x:c>
      <x:c r="F1380" s="8" t="n">
        <x:v>2975588</x:v>
      </x:c>
      <x:c r="G1380" s="8" t="str">
        <x:v>Inventariat; conținut neextras</x:v>
      </x:c>
      <x:c r="H1380" s="8" t="str">
        <x:v>Versiune de lucru / arhivă</x:v>
      </x:c>
      <x:c r="I1380" s="8" t="str"/>
      <x:c r="J1380" s="8" t="e">
        <x:f>HYPERLINK("file:///Z:/00. Proiecte 2025/AFIR FotoVoltaic 1/30.1 Cerere Rambursare 1/draft/Poze/INVERTOARE (1)/SUN2000-100KTL-M2-6T2589028797_2.jpg","Deschide sursa")</x:f>
        <x:v>HYPERLINK is not implemented. linkLocation=file:///Z:/00. Proiecte 2025/AFIR FotoVoltaic 1/30.1 Cerere Rambursare 1/draft/Poze/INVERTOARE (1)/SUN2000-100KTL-M2-6T2589028797_2.jpg, friendlyName=Deschide sursa</x:v>
      </x:c>
    </x:row>
    <x:row r="1381" ht="36" customHeight="1">
      <x:c r="A1381" s="8" t="str">
        <x:v>F1377</x:v>
      </x:c>
      <x:c r="B1381" s="8" t="str">
        <x:v>SUN2000-100KTL-M2-6T2589028798_1.jpg</x:v>
      </x:c>
      <x:c r="C1381" s="8" t="str">
        <x:v>30.1 Cerere Rambursare 1</x:v>
      </x:c>
      <x:c r="D1381" s="8" t="str">
        <x:v>Proiect fotovoltaic</x:v>
      </x:c>
      <x:c r="E1381" s="8" t="str">
        <x:v>.jpg</x:v>
      </x:c>
      <x:c r="F1381" s="8" t="n">
        <x:v>3368467</x:v>
      </x:c>
      <x:c r="G1381" s="8" t="str">
        <x:v>Inventariat; conținut neextras</x:v>
      </x:c>
      <x:c r="H1381" s="8" t="str">
        <x:v>Versiune de lucru / arhivă</x:v>
      </x:c>
      <x:c r="I1381" s="8" t="str"/>
      <x:c r="J1381" s="8" t="e">
        <x:f>HYPERLINK("file:///Z:/00. Proiecte 2025/AFIR FotoVoltaic 1/30.1 Cerere Rambursare 1/draft/Poze/INVERTOARE (1)/SUN2000-100KTL-M2-6T2589028798_1.jpg","Deschide sursa")</x:f>
        <x:v>HYPERLINK is not implemented. linkLocation=file:///Z:/00. Proiecte 2025/AFIR FotoVoltaic 1/30.1 Cerere Rambursare 1/draft/Poze/INVERTOARE (1)/SUN2000-100KTL-M2-6T2589028798_1.jpg, friendlyName=Deschide sursa</x:v>
      </x:c>
    </x:row>
    <x:row r="1382" ht="36" customHeight="1">
      <x:c r="A1382" s="8" t="str">
        <x:v>F1378</x:v>
      </x:c>
      <x:c r="B1382" s="8" t="str">
        <x:v>SUN2000-100KTL-M2-6T2589028798_2.jpg</x:v>
      </x:c>
      <x:c r="C1382" s="8" t="str">
        <x:v>30.1 Cerere Rambursare 1</x:v>
      </x:c>
      <x:c r="D1382" s="8" t="str">
        <x:v>Proiect fotovoltaic</x:v>
      </x:c>
      <x:c r="E1382" s="8" t="str">
        <x:v>.jpg</x:v>
      </x:c>
      <x:c r="F1382" s="8" t="n">
        <x:v>3134964</x:v>
      </x:c>
      <x:c r="G1382" s="8" t="str">
        <x:v>Inventariat; conținut neextras</x:v>
      </x:c>
      <x:c r="H1382" s="8" t="str">
        <x:v>Versiune de lucru / arhivă</x:v>
      </x:c>
      <x:c r="I1382" s="8" t="str"/>
      <x:c r="J1382" s="8" t="e">
        <x:f>HYPERLINK("file:///Z:/00. Proiecte 2025/AFIR FotoVoltaic 1/30.1 Cerere Rambursare 1/draft/Poze/INVERTOARE (1)/SUN2000-100KTL-M2-6T2589028798_2.jpg","Deschide sursa")</x:f>
        <x:v>HYPERLINK is not implemented. linkLocation=file:///Z:/00. Proiecte 2025/AFIR FotoVoltaic 1/30.1 Cerere Rambursare 1/draft/Poze/INVERTOARE (1)/SUN2000-100KTL-M2-6T2589028798_2.jpg, friendlyName=Deschide sursa</x:v>
      </x:c>
    </x:row>
    <x:row r="1383" ht="36" customHeight="1">
      <x:c r="A1383" s="8" t="str">
        <x:v>F1379</x:v>
      </x:c>
      <x:c r="B1383" s="8" t="str">
        <x:v>SUN2000-100KTL-M2-6T2589028798_3.jpg</x:v>
      </x:c>
      <x:c r="C1383" s="8" t="str">
        <x:v>30.1 Cerere Rambursare 1</x:v>
      </x:c>
      <x:c r="D1383" s="8" t="str">
        <x:v>Proiect fotovoltaic</x:v>
      </x:c>
      <x:c r="E1383" s="8" t="str">
        <x:v>.jpg</x:v>
      </x:c>
      <x:c r="F1383" s="8" t="n">
        <x:v>1933476</x:v>
      </x:c>
      <x:c r="G1383" s="8" t="str">
        <x:v>Inventariat; conținut neextras</x:v>
      </x:c>
      <x:c r="H1383" s="8" t="str">
        <x:v>Versiune de lucru / arhivă</x:v>
      </x:c>
      <x:c r="I1383" s="8" t="str"/>
      <x:c r="J1383" s="8" t="e">
        <x:f>HYPERLINK("file:///Z:/00. Proiecte 2025/AFIR FotoVoltaic 1/30.1 Cerere Rambursare 1/draft/Poze/INVERTOARE (1)/SUN2000-100KTL-M2-6T2589028798_3.jpg","Deschide sursa")</x:f>
        <x:v>HYPERLINK is not implemented. linkLocation=file:///Z:/00. Proiecte 2025/AFIR FotoVoltaic 1/30.1 Cerere Rambursare 1/draft/Poze/INVERTOARE (1)/SUN2000-100KTL-M2-6T2589028798_3.jpg, friendlyName=Deschide sursa</x:v>
      </x:c>
    </x:row>
    <x:row r="1384" ht="36" customHeight="1">
      <x:c r="A1384" s="8" t="str">
        <x:v>F1380</x:v>
      </x:c>
      <x:c r="B1384" s="8" t="str">
        <x:v>SUN2000-100KTL-M2-6T2589028826_1.jpg</x:v>
      </x:c>
      <x:c r="C1384" s="8" t="str">
        <x:v>30.1 Cerere Rambursare 1</x:v>
      </x:c>
      <x:c r="D1384" s="8" t="str">
        <x:v>Proiect fotovoltaic</x:v>
      </x:c>
      <x:c r="E1384" s="8" t="str">
        <x:v>.jpg</x:v>
      </x:c>
      <x:c r="F1384" s="8" t="n">
        <x:v>3087205</x:v>
      </x:c>
      <x:c r="G1384" s="8" t="str">
        <x:v>Inventariat; conținut neextras</x:v>
      </x:c>
      <x:c r="H1384" s="8" t="str">
        <x:v>Versiune de lucru / arhivă</x:v>
      </x:c>
      <x:c r="I1384" s="8" t="str"/>
      <x:c r="J1384" s="8" t="e">
        <x:f>HYPERLINK("file:///Z:/00. Proiecte 2025/AFIR FotoVoltaic 1/30.1 Cerere Rambursare 1/draft/Poze/INVERTOARE (1)/SUN2000-100KTL-M2-6T2589028826_1.jpg","Deschide sursa")</x:f>
        <x:v>HYPERLINK is not implemented. linkLocation=file:///Z:/00. Proiecte 2025/AFIR FotoVoltaic 1/30.1 Cerere Rambursare 1/draft/Poze/INVERTOARE (1)/SUN2000-100KTL-M2-6T2589028826_1.jpg, friendlyName=Deschide sursa</x:v>
      </x:c>
    </x:row>
    <x:row r="1385" ht="36" customHeight="1">
      <x:c r="A1385" s="8" t="str">
        <x:v>F1381</x:v>
      </x:c>
      <x:c r="B1385" s="8" t="str">
        <x:v>SUN2000-100KTL-M2-6T2589028826_2.jpg</x:v>
      </x:c>
      <x:c r="C1385" s="8" t="str">
        <x:v>30.1 Cerere Rambursare 1</x:v>
      </x:c>
      <x:c r="D1385" s="8" t="str">
        <x:v>Proiect fotovoltaic</x:v>
      </x:c>
      <x:c r="E1385" s="8" t="str">
        <x:v>.jpg</x:v>
      </x:c>
      <x:c r="F1385" s="8" t="n">
        <x:v>2857037</x:v>
      </x:c>
      <x:c r="G1385" s="8" t="str">
        <x:v>Inventariat; conținut neextras</x:v>
      </x:c>
      <x:c r="H1385" s="8" t="str">
        <x:v>Versiune de lucru / arhivă</x:v>
      </x:c>
      <x:c r="I1385" s="8" t="str"/>
      <x:c r="J1385" s="8" t="e">
        <x:f>HYPERLINK("file:///Z:/00. Proiecte 2025/AFIR FotoVoltaic 1/30.1 Cerere Rambursare 1/draft/Poze/INVERTOARE (1)/SUN2000-100KTL-M2-6T2589028826_2.jpg","Deschide sursa")</x:f>
        <x:v>HYPERLINK is not implemented. linkLocation=file:///Z:/00. Proiecte 2025/AFIR FotoVoltaic 1/30.1 Cerere Rambursare 1/draft/Poze/INVERTOARE (1)/SUN2000-100KTL-M2-6T2589028826_2.jpg, friendlyName=Deschide sursa</x:v>
      </x:c>
    </x:row>
    <x:row r="1386" ht="36" customHeight="1">
      <x:c r="A1386" s="8" t="str">
        <x:v>F1382</x:v>
      </x:c>
      <x:c r="B1386" s="8" t="str">
        <x:v>SUN2000-100KTL-M2-6T2589028826_3.jpg</x:v>
      </x:c>
      <x:c r="C1386" s="8" t="str">
        <x:v>30.1 Cerere Rambursare 1</x:v>
      </x:c>
      <x:c r="D1386" s="8" t="str">
        <x:v>Proiect fotovoltaic</x:v>
      </x:c>
      <x:c r="E1386" s="8" t="str">
        <x:v>.jpg</x:v>
      </x:c>
      <x:c r="F1386" s="8" t="n">
        <x:v>2111028</x:v>
      </x:c>
      <x:c r="G1386" s="8" t="str">
        <x:v>Inventariat; conținut neextras</x:v>
      </x:c>
      <x:c r="H1386" s="8" t="str">
        <x:v>Versiune de lucru / arhivă</x:v>
      </x:c>
      <x:c r="I1386" s="8" t="str"/>
      <x:c r="J1386" s="8" t="e">
        <x:f>HYPERLINK("file:///Z:/00. Proiecte 2025/AFIR FotoVoltaic 1/30.1 Cerere Rambursare 1/draft/Poze/INVERTOARE (1)/SUN2000-100KTL-M2-6T2589028826_3.jpg","Deschide sursa")</x:f>
        <x:v>HYPERLINK is not implemented. linkLocation=file:///Z:/00. Proiecte 2025/AFIR FotoVoltaic 1/30.1 Cerere Rambursare 1/draft/Poze/INVERTOARE (1)/SUN2000-100KTL-M2-6T2589028826_3.jpg, friendlyName=Deschide sursa</x:v>
      </x:c>
    </x:row>
    <x:row r="1387" ht="36" customHeight="1">
      <x:c r="A1387" s="8" t="str">
        <x:v>F1383</x:v>
      </x:c>
      <x:c r="B1387" s="8" t="str">
        <x:v>SUN2000-100KTL-M2-6T2589028829_1.jpg</x:v>
      </x:c>
      <x:c r="C1387" s="8" t="str">
        <x:v>30.1 Cerere Rambursare 1</x:v>
      </x:c>
      <x:c r="D1387" s="8" t="str">
        <x:v>Proiect fotovoltaic</x:v>
      </x:c>
      <x:c r="E1387" s="8" t="str">
        <x:v>.jpg</x:v>
      </x:c>
      <x:c r="F1387" s="8" t="n">
        <x:v>2804141</x:v>
      </x:c>
      <x:c r="G1387" s="8" t="str">
        <x:v>Inventariat; conținut neextras</x:v>
      </x:c>
      <x:c r="H1387" s="8" t="str">
        <x:v>Versiune de lucru / arhivă</x:v>
      </x:c>
      <x:c r="I1387" s="8" t="str"/>
      <x:c r="J1387" s="8" t="e">
        <x:f>HYPERLINK("file:///Z:/00. Proiecte 2025/AFIR FotoVoltaic 1/30.1 Cerere Rambursare 1/draft/Poze/INVERTOARE (1)/SUN2000-100KTL-M2-6T2589028829_1.jpg","Deschide sursa")</x:f>
        <x:v>HYPERLINK is not implemented. linkLocation=file:///Z:/00. Proiecte 2025/AFIR FotoVoltaic 1/30.1 Cerere Rambursare 1/draft/Poze/INVERTOARE (1)/SUN2000-100KTL-M2-6T2589028829_1.jpg, friendlyName=Deschide sursa</x:v>
      </x:c>
    </x:row>
    <x:row r="1388" ht="36" customHeight="1">
      <x:c r="A1388" s="8" t="str">
        <x:v>F1384</x:v>
      </x:c>
      <x:c r="B1388" s="8" t="str">
        <x:v>SUN2000-100KTL-M2-6T2589028829_2.jpg</x:v>
      </x:c>
      <x:c r="C1388" s="8" t="str">
        <x:v>30.1 Cerere Rambursare 1</x:v>
      </x:c>
      <x:c r="D1388" s="8" t="str">
        <x:v>Proiect fotovoltaic</x:v>
      </x:c>
      <x:c r="E1388" s="8" t="str">
        <x:v>.jpg</x:v>
      </x:c>
      <x:c r="F1388" s="8" t="n">
        <x:v>2811750</x:v>
      </x:c>
      <x:c r="G1388" s="8" t="str">
        <x:v>Inventariat; conținut neextras</x:v>
      </x:c>
      <x:c r="H1388" s="8" t="str">
        <x:v>Versiune de lucru / arhivă</x:v>
      </x:c>
      <x:c r="I1388" s="8" t="str"/>
      <x:c r="J1388" s="8" t="e">
        <x:f>HYPERLINK("file:///Z:/00. Proiecte 2025/AFIR FotoVoltaic 1/30.1 Cerere Rambursare 1/draft/Poze/INVERTOARE (1)/SUN2000-100KTL-M2-6T2589028829_2.jpg","Deschide sursa")</x:f>
        <x:v>HYPERLINK is not implemented. linkLocation=file:///Z:/00. Proiecte 2025/AFIR FotoVoltaic 1/30.1 Cerere Rambursare 1/draft/Poze/INVERTOARE (1)/SUN2000-100KTL-M2-6T2589028829_2.jpg, friendlyName=Deschide sursa</x:v>
      </x:c>
    </x:row>
    <x:row r="1389" ht="36" customHeight="1">
      <x:c r="A1389" s="8" t="str">
        <x:v>F1385</x:v>
      </x:c>
      <x:c r="B1389" s="8" t="str">
        <x:v>SUN2000-100KTL-M2-6T2589028830_1.jpg</x:v>
      </x:c>
      <x:c r="C1389" s="8" t="str">
        <x:v>30.1 Cerere Rambursare 1</x:v>
      </x:c>
      <x:c r="D1389" s="8" t="str">
        <x:v>Proiect fotovoltaic</x:v>
      </x:c>
      <x:c r="E1389" s="8" t="str">
        <x:v>.jpg</x:v>
      </x:c>
      <x:c r="F1389" s="8" t="n">
        <x:v>3393163</x:v>
      </x:c>
      <x:c r="G1389" s="8" t="str">
        <x:v>Inventariat; conținut neextras</x:v>
      </x:c>
      <x:c r="H1389" s="8" t="str">
        <x:v>Versiune de lucru / arhivă</x:v>
      </x:c>
      <x:c r="I1389" s="8" t="str"/>
      <x:c r="J1389" s="8" t="e">
        <x:f>HYPERLINK("file:///Z:/00. Proiecte 2025/AFIR FotoVoltaic 1/30.1 Cerere Rambursare 1/draft/Poze/INVERTOARE (1)/SUN2000-100KTL-M2-6T2589028830_1.jpg","Deschide sursa")</x:f>
        <x:v>HYPERLINK is not implemented. linkLocation=file:///Z:/00. Proiecte 2025/AFIR FotoVoltaic 1/30.1 Cerere Rambursare 1/draft/Poze/INVERTOARE (1)/SUN2000-100KTL-M2-6T2589028830_1.jpg, friendlyName=Deschide sursa</x:v>
      </x:c>
    </x:row>
    <x:row r="1390" ht="36" customHeight="1">
      <x:c r="A1390" s="8" t="str">
        <x:v>F1386</x:v>
      </x:c>
      <x:c r="B1390" s="8" t="str">
        <x:v>SUN2000-100KTL-M2-6T2589028830_2.jpg</x:v>
      </x:c>
      <x:c r="C1390" s="8" t="str">
        <x:v>30.1 Cerere Rambursare 1</x:v>
      </x:c>
      <x:c r="D1390" s="8" t="str">
        <x:v>Proiect fotovoltaic</x:v>
      </x:c>
      <x:c r="E1390" s="8" t="str">
        <x:v>.jpg</x:v>
      </x:c>
      <x:c r="F1390" s="8" t="n">
        <x:v>3303321</x:v>
      </x:c>
      <x:c r="G1390" s="8" t="str">
        <x:v>Inventariat; conținut neextras</x:v>
      </x:c>
      <x:c r="H1390" s="8" t="str">
        <x:v>Versiune de lucru / arhivă</x:v>
      </x:c>
      <x:c r="I1390" s="8" t="str"/>
      <x:c r="J1390" s="8" t="e">
        <x:f>HYPERLINK("file:///Z:/00. Proiecte 2025/AFIR FotoVoltaic 1/30.1 Cerere Rambursare 1/draft/Poze/INVERTOARE (1)/SUN2000-100KTL-M2-6T2589028830_2.jpg","Deschide sursa")</x:f>
        <x:v>HYPERLINK is not implemented. linkLocation=file:///Z:/00. Proiecte 2025/AFIR FotoVoltaic 1/30.1 Cerere Rambursare 1/draft/Poze/INVERTOARE (1)/SUN2000-100KTL-M2-6T2589028830_2.jpg, friendlyName=Deschide sursa</x:v>
      </x:c>
    </x:row>
    <x:row r="1391" ht="36" customHeight="1">
      <x:c r="A1391" s="8" t="str">
        <x:v>F1387</x:v>
      </x:c>
      <x:c r="B1391" s="8" t="str">
        <x:v>SUN2000-100KTL-M2-6T2589028830_3.jpg</x:v>
      </x:c>
      <x:c r="C1391" s="8" t="str">
        <x:v>30.1 Cerere Rambursare 1</x:v>
      </x:c>
      <x:c r="D1391" s="8" t="str">
        <x:v>Proiect fotovoltaic</x:v>
      </x:c>
      <x:c r="E1391" s="8" t="str">
        <x:v>.jpg</x:v>
      </x:c>
      <x:c r="F1391" s="8" t="n">
        <x:v>3311326</x:v>
      </x:c>
      <x:c r="G1391" s="8" t="str">
        <x:v>Inventariat; conținut neextras</x:v>
      </x:c>
      <x:c r="H1391" s="8" t="str">
        <x:v>Versiune de lucru / arhivă</x:v>
      </x:c>
      <x:c r="I1391" s="8" t="str"/>
      <x:c r="J1391" s="8" t="e">
        <x:f>HYPERLINK("file:///Z:/00. Proiecte 2025/AFIR FotoVoltaic 1/30.1 Cerere Rambursare 1/draft/Poze/INVERTOARE (1)/SUN2000-100KTL-M2-6T2589028830_3.jpg","Deschide sursa")</x:f>
        <x:v>HYPERLINK is not implemented. linkLocation=file:///Z:/00. Proiecte 2025/AFIR FotoVoltaic 1/30.1 Cerere Rambursare 1/draft/Poze/INVERTOARE (1)/SUN2000-100KTL-M2-6T2589028830_3.jpg, friendlyName=Deschide sursa</x:v>
      </x:c>
    </x:row>
    <x:row r="1392" ht="36" customHeight="1">
      <x:c r="A1392" s="8" t="str">
        <x:v>F1388</x:v>
      </x:c>
      <x:c r="B1392" s="8" t="str">
        <x:v>SUN2000-100KTL-M2-6T2589028835_1.jpg</x:v>
      </x:c>
      <x:c r="C1392" s="8" t="str">
        <x:v>30.1 Cerere Rambursare 1</x:v>
      </x:c>
      <x:c r="D1392" s="8" t="str">
        <x:v>Proiect fotovoltaic</x:v>
      </x:c>
      <x:c r="E1392" s="8" t="str">
        <x:v>.jpg</x:v>
      </x:c>
      <x:c r="F1392" s="8" t="n">
        <x:v>3376489</x:v>
      </x:c>
      <x:c r="G1392" s="8" t="str">
        <x:v>Inventariat; conținut neextras</x:v>
      </x:c>
      <x:c r="H1392" s="8" t="str">
        <x:v>Versiune de lucru / arhivă</x:v>
      </x:c>
      <x:c r="I1392" s="8" t="str"/>
      <x:c r="J1392" s="8" t="e">
        <x:f>HYPERLINK("file:///Z:/00. Proiecte 2025/AFIR FotoVoltaic 1/30.1 Cerere Rambursare 1/draft/Poze/INVERTOARE (1)/SUN2000-100KTL-M2-6T2589028835_1.jpg","Deschide sursa")</x:f>
        <x:v>HYPERLINK is not implemented. linkLocation=file:///Z:/00. Proiecte 2025/AFIR FotoVoltaic 1/30.1 Cerere Rambursare 1/draft/Poze/INVERTOARE (1)/SUN2000-100KTL-M2-6T2589028835_1.jpg, friendlyName=Deschide sursa</x:v>
      </x:c>
    </x:row>
    <x:row r="1393" ht="36" customHeight="1">
      <x:c r="A1393" s="8" t="str">
        <x:v>F1389</x:v>
      </x:c>
      <x:c r="B1393" s="8" t="str">
        <x:v>SUN2000-100KTL-M2-6T2589028835_2.jpg</x:v>
      </x:c>
      <x:c r="C1393" s="8" t="str">
        <x:v>30.1 Cerere Rambursare 1</x:v>
      </x:c>
      <x:c r="D1393" s="8" t="str">
        <x:v>Proiect fotovoltaic</x:v>
      </x:c>
      <x:c r="E1393" s="8" t="str">
        <x:v>.jpg</x:v>
      </x:c>
      <x:c r="F1393" s="8" t="n">
        <x:v>2867800</x:v>
      </x:c>
      <x:c r="G1393" s="8" t="str">
        <x:v>Inventariat; conținut neextras</x:v>
      </x:c>
      <x:c r="H1393" s="8" t="str">
        <x:v>Versiune de lucru / arhivă</x:v>
      </x:c>
      <x:c r="I1393" s="8" t="str"/>
      <x:c r="J1393" s="8" t="e">
        <x:f>HYPERLINK("file:///Z:/00. Proiecte 2025/AFIR FotoVoltaic 1/30.1 Cerere Rambursare 1/draft/Poze/INVERTOARE (1)/SUN2000-100KTL-M2-6T2589028835_2.jpg","Deschide sursa")</x:f>
        <x:v>HYPERLINK is not implemented. linkLocation=file:///Z:/00. Proiecte 2025/AFIR FotoVoltaic 1/30.1 Cerere Rambursare 1/draft/Poze/INVERTOARE (1)/SUN2000-100KTL-M2-6T2589028835_2.jpg, friendlyName=Deschide sursa</x:v>
      </x:c>
    </x:row>
    <x:row r="1394" ht="36" customHeight="1">
      <x:c r="A1394" s="8" t="str">
        <x:v>F1390</x:v>
      </x:c>
      <x:c r="B1394" s="8" t="str">
        <x:v>SUN2000-100KTL-M2-6T2589028835_3.jpg</x:v>
      </x:c>
      <x:c r="C1394" s="8" t="str">
        <x:v>30.1 Cerere Rambursare 1</x:v>
      </x:c>
      <x:c r="D1394" s="8" t="str">
        <x:v>Proiect fotovoltaic</x:v>
      </x:c>
      <x:c r="E1394" s="8" t="str">
        <x:v>.jpg</x:v>
      </x:c>
      <x:c r="F1394" s="8" t="n">
        <x:v>1975276</x:v>
      </x:c>
      <x:c r="G1394" s="8" t="str">
        <x:v>Inventariat; conținut neextras</x:v>
      </x:c>
      <x:c r="H1394" s="8" t="str">
        <x:v>Versiune de lucru / arhivă</x:v>
      </x:c>
      <x:c r="I1394" s="8" t="str"/>
      <x:c r="J1394" s="8" t="e">
        <x:f>HYPERLINK("file:///Z:/00. Proiecte 2025/AFIR FotoVoltaic 1/30.1 Cerere Rambursare 1/draft/Poze/INVERTOARE (1)/SUN2000-100KTL-M2-6T2589028835_3.jpg","Deschide sursa")</x:f>
        <x:v>HYPERLINK is not implemented. linkLocation=file:///Z:/00. Proiecte 2025/AFIR FotoVoltaic 1/30.1 Cerere Rambursare 1/draft/Poze/INVERTOARE (1)/SUN2000-100KTL-M2-6T2589028835_3.jpg, friendlyName=Deschide sursa</x:v>
      </x:c>
    </x:row>
    <x:row r="1395" ht="36" customHeight="1">
      <x:c r="A1395" s="8" t="str">
        <x:v>F1391</x:v>
      </x:c>
      <x:c r="B1395" s="8" t="str">
        <x:v>SUN2000-100KTL-M2-6T2589028835_4.jpg</x:v>
      </x:c>
      <x:c r="C1395" s="8" t="str">
        <x:v>30.1 Cerere Rambursare 1</x:v>
      </x:c>
      <x:c r="D1395" s="8" t="str">
        <x:v>Proiect fotovoltaic</x:v>
      </x:c>
      <x:c r="E1395" s="8" t="str">
        <x:v>.jpg</x:v>
      </x:c>
      <x:c r="F1395" s="8" t="n">
        <x:v>2045382</x:v>
      </x:c>
      <x:c r="G1395" s="8" t="str">
        <x:v>Inventariat; conținut neextras</x:v>
      </x:c>
      <x:c r="H1395" s="8" t="str">
        <x:v>Versiune de lucru / arhivă</x:v>
      </x:c>
      <x:c r="I1395" s="8" t="str"/>
      <x:c r="J1395" s="8" t="e">
        <x:f>HYPERLINK("file:///Z:/00. Proiecte 2025/AFIR FotoVoltaic 1/30.1 Cerere Rambursare 1/draft/Poze/INVERTOARE (1)/SUN2000-100KTL-M2-6T2589028835_4.jpg","Deschide sursa")</x:f>
        <x:v>HYPERLINK is not implemented. linkLocation=file:///Z:/00. Proiecte 2025/AFIR FotoVoltaic 1/30.1 Cerere Rambursare 1/draft/Poze/INVERTOARE (1)/SUN2000-100KTL-M2-6T2589028835_4.jpg, friendlyName=Deschide sursa</x:v>
      </x:c>
    </x:row>
    <x:row r="1396" ht="36" customHeight="1">
      <x:c r="A1396" s="8" t="str">
        <x:v>F1392</x:v>
      </x:c>
      <x:c r="B1396" s="8" t="str">
        <x:v>SUN2000-36KTL-M3-5T2329007442_1.jpg</x:v>
      </x:c>
      <x:c r="C1396" s="8" t="str">
        <x:v>30.1 Cerere Rambursare 1</x:v>
      </x:c>
      <x:c r="D1396" s="8" t="str">
        <x:v>Proiect fotovoltaic</x:v>
      </x:c>
      <x:c r="E1396" s="8" t="str">
        <x:v>.jpg</x:v>
      </x:c>
      <x:c r="F1396" s="8" t="n">
        <x:v>2605208</x:v>
      </x:c>
      <x:c r="G1396" s="8" t="str">
        <x:v>Inventariat; conținut neextras</x:v>
      </x:c>
      <x:c r="H1396" s="8" t="str">
        <x:v>Versiune de lucru / arhivă</x:v>
      </x:c>
      <x:c r="I1396" s="8" t="str"/>
      <x:c r="J1396" s="8" t="e">
        <x:f>HYPERLINK("file:///Z:/00. Proiecte 2025/AFIR FotoVoltaic 1/30.1 Cerere Rambursare 1/draft/Poze/INVERTOARE (1)/SUN2000-36KTL-M3-5T2329007442_1.jpg","Deschide sursa")</x:f>
        <x:v>HYPERLINK is not implemented. linkLocation=file:///Z:/00. Proiecte 2025/AFIR FotoVoltaic 1/30.1 Cerere Rambursare 1/draft/Poze/INVERTOARE (1)/SUN2000-36KTL-M3-5T2329007442_1.jpg, friendlyName=Deschide sursa</x:v>
      </x:c>
    </x:row>
    <x:row r="1397" ht="36" customHeight="1">
      <x:c r="A1397" s="8" t="str">
        <x:v>F1393</x:v>
      </x:c>
      <x:c r="B1397" s="8" t="str">
        <x:v>SUN2000-36KTL-M3-5T2329007442_2.jpg</x:v>
      </x:c>
      <x:c r="C1397" s="8" t="str">
        <x:v>30.1 Cerere Rambursare 1</x:v>
      </x:c>
      <x:c r="D1397" s="8" t="str">
        <x:v>Proiect fotovoltaic</x:v>
      </x:c>
      <x:c r="E1397" s="8" t="str">
        <x:v>.jpg</x:v>
      </x:c>
      <x:c r="F1397" s="8" t="n">
        <x:v>2363625</x:v>
      </x:c>
      <x:c r="G1397" s="8" t="str">
        <x:v>Inventariat; conținut neextras</x:v>
      </x:c>
      <x:c r="H1397" s="8" t="str">
        <x:v>Versiune de lucru / arhivă</x:v>
      </x:c>
      <x:c r="I1397" s="8" t="str"/>
      <x:c r="J1397" s="8" t="e">
        <x:f>HYPERLINK("file:///Z:/00. Proiecte 2025/AFIR FotoVoltaic 1/30.1 Cerere Rambursare 1/draft/Poze/INVERTOARE (1)/SUN2000-36KTL-M3-5T2329007442_2.jpg","Deschide sursa")</x:f>
        <x:v>HYPERLINK is not implemented. linkLocation=file:///Z:/00. Proiecte 2025/AFIR FotoVoltaic 1/30.1 Cerere Rambursare 1/draft/Poze/INVERTOARE (1)/SUN2000-36KTL-M3-5T2329007442_2.jpg, friendlyName=Deschide sursa</x:v>
      </x:c>
    </x:row>
    <x:row r="1398" ht="36" customHeight="1">
      <x:c r="A1398" s="8" t="str">
        <x:v>F1394</x:v>
      </x:c>
      <x:c r="B1398" s="8" t="str">
        <x:v>SUN2000-36KTL-M3-6T2329008434_1.jpg</x:v>
      </x:c>
      <x:c r="C1398" s="8" t="str">
        <x:v>30.1 Cerere Rambursare 1</x:v>
      </x:c>
      <x:c r="D1398" s="8" t="str">
        <x:v>Proiect fotovoltaic</x:v>
      </x:c>
      <x:c r="E1398" s="8" t="str">
        <x:v>.jpg</x:v>
      </x:c>
      <x:c r="F1398" s="8" t="n">
        <x:v>2711467</x:v>
      </x:c>
      <x:c r="G1398" s="8" t="str">
        <x:v>Inventariat; conținut neextras</x:v>
      </x:c>
      <x:c r="H1398" s="8" t="str">
        <x:v>Versiune de lucru / arhivă</x:v>
      </x:c>
      <x:c r="I1398" s="8" t="str"/>
      <x:c r="J1398" s="8" t="e">
        <x:f>HYPERLINK("file:///Z:/00. Proiecte 2025/AFIR FotoVoltaic 1/30.1 Cerere Rambursare 1/draft/Poze/INVERTOARE (1)/SUN2000-36KTL-M3-6T2329008434_1.jpg","Deschide sursa")</x:f>
        <x:v>HYPERLINK is not implemented. linkLocation=file:///Z:/00. Proiecte 2025/AFIR FotoVoltaic 1/30.1 Cerere Rambursare 1/draft/Poze/INVERTOARE (1)/SUN2000-36KTL-M3-6T2329008434_1.jpg, friendlyName=Deschide sursa</x:v>
      </x:c>
    </x:row>
    <x:row r="1399" ht="36" customHeight="1">
      <x:c r="A1399" s="8" t="str">
        <x:v>F1395</x:v>
      </x:c>
      <x:c r="B1399" s="8" t="str">
        <x:v>SUN2000-36KTL-M3-6T2329008434_2.jpg</x:v>
      </x:c>
      <x:c r="C1399" s="8" t="str">
        <x:v>30.1 Cerere Rambursare 1</x:v>
      </x:c>
      <x:c r="D1399" s="8" t="str">
        <x:v>Proiect fotovoltaic</x:v>
      </x:c>
      <x:c r="E1399" s="8" t="str">
        <x:v>.jpg</x:v>
      </x:c>
      <x:c r="F1399" s="8" t="n">
        <x:v>2312117</x:v>
      </x:c>
      <x:c r="G1399" s="8" t="str">
        <x:v>Inventariat; conținut neextras</x:v>
      </x:c>
      <x:c r="H1399" s="8" t="str">
        <x:v>Versiune de lucru / arhivă</x:v>
      </x:c>
      <x:c r="I1399" s="8" t="str"/>
      <x:c r="J1399" s="8" t="e">
        <x:f>HYPERLINK("file:///Z:/00. Proiecte 2025/AFIR FotoVoltaic 1/30.1 Cerere Rambursare 1/draft/Poze/INVERTOARE (1)/SUN2000-36KTL-M3-6T2329008434_2.jpg","Deschide sursa")</x:f>
        <x:v>HYPERLINK is not implemented. linkLocation=file:///Z:/00. Proiecte 2025/AFIR FotoVoltaic 1/30.1 Cerere Rambursare 1/draft/Poze/INVERTOARE (1)/SUN2000-36KTL-M3-6T2329008434_2.jpg, friendlyName=Deschide sursa</x:v>
      </x:c>
    </x:row>
    <x:row r="1400" ht="36" customHeight="1">
      <x:c r="A1400" s="8" t="str">
        <x:v>F1396</x:v>
      </x:c>
      <x:c r="B1400" s="8" t="str">
        <x:v>SUN2000-36KTL-M3-6T2329009168_1.jpg</x:v>
      </x:c>
      <x:c r="C1400" s="8" t="str">
        <x:v>30.1 Cerere Rambursare 1</x:v>
      </x:c>
      <x:c r="D1400" s="8" t="str">
        <x:v>Proiect fotovoltaic</x:v>
      </x:c>
      <x:c r="E1400" s="8" t="str">
        <x:v>.jpg</x:v>
      </x:c>
      <x:c r="F1400" s="8" t="n">
        <x:v>2446222</x:v>
      </x:c>
      <x:c r="G1400" s="8" t="str">
        <x:v>Inventariat; conținut neextras</x:v>
      </x:c>
      <x:c r="H1400" s="8" t="str">
        <x:v>Versiune de lucru / arhivă</x:v>
      </x:c>
      <x:c r="I1400" s="8" t="str"/>
      <x:c r="J1400" s="8" t="e">
        <x:f>HYPERLINK("file:///Z:/00. Proiecte 2025/AFIR FotoVoltaic 1/30.1 Cerere Rambursare 1/draft/Poze/INVERTOARE (1)/SUN2000-36KTL-M3-6T2329009168_1.jpg","Deschide sursa")</x:f>
        <x:v>HYPERLINK is not implemented. linkLocation=file:///Z:/00. Proiecte 2025/AFIR FotoVoltaic 1/30.1 Cerere Rambursare 1/draft/Poze/INVERTOARE (1)/SUN2000-36KTL-M3-6T2329009168_1.jpg, friendlyName=Deschide sursa</x:v>
      </x:c>
    </x:row>
    <x:row r="1401" ht="36" customHeight="1">
      <x:c r="A1401" s="8" t="str">
        <x:v>F1397</x:v>
      </x:c>
      <x:c r="B1401" s="8" t="str">
        <x:v>SUN2000-36KTL-M3-6T2329009168_2.jpg</x:v>
      </x:c>
      <x:c r="C1401" s="8" t="str">
        <x:v>30.1 Cerere Rambursare 1</x:v>
      </x:c>
      <x:c r="D1401" s="8" t="str">
        <x:v>Proiect fotovoltaic</x:v>
      </x:c>
      <x:c r="E1401" s="8" t="str">
        <x:v>.jpg</x:v>
      </x:c>
      <x:c r="F1401" s="8" t="n">
        <x:v>2350537</x:v>
      </x:c>
      <x:c r="G1401" s="8" t="str">
        <x:v>Inventariat; conținut neextras</x:v>
      </x:c>
      <x:c r="H1401" s="8" t="str">
        <x:v>Versiune de lucru / arhivă</x:v>
      </x:c>
      <x:c r="I1401" s="8" t="str"/>
      <x:c r="J1401" s="8" t="e">
        <x:f>HYPERLINK("file:///Z:/00. Proiecte 2025/AFIR FotoVoltaic 1/30.1 Cerere Rambursare 1/draft/Poze/INVERTOARE (1)/SUN2000-36KTL-M3-6T2329009168_2.jpg","Deschide sursa")</x:f>
        <x:v>HYPERLINK is not implemented. linkLocation=file:///Z:/00. Proiecte 2025/AFIR FotoVoltaic 1/30.1 Cerere Rambursare 1/draft/Poze/INVERTOARE (1)/SUN2000-36KTL-M3-6T2329009168_2.jpg, friendlyName=Deschide sursa</x:v>
      </x:c>
    </x:row>
    <x:row r="1402" ht="36" customHeight="1">
      <x:c r="A1402" s="8" t="str">
        <x:v>F1398</x:v>
      </x:c>
      <x:c r="B1402" s="8" t="str">
        <x:v>SUN2000-36KTL-M3-ES2320053467_1.jpg</x:v>
      </x:c>
      <x:c r="C1402" s="8" t="str">
        <x:v>30.1 Cerere Rambursare 1</x:v>
      </x:c>
      <x:c r="D1402" s="8" t="str">
        <x:v>Proiect fotovoltaic</x:v>
      </x:c>
      <x:c r="E1402" s="8" t="str">
        <x:v>.jpg</x:v>
      </x:c>
      <x:c r="F1402" s="8" t="n">
        <x:v>2433245</x:v>
      </x:c>
      <x:c r="G1402" s="8" t="str">
        <x:v>Inventariat; conținut neextras</x:v>
      </x:c>
      <x:c r="H1402" s="8" t="str">
        <x:v>Versiune de lucru / arhivă</x:v>
      </x:c>
      <x:c r="I1402" s="8" t="str"/>
      <x:c r="J1402" s="8" t="e">
        <x:f>HYPERLINK("file:///Z:/00. Proiecte 2025/AFIR FotoVoltaic 1/30.1 Cerere Rambursare 1/draft/Poze/INVERTOARE (1)/SUN2000-36KTL-M3-ES2320053467_1.jpg","Deschide sursa")</x:f>
        <x:v>HYPERLINK is not implemented. linkLocation=file:///Z:/00. Proiecte 2025/AFIR FotoVoltaic 1/30.1 Cerere Rambursare 1/draft/Poze/INVERTOARE (1)/SUN2000-36KTL-M3-ES2320053467_1.jpg, friendlyName=Deschide sursa</x:v>
      </x:c>
    </x:row>
    <x:row r="1403" ht="36" customHeight="1">
      <x:c r="A1403" s="8" t="str">
        <x:v>F1399</x:v>
      </x:c>
      <x:c r="B1403" s="8" t="str">
        <x:v>SUN2000-36KTL-M3-ES2320053473_1.jpg</x:v>
      </x:c>
      <x:c r="C1403" s="8" t="str">
        <x:v>30.1 Cerere Rambursare 1</x:v>
      </x:c>
      <x:c r="D1403" s="8" t="str">
        <x:v>Proiect fotovoltaic</x:v>
      </x:c>
      <x:c r="E1403" s="8" t="str">
        <x:v>.jpg</x:v>
      </x:c>
      <x:c r="F1403" s="8" t="n">
        <x:v>3487511</x:v>
      </x:c>
      <x:c r="G1403" s="8" t="str">
        <x:v>Inventariat; conținut neextras</x:v>
      </x:c>
      <x:c r="H1403" s="8" t="str">
        <x:v>Versiune de lucru / arhivă</x:v>
      </x:c>
      <x:c r="I1403" s="8" t="str"/>
      <x:c r="J1403" s="8" t="e">
        <x:f>HYPERLINK("file:///Z:/00. Proiecte 2025/AFIR FotoVoltaic 1/30.1 Cerere Rambursare 1/draft/Poze/INVERTOARE (1)/SUN2000-36KTL-M3-ES2320053473_1.jpg","Deschide sursa")</x:f>
        <x:v>HYPERLINK is not implemented. linkLocation=file:///Z:/00. Proiecte 2025/AFIR FotoVoltaic 1/30.1 Cerere Rambursare 1/draft/Poze/INVERTOARE (1)/SUN2000-36KTL-M3-ES2320053473_1.jpg, friendlyName=Deschide sursa</x:v>
      </x:c>
    </x:row>
    <x:row r="1404" ht="36" customHeight="1">
      <x:c r="A1404" s="8" t="str">
        <x:v>F1400</x:v>
      </x:c>
      <x:c r="B1404" s="8" t="str">
        <x:v>SUN2000-36KTL-M3-ES2320053473_2.jpg</x:v>
      </x:c>
      <x:c r="C1404" s="8" t="str">
        <x:v>30.1 Cerere Rambursare 1</x:v>
      </x:c>
      <x:c r="D1404" s="8" t="str">
        <x:v>Proiect fotovoltaic</x:v>
      </x:c>
      <x:c r="E1404" s="8" t="str">
        <x:v>.jpg</x:v>
      </x:c>
      <x:c r="F1404" s="8" t="n">
        <x:v>3652132</x:v>
      </x:c>
      <x:c r="G1404" s="8" t="str">
        <x:v>Inventariat; conținut neextras</x:v>
      </x:c>
      <x:c r="H1404" s="8" t="str">
        <x:v>Versiune de lucru / arhivă</x:v>
      </x:c>
      <x:c r="I1404" s="8" t="str"/>
      <x:c r="J1404" s="8" t="e">
        <x:f>HYPERLINK("file:///Z:/00. Proiecte 2025/AFIR FotoVoltaic 1/30.1 Cerere Rambursare 1/draft/Poze/INVERTOARE (1)/SUN2000-36KTL-M3-ES2320053473_2.jpg","Deschide sursa")</x:f>
        <x:v>HYPERLINK is not implemented. linkLocation=file:///Z:/00. Proiecte 2025/AFIR FotoVoltaic 1/30.1 Cerere Rambursare 1/draft/Poze/INVERTOARE (1)/SUN2000-36KTL-M3-ES2320053473_2.jpg, friendlyName=Deschide sursa</x:v>
      </x:c>
    </x:row>
    <x:row r="1405" ht="36" customHeight="1">
      <x:c r="A1405" s="8" t="str">
        <x:v>F1401</x:v>
      </x:c>
      <x:c r="B1405" s="8" t="str">
        <x:v>SUN2000-36KTL-M3-ES2320053475_1.jpg</x:v>
      </x:c>
      <x:c r="C1405" s="8" t="str">
        <x:v>30.1 Cerere Rambursare 1</x:v>
      </x:c>
      <x:c r="D1405" s="8" t="str">
        <x:v>Proiect fotovoltaic</x:v>
      </x:c>
      <x:c r="E1405" s="8" t="str">
        <x:v>.jpg</x:v>
      </x:c>
      <x:c r="F1405" s="8" t="n">
        <x:v>3249399</x:v>
      </x:c>
      <x:c r="G1405" s="8" t="str">
        <x:v>Inventariat; conținut neextras</x:v>
      </x:c>
      <x:c r="H1405" s="8" t="str">
        <x:v>Versiune de lucru / arhivă</x:v>
      </x:c>
      <x:c r="I1405" s="8" t="str"/>
      <x:c r="J1405" s="8" t="e">
        <x:f>HYPERLINK("file:///Z:/00. Proiecte 2025/AFIR FotoVoltaic 1/30.1 Cerere Rambursare 1/draft/Poze/INVERTOARE (1)/SUN2000-36KTL-M3-ES2320053475_1.jpg","Deschide sursa")</x:f>
        <x:v>HYPERLINK is not implemented. linkLocation=file:///Z:/00. Proiecte 2025/AFIR FotoVoltaic 1/30.1 Cerere Rambursare 1/draft/Poze/INVERTOARE (1)/SUN2000-36KTL-M3-ES2320053475_1.jpg, friendlyName=Deschide sursa</x:v>
      </x:c>
    </x:row>
    <x:row r="1406" ht="36" customHeight="1">
      <x:c r="A1406" s="8" t="str">
        <x:v>F1402</x:v>
      </x:c>
      <x:c r="B1406" s="8" t="str">
        <x:v>SUN2000-36KTL-M3-ES2320053475_2.jpg</x:v>
      </x:c>
      <x:c r="C1406" s="8" t="str">
        <x:v>30.1 Cerere Rambursare 1</x:v>
      </x:c>
      <x:c r="D1406" s="8" t="str">
        <x:v>Proiect fotovoltaic</x:v>
      </x:c>
      <x:c r="E1406" s="8" t="str">
        <x:v>.jpg</x:v>
      </x:c>
      <x:c r="F1406" s="8" t="n">
        <x:v>2520104</x:v>
      </x:c>
      <x:c r="G1406" s="8" t="str">
        <x:v>Inventariat; conținut neextras</x:v>
      </x:c>
      <x:c r="H1406" s="8" t="str">
        <x:v>Versiune de lucru / arhivă</x:v>
      </x:c>
      <x:c r="I1406" s="8" t="str"/>
      <x:c r="J1406" s="8" t="e">
        <x:f>HYPERLINK("file:///Z:/00. Proiecte 2025/AFIR FotoVoltaic 1/30.1 Cerere Rambursare 1/draft/Poze/INVERTOARE (1)/SUN2000-36KTL-M3-ES2320053475_2.jpg","Deschide sursa")</x:f>
        <x:v>HYPERLINK is not implemented. linkLocation=file:///Z:/00. Proiecte 2025/AFIR FotoVoltaic 1/30.1 Cerere Rambursare 1/draft/Poze/INVERTOARE (1)/SUN2000-36KTL-M3-ES2320053475_2.jpg, friendlyName=Deschide sursa</x:v>
      </x:c>
    </x:row>
    <x:row r="1407" ht="36" customHeight="1">
      <x:c r="A1407" s="8" t="str">
        <x:v>F1403</x:v>
      </x:c>
      <x:c r="B1407" s="8" t="str">
        <x:v>SUN2000-36KTL-M3-ES2320053475_3.jpg</x:v>
      </x:c>
      <x:c r="C1407" s="8" t="str">
        <x:v>30.1 Cerere Rambursare 1</x:v>
      </x:c>
      <x:c r="D1407" s="8" t="str">
        <x:v>Proiect fotovoltaic</x:v>
      </x:c>
      <x:c r="E1407" s="8" t="str">
        <x:v>.jpg</x:v>
      </x:c>
      <x:c r="F1407" s="8" t="n">
        <x:v>2432719</x:v>
      </x:c>
      <x:c r="G1407" s="8" t="str">
        <x:v>Inventariat; conținut neextras</x:v>
      </x:c>
      <x:c r="H1407" s="8" t="str">
        <x:v>Versiune de lucru / arhivă</x:v>
      </x:c>
      <x:c r="I1407" s="8" t="str"/>
      <x:c r="J1407" s="8" t="e">
        <x:f>HYPERLINK("file:///Z:/00. Proiecte 2025/AFIR FotoVoltaic 1/30.1 Cerere Rambursare 1/draft/Poze/INVERTOARE (1)/SUN2000-36KTL-M3-ES2320053475_3.jpg","Deschide sursa")</x:f>
        <x:v>HYPERLINK is not implemented. linkLocation=file:///Z:/00. Proiecte 2025/AFIR FotoVoltaic 1/30.1 Cerere Rambursare 1/draft/Poze/INVERTOARE (1)/SUN2000-36KTL-M3-ES2320053475_3.jpg, friendlyName=Deschide sursa</x:v>
      </x:c>
    </x:row>
    <x:row r="1408" ht="36" customHeight="1">
      <x:c r="A1408" s="8" t="str">
        <x:v>F1404</x:v>
      </x:c>
      <x:c r="B1408" s="8" t="str">
        <x:v>SUN2000-36KTL-M3-ES2320053487_1.jpg</x:v>
      </x:c>
      <x:c r="C1408" s="8" t="str">
        <x:v>30.1 Cerere Rambursare 1</x:v>
      </x:c>
      <x:c r="D1408" s="8" t="str">
        <x:v>Proiect fotovoltaic</x:v>
      </x:c>
      <x:c r="E1408" s="8" t="str">
        <x:v>.jpg</x:v>
      </x:c>
      <x:c r="F1408" s="8" t="n">
        <x:v>2670749</x:v>
      </x:c>
      <x:c r="G1408" s="8" t="str">
        <x:v>Inventariat; conținut neextras</x:v>
      </x:c>
      <x:c r="H1408" s="8" t="str">
        <x:v>Versiune de lucru / arhivă</x:v>
      </x:c>
      <x:c r="I1408" s="8" t="str"/>
      <x:c r="J1408" s="8" t="e">
        <x:f>HYPERLINK("file:///Z:/00. Proiecte 2025/AFIR FotoVoltaic 1/30.1 Cerere Rambursare 1/draft/Poze/INVERTOARE (1)/SUN2000-36KTL-M3-ES2320053487_1.jpg","Deschide sursa")</x:f>
        <x:v>HYPERLINK is not implemented. linkLocation=file:///Z:/00. Proiecte 2025/AFIR FotoVoltaic 1/30.1 Cerere Rambursare 1/draft/Poze/INVERTOARE (1)/SUN2000-36KTL-M3-ES2320053487_1.jpg, friendlyName=Deschide sursa</x:v>
      </x:c>
    </x:row>
    <x:row r="1409" ht="36" customHeight="1">
      <x:c r="A1409" s="8" t="str">
        <x:v>F1405</x:v>
      </x:c>
      <x:c r="B1409" s="8" t="str">
        <x:v>SUN2000-36KTL-M3-ES2320083469_1.jpg</x:v>
      </x:c>
      <x:c r="C1409" s="8" t="str">
        <x:v>30.1 Cerere Rambursare 1</x:v>
      </x:c>
      <x:c r="D1409" s="8" t="str">
        <x:v>Proiect fotovoltaic</x:v>
      </x:c>
      <x:c r="E1409" s="8" t="str">
        <x:v>.jpg</x:v>
      </x:c>
      <x:c r="F1409" s="8" t="n">
        <x:v>2732616</x:v>
      </x:c>
      <x:c r="G1409" s="8" t="str">
        <x:v>Inventariat; conținut neextras</x:v>
      </x:c>
      <x:c r="H1409" s="8" t="str">
        <x:v>Versiune de lucru / arhivă</x:v>
      </x:c>
      <x:c r="I1409" s="8" t="str"/>
      <x:c r="J1409" s="8" t="e">
        <x:f>HYPERLINK("file:///Z:/00. Proiecte 2025/AFIR FotoVoltaic 1/30.1 Cerere Rambursare 1/draft/Poze/INVERTOARE (1)/SUN2000-36KTL-M3-ES2320083469_1.jpg","Deschide sursa")</x:f>
        <x:v>HYPERLINK is not implemented. linkLocation=file:///Z:/00. Proiecte 2025/AFIR FotoVoltaic 1/30.1 Cerere Rambursare 1/draft/Poze/INVERTOARE (1)/SUN2000-36KTL-M3-ES2320083469_1.jpg, friendlyName=Deschide sursa</x:v>
      </x:c>
    </x:row>
    <x:row r="1410" ht="36" customHeight="1">
      <x:c r="A1410" s="8" t="str">
        <x:v>F1406</x:v>
      </x:c>
      <x:c r="B1410" s="8" t="str">
        <x:v>SUN2000-36KTL-M3-ES2320083469_2.jpg</x:v>
      </x:c>
      <x:c r="C1410" s="8" t="str">
        <x:v>30.1 Cerere Rambursare 1</x:v>
      </x:c>
      <x:c r="D1410" s="8" t="str">
        <x:v>Proiect fotovoltaic</x:v>
      </x:c>
      <x:c r="E1410" s="8" t="str">
        <x:v>.jpg</x:v>
      </x:c>
      <x:c r="F1410" s="8" t="n">
        <x:v>2946818</x:v>
      </x:c>
      <x:c r="G1410" s="8" t="str">
        <x:v>Inventariat; conținut neextras</x:v>
      </x:c>
      <x:c r="H1410" s="8" t="str">
        <x:v>Versiune de lucru / arhivă</x:v>
      </x:c>
      <x:c r="I1410" s="8" t="str"/>
      <x:c r="J1410" s="8" t="e">
        <x:f>HYPERLINK("file:///Z:/00. Proiecte 2025/AFIR FotoVoltaic 1/30.1 Cerere Rambursare 1/draft/Poze/INVERTOARE (1)/SUN2000-36KTL-M3-ES2320083469_2.jpg","Deschide sursa")</x:f>
        <x:v>HYPERLINK is not implemented. linkLocation=file:///Z:/00. Proiecte 2025/AFIR FotoVoltaic 1/30.1 Cerere Rambursare 1/draft/Poze/INVERTOARE (1)/SUN2000-36KTL-M3-ES2320083469_2.jpg, friendlyName=Deschide sursa</x:v>
      </x:c>
    </x:row>
    <x:row r="1411" ht="36" customHeight="1">
      <x:c r="A1411" s="8" t="str">
        <x:v>F1407</x:v>
      </x:c>
      <x:c r="B1411" s="8" t="str">
        <x:v>SUN2000-36KTL-M3-ES2320083470_1.jpg</x:v>
      </x:c>
      <x:c r="C1411" s="8" t="str">
        <x:v>30.1 Cerere Rambursare 1</x:v>
      </x:c>
      <x:c r="D1411" s="8" t="str">
        <x:v>Proiect fotovoltaic</x:v>
      </x:c>
      <x:c r="E1411" s="8" t="str">
        <x:v>.jpg</x:v>
      </x:c>
      <x:c r="F1411" s="8" t="n">
        <x:v>3313536</x:v>
      </x:c>
      <x:c r="G1411" s="8" t="str">
        <x:v>Inventariat; conținut neextras</x:v>
      </x:c>
      <x:c r="H1411" s="8" t="str">
        <x:v>Versiune de lucru / arhivă</x:v>
      </x:c>
      <x:c r="I1411" s="8" t="str"/>
      <x:c r="J1411" s="8" t="e">
        <x:f>HYPERLINK("file:///Z:/00. Proiecte 2025/AFIR FotoVoltaic 1/30.1 Cerere Rambursare 1/draft/Poze/INVERTOARE (1)/SUN2000-36KTL-M3-ES2320083470_1.jpg","Deschide sursa")</x:f>
        <x:v>HYPERLINK is not implemented. linkLocation=file:///Z:/00. Proiecte 2025/AFIR FotoVoltaic 1/30.1 Cerere Rambursare 1/draft/Poze/INVERTOARE (1)/SUN2000-36KTL-M3-ES2320083470_1.jpg, friendlyName=Deschide sursa</x:v>
      </x:c>
    </x:row>
    <x:row r="1412" ht="36" customHeight="1">
      <x:c r="A1412" s="8" t="str">
        <x:v>F1408</x:v>
      </x:c>
      <x:c r="B1412" s="8" t="str">
        <x:v>SUN2000-36KTL-M3-ES2320083470_2.jpg</x:v>
      </x:c>
      <x:c r="C1412" s="8" t="str">
        <x:v>30.1 Cerere Rambursare 1</x:v>
      </x:c>
      <x:c r="D1412" s="8" t="str">
        <x:v>Proiect fotovoltaic</x:v>
      </x:c>
      <x:c r="E1412" s="8" t="str">
        <x:v>.jpg</x:v>
      </x:c>
      <x:c r="F1412" s="8" t="n">
        <x:v>3207919</x:v>
      </x:c>
      <x:c r="G1412" s="8" t="str">
        <x:v>Inventariat; conținut neextras</x:v>
      </x:c>
      <x:c r="H1412" s="8" t="str">
        <x:v>Versiune de lucru / arhivă</x:v>
      </x:c>
      <x:c r="I1412" s="8" t="str"/>
      <x:c r="J1412" s="8" t="e">
        <x:f>HYPERLINK("file:///Z:/00. Proiecte 2025/AFIR FotoVoltaic 1/30.1 Cerere Rambursare 1/draft/Poze/INVERTOARE (1)/SUN2000-36KTL-M3-ES2320083470_2.jpg","Deschide sursa")</x:f>
        <x:v>HYPERLINK is not implemented. linkLocation=file:///Z:/00. Proiecte 2025/AFIR FotoVoltaic 1/30.1 Cerere Rambursare 1/draft/Poze/INVERTOARE (1)/SUN2000-36KTL-M3-ES2320083470_2.jpg, friendlyName=Deschide sursa</x:v>
      </x:c>
    </x:row>
    <x:row r="1413" ht="36" customHeight="1">
      <x:c r="A1413" s="8" t="str">
        <x:v>F1409</x:v>
      </x:c>
      <x:c r="B1413" s="8" t="str">
        <x:v>SUN2000-36KTL-M3-ES2320083473_1.jpg</x:v>
      </x:c>
      <x:c r="C1413" s="8" t="str">
        <x:v>30.1 Cerere Rambursare 1</x:v>
      </x:c>
      <x:c r="D1413" s="8" t="str">
        <x:v>Proiect fotovoltaic</x:v>
      </x:c>
      <x:c r="E1413" s="8" t="str">
        <x:v>.jpg</x:v>
      </x:c>
      <x:c r="F1413" s="8" t="n">
        <x:v>2781041</x:v>
      </x:c>
      <x:c r="G1413" s="8" t="str">
        <x:v>Inventariat; conținut neextras</x:v>
      </x:c>
      <x:c r="H1413" s="8" t="str">
        <x:v>Versiune de lucru / arhivă</x:v>
      </x:c>
      <x:c r="I1413" s="8" t="str"/>
      <x:c r="J1413" s="8" t="e">
        <x:f>HYPERLINK("file:///Z:/00. Proiecte 2025/AFIR FotoVoltaic 1/30.1 Cerere Rambursare 1/draft/Poze/INVERTOARE (1)/SUN2000-36KTL-M3-ES2320083473_1.jpg","Deschide sursa")</x:f>
        <x:v>HYPERLINK is not implemented. linkLocation=file:///Z:/00. Proiecte 2025/AFIR FotoVoltaic 1/30.1 Cerere Rambursare 1/draft/Poze/INVERTOARE (1)/SUN2000-36KTL-M3-ES2320083473_1.jpg, friendlyName=Deschide sursa</x:v>
      </x:c>
    </x:row>
    <x:row r="1414" ht="36" customHeight="1">
      <x:c r="A1414" s="8" t="str">
        <x:v>F1410</x:v>
      </x:c>
      <x:c r="B1414" s="8" t="str">
        <x:v>SUN2000-36KTL-M3-ES2320083473_2.jpg</x:v>
      </x:c>
      <x:c r="C1414" s="8" t="str">
        <x:v>30.1 Cerere Rambursare 1</x:v>
      </x:c>
      <x:c r="D1414" s="8" t="str">
        <x:v>Proiect fotovoltaic</x:v>
      </x:c>
      <x:c r="E1414" s="8" t="str">
        <x:v>.jpg</x:v>
      </x:c>
      <x:c r="F1414" s="8" t="n">
        <x:v>3335996</x:v>
      </x:c>
      <x:c r="G1414" s="8" t="str">
        <x:v>Inventariat; conținut neextras</x:v>
      </x:c>
      <x:c r="H1414" s="8" t="str">
        <x:v>Versiune de lucru / arhivă</x:v>
      </x:c>
      <x:c r="I1414" s="8" t="str"/>
      <x:c r="J1414" s="8" t="e">
        <x:f>HYPERLINK("file:///Z:/00. Proiecte 2025/AFIR FotoVoltaic 1/30.1 Cerere Rambursare 1/draft/Poze/INVERTOARE (1)/SUN2000-36KTL-M3-ES2320083473_2.jpg","Deschide sursa")</x:f>
        <x:v>HYPERLINK is not implemented. linkLocation=file:///Z:/00. Proiecte 2025/AFIR FotoVoltaic 1/30.1 Cerere Rambursare 1/draft/Poze/INVERTOARE (1)/SUN2000-36KTL-M3-ES2320083473_2.jpg, friendlyName=Deschide sursa</x:v>
      </x:c>
    </x:row>
    <x:row r="1415" ht="36" customHeight="1">
      <x:c r="A1415" s="8" t="str">
        <x:v>F1411</x:v>
      </x:c>
      <x:c r="B1415" s="8" t="str">
        <x:v>SUN2000-36KTL-M3-ES2320083620_1.jpg</x:v>
      </x:c>
      <x:c r="C1415" s="8" t="str">
        <x:v>30.1 Cerere Rambursare 1</x:v>
      </x:c>
      <x:c r="D1415" s="8" t="str">
        <x:v>Proiect fotovoltaic</x:v>
      </x:c>
      <x:c r="E1415" s="8" t="str">
        <x:v>.jpg</x:v>
      </x:c>
      <x:c r="F1415" s="8" t="n">
        <x:v>2675708</x:v>
      </x:c>
      <x:c r="G1415" s="8" t="str">
        <x:v>Inventariat; conținut neextras</x:v>
      </x:c>
      <x:c r="H1415" s="8" t="str">
        <x:v>Versiune de lucru / arhivă</x:v>
      </x:c>
      <x:c r="I1415" s="8" t="str"/>
      <x:c r="J1415" s="8" t="e">
        <x:f>HYPERLINK("file:///Z:/00. Proiecte 2025/AFIR FotoVoltaic 1/30.1 Cerere Rambursare 1/draft/Poze/INVERTOARE (1)/SUN2000-36KTL-M3-ES2320083620_1.jpg","Deschide sursa")</x:f>
        <x:v>HYPERLINK is not implemented. linkLocation=file:///Z:/00. Proiecte 2025/AFIR FotoVoltaic 1/30.1 Cerere Rambursare 1/draft/Poze/INVERTOARE (1)/SUN2000-36KTL-M3-ES2320083620_1.jpg, friendlyName=Deschide sursa</x:v>
      </x:c>
    </x:row>
    <x:row r="1416" ht="36" customHeight="1">
      <x:c r="A1416" s="8" t="str">
        <x:v>F1412</x:v>
      </x:c>
      <x:c r="B1416" s="8" t="str">
        <x:v>SUN2000-36KTL-M3-ES2320083620_2.jpg</x:v>
      </x:c>
      <x:c r="C1416" s="8" t="str">
        <x:v>30.1 Cerere Rambursare 1</x:v>
      </x:c>
      <x:c r="D1416" s="8" t="str">
        <x:v>Proiect fotovoltaic</x:v>
      </x:c>
      <x:c r="E1416" s="8" t="str">
        <x:v>.jpg</x:v>
      </x:c>
      <x:c r="F1416" s="8" t="n">
        <x:v>3039059</x:v>
      </x:c>
      <x:c r="G1416" s="8" t="str">
        <x:v>Inventariat; conținut neextras</x:v>
      </x:c>
      <x:c r="H1416" s="8" t="str">
        <x:v>Versiune de lucru / arhivă</x:v>
      </x:c>
      <x:c r="I1416" s="8" t="str"/>
      <x:c r="J1416" s="8" t="e">
        <x:f>HYPERLINK("file:///Z:/00. Proiecte 2025/AFIR FotoVoltaic 1/30.1 Cerere Rambursare 1/draft/Poze/INVERTOARE (1)/SUN2000-36KTL-M3-ES2320083620_2.jpg","Deschide sursa")</x:f>
        <x:v>HYPERLINK is not implemented. linkLocation=file:///Z:/00. Proiecte 2025/AFIR FotoVoltaic 1/30.1 Cerere Rambursare 1/draft/Poze/INVERTOARE (1)/SUN2000-36KTL-M3-ES2320083620_2.jpg, friendlyName=Deschide sursa</x:v>
      </x:c>
    </x:row>
    <x:row r="1417" ht="36" customHeight="1">
      <x:c r="A1417" s="8" t="str">
        <x:v>F1413</x:v>
      </x:c>
      <x:c r="B1417" s="8" t="str">
        <x:v>SUN2000-36KTL-M3-ES2320083621_1.jpg</x:v>
      </x:c>
      <x:c r="C1417" s="8" t="str">
        <x:v>30.1 Cerere Rambursare 1</x:v>
      </x:c>
      <x:c r="D1417" s="8" t="str">
        <x:v>Proiect fotovoltaic</x:v>
      </x:c>
      <x:c r="E1417" s="8" t="str">
        <x:v>.jpg</x:v>
      </x:c>
      <x:c r="F1417" s="8" t="n">
        <x:v>3107843</x:v>
      </x:c>
      <x:c r="G1417" s="8" t="str">
        <x:v>Inventariat; conținut neextras</x:v>
      </x:c>
      <x:c r="H1417" s="8" t="str">
        <x:v>Versiune de lucru / arhivă</x:v>
      </x:c>
      <x:c r="I1417" s="8" t="str"/>
      <x:c r="J1417" s="8" t="e">
        <x:f>HYPERLINK("file:///Z:/00. Proiecte 2025/AFIR FotoVoltaic 1/30.1 Cerere Rambursare 1/draft/Poze/INVERTOARE (1)/SUN2000-36KTL-M3-ES2320083621_1.jpg","Deschide sursa")</x:f>
        <x:v>HYPERLINK is not implemented. linkLocation=file:///Z:/00. Proiecte 2025/AFIR FotoVoltaic 1/30.1 Cerere Rambursare 1/draft/Poze/INVERTOARE (1)/SUN2000-36KTL-M3-ES2320083621_1.jpg, friendlyName=Deschide sursa</x:v>
      </x:c>
    </x:row>
    <x:row r="1418" ht="36" customHeight="1">
      <x:c r="A1418" s="8" t="str">
        <x:v>F1414</x:v>
      </x:c>
      <x:c r="B1418" s="8" t="str">
        <x:v>SUN2000-36KTL-M3-ES2320083621_2.jpg</x:v>
      </x:c>
      <x:c r="C1418" s="8" t="str">
        <x:v>30.1 Cerere Rambursare 1</x:v>
      </x:c>
      <x:c r="D1418" s="8" t="str">
        <x:v>Proiect fotovoltaic</x:v>
      </x:c>
      <x:c r="E1418" s="8" t="str">
        <x:v>.jpg</x:v>
      </x:c>
      <x:c r="F1418" s="8" t="n">
        <x:v>3157253</x:v>
      </x:c>
      <x:c r="G1418" s="8" t="str">
        <x:v>Inventariat; conținut neextras</x:v>
      </x:c>
      <x:c r="H1418" s="8" t="str">
        <x:v>Versiune de lucru / arhivă</x:v>
      </x:c>
      <x:c r="I1418" s="8" t="str"/>
      <x:c r="J1418" s="8" t="e">
        <x:f>HYPERLINK("file:///Z:/00. Proiecte 2025/AFIR FotoVoltaic 1/30.1 Cerere Rambursare 1/draft/Poze/INVERTOARE (1)/SUN2000-36KTL-M3-ES2320083621_2.jpg","Deschide sursa")</x:f>
        <x:v>HYPERLINK is not implemented. linkLocation=file:///Z:/00. Proiecte 2025/AFIR FotoVoltaic 1/30.1 Cerere Rambursare 1/draft/Poze/INVERTOARE (1)/SUN2000-36KTL-M3-ES2320083621_2.jpg, friendlyName=Deschide sursa</x:v>
      </x:c>
    </x:row>
    <x:row r="1419" ht="36" customHeight="1">
      <x:c r="A1419" s="8" t="str">
        <x:v>F1415</x:v>
      </x:c>
      <x:c r="B1419" s="8" t="str">
        <x:v>SUN2000-36KTL-M3-ES2320083660_1.jpg</x:v>
      </x:c>
      <x:c r="C1419" s="8" t="str">
        <x:v>30.1 Cerere Rambursare 1</x:v>
      </x:c>
      <x:c r="D1419" s="8" t="str">
        <x:v>Proiect fotovoltaic</x:v>
      </x:c>
      <x:c r="E1419" s="8" t="str">
        <x:v>.jpg</x:v>
      </x:c>
      <x:c r="F1419" s="8" t="n">
        <x:v>2668468</x:v>
      </x:c>
      <x:c r="G1419" s="8" t="str">
        <x:v>Inventariat; conținut neextras</x:v>
      </x:c>
      <x:c r="H1419" s="8" t="str">
        <x:v>Versiune de lucru / arhivă</x:v>
      </x:c>
      <x:c r="I1419" s="8" t="str"/>
      <x:c r="J1419" s="8" t="e">
        <x:f>HYPERLINK("file:///Z:/00. Proiecte 2025/AFIR FotoVoltaic 1/30.1 Cerere Rambursare 1/draft/Poze/INVERTOARE (1)/SUN2000-36KTL-M3-ES2320083660_1.jpg","Deschide sursa")</x:f>
        <x:v>HYPERLINK is not implemented. linkLocation=file:///Z:/00. Proiecte 2025/AFIR FotoVoltaic 1/30.1 Cerere Rambursare 1/draft/Poze/INVERTOARE (1)/SUN2000-36KTL-M3-ES2320083660_1.jpg, friendlyName=Deschide sursa</x:v>
      </x:c>
    </x:row>
    <x:row r="1420" ht="36" customHeight="1">
      <x:c r="A1420" s="8" t="str">
        <x:v>F1416</x:v>
      </x:c>
      <x:c r="B1420" s="8" t="str">
        <x:v>SUN2000-36KTL-M3-ES2320083660_2.jpg</x:v>
      </x:c>
      <x:c r="C1420" s="8" t="str">
        <x:v>30.1 Cerere Rambursare 1</x:v>
      </x:c>
      <x:c r="D1420" s="8" t="str">
        <x:v>Proiect fotovoltaic</x:v>
      </x:c>
      <x:c r="E1420" s="8" t="str">
        <x:v>.jpg</x:v>
      </x:c>
      <x:c r="F1420" s="8" t="n">
        <x:v>2536571</x:v>
      </x:c>
      <x:c r="G1420" s="8" t="str">
        <x:v>Inventariat; conținut neextras</x:v>
      </x:c>
      <x:c r="H1420" s="8" t="str">
        <x:v>Versiune de lucru / arhivă</x:v>
      </x:c>
      <x:c r="I1420" s="8" t="str"/>
      <x:c r="J1420" s="8" t="e">
        <x:f>HYPERLINK("file:///Z:/00. Proiecte 2025/AFIR FotoVoltaic 1/30.1 Cerere Rambursare 1/draft/Poze/INVERTOARE (1)/SUN2000-36KTL-M3-ES2320083660_2.jpg","Deschide sursa")</x:f>
        <x:v>HYPERLINK is not implemented. linkLocation=file:///Z:/00. Proiecte 2025/AFIR FotoVoltaic 1/30.1 Cerere Rambursare 1/draft/Poze/INVERTOARE (1)/SUN2000-36KTL-M3-ES2320083660_2.jpg, friendlyName=Deschide sursa</x:v>
      </x:c>
    </x:row>
    <x:row r="1421" ht="36" customHeight="1">
      <x:c r="A1421" s="8" t="str">
        <x:v>F1417</x:v>
      </x:c>
      <x:c r="B1421" s="8" t="str">
        <x:v>SUN2000-36KTL-M3-ES2320083678_1.jpg</x:v>
      </x:c>
      <x:c r="C1421" s="8" t="str">
        <x:v>30.1 Cerere Rambursare 1</x:v>
      </x:c>
      <x:c r="D1421" s="8" t="str">
        <x:v>Proiect fotovoltaic</x:v>
      </x:c>
      <x:c r="E1421" s="8" t="str">
        <x:v>.jpg</x:v>
      </x:c>
      <x:c r="F1421" s="8" t="n">
        <x:v>3270122</x:v>
      </x:c>
      <x:c r="G1421" s="8" t="str">
        <x:v>Inventariat; conținut neextras</x:v>
      </x:c>
      <x:c r="H1421" s="8" t="str">
        <x:v>Versiune de lucru / arhivă</x:v>
      </x:c>
      <x:c r="I1421" s="8" t="str"/>
      <x:c r="J1421" s="8" t="e">
        <x:f>HYPERLINK("file:///Z:/00. Proiecte 2025/AFIR FotoVoltaic 1/30.1 Cerere Rambursare 1/draft/Poze/INVERTOARE (1)/SUN2000-36KTL-M3-ES2320083678_1.jpg","Deschide sursa")</x:f>
        <x:v>HYPERLINK is not implemented. linkLocation=file:///Z:/00. Proiecte 2025/AFIR FotoVoltaic 1/30.1 Cerere Rambursare 1/draft/Poze/INVERTOARE (1)/SUN2000-36KTL-M3-ES2320083678_1.jpg, friendlyName=Deschide sursa</x:v>
      </x:c>
    </x:row>
    <x:row r="1422" ht="36" customHeight="1">
      <x:c r="A1422" s="8" t="str">
        <x:v>F1418</x:v>
      </x:c>
      <x:c r="B1422" s="8" t="str">
        <x:v>SUN2000-36KTL-M3-ES2320083678_2.jpg</x:v>
      </x:c>
      <x:c r="C1422" s="8" t="str">
        <x:v>30.1 Cerere Rambursare 1</x:v>
      </x:c>
      <x:c r="D1422" s="8" t="str">
        <x:v>Proiect fotovoltaic</x:v>
      </x:c>
      <x:c r="E1422" s="8" t="str">
        <x:v>.jpg</x:v>
      </x:c>
      <x:c r="F1422" s="8" t="n">
        <x:v>3184551</x:v>
      </x:c>
      <x:c r="G1422" s="8" t="str">
        <x:v>Inventariat; conținut neextras</x:v>
      </x:c>
      <x:c r="H1422" s="8" t="str">
        <x:v>Versiune de lucru / arhivă</x:v>
      </x:c>
      <x:c r="I1422" s="8" t="str"/>
      <x:c r="J1422" s="8" t="e">
        <x:f>HYPERLINK("file:///Z:/00. Proiecte 2025/AFIR FotoVoltaic 1/30.1 Cerere Rambursare 1/draft/Poze/INVERTOARE (1)/SUN2000-36KTL-M3-ES2320083678_2.jpg","Deschide sursa")</x:f>
        <x:v>HYPERLINK is not implemented. linkLocation=file:///Z:/00. Proiecte 2025/AFIR FotoVoltaic 1/30.1 Cerere Rambursare 1/draft/Poze/INVERTOARE (1)/SUN2000-36KTL-M3-ES2320083678_2.jpg, friendlyName=Deschide sursa</x:v>
      </x:c>
    </x:row>
    <x:row r="1423" ht="36" customHeight="1">
      <x:c r="A1423" s="8" t="str">
        <x:v>F1419</x:v>
      </x:c>
      <x:c r="B1423" s="8" t="str">
        <x:v>SUN2000-36KTL-M3-ES2320083710_1.jpg</x:v>
      </x:c>
      <x:c r="C1423" s="8" t="str">
        <x:v>30.1 Cerere Rambursare 1</x:v>
      </x:c>
      <x:c r="D1423" s="8" t="str">
        <x:v>Proiect fotovoltaic</x:v>
      </x:c>
      <x:c r="E1423" s="8" t="str">
        <x:v>.jpg</x:v>
      </x:c>
      <x:c r="F1423" s="8" t="n">
        <x:v>3026288</x:v>
      </x:c>
      <x:c r="G1423" s="8" t="str">
        <x:v>Inventariat; conținut neextras</x:v>
      </x:c>
      <x:c r="H1423" s="8" t="str">
        <x:v>Versiune de lucru / arhivă</x:v>
      </x:c>
      <x:c r="I1423" s="8" t="str"/>
      <x:c r="J1423" s="8" t="e">
        <x:f>HYPERLINK("file:///Z:/00. Proiecte 2025/AFIR FotoVoltaic 1/30.1 Cerere Rambursare 1/draft/Poze/INVERTOARE (1)/SUN2000-36KTL-M3-ES2320083710_1.jpg","Deschide sursa")</x:f>
        <x:v>HYPERLINK is not implemented. linkLocation=file:///Z:/00. Proiecte 2025/AFIR FotoVoltaic 1/30.1 Cerere Rambursare 1/draft/Poze/INVERTOARE (1)/SUN2000-36KTL-M3-ES2320083710_1.jpg, friendlyName=Deschide sursa</x:v>
      </x:c>
    </x:row>
    <x:row r="1424" ht="36" customHeight="1">
      <x:c r="A1424" s="8" t="str">
        <x:v>F1420</x:v>
      </x:c>
      <x:c r="B1424" s="8" t="str">
        <x:v>SUN2000-36KTL-M3-ES2320083710_2.jpg</x:v>
      </x:c>
      <x:c r="C1424" s="8" t="str">
        <x:v>30.1 Cerere Rambursare 1</x:v>
      </x:c>
      <x:c r="D1424" s="8" t="str">
        <x:v>Proiect fotovoltaic</x:v>
      </x:c>
      <x:c r="E1424" s="8" t="str">
        <x:v>.jpg</x:v>
      </x:c>
      <x:c r="F1424" s="8" t="n">
        <x:v>2009013</x:v>
      </x:c>
      <x:c r="G1424" s="8" t="str">
        <x:v>Inventariat; conținut neextras</x:v>
      </x:c>
      <x:c r="H1424" s="8" t="str">
        <x:v>Versiune de lucru / arhivă</x:v>
      </x:c>
      <x:c r="I1424" s="8" t="str"/>
      <x:c r="J1424" s="8" t="e">
        <x:f>HYPERLINK("file:///Z:/00. Proiecte 2025/AFIR FotoVoltaic 1/30.1 Cerere Rambursare 1/draft/Poze/INVERTOARE (1)/SUN2000-36KTL-M3-ES2320083710_2.jpg","Deschide sursa")</x:f>
        <x:v>HYPERLINK is not implemented. linkLocation=file:///Z:/00. Proiecte 2025/AFIR FotoVoltaic 1/30.1 Cerere Rambursare 1/draft/Poze/INVERTOARE (1)/SUN2000-36KTL-M3-ES2320083710_2.jpg, friendlyName=Deschide sursa</x:v>
      </x:c>
    </x:row>
    <x:row r="1425" ht="36" customHeight="1">
      <x:c r="A1425" s="8" t="str">
        <x:v>F1421</x:v>
      </x:c>
      <x:c r="B1425" s="8" t="str">
        <x:v>SUN2000-36KTL-M3-ES2320083710_3.jpg</x:v>
      </x:c>
      <x:c r="C1425" s="8" t="str">
        <x:v>30.1 Cerere Rambursare 1</x:v>
      </x:c>
      <x:c r="D1425" s="8" t="str">
        <x:v>Proiect fotovoltaic</x:v>
      </x:c>
      <x:c r="E1425" s="8" t="str">
        <x:v>.jpg</x:v>
      </x:c>
      <x:c r="F1425" s="8" t="n">
        <x:v>2040663</x:v>
      </x:c>
      <x:c r="G1425" s="8" t="str">
        <x:v>Inventariat; conținut neextras</x:v>
      </x:c>
      <x:c r="H1425" s="8" t="str">
        <x:v>Versiune de lucru / arhivă</x:v>
      </x:c>
      <x:c r="I1425" s="8" t="str"/>
      <x:c r="J1425" s="8" t="e">
        <x:f>HYPERLINK("file:///Z:/00. Proiecte 2025/AFIR FotoVoltaic 1/30.1 Cerere Rambursare 1/draft/Poze/INVERTOARE (1)/SUN2000-36KTL-M3-ES2320083710_3.jpg","Deschide sursa")</x:f>
        <x:v>HYPERLINK is not implemented. linkLocation=file:///Z:/00. Proiecte 2025/AFIR FotoVoltaic 1/30.1 Cerere Rambursare 1/draft/Poze/INVERTOARE (1)/SUN2000-36KTL-M3-ES2320083710_3.jpg, friendlyName=Deschide sursa</x:v>
      </x:c>
    </x:row>
    <x:row r="1426" ht="36" customHeight="1">
      <x:c r="A1426" s="8" t="str">
        <x:v>F1422</x:v>
      </x:c>
      <x:c r="B1426" s="8" t="str">
        <x:v>SUN2000-36KTL-M3-ES2320083770_1.jpg</x:v>
      </x:c>
      <x:c r="C1426" s="8" t="str">
        <x:v>30.1 Cerere Rambursare 1</x:v>
      </x:c>
      <x:c r="D1426" s="8" t="str">
        <x:v>Proiect fotovoltaic</x:v>
      </x:c>
      <x:c r="E1426" s="8" t="str">
        <x:v>.jpg</x:v>
      </x:c>
      <x:c r="F1426" s="8" t="n">
        <x:v>3042098</x:v>
      </x:c>
      <x:c r="G1426" s="8" t="str">
        <x:v>Inventariat; conținut neextras</x:v>
      </x:c>
      <x:c r="H1426" s="8" t="str">
        <x:v>Versiune de lucru / arhivă</x:v>
      </x:c>
      <x:c r="I1426" s="8" t="str"/>
      <x:c r="J1426" s="8" t="e">
        <x:f>HYPERLINK("file:///Z:/00. Proiecte 2025/AFIR FotoVoltaic 1/30.1 Cerere Rambursare 1/draft/Poze/INVERTOARE (1)/SUN2000-36KTL-M3-ES2320083770_1.jpg","Deschide sursa")</x:f>
        <x:v>HYPERLINK is not implemented. linkLocation=file:///Z:/00. Proiecte 2025/AFIR FotoVoltaic 1/30.1 Cerere Rambursare 1/draft/Poze/INVERTOARE (1)/SUN2000-36KTL-M3-ES2320083770_1.jpg, friendlyName=Deschide sursa</x:v>
      </x:c>
    </x:row>
    <x:row r="1427" ht="36" customHeight="1">
      <x:c r="A1427" s="8" t="str">
        <x:v>F1423</x:v>
      </x:c>
      <x:c r="B1427" s="8" t="str">
        <x:v>SUN2000-36KTL-M3-ES2320083770_2.jpg</x:v>
      </x:c>
      <x:c r="C1427" s="8" t="str">
        <x:v>30.1 Cerere Rambursare 1</x:v>
      </x:c>
      <x:c r="D1427" s="8" t="str">
        <x:v>Proiect fotovoltaic</x:v>
      </x:c>
      <x:c r="E1427" s="8" t="str">
        <x:v>.jpg</x:v>
      </x:c>
      <x:c r="F1427" s="8" t="n">
        <x:v>2934359</x:v>
      </x:c>
      <x:c r="G1427" s="8" t="str">
        <x:v>Inventariat; conținut neextras</x:v>
      </x:c>
      <x:c r="H1427" s="8" t="str">
        <x:v>Versiune de lucru / arhivă</x:v>
      </x:c>
      <x:c r="I1427" s="8" t="str"/>
      <x:c r="J1427" s="8" t="e">
        <x:f>HYPERLINK("file:///Z:/00. Proiecte 2025/AFIR FotoVoltaic 1/30.1 Cerere Rambursare 1/draft/Poze/INVERTOARE (1)/SUN2000-36KTL-M3-ES2320083770_2.jpg","Deschide sursa")</x:f>
        <x:v>HYPERLINK is not implemented. linkLocation=file:///Z:/00. Proiecte 2025/AFIR FotoVoltaic 1/30.1 Cerere Rambursare 1/draft/Poze/INVERTOARE (1)/SUN2000-36KTL-M3-ES2320083770_2.jpg, friendlyName=Deschide sursa</x:v>
      </x:c>
    </x:row>
    <x:row r="1428" ht="36" customHeight="1">
      <x:c r="A1428" s="8" t="str">
        <x:v>F1424</x:v>
      </x:c>
      <x:c r="B1428" s="8" t="str">
        <x:v>SUN2000-36KTL-M3-ES2320083794_1.jpg</x:v>
      </x:c>
      <x:c r="C1428" s="8" t="str">
        <x:v>30.1 Cerere Rambursare 1</x:v>
      </x:c>
      <x:c r="D1428" s="8" t="str">
        <x:v>Proiect fotovoltaic</x:v>
      </x:c>
      <x:c r="E1428" s="8" t="str">
        <x:v>.jpg</x:v>
      </x:c>
      <x:c r="F1428" s="8" t="n">
        <x:v>2460501</x:v>
      </x:c>
      <x:c r="G1428" s="8" t="str">
        <x:v>Inventariat; conținut neextras</x:v>
      </x:c>
      <x:c r="H1428" s="8" t="str">
        <x:v>Versiune de lucru / arhivă</x:v>
      </x:c>
      <x:c r="I1428" s="8" t="str"/>
      <x:c r="J1428" s="8" t="e">
        <x:f>HYPERLINK("file:///Z:/00. Proiecte 2025/AFIR FotoVoltaic 1/30.1 Cerere Rambursare 1/draft/Poze/INVERTOARE (1)/SUN2000-36KTL-M3-ES2320083794_1.jpg","Deschide sursa")</x:f>
        <x:v>HYPERLINK is not implemented. linkLocation=file:///Z:/00. Proiecte 2025/AFIR FotoVoltaic 1/30.1 Cerere Rambursare 1/draft/Poze/INVERTOARE (1)/SUN2000-36KTL-M3-ES2320083794_1.jpg, friendlyName=Deschide sursa</x:v>
      </x:c>
    </x:row>
    <x:row r="1429" ht="36" customHeight="1">
      <x:c r="A1429" s="8" t="str">
        <x:v>F1425</x:v>
      </x:c>
      <x:c r="B1429" s="8" t="str">
        <x:v>SUN2000-36KTL-M3-ES2320083794_2.jpg</x:v>
      </x:c>
      <x:c r="C1429" s="8" t="str">
        <x:v>30.1 Cerere Rambursare 1</x:v>
      </x:c>
      <x:c r="D1429" s="8" t="str">
        <x:v>Proiect fotovoltaic</x:v>
      </x:c>
      <x:c r="E1429" s="8" t="str">
        <x:v>.jpg</x:v>
      </x:c>
      <x:c r="F1429" s="8" t="n">
        <x:v>2491496</x:v>
      </x:c>
      <x:c r="G1429" s="8" t="str">
        <x:v>Inventariat; conținut neextras</x:v>
      </x:c>
      <x:c r="H1429" s="8" t="str">
        <x:v>Versiune de lucru / arhivă</x:v>
      </x:c>
      <x:c r="I1429" s="8" t="str"/>
      <x:c r="J1429" s="8" t="e">
        <x:f>HYPERLINK("file:///Z:/00. Proiecte 2025/AFIR FotoVoltaic 1/30.1 Cerere Rambursare 1/draft/Poze/INVERTOARE (1)/SUN2000-36KTL-M3-ES2320083794_2.jpg","Deschide sursa")</x:f>
        <x:v>HYPERLINK is not implemented. linkLocation=file:///Z:/00. Proiecte 2025/AFIR FotoVoltaic 1/30.1 Cerere Rambursare 1/draft/Poze/INVERTOARE (1)/SUN2000-36KTL-M3-ES2320083794_2.jpg, friendlyName=Deschide sursa</x:v>
      </x:c>
    </x:row>
    <x:row r="1430" ht="36" customHeight="1">
      <x:c r="A1430" s="8" t="str">
        <x:v>F1426</x:v>
      </x:c>
      <x:c r="B1430" s="8" t="str">
        <x:v>SUN2000-36KTL-M3-ES2320083831_1.jpg</x:v>
      </x:c>
      <x:c r="C1430" s="8" t="str">
        <x:v>30.1 Cerere Rambursare 1</x:v>
      </x:c>
      <x:c r="D1430" s="8" t="str">
        <x:v>Proiect fotovoltaic</x:v>
      </x:c>
      <x:c r="E1430" s="8" t="str">
        <x:v>.jpg</x:v>
      </x:c>
      <x:c r="F1430" s="8" t="n">
        <x:v>2734853</x:v>
      </x:c>
      <x:c r="G1430" s="8" t="str">
        <x:v>Inventariat; conținut neextras</x:v>
      </x:c>
      <x:c r="H1430" s="8" t="str">
        <x:v>Versiune de lucru / arhivă</x:v>
      </x:c>
      <x:c r="I1430" s="8" t="str"/>
      <x:c r="J1430" s="8" t="e">
        <x:f>HYPERLINK("file:///Z:/00. Proiecte 2025/AFIR FotoVoltaic 1/30.1 Cerere Rambursare 1/draft/Poze/INVERTOARE (1)/SUN2000-36KTL-M3-ES2320083831_1.jpg","Deschide sursa")</x:f>
        <x:v>HYPERLINK is not implemented. linkLocation=file:///Z:/00. Proiecte 2025/AFIR FotoVoltaic 1/30.1 Cerere Rambursare 1/draft/Poze/INVERTOARE (1)/SUN2000-36KTL-M3-ES2320083831_1.jpg, friendlyName=Deschide sursa</x:v>
      </x:c>
    </x:row>
    <x:row r="1431" ht="36" customHeight="1">
      <x:c r="A1431" s="8" t="str">
        <x:v>F1427</x:v>
      </x:c>
      <x:c r="B1431" s="8" t="str">
        <x:v>SUN2000-36KTL-M3-ES2320083831_2.jpg</x:v>
      </x:c>
      <x:c r="C1431" s="8" t="str">
        <x:v>30.1 Cerere Rambursare 1</x:v>
      </x:c>
      <x:c r="D1431" s="8" t="str">
        <x:v>Proiect fotovoltaic</x:v>
      </x:c>
      <x:c r="E1431" s="8" t="str">
        <x:v>.jpg</x:v>
      </x:c>
      <x:c r="F1431" s="8" t="n">
        <x:v>2905954</x:v>
      </x:c>
      <x:c r="G1431" s="8" t="str">
        <x:v>Inventariat; conținut neextras</x:v>
      </x:c>
      <x:c r="H1431" s="8" t="str">
        <x:v>Versiune de lucru / arhivă</x:v>
      </x:c>
      <x:c r="I1431" s="8" t="str"/>
      <x:c r="J1431" s="8" t="e">
        <x:f>HYPERLINK("file:///Z:/00. Proiecte 2025/AFIR FotoVoltaic 1/30.1 Cerere Rambursare 1/draft/Poze/INVERTOARE (1)/SUN2000-36KTL-M3-ES2320083831_2.jpg","Deschide sursa")</x:f>
        <x:v>HYPERLINK is not implemented. linkLocation=file:///Z:/00. Proiecte 2025/AFIR FotoVoltaic 1/30.1 Cerere Rambursare 1/draft/Poze/INVERTOARE (1)/SUN2000-36KTL-M3-ES2320083831_2.jpg, friendlyName=Deschide sursa</x:v>
      </x:c>
    </x:row>
    <x:row r="1432" ht="36" customHeight="1">
      <x:c r="A1432" s="8" t="str">
        <x:v>F1428</x:v>
      </x:c>
      <x:c r="B1432" s="8" t="str">
        <x:v>SUN2000-36KTL-M3-ES2320083922_1.jpg</x:v>
      </x:c>
      <x:c r="C1432" s="8" t="str">
        <x:v>30.1 Cerere Rambursare 1</x:v>
      </x:c>
      <x:c r="D1432" s="8" t="str">
        <x:v>Proiect fotovoltaic</x:v>
      </x:c>
      <x:c r="E1432" s="8" t="str">
        <x:v>.jpg</x:v>
      </x:c>
      <x:c r="F1432" s="8" t="n">
        <x:v>2770024</x:v>
      </x:c>
      <x:c r="G1432" s="8" t="str">
        <x:v>Inventariat; conținut neextras</x:v>
      </x:c>
      <x:c r="H1432" s="8" t="str">
        <x:v>Versiune de lucru / arhivă</x:v>
      </x:c>
      <x:c r="I1432" s="8" t="str"/>
      <x:c r="J1432" s="8" t="e">
        <x:f>HYPERLINK("file:///Z:/00. Proiecte 2025/AFIR FotoVoltaic 1/30.1 Cerere Rambursare 1/draft/Poze/INVERTOARE (1)/SUN2000-36KTL-M3-ES2320083922_1.jpg","Deschide sursa")</x:f>
        <x:v>HYPERLINK is not implemented. linkLocation=file:///Z:/00. Proiecte 2025/AFIR FotoVoltaic 1/30.1 Cerere Rambursare 1/draft/Poze/INVERTOARE (1)/SUN2000-36KTL-M3-ES2320083922_1.jpg, friendlyName=Deschide sursa</x:v>
      </x:c>
    </x:row>
    <x:row r="1433" ht="36" customHeight="1">
      <x:c r="A1433" s="8" t="str">
        <x:v>F1429</x:v>
      </x:c>
      <x:c r="B1433" s="8" t="str">
        <x:v>SUN2000-36KTL-M3-ES2320083922_2.jpg</x:v>
      </x:c>
      <x:c r="C1433" s="8" t="str">
        <x:v>30.1 Cerere Rambursare 1</x:v>
      </x:c>
      <x:c r="D1433" s="8" t="str">
        <x:v>Proiect fotovoltaic</x:v>
      </x:c>
      <x:c r="E1433" s="8" t="str">
        <x:v>.jpg</x:v>
      </x:c>
      <x:c r="F1433" s="8" t="n">
        <x:v>2838349</x:v>
      </x:c>
      <x:c r="G1433" s="8" t="str">
        <x:v>Inventariat; conținut neextras</x:v>
      </x:c>
      <x:c r="H1433" s="8" t="str">
        <x:v>Versiune de lucru / arhivă</x:v>
      </x:c>
      <x:c r="I1433" s="8" t="str"/>
      <x:c r="J1433" s="8" t="e">
        <x:f>HYPERLINK("file:///Z:/00. Proiecte 2025/AFIR FotoVoltaic 1/30.1 Cerere Rambursare 1/draft/Poze/INVERTOARE (1)/SUN2000-36KTL-M3-ES2320083922_2.jpg","Deschide sursa")</x:f>
        <x:v>HYPERLINK is not implemented. linkLocation=file:///Z:/00. Proiecte 2025/AFIR FotoVoltaic 1/30.1 Cerere Rambursare 1/draft/Poze/INVERTOARE (1)/SUN2000-36KTL-M3-ES2320083922_2.jpg, friendlyName=Deschide sursa</x:v>
      </x:c>
    </x:row>
    <x:row r="1434" ht="36" customHeight="1">
      <x:c r="A1434" s="8" t="str">
        <x:v>F1430</x:v>
      </x:c>
      <x:c r="B1434" s="8" t="str">
        <x:v>SUN2000-36KTL-M3-ES2320083923_1.jpg</x:v>
      </x:c>
      <x:c r="C1434" s="8" t="str">
        <x:v>30.1 Cerere Rambursare 1</x:v>
      </x:c>
      <x:c r="D1434" s="8" t="str">
        <x:v>Proiect fotovoltaic</x:v>
      </x:c>
      <x:c r="E1434" s="8" t="str">
        <x:v>.jpg</x:v>
      </x:c>
      <x:c r="F1434" s="8" t="n">
        <x:v>2363241</x:v>
      </x:c>
      <x:c r="G1434" s="8" t="str">
        <x:v>Inventariat; conținut neextras</x:v>
      </x:c>
      <x:c r="H1434" s="8" t="str">
        <x:v>Versiune de lucru / arhivă</x:v>
      </x:c>
      <x:c r="I1434" s="8" t="str"/>
      <x:c r="J1434" s="8" t="e">
        <x:f>HYPERLINK("file:///Z:/00. Proiecte 2025/AFIR FotoVoltaic 1/30.1 Cerere Rambursare 1/draft/Poze/INVERTOARE (1)/SUN2000-36KTL-M3-ES2320083923_1.jpg","Deschide sursa")</x:f>
        <x:v>HYPERLINK is not implemented. linkLocation=file:///Z:/00. Proiecte 2025/AFIR FotoVoltaic 1/30.1 Cerere Rambursare 1/draft/Poze/INVERTOARE (1)/SUN2000-36KTL-M3-ES2320083923_1.jpg, friendlyName=Deschide sursa</x:v>
      </x:c>
    </x:row>
    <x:row r="1435" ht="36" customHeight="1">
      <x:c r="A1435" s="8" t="str">
        <x:v>F1431</x:v>
      </x:c>
      <x:c r="B1435" s="8" t="str">
        <x:v>SUN2000-36KTL-M3-ES2320083923_2.jpg</x:v>
      </x:c>
      <x:c r="C1435" s="8" t="str">
        <x:v>30.1 Cerere Rambursare 1</x:v>
      </x:c>
      <x:c r="D1435" s="8" t="str">
        <x:v>Proiect fotovoltaic</x:v>
      </x:c>
      <x:c r="E1435" s="8" t="str">
        <x:v>.jpg</x:v>
      </x:c>
      <x:c r="F1435" s="8" t="n">
        <x:v>2461245</x:v>
      </x:c>
      <x:c r="G1435" s="8" t="str">
        <x:v>Inventariat; conținut neextras</x:v>
      </x:c>
      <x:c r="H1435" s="8" t="str">
        <x:v>Versiune de lucru / arhivă</x:v>
      </x:c>
      <x:c r="I1435" s="8" t="str"/>
      <x:c r="J1435" s="8" t="e">
        <x:f>HYPERLINK("file:///Z:/00. Proiecte 2025/AFIR FotoVoltaic 1/30.1 Cerere Rambursare 1/draft/Poze/INVERTOARE (1)/SUN2000-36KTL-M3-ES2320083923_2.jpg","Deschide sursa")</x:f>
        <x:v>HYPERLINK is not implemented. linkLocation=file:///Z:/00. Proiecte 2025/AFIR FotoVoltaic 1/30.1 Cerere Rambursare 1/draft/Poze/INVERTOARE (1)/SUN2000-36KTL-M3-ES2320083923_2.jpg, friendlyName=Deschide sursa</x:v>
      </x:c>
    </x:row>
    <x:row r="1436" ht="36" customHeight="1">
      <x:c r="A1436" s="8" t="str">
        <x:v>F1432</x:v>
      </x:c>
      <x:c r="B1436" s="8" t="str">
        <x:v>SUN2000-36KTL-M3-ES2320083924_1.jpg</x:v>
      </x:c>
      <x:c r="C1436" s="8" t="str">
        <x:v>30.1 Cerere Rambursare 1</x:v>
      </x:c>
      <x:c r="D1436" s="8" t="str">
        <x:v>Proiect fotovoltaic</x:v>
      </x:c>
      <x:c r="E1436" s="8" t="str">
        <x:v>.jpg</x:v>
      </x:c>
      <x:c r="F1436" s="8" t="n">
        <x:v>2757716</x:v>
      </x:c>
      <x:c r="G1436" s="8" t="str">
        <x:v>Inventariat; conținut neextras</x:v>
      </x:c>
      <x:c r="H1436" s="8" t="str">
        <x:v>Versiune de lucru / arhivă</x:v>
      </x:c>
      <x:c r="I1436" s="8" t="str"/>
      <x:c r="J1436" s="8" t="e">
        <x:f>HYPERLINK("file:///Z:/00. Proiecte 2025/AFIR FotoVoltaic 1/30.1 Cerere Rambursare 1/draft/Poze/INVERTOARE (1)/SUN2000-36KTL-M3-ES2320083924_1.jpg","Deschide sursa")</x:f>
        <x:v>HYPERLINK is not implemented. linkLocation=file:///Z:/00. Proiecte 2025/AFIR FotoVoltaic 1/30.1 Cerere Rambursare 1/draft/Poze/INVERTOARE (1)/SUN2000-36KTL-M3-ES2320083924_1.jpg, friendlyName=Deschide sursa</x:v>
      </x:c>
    </x:row>
    <x:row r="1437" ht="36" customHeight="1">
      <x:c r="A1437" s="8" t="str">
        <x:v>F1433</x:v>
      </x:c>
      <x:c r="B1437" s="8" t="str">
        <x:v>SUN2000-36KTL-M3-ES2320083924_2.jpg</x:v>
      </x:c>
      <x:c r="C1437" s="8" t="str">
        <x:v>30.1 Cerere Rambursare 1</x:v>
      </x:c>
      <x:c r="D1437" s="8" t="str">
        <x:v>Proiect fotovoltaic</x:v>
      </x:c>
      <x:c r="E1437" s="8" t="str">
        <x:v>.jpg</x:v>
      </x:c>
      <x:c r="F1437" s="8" t="n">
        <x:v>2589887</x:v>
      </x:c>
      <x:c r="G1437" s="8" t="str">
        <x:v>Inventariat; conținut neextras</x:v>
      </x:c>
      <x:c r="H1437" s="8" t="str">
        <x:v>Versiune de lucru / arhivă</x:v>
      </x:c>
      <x:c r="I1437" s="8" t="str"/>
      <x:c r="J1437" s="8" t="e">
        <x:f>HYPERLINK("file:///Z:/00. Proiecte 2025/AFIR FotoVoltaic 1/30.1 Cerere Rambursare 1/draft/Poze/INVERTOARE (1)/SUN2000-36KTL-M3-ES2320083924_2.jpg","Deschide sursa")</x:f>
        <x:v>HYPERLINK is not implemented. linkLocation=file:///Z:/00. Proiecte 2025/AFIR FotoVoltaic 1/30.1 Cerere Rambursare 1/draft/Poze/INVERTOARE (1)/SUN2000-36KTL-M3-ES2320083924_2.jpg, friendlyName=Deschide sursa</x:v>
      </x:c>
    </x:row>
    <x:row r="1438" ht="36" customHeight="1">
      <x:c r="A1438" s="8" t="str">
        <x:v>F1434</x:v>
      </x:c>
      <x:c r="B1438" s="8" t="str">
        <x:v>_redenumire_log.csv</x:v>
      </x:c>
      <x:c r="C1438" s="8" t="str">
        <x:v>30.1 Cerere Rambursare 1</x:v>
      </x:c>
      <x:c r="D1438" s="8" t="str">
        <x:v>Proiect fotovoltaic</x:v>
      </x:c>
      <x:c r="E1438" s="8" t="str">
        <x:v>.csv</x:v>
      </x:c>
      <x:c r="F1438" s="8" t="n">
        <x:v>3929</x:v>
      </x:c>
      <x:c r="G1438" s="8" t="str">
        <x:v>Inventariat; conținut neextras</x:v>
      </x:c>
      <x:c r="H1438" s="8" t="str">
        <x:v>Versiune de lucru / arhivă</x:v>
      </x:c>
      <x:c r="I1438" s="8" t="str"/>
      <x:c r="J1438" s="8" t="e">
        <x:f>HYPERLINK("file:///Z:/00. Proiecte 2025/AFIR FotoVoltaic 1/30.1 Cerere Rambursare 1/draft/Poze/INVERTOARE (1)/_redenumire_log.csv","Deschide sursa")</x:f>
        <x:v>HYPERLINK is not implemented. linkLocation=file:///Z:/00. Proiecte 2025/AFIR FotoVoltaic 1/30.1 Cerere Rambursare 1/draft/Poze/INVERTOARE (1)/_redenumire_log.csv, friendlyName=Deschide sursa</x:v>
      </x:c>
    </x:row>
    <x:row r="1439" ht="36" customHeight="1">
      <x:c r="A1439" s="8" t="str">
        <x:v>F1435</x:v>
      </x:c>
      <x:c r="B1439" s="8" t="str">
        <x:v>20260708_163527.jpg</x:v>
      </x:c>
      <x:c r="C1439" s="8" t="str">
        <x:v>30.1 Cerere Rambursare 1</x:v>
      </x:c>
      <x:c r="D1439" s="8" t="str">
        <x:v>Proiect fotovoltaic</x:v>
      </x:c>
      <x:c r="E1439" s="8" t="str">
        <x:v>.jpg</x:v>
      </x:c>
      <x:c r="F1439" s="8" t="n">
        <x:v>3122205</x:v>
      </x:c>
      <x:c r="G1439" s="8" t="str">
        <x:v>Inventariat; conținut neextras</x:v>
      </x:c>
      <x:c r="H1439" s="8" t="str">
        <x:v>Versiune de lucru / arhivă</x:v>
      </x:c>
      <x:c r="I1439" s="8" t="str"/>
      <x:c r="J1439" s="8" t="e">
        <x:f>HYPERLINK("file:///Z:/00. Proiecte 2025/AFIR FotoVoltaic 1/30.1 Cerere Rambursare 1/draft/Poze/invertoare montate/20260708_163527.jpg","Deschide sursa")</x:f>
        <x:v>HYPERLINK is not implemented. linkLocation=file:///Z:/00. Proiecte 2025/AFIR FotoVoltaic 1/30.1 Cerere Rambursare 1/draft/Poze/invertoare montate/20260708_163527.jpg, friendlyName=Deschide sursa</x:v>
      </x:c>
    </x:row>
    <x:row r="1440" ht="36" customHeight="1">
      <x:c r="A1440" s="8" t="str">
        <x:v>F1436</x:v>
      </x:c>
      <x:c r="B1440" s="8" t="str">
        <x:v>20260708_163532.jpg</x:v>
      </x:c>
      <x:c r="C1440" s="8" t="str">
        <x:v>30.1 Cerere Rambursare 1</x:v>
      </x:c>
      <x:c r="D1440" s="8" t="str">
        <x:v>Proiect fotovoltaic</x:v>
      </x:c>
      <x:c r="E1440" s="8" t="str">
        <x:v>.jpg</x:v>
      </x:c>
      <x:c r="F1440" s="8" t="n">
        <x:v>2524085</x:v>
      </x:c>
      <x:c r="G1440" s="8" t="str">
        <x:v>Inventariat; conținut neextras</x:v>
      </x:c>
      <x:c r="H1440" s="8" t="str">
        <x:v>Versiune de lucru / arhivă</x:v>
      </x:c>
      <x:c r="I1440" s="8" t="str"/>
      <x:c r="J1440" s="8" t="e">
        <x:f>HYPERLINK("file:///Z:/00. Proiecte 2025/AFIR FotoVoltaic 1/30.1 Cerere Rambursare 1/draft/Poze/invertoare montate/20260708_163532.jpg","Deschide sursa")</x:f>
        <x:v>HYPERLINK is not implemented. linkLocation=file:///Z:/00. Proiecte 2025/AFIR FotoVoltaic 1/30.1 Cerere Rambursare 1/draft/Poze/invertoare montate/20260708_163532.jpg, friendlyName=Deschide sursa</x:v>
      </x:c>
    </x:row>
    <x:row r="1441" ht="36" customHeight="1">
      <x:c r="A1441" s="8" t="str">
        <x:v>F1437</x:v>
      </x:c>
      <x:c r="B1441" s="8" t="str">
        <x:v>20260708_163838.jpg</x:v>
      </x:c>
      <x:c r="C1441" s="8" t="str">
        <x:v>30.1 Cerere Rambursare 1</x:v>
      </x:c>
      <x:c r="D1441" s="8" t="str">
        <x:v>Proiect fotovoltaic</x:v>
      </x:c>
      <x:c r="E1441" s="8" t="str">
        <x:v>.jpg</x:v>
      </x:c>
      <x:c r="F1441" s="8" t="n">
        <x:v>2788231</x:v>
      </x:c>
      <x:c r="G1441" s="8" t="str">
        <x:v>Inventariat; conținut neextras</x:v>
      </x:c>
      <x:c r="H1441" s="8" t="str">
        <x:v>Versiune de lucru / arhivă</x:v>
      </x:c>
      <x:c r="I1441" s="8" t="str"/>
      <x:c r="J1441" s="8" t="e">
        <x:f>HYPERLINK("file:///Z:/00. Proiecte 2025/AFIR FotoVoltaic 1/30.1 Cerere Rambursare 1/draft/Poze/invertoare montate/20260708_163838.jpg","Deschide sursa")</x:f>
        <x:v>HYPERLINK is not implemented. linkLocation=file:///Z:/00. Proiecte 2025/AFIR FotoVoltaic 1/30.1 Cerere Rambursare 1/draft/Poze/invertoare montate/20260708_163838.jpg, friendlyName=Deschide sursa</x:v>
      </x:c>
    </x:row>
    <x:row r="1442" ht="36" customHeight="1">
      <x:c r="A1442" s="8" t="str">
        <x:v>F1438</x:v>
      </x:c>
      <x:c r="B1442" s="8" t="str">
        <x:v>20260708_170002.jpg</x:v>
      </x:c>
      <x:c r="C1442" s="8" t="str">
        <x:v>30.1 Cerere Rambursare 1</x:v>
      </x:c>
      <x:c r="D1442" s="8" t="str">
        <x:v>Proiect fotovoltaic</x:v>
      </x:c>
      <x:c r="E1442" s="8" t="str">
        <x:v>.jpg</x:v>
      </x:c>
      <x:c r="F1442" s="8" t="n">
        <x:v>3272536</x:v>
      </x:c>
      <x:c r="G1442" s="8" t="str">
        <x:v>Inventariat; conținut neextras</x:v>
      </x:c>
      <x:c r="H1442" s="8" t="str">
        <x:v>Versiune de lucru / arhivă</x:v>
      </x:c>
      <x:c r="I1442" s="8" t="str"/>
      <x:c r="J1442" s="8" t="e">
        <x:f>HYPERLINK("file:///Z:/00. Proiecte 2025/AFIR FotoVoltaic 1/30.1 Cerere Rambursare 1/draft/Poze/invertoare montate/20260708_170002.jpg","Deschide sursa")</x:f>
        <x:v>HYPERLINK is not implemented. linkLocation=file:///Z:/00. Proiecte 2025/AFIR FotoVoltaic 1/30.1 Cerere Rambursare 1/draft/Poze/invertoare montate/20260708_170002.jpg, friendlyName=Deschide sursa</x:v>
      </x:c>
    </x:row>
    <x:row r="1443" ht="36" customHeight="1">
      <x:c r="A1443" s="8" t="str">
        <x:v>F1439</x:v>
      </x:c>
      <x:c r="B1443" s="8" t="str">
        <x:v>20260708_170004.jpg</x:v>
      </x:c>
      <x:c r="C1443" s="8" t="str">
        <x:v>30.1 Cerere Rambursare 1</x:v>
      </x:c>
      <x:c r="D1443" s="8" t="str">
        <x:v>Proiect fotovoltaic</x:v>
      </x:c>
      <x:c r="E1443" s="8" t="str">
        <x:v>.jpg</x:v>
      </x:c>
      <x:c r="F1443" s="8" t="n">
        <x:v>3323489</x:v>
      </x:c>
      <x:c r="G1443" s="8" t="str">
        <x:v>Inventariat; conținut neextras</x:v>
      </x:c>
      <x:c r="H1443" s="8" t="str">
        <x:v>Versiune de lucru / arhivă</x:v>
      </x:c>
      <x:c r="I1443" s="8" t="str"/>
      <x:c r="J1443" s="8" t="e">
        <x:f>HYPERLINK("file:///Z:/00. Proiecte 2025/AFIR FotoVoltaic 1/30.1 Cerere Rambursare 1/draft/Poze/invertoare montate/20260708_170004.jpg","Deschide sursa")</x:f>
        <x:v>HYPERLINK is not implemented. linkLocation=file:///Z:/00. Proiecte 2025/AFIR FotoVoltaic 1/30.1 Cerere Rambursare 1/draft/Poze/invertoare montate/20260708_170004.jpg, friendlyName=Deschide sursa</x:v>
      </x:c>
    </x:row>
    <x:row r="1444" ht="36" customHeight="1">
      <x:c r="A1444" s="8" t="str">
        <x:v>F1440</x:v>
      </x:c>
      <x:c r="B1444" s="8" t="str">
        <x:v>20260708_170006.jpg</x:v>
      </x:c>
      <x:c r="C1444" s="8" t="str">
        <x:v>30.1 Cerere Rambursare 1</x:v>
      </x:c>
      <x:c r="D1444" s="8" t="str">
        <x:v>Proiect fotovoltaic</x:v>
      </x:c>
      <x:c r="E1444" s="8" t="str">
        <x:v>.jpg</x:v>
      </x:c>
      <x:c r="F1444" s="8" t="n">
        <x:v>3158165</x:v>
      </x:c>
      <x:c r="G1444" s="8" t="str">
        <x:v>Inventariat; conținut neextras</x:v>
      </x:c>
      <x:c r="H1444" s="8" t="str">
        <x:v>Versiune de lucru / arhivă</x:v>
      </x:c>
      <x:c r="I1444" s="8" t="str"/>
      <x:c r="J1444" s="8" t="e">
        <x:f>HYPERLINK("file:///Z:/00. Proiecte 2025/AFIR FotoVoltaic 1/30.1 Cerere Rambursare 1/draft/Poze/invertoare montate/20260708_170006.jpg","Deschide sursa")</x:f>
        <x:v>HYPERLINK is not implemented. linkLocation=file:///Z:/00. Proiecte 2025/AFIR FotoVoltaic 1/30.1 Cerere Rambursare 1/draft/Poze/invertoare montate/20260708_170006.jpg, friendlyName=Deschide sursa</x:v>
      </x:c>
    </x:row>
    <x:row r="1445" ht="36" customHeight="1">
      <x:c r="A1445" s="8" t="str">
        <x:v>F1441</x:v>
      </x:c>
      <x:c r="B1445" s="8" t="str">
        <x:v>20260708_170014.jpg</x:v>
      </x:c>
      <x:c r="C1445" s="8" t="str">
        <x:v>30.1 Cerere Rambursare 1</x:v>
      </x:c>
      <x:c r="D1445" s="8" t="str">
        <x:v>Proiect fotovoltaic</x:v>
      </x:c>
      <x:c r="E1445" s="8" t="str">
        <x:v>.jpg</x:v>
      </x:c>
      <x:c r="F1445" s="8" t="n">
        <x:v>3111783</x:v>
      </x:c>
      <x:c r="G1445" s="8" t="str">
        <x:v>Inventariat; conținut neextras</x:v>
      </x:c>
      <x:c r="H1445" s="8" t="str">
        <x:v>Versiune de lucru / arhivă</x:v>
      </x:c>
      <x:c r="I1445" s="8" t="str"/>
      <x:c r="J1445" s="8" t="e">
        <x:f>HYPERLINK("file:///Z:/00. Proiecte 2025/AFIR FotoVoltaic 1/30.1 Cerere Rambursare 1/draft/Poze/invertoare montate/20260708_170014.jpg","Deschide sursa")</x:f>
        <x:v>HYPERLINK is not implemented. linkLocation=file:///Z:/00. Proiecte 2025/AFIR FotoVoltaic 1/30.1 Cerere Rambursare 1/draft/Poze/invertoare montate/20260708_170014.jpg, friendlyName=Deschide sursa</x:v>
      </x:c>
    </x:row>
    <x:row r="1446" ht="36" customHeight="1">
      <x:c r="A1446" s="8" t="str">
        <x:v>F1442</x:v>
      </x:c>
      <x:c r="B1446" s="8" t="str">
        <x:v>20260708_170021.jpg</x:v>
      </x:c>
      <x:c r="C1446" s="8" t="str">
        <x:v>30.1 Cerere Rambursare 1</x:v>
      </x:c>
      <x:c r="D1446" s="8" t="str">
        <x:v>Proiect fotovoltaic</x:v>
      </x:c>
      <x:c r="E1446" s="8" t="str">
        <x:v>.jpg</x:v>
      </x:c>
      <x:c r="F1446" s="8" t="n">
        <x:v>3039162</x:v>
      </x:c>
      <x:c r="G1446" s="8" t="str">
        <x:v>Inventariat; conținut neextras</x:v>
      </x:c>
      <x:c r="H1446" s="8" t="str">
        <x:v>Versiune de lucru / arhivă</x:v>
      </x:c>
      <x:c r="I1446" s="8" t="str"/>
      <x:c r="J1446" s="8" t="e">
        <x:f>HYPERLINK("file:///Z:/00. Proiecte 2025/AFIR FotoVoltaic 1/30.1 Cerere Rambursare 1/draft/Poze/invertoare montate/20260708_170021.jpg","Deschide sursa")</x:f>
        <x:v>HYPERLINK is not implemented. linkLocation=file:///Z:/00. Proiecte 2025/AFIR FotoVoltaic 1/30.1 Cerere Rambursare 1/draft/Poze/invertoare montate/20260708_170021.jpg, friendlyName=Deschide sursa</x:v>
      </x:c>
    </x:row>
    <x:row r="1447" ht="36" customHeight="1">
      <x:c r="A1447" s="8" t="str">
        <x:v>F1443</x:v>
      </x:c>
      <x:c r="B1447" s="8" t="str">
        <x:v>20260708_170023.jpg</x:v>
      </x:c>
      <x:c r="C1447" s="8" t="str">
        <x:v>30.1 Cerere Rambursare 1</x:v>
      </x:c>
      <x:c r="D1447" s="8" t="str">
        <x:v>Proiect fotovoltaic</x:v>
      </x:c>
      <x:c r="E1447" s="8" t="str">
        <x:v>.jpg</x:v>
      </x:c>
      <x:c r="F1447" s="8" t="n">
        <x:v>3078457</x:v>
      </x:c>
      <x:c r="G1447" s="8" t="str">
        <x:v>Inventariat; conținut neextras</x:v>
      </x:c>
      <x:c r="H1447" s="8" t="str">
        <x:v>Versiune de lucru / arhivă</x:v>
      </x:c>
      <x:c r="I1447" s="8" t="str"/>
      <x:c r="J1447" s="8" t="e">
        <x:f>HYPERLINK("file:///Z:/00. Proiecte 2025/AFIR FotoVoltaic 1/30.1 Cerere Rambursare 1/draft/Poze/invertoare montate/20260708_170023.jpg","Deschide sursa")</x:f>
        <x:v>HYPERLINK is not implemented. linkLocation=file:///Z:/00. Proiecte 2025/AFIR FotoVoltaic 1/30.1 Cerere Rambursare 1/draft/Poze/invertoare montate/20260708_170023.jpg, friendlyName=Deschide sursa</x:v>
      </x:c>
    </x:row>
    <x:row r="1448" ht="36" customHeight="1">
      <x:c r="A1448" s="8" t="str">
        <x:v>F1444</x:v>
      </x:c>
      <x:c r="B1448" s="8" t="str">
        <x:v>20260708_170412.jpg</x:v>
      </x:c>
      <x:c r="C1448" s="8" t="str">
        <x:v>30.1 Cerere Rambursare 1</x:v>
      </x:c>
      <x:c r="D1448" s="8" t="str">
        <x:v>Proiect fotovoltaic</x:v>
      </x:c>
      <x:c r="E1448" s="8" t="str">
        <x:v>.jpg</x:v>
      </x:c>
      <x:c r="F1448" s="8" t="n">
        <x:v>2540143</x:v>
      </x:c>
      <x:c r="G1448" s="8" t="str">
        <x:v>Inventariat; conținut neextras</x:v>
      </x:c>
      <x:c r="H1448" s="8" t="str">
        <x:v>Versiune de lucru / arhivă</x:v>
      </x:c>
      <x:c r="I1448" s="8" t="str"/>
      <x:c r="J1448" s="8" t="e">
        <x:f>HYPERLINK("file:///Z:/00. Proiecte 2025/AFIR FotoVoltaic 1/30.1 Cerere Rambursare 1/draft/Poze/invertoare montate/20260708_170412.jpg","Deschide sursa")</x:f>
        <x:v>HYPERLINK is not implemented. linkLocation=file:///Z:/00. Proiecte 2025/AFIR FotoVoltaic 1/30.1 Cerere Rambursare 1/draft/Poze/invertoare montate/20260708_170412.jpg, friendlyName=Deschide sursa</x:v>
      </x:c>
    </x:row>
    <x:row r="1449" ht="36" customHeight="1">
      <x:c r="A1449" s="8" t="str">
        <x:v>F1445</x:v>
      </x:c>
      <x:c r="B1449" s="8" t="str">
        <x:v>20260708_170416.jpg</x:v>
      </x:c>
      <x:c r="C1449" s="8" t="str">
        <x:v>30.1 Cerere Rambursare 1</x:v>
      </x:c>
      <x:c r="D1449" s="8" t="str">
        <x:v>Proiect fotovoltaic</x:v>
      </x:c>
      <x:c r="E1449" s="8" t="str">
        <x:v>.jpg</x:v>
      </x:c>
      <x:c r="F1449" s="8" t="n">
        <x:v>2152797</x:v>
      </x:c>
      <x:c r="G1449" s="8" t="str">
        <x:v>Inventariat; conținut neextras</x:v>
      </x:c>
      <x:c r="H1449" s="8" t="str">
        <x:v>Versiune de lucru / arhivă</x:v>
      </x:c>
      <x:c r="I1449" s="8" t="str"/>
      <x:c r="J1449" s="8" t="e">
        <x:f>HYPERLINK("file:///Z:/00. Proiecte 2025/AFIR FotoVoltaic 1/30.1 Cerere Rambursare 1/draft/Poze/invertoare montate/20260708_170416.jpg","Deschide sursa")</x:f>
        <x:v>HYPERLINK is not implemented. linkLocation=file:///Z:/00. Proiecte 2025/AFIR FotoVoltaic 1/30.1 Cerere Rambursare 1/draft/Poze/invertoare montate/20260708_170416.jpg, friendlyName=Deschide sursa</x:v>
      </x:c>
    </x:row>
    <x:row r="1450" ht="36" customHeight="1">
      <x:c r="A1450" s="8" t="str">
        <x:v>F1446</x:v>
      </x:c>
      <x:c r="B1450" s="8" t="str">
        <x:v>20260708_170421.jpg</x:v>
      </x:c>
      <x:c r="C1450" s="8" t="str">
        <x:v>30.1 Cerere Rambursare 1</x:v>
      </x:c>
      <x:c r="D1450" s="8" t="str">
        <x:v>Proiect fotovoltaic</x:v>
      </x:c>
      <x:c r="E1450" s="8" t="str">
        <x:v>.jpg</x:v>
      </x:c>
      <x:c r="F1450" s="8" t="n">
        <x:v>2229598</x:v>
      </x:c>
      <x:c r="G1450" s="8" t="str">
        <x:v>Inventariat; conținut neextras</x:v>
      </x:c>
      <x:c r="H1450" s="8" t="str">
        <x:v>Versiune de lucru / arhivă</x:v>
      </x:c>
      <x:c r="I1450" s="8" t="str"/>
      <x:c r="J1450" s="8" t="e">
        <x:f>HYPERLINK("file:///Z:/00. Proiecte 2025/AFIR FotoVoltaic 1/30.1 Cerere Rambursare 1/draft/Poze/invertoare montate/20260708_170421.jpg","Deschide sursa")</x:f>
        <x:v>HYPERLINK is not implemented. linkLocation=file:///Z:/00. Proiecte 2025/AFIR FotoVoltaic 1/30.1 Cerere Rambursare 1/draft/Poze/invertoare montate/20260708_170421.jpg, friendlyName=Deschide sursa</x:v>
      </x:c>
    </x:row>
    <x:row r="1451" ht="36" customHeight="1">
      <x:c r="A1451" s="8" t="str">
        <x:v>F1447</x:v>
      </x:c>
      <x:c r="B1451" s="8" t="str">
        <x:v>20260708_170441.jpg</x:v>
      </x:c>
      <x:c r="C1451" s="8" t="str">
        <x:v>30.1 Cerere Rambursare 1</x:v>
      </x:c>
      <x:c r="D1451" s="8" t="str">
        <x:v>Proiect fotovoltaic</x:v>
      </x:c>
      <x:c r="E1451" s="8" t="str">
        <x:v>.jpg</x:v>
      </x:c>
      <x:c r="F1451" s="8" t="n">
        <x:v>2566702</x:v>
      </x:c>
      <x:c r="G1451" s="8" t="str">
        <x:v>Inventariat; conținut neextras</x:v>
      </x:c>
      <x:c r="H1451" s="8" t="str">
        <x:v>Versiune de lucru / arhivă</x:v>
      </x:c>
      <x:c r="I1451" s="8" t="str"/>
      <x:c r="J1451" s="8" t="e">
        <x:f>HYPERLINK("file:///Z:/00. Proiecte 2025/AFIR FotoVoltaic 1/30.1 Cerere Rambursare 1/draft/Poze/invertoare montate/20260708_170441.jpg","Deschide sursa")</x:f>
        <x:v>HYPERLINK is not implemented. linkLocation=file:///Z:/00. Proiecte 2025/AFIR FotoVoltaic 1/30.1 Cerere Rambursare 1/draft/Poze/invertoare montate/20260708_170441.jpg, friendlyName=Deschide sursa</x:v>
      </x:c>
    </x:row>
    <x:row r="1452" ht="36" customHeight="1">
      <x:c r="A1452" s="8" t="str">
        <x:v>F1448</x:v>
      </x:c>
      <x:c r="B1452" s="8" t="str">
        <x:v>20260708_170445.jpg</x:v>
      </x:c>
      <x:c r="C1452" s="8" t="str">
        <x:v>30.1 Cerere Rambursare 1</x:v>
      </x:c>
      <x:c r="D1452" s="8" t="str">
        <x:v>Proiect fotovoltaic</x:v>
      </x:c>
      <x:c r="E1452" s="8" t="str">
        <x:v>.jpg</x:v>
      </x:c>
      <x:c r="F1452" s="8" t="n">
        <x:v>2281693</x:v>
      </x:c>
      <x:c r="G1452" s="8" t="str">
        <x:v>Inventariat; conținut neextras</x:v>
      </x:c>
      <x:c r="H1452" s="8" t="str">
        <x:v>Versiune de lucru / arhivă</x:v>
      </x:c>
      <x:c r="I1452" s="8" t="str"/>
      <x:c r="J1452" s="8" t="e">
        <x:f>HYPERLINK("file:///Z:/00. Proiecte 2025/AFIR FotoVoltaic 1/30.1 Cerere Rambursare 1/draft/Poze/invertoare montate/20260708_170445.jpg","Deschide sursa")</x:f>
        <x:v>HYPERLINK is not implemented. linkLocation=file:///Z:/00. Proiecte 2025/AFIR FotoVoltaic 1/30.1 Cerere Rambursare 1/draft/Poze/invertoare montate/20260708_170445.jpg, friendlyName=Deschide sursa</x:v>
      </x:c>
    </x:row>
    <x:row r="1453" ht="36" customHeight="1">
      <x:c r="A1453" s="8" t="str">
        <x:v>F1449</x:v>
      </x:c>
      <x:c r="B1453" s="8" t="str">
        <x:v>20260708_170503.jpg</x:v>
      </x:c>
      <x:c r="C1453" s="8" t="str">
        <x:v>30.1 Cerere Rambursare 1</x:v>
      </x:c>
      <x:c r="D1453" s="8" t="str">
        <x:v>Proiect fotovoltaic</x:v>
      </x:c>
      <x:c r="E1453" s="8" t="str">
        <x:v>.jpg</x:v>
      </x:c>
      <x:c r="F1453" s="8" t="n">
        <x:v>2922464</x:v>
      </x:c>
      <x:c r="G1453" s="8" t="str">
        <x:v>Inventariat; conținut neextras</x:v>
      </x:c>
      <x:c r="H1453" s="8" t="str">
        <x:v>Versiune de lucru / arhivă</x:v>
      </x:c>
      <x:c r="I1453" s="8" t="str"/>
      <x:c r="J1453" s="8" t="e">
        <x:f>HYPERLINK("file:///Z:/00. Proiecte 2025/AFIR FotoVoltaic 1/30.1 Cerere Rambursare 1/draft/Poze/invertoare montate/20260708_170503.jpg","Deschide sursa")</x:f>
        <x:v>HYPERLINK is not implemented. linkLocation=file:///Z:/00. Proiecte 2025/AFIR FotoVoltaic 1/30.1 Cerere Rambursare 1/draft/Poze/invertoare montate/20260708_170503.jpg, friendlyName=Deschide sursa</x:v>
      </x:c>
    </x:row>
    <x:row r="1454" ht="36" customHeight="1">
      <x:c r="A1454" s="8" t="str">
        <x:v>F1450</x:v>
      </x:c>
      <x:c r="B1454" s="8" t="str">
        <x:v>20260708_170509.jpg</x:v>
      </x:c>
      <x:c r="C1454" s="8" t="str">
        <x:v>30.1 Cerere Rambursare 1</x:v>
      </x:c>
      <x:c r="D1454" s="8" t="str">
        <x:v>Proiect fotovoltaic</x:v>
      </x:c>
      <x:c r="E1454" s="8" t="str">
        <x:v>.jpg</x:v>
      </x:c>
      <x:c r="F1454" s="8" t="n">
        <x:v>2122973</x:v>
      </x:c>
      <x:c r="G1454" s="8" t="str">
        <x:v>Inventariat; conținut neextras</x:v>
      </x:c>
      <x:c r="H1454" s="8" t="str">
        <x:v>Versiune de lucru / arhivă</x:v>
      </x:c>
      <x:c r="I1454" s="8" t="str"/>
      <x:c r="J1454" s="8" t="e">
        <x:f>HYPERLINK("file:///Z:/00. Proiecte 2025/AFIR FotoVoltaic 1/30.1 Cerere Rambursare 1/draft/Poze/invertoare montate/20260708_170509.jpg","Deschide sursa")</x:f>
        <x:v>HYPERLINK is not implemented. linkLocation=file:///Z:/00. Proiecte 2025/AFIR FotoVoltaic 1/30.1 Cerere Rambursare 1/draft/Poze/invertoare montate/20260708_170509.jpg, friendlyName=Deschide sursa</x:v>
      </x:c>
    </x:row>
    <x:row r="1455" ht="36" customHeight="1">
      <x:c r="A1455" s="8" t="str">
        <x:v>F1451</x:v>
      </x:c>
      <x:c r="B1455" s="8" t="str">
        <x:v>20260708_170826.jpg</x:v>
      </x:c>
      <x:c r="C1455" s="8" t="str">
        <x:v>30.1 Cerere Rambursare 1</x:v>
      </x:c>
      <x:c r="D1455" s="8" t="str">
        <x:v>Proiect fotovoltaic</x:v>
      </x:c>
      <x:c r="E1455" s="8" t="str">
        <x:v>.jpg</x:v>
      </x:c>
      <x:c r="F1455" s="8" t="n">
        <x:v>1988329</x:v>
      </x:c>
      <x:c r="G1455" s="8" t="str">
        <x:v>Inventariat; conținut neextras</x:v>
      </x:c>
      <x:c r="H1455" s="8" t="str">
        <x:v>Versiune de lucru / arhivă</x:v>
      </x:c>
      <x:c r="I1455" s="8" t="str"/>
      <x:c r="J1455" s="8" t="e">
        <x:f>HYPERLINK("file:///Z:/00. Proiecte 2025/AFIR FotoVoltaic 1/30.1 Cerere Rambursare 1/draft/Poze/invertoare montate/20260708_170826.jpg","Deschide sursa")</x:f>
        <x:v>HYPERLINK is not implemented. linkLocation=file:///Z:/00. Proiecte 2025/AFIR FotoVoltaic 1/30.1 Cerere Rambursare 1/draft/Poze/invertoare montate/20260708_170826.jpg, friendlyName=Deschide sursa</x:v>
      </x:c>
    </x:row>
    <x:row r="1456" ht="36" customHeight="1">
      <x:c r="A1456" s="8" t="str">
        <x:v>F1452</x:v>
      </x:c>
      <x:c r="B1456" s="8" t="str">
        <x:v>20260708_170831.jpg</x:v>
      </x:c>
      <x:c r="C1456" s="8" t="str">
        <x:v>30.1 Cerere Rambursare 1</x:v>
      </x:c>
      <x:c r="D1456" s="8" t="str">
        <x:v>Proiect fotovoltaic</x:v>
      </x:c>
      <x:c r="E1456" s="8" t="str">
        <x:v>.jpg</x:v>
      </x:c>
      <x:c r="F1456" s="8" t="n">
        <x:v>2090179</x:v>
      </x:c>
      <x:c r="G1456" s="8" t="str">
        <x:v>Inventariat; conținut neextras</x:v>
      </x:c>
      <x:c r="H1456" s="8" t="str">
        <x:v>Versiune de lucru / arhivă</x:v>
      </x:c>
      <x:c r="I1456" s="8" t="str"/>
      <x:c r="J1456" s="8" t="e">
        <x:f>HYPERLINK("file:///Z:/00. Proiecte 2025/AFIR FotoVoltaic 1/30.1 Cerere Rambursare 1/draft/Poze/invertoare montate/20260708_170831.jpg","Deschide sursa")</x:f>
        <x:v>HYPERLINK is not implemented. linkLocation=file:///Z:/00. Proiecte 2025/AFIR FotoVoltaic 1/30.1 Cerere Rambursare 1/draft/Poze/invertoare montate/20260708_170831.jpg, friendlyName=Deschide sursa</x:v>
      </x:c>
    </x:row>
    <x:row r="1457" ht="36" customHeight="1">
      <x:c r="A1457" s="8" t="str">
        <x:v>F1453</x:v>
      </x:c>
      <x:c r="B1457" s="8" t="str">
        <x:v>20260708_170834.jpg</x:v>
      </x:c>
      <x:c r="C1457" s="8" t="str">
        <x:v>30.1 Cerere Rambursare 1</x:v>
      </x:c>
      <x:c r="D1457" s="8" t="str">
        <x:v>Proiect fotovoltaic</x:v>
      </x:c>
      <x:c r="E1457" s="8" t="str">
        <x:v>.jpg</x:v>
      </x:c>
      <x:c r="F1457" s="8" t="n">
        <x:v>2077904</x:v>
      </x:c>
      <x:c r="G1457" s="8" t="str">
        <x:v>Inventariat; conținut neextras</x:v>
      </x:c>
      <x:c r="H1457" s="8" t="str">
        <x:v>Versiune de lucru / arhivă</x:v>
      </x:c>
      <x:c r="I1457" s="8" t="str"/>
      <x:c r="J1457" s="8" t="e">
        <x:f>HYPERLINK("file:///Z:/00. Proiecte 2025/AFIR FotoVoltaic 1/30.1 Cerere Rambursare 1/draft/Poze/invertoare montate/20260708_170834.jpg","Deschide sursa")</x:f>
        <x:v>HYPERLINK is not implemented. linkLocation=file:///Z:/00. Proiecte 2025/AFIR FotoVoltaic 1/30.1 Cerere Rambursare 1/draft/Poze/invertoare montate/20260708_170834.jpg, friendlyName=Deschide sursa</x:v>
      </x:c>
    </x:row>
    <x:row r="1458" ht="36" customHeight="1">
      <x:c r="A1458" s="8" t="str">
        <x:v>F1454</x:v>
      </x:c>
      <x:c r="B1458" s="8" t="str">
        <x:v>20260708_171000.jpg</x:v>
      </x:c>
      <x:c r="C1458" s="8" t="str">
        <x:v>30.1 Cerere Rambursare 1</x:v>
      </x:c>
      <x:c r="D1458" s="8" t="str">
        <x:v>Proiect fotovoltaic</x:v>
      </x:c>
      <x:c r="E1458" s="8" t="str">
        <x:v>.jpg</x:v>
      </x:c>
      <x:c r="F1458" s="8" t="n">
        <x:v>2182220</x:v>
      </x:c>
      <x:c r="G1458" s="8" t="str">
        <x:v>Inventariat; conținut neextras</x:v>
      </x:c>
      <x:c r="H1458" s="8" t="str">
        <x:v>Versiune de lucru / arhivă</x:v>
      </x:c>
      <x:c r="I1458" s="8" t="str"/>
      <x:c r="J1458" s="8" t="e">
        <x:f>HYPERLINK("file:///Z:/00. Proiecte 2025/AFIR FotoVoltaic 1/30.1 Cerere Rambursare 1/draft/Poze/invertoare montate/20260708_171000.jpg","Deschide sursa")</x:f>
        <x:v>HYPERLINK is not implemented. linkLocation=file:///Z:/00. Proiecte 2025/AFIR FotoVoltaic 1/30.1 Cerere Rambursare 1/draft/Poze/invertoare montate/20260708_171000.jpg, friendlyName=Deschide sursa</x:v>
      </x:c>
    </x:row>
    <x:row r="1459" ht="36" customHeight="1">
      <x:c r="A1459" s="8" t="str">
        <x:v>F1455</x:v>
      </x:c>
      <x:c r="B1459" s="8" t="str">
        <x:v>20260708_171005.jpg</x:v>
      </x:c>
      <x:c r="C1459" s="8" t="str">
        <x:v>30.1 Cerere Rambursare 1</x:v>
      </x:c>
      <x:c r="D1459" s="8" t="str">
        <x:v>Proiect fotovoltaic</x:v>
      </x:c>
      <x:c r="E1459" s="8" t="str">
        <x:v>.jpg</x:v>
      </x:c>
      <x:c r="F1459" s="8" t="n">
        <x:v>2252085</x:v>
      </x:c>
      <x:c r="G1459" s="8" t="str">
        <x:v>Inventariat; conținut neextras</x:v>
      </x:c>
      <x:c r="H1459" s="8" t="str">
        <x:v>Versiune de lucru / arhivă</x:v>
      </x:c>
      <x:c r="I1459" s="8" t="str"/>
      <x:c r="J1459" s="8" t="e">
        <x:f>HYPERLINK("file:///Z:/00. Proiecte 2025/AFIR FotoVoltaic 1/30.1 Cerere Rambursare 1/draft/Poze/invertoare montate/20260708_171005.jpg","Deschide sursa")</x:f>
        <x:v>HYPERLINK is not implemented. linkLocation=file:///Z:/00. Proiecte 2025/AFIR FotoVoltaic 1/30.1 Cerere Rambursare 1/draft/Poze/invertoare montate/20260708_171005.jpg, friendlyName=Deschide sursa</x:v>
      </x:c>
    </x:row>
    <x:row r="1460" ht="36" customHeight="1">
      <x:c r="A1460" s="8" t="str">
        <x:v>F1456</x:v>
      </x:c>
      <x:c r="B1460" s="8" t="str">
        <x:v>20260708_171141.jpg</x:v>
      </x:c>
      <x:c r="C1460" s="8" t="str">
        <x:v>30.1 Cerere Rambursare 1</x:v>
      </x:c>
      <x:c r="D1460" s="8" t="str">
        <x:v>Proiect fotovoltaic</x:v>
      </x:c>
      <x:c r="E1460" s="8" t="str">
        <x:v>.jpg</x:v>
      </x:c>
      <x:c r="F1460" s="8" t="n">
        <x:v>2269110</x:v>
      </x:c>
      <x:c r="G1460" s="8" t="str">
        <x:v>Inventariat; conținut neextras</x:v>
      </x:c>
      <x:c r="H1460" s="8" t="str">
        <x:v>Versiune de lucru / arhivă</x:v>
      </x:c>
      <x:c r="I1460" s="8" t="str"/>
      <x:c r="J1460" s="8" t="e">
        <x:f>HYPERLINK("file:///Z:/00. Proiecte 2025/AFIR FotoVoltaic 1/30.1 Cerere Rambursare 1/draft/Poze/invertoare montate/20260708_171141.jpg","Deschide sursa")</x:f>
        <x:v>HYPERLINK is not implemented. linkLocation=file:///Z:/00. Proiecte 2025/AFIR FotoVoltaic 1/30.1 Cerere Rambursare 1/draft/Poze/invertoare montate/20260708_171141.jpg, friendlyName=Deschide sursa</x:v>
      </x:c>
    </x:row>
    <x:row r="1461" ht="36" customHeight="1">
      <x:c r="A1461" s="8" t="str">
        <x:v>F1457</x:v>
      </x:c>
      <x:c r="B1461" s="8" t="str">
        <x:v>20260708_171145.jpg</x:v>
      </x:c>
      <x:c r="C1461" s="8" t="str">
        <x:v>30.1 Cerere Rambursare 1</x:v>
      </x:c>
      <x:c r="D1461" s="8" t="str">
        <x:v>Proiect fotovoltaic</x:v>
      </x:c>
      <x:c r="E1461" s="8" t="str">
        <x:v>.jpg</x:v>
      </x:c>
      <x:c r="F1461" s="8" t="n">
        <x:v>2147613</x:v>
      </x:c>
      <x:c r="G1461" s="8" t="str">
        <x:v>Inventariat; conținut neextras</x:v>
      </x:c>
      <x:c r="H1461" s="8" t="str">
        <x:v>Versiune de lucru / arhivă</x:v>
      </x:c>
      <x:c r="I1461" s="8" t="str"/>
      <x:c r="J1461" s="8" t="e">
        <x:f>HYPERLINK("file:///Z:/00. Proiecte 2025/AFIR FotoVoltaic 1/30.1 Cerere Rambursare 1/draft/Poze/invertoare montate/20260708_171145.jpg","Deschide sursa")</x:f>
        <x:v>HYPERLINK is not implemented. linkLocation=file:///Z:/00. Proiecte 2025/AFIR FotoVoltaic 1/30.1 Cerere Rambursare 1/draft/Poze/invertoare montate/20260708_171145.jpg, friendlyName=Deschide sursa</x:v>
      </x:c>
    </x:row>
    <x:row r="1462" ht="36" customHeight="1">
      <x:c r="A1462" s="8" t="str">
        <x:v>F1458</x:v>
      </x:c>
      <x:c r="B1462" s="8" t="str">
        <x:v>20260708_171325.jpg</x:v>
      </x:c>
      <x:c r="C1462" s="8" t="str">
        <x:v>30.1 Cerere Rambursare 1</x:v>
      </x:c>
      <x:c r="D1462" s="8" t="str">
        <x:v>Proiect fotovoltaic</x:v>
      </x:c>
      <x:c r="E1462" s="8" t="str">
        <x:v>.jpg</x:v>
      </x:c>
      <x:c r="F1462" s="8" t="n">
        <x:v>2049759</x:v>
      </x:c>
      <x:c r="G1462" s="8" t="str">
        <x:v>Inventariat; conținut neextras</x:v>
      </x:c>
      <x:c r="H1462" s="8" t="str">
        <x:v>Versiune de lucru / arhivă</x:v>
      </x:c>
      <x:c r="I1462" s="8" t="str"/>
      <x:c r="J1462" s="8" t="e">
        <x:f>HYPERLINK("file:///Z:/00. Proiecte 2025/AFIR FotoVoltaic 1/30.1 Cerere Rambursare 1/draft/Poze/invertoare montate/20260708_171325.jpg","Deschide sursa")</x:f>
        <x:v>HYPERLINK is not implemented. linkLocation=file:///Z:/00. Proiecte 2025/AFIR FotoVoltaic 1/30.1 Cerere Rambursare 1/draft/Poze/invertoare montate/20260708_171325.jpg, friendlyName=Deschide sursa</x:v>
      </x:c>
    </x:row>
    <x:row r="1463" ht="36" customHeight="1">
      <x:c r="A1463" s="8" t="str">
        <x:v>F1459</x:v>
      </x:c>
      <x:c r="B1463" s="8" t="str">
        <x:v>20260708_171331.jpg</x:v>
      </x:c>
      <x:c r="C1463" s="8" t="str">
        <x:v>30.1 Cerere Rambursare 1</x:v>
      </x:c>
      <x:c r="D1463" s="8" t="str">
        <x:v>Proiect fotovoltaic</x:v>
      </x:c>
      <x:c r="E1463" s="8" t="str">
        <x:v>.jpg</x:v>
      </x:c>
      <x:c r="F1463" s="8" t="n">
        <x:v>1785541</x:v>
      </x:c>
      <x:c r="G1463" s="8" t="str">
        <x:v>Inventariat; conținut neextras</x:v>
      </x:c>
      <x:c r="H1463" s="8" t="str">
        <x:v>Versiune de lucru / arhivă</x:v>
      </x:c>
      <x:c r="I1463" s="8" t="str"/>
      <x:c r="J1463" s="8" t="e">
        <x:f>HYPERLINK("file:///Z:/00. Proiecte 2025/AFIR FotoVoltaic 1/30.1 Cerere Rambursare 1/draft/Poze/invertoare montate/20260708_171331.jpg","Deschide sursa")</x:f>
        <x:v>HYPERLINK is not implemented. linkLocation=file:///Z:/00. Proiecte 2025/AFIR FotoVoltaic 1/30.1 Cerere Rambursare 1/draft/Poze/invertoare montate/20260708_171331.jpg, friendlyName=Deschide sursa</x:v>
      </x:c>
    </x:row>
    <x:row r="1464" ht="36" customHeight="1">
      <x:c r="A1464" s="8" t="str">
        <x:v>F1460</x:v>
      </x:c>
      <x:c r="B1464" s="8" t="str">
        <x:v>20260708_171455.jpg</x:v>
      </x:c>
      <x:c r="C1464" s="8" t="str">
        <x:v>30.1 Cerere Rambursare 1</x:v>
      </x:c>
      <x:c r="D1464" s="8" t="str">
        <x:v>Proiect fotovoltaic</x:v>
      </x:c>
      <x:c r="E1464" s="8" t="str">
        <x:v>.jpg</x:v>
      </x:c>
      <x:c r="F1464" s="8" t="n">
        <x:v>2335516</x:v>
      </x:c>
      <x:c r="G1464" s="8" t="str">
        <x:v>Inventariat; conținut neextras</x:v>
      </x:c>
      <x:c r="H1464" s="8" t="str">
        <x:v>Versiune de lucru / arhivă</x:v>
      </x:c>
      <x:c r="I1464" s="8" t="str"/>
      <x:c r="J1464" s="8" t="e">
        <x:f>HYPERLINK("file:///Z:/00. Proiecte 2025/AFIR FotoVoltaic 1/30.1 Cerere Rambursare 1/draft/Poze/invertoare montate/20260708_171455.jpg","Deschide sursa")</x:f>
        <x:v>HYPERLINK is not implemented. linkLocation=file:///Z:/00. Proiecte 2025/AFIR FotoVoltaic 1/30.1 Cerere Rambursare 1/draft/Poze/invertoare montate/20260708_171455.jpg, friendlyName=Deschide sursa</x:v>
      </x:c>
    </x:row>
    <x:row r="1465" ht="36" customHeight="1">
      <x:c r="A1465" s="8" t="str">
        <x:v>F1461</x:v>
      </x:c>
      <x:c r="B1465" s="8" t="str">
        <x:v>20260708_171458.jpg</x:v>
      </x:c>
      <x:c r="C1465" s="8" t="str">
        <x:v>30.1 Cerere Rambursare 1</x:v>
      </x:c>
      <x:c r="D1465" s="8" t="str">
        <x:v>Proiect fotovoltaic</x:v>
      </x:c>
      <x:c r="E1465" s="8" t="str">
        <x:v>.jpg</x:v>
      </x:c>
      <x:c r="F1465" s="8" t="n">
        <x:v>2422457</x:v>
      </x:c>
      <x:c r="G1465" s="8" t="str">
        <x:v>Inventariat; conținut neextras</x:v>
      </x:c>
      <x:c r="H1465" s="8" t="str">
        <x:v>Versiune de lucru / arhivă</x:v>
      </x:c>
      <x:c r="I1465" s="8" t="str"/>
      <x:c r="J1465" s="8" t="e">
        <x:f>HYPERLINK("file:///Z:/00. Proiecte 2025/AFIR FotoVoltaic 1/30.1 Cerere Rambursare 1/draft/Poze/invertoare montate/20260708_171458.jpg","Deschide sursa")</x:f>
        <x:v>HYPERLINK is not implemented. linkLocation=file:///Z:/00. Proiecte 2025/AFIR FotoVoltaic 1/30.1 Cerere Rambursare 1/draft/Poze/invertoare montate/20260708_171458.jpg, friendlyName=Deschide sursa</x:v>
      </x:c>
    </x:row>
    <x:row r="1466" ht="36" customHeight="1">
      <x:c r="A1466" s="8" t="str">
        <x:v>F1462</x:v>
      </x:c>
      <x:c r="B1466" s="8" t="str">
        <x:v>20260708_171459.jpg</x:v>
      </x:c>
      <x:c r="C1466" s="8" t="str">
        <x:v>30.1 Cerere Rambursare 1</x:v>
      </x:c>
      <x:c r="D1466" s="8" t="str">
        <x:v>Proiect fotovoltaic</x:v>
      </x:c>
      <x:c r="E1466" s="8" t="str">
        <x:v>.jpg</x:v>
      </x:c>
      <x:c r="F1466" s="8" t="n">
        <x:v>2430771</x:v>
      </x:c>
      <x:c r="G1466" s="8" t="str">
        <x:v>Inventariat; conținut neextras</x:v>
      </x:c>
      <x:c r="H1466" s="8" t="str">
        <x:v>Versiune de lucru / arhivă</x:v>
      </x:c>
      <x:c r="I1466" s="8" t="str"/>
      <x:c r="J1466" s="8" t="e">
        <x:f>HYPERLINK("file:///Z:/00. Proiecte 2025/AFIR FotoVoltaic 1/30.1 Cerere Rambursare 1/draft/Poze/invertoare montate/20260708_171459.jpg","Deschide sursa")</x:f>
        <x:v>HYPERLINK is not implemented. linkLocation=file:///Z:/00. Proiecte 2025/AFIR FotoVoltaic 1/30.1 Cerere Rambursare 1/draft/Poze/invertoare montate/20260708_171459.jpg, friendlyName=Deschide sursa</x:v>
      </x:c>
    </x:row>
    <x:row r="1467" ht="36" customHeight="1">
      <x:c r="A1467" s="8" t="str">
        <x:v>F1463</x:v>
      </x:c>
      <x:c r="B1467" s="8" t="str">
        <x:v>20260708_171648.jpg</x:v>
      </x:c>
      <x:c r="C1467" s="8" t="str">
        <x:v>30.1 Cerere Rambursare 1</x:v>
      </x:c>
      <x:c r="D1467" s="8" t="str">
        <x:v>Proiect fotovoltaic</x:v>
      </x:c>
      <x:c r="E1467" s="8" t="str">
        <x:v>.jpg</x:v>
      </x:c>
      <x:c r="F1467" s="8" t="n">
        <x:v>3211058</x:v>
      </x:c>
      <x:c r="G1467" s="8" t="str">
        <x:v>Inventariat; conținut neextras</x:v>
      </x:c>
      <x:c r="H1467" s="8" t="str">
        <x:v>Versiune de lucru / arhivă</x:v>
      </x:c>
      <x:c r="I1467" s="8" t="str"/>
      <x:c r="J1467" s="8" t="e">
        <x:f>HYPERLINK("file:///Z:/00. Proiecte 2025/AFIR FotoVoltaic 1/30.1 Cerere Rambursare 1/draft/Poze/invertoare montate/20260708_171648.jpg","Deschide sursa")</x:f>
        <x:v>HYPERLINK is not implemented. linkLocation=file:///Z:/00. Proiecte 2025/AFIR FotoVoltaic 1/30.1 Cerere Rambursare 1/draft/Poze/invertoare montate/20260708_171648.jpg, friendlyName=Deschide sursa</x:v>
      </x:c>
    </x:row>
    <x:row r="1468" ht="36" customHeight="1">
      <x:c r="A1468" s="8" t="str">
        <x:v>F1464</x:v>
      </x:c>
      <x:c r="B1468" s="8" t="str">
        <x:v>20260708_171650.jpg</x:v>
      </x:c>
      <x:c r="C1468" s="8" t="str">
        <x:v>30.1 Cerere Rambursare 1</x:v>
      </x:c>
      <x:c r="D1468" s="8" t="str">
        <x:v>Proiect fotovoltaic</x:v>
      </x:c>
      <x:c r="E1468" s="8" t="str">
        <x:v>.jpg</x:v>
      </x:c>
      <x:c r="F1468" s="8" t="n">
        <x:v>3595828</x:v>
      </x:c>
      <x:c r="G1468" s="8" t="str">
        <x:v>Inventariat; conținut neextras</x:v>
      </x:c>
      <x:c r="H1468" s="8" t="str">
        <x:v>Versiune de lucru / arhivă</x:v>
      </x:c>
      <x:c r="I1468" s="8" t="str"/>
      <x:c r="J1468" s="8" t="e">
        <x:f>HYPERLINK("file:///Z:/00. Proiecte 2025/AFIR FotoVoltaic 1/30.1 Cerere Rambursare 1/draft/Poze/invertoare montate/20260708_171650.jpg","Deschide sursa")</x:f>
        <x:v>HYPERLINK is not implemented. linkLocation=file:///Z:/00. Proiecte 2025/AFIR FotoVoltaic 1/30.1 Cerere Rambursare 1/draft/Poze/invertoare montate/20260708_171650.jpg, friendlyName=Deschide sursa</x:v>
      </x:c>
    </x:row>
    <x:row r="1469" ht="36" customHeight="1">
      <x:c r="A1469" s="8" t="str">
        <x:v>F1465</x:v>
      </x:c>
      <x:c r="B1469" s="8" t="str">
        <x:v>20260708_171654.jpg</x:v>
      </x:c>
      <x:c r="C1469" s="8" t="str">
        <x:v>30.1 Cerere Rambursare 1</x:v>
      </x:c>
      <x:c r="D1469" s="8" t="str">
        <x:v>Proiect fotovoltaic</x:v>
      </x:c>
      <x:c r="E1469" s="8" t="str">
        <x:v>.jpg</x:v>
      </x:c>
      <x:c r="F1469" s="8" t="n">
        <x:v>3511413</x:v>
      </x:c>
      <x:c r="G1469" s="8" t="str">
        <x:v>Inventariat; conținut neextras</x:v>
      </x:c>
      <x:c r="H1469" s="8" t="str">
        <x:v>Versiune de lucru / arhivă</x:v>
      </x:c>
      <x:c r="I1469" s="8" t="str"/>
      <x:c r="J1469" s="8" t="e">
        <x:f>HYPERLINK("file:///Z:/00. Proiecte 2025/AFIR FotoVoltaic 1/30.1 Cerere Rambursare 1/draft/Poze/invertoare montate/20260708_171654.jpg","Deschide sursa")</x:f>
        <x:v>HYPERLINK is not implemented. linkLocation=file:///Z:/00. Proiecte 2025/AFIR FotoVoltaic 1/30.1 Cerere Rambursare 1/draft/Poze/invertoare montate/20260708_171654.jpg, friendlyName=Deschide sursa</x:v>
      </x:c>
    </x:row>
    <x:row r="1470" ht="36" customHeight="1">
      <x:c r="A1470" s="8" t="str">
        <x:v>F1466</x:v>
      </x:c>
      <x:c r="B1470" s="8" t="str">
        <x:v>20260708_171657.jpg</x:v>
      </x:c>
      <x:c r="C1470" s="8" t="str">
        <x:v>30.1 Cerere Rambursare 1</x:v>
      </x:c>
      <x:c r="D1470" s="8" t="str">
        <x:v>Proiect fotovoltaic</x:v>
      </x:c>
      <x:c r="E1470" s="8" t="str">
        <x:v>.jpg</x:v>
      </x:c>
      <x:c r="F1470" s="8" t="n">
        <x:v>3633202</x:v>
      </x:c>
      <x:c r="G1470" s="8" t="str">
        <x:v>Inventariat; conținut neextras</x:v>
      </x:c>
      <x:c r="H1470" s="8" t="str">
        <x:v>Versiune de lucru / arhivă</x:v>
      </x:c>
      <x:c r="I1470" s="8" t="str"/>
      <x:c r="J1470" s="8" t="e">
        <x:f>HYPERLINK("file:///Z:/00. Proiecte 2025/AFIR FotoVoltaic 1/30.1 Cerere Rambursare 1/draft/Poze/invertoare montate/20260708_171657.jpg","Deschide sursa")</x:f>
        <x:v>HYPERLINK is not implemented. linkLocation=file:///Z:/00. Proiecte 2025/AFIR FotoVoltaic 1/30.1 Cerere Rambursare 1/draft/Poze/invertoare montate/20260708_171657.jpg, friendlyName=Deschide sursa</x:v>
      </x:c>
    </x:row>
    <x:row r="1471" ht="36" customHeight="1">
      <x:c r="A1471" s="8" t="str">
        <x:v>F1467</x:v>
      </x:c>
      <x:c r="B1471" s="8" t="str">
        <x:v>20260708_171700.jpg</x:v>
      </x:c>
      <x:c r="C1471" s="8" t="str">
        <x:v>30.1 Cerere Rambursare 1</x:v>
      </x:c>
      <x:c r="D1471" s="8" t="str">
        <x:v>Proiect fotovoltaic</x:v>
      </x:c>
      <x:c r="E1471" s="8" t="str">
        <x:v>.jpg</x:v>
      </x:c>
      <x:c r="F1471" s="8" t="n">
        <x:v>3488309</x:v>
      </x:c>
      <x:c r="G1471" s="8" t="str">
        <x:v>Inventariat; conținut neextras</x:v>
      </x:c>
      <x:c r="H1471" s="8" t="str">
        <x:v>Versiune de lucru / arhivă</x:v>
      </x:c>
      <x:c r="I1471" s="8" t="str"/>
      <x:c r="J1471" s="8" t="e">
        <x:f>HYPERLINK("file:///Z:/00. Proiecte 2025/AFIR FotoVoltaic 1/30.1 Cerere Rambursare 1/draft/Poze/invertoare montate/20260708_171700.jpg","Deschide sursa")</x:f>
        <x:v>HYPERLINK is not implemented. linkLocation=file:///Z:/00. Proiecte 2025/AFIR FotoVoltaic 1/30.1 Cerere Rambursare 1/draft/Poze/invertoare montate/20260708_171700.jpg, friendlyName=Deschide sursa</x:v>
      </x:c>
    </x:row>
    <x:row r="1472" ht="36" customHeight="1">
      <x:c r="A1472" s="8" t="str">
        <x:v>F1468</x:v>
      </x:c>
      <x:c r="B1472" s="8" t="str">
        <x:v>20260708_171706.jpg</x:v>
      </x:c>
      <x:c r="C1472" s="8" t="str">
        <x:v>30.1 Cerere Rambursare 1</x:v>
      </x:c>
      <x:c r="D1472" s="8" t="str">
        <x:v>Proiect fotovoltaic</x:v>
      </x:c>
      <x:c r="E1472" s="8" t="str">
        <x:v>.jpg</x:v>
      </x:c>
      <x:c r="F1472" s="8" t="n">
        <x:v>3524141</x:v>
      </x:c>
      <x:c r="G1472" s="8" t="str">
        <x:v>Inventariat; conținut neextras</x:v>
      </x:c>
      <x:c r="H1472" s="8" t="str">
        <x:v>Versiune de lucru / arhivă</x:v>
      </x:c>
      <x:c r="I1472" s="8" t="str"/>
      <x:c r="J1472" s="8" t="e">
        <x:f>HYPERLINK("file:///Z:/00. Proiecte 2025/AFIR FotoVoltaic 1/30.1 Cerere Rambursare 1/draft/Poze/invertoare montate/20260708_171706.jpg","Deschide sursa")</x:f>
        <x:v>HYPERLINK is not implemented. linkLocation=file:///Z:/00. Proiecte 2025/AFIR FotoVoltaic 1/30.1 Cerere Rambursare 1/draft/Poze/invertoare montate/20260708_171706.jpg, friendlyName=Deschide sursa</x:v>
      </x:c>
    </x:row>
    <x:row r="1473" ht="36" customHeight="1">
      <x:c r="A1473" s="8" t="str">
        <x:v>F1469</x:v>
      </x:c>
      <x:c r="B1473" s="8" t="str">
        <x:v>20260708_171707.jpg</x:v>
      </x:c>
      <x:c r="C1473" s="8" t="str">
        <x:v>30.1 Cerere Rambursare 1</x:v>
      </x:c>
      <x:c r="D1473" s="8" t="str">
        <x:v>Proiect fotovoltaic</x:v>
      </x:c>
      <x:c r="E1473" s="8" t="str">
        <x:v>.jpg</x:v>
      </x:c>
      <x:c r="F1473" s="8" t="n">
        <x:v>3524012</x:v>
      </x:c>
      <x:c r="G1473" s="8" t="str">
        <x:v>Inventariat; conținut neextras</x:v>
      </x:c>
      <x:c r="H1473" s="8" t="str">
        <x:v>Versiune de lucru / arhivă</x:v>
      </x:c>
      <x:c r="I1473" s="8" t="str"/>
      <x:c r="J1473" s="8" t="e">
        <x:f>HYPERLINK("file:///Z:/00. Proiecte 2025/AFIR FotoVoltaic 1/30.1 Cerere Rambursare 1/draft/Poze/invertoare montate/20260708_171707.jpg","Deschide sursa")</x:f>
        <x:v>HYPERLINK is not implemented. linkLocation=file:///Z:/00. Proiecte 2025/AFIR FotoVoltaic 1/30.1 Cerere Rambursare 1/draft/Poze/invertoare montate/20260708_171707.jpg, friendlyName=Deschide sursa</x:v>
      </x:c>
    </x:row>
    <x:row r="1474" ht="36" customHeight="1">
      <x:c r="A1474" s="8" t="str">
        <x:v>F1470</x:v>
      </x:c>
      <x:c r="B1474" s="8" t="str">
        <x:v>20260708_171708.jpg</x:v>
      </x:c>
      <x:c r="C1474" s="8" t="str">
        <x:v>30.1 Cerere Rambursare 1</x:v>
      </x:c>
      <x:c r="D1474" s="8" t="str">
        <x:v>Proiect fotovoltaic</x:v>
      </x:c>
      <x:c r="E1474" s="8" t="str">
        <x:v>.jpg</x:v>
      </x:c>
      <x:c r="F1474" s="8" t="n">
        <x:v>3758498</x:v>
      </x:c>
      <x:c r="G1474" s="8" t="str">
        <x:v>Inventariat; conținut neextras</x:v>
      </x:c>
      <x:c r="H1474" s="8" t="str">
        <x:v>Versiune de lucru / arhivă</x:v>
      </x:c>
      <x:c r="I1474" s="8" t="str"/>
      <x:c r="J1474" s="8" t="e">
        <x:f>HYPERLINK("file:///Z:/00. Proiecte 2025/AFIR FotoVoltaic 1/30.1 Cerere Rambursare 1/draft/Poze/invertoare montate/20260708_171708.jpg","Deschide sursa")</x:f>
        <x:v>HYPERLINK is not implemented. linkLocation=file:///Z:/00. Proiecte 2025/AFIR FotoVoltaic 1/30.1 Cerere Rambursare 1/draft/Poze/invertoare montate/20260708_171708.jpg, friendlyName=Deschide sursa</x:v>
      </x:c>
    </x:row>
    <x:row r="1475" ht="36" customHeight="1">
      <x:c r="A1475" s="8" t="str">
        <x:v>F1471</x:v>
      </x:c>
      <x:c r="B1475" s="8" t="str">
        <x:v>20260708_172001.jpg</x:v>
      </x:c>
      <x:c r="C1475" s="8" t="str">
        <x:v>30.1 Cerere Rambursare 1</x:v>
      </x:c>
      <x:c r="D1475" s="8" t="str">
        <x:v>Proiect fotovoltaic</x:v>
      </x:c>
      <x:c r="E1475" s="8" t="str">
        <x:v>.jpg</x:v>
      </x:c>
      <x:c r="F1475" s="8" t="n">
        <x:v>3716177</x:v>
      </x:c>
      <x:c r="G1475" s="8" t="str">
        <x:v>Inventariat; conținut neextras</x:v>
      </x:c>
      <x:c r="H1475" s="8" t="str">
        <x:v>Versiune de lucru / arhivă</x:v>
      </x:c>
      <x:c r="I1475" s="8" t="str"/>
      <x:c r="J1475" s="8" t="e">
        <x:f>HYPERLINK("file:///Z:/00. Proiecte 2025/AFIR FotoVoltaic 1/30.1 Cerere Rambursare 1/draft/Poze/invertoare montate/20260708_172001.jpg","Deschide sursa")</x:f>
        <x:v>HYPERLINK is not implemented. linkLocation=file:///Z:/00. Proiecte 2025/AFIR FotoVoltaic 1/30.1 Cerere Rambursare 1/draft/Poze/invertoare montate/20260708_172001.jpg, friendlyName=Deschide sursa</x:v>
      </x:c>
    </x:row>
    <x:row r="1476" ht="36" customHeight="1">
      <x:c r="A1476" s="8" t="str">
        <x:v>F1472</x:v>
      </x:c>
      <x:c r="B1476" s="8" t="str">
        <x:v>20260708_172002.jpg</x:v>
      </x:c>
      <x:c r="C1476" s="8" t="str">
        <x:v>30.1 Cerere Rambursare 1</x:v>
      </x:c>
      <x:c r="D1476" s="8" t="str">
        <x:v>Proiect fotovoltaic</x:v>
      </x:c>
      <x:c r="E1476" s="8" t="str">
        <x:v>.jpg</x:v>
      </x:c>
      <x:c r="F1476" s="8" t="n">
        <x:v>3722190</x:v>
      </x:c>
      <x:c r="G1476" s="8" t="str">
        <x:v>Inventariat; conținut neextras</x:v>
      </x:c>
      <x:c r="H1476" s="8" t="str">
        <x:v>Versiune de lucru / arhivă</x:v>
      </x:c>
      <x:c r="I1476" s="8" t="str"/>
      <x:c r="J1476" s="8" t="e">
        <x:f>HYPERLINK("file:///Z:/00. Proiecte 2025/AFIR FotoVoltaic 1/30.1 Cerere Rambursare 1/draft/Poze/invertoare montate/20260708_172002.jpg","Deschide sursa")</x:f>
        <x:v>HYPERLINK is not implemented. linkLocation=file:///Z:/00. Proiecte 2025/AFIR FotoVoltaic 1/30.1 Cerere Rambursare 1/draft/Poze/invertoare montate/20260708_172002.jpg, friendlyName=Deschide sursa</x:v>
      </x:c>
    </x:row>
    <x:row r="1477" ht="36" customHeight="1">
      <x:c r="A1477" s="8" t="str">
        <x:v>F1473</x:v>
      </x:c>
      <x:c r="B1477" s="8" t="str">
        <x:v>IMG-20260323-WA0020.jpg</x:v>
      </x:c>
      <x:c r="C1477" s="8" t="str">
        <x:v>30.1 Cerere Rambursare 1</x:v>
      </x:c>
      <x:c r="D1477" s="8" t="str">
        <x:v>Proiect fotovoltaic</x:v>
      </x:c>
      <x:c r="E1477" s="8" t="str">
        <x:v>.jpg</x:v>
      </x:c>
      <x:c r="F1477" s="8" t="n">
        <x:v>152197</x:v>
      </x:c>
      <x:c r="G1477" s="8" t="str">
        <x:v>Inventariat; conținut neextras</x:v>
      </x:c>
      <x:c r="H1477" s="8" t="str">
        <x:v>Versiune de lucru / arhivă</x:v>
      </x:c>
      <x:c r="I1477" s="8" t="str"/>
      <x:c r="J1477" s="8" t="e">
        <x:f>HYPERLINK("file:///Z:/00. Proiecte 2025/AFIR FotoVoltaic 1/30.1 Cerere Rambursare 1/draft/Poze/PANOURI/IMG-20260323-WA0020.jpg","Deschide sursa")</x:f>
        <x:v>HYPERLINK is not implemented. linkLocation=file:///Z:/00. Proiecte 2025/AFIR FotoVoltaic 1/30.1 Cerere Rambursare 1/draft/Poze/PANOURI/IMG-20260323-WA0020.jpg, friendlyName=Deschide sursa</x:v>
      </x:c>
    </x:row>
    <x:row r="1478" ht="36" customHeight="1">
      <x:c r="A1478" s="8" t="str">
        <x:v>F1474</x:v>
      </x:c>
      <x:c r="B1478" s="8" t="str">
        <x:v>IMG-20260323-WA0023.jpg</x:v>
      </x:c>
      <x:c r="C1478" s="8" t="str">
        <x:v>30.1 Cerere Rambursare 1</x:v>
      </x:c>
      <x:c r="D1478" s="8" t="str">
        <x:v>Proiect fotovoltaic</x:v>
      </x:c>
      <x:c r="E1478" s="8" t="str">
        <x:v>.jpg</x:v>
      </x:c>
      <x:c r="F1478" s="8" t="n">
        <x:v>200208</x:v>
      </x:c>
      <x:c r="G1478" s="8" t="str">
        <x:v>Inventariat; conținut neextras</x:v>
      </x:c>
      <x:c r="H1478" s="8" t="str">
        <x:v>Versiune de lucru / arhivă</x:v>
      </x:c>
      <x:c r="I1478" s="8" t="str"/>
      <x:c r="J1478" s="8" t="e">
        <x:f>HYPERLINK("file:///Z:/00. Proiecte 2025/AFIR FotoVoltaic 1/30.1 Cerere Rambursare 1/draft/Poze/PANOURI/IMG-20260323-WA0023.jpg","Deschide sursa")</x:f>
        <x:v>HYPERLINK is not implemented. linkLocation=file:///Z:/00. Proiecte 2025/AFIR FotoVoltaic 1/30.1 Cerere Rambursare 1/draft/Poze/PANOURI/IMG-20260323-WA0023.jpg, friendlyName=Deschide sursa</x:v>
      </x:c>
    </x:row>
    <x:row r="1479" ht="36" customHeight="1">
      <x:c r="A1479" s="8" t="str">
        <x:v>F1475</x:v>
      </x:c>
      <x:c r="B1479" s="8" t="str">
        <x:v>IMG-20260323-WA0024.jpg</x:v>
      </x:c>
      <x:c r="C1479" s="8" t="str">
        <x:v>30.1 Cerere Rambursare 1</x:v>
      </x:c>
      <x:c r="D1479" s="8" t="str">
        <x:v>Proiect fotovoltaic</x:v>
      </x:c>
      <x:c r="E1479" s="8" t="str">
        <x:v>.jpg</x:v>
      </x:c>
      <x:c r="F1479" s="8" t="n">
        <x:v>175138</x:v>
      </x:c>
      <x:c r="G1479" s="8" t="str">
        <x:v>Inventariat; conținut neextras</x:v>
      </x:c>
      <x:c r="H1479" s="8" t="str">
        <x:v>Versiune de lucru / arhivă</x:v>
      </x:c>
      <x:c r="I1479" s="8" t="str"/>
      <x:c r="J1479" s="8" t="e">
        <x:f>HYPERLINK("file:///Z:/00. Proiecte 2025/AFIR FotoVoltaic 1/30.1 Cerere Rambursare 1/draft/Poze/PANOURI/IMG-20260323-WA0024.jpg","Deschide sursa")</x:f>
        <x:v>HYPERLINK is not implemented. linkLocation=file:///Z:/00. Proiecte 2025/AFIR FotoVoltaic 1/30.1 Cerere Rambursare 1/draft/Poze/PANOURI/IMG-20260323-WA0024.jpg, friendlyName=Deschide sursa</x:v>
      </x:c>
    </x:row>
    <x:row r="1480" ht="36" customHeight="1">
      <x:c r="A1480" s="8" t="str">
        <x:v>F1476</x:v>
      </x:c>
      <x:c r="B1480" s="8" t="str">
        <x:v>IMG-20260323-WA0025.jpg</x:v>
      </x:c>
      <x:c r="C1480" s="8" t="str">
        <x:v>30.1 Cerere Rambursare 1</x:v>
      </x:c>
      <x:c r="D1480" s="8" t="str">
        <x:v>Proiect fotovoltaic</x:v>
      </x:c>
      <x:c r="E1480" s="8" t="str">
        <x:v>.jpg</x:v>
      </x:c>
      <x:c r="F1480" s="8" t="n">
        <x:v>167161</x:v>
      </x:c>
      <x:c r="G1480" s="8" t="str">
        <x:v>Inventariat; conținut neextras</x:v>
      </x:c>
      <x:c r="H1480" s="8" t="str">
        <x:v>Versiune de lucru / arhivă</x:v>
      </x:c>
      <x:c r="I1480" s="8" t="str"/>
      <x:c r="J1480" s="8" t="e">
        <x:f>HYPERLINK("file:///Z:/00. Proiecte 2025/AFIR FotoVoltaic 1/30.1 Cerere Rambursare 1/draft/Poze/PANOURI/IMG-20260323-WA0025.jpg","Deschide sursa")</x:f>
        <x:v>HYPERLINK is not implemented. linkLocation=file:///Z:/00. Proiecte 2025/AFIR FotoVoltaic 1/30.1 Cerere Rambursare 1/draft/Poze/PANOURI/IMG-20260323-WA0025.jpg, friendlyName=Deschide sursa</x:v>
      </x:c>
    </x:row>
    <x:row r="1481" ht="36" customHeight="1">
      <x:c r="A1481" s="8" t="str">
        <x:v>F1477</x:v>
      </x:c>
      <x:c r="B1481" s="8" t="str">
        <x:v>IMG-20260323-WA0026.jpg</x:v>
      </x:c>
      <x:c r="C1481" s="8" t="str">
        <x:v>30.1 Cerere Rambursare 1</x:v>
      </x:c>
      <x:c r="D1481" s="8" t="str">
        <x:v>Proiect fotovoltaic</x:v>
      </x:c>
      <x:c r="E1481" s="8" t="str">
        <x:v>.jpg</x:v>
      </x:c>
      <x:c r="F1481" s="8" t="n">
        <x:v>157716</x:v>
      </x:c>
      <x:c r="G1481" s="8" t="str">
        <x:v>Inventariat; conținut neextras</x:v>
      </x:c>
      <x:c r="H1481" s="8" t="str">
        <x:v>Versiune de lucru / arhivă</x:v>
      </x:c>
      <x:c r="I1481" s="8" t="str"/>
      <x:c r="J1481" s="8" t="e">
        <x:f>HYPERLINK("file:///Z:/00. Proiecte 2025/AFIR FotoVoltaic 1/30.1 Cerere Rambursare 1/draft/Poze/PANOURI/IMG-20260323-WA0026.jpg","Deschide sursa")</x:f>
        <x:v>HYPERLINK is not implemented. linkLocation=file:///Z:/00. Proiecte 2025/AFIR FotoVoltaic 1/30.1 Cerere Rambursare 1/draft/Poze/PANOURI/IMG-20260323-WA0026.jpg, friendlyName=Deschide sursa</x:v>
      </x:c>
    </x:row>
    <x:row r="1482" ht="36" customHeight="1">
      <x:c r="A1482" s="8" t="str">
        <x:v>F1478</x:v>
      </x:c>
      <x:c r="B1482" s="8" t="str">
        <x:v>IMG-20260323-WA0027.jpg</x:v>
      </x:c>
      <x:c r="C1482" s="8" t="str">
        <x:v>30.1 Cerere Rambursare 1</x:v>
      </x:c>
      <x:c r="D1482" s="8" t="str">
        <x:v>Proiect fotovoltaic</x:v>
      </x:c>
      <x:c r="E1482" s="8" t="str">
        <x:v>.jpg</x:v>
      </x:c>
      <x:c r="F1482" s="8" t="n">
        <x:v>161594</x:v>
      </x:c>
      <x:c r="G1482" s="8" t="str">
        <x:v>Inventariat; conținut neextras</x:v>
      </x:c>
      <x:c r="H1482" s="8" t="str">
        <x:v>Versiune de lucru / arhivă</x:v>
      </x:c>
      <x:c r="I1482" s="8" t="str"/>
      <x:c r="J1482" s="8" t="e">
        <x:f>HYPERLINK("file:///Z:/00. Proiecte 2025/AFIR FotoVoltaic 1/30.1 Cerere Rambursare 1/draft/Poze/PANOURI/IMG-20260323-WA0027.jpg","Deschide sursa")</x:f>
        <x:v>HYPERLINK is not implemented. linkLocation=file:///Z:/00. Proiecte 2025/AFIR FotoVoltaic 1/30.1 Cerere Rambursare 1/draft/Poze/PANOURI/IMG-20260323-WA0027.jpg, friendlyName=Deschide sursa</x:v>
      </x:c>
    </x:row>
    <x:row r="1483" ht="36" customHeight="1">
      <x:c r="A1483" s="8" t="str">
        <x:v>F1479</x:v>
      </x:c>
      <x:c r="B1483" s="8" t="str">
        <x:v>IMG-20260323-WA0029.jpg</x:v>
      </x:c>
      <x:c r="C1483" s="8" t="str">
        <x:v>30.1 Cerere Rambursare 1</x:v>
      </x:c>
      <x:c r="D1483" s="8" t="str">
        <x:v>Proiect fotovoltaic</x:v>
      </x:c>
      <x:c r="E1483" s="8" t="str">
        <x:v>.jpg</x:v>
      </x:c>
      <x:c r="F1483" s="8" t="n">
        <x:v>169397</x:v>
      </x:c>
      <x:c r="G1483" s="8" t="str">
        <x:v>Inventariat; conținut neextras</x:v>
      </x:c>
      <x:c r="H1483" s="8" t="str">
        <x:v>Versiune de lucru / arhivă</x:v>
      </x:c>
      <x:c r="I1483" s="8" t="str"/>
      <x:c r="J1483" s="8" t="e">
        <x:f>HYPERLINK("file:///Z:/00. Proiecte 2025/AFIR FotoVoltaic 1/30.1 Cerere Rambursare 1/draft/Poze/PANOURI/IMG-20260323-WA0029.jpg","Deschide sursa")</x:f>
        <x:v>HYPERLINK is not implemented. linkLocation=file:///Z:/00. Proiecte 2025/AFIR FotoVoltaic 1/30.1 Cerere Rambursare 1/draft/Poze/PANOURI/IMG-20260323-WA0029.jpg, friendlyName=Deschide sursa</x:v>
      </x:c>
    </x:row>
    <x:row r="1484" ht="36" customHeight="1">
      <x:c r="A1484" s="8" t="str">
        <x:v>F1480</x:v>
      </x:c>
      <x:c r="B1484" s="8" t="str">
        <x:v>IMG-20260323-WA0030.jpg</x:v>
      </x:c>
      <x:c r="C1484" s="8" t="str">
        <x:v>30.1 Cerere Rambursare 1</x:v>
      </x:c>
      <x:c r="D1484" s="8" t="str">
        <x:v>Proiect fotovoltaic</x:v>
      </x:c>
      <x:c r="E1484" s="8" t="str">
        <x:v>.jpg</x:v>
      </x:c>
      <x:c r="F1484" s="8" t="n">
        <x:v>190183</x:v>
      </x:c>
      <x:c r="G1484" s="8" t="str">
        <x:v>Inventariat; conținut neextras</x:v>
      </x:c>
      <x:c r="H1484" s="8" t="str">
        <x:v>Versiune de lucru / arhivă</x:v>
      </x:c>
      <x:c r="I1484" s="8" t="str"/>
      <x:c r="J1484" s="8" t="e">
        <x:f>HYPERLINK("file:///Z:/00. Proiecte 2025/AFIR FotoVoltaic 1/30.1 Cerere Rambursare 1/draft/Poze/PANOURI/IMG-20260323-WA0030.jpg","Deschide sursa")</x:f>
        <x:v>HYPERLINK is not implemented. linkLocation=file:///Z:/00. Proiecte 2025/AFIR FotoVoltaic 1/30.1 Cerere Rambursare 1/draft/Poze/PANOURI/IMG-20260323-WA0030.jpg, friendlyName=Deschide sursa</x:v>
      </x:c>
    </x:row>
    <x:row r="1485" ht="36" customHeight="1">
      <x:c r="A1485" s="8" t="str">
        <x:v>F1481</x:v>
      </x:c>
      <x:c r="B1485" s="8" t="str">
        <x:v>IMG-20260323-WA0031.jpg</x:v>
      </x:c>
      <x:c r="C1485" s="8" t="str">
        <x:v>30.1 Cerere Rambursare 1</x:v>
      </x:c>
      <x:c r="D1485" s="8" t="str">
        <x:v>Proiect fotovoltaic</x:v>
      </x:c>
      <x:c r="E1485" s="8" t="str">
        <x:v>.jpg</x:v>
      </x:c>
      <x:c r="F1485" s="8" t="n">
        <x:v>116668</x:v>
      </x:c>
      <x:c r="G1485" s="8" t="str">
        <x:v>Inventariat; conținut neextras</x:v>
      </x:c>
      <x:c r="H1485" s="8" t="str">
        <x:v>Versiune de lucru / arhivă</x:v>
      </x:c>
      <x:c r="I1485" s="8" t="str"/>
      <x:c r="J1485" s="8" t="e">
        <x:f>HYPERLINK("file:///Z:/00. Proiecte 2025/AFIR FotoVoltaic 1/30.1 Cerere Rambursare 1/draft/Poze/PANOURI/IMG-20260323-WA0031.jpg","Deschide sursa")</x:f>
        <x:v>HYPERLINK is not implemented. linkLocation=file:///Z:/00. Proiecte 2025/AFIR FotoVoltaic 1/30.1 Cerere Rambursare 1/draft/Poze/PANOURI/IMG-20260323-WA0031.jpg, friendlyName=Deschide sursa</x:v>
      </x:c>
    </x:row>
    <x:row r="1486" ht="36" customHeight="1">
      <x:c r="A1486" s="8" t="str">
        <x:v>F1482</x:v>
      </x:c>
      <x:c r="B1486" s="8" t="str">
        <x:v>IMG-20260323-WA0032.jpg</x:v>
      </x:c>
      <x:c r="C1486" s="8" t="str">
        <x:v>30.1 Cerere Rambursare 1</x:v>
      </x:c>
      <x:c r="D1486" s="8" t="str">
        <x:v>Proiect fotovoltaic</x:v>
      </x:c>
      <x:c r="E1486" s="8" t="str">
        <x:v>.jpg</x:v>
      </x:c>
      <x:c r="F1486" s="8" t="n">
        <x:v>133364</x:v>
      </x:c>
      <x:c r="G1486" s="8" t="str">
        <x:v>Inventariat; conținut neextras</x:v>
      </x:c>
      <x:c r="H1486" s="8" t="str">
        <x:v>Versiune de lucru / arhivă</x:v>
      </x:c>
      <x:c r="I1486" s="8" t="str"/>
      <x:c r="J1486" s="8" t="e">
        <x:f>HYPERLINK("file:///Z:/00. Proiecte 2025/AFIR FotoVoltaic 1/30.1 Cerere Rambursare 1/draft/Poze/PANOURI/IMG-20260323-WA0032.jpg","Deschide sursa")</x:f>
        <x:v>HYPERLINK is not implemented. linkLocation=file:///Z:/00. Proiecte 2025/AFIR FotoVoltaic 1/30.1 Cerere Rambursare 1/draft/Poze/PANOURI/IMG-20260323-WA0032.jpg, friendlyName=Deschide sursa</x:v>
      </x:c>
    </x:row>
    <x:row r="1487" ht="36" customHeight="1">
      <x:c r="A1487" s="8" t="str">
        <x:v>F1483</x:v>
      </x:c>
      <x:c r="B1487" s="8" t="str">
        <x:v>IMG-20260323-WA0033.jpg</x:v>
      </x:c>
      <x:c r="C1487" s="8" t="str">
        <x:v>30.1 Cerere Rambursare 1</x:v>
      </x:c>
      <x:c r="D1487" s="8" t="str">
        <x:v>Proiect fotovoltaic</x:v>
      </x:c>
      <x:c r="E1487" s="8" t="str">
        <x:v>.jpg</x:v>
      </x:c>
      <x:c r="F1487" s="8" t="n">
        <x:v>150690</x:v>
      </x:c>
      <x:c r="G1487" s="8" t="str">
        <x:v>Inventariat; conținut neextras</x:v>
      </x:c>
      <x:c r="H1487" s="8" t="str">
        <x:v>Versiune de lucru / arhivă</x:v>
      </x:c>
      <x:c r="I1487" s="8" t="str"/>
      <x:c r="J1487" s="8" t="e">
        <x:f>HYPERLINK("file:///Z:/00. Proiecte 2025/AFIR FotoVoltaic 1/30.1 Cerere Rambursare 1/draft/Poze/PANOURI/IMG-20260323-WA0033.jpg","Deschide sursa")</x:f>
        <x:v>HYPERLINK is not implemented. linkLocation=file:///Z:/00. Proiecte 2025/AFIR FotoVoltaic 1/30.1 Cerere Rambursare 1/draft/Poze/PANOURI/IMG-20260323-WA0033.jpg, friendlyName=Deschide sursa</x:v>
      </x:c>
    </x:row>
    <x:row r="1488" ht="36" customHeight="1">
      <x:c r="A1488" s="8" t="str">
        <x:v>F1484</x:v>
      </x:c>
      <x:c r="B1488" s="8" t="str">
        <x:v>IMG-20260323-WA0034.jpg</x:v>
      </x:c>
      <x:c r="C1488" s="8" t="str">
        <x:v>30.1 Cerere Rambursare 1</x:v>
      </x:c>
      <x:c r="D1488" s="8" t="str">
        <x:v>Proiect fotovoltaic</x:v>
      </x:c>
      <x:c r="E1488" s="8" t="str">
        <x:v>.jpg</x:v>
      </x:c>
      <x:c r="F1488" s="8" t="n">
        <x:v>138641</x:v>
      </x:c>
      <x:c r="G1488" s="8" t="str">
        <x:v>Inventariat; conținut neextras</x:v>
      </x:c>
      <x:c r="H1488" s="8" t="str">
        <x:v>Versiune de lucru / arhivă</x:v>
      </x:c>
      <x:c r="I1488" s="8" t="str"/>
      <x:c r="J1488" s="8" t="e">
        <x:f>HYPERLINK("file:///Z:/00. Proiecte 2025/AFIR FotoVoltaic 1/30.1 Cerere Rambursare 1/draft/Poze/PANOURI/IMG-20260323-WA0034.jpg","Deschide sursa")</x:f>
        <x:v>HYPERLINK is not implemented. linkLocation=file:///Z:/00. Proiecte 2025/AFIR FotoVoltaic 1/30.1 Cerere Rambursare 1/draft/Poze/PANOURI/IMG-20260323-WA0034.jpg, friendlyName=Deschide sursa</x:v>
      </x:c>
    </x:row>
    <x:row r="1489" ht="36" customHeight="1">
      <x:c r="A1489" s="8" t="str">
        <x:v>F1485</x:v>
      </x:c>
      <x:c r="B1489" s="8" t="str">
        <x:v>IMG-20260323-WA0035.jpg</x:v>
      </x:c>
      <x:c r="C1489" s="8" t="str">
        <x:v>30.1 Cerere Rambursare 1</x:v>
      </x:c>
      <x:c r="D1489" s="8" t="str">
        <x:v>Proiect fotovoltaic</x:v>
      </x:c>
      <x:c r="E1489" s="8" t="str">
        <x:v>.jpg</x:v>
      </x:c>
      <x:c r="F1489" s="8" t="n">
        <x:v>154787</x:v>
      </x:c>
      <x:c r="G1489" s="8" t="str">
        <x:v>Inventariat; conținut neextras</x:v>
      </x:c>
      <x:c r="H1489" s="8" t="str">
        <x:v>Versiune de lucru / arhivă</x:v>
      </x:c>
      <x:c r="I1489" s="8" t="str"/>
      <x:c r="J1489" s="8" t="e">
        <x:f>HYPERLINK("file:///Z:/00. Proiecte 2025/AFIR FotoVoltaic 1/30.1 Cerere Rambursare 1/draft/Poze/PANOURI/IMG-20260323-WA0035.jpg","Deschide sursa")</x:f>
        <x:v>HYPERLINK is not implemented. linkLocation=file:///Z:/00. Proiecte 2025/AFIR FotoVoltaic 1/30.1 Cerere Rambursare 1/draft/Poze/PANOURI/IMG-20260323-WA0035.jpg, friendlyName=Deschide sursa</x:v>
      </x:c>
    </x:row>
    <x:row r="1490" ht="36" customHeight="1">
      <x:c r="A1490" s="8" t="str">
        <x:v>F1486</x:v>
      </x:c>
      <x:c r="B1490" s="8" t="str">
        <x:v>IMG-20260323-WA0036.jpg</x:v>
      </x:c>
      <x:c r="C1490" s="8" t="str">
        <x:v>30.1 Cerere Rambursare 1</x:v>
      </x:c>
      <x:c r="D1490" s="8" t="str">
        <x:v>Proiect fotovoltaic</x:v>
      </x:c>
      <x:c r="E1490" s="8" t="str">
        <x:v>.jpg</x:v>
      </x:c>
      <x:c r="F1490" s="8" t="n">
        <x:v>125489</x:v>
      </x:c>
      <x:c r="G1490" s="8" t="str">
        <x:v>Inventariat; conținut neextras</x:v>
      </x:c>
      <x:c r="H1490" s="8" t="str">
        <x:v>Versiune de lucru / arhivă</x:v>
      </x:c>
      <x:c r="I1490" s="8" t="str"/>
      <x:c r="J1490" s="8" t="e">
        <x:f>HYPERLINK("file:///Z:/00. Proiecte 2025/AFIR FotoVoltaic 1/30.1 Cerere Rambursare 1/draft/Poze/PANOURI/IMG-20260323-WA0036.jpg","Deschide sursa")</x:f>
        <x:v>HYPERLINK is not implemented. linkLocation=file:///Z:/00. Proiecte 2025/AFIR FotoVoltaic 1/30.1 Cerere Rambursare 1/draft/Poze/PANOURI/IMG-20260323-WA0036.jpg, friendlyName=Deschide sursa</x:v>
      </x:c>
    </x:row>
    <x:row r="1491" ht="36" customHeight="1">
      <x:c r="A1491" s="8" t="str">
        <x:v>F1487</x:v>
      </x:c>
      <x:c r="B1491" s="8" t="str">
        <x:v>IMG-20260323-WA0037.jpg</x:v>
      </x:c>
      <x:c r="C1491" s="8" t="str">
        <x:v>30.1 Cerere Rambursare 1</x:v>
      </x:c>
      <x:c r="D1491" s="8" t="str">
        <x:v>Proiect fotovoltaic</x:v>
      </x:c>
      <x:c r="E1491" s="8" t="str">
        <x:v>.jpg</x:v>
      </x:c>
      <x:c r="F1491" s="8" t="n">
        <x:v>150847</x:v>
      </x:c>
      <x:c r="G1491" s="8" t="str">
        <x:v>Inventariat; conținut neextras</x:v>
      </x:c>
      <x:c r="H1491" s="8" t="str">
        <x:v>Versiune de lucru / arhivă</x:v>
      </x:c>
      <x:c r="I1491" s="8" t="str"/>
      <x:c r="J1491" s="8" t="e">
        <x:f>HYPERLINK("file:///Z:/00. Proiecte 2025/AFIR FotoVoltaic 1/30.1 Cerere Rambursare 1/draft/Poze/PANOURI/IMG-20260323-WA0037.jpg","Deschide sursa")</x:f>
        <x:v>HYPERLINK is not implemented. linkLocation=file:///Z:/00. Proiecte 2025/AFIR FotoVoltaic 1/30.1 Cerere Rambursare 1/draft/Poze/PANOURI/IMG-20260323-WA0037.jpg, friendlyName=Deschide sursa</x:v>
      </x:c>
    </x:row>
    <x:row r="1492" ht="36" customHeight="1">
      <x:c r="A1492" s="8" t="str">
        <x:v>F1488</x:v>
      </x:c>
      <x:c r="B1492" s="8" t="str">
        <x:v>IMG-20260323-WA0038.jpg</x:v>
      </x:c>
      <x:c r="C1492" s="8" t="str">
        <x:v>30.1 Cerere Rambursare 1</x:v>
      </x:c>
      <x:c r="D1492" s="8" t="str">
        <x:v>Proiect fotovoltaic</x:v>
      </x:c>
      <x:c r="E1492" s="8" t="str">
        <x:v>.jpg</x:v>
      </x:c>
      <x:c r="F1492" s="8" t="n">
        <x:v>127760</x:v>
      </x:c>
      <x:c r="G1492" s="8" t="str">
        <x:v>Inventariat; conținut neextras</x:v>
      </x:c>
      <x:c r="H1492" s="8" t="str">
        <x:v>Versiune de lucru / arhivă</x:v>
      </x:c>
      <x:c r="I1492" s="8" t="str"/>
      <x:c r="J1492" s="8" t="e">
        <x:f>HYPERLINK("file:///Z:/00. Proiecte 2025/AFIR FotoVoltaic 1/30.1 Cerere Rambursare 1/draft/Poze/PANOURI/IMG-20260323-WA0038.jpg","Deschide sursa")</x:f>
        <x:v>HYPERLINK is not implemented. linkLocation=file:///Z:/00. Proiecte 2025/AFIR FotoVoltaic 1/30.1 Cerere Rambursare 1/draft/Poze/PANOURI/IMG-20260323-WA0038.jpg, friendlyName=Deschide sursa</x:v>
      </x:c>
    </x:row>
    <x:row r="1493" ht="36" customHeight="1">
      <x:c r="A1493" s="8" t="str">
        <x:v>F1489</x:v>
      </x:c>
      <x:c r="B1493" s="8" t="str">
        <x:v>IMG-20260323-WA0039.jpg</x:v>
      </x:c>
      <x:c r="C1493" s="8" t="str">
        <x:v>30.1 Cerere Rambursare 1</x:v>
      </x:c>
      <x:c r="D1493" s="8" t="str">
        <x:v>Proiect fotovoltaic</x:v>
      </x:c>
      <x:c r="E1493" s="8" t="str">
        <x:v>.jpg</x:v>
      </x:c>
      <x:c r="F1493" s="8" t="n">
        <x:v>101752</x:v>
      </x:c>
      <x:c r="G1493" s="8" t="str">
        <x:v>Inventariat; conținut neextras</x:v>
      </x:c>
      <x:c r="H1493" s="8" t="str">
        <x:v>Versiune de lucru / arhivă</x:v>
      </x:c>
      <x:c r="I1493" s="8" t="str"/>
      <x:c r="J1493" s="8" t="e">
        <x:f>HYPERLINK("file:///Z:/00. Proiecte 2025/AFIR FotoVoltaic 1/30.1 Cerere Rambursare 1/draft/Poze/PANOURI/IMG-20260323-WA0039.jpg","Deschide sursa")</x:f>
        <x:v>HYPERLINK is not implemented. linkLocation=file:///Z:/00. Proiecte 2025/AFIR FotoVoltaic 1/30.1 Cerere Rambursare 1/draft/Poze/PANOURI/IMG-20260323-WA0039.jpg, friendlyName=Deschide sursa</x:v>
      </x:c>
    </x:row>
    <x:row r="1494" ht="36" customHeight="1">
      <x:c r="A1494" s="8" t="str">
        <x:v>F1490</x:v>
      </x:c>
      <x:c r="B1494" s="8" t="str">
        <x:v>IMG-20260323-WA0040.jpg</x:v>
      </x:c>
      <x:c r="C1494" s="8" t="str">
        <x:v>30.1 Cerere Rambursare 1</x:v>
      </x:c>
      <x:c r="D1494" s="8" t="str">
        <x:v>Proiect fotovoltaic</x:v>
      </x:c>
      <x:c r="E1494" s="8" t="str">
        <x:v>.jpg</x:v>
      </x:c>
      <x:c r="F1494" s="8" t="n">
        <x:v>104262</x:v>
      </x:c>
      <x:c r="G1494" s="8" t="str">
        <x:v>Inventariat; conținut neextras</x:v>
      </x:c>
      <x:c r="H1494" s="8" t="str">
        <x:v>Versiune de lucru / arhivă</x:v>
      </x:c>
      <x:c r="I1494" s="8" t="str"/>
      <x:c r="J1494" s="8" t="e">
        <x:f>HYPERLINK("file:///Z:/00. Proiecte 2025/AFIR FotoVoltaic 1/30.1 Cerere Rambursare 1/draft/Poze/PANOURI/IMG-20260323-WA0040.jpg","Deschide sursa")</x:f>
        <x:v>HYPERLINK is not implemented. linkLocation=file:///Z:/00. Proiecte 2025/AFIR FotoVoltaic 1/30.1 Cerere Rambursare 1/draft/Poze/PANOURI/IMG-20260323-WA0040.jpg, friendlyName=Deschide sursa</x:v>
      </x:c>
    </x:row>
    <x:row r="1495" ht="36" customHeight="1">
      <x:c r="A1495" s="8" t="str">
        <x:v>F1491</x:v>
      </x:c>
      <x:c r="B1495" s="8" t="str">
        <x:v>IMG-20260323-WA0042.jpg</x:v>
      </x:c>
      <x:c r="C1495" s="8" t="str">
        <x:v>30.1 Cerere Rambursare 1</x:v>
      </x:c>
      <x:c r="D1495" s="8" t="str">
        <x:v>Proiect fotovoltaic</x:v>
      </x:c>
      <x:c r="E1495" s="8" t="str">
        <x:v>.jpg</x:v>
      </x:c>
      <x:c r="F1495" s="8" t="n">
        <x:v>106284</x:v>
      </x:c>
      <x:c r="G1495" s="8" t="str">
        <x:v>Inventariat; conținut neextras</x:v>
      </x:c>
      <x:c r="H1495" s="8" t="str">
        <x:v>Versiune de lucru / arhivă</x:v>
      </x:c>
      <x:c r="I1495" s="8" t="str"/>
      <x:c r="J1495" s="8" t="e">
        <x:f>HYPERLINK("file:///Z:/00. Proiecte 2025/AFIR FotoVoltaic 1/30.1 Cerere Rambursare 1/draft/Poze/PANOURI/IMG-20260323-WA0042.jpg","Deschide sursa")</x:f>
        <x:v>HYPERLINK is not implemented. linkLocation=file:///Z:/00. Proiecte 2025/AFIR FotoVoltaic 1/30.1 Cerere Rambursare 1/draft/Poze/PANOURI/IMG-20260323-WA0042.jpg, friendlyName=Deschide sursa</x:v>
      </x:c>
    </x:row>
    <x:row r="1496" ht="36" customHeight="1">
      <x:c r="A1496" s="8" t="str">
        <x:v>F1492</x:v>
      </x:c>
      <x:c r="B1496" s="8" t="str">
        <x:v>IMG-20260323-WA0043(1).jpg</x:v>
      </x:c>
      <x:c r="C1496" s="8" t="str">
        <x:v>30.1 Cerere Rambursare 1</x:v>
      </x:c>
      <x:c r="D1496" s="8" t="str">
        <x:v>Proiect fotovoltaic</x:v>
      </x:c>
      <x:c r="E1496" s="8" t="str">
        <x:v>.jpg</x:v>
      </x:c>
      <x:c r="F1496" s="8" t="n">
        <x:v>138740</x:v>
      </x:c>
      <x:c r="G1496" s="8" t="str">
        <x:v>Inventariat; conținut neextras</x:v>
      </x:c>
      <x:c r="H1496" s="8" t="str">
        <x:v>Versiune de lucru / arhivă</x:v>
      </x:c>
      <x:c r="I1496" s="8" t="str"/>
      <x:c r="J1496" s="8" t="e">
        <x:f>HYPERLINK("file:///Z:/00. Proiecte 2025/AFIR FotoVoltaic 1/30.1 Cerere Rambursare 1/draft/Poze/PANOURI/IMG-20260323-WA0043(1).jpg","Deschide sursa")</x:f>
        <x:v>HYPERLINK is not implemented. linkLocation=file:///Z:/00. Proiecte 2025/AFIR FotoVoltaic 1/30.1 Cerere Rambursare 1/draft/Poze/PANOURI/IMG-20260323-WA0043(1).jpg, friendlyName=Deschide sursa</x:v>
      </x:c>
    </x:row>
    <x:row r="1497" ht="36" customHeight="1">
      <x:c r="A1497" s="8" t="str">
        <x:v>F1493</x:v>
      </x:c>
      <x:c r="B1497" s="8" t="str">
        <x:v>IMG-20260323-WA0043.jpg</x:v>
      </x:c>
      <x:c r="C1497" s="8" t="str">
        <x:v>30.1 Cerere Rambursare 1</x:v>
      </x:c>
      <x:c r="D1497" s="8" t="str">
        <x:v>Proiect fotovoltaic</x:v>
      </x:c>
      <x:c r="E1497" s="8" t="str">
        <x:v>.jpg</x:v>
      </x:c>
      <x:c r="F1497" s="8" t="n">
        <x:v>138740</x:v>
      </x:c>
      <x:c r="G1497" s="8" t="str">
        <x:v>Inventariat; conținut neextras</x:v>
      </x:c>
      <x:c r="H1497" s="8" t="str">
        <x:v>Versiune de lucru / arhivă</x:v>
      </x:c>
      <x:c r="I1497" s="8" t="str"/>
      <x:c r="J1497" s="8" t="e">
        <x:f>HYPERLINK("file:///Z:/00. Proiecte 2025/AFIR FotoVoltaic 1/30.1 Cerere Rambursare 1/draft/Poze/PANOURI/IMG-20260323-WA0043.jpg","Deschide sursa")</x:f>
        <x:v>HYPERLINK is not implemented. linkLocation=file:///Z:/00. Proiecte 2025/AFIR FotoVoltaic 1/30.1 Cerere Rambursare 1/draft/Poze/PANOURI/IMG-20260323-WA0043.jpg, friendlyName=Deschide sursa</x:v>
      </x:c>
    </x:row>
    <x:row r="1498" ht="36" customHeight="1">
      <x:c r="A1498" s="8" t="str">
        <x:v>F1494</x:v>
      </x:c>
      <x:c r="B1498" s="8" t="str">
        <x:v>IMG-20260323-WA0044.jpg</x:v>
      </x:c>
      <x:c r="C1498" s="8" t="str">
        <x:v>30.1 Cerere Rambursare 1</x:v>
      </x:c>
      <x:c r="D1498" s="8" t="str">
        <x:v>Proiect fotovoltaic</x:v>
      </x:c>
      <x:c r="E1498" s="8" t="str">
        <x:v>.jpg</x:v>
      </x:c>
      <x:c r="F1498" s="8" t="n">
        <x:v>141370</x:v>
      </x:c>
      <x:c r="G1498" s="8" t="str">
        <x:v>Inventariat; conținut neextras</x:v>
      </x:c>
      <x:c r="H1498" s="8" t="str">
        <x:v>Versiune de lucru / arhivă</x:v>
      </x:c>
      <x:c r="I1498" s="8" t="str"/>
      <x:c r="J1498" s="8" t="e">
        <x:f>HYPERLINK("file:///Z:/00. Proiecte 2025/AFIR FotoVoltaic 1/30.1 Cerere Rambursare 1/draft/Poze/PANOURI/IMG-20260323-WA0044.jpg","Deschide sursa")</x:f>
        <x:v>HYPERLINK is not implemented. linkLocation=file:///Z:/00. Proiecte 2025/AFIR FotoVoltaic 1/30.1 Cerere Rambursare 1/draft/Poze/PANOURI/IMG-20260323-WA0044.jpg, friendlyName=Deschide sursa</x:v>
      </x:c>
    </x:row>
    <x:row r="1499" ht="36" customHeight="1">
      <x:c r="A1499" s="8" t="str">
        <x:v>F1495</x:v>
      </x:c>
      <x:c r="B1499" s="8" t="str">
        <x:v>IMG-20260323-WA0045.jpg</x:v>
      </x:c>
      <x:c r="C1499" s="8" t="str">
        <x:v>30.1 Cerere Rambursare 1</x:v>
      </x:c>
      <x:c r="D1499" s="8" t="str">
        <x:v>Proiect fotovoltaic</x:v>
      </x:c>
      <x:c r="E1499" s="8" t="str">
        <x:v>.jpg</x:v>
      </x:c>
      <x:c r="F1499" s="8" t="n">
        <x:v>138857</x:v>
      </x:c>
      <x:c r="G1499" s="8" t="str">
        <x:v>Inventariat; conținut neextras</x:v>
      </x:c>
      <x:c r="H1499" s="8" t="str">
        <x:v>Versiune de lucru / arhivă</x:v>
      </x:c>
      <x:c r="I1499" s="8" t="str"/>
      <x:c r="J1499" s="8" t="e">
        <x:f>HYPERLINK("file:///Z:/00. Proiecte 2025/AFIR FotoVoltaic 1/30.1 Cerere Rambursare 1/draft/Poze/PANOURI/IMG-20260323-WA0045.jpg","Deschide sursa")</x:f>
        <x:v>HYPERLINK is not implemented. linkLocation=file:///Z:/00. Proiecte 2025/AFIR FotoVoltaic 1/30.1 Cerere Rambursare 1/draft/Poze/PANOURI/IMG-20260323-WA0045.jpg, friendlyName=Deschide sursa</x:v>
      </x:c>
    </x:row>
    <x:row r="1500" ht="36" customHeight="1">
      <x:c r="A1500" s="8" t="str">
        <x:v>F1496</x:v>
      </x:c>
      <x:c r="B1500" s="8" t="str">
        <x:v>IMG-20260323-WA0046.jpg</x:v>
      </x:c>
      <x:c r="C1500" s="8" t="str">
        <x:v>30.1 Cerere Rambursare 1</x:v>
      </x:c>
      <x:c r="D1500" s="8" t="str">
        <x:v>Proiect fotovoltaic</x:v>
      </x:c>
      <x:c r="E1500" s="8" t="str">
        <x:v>.jpg</x:v>
      </x:c>
      <x:c r="F1500" s="8" t="n">
        <x:v>107563</x:v>
      </x:c>
      <x:c r="G1500" s="8" t="str">
        <x:v>Inventariat; conținut neextras</x:v>
      </x:c>
      <x:c r="H1500" s="8" t="str">
        <x:v>Versiune de lucru / arhivă</x:v>
      </x:c>
      <x:c r="I1500" s="8" t="str"/>
      <x:c r="J1500" s="8" t="e">
        <x:f>HYPERLINK("file:///Z:/00. Proiecte 2025/AFIR FotoVoltaic 1/30.1 Cerere Rambursare 1/draft/Poze/PANOURI/IMG-20260323-WA0046.jpg","Deschide sursa")</x:f>
        <x:v>HYPERLINK is not implemented. linkLocation=file:///Z:/00. Proiecte 2025/AFIR FotoVoltaic 1/30.1 Cerere Rambursare 1/draft/Poze/PANOURI/IMG-20260323-WA0046.jpg, friendlyName=Deschide sursa</x:v>
      </x:c>
    </x:row>
    <x:row r="1501" ht="36" customHeight="1">
      <x:c r="A1501" s="8" t="str">
        <x:v>F1497</x:v>
      </x:c>
      <x:c r="B1501" s="8" t="str">
        <x:v>IMG-20260323-WA0047.jpg</x:v>
      </x:c>
      <x:c r="C1501" s="8" t="str">
        <x:v>30.1 Cerere Rambursare 1</x:v>
      </x:c>
      <x:c r="D1501" s="8" t="str">
        <x:v>Proiect fotovoltaic</x:v>
      </x:c>
      <x:c r="E1501" s="8" t="str">
        <x:v>.jpg</x:v>
      </x:c>
      <x:c r="F1501" s="8" t="n">
        <x:v>125233</x:v>
      </x:c>
      <x:c r="G1501" s="8" t="str">
        <x:v>Inventariat; conținut neextras</x:v>
      </x:c>
      <x:c r="H1501" s="8" t="str">
        <x:v>Versiune de lucru / arhivă</x:v>
      </x:c>
      <x:c r="I1501" s="8" t="str"/>
      <x:c r="J1501" s="8" t="e">
        <x:f>HYPERLINK("file:///Z:/00. Proiecte 2025/AFIR FotoVoltaic 1/30.1 Cerere Rambursare 1/draft/Poze/PANOURI/IMG-20260323-WA0047.jpg","Deschide sursa")</x:f>
        <x:v>HYPERLINK is not implemented. linkLocation=file:///Z:/00. Proiecte 2025/AFIR FotoVoltaic 1/30.1 Cerere Rambursare 1/draft/Poze/PANOURI/IMG-20260323-WA0047.jpg, friendlyName=Deschide sursa</x:v>
      </x:c>
    </x:row>
    <x:row r="1502" ht="36" customHeight="1">
      <x:c r="A1502" s="8" t="str">
        <x:v>F1498</x:v>
      </x:c>
      <x:c r="B1502" s="8" t="str">
        <x:v>IMG-20260323-WA0048.jpg</x:v>
      </x:c>
      <x:c r="C1502" s="8" t="str">
        <x:v>30.1 Cerere Rambursare 1</x:v>
      </x:c>
      <x:c r="D1502" s="8" t="str">
        <x:v>Proiect fotovoltaic</x:v>
      </x:c>
      <x:c r="E1502" s="8" t="str">
        <x:v>.jpg</x:v>
      </x:c>
      <x:c r="F1502" s="8" t="n">
        <x:v>127821</x:v>
      </x:c>
      <x:c r="G1502" s="8" t="str">
        <x:v>Inventariat; conținut neextras</x:v>
      </x:c>
      <x:c r="H1502" s="8" t="str">
        <x:v>Versiune de lucru / arhivă</x:v>
      </x:c>
      <x:c r="I1502" s="8" t="str"/>
      <x:c r="J1502" s="8" t="e">
        <x:f>HYPERLINK("file:///Z:/00. Proiecte 2025/AFIR FotoVoltaic 1/30.1 Cerere Rambursare 1/draft/Poze/PANOURI/IMG-20260323-WA0048.jpg","Deschide sursa")</x:f>
        <x:v>HYPERLINK is not implemented. linkLocation=file:///Z:/00. Proiecte 2025/AFIR FotoVoltaic 1/30.1 Cerere Rambursare 1/draft/Poze/PANOURI/IMG-20260323-WA0048.jpg, friendlyName=Deschide sursa</x:v>
      </x:c>
    </x:row>
    <x:row r="1503" ht="36" customHeight="1">
      <x:c r="A1503" s="8" t="str">
        <x:v>F1499</x:v>
      </x:c>
      <x:c r="B1503" s="8" t="str">
        <x:v>IMG-20260514-WA0137.jpg</x:v>
      </x:c>
      <x:c r="C1503" s="8" t="str">
        <x:v>30.1 Cerere Rambursare 1</x:v>
      </x:c>
      <x:c r="D1503" s="8" t="str">
        <x:v>Proiect fotovoltaic</x:v>
      </x:c>
      <x:c r="E1503" s="8" t="str">
        <x:v>.jpg</x:v>
      </x:c>
      <x:c r="F1503" s="8" t="n">
        <x:v>507060</x:v>
      </x:c>
      <x:c r="G1503" s="8" t="str">
        <x:v>Inventariat; conținut neextras</x:v>
      </x:c>
      <x:c r="H1503" s="8" t="str">
        <x:v>Versiune de lucru / arhivă</x:v>
      </x:c>
      <x:c r="I1503" s="8" t="str"/>
      <x:c r="J1503" s="8" t="e">
        <x:f>HYPERLINK("file:///Z:/00. Proiecte 2025/AFIR FotoVoltaic 1/30.1 Cerere Rambursare 1/draft/Poze/PANOURI/IMG-20260514-WA0137.jpg","Deschide sursa")</x:f>
        <x:v>HYPERLINK is not implemented. linkLocation=file:///Z:/00. Proiecte 2025/AFIR FotoVoltaic 1/30.1 Cerere Rambursare 1/draft/Poze/PANOURI/IMG-20260514-WA0137.jpg, friendlyName=Deschide sursa</x:v>
      </x:c>
    </x:row>
    <x:row r="1504" ht="36" customHeight="1">
      <x:c r="A1504" s="8" t="str">
        <x:v>F1500</x:v>
      </x:c>
      <x:c r="B1504" s="8" t="str">
        <x:v>20260708_163215.jpg</x:v>
      </x:c>
      <x:c r="C1504" s="8" t="str">
        <x:v>30.1 Cerere Rambursare 1</x:v>
      </x:c>
      <x:c r="D1504" s="8" t="str">
        <x:v>Proiect fotovoltaic</x:v>
      </x:c>
      <x:c r="E1504" s="8" t="str">
        <x:v>.jpg</x:v>
      </x:c>
      <x:c r="F1504" s="8" t="n">
        <x:v>4465315</x:v>
      </x:c>
      <x:c r="G1504" s="8" t="str">
        <x:v>Inventariat; conținut neextras</x:v>
      </x:c>
      <x:c r="H1504" s="8" t="str">
        <x:v>Versiune de lucru / arhivă</x:v>
      </x:c>
      <x:c r="I1504" s="8" t="str"/>
      <x:c r="J1504" s="8" t="e">
        <x:f>HYPERLINK("file:///Z:/00. Proiecte 2025/AFIR FotoVoltaic 1/30.1 Cerere Rambursare 1/draft/Poze/panouri montate/20260708_163215.jpg","Deschide sursa")</x:f>
        <x:v>HYPERLINK is not implemented. linkLocation=file:///Z:/00. Proiecte 2025/AFIR FotoVoltaic 1/30.1 Cerere Rambursare 1/draft/Poze/panouri montate/20260708_163215.jpg, friendlyName=Deschide sursa</x:v>
      </x:c>
    </x:row>
    <x:row r="1505" ht="36" customHeight="1">
      <x:c r="A1505" s="8" t="str">
        <x:v>F1501</x:v>
      </x:c>
      <x:c r="B1505" s="8" t="str">
        <x:v>20260708_163222.jpg</x:v>
      </x:c>
      <x:c r="C1505" s="8" t="str">
        <x:v>30.1 Cerere Rambursare 1</x:v>
      </x:c>
      <x:c r="D1505" s="8" t="str">
        <x:v>Proiect fotovoltaic</x:v>
      </x:c>
      <x:c r="E1505" s="8" t="str">
        <x:v>.jpg</x:v>
      </x:c>
      <x:c r="F1505" s="8" t="n">
        <x:v>4144268</x:v>
      </x:c>
      <x:c r="G1505" s="8" t="str">
        <x:v>Inventariat; conținut neextras</x:v>
      </x:c>
      <x:c r="H1505" s="8" t="str">
        <x:v>Versiune de lucru / arhivă</x:v>
      </x:c>
      <x:c r="I1505" s="8" t="str"/>
      <x:c r="J1505" s="8" t="e">
        <x:f>HYPERLINK("file:///Z:/00. Proiecte 2025/AFIR FotoVoltaic 1/30.1 Cerere Rambursare 1/draft/Poze/panouri montate/20260708_163222.jpg","Deschide sursa")</x:f>
        <x:v>HYPERLINK is not implemented. linkLocation=file:///Z:/00. Proiecte 2025/AFIR FotoVoltaic 1/30.1 Cerere Rambursare 1/draft/Poze/panouri montate/20260708_163222.jpg, friendlyName=Deschide sursa</x:v>
      </x:c>
    </x:row>
    <x:row r="1506" ht="36" customHeight="1">
      <x:c r="A1506" s="8" t="str">
        <x:v>F1502</x:v>
      </x:c>
      <x:c r="B1506" s="8" t="str">
        <x:v>20260708_163234.jpg</x:v>
      </x:c>
      <x:c r="C1506" s="8" t="str">
        <x:v>30.1 Cerere Rambursare 1</x:v>
      </x:c>
      <x:c r="D1506" s="8" t="str">
        <x:v>Proiect fotovoltaic</x:v>
      </x:c>
      <x:c r="E1506" s="8" t="str">
        <x:v>.jpg</x:v>
      </x:c>
      <x:c r="F1506" s="8" t="n">
        <x:v>3611402</x:v>
      </x:c>
      <x:c r="G1506" s="8" t="str">
        <x:v>Inventariat; conținut neextras</x:v>
      </x:c>
      <x:c r="H1506" s="8" t="str">
        <x:v>Versiune de lucru / arhivă</x:v>
      </x:c>
      <x:c r="I1506" s="8" t="str"/>
      <x:c r="J1506" s="8" t="e">
        <x:f>HYPERLINK("file:///Z:/00. Proiecte 2025/AFIR FotoVoltaic 1/30.1 Cerere Rambursare 1/draft/Poze/panouri montate/20260708_163234.jpg","Deschide sursa")</x:f>
        <x:v>HYPERLINK is not implemented. linkLocation=file:///Z:/00. Proiecte 2025/AFIR FotoVoltaic 1/30.1 Cerere Rambursare 1/draft/Poze/panouri montate/20260708_163234.jpg, friendlyName=Deschide sursa</x:v>
      </x:c>
    </x:row>
    <x:row r="1507" ht="36" customHeight="1">
      <x:c r="A1507" s="8" t="str">
        <x:v>F1503</x:v>
      </x:c>
      <x:c r="B1507" s="8" t="str">
        <x:v>20260708_163430.jpg</x:v>
      </x:c>
      <x:c r="C1507" s="8" t="str">
        <x:v>30.1 Cerere Rambursare 1</x:v>
      </x:c>
      <x:c r="D1507" s="8" t="str">
        <x:v>Proiect fotovoltaic</x:v>
      </x:c>
      <x:c r="E1507" s="8" t="str">
        <x:v>.jpg</x:v>
      </x:c>
      <x:c r="F1507" s="8" t="n">
        <x:v>3171026</x:v>
      </x:c>
      <x:c r="G1507" s="8" t="str">
        <x:v>Inventariat; conținut neextras</x:v>
      </x:c>
      <x:c r="H1507" s="8" t="str">
        <x:v>Versiune de lucru / arhivă</x:v>
      </x:c>
      <x:c r="I1507" s="8" t="str"/>
      <x:c r="J1507" s="8" t="e">
        <x:f>HYPERLINK("file:///Z:/00. Proiecte 2025/AFIR FotoVoltaic 1/30.1 Cerere Rambursare 1/draft/Poze/panouri montate/20260708_163430.jpg","Deschide sursa")</x:f>
        <x:v>HYPERLINK is not implemented. linkLocation=file:///Z:/00. Proiecte 2025/AFIR FotoVoltaic 1/30.1 Cerere Rambursare 1/draft/Poze/panouri montate/20260708_163430.jpg, friendlyName=Deschide sursa</x:v>
      </x:c>
    </x:row>
    <x:row r="1508" ht="36" customHeight="1">
      <x:c r="A1508" s="8" t="str">
        <x:v>F1504</x:v>
      </x:c>
      <x:c r="B1508" s="8" t="str">
        <x:v>20260708_163434.jpg</x:v>
      </x:c>
      <x:c r="C1508" s="8" t="str">
        <x:v>30.1 Cerere Rambursare 1</x:v>
      </x:c>
      <x:c r="D1508" s="8" t="str">
        <x:v>Proiect fotovoltaic</x:v>
      </x:c>
      <x:c r="E1508" s="8" t="str">
        <x:v>.jpg</x:v>
      </x:c>
      <x:c r="F1508" s="8" t="n">
        <x:v>3765279</x:v>
      </x:c>
      <x:c r="G1508" s="8" t="str">
        <x:v>Inventariat; conținut neextras</x:v>
      </x:c>
      <x:c r="H1508" s="8" t="str">
        <x:v>Versiune de lucru / arhivă</x:v>
      </x:c>
      <x:c r="I1508" s="8" t="str"/>
      <x:c r="J1508" s="8" t="e">
        <x:f>HYPERLINK("file:///Z:/00. Proiecte 2025/AFIR FotoVoltaic 1/30.1 Cerere Rambursare 1/draft/Poze/panouri montate/20260708_163434.jpg","Deschide sursa")</x:f>
        <x:v>HYPERLINK is not implemented. linkLocation=file:///Z:/00. Proiecte 2025/AFIR FotoVoltaic 1/30.1 Cerere Rambursare 1/draft/Poze/panouri montate/20260708_163434.jpg, friendlyName=Deschide sursa</x:v>
      </x:c>
    </x:row>
    <x:row r="1509" ht="36" customHeight="1">
      <x:c r="A1509" s="8" t="str">
        <x:v>F1505</x:v>
      </x:c>
      <x:c r="B1509" s="8" t="str">
        <x:v>20260709_133557.jpg</x:v>
      </x:c>
      <x:c r="C1509" s="8" t="str">
        <x:v>30.1 Cerere Rambursare 1</x:v>
      </x:c>
      <x:c r="D1509" s="8" t="str">
        <x:v>Proiect fotovoltaic</x:v>
      </x:c>
      <x:c r="E1509" s="8" t="str">
        <x:v>.jpg</x:v>
      </x:c>
      <x:c r="F1509" s="8" t="n">
        <x:v>3532201</x:v>
      </x:c>
      <x:c r="G1509" s="8" t="str">
        <x:v>Inventariat; conținut neextras</x:v>
      </x:c>
      <x:c r="H1509" s="8" t="str">
        <x:v>Versiune de lucru / arhivă</x:v>
      </x:c>
      <x:c r="I1509" s="8" t="str"/>
      <x:c r="J1509" s="8" t="e">
        <x:f>HYPERLINK("file:///Z:/00. Proiecte 2025/AFIR FotoVoltaic 1/30.1 Cerere Rambursare 1/draft/Poze/poze acoperis birouri + cantina/20260709_133557.jpg","Deschide sursa")</x:f>
        <x:v>HYPERLINK is not implemented. linkLocation=file:///Z:/00. Proiecte 2025/AFIR FotoVoltaic 1/30.1 Cerere Rambursare 1/draft/Poze/poze acoperis birouri + cantina/20260709_133557.jpg, friendlyName=Deschide sursa</x:v>
      </x:c>
    </x:row>
    <x:row r="1510" ht="36" customHeight="1">
      <x:c r="A1510" s="8" t="str">
        <x:v>F1506</x:v>
      </x:c>
      <x:c r="B1510" s="8" t="str">
        <x:v>20260709_133558.jpg</x:v>
      </x:c>
      <x:c r="C1510" s="8" t="str">
        <x:v>30.1 Cerere Rambursare 1</x:v>
      </x:c>
      <x:c r="D1510" s="8" t="str">
        <x:v>Proiect fotovoltaic</x:v>
      </x:c>
      <x:c r="E1510" s="8" t="str">
        <x:v>.jpg</x:v>
      </x:c>
      <x:c r="F1510" s="8" t="n">
        <x:v>3518926</x:v>
      </x:c>
      <x:c r="G1510" s="8" t="str">
        <x:v>Inventariat; conținut neextras</x:v>
      </x:c>
      <x:c r="H1510" s="8" t="str">
        <x:v>Versiune de lucru / arhivă</x:v>
      </x:c>
      <x:c r="I1510" s="8" t="str"/>
      <x:c r="J1510" s="8" t="e">
        <x:f>HYPERLINK("file:///Z:/00. Proiecte 2025/AFIR FotoVoltaic 1/30.1 Cerere Rambursare 1/draft/Poze/poze acoperis birouri + cantina/20260709_133558.jpg","Deschide sursa")</x:f>
        <x:v>HYPERLINK is not implemented. linkLocation=file:///Z:/00. Proiecte 2025/AFIR FotoVoltaic 1/30.1 Cerere Rambursare 1/draft/Poze/poze acoperis birouri + cantina/20260709_133558.jpg, friendlyName=Deschide sursa</x:v>
      </x:c>
    </x:row>
    <x:row r="1511" ht="36" customHeight="1">
      <x:c r="A1511" s="8" t="str">
        <x:v>F1507</x:v>
      </x:c>
      <x:c r="B1511" s="8" t="str">
        <x:v>20260709_133627.jpg</x:v>
      </x:c>
      <x:c r="C1511" s="8" t="str">
        <x:v>30.1 Cerere Rambursare 1</x:v>
      </x:c>
      <x:c r="D1511" s="8" t="str">
        <x:v>Proiect fotovoltaic</x:v>
      </x:c>
      <x:c r="E1511" s="8" t="str">
        <x:v>.jpg</x:v>
      </x:c>
      <x:c r="F1511" s="8" t="n">
        <x:v>3363453</x:v>
      </x:c>
      <x:c r="G1511" s="8" t="str">
        <x:v>Inventariat; conținut neextras</x:v>
      </x:c>
      <x:c r="H1511" s="8" t="str">
        <x:v>Versiune de lucru / arhivă</x:v>
      </x:c>
      <x:c r="I1511" s="8" t="str"/>
      <x:c r="J1511" s="8" t="e">
        <x:f>HYPERLINK("file:///Z:/00. Proiecte 2025/AFIR FotoVoltaic 1/30.1 Cerere Rambursare 1/draft/Poze/poze acoperis birouri + cantina/20260709_133627.jpg","Deschide sursa")</x:f>
        <x:v>HYPERLINK is not implemented. linkLocation=file:///Z:/00. Proiecte 2025/AFIR FotoVoltaic 1/30.1 Cerere Rambursare 1/draft/Poze/poze acoperis birouri + cantina/20260709_133627.jpg, friendlyName=Deschide sursa</x:v>
      </x:c>
    </x:row>
    <x:row r="1512" ht="36" customHeight="1">
      <x:c r="A1512" s="8" t="str">
        <x:v>F1508</x:v>
      </x:c>
      <x:c r="B1512" s="8" t="str">
        <x:v>20260709_133629.jpg</x:v>
      </x:c>
      <x:c r="C1512" s="8" t="str">
        <x:v>30.1 Cerere Rambursare 1</x:v>
      </x:c>
      <x:c r="D1512" s="8" t="str">
        <x:v>Proiect fotovoltaic</x:v>
      </x:c>
      <x:c r="E1512" s="8" t="str">
        <x:v>.jpg</x:v>
      </x:c>
      <x:c r="F1512" s="8" t="n">
        <x:v>3389360</x:v>
      </x:c>
      <x:c r="G1512" s="8" t="str">
        <x:v>Inventariat; conținut neextras</x:v>
      </x:c>
      <x:c r="H1512" s="8" t="str">
        <x:v>Versiune de lucru / arhivă</x:v>
      </x:c>
      <x:c r="I1512" s="8" t="str"/>
      <x:c r="J1512" s="8" t="e">
        <x:f>HYPERLINK("file:///Z:/00. Proiecte 2025/AFIR FotoVoltaic 1/30.1 Cerere Rambursare 1/draft/Poze/poze acoperis birouri + cantina/20260709_133629.jpg","Deschide sursa")</x:f>
        <x:v>HYPERLINK is not implemented. linkLocation=file:///Z:/00. Proiecte 2025/AFIR FotoVoltaic 1/30.1 Cerere Rambursare 1/draft/Poze/poze acoperis birouri + cantina/20260709_133629.jpg, friendlyName=Deschide sursa</x:v>
      </x:c>
    </x:row>
    <x:row r="1513" ht="36" customHeight="1">
      <x:c r="A1513" s="8" t="str">
        <x:v>F1509</x:v>
      </x:c>
      <x:c r="B1513" s="8" t="str">
        <x:v>20260709_133633.jpg</x:v>
      </x:c>
      <x:c r="C1513" s="8" t="str">
        <x:v>30.1 Cerere Rambursare 1</x:v>
      </x:c>
      <x:c r="D1513" s="8" t="str">
        <x:v>Proiect fotovoltaic</x:v>
      </x:c>
      <x:c r="E1513" s="8" t="str">
        <x:v>.jpg</x:v>
      </x:c>
      <x:c r="F1513" s="8" t="n">
        <x:v>3442268</x:v>
      </x:c>
      <x:c r="G1513" s="8" t="str">
        <x:v>Inventariat; conținut neextras</x:v>
      </x:c>
      <x:c r="H1513" s="8" t="str">
        <x:v>Versiune de lucru / arhivă</x:v>
      </x:c>
      <x:c r="I1513" s="8" t="str"/>
      <x:c r="J1513" s="8" t="e">
        <x:f>HYPERLINK("file:///Z:/00. Proiecte 2025/AFIR FotoVoltaic 1/30.1 Cerere Rambursare 1/draft/Poze/poze acoperis birouri + cantina/20260709_133633.jpg","Deschide sursa")</x:f>
        <x:v>HYPERLINK is not implemented. linkLocation=file:///Z:/00. Proiecte 2025/AFIR FotoVoltaic 1/30.1 Cerere Rambursare 1/draft/Poze/poze acoperis birouri + cantina/20260709_133633.jpg, friendlyName=Deschide sursa</x:v>
      </x:c>
    </x:row>
    <x:row r="1514" ht="36" customHeight="1">
      <x:c r="A1514" s="8" t="str">
        <x:v>F1510</x:v>
      </x:c>
      <x:c r="B1514" s="8" t="str">
        <x:v>20260709_133635.jpg</x:v>
      </x:c>
      <x:c r="C1514" s="8" t="str">
        <x:v>30.1 Cerere Rambursare 1</x:v>
      </x:c>
      <x:c r="D1514" s="8" t="str">
        <x:v>Proiect fotovoltaic</x:v>
      </x:c>
      <x:c r="E1514" s="8" t="str">
        <x:v>.jpg</x:v>
      </x:c>
      <x:c r="F1514" s="8" t="n">
        <x:v>2972150</x:v>
      </x:c>
      <x:c r="G1514" s="8" t="str">
        <x:v>Inventariat; conținut neextras</x:v>
      </x:c>
      <x:c r="H1514" s="8" t="str">
        <x:v>Versiune de lucru / arhivă</x:v>
      </x:c>
      <x:c r="I1514" s="8" t="str"/>
      <x:c r="J1514" s="8" t="e">
        <x:f>HYPERLINK("file:///Z:/00. Proiecte 2025/AFIR FotoVoltaic 1/30.1 Cerere Rambursare 1/draft/Poze/poze acoperis birouri + cantina/20260709_133635.jpg","Deschide sursa")</x:f>
        <x:v>HYPERLINK is not implemented. linkLocation=file:///Z:/00. Proiecte 2025/AFIR FotoVoltaic 1/30.1 Cerere Rambursare 1/draft/Poze/poze acoperis birouri + cantina/20260709_133635.jpg, friendlyName=Deschide sursa</x:v>
      </x:c>
    </x:row>
    <x:row r="1515" ht="36" customHeight="1">
      <x:c r="A1515" s="8" t="str">
        <x:v>F1511</x:v>
      </x:c>
      <x:c r="B1515" s="8" t="str">
        <x:v>20260709_133637.jpg</x:v>
      </x:c>
      <x:c r="C1515" s="8" t="str">
        <x:v>30.1 Cerere Rambursare 1</x:v>
      </x:c>
      <x:c r="D1515" s="8" t="str">
        <x:v>Proiect fotovoltaic</x:v>
      </x:c>
      <x:c r="E1515" s="8" t="str">
        <x:v>.jpg</x:v>
      </x:c>
      <x:c r="F1515" s="8" t="n">
        <x:v>2899643</x:v>
      </x:c>
      <x:c r="G1515" s="8" t="str">
        <x:v>Inventariat; conținut neextras</x:v>
      </x:c>
      <x:c r="H1515" s="8" t="str">
        <x:v>Versiune de lucru / arhivă</x:v>
      </x:c>
      <x:c r="I1515" s="8" t="str"/>
      <x:c r="J1515" s="8" t="e">
        <x:f>HYPERLINK("file:///Z:/00. Proiecte 2025/AFIR FotoVoltaic 1/30.1 Cerere Rambursare 1/draft/Poze/poze acoperis birouri + cantina/20260709_133637.jpg","Deschide sursa")</x:f>
        <x:v>HYPERLINK is not implemented. linkLocation=file:///Z:/00. Proiecte 2025/AFIR FotoVoltaic 1/30.1 Cerere Rambursare 1/draft/Poze/poze acoperis birouri + cantina/20260709_133637.jpg, friendlyName=Deschide sursa</x:v>
      </x:c>
    </x:row>
    <x:row r="1516" ht="36" customHeight="1">
      <x:c r="A1516" s="8" t="str">
        <x:v>F1512</x:v>
      </x:c>
      <x:c r="B1516" s="8" t="str">
        <x:v>20260709_133639.jpg</x:v>
      </x:c>
      <x:c r="C1516" s="8" t="str">
        <x:v>30.1 Cerere Rambursare 1</x:v>
      </x:c>
      <x:c r="D1516" s="8" t="str">
        <x:v>Proiect fotovoltaic</x:v>
      </x:c>
      <x:c r="E1516" s="8" t="str">
        <x:v>.jpg</x:v>
      </x:c>
      <x:c r="F1516" s="8" t="n">
        <x:v>2995542</x:v>
      </x:c>
      <x:c r="G1516" s="8" t="str">
        <x:v>Inventariat; conținut neextras</x:v>
      </x:c>
      <x:c r="H1516" s="8" t="str">
        <x:v>Versiune de lucru / arhivă</x:v>
      </x:c>
      <x:c r="I1516" s="8" t="str"/>
      <x:c r="J1516" s="8" t="e">
        <x:f>HYPERLINK("file:///Z:/00. Proiecte 2025/AFIR FotoVoltaic 1/30.1 Cerere Rambursare 1/draft/Poze/poze acoperis birouri + cantina/20260709_133639.jpg","Deschide sursa")</x:f>
        <x:v>HYPERLINK is not implemented. linkLocation=file:///Z:/00. Proiecte 2025/AFIR FotoVoltaic 1/30.1 Cerere Rambursare 1/draft/Poze/poze acoperis birouri + cantina/20260709_133639.jpg, friendlyName=Deschide sursa</x:v>
      </x:c>
    </x:row>
    <x:row r="1517" ht="36" customHeight="1">
      <x:c r="A1517" s="8" t="str">
        <x:v>F1513</x:v>
      </x:c>
      <x:c r="B1517" s="8" t="str">
        <x:v>20260709_133640.jpg</x:v>
      </x:c>
      <x:c r="C1517" s="8" t="str">
        <x:v>30.1 Cerere Rambursare 1</x:v>
      </x:c>
      <x:c r="D1517" s="8" t="str">
        <x:v>Proiect fotovoltaic</x:v>
      </x:c>
      <x:c r="E1517" s="8" t="str">
        <x:v>.jpg</x:v>
      </x:c>
      <x:c r="F1517" s="8" t="n">
        <x:v>3081977</x:v>
      </x:c>
      <x:c r="G1517" s="8" t="str">
        <x:v>Inventariat; conținut neextras</x:v>
      </x:c>
      <x:c r="H1517" s="8" t="str">
        <x:v>Versiune de lucru / arhivă</x:v>
      </x:c>
      <x:c r="I1517" s="8" t="str"/>
      <x:c r="J1517" s="8" t="e">
        <x:f>HYPERLINK("file:///Z:/00. Proiecte 2025/AFIR FotoVoltaic 1/30.1 Cerere Rambursare 1/draft/Poze/poze acoperis birouri + cantina/20260709_133640.jpg","Deschide sursa")</x:f>
        <x:v>HYPERLINK is not implemented. linkLocation=file:///Z:/00. Proiecte 2025/AFIR FotoVoltaic 1/30.1 Cerere Rambursare 1/draft/Poze/poze acoperis birouri + cantina/20260709_133640.jpg, friendlyName=Deschide sursa</x:v>
      </x:c>
    </x:row>
    <x:row r="1518" ht="36" customHeight="1">
      <x:c r="A1518" s="8" t="str">
        <x:v>F1514</x:v>
      </x:c>
      <x:c r="B1518" s="8" t="str">
        <x:v>20260709_133643.jpg</x:v>
      </x:c>
      <x:c r="C1518" s="8" t="str">
        <x:v>30.1 Cerere Rambursare 1</x:v>
      </x:c>
      <x:c r="D1518" s="8" t="str">
        <x:v>Proiect fotovoltaic</x:v>
      </x:c>
      <x:c r="E1518" s="8" t="str">
        <x:v>.jpg</x:v>
      </x:c>
      <x:c r="F1518" s="8" t="n">
        <x:v>3349293</x:v>
      </x:c>
      <x:c r="G1518" s="8" t="str">
        <x:v>Inventariat; conținut neextras</x:v>
      </x:c>
      <x:c r="H1518" s="8" t="str">
        <x:v>Versiune de lucru / arhivă</x:v>
      </x:c>
      <x:c r="I1518" s="8" t="str"/>
      <x:c r="J1518" s="8" t="e">
        <x:f>HYPERLINK("file:///Z:/00. Proiecte 2025/AFIR FotoVoltaic 1/30.1 Cerere Rambursare 1/draft/Poze/poze acoperis birouri + cantina/20260709_133643.jpg","Deschide sursa")</x:f>
        <x:v>HYPERLINK is not implemented. linkLocation=file:///Z:/00. Proiecte 2025/AFIR FotoVoltaic 1/30.1 Cerere Rambursare 1/draft/Poze/poze acoperis birouri + cantina/20260709_133643.jpg, friendlyName=Deschide sursa</x:v>
      </x:c>
    </x:row>
    <x:row r="1519" ht="36" customHeight="1">
      <x:c r="A1519" s="8" t="str">
        <x:v>F1515</x:v>
      </x:c>
      <x:c r="B1519" s="8" t="str">
        <x:v>1.jpg</x:v>
      </x:c>
      <x:c r="C1519" s="8" t="str">
        <x:v>30.1 Cerere Rambursare 1</x:v>
      </x:c>
      <x:c r="D1519" s="8" t="str">
        <x:v>Proiect fotovoltaic</x:v>
      </x:c>
      <x:c r="E1519" s="8" t="str">
        <x:v>.jpg</x:v>
      </x:c>
      <x:c r="F1519" s="8" t="n">
        <x:v>3373193</x:v>
      </x:c>
      <x:c r="G1519" s="8" t="str">
        <x:v>Inventariat; conținut neextras</x:v>
      </x:c>
      <x:c r="H1519" s="8" t="str">
        <x:v>Versiune de lucru / arhivă</x:v>
      </x:c>
      <x:c r="I1519" s="8" t="str"/>
      <x:c r="J1519" s="8" t="e">
        <x:f>HYPERLINK("file:///Z:/00. Proiecte 2025/AFIR FotoVoltaic 1/30.1 Cerere Rambursare 1/draft/Poze/poze panouri 09.07.2026/1.jpg","Deschide sursa")</x:f>
        <x:v>HYPERLINK is not implemented. linkLocation=file:///Z:/00. Proiecte 2025/AFIR FotoVoltaic 1/30.1 Cerere Rambursare 1/draft/Poze/poze panouri 09.07.2026/1.jpg, friendlyName=Deschide sursa</x:v>
      </x:c>
    </x:row>
    <x:row r="1520" ht="36" customHeight="1">
      <x:c r="A1520" s="8" t="str">
        <x:v>F1516</x:v>
      </x:c>
      <x:c r="B1520" s="8" t="str">
        <x:v>10.jpg</x:v>
      </x:c>
      <x:c r="C1520" s="8" t="str">
        <x:v>30.1 Cerere Rambursare 1</x:v>
      </x:c>
      <x:c r="D1520" s="8" t="str">
        <x:v>Proiect fotovoltaic</x:v>
      </x:c>
      <x:c r="E1520" s="8" t="str">
        <x:v>.jpg</x:v>
      </x:c>
      <x:c r="F1520" s="8" t="n">
        <x:v>3285044</x:v>
      </x:c>
      <x:c r="G1520" s="8" t="str">
        <x:v>Inventariat; conținut neextras</x:v>
      </x:c>
      <x:c r="H1520" s="8" t="str">
        <x:v>Versiune de lucru / arhivă</x:v>
      </x:c>
      <x:c r="I1520" s="8" t="str"/>
      <x:c r="J1520" s="8" t="e">
        <x:f>HYPERLINK("file:///Z:/00. Proiecte 2025/AFIR FotoVoltaic 1/30.1 Cerere Rambursare 1/draft/Poze/poze panouri 09.07.2026/10.jpg","Deschide sursa")</x:f>
        <x:v>HYPERLINK is not implemented. linkLocation=file:///Z:/00. Proiecte 2025/AFIR FotoVoltaic 1/30.1 Cerere Rambursare 1/draft/Poze/poze panouri 09.07.2026/10.jpg, friendlyName=Deschide sursa</x:v>
      </x:c>
    </x:row>
    <x:row r="1521" ht="36" customHeight="1">
      <x:c r="A1521" s="8" t="str">
        <x:v>F1517</x:v>
      </x:c>
      <x:c r="B1521" s="8" t="str">
        <x:v>11.jpg</x:v>
      </x:c>
      <x:c r="C1521" s="8" t="str">
        <x:v>30.1 Cerere Rambursare 1</x:v>
      </x:c>
      <x:c r="D1521" s="8" t="str">
        <x:v>Proiect fotovoltaic</x:v>
      </x:c>
      <x:c r="E1521" s="8" t="str">
        <x:v>.jpg</x:v>
      </x:c>
      <x:c r="F1521" s="8" t="n">
        <x:v>3951720</x:v>
      </x:c>
      <x:c r="G1521" s="8" t="str">
        <x:v>Inventariat; conținut neextras</x:v>
      </x:c>
      <x:c r="H1521" s="8" t="str">
        <x:v>Versiune de lucru / arhivă</x:v>
      </x:c>
      <x:c r="I1521" s="8" t="str"/>
      <x:c r="J1521" s="8" t="e">
        <x:f>HYPERLINK("file:///Z:/00. Proiecte 2025/AFIR FotoVoltaic 1/30.1 Cerere Rambursare 1/draft/Poze/poze panouri 09.07.2026/11.jpg","Deschide sursa")</x:f>
        <x:v>HYPERLINK is not implemented. linkLocation=file:///Z:/00. Proiecte 2025/AFIR FotoVoltaic 1/30.1 Cerere Rambursare 1/draft/Poze/poze panouri 09.07.2026/11.jpg, friendlyName=Deschide sursa</x:v>
      </x:c>
    </x:row>
    <x:row r="1522" ht="36" customHeight="1">
      <x:c r="A1522" s="8" t="str">
        <x:v>F1518</x:v>
      </x:c>
      <x:c r="B1522" s="8" t="str">
        <x:v>12.jpg</x:v>
      </x:c>
      <x:c r="C1522" s="8" t="str">
        <x:v>30.1 Cerere Rambursare 1</x:v>
      </x:c>
      <x:c r="D1522" s="8" t="str">
        <x:v>Proiect fotovoltaic</x:v>
      </x:c>
      <x:c r="E1522" s="8" t="str">
        <x:v>.jpg</x:v>
      </x:c>
      <x:c r="F1522" s="8" t="n">
        <x:v>3902322</x:v>
      </x:c>
      <x:c r="G1522" s="8" t="str">
        <x:v>Inventariat; conținut neextras</x:v>
      </x:c>
      <x:c r="H1522" s="8" t="str">
        <x:v>Versiune de lucru / arhivă</x:v>
      </x:c>
      <x:c r="I1522" s="8" t="str"/>
      <x:c r="J1522" s="8" t="e">
        <x:f>HYPERLINK("file:///Z:/00. Proiecte 2025/AFIR FotoVoltaic 1/30.1 Cerere Rambursare 1/draft/Poze/poze panouri 09.07.2026/12.jpg","Deschide sursa")</x:f>
        <x:v>HYPERLINK is not implemented. linkLocation=file:///Z:/00. Proiecte 2025/AFIR FotoVoltaic 1/30.1 Cerere Rambursare 1/draft/Poze/poze panouri 09.07.2026/12.jpg, friendlyName=Deschide sursa</x:v>
      </x:c>
    </x:row>
    <x:row r="1523" ht="36" customHeight="1">
      <x:c r="A1523" s="8" t="str">
        <x:v>F1519</x:v>
      </x:c>
      <x:c r="B1523" s="8" t="str">
        <x:v>13.jpg</x:v>
      </x:c>
      <x:c r="C1523" s="8" t="str">
        <x:v>30.1 Cerere Rambursare 1</x:v>
      </x:c>
      <x:c r="D1523" s="8" t="str">
        <x:v>Proiect fotovoltaic</x:v>
      </x:c>
      <x:c r="E1523" s="8" t="str">
        <x:v>.jpg</x:v>
      </x:c>
      <x:c r="F1523" s="8" t="n">
        <x:v>3500187</x:v>
      </x:c>
      <x:c r="G1523" s="8" t="str">
        <x:v>Inventariat; conținut neextras</x:v>
      </x:c>
      <x:c r="H1523" s="8" t="str">
        <x:v>Versiune de lucru / arhivă</x:v>
      </x:c>
      <x:c r="I1523" s="8" t="str"/>
      <x:c r="J1523" s="8" t="e">
        <x:f>HYPERLINK("file:///Z:/00. Proiecte 2025/AFIR FotoVoltaic 1/30.1 Cerere Rambursare 1/draft/Poze/poze panouri 09.07.2026/13.jpg","Deschide sursa")</x:f>
        <x:v>HYPERLINK is not implemented. linkLocation=file:///Z:/00. Proiecte 2025/AFIR FotoVoltaic 1/30.1 Cerere Rambursare 1/draft/Poze/poze panouri 09.07.2026/13.jpg, friendlyName=Deschide sursa</x:v>
      </x:c>
    </x:row>
    <x:row r="1524" ht="36" customHeight="1">
      <x:c r="A1524" s="8" t="str">
        <x:v>F1520</x:v>
      </x:c>
      <x:c r="B1524" s="8" t="str">
        <x:v>14.jpg</x:v>
      </x:c>
      <x:c r="C1524" s="8" t="str">
        <x:v>30.1 Cerere Rambursare 1</x:v>
      </x:c>
      <x:c r="D1524" s="8" t="str">
        <x:v>Proiect fotovoltaic</x:v>
      </x:c>
      <x:c r="E1524" s="8" t="str">
        <x:v>.jpg</x:v>
      </x:c>
      <x:c r="F1524" s="8" t="n">
        <x:v>3569941</x:v>
      </x:c>
      <x:c r="G1524" s="8" t="str">
        <x:v>Inventariat; conținut neextras</x:v>
      </x:c>
      <x:c r="H1524" s="8" t="str">
        <x:v>Versiune de lucru / arhivă</x:v>
      </x:c>
      <x:c r="I1524" s="8" t="str"/>
      <x:c r="J1524" s="8" t="e">
        <x:f>HYPERLINK("file:///Z:/00. Proiecte 2025/AFIR FotoVoltaic 1/30.1 Cerere Rambursare 1/draft/Poze/poze panouri 09.07.2026/14.jpg","Deschide sursa")</x:f>
        <x:v>HYPERLINK is not implemented. linkLocation=file:///Z:/00. Proiecte 2025/AFIR FotoVoltaic 1/30.1 Cerere Rambursare 1/draft/Poze/poze panouri 09.07.2026/14.jpg, friendlyName=Deschide sursa</x:v>
      </x:c>
    </x:row>
    <x:row r="1525" ht="36" customHeight="1">
      <x:c r="A1525" s="8" t="str">
        <x:v>F1521</x:v>
      </x:c>
      <x:c r="B1525" s="8" t="str">
        <x:v>15.jpg</x:v>
      </x:c>
      <x:c r="C1525" s="8" t="str">
        <x:v>30.1 Cerere Rambursare 1</x:v>
      </x:c>
      <x:c r="D1525" s="8" t="str">
        <x:v>Proiect fotovoltaic</x:v>
      </x:c>
      <x:c r="E1525" s="8" t="str">
        <x:v>.jpg</x:v>
      </x:c>
      <x:c r="F1525" s="8" t="n">
        <x:v>3590959</x:v>
      </x:c>
      <x:c r="G1525" s="8" t="str">
        <x:v>Inventariat; conținut neextras</x:v>
      </x:c>
      <x:c r="H1525" s="8" t="str">
        <x:v>Versiune de lucru / arhivă</x:v>
      </x:c>
      <x:c r="I1525" s="8" t="str"/>
      <x:c r="J1525" s="8" t="e">
        <x:f>HYPERLINK("file:///Z:/00. Proiecte 2025/AFIR FotoVoltaic 1/30.1 Cerere Rambursare 1/draft/Poze/poze panouri 09.07.2026/15.jpg","Deschide sursa")</x:f>
        <x:v>HYPERLINK is not implemented. linkLocation=file:///Z:/00. Proiecte 2025/AFIR FotoVoltaic 1/30.1 Cerere Rambursare 1/draft/Poze/poze panouri 09.07.2026/15.jpg, friendlyName=Deschide sursa</x:v>
      </x:c>
    </x:row>
    <x:row r="1526" ht="36" customHeight="1">
      <x:c r="A1526" s="8" t="str">
        <x:v>F1522</x:v>
      </x:c>
      <x:c r="B1526" s="8" t="str">
        <x:v>2.jpg</x:v>
      </x:c>
      <x:c r="C1526" s="8" t="str">
        <x:v>30.1 Cerere Rambursare 1</x:v>
      </x:c>
      <x:c r="D1526" s="8" t="str">
        <x:v>Proiect fotovoltaic</x:v>
      </x:c>
      <x:c r="E1526" s="8" t="str">
        <x:v>.jpg</x:v>
      </x:c>
      <x:c r="F1526" s="8" t="n">
        <x:v>3784412</x:v>
      </x:c>
      <x:c r="G1526" s="8" t="str">
        <x:v>Inventariat; conținut neextras</x:v>
      </x:c>
      <x:c r="H1526" s="8" t="str">
        <x:v>Versiune de lucru / arhivă</x:v>
      </x:c>
      <x:c r="I1526" s="8" t="str"/>
      <x:c r="J1526" s="8" t="e">
        <x:f>HYPERLINK("file:///Z:/00. Proiecte 2025/AFIR FotoVoltaic 1/30.1 Cerere Rambursare 1/draft/Poze/poze panouri 09.07.2026/2.jpg","Deschide sursa")</x:f>
        <x:v>HYPERLINK is not implemented. linkLocation=file:///Z:/00. Proiecte 2025/AFIR FotoVoltaic 1/30.1 Cerere Rambursare 1/draft/Poze/poze panouri 09.07.2026/2.jpg, friendlyName=Deschide sursa</x:v>
      </x:c>
    </x:row>
    <x:row r="1527" ht="36" customHeight="1">
      <x:c r="A1527" s="8" t="str">
        <x:v>F1523</x:v>
      </x:c>
      <x:c r="B1527" s="8" t="str">
        <x:v>20260709_133522.jpg</x:v>
      </x:c>
      <x:c r="C1527" s="8" t="str">
        <x:v>30.1 Cerere Rambursare 1</x:v>
      </x:c>
      <x:c r="D1527" s="8" t="str">
        <x:v>Proiect fotovoltaic</x:v>
      </x:c>
      <x:c r="E1527" s="8" t="str">
        <x:v>.jpg</x:v>
      </x:c>
      <x:c r="F1527" s="8" t="n">
        <x:v>3707527</x:v>
      </x:c>
      <x:c r="G1527" s="8" t="str">
        <x:v>Inventariat; conținut neextras</x:v>
      </x:c>
      <x:c r="H1527" s="8" t="str">
        <x:v>Versiune de lucru / arhivă</x:v>
      </x:c>
      <x:c r="I1527" s="8" t="str"/>
      <x:c r="J1527" s="8" t="e">
        <x:f>HYPERLINK("file:///Z:/00. Proiecte 2025/AFIR FotoVoltaic 1/30.1 Cerere Rambursare 1/draft/Poze/poze panouri 09.07.2026/20260709_133522.jpg","Deschide sursa")</x:f>
        <x:v>HYPERLINK is not implemented. linkLocation=file:///Z:/00. Proiecte 2025/AFIR FotoVoltaic 1/30.1 Cerere Rambursare 1/draft/Poze/poze panouri 09.07.2026/20260709_133522.jpg, friendlyName=Deschide sursa</x:v>
      </x:c>
    </x:row>
    <x:row r="1528" ht="36" customHeight="1">
      <x:c r="A1528" s="8" t="str">
        <x:v>F1524</x:v>
      </x:c>
      <x:c r="B1528" s="8" t="str">
        <x:v>20260709_133523.jpg</x:v>
      </x:c>
      <x:c r="C1528" s="8" t="str">
        <x:v>30.1 Cerere Rambursare 1</x:v>
      </x:c>
      <x:c r="D1528" s="8" t="str">
        <x:v>Proiect fotovoltaic</x:v>
      </x:c>
      <x:c r="E1528" s="8" t="str">
        <x:v>.jpg</x:v>
      </x:c>
      <x:c r="F1528" s="8" t="n">
        <x:v>3592041</x:v>
      </x:c>
      <x:c r="G1528" s="8" t="str">
        <x:v>Inventariat; conținut neextras</x:v>
      </x:c>
      <x:c r="H1528" s="8" t="str">
        <x:v>Versiune de lucru / arhivă</x:v>
      </x:c>
      <x:c r="I1528" s="8" t="str"/>
      <x:c r="J1528" s="8" t="e">
        <x:f>HYPERLINK("file:///Z:/00. Proiecte 2025/AFIR FotoVoltaic 1/30.1 Cerere Rambursare 1/draft/Poze/poze panouri 09.07.2026/20260709_133523.jpg","Deschide sursa")</x:f>
        <x:v>HYPERLINK is not implemented. linkLocation=file:///Z:/00. Proiecte 2025/AFIR FotoVoltaic 1/30.1 Cerere Rambursare 1/draft/Poze/poze panouri 09.07.2026/20260709_133523.jpg, friendlyName=Deschide sursa</x:v>
      </x:c>
    </x:row>
    <x:row r="1529" ht="36" customHeight="1">
      <x:c r="A1529" s="8" t="str">
        <x:v>F1525</x:v>
      </x:c>
      <x:c r="B1529" s="8" t="str">
        <x:v>20260709_133532.jpg</x:v>
      </x:c>
      <x:c r="C1529" s="8" t="str">
        <x:v>30.1 Cerere Rambursare 1</x:v>
      </x:c>
      <x:c r="D1529" s="8" t="str">
        <x:v>Proiect fotovoltaic</x:v>
      </x:c>
      <x:c r="E1529" s="8" t="str">
        <x:v>.jpg</x:v>
      </x:c>
      <x:c r="F1529" s="8" t="n">
        <x:v>3378270</x:v>
      </x:c>
      <x:c r="G1529" s="8" t="str">
        <x:v>Inventariat; conținut neextras</x:v>
      </x:c>
      <x:c r="H1529" s="8" t="str">
        <x:v>Versiune de lucru / arhivă</x:v>
      </x:c>
      <x:c r="I1529" s="8" t="str"/>
      <x:c r="J1529" s="8" t="e">
        <x:f>HYPERLINK("file:///Z:/00. Proiecte 2025/AFIR FotoVoltaic 1/30.1 Cerere Rambursare 1/draft/Poze/poze panouri 09.07.2026/20260709_133532.jpg","Deschide sursa")</x:f>
        <x:v>HYPERLINK is not implemented. linkLocation=file:///Z:/00. Proiecte 2025/AFIR FotoVoltaic 1/30.1 Cerere Rambursare 1/draft/Poze/poze panouri 09.07.2026/20260709_133532.jpg, friendlyName=Deschide sursa</x:v>
      </x:c>
    </x:row>
    <x:row r="1530" ht="36" customHeight="1">
      <x:c r="A1530" s="8" t="str">
        <x:v>F1526</x:v>
      </x:c>
      <x:c r="B1530" s="8" t="str">
        <x:v>20260709_133533.jpg</x:v>
      </x:c>
      <x:c r="C1530" s="8" t="str">
        <x:v>30.1 Cerere Rambursare 1</x:v>
      </x:c>
      <x:c r="D1530" s="8" t="str">
        <x:v>Proiect fotovoltaic</x:v>
      </x:c>
      <x:c r="E1530" s="8" t="str">
        <x:v>.jpg</x:v>
      </x:c>
      <x:c r="F1530" s="8" t="n">
        <x:v>3694012</x:v>
      </x:c>
      <x:c r="G1530" s="8" t="str">
        <x:v>Inventariat; conținut neextras</x:v>
      </x:c>
      <x:c r="H1530" s="8" t="str">
        <x:v>Versiune de lucru / arhivă</x:v>
      </x:c>
      <x:c r="I1530" s="8" t="str"/>
      <x:c r="J1530" s="8" t="e">
        <x:f>HYPERLINK("file:///Z:/00. Proiecte 2025/AFIR FotoVoltaic 1/30.1 Cerere Rambursare 1/draft/Poze/poze panouri 09.07.2026/20260709_133533.jpg","Deschide sursa")</x:f>
        <x:v>HYPERLINK is not implemented. linkLocation=file:///Z:/00. Proiecte 2025/AFIR FotoVoltaic 1/30.1 Cerere Rambursare 1/draft/Poze/poze panouri 09.07.2026/20260709_133533.jpg, friendlyName=Deschide sursa</x:v>
      </x:c>
    </x:row>
    <x:row r="1531" ht="36" customHeight="1">
      <x:c r="A1531" s="8" t="str">
        <x:v>F1527</x:v>
      </x:c>
      <x:c r="B1531" s="8" t="str">
        <x:v>3.jpg</x:v>
      </x:c>
      <x:c r="C1531" s="8" t="str">
        <x:v>30.1 Cerere Rambursare 1</x:v>
      </x:c>
      <x:c r="D1531" s="8" t="str">
        <x:v>Proiect fotovoltaic</x:v>
      </x:c>
      <x:c r="E1531" s="8" t="str">
        <x:v>.jpg</x:v>
      </x:c>
      <x:c r="F1531" s="8" t="n">
        <x:v>3707922</x:v>
      </x:c>
      <x:c r="G1531" s="8" t="str">
        <x:v>Inventariat; conținut neextras</x:v>
      </x:c>
      <x:c r="H1531" s="8" t="str">
        <x:v>Versiune de lucru / arhivă</x:v>
      </x:c>
      <x:c r="I1531" s="8" t="str"/>
      <x:c r="J1531" s="8" t="e">
        <x:f>HYPERLINK("file:///Z:/00. Proiecte 2025/AFIR FotoVoltaic 1/30.1 Cerere Rambursare 1/draft/Poze/poze panouri 09.07.2026/3.jpg","Deschide sursa")</x:f>
        <x:v>HYPERLINK is not implemented. linkLocation=file:///Z:/00. Proiecte 2025/AFIR FotoVoltaic 1/30.1 Cerere Rambursare 1/draft/Poze/poze panouri 09.07.2026/3.jpg, friendlyName=Deschide sursa</x:v>
      </x:c>
    </x:row>
    <x:row r="1532" ht="36" customHeight="1">
      <x:c r="A1532" s="8" t="str">
        <x:v>F1528</x:v>
      </x:c>
      <x:c r="B1532" s="8" t="str">
        <x:v>4.jpg</x:v>
      </x:c>
      <x:c r="C1532" s="8" t="str">
        <x:v>30.1 Cerere Rambursare 1</x:v>
      </x:c>
      <x:c r="D1532" s="8" t="str">
        <x:v>Proiect fotovoltaic</x:v>
      </x:c>
      <x:c r="E1532" s="8" t="str">
        <x:v>.jpg</x:v>
      </x:c>
      <x:c r="F1532" s="8" t="n">
        <x:v>4154056</x:v>
      </x:c>
      <x:c r="G1532" s="8" t="str">
        <x:v>Inventariat; conținut neextras</x:v>
      </x:c>
      <x:c r="H1532" s="8" t="str">
        <x:v>Versiune de lucru / arhivă</x:v>
      </x:c>
      <x:c r="I1532" s="8" t="str"/>
      <x:c r="J1532" s="8" t="e">
        <x:f>HYPERLINK("file:///Z:/00. Proiecte 2025/AFIR FotoVoltaic 1/30.1 Cerere Rambursare 1/draft/Poze/poze panouri 09.07.2026/4.jpg","Deschide sursa")</x:f>
        <x:v>HYPERLINK is not implemented. linkLocation=file:///Z:/00. Proiecte 2025/AFIR FotoVoltaic 1/30.1 Cerere Rambursare 1/draft/Poze/poze panouri 09.07.2026/4.jpg, friendlyName=Deschide sursa</x:v>
      </x:c>
    </x:row>
    <x:row r="1533" ht="36" customHeight="1">
      <x:c r="A1533" s="8" t="str">
        <x:v>F1529</x:v>
      </x:c>
      <x:c r="B1533" s="8" t="str">
        <x:v>5.jpg</x:v>
      </x:c>
      <x:c r="C1533" s="8" t="str">
        <x:v>30.1 Cerere Rambursare 1</x:v>
      </x:c>
      <x:c r="D1533" s="8" t="str">
        <x:v>Proiect fotovoltaic</x:v>
      </x:c>
      <x:c r="E1533" s="8" t="str">
        <x:v>.jpg</x:v>
      </x:c>
      <x:c r="F1533" s="8" t="n">
        <x:v>3725444</x:v>
      </x:c>
      <x:c r="G1533" s="8" t="str">
        <x:v>Inventariat; conținut neextras</x:v>
      </x:c>
      <x:c r="H1533" s="8" t="str">
        <x:v>Versiune de lucru / arhivă</x:v>
      </x:c>
      <x:c r="I1533" s="8" t="str"/>
      <x:c r="J1533" s="8" t="e">
        <x:f>HYPERLINK("file:///Z:/00. Proiecte 2025/AFIR FotoVoltaic 1/30.1 Cerere Rambursare 1/draft/Poze/poze panouri 09.07.2026/5.jpg","Deschide sursa")</x:f>
        <x:v>HYPERLINK is not implemented. linkLocation=file:///Z:/00. Proiecte 2025/AFIR FotoVoltaic 1/30.1 Cerere Rambursare 1/draft/Poze/poze panouri 09.07.2026/5.jpg, friendlyName=Deschide sursa</x:v>
      </x:c>
    </x:row>
    <x:row r="1534" ht="36" customHeight="1">
      <x:c r="A1534" s="8" t="str">
        <x:v>F1530</x:v>
      </x:c>
      <x:c r="B1534" s="8" t="str">
        <x:v>6.jpg</x:v>
      </x:c>
      <x:c r="C1534" s="8" t="str">
        <x:v>30.1 Cerere Rambursare 1</x:v>
      </x:c>
      <x:c r="D1534" s="8" t="str">
        <x:v>Proiect fotovoltaic</x:v>
      </x:c>
      <x:c r="E1534" s="8" t="str">
        <x:v>.jpg</x:v>
      </x:c>
      <x:c r="F1534" s="8" t="n">
        <x:v>3805404</x:v>
      </x:c>
      <x:c r="G1534" s="8" t="str">
        <x:v>Inventariat; conținut neextras</x:v>
      </x:c>
      <x:c r="H1534" s="8" t="str">
        <x:v>Versiune de lucru / arhivă</x:v>
      </x:c>
      <x:c r="I1534" s="8" t="str"/>
      <x:c r="J1534" s="8" t="e">
        <x:f>HYPERLINK("file:///Z:/00. Proiecte 2025/AFIR FotoVoltaic 1/30.1 Cerere Rambursare 1/draft/Poze/poze panouri 09.07.2026/6.jpg","Deschide sursa")</x:f>
        <x:v>HYPERLINK is not implemented. linkLocation=file:///Z:/00. Proiecte 2025/AFIR FotoVoltaic 1/30.1 Cerere Rambursare 1/draft/Poze/poze panouri 09.07.2026/6.jpg, friendlyName=Deschide sursa</x:v>
      </x:c>
    </x:row>
    <x:row r="1535" ht="36" customHeight="1">
      <x:c r="A1535" s="8" t="str">
        <x:v>F1531</x:v>
      </x:c>
      <x:c r="B1535" s="8" t="str">
        <x:v>7.jpg</x:v>
      </x:c>
      <x:c r="C1535" s="8" t="str">
        <x:v>30.1 Cerere Rambursare 1</x:v>
      </x:c>
      <x:c r="D1535" s="8" t="str">
        <x:v>Proiect fotovoltaic</x:v>
      </x:c>
      <x:c r="E1535" s="8" t="str">
        <x:v>.jpg</x:v>
      </x:c>
      <x:c r="F1535" s="8" t="n">
        <x:v>3514363</x:v>
      </x:c>
      <x:c r="G1535" s="8" t="str">
        <x:v>Inventariat; conținut neextras</x:v>
      </x:c>
      <x:c r="H1535" s="8" t="str">
        <x:v>Versiune de lucru / arhivă</x:v>
      </x:c>
      <x:c r="I1535" s="8" t="str"/>
      <x:c r="J1535" s="8" t="e">
        <x:f>HYPERLINK("file:///Z:/00. Proiecte 2025/AFIR FotoVoltaic 1/30.1 Cerere Rambursare 1/draft/Poze/poze panouri 09.07.2026/7.jpg","Deschide sursa")</x:f>
        <x:v>HYPERLINK is not implemented. linkLocation=file:///Z:/00. Proiecte 2025/AFIR FotoVoltaic 1/30.1 Cerere Rambursare 1/draft/Poze/poze panouri 09.07.2026/7.jpg, friendlyName=Deschide sursa</x:v>
      </x:c>
    </x:row>
    <x:row r="1536" ht="36" customHeight="1">
      <x:c r="A1536" s="8" t="str">
        <x:v>F1532</x:v>
      </x:c>
      <x:c r="B1536" s="8" t="str">
        <x:v>8.jpg</x:v>
      </x:c>
      <x:c r="C1536" s="8" t="str">
        <x:v>30.1 Cerere Rambursare 1</x:v>
      </x:c>
      <x:c r="D1536" s="8" t="str">
        <x:v>Proiect fotovoltaic</x:v>
      </x:c>
      <x:c r="E1536" s="8" t="str">
        <x:v>.jpg</x:v>
      </x:c>
      <x:c r="F1536" s="8" t="n">
        <x:v>3513017</x:v>
      </x:c>
      <x:c r="G1536" s="8" t="str">
        <x:v>Inventariat; conținut neextras</x:v>
      </x:c>
      <x:c r="H1536" s="8" t="str">
        <x:v>Versiune de lucru / arhivă</x:v>
      </x:c>
      <x:c r="I1536" s="8" t="str"/>
      <x:c r="J1536" s="8" t="e">
        <x:f>HYPERLINK("file:///Z:/00. Proiecte 2025/AFIR FotoVoltaic 1/30.1 Cerere Rambursare 1/draft/Poze/poze panouri 09.07.2026/8.jpg","Deschide sursa")</x:f>
        <x:v>HYPERLINK is not implemented. linkLocation=file:///Z:/00. Proiecte 2025/AFIR FotoVoltaic 1/30.1 Cerere Rambursare 1/draft/Poze/poze panouri 09.07.2026/8.jpg, friendlyName=Deschide sursa</x:v>
      </x:c>
    </x:row>
    <x:row r="1537" ht="36" customHeight="1">
      <x:c r="A1537" s="8" t="str">
        <x:v>F1533</x:v>
      </x:c>
      <x:c r="B1537" s="8" t="str">
        <x:v>9.jpg</x:v>
      </x:c>
      <x:c r="C1537" s="8" t="str">
        <x:v>30.1 Cerere Rambursare 1</x:v>
      </x:c>
      <x:c r="D1537" s="8" t="str">
        <x:v>Proiect fotovoltaic</x:v>
      </x:c>
      <x:c r="E1537" s="8" t="str">
        <x:v>.jpg</x:v>
      </x:c>
      <x:c r="F1537" s="8" t="n">
        <x:v>3268079</x:v>
      </x:c>
      <x:c r="G1537" s="8" t="str">
        <x:v>Inventariat; conținut neextras</x:v>
      </x:c>
      <x:c r="H1537" s="8" t="str">
        <x:v>Versiune de lucru / arhivă</x:v>
      </x:c>
      <x:c r="I1537" s="8" t="str"/>
      <x:c r="J1537" s="8" t="e">
        <x:f>HYPERLINK("file:///Z:/00. Proiecte 2025/AFIR FotoVoltaic 1/30.1 Cerere Rambursare 1/draft/Poze/poze panouri 09.07.2026/9.jpg","Deschide sursa")</x:f>
        <x:v>HYPERLINK is not implemented. linkLocation=file:///Z:/00. Proiecte 2025/AFIR FotoVoltaic 1/30.1 Cerere Rambursare 1/draft/Poze/poze panouri 09.07.2026/9.jpg, friendlyName=Deschide sursa</x:v>
      </x:c>
    </x:row>
    <x:row r="1538" ht="36" customHeight="1">
      <x:c r="A1538" s="8" t="str">
        <x:v>F1534</x:v>
      </x:c>
      <x:c r="B1538" s="8" t="str">
        <x:v>15. Memoriu tehnic de evaluare a impactului asupra mediului semnat.pdf</x:v>
      </x:c>
      <x:c r="C1538" s="8" t="str">
        <x:v>5. De Depus</x:v>
      </x:c>
      <x:c r="D1538" s="8" t="str">
        <x:v>Proiect fotovoltaic</x:v>
      </x:c>
      <x:c r="E1538" s="8" t="str">
        <x:v>.pdf</x:v>
      </x:c>
      <x:c r="F1538" s="8" t="n">
        <x:v>1196891</x:v>
      </x:c>
      <x:c r="G1538" s="8" t="str">
        <x:v>Text extras</x:v>
      </x:c>
      <x:c r="H1538" s="8" t="str">
        <x:v>Pregătit pentru depunere; confirmare de verificat</x:v>
      </x:c>
      <x:c r="I1538" s="8" t="str"/>
      <x:c r="J1538" s="8" t="e">
        <x:f>HYPERLINK("file:///Z:/00. Proiecte 2025/AFIR FotoVoltaic 1/5. De Depus/DE DEPUS FINAL/15. Memoriu tehnic de evaluare a impactului asupra mediului semnat.pdf","Deschide sursa")</x:f>
        <x:v>HYPERLINK is not implemented. linkLocation=file:///Z:/00. Proiecte 2025/AFIR FotoVoltaic 1/5. De Depus/DE DEPUS FINAL/15. Memoriu tehnic de evaluare a impactului asupra mediului semnat.pdf, friendlyName=Deschide sursa</x:v>
      </x:c>
    </x:row>
    <x:row r="1539" ht="36" customHeight="1">
      <x:c r="A1539" s="8" t="str">
        <x:v>F1535</x:v>
      </x:c>
      <x:c r="B1539" s="8" t="str">
        <x:v>3. Certificat Constatator Cesiro Production semnat.pdf</x:v>
      </x:c>
      <x:c r="C1539" s="8" t="str">
        <x:v>5. De Depus</x:v>
      </x:c>
      <x:c r="D1539" s="8" t="str">
        <x:v>Proiect fotovoltaic</x:v>
      </x:c>
      <x:c r="E1539" s="8" t="str">
        <x:v>.pdf</x:v>
      </x:c>
      <x:c r="F1539" s="8" t="n">
        <x:v>362490</x:v>
      </x:c>
      <x:c r="G1539" s="8" t="str">
        <x:v>Text extras</x:v>
      </x:c>
      <x:c r="H1539" s="8" t="str">
        <x:v>Pregătit pentru depunere; confirmare de verificat</x:v>
      </x:c>
      <x:c r="I1539" s="8" t="str"/>
      <x:c r="J1539" s="8" t="e">
        <x:f>HYPERLINK("file:///Z:/00. Proiecte 2025/AFIR FotoVoltaic 1/5. De Depus/DE DEPUS FINAL/3. Certificat Constatator Cesiro Production semnat.pdf","Deschide sursa")</x:f>
        <x:v>HYPERLINK is not implemented. linkLocation=file:///Z:/00. Proiecte 2025/AFIR FotoVoltaic 1/5. De Depus/DE DEPUS FINAL/3. Certificat Constatator Cesiro Production semnat.pdf, friendlyName=Deschide sursa</x:v>
      </x:c>
    </x:row>
    <x:row r="1540" ht="36" customHeight="1">
      <x:c r="A1540" s="8" t="str">
        <x:v>F1536</x:v>
      </x:c>
      <x:c r="B1540" s="8" t="str">
        <x:v>4. Act constitutiv Cesiro Production CAEN 1039 si 3511 semnat.pdf</x:v>
      </x:c>
      <x:c r="C1540" s="8" t="str">
        <x:v>5. De Depus</x:v>
      </x:c>
      <x:c r="D1540" s="8" t="str">
        <x:v>Proiect fotovoltaic</x:v>
      </x:c>
      <x:c r="E1540" s="8" t="str">
        <x:v>.pdf</x:v>
      </x:c>
      <x:c r="F1540" s="8" t="n">
        <x:v>8187883</x:v>
      </x:c>
      <x:c r="G1540" s="8" t="str">
        <x:v>Scan / text insuficient</x:v>
      </x:c>
      <x:c r="H1540" s="8" t="str">
        <x:v>Pregătit pentru depunere; confirmare de verificat</x:v>
      </x:c>
      <x:c r="I1540" s="8" t="str">
        <x:v>F0130</x:v>
      </x:c>
      <x:c r="J1540" s="8" t="e">
        <x:f>HYPERLINK("file:///Z:/00. Proiecte 2025/AFIR FotoVoltaic 1/5. De Depus/DE DEPUS FINAL/4. Act constitutiv Cesiro Production CAEN 1039 si 3511 semnat.pdf","Deschide sursa")</x:f>
        <x:v>HYPERLINK is not implemented. linkLocation=file:///Z:/00. Proiecte 2025/AFIR FotoVoltaic 1/5. De Depus/DE DEPUS FINAL/4. Act constitutiv Cesiro Production CAEN 1039 si 3511 semnat.pdf, friendlyName=Deschide sursa</x:v>
      </x:c>
    </x:row>
    <x:row r="1541" ht="32" customHeight="1">
      <x:c r="A1541" s="8" t="str">
        <x:v>F1537</x:v>
      </x:c>
      <x:c r="B1541" s="8" t="str">
        <x:v>6. Analiza Cost Beneficiu semnat.pdf</x:v>
      </x:c>
      <x:c r="C1541" s="8" t="str">
        <x:v>5. De Depus</x:v>
      </x:c>
      <x:c r="D1541" s="8" t="str">
        <x:v>Proiect fotovoltaic</x:v>
      </x:c>
      <x:c r="E1541" s="8" t="str">
        <x:v>.pdf</x:v>
      </x:c>
      <x:c r="F1541" s="8" t="n">
        <x:v>1514349</x:v>
      </x:c>
      <x:c r="G1541" s="8" t="str">
        <x:v>Text extras</x:v>
      </x:c>
      <x:c r="H1541" s="8" t="str">
        <x:v>Pregătit pentru depunere; confirmare de verificat</x:v>
      </x:c>
      <x:c r="I1541" s="8" t="str"/>
      <x:c r="J1541" s="8" t="e">
        <x:f>HYPERLINK("file:///Z:/00. Proiecte 2025/AFIR FotoVoltaic 1/5. De Depus/DE DEPUS FINAL/6. Analiza Cost Beneficiu semnat.pdf","Deschide sursa")</x:f>
        <x:v>HYPERLINK is not implemented. linkLocation=file:///Z:/00. Proiecte 2025/AFIR FotoVoltaic 1/5. De Depus/DE DEPUS FINAL/6. Analiza Cost Beneficiu semnat.pdf, friendlyName=Deschide sursa</x:v>
      </x:c>
    </x:row>
    <x:row r="1542" ht="32" customHeight="1">
      <x:c r="A1542" s="8" t="str">
        <x:v>F1538</x:v>
      </x:c>
      <x:c r="B1542" s="8" t="str">
        <x:v>7. Plan de Afaceri semnat.pdf</x:v>
      </x:c>
      <x:c r="C1542" s="8" t="str">
        <x:v>5. De Depus</x:v>
      </x:c>
      <x:c r="D1542" s="8" t="str">
        <x:v>Proiect fotovoltaic</x:v>
      </x:c>
      <x:c r="E1542" s="8" t="str">
        <x:v>.pdf</x:v>
      </x:c>
      <x:c r="F1542" s="8" t="n">
        <x:v>3124666</x:v>
      </x:c>
      <x:c r="G1542" s="8" t="str">
        <x:v>Text extras</x:v>
      </x:c>
      <x:c r="H1542" s="8" t="str">
        <x:v>Pregătit pentru depunere; confirmare de verificat</x:v>
      </x:c>
      <x:c r="I1542" s="8" t="str"/>
      <x:c r="J1542" s="8" t="e">
        <x:f>HYPERLINK("file:///Z:/00. Proiecte 2025/AFIR FotoVoltaic 1/5. De Depus/DE DEPUS FINAL/7. Plan de Afaceri semnat.pdf","Deschide sursa")</x:f>
        <x:v>HYPERLINK is not implemented. linkLocation=file:///Z:/00. Proiecte 2025/AFIR FotoVoltaic 1/5. De Depus/DE DEPUS FINAL/7. Plan de Afaceri semnat.pdf, friendlyName=Deschide sursa</x:v>
      </x:c>
    </x:row>
    <x:row r="1543" ht="32" customHeight="1">
      <x:c r="A1543" s="8" t="str">
        <x:v>F1539</x:v>
      </x:c>
      <x:c r="B1543" s="8" t="str">
        <x:v>9. OFERTE semnat.pdf</x:v>
      </x:c>
      <x:c r="C1543" s="8" t="str">
        <x:v>5. De Depus</x:v>
      </x:c>
      <x:c r="D1543" s="8" t="str">
        <x:v>Proiect fotovoltaic</x:v>
      </x:c>
      <x:c r="E1543" s="8" t="str">
        <x:v>.pdf</x:v>
      </x:c>
      <x:c r="F1543" s="8" t="n">
        <x:v>26567498</x:v>
      </x:c>
      <x:c r="G1543" s="8" t="str">
        <x:v>Text extras</x:v>
      </x:c>
      <x:c r="H1543" s="8" t="str">
        <x:v>Pregătit pentru depunere; confirmare de verificat</x:v>
      </x:c>
      <x:c r="I1543" s="8" t="str"/>
      <x:c r="J1543" s="8" t="e">
        <x:f>HYPERLINK("file:///Z:/00. Proiecte 2025/AFIR FotoVoltaic 1/5. De Depus/DE DEPUS FINAL/9. OFERTE semnat.pdf","Deschide sursa")</x:f>
        <x:v>HYPERLINK is not implemented. linkLocation=file:///Z:/00. Proiecte 2025/AFIR FotoVoltaic 1/5. De Depus/DE DEPUS FINAL/9. OFERTE semnat.pdf, friendlyName=Deschide sursa</x:v>
      </x:c>
    </x:row>
    <x:row r="1544" ht="32" customHeight="1">
      <x:c r="A1544" s="8" t="str">
        <x:v>F1540</x:v>
      </x:c>
      <x:c r="B1544" s="8" t="str">
        <x:v>Cerere de finantare semnat.pdf</x:v>
      </x:c>
      <x:c r="C1544" s="8" t="str">
        <x:v>5. De Depus</x:v>
      </x:c>
      <x:c r="D1544" s="8" t="str">
        <x:v>Proiect fotovoltaic</x:v>
      </x:c>
      <x:c r="E1544" s="8" t="str">
        <x:v>.pdf</x:v>
      </x:c>
      <x:c r="F1544" s="8" t="n">
        <x:v>1408358</x:v>
      </x:c>
      <x:c r="G1544" s="8" t="str">
        <x:v>Text extras</x:v>
      </x:c>
      <x:c r="H1544" s="8" t="str">
        <x:v>Pregătit pentru depunere; confirmare de verificat</x:v>
      </x:c>
      <x:c r="I1544" s="8" t="str"/>
      <x:c r="J1544" s="8" t="e">
        <x:f>HYPERLINK("file:///Z:/00. Proiecte 2025/AFIR FotoVoltaic 1/5. De Depus/DE DEPUS FINAL/Cerere de finantare semnat.pdf","Deschide sursa")</x:f>
        <x:v>HYPERLINK is not implemented. linkLocation=file:///Z:/00. Proiecte 2025/AFIR FotoVoltaic 1/5. De Depus/DE DEPUS FINAL/Cerere de finantare semnat.pdf, friendlyName=Deschide sursa</x:v>
      </x:c>
    </x:row>
    <x:row r="1545" ht="36" customHeight="1">
      <x:c r="A1545" s="8" t="str">
        <x:v>F1541</x:v>
      </x:c>
      <x:c r="B1545" s="8" t="str">
        <x:v>Codul de proiect FMSES011011372801030.docx</x:v>
      </x:c>
      <x:c r="C1545" s="8" t="str">
        <x:v>5. De Depus</x:v>
      </x:c>
      <x:c r="D1545" s="8" t="str">
        <x:v>Proiect fotovoltaic</x:v>
      </x:c>
      <x:c r="E1545" s="8" t="str">
        <x:v>.docx</x:v>
      </x:c>
      <x:c r="F1545" s="8" t="n">
        <x:v>14183</x:v>
      </x:c>
      <x:c r="G1545" s="8" t="str">
        <x:v>Scan / text insuficient</x:v>
      </x:c>
      <x:c r="H1545" s="8" t="str">
        <x:v>Pregătit pentru depunere; confirmare de verificat</x:v>
      </x:c>
      <x:c r="I1545" s="8" t="str"/>
      <x:c r="J1545" s="8" t="e">
        <x:f>HYPERLINK("file:///Z:/00. Proiecte 2025/AFIR FotoVoltaic 1/5. De Depus/DE DEPUS FINAL/Codul de proiect FMSES011011372801030.docx","Deschide sursa")</x:f>
        <x:v>HYPERLINK is not implemented. linkLocation=file:///Z:/00. Proiecte 2025/AFIR FotoVoltaic 1/5. De Depus/DE DEPUS FINAL/Codul de proiect FMSES011011372801030.docx, friendlyName=Deschide sursa</x:v>
      </x:c>
    </x:row>
    <x:row r="1546" ht="36" customHeight="1">
      <x:c r="A1546" s="8" t="str">
        <x:v>F1542</x:v>
      </x:c>
      <x:c r="B1546" s="8" t="str">
        <x:v>Declaratie asumare dezechilibre semnat.pdf</x:v>
      </x:c>
      <x:c r="C1546" s="8" t="str">
        <x:v>5. De Depus</x:v>
      </x:c>
      <x:c r="D1546" s="8" t="str">
        <x:v>Proiect fotovoltaic</x:v>
      </x:c>
      <x:c r="E1546" s="8" t="str">
        <x:v>.pdf</x:v>
      </x:c>
      <x:c r="F1546" s="8" t="n">
        <x:v>335513</x:v>
      </x:c>
      <x:c r="G1546" s="8" t="str">
        <x:v>Text extras</x:v>
      </x:c>
      <x:c r="H1546" s="8" t="str">
        <x:v>Pregătit pentru depunere; confirmare de verificat</x:v>
      </x:c>
      <x:c r="I1546" s="8" t="str"/>
      <x:c r="J1546" s="8" t="e">
        <x:f>HYPERLINK("file:///Z:/00. Proiecte 2025/AFIR FotoVoltaic 1/5. De Depus/DE DEPUS FINAL/Declaratie asumare dezechilibre semnat.pdf","Deschide sursa")</x:f>
        <x:v>HYPERLINK is not implemented. linkLocation=file:///Z:/00. Proiecte 2025/AFIR FotoVoltaic 1/5. De Depus/DE DEPUS FINAL/Declaratie asumare dezechilibre semnat.pdf, friendlyName=Deschide sursa</x:v>
      </x:c>
    </x:row>
    <x:row r="1547" ht="36" customHeight="1">
      <x:c r="A1547" s="8" t="str">
        <x:v>F1543</x:v>
      </x:c>
      <x:c r="B1547" s="8" t="str">
        <x:v>Declaratie caracteristici clădire semnat.pdf</x:v>
      </x:c>
      <x:c r="C1547" s="8" t="str">
        <x:v>5. De Depus</x:v>
      </x:c>
      <x:c r="D1547" s="8" t="str">
        <x:v>Proiect fotovoltaic</x:v>
      </x:c>
      <x:c r="E1547" s="8" t="str">
        <x:v>.pdf</x:v>
      </x:c>
      <x:c r="F1547" s="8" t="n">
        <x:v>346004</x:v>
      </x:c>
      <x:c r="G1547" s="8" t="str">
        <x:v>Text extras</x:v>
      </x:c>
      <x:c r="H1547" s="8" t="str">
        <x:v>Pregătit pentru depunere; confirmare de verificat</x:v>
      </x:c>
      <x:c r="I1547" s="8" t="str"/>
      <x:c r="J1547" s="8" t="e">
        <x:f>HYPERLINK("file:///Z:/00. Proiecte 2025/AFIR FotoVoltaic 1/5. De Depus/DE DEPUS FINAL/Declaratie caracteristici clădire semnat.pdf","Deschide sursa")</x:f>
        <x:v>HYPERLINK is not implemented. linkLocation=file:///Z:/00. Proiecte 2025/AFIR FotoVoltaic 1/5. De Depus/DE DEPUS FINAL/Declaratie caracteristici clădire semnat.pdf, friendlyName=Deschide sursa</x:v>
      </x:c>
    </x:row>
    <x:row r="1548" ht="36" customHeight="1">
      <x:c r="A1548" s="8" t="str">
        <x:v>F1544</x:v>
      </x:c>
      <x:c r="B1548" s="8" t="str">
        <x:v>Declaratie date cu caracter personal semnat.pdf</x:v>
      </x:c>
      <x:c r="C1548" s="8" t="str">
        <x:v>5. De Depus</x:v>
      </x:c>
      <x:c r="D1548" s="8" t="str">
        <x:v>Proiect fotovoltaic</x:v>
      </x:c>
      <x:c r="E1548" s="8" t="str">
        <x:v>.pdf</x:v>
      </x:c>
      <x:c r="F1548" s="8" t="n">
        <x:v>357875</x:v>
      </x:c>
      <x:c r="G1548" s="8" t="str">
        <x:v>Text extras</x:v>
      </x:c>
      <x:c r="H1548" s="8" t="str">
        <x:v>Pregătit pentru depunere; confirmare de verificat</x:v>
      </x:c>
      <x:c r="I1548" s="8" t="str">
        <x:v>F0134</x:v>
      </x:c>
      <x:c r="J1548" s="8" t="e">
        <x:f>HYPERLINK("file:///Z:/00. Proiecte 2025/AFIR FotoVoltaic 1/5. De Depus/DE DEPUS FINAL/Declaratie date cu caracter personal semnat.pdf","Deschide sursa")</x:f>
        <x:v>HYPERLINK is not implemented. linkLocation=file:///Z:/00. Proiecte 2025/AFIR FotoVoltaic 1/5. De Depus/DE DEPUS FINAL/Declaratie date cu caracter personal semnat.pdf, friendlyName=Deschide sursa</x:v>
      </x:c>
    </x:row>
    <x:row r="1549" ht="32" customHeight="1">
      <x:c r="A1549" s="8" t="str">
        <x:v>F1545</x:v>
      </x:c>
      <x:c r="B1549" s="8" t="str">
        <x:v>Documente depuse la proiect.zip</x:v>
      </x:c>
      <x:c r="C1549" s="8" t="str">
        <x:v>5. De Depus</x:v>
      </x:c>
      <x:c r="D1549" s="8" t="str">
        <x:v>Proiect fotovoltaic</x:v>
      </x:c>
      <x:c r="E1549" s="8" t="str">
        <x:v>.zip</x:v>
      </x:c>
      <x:c r="F1549" s="8" t="n">
        <x:v>39095740</x:v>
      </x:c>
      <x:c r="G1549" s="8" t="str">
        <x:v>Inventar ZIP</x:v>
      </x:c>
      <x:c r="H1549" s="8" t="str">
        <x:v>Pregătit pentru depunere; confirmare de verificat</x:v>
      </x:c>
      <x:c r="I1549" s="8" t="str"/>
      <x:c r="J1549" s="8" t="e">
        <x:f>HYPERLINK("file:///Z:/00. Proiecte 2025/AFIR FotoVoltaic 1/5. De Depus/DE DEPUS FINAL/Documente depuse la proiect.zip","Deschide sursa")</x:f>
        <x:v>HYPERLINK is not implemented. linkLocation=file:///Z:/00. Proiecte 2025/AFIR FotoVoltaic 1/5. De Depus/DE DEPUS FINAL/Documente depuse la proiect.zip, friendlyName=Deschide sursa</x:v>
      </x:c>
    </x:row>
    <x:row r="1550" ht="36" customHeight="1">
      <x:c r="A1550" s="8" t="str">
        <x:v>F1546</x:v>
      </x:c>
      <x:c r="B1550" s="8" t="str">
        <x:v>Memoriu Tehnic Justificativ semnat.pdf</x:v>
      </x:c>
      <x:c r="C1550" s="8" t="str">
        <x:v>5. De Depus</x:v>
      </x:c>
      <x:c r="D1550" s="8" t="str">
        <x:v>Proiect fotovoltaic</x:v>
      </x:c>
      <x:c r="E1550" s="8" t="str">
        <x:v>.pdf</x:v>
      </x:c>
      <x:c r="F1550" s="8" t="n">
        <x:v>1686025</x:v>
      </x:c>
      <x:c r="G1550" s="8" t="str">
        <x:v>Text extras</x:v>
      </x:c>
      <x:c r="H1550" s="8" t="str">
        <x:v>Pregătit pentru depunere; confirmare de verificat</x:v>
      </x:c>
      <x:c r="I1550" s="8" t="str">
        <x:v>F0136</x:v>
      </x:c>
      <x:c r="J1550" s="8" t="e">
        <x:f>HYPERLINK("file:///Z:/00. Proiecte 2025/AFIR FotoVoltaic 1/5. De Depus/DE DEPUS FINAL/Memoriu Tehnic Justificativ semnat.pdf","Deschide sursa")</x:f>
        <x:v>HYPERLINK is not implemented. linkLocation=file:///Z:/00. Proiecte 2025/AFIR FotoVoltaic 1/5. De Depus/DE DEPUS FINAL/Memoriu Tehnic Justificativ semnat.pdf, friendlyName=Deschide sursa</x:v>
      </x:c>
    </x:row>
    <x:row r="1551" ht="36" customHeight="1">
      <x:c r="A1551" s="8" t="str">
        <x:v>F1547</x:v>
      </x:c>
      <x:c r="B1551" s="8" t="str">
        <x:v>Nota justificativa de atribuire semnat.pdf</x:v>
      </x:c>
      <x:c r="C1551" s="8" t="str">
        <x:v>5. De Depus</x:v>
      </x:c>
      <x:c r="D1551" s="8" t="str">
        <x:v>Proiect fotovoltaic</x:v>
      </x:c>
      <x:c r="E1551" s="8" t="str">
        <x:v>.pdf</x:v>
      </x:c>
      <x:c r="F1551" s="8" t="n">
        <x:v>797803</x:v>
      </x:c>
      <x:c r="G1551" s="8" t="str">
        <x:v>Scan / text insuficient</x:v>
      </x:c>
      <x:c r="H1551" s="8" t="str">
        <x:v>Pregătit pentru depunere; confirmare de verificat</x:v>
      </x:c>
      <x:c r="I1551" s="8" t="str"/>
      <x:c r="J1551" s="8" t="e">
        <x:f>HYPERLINK("file:///Z:/00. Proiecte 2025/AFIR FotoVoltaic 1/5. De Depus/DE DEPUS FINAL/Nota justificativa de atribuire semnat.pdf","Deschide sursa")</x:f>
        <x:v>HYPERLINK is not implemented. linkLocation=file:///Z:/00. Proiecte 2025/AFIR FotoVoltaic 1/5. De Depus/DE DEPUS FINAL/Nota justificativa de atribuire semnat.pdf, friendlyName=Deschide sursa</x:v>
      </x:c>
    </x:row>
    <x:row r="1552" ht="32" customHeight="1">
      <x:c r="A1552" s="8" t="str">
        <x:v>F1548</x:v>
      </x:c>
      <x:c r="B1552" s="8" t="str">
        <x:v>6. Analiza Cost Beneficiu.pdf</x:v>
      </x:c>
      <x:c r="C1552" s="8" t="str">
        <x:v>5. De Depus</x:v>
      </x:c>
      <x:c r="D1552" s="8" t="str">
        <x:v>Proiect fotovoltaic</x:v>
      </x:c>
      <x:c r="E1552" s="8" t="str">
        <x:v>.pdf</x:v>
      </x:c>
      <x:c r="F1552" s="8" t="n">
        <x:v>1427520</x:v>
      </x:c>
      <x:c r="G1552" s="8" t="str">
        <x:v>Text extras</x:v>
      </x:c>
      <x:c r="H1552" s="8" t="str">
        <x:v>Pregătit pentru depunere; confirmare de verificat</x:v>
      </x:c>
      <x:c r="I1552" s="8" t="str"/>
      <x:c r="J1552" s="8" t="e">
        <x:f>HYPERLINK("file:///Z:/00. Proiecte 2025/AFIR FotoVoltaic 1/5. De Depus/De semnat 2/6. Analiza Cost Beneficiu.pdf","Deschide sursa")</x:f>
        <x:v>HYPERLINK is not implemented. linkLocation=file:///Z:/00. Proiecte 2025/AFIR FotoVoltaic 1/5. De Depus/De semnat 2/6. Analiza Cost Beneficiu.pdf, friendlyName=Deschide sursa</x:v>
      </x:c>
    </x:row>
    <x:row r="1553" ht="32" customHeight="1">
      <x:c r="A1553" s="8" t="str">
        <x:v>F1549</x:v>
      </x:c>
      <x:c r="B1553" s="8" t="str">
        <x:v>7. Plan de Afaceri.pdf</x:v>
      </x:c>
      <x:c r="C1553" s="8" t="str">
        <x:v>5. De Depus</x:v>
      </x:c>
      <x:c r="D1553" s="8" t="str">
        <x:v>Proiect fotovoltaic</x:v>
      </x:c>
      <x:c r="E1553" s="8" t="str">
        <x:v>.pdf</x:v>
      </x:c>
      <x:c r="F1553" s="8" t="n">
        <x:v>3169190</x:v>
      </x:c>
      <x:c r="G1553" s="8" t="str">
        <x:v>Text extras</x:v>
      </x:c>
      <x:c r="H1553" s="8" t="str">
        <x:v>Pregătit pentru depunere; confirmare de verificat</x:v>
      </x:c>
      <x:c r="I1553" s="8" t="str"/>
      <x:c r="J1553" s="8" t="e">
        <x:f>HYPERLINK("file:///Z:/00. Proiecte 2025/AFIR FotoVoltaic 1/5. De Depus/De semnat 2/7. Plan de Afaceri.pdf","Deschide sursa")</x:f>
        <x:v>HYPERLINK is not implemented. linkLocation=file:///Z:/00. Proiecte 2025/AFIR FotoVoltaic 1/5. De Depus/De semnat 2/7. Plan de Afaceri.pdf, friendlyName=Deschide sursa</x:v>
      </x:c>
    </x:row>
    <x:row r="1554" ht="32" customHeight="1">
      <x:c r="A1554" s="8" t="str">
        <x:v>F1550</x:v>
      </x:c>
      <x:c r="B1554" s="8" t="str">
        <x:v>Cerere de finantare.pdf</x:v>
      </x:c>
      <x:c r="C1554" s="8" t="str">
        <x:v>5. De Depus</x:v>
      </x:c>
      <x:c r="D1554" s="8" t="str">
        <x:v>Proiect fotovoltaic</x:v>
      </x:c>
      <x:c r="E1554" s="8" t="str">
        <x:v>.pdf</x:v>
      </x:c>
      <x:c r="F1554" s="8" t="n">
        <x:v>907486</x:v>
      </x:c>
      <x:c r="G1554" s="8" t="str">
        <x:v>Text extras</x:v>
      </x:c>
      <x:c r="H1554" s="8" t="str">
        <x:v>Pregătit pentru depunere; confirmare de verificat</x:v>
      </x:c>
      <x:c r="I1554" s="8" t="str"/>
      <x:c r="J1554" s="8" t="e">
        <x:f>HYPERLINK("file:///Z:/00. Proiecte 2025/AFIR FotoVoltaic 1/5. De Depus/De semnat 2/Cerere de finantare.pdf","Deschide sursa")</x:f>
        <x:v>HYPERLINK is not implemented. linkLocation=file:///Z:/00. Proiecte 2025/AFIR FotoVoltaic 1/5. De Depus/De semnat 2/Cerere de finantare.pdf, friendlyName=Deschide sursa</x:v>
      </x:c>
    </x:row>
    <x:row r="1555" ht="32" customHeight="1">
      <x:c r="A1555" s="8" t="str">
        <x:v>F1551</x:v>
      </x:c>
      <x:c r="B1555" s="8" t="str">
        <x:v>Contract de achizitie.pdf</x:v>
      </x:c>
      <x:c r="C1555" s="8" t="str">
        <x:v>5. De Depus</x:v>
      </x:c>
      <x:c r="D1555" s="8" t="str">
        <x:v>Proiect fotovoltaic</x:v>
      </x:c>
      <x:c r="E1555" s="8" t="str">
        <x:v>.pdf</x:v>
      </x:c>
      <x:c r="F1555" s="8" t="n">
        <x:v>4840623</x:v>
      </x:c>
      <x:c r="G1555" s="8" t="str">
        <x:v>Text extras</x:v>
      </x:c>
      <x:c r="H1555" s="8" t="str">
        <x:v>Pregătit pentru depunere; confirmare de verificat</x:v>
      </x:c>
      <x:c r="I1555" s="8" t="str">
        <x:v>F0098</x:v>
      </x:c>
      <x:c r="J1555" s="8" t="e">
        <x:f>HYPERLINK("file:///Z:/00. Proiecte 2025/AFIR FotoVoltaic 1/5. De Depus/De semnat 2/Contract de achizitie.pdf","Deschide sursa")</x:f>
        <x:v>HYPERLINK is not implemented. linkLocation=file:///Z:/00. Proiecte 2025/AFIR FotoVoltaic 1/5. De Depus/De semnat 2/Contract de achizitie.pdf, friendlyName=Deschide sursa</x:v>
      </x:c>
    </x:row>
    <x:row r="1556" ht="32" customHeight="1">
      <x:c r="A1556" s="8" t="str">
        <x:v>F1552</x:v>
      </x:c>
      <x:c r="B1556" s="8" t="str">
        <x:v>Memoriu Tehnic  Justificativ.pdf</x:v>
      </x:c>
      <x:c r="C1556" s="8" t="str">
        <x:v>5. De Depus</x:v>
      </x:c>
      <x:c r="D1556" s="8" t="str">
        <x:v>Proiect fotovoltaic</x:v>
      </x:c>
      <x:c r="E1556" s="8" t="str">
        <x:v>.pdf</x:v>
      </x:c>
      <x:c r="F1556" s="8" t="n">
        <x:v>1648309</x:v>
      </x:c>
      <x:c r="G1556" s="8" t="str">
        <x:v>Text extras</x:v>
      </x:c>
      <x:c r="H1556" s="8" t="str">
        <x:v>Pregătit pentru depunere; confirmare de verificat</x:v>
      </x:c>
      <x:c r="I1556" s="8" t="str"/>
      <x:c r="J1556" s="8" t="e">
        <x:f>HYPERLINK("file:///Z:/00. Proiecte 2025/AFIR FotoVoltaic 1/5. De Depus/De semnat 2/Memoriu Tehnic  Justificativ.pdf","Deschide sursa")</x:f>
        <x:v>HYPERLINK is not implemented. linkLocation=file:///Z:/00. Proiecte 2025/AFIR FotoVoltaic 1/5. De Depus/De semnat 2/Memoriu Tehnic  Justificativ.pdf, friendlyName=Deschide sursa</x:v>
      </x:c>
    </x:row>
    <x:row r="1557" ht="32" customHeight="1">
      <x:c r="A1557" s="8" t="str">
        <x:v>F1553</x:v>
      </x:c>
      <x:c r="B1557" s="8" t="str">
        <x:v>Nota justificativa de atribuire.pdf</x:v>
      </x:c>
      <x:c r="C1557" s="8" t="str">
        <x:v>5. De Depus</x:v>
      </x:c>
      <x:c r="D1557" s="8" t="str">
        <x:v>Proiect fotovoltaic</x:v>
      </x:c>
      <x:c r="E1557" s="8" t="str">
        <x:v>.pdf</x:v>
      </x:c>
      <x:c r="F1557" s="8" t="n">
        <x:v>656326</x:v>
      </x:c>
      <x:c r="G1557" s="8" t="str">
        <x:v>Scan / text insuficient</x:v>
      </x:c>
      <x:c r="H1557" s="8" t="str">
        <x:v>Pregătit pentru depunere; confirmare de verificat</x:v>
      </x:c>
      <x:c r="I1557" s="8" t="str"/>
      <x:c r="J1557" s="8" t="e">
        <x:f>HYPERLINK("file:///Z:/00. Proiecte 2025/AFIR FotoVoltaic 1/5. De Depus/De semnat 2/Nota justificativa de atribuire.pdf","Deschide sursa")</x:f>
        <x:v>HYPERLINK is not implemented. linkLocation=file:///Z:/00. Proiecte 2025/AFIR FotoVoltaic 1/5. De Depus/De semnat 2/Nota justificativa de atribuire.pdf, friendlyName=Deschide sursa</x:v>
      </x:c>
    </x:row>
    <x:row r="1558" ht="32" customHeight="1">
      <x:c r="A1558" s="8" t="str">
        <x:v>F1554</x:v>
      </x:c>
      <x:c r="B1558" s="8" t="str">
        <x:v>Solicitari de oferte.pdf</x:v>
      </x:c>
      <x:c r="C1558" s="8" t="str">
        <x:v>5. De Depus</x:v>
      </x:c>
      <x:c r="D1558" s="8" t="str">
        <x:v>Proiect fotovoltaic</x:v>
      </x:c>
      <x:c r="E1558" s="8" t="str">
        <x:v>.pdf</x:v>
      </x:c>
      <x:c r="F1558" s="8" t="n">
        <x:v>6694973</x:v>
      </x:c>
      <x:c r="G1558" s="8" t="str">
        <x:v>Text extras</x:v>
      </x:c>
      <x:c r="H1558" s="8" t="str">
        <x:v>Pregătit pentru depunere; confirmare de verificat</x:v>
      </x:c>
      <x:c r="I1558" s="8" t="str"/>
      <x:c r="J1558" s="8" t="e">
        <x:f>HYPERLINK("file:///Z:/00. Proiecte 2025/AFIR FotoVoltaic 1/5. De Depus/De semnat 2/Solicitari de oferte.pdf","Deschide sursa")</x:f>
        <x:v>HYPERLINK is not implemented. linkLocation=file:///Z:/00. Proiecte 2025/AFIR FotoVoltaic 1/5. De Depus/De semnat 2/Solicitari de oferte.pdf, friendlyName=Deschide sursa</x:v>
      </x:c>
    </x:row>
    <x:row r="1559" ht="36" customHeight="1">
      <x:c r="A1559" s="8" t="str">
        <x:v>F1555</x:v>
      </x:c>
      <x:c r="B1559" s="8" t="str">
        <x:v>1. Contract de inchiriere IPEC SA cu Cesiro Production semnat.pdf</x:v>
      </x:c>
      <x:c r="C1559" s="8" t="str">
        <x:v>5. De Depus</x:v>
      </x:c>
      <x:c r="D1559" s="8" t="str">
        <x:v>Proiect fotovoltaic</x:v>
      </x:c>
      <x:c r="E1559" s="8" t="str">
        <x:v>.pdf</x:v>
      </x:c>
      <x:c r="F1559" s="8" t="n">
        <x:v>8706145</x:v>
      </x:c>
      <x:c r="G1559" s="8" t="str">
        <x:v>Text extras</x:v>
      </x:c>
      <x:c r="H1559" s="8" t="str">
        <x:v>Pregătit pentru depunere; confirmare de verificat</x:v>
      </x:c>
      <x:c r="I1559" s="8" t="str"/>
      <x:c r="J1559" s="8" t="e">
        <x:f>HYPERLINK("file:///Z:/00. Proiecte 2025/AFIR FotoVoltaic 1/5. De Depus/DE DEPUS FINAL/New folder/1. Contract de inchiriere IPEC SA cu Cesiro Production semnat.pdf","Deschide sursa")</x:f>
        <x:v>HYPERLINK is not implemented. linkLocation=file:///Z:/00. Proiecte 2025/AFIR FotoVoltaic 1/5. De Depus/DE DEPUS FINAL/New folder/1. Contract de inchiriere IPEC SA cu Cesiro Production semnat.pdf, friendlyName=Deschide sursa</x:v>
      </x:c>
    </x:row>
    <x:row r="1560" ht="36" customHeight="1">
      <x:c r="A1560" s="8" t="str">
        <x:v>F1556</x:v>
      </x:c>
      <x:c r="B1560" s="8" t="str">
        <x:v>17. Document bancar semnat.pdf</x:v>
      </x:c>
      <x:c r="C1560" s="8" t="str">
        <x:v>5. De Depus</x:v>
      </x:c>
      <x:c r="D1560" s="8" t="str">
        <x:v>Proiect fotovoltaic</x:v>
      </x:c>
      <x:c r="E1560" s="8" t="str">
        <x:v>.pdf</x:v>
      </x:c>
      <x:c r="F1560" s="8" t="n">
        <x:v>346761</x:v>
      </x:c>
      <x:c r="G1560" s="8" t="str">
        <x:v>Text extras</x:v>
      </x:c>
      <x:c r="H1560" s="8" t="str">
        <x:v>Pregătit pentru depunere; confirmare de verificat</x:v>
      </x:c>
      <x:c r="I1560" s="8" t="str"/>
      <x:c r="J1560" s="8" t="e">
        <x:f>HYPERLINK("file:///Z:/00. Proiecte 2025/AFIR FotoVoltaic 1/5. De Depus/DE DEPUS FINAL/New folder/17. Document bancar semnat.pdf","Deschide sursa")</x:f>
        <x:v>HYPERLINK is not implemented. linkLocation=file:///Z:/00. Proiecte 2025/AFIR FotoVoltaic 1/5. De Depus/DE DEPUS FINAL/New folder/17. Document bancar semnat.pdf, friendlyName=Deschide sursa</x:v>
      </x:c>
    </x:row>
    <x:row r="1561" ht="36" customHeight="1">
      <x:c r="A1561" s="8" t="str">
        <x:v>F1557</x:v>
      </x:c>
      <x:c r="B1561" s="8" t="str">
        <x:v>2. Extras Carte Funciara semnat.pdf</x:v>
      </x:c>
      <x:c r="C1561" s="8" t="str">
        <x:v>5. De Depus</x:v>
      </x:c>
      <x:c r="D1561" s="8" t="str">
        <x:v>Proiect fotovoltaic</x:v>
      </x:c>
      <x:c r="E1561" s="8" t="str">
        <x:v>.pdf</x:v>
      </x:c>
      <x:c r="F1561" s="8" t="n">
        <x:v>267886</x:v>
      </x:c>
      <x:c r="G1561" s="8" t="str">
        <x:v>Text extras</x:v>
      </x:c>
      <x:c r="H1561" s="8" t="str">
        <x:v>Pregătit pentru depunere; confirmare de verificat</x:v>
      </x:c>
      <x:c r="I1561" s="8" t="str"/>
      <x:c r="J1561" s="8" t="e">
        <x:f>HYPERLINK("file:///Z:/00. Proiecte 2025/AFIR FotoVoltaic 1/5. De Depus/DE DEPUS FINAL/New folder/2. Extras Carte Funciara semnat.pdf","Deschide sursa")</x:f>
        <x:v>HYPERLINK is not implemented. linkLocation=file:///Z:/00. Proiecte 2025/AFIR FotoVoltaic 1/5. De Depus/DE DEPUS FINAL/New folder/2. Extras Carte Funciara semnat.pdf, friendlyName=Deschide sursa</x:v>
      </x:c>
    </x:row>
    <x:row r="1562" ht="36" customHeight="1">
      <x:c r="A1562" s="8" t="str">
        <x:v>F1558</x:v>
      </x:c>
      <x:c r="B1562" s="8" t="str">
        <x:v>CI Cosmin Adrian Covaciu semnat.pdf</x:v>
      </x:c>
      <x:c r="C1562" s="8" t="str">
        <x:v>5. De Depus</x:v>
      </x:c>
      <x:c r="D1562" s="8" t="str">
        <x:v>Proiect fotovoltaic</x:v>
      </x:c>
      <x:c r="E1562" s="8" t="str">
        <x:v>.pdf</x:v>
      </x:c>
      <x:c r="F1562" s="8" t="n">
        <x:v>299559</x:v>
      </x:c>
      <x:c r="G1562" s="8" t="str">
        <x:v>Scan / text insuficient</x:v>
      </x:c>
      <x:c r="H1562" s="8" t="str">
        <x:v>Pregătit pentru depunere; confirmare de verificat</x:v>
      </x:c>
      <x:c r="I1562" s="8" t="str"/>
      <x:c r="J1562" s="8" t="e">
        <x:f>HYPERLINK("file:///Z:/00. Proiecte 2025/AFIR FotoVoltaic 1/5. De Depus/DE DEPUS FINAL/New folder/CI Cosmin Adrian Covaciu semnat.pdf","Deschide sursa")</x:f>
        <x:v>HYPERLINK is not implemented. linkLocation=file:///Z:/00. Proiecte 2025/AFIR FotoVoltaic 1/5. De Depus/DE DEPUS FINAL/New folder/CI Cosmin Adrian Covaciu semnat.pdf, friendlyName=Deschide sursa</x:v>
      </x:c>
    </x:row>
    <x:row r="1563" ht="36" customHeight="1">
      <x:c r="A1563" s="8" t="str">
        <x:v>F1559</x:v>
      </x:c>
      <x:c r="B1563" s="8" t="str">
        <x:v>Contract de achizitie semnat.pdf</x:v>
      </x:c>
      <x:c r="C1563" s="8" t="str">
        <x:v>5. De Depus</x:v>
      </x:c>
      <x:c r="D1563" s="8" t="str">
        <x:v>Proiect fotovoltaic</x:v>
      </x:c>
      <x:c r="E1563" s="8" t="str">
        <x:v>.pdf</x:v>
      </x:c>
      <x:c r="F1563" s="8" t="n">
        <x:v>4981023</x:v>
      </x:c>
      <x:c r="G1563" s="8" t="str">
        <x:v>Text extras</x:v>
      </x:c>
      <x:c r="H1563" s="8" t="str">
        <x:v>Pregătit pentru depunere; confirmare de verificat</x:v>
      </x:c>
      <x:c r="I1563" s="8" t="str"/>
      <x:c r="J1563" s="8" t="e">
        <x:f>HYPERLINK("file:///Z:/00. Proiecte 2025/AFIR FotoVoltaic 1/5. De Depus/DE DEPUS FINAL/New folder/Contract de achizitie semnat.pdf","Deschide sursa")</x:f>
        <x:v>HYPERLINK is not implemented. linkLocation=file:///Z:/00. Proiecte 2025/AFIR FotoVoltaic 1/5. De Depus/DE DEPUS FINAL/New folder/Contract de achizitie semnat.pdf, friendlyName=Deschide sursa</x:v>
      </x:c>
    </x:row>
    <x:row r="1564" ht="36" customHeight="1">
      <x:c r="A1564" s="8" t="str">
        <x:v>F1560</x:v>
      </x:c>
      <x:c r="B1564" s="8" t="str">
        <x:v>Grafic esalonare plati semnat.pdf</x:v>
      </x:c>
      <x:c r="C1564" s="8" t="str">
        <x:v>5. De Depus</x:v>
      </x:c>
      <x:c r="D1564" s="8" t="str">
        <x:v>Proiect fotovoltaic</x:v>
      </x:c>
      <x:c r="E1564" s="8" t="str">
        <x:v>.pdf</x:v>
      </x:c>
      <x:c r="F1564" s="8" t="n">
        <x:v>321660</x:v>
      </x:c>
      <x:c r="G1564" s="8" t="str">
        <x:v>Text extras</x:v>
      </x:c>
      <x:c r="H1564" s="8" t="str">
        <x:v>Pregătit pentru depunere; confirmare de verificat</x:v>
      </x:c>
      <x:c r="I1564" s="8" t="str"/>
      <x:c r="J1564" s="8" t="e">
        <x:f>HYPERLINK("file:///Z:/00. Proiecte 2025/AFIR FotoVoltaic 1/5. De Depus/DE DEPUS FINAL/New folder/Grafic esalonare plati semnat.pdf","Deschide sursa")</x:f>
        <x:v>HYPERLINK is not implemented. linkLocation=file:///Z:/00. Proiecte 2025/AFIR FotoVoltaic 1/5. De Depus/DE DEPUS FINAL/New folder/Grafic esalonare plati semnat.pdf, friendlyName=Deschide sursa</x:v>
      </x:c>
    </x:row>
    <x:row r="1565" ht="36" customHeight="1">
      <x:c r="A1565" s="8" t="str">
        <x:v>F1561</x:v>
      </x:c>
      <x:c r="B1565" s="8" t="str">
        <x:v>Solicitari de oferte semnat.pdf</x:v>
      </x:c>
      <x:c r="C1565" s="8" t="str">
        <x:v>5. De Depus</x:v>
      </x:c>
      <x:c r="D1565" s="8" t="str">
        <x:v>Proiect fotovoltaic</x:v>
      </x:c>
      <x:c r="E1565" s="8" t="str">
        <x:v>.pdf</x:v>
      </x:c>
      <x:c r="F1565" s="8" t="n">
        <x:v>6834438</x:v>
      </x:c>
      <x:c r="G1565" s="8" t="str">
        <x:v>Text extras</x:v>
      </x:c>
      <x:c r="H1565" s="8" t="str">
        <x:v>Pregătit pentru depunere; confirmare de verificat</x:v>
      </x:c>
      <x:c r="I1565" s="8" t="str"/>
      <x:c r="J1565" s="8" t="e">
        <x:f>HYPERLINK("file:///Z:/00. Proiecte 2025/AFIR FotoVoltaic 1/5. De Depus/DE DEPUS FINAL/New folder/Solicitari de oferte semnat.pdf","Deschide sursa")</x:f>
        <x:v>HYPERLINK is not implemented. linkLocation=file:///Z:/00. Proiecte 2025/AFIR FotoVoltaic 1/5. De Depus/DE DEPUS FINAL/New folder/Solicitari de oferte semnat.pdf, friendlyName=Deschide sursa</x:v>
      </x:c>
    </x:row>
    <x:row r="1566" ht="36" customHeight="1">
      <x:c r="A1566" s="8" t="str">
        <x:v>F1562</x:v>
      </x:c>
      <x:c r="B1566" s="8" t="str">
        <x:v>2cb09733-78f3-46c4-a367-50763137b660.jpg</x:v>
      </x:c>
      <x:c r="C1566" s="8" t="str">
        <x:v>50. Fabrica Nuci</x:v>
      </x:c>
      <x:c r="D1566" s="8" t="str">
        <x:v>Context / alte investiții / ghid / audit intern</x:v>
      </x:c>
      <x:c r="E1566" s="8" t="str">
        <x:v>.jpg</x:v>
      </x:c>
      <x:c r="F1566" s="8" t="n">
        <x:v>33817</x:v>
      </x:c>
      <x:c r="G1566" s="8" t="str">
        <x:v>Inventariat; conținut neextras</x:v>
      </x:c>
      <x:c r="H1566" s="8" t="str">
        <x:v>Document local; transmiterea individuală neconfirmată</x:v>
      </x:c>
      <x:c r="I1566" s="8" t="str"/>
      <x:c r="J1566" s="8" t="e">
        <x:f>HYPERLINK("file:///Z:/00. Proiecte 2025/AFIR FotoVoltaic 1/50. Fabrica Nuci/bigtem.com/2cb09733-78f3-46c4-a367-50763137b660.jpg","Deschide sursa")</x:f>
        <x:v>HYPERLINK is not implemented. linkLocation=file:///Z:/00. Proiecte 2025/AFIR FotoVoltaic 1/50. Fabrica Nuci/bigtem.com/2cb09733-78f3-46c4-a367-50763137b660.jpg, friendlyName=Deschide sursa</x:v>
      </x:c>
    </x:row>
    <x:row r="1567" ht="32" customHeight="1">
      <x:c r="A1567" s="8" t="str">
        <x:v>F1563</x:v>
      </x:c>
      <x:c r="B1567" s="8" t="str">
        <x:v>bigtem.com.jpg</x:v>
      </x:c>
      <x:c r="C1567" s="8" t="str">
        <x:v>50. Fabrica Nuci</x:v>
      </x:c>
      <x:c r="D1567" s="8" t="str">
        <x:v>Context / alte investiții / ghid / audit intern</x:v>
      </x:c>
      <x:c r="E1567" s="8" t="str">
        <x:v>.jpg</x:v>
      </x:c>
      <x:c r="F1567" s="8" t="n">
        <x:v>214536</x:v>
      </x:c>
      <x:c r="G1567" s="8" t="str">
        <x:v>Inventariat; conținut neextras</x:v>
      </x:c>
      <x:c r="H1567" s="8" t="str">
        <x:v>Document local; transmiterea individuală neconfirmată</x:v>
      </x:c>
      <x:c r="I1567" s="8" t="str"/>
      <x:c r="J1567" s="8" t="e">
        <x:f>HYPERLINK("file:///Z:/00. Proiecte 2025/AFIR FotoVoltaic 1/50. Fabrica Nuci/bigtem.com/bigtem.com.jpg","Deschide sursa")</x:f>
        <x:v>HYPERLINK is not implemented. linkLocation=file:///Z:/00. Proiecte 2025/AFIR FotoVoltaic 1/50. Fabrica Nuci/bigtem.com/bigtem.com.jpg, friendlyName=Deschide sursa</x:v>
      </x:c>
    </x:row>
    <x:row r="1568" ht="36" customHeight="1">
      <x:c r="A1568" s="8" t="str">
        <x:v>F1564</x:v>
      </x:c>
      <x:c r="B1568" s="8" t="str">
        <x:v>Mori cu macinare discontinua.pdf</x:v>
      </x:c>
      <x:c r="C1568" s="8" t="str">
        <x:v>50. Fabrica Nuci</x:v>
      </x:c>
      <x:c r="D1568" s="8" t="str">
        <x:v>Context / alte investiții / ghid / audit intern</x:v>
      </x:c>
      <x:c r="E1568" s="8" t="str">
        <x:v>.pdf</x:v>
      </x:c>
      <x:c r="F1568" s="8" t="n">
        <x:v>833287</x:v>
      </x:c>
      <x:c r="G1568" s="8" t="str">
        <x:v>Text extras</x:v>
      </x:c>
      <x:c r="H1568" s="8" t="str">
        <x:v>Document local; transmiterea individuală neconfirmată</x:v>
      </x:c>
      <x:c r="I1568" s="8" t="str"/>
      <x:c r="J1568" s="8" t="e">
        <x:f>HYPERLINK("file:///Z:/00. Proiecte 2025/AFIR FotoVoltaic 1/50. Fabrica Nuci/Echipamente existente/Mori cu macinare discontinua.pdf","Deschide sursa")</x:f>
        <x:v>HYPERLINK is not implemented. linkLocation=file:///Z:/00. Proiecte 2025/AFIR FotoVoltaic 1/50. Fabrica Nuci/Echipamente existente/Mori cu macinare discontinua.pdf, friendlyName=Deschide sursa</x:v>
      </x:c>
    </x:row>
    <x:row r="1569" ht="32" customHeight="1">
      <x:c r="A1569" s="8" t="str">
        <x:v>F1565</x:v>
      </x:c>
      <x:c r="B1569" s="8" t="str">
        <x:v>RX_60_35_50_EN_TD.pdf</x:v>
      </x:c>
      <x:c r="C1569" s="8" t="str">
        <x:v>50. Fabrica Nuci</x:v>
      </x:c>
      <x:c r="D1569" s="8" t="str">
        <x:v>Context / alte investiții / ghid / audit intern</x:v>
      </x:c>
      <x:c r="E1569" s="8" t="str">
        <x:v>.pdf</x:v>
      </x:c>
      <x:c r="F1569" s="8" t="n">
        <x:v>13715903</x:v>
      </x:c>
      <x:c r="G1569" s="8" t="str">
        <x:v>Text extras</x:v>
      </x:c>
      <x:c r="H1569" s="8" t="str">
        <x:v>Document local; transmiterea individuală neconfirmată</x:v>
      </x:c>
      <x:c r="I1569" s="8" t="str"/>
      <x:c r="J1569" s="8" t="e">
        <x:f>HYPERLINK("file:///Z:/00. Proiecte 2025/AFIR FotoVoltaic 1/50. Fabrica Nuci/Echipamente existente/RX_60_35_50_EN_TD.pdf","Deschide sursa")</x:f>
        <x:v>HYPERLINK is not implemented. linkLocation=file:///Z:/00. Proiecte 2025/AFIR FotoVoltaic 1/50. Fabrica Nuci/Echipamente existente/RX_60_35_50_EN_TD.pdf, friendlyName=Deschide sursa</x:v>
      </x:c>
    </x:row>
    <x:row r="1570" ht="32" customHeight="1">
      <x:c r="A1570" s="8" t="str">
        <x:v>F1566</x:v>
      </x:c>
      <x:c r="B1570" s="8" t="str">
        <x:v>Uscator electric.pdf</x:v>
      </x:c>
      <x:c r="C1570" s="8" t="str">
        <x:v>50. Fabrica Nuci</x:v>
      </x:c>
      <x:c r="D1570" s="8" t="str">
        <x:v>Context / alte investiții / ghid / audit intern</x:v>
      </x:c>
      <x:c r="E1570" s="8" t="str">
        <x:v>.pdf</x:v>
      </x:c>
      <x:c r="F1570" s="8" t="n">
        <x:v>524705</x:v>
      </x:c>
      <x:c r="G1570" s="8" t="str">
        <x:v>Text extras</x:v>
      </x:c>
      <x:c r="H1570" s="8" t="str">
        <x:v>Document local; transmiterea individuală neconfirmată</x:v>
      </x:c>
      <x:c r="I1570" s="8" t="str"/>
      <x:c r="J1570" s="8" t="e">
        <x:f>HYPERLINK("file:///Z:/00. Proiecte 2025/AFIR FotoVoltaic 1/50. Fabrica Nuci/Echipamente existente/Uscator electric.pdf","Deschide sursa")</x:f>
        <x:v>HYPERLINK is not implemented. linkLocation=file:///Z:/00. Proiecte 2025/AFIR FotoVoltaic 1/50. Fabrica Nuci/Echipamente existente/Uscator electric.pdf, friendlyName=Deschide sursa</x:v>
      </x:c>
    </x:row>
    <x:row r="1571" ht="36" customHeight="1">
      <x:c r="A1571" s="8" t="str">
        <x:v>F1567</x:v>
      </x:c>
      <x:c r="B1571" s="8" t="str">
        <x:v>Foshan Cat Five Equipment .jpg</x:v>
      </x:c>
      <x:c r="C1571" s="8" t="str">
        <x:v>50. Fabrica Nuci</x:v>
      </x:c>
      <x:c r="D1571" s="8" t="str">
        <x:v>Context / alte investiții / ghid / audit intern</x:v>
      </x:c>
      <x:c r="E1571" s="8" t="str">
        <x:v>.jpg</x:v>
      </x:c>
      <x:c r="F1571" s="8" t="n">
        <x:v>128812</x:v>
      </x:c>
      <x:c r="G1571" s="8" t="str">
        <x:v>Inventariat; conținut neextras</x:v>
      </x:c>
      <x:c r="H1571" s="8" t="str">
        <x:v>Document local; transmiterea individuală neconfirmată</x:v>
      </x:c>
      <x:c r="I1571" s="8" t="str"/>
      <x:c r="J1571" s="8" t="e">
        <x:f>HYPERLINK("file:///Z:/00. Proiecte 2025/AFIR FotoVoltaic 1/50. Fabrica Nuci/Foshan Cat Five Equipment Manufacturing/Foshan Cat Five Equipment .jpg","Deschide sursa")</x:f>
        <x:v>HYPERLINK is not implemented. linkLocation=file:///Z:/00. Proiecte 2025/AFIR FotoVoltaic 1/50. Fabrica Nuci/Foshan Cat Five Equipment Manufacturing/Foshan Cat Five Equipment .jpg, friendlyName=Deschide sursa</x:v>
      </x:c>
    </x:row>
    <x:row r="1572" ht="36" customHeight="1">
      <x:c r="A1572" s="8" t="str">
        <x:v>F1568</x:v>
      </x:c>
      <x:c r="B1572" s="8" t="str">
        <x:v>fsfivecats.en.alibaba.com.txt</x:v>
      </x:c>
      <x:c r="C1572" s="8" t="str">
        <x:v>50. Fabrica Nuci</x:v>
      </x:c>
      <x:c r="D1572" s="8" t="str">
        <x:v>Context / alte investiții / ghid / audit intern</x:v>
      </x:c>
      <x:c r="E1572" s="8" t="str">
        <x:v>.txt</x:v>
      </x:c>
      <x:c r="F1572" s="8" t="n">
        <x:v>30</x:v>
      </x:c>
      <x:c r="G1572" s="8" t="str">
        <x:v>Scan / text insuficient</x:v>
      </x:c>
      <x:c r="H1572" s="8" t="str">
        <x:v>Document local; transmiterea individuală neconfirmată</x:v>
      </x:c>
      <x:c r="I1572" s="8" t="str"/>
      <x:c r="J1572" s="8" t="e">
        <x:f>HYPERLINK("file:///Z:/00. Proiecte 2025/AFIR FotoVoltaic 1/50. Fabrica Nuci/Foshan Cat Five Equipment Manufacturing/fsfivecats.en.alibaba.com.txt","Deschide sursa")</x:f>
        <x:v>HYPERLINK is not implemented. linkLocation=file:///Z:/00. Proiecte 2025/AFIR FotoVoltaic 1/50. Fabrica Nuci/Foshan Cat Five Equipment Manufacturing/fsfivecats.en.alibaba.com.txt, friendlyName=Deschide sursa</x:v>
      </x:c>
    </x:row>
    <x:row r="1573" ht="32" customHeight="1">
      <x:c r="A1573" s="8" t="str">
        <x:v>F1569</x:v>
      </x:c>
      <x:c r="B1573" s="8" t="str">
        <x:v>2025-2-13-核桃-1.pdf</x:v>
      </x:c>
      <x:c r="C1573" s="8" t="str">
        <x:v>50. Fabrica Nuci</x:v>
      </x:c>
      <x:c r="D1573" s="8" t="str">
        <x:v>Context / alte investiții / ghid / audit intern</x:v>
      </x:c>
      <x:c r="E1573" s="8" t="str">
        <x:v>.pdf</x:v>
      </x:c>
      <x:c r="F1573" s="8" t="n">
        <x:v>20310770</x:v>
      </x:c>
      <x:c r="G1573" s="8" t="str">
        <x:v>Scan / text insuficient</x:v>
      </x:c>
      <x:c r="H1573" s="8" t="str">
        <x:v>Document local; transmiterea individuală neconfirmată</x:v>
      </x:c>
      <x:c r="I1573" s="8" t="str"/>
      <x:c r="J1573" s="8" t="e">
        <x:f>HYPERLINK("file:///Z:/00. Proiecte 2025/AFIR FotoVoltaic 1/50. Fabrica Nuci/Gongmao(公猫） June/2025-2-13-核桃-1.pdf","Deschide sursa")</x:f>
        <x:v>HYPERLINK is not implemented. linkLocation=file:///Z:/00. Proiecte 2025/AFIR FotoVoltaic 1/50. Fabrica Nuci/Gongmao(公猫） June/2025-2-13-核桃-1.pdf, friendlyName=Deschide sursa</x:v>
      </x:c>
    </x:row>
    <x:row r="1574" ht="36" customHeight="1">
      <x:c r="A1574" s="8" t="str">
        <x:v>F1570</x:v>
      </x:c>
      <x:c r="B1574" s="8" t="str">
        <x:v>AUTOMATED INDUSTRIAL WALNUT PROCESSING LINE 200 KG_H (3).pdf</x:v>
      </x:c>
      <x:c r="C1574" s="8" t="str">
        <x:v>50. Fabrica Nuci</x:v>
      </x:c>
      <x:c r="D1574" s="8" t="str">
        <x:v>Context / alte investiții / ghid / audit intern</x:v>
      </x:c>
      <x:c r="E1574" s="8" t="str">
        <x:v>.pdf</x:v>
      </x:c>
      <x:c r="F1574" s="8" t="n">
        <x:v>1374484</x:v>
      </x:c>
      <x:c r="G1574" s="8" t="str">
        <x:v>Text extras</x:v>
      </x:c>
      <x:c r="H1574" s="8" t="str">
        <x:v>Document local; transmiterea individuală neconfirmată</x:v>
      </x:c>
      <x:c r="I1574" s="8" t="str">
        <x:v>F0164</x:v>
      </x:c>
      <x:c r="J1574" s="8" t="e">
        <x:f>HYPERLINK("file:///Z:/00. Proiecte 2025/AFIR FotoVoltaic 1/50. Fabrica Nuci/nuttechnology.com/AUTOMATED INDUSTRIAL WALNUT PROCESSING LINE 200 KG_H (3).pdf","Deschide sursa")</x:f>
        <x:v>HYPERLINK is not implemented. linkLocation=file:///Z:/00. Proiecte 2025/AFIR FotoVoltaic 1/50. Fabrica Nuci/nuttechnology.com/AUTOMATED INDUSTRIAL WALNUT PROCESSING LINE 200 KG_H (3).pdf, friendlyName=Deschide sursa</x:v>
      </x:c>
    </x:row>
    <x:row r="1575" ht="36" customHeight="1">
      <x:c r="A1575" s="8" t="str">
        <x:v>F1571</x:v>
      </x:c>
      <x:c r="B1575" s="8" t="str">
        <x:v>Catalog_Nut_technology_ENG_2023 (4).pdf</x:v>
      </x:c>
      <x:c r="C1575" s="8" t="str">
        <x:v>50. Fabrica Nuci</x:v>
      </x:c>
      <x:c r="D1575" s="8" t="str">
        <x:v>Context / alte investiții / ghid / audit intern</x:v>
      </x:c>
      <x:c r="E1575" s="8" t="str">
        <x:v>.pdf</x:v>
      </x:c>
      <x:c r="F1575" s="8" t="n">
        <x:v>4536091</x:v>
      </x:c>
      <x:c r="G1575" s="8" t="str">
        <x:v>Text extras</x:v>
      </x:c>
      <x:c r="H1575" s="8" t="str">
        <x:v>Document local; transmiterea individuală neconfirmată</x:v>
      </x:c>
      <x:c r="I1575" s="8" t="str">
        <x:v>F0165</x:v>
      </x:c>
      <x:c r="J1575" s="8" t="e">
        <x:f>HYPERLINK("file:///Z:/00. Proiecte 2025/AFIR FotoVoltaic 1/50. Fabrica Nuci/nuttechnology.com/Catalog_Nut_technology_ENG_2023 (4).pdf","Deschide sursa")</x:f>
        <x:v>HYPERLINK is not implemented. linkLocation=file:///Z:/00. Proiecte 2025/AFIR FotoVoltaic 1/50. Fabrica Nuci/nuttechnology.com/Catalog_Nut_technology_ENG_2023 (4).pdf, friendlyName=Deschide sursa</x:v>
      </x:c>
    </x:row>
    <x:row r="1576" ht="36" customHeight="1">
      <x:c r="A1576" s="8" t="str">
        <x:v>F1572</x:v>
      </x:c>
      <x:c r="B1576" s="8" t="str">
        <x:v>Nuttechnology - Lista echipamente, capacitati si brosuri - 2026.09.28.xlsx</x:v>
      </x:c>
      <x:c r="C1576" s="8" t="str">
        <x:v>50. Fabrica Nuci</x:v>
      </x:c>
      <x:c r="D1576" s="8" t="str">
        <x:v>Context / alte investiții / ghid / audit intern</x:v>
      </x:c>
      <x:c r="E1576" s="8" t="str">
        <x:v>.xlsx</x:v>
      </x:c>
      <x:c r="F1576" s="8" t="n">
        <x:v>41773</x:v>
      </x:c>
      <x:c r="G1576" s="8" t="str">
        <x:v>Inventariat; conținut neextras</x:v>
      </x:c>
      <x:c r="H1576" s="8" t="str">
        <x:v>Document local; transmiterea individuală neconfirmată</x:v>
      </x:c>
      <x:c r="I1576" s="8" t="str"/>
      <x:c r="J1576" s="8" t="e">
        <x:f>HYPERLINK("file:///Z:/00. Proiecte 2025/AFIR FotoVoltaic 1/50. Fabrica Nuci/nuttechnology.com/Nuttechnology - Lista echipamente, capacitati si brosuri - 2026.09.28.xlsx","Deschide sursa")</x:f>
        <x:v>HYPERLINK is not implemented. linkLocation=file:///Z:/00. Proiecte 2025/AFIR FotoVoltaic 1/50. Fabrica Nuci/nuttechnology.com/Nuttechnology - Lista echipamente, capacitati si brosuri - 2026.09.28.xlsx, friendlyName=Deschide sursa</x:v>
      </x:c>
    </x:row>
    <x:row r="1577" ht="36" customHeight="1">
      <x:c r="A1577" s="8" t="str">
        <x:v>F1573</x:v>
      </x:c>
      <x:c r="B1577" s="8" t="str">
        <x:v>Walnut harvesting, peeling and drying line (1).pdf</x:v>
      </x:c>
      <x:c r="C1577" s="8" t="str">
        <x:v>50. Fabrica Nuci</x:v>
      </x:c>
      <x:c r="D1577" s="8" t="str">
        <x:v>Context / alte investiții / ghid / audit intern</x:v>
      </x:c>
      <x:c r="E1577" s="8" t="str">
        <x:v>.pdf</x:v>
      </x:c>
      <x:c r="F1577" s="8" t="n">
        <x:v>1430109</x:v>
      </x:c>
      <x:c r="G1577" s="8" t="str">
        <x:v>Text extras</x:v>
      </x:c>
      <x:c r="H1577" s="8" t="str">
        <x:v>Document local; transmiterea individuală neconfirmată</x:v>
      </x:c>
      <x:c r="I1577" s="8" t="str">
        <x:v>F0173</x:v>
      </x:c>
      <x:c r="J1577" s="8" t="e">
        <x:f>HYPERLINK("file:///Z:/00. Proiecte 2025/AFIR FotoVoltaic 1/50. Fabrica Nuci/nuttechnology.com/Walnut harvesting, peeling and drying line (1).pdf","Deschide sursa")</x:f>
        <x:v>HYPERLINK is not implemented. linkLocation=file:///Z:/00. Proiecte 2025/AFIR FotoVoltaic 1/50. Fabrica Nuci/nuttechnology.com/Walnut harvesting, peeling and drying line (1).pdf, friendlyName=Deschide sursa</x:v>
      </x:c>
    </x:row>
    <x:row r="1578" ht="36" customHeight="1">
      <x:c r="A1578" s="8" t="str">
        <x:v>F1574</x:v>
      </x:c>
      <x:c r="B1578" s="8" t="str">
        <x:v>xtzrjx.en.alibaba.com.jpg</x:v>
      </x:c>
      <x:c r="C1578" s="8" t="str">
        <x:v>50. Fabrica Nuci</x:v>
      </x:c>
      <x:c r="D1578" s="8" t="str">
        <x:v>Context / alte investiții / ghid / audit intern</x:v>
      </x:c>
      <x:c r="E1578" s="8" t="str">
        <x:v>.jpg</x:v>
      </x:c>
      <x:c r="F1578" s="8" t="n">
        <x:v>396605</x:v>
      </x:c>
      <x:c r="G1578" s="8" t="str">
        <x:v>Inventariat; conținut neextras</x:v>
      </x:c>
      <x:c r="H1578" s="8" t="str">
        <x:v>Document local; transmiterea individuală neconfirmată</x:v>
      </x:c>
      <x:c r="I1578" s="8" t="str"/>
      <x:c r="J1578" s="8" t="e">
        <x:f>HYPERLINK("file:///Z:/00. Proiecte 2025/AFIR FotoVoltaic 1/50. Fabrica Nuci/sxtzrjx.en.alibaba.com/xtzrjx.en.alibaba.com.jpg","Deschide sursa")</x:f>
        <x:v>HYPERLINK is not implemented. linkLocation=file:///Z:/00. Proiecte 2025/AFIR FotoVoltaic 1/50. Fabrica Nuci/sxtzrjx.en.alibaba.com/xtzrjx.en.alibaba.com.jpg, friendlyName=Deschide sursa</x:v>
      </x:c>
    </x:row>
    <x:row r="1579" ht="36" customHeight="1">
      <x:c r="A1579" s="8" t="str">
        <x:v>F1575</x:v>
      </x:c>
      <x:c r="B1579" s="8" t="str">
        <x:v>Analiza tehnico-economica oferta TEHNO MSS 400 kg-h - CESIRO PRODUCTION - 2026.09.24.docx</x:v>
      </x:c>
      <x:c r="C1579" s="8" t="str">
        <x:v>50. Fabrica Nuci</x:v>
      </x:c>
      <x:c r="D1579" s="8" t="str">
        <x:v>Context / alte investiții / ghid / audit intern</x:v>
      </x:c>
      <x:c r="E1579" s="8" t="str">
        <x:v>.docx</x:v>
      </x:c>
      <x:c r="F1579" s="8" t="n">
        <x:v>46721</x:v>
      </x:c>
      <x:c r="G1579" s="8" t="str">
        <x:v>Text extras</x:v>
      </x:c>
      <x:c r="H1579" s="8" t="str">
        <x:v>Document local; transmiterea individuală neconfirmată</x:v>
      </x:c>
      <x:c r="I1579" s="8" t="str"/>
      <x:c r="J1579" s="8" t="e">
        <x:f>HYPERLINK("file:///Z:/00. Proiecte 2025/AFIR FotoVoltaic 1/50. Fabrica Nuci/TechnoMS/Analiza tehnico-economica oferta TEHNO MSS 400 kg-h - CESIRO PRODUCTION - 2026.09.24.docx","Deschide sursa")</x:f>
        <x:v>HYPERLINK is not implemented. linkLocation=file:///Z:/00. Proiecte 2025/AFIR FotoVoltaic 1/50. Fabrica Nuci/TechnoMS/Analiza tehnico-economica oferta TEHNO MSS 400 kg-h - CESIRO PRODUCTION - 2026.09.24.docx, friendlyName=Deschide sursa</x:v>
      </x:c>
    </x:row>
    <x:row r="1580" ht="36" customHeight="1">
      <x:c r="A1580" s="8" t="str">
        <x:v>F1576</x:v>
      </x:c>
      <x:c r="B1580" s="8" t="str">
        <x:v>Analiza tehnico-economica oferta TEHNO MSS 400 kg-h - v2 cu propuneri de completare - CESIRO PRODUCTION - 2026.09.28.docx</x:v>
      </x:c>
      <x:c r="C1580" s="8" t="str">
        <x:v>50. Fabrica Nuci</x:v>
      </x:c>
      <x:c r="D1580" s="8" t="str">
        <x:v>Context / alte investiții / ghid / audit intern</x:v>
      </x:c>
      <x:c r="E1580" s="8" t="str">
        <x:v>.docx</x:v>
      </x:c>
      <x:c r="F1580" s="8" t="n">
        <x:v>50790</x:v>
      </x:c>
      <x:c r="G1580" s="8" t="str">
        <x:v>Text extras</x:v>
      </x:c>
      <x:c r="H1580" s="8" t="str">
        <x:v>Document local; transmiterea individuală neconfirmată</x:v>
      </x:c>
      <x:c r="I1580" s="8" t="str"/>
      <x:c r="J1580" s="8" t="e">
        <x:f>HYPERLINK("file:///Z:/00. Proiecte 2025/AFIR FotoVoltaic 1/50. Fabrica Nuci/TechnoMS/Analiza tehnico-economica oferta TEHNO MSS 400 kg-h - v2 cu propuneri de completare - CESIRO PRODUCTION - 2026.09.28.docx","Deschide sursa")</x:f>
        <x:v>HYPERLINK is not implemented. linkLocation=file:///Z:/00. Proiecte 2025/AFIR FotoVoltaic 1/50. Fabrica Nuci/TechnoMS/Analiza tehnico-economica oferta TEHNO MSS 400 kg-h - v2 cu propuneri de completare - CESIRO PRODUCTION - 2026.09.28.docx, friendlyName=Deschide sursa</x:v>
      </x:c>
    </x:row>
    <x:row r="1581" ht="32" customHeight="1">
      <x:c r="A1581" s="8" t="str">
        <x:v>F1577</x:v>
      </x:c>
      <x:c r="B1581" s="8" t="str">
        <x:v>Customer request.docx</x:v>
      </x:c>
      <x:c r="C1581" s="8" t="str">
        <x:v>50. Fabrica Nuci</x:v>
      </x:c>
      <x:c r="D1581" s="8" t="str">
        <x:v>Context / alte investiții / ghid / audit intern</x:v>
      </x:c>
      <x:c r="E1581" s="8" t="str">
        <x:v>.docx</x:v>
      </x:c>
      <x:c r="F1581" s="8" t="n">
        <x:v>16745</x:v>
      </x:c>
      <x:c r="G1581" s="8" t="str">
        <x:v>Text extras</x:v>
      </x:c>
      <x:c r="H1581" s="8" t="str">
        <x:v>Document local; transmiterea individuală neconfirmată</x:v>
      </x:c>
      <x:c r="I1581" s="8" t="str"/>
      <x:c r="J1581" s="8" t="e">
        <x:f>HYPERLINK("file:///Z:/00. Proiecte 2025/AFIR FotoVoltaic 1/50. Fabrica Nuci/TechnoMS/Customer request.docx","Deschide sursa")</x:f>
        <x:v>HYPERLINK is not implemented. linkLocation=file:///Z:/00. Proiecte 2025/AFIR FotoVoltaic 1/50. Fabrica Nuci/TechnoMS/Customer request.docx, friendlyName=Deschide sursa</x:v>
      </x:c>
    </x:row>
    <x:row r="1582" ht="36" customHeight="1">
      <x:c r="A1582" s="8" t="str">
        <x:v>F1578</x:v>
      </x:c>
      <x:c r="B1582" s="8" t="str">
        <x:v>Oferta comerciala - CESIRO PRODUCTION - Linie procesare nuci - 200 kg.pdf</x:v>
      </x:c>
      <x:c r="C1582" s="8" t="str">
        <x:v>50. Fabrica Nuci</x:v>
      </x:c>
      <x:c r="D1582" s="8" t="str">
        <x:v>Context / alte investiții / ghid / audit intern</x:v>
      </x:c>
      <x:c r="E1582" s="8" t="str">
        <x:v>.pdf</x:v>
      </x:c>
      <x:c r="F1582" s="8" t="n">
        <x:v>1086222</x:v>
      </x:c>
      <x:c r="G1582" s="8" t="str">
        <x:v>Text extras</x:v>
      </x:c>
      <x:c r="H1582" s="8" t="str">
        <x:v>Document local; transmiterea individuală neconfirmată</x:v>
      </x:c>
      <x:c r="I1582" s="8" t="str"/>
      <x:c r="J1582" s="8" t="e">
        <x:f>HYPERLINK("file:///Z:/00. Proiecte 2025/AFIR FotoVoltaic 1/50. Fabrica Nuci/TechnoMS/Oferta comerciala - CESIRO PRODUCTION - Linie procesare nuci - 200 kg.pdf","Deschide sursa")</x:f>
        <x:v>HYPERLINK is not implemented. linkLocation=file:///Z:/00. Proiecte 2025/AFIR FotoVoltaic 1/50. Fabrica Nuci/TechnoMS/Oferta comerciala - CESIRO PRODUCTION - Linie procesare nuci - 200 kg.pdf, friendlyName=Deschide sursa</x:v>
      </x:c>
    </x:row>
    <x:row r="1583" ht="36" customHeight="1">
      <x:c r="A1583" s="8" t="str">
        <x:v>F1579</x:v>
      </x:c>
      <x:c r="B1583" s="8" t="str">
        <x:v>Oferta comerciala - CESIRO PRODUCTION - Linie procesare nuci 400 kg - h.pdf</x:v>
      </x:c>
      <x:c r="C1583" s="8" t="str">
        <x:v>50. Fabrica Nuci</x:v>
      </x:c>
      <x:c r="D1583" s="8" t="str">
        <x:v>Context / alte investiții / ghid / audit intern</x:v>
      </x:c>
      <x:c r="E1583" s="8" t="str">
        <x:v>.pdf</x:v>
      </x:c>
      <x:c r="F1583" s="8" t="n">
        <x:v>1092628</x:v>
      </x:c>
      <x:c r="G1583" s="8" t="str">
        <x:v>Text extras</x:v>
      </x:c>
      <x:c r="H1583" s="8" t="str">
        <x:v>Document local; transmiterea individuală neconfirmată</x:v>
      </x:c>
      <x:c r="I1583" s="8" t="str"/>
      <x:c r="J1583" s="8" t="e">
        <x:f>HYPERLINK("file:///Z:/00. Proiecte 2025/AFIR FotoVoltaic 1/50. Fabrica Nuci/TechnoMS/Oferta comerciala - CESIRO PRODUCTION - Linie procesare nuci 400 kg - h.pdf","Deschide sursa")</x:f>
        <x:v>HYPERLINK is not implemented. linkLocation=file:///Z:/00. Proiecte 2025/AFIR FotoVoltaic 1/50. Fabrica Nuci/TechnoMS/Oferta comerciala - CESIRO PRODUCTION - Linie procesare nuci 400 kg - h.pdf, friendlyName=Deschide sursa</x:v>
      </x:c>
    </x:row>
    <x:row r="1584" ht="36" customHeight="1">
      <x:c r="A1584" s="8" t="str">
        <x:v>F1580</x:v>
      </x:c>
      <x:c r="B1584" s="8" t="str">
        <x:v>Propunere automatizare RevPi - linie nuci 500 kg-h - CESIRO PRODUCTION - 2026.09.29.xlsx</x:v>
      </x:c>
      <x:c r="C1584" s="8" t="str">
        <x:v>50. Fabrica Nuci</x:v>
      </x:c>
      <x:c r="D1584" s="8" t="str">
        <x:v>Context / alte investiții / ghid / audit intern</x:v>
      </x:c>
      <x:c r="E1584" s="8" t="str">
        <x:v>.xlsx</x:v>
      </x:c>
      <x:c r="F1584" s="8" t="n">
        <x:v>14100</x:v>
      </x:c>
      <x:c r="G1584" s="8" t="str">
        <x:v>Inventariat; conținut neextras</x:v>
      </x:c>
      <x:c r="H1584" s="8" t="str">
        <x:v>Document local; transmiterea individuală neconfirmată</x:v>
      </x:c>
      <x:c r="I1584" s="8" t="str"/>
      <x:c r="J1584" s="8" t="e">
        <x:f>HYPERLINK("file:///Z:/00. Proiecte 2025/AFIR FotoVoltaic 1/50. Fabrica Nuci/TechnoMS/Propunere automatizare RevPi - linie nuci 500 kg-h - CESIRO PRODUCTION - 2026.09.29.xlsx","Deschide sursa")</x:f>
        <x:v>HYPERLINK is not implemented. linkLocation=file:///Z:/00. Proiecte 2025/AFIR FotoVoltaic 1/50. Fabrica Nuci/TechnoMS/Propunere automatizare RevPi - linie nuci 500 kg-h - CESIRO PRODUCTION - 2026.09.29.xlsx, friendlyName=Deschide sursa</x:v>
      </x:c>
    </x:row>
    <x:row r="1585" ht="32" customHeight="1">
      <x:c r="A1585" s="8" t="str">
        <x:v>F1581</x:v>
      </x:c>
      <x:c r="B1585" s="8" t="str">
        <x:v>Image_20241212140411.png</x:v>
      </x:c>
      <x:c r="C1585" s="8" t="str">
        <x:v>50. Fabrica Nuci</x:v>
      </x:c>
      <x:c r="D1585" s="8" t="str">
        <x:v>Context / alte investiții / ghid / audit intern</x:v>
      </x:c>
      <x:c r="E1585" s="8" t="str">
        <x:v>.png</x:v>
      </x:c>
      <x:c r="F1585" s="8" t="n">
        <x:v>802798</x:v>
      </x:c>
      <x:c r="G1585" s="8" t="str">
        <x:v>Inventariat; conținut neextras</x:v>
      </x:c>
      <x:c r="H1585" s="8" t="str">
        <x:v>Document local; transmiterea individuală neconfirmată</x:v>
      </x:c>
      <x:c r="I1585" s="8" t="str"/>
      <x:c r="J1585" s="8" t="e">
        <x:f>HYPERLINK("file:///Z:/00. Proiecte 2025/AFIR FotoVoltaic 1/50. Fabrica Nuci/zcjxjx.net/Image_20241212140411.png","Deschide sursa")</x:f>
        <x:v>HYPERLINK is not implemented. linkLocation=file:///Z:/00. Proiecte 2025/AFIR FotoVoltaic 1/50. Fabrica Nuci/zcjxjx.net/Image_20241212140411.png, friendlyName=Deschide sursa</x:v>
      </x:c>
    </x:row>
    <x:row r="1586" ht="32" customHeight="1">
      <x:c r="A1586" s="8" t="str">
        <x:v>F1582</x:v>
      </x:c>
      <x:c r="B1586" s="8" t="str">
        <x:v>Image_20241212140704.jpg</x:v>
      </x:c>
      <x:c r="C1586" s="8" t="str">
        <x:v>50. Fabrica Nuci</x:v>
      </x:c>
      <x:c r="D1586" s="8" t="str">
        <x:v>Context / alte investiții / ghid / audit intern</x:v>
      </x:c>
      <x:c r="E1586" s="8" t="str">
        <x:v>.jpg</x:v>
      </x:c>
      <x:c r="F1586" s="8" t="n">
        <x:v>535068</x:v>
      </x:c>
      <x:c r="G1586" s="8" t="str">
        <x:v>Inventariat; conținut neextras</x:v>
      </x:c>
      <x:c r="H1586" s="8" t="str">
        <x:v>Document local; transmiterea individuală neconfirmată</x:v>
      </x:c>
      <x:c r="I1586" s="8" t="str"/>
      <x:c r="J1586" s="8" t="e">
        <x:f>HYPERLINK("file:///Z:/00. Proiecte 2025/AFIR FotoVoltaic 1/50. Fabrica Nuci/zcjxjx.net/Image_20241212140704.jpg","Deschide sursa")</x:f>
        <x:v>HYPERLINK is not implemented. linkLocation=file:///Z:/00. Proiecte 2025/AFIR FotoVoltaic 1/50. Fabrica Nuci/zcjxjx.net/Image_20241212140704.jpg, friendlyName=Deschide sursa</x:v>
      </x:c>
    </x:row>
    <x:row r="1587" ht="32" customHeight="1">
      <x:c r="A1587" s="8" t="str">
        <x:v>F1583</x:v>
      </x:c>
      <x:c r="B1587" s="8" t="str">
        <x:v>Image_20241212140709.jpg</x:v>
      </x:c>
      <x:c r="C1587" s="8" t="str">
        <x:v>50. Fabrica Nuci</x:v>
      </x:c>
      <x:c r="D1587" s="8" t="str">
        <x:v>Context / alte investiții / ghid / audit intern</x:v>
      </x:c>
      <x:c r="E1587" s="8" t="str">
        <x:v>.jpg</x:v>
      </x:c>
      <x:c r="F1587" s="8" t="n">
        <x:v>276469</x:v>
      </x:c>
      <x:c r="G1587" s="8" t="str">
        <x:v>Inventariat; conținut neextras</x:v>
      </x:c>
      <x:c r="H1587" s="8" t="str">
        <x:v>Document local; transmiterea individuală neconfirmată</x:v>
      </x:c>
      <x:c r="I1587" s="8" t="str"/>
      <x:c r="J1587" s="8" t="e">
        <x:f>HYPERLINK("file:///Z:/00. Proiecte 2025/AFIR FotoVoltaic 1/50. Fabrica Nuci/zcjxjx.net/Image_20241212140709.jpg","Deschide sursa")</x:f>
        <x:v>HYPERLINK is not implemented. linkLocation=file:///Z:/00. Proiecte 2025/AFIR FotoVoltaic 1/50. Fabrica Nuci/zcjxjx.net/Image_20241212140709.jpg, friendlyName=Deschide sursa</x:v>
      </x:c>
    </x:row>
    <x:row r="1588" ht="32" customHeight="1">
      <x:c r="A1588" s="8" t="str">
        <x:v>F1584</x:v>
      </x:c>
      <x:c r="B1588" s="8" t="str">
        <x:v>Image_20241212140715.jpg</x:v>
      </x:c>
      <x:c r="C1588" s="8" t="str">
        <x:v>50. Fabrica Nuci</x:v>
      </x:c>
      <x:c r="D1588" s="8" t="str">
        <x:v>Context / alte investiții / ghid / audit intern</x:v>
      </x:c>
      <x:c r="E1588" s="8" t="str">
        <x:v>.jpg</x:v>
      </x:c>
      <x:c r="F1588" s="8" t="n">
        <x:v>379205</x:v>
      </x:c>
      <x:c r="G1588" s="8" t="str">
        <x:v>Inventariat; conținut neextras</x:v>
      </x:c>
      <x:c r="H1588" s="8" t="str">
        <x:v>Document local; transmiterea individuală neconfirmată</x:v>
      </x:c>
      <x:c r="I1588" s="8" t="str"/>
      <x:c r="J1588" s="8" t="e">
        <x:f>HYPERLINK("file:///Z:/00. Proiecte 2025/AFIR FotoVoltaic 1/50. Fabrica Nuci/zcjxjx.net/Image_20241212140715.jpg","Deschide sursa")</x:f>
        <x:v>HYPERLINK is not implemented. linkLocation=file:///Z:/00. Proiecte 2025/AFIR FotoVoltaic 1/50. Fabrica Nuci/zcjxjx.net/Image_20241212140715.jpg, friendlyName=Deschide sursa</x:v>
      </x:c>
    </x:row>
    <x:row r="1589" ht="32" customHeight="1">
      <x:c r="A1589" s="8" t="str">
        <x:v>F1585</x:v>
      </x:c>
      <x:c r="B1589" s="8" t="str">
        <x:v>Image_20241212140718.jpg</x:v>
      </x:c>
      <x:c r="C1589" s="8" t="str">
        <x:v>50. Fabrica Nuci</x:v>
      </x:c>
      <x:c r="D1589" s="8" t="str">
        <x:v>Context / alte investiții / ghid / audit intern</x:v>
      </x:c>
      <x:c r="E1589" s="8" t="str">
        <x:v>.jpg</x:v>
      </x:c>
      <x:c r="F1589" s="8" t="n">
        <x:v>252861</x:v>
      </x:c>
      <x:c r="G1589" s="8" t="str">
        <x:v>Inventariat; conținut neextras</x:v>
      </x:c>
      <x:c r="H1589" s="8" t="str">
        <x:v>Document local; transmiterea individuală neconfirmată</x:v>
      </x:c>
      <x:c r="I1589" s="8" t="str"/>
      <x:c r="J1589" s="8" t="e">
        <x:f>HYPERLINK("file:///Z:/00. Proiecte 2025/AFIR FotoVoltaic 1/50. Fabrica Nuci/zcjxjx.net/Image_20241212140718.jpg","Deschide sursa")</x:f>
        <x:v>HYPERLINK is not implemented. linkLocation=file:///Z:/00. Proiecte 2025/AFIR FotoVoltaic 1/50. Fabrica Nuci/zcjxjx.net/Image_20241212140718.jpg, friendlyName=Deschide sursa</x:v>
      </x:c>
    </x:row>
    <x:row r="1590" ht="32" customHeight="1">
      <x:c r="A1590" s="8" t="str">
        <x:v>F1586</x:v>
      </x:c>
      <x:c r="B1590" s="8" t="str">
        <x:v>Image_20241212140723.jpg</x:v>
      </x:c>
      <x:c r="C1590" s="8" t="str">
        <x:v>50. Fabrica Nuci</x:v>
      </x:c>
      <x:c r="D1590" s="8" t="str">
        <x:v>Context / alte investiții / ghid / audit intern</x:v>
      </x:c>
      <x:c r="E1590" s="8" t="str">
        <x:v>.jpg</x:v>
      </x:c>
      <x:c r="F1590" s="8" t="n">
        <x:v>249425</x:v>
      </x:c>
      <x:c r="G1590" s="8" t="str">
        <x:v>Inventariat; conținut neextras</x:v>
      </x:c>
      <x:c r="H1590" s="8" t="str">
        <x:v>Document local; transmiterea individuală neconfirmată</x:v>
      </x:c>
      <x:c r="I1590" s="8" t="str"/>
      <x:c r="J1590" s="8" t="e">
        <x:f>HYPERLINK("file:///Z:/00. Proiecte 2025/AFIR FotoVoltaic 1/50. Fabrica Nuci/zcjxjx.net/Image_20241212140723.jpg","Deschide sursa")</x:f>
        <x:v>HYPERLINK is not implemented. linkLocation=file:///Z:/00. Proiecte 2025/AFIR FotoVoltaic 1/50. Fabrica Nuci/zcjxjx.net/Image_20241212140723.jpg, friendlyName=Deschide sursa</x:v>
      </x:c>
    </x:row>
    <x:row r="1591" ht="36" customHeight="1">
      <x:c r="A1591" s="8" t="str">
        <x:v>F1587</x:v>
      </x:c>
      <x:c r="B1591" s="8" t="str">
        <x:v>Details20almonds26hazelnuts20machines.pdf</x:v>
      </x:c>
      <x:c r="C1591" s="8" t="str">
        <x:v>50. Fabrica Nuci</x:v>
      </x:c>
      <x:c r="D1591" s="8" t="str">
        <x:v>Context / alte investiții / ghid / audit intern</x:v>
      </x:c>
      <x:c r="E1591" s="8" t="str">
        <x:v>.pdf</x:v>
      </x:c>
      <x:c r="F1591" s="8" t="n">
        <x:v>1812806</x:v>
      </x:c>
      <x:c r="G1591" s="8" t="str">
        <x:v>Text extras</x:v>
      </x:c>
      <x:c r="H1591" s="8" t="str">
        <x:v>Document local; transmiterea individuală neconfirmată</x:v>
      </x:c>
      <x:c r="I1591" s="8" t="str"/>
      <x:c r="J1591" s="8" t="e">
        <x:f>HYPERLINK("file:///Z:/00. Proiecte 2025/AFIR FotoVoltaic 1/50. Fabrica Nuci/ZHENGZHOU YOUDING/Details20almonds26hazelnuts20machines.pdf","Deschide sursa")</x:f>
        <x:v>HYPERLINK is not implemented. linkLocation=file:///Z:/00. Proiecte 2025/AFIR FotoVoltaic 1/50. Fabrica Nuci/ZHENGZHOU YOUDING/Details20almonds26hazelnuts20machines.pdf, friendlyName=Deschide sursa</x:v>
      </x:c>
    </x:row>
    <x:row r="1592" ht="36" customHeight="1">
      <x:c r="A1592" s="8" t="str">
        <x:v>F1588</x:v>
      </x:c>
      <x:c r="B1592" s="8" t="str">
        <x:v>walnuts20separating%20line.pdf</x:v>
      </x:c>
      <x:c r="C1592" s="8" t="str">
        <x:v>50. Fabrica Nuci</x:v>
      </x:c>
      <x:c r="D1592" s="8" t="str">
        <x:v>Context / alte investiții / ghid / audit intern</x:v>
      </x:c>
      <x:c r="E1592" s="8" t="str">
        <x:v>.pdf</x:v>
      </x:c>
      <x:c r="F1592" s="8" t="n">
        <x:v>2301851</x:v>
      </x:c>
      <x:c r="G1592" s="8" t="str">
        <x:v>Text extras</x:v>
      </x:c>
      <x:c r="H1592" s="8" t="str">
        <x:v>Document local; transmiterea individuală neconfirmată</x:v>
      </x:c>
      <x:c r="I1592" s="8" t="str"/>
      <x:c r="J1592" s="8" t="e">
        <x:f>HYPERLINK("file:///Z:/00. Proiecte 2025/AFIR FotoVoltaic 1/50. Fabrica Nuci/ZHENGZHOU YOUDING/walnuts20separating%20line.pdf","Deschide sursa")</x:f>
        <x:v>HYPERLINK is not implemented. linkLocation=file:///Z:/00. Proiecte 2025/AFIR FotoVoltaic 1/50. Fabrica Nuci/ZHENGZHOU YOUDING/walnuts20separating%20line.pdf, friendlyName=Deschide sursa</x:v>
      </x:c>
    </x:row>
    <x:row r="1593" ht="36" customHeight="1">
      <x:c r="A1593" s="8" t="str">
        <x:v>F1589</x:v>
      </x:c>
      <x:c r="B1593" s="8" t="str">
        <x:v>01. Scuturător pentru pomi fructiferi.pdf</x:v>
      </x:c>
      <x:c r="C1593" s="8" t="str">
        <x:v>50. Fabrica Nuci</x:v>
      </x:c>
      <x:c r="D1593" s="8" t="str">
        <x:v>Context / alte investiții / ghid / audit intern</x:v>
      </x:c>
      <x:c r="E1593" s="8" t="str">
        <x:v>.pdf</x:v>
      </x:c>
      <x:c r="F1593" s="8" t="n">
        <x:v>115545</x:v>
      </x:c>
      <x:c r="G1593" s="8" t="str">
        <x:v>Text extras</x:v>
      </x:c>
      <x:c r="H1593" s="8" t="str">
        <x:v>Document local; transmiterea individuală neconfirmată</x:v>
      </x:c>
      <x:c r="I1593" s="8" t="str"/>
      <x:c r="J1593" s="8" t="e">
        <x:f>HYPERLINK("file:///Z:/00. Proiecte 2025/AFIR FotoVoltaic 1/50. Fabrica Nuci/nuttechnology.com/Brosuri echipamente/01. Recoltare/01. Scuturător pentru pomi fructiferi.pdf","Deschide sursa")</x:f>
        <x:v>HYPERLINK is not implemented. linkLocation=file:///Z:/00. Proiecte 2025/AFIR FotoVoltaic 1/50. Fabrica Nuci/nuttechnology.com/Brosuri echipamente/01. Recoltare/01. Scuturător pentru pomi fructiferi.pdf, friendlyName=Deschide sursa</x:v>
      </x:c>
    </x:row>
    <x:row r="1594" ht="36" customHeight="1">
      <x:c r="A1594" s="8" t="str">
        <x:v>F1590</x:v>
      </x:c>
      <x:c r="B1594" s="8" t="str">
        <x:v>01. Mașină de decojire și curățare a nucilor verzi 100 kg-h.pdf</x:v>
      </x:c>
      <x:c r="C1594" s="8" t="str">
        <x:v>50. Fabrica Nuci</x:v>
      </x:c>
      <x:c r="D1594" s="8" t="str">
        <x:v>Context / alte investiții / ghid / audit intern</x:v>
      </x:c>
      <x:c r="E1594" s="8" t="str">
        <x:v>.pdf</x:v>
      </x:c>
      <x:c r="F1594" s="8" t="n">
        <x:v>340757</x:v>
      </x:c>
      <x:c r="G1594" s="8" t="str">
        <x:v>Text extras</x:v>
      </x:c>
      <x:c r="H1594" s="8" t="str">
        <x:v>Document local; transmiterea individuală neconfirmată</x:v>
      </x:c>
      <x:c r="I1594" s="8" t="str"/>
      <x:c r="J1594" s="8" t="e">
        <x:f>HYPERLINK("file:///Z:/00. Proiecte 2025/AFIR FotoVoltaic 1/50. Fabrica Nuci/nuttechnology.com/Brosuri echipamente/02. Decojire coaja verde si spalare/01. Mașină de decojire și curățare a nucilor verzi 100 kg-h.pdf","Deschide sursa")</x:f>
        <x:v>HYPERLINK is not implemented. linkLocation=file:///Z:/00. Proiecte 2025/AFIR FotoVoltaic 1/50. Fabrica Nuci/nuttechnology.com/Brosuri echipamente/02. Decojire coaja verde si spalare/01. Mașină de decojire și curățare a nucilor verzi 100 kg-h.pdf, friendlyName=Deschide sursa</x:v>
      </x:c>
    </x:row>
    <x:row r="1595" ht="36" customHeight="1">
      <x:c r="A1595" s="8" t="str">
        <x:v>F1591</x:v>
      </x:c>
      <x:c r="B1595" s="8" t="str">
        <x:v>02. Mașină pentru decojirea și curățarea nucilor verzi 300 kg-h.pdf</x:v>
      </x:c>
      <x:c r="C1595" s="8" t="str">
        <x:v>50. Fabrica Nuci</x:v>
      </x:c>
      <x:c r="D1595" s="8" t="str">
        <x:v>Context / alte investiții / ghid / audit intern</x:v>
      </x:c>
      <x:c r="E1595" s="8" t="str">
        <x:v>.pdf</x:v>
      </x:c>
      <x:c r="F1595" s="8" t="n">
        <x:v>176982</x:v>
      </x:c>
      <x:c r="G1595" s="8" t="str">
        <x:v>Text extras</x:v>
      </x:c>
      <x:c r="H1595" s="8" t="str">
        <x:v>Document local; transmiterea individuală neconfirmată</x:v>
      </x:c>
      <x:c r="I1595" s="8" t="str"/>
      <x:c r="J1595" s="8" t="e">
        <x:f>HYPERLINK("file:///Z:/00. Proiecte 2025/AFIR FotoVoltaic 1/50. Fabrica Nuci/nuttechnology.com/Brosuri echipamente/02. Decojire coaja verde si spalare/02. Mașină pentru decojirea și curățarea nucilor verzi 300 kg-h.pdf","Deschide sursa")</x:f>
        <x:v>HYPERLINK is not implemented. linkLocation=file:///Z:/00. Proiecte 2025/AFIR FotoVoltaic 1/50. Fabrica Nuci/nuttechnology.com/Brosuri echipamente/02. Decojire coaja verde si spalare/02. Mașină pentru decojirea și curățarea nucilor verzi 300 kg-h.pdf, friendlyName=Deschide sursa</x:v>
      </x:c>
    </x:row>
    <x:row r="1596" ht="36" customHeight="1">
      <x:c r="A1596" s="8" t="str">
        <x:v>F1592</x:v>
      </x:c>
      <x:c r="B1596" s="8" t="str">
        <x:v>03. Mașină de decojire și curățare a nucilor verzi 700 kg-h.pdf</x:v>
      </x:c>
      <x:c r="C1596" s="8" t="str">
        <x:v>50. Fabrica Nuci</x:v>
      </x:c>
      <x:c r="D1596" s="8" t="str">
        <x:v>Context / alte investiții / ghid / audit intern</x:v>
      </x:c>
      <x:c r="E1596" s="8" t="str">
        <x:v>.pdf</x:v>
      </x:c>
      <x:c r="F1596" s="8" t="n">
        <x:v>201123</x:v>
      </x:c>
      <x:c r="G1596" s="8" t="str">
        <x:v>Text extras</x:v>
      </x:c>
      <x:c r="H1596" s="8" t="str">
        <x:v>Document local; transmiterea individuală neconfirmată</x:v>
      </x:c>
      <x:c r="I1596" s="8" t="str"/>
      <x:c r="J1596" s="8" t="e">
        <x:f>HYPERLINK("file:///Z:/00. Proiecte 2025/AFIR FotoVoltaic 1/50. Fabrica Nuci/nuttechnology.com/Brosuri echipamente/02. Decojire coaja verde si spalare/03. Mașină de decojire și curățare a nucilor verzi 700 kg-h.pdf","Deschide sursa")</x:f>
        <x:v>HYPERLINK is not implemented. linkLocation=file:///Z:/00. Proiecte 2025/AFIR FotoVoltaic 1/50. Fabrica Nuci/nuttechnology.com/Brosuri echipamente/02. Decojire coaja verde si spalare/03. Mașină de decojire și curățare a nucilor verzi 700 kg-h.pdf, friendlyName=Deschide sursa</x:v>
      </x:c>
    </x:row>
    <x:row r="1597" ht="36" customHeight="1">
      <x:c r="A1597" s="8" t="str">
        <x:v>F1593</x:v>
      </x:c>
      <x:c r="B1597" s="8" t="str">
        <x:v>04. Mașină industrială de decojire și spălare (1 t-h).pdf</x:v>
      </x:c>
      <x:c r="C1597" s="8" t="str">
        <x:v>50. Fabrica Nuci</x:v>
      </x:c>
      <x:c r="D1597" s="8" t="str">
        <x:v>Context / alte investiții / ghid / audit intern</x:v>
      </x:c>
      <x:c r="E1597" s="8" t="str">
        <x:v>.pdf</x:v>
      </x:c>
      <x:c r="F1597" s="8" t="n">
        <x:v>396124</x:v>
      </x:c>
      <x:c r="G1597" s="8" t="str">
        <x:v>Text extras</x:v>
      </x:c>
      <x:c r="H1597" s="8" t="str">
        <x:v>Document local; transmiterea individuală neconfirmată</x:v>
      </x:c>
      <x:c r="I1597" s="8" t="str"/>
      <x:c r="J1597" s="8" t="e">
        <x:f>HYPERLINK("file:///Z:/00. Proiecte 2025/AFIR FotoVoltaic 1/50. Fabrica Nuci/nuttechnology.com/Brosuri echipamente/02. Decojire coaja verde si spalare/04. Mașină industrială de decojire și spălare (1 t-h).pdf","Deschide sursa")</x:f>
        <x:v>HYPERLINK is not implemented. linkLocation=file:///Z:/00. Proiecte 2025/AFIR FotoVoltaic 1/50. Fabrica Nuci/nuttechnology.com/Brosuri echipamente/02. Decojire coaja verde si spalare/04. Mașină industrială de decojire și spălare (1 t-h).pdf, friendlyName=Deschide sursa</x:v>
      </x:c>
    </x:row>
    <x:row r="1598" ht="36" customHeight="1">
      <x:c r="A1598" s="8" t="str">
        <x:v>F1594</x:v>
      </x:c>
      <x:c r="B1598" s="8" t="str">
        <x:v>05. Mașină pentru îndepărtarea cojii verzi a alunelor.pdf</x:v>
      </x:c>
      <x:c r="C1598" s="8" t="str">
        <x:v>50. Fabrica Nuci</x:v>
      </x:c>
      <x:c r="D1598" s="8" t="str">
        <x:v>Context / alte investiții / ghid / audit intern</x:v>
      </x:c>
      <x:c r="E1598" s="8" t="str">
        <x:v>.pdf</x:v>
      </x:c>
      <x:c r="F1598" s="8" t="n">
        <x:v>150108</x:v>
      </x:c>
      <x:c r="G1598" s="8" t="str">
        <x:v>Text extras</x:v>
      </x:c>
      <x:c r="H1598" s="8" t="str">
        <x:v>Document local; transmiterea individuală neconfirmată</x:v>
      </x:c>
      <x:c r="I1598" s="8" t="str"/>
      <x:c r="J1598" s="8" t="e">
        <x:f>HYPERLINK("file:///Z:/00. Proiecte 2025/AFIR FotoVoltaic 1/50. Fabrica Nuci/nuttechnology.com/Brosuri echipamente/02. Decojire coaja verde si spalare/05. Mașină pentru îndepărtarea cojii verzi a alunelor.pdf","Deschide sursa")</x:f>
        <x:v>HYPERLINK is not implemented. linkLocation=file:///Z:/00. Proiecte 2025/AFIR FotoVoltaic 1/50. Fabrica Nuci/nuttechnology.com/Brosuri echipamente/02. Decojire coaja verde si spalare/05. Mașină pentru îndepărtarea cojii verzi a alunelor.pdf, friendlyName=Deschide sursa</x:v>
      </x:c>
    </x:row>
    <x:row r="1599" ht="36" customHeight="1">
      <x:c r="A1599" s="8" t="str">
        <x:v>F1595</x:v>
      </x:c>
      <x:c r="B1599" s="8" t="str">
        <x:v>01. Uscător pentru nuci, alune și migdale în coajă (până la 1 tonă-24 ore).pdf</x:v>
      </x:c>
      <x:c r="C1599" s="8" t="str">
        <x:v>50. Fabrica Nuci</x:v>
      </x:c>
      <x:c r="D1599" s="8" t="str">
        <x:v>Context / alte investiții / ghid / audit intern</x:v>
      </x:c>
      <x:c r="E1599" s="8" t="str">
        <x:v>.pdf</x:v>
      </x:c>
      <x:c r="F1599" s="8" t="n">
        <x:v>143616</x:v>
      </x:c>
      <x:c r="G1599" s="8" t="str">
        <x:v>Text extras</x:v>
      </x:c>
      <x:c r="H1599" s="8" t="str">
        <x:v>Document local; transmiterea individuală neconfirmată</x:v>
      </x:c>
      <x:c r="I1599" s="8" t="str"/>
      <x:c r="J1599" s="8" t="e">
        <x:f>HYPERLINK("file:///Z:/00. Proiecte 2025/AFIR FotoVoltaic 1/50. Fabrica Nuci/nuttechnology.com/Brosuri echipamente/03. Uscare si incarcare uscator/01. Uscător pentru nuci, alune și migdale în coajă (până la 1 tonă-24 ore).pdf","Deschide sursa")</x:f>
        <x:v>HYPERLINK is not implemented. linkLocation=file:///Z:/00. Proiecte 2025/AFIR FotoVoltaic 1/50. Fabrica Nuci/nuttechnology.com/Brosuri echipamente/03. Uscare si incarcare uscator/01. Uscător pentru nuci, alune și migdale în coajă (până la 1 tonă-24 ore).pdf, friendlyName=Deschide sursa</x:v>
      </x:c>
    </x:row>
    <x:row r="1600" ht="36" customHeight="1">
      <x:c r="A1600" s="8" t="str">
        <x:v>F1596</x:v>
      </x:c>
      <x:c r="B1600" s="8" t="str">
        <x:v>02. Uscător pentru nuci, alune și migdale în coajă (până la 2 tone-24 ore).pdf</x:v>
      </x:c>
      <x:c r="C1600" s="8" t="str">
        <x:v>50. Fabrica Nuci</x:v>
      </x:c>
      <x:c r="D1600" s="8" t="str">
        <x:v>Context / alte investiții / ghid / audit intern</x:v>
      </x:c>
      <x:c r="E1600" s="8" t="str">
        <x:v>.pdf</x:v>
      </x:c>
      <x:c r="F1600" s="8" t="n">
        <x:v>143616</x:v>
      </x:c>
      <x:c r="G1600" s="8" t="str">
        <x:v>Text extras</x:v>
      </x:c>
      <x:c r="H1600" s="8" t="str">
        <x:v>Document local; transmiterea individuală neconfirmată</x:v>
      </x:c>
      <x:c r="I1600" s="8" t="str">
        <x:v>F1595</x:v>
      </x:c>
      <x:c r="J1600" s="8" t="e">
        <x:f>HYPERLINK("file:///Z:/00. Proiecte 2025/AFIR FotoVoltaic 1/50. Fabrica Nuci/nuttechnology.com/Brosuri echipamente/03. Uscare si incarcare uscator/02. Uscător pentru nuci, alune și migdale în coajă (până la 2 tone-24 ore).pdf","Deschide sursa")</x:f>
        <x:v>HYPERLINK is not implemented. linkLocation=file:///Z:/00. Proiecte 2025/AFIR FotoVoltaic 1/50. Fabrica Nuci/nuttechnology.com/Brosuri echipamente/03. Uscare si incarcare uscator/02. Uscător pentru nuci, alune și migdale în coajă (până la 2 tone-24 ore).pdf, friendlyName=Deschide sursa</x:v>
      </x:c>
    </x:row>
    <x:row r="1601" ht="36" customHeight="1">
      <x:c r="A1601" s="8" t="str">
        <x:v>F1597</x:v>
      </x:c>
      <x:c r="B1601" s="8" t="str">
        <x:v>03. Uscător pentru nuci, alune și migdale în coajă (2 tone-zi).pdf</x:v>
      </x:c>
      <x:c r="C1601" s="8" t="str">
        <x:v>50. Fabrica Nuci</x:v>
      </x:c>
      <x:c r="D1601" s="8" t="str">
        <x:v>Context / alte investiții / ghid / audit intern</x:v>
      </x:c>
      <x:c r="E1601" s="8" t="str">
        <x:v>.pdf</x:v>
      </x:c>
      <x:c r="F1601" s="8" t="n">
        <x:v>144270</x:v>
      </x:c>
      <x:c r="G1601" s="8" t="str">
        <x:v>Text extras</x:v>
      </x:c>
      <x:c r="H1601" s="8" t="str">
        <x:v>Document local; transmiterea individuală neconfirmată</x:v>
      </x:c>
      <x:c r="I1601" s="8" t="str"/>
      <x:c r="J1601" s="8" t="e">
        <x:f>HYPERLINK("file:///Z:/00. Proiecte 2025/AFIR FotoVoltaic 1/50. Fabrica Nuci/nuttechnology.com/Brosuri echipamente/03. Uscare si incarcare uscator/03. Uscător pentru nuci, alune și migdale în coajă (2 tone-zi).pdf","Deschide sursa")</x:f>
        <x:v>HYPERLINK is not implemented. linkLocation=file:///Z:/00. Proiecte 2025/AFIR FotoVoltaic 1/50. Fabrica Nuci/nuttechnology.com/Brosuri echipamente/03. Uscare si incarcare uscator/03. Uscător pentru nuci, alune și migdale în coajă (2 tone-zi).pdf, friendlyName=Deschide sursa</x:v>
      </x:c>
    </x:row>
    <x:row r="1602" ht="36" customHeight="1">
      <x:c r="A1602" s="8" t="str">
        <x:v>F1598</x:v>
      </x:c>
      <x:c r="B1602" s="8" t="str">
        <x:v>04. Uscător pentru nuci, alune și migdale în coajă (4 tone-zi).pdf</x:v>
      </x:c>
      <x:c r="C1602" s="8" t="str">
        <x:v>50. Fabrica Nuci</x:v>
      </x:c>
      <x:c r="D1602" s="8" t="str">
        <x:v>Context / alte investiții / ghid / audit intern</x:v>
      </x:c>
      <x:c r="E1602" s="8" t="str">
        <x:v>.pdf</x:v>
      </x:c>
      <x:c r="F1602" s="8" t="n">
        <x:v>515997</x:v>
      </x:c>
      <x:c r="G1602" s="8" t="str">
        <x:v>Text extras</x:v>
      </x:c>
      <x:c r="H1602" s="8" t="str">
        <x:v>Document local; transmiterea individuală neconfirmată</x:v>
      </x:c>
      <x:c r="I1602" s="8" t="str"/>
      <x:c r="J1602" s="8" t="e">
        <x:f>HYPERLINK("file:///Z:/00. Proiecte 2025/AFIR FotoVoltaic 1/50. Fabrica Nuci/nuttechnology.com/Brosuri echipamente/03. Uscare si incarcare uscator/04. Uscător pentru nuci, alune și migdale în coajă (4 tone-zi).pdf","Deschide sursa")</x:f>
        <x:v>HYPERLINK is not implemented. linkLocation=file:///Z:/00. Proiecte 2025/AFIR FotoVoltaic 1/50. Fabrica Nuci/nuttechnology.com/Brosuri echipamente/03. Uscare si incarcare uscator/04. Uscător pentru nuci, alune și migdale în coajă (4 tone-zi).pdf, friendlyName=Deschide sursa</x:v>
      </x:c>
    </x:row>
    <x:row r="1603" ht="36" customHeight="1">
      <x:c r="A1603" s="8" t="str">
        <x:v>F1599</x:v>
      </x:c>
      <x:c r="B1603" s="8" t="str">
        <x:v>05. Conveyor de alimentare pentru uscător 2 t-zi.pdf</x:v>
      </x:c>
      <x:c r="C1603" s="8" t="str">
        <x:v>50. Fabrica Nuci</x:v>
      </x:c>
      <x:c r="D1603" s="8" t="str">
        <x:v>Context / alte investiții / ghid / audit intern</x:v>
      </x:c>
      <x:c r="E1603" s="8" t="str">
        <x:v>.pdf</x:v>
      </x:c>
      <x:c r="F1603" s="8" t="n">
        <x:v>166147</x:v>
      </x:c>
      <x:c r="G1603" s="8" t="str">
        <x:v>Text extras</x:v>
      </x:c>
      <x:c r="H1603" s="8" t="str">
        <x:v>Document local; transmiterea individuală neconfirmată</x:v>
      </x:c>
      <x:c r="I1603" s="8" t="str"/>
      <x:c r="J1603" s="8" t="e">
        <x:f>HYPERLINK("file:///Z:/00. Proiecte 2025/AFIR FotoVoltaic 1/50. Fabrica Nuci/nuttechnology.com/Brosuri echipamente/03. Uscare si incarcare uscator/05. Conveyor de alimentare pentru uscător 2 t-zi.pdf","Deschide sursa")</x:f>
        <x:v>HYPERLINK is not implemented. linkLocation=file:///Z:/00. Proiecte 2025/AFIR FotoVoltaic 1/50. Fabrica Nuci/nuttechnology.com/Brosuri echipamente/03. Uscare si incarcare uscator/05. Conveyor de alimentare pentru uscător 2 t-zi.pdf, friendlyName=Deschide sursa</x:v>
      </x:c>
    </x:row>
    <x:row r="1604" ht="36" customHeight="1">
      <x:c r="A1604" s="8" t="str">
        <x:v>F1600</x:v>
      </x:c>
      <x:c r="B1604" s="8" t="str">
        <x:v>06. Conveyor de alimentare pentru uscător 4 t-h.pdf</x:v>
      </x:c>
      <x:c r="C1604" s="8" t="str">
        <x:v>50. Fabrica Nuci</x:v>
      </x:c>
      <x:c r="D1604" s="8" t="str">
        <x:v>Context / alte investiții / ghid / audit intern</x:v>
      </x:c>
      <x:c r="E1604" s="8" t="str">
        <x:v>.pdf</x:v>
      </x:c>
      <x:c r="F1604" s="8" t="n">
        <x:v>166147</x:v>
      </x:c>
      <x:c r="G1604" s="8" t="str">
        <x:v>Text extras</x:v>
      </x:c>
      <x:c r="H1604" s="8" t="str">
        <x:v>Document local; transmiterea individuală neconfirmată</x:v>
      </x:c>
      <x:c r="I1604" s="8" t="str">
        <x:v>F1599</x:v>
      </x:c>
      <x:c r="J1604" s="8" t="e">
        <x:f>HYPERLINK("file:///Z:/00. Proiecte 2025/AFIR FotoVoltaic 1/50. Fabrica Nuci/nuttechnology.com/Brosuri echipamente/03. Uscare si incarcare uscator/06. Conveyor de alimentare pentru uscător 4 t-h.pdf","Deschide sursa")</x:f>
        <x:v>HYPERLINK is not implemented. linkLocation=file:///Z:/00. Proiecte 2025/AFIR FotoVoltaic 1/50. Fabrica Nuci/nuttechnology.com/Brosuri echipamente/03. Uscare si incarcare uscator/06. Conveyor de alimentare pentru uscător 4 t-h.pdf, friendlyName=Deschide sursa</x:v>
      </x:c>
    </x:row>
    <x:row r="1605" ht="36" customHeight="1">
      <x:c r="A1605" s="8" t="str">
        <x:v>F1601</x:v>
      </x:c>
      <x:c r="B1605" s="8" t="str">
        <x:v>07. Elevator cu încărcare-descărcare Noria 2 tone pe oră.pdf</x:v>
      </x:c>
      <x:c r="C1605" s="8" t="str">
        <x:v>50. Fabrica Nuci</x:v>
      </x:c>
      <x:c r="D1605" s="8" t="str">
        <x:v>Context / alte investiții / ghid / audit intern</x:v>
      </x:c>
      <x:c r="E1605" s="8" t="str">
        <x:v>.pdf</x:v>
      </x:c>
      <x:c r="F1605" s="8" t="n">
        <x:v>166147</x:v>
      </x:c>
      <x:c r="G1605" s="8" t="str">
        <x:v>Text extras</x:v>
      </x:c>
      <x:c r="H1605" s="8" t="str">
        <x:v>Document local; transmiterea individuală neconfirmată</x:v>
      </x:c>
      <x:c r="I1605" s="8" t="str">
        <x:v>F1599</x:v>
      </x:c>
      <x:c r="J1605" s="8" t="e">
        <x:f>HYPERLINK("file:///Z:/00. Proiecte 2025/AFIR FotoVoltaic 1/50. Fabrica Nuci/nuttechnology.com/Brosuri echipamente/03. Uscare si incarcare uscator/07. Elevator cu încărcare-descărcare Noria 2 tone pe oră.pdf","Deschide sursa")</x:f>
        <x:v>HYPERLINK is not implemented. linkLocation=file:///Z:/00. Proiecte 2025/AFIR FotoVoltaic 1/50. Fabrica Nuci/nuttechnology.com/Brosuri echipamente/03. Uscare si incarcare uscator/07. Elevator cu încărcare-descărcare Noria 2 tone pe oră.pdf, friendlyName=Deschide sursa</x:v>
      </x:c>
    </x:row>
    <x:row r="1606" ht="36" customHeight="1">
      <x:c r="A1606" s="8" t="str">
        <x:v>F1602</x:v>
      </x:c>
      <x:c r="B1606" s="8" t="str">
        <x:v>08. Elevator cu încărcare-descărcare Noria 4 tone pe oră.pdf</x:v>
      </x:c>
      <x:c r="C1606" s="8" t="str">
        <x:v>50. Fabrica Nuci</x:v>
      </x:c>
      <x:c r="D1606" s="8" t="str">
        <x:v>Context / alte investiții / ghid / audit intern</x:v>
      </x:c>
      <x:c r="E1606" s="8" t="str">
        <x:v>.pdf</x:v>
      </x:c>
      <x:c r="F1606" s="8" t="n">
        <x:v>166147</x:v>
      </x:c>
      <x:c r="G1606" s="8" t="str">
        <x:v>Text extras</x:v>
      </x:c>
      <x:c r="H1606" s="8" t="str">
        <x:v>Document local; transmiterea individuală neconfirmată</x:v>
      </x:c>
      <x:c r="I1606" s="8" t="str">
        <x:v>F1599</x:v>
      </x:c>
      <x:c r="J1606" s="8" t="e">
        <x:f>HYPERLINK("file:///Z:/00. Proiecte 2025/AFIR FotoVoltaic 1/50. Fabrica Nuci/nuttechnology.com/Brosuri echipamente/03. Uscare si incarcare uscator/08. Elevator cu încărcare-descărcare Noria 4 tone pe oră.pdf","Deschide sursa")</x:f>
        <x:v>HYPERLINK is not implemented. linkLocation=file:///Z:/00. Proiecte 2025/AFIR FotoVoltaic 1/50. Fabrica Nuci/nuttechnology.com/Brosuri echipamente/03. Uscare si incarcare uscator/08. Elevator cu încărcare-descărcare Noria 4 tone pe oră.pdf, friendlyName=Deschide sursa</x:v>
      </x:c>
    </x:row>
    <x:row r="1607" ht="36" customHeight="1">
      <x:c r="A1607" s="8" t="str">
        <x:v>F1603</x:v>
      </x:c>
      <x:c r="B1607" s="8" t="str">
        <x:v>01. Calibrator liniar pentru toate tipurile de nuci.pdf</x:v>
      </x:c>
      <x:c r="C1607" s="8" t="str">
        <x:v>50. Fabrica Nuci</x:v>
      </x:c>
      <x:c r="D1607" s="8" t="str">
        <x:v>Context / alte investiții / ghid / audit intern</x:v>
      </x:c>
      <x:c r="E1607" s="8" t="str">
        <x:v>.pdf</x:v>
      </x:c>
      <x:c r="F1607" s="8" t="n">
        <x:v>123495</x:v>
      </x:c>
      <x:c r="G1607" s="8" t="str">
        <x:v>Text extras</x:v>
      </x:c>
      <x:c r="H1607" s="8" t="str">
        <x:v>Document local; transmiterea individuală neconfirmată</x:v>
      </x:c>
      <x:c r="I1607" s="8" t="str"/>
      <x:c r="J1607" s="8" t="e">
        <x:f>HYPERLINK("file:///Z:/00. Proiecte 2025/AFIR FotoVoltaic 1/50. Fabrica Nuci/nuttechnology.com/Brosuri echipamente/04. Calibrare si sortare in coaja/01. Calibrator liniar pentru toate tipurile de nuci.pdf","Deschide sursa")</x:f>
        <x:v>HYPERLINK is not implemented. linkLocation=file:///Z:/00. Proiecte 2025/AFIR FotoVoltaic 1/50. Fabrica Nuci/nuttechnology.com/Brosuri echipamente/04. Calibrare si sortare in coaja/01. Calibrator liniar pentru toate tipurile de nuci.pdf, friendlyName=Deschide sursa</x:v>
      </x:c>
    </x:row>
    <x:row r="1608" ht="36" customHeight="1">
      <x:c r="A1608" s="8" t="str">
        <x:v>F1604</x:v>
      </x:c>
      <x:c r="B1608" s="8" t="str">
        <x:v>02. Mașină de calibrare a nucilor în 4 fracții.pdf</x:v>
      </x:c>
      <x:c r="C1608" s="8" t="str">
        <x:v>50. Fabrica Nuci</x:v>
      </x:c>
      <x:c r="D1608" s="8" t="str">
        <x:v>Context / alte investiții / ghid / audit intern</x:v>
      </x:c>
      <x:c r="E1608" s="8" t="str">
        <x:v>.pdf</x:v>
      </x:c>
      <x:c r="F1608" s="8" t="n">
        <x:v>201353</x:v>
      </x:c>
      <x:c r="G1608" s="8" t="str">
        <x:v>Text extras</x:v>
      </x:c>
      <x:c r="H1608" s="8" t="str">
        <x:v>Document local; transmiterea individuală neconfirmată</x:v>
      </x:c>
      <x:c r="I1608" s="8" t="str"/>
      <x:c r="J1608" s="8" t="e">
        <x:f>HYPERLINK("file:///Z:/00. Proiecte 2025/AFIR FotoVoltaic 1/50. Fabrica Nuci/nuttechnology.com/Brosuri echipamente/04. Calibrare si sortare in coaja/02. Mașină de calibrare a nucilor în 4 fracții.pdf","Deschide sursa")</x:f>
        <x:v>HYPERLINK is not implemented. linkLocation=file:///Z:/00. Proiecte 2025/AFIR FotoVoltaic 1/50. Fabrica Nuci/nuttechnology.com/Brosuri echipamente/04. Calibrare si sortare in coaja/02. Mașină de calibrare a nucilor în 4 fracții.pdf, friendlyName=Deschide sursa</x:v>
      </x:c>
    </x:row>
    <x:row r="1609" ht="36" customHeight="1">
      <x:c r="A1609" s="8" t="str">
        <x:v>F1605</x:v>
      </x:c>
      <x:c r="B1609" s="8" t="str">
        <x:v>03. Mașină de calibrare a nucilor în 8 fracții.pdf</x:v>
      </x:c>
      <x:c r="C1609" s="8" t="str">
        <x:v>50. Fabrica Nuci</x:v>
      </x:c>
      <x:c r="D1609" s="8" t="str">
        <x:v>Context / alte investiții / ghid / audit intern</x:v>
      </x:c>
      <x:c r="E1609" s="8" t="str">
        <x:v>.pdf</x:v>
      </x:c>
      <x:c r="F1609" s="8" t="n">
        <x:v>247157</x:v>
      </x:c>
      <x:c r="G1609" s="8" t="str">
        <x:v>Text extras</x:v>
      </x:c>
      <x:c r="H1609" s="8" t="str">
        <x:v>Document local; transmiterea individuală neconfirmată</x:v>
      </x:c>
      <x:c r="I1609" s="8" t="str"/>
      <x:c r="J1609" s="8" t="e">
        <x:f>HYPERLINK("file:///Z:/00. Proiecte 2025/AFIR FotoVoltaic 1/50. Fabrica Nuci/nuttechnology.com/Brosuri echipamente/04. Calibrare si sortare in coaja/03. Mașină de calibrare a nucilor în 8 fracții.pdf","Deschide sursa")</x:f>
        <x:v>HYPERLINK is not implemented. linkLocation=file:///Z:/00. Proiecte 2025/AFIR FotoVoltaic 1/50. Fabrica Nuci/nuttechnology.com/Brosuri echipamente/04. Calibrare si sortare in coaja/03. Mașină de calibrare a nucilor în 8 fracții.pdf, friendlyName=Deschide sursa</x:v>
      </x:c>
    </x:row>
    <x:row r="1610" ht="36" customHeight="1">
      <x:c r="A1610" s="8" t="str">
        <x:v>F1606</x:v>
      </x:c>
      <x:c r="B1610" s="8" t="str">
        <x:v>04. Mașină pentru sortarea nucilor goale în coajă.pdf</x:v>
      </x:c>
      <x:c r="C1610" s="8" t="str">
        <x:v>50. Fabrica Nuci</x:v>
      </x:c>
      <x:c r="D1610" s="8" t="str">
        <x:v>Context / alte investiții / ghid / audit intern</x:v>
      </x:c>
      <x:c r="E1610" s="8" t="str">
        <x:v>.pdf</x:v>
      </x:c>
      <x:c r="F1610" s="8" t="n">
        <x:v>131473</x:v>
      </x:c>
      <x:c r="G1610" s="8" t="str">
        <x:v>Text extras</x:v>
      </x:c>
      <x:c r="H1610" s="8" t="str">
        <x:v>Document local; transmiterea individuală neconfirmată</x:v>
      </x:c>
      <x:c r="I1610" s="8" t="str"/>
      <x:c r="J1610" s="8" t="e">
        <x:f>HYPERLINK("file:///Z:/00. Proiecte 2025/AFIR FotoVoltaic 1/50. Fabrica Nuci/nuttechnology.com/Brosuri echipamente/04. Calibrare si sortare in coaja/04. Mașină pentru sortarea nucilor goale în coajă.pdf","Deschide sursa")</x:f>
        <x:v>HYPERLINK is not implemented. linkLocation=file:///Z:/00. Proiecte 2025/AFIR FotoVoltaic 1/50. Fabrica Nuci/nuttechnology.com/Brosuri echipamente/04. Calibrare si sortare in coaja/04. Mașină pentru sortarea nucilor goale în coajă.pdf, friendlyName=Deschide sursa</x:v>
      </x:c>
    </x:row>
    <x:row r="1611" ht="36" customHeight="1">
      <x:c r="A1611" s="8" t="str">
        <x:v>F1607</x:v>
      </x:c>
      <x:c r="B1611" s="8" t="str">
        <x:v>05. Mașină de calibrare a alunelor.pdf</x:v>
      </x:c>
      <x:c r="C1611" s="8" t="str">
        <x:v>50. Fabrica Nuci</x:v>
      </x:c>
      <x:c r="D1611" s="8" t="str">
        <x:v>Context / alte investiții / ghid / audit intern</x:v>
      </x:c>
      <x:c r="E1611" s="8" t="str">
        <x:v>.pdf</x:v>
      </x:c>
      <x:c r="F1611" s="8" t="n">
        <x:v>218498</x:v>
      </x:c>
      <x:c r="G1611" s="8" t="str">
        <x:v>Text extras</x:v>
      </x:c>
      <x:c r="H1611" s="8" t="str">
        <x:v>Document local; transmiterea individuală neconfirmată</x:v>
      </x:c>
      <x:c r="I1611" s="8" t="str"/>
      <x:c r="J1611" s="8" t="e">
        <x:f>HYPERLINK("file:///Z:/00. Proiecte 2025/AFIR FotoVoltaic 1/50. Fabrica Nuci/nuttechnology.com/Brosuri echipamente/04. Calibrare si sortare in coaja/05. Mașină de calibrare a alunelor.pdf","Deschide sursa")</x:f>
        <x:v>HYPERLINK is not implemented. linkLocation=file:///Z:/00. Proiecte 2025/AFIR FotoVoltaic 1/50. Fabrica Nuci/nuttechnology.com/Brosuri echipamente/04. Calibrare si sortare in coaja/05. Mașină de calibrare a alunelor.pdf, friendlyName=Deschide sursa</x:v>
      </x:c>
    </x:row>
    <x:row r="1612" ht="36" customHeight="1">
      <x:c r="A1612" s="8" t="str">
        <x:v>F1608</x:v>
      </x:c>
      <x:c r="B1612" s="8" t="str">
        <x:v>06. Mașină de calibrare a alunelor în 3 fracții.pdf</x:v>
      </x:c>
      <x:c r="C1612" s="8" t="str">
        <x:v>50. Fabrica Nuci</x:v>
      </x:c>
      <x:c r="D1612" s="8" t="str">
        <x:v>Context / alte investiții / ghid / audit intern</x:v>
      </x:c>
      <x:c r="E1612" s="8" t="str">
        <x:v>.pdf</x:v>
      </x:c>
      <x:c r="F1612" s="8" t="n">
        <x:v>365505</x:v>
      </x:c>
      <x:c r="G1612" s="8" t="str">
        <x:v>Text extras</x:v>
      </x:c>
      <x:c r="H1612" s="8" t="str">
        <x:v>Document local; transmiterea individuală neconfirmată</x:v>
      </x:c>
      <x:c r="I1612" s="8" t="str"/>
      <x:c r="J1612" s="8" t="e">
        <x:f>HYPERLINK("file:///Z:/00. Proiecte 2025/AFIR FotoVoltaic 1/50. Fabrica Nuci/nuttechnology.com/Brosuri echipamente/04. Calibrare si sortare in coaja/06. Mașină de calibrare a alunelor în 3 fracții.pdf","Deschide sursa")</x:f>
        <x:v>HYPERLINK is not implemented. linkLocation=file:///Z:/00. Proiecte 2025/AFIR FotoVoltaic 1/50. Fabrica Nuci/nuttechnology.com/Brosuri echipamente/04. Calibrare si sortare in coaja/06. Mașină de calibrare a alunelor în 3 fracții.pdf, friendlyName=Deschide sursa</x:v>
      </x:c>
    </x:row>
    <x:row r="1613" ht="36" customHeight="1">
      <x:c r="A1613" s="8" t="str">
        <x:v>F1609</x:v>
      </x:c>
      <x:c r="B1613" s="8" t="str">
        <x:v>07. Mașină de calibrare a alunelor în 8 fracții.pdf</x:v>
      </x:c>
      <x:c r="C1613" s="8" t="str">
        <x:v>50. Fabrica Nuci</x:v>
      </x:c>
      <x:c r="D1613" s="8" t="str">
        <x:v>Context / alte investiții / ghid / audit intern</x:v>
      </x:c>
      <x:c r="E1613" s="8" t="str">
        <x:v>.pdf</x:v>
      </x:c>
      <x:c r="F1613" s="8" t="n">
        <x:v>365505</x:v>
      </x:c>
      <x:c r="G1613" s="8" t="str">
        <x:v>Text extras</x:v>
      </x:c>
      <x:c r="H1613" s="8" t="str">
        <x:v>Document local; transmiterea individuală neconfirmată</x:v>
      </x:c>
      <x:c r="I1613" s="8" t="str">
        <x:v>F1608</x:v>
      </x:c>
      <x:c r="J1613" s="8" t="e">
        <x:f>HYPERLINK("file:///Z:/00. Proiecte 2025/AFIR FotoVoltaic 1/50. Fabrica Nuci/nuttechnology.com/Brosuri echipamente/04. Calibrare si sortare in coaja/07. Mașină de calibrare a alunelor în 8 fracții.pdf","Deschide sursa")</x:f>
        <x:v>HYPERLINK is not implemented. linkLocation=file:///Z:/00. Proiecte 2025/AFIR FotoVoltaic 1/50. Fabrica Nuci/nuttechnology.com/Brosuri echipamente/04. Calibrare si sortare in coaja/07. Mașină de calibrare a alunelor în 8 fracții.pdf, friendlyName=Deschide sursa</x:v>
      </x:c>
    </x:row>
    <x:row r="1614" ht="36" customHeight="1">
      <x:c r="A1614" s="8" t="str">
        <x:v>F1610</x:v>
      </x:c>
      <x:c r="B1614" s="8" t="str">
        <x:v>01. Mașină de spart nuci 50 kg-h.pdf</x:v>
      </x:c>
      <x:c r="C1614" s="8" t="str">
        <x:v>50. Fabrica Nuci</x:v>
      </x:c>
      <x:c r="D1614" s="8" t="str">
        <x:v>Context / alte investiții / ghid / audit intern</x:v>
      </x:c>
      <x:c r="E1614" s="8" t="str">
        <x:v>.pdf</x:v>
      </x:c>
      <x:c r="F1614" s="8" t="n">
        <x:v>192221</x:v>
      </x:c>
      <x:c r="G1614" s="8" t="str">
        <x:v>Text extras</x:v>
      </x:c>
      <x:c r="H1614" s="8" t="str">
        <x:v>Document local; transmiterea individuală neconfirmată</x:v>
      </x:c>
      <x:c r="I1614" s="8" t="str"/>
      <x:c r="J1614" s="8" t="e">
        <x:f>HYPERLINK("file:///Z:/00. Proiecte 2025/AFIR FotoVoltaic 1/50. Fabrica Nuci/nuttechnology.com/Brosuri echipamente/05. Spargere/01. Mașină de spart nuci 50 kg-h.pdf","Deschide sursa")</x:f>
        <x:v>HYPERLINK is not implemented. linkLocation=file:///Z:/00. Proiecte 2025/AFIR FotoVoltaic 1/50. Fabrica Nuci/nuttechnology.com/Brosuri echipamente/05. Spargere/01. Mașină de spart nuci 50 kg-h.pdf, friendlyName=Deschide sursa</x:v>
      </x:c>
    </x:row>
    <x:row r="1615" ht="36" customHeight="1">
      <x:c r="A1615" s="8" t="str">
        <x:v>F1611</x:v>
      </x:c>
      <x:c r="B1615" s="8" t="str">
        <x:v>02. Mașină de spart nuci 100 kg-h.pdf</x:v>
      </x:c>
      <x:c r="C1615" s="8" t="str">
        <x:v>50. Fabrica Nuci</x:v>
      </x:c>
      <x:c r="D1615" s="8" t="str">
        <x:v>Context / alte investiții / ghid / audit intern</x:v>
      </x:c>
      <x:c r="E1615" s="8" t="str">
        <x:v>.pdf</x:v>
      </x:c>
      <x:c r="F1615" s="8" t="n">
        <x:v>196807</x:v>
      </x:c>
      <x:c r="G1615" s="8" t="str">
        <x:v>Text extras</x:v>
      </x:c>
      <x:c r="H1615" s="8" t="str">
        <x:v>Document local; transmiterea individuală neconfirmată</x:v>
      </x:c>
      <x:c r="I1615" s="8" t="str"/>
      <x:c r="J1615" s="8" t="e">
        <x:f>HYPERLINK("file:///Z:/00. Proiecte 2025/AFIR FotoVoltaic 1/50. Fabrica Nuci/nuttechnology.com/Brosuri echipamente/05. Spargere/02. Mașină de spart nuci 100 kg-h.pdf","Deschide sursa")</x:f>
        <x:v>HYPERLINK is not implemented. linkLocation=file:///Z:/00. Proiecte 2025/AFIR FotoVoltaic 1/50. Fabrica Nuci/nuttechnology.com/Brosuri echipamente/05. Spargere/02. Mașină de spart nuci 100 kg-h.pdf, friendlyName=Deschide sursa</x:v>
      </x:c>
    </x:row>
    <x:row r="1616" ht="36" customHeight="1">
      <x:c r="A1616" s="8" t="str">
        <x:v>F1612</x:v>
      </x:c>
      <x:c r="B1616" s="8" t="str">
        <x:v>03. Mașină de spart nuci 200 kg-h.pdf</x:v>
      </x:c>
      <x:c r="C1616" s="8" t="str">
        <x:v>50. Fabrica Nuci</x:v>
      </x:c>
      <x:c r="D1616" s="8" t="str">
        <x:v>Context / alte investiții / ghid / audit intern</x:v>
      </x:c>
      <x:c r="E1616" s="8" t="str">
        <x:v>.pdf</x:v>
      </x:c>
      <x:c r="F1616" s="8" t="n">
        <x:v>348176</x:v>
      </x:c>
      <x:c r="G1616" s="8" t="str">
        <x:v>Text extras</x:v>
      </x:c>
      <x:c r="H1616" s="8" t="str">
        <x:v>Document local; transmiterea individuală neconfirmată</x:v>
      </x:c>
      <x:c r="I1616" s="8" t="str">
        <x:v>F0176</x:v>
      </x:c>
      <x:c r="J1616" s="8" t="e">
        <x:f>HYPERLINK("file:///Z:/00. Proiecte 2025/AFIR FotoVoltaic 1/50. Fabrica Nuci/nuttechnology.com/Brosuri echipamente/05. Spargere/03. Mașină de spart nuci 200 kg-h.pdf","Deschide sursa")</x:f>
        <x:v>HYPERLINK is not implemented. linkLocation=file:///Z:/00. Proiecte 2025/AFIR FotoVoltaic 1/50. Fabrica Nuci/nuttechnology.com/Brosuri echipamente/05. Spargere/03. Mașină de spart nuci 200 kg-h.pdf, friendlyName=Deschide sursa</x:v>
      </x:c>
    </x:row>
    <x:row r="1617" ht="36" customHeight="1">
      <x:c r="A1617" s="8" t="str">
        <x:v>F1613</x:v>
      </x:c>
      <x:c r="B1617" s="8" t="str">
        <x:v>04. Mașină industrială de spart nuci cu coloană de aspirație integrată (200 kg-h).pdf</x:v>
      </x:c>
      <x:c r="C1617" s="8" t="str">
        <x:v>50. Fabrica Nuci</x:v>
      </x:c>
      <x:c r="D1617" s="8" t="str">
        <x:v>Context / alte investiții / ghid / audit intern</x:v>
      </x:c>
      <x:c r="E1617" s="8" t="str">
        <x:v>.pdf</x:v>
      </x:c>
      <x:c r="F1617" s="8" t="n">
        <x:v>191584</x:v>
      </x:c>
      <x:c r="G1617" s="8" t="str">
        <x:v>Text extras</x:v>
      </x:c>
      <x:c r="H1617" s="8" t="str">
        <x:v>Document local; transmiterea individuală neconfirmată</x:v>
      </x:c>
      <x:c r="I1617" s="8" t="str"/>
      <x:c r="J1617" s="8" t="e">
        <x:f>HYPERLINK("file:///Z:/00. Proiecte 2025/AFIR FotoVoltaic 1/50. Fabrica Nuci/nuttechnology.com/Brosuri echipamente/05. Spargere/04. Mașină industrială de spart nuci cu coloană de aspirație integrată (200 kg-h).pdf","Deschide sursa")</x:f>
        <x:v>HYPERLINK is not implemented. linkLocation=file:///Z:/00. Proiecte 2025/AFIR FotoVoltaic 1/50. Fabrica Nuci/nuttechnology.com/Brosuri echipamente/05. Spargere/04. Mașină industrială de spart nuci cu coloană de aspirație integrată (200 kg-h).pdf, friendlyName=Deschide sursa</x:v>
      </x:c>
    </x:row>
    <x:row r="1618" ht="36" customHeight="1">
      <x:c r="A1618" s="8" t="str">
        <x:v>F1614</x:v>
      </x:c>
      <x:c r="B1618" s="8" t="str">
        <x:v>05. Spărgător de nuci pentru etapa post-spărgere.pdf</x:v>
      </x:c>
      <x:c r="C1618" s="8" t="str">
        <x:v>50. Fabrica Nuci</x:v>
      </x:c>
      <x:c r="D1618" s="8" t="str">
        <x:v>Context / alte investiții / ghid / audit intern</x:v>
      </x:c>
      <x:c r="E1618" s="8" t="str">
        <x:v>.pdf</x:v>
      </x:c>
      <x:c r="F1618" s="8" t="n">
        <x:v>154915</x:v>
      </x:c>
      <x:c r="G1618" s="8" t="str">
        <x:v>Text extras</x:v>
      </x:c>
      <x:c r="H1618" s="8" t="str">
        <x:v>Document local; transmiterea individuală neconfirmată</x:v>
      </x:c>
      <x:c r="I1618" s="8" t="str"/>
      <x:c r="J1618" s="8" t="e">
        <x:f>HYPERLINK("file:///Z:/00. Proiecte 2025/AFIR FotoVoltaic 1/50. Fabrica Nuci/nuttechnology.com/Brosuri echipamente/05. Spargere/05. Spărgător de nuci pentru etapa post-spărgere.pdf","Deschide sursa")</x:f>
        <x:v>HYPERLINK is not implemented. linkLocation=file:///Z:/00. Proiecte 2025/AFIR FotoVoltaic 1/50. Fabrica Nuci/nuttechnology.com/Brosuri echipamente/05. Spargere/05. Spărgător de nuci pentru etapa post-spărgere.pdf, friendlyName=Deschide sursa</x:v>
      </x:c>
    </x:row>
    <x:row r="1619" ht="36" customHeight="1">
      <x:c r="A1619" s="8" t="str">
        <x:v>F1615</x:v>
      </x:c>
      <x:c r="B1619" s="8" t="str">
        <x:v>06. Spărgător cu tambur pentru alune și migdale.pdf</x:v>
      </x:c>
      <x:c r="C1619" s="8" t="str">
        <x:v>50. Fabrica Nuci</x:v>
      </x:c>
      <x:c r="D1619" s="8" t="str">
        <x:v>Context / alte investiții / ghid / audit intern</x:v>
      </x:c>
      <x:c r="E1619" s="8" t="str">
        <x:v>.pdf</x:v>
      </x:c>
      <x:c r="F1619" s="8" t="n">
        <x:v>178223</x:v>
      </x:c>
      <x:c r="G1619" s="8" t="str">
        <x:v>Text extras</x:v>
      </x:c>
      <x:c r="H1619" s="8" t="str">
        <x:v>Document local; transmiterea individuală neconfirmată</x:v>
      </x:c>
      <x:c r="I1619" s="8" t="str"/>
      <x:c r="J1619" s="8" t="e">
        <x:f>HYPERLINK("file:///Z:/00. Proiecte 2025/AFIR FotoVoltaic 1/50. Fabrica Nuci/nuttechnology.com/Brosuri echipamente/05. Spargere/06. Spărgător cu tambur pentru alune și migdale.pdf","Deschide sursa")</x:f>
        <x:v>HYPERLINK is not implemented. linkLocation=file:///Z:/00. Proiecte 2025/AFIR FotoVoltaic 1/50. Fabrica Nuci/nuttechnology.com/Brosuri echipamente/05. Spargere/06. Spărgător cu tambur pentru alune și migdale.pdf, friendlyName=Deschide sursa</x:v>
      </x:c>
    </x:row>
    <x:row r="1620" ht="36" customHeight="1">
      <x:c r="A1620" s="8" t="str">
        <x:v>F1616</x:v>
      </x:c>
      <x:c r="B1620" s="8" t="str">
        <x:v>07. Spărgător de alune cu aspirație (200 kg-h).pdf</x:v>
      </x:c>
      <x:c r="C1620" s="8" t="str">
        <x:v>50. Fabrica Nuci</x:v>
      </x:c>
      <x:c r="D1620" s="8" t="str">
        <x:v>Context / alte investiții / ghid / audit intern</x:v>
      </x:c>
      <x:c r="E1620" s="8" t="str">
        <x:v>.pdf</x:v>
      </x:c>
      <x:c r="F1620" s="8" t="n">
        <x:v>178223</x:v>
      </x:c>
      <x:c r="G1620" s="8" t="str">
        <x:v>Text extras</x:v>
      </x:c>
      <x:c r="H1620" s="8" t="str">
        <x:v>Document local; transmiterea individuală neconfirmată</x:v>
      </x:c>
      <x:c r="I1620" s="8" t="str">
        <x:v>F1615</x:v>
      </x:c>
      <x:c r="J1620" s="8" t="e">
        <x:f>HYPERLINK("file:///Z:/00. Proiecte 2025/AFIR FotoVoltaic 1/50. Fabrica Nuci/nuttechnology.com/Brosuri echipamente/05. Spargere/07. Spărgător de alune cu aspirație (200 kg-h).pdf","Deschide sursa")</x:f>
        <x:v>HYPERLINK is not implemented. linkLocation=file:///Z:/00. Proiecte 2025/AFIR FotoVoltaic 1/50. Fabrica Nuci/nuttechnology.com/Brosuri echipamente/05. Spargere/07. Spărgător de alune cu aspirație (200 kg-h).pdf, friendlyName=Deschide sursa</x:v>
      </x:c>
    </x:row>
    <x:row r="1621" ht="36" customHeight="1">
      <x:c r="A1621" s="8" t="str">
        <x:v>F1617</x:v>
      </x:c>
      <x:c r="B1621" s="8" t="str">
        <x:v>01. Mașină pentru separarea miezului de coajă (100 kg-h).pdf</x:v>
      </x:c>
      <x:c r="C1621" s="8" t="str">
        <x:v>50. Fabrica Nuci</x:v>
      </x:c>
      <x:c r="D1621" s="8" t="str">
        <x:v>Context / alte investiții / ghid / audit intern</x:v>
      </x:c>
      <x:c r="E1621" s="8" t="str">
        <x:v>.pdf</x:v>
      </x:c>
      <x:c r="F1621" s="8" t="n">
        <x:v>183838</x:v>
      </x:c>
      <x:c r="G1621" s="8" t="str">
        <x:v>Text extras</x:v>
      </x:c>
      <x:c r="H1621" s="8" t="str">
        <x:v>Document local; transmiterea individuală neconfirmată</x:v>
      </x:c>
      <x:c r="I1621" s="8" t="str"/>
      <x:c r="J1621" s="8" t="e">
        <x:f>HYPERLINK("file:///Z:/00. Proiecte 2025/AFIR FotoVoltaic 1/50. Fabrica Nuci/nuttechnology.com/Brosuri echipamente/06. Separare miez si sortare/01. Mașină pentru separarea miezului de coajă (100 kg-h).pdf","Deschide sursa")</x:f>
        <x:v>HYPERLINK is not implemented. linkLocation=file:///Z:/00. Proiecte 2025/AFIR FotoVoltaic 1/50. Fabrica Nuci/nuttechnology.com/Brosuri echipamente/06. Separare miez si sortare/01. Mașină pentru separarea miezului de coajă (100 kg-h).pdf, friendlyName=Deschide sursa</x:v>
      </x:c>
    </x:row>
    <x:row r="1622" ht="36" customHeight="1">
      <x:c r="A1622" s="8" t="str">
        <x:v>F1618</x:v>
      </x:c>
      <x:c r="B1622" s="8" t="str">
        <x:v>02. Mașină pentru separarea miezului de coajă (300 kg-h).pdf</x:v>
      </x:c>
      <x:c r="C1622" s="8" t="str">
        <x:v>50. Fabrica Nuci</x:v>
      </x:c>
      <x:c r="D1622" s="8" t="str">
        <x:v>Context / alte investiții / ghid / audit intern</x:v>
      </x:c>
      <x:c r="E1622" s="8" t="str">
        <x:v>.pdf</x:v>
      </x:c>
      <x:c r="F1622" s="8" t="n">
        <x:v>174832</x:v>
      </x:c>
      <x:c r="G1622" s="8" t="str">
        <x:v>Text extras</x:v>
      </x:c>
      <x:c r="H1622" s="8" t="str">
        <x:v>Document local; transmiterea individuală neconfirmată</x:v>
      </x:c>
      <x:c r="I1622" s="8" t="str"/>
      <x:c r="J1622" s="8" t="e">
        <x:f>HYPERLINK("file:///Z:/00. Proiecte 2025/AFIR FotoVoltaic 1/50. Fabrica Nuci/nuttechnology.com/Brosuri echipamente/06. Separare miez si sortare/02. Mașină pentru separarea miezului de coajă (300 kg-h).pdf","Deschide sursa")</x:f>
        <x:v>HYPERLINK is not implemented. linkLocation=file:///Z:/00. Proiecte 2025/AFIR FotoVoltaic 1/50. Fabrica Nuci/nuttechnology.com/Brosuri echipamente/06. Separare miez si sortare/02. Mașină pentru separarea miezului de coajă (300 kg-h).pdf, friendlyName=Deschide sursa</x:v>
      </x:c>
    </x:row>
    <x:row r="1623" ht="36" customHeight="1">
      <x:c r="A1623" s="8" t="str">
        <x:v>F1619</x:v>
      </x:c>
      <x:c r="B1623" s="8" t="str">
        <x:v>03. Mașină pentru separarea miezului de nucă (200 kg-h).pdf</x:v>
      </x:c>
      <x:c r="C1623" s="8" t="str">
        <x:v>50. Fabrica Nuci</x:v>
      </x:c>
      <x:c r="D1623" s="8" t="str">
        <x:v>Context / alte investiții / ghid / audit intern</x:v>
      </x:c>
      <x:c r="E1623" s="8" t="str">
        <x:v>.pdf</x:v>
      </x:c>
      <x:c r="F1623" s="8" t="n">
        <x:v>127239</x:v>
      </x:c>
      <x:c r="G1623" s="8" t="str">
        <x:v>Text extras</x:v>
      </x:c>
      <x:c r="H1623" s="8" t="str">
        <x:v>Document local; transmiterea individuală neconfirmată</x:v>
      </x:c>
      <x:c r="I1623" s="8" t="str"/>
      <x:c r="J1623" s="8" t="e">
        <x:f>HYPERLINK("file:///Z:/00. Proiecte 2025/AFIR FotoVoltaic 1/50. Fabrica Nuci/nuttechnology.com/Brosuri echipamente/06. Separare miez si sortare/03. Mașină pentru separarea miezului de nucă (200 kg-h).pdf","Deschide sursa")</x:f>
        <x:v>HYPERLINK is not implemented. linkLocation=file:///Z:/00. Proiecte 2025/AFIR FotoVoltaic 1/50. Fabrica Nuci/nuttechnology.com/Brosuri echipamente/06. Separare miez si sortare/03. Mașină pentru separarea miezului de nucă (200 kg-h).pdf, friendlyName=Deschide sursa</x:v>
      </x:c>
    </x:row>
    <x:row r="1624" ht="36" customHeight="1">
      <x:c r="A1624" s="8" t="str">
        <x:v>F1620</x:v>
      </x:c>
      <x:c r="B1624" s="8" t="str">
        <x:v>04. Sit vibratoare cu aspirație pentru sortarea nucilor (200 kg-h).pdf</x:v>
      </x:c>
      <x:c r="C1624" s="8" t="str">
        <x:v>50. Fabrica Nuci</x:v>
      </x:c>
      <x:c r="D1624" s="8" t="str">
        <x:v>Context / alte investiții / ghid / audit intern</x:v>
      </x:c>
      <x:c r="E1624" s="8" t="str">
        <x:v>.pdf</x:v>
      </x:c>
      <x:c r="F1624" s="8" t="n">
        <x:v>159080</x:v>
      </x:c>
      <x:c r="G1624" s="8" t="str">
        <x:v>Text extras</x:v>
      </x:c>
      <x:c r="H1624" s="8" t="str">
        <x:v>Document local; transmiterea individuală neconfirmată</x:v>
      </x:c>
      <x:c r="I1624" s="8" t="str"/>
      <x:c r="J1624" s="8" t="e">
        <x:f>HYPERLINK("file:///Z:/00. Proiecte 2025/AFIR FotoVoltaic 1/50. Fabrica Nuci/nuttechnology.com/Brosuri echipamente/06. Separare miez si sortare/04. Sit vibratoare cu aspirație pentru sortarea nucilor (200 kg-h).pdf","Deschide sursa")</x:f>
        <x:v>HYPERLINK is not implemented. linkLocation=file:///Z:/00. Proiecte 2025/AFIR FotoVoltaic 1/50. Fabrica Nuci/nuttechnology.com/Brosuri echipamente/06. Separare miez si sortare/04. Sit vibratoare cu aspirație pentru sortarea nucilor (200 kg-h).pdf, friendlyName=Deschide sursa</x:v>
      </x:c>
    </x:row>
    <x:row r="1625" ht="36" customHeight="1">
      <x:c r="A1625" s="8" t="str">
        <x:v>F1621</x:v>
      </x:c>
      <x:c r="B1625" s="8" t="str">
        <x:v>05. Sit vibratoare cu aspirație pentru sortarea nucilor (300 kg-h).pdf</x:v>
      </x:c>
      <x:c r="C1625" s="8" t="str">
        <x:v>50. Fabrica Nuci</x:v>
      </x:c>
      <x:c r="D1625" s="8" t="str">
        <x:v>Context / alte investiții / ghid / audit intern</x:v>
      </x:c>
      <x:c r="E1625" s="8" t="str">
        <x:v>.pdf</x:v>
      </x:c>
      <x:c r="F1625" s="8" t="n">
        <x:v>152338</x:v>
      </x:c>
      <x:c r="G1625" s="8" t="str">
        <x:v>Text extras</x:v>
      </x:c>
      <x:c r="H1625" s="8" t="str">
        <x:v>Document local; transmiterea individuală neconfirmată</x:v>
      </x:c>
      <x:c r="I1625" s="8" t="str"/>
      <x:c r="J1625" s="8" t="e">
        <x:f>HYPERLINK("file:///Z:/00. Proiecte 2025/AFIR FotoVoltaic 1/50. Fabrica Nuci/nuttechnology.com/Brosuri echipamente/06. Separare miez si sortare/05. Sit vibratoare cu aspirație pentru sortarea nucilor (300 kg-h).pdf","Deschide sursa")</x:f>
        <x:v>HYPERLINK is not implemented. linkLocation=file:///Z:/00. Proiecte 2025/AFIR FotoVoltaic 1/50. Fabrica Nuci/nuttechnology.com/Brosuri echipamente/06. Separare miez si sortare/05. Sit vibratoare cu aspirație pentru sortarea nucilor (300 kg-h).pdf, friendlyName=Deschide sursa</x:v>
      </x:c>
    </x:row>
    <x:row r="1626" ht="36" customHeight="1">
      <x:c r="A1626" s="8" t="str">
        <x:v>F1622</x:v>
      </x:c>
      <x:c r="B1626" s="8" t="str">
        <x:v>06. Transportor elevatoare pentru nuci.pdf</x:v>
      </x:c>
      <x:c r="C1626" s="8" t="str">
        <x:v>50. Fabrica Nuci</x:v>
      </x:c>
      <x:c r="D1626" s="8" t="str">
        <x:v>Context / alte investiții / ghid / audit intern</x:v>
      </x:c>
      <x:c r="E1626" s="8" t="str">
        <x:v>.pdf</x:v>
      </x:c>
      <x:c r="F1626" s="8" t="n">
        <x:v>132928</x:v>
      </x:c>
      <x:c r="G1626" s="8" t="str">
        <x:v>Text extras</x:v>
      </x:c>
      <x:c r="H1626" s="8" t="str">
        <x:v>Document local; transmiterea individuală neconfirmată</x:v>
      </x:c>
      <x:c r="I1626" s="8" t="str"/>
      <x:c r="J1626" s="8" t="e">
        <x:f>HYPERLINK("file:///Z:/00. Proiecte 2025/AFIR FotoVoltaic 1/50. Fabrica Nuci/nuttechnology.com/Brosuri echipamente/06. Separare miez si sortare/06. Transportor elevatoare pentru nuci.pdf","Deschide sursa")</x:f>
        <x:v>HYPERLINK is not implemented. linkLocation=file:///Z:/00. Proiecte 2025/AFIR FotoVoltaic 1/50. Fabrica Nuci/nuttechnology.com/Brosuri echipamente/06. Separare miez si sortare/06. Transportor elevatoare pentru nuci.pdf, friendlyName=Deschide sursa</x:v>
      </x:c>
    </x:row>
    <x:row r="1627" ht="36" customHeight="1">
      <x:c r="A1627" s="8" t="str">
        <x:v>F1623</x:v>
      </x:c>
      <x:c r="B1627" s="8" t="str">
        <x:v>07. Masă de inspecție cu bandă.pdf</x:v>
      </x:c>
      <x:c r="C1627" s="8" t="str">
        <x:v>50. Fabrica Nuci</x:v>
      </x:c>
      <x:c r="D1627" s="8" t="str">
        <x:v>Context / alte investiții / ghid / audit intern</x:v>
      </x:c>
      <x:c r="E1627" s="8" t="str">
        <x:v>.pdf</x:v>
      </x:c>
      <x:c r="F1627" s="8" t="n">
        <x:v>178176</x:v>
      </x:c>
      <x:c r="G1627" s="8" t="str">
        <x:v>Text extras</x:v>
      </x:c>
      <x:c r="H1627" s="8" t="str">
        <x:v>Document local; transmiterea individuală neconfirmată</x:v>
      </x:c>
      <x:c r="I1627" s="8" t="str"/>
      <x:c r="J1627" s="8" t="e">
        <x:f>HYPERLINK("file:///Z:/00. Proiecte 2025/AFIR FotoVoltaic 1/50. Fabrica Nuci/nuttechnology.com/Brosuri echipamente/06. Separare miez si sortare/07. Masă de inspecție cu bandă.pdf","Deschide sursa")</x:f>
        <x:v>HYPERLINK is not implemented. linkLocation=file:///Z:/00. Proiecte 2025/AFIR FotoVoltaic 1/50. Fabrica Nuci/nuttechnology.com/Brosuri echipamente/06. Separare miez si sortare/07. Masă de inspecție cu bandă.pdf, friendlyName=Deschide sursa</x:v>
      </x:c>
    </x:row>
    <x:row r="1628" ht="36" customHeight="1">
      <x:c r="A1628" s="8" t="str">
        <x:v>F1624</x:v>
      </x:c>
      <x:c r="B1628" s="8" t="str">
        <x:v>08. Masă de inspecție cu bandă pe două niveluri.pdf</x:v>
      </x:c>
      <x:c r="C1628" s="8" t="str">
        <x:v>50. Fabrica Nuci</x:v>
      </x:c>
      <x:c r="D1628" s="8" t="str">
        <x:v>Context / alte investiții / ghid / audit intern</x:v>
      </x:c>
      <x:c r="E1628" s="8" t="str">
        <x:v>.pdf</x:v>
      </x:c>
      <x:c r="F1628" s="8" t="n">
        <x:v>282209</x:v>
      </x:c>
      <x:c r="G1628" s="8" t="str">
        <x:v>Text extras</x:v>
      </x:c>
      <x:c r="H1628" s="8" t="str">
        <x:v>Document local; transmiterea individuală neconfirmată</x:v>
      </x:c>
      <x:c r="I1628" s="8" t="str"/>
      <x:c r="J1628" s="8" t="e">
        <x:f>HYPERLINK("file:///Z:/00. Proiecte 2025/AFIR FotoVoltaic 1/50. Fabrica Nuci/nuttechnology.com/Brosuri echipamente/06. Separare miez si sortare/08. Masă de inspecție cu bandă pe două niveluri.pdf","Deschide sursa")</x:f>
        <x:v>HYPERLINK is not implemented. linkLocation=file:///Z:/00. Proiecte 2025/AFIR FotoVoltaic 1/50. Fabrica Nuci/nuttechnology.com/Brosuri echipamente/06. Separare miez si sortare/08. Masă de inspecție cu bandă pe două niveluri.pdf, friendlyName=Deschide sursa</x:v>
      </x:c>
    </x:row>
    <x:row r="1629" ht="36" customHeight="1">
      <x:c r="A1629" s="8" t="str">
        <x:v>F1625</x:v>
      </x:c>
      <x:c r="B1629" s="8" t="str">
        <x:v>02. Sortator optic 3S - imagine (fara brosura).png</x:v>
      </x:c>
      <x:c r="C1629" s="8" t="str">
        <x:v>50. Fabrica Nuci</x:v>
      </x:c>
      <x:c r="D1629" s="8" t="str">
        <x:v>Context / alte investiții / ghid / audit intern</x:v>
      </x:c>
      <x:c r="E1629" s="8" t="str">
        <x:v>.png</x:v>
      </x:c>
      <x:c r="F1629" s="8" t="n">
        <x:v>570301</x:v>
      </x:c>
      <x:c r="G1629" s="8" t="str">
        <x:v>Inventariat; conținut neextras</x:v>
      </x:c>
      <x:c r="H1629" s="8" t="str">
        <x:v>Document local; transmiterea individuală neconfirmată</x:v>
      </x:c>
      <x:c r="I1629" s="8" t="str"/>
      <x:c r="J1629" s="8" t="e">
        <x:f>HYPERLINK("file:///Z:/00. Proiecte 2025/AFIR FotoVoltaic 1/50. Fabrica Nuci/nuttechnology.com/Brosuri echipamente/07. Sortatoare optice/02. Sortator optic 3S - imagine (fara brosura).png","Deschide sursa")</x:f>
        <x:v>HYPERLINK is not implemented. linkLocation=file:///Z:/00. Proiecte 2025/AFIR FotoVoltaic 1/50. Fabrica Nuci/nuttechnology.com/Brosuri echipamente/07. Sortatoare optice/02. Sortator optic 3S - imagine (fara brosura).png, friendlyName=Deschide sursa</x:v>
      </x:c>
    </x:row>
    <x:row r="1630" ht="36" customHeight="1">
      <x:c r="A1630" s="8" t="str">
        <x:v>F1626</x:v>
      </x:c>
      <x:c r="B1630" s="8" t="str">
        <x:v>03. Sortator optic cu bandă M600 - imagine (fara brosura).jpg</x:v>
      </x:c>
      <x:c r="C1630" s="8" t="str">
        <x:v>50. Fabrica Nuci</x:v>
      </x:c>
      <x:c r="D1630" s="8" t="str">
        <x:v>Context / alte investiții / ghid / audit intern</x:v>
      </x:c>
      <x:c r="E1630" s="8" t="str">
        <x:v>.jpg</x:v>
      </x:c>
      <x:c r="F1630" s="8" t="n">
        <x:v>341831</x:v>
      </x:c>
      <x:c r="G1630" s="8" t="str">
        <x:v>Inventariat; conținut neextras</x:v>
      </x:c>
      <x:c r="H1630" s="8" t="str">
        <x:v>Document local; transmiterea individuală neconfirmată</x:v>
      </x:c>
      <x:c r="I1630" s="8" t="str"/>
      <x:c r="J1630" s="8" t="e">
        <x:f>HYPERLINK("file:///Z:/00. Proiecte 2025/AFIR FotoVoltaic 1/50. Fabrica Nuci/nuttechnology.com/Brosuri echipamente/07. Sortatoare optice/03. Sortator optic cu bandă M600 - imagine (fara brosura).jpg","Deschide sursa")</x:f>
        <x:v>HYPERLINK is not implemented. linkLocation=file:///Z:/00. Proiecte 2025/AFIR FotoVoltaic 1/50. Fabrica Nuci/nuttechnology.com/Brosuri echipamente/07. Sortatoare optice/03. Sortator optic cu bandă M600 - imagine (fara brosura).jpg, friendlyName=Deschide sursa</x:v>
      </x:c>
    </x:row>
    <x:row r="1631" ht="36" customHeight="1">
      <x:c r="A1631" s="8" t="str">
        <x:v>F1627</x:v>
      </x:c>
      <x:c r="B1631" s="8" t="str">
        <x:v>01. Linie de spălare și uscare a nucilor (500 kg-h).pdf</x:v>
      </x:c>
      <x:c r="C1631" s="8" t="str">
        <x:v>50. Fabrica Nuci</x:v>
      </x:c>
      <x:c r="D1631" s="8" t="str">
        <x:v>Context / alte investiții / ghid / audit intern</x:v>
      </x:c>
      <x:c r="E1631" s="8" t="str">
        <x:v>.pdf</x:v>
      </x:c>
      <x:c r="F1631" s="8" t="n">
        <x:v>373743</x:v>
      </x:c>
      <x:c r="G1631" s="8" t="str">
        <x:v>Text extras</x:v>
      </x:c>
      <x:c r="H1631" s="8" t="str">
        <x:v>Document local; transmiterea individuală neconfirmată</x:v>
      </x:c>
      <x:c r="I1631" s="8" t="str"/>
      <x:c r="J1631" s="8" t="e">
        <x:f>HYPERLINK("file:///Z:/00. Proiecte 2025/AFIR FotoVoltaic 1/50. Fabrica Nuci/nuttechnology.com/Brosuri echipamente/08. Linii complete de procesare/01. Linie de spălare și uscare a nucilor (500 kg-h).pdf","Deschide sursa")</x:f>
        <x:v>HYPERLINK is not implemented. linkLocation=file:///Z:/00. Proiecte 2025/AFIR FotoVoltaic 1/50. Fabrica Nuci/nuttechnology.com/Brosuri echipamente/08. Linii complete de procesare/01. Linie de spălare și uscare a nucilor (500 kg-h).pdf, friendlyName=Deschide sursa</x:v>
      </x:c>
    </x:row>
    <x:row r="1632" ht="36" customHeight="1">
      <x:c r="A1632" s="8" t="str">
        <x:v>F1628</x:v>
      </x:c>
      <x:c r="B1632" s="8" t="str">
        <x:v>02. Linie industrială pentru procesarea nucilor (100 kg-h).pdf</x:v>
      </x:c>
      <x:c r="C1632" s="8" t="str">
        <x:v>50. Fabrica Nuci</x:v>
      </x:c>
      <x:c r="D1632" s="8" t="str">
        <x:v>Context / alte investiții / ghid / audit intern</x:v>
      </x:c>
      <x:c r="E1632" s="8" t="str">
        <x:v>.pdf</x:v>
      </x:c>
      <x:c r="F1632" s="8" t="n">
        <x:v>275541</x:v>
      </x:c>
      <x:c r="G1632" s="8" t="str">
        <x:v>Text extras</x:v>
      </x:c>
      <x:c r="H1632" s="8" t="str">
        <x:v>Document local; transmiterea individuală neconfirmată</x:v>
      </x:c>
      <x:c r="I1632" s="8" t="str"/>
      <x:c r="J1632" s="8" t="e">
        <x:f>HYPERLINK("file:///Z:/00. Proiecte 2025/AFIR FotoVoltaic 1/50. Fabrica Nuci/nuttechnology.com/Brosuri echipamente/08. Linii complete de procesare/02. Linie industrială pentru procesarea nucilor (100 kg-h).pdf","Deschide sursa")</x:f>
        <x:v>HYPERLINK is not implemented. linkLocation=file:///Z:/00. Proiecte 2025/AFIR FotoVoltaic 1/50. Fabrica Nuci/nuttechnology.com/Brosuri echipamente/08. Linii complete de procesare/02. Linie industrială pentru procesarea nucilor (100 kg-h).pdf, friendlyName=Deschide sursa</x:v>
      </x:c>
    </x:row>
    <x:row r="1633" ht="36" customHeight="1">
      <x:c r="A1633" s="8" t="str">
        <x:v>F1629</x:v>
      </x:c>
      <x:c r="B1633" s="8" t="str">
        <x:v>03. Linie industrială pentru procesarea nucilor (200 kg-h).pdf</x:v>
      </x:c>
      <x:c r="C1633" s="8" t="str">
        <x:v>50. Fabrica Nuci</x:v>
      </x:c>
      <x:c r="D1633" s="8" t="str">
        <x:v>Context / alte investiții / ghid / audit intern</x:v>
      </x:c>
      <x:c r="E1633" s="8" t="str">
        <x:v>.pdf</x:v>
      </x:c>
      <x:c r="F1633" s="8" t="n">
        <x:v>212671</x:v>
      </x:c>
      <x:c r="G1633" s="8" t="str">
        <x:v>Text extras</x:v>
      </x:c>
      <x:c r="H1633" s="8" t="str">
        <x:v>Document local; transmiterea individuală neconfirmată</x:v>
      </x:c>
      <x:c r="I1633" s="8" t="str"/>
      <x:c r="J1633" s="8" t="e">
        <x:f>HYPERLINK("file:///Z:/00. Proiecte 2025/AFIR FotoVoltaic 1/50. Fabrica Nuci/nuttechnology.com/Brosuri echipamente/08. Linii complete de procesare/03. Linie industrială pentru procesarea nucilor (200 kg-h).pdf","Deschide sursa")</x:f>
        <x:v>HYPERLINK is not implemented. linkLocation=file:///Z:/00. Proiecte 2025/AFIR FotoVoltaic 1/50. Fabrica Nuci/nuttechnology.com/Brosuri echipamente/08. Linii complete de procesare/03. Linie industrială pentru procesarea nucilor (200 kg-h).pdf, friendlyName=Deschide sursa</x:v>
      </x:c>
    </x:row>
    <x:row r="1634" ht="36" customHeight="1">
      <x:c r="A1634" s="8" t="str">
        <x:v>F1630</x:v>
      </x:c>
      <x:c r="B1634" s="8" t="str">
        <x:v>04. Linie industrială automatizată pentru procesarea nucilor (200 kg-h).pdf</x:v>
      </x:c>
      <x:c r="C1634" s="8" t="str">
        <x:v>50. Fabrica Nuci</x:v>
      </x:c>
      <x:c r="D1634" s="8" t="str">
        <x:v>Context / alte investiții / ghid / audit intern</x:v>
      </x:c>
      <x:c r="E1634" s="8" t="str">
        <x:v>.pdf</x:v>
      </x:c>
      <x:c r="F1634" s="8" t="n">
        <x:v>197669</x:v>
      </x:c>
      <x:c r="G1634" s="8" t="str">
        <x:v>Text extras</x:v>
      </x:c>
      <x:c r="H1634" s="8" t="str">
        <x:v>Document local; transmiterea individuală neconfirmată</x:v>
      </x:c>
      <x:c r="I1634" s="8" t="str"/>
      <x:c r="J1634" s="8" t="e">
        <x:f>HYPERLINK("file:///Z:/00. Proiecte 2025/AFIR FotoVoltaic 1/50. Fabrica Nuci/nuttechnology.com/Brosuri echipamente/08. Linii complete de procesare/04. Linie industrială automatizată pentru procesarea nucilor (200 kg-h).pdf","Deschide sursa")</x:f>
        <x:v>HYPERLINK is not implemented. linkLocation=file:///Z:/00. Proiecte 2025/AFIR FotoVoltaic 1/50. Fabrica Nuci/nuttechnology.com/Brosuri echipamente/08. Linii complete de procesare/04. Linie industrială automatizată pentru procesarea nucilor (200 kg-h).pdf, friendlyName=Deschide sursa</x:v>
      </x:c>
    </x:row>
    <x:row r="1635" ht="36" customHeight="1">
      <x:c r="A1635" s="8" t="str">
        <x:v>F1631</x:v>
      </x:c>
      <x:c r="B1635" s="8" t="str">
        <x:v>05. Linie industrială automatizată de procesare a nucilor, până la 400 kg-h.pdf</x:v>
      </x:c>
      <x:c r="C1635" s="8" t="str">
        <x:v>50. Fabrica Nuci</x:v>
      </x:c>
      <x:c r="D1635" s="8" t="str">
        <x:v>Context / alte investiții / ghid / audit intern</x:v>
      </x:c>
      <x:c r="E1635" s="8" t="str">
        <x:v>.pdf</x:v>
      </x:c>
      <x:c r="F1635" s="8" t="n">
        <x:v>9521919</x:v>
      </x:c>
      <x:c r="G1635" s="8" t="str">
        <x:v>Text extras</x:v>
      </x:c>
      <x:c r="H1635" s="8" t="str">
        <x:v>Document local; transmiterea individuală neconfirmată</x:v>
      </x:c>
      <x:c r="I1635" s="8" t="str"/>
      <x:c r="J1635" s="8" t="e">
        <x:f>HYPERLINK("file:///Z:/00. Proiecte 2025/AFIR FotoVoltaic 1/50. Fabrica Nuci/nuttechnology.com/Brosuri echipamente/08. Linii complete de procesare/05. Linie industrială automatizată de procesare a nucilor, până la 400 kg-h.pdf","Deschide sursa")</x:f>
        <x:v>HYPERLINK is not implemented. linkLocation=file:///Z:/00. Proiecte 2025/AFIR FotoVoltaic 1/50. Fabrica Nuci/nuttechnology.com/Brosuri echipamente/08. Linii complete de procesare/05. Linie industrială automatizată de procesare a nucilor, până la 400 kg-h.pdf, friendlyName=Deschide sursa</x:v>
      </x:c>
    </x:row>
    <x:row r="1636" ht="36" customHeight="1">
      <x:c r="A1636" s="8" t="str">
        <x:v>F1632</x:v>
      </x:c>
      <x:c r="B1636" s="8" t="str">
        <x:v>06. Linie industrială pentru procesarea alunelor (200 kg-h).pdf</x:v>
      </x:c>
      <x:c r="C1636" s="8" t="str">
        <x:v>50. Fabrica Nuci</x:v>
      </x:c>
      <x:c r="D1636" s="8" t="str">
        <x:v>Context / alte investiții / ghid / audit intern</x:v>
      </x:c>
      <x:c r="E1636" s="8" t="str">
        <x:v>.pdf</x:v>
      </x:c>
      <x:c r="F1636" s="8" t="n">
        <x:v>944153</x:v>
      </x:c>
      <x:c r="G1636" s="8" t="str">
        <x:v>Text extras</x:v>
      </x:c>
      <x:c r="H1636" s="8" t="str">
        <x:v>Document local; transmiterea individuală neconfirmată</x:v>
      </x:c>
      <x:c r="I1636" s="8" t="str"/>
      <x:c r="J1636" s="8" t="e">
        <x:f>HYPERLINK("file:///Z:/00. Proiecte 2025/AFIR FotoVoltaic 1/50. Fabrica Nuci/nuttechnology.com/Brosuri echipamente/08. Linii complete de procesare/06. Linie industrială pentru procesarea alunelor (200 kg-h).pdf","Deschide sursa")</x:f>
        <x:v>HYPERLINK is not implemented. linkLocation=file:///Z:/00. Proiecte 2025/AFIR FotoVoltaic 1/50. Fabrica Nuci/nuttechnology.com/Brosuri echipamente/08. Linii complete de procesare/06. Linie industrială pentru procesarea alunelor (200 kg-h).pdf, friendlyName=Deschide sursa</x:v>
      </x:c>
    </x:row>
    <x:row r="1637" ht="36" customHeight="1">
      <x:c r="A1637" s="8" t="str">
        <x:v>F1633</x:v>
      </x:c>
      <x:c r="B1637" s="8" t="str">
        <x:v>07. Complex industrial pentru procesarea alunelor (200 kg-h).pdf</x:v>
      </x:c>
      <x:c r="C1637" s="8" t="str">
        <x:v>50. Fabrica Nuci</x:v>
      </x:c>
      <x:c r="D1637" s="8" t="str">
        <x:v>Context / alte investiții / ghid / audit intern</x:v>
      </x:c>
      <x:c r="E1637" s="8" t="str">
        <x:v>.pdf</x:v>
      </x:c>
      <x:c r="F1637" s="8" t="n">
        <x:v>272929</x:v>
      </x:c>
      <x:c r="G1637" s="8" t="str">
        <x:v>Text extras</x:v>
      </x:c>
      <x:c r="H1637" s="8" t="str">
        <x:v>Document local; transmiterea individuală neconfirmată</x:v>
      </x:c>
      <x:c r="I1637" s="8" t="str"/>
      <x:c r="J1637" s="8" t="e">
        <x:f>HYPERLINK("file:///Z:/00. Proiecte 2025/AFIR FotoVoltaic 1/50. Fabrica Nuci/nuttechnology.com/Brosuri echipamente/08. Linii complete de procesare/07. Complex industrial pentru procesarea alunelor (200 kg-h).pdf","Deschide sursa")</x:f>
        <x:v>HYPERLINK is not implemented. linkLocation=file:///Z:/00. Proiecte 2025/AFIR FotoVoltaic 1/50. Fabrica Nuci/nuttechnology.com/Brosuri echipamente/08. Linii complete de procesare/07. Complex industrial pentru procesarea alunelor (200 kg-h).pdf, friendlyName=Deschide sursa</x:v>
      </x:c>
    </x:row>
    <x:row r="1638" ht="36" customHeight="1">
      <x:c r="A1638" s="8" t="str">
        <x:v>F1634</x:v>
      </x:c>
      <x:c r="B1638" s="8" t="str">
        <x:v>08. Linie industrială pentru procesarea migdalelor (200 kg-h).pdf</x:v>
      </x:c>
      <x:c r="C1638" s="8" t="str">
        <x:v>50. Fabrica Nuci</x:v>
      </x:c>
      <x:c r="D1638" s="8" t="str">
        <x:v>Context / alte investiții / ghid / audit intern</x:v>
      </x:c>
      <x:c r="E1638" s="8" t="str">
        <x:v>.pdf</x:v>
      </x:c>
      <x:c r="F1638" s="8" t="n">
        <x:v>374656</x:v>
      </x:c>
      <x:c r="G1638" s="8" t="str">
        <x:v>Text extras</x:v>
      </x:c>
      <x:c r="H1638" s="8" t="str">
        <x:v>Document local; transmiterea individuală neconfirmată</x:v>
      </x:c>
      <x:c r="I1638" s="8" t="str"/>
      <x:c r="J1638" s="8" t="e">
        <x:f>HYPERLINK("file:///Z:/00. Proiecte 2025/AFIR FotoVoltaic 1/50. Fabrica Nuci/nuttechnology.com/Brosuri echipamente/08. Linii complete de procesare/08. Linie industrială pentru procesarea migdalelor (200 kg-h).pdf","Deschide sursa")</x:f>
        <x:v>HYPERLINK is not implemented. linkLocation=file:///Z:/00. Proiecte 2025/AFIR FotoVoltaic 1/50. Fabrica Nuci/nuttechnology.com/Brosuri echipamente/08. Linii complete de procesare/08. Linie industrială pentru procesarea migdalelor (200 kg-h).pdf, friendlyName=Deschide sursa</x:v>
      </x:c>
    </x:row>
    <x:row r="1639" ht="36" customHeight="1">
      <x:c r="A1639" s="8" t="str">
        <x:v>F1635</x:v>
      </x:c>
      <x:c r="B1639" s="8" t="str">
        <x:v>09. Complex industrial pentru procesarea migdalelor (200 kg-h).pdf</x:v>
      </x:c>
      <x:c r="C1639" s="8" t="str">
        <x:v>50. Fabrica Nuci</x:v>
      </x:c>
      <x:c r="D1639" s="8" t="str">
        <x:v>Context / alte investiții / ghid / audit intern</x:v>
      </x:c>
      <x:c r="E1639" s="8" t="str">
        <x:v>.pdf</x:v>
      </x:c>
      <x:c r="F1639" s="8" t="n">
        <x:v>374656</x:v>
      </x:c>
      <x:c r="G1639" s="8" t="str">
        <x:v>Text extras</x:v>
      </x:c>
      <x:c r="H1639" s="8" t="str">
        <x:v>Document local; transmiterea individuală neconfirmată</x:v>
      </x:c>
      <x:c r="I1639" s="8" t="str">
        <x:v>F1634</x:v>
      </x:c>
      <x:c r="J1639" s="8" t="e">
        <x:f>HYPERLINK("file:///Z:/00. Proiecte 2025/AFIR FotoVoltaic 1/50. Fabrica Nuci/nuttechnology.com/Brosuri echipamente/08. Linii complete de procesare/09. Complex industrial pentru procesarea migdalelor (200 kg-h).pdf","Deschide sursa")</x:f>
        <x:v>HYPERLINK is not implemented. linkLocation=file:///Z:/00. Proiecte 2025/AFIR FotoVoltaic 1/50. Fabrica Nuci/nuttechnology.com/Brosuri echipamente/08. Linii complete de procesare/09. Complex industrial pentru procesarea migdalelor (200 kg-h).pdf, friendlyName=Deschide sursa</x:v>
      </x:c>
    </x:row>
    <x:row r="1640" ht="36" customHeight="1">
      <x:c r="A1640" s="8" t="str">
        <x:v>F1636</x:v>
      </x:c>
      <x:c r="B1640" s="8" t="str">
        <x:v>Fise electrice propuse - toate utilajele - CESIRO PRODUCTION - 2026.09.29.pdf</x:v>
      </x:c>
      <x:c r="C1640" s="8" t="str">
        <x:v>50. Fabrica Nuci</x:v>
      </x:c>
      <x:c r="D1640" s="8" t="str">
        <x:v>Context / alte investiții / ghid / audit intern</x:v>
      </x:c>
      <x:c r="E1640" s="8" t="str">
        <x:v>.pdf</x:v>
      </x:c>
      <x:c r="F1640" s="8" t="n">
        <x:v>186520</x:v>
      </x:c>
      <x:c r="G1640" s="8" t="str">
        <x:v>Text extras</x:v>
      </x:c>
      <x:c r="H1640" s="8" t="str">
        <x:v>Document local; transmiterea individuală neconfirmată</x:v>
      </x:c>
      <x:c r="I1640" s="8" t="str"/>
      <x:c r="J1640" s="8" t="e">
        <x:f>HYPERLINK("file:///Z:/00. Proiecte 2025/AFIR FotoVoltaic 1/50. Fabrica Nuci/TechnoMS/Fise electrice propuse/Fise electrice propuse - toate utilajele - CESIRO PRODUCTION - 2026.09.29.pdf","Deschide sursa")</x:f>
        <x:v>HYPERLINK is not implemented. linkLocation=file:///Z:/00. Proiecte 2025/AFIR FotoVoltaic 1/50. Fabrica Nuci/TechnoMS/Fise electrice propuse/Fise electrice propuse - toate utilajele - CESIRO PRODUCTION - 2026.09.29.pdf, friendlyName=Deschide sursa</x:v>
      </x:c>
    </x:row>
    <x:row r="1641" ht="50" customHeight="1">
      <x:c r="A1641" s="8" t="str">
        <x:v>F1637</x:v>
      </x:c>
      <x:c r="B1641" s="8" t="str">
        <x:v>Fisa electrica propusa - Poz 1 - Mașină industrială de spălat nuci 1 t-h.pdf</x:v>
      </x:c>
      <x:c r="C1641" s="8" t="str">
        <x:v>50. Fabrica Nuci</x:v>
      </x:c>
      <x:c r="D1641" s="8" t="str">
        <x:v>Context / alte investiții / ghid / audit intern</x:v>
      </x:c>
      <x:c r="E1641" s="8" t="str">
        <x:v>.pdf</x:v>
      </x:c>
      <x:c r="F1641" s="8" t="n">
        <x:v>85088</x:v>
      </x:c>
      <x:c r="G1641" s="8" t="str">
        <x:v>Text extras</x:v>
      </x:c>
      <x:c r="H1641" s="8" t="str">
        <x:v>Document local; transmiterea individuală neconfirmată</x:v>
      </x:c>
      <x:c r="I1641" s="8" t="str"/>
      <x:c r="J1641" s="8" t="e">
        <x:f>HYPERLINK("file:///Z:/00. Proiecte 2025/AFIR FotoVoltaic 1/50. Fabrica Nuci/TechnoMS/Fise electrice propuse/01 - Poz 1 - Mașină industrială de spălat nuci 1 t-h/Fisa electrica propusa - Poz 1 - Mașină industrială de spălat nuci 1 t-h.pdf","Deschide sursa")</x:f>
        <x:v>HYPERLINK is not implemented. linkLocation=file:///Z:/00. Proiecte 2025/AFIR FotoVoltaic 1/50. Fabrica Nuci/TechnoMS/Fise electrice propuse/01 - Poz 1 - Mașină industrială de spălat nuci 1 t-h/Fisa electrica propusa - Poz 1 - Mașină industrială de spălat nuci 1 t-h.pdf, friendlyName=Deschide sursa</x:v>
      </x:c>
    </x:row>
    <x:row r="1642" ht="50" customHeight="1">
      <x:c r="A1642" s="8" t="str">
        <x:v>F1638</x:v>
      </x:c>
      <x:c r="B1642" s="8" t="str">
        <x:v>Fisa electrica propusa - Poz 2 - Bandă de alimentare mașină de spălat 4 t-h.pdf</x:v>
      </x:c>
      <x:c r="C1642" s="8" t="str">
        <x:v>50. Fabrica Nuci</x:v>
      </x:c>
      <x:c r="D1642" s="8" t="str">
        <x:v>Context / alte investiții / ghid / audit intern</x:v>
      </x:c>
      <x:c r="E1642" s="8" t="str">
        <x:v>.pdf</x:v>
      </x:c>
      <x:c r="F1642" s="8" t="n">
        <x:v>82324</x:v>
      </x:c>
      <x:c r="G1642" s="8" t="str">
        <x:v>Text extras</x:v>
      </x:c>
      <x:c r="H1642" s="8" t="str">
        <x:v>Document local; transmiterea individuală neconfirmată</x:v>
      </x:c>
      <x:c r="I1642" s="8" t="str"/>
      <x:c r="J1642" s="8" t="e">
        <x:f>HYPERLINK("file:///Z:/00. Proiecte 2025/AFIR FotoVoltaic 1/50. Fabrica Nuci/TechnoMS/Fise electrice propuse/02 - Poz 2 - Bandă de alimentare mașină de spălat 4 t-h/Fisa electrica propusa - Poz 2 - Bandă de alimentare mașină de spălat 4 t-h.pdf","Deschide sursa")</x:f>
        <x:v>HYPERLINK is not implemented. linkLocation=file:///Z:/00. Proiecte 2025/AFIR FotoVoltaic 1/50. Fabrica Nuci/TechnoMS/Fise electrice propuse/02 - Poz 2 - Bandă de alimentare mașină de spălat 4 t-h/Fisa electrica propusa - Poz 2 - Bandă de alimentare mașină de spălat 4 t-h.pdf, friendlyName=Deschide sursa</x:v>
      </x:c>
    </x:row>
    <x:row r="1643" ht="50" customHeight="1">
      <x:c r="A1643" s="8" t="str">
        <x:v>F1639</x:v>
      </x:c>
      <x:c r="B1643" s="8" t="str">
        <x:v>Fisa electrica propusa - Poz 3 - Elevator Noria încărcare-descărcare 4 t-h.pdf</x:v>
      </x:c>
      <x:c r="C1643" s="8" t="str">
        <x:v>50. Fabrica Nuci</x:v>
      </x:c>
      <x:c r="D1643" s="8" t="str">
        <x:v>Context / alte investiții / ghid / audit intern</x:v>
      </x:c>
      <x:c r="E1643" s="8" t="str">
        <x:v>.pdf</x:v>
      </x:c>
      <x:c r="F1643" s="8" t="n">
        <x:v>84559</x:v>
      </x:c>
      <x:c r="G1643" s="8" t="str">
        <x:v>Text extras</x:v>
      </x:c>
      <x:c r="H1643" s="8" t="str">
        <x:v>Document local; transmiterea individuală neconfirmată</x:v>
      </x:c>
      <x:c r="I1643" s="8" t="str"/>
      <x:c r="J1643" s="8" t="e">
        <x:f>HYPERLINK("file:///Z:/00. Proiecte 2025/AFIR FotoVoltaic 1/50. Fabrica Nuci/TechnoMS/Fise electrice propuse/03 - Poz 3 - Elevator Noria încărcare-descărcare 4 t-h/Fisa electrica propusa - Poz 3 - Elevator Noria încărcare-descărcare 4 t-h.pdf","Deschide sursa")</x:f>
        <x:v>HYPERLINK is not implemented. linkLocation=file:///Z:/00. Proiecte 2025/AFIR FotoVoltaic 1/50. Fabrica Nuci/TechnoMS/Fise electrice propuse/03 - Poz 3 - Elevator Noria încărcare-descărcare 4 t-h/Fisa electrica propusa - Poz 3 - Elevator Noria încărcare-descărcare 4 t-h.pdf, friendlyName=Deschide sursa</x:v>
      </x:c>
    </x:row>
    <x:row r="1644" ht="50" customHeight="1">
      <x:c r="A1644" s="8" t="str">
        <x:v>F1640</x:v>
      </x:c>
      <x:c r="B1644" s="8" t="str">
        <x:v>Fisa electrica propusa - Poz 4a - Uscător nuci în coajă 4 t-24 h – nr. 1.pdf</x:v>
      </x:c>
      <x:c r="C1644" s="8" t="str">
        <x:v>50. Fabrica Nuci</x:v>
      </x:c>
      <x:c r="D1644" s="8" t="str">
        <x:v>Context / alte investiții / ghid / audit intern</x:v>
      </x:c>
      <x:c r="E1644" s="8" t="str">
        <x:v>.pdf</x:v>
      </x:c>
      <x:c r="F1644" s="8" t="n">
        <x:v>87391</x:v>
      </x:c>
      <x:c r="G1644" s="8" t="str">
        <x:v>Text extras</x:v>
      </x:c>
      <x:c r="H1644" s="8" t="str">
        <x:v>Document local; transmiterea individuală neconfirmată</x:v>
      </x:c>
      <x:c r="I1644" s="8" t="str"/>
      <x:c r="J1644" s="8" t="e">
        <x:f>HYPERLINK("file:///Z:/00. Proiecte 2025/AFIR FotoVoltaic 1/50. Fabrica Nuci/TechnoMS/Fise electrice propuse/04 - Poz 4a - Uscător nuci în coajă 4 t-24 h – nr. 1/Fisa electrica propusa - Poz 4a - Uscător nuci în coajă 4 t-24 h – nr. 1.pdf","Deschide sursa")</x:f>
        <x:v>HYPERLINK is not implemented. linkLocation=file:///Z:/00. Proiecte 2025/AFIR FotoVoltaic 1/50. Fabrica Nuci/TechnoMS/Fise electrice propuse/04 - Poz 4a - Uscător nuci în coajă 4 t-24 h – nr. 1/Fisa electrica propusa - Poz 4a - Uscător nuci în coajă 4 t-24 h – nr. 1.pdf, friendlyName=Deschide sursa</x:v>
      </x:c>
    </x:row>
    <x:row r="1645" ht="50" customHeight="1">
      <x:c r="A1645" s="8" t="str">
        <x:v>F1641</x:v>
      </x:c>
      <x:c r="B1645" s="8" t="str">
        <x:v>Fisa electrica propusa - Poz 4b - Uscător nuci în coajă 4 t-24 h – nr. 2.pdf</x:v>
      </x:c>
      <x:c r="C1645" s="8" t="str">
        <x:v>50. Fabrica Nuci</x:v>
      </x:c>
      <x:c r="D1645" s="8" t="str">
        <x:v>Context / alte investiții / ghid / audit intern</x:v>
      </x:c>
      <x:c r="E1645" s="8" t="str">
        <x:v>.pdf</x:v>
      </x:c>
      <x:c r="F1645" s="8" t="n">
        <x:v>87274</x:v>
      </x:c>
      <x:c r="G1645" s="8" t="str">
        <x:v>Text extras</x:v>
      </x:c>
      <x:c r="H1645" s="8" t="str">
        <x:v>Document local; transmiterea individuală neconfirmată</x:v>
      </x:c>
      <x:c r="I1645" s="8" t="str"/>
      <x:c r="J1645" s="8" t="e">
        <x:f>HYPERLINK("file:///Z:/00. Proiecte 2025/AFIR FotoVoltaic 1/50. Fabrica Nuci/TechnoMS/Fise electrice propuse/05 - Poz 4b - Uscător nuci în coajă 4 t-24 h – nr. 2/Fisa electrica propusa - Poz 4b - Uscător nuci în coajă 4 t-24 h – nr. 2.pdf","Deschide sursa")</x:f>
        <x:v>HYPERLINK is not implemented. linkLocation=file:///Z:/00. Proiecte 2025/AFIR FotoVoltaic 1/50. Fabrica Nuci/TechnoMS/Fise electrice propuse/05 - Poz 4b - Uscător nuci în coajă 4 t-24 h – nr. 2/Fisa electrica propusa - Poz 4b - Uscător nuci în coajă 4 t-24 h – nr. 2.pdf, friendlyName=Deschide sursa</x:v>
      </x:c>
    </x:row>
    <x:row r="1646" ht="50" customHeight="1">
      <x:c r="A1646" s="8" t="str">
        <x:v>F1642</x:v>
      </x:c>
      <x:c r="B1646" s="8" t="str">
        <x:v>Fisa electrica propusa - Poz 5 - Calibrator nuci 8 fracții 500 kg-h.pdf</x:v>
      </x:c>
      <x:c r="C1646" s="8" t="str">
        <x:v>50. Fabrica Nuci</x:v>
      </x:c>
      <x:c r="D1646" s="8" t="str">
        <x:v>Context / alte investiții / ghid / audit intern</x:v>
      </x:c>
      <x:c r="E1646" s="8" t="str">
        <x:v>.pdf</x:v>
      </x:c>
      <x:c r="F1646" s="8" t="n">
        <x:v>84595</x:v>
      </x:c>
      <x:c r="G1646" s="8" t="str">
        <x:v>Text extras</x:v>
      </x:c>
      <x:c r="H1646" s="8" t="str">
        <x:v>Document local; transmiterea individuală neconfirmată</x:v>
      </x:c>
      <x:c r="I1646" s="8" t="str"/>
      <x:c r="J1646" s="8" t="e">
        <x:f>HYPERLINK("file:///Z:/00. Proiecte 2025/AFIR FotoVoltaic 1/50. Fabrica Nuci/TechnoMS/Fise electrice propuse/06 - Poz 5 - Calibrator nuci 8 fracții 500 kg-h/Fisa electrica propusa - Poz 5 - Calibrator nuci 8 fracții 500 kg-h.pdf","Deschide sursa")</x:f>
        <x:v>HYPERLINK is not implemented. linkLocation=file:///Z:/00. Proiecte 2025/AFIR FotoVoltaic 1/50. Fabrica Nuci/TechnoMS/Fise electrice propuse/06 - Poz 5 - Calibrator nuci 8 fracții 500 kg-h/Fisa electrica propusa - Poz 5 - Calibrator nuci 8 fracții 500 kg-h.pdf, friendlyName=Deschide sursa</x:v>
      </x:c>
    </x:row>
    <x:row r="1647" ht="50" customHeight="1">
      <x:c r="A1647" s="8" t="str">
        <x:v>F1643</x:v>
      </x:c>
      <x:c r="B1647" s="8" t="str">
        <x:v>Fisa electrica propusa - Poz 8a - Transportor elevator calibrator → linie de spargere.pdf</x:v>
      </x:c>
      <x:c r="C1647" s="8" t="str">
        <x:v>50. Fabrica Nuci</x:v>
      </x:c>
      <x:c r="D1647" s="8" t="str">
        <x:v>Context / alte investiții / ghid / audit intern</x:v>
      </x:c>
      <x:c r="E1647" s="8" t="str">
        <x:v>.pdf</x:v>
      </x:c>
      <x:c r="F1647" s="8" t="n">
        <x:v>82418</x:v>
      </x:c>
      <x:c r="G1647" s="8" t="str">
        <x:v>Text extras</x:v>
      </x:c>
      <x:c r="H1647" s="8" t="str">
        <x:v>Document local; transmiterea individuală neconfirmată</x:v>
      </x:c>
      <x:c r="I1647" s="8" t="str"/>
      <x:c r="J1647" s="8" t="e">
        <x:f>HYPERLINK("file:///Z:/00. Proiecte 2025/AFIR FotoVoltaic 1/50. Fabrica Nuci/TechnoMS/Fise electrice propuse/07 - Poz 8a - Transportor elevator calibrator → linie de spargere/Fisa electrica propusa - Poz 8a - Transportor elevator calibrator → linie de spargere.pdf","Deschide sursa")</x:f>
        <x:v>HYPERLINK is not implemented. linkLocation=file:///Z:/00. Proiecte 2025/AFIR FotoVoltaic 1/50. Fabrica Nuci/TechnoMS/Fise electrice propuse/07 - Poz 8a - Transportor elevator calibrator → linie de spargere/Fisa electrica propusa - Poz 8a - Transportor elevator calibrator → linie de spargere.pdf, friendlyName=Deschide sursa</x:v>
      </x:c>
    </x:row>
    <x:row r="1648" ht="50" customHeight="1">
      <x:c r="A1648" s="8" t="str">
        <x:v>F1644</x:v>
      </x:c>
      <x:c r="B1648" s="8" t="str">
        <x:v>Fisa electrica propusa - Poz 6 - Linie automatizată de procesare nuci 400 kg-h.pdf</x:v>
      </x:c>
      <x:c r="C1648" s="8" t="str">
        <x:v>50. Fabrica Nuci</x:v>
      </x:c>
      <x:c r="D1648" s="8" t="str">
        <x:v>Context / alte investiții / ghid / audit intern</x:v>
      </x:c>
      <x:c r="E1648" s="8" t="str">
        <x:v>.pdf</x:v>
      </x:c>
      <x:c r="F1648" s="8" t="n">
        <x:v>92921</x:v>
      </x:c>
      <x:c r="G1648" s="8" t="str">
        <x:v>Text extras</x:v>
      </x:c>
      <x:c r="H1648" s="8" t="str">
        <x:v>Document local; transmiterea individuală neconfirmată</x:v>
      </x:c>
      <x:c r="I1648" s="8" t="str"/>
      <x:c r="J1648" s="8" t="e">
        <x:f>HYPERLINK("file:///Z:/00. Proiecte 2025/AFIR FotoVoltaic 1/50. Fabrica Nuci/TechnoMS/Fise electrice propuse/08 - Poz 6 - Linie automatizată de procesare nuci 400 kg-h/Fisa electrica propusa - Poz 6 - Linie automatizată de procesare nuci 400 kg-h.pdf","Deschide sursa")</x:f>
        <x:v>HYPERLINK is not implemented. linkLocation=file:///Z:/00. Proiecte 2025/AFIR FotoVoltaic 1/50. Fabrica Nuci/TechnoMS/Fise electrice propuse/08 - Poz 6 - Linie automatizată de procesare nuci 400 kg-h/Fisa electrica propusa - Poz 6 - Linie automatizată de procesare nuci 400 kg-h.pdf, friendlyName=Deschide sursa</x:v>
      </x:c>
    </x:row>
    <x:row r="1649" ht="50" customHeight="1">
      <x:c r="A1649" s="8" t="str">
        <x:v>F1645</x:v>
      </x:c>
      <x:c r="B1649" s="8" t="str">
        <x:v>Fisa electrica propusa - Poz 7 - Spărgător 200 kg-h cu coloană de aspirație (al 3-lea).pdf</x:v>
      </x:c>
      <x:c r="C1649" s="8" t="str">
        <x:v>50. Fabrica Nuci</x:v>
      </x:c>
      <x:c r="D1649" s="8" t="str">
        <x:v>Context / alte investiții / ghid / audit intern</x:v>
      </x:c>
      <x:c r="E1649" s="8" t="str">
        <x:v>.pdf</x:v>
      </x:c>
      <x:c r="F1649" s="8" t="n">
        <x:v>83027</x:v>
      </x:c>
      <x:c r="G1649" s="8" t="str">
        <x:v>Text extras</x:v>
      </x:c>
      <x:c r="H1649" s="8" t="str">
        <x:v>Document local; transmiterea individuală neconfirmată</x:v>
      </x:c>
      <x:c r="I1649" s="8" t="str"/>
      <x:c r="J1649" s="8" t="e">
        <x:f>HYPERLINK("file:///Z:/00. Proiecte 2025/AFIR FotoVoltaic 1/50. Fabrica Nuci/TechnoMS/Fise electrice propuse/09 - Poz 7 - Spărgător 200 kg-h cu coloană de aspirație (al 3-lea)/Fisa electrica propusa - Poz 7 - Spărgător 200 kg-h cu coloană de aspirație (al 3-lea).pdf","Deschide sursa")</x:f>
        <x:v>HYPERLINK is not implemented. linkLocation=file:///Z:/00. Proiecte 2025/AFIR FotoVoltaic 1/50. Fabrica Nuci/TechnoMS/Fise electrice propuse/09 - Poz 7 - Spărgător 200 kg-h cu coloană de aspirație (al 3-lea)/Fisa electrica propusa - Poz 7 - Spărgător 200 kg-h cu coloană de aspirație (al 3-lea).pdf, friendlyName=Deschide sursa</x:v>
      </x:c>
    </x:row>
    <x:row r="1650" ht="50" customHeight="1">
      <x:c r="A1650" s="8" t="str">
        <x:v>F1646</x:v>
      </x:c>
      <x:c r="B1650" s="8" t="str">
        <x:v>Fisa electrica propusa - Poz 8b - Transportor elevator linie → sortator optic.pdf</x:v>
      </x:c>
      <x:c r="C1650" s="8" t="str">
        <x:v>50. Fabrica Nuci</x:v>
      </x:c>
      <x:c r="D1650" s="8" t="str">
        <x:v>Context / alte investiții / ghid / audit intern</x:v>
      </x:c>
      <x:c r="E1650" s="8" t="str">
        <x:v>.pdf</x:v>
      </x:c>
      <x:c r="F1650" s="8" t="n">
        <x:v>82581</x:v>
      </x:c>
      <x:c r="G1650" s="8" t="str">
        <x:v>Text extras</x:v>
      </x:c>
      <x:c r="H1650" s="8" t="str">
        <x:v>Document local; transmiterea individuală neconfirmată</x:v>
      </x:c>
      <x:c r="I1650" s="8" t="str"/>
      <x:c r="J1650" s="8" t="e">
        <x:f>HYPERLINK("file:///Z:/00. Proiecte 2025/AFIR FotoVoltaic 1/50. Fabrica Nuci/TechnoMS/Fise electrice propuse/10 - Poz 8b - Transportor elevator linie → sortator optic/Fisa electrica propusa - Poz 8b - Transportor elevator linie → sortator optic.pdf","Deschide sursa")</x:f>
        <x:v>HYPERLINK is not implemented. linkLocation=file:///Z:/00. Proiecte 2025/AFIR FotoVoltaic 1/50. Fabrica Nuci/TechnoMS/Fise electrice propuse/10 - Poz 8b - Transportor elevator linie → sortator optic/Fisa electrica propusa - Poz 8b - Transportor elevator linie → sortator optic.pdf, friendlyName=Deschide sursa</x:v>
      </x:c>
    </x:row>
    <x:row r="1651" ht="36" customHeight="1">
      <x:c r="A1651" s="8" t="str">
        <x:v>F1647</x:v>
      </x:c>
      <x:c r="B1651" s="8" t="str">
        <x:v>Fisa electrica propusa - Poz 9 - Sortator optic cu bandă M600.pdf</x:v>
      </x:c>
      <x:c r="C1651" s="8" t="str">
        <x:v>50. Fabrica Nuci</x:v>
      </x:c>
      <x:c r="D1651" s="8" t="str">
        <x:v>Context / alte investiții / ghid / audit intern</x:v>
      </x:c>
      <x:c r="E1651" s="8" t="str">
        <x:v>.pdf</x:v>
      </x:c>
      <x:c r="F1651" s="8" t="n">
        <x:v>83072</x:v>
      </x:c>
      <x:c r="G1651" s="8" t="str">
        <x:v>Text extras</x:v>
      </x:c>
      <x:c r="H1651" s="8" t="str">
        <x:v>Document local; transmiterea individuală neconfirmată</x:v>
      </x:c>
      <x:c r="I1651" s="8" t="str"/>
      <x:c r="J1651" s="8" t="e">
        <x:f>HYPERLINK("file:///Z:/00. Proiecte 2025/AFIR FotoVoltaic 1/50. Fabrica Nuci/TechnoMS/Fise electrice propuse/11 - Poz 9 - Sortator optic cu bandă M600/Fisa electrica propusa - Poz 9 - Sortator optic cu bandă M600.pdf","Deschide sursa")</x:f>
        <x:v>HYPERLINK is not implemented. linkLocation=file:///Z:/00. Proiecte 2025/AFIR FotoVoltaic 1/50. Fabrica Nuci/TechnoMS/Fise electrice propuse/11 - Poz 9 - Sortator optic cu bandă M600/Fisa electrica propusa - Poz 9 - Sortator optic cu bandă M600.pdf, friendlyName=Deschide sursa</x:v>
      </x:c>
    </x:row>
    <x:row r="1652" ht="50" customHeight="1">
      <x:c r="A1652" s="8" t="str">
        <x:v>F1648</x:v>
      </x:c>
      <x:c r="B1652" s="8" t="str">
        <x:v>Fisa electrica propusa - Poz 10 - Masă de inspecție cu bandă pe două niveluri.pdf</x:v>
      </x:c>
      <x:c r="C1652" s="8" t="str">
        <x:v>50. Fabrica Nuci</x:v>
      </x:c>
      <x:c r="D1652" s="8" t="str">
        <x:v>Context / alte investiții / ghid / audit intern</x:v>
      </x:c>
      <x:c r="E1652" s="8" t="str">
        <x:v>.pdf</x:v>
      </x:c>
      <x:c r="F1652" s="8" t="n">
        <x:v>83303</x:v>
      </x:c>
      <x:c r="G1652" s="8" t="str">
        <x:v>Text extras</x:v>
      </x:c>
      <x:c r="H1652" s="8" t="str">
        <x:v>Document local; transmiterea individuală neconfirmată</x:v>
      </x:c>
      <x:c r="I1652" s="8" t="str"/>
      <x:c r="J1652" s="8" t="e">
        <x:f>HYPERLINK("file:///Z:/00. Proiecte 2025/AFIR FotoVoltaic 1/50. Fabrica Nuci/TechnoMS/Fise electrice propuse/12 - Poz 10 - Masă de inspecție cu bandă pe două niveluri/Fisa electrica propusa - Poz 10 - Masă de inspecție cu bandă pe două niveluri.pdf","Deschide sursa")</x:f>
        <x:v>HYPERLINK is not implemented. linkLocation=file:///Z:/00. Proiecte 2025/AFIR FotoVoltaic 1/50. Fabrica Nuci/TechnoMS/Fise electrice propuse/12 - Poz 10 - Masă de inspecție cu bandă pe două niveluri/Fisa electrica propusa - Poz 10 - Masă de inspecție cu bandă pe două niveluri.pdf, friendlyName=Deschide sursa</x:v>
      </x:c>
    </x:row>
    <x:row r="1653" ht="36" customHeight="1">
      <x:c r="A1653" s="8" t="str">
        <x:v>F1649</x:v>
      </x:c>
      <x:c r="B1653" s="8" t="str">
        <x:v>01_Email_AFIR_15-10-2026.pdf</x:v>
      </x:c>
      <x:c r="C1653" s="8" t="str">
        <x:v>Comunicatii oficiale AFIR</x:v>
      </x:c>
      <x:c r="D1653" s="8" t="str">
        <x:v>Proiect fotovoltaic</x:v>
      </x:c>
      <x:c r="E1653" s="8" t="str">
        <x:v>.pdf</x:v>
      </x:c>
      <x:c r="F1653" s="8" t="n">
        <x:v>75806</x:v>
      </x:c>
      <x:c r="G1653" s="8" t="str">
        <x:v>Text extras</x:v>
      </x:c>
      <x:c r="H1653" s="8" t="str">
        <x:v>Document local; transmiterea individuală neconfirmată</x:v>
      </x:c>
      <x:c r="I1653" s="8" t="str"/>
      <x:c r="J1653" s="8" t="e">
        <x:f>HYPERLINK("file:///Z:/00. Proiecte 2025/AFIR FotoVoltaic 1/Comunicatii oficiale AFIR/2026-10-15 Solicitare 961 - transa 1/01_Email_AFIR_15-10-2026.pdf","Deschide sursa")</x:f>
        <x:v>HYPERLINK is not implemented. linkLocation=file:///Z:/00. Proiecte 2025/AFIR FotoVoltaic 1/Comunicatii oficiale AFIR/2026-10-15 Solicitare 961 - transa 1/01_Email_AFIR_15-10-2026.pdf, friendlyName=Deschide sursa</x:v>
      </x:c>
    </x:row>
    <x:row r="1654" ht="36" customHeight="1">
      <x:c r="A1654" s="8" t="str">
        <x:v>F1650</x:v>
      </x:c>
      <x:c r="B1654" s="8" t="str">
        <x:v>02_Proiect_raspuns_AFIR_961.pdf</x:v>
      </x:c>
      <x:c r="C1654" s="8" t="str">
        <x:v>Comunicatii oficiale AFIR</x:v>
      </x:c>
      <x:c r="D1654" s="8" t="str">
        <x:v>Proiect fotovoltaic</x:v>
      </x:c>
      <x:c r="E1654" s="8" t="str">
        <x:v>.pdf</x:v>
      </x:c>
      <x:c r="F1654" s="8" t="n">
        <x:v>76202</x:v>
      </x:c>
      <x:c r="G1654" s="8" t="str">
        <x:v>Text extras</x:v>
      </x:c>
      <x:c r="H1654" s="8" t="str">
        <x:v>Proiect răspuns; netransmis conform notei locale</x:v>
      </x:c>
      <x:c r="I1654" s="8" t="str"/>
      <x:c r="J1654" s="8" t="e">
        <x:f>HYPERLINK("file:///Z:/00. Proiecte 2025/AFIR FotoVoltaic 1/Comunicatii oficiale AFIR/2026-10-15 Solicitare 961 - transa 1/02_Proiect_raspuns_AFIR_961.pdf","Deschide sursa")</x:f>
        <x:v>HYPERLINK is not implemented. linkLocation=file:///Z:/00. Proiecte 2025/AFIR FotoVoltaic 1/Comunicatii oficiale AFIR/2026-10-15 Solicitare 961 - transa 1/02_Proiect_raspuns_AFIR_961.pdf, friendlyName=Deschide sursa</x:v>
      </x:c>
    </x:row>
    <x:row r="1655" ht="36" customHeight="1">
      <x:c r="A1655" s="8" t="str">
        <x:v>F1651</x:v>
      </x:c>
      <x:c r="B1655" s="8" t="str">
        <x:v>02_Proiect_raspuns_AFIR_961.txt</x:v>
      </x:c>
      <x:c r="C1655" s="8" t="str">
        <x:v>Comunicatii oficiale AFIR</x:v>
      </x:c>
      <x:c r="D1655" s="8" t="str">
        <x:v>Proiect fotovoltaic</x:v>
      </x:c>
      <x:c r="E1655" s="8" t="str">
        <x:v>.txt</x:v>
      </x:c>
      <x:c r="F1655" s="8" t="n">
        <x:v>2176</x:v>
      </x:c>
      <x:c r="G1655" s="8" t="str">
        <x:v>Text extras</x:v>
      </x:c>
      <x:c r="H1655" s="8" t="str">
        <x:v>Proiect răspuns; netransmis conform notei locale</x:v>
      </x:c>
      <x:c r="I1655" s="8" t="str"/>
      <x:c r="J1655" s="8" t="e">
        <x:f>HYPERLINK("file:///Z:/00. Proiecte 2025/AFIR FotoVoltaic 1/Comunicatii oficiale AFIR/2026-10-15 Solicitare 961 - transa 1/02_Proiect_raspuns_AFIR_961.txt","Deschide sursa")</x:f>
        <x:v>HYPERLINK is not implemented. linkLocation=file:///Z:/00. Proiecte 2025/AFIR FotoVoltaic 1/Comunicatii oficiale AFIR/2026-10-15 Solicitare 961 - transa 1/02_Proiect_raspuns_AFIR_961.txt, friendlyName=Deschide sursa</x:v>
      </x:c>
    </x:row>
    <x:row r="1656" ht="36" customHeight="1">
      <x:c r="A1656" s="8" t="str">
        <x:v>F1652</x:v>
      </x:c>
      <x:c r="B1656" s="8" t="str">
        <x:v>03_Registru_jurnal_ian-iul_2026.pdf</x:v>
      </x:c>
      <x:c r="C1656" s="8" t="str">
        <x:v>Comunicatii oficiale AFIR</x:v>
      </x:c>
      <x:c r="D1656" s="8" t="str">
        <x:v>Proiect fotovoltaic</x:v>
      </x:c>
      <x:c r="E1656" s="8" t="str">
        <x:v>.pdf</x:v>
      </x:c>
      <x:c r="F1656" s="8" t="n">
        <x:v>72945</x:v>
      </x:c>
      <x:c r="G1656" s="8" t="str">
        <x:v>Text extras</x:v>
      </x:c>
      <x:c r="H1656" s="8" t="str">
        <x:v>Document local; transmiterea individuală neconfirmată</x:v>
      </x:c>
      <x:c r="I1656" s="8" t="str">
        <x:v>F1010</x:v>
      </x:c>
      <x:c r="J1656" s="8" t="e">
        <x:f>HYPERLINK("file:///Z:/00. Proiecte 2025/AFIR FotoVoltaic 1/Comunicatii oficiale AFIR/2026-10-15 Solicitare 961 - transa 1/03_Registru_jurnal_ian-iul_2026.pdf","Deschide sursa")</x:f>
        <x:v>HYPERLINK is not implemented. linkLocation=file:///Z:/00. Proiecte 2025/AFIR FotoVoltaic 1/Comunicatii oficiale AFIR/2026-10-15 Solicitare 961 - transa 1/03_Registru_jurnal_ian-iul_2026.pdf, friendlyName=Deschide sursa</x:v>
      </x:c>
    </x:row>
    <x:row r="1657" ht="36" customHeight="1">
      <x:c r="A1657" s="8" t="str">
        <x:v>F1653</x:v>
      </x:c>
      <x:c r="B1657" s="8" t="str">
        <x:v>AP_raspuns_informatii_suplimentare.pdf</x:v>
      </x:c>
      <x:c r="C1657" s="8" t="str">
        <x:v>Comunicatii oficiale AFIR</x:v>
      </x:c>
      <x:c r="D1657" s="8" t="str">
        <x:v>Proiect fotovoltaic</x:v>
      </x:c>
      <x:c r="E1657" s="8" t="str">
        <x:v>.pdf</x:v>
      </x:c>
      <x:c r="F1657" s="8" t="n">
        <x:v>79650</x:v>
      </x:c>
      <x:c r="G1657" s="8" t="str">
        <x:v>Text extras</x:v>
      </x:c>
      <x:c r="H1657" s="8" t="str">
        <x:v>Proiect răspuns; netransmis conform notei locale</x:v>
      </x:c>
      <x:c r="I1657" s="8" t="str"/>
      <x:c r="J1657" s="8" t="e">
        <x:f>HYPERLINK("file:///Z:/00. Proiecte 2025/AFIR FotoVoltaic 1/Comunicatii oficiale AFIR/2026-10-15 Solicitare 961 - transa 1/AP_raspuns_informatii_suplimentare.pdf","Deschide sursa")</x:f>
        <x:v>HYPERLINK is not implemented. linkLocation=file:///Z:/00. Proiecte 2025/AFIR FotoVoltaic 1/Comunicatii oficiale AFIR/2026-10-15 Solicitare 961 - transa 1/AP_raspuns_informatii_suplimentare.pdf, friendlyName=Deschide sursa</x:v>
      </x:c>
    </x:row>
    <x:row r="1658" ht="36" customHeight="1">
      <x:c r="A1658" s="8" t="str">
        <x:v>F1654</x:v>
      </x:c>
      <x:c r="B1658" s="8" t="str">
        <x:v>AP_raspuns_informatii_suplimentare_COMPLETAT.pdf</x:v>
      </x:c>
      <x:c r="C1658" s="8" t="str">
        <x:v>Comunicatii oficiale AFIR</x:v>
      </x:c>
      <x:c r="D1658" s="8" t="str">
        <x:v>Proiect fotovoltaic</x:v>
      </x:c>
      <x:c r="E1658" s="8" t="str">
        <x:v>.pdf</x:v>
      </x:c>
      <x:c r="F1658" s="8" t="n">
        <x:v>103892</x:v>
      </x:c>
      <x:c r="G1658" s="8" t="str">
        <x:v>Text extras</x:v>
      </x:c>
      <x:c r="H1658" s="8" t="str">
        <x:v>Proiect răspuns; netransmis conform notei locale</x:v>
      </x:c>
      <x:c r="I1658" s="8" t="str"/>
      <x:c r="J1658" s="8" t="e">
        <x:f>HYPERLINK("file:///Z:/00. Proiecte 2025/AFIR FotoVoltaic 1/Comunicatii oficiale AFIR/2026-10-15 Solicitare 961 - transa 1/AP_raspuns_informatii_suplimentare_COMPLETAT.pdf","Deschide sursa")</x:f>
        <x:v>HYPERLINK is not implemented. linkLocation=file:///Z:/00. Proiecte 2025/AFIR FotoVoltaic 1/Comunicatii oficiale AFIR/2026-10-15 Solicitare 961 - transa 1/AP_raspuns_informatii_suplimentare_COMPLETAT.pdf, friendlyName=Deschide sursa</x:v>
      </x:c>
    </x:row>
    <x:row r="1659" ht="36" customHeight="1">
      <x:c r="A1659" s="8" t="str">
        <x:v>F1655</x:v>
      </x:c>
      <x:c r="B1659" s="8" t="str">
        <x:v>Citeste_inainte_de_depunere.txt</x:v>
      </x:c>
      <x:c r="C1659" s="8" t="str">
        <x:v>Comunicatii oficiale AFIR</x:v>
      </x:c>
      <x:c r="D1659" s="8" t="str">
        <x:v>Proiect fotovoltaic</x:v>
      </x:c>
      <x:c r="E1659" s="8" t="str">
        <x:v>.txt</x:v>
      </x:c>
      <x:c r="F1659" s="8" t="n">
        <x:v>1331</x:v>
      </x:c>
      <x:c r="G1659" s="8" t="str">
        <x:v>Text extras</x:v>
      </x:c>
      <x:c r="H1659" s="8" t="str">
        <x:v>Document local; transmiterea individuală neconfirmată</x:v>
      </x:c>
      <x:c r="I1659" s="8" t="str"/>
      <x:c r="J1659" s="8" t="e">
        <x:f>HYPERLINK("file:///Z:/00. Proiecte 2025/AFIR FotoVoltaic 1/Comunicatii oficiale AFIR/2026-10-15 Solicitare 961 - transa 1/Citeste_inainte_de_depunere.txt","Deschide sursa")</x:f>
        <x:v>HYPERLINK is not implemented. linkLocation=file:///Z:/00. Proiecte 2025/AFIR FotoVoltaic 1/Comunicatii oficiale AFIR/2026-10-15 Solicitare 961 - transa 1/Citeste_inainte_de_depunere.txt, friendlyName=Deschide sursa</x:v>
      </x:c>
    </x:row>
    <x:row r="1660" ht="36" customHeight="1">
      <x:c r="A1660" s="8" t="str">
        <x:v>F1656</x:v>
      </x:c>
      <x:c r="B1660" s="8" t="str">
        <x:v>Informatii suplimentare - Partea I.pdf</x:v>
      </x:c>
      <x:c r="C1660" s="8" t="str">
        <x:v>Comunicatii oficiale AFIR</x:v>
      </x:c>
      <x:c r="D1660" s="8" t="str">
        <x:v>Proiect fotovoltaic</x:v>
      </x:c>
      <x:c r="E1660" s="8" t="str">
        <x:v>.pdf</x:v>
      </x:c>
      <x:c r="F1660" s="8" t="n">
        <x:v>407294</x:v>
      </x:c>
      <x:c r="G1660" s="8" t="str">
        <x:v>Text extras</x:v>
      </x:c>
      <x:c r="H1660" s="8" t="str">
        <x:v>Document local; transmiterea individuală neconfirmată</x:v>
      </x:c>
      <x:c r="I1660" s="8" t="str"/>
      <x:c r="J1660" s="8" t="e">
        <x:f>HYPERLINK("file:///Z:/00. Proiecte 2025/AFIR FotoVoltaic 1/Comunicatii oficiale AFIR/2026-10-15 Solicitare 961 - transa 1/Informatii suplimentare - Partea I.pdf","Deschide sursa")</x:f>
        <x:v>HYPERLINK is not implemented. linkLocation=file:///Z:/00. Proiecte 2025/AFIR FotoVoltaic 1/Comunicatii oficiale AFIR/2026-10-15 Solicitare 961 - transa 1/Informatii suplimentare - Partea I.pdf, friendlyName=Deschide sursa</x:v>
      </x:c>
    </x:row>
    <x:row r="1661" ht="36" customHeight="1">
      <x:c r="A1661" s="8" t="str">
        <x:v>F1657</x:v>
      </x:c>
      <x:c r="B1661" s="8" t="str">
        <x:v>actualizat-1.png</x:v>
      </x:c>
      <x:c r="C1661" s="8" t="str">
        <x:v>Comunicatii oficiale AFIR</x:v>
      </x:c>
      <x:c r="D1661" s="8" t="str">
        <x:v>Proiect fotovoltaic</x:v>
      </x:c>
      <x:c r="E1661" s="8" t="str">
        <x:v>.png</x:v>
      </x:c>
      <x:c r="F1661" s="8" t="n">
        <x:v>165013</x:v>
      </x:c>
      <x:c r="G1661" s="8" t="str">
        <x:v>Inventariat; conținut neextras</x:v>
      </x:c>
      <x:c r="H1661" s="8" t="str">
        <x:v>Document local; transmiterea individuală neconfirmată</x:v>
      </x:c>
      <x:c r="I1661" s="8" t="str"/>
      <x:c r="J1661" s="8" t="e">
        <x:f>HYPERLINK("file:///Z:/00. Proiecte 2025/AFIR FotoVoltaic 1/Comunicatii oficiale AFIR/2026-10-15 Solicitare 961 - transa 1/_verificare/actualizat-1.png","Deschide sursa")</x:f>
        <x:v>HYPERLINK is not implemented. linkLocation=file:///Z:/00. Proiecte 2025/AFIR FotoVoltaic 1/Comunicatii oficiale AFIR/2026-10-15 Solicitare 961 - transa 1/_verificare/actualizat-1.png, friendlyName=Deschide sursa</x:v>
      </x:c>
    </x:row>
    <x:row r="1662" ht="36" customHeight="1">
      <x:c r="A1662" s="8" t="str">
        <x:v>F1658</x:v>
      </x:c>
      <x:c r="B1662" s="8" t="str">
        <x:v>email-1.png</x:v>
      </x:c>
      <x:c r="C1662" s="8" t="str">
        <x:v>Comunicatii oficiale AFIR</x:v>
      </x:c>
      <x:c r="D1662" s="8" t="str">
        <x:v>Proiect fotovoltaic</x:v>
      </x:c>
      <x:c r="E1662" s="8" t="str">
        <x:v>.png</x:v>
      </x:c>
      <x:c r="F1662" s="8" t="n">
        <x:v>87344</x:v>
      </x:c>
      <x:c r="G1662" s="8" t="str">
        <x:v>Inventariat; conținut neextras</x:v>
      </x:c>
      <x:c r="H1662" s="8" t="str">
        <x:v>Document local; transmiterea individuală neconfirmată</x:v>
      </x:c>
      <x:c r="I1662" s="8" t="str"/>
      <x:c r="J1662" s="8" t="e">
        <x:f>HYPERLINK("file:///Z:/00. Proiecte 2025/AFIR FotoVoltaic 1/Comunicatii oficiale AFIR/2026-10-15 Solicitare 961 - transa 1/_verificare/email-1.png","Deschide sursa")</x:f>
        <x:v>HYPERLINK is not implemented. linkLocation=file:///Z:/00. Proiecte 2025/AFIR FotoVoltaic 1/Comunicatii oficiale AFIR/2026-10-15 Solicitare 961 - transa 1/_verificare/email-1.png, friendlyName=Deschide sursa</x:v>
      </x:c>
    </x:row>
    <x:row r="1663" ht="36" customHeight="1">
      <x:c r="A1663" s="8" t="str">
        <x:v>F1659</x:v>
      </x:c>
      <x:c r="B1663" s="8" t="str">
        <x:v>raspuns-1.png</x:v>
      </x:c>
      <x:c r="C1663" s="8" t="str">
        <x:v>Comunicatii oficiale AFIR</x:v>
      </x:c>
      <x:c r="D1663" s="8" t="str">
        <x:v>Proiect fotovoltaic</x:v>
      </x:c>
      <x:c r="E1663" s="8" t="str">
        <x:v>.png</x:v>
      </x:c>
      <x:c r="F1663" s="8" t="n">
        <x:v>144903</x:v>
      </x:c>
      <x:c r="G1663" s="8" t="str">
        <x:v>Inventariat; conținut neextras</x:v>
      </x:c>
      <x:c r="H1663" s="8" t="str">
        <x:v>Proiect răspuns; netransmis conform notei locale</x:v>
      </x:c>
      <x:c r="I1663" s="8" t="str"/>
      <x:c r="J1663" s="8" t="e">
        <x:f>HYPERLINK("file:///Z:/00. Proiecte 2025/AFIR FotoVoltaic 1/Comunicatii oficiale AFIR/2026-10-15 Solicitare 961 - transa 1/_verificare/raspuns-1.png","Deschide sursa")</x:f>
        <x:v>HYPERLINK is not implemented. linkLocation=file:///Z:/00. Proiecte 2025/AFIR FotoVoltaic 1/Comunicatii oficiale AFIR/2026-10-15 Solicitare 961 - transa 1/_verificare/raspuns-1.png, friendlyName=Deschide sursa</x:v>
      </x:c>
    </x:row>
    <x:row r="1664" ht="36" customHeight="1">
      <x:c r="A1664" s="8" t="str">
        <x:v>F1660</x:v>
      </x:c>
      <x:c r="B1664" s="8" t="str">
        <x:v>solicitare-1.png</x:v>
      </x:c>
      <x:c r="C1664" s="8" t="str">
        <x:v>Comunicatii oficiale AFIR</x:v>
      </x:c>
      <x:c r="D1664" s="8" t="str">
        <x:v>Proiect fotovoltaic</x:v>
      </x:c>
      <x:c r="E1664" s="8" t="str">
        <x:v>.png</x:v>
      </x:c>
      <x:c r="F1664" s="8" t="n">
        <x:v>194174</x:v>
      </x:c>
      <x:c r="G1664" s="8" t="str">
        <x:v>Inventariat; conținut neextras</x:v>
      </x:c>
      <x:c r="H1664" s="8" t="str">
        <x:v>Document local; transmiterea individuală neconfirmată</x:v>
      </x:c>
      <x:c r="I1664" s="8" t="str"/>
      <x:c r="J1664" s="8" t="e">
        <x:f>HYPERLINK("file:///Z:/00. Proiecte 2025/AFIR FotoVoltaic 1/Comunicatii oficiale AFIR/2026-10-15 Solicitare 961 - transa 1/_verificare/solicitare-1.png","Deschide sursa")</x:f>
        <x:v>HYPERLINK is not implemented. linkLocation=file:///Z:/00. Proiecte 2025/AFIR FotoVoltaic 1/Comunicatii oficiale AFIR/2026-10-15 Solicitare 961 - transa 1/_verificare/solicitare-1.png, friendlyName=Deschide sursa</x:v>
      </x:c>
    </x:row>
    <x:row r="1665" ht="36" customHeight="1">
      <x:c r="A1665" s="8" t="str">
        <x:v>F1661</x:v>
      </x:c>
      <x:c r="B1665" s="8" t="str">
        <x:v>solicitare-2.png</x:v>
      </x:c>
      <x:c r="C1665" s="8" t="str">
        <x:v>Comunicatii oficiale AFIR</x:v>
      </x:c>
      <x:c r="D1665" s="8" t="str">
        <x:v>Proiect fotovoltaic</x:v>
      </x:c>
      <x:c r="E1665" s="8" t="str">
        <x:v>.png</x:v>
      </x:c>
      <x:c r="F1665" s="8" t="n">
        <x:v>118625</x:v>
      </x:c>
      <x:c r="G1665" s="8" t="str">
        <x:v>Inventariat; conținut neextras</x:v>
      </x:c>
      <x:c r="H1665" s="8" t="str">
        <x:v>Document local; transmiterea individuală neconfirmată</x:v>
      </x:c>
      <x:c r="I1665" s="8" t="str"/>
      <x:c r="J1665" s="8" t="e">
        <x:f>HYPERLINK("file:///Z:/00. Proiecte 2025/AFIR FotoVoltaic 1/Comunicatii oficiale AFIR/2026-10-15 Solicitare 961 - transa 1/_verificare/solicitare-2.png","Deschide sursa")</x:f>
        <x:v>HYPERLINK is not implemented. linkLocation=file:///Z:/00. Proiecte 2025/AFIR FotoVoltaic 1/Comunicatii oficiale AFIR/2026-10-15 Solicitare 961 - transa 1/_verificare/solicitare-2.png, friendlyName=Deschide sursa</x:v>
      </x:c>
    </x:row>
    <x:row r="1666" ht="36" customHeight="1">
      <x:c r="A1666" s="8" t="str">
        <x:v>F1662</x:v>
      </x:c>
      <x:c r="B1666" s="8" t="str">
        <x:v>email.html</x:v>
      </x:c>
      <x:c r="C1666" s="8" t="str">
        <x:v>Comunicatii oficiale AFIR</x:v>
      </x:c>
      <x:c r="D1666" s="8" t="str">
        <x:v>Proiect fotovoltaic</x:v>
      </x:c>
      <x:c r="E1666" s="8" t="str">
        <x:v>.html</x:v>
      </x:c>
      <x:c r="F1666" s="8" t="n">
        <x:v>2038</x:v>
      </x:c>
      <x:c r="G1666" s="8" t="str">
        <x:v>Inventariat; conținut neextras</x:v>
      </x:c>
      <x:c r="H1666" s="8" t="str">
        <x:v>Document local; transmiterea individuală neconfirmată</x:v>
      </x:c>
      <x:c r="I1666" s="8" t="str"/>
      <x:c r="J1666" s="8" t="e">
        <x:f>HYPERLINK("file:///Z:/00. Proiecte 2025/AFIR FotoVoltaic 1/Comunicatii oficiale AFIR/Emailuri/01_2024-12-10_0823_Notificarea privind selectarea cererii de finantare/email.html","Deschide sursa")</x:f>
        <x:v>HYPERLINK is not implemented. linkLocation=file:///Z:/00. Proiecte 2025/AFIR FotoVoltaic 1/Comunicatii oficiale AFIR/Emailuri/01_2024-12-10_0823_Notificarea privind selectarea cererii de finantare/email.html, friendlyName=Deschide sursa</x:v>
      </x:c>
    </x:row>
    <x:row r="1667" ht="36" customHeight="1">
      <x:c r="A1667" s="8" t="str">
        <x:v>F1663</x:v>
      </x:c>
      <x:c r="B1667" s="8" t="str">
        <x:v>email.txt</x:v>
      </x:c>
      <x:c r="C1667" s="8" t="str">
        <x:v>Comunicatii oficiale AFIR</x:v>
      </x:c>
      <x:c r="D1667" s="8" t="str">
        <x:v>Proiect fotovoltaic</x:v>
      </x:c>
      <x:c r="E1667" s="8" t="str">
        <x:v>.txt</x:v>
      </x:c>
      <x:c r="F1667" s="8" t="n">
        <x:v>1397</x:v>
      </x:c>
      <x:c r="G1667" s="8" t="str">
        <x:v>Text extras</x:v>
      </x:c>
      <x:c r="H1667" s="8" t="str">
        <x:v>Document local; transmiterea individuală neconfirmată</x:v>
      </x:c>
      <x:c r="I1667" s="8" t="str"/>
      <x:c r="J1667" s="8" t="e">
        <x:f>HYPERLINK("file:///Z:/00. Proiecte 2025/AFIR FotoVoltaic 1/Comunicatii oficiale AFIR/Emailuri/01_2024-12-10_0823_Notificarea privind selectarea cererii de finantare/email.txt","Deschide sursa")</x:f>
        <x:v>HYPERLINK is not implemented. linkLocation=file:///Z:/00. Proiecte 2025/AFIR FotoVoltaic 1/Comunicatii oficiale AFIR/Emailuri/01_2024-12-10_0823_Notificarea privind selectarea cererii de finantare/email.txt, friendlyName=Deschide sursa</x:v>
      </x:c>
    </x:row>
    <x:row r="1668" ht="36" customHeight="1">
      <x:c r="A1668" s="8" t="str">
        <x:v>F1664</x:v>
      </x:c>
      <x:c r="B1668" s="8" t="str">
        <x:v>email.html</x:v>
      </x:c>
      <x:c r="C1668" s="8" t="str">
        <x:v>Comunicatii oficiale AFIR</x:v>
      </x:c>
      <x:c r="D1668" s="8" t="str">
        <x:v>Proiect fotovoltaic</x:v>
      </x:c>
      <x:c r="E1668" s="8" t="str">
        <x:v>.html</x:v>
      </x:c>
      <x:c r="F1668" s="8" t="n">
        <x:v>2889</x:v>
      </x:c>
      <x:c r="G1668" s="8" t="str">
        <x:v>Inventariat; conținut neextras</x:v>
      </x:c>
      <x:c r="H1668" s="8" t="str">
        <x:v>Document local; transmiterea individuală neconfirmată</x:v>
      </x:c>
      <x:c r="I1668" s="8" t="str"/>
      <x:c r="J1668" s="8" t="e">
        <x:f>HYPERLINK("file:///Z:/00. Proiecte 2025/AFIR FotoVoltaic 1/Comunicatii oficiale AFIR/Emailuri/02_2024-12-30_0836_Informare privind transmiterea contractului de finantare semnat d/email.html","Deschide sursa")</x:f>
        <x:v>HYPERLINK is not implemented. linkLocation=file:///Z:/00. Proiecte 2025/AFIR FotoVoltaic 1/Comunicatii oficiale AFIR/Emailuri/02_2024-12-30_0836_Informare privind transmiterea contractului de finantare semnat d/email.html, friendlyName=Deschide sursa</x:v>
      </x:c>
    </x:row>
    <x:row r="1669" ht="36" customHeight="1">
      <x:c r="A1669" s="8" t="str">
        <x:v>F1665</x:v>
      </x:c>
      <x:c r="B1669" s="8" t="str">
        <x:v>email.txt</x:v>
      </x:c>
      <x:c r="C1669" s="8" t="str">
        <x:v>Comunicatii oficiale AFIR</x:v>
      </x:c>
      <x:c r="D1669" s="8" t="str">
        <x:v>Proiect fotovoltaic</x:v>
      </x:c>
      <x:c r="E1669" s="8" t="str">
        <x:v>.txt</x:v>
      </x:c>
      <x:c r="F1669" s="8" t="n">
        <x:v>1569</x:v>
      </x:c>
      <x:c r="G1669" s="8" t="str">
        <x:v>Text extras</x:v>
      </x:c>
      <x:c r="H1669" s="8" t="str">
        <x:v>Document local; transmiterea individuală neconfirmată</x:v>
      </x:c>
      <x:c r="I1669" s="8" t="str"/>
      <x:c r="J1669" s="8" t="e">
        <x:f>HYPERLINK("file:///Z:/00. Proiecte 2025/AFIR FotoVoltaic 1/Comunicatii oficiale AFIR/Emailuri/02_2024-12-30_0836_Informare privind transmiterea contractului de finantare semnat d/email.txt","Deschide sursa")</x:f>
        <x:v>HYPERLINK is not implemented. linkLocation=file:///Z:/00. Proiecte 2025/AFIR FotoVoltaic 1/Comunicatii oficiale AFIR/Emailuri/02_2024-12-30_0836_Informare privind transmiterea contractului de finantare semnat d/email.txt, friendlyName=Deschide sursa</x:v>
      </x:c>
    </x:row>
    <x:row r="1670" ht="36" customHeight="1">
      <x:c r="A1670" s="8" t="str">
        <x:v>F1666</x:v>
      </x:c>
      <x:c r="B1670" s="8" t="str">
        <x:v>email.html</x:v>
      </x:c>
      <x:c r="C1670" s="8" t="str">
        <x:v>Comunicatii oficiale AFIR</x:v>
      </x:c>
      <x:c r="D1670" s="8" t="str">
        <x:v>Proiect fotovoltaic</x:v>
      </x:c>
      <x:c r="E1670" s="8" t="str">
        <x:v>.html</x:v>
      </x:c>
      <x:c r="F1670" s="8" t="n">
        <x:v>2577</x:v>
      </x:c>
      <x:c r="G1670" s="8" t="str">
        <x:v>Inventariat; conținut neextras</x:v>
      </x:c>
      <x:c r="H1670" s="8" t="str">
        <x:v>Document local; transmiterea individuală neconfirmată</x:v>
      </x:c>
      <x:c r="I1670" s="8" t="str"/>
      <x:c r="J1670" s="8" t="e">
        <x:f>HYPERLINK("file:///Z:/00. Proiecte 2025/AFIR FotoVoltaic 1/Comunicatii oficiale AFIR/Emailuri/03_2025-02-28_1336_RE_ SF/email.html","Deschide sursa")</x:f>
        <x:v>HYPERLINK is not implemented. linkLocation=file:///Z:/00. Proiecte 2025/AFIR FotoVoltaic 1/Comunicatii oficiale AFIR/Emailuri/03_2025-02-28_1336_RE_ SF/email.html, friendlyName=Deschide sursa</x:v>
      </x:c>
    </x:row>
    <x:row r="1671" ht="36" customHeight="1">
      <x:c r="A1671" s="8" t="str">
        <x:v>F1667</x:v>
      </x:c>
      <x:c r="B1671" s="8" t="str">
        <x:v>email.txt</x:v>
      </x:c>
      <x:c r="C1671" s="8" t="str">
        <x:v>Comunicatii oficiale AFIR</x:v>
      </x:c>
      <x:c r="D1671" s="8" t="str">
        <x:v>Proiect fotovoltaic</x:v>
      </x:c>
      <x:c r="E1671" s="8" t="str">
        <x:v>.txt</x:v>
      </x:c>
      <x:c r="F1671" s="8" t="n">
        <x:v>2114</x:v>
      </x:c>
      <x:c r="G1671" s="8" t="str">
        <x:v>Text extras</x:v>
      </x:c>
      <x:c r="H1671" s="8" t="str">
        <x:v>Document local; transmiterea individuală neconfirmată</x:v>
      </x:c>
      <x:c r="I1671" s="8" t="str"/>
      <x:c r="J1671" s="8" t="e">
        <x:f>HYPERLINK("file:///Z:/00. Proiecte 2025/AFIR FotoVoltaic 1/Comunicatii oficiale AFIR/Emailuri/03_2025-02-28_1336_RE_ SF/email.txt","Deschide sursa")</x:f>
        <x:v>HYPERLINK is not implemented. linkLocation=file:///Z:/00. Proiecte 2025/AFIR FotoVoltaic 1/Comunicatii oficiale AFIR/Emailuri/03_2025-02-28_1336_RE_ SF/email.txt, friendlyName=Deschide sursa</x:v>
      </x:c>
    </x:row>
    <x:row r="1672" ht="36" customHeight="1">
      <x:c r="A1672" s="8" t="str">
        <x:v>F1668</x:v>
      </x:c>
      <x:c r="B1672" s="8" t="str">
        <x:v>email.html</x:v>
      </x:c>
      <x:c r="C1672" s="8" t="str">
        <x:v>Comunicatii oficiale AFIR</x:v>
      </x:c>
      <x:c r="D1672" s="8" t="str">
        <x:v>Proiect fotovoltaic</x:v>
      </x:c>
      <x:c r="E1672" s="8" t="str">
        <x:v>.html</x:v>
      </x:c>
      <x:c r="F1672" s="8" t="n">
        <x:v>1976</x:v>
      </x:c>
      <x:c r="G1672" s="8" t="str">
        <x:v>Inventariat; conținut neextras</x:v>
      </x:c>
      <x:c r="H1672" s="8" t="str">
        <x:v>Document local; transmiterea individuală neconfirmată</x:v>
      </x:c>
      <x:c r="I1672" s="8" t="str"/>
      <x:c r="J1672" s="8" t="e">
        <x:f>HYPERLINK("file:///Z:/00. Proiecte 2025/AFIR FotoVoltaic 1/Comunicatii oficiale AFIR/Emailuri/04_2026-01-19_1309_Notificare de informare privind cesiunea partilor sociale de la C/email.html","Deschide sursa")</x:f>
        <x:v>HYPERLINK is not implemented. linkLocation=file:///Z:/00. Proiecte 2025/AFIR FotoVoltaic 1/Comunicatii oficiale AFIR/Emailuri/04_2026-01-19_1309_Notificare de informare privind cesiunea partilor sociale de la C/email.html, friendlyName=Deschide sursa</x:v>
      </x:c>
    </x:row>
    <x:row r="1673" ht="36" customHeight="1">
      <x:c r="A1673" s="8" t="str">
        <x:v>F1669</x:v>
      </x:c>
      <x:c r="B1673" s="8" t="str">
        <x:v>email.txt</x:v>
      </x:c>
      <x:c r="C1673" s="8" t="str">
        <x:v>Comunicatii oficiale AFIR</x:v>
      </x:c>
      <x:c r="D1673" s="8" t="str">
        <x:v>Proiect fotovoltaic</x:v>
      </x:c>
      <x:c r="E1673" s="8" t="str">
        <x:v>.txt</x:v>
      </x:c>
      <x:c r="F1673" s="8" t="n">
        <x:v>1169</x:v>
      </x:c>
      <x:c r="G1673" s="8" t="str">
        <x:v>Text extras</x:v>
      </x:c>
      <x:c r="H1673" s="8" t="str">
        <x:v>Document local; transmiterea individuală neconfirmată</x:v>
      </x:c>
      <x:c r="I1673" s="8" t="str"/>
      <x:c r="J1673" s="8" t="e">
        <x:f>HYPERLINK("file:///Z:/00. Proiecte 2025/AFIR FotoVoltaic 1/Comunicatii oficiale AFIR/Emailuri/04_2026-01-19_1309_Notificare de informare privind cesiunea partilor sociale de la C/email.txt","Deschide sursa")</x:f>
        <x:v>HYPERLINK is not implemented. linkLocation=file:///Z:/00. Proiecte 2025/AFIR FotoVoltaic 1/Comunicatii oficiale AFIR/Emailuri/04_2026-01-19_1309_Notificare de informare privind cesiunea partilor sociale de la C/email.txt, friendlyName=Deschide sursa</x:v>
      </x:c>
    </x:row>
    <x:row r="1674" ht="36" customHeight="1">
      <x:c r="A1674" s="8" t="str">
        <x:v>F1670</x:v>
      </x:c>
      <x:c r="B1674" s="8" t="str">
        <x:v>email.html</x:v>
      </x:c>
      <x:c r="C1674" s="8" t="str">
        <x:v>Comunicatii oficiale AFIR</x:v>
      </x:c>
      <x:c r="D1674" s="8" t="str">
        <x:v>Proiect fotovoltaic</x:v>
      </x:c>
      <x:c r="E1674" s="8" t="str">
        <x:v>.html</x:v>
      </x:c>
      <x:c r="F1674" s="8" t="n">
        <x:v>2171</x:v>
      </x:c>
      <x:c r="G1674" s="8" t="str">
        <x:v>Inventariat; conținut neextras</x:v>
      </x:c>
      <x:c r="H1674" s="8" t="str">
        <x:v>Document local; transmiterea individuală neconfirmată</x:v>
      </x:c>
      <x:c r="I1674" s="8" t="str"/>
      <x:c r="J1674" s="8" t="e">
        <x:f>HYPERLINK("file:///Z:/00. Proiecte 2025/AFIR FotoVoltaic 1/Comunicatii oficiale AFIR/Emailuri/05_2026-04-28_1622_Solicitare informatii suplimentare/email.html","Deschide sursa")</x:f>
        <x:v>HYPERLINK is not implemented. linkLocation=file:///Z:/00. Proiecte 2025/AFIR FotoVoltaic 1/Comunicatii oficiale AFIR/Emailuri/05_2026-04-28_1622_Solicitare informatii suplimentare/email.html, friendlyName=Deschide sursa</x:v>
      </x:c>
    </x:row>
    <x:row r="1675" ht="36" customHeight="1">
      <x:c r="A1675" s="8" t="str">
        <x:v>F1671</x:v>
      </x:c>
      <x:c r="B1675" s="8" t="str">
        <x:v>email.txt</x:v>
      </x:c>
      <x:c r="C1675" s="8" t="str">
        <x:v>Comunicatii oficiale AFIR</x:v>
      </x:c>
      <x:c r="D1675" s="8" t="str">
        <x:v>Proiect fotovoltaic</x:v>
      </x:c>
      <x:c r="E1675" s="8" t="str">
        <x:v>.txt</x:v>
      </x:c>
      <x:c r="F1675" s="8" t="n">
        <x:v>1410</x:v>
      </x:c>
      <x:c r="G1675" s="8" t="str">
        <x:v>Text extras</x:v>
      </x:c>
      <x:c r="H1675" s="8" t="str">
        <x:v>Document local; transmiterea individuală neconfirmată</x:v>
      </x:c>
      <x:c r="I1675" s="8" t="str"/>
      <x:c r="J1675" s="8" t="e">
        <x:f>HYPERLINK("file:///Z:/00. Proiecte 2025/AFIR FotoVoltaic 1/Comunicatii oficiale AFIR/Emailuri/05_2026-04-28_1622_Solicitare informatii suplimentare/email.txt","Deschide sursa")</x:f>
        <x:v>HYPERLINK is not implemented. linkLocation=file:///Z:/00. Proiecte 2025/AFIR FotoVoltaic 1/Comunicatii oficiale AFIR/Emailuri/05_2026-04-28_1622_Solicitare informatii suplimentare/email.txt, friendlyName=Deschide sursa</x:v>
      </x:c>
    </x:row>
    <x:row r="1676" ht="36" customHeight="1">
      <x:c r="A1676" s="8" t="str">
        <x:v>F1672</x:v>
      </x:c>
      <x:c r="B1676" s="8" t="str">
        <x:v>email.html</x:v>
      </x:c>
      <x:c r="C1676" s="8" t="str">
        <x:v>Comunicatii oficiale AFIR</x:v>
      </x:c>
      <x:c r="D1676" s="8" t="str">
        <x:v>Proiect fotovoltaic</x:v>
      </x:c>
      <x:c r="E1676" s="8" t="str">
        <x:v>.html</x:v>
      </x:c>
      <x:c r="F1676" s="8" t="n">
        <x:v>2894</x:v>
      </x:c>
      <x:c r="G1676" s="8" t="str">
        <x:v>Inventariat; conținut neextras</x:v>
      </x:c>
      <x:c r="H1676" s="8" t="str">
        <x:v>Document local; transmiterea individuală neconfirmată</x:v>
      </x:c>
      <x:c r="I1676" s="8" t="str"/>
      <x:c r="J1676" s="8" t="e">
        <x:f>HYPERLINK("file:///Z:/00. Proiecte 2025/AFIR FotoVoltaic 1/Comunicatii oficiale AFIR/Emailuri/06_2026-05-08_0923_FW_ Solicitare informatii suplimentare/email.html","Deschide sursa")</x:f>
        <x:v>HYPERLINK is not implemented. linkLocation=file:///Z:/00. Proiecte 2025/AFIR FotoVoltaic 1/Comunicatii oficiale AFIR/Emailuri/06_2026-05-08_0923_FW_ Solicitare informatii suplimentare/email.html, friendlyName=Deschide sursa</x:v>
      </x:c>
    </x:row>
    <x:row r="1677" ht="36" customHeight="1">
      <x:c r="A1677" s="8" t="str">
        <x:v>F1673</x:v>
      </x:c>
      <x:c r="B1677" s="8" t="str">
        <x:v>email.txt</x:v>
      </x:c>
      <x:c r="C1677" s="8" t="str">
        <x:v>Comunicatii oficiale AFIR</x:v>
      </x:c>
      <x:c r="D1677" s="8" t="str">
        <x:v>Proiect fotovoltaic</x:v>
      </x:c>
      <x:c r="E1677" s="8" t="str">
        <x:v>.txt</x:v>
      </x:c>
      <x:c r="F1677" s="8" t="n">
        <x:v>1721</x:v>
      </x:c>
      <x:c r="G1677" s="8" t="str">
        <x:v>Text extras</x:v>
      </x:c>
      <x:c r="H1677" s="8" t="str">
        <x:v>Document local; transmiterea individuală neconfirmată</x:v>
      </x:c>
      <x:c r="I1677" s="8" t="str"/>
      <x:c r="J1677" s="8" t="e">
        <x:f>HYPERLINK("file:///Z:/00. Proiecte 2025/AFIR FotoVoltaic 1/Comunicatii oficiale AFIR/Emailuri/06_2026-05-08_0923_FW_ Solicitare informatii suplimentare/email.txt","Deschide sursa")</x:f>
        <x:v>HYPERLINK is not implemented. linkLocation=file:///Z:/00. Proiecte 2025/AFIR FotoVoltaic 1/Comunicatii oficiale AFIR/Emailuri/06_2026-05-08_0923_FW_ Solicitare informatii suplimentare/email.txt, friendlyName=Deschide sursa</x:v>
      </x:c>
    </x:row>
    <x:row r="1678" ht="36" customHeight="1">
      <x:c r="A1678" s="8" t="str">
        <x:v>F1674</x:v>
      </x:c>
      <x:c r="B1678" s="8" t="str">
        <x:v>email.html</x:v>
      </x:c>
      <x:c r="C1678" s="8" t="str">
        <x:v>Comunicatii oficiale AFIR</x:v>
      </x:c>
      <x:c r="D1678" s="8" t="str">
        <x:v>Proiect fotovoltaic</x:v>
      </x:c>
      <x:c r="E1678" s="8" t="str">
        <x:v>.html</x:v>
      </x:c>
      <x:c r="F1678" s="8" t="n">
        <x:v>1005</x:v>
      </x:c>
      <x:c r="G1678" s="8" t="str">
        <x:v>Inventariat; conținut neextras</x:v>
      </x:c>
      <x:c r="H1678" s="8" t="str">
        <x:v>Document local; transmiterea individuală neconfirmată</x:v>
      </x:c>
      <x:c r="I1678" s="8" t="str"/>
      <x:c r="J1678" s="8" t="e">
        <x:f>HYPERLINK("file:///Z:/00. Proiecte 2025/AFIR FotoVoltaic 1/Comunicatii oficiale AFIR/Emailuri/07_2026-05-08_0958_Transmitere Documentatie Cesiro Production/email.html","Deschide sursa")</x:f>
        <x:v>HYPERLINK is not implemented. linkLocation=file:///Z:/00. Proiecte 2025/AFIR FotoVoltaic 1/Comunicatii oficiale AFIR/Emailuri/07_2026-05-08_0958_Transmitere Documentatie Cesiro Production/email.html, friendlyName=Deschide sursa</x:v>
      </x:c>
    </x:row>
    <x:row r="1679" ht="36" customHeight="1">
      <x:c r="A1679" s="8" t="str">
        <x:v>F1675</x:v>
      </x:c>
      <x:c r="B1679" s="8" t="str">
        <x:v>email.txt</x:v>
      </x:c>
      <x:c r="C1679" s="8" t="str">
        <x:v>Comunicatii oficiale AFIR</x:v>
      </x:c>
      <x:c r="D1679" s="8" t="str">
        <x:v>Proiect fotovoltaic</x:v>
      </x:c>
      <x:c r="E1679" s="8" t="str">
        <x:v>.txt</x:v>
      </x:c>
      <x:c r="F1679" s="8" t="n">
        <x:v>511</x:v>
      </x:c>
      <x:c r="G1679" s="8" t="str">
        <x:v>Text extras</x:v>
      </x:c>
      <x:c r="H1679" s="8" t="str">
        <x:v>Document local; transmiterea individuală neconfirmată</x:v>
      </x:c>
      <x:c r="I1679" s="8" t="str"/>
      <x:c r="J1679" s="8" t="e">
        <x:f>HYPERLINK("file:///Z:/00. Proiecte 2025/AFIR FotoVoltaic 1/Comunicatii oficiale AFIR/Emailuri/07_2026-05-08_0958_Transmitere Documentatie Cesiro Production/email.txt","Deschide sursa")</x:f>
        <x:v>HYPERLINK is not implemented. linkLocation=file:///Z:/00. Proiecte 2025/AFIR FotoVoltaic 1/Comunicatii oficiale AFIR/Emailuri/07_2026-05-08_0958_Transmitere Documentatie Cesiro Production/email.txt, friendlyName=Deschide sursa</x:v>
      </x:c>
    </x:row>
    <x:row r="1680" ht="36" customHeight="1">
      <x:c r="A1680" s="8" t="str">
        <x:v>F1676</x:v>
      </x:c>
      <x:c r="B1680" s="8" t="str">
        <x:v>email.html</x:v>
      </x:c>
      <x:c r="C1680" s="8" t="str">
        <x:v>Comunicatii oficiale AFIR</x:v>
      </x:c>
      <x:c r="D1680" s="8" t="str">
        <x:v>Proiect fotovoltaic</x:v>
      </x:c>
      <x:c r="E1680" s="8" t="str">
        <x:v>.html</x:v>
      </x:c>
      <x:c r="F1680" s="8" t="n">
        <x:v>1215</x:v>
      </x:c>
      <x:c r="G1680" s="8" t="str">
        <x:v>Inventariat; conținut neextras</x:v>
      </x:c>
      <x:c r="H1680" s="8" t="str">
        <x:v>Document local; transmiterea individuală neconfirmată</x:v>
      </x:c>
      <x:c r="I1680" s="8" t="str"/>
      <x:c r="J1680" s="8" t="e">
        <x:f>HYPERLINK("file:///Z:/00. Proiecte 2025/AFIR FotoVoltaic 1/Comunicatii oficiale AFIR/Emailuri/08_2026-05-08_1037_Re_ Transmitere Documentatie Cesiro Production/email.html","Deschide sursa")</x:f>
        <x:v>HYPERLINK is not implemented. linkLocation=file:///Z:/00. Proiecte 2025/AFIR FotoVoltaic 1/Comunicatii oficiale AFIR/Emailuri/08_2026-05-08_1037_Re_ Transmitere Documentatie Cesiro Production/email.html, friendlyName=Deschide sursa</x:v>
      </x:c>
    </x:row>
    <x:row r="1681" ht="36" customHeight="1">
      <x:c r="A1681" s="8" t="str">
        <x:v>F1677</x:v>
      </x:c>
      <x:c r="B1681" s="8" t="str">
        <x:v>email.txt</x:v>
      </x:c>
      <x:c r="C1681" s="8" t="str">
        <x:v>Comunicatii oficiale AFIR</x:v>
      </x:c>
      <x:c r="D1681" s="8" t="str">
        <x:v>Proiect fotovoltaic</x:v>
      </x:c>
      <x:c r="E1681" s="8" t="str">
        <x:v>.txt</x:v>
      </x:c>
      <x:c r="F1681" s="8" t="n">
        <x:v>436</x:v>
      </x:c>
      <x:c r="G1681" s="8" t="str">
        <x:v>Text extras</x:v>
      </x:c>
      <x:c r="H1681" s="8" t="str">
        <x:v>Document local; transmiterea individuală neconfirmată</x:v>
      </x:c>
      <x:c r="I1681" s="8" t="str"/>
      <x:c r="J1681" s="8" t="e">
        <x:f>HYPERLINK("file:///Z:/00. Proiecte 2025/AFIR FotoVoltaic 1/Comunicatii oficiale AFIR/Emailuri/08_2026-05-08_1037_Re_ Transmitere Documentatie Cesiro Production/email.txt","Deschide sursa")</x:f>
        <x:v>HYPERLINK is not implemented. linkLocation=file:///Z:/00. Proiecte 2025/AFIR FotoVoltaic 1/Comunicatii oficiale AFIR/Emailuri/08_2026-05-08_1037_Re_ Transmitere Documentatie Cesiro Production/email.txt, friendlyName=Deschide sursa</x:v>
      </x:c>
    </x:row>
    <x:row r="1682" ht="36" customHeight="1">
      <x:c r="A1682" s="8" t="str">
        <x:v>F1678</x:v>
      </x:c>
      <x:c r="B1682" s="8" t="str">
        <x:v>email.html</x:v>
      </x:c>
      <x:c r="C1682" s="8" t="str">
        <x:v>Comunicatii oficiale AFIR</x:v>
      </x:c>
      <x:c r="D1682" s="8" t="str">
        <x:v>Proiect fotovoltaic</x:v>
      </x:c>
      <x:c r="E1682" s="8" t="str">
        <x:v>.html</x:v>
      </x:c>
      <x:c r="F1682" s="8" t="n">
        <x:v>1757</x:v>
      </x:c>
      <x:c r="G1682" s="8" t="str">
        <x:v>Inventariat; conținut neextras</x:v>
      </x:c>
      <x:c r="H1682" s="8" t="str">
        <x:v>Document local; transmiterea individuală neconfirmată</x:v>
      </x:c>
      <x:c r="I1682" s="8" t="str"/>
      <x:c r="J1682" s="8" t="e">
        <x:f>HYPERLINK("file:///Z:/00. Proiecte 2025/AFIR FotoVoltaic 1/Comunicatii oficiale AFIR/Emailuri/09_2026-05-08_1307_Nota privind modificarea solicitata/email.html","Deschide sursa")</x:f>
        <x:v>HYPERLINK is not implemented. linkLocation=file:///Z:/00. Proiecte 2025/AFIR FotoVoltaic 1/Comunicatii oficiale AFIR/Emailuri/09_2026-05-08_1307_Nota privind modificarea solicitata/email.html, friendlyName=Deschide sursa</x:v>
      </x:c>
    </x:row>
    <x:row r="1683" ht="36" customHeight="1">
      <x:c r="A1683" s="8" t="str">
        <x:v>F1679</x:v>
      </x:c>
      <x:c r="B1683" s="8" t="str">
        <x:v>email.txt</x:v>
      </x:c>
      <x:c r="C1683" s="8" t="str">
        <x:v>Comunicatii oficiale AFIR</x:v>
      </x:c>
      <x:c r="D1683" s="8" t="str">
        <x:v>Proiect fotovoltaic</x:v>
      </x:c>
      <x:c r="E1683" s="8" t="str">
        <x:v>.txt</x:v>
      </x:c>
      <x:c r="F1683" s="8" t="n">
        <x:v>1066</x:v>
      </x:c>
      <x:c r="G1683" s="8" t="str">
        <x:v>Text extras</x:v>
      </x:c>
      <x:c r="H1683" s="8" t="str">
        <x:v>Document local; transmiterea individuală neconfirmată</x:v>
      </x:c>
      <x:c r="I1683" s="8" t="str"/>
      <x:c r="J1683" s="8" t="e">
        <x:f>HYPERLINK("file:///Z:/00. Proiecte 2025/AFIR FotoVoltaic 1/Comunicatii oficiale AFIR/Emailuri/09_2026-05-08_1307_Nota privind modificarea solicitata/email.txt","Deschide sursa")</x:f>
        <x:v>HYPERLINK is not implemented. linkLocation=file:///Z:/00. Proiecte 2025/AFIR FotoVoltaic 1/Comunicatii oficiale AFIR/Emailuri/09_2026-05-08_1307_Nota privind modificarea solicitata/email.txt, friendlyName=Deschide sursa</x:v>
      </x:c>
    </x:row>
    <x:row r="1684" ht="36" customHeight="1">
      <x:c r="A1684" s="8" t="str">
        <x:v>F1680</x:v>
      </x:c>
      <x:c r="B1684" s="8" t="str">
        <x:v>email.html</x:v>
      </x:c>
      <x:c r="C1684" s="8" t="str">
        <x:v>Comunicatii oficiale AFIR</x:v>
      </x:c>
      <x:c r="D1684" s="8" t="str">
        <x:v>Proiect fotovoltaic</x:v>
      </x:c>
      <x:c r="E1684" s="8" t="str">
        <x:v>.html</x:v>
      </x:c>
      <x:c r="F1684" s="8" t="n">
        <x:v>930</x:v>
      </x:c>
      <x:c r="G1684" s="8" t="str">
        <x:v>Inventariat; conținut neextras</x:v>
      </x:c>
      <x:c r="H1684" s="8" t="str">
        <x:v>Document local; transmiterea individuală neconfirmată</x:v>
      </x:c>
      <x:c r="I1684" s="8" t="str"/>
      <x:c r="J1684" s="8" t="e">
        <x:f>HYPERLINK("file:///Z:/00. Proiecte 2025/AFIR FotoVoltaic 1/Comunicatii oficiale AFIR/Emailuri/10_2026-05-08_1502_Confirmare_ NOTA DE APROBARE PRIVIND MODIFICAREA CONTRACTULUI DE/email.html","Deschide sursa")</x:f>
        <x:v>HYPERLINK is not implemented. linkLocation=file:///Z:/00. Proiecte 2025/AFIR FotoVoltaic 1/Comunicatii oficiale AFIR/Emailuri/10_2026-05-08_1502_Confirmare_ NOTA DE APROBARE PRIVIND MODIFICAREA CONTRACTULUI DE/email.html, friendlyName=Deschide sursa</x:v>
      </x:c>
    </x:row>
    <x:row r="1685" ht="36" customHeight="1">
      <x:c r="A1685" s="8" t="str">
        <x:v>F1681</x:v>
      </x:c>
      <x:c r="B1685" s="8" t="str">
        <x:v>email.txt</x:v>
      </x:c>
      <x:c r="C1685" s="8" t="str">
        <x:v>Comunicatii oficiale AFIR</x:v>
      </x:c>
      <x:c r="D1685" s="8" t="str">
        <x:v>Proiect fotovoltaic</x:v>
      </x:c>
      <x:c r="E1685" s="8" t="str">
        <x:v>.txt</x:v>
      </x:c>
      <x:c r="F1685" s="8" t="n">
        <x:v>459</x:v>
      </x:c>
      <x:c r="G1685" s="8" t="str">
        <x:v>Text extras</x:v>
      </x:c>
      <x:c r="H1685" s="8" t="str">
        <x:v>Document local; transmiterea individuală neconfirmată</x:v>
      </x:c>
      <x:c r="I1685" s="8" t="str"/>
      <x:c r="J1685" s="8" t="e">
        <x:f>HYPERLINK("file:///Z:/00. Proiecte 2025/AFIR FotoVoltaic 1/Comunicatii oficiale AFIR/Emailuri/10_2026-05-08_1502_Confirmare_ NOTA DE APROBARE PRIVIND MODIFICAREA CONTRACTULUI DE/email.txt","Deschide sursa")</x:f>
        <x:v>HYPERLINK is not implemented. linkLocation=file:///Z:/00. Proiecte 2025/AFIR FotoVoltaic 1/Comunicatii oficiale AFIR/Emailuri/10_2026-05-08_1502_Confirmare_ NOTA DE APROBARE PRIVIND MODIFICAREA CONTRACTULUI DE/email.txt, friendlyName=Deschide sursa</x:v>
      </x:c>
    </x:row>
    <x:row r="1686" ht="36" customHeight="1">
      <x:c r="A1686" s="8" t="str">
        <x:v>F1682</x:v>
      </x:c>
      <x:c r="B1686" s="8" t="str">
        <x:v>email.html</x:v>
      </x:c>
      <x:c r="C1686" s="8" t="str">
        <x:v>Comunicatii oficiale AFIR</x:v>
      </x:c>
      <x:c r="D1686" s="8" t="str">
        <x:v>Proiect fotovoltaic</x:v>
      </x:c>
      <x:c r="E1686" s="8" t="str">
        <x:v>.html</x:v>
      </x:c>
      <x:c r="F1686" s="8" t="n">
        <x:v>1018</x:v>
      </x:c>
      <x:c r="G1686" s="8" t="str">
        <x:v>Inventariat; conținut neextras</x:v>
      </x:c>
      <x:c r="H1686" s="8" t="str">
        <x:v>Document local; transmiterea individuală neconfirmată</x:v>
      </x:c>
      <x:c r="I1686" s="8" t="str"/>
      <x:c r="J1686" s="8" t="e">
        <x:f>HYPERLINK("file:///Z:/00. Proiecte 2025/AFIR FotoVoltaic 1/Comunicatii oficiale AFIR/Emailuri/11_2026-05-08_1504_Automatic reply_ Confirmare_ NOTA DE APROBARE PRIVIND MODIFICAREA/email.html","Deschide sursa")</x:f>
        <x:v>HYPERLINK is not implemented. linkLocation=file:///Z:/00. Proiecte 2025/AFIR FotoVoltaic 1/Comunicatii oficiale AFIR/Emailuri/11_2026-05-08_1504_Automatic reply_ Confirmare_ NOTA DE APROBARE PRIVIND MODIFICAREA/email.html, friendlyName=Deschide sursa</x:v>
      </x:c>
    </x:row>
    <x:row r="1687" ht="36" customHeight="1">
      <x:c r="A1687" s="8" t="str">
        <x:v>F1683</x:v>
      </x:c>
      <x:c r="B1687" s="8" t="str">
        <x:v>email.txt</x:v>
      </x:c>
      <x:c r="C1687" s="8" t="str">
        <x:v>Comunicatii oficiale AFIR</x:v>
      </x:c>
      <x:c r="D1687" s="8" t="str">
        <x:v>Proiect fotovoltaic</x:v>
      </x:c>
      <x:c r="E1687" s="8" t="str">
        <x:v>.txt</x:v>
      </x:c>
      <x:c r="F1687" s="8" t="n">
        <x:v>513</x:v>
      </x:c>
      <x:c r="G1687" s="8" t="str">
        <x:v>Text extras</x:v>
      </x:c>
      <x:c r="H1687" s="8" t="str">
        <x:v>Document local; transmiterea individuală neconfirmată</x:v>
      </x:c>
      <x:c r="I1687" s="8" t="str"/>
      <x:c r="J1687" s="8" t="e">
        <x:f>HYPERLINK("file:///Z:/00. Proiecte 2025/AFIR FotoVoltaic 1/Comunicatii oficiale AFIR/Emailuri/11_2026-05-08_1504_Automatic reply_ Confirmare_ NOTA DE APROBARE PRIVIND MODIFICAREA/email.txt","Deschide sursa")</x:f>
        <x:v>HYPERLINK is not implemented. linkLocation=file:///Z:/00. Proiecte 2025/AFIR FotoVoltaic 1/Comunicatii oficiale AFIR/Emailuri/11_2026-05-08_1504_Automatic reply_ Confirmare_ NOTA DE APROBARE PRIVIND MODIFICAREA/email.txt, friendlyName=Deschide sursa</x:v>
      </x:c>
    </x:row>
    <x:row r="1688" ht="36" customHeight="1">
      <x:c r="A1688" s="8" t="str">
        <x:v>F1684</x:v>
      </x:c>
      <x:c r="B1688" s="8" t="str">
        <x:v>email.html</x:v>
      </x:c>
      <x:c r="C1688" s="8" t="str">
        <x:v>Comunicatii oficiale AFIR</x:v>
      </x:c>
      <x:c r="D1688" s="8" t="str">
        <x:v>Proiect fotovoltaic</x:v>
      </x:c>
      <x:c r="E1688" s="8" t="str">
        <x:v>.html</x:v>
      </x:c>
      <x:c r="F1688" s="8" t="n">
        <x:v>1222</x:v>
      </x:c>
      <x:c r="G1688" s="8" t="str">
        <x:v>Inventariat; conținut neextras</x:v>
      </x:c>
      <x:c r="H1688" s="8" t="str">
        <x:v>Document local; transmiterea individuală neconfirmată</x:v>
      </x:c>
      <x:c r="I1688" s="8" t="str"/>
      <x:c r="J1688" s="8" t="e">
        <x:f>HYPERLINK("file:///Z:/00. Proiecte 2025/AFIR FotoVoltaic 1/Comunicatii oficiale AFIR/Emailuri/12_2026-05-22_1222_Re_ Transmitere Documentatie Cesiro Production/email.html","Deschide sursa")</x:f>
        <x:v>HYPERLINK is not implemented. linkLocation=file:///Z:/00. Proiecte 2025/AFIR FotoVoltaic 1/Comunicatii oficiale AFIR/Emailuri/12_2026-05-22_1222_Re_ Transmitere Documentatie Cesiro Production/email.html, friendlyName=Deschide sursa</x:v>
      </x:c>
    </x:row>
    <x:row r="1689" ht="36" customHeight="1">
      <x:c r="A1689" s="8" t="str">
        <x:v>F1685</x:v>
      </x:c>
      <x:c r="B1689" s="8" t="str">
        <x:v>email.txt</x:v>
      </x:c>
      <x:c r="C1689" s="8" t="str">
        <x:v>Comunicatii oficiale AFIR</x:v>
      </x:c>
      <x:c r="D1689" s="8" t="str">
        <x:v>Proiect fotovoltaic</x:v>
      </x:c>
      <x:c r="E1689" s="8" t="str">
        <x:v>.txt</x:v>
      </x:c>
      <x:c r="F1689" s="8" t="n">
        <x:v>443</x:v>
      </x:c>
      <x:c r="G1689" s="8" t="str">
        <x:v>Text extras</x:v>
      </x:c>
      <x:c r="H1689" s="8" t="str">
        <x:v>Document local; transmiterea individuală neconfirmată</x:v>
      </x:c>
      <x:c r="I1689" s="8" t="str"/>
      <x:c r="J1689" s="8" t="e">
        <x:f>HYPERLINK("file:///Z:/00. Proiecte 2025/AFIR FotoVoltaic 1/Comunicatii oficiale AFIR/Emailuri/12_2026-05-22_1222_Re_ Transmitere Documentatie Cesiro Production/email.txt","Deschide sursa")</x:f>
        <x:v>HYPERLINK is not implemented. linkLocation=file:///Z:/00. Proiecte 2025/AFIR FotoVoltaic 1/Comunicatii oficiale AFIR/Emailuri/12_2026-05-22_1222_Re_ Transmitere Documentatie Cesiro Production/email.txt, friendlyName=Deschide sursa</x:v>
      </x:c>
    </x:row>
    <x:row r="1690" ht="36" customHeight="1">
      <x:c r="A1690" s="8" t="str">
        <x:v>F1686</x:v>
      </x:c>
      <x:c r="B1690" s="8" t="str">
        <x:v>email.html</x:v>
      </x:c>
      <x:c r="C1690" s="8" t="str">
        <x:v>Comunicatii oficiale AFIR</x:v>
      </x:c>
      <x:c r="D1690" s="8" t="str">
        <x:v>Proiect fotovoltaic</x:v>
      </x:c>
      <x:c r="E1690" s="8" t="str">
        <x:v>.html</x:v>
      </x:c>
      <x:c r="F1690" s="8" t="n">
        <x:v>937</x:v>
      </x:c>
      <x:c r="G1690" s="8" t="str">
        <x:v>Inventariat; conținut neextras</x:v>
      </x:c>
      <x:c r="H1690" s="8" t="str">
        <x:v>Document local; transmiterea individuală neconfirmată</x:v>
      </x:c>
      <x:c r="I1690" s="8" t="str"/>
      <x:c r="J1690" s="8" t="e">
        <x:f>HYPERLINK("file:///Z:/00. Proiecte 2025/AFIR FotoVoltaic 1/Comunicatii oficiale AFIR/Emailuri/13_2026-05-22_1222_Confirmare_ NOTA DE APROBARE PRIVIND MODIFICAREA CONTRACTULUI DE/email.html","Deschide sursa")</x:f>
        <x:v>HYPERLINK is not implemented. linkLocation=file:///Z:/00. Proiecte 2025/AFIR FotoVoltaic 1/Comunicatii oficiale AFIR/Emailuri/13_2026-05-22_1222_Confirmare_ NOTA DE APROBARE PRIVIND MODIFICAREA CONTRACTULUI DE/email.html, friendlyName=Deschide sursa</x:v>
      </x:c>
    </x:row>
    <x:row r="1691" ht="36" customHeight="1">
      <x:c r="A1691" s="8" t="str">
        <x:v>F1687</x:v>
      </x:c>
      <x:c r="B1691" s="8" t="str">
        <x:v>email.txt</x:v>
      </x:c>
      <x:c r="C1691" s="8" t="str">
        <x:v>Comunicatii oficiale AFIR</x:v>
      </x:c>
      <x:c r="D1691" s="8" t="str">
        <x:v>Proiect fotovoltaic</x:v>
      </x:c>
      <x:c r="E1691" s="8" t="str">
        <x:v>.txt</x:v>
      </x:c>
      <x:c r="F1691" s="8" t="n">
        <x:v>466</x:v>
      </x:c>
      <x:c r="G1691" s="8" t="str">
        <x:v>Text extras</x:v>
      </x:c>
      <x:c r="H1691" s="8" t="str">
        <x:v>Document local; transmiterea individuală neconfirmată</x:v>
      </x:c>
      <x:c r="I1691" s="8" t="str"/>
      <x:c r="J1691" s="8" t="e">
        <x:f>HYPERLINK("file:///Z:/00. Proiecte 2025/AFIR FotoVoltaic 1/Comunicatii oficiale AFIR/Emailuri/13_2026-05-22_1222_Confirmare_ NOTA DE APROBARE PRIVIND MODIFICAREA CONTRACTULUI DE/email.txt","Deschide sursa")</x:f>
        <x:v>HYPERLINK is not implemented. linkLocation=file:///Z:/00. Proiecte 2025/AFIR FotoVoltaic 1/Comunicatii oficiale AFIR/Emailuri/13_2026-05-22_1222_Confirmare_ NOTA DE APROBARE PRIVIND MODIFICAREA CONTRACTULUI DE/email.txt, friendlyName=Deschide sursa</x:v>
      </x:c>
    </x:row>
    <x:row r="1692" ht="36" customHeight="1">
      <x:c r="A1692" s="8" t="str">
        <x:v>F1688</x:v>
      </x:c>
      <x:c r="B1692" s="8" t="str">
        <x:v>email.html</x:v>
      </x:c>
      <x:c r="C1692" s="8" t="str">
        <x:v>Comunicatii oficiale AFIR</x:v>
      </x:c>
      <x:c r="D1692" s="8" t="str">
        <x:v>Proiect fotovoltaic</x:v>
      </x:c>
      <x:c r="E1692" s="8" t="str">
        <x:v>.html</x:v>
      </x:c>
      <x:c r="F1692" s="8" t="n">
        <x:v>1012</x:v>
      </x:c>
      <x:c r="G1692" s="8" t="str">
        <x:v>Inventariat; conținut neextras</x:v>
      </x:c>
      <x:c r="H1692" s="8" t="str">
        <x:v>Document local; transmiterea individuală neconfirmată</x:v>
      </x:c>
      <x:c r="I1692" s="8" t="str"/>
      <x:c r="J1692" s="8" t="e">
        <x:f>HYPERLINK("file:///Z:/00. Proiecte 2025/AFIR FotoVoltaic 1/Comunicatii oficiale AFIR/Emailuri/14_2026-05-22_1222_Transmitere Documentatie Cesiro Production/email.html","Deschide sursa")</x:f>
        <x:v>HYPERLINK is not implemented. linkLocation=file:///Z:/00. Proiecte 2025/AFIR FotoVoltaic 1/Comunicatii oficiale AFIR/Emailuri/14_2026-05-22_1222_Transmitere Documentatie Cesiro Production/email.html, friendlyName=Deschide sursa</x:v>
      </x:c>
    </x:row>
    <x:row r="1693" ht="36" customHeight="1">
      <x:c r="A1693" s="8" t="str">
        <x:v>F1689</x:v>
      </x:c>
      <x:c r="B1693" s="8" t="str">
        <x:v>email.txt</x:v>
      </x:c>
      <x:c r="C1693" s="8" t="str">
        <x:v>Comunicatii oficiale AFIR</x:v>
      </x:c>
      <x:c r="D1693" s="8" t="str">
        <x:v>Proiect fotovoltaic</x:v>
      </x:c>
      <x:c r="E1693" s="8" t="str">
        <x:v>.txt</x:v>
      </x:c>
      <x:c r="F1693" s="8" t="n">
        <x:v>518</x:v>
      </x:c>
      <x:c r="G1693" s="8" t="str">
        <x:v>Text extras</x:v>
      </x:c>
      <x:c r="H1693" s="8" t="str">
        <x:v>Document local; transmiterea individuală neconfirmată</x:v>
      </x:c>
      <x:c r="I1693" s="8" t="str"/>
      <x:c r="J1693" s="8" t="e">
        <x:f>HYPERLINK("file:///Z:/00. Proiecte 2025/AFIR FotoVoltaic 1/Comunicatii oficiale AFIR/Emailuri/14_2026-05-22_1222_Transmitere Documentatie Cesiro Production/email.txt","Deschide sursa")</x:f>
        <x:v>HYPERLINK is not implemented. linkLocation=file:///Z:/00. Proiecte 2025/AFIR FotoVoltaic 1/Comunicatii oficiale AFIR/Emailuri/14_2026-05-22_1222_Transmitere Documentatie Cesiro Production/email.txt, friendlyName=Deschide sursa</x:v>
      </x:c>
    </x:row>
    <x:row r="1694" ht="36" customHeight="1">
      <x:c r="A1694" s="8" t="str">
        <x:v>F1690</x:v>
      </x:c>
      <x:c r="B1694" s="8" t="str">
        <x:v>email.html</x:v>
      </x:c>
      <x:c r="C1694" s="8" t="str">
        <x:v>Comunicatii oficiale AFIR</x:v>
      </x:c>
      <x:c r="D1694" s="8" t="str">
        <x:v>Proiect fotovoltaic</x:v>
      </x:c>
      <x:c r="E1694" s="8" t="str">
        <x:v>.html</x:v>
      </x:c>
      <x:c r="F1694" s="8" t="n">
        <x:v>1670</x:v>
      </x:c>
      <x:c r="G1694" s="8" t="str">
        <x:v>Inventariat; conținut neextras</x:v>
      </x:c>
      <x:c r="H1694" s="8" t="str">
        <x:v>Document local; transmiterea individuală neconfirmată</x:v>
      </x:c>
      <x:c r="I1694" s="8" t="str"/>
      <x:c r="J1694" s="8" t="e">
        <x:f>HYPERLINK("file:///Z:/00. Proiecte 2025/AFIR FotoVoltaic 1/Comunicatii oficiale AFIR/Emailuri/15_2026-08-07_1155_Notificare de neacceptare a modificarilor prin act aditional/email.html","Deschide sursa")</x:f>
        <x:v>HYPERLINK is not implemented. linkLocation=file:///Z:/00. Proiecte 2025/AFIR FotoVoltaic 1/Comunicatii oficiale AFIR/Emailuri/15_2026-08-07_1155_Notificare de neacceptare a modificarilor prin act aditional/email.html, friendlyName=Deschide sursa</x:v>
      </x:c>
    </x:row>
    <x:row r="1695" ht="36" customHeight="1">
      <x:c r="A1695" s="8" t="str">
        <x:v>F1691</x:v>
      </x:c>
      <x:c r="B1695" s="8" t="str">
        <x:v>email.txt</x:v>
      </x:c>
      <x:c r="C1695" s="8" t="str">
        <x:v>Comunicatii oficiale AFIR</x:v>
      </x:c>
      <x:c r="D1695" s="8" t="str">
        <x:v>Proiect fotovoltaic</x:v>
      </x:c>
      <x:c r="E1695" s="8" t="str">
        <x:v>.txt</x:v>
      </x:c>
      <x:c r="F1695" s="8" t="n">
        <x:v>1083</x:v>
      </x:c>
      <x:c r="G1695" s="8" t="str">
        <x:v>Text extras</x:v>
      </x:c>
      <x:c r="H1695" s="8" t="str">
        <x:v>Document local; transmiterea individuală neconfirmată</x:v>
      </x:c>
      <x:c r="I1695" s="8" t="str"/>
      <x:c r="J1695" s="8" t="e">
        <x:f>HYPERLINK("file:///Z:/00. Proiecte 2025/AFIR FotoVoltaic 1/Comunicatii oficiale AFIR/Emailuri/15_2026-08-07_1155_Notificare de neacceptare a modificarilor prin act aditional/email.txt","Deschide sursa")</x:f>
        <x:v>HYPERLINK is not implemented. linkLocation=file:///Z:/00. Proiecte 2025/AFIR FotoVoltaic 1/Comunicatii oficiale AFIR/Emailuri/15_2026-08-07_1155_Notificare de neacceptare a modificarilor prin act aditional/email.txt, friendlyName=Deschide sursa</x:v>
      </x:c>
    </x:row>
    <x:row r="1696" ht="36" customHeight="1">
      <x:c r="A1696" s="8" t="str">
        <x:v>F1692</x:v>
      </x:c>
      <x:c r="B1696" s="8" t="str">
        <x:v>email.html</x:v>
      </x:c>
      <x:c r="C1696" s="8" t="str">
        <x:v>Comunicatii oficiale AFIR</x:v>
      </x:c>
      <x:c r="D1696" s="8" t="str">
        <x:v>Proiect fotovoltaic</x:v>
      </x:c>
      <x:c r="E1696" s="8" t="str">
        <x:v>.html</x:v>
      </x:c>
      <x:c r="F1696" s="8" t="n">
        <x:v>774</x:v>
      </x:c>
      <x:c r="G1696" s="8" t="str">
        <x:v>Inventariat; conținut neextras</x:v>
      </x:c>
      <x:c r="H1696" s="8" t="str">
        <x:v>Document local; transmiterea individuală neconfirmată</x:v>
      </x:c>
      <x:c r="I1696" s="8" t="str"/>
      <x:c r="J1696" s="8" t="e">
        <x:f>HYPERLINK("file:///Z:/00. Proiecte 2025/AFIR FotoVoltaic 1/Comunicatii oficiale AFIR/Emailuri/16_2026-08-13_1657_AFIR – Comunicare verificare grafic de esalonare/email.html","Deschide sursa")</x:f>
        <x:v>HYPERLINK is not implemented. linkLocation=file:///Z:/00. Proiecte 2025/AFIR FotoVoltaic 1/Comunicatii oficiale AFIR/Emailuri/16_2026-08-13_1657_AFIR – Comunicare verificare grafic de esalonare/email.html, friendlyName=Deschide sursa</x:v>
      </x:c>
    </x:row>
    <x:row r="1697" ht="36" customHeight="1">
      <x:c r="A1697" s="8" t="str">
        <x:v>F1693</x:v>
      </x:c>
      <x:c r="B1697" s="8" t="str">
        <x:v>email.txt</x:v>
      </x:c>
      <x:c r="C1697" s="8" t="str">
        <x:v>Comunicatii oficiale AFIR</x:v>
      </x:c>
      <x:c r="D1697" s="8" t="str">
        <x:v>Proiect fotovoltaic</x:v>
      </x:c>
      <x:c r="E1697" s="8" t="str">
        <x:v>.txt</x:v>
      </x:c>
      <x:c r="F1697" s="8" t="n">
        <x:v>361</x:v>
      </x:c>
      <x:c r="G1697" s="8" t="str">
        <x:v>Text extras</x:v>
      </x:c>
      <x:c r="H1697" s="8" t="str">
        <x:v>Document local; transmiterea individuală neconfirmată</x:v>
      </x:c>
      <x:c r="I1697" s="8" t="str"/>
      <x:c r="J1697" s="8" t="e">
        <x:f>HYPERLINK("file:///Z:/00. Proiecte 2025/AFIR FotoVoltaic 1/Comunicatii oficiale AFIR/Emailuri/16_2026-08-13_1657_AFIR – Comunicare verificare grafic de esalonare/email.txt","Deschide sursa")</x:f>
        <x:v>HYPERLINK is not implemented. linkLocation=file:///Z:/00. Proiecte 2025/AFIR FotoVoltaic 1/Comunicatii oficiale AFIR/Emailuri/16_2026-08-13_1657_AFIR – Comunicare verificare grafic de esalonare/email.txt, friendlyName=Deschide sursa</x:v>
      </x:c>
    </x:row>
    <x:row r="1698" ht="36" customHeight="1">
      <x:c r="A1698" s="8" t="str">
        <x:v>F1694</x:v>
      </x:c>
      <x:c r="B1698" s="8" t="str">
        <x:v>email.html</x:v>
      </x:c>
      <x:c r="C1698" s="8" t="str">
        <x:v>Comunicatii oficiale AFIR</x:v>
      </x:c>
      <x:c r="D1698" s="8" t="str">
        <x:v>Proiect fotovoltaic</x:v>
      </x:c>
      <x:c r="E1698" s="8" t="str">
        <x:v>.html</x:v>
      </x:c>
      <x:c r="F1698" s="8" t="n">
        <x:v>1368</x:v>
      </x:c>
      <x:c r="G1698" s="8" t="str">
        <x:v>Inventariat; conținut neextras</x:v>
      </x:c>
      <x:c r="H1698" s="8" t="str">
        <x:v>Document local; transmiterea individuală neconfirmată</x:v>
      </x:c>
      <x:c r="I1698" s="8" t="str"/>
      <x:c r="J1698" s="8" t="e">
        <x:f>HYPERLINK("file:///Z:/00. Proiecte 2025/AFIR FotoVoltaic 1/Comunicatii oficiale AFIR/Emailuri/17_2026-09-07_1625_AFIR – Notificare nota de convocare/email.html","Deschide sursa")</x:f>
        <x:v>HYPERLINK is not implemented. linkLocation=file:///Z:/00. Proiecte 2025/AFIR FotoVoltaic 1/Comunicatii oficiale AFIR/Emailuri/17_2026-09-07_1625_AFIR – Notificare nota de convocare/email.html, friendlyName=Deschide sursa</x:v>
      </x:c>
    </x:row>
    <x:row r="1699" ht="36" customHeight="1">
      <x:c r="A1699" s="8" t="str">
        <x:v>F1695</x:v>
      </x:c>
      <x:c r="B1699" s="8" t="str">
        <x:v>email.txt</x:v>
      </x:c>
      <x:c r="C1699" s="8" t="str">
        <x:v>Comunicatii oficiale AFIR</x:v>
      </x:c>
      <x:c r="D1699" s="8" t="str">
        <x:v>Proiect fotovoltaic</x:v>
      </x:c>
      <x:c r="E1699" s="8" t="str">
        <x:v>.txt</x:v>
      </x:c>
      <x:c r="F1699" s="8" t="n">
        <x:v>820</x:v>
      </x:c>
      <x:c r="G1699" s="8" t="str">
        <x:v>Text extras</x:v>
      </x:c>
      <x:c r="H1699" s="8" t="str">
        <x:v>Document local; transmiterea individuală neconfirmată</x:v>
      </x:c>
      <x:c r="I1699" s="8" t="str"/>
      <x:c r="J1699" s="8" t="e">
        <x:f>HYPERLINK("file:///Z:/00. Proiecte 2025/AFIR FotoVoltaic 1/Comunicatii oficiale AFIR/Emailuri/17_2026-09-07_1625_AFIR – Notificare nota de convocare/email.txt","Deschide sursa")</x:f>
        <x:v>HYPERLINK is not implemented. linkLocation=file:///Z:/00. Proiecte 2025/AFIR FotoVoltaic 1/Comunicatii oficiale AFIR/Emailuri/17_2026-09-07_1625_AFIR – Notificare nota de convocare/email.txt, friendlyName=Deschide sursa</x:v>
      </x:c>
    </x:row>
    <x:row r="1700" ht="36" customHeight="1">
      <x:c r="A1700" s="8" t="str">
        <x:v>F1696</x:v>
      </x:c>
      <x:c r="B1700" s="8" t="str">
        <x:v>email.html</x:v>
      </x:c>
      <x:c r="C1700" s="8" t="str">
        <x:v>Comunicatii oficiale AFIR</x:v>
      </x:c>
      <x:c r="D1700" s="8" t="str">
        <x:v>Proiect fotovoltaic</x:v>
      </x:c>
      <x:c r="E1700" s="8" t="str">
        <x:v>.html</x:v>
      </x:c>
      <x:c r="F1700" s="8" t="n">
        <x:v>2171</x:v>
      </x:c>
      <x:c r="G1700" s="8" t="str">
        <x:v>Inventariat; conținut neextras</x:v>
      </x:c>
      <x:c r="H1700" s="8" t="str">
        <x:v>Document local; transmiterea individuală neconfirmată</x:v>
      </x:c>
      <x:c r="I1700" s="8" t="str"/>
      <x:c r="J1700" s="8" t="e">
        <x:f>HYPERLINK("file:///Z:/00. Proiecte 2025/AFIR FotoVoltaic 1/Comunicatii oficiale AFIR/Emailuri/18_2026-09-29_1147_Solicitare informatii suplimentare/email.html","Deschide sursa")</x:f>
        <x:v>HYPERLINK is not implemented. linkLocation=file:///Z:/00. Proiecte 2025/AFIR FotoVoltaic 1/Comunicatii oficiale AFIR/Emailuri/18_2026-09-29_1147_Solicitare informatii suplimentare/email.html, friendlyName=Deschide sursa</x:v>
      </x:c>
    </x:row>
    <x:row r="1701" ht="36" customHeight="1">
      <x:c r="A1701" s="8" t="str">
        <x:v>F1697</x:v>
      </x:c>
      <x:c r="B1701" s="8" t="str">
        <x:v>email.txt</x:v>
      </x:c>
      <x:c r="C1701" s="8" t="str">
        <x:v>Comunicatii oficiale AFIR</x:v>
      </x:c>
      <x:c r="D1701" s="8" t="str">
        <x:v>Proiect fotovoltaic</x:v>
      </x:c>
      <x:c r="E1701" s="8" t="str">
        <x:v>.txt</x:v>
      </x:c>
      <x:c r="F1701" s="8" t="n">
        <x:v>1410</x:v>
      </x:c>
      <x:c r="G1701" s="8" t="str">
        <x:v>Text extras</x:v>
      </x:c>
      <x:c r="H1701" s="8" t="str">
        <x:v>Document local; transmiterea individuală neconfirmată</x:v>
      </x:c>
      <x:c r="I1701" s="8" t="str"/>
      <x:c r="J1701" s="8" t="e">
        <x:f>HYPERLINK("file:///Z:/00. Proiecte 2025/AFIR FotoVoltaic 1/Comunicatii oficiale AFIR/Emailuri/18_2026-09-29_1147_Solicitare informatii suplimentare/email.txt","Deschide sursa")</x:f>
        <x:v>HYPERLINK is not implemented. linkLocation=file:///Z:/00. Proiecte 2025/AFIR FotoVoltaic 1/Comunicatii oficiale AFIR/Emailuri/18_2026-09-29_1147_Solicitare informatii suplimentare/email.txt, friendlyName=Deschide sursa</x:v>
      </x:c>
    </x:row>
    <x:row r="1702" ht="36" customHeight="1">
      <x:c r="A1702" s="8" t="str">
        <x:v>F1698</x:v>
      </x:c>
      <x:c r="B1702" s="8" t="str">
        <x:v>email.html</x:v>
      </x:c>
      <x:c r="C1702" s="8" t="str">
        <x:v>Comunicatii oficiale AFIR</x:v>
      </x:c>
      <x:c r="D1702" s="8" t="str">
        <x:v>Proiect fotovoltaic</x:v>
      </x:c>
      <x:c r="E1702" s="8" t="str">
        <x:v>.html</x:v>
      </x:c>
      <x:c r="F1702" s="8" t="n">
        <x:v>2806</x:v>
      </x:c>
      <x:c r="G1702" s="8" t="str">
        <x:v>Inventariat; conținut neextras</x:v>
      </x:c>
      <x:c r="H1702" s="8" t="str">
        <x:v>Document local; transmiterea individuală neconfirmată</x:v>
      </x:c>
      <x:c r="I1702" s="8" t="str"/>
      <x:c r="J1702" s="8" t="e">
        <x:f>HYPERLINK("file:///Z:/00. Proiecte 2025/AFIR FotoVoltaic 1/Comunicatii oficiale AFIR/Emailuri/19_2026-09-29_1305_Fwd_ Solicitare informatii suplimentare/email.html","Deschide sursa")</x:f>
        <x:v>HYPERLINK is not implemented. linkLocation=file:///Z:/00. Proiecte 2025/AFIR FotoVoltaic 1/Comunicatii oficiale AFIR/Emailuri/19_2026-09-29_1305_Fwd_ Solicitare informatii suplimentare/email.html, friendlyName=Deschide sursa</x:v>
      </x:c>
    </x:row>
    <x:row r="1703" ht="36" customHeight="1">
      <x:c r="A1703" s="8" t="str">
        <x:v>F1699</x:v>
      </x:c>
      <x:c r="B1703" s="8" t="str">
        <x:v>email.txt</x:v>
      </x:c>
      <x:c r="C1703" s="8" t="str">
        <x:v>Comunicatii oficiale AFIR</x:v>
      </x:c>
      <x:c r="D1703" s="8" t="str">
        <x:v>Proiect fotovoltaic</x:v>
      </x:c>
      <x:c r="E1703" s="8" t="str">
        <x:v>.txt</x:v>
      </x:c>
      <x:c r="F1703" s="8" t="n">
        <x:v>2023</x:v>
      </x:c>
      <x:c r="G1703" s="8" t="str">
        <x:v>Text extras</x:v>
      </x:c>
      <x:c r="H1703" s="8" t="str">
        <x:v>Document local; transmiterea individuală neconfirmată</x:v>
      </x:c>
      <x:c r="I1703" s="8" t="str"/>
      <x:c r="J1703" s="8" t="e">
        <x:f>HYPERLINK("file:///Z:/00. Proiecte 2025/AFIR FotoVoltaic 1/Comunicatii oficiale AFIR/Emailuri/19_2026-09-29_1305_Fwd_ Solicitare informatii suplimentare/email.txt","Deschide sursa")</x:f>
        <x:v>HYPERLINK is not implemented. linkLocation=file:///Z:/00. Proiecte 2025/AFIR FotoVoltaic 1/Comunicatii oficiale AFIR/Emailuri/19_2026-09-29_1305_Fwd_ Solicitare informatii suplimentare/email.txt, friendlyName=Deschide sursa</x:v>
      </x:c>
    </x:row>
    <x:row r="1704" ht="36" customHeight="1">
      <x:c r="A1704" s="8" t="str">
        <x:v>F1700</x:v>
      </x:c>
      <x:c r="B1704" s="8" t="str">
        <x:v>email.html</x:v>
      </x:c>
      <x:c r="C1704" s="8" t="str">
        <x:v>Comunicatii oficiale AFIR</x:v>
      </x:c>
      <x:c r="D1704" s="8" t="str">
        <x:v>Proiect fotovoltaic</x:v>
      </x:c>
      <x:c r="E1704" s="8" t="str">
        <x:v>.html</x:v>
      </x:c>
      <x:c r="F1704" s="8" t="n">
        <x:v>3006</x:v>
      </x:c>
      <x:c r="G1704" s="8" t="str">
        <x:v>Inventariat; conținut neextras</x:v>
      </x:c>
      <x:c r="H1704" s="8" t="str">
        <x:v>Document local; transmiterea individuală neconfirmată</x:v>
      </x:c>
      <x:c r="I1704" s="8" t="str"/>
      <x:c r="J1704" s="8" t="e">
        <x:f>HYPERLINK("file:///Z:/00. Proiecte 2025/AFIR FotoVoltaic 1/Comunicatii oficiale AFIR/Emailuri/20_2026-09-29_1443_RE_ Solicitare informatii suplimentare/email.html","Deschide sursa")</x:f>
        <x:v>HYPERLINK is not implemented. linkLocation=file:///Z:/00. Proiecte 2025/AFIR FotoVoltaic 1/Comunicatii oficiale AFIR/Emailuri/20_2026-09-29_1443_RE_ Solicitare informatii suplimentare/email.html, friendlyName=Deschide sursa</x:v>
      </x:c>
    </x:row>
    <x:row r="1705" ht="36" customHeight="1">
      <x:c r="A1705" s="8" t="str">
        <x:v>F1701</x:v>
      </x:c>
      <x:c r="B1705" s="8" t="str">
        <x:v>email.txt</x:v>
      </x:c>
      <x:c r="C1705" s="8" t="str">
        <x:v>Comunicatii oficiale AFIR</x:v>
      </x:c>
      <x:c r="D1705" s="8" t="str">
        <x:v>Proiect fotovoltaic</x:v>
      </x:c>
      <x:c r="E1705" s="8" t="str">
        <x:v>.txt</x:v>
      </x:c>
      <x:c r="F1705" s="8" t="n">
        <x:v>2567</x:v>
      </x:c>
      <x:c r="G1705" s="8" t="str">
        <x:v>Text extras</x:v>
      </x:c>
      <x:c r="H1705" s="8" t="str">
        <x:v>Document local; transmiterea individuală neconfirmată</x:v>
      </x:c>
      <x:c r="I1705" s="8" t="str"/>
      <x:c r="J1705" s="8" t="e">
        <x:f>HYPERLINK("file:///Z:/00. Proiecte 2025/AFIR FotoVoltaic 1/Comunicatii oficiale AFIR/Emailuri/20_2026-09-29_1443_RE_ Solicitare informatii suplimentare/email.txt","Deschide sursa")</x:f>
        <x:v>HYPERLINK is not implemented. linkLocation=file:///Z:/00. Proiecte 2025/AFIR FotoVoltaic 1/Comunicatii oficiale AFIR/Emailuri/20_2026-09-29_1443_RE_ Solicitare informatii suplimentare/email.txt, friendlyName=Deschide sursa</x:v>
      </x:c>
    </x:row>
    <x:row r="1706" ht="50" customHeight="1">
      <x:c r="A1706" s="8" t="str">
        <x:v>F1702</x:v>
      </x:c>
      <x:c r="B1706" s="8" t="str">
        <x:v>01_NotificareSolicitant_E6_8_3_SE.pdf</x:v>
      </x:c>
      <x:c r="C1706" s="8" t="str">
        <x:v>Comunicatii oficiale AFIR</x:v>
      </x:c>
      <x:c r="D1706" s="8" t="str">
        <x:v>Proiect fotovoltaic</x:v>
      </x:c>
      <x:c r="E1706" s="8" t="str">
        <x:v>.pdf</x:v>
      </x:c>
      <x:c r="F1706" s="8" t="n">
        <x:v>398849</x:v>
      </x:c>
      <x:c r="G1706" s="8" t="str">
        <x:v>Text extras</x:v>
      </x:c>
      <x:c r="H1706" s="8" t="str">
        <x:v>Document local; transmiterea individuală neconfirmată</x:v>
      </x:c>
      <x:c r="I1706" s="8" t="str">
        <x:v>F0341</x:v>
      </x:c>
      <x:c r="J1706" s="8" t="e">
        <x:f>HYPERLINK("file:///Z:/00. Proiecte 2025/AFIR FotoVoltaic 1/Comunicatii oficiale AFIR/Emailuri/01_2024-12-10_0823_Notificarea privind selectarea cererii de finantare/Copii locale atasamente/01_NotificareSolicitant_E6_8_3_SE.pdf","Deschide sursa")</x:f>
        <x:v>HYPERLINK is not implemented. linkLocation=file:///Z:/00. Proiecte 2025/AFIR FotoVoltaic 1/Comunicatii oficiale AFIR/Emailuri/01_2024-12-10_0823_Notificarea privind selectarea cererii de finantare/Copii locale atasamente/01_NotificareSolicitant_E6_8_3_SE.pdf, friendlyName=Deschide sursa</x:v>
      </x:c>
    </x:row>
    <x:row r="1707" ht="36" customHeight="1">
      <x:c r="A1707" s="8" t="str">
        <x:v>F1703</x:v>
      </x:c>
      <x:c r="B1707" s="8" t="str">
        <x:v>01_NotificareSolicitant_E6_8_3_SE.pdf.txt</x:v>
      </x:c>
      <x:c r="C1707" s="8" t="str">
        <x:v>Comunicatii oficiale AFIR</x:v>
      </x:c>
      <x:c r="D1707" s="8" t="str">
        <x:v>Proiect fotovoltaic</x:v>
      </x:c>
      <x:c r="E1707" s="8" t="str">
        <x:v>.txt</x:v>
      </x:c>
      <x:c r="F1707" s="8" t="n">
        <x:v>5493</x:v>
      </x:c>
      <x:c r="G1707" s="8" t="str">
        <x:v>Text extras</x:v>
      </x:c>
      <x:c r="H1707" s="8" t="str">
        <x:v>Document local; transmiterea individuală neconfirmată</x:v>
      </x:c>
      <x:c r="I1707" s="8" t="str"/>
      <x:c r="J1707" s="8" t="e">
        <x:f>HYPERLINK("file:///Z:/00. Proiecte 2025/AFIR FotoVoltaic 1/Comunicatii oficiale AFIR/Emailuri/01_2024-12-10_0823_Notificarea privind selectarea cererii de finantare/Texte atasamente/01_NotificareSolicitant_E6_8_3_SE.pdf.txt","Deschide sursa")</x:f>
        <x:v>HYPERLINK is not implemented. linkLocation=file:///Z:/00. Proiecte 2025/AFIR FotoVoltaic 1/Comunicatii oficiale AFIR/Emailuri/01_2024-12-10_0823_Notificarea privind selectarea cererii de finantare/Texte atasamente/01_NotificareSolicitant_E6_8_3_SE.pdf.txt, friendlyName=Deschide sursa</x:v>
      </x:c>
    </x:row>
    <x:row r="1708" ht="36" customHeight="1">
      <x:c r="A1708" s="8" t="str">
        <x:v>F1704</x:v>
      </x:c>
      <x:c r="B1708" s="8" t="str">
        <x:v>01_AnexaIII_FM.pdf</x:v>
      </x:c>
      <x:c r="C1708" s="8" t="str">
        <x:v>Comunicatii oficiale AFIR</x:v>
      </x:c>
      <x:c r="D1708" s="8" t="str">
        <x:v>Proiect fotovoltaic</x:v>
      </x:c>
      <x:c r="E1708" s="8" t="str">
        <x:v>.pdf</x:v>
      </x:c>
      <x:c r="F1708" s="8" t="n">
        <x:v>227660</x:v>
      </x:c>
      <x:c r="G1708" s="8" t="str">
        <x:v>Text extras</x:v>
      </x:c>
      <x:c r="H1708" s="8" t="str">
        <x:v>Document local; transmiterea individuală neconfirmată</x:v>
      </x:c>
      <x:c r="I1708" s="8" t="str">
        <x:v>F0422</x:v>
      </x:c>
      <x:c r="J1708" s="8" t="e">
        <x:f>HYPERLINK("file:///Z:/00. Proiecte 2025/AFIR FotoVoltaic 1/Comunicatii oficiale AFIR/Emailuri/02_2024-12-30_0836_Informare privind transmiterea contractului de finantare semnat d/Copii locale atasamente/01_AnexaIII_FM.pdf","Deschide sursa")</x:f>
        <x:v>HYPERLINK is not implemented. linkLocation=file:///Z:/00. Proiecte 2025/AFIR FotoVoltaic 1/Comunicatii oficiale AFIR/Emailuri/02_2024-12-30_0836_Informare privind transmiterea contractului de finantare semnat d/Copii locale atasamente/01_AnexaIII_FM.pdf, friendlyName=Deschide sursa</x:v>
      </x:c>
    </x:row>
    <x:row r="1709" ht="36" customHeight="1">
      <x:c r="A1709" s="8" t="str">
        <x:v>F1705</x:v>
      </x:c>
      <x:c r="B1709" s="8" t="str">
        <x:v>02_AnexaII_FM.pdf</x:v>
      </x:c>
      <x:c r="C1709" s="8" t="str">
        <x:v>Comunicatii oficiale AFIR</x:v>
      </x:c>
      <x:c r="D1709" s="8" t="str">
        <x:v>Proiect fotovoltaic</x:v>
      </x:c>
      <x:c r="E1709" s="8" t="str">
        <x:v>.pdf</x:v>
      </x:c>
      <x:c r="F1709" s="8" t="n">
        <x:v>596614</x:v>
      </x:c>
      <x:c r="G1709" s="8" t="str">
        <x:v>Text extras</x:v>
      </x:c>
      <x:c r="H1709" s="8" t="str">
        <x:v>Document local; transmiterea individuală neconfirmată</x:v>
      </x:c>
      <x:c r="I1709" s="8" t="str">
        <x:v>F0423</x:v>
      </x:c>
      <x:c r="J1709" s="8" t="e">
        <x:f>HYPERLINK("file:///Z:/00. Proiecte 2025/AFIR FotoVoltaic 1/Comunicatii oficiale AFIR/Emailuri/02_2024-12-30_0836_Informare privind transmiterea contractului de finantare semnat d/Copii locale atasamente/02_AnexaII_FM.pdf","Deschide sursa")</x:f>
        <x:v>HYPERLINK is not implemented. linkLocation=file:///Z:/00. Proiecte 2025/AFIR FotoVoltaic 1/Comunicatii oficiale AFIR/Emailuri/02_2024-12-30_0836_Informare privind transmiterea contractului de finantare semnat d/Copii locale atasamente/02_AnexaII_FM.pdf, friendlyName=Deschide sursa</x:v>
      </x:c>
    </x:row>
    <x:row r="1710" ht="36" customHeight="1">
      <x:c r="A1710" s="8" t="str">
        <x:v>F1706</x:v>
      </x:c>
      <x:c r="B1710" s="8" t="str">
        <x:v>03_AnexaI_FM.pdf</x:v>
      </x:c>
      <x:c r="C1710" s="8" t="str">
        <x:v>Comunicatii oficiale AFIR</x:v>
      </x:c>
      <x:c r="D1710" s="8" t="str">
        <x:v>Proiect fotovoltaic</x:v>
      </x:c>
      <x:c r="E1710" s="8" t="str">
        <x:v>.pdf</x:v>
      </x:c>
      <x:c r="F1710" s="8" t="n">
        <x:v>302744</x:v>
      </x:c>
      <x:c r="G1710" s="8" t="str">
        <x:v>Text extras</x:v>
      </x:c>
      <x:c r="H1710" s="8" t="str">
        <x:v>Document local; transmiterea individuală neconfirmată</x:v>
      </x:c>
      <x:c r="I1710" s="8" t="str">
        <x:v>F0425</x:v>
      </x:c>
      <x:c r="J1710" s="8" t="e">
        <x:f>HYPERLINK("file:///Z:/00. Proiecte 2025/AFIR FotoVoltaic 1/Comunicatii oficiale AFIR/Emailuri/02_2024-12-30_0836_Informare privind transmiterea contractului de finantare semnat d/Copii locale atasamente/03_AnexaI_FM.pdf","Deschide sursa")</x:f>
        <x:v>HYPERLINK is not implemented. linkLocation=file:///Z:/00. Proiecte 2025/AFIR FotoVoltaic 1/Comunicatii oficiale AFIR/Emailuri/02_2024-12-30_0836_Informare privind transmiterea contractului de finantare semnat d/Copii locale atasamente/03_AnexaI_FM.pdf, friendlyName=Deschide sursa</x:v>
      </x:c>
    </x:row>
    <x:row r="1711" ht="36" customHeight="1">
      <x:c r="A1711" s="8" t="str">
        <x:v>F1707</x:v>
      </x:c>
      <x:c r="B1711" s="8" t="str">
        <x:v>04_C1_1_FM.pdf</x:v>
      </x:c>
      <x:c r="C1711" s="8" t="str">
        <x:v>Comunicatii oficiale AFIR</x:v>
      </x:c>
      <x:c r="D1711" s="8" t="str">
        <x:v>Proiect fotovoltaic</x:v>
      </x:c>
      <x:c r="E1711" s="8" t="str">
        <x:v>.pdf</x:v>
      </x:c>
      <x:c r="F1711" s="8" t="n">
        <x:v>1764739</x:v>
      </x:c>
      <x:c r="G1711" s="8" t="str">
        <x:v>Text extras</x:v>
      </x:c>
      <x:c r="H1711" s="8" t="str">
        <x:v>Document local; transmiterea individuală neconfirmată</x:v>
      </x:c>
      <x:c r="I1711" s="8" t="str">
        <x:v>F0426</x:v>
      </x:c>
      <x:c r="J1711" s="8" t="e">
        <x:f>HYPERLINK("file:///Z:/00. Proiecte 2025/AFIR FotoVoltaic 1/Comunicatii oficiale AFIR/Emailuri/02_2024-12-30_0836_Informare privind transmiterea contractului de finantare semnat d/Copii locale atasamente/04_C1_1_FM.pdf","Deschide sursa")</x:f>
        <x:v>HYPERLINK is not implemented. linkLocation=file:///Z:/00. Proiecte 2025/AFIR FotoVoltaic 1/Comunicatii oficiale AFIR/Emailuri/02_2024-12-30_0836_Informare privind transmiterea contractului de finantare semnat d/Copii locale atasamente/04_C1_1_FM.pdf, friendlyName=Deschide sursa</x:v>
      </x:c>
    </x:row>
    <x:row r="1712" ht="36" customHeight="1">
      <x:c r="A1712" s="8" t="str">
        <x:v>F1708</x:v>
      </x:c>
      <x:c r="B1712" s="8" t="str">
        <x:v>05_AnexaIV_FM.pdf</x:v>
      </x:c>
      <x:c r="C1712" s="8" t="str">
        <x:v>Comunicatii oficiale AFIR</x:v>
      </x:c>
      <x:c r="D1712" s="8" t="str">
        <x:v>Proiect fotovoltaic</x:v>
      </x:c>
      <x:c r="E1712" s="8" t="str">
        <x:v>.pdf</x:v>
      </x:c>
      <x:c r="F1712" s="8" t="n">
        <x:v>308134</x:v>
      </x:c>
      <x:c r="G1712" s="8" t="str">
        <x:v>Text extras</x:v>
      </x:c>
      <x:c r="H1712" s="8" t="str">
        <x:v>Document local; transmiterea individuală neconfirmată</x:v>
      </x:c>
      <x:c r="I1712" s="8" t="str">
        <x:v>F0424</x:v>
      </x:c>
      <x:c r="J1712" s="8" t="e">
        <x:f>HYPERLINK("file:///Z:/00. Proiecte 2025/AFIR FotoVoltaic 1/Comunicatii oficiale AFIR/Emailuri/02_2024-12-30_0836_Informare privind transmiterea contractului de finantare semnat d/Copii locale atasamente/05_AnexaIV_FM.pdf","Deschide sursa")</x:f>
        <x:v>HYPERLINK is not implemented. linkLocation=file:///Z:/00. Proiecte 2025/AFIR FotoVoltaic 1/Comunicatii oficiale AFIR/Emailuri/02_2024-12-30_0836_Informare privind transmiterea contractului de finantare semnat d/Copii locale atasamente/05_AnexaIV_FM.pdf, friendlyName=Deschide sursa</x:v>
      </x:c>
    </x:row>
    <x:row r="1713" ht="36" customHeight="1">
      <x:c r="A1713" s="8" t="str">
        <x:v>F1709</x:v>
      </x:c>
      <x:c r="B1713" s="8" t="str">
        <x:v>01_AnexaIII_FM.pdf.txt</x:v>
      </x:c>
      <x:c r="C1713" s="8" t="str">
        <x:v>Comunicatii oficiale AFIR</x:v>
      </x:c>
      <x:c r="D1713" s="8" t="str">
        <x:v>Proiect fotovoltaic</x:v>
      </x:c>
      <x:c r="E1713" s="8" t="str">
        <x:v>.txt</x:v>
      </x:c>
      <x:c r="F1713" s="8" t="n">
        <x:v>10746</x:v>
      </x:c>
      <x:c r="G1713" s="8" t="str">
        <x:v>Text extras</x:v>
      </x:c>
      <x:c r="H1713" s="8" t="str">
        <x:v>Document local; transmiterea individuală neconfirmată</x:v>
      </x:c>
      <x:c r="I1713" s="8" t="str"/>
      <x:c r="J1713" s="8" t="e">
        <x:f>HYPERLINK("file:///Z:/00. Proiecte 2025/AFIR FotoVoltaic 1/Comunicatii oficiale AFIR/Emailuri/02_2024-12-30_0836_Informare privind transmiterea contractului de finantare semnat d/Texte atasamente/01_AnexaIII_FM.pdf.txt","Deschide sursa")</x:f>
        <x:v>HYPERLINK is not implemented. linkLocation=file:///Z:/00. Proiecte 2025/AFIR FotoVoltaic 1/Comunicatii oficiale AFIR/Emailuri/02_2024-12-30_0836_Informare privind transmiterea contractului de finantare semnat d/Texte atasamente/01_AnexaIII_FM.pdf.txt, friendlyName=Deschide sursa</x:v>
      </x:c>
    </x:row>
    <x:row r="1714" ht="36" customHeight="1">
      <x:c r="A1714" s="8" t="str">
        <x:v>F1710</x:v>
      </x:c>
      <x:c r="B1714" s="8" t="str">
        <x:v>02_AnexaII_FM.pdf.txt</x:v>
      </x:c>
      <x:c r="C1714" s="8" t="str">
        <x:v>Comunicatii oficiale AFIR</x:v>
      </x:c>
      <x:c r="D1714" s="8" t="str">
        <x:v>Proiect fotovoltaic</x:v>
      </x:c>
      <x:c r="E1714" s="8" t="str">
        <x:v>.txt</x:v>
      </x:c>
      <x:c r="F1714" s="8" t="n">
        <x:v>8081</x:v>
      </x:c>
      <x:c r="G1714" s="8" t="str">
        <x:v>Text extras</x:v>
      </x:c>
      <x:c r="H1714" s="8" t="str">
        <x:v>Document local; transmiterea individuală neconfirmată</x:v>
      </x:c>
      <x:c r="I1714" s="8" t="str"/>
      <x:c r="J1714" s="8" t="e">
        <x:f>HYPERLINK("file:///Z:/00. Proiecte 2025/AFIR FotoVoltaic 1/Comunicatii oficiale AFIR/Emailuri/02_2024-12-30_0836_Informare privind transmiterea contractului de finantare semnat d/Texte atasamente/02_AnexaII_FM.pdf.txt","Deschide sursa")</x:f>
        <x:v>HYPERLINK is not implemented. linkLocation=file:///Z:/00. Proiecte 2025/AFIR FotoVoltaic 1/Comunicatii oficiale AFIR/Emailuri/02_2024-12-30_0836_Informare privind transmiterea contractului de finantare semnat d/Texte atasamente/02_AnexaII_FM.pdf.txt, friendlyName=Deschide sursa</x:v>
      </x:c>
    </x:row>
    <x:row r="1715" ht="36" customHeight="1">
      <x:c r="A1715" s="8" t="str">
        <x:v>F1711</x:v>
      </x:c>
      <x:c r="B1715" s="8" t="str">
        <x:v>03_AnexaI_FM.pdf.txt</x:v>
      </x:c>
      <x:c r="C1715" s="8" t="str">
        <x:v>Comunicatii oficiale AFIR</x:v>
      </x:c>
      <x:c r="D1715" s="8" t="str">
        <x:v>Proiect fotovoltaic</x:v>
      </x:c>
      <x:c r="E1715" s="8" t="str">
        <x:v>.txt</x:v>
      </x:c>
      <x:c r="F1715" s="8" t="n">
        <x:v>40645</x:v>
      </x:c>
      <x:c r="G1715" s="8" t="str">
        <x:v>Text extras</x:v>
      </x:c>
      <x:c r="H1715" s="8" t="str">
        <x:v>Document local; transmiterea individuală neconfirmată</x:v>
      </x:c>
      <x:c r="I1715" s="8" t="str"/>
      <x:c r="J1715" s="8" t="e">
        <x:f>HYPERLINK("file:///Z:/00. Proiecte 2025/AFIR FotoVoltaic 1/Comunicatii oficiale AFIR/Emailuri/02_2024-12-30_0836_Informare privind transmiterea contractului de finantare semnat d/Texte atasamente/03_AnexaI_FM.pdf.txt","Deschide sursa")</x:f>
        <x:v>HYPERLINK is not implemented. linkLocation=file:///Z:/00. Proiecte 2025/AFIR FotoVoltaic 1/Comunicatii oficiale AFIR/Emailuri/02_2024-12-30_0836_Informare privind transmiterea contractului de finantare semnat d/Texte atasamente/03_AnexaI_FM.pdf.txt, friendlyName=Deschide sursa</x:v>
      </x:c>
    </x:row>
    <x:row r="1716" ht="36" customHeight="1">
      <x:c r="A1716" s="8" t="str">
        <x:v>F1712</x:v>
      </x:c>
      <x:c r="B1716" s="8" t="str">
        <x:v>04_C1_1_FM.pdf.txt</x:v>
      </x:c>
      <x:c r="C1716" s="8" t="str">
        <x:v>Comunicatii oficiale AFIR</x:v>
      </x:c>
      <x:c r="D1716" s="8" t="str">
        <x:v>Proiect fotovoltaic</x:v>
      </x:c>
      <x:c r="E1716" s="8" t="str">
        <x:v>.txt</x:v>
      </x:c>
      <x:c r="F1716" s="8" t="n">
        <x:v>20590</x:v>
      </x:c>
      <x:c r="G1716" s="8" t="str">
        <x:v>Text extras</x:v>
      </x:c>
      <x:c r="H1716" s="8" t="str">
        <x:v>Document local; transmiterea individuală neconfirmată</x:v>
      </x:c>
      <x:c r="I1716" s="8" t="str"/>
      <x:c r="J1716" s="8" t="e">
        <x:f>HYPERLINK("file:///Z:/00. Proiecte 2025/AFIR FotoVoltaic 1/Comunicatii oficiale AFIR/Emailuri/02_2024-12-30_0836_Informare privind transmiterea contractului de finantare semnat d/Texte atasamente/04_C1_1_FM.pdf.txt","Deschide sursa")</x:f>
        <x:v>HYPERLINK is not implemented. linkLocation=file:///Z:/00. Proiecte 2025/AFIR FotoVoltaic 1/Comunicatii oficiale AFIR/Emailuri/02_2024-12-30_0836_Informare privind transmiterea contractului de finantare semnat d/Texte atasamente/04_C1_1_FM.pdf.txt, friendlyName=Deschide sursa</x:v>
      </x:c>
    </x:row>
    <x:row r="1717" ht="36" customHeight="1">
      <x:c r="A1717" s="8" t="str">
        <x:v>F1713</x:v>
      </x:c>
      <x:c r="B1717" s="8" t="str">
        <x:v>05_AnexaIV_FM.pdf.txt</x:v>
      </x:c>
      <x:c r="C1717" s="8" t="str">
        <x:v>Comunicatii oficiale AFIR</x:v>
      </x:c>
      <x:c r="D1717" s="8" t="str">
        <x:v>Proiect fotovoltaic</x:v>
      </x:c>
      <x:c r="E1717" s="8" t="str">
        <x:v>.txt</x:v>
      </x:c>
      <x:c r="F1717" s="8" t="n">
        <x:v>23555</x:v>
      </x:c>
      <x:c r="G1717" s="8" t="str">
        <x:v>Text extras</x:v>
      </x:c>
      <x:c r="H1717" s="8" t="str">
        <x:v>Document local; transmiterea individuală neconfirmată</x:v>
      </x:c>
      <x:c r="I1717" s="8" t="str"/>
      <x:c r="J1717" s="8" t="e">
        <x:f>HYPERLINK("file:///Z:/00. Proiecte 2025/AFIR FotoVoltaic 1/Comunicatii oficiale AFIR/Emailuri/02_2024-12-30_0836_Informare privind transmiterea contractului de finantare semnat d/Texte atasamente/05_AnexaIV_FM.pdf.txt","Deschide sursa")</x:f>
        <x:v>HYPERLINK is not implemented. linkLocation=file:///Z:/00. Proiecte 2025/AFIR FotoVoltaic 1/Comunicatii oficiale AFIR/Emailuri/02_2024-12-30_0836_Informare privind transmiterea contractului de finantare semnat d/Texte atasamente/05_AnexaIV_FM.pdf.txt, friendlyName=Deschide sursa</x:v>
      </x:c>
    </x:row>
    <x:row r="1718" ht="50" customHeight="1">
      <x:c r="A1718" s="8" t="str">
        <x:v>F1714</x:v>
      </x:c>
      <x:c r="B1718" s="8" t="str">
        <x:v>01_Notificare Schimbare Structura Actionariatului Cesiro Production.pdf</x:v>
      </x:c>
      <x:c r="C1718" s="8" t="str">
        <x:v>Comunicatii oficiale AFIR</x:v>
      </x:c>
      <x:c r="D1718" s="8" t="str">
        <x:v>Proiect fotovoltaic</x:v>
      </x:c>
      <x:c r="E1718" s="8" t="str">
        <x:v>.pdf</x:v>
      </x:c>
      <x:c r="F1718" s="8" t="n">
        <x:v>268586</x:v>
      </x:c>
      <x:c r="G1718" s="8" t="str">
        <x:v>Text extras</x:v>
      </x:c>
      <x:c r="H1718" s="8" t="str">
        <x:v>Document local; transmiterea individuală neconfirmată</x:v>
      </x:c>
      <x:c r="I1718" s="8" t="str">
        <x:v>F0435</x:v>
      </x:c>
      <x:c r="J1718" s="8" t="e">
        <x:f>HYPERLINK("file:///Z:/00. Proiecte 2025/AFIR FotoVoltaic 1/Comunicatii oficiale AFIR/Emailuri/04_2026-01-19_1309_Notificare de informare privind cesiunea partilor sociale de la C/Copii locale atasamente/01_Notificare Schimbare Structura Actionariatului Cesiro Production.pdf","Deschide sursa")</x:f>
        <x:v>HYPERLINK is not implemented. linkLocation=file:///Z:/00. Proiecte 2025/AFIR FotoVoltaic 1/Comunicatii oficiale AFIR/Emailuri/04_2026-01-19_1309_Notificare de informare privind cesiunea partilor sociale de la C/Copii locale atasamente/01_Notificare Schimbare Structura Actionariatului Cesiro Production.pdf, friendlyName=Deschide sursa</x:v>
      </x:c>
    </x:row>
    <x:row r="1719" ht="50" customHeight="1">
      <x:c r="A1719" s="8" t="str">
        <x:v>F1715</x:v>
      </x:c>
      <x:c r="B1719" s="8" t="str">
        <x:v>01_Notificare Schimbare Structura Actionariatului Cesiro Production.txt</x:v>
      </x:c>
      <x:c r="C1719" s="8" t="str">
        <x:v>Comunicatii oficiale AFIR</x:v>
      </x:c>
      <x:c r="D1719" s="8" t="str">
        <x:v>Proiect fotovoltaic</x:v>
      </x:c>
      <x:c r="E1719" s="8" t="str">
        <x:v>.txt</x:v>
      </x:c>
      <x:c r="F1719" s="8" t="n">
        <x:v>4501</x:v>
      </x:c>
      <x:c r="G1719" s="8" t="str">
        <x:v>Text extras</x:v>
      </x:c>
      <x:c r="H1719" s="8" t="str">
        <x:v>Document local; transmiterea individuală neconfirmată</x:v>
      </x:c>
      <x:c r="I1719" s="8" t="str"/>
      <x:c r="J1719" s="8" t="e">
        <x:f>HYPERLINK("file:///Z:/00. Proiecte 2025/AFIR FotoVoltaic 1/Comunicatii oficiale AFIR/Emailuri/04_2026-01-19_1309_Notificare de informare privind cesiunea partilor sociale de la C/Texte atasamente/01_Notificare Schimbare Structura Actionariatului Cesiro Production.txt","Deschide sursa")</x:f>
        <x:v>HYPERLINK is not implemented. linkLocation=file:///Z:/00. Proiecte 2025/AFIR FotoVoltaic 1/Comunicatii oficiale AFIR/Emailuri/04_2026-01-19_1309_Notificare de informare privind cesiunea partilor sociale de la C/Texte atasamente/01_Notificare Schimbare Structura Actionariatului Cesiro Production.txt, friendlyName=Deschide sursa</x:v>
      </x:c>
    </x:row>
    <x:row r="1720" ht="36" customHeight="1">
      <x:c r="A1720" s="8" t="str">
        <x:v>F1716</x:v>
      </x:c>
      <x:c r="B1720" s="8" t="str">
        <x:v>01_Fisa de informatii suplimentare partea I Extern.pdf.txt</x:v>
      </x:c>
      <x:c r="C1720" s="8" t="str">
        <x:v>Comunicatii oficiale AFIR</x:v>
      </x:c>
      <x:c r="D1720" s="8" t="str">
        <x:v>Proiect fotovoltaic</x:v>
      </x:c>
      <x:c r="E1720" s="8" t="str">
        <x:v>.txt</x:v>
      </x:c>
      <x:c r="F1720" s="8" t="n">
        <x:v>1767</x:v>
      </x:c>
      <x:c r="G1720" s="8" t="str">
        <x:v>Text extras</x:v>
      </x:c>
      <x:c r="H1720" s="8" t="str">
        <x:v>Document local; transmiterea individuală neconfirmată</x:v>
      </x:c>
      <x:c r="I1720" s="8" t="str"/>
      <x:c r="J1720" s="8" t="e">
        <x:f>HYPERLINK("file:///Z:/00. Proiecte 2025/AFIR FotoVoltaic 1/Comunicatii oficiale AFIR/Emailuri/05_2026-04-28_1622_Solicitare informatii suplimentare/Texte atasamente/01_Fisa de informatii suplimentare partea I Extern.pdf.txt","Deschide sursa")</x:f>
        <x:v>HYPERLINK is not implemented. linkLocation=file:///Z:/00. Proiecte 2025/AFIR FotoVoltaic 1/Comunicatii oficiale AFIR/Emailuri/05_2026-04-28_1622_Solicitare informatii suplimentare/Texte atasamente/01_Fisa de informatii suplimentare partea I Extern.pdf.txt, friendlyName=Deschide sursa</x:v>
      </x:c>
    </x:row>
    <x:row r="1721" ht="36" customHeight="1">
      <x:c r="A1721" s="8" t="str">
        <x:v>F1717</x:v>
      </x:c>
      <x:c r="B1721" s="8" t="str">
        <x:v>02_Fisa de informatii suplimentare partea II.docx.txt</x:v>
      </x:c>
      <x:c r="C1721" s="8" t="str">
        <x:v>Comunicatii oficiale AFIR</x:v>
      </x:c>
      <x:c r="D1721" s="8" t="str">
        <x:v>Proiect fotovoltaic</x:v>
      </x:c>
      <x:c r="E1721" s="8" t="str">
        <x:v>.txt</x:v>
      </x:c>
      <x:c r="F1721" s="8" t="n">
        <x:v>887</x:v>
      </x:c>
      <x:c r="G1721" s="8" t="str">
        <x:v>Text extras</x:v>
      </x:c>
      <x:c r="H1721" s="8" t="str">
        <x:v>Document local; transmiterea individuală neconfirmată</x:v>
      </x:c>
      <x:c r="I1721" s="8" t="str"/>
      <x:c r="J1721" s="8" t="e">
        <x:f>HYPERLINK("file:///Z:/00. Proiecte 2025/AFIR FotoVoltaic 1/Comunicatii oficiale AFIR/Emailuri/05_2026-04-28_1622_Solicitare informatii suplimentare/Texte atasamente/02_Fisa de informatii suplimentare partea II.docx.txt","Deschide sursa")</x:f>
        <x:v>HYPERLINK is not implemented. linkLocation=file:///Z:/00. Proiecte 2025/AFIR FotoVoltaic 1/Comunicatii oficiale AFIR/Emailuri/05_2026-04-28_1622_Solicitare informatii suplimentare/Texte atasamente/02_Fisa de informatii suplimentare partea II.docx.txt, friendlyName=Deschide sursa</x:v>
      </x:c>
    </x:row>
    <x:row r="1722" ht="50" customHeight="1">
      <x:c r="A1722" s="8" t="str">
        <x:v>F1718</x:v>
      </x:c>
      <x:c r="B1722" s="8" t="str">
        <x:v>01_Fisa de informatii suplimentare partea I Extern.pdf.txt</x:v>
      </x:c>
      <x:c r="C1722" s="8" t="str">
        <x:v>Comunicatii oficiale AFIR</x:v>
      </x:c>
      <x:c r="D1722" s="8" t="str">
        <x:v>Proiect fotovoltaic</x:v>
      </x:c>
      <x:c r="E1722" s="8" t="str">
        <x:v>.txt</x:v>
      </x:c>
      <x:c r="F1722" s="8" t="n">
        <x:v>1767</x:v>
      </x:c>
      <x:c r="G1722" s="8" t="str">
        <x:v>Text extras</x:v>
      </x:c>
      <x:c r="H1722" s="8" t="str">
        <x:v>Document local; transmiterea individuală neconfirmată</x:v>
      </x:c>
      <x:c r="I1722" s="8" t="str"/>
      <x:c r="J1722" s="8" t="e">
        <x:f>HYPERLINK("file:///Z:/00. Proiecte 2025/AFIR FotoVoltaic 1/Comunicatii oficiale AFIR/Emailuri/06_2026-05-08_0923_FW_ Solicitare informatii suplimentare/Texte atasamente/01_Fisa de informatii suplimentare partea I Extern.pdf.txt","Deschide sursa")</x:f>
        <x:v>HYPERLINK is not implemented. linkLocation=file:///Z:/00. Proiecte 2025/AFIR FotoVoltaic 1/Comunicatii oficiale AFIR/Emailuri/06_2026-05-08_0923_FW_ Solicitare informatii suplimentare/Texte atasamente/01_Fisa de informatii suplimentare partea I Extern.pdf.txt, friendlyName=Deschide sursa</x:v>
      </x:c>
    </x:row>
    <x:row r="1723" ht="50" customHeight="1">
      <x:c r="A1723" s="8" t="str">
        <x:v>F1719</x:v>
      </x:c>
      <x:c r="B1723" s="8" t="str">
        <x:v>02_Fisa de informatii suplimentare partea I Extern.pdf.txt</x:v>
      </x:c>
      <x:c r="C1723" s="8" t="str">
        <x:v>Comunicatii oficiale AFIR</x:v>
      </x:c>
      <x:c r="D1723" s="8" t="str">
        <x:v>Proiect fotovoltaic</x:v>
      </x:c>
      <x:c r="E1723" s="8" t="str">
        <x:v>.txt</x:v>
      </x:c>
      <x:c r="F1723" s="8" t="n">
        <x:v>1767</x:v>
      </x:c>
      <x:c r="G1723" s="8" t="str">
        <x:v>Text extras</x:v>
      </x:c>
      <x:c r="H1723" s="8" t="str">
        <x:v>Document local; transmiterea individuală neconfirmată</x:v>
      </x:c>
      <x:c r="I1723" s="8" t="str"/>
      <x:c r="J1723" s="8" t="e">
        <x:f>HYPERLINK("file:///Z:/00. Proiecte 2025/AFIR FotoVoltaic 1/Comunicatii oficiale AFIR/Emailuri/06_2026-05-08_0923_FW_ Solicitare informatii suplimentare/Texte atasamente/02_Fisa de informatii suplimentare partea I Extern.pdf.txt","Deschide sursa")</x:f>
        <x:v>HYPERLINK is not implemented. linkLocation=file:///Z:/00. Proiecte 2025/AFIR FotoVoltaic 1/Comunicatii oficiale AFIR/Emailuri/06_2026-05-08_0923_FW_ Solicitare informatii suplimentare/Texte atasamente/02_Fisa de informatii suplimentare partea I Extern.pdf.txt, friendlyName=Deschide sursa</x:v>
      </x:c>
    </x:row>
    <x:row r="1724" ht="36" customHeight="1">
      <x:c r="A1724" s="8" t="str">
        <x:v>F1720</x:v>
      </x:c>
      <x:c r="B1724" s="8" t="str">
        <x:v>03_Fisa de informatii suplimentare partea II.docx.txt</x:v>
      </x:c>
      <x:c r="C1724" s="8" t="str">
        <x:v>Comunicatii oficiale AFIR</x:v>
      </x:c>
      <x:c r="D1724" s="8" t="str">
        <x:v>Proiect fotovoltaic</x:v>
      </x:c>
      <x:c r="E1724" s="8" t="str">
        <x:v>.txt</x:v>
      </x:c>
      <x:c r="F1724" s="8" t="n">
        <x:v>887</x:v>
      </x:c>
      <x:c r="G1724" s="8" t="str">
        <x:v>Text extras</x:v>
      </x:c>
      <x:c r="H1724" s="8" t="str">
        <x:v>Document local; transmiterea individuală neconfirmată</x:v>
      </x:c>
      <x:c r="I1724" s="8" t="str"/>
      <x:c r="J1724" s="8" t="e">
        <x:f>HYPERLINK("file:///Z:/00. Proiecte 2025/AFIR FotoVoltaic 1/Comunicatii oficiale AFIR/Emailuri/06_2026-05-08_0923_FW_ Solicitare informatii suplimentare/Texte atasamente/03_Fisa de informatii suplimentare partea II.docx.txt","Deschide sursa")</x:f>
        <x:v>HYPERLINK is not implemented. linkLocation=file:///Z:/00. Proiecte 2025/AFIR FotoVoltaic 1/Comunicatii oficiale AFIR/Emailuri/06_2026-05-08_0923_FW_ Solicitare informatii suplimentare/Texte atasamente/03_Fisa de informatii suplimentare partea II.docx.txt, friendlyName=Deschide sursa</x:v>
      </x:c>
    </x:row>
    <x:row r="1725" ht="36" customHeight="1">
      <x:c r="A1725" s="8" t="str">
        <x:v>F1721</x:v>
      </x:c>
      <x:c r="B1725" s="8" t="str">
        <x:v>04_Fisa de informatii suplimentare partea II.docx.txt</x:v>
      </x:c>
      <x:c r="C1725" s="8" t="str">
        <x:v>Comunicatii oficiale AFIR</x:v>
      </x:c>
      <x:c r="D1725" s="8" t="str">
        <x:v>Proiect fotovoltaic</x:v>
      </x:c>
      <x:c r="E1725" s="8" t="str">
        <x:v>.txt</x:v>
      </x:c>
      <x:c r="F1725" s="8" t="n">
        <x:v>887</x:v>
      </x:c>
      <x:c r="G1725" s="8" t="str">
        <x:v>Text extras</x:v>
      </x:c>
      <x:c r="H1725" s="8" t="str">
        <x:v>Document local; transmiterea individuală neconfirmată</x:v>
      </x:c>
      <x:c r="I1725" s="8" t="str"/>
      <x:c r="J1725" s="8" t="e">
        <x:f>HYPERLINK("file:///Z:/00. Proiecte 2025/AFIR FotoVoltaic 1/Comunicatii oficiale AFIR/Emailuri/06_2026-05-08_0923_FW_ Solicitare informatii suplimentare/Texte atasamente/04_Fisa de informatii suplimentare partea II.docx.txt","Deschide sursa")</x:f>
        <x:v>HYPERLINK is not implemented. linkLocation=file:///Z:/00. Proiecte 2025/AFIR FotoVoltaic 1/Comunicatii oficiale AFIR/Emailuri/06_2026-05-08_0923_FW_ Solicitare informatii suplimentare/Texte atasamente/04_Fisa de informatii suplimentare partea II.docx.txt, friendlyName=Deschide sursa</x:v>
      </x:c>
    </x:row>
    <x:row r="1726" ht="50" customHeight="1">
      <x:c r="A1726" s="8" t="str">
        <x:v>F1722</x:v>
      </x:c>
      <x:c r="B1726" s="8" t="str">
        <x:v>01_Fisa de informatii suplimentare partea II.pdf.txt</x:v>
      </x:c>
      <x:c r="C1726" s="8" t="str">
        <x:v>Comunicatii oficiale AFIR</x:v>
      </x:c>
      <x:c r="D1726" s="8" t="str">
        <x:v>Proiect fotovoltaic</x:v>
      </x:c>
      <x:c r="E1726" s="8" t="str">
        <x:v>.txt</x:v>
      </x:c>
      <x:c r="F1726" s="8" t="n">
        <x:v>1744</x:v>
      </x:c>
      <x:c r="G1726" s="8" t="str">
        <x:v>Text extras</x:v>
      </x:c>
      <x:c r="H1726" s="8" t="str">
        <x:v>Document local; transmiterea individuală neconfirmată</x:v>
      </x:c>
      <x:c r="I1726" s="8" t="str"/>
      <x:c r="J1726" s="8" t="e">
        <x:f>HYPERLINK("file:///Z:/00. Proiecte 2025/AFIR FotoVoltaic 1/Comunicatii oficiale AFIR/Emailuri/08_2026-05-08_1037_Re_ Transmitere Documentatie Cesiro Production/Texte atasamente/01_Fisa de informatii suplimentare partea II.pdf.txt","Deschide sursa")</x:f>
        <x:v>HYPERLINK is not implemented. linkLocation=file:///Z:/00. Proiecte 2025/AFIR FotoVoltaic 1/Comunicatii oficiale AFIR/Emailuri/08_2026-05-08_1037_Re_ Transmitere Documentatie Cesiro Production/Texte atasamente/01_Fisa de informatii suplimentare partea II.pdf.txt, friendlyName=Deschide sursa</x:v>
      </x:c>
    </x:row>
    <x:row r="1727" ht="50" customHeight="1">
      <x:c r="A1727" s="8" t="str">
        <x:v>F1723</x:v>
      </x:c>
      <x:c r="B1727" s="8" t="str">
        <x:v>02_CertificatInmatriculare Cesiro Production.pdf.txt</x:v>
      </x:c>
      <x:c r="C1727" s="8" t="str">
        <x:v>Comunicatii oficiale AFIR</x:v>
      </x:c>
      <x:c r="D1727" s="8" t="str">
        <x:v>Proiect fotovoltaic</x:v>
      </x:c>
      <x:c r="E1727" s="8" t="str">
        <x:v>.txt</x:v>
      </x:c>
      <x:c r="F1727" s="8" t="n">
        <x:v>769</x:v>
      </x:c>
      <x:c r="G1727" s="8" t="str">
        <x:v>Text extras</x:v>
      </x:c>
      <x:c r="H1727" s="8" t="str">
        <x:v>Document local; transmiterea individuală neconfirmată</x:v>
      </x:c>
      <x:c r="I1727" s="8" t="str"/>
      <x:c r="J1727" s="8" t="e">
        <x:f>HYPERLINK("file:///Z:/00. Proiecte 2025/AFIR FotoVoltaic 1/Comunicatii oficiale AFIR/Emailuri/08_2026-05-08_1037_Re_ Transmitere Documentatie Cesiro Production/Texte atasamente/02_CertificatInmatriculare Cesiro Production.pdf.txt","Deschide sursa")</x:f>
        <x:v>HYPERLINK is not implemented. linkLocation=file:///Z:/00. Proiecte 2025/AFIR FotoVoltaic 1/Comunicatii oficiale AFIR/Emailuri/08_2026-05-08_1037_Re_ Transmitere Documentatie Cesiro Production/Texte atasamente/02_CertificatInmatriculare Cesiro Production.pdf.txt, friendlyName=Deschide sursa</x:v>
      </x:c>
    </x:row>
    <x:row r="1728" ht="36" customHeight="1">
      <x:c r="A1728" s="8" t="str">
        <x:v>F1724</x:v>
      </x:c>
      <x:c r="B1728" s="8" t="str">
        <x:v>01_C3.2.2.pdf</x:v>
      </x:c>
      <x:c r="C1728" s="8" t="str">
        <x:v>Comunicatii oficiale AFIR</x:v>
      </x:c>
      <x:c r="D1728" s="8" t="str">
        <x:v>Proiect fotovoltaic</x:v>
      </x:c>
      <x:c r="E1728" s="8" t="str">
        <x:v>.pdf</x:v>
      </x:c>
      <x:c r="F1728" s="8" t="n">
        <x:v>392146</x:v>
      </x:c>
      <x:c r="G1728" s="8" t="str">
        <x:v>Text extras</x:v>
      </x:c>
      <x:c r="H1728" s="8" t="str">
        <x:v>Document local; transmiterea individuală neconfirmată</x:v>
      </x:c>
      <x:c r="I1728" s="8" t="str"/>
      <x:c r="J1728" s="8" t="e">
        <x:f>HYPERLINK("file:///Z:/00. Proiecte 2025/AFIR FotoVoltaic 1/Comunicatii oficiale AFIR/Emailuri/09_2026-05-08_1307_Nota privind modificarea solicitata/Copii locale atasamente/01_C3.2.2.pdf","Deschide sursa")</x:f>
        <x:v>HYPERLINK is not implemented. linkLocation=file:///Z:/00. Proiecte 2025/AFIR FotoVoltaic 1/Comunicatii oficiale AFIR/Emailuri/09_2026-05-08_1307_Nota privind modificarea solicitata/Copii locale atasamente/01_C3.2.2.pdf, friendlyName=Deschide sursa</x:v>
      </x:c>
    </x:row>
    <x:row r="1729" ht="36" customHeight="1">
      <x:c r="A1729" s="8" t="str">
        <x:v>F1725</x:v>
      </x:c>
      <x:c r="B1729" s="8" t="str">
        <x:v>02_C3.2.2.pdf</x:v>
      </x:c>
      <x:c r="C1729" s="8" t="str">
        <x:v>Comunicatii oficiale AFIR</x:v>
      </x:c>
      <x:c r="D1729" s="8" t="str">
        <x:v>Proiect fotovoltaic</x:v>
      </x:c>
      <x:c r="E1729" s="8" t="str">
        <x:v>.pdf</x:v>
      </x:c>
      <x:c r="F1729" s="8" t="n">
        <x:v>392146</x:v>
      </x:c>
      <x:c r="G1729" s="8" t="str">
        <x:v>Text extras</x:v>
      </x:c>
      <x:c r="H1729" s="8" t="str">
        <x:v>Document local; transmiterea individuală neconfirmată</x:v>
      </x:c>
      <x:c r="I1729" s="8" t="str">
        <x:v>F1724</x:v>
      </x:c>
      <x:c r="J1729" s="8" t="e">
        <x:f>HYPERLINK("file:///Z:/00. Proiecte 2025/AFIR FotoVoltaic 1/Comunicatii oficiale AFIR/Emailuri/09_2026-05-08_1307_Nota privind modificarea solicitata/Copii locale atasamente/02_C3.2.2.pdf","Deschide sursa")</x:f>
        <x:v>HYPERLINK is not implemented. linkLocation=file:///Z:/00. Proiecte 2025/AFIR FotoVoltaic 1/Comunicatii oficiale AFIR/Emailuri/09_2026-05-08_1307_Nota privind modificarea solicitata/Copii locale atasamente/02_C3.2.2.pdf, friendlyName=Deschide sursa</x:v>
      </x:c>
    </x:row>
    <x:row r="1730" ht="36" customHeight="1">
      <x:c r="A1730" s="8" t="str">
        <x:v>F1726</x:v>
      </x:c>
      <x:c r="B1730" s="8" t="str">
        <x:v>01_C3.2.2.pdf.txt</x:v>
      </x:c>
      <x:c r="C1730" s="8" t="str">
        <x:v>Comunicatii oficiale AFIR</x:v>
      </x:c>
      <x:c r="D1730" s="8" t="str">
        <x:v>Proiect fotovoltaic</x:v>
      </x:c>
      <x:c r="E1730" s="8" t="str">
        <x:v>.txt</x:v>
      </x:c>
      <x:c r="F1730" s="8" t="n">
        <x:v>4411</x:v>
      </x:c>
      <x:c r="G1730" s="8" t="str">
        <x:v>Text extras</x:v>
      </x:c>
      <x:c r="H1730" s="8" t="str">
        <x:v>Document local; transmiterea individuală neconfirmată</x:v>
      </x:c>
      <x:c r="I1730" s="8" t="str"/>
      <x:c r="J1730" s="8" t="e">
        <x:f>HYPERLINK("file:///Z:/00. Proiecte 2025/AFIR FotoVoltaic 1/Comunicatii oficiale AFIR/Emailuri/09_2026-05-08_1307_Nota privind modificarea solicitata/Texte atasamente/01_C3.2.2.pdf.txt","Deschide sursa")</x:f>
        <x:v>HYPERLINK is not implemented. linkLocation=file:///Z:/00. Proiecte 2025/AFIR FotoVoltaic 1/Comunicatii oficiale AFIR/Emailuri/09_2026-05-08_1307_Nota privind modificarea solicitata/Texte atasamente/01_C3.2.2.pdf.txt, friendlyName=Deschide sursa</x:v>
      </x:c>
    </x:row>
    <x:row r="1731" ht="36" customHeight="1">
      <x:c r="A1731" s="8" t="str">
        <x:v>F1727</x:v>
      </x:c>
      <x:c r="B1731" s="8" t="str">
        <x:v>02_C3.2.2.pdf.txt</x:v>
      </x:c>
      <x:c r="C1731" s="8" t="str">
        <x:v>Comunicatii oficiale AFIR</x:v>
      </x:c>
      <x:c r="D1731" s="8" t="str">
        <x:v>Proiect fotovoltaic</x:v>
      </x:c>
      <x:c r="E1731" s="8" t="str">
        <x:v>.txt</x:v>
      </x:c>
      <x:c r="F1731" s="8" t="n">
        <x:v>4411</x:v>
      </x:c>
      <x:c r="G1731" s="8" t="str">
        <x:v>Text extras</x:v>
      </x:c>
      <x:c r="H1731" s="8" t="str">
        <x:v>Document local; transmiterea individuală neconfirmată</x:v>
      </x:c>
      <x:c r="I1731" s="8" t="str"/>
      <x:c r="J1731" s="8" t="e">
        <x:f>HYPERLINK("file:///Z:/00. Proiecte 2025/AFIR FotoVoltaic 1/Comunicatii oficiale AFIR/Emailuri/09_2026-05-08_1307_Nota privind modificarea solicitata/Texte atasamente/02_C3.2.2.pdf.txt","Deschide sursa")</x:f>
        <x:v>HYPERLINK is not implemented. linkLocation=file:///Z:/00. Proiecte 2025/AFIR FotoVoltaic 1/Comunicatii oficiale AFIR/Emailuri/09_2026-05-08_1307_Nota privind modificarea solicitata/Texte atasamente/02_C3.2.2.pdf.txt, friendlyName=Deschide sursa</x:v>
      </x:c>
    </x:row>
    <x:row r="1732" ht="50" customHeight="1">
      <x:c r="A1732" s="8" t="str">
        <x:v>F1728</x:v>
      </x:c>
      <x:c r="B1732" s="8" t="str">
        <x:v>01_Fisa de informatii suplimentare partea II.pdf.txt</x:v>
      </x:c>
      <x:c r="C1732" s="8" t="str">
        <x:v>Comunicatii oficiale AFIR</x:v>
      </x:c>
      <x:c r="D1732" s="8" t="str">
        <x:v>Proiect fotovoltaic</x:v>
      </x:c>
      <x:c r="E1732" s="8" t="str">
        <x:v>.txt</x:v>
      </x:c>
      <x:c r="F1732" s="8" t="n">
        <x:v>1744</x:v>
      </x:c>
      <x:c r="G1732" s="8" t="str">
        <x:v>Text extras</x:v>
      </x:c>
      <x:c r="H1732" s="8" t="str">
        <x:v>Document local; transmiterea individuală neconfirmată</x:v>
      </x:c>
      <x:c r="I1732" s="8" t="str"/>
      <x:c r="J1732" s="8" t="e">
        <x:f>HYPERLINK("file:///Z:/00. Proiecte 2025/AFIR FotoVoltaic 1/Comunicatii oficiale AFIR/Emailuri/12_2026-05-22_1222_Re_ Transmitere Documentatie Cesiro Production/Texte atasamente/01_Fisa de informatii suplimentare partea II.pdf.txt","Deschide sursa")</x:f>
        <x:v>HYPERLINK is not implemented. linkLocation=file:///Z:/00. Proiecte 2025/AFIR FotoVoltaic 1/Comunicatii oficiale AFIR/Emailuri/12_2026-05-22_1222_Re_ Transmitere Documentatie Cesiro Production/Texte atasamente/01_Fisa de informatii suplimentare partea II.pdf.txt, friendlyName=Deschide sursa</x:v>
      </x:c>
    </x:row>
    <x:row r="1733" ht="50" customHeight="1">
      <x:c r="A1733" s="8" t="str">
        <x:v>F1729</x:v>
      </x:c>
      <x:c r="B1733" s="8" t="str">
        <x:v>02_CertificatInmatriculare Cesiro Production.pdf.txt</x:v>
      </x:c>
      <x:c r="C1733" s="8" t="str">
        <x:v>Comunicatii oficiale AFIR</x:v>
      </x:c>
      <x:c r="D1733" s="8" t="str">
        <x:v>Proiect fotovoltaic</x:v>
      </x:c>
      <x:c r="E1733" s="8" t="str">
        <x:v>.txt</x:v>
      </x:c>
      <x:c r="F1733" s="8" t="n">
        <x:v>769</x:v>
      </x:c>
      <x:c r="G1733" s="8" t="str">
        <x:v>Text extras</x:v>
      </x:c>
      <x:c r="H1733" s="8" t="str">
        <x:v>Document local; transmiterea individuală neconfirmată</x:v>
      </x:c>
      <x:c r="I1733" s="8" t="str"/>
      <x:c r="J1733" s="8" t="e">
        <x:f>HYPERLINK("file:///Z:/00. Proiecte 2025/AFIR FotoVoltaic 1/Comunicatii oficiale AFIR/Emailuri/12_2026-05-22_1222_Re_ Transmitere Documentatie Cesiro Production/Texte atasamente/02_CertificatInmatriculare Cesiro Production.pdf.txt","Deschide sursa")</x:f>
        <x:v>HYPERLINK is not implemented. linkLocation=file:///Z:/00. Proiecte 2025/AFIR FotoVoltaic 1/Comunicatii oficiale AFIR/Emailuri/12_2026-05-22_1222_Re_ Transmitere Documentatie Cesiro Production/Texte atasamente/02_CertificatInmatriculare Cesiro Production.pdf.txt, friendlyName=Deschide sursa</x:v>
      </x:c>
    </x:row>
    <x:row r="1734" ht="36" customHeight="1">
      <x:c r="A1734" s="8" t="str">
        <x:v>F1730</x:v>
      </x:c>
      <x:c r="B1734" s="8" t="str">
        <x:v>01_C3.3.8.pdf</x:v>
      </x:c>
      <x:c r="C1734" s="8" t="str">
        <x:v>Comunicatii oficiale AFIR</x:v>
      </x:c>
      <x:c r="D1734" s="8" t="str">
        <x:v>Proiect fotovoltaic</x:v>
      </x:c>
      <x:c r="E1734" s="8" t="str">
        <x:v>.pdf</x:v>
      </x:c>
      <x:c r="F1734" s="8" t="n">
        <x:v>382812</x:v>
      </x:c>
      <x:c r="G1734" s="8" t="str">
        <x:v>Text extras</x:v>
      </x:c>
      <x:c r="H1734" s="8" t="str">
        <x:v>Document local; transmiterea individuală neconfirmată</x:v>
      </x:c>
      <x:c r="I1734" s="8" t="str">
        <x:v>F1043</x:v>
      </x:c>
      <x:c r="J1734" s="8" t="e">
        <x:f>HYPERLINK("file:///Z:/00. Proiecte 2025/AFIR FotoVoltaic 1/Comunicatii oficiale AFIR/Emailuri/15_2026-08-07_1155_Notificare de neacceptare a modificarilor prin act aditional/Copii locale atasamente/01_C3.3.8.pdf","Deschide sursa")</x:f>
        <x:v>HYPERLINK is not implemented. linkLocation=file:///Z:/00. Proiecte 2025/AFIR FotoVoltaic 1/Comunicatii oficiale AFIR/Emailuri/15_2026-08-07_1155_Notificare de neacceptare a modificarilor prin act aditional/Copii locale atasamente/01_C3.3.8.pdf, friendlyName=Deschide sursa</x:v>
      </x:c>
    </x:row>
    <x:row r="1735" ht="36" customHeight="1">
      <x:c r="A1735" s="8" t="str">
        <x:v>F1731</x:v>
      </x:c>
      <x:c r="B1735" s="8" t="str">
        <x:v>01_C3.3.8.pdf.txt</x:v>
      </x:c>
      <x:c r="C1735" s="8" t="str">
        <x:v>Comunicatii oficiale AFIR</x:v>
      </x:c>
      <x:c r="D1735" s="8" t="str">
        <x:v>Proiect fotovoltaic</x:v>
      </x:c>
      <x:c r="E1735" s="8" t="str">
        <x:v>.txt</x:v>
      </x:c>
      <x:c r="F1735" s="8" t="n">
        <x:v>2799</x:v>
      </x:c>
      <x:c r="G1735" s="8" t="str">
        <x:v>Text extras</x:v>
      </x:c>
      <x:c r="H1735" s="8" t="str">
        <x:v>Document local; transmiterea individuală neconfirmată</x:v>
      </x:c>
      <x:c r="I1735" s="8" t="str"/>
      <x:c r="J1735" s="8" t="e">
        <x:f>HYPERLINK("file:///Z:/00. Proiecte 2025/AFIR FotoVoltaic 1/Comunicatii oficiale AFIR/Emailuri/15_2026-08-07_1155_Notificare de neacceptare a modificarilor prin act aditional/Texte atasamente/01_C3.3.8.pdf.txt","Deschide sursa")</x:f>
        <x:v>HYPERLINK is not implemented. linkLocation=file:///Z:/00. Proiecte 2025/AFIR FotoVoltaic 1/Comunicatii oficiale AFIR/Emailuri/15_2026-08-07_1155_Notificare de neacceptare a modificarilor prin act aditional/Texte atasamente/01_C3.3.8.pdf.txt, friendlyName=Deschide sursa</x:v>
      </x:c>
    </x:row>
    <x:row r="1736" ht="36" customHeight="1">
      <x:c r="A1736" s="8" t="str">
        <x:v>F1732</x:v>
      </x:c>
      <x:c r="B1736" s="8" t="str">
        <x:v>01_AP_1.11_FM.pdf.txt</x:v>
      </x:c>
      <x:c r="C1736" s="8" t="str">
        <x:v>Comunicatii oficiale AFIR</x:v>
      </x:c>
      <x:c r="D1736" s="8" t="str">
        <x:v>Proiect fotovoltaic</x:v>
      </x:c>
      <x:c r="E1736" s="8" t="str">
        <x:v>.txt</x:v>
      </x:c>
      <x:c r="F1736" s="8" t="n">
        <x:v>2638</x:v>
      </x:c>
      <x:c r="G1736" s="8" t="str">
        <x:v>Text extras</x:v>
      </x:c>
      <x:c r="H1736" s="8" t="str">
        <x:v>Document local; transmiterea individuală neconfirmată</x:v>
      </x:c>
      <x:c r="I1736" s="8" t="str"/>
      <x:c r="J1736" s="8" t="e">
        <x:f>HYPERLINK("file:///Z:/00. Proiecte 2025/AFIR FotoVoltaic 1/Comunicatii oficiale AFIR/Emailuri/17_2026-09-07_1625_AFIR – Notificare nota de convocare/Texte atasamente/01_AP_1.11_FM.pdf.txt","Deschide sursa")</x:f>
        <x:v>HYPERLINK is not implemented. linkLocation=file:///Z:/00. Proiecte 2025/AFIR FotoVoltaic 1/Comunicatii oficiale AFIR/Emailuri/17_2026-09-07_1625_AFIR – Notificare nota de convocare/Texte atasamente/01_AP_1.11_FM.pdf.txt, friendlyName=Deschide sursa</x:v>
      </x:c>
    </x:row>
    <x:row r="1737" ht="36" customHeight="1">
      <x:c r="A1737" s="8" t="str">
        <x:v>F1733</x:v>
      </x:c>
      <x:c r="B1737" s="8" t="str">
        <x:v>01_Fisa de informatii suplimentare partea I Extern.pdf.txt</x:v>
      </x:c>
      <x:c r="C1737" s="8" t="str">
        <x:v>Comunicatii oficiale AFIR</x:v>
      </x:c>
      <x:c r="D1737" s="8" t="str">
        <x:v>Proiect fotovoltaic</x:v>
      </x:c>
      <x:c r="E1737" s="8" t="str">
        <x:v>.txt</x:v>
      </x:c>
      <x:c r="F1737" s="8" t="n">
        <x:v>3756</x:v>
      </x:c>
      <x:c r="G1737" s="8" t="str">
        <x:v>Text extras</x:v>
      </x:c>
      <x:c r="H1737" s="8" t="str">
        <x:v>Document local; transmiterea individuală neconfirmată</x:v>
      </x:c>
      <x:c r="I1737" s="8" t="str"/>
      <x:c r="J1737" s="8" t="e">
        <x:f>HYPERLINK("file:///Z:/00. Proiecte 2025/AFIR FotoVoltaic 1/Comunicatii oficiale AFIR/Emailuri/18_2026-09-29_1147_Solicitare informatii suplimentare/Texte atasamente/01_Fisa de informatii suplimentare partea I Extern.pdf.txt","Deschide sursa")</x:f>
        <x:v>HYPERLINK is not implemented. linkLocation=file:///Z:/00. Proiecte 2025/AFIR FotoVoltaic 1/Comunicatii oficiale AFIR/Emailuri/18_2026-09-29_1147_Solicitare informatii suplimentare/Texte atasamente/01_Fisa de informatii suplimentare partea I Extern.pdf.txt, friendlyName=Deschide sursa</x:v>
      </x:c>
    </x:row>
    <x:row r="1738" ht="36" customHeight="1">
      <x:c r="A1738" s="8" t="str">
        <x:v>F1734</x:v>
      </x:c>
      <x:c r="B1738" s="8" t="str">
        <x:v>02_Fisa de informatii suplimentare partea II.docx.txt</x:v>
      </x:c>
      <x:c r="C1738" s="8" t="str">
        <x:v>Comunicatii oficiale AFIR</x:v>
      </x:c>
      <x:c r="D1738" s="8" t="str">
        <x:v>Proiect fotovoltaic</x:v>
      </x:c>
      <x:c r="E1738" s="8" t="str">
        <x:v>.txt</x:v>
      </x:c>
      <x:c r="F1738" s="8" t="n">
        <x:v>887</x:v>
      </x:c>
      <x:c r="G1738" s="8" t="str">
        <x:v>Text extras</x:v>
      </x:c>
      <x:c r="H1738" s="8" t="str">
        <x:v>Document local; transmiterea individuală neconfirmată</x:v>
      </x:c>
      <x:c r="I1738" s="8" t="str"/>
      <x:c r="J1738" s="8" t="e">
        <x:f>HYPERLINK("file:///Z:/00. Proiecte 2025/AFIR FotoVoltaic 1/Comunicatii oficiale AFIR/Emailuri/18_2026-09-29_1147_Solicitare informatii suplimentare/Texte atasamente/02_Fisa de informatii suplimentare partea II.docx.txt","Deschide sursa")</x:f>
        <x:v>HYPERLINK is not implemented. linkLocation=file:///Z:/00. Proiecte 2025/AFIR FotoVoltaic 1/Comunicatii oficiale AFIR/Emailuri/18_2026-09-29_1147_Solicitare informatii suplimentare/Texte atasamente/02_Fisa de informatii suplimentare partea II.docx.txt, friendlyName=Deschide sursa</x:v>
      </x:c>
    </x:row>
    <x:row r="1739" ht="50" customHeight="1">
      <x:c r="A1739" s="8" t="str">
        <x:v>F1735</x:v>
      </x:c>
      <x:c r="B1739" s="8" t="str">
        <x:v>01_Fisa de informatii suplimentare partea I Extern.pdf.txt</x:v>
      </x:c>
      <x:c r="C1739" s="8" t="str">
        <x:v>Comunicatii oficiale AFIR</x:v>
      </x:c>
      <x:c r="D1739" s="8" t="str">
        <x:v>Proiect fotovoltaic</x:v>
      </x:c>
      <x:c r="E1739" s="8" t="str">
        <x:v>.txt</x:v>
      </x:c>
      <x:c r="F1739" s="8" t="n">
        <x:v>3756</x:v>
      </x:c>
      <x:c r="G1739" s="8" t="str">
        <x:v>Text extras</x:v>
      </x:c>
      <x:c r="H1739" s="8" t="str">
        <x:v>Document local; transmiterea individuală neconfirmată</x:v>
      </x:c>
      <x:c r="I1739" s="8" t="str"/>
      <x:c r="J1739" s="8" t="e">
        <x:f>HYPERLINK("file:///Z:/00. Proiecte 2025/AFIR FotoVoltaic 1/Comunicatii oficiale AFIR/Emailuri/19_2026-09-29_1305_Fwd_ Solicitare informatii suplimentare/Texte atasamente/01_Fisa de informatii suplimentare partea I Extern.pdf.txt","Deschide sursa")</x:f>
        <x:v>HYPERLINK is not implemented. linkLocation=file:///Z:/00. Proiecte 2025/AFIR FotoVoltaic 1/Comunicatii oficiale AFIR/Emailuri/19_2026-09-29_1305_Fwd_ Solicitare informatii suplimentare/Texte atasamente/01_Fisa de informatii suplimentare partea I Extern.pdf.txt, friendlyName=Deschide sursa</x:v>
      </x:c>
    </x:row>
    <x:row r="1740" ht="36" customHeight="1">
      <x:c r="A1740" s="8" t="str">
        <x:v>F1736</x:v>
      </x:c>
      <x:c r="B1740" s="8" t="str">
        <x:v>02_Fisa de informatii suplimentare partea II.docx.txt</x:v>
      </x:c>
      <x:c r="C1740" s="8" t="str">
        <x:v>Comunicatii oficiale AFIR</x:v>
      </x:c>
      <x:c r="D1740" s="8" t="str">
        <x:v>Proiect fotovoltaic</x:v>
      </x:c>
      <x:c r="E1740" s="8" t="str">
        <x:v>.txt</x:v>
      </x:c>
      <x:c r="F1740" s="8" t="n">
        <x:v>887</x:v>
      </x:c>
      <x:c r="G1740" s="8" t="str">
        <x:v>Text extras</x:v>
      </x:c>
      <x:c r="H1740" s="8" t="str">
        <x:v>Document local; transmiterea individuală neconfirmată</x:v>
      </x:c>
      <x:c r="I1740" s="8" t="str"/>
      <x:c r="J1740" s="8" t="e">
        <x:f>HYPERLINK("file:///Z:/00. Proiecte 2025/AFIR FotoVoltaic 1/Comunicatii oficiale AFIR/Emailuri/19_2026-09-29_1305_Fwd_ Solicitare informatii suplimentare/Texte atasamente/02_Fisa de informatii suplimentare partea II.docx.txt","Deschide sursa")</x:f>
        <x:v>HYPERLINK is not implemented. linkLocation=file:///Z:/00. Proiecte 2025/AFIR FotoVoltaic 1/Comunicatii oficiale AFIR/Emailuri/19_2026-09-29_1305_Fwd_ Solicitare informatii suplimentare/Texte atasamente/02_Fisa de informatii suplimentare partea II.docx.txt, friendlyName=Deschide sursa</x:v>
      </x:c>
    </x:row>
  </x:sheetData>
  <x:pageMargins left="0.7" right="0.7" top="0.75" bottom="0.75" header="0.3" footer="0.3"/>
  <x:tableParts count="1">
    <x:tablePart xmlns:r="http://schemas.openxmlformats.org/officeDocument/2006/relationships" r:id="Rf4dc709c8b584449"/>
  </x:tableParts>
</x:worksheet>
</file>

<file path=xl/worksheets/sheet7.xml><?xml version="1.0" encoding="utf-8"?>
<x:worksheet xmlns:x="http://schemas.openxmlformats.org/spreadsheetml/2006/main">
  <x:sheetPr>
    <x:tabColor rgb="FF426A8D"/>
  </x:sheetPr>
  <x:sheetViews>
    <x:sheetView showGridLines="0" workbookViewId="0">
      <x:pane xSplit="2" ySplit="4" topLeftCell="C5" activePane="bottomRight" state="frozen"/>
    </x:sheetView>
  </x:sheetViews>
  <x:sheetFormatPr defaultRowHeight="15"/>
  <x:cols>
    <x:col min="1" max="1" width="75" hidden="0" customWidth="1"/>
    <x:col min="2" max="2" width="100" hidden="0" customWidth="1"/>
    <x:col min="3" max="3" width="20" hidden="0" customWidth="1"/>
  </x:cols>
  <x:sheetData>
    <x:row r="2">
      <x:c r="A2" s="1" t="str">
        <x:v>Continut arhive · Cesiro Production</x:v>
      </x:c>
    </x:row>
    <x:row r="4" ht="45" customHeight="1">
      <x:c r="A4" s="10" t="str">
        <x:v>Arhiva ZIP</x:v>
      </x:c>
      <x:c r="B4" s="10" t="str">
        <x:v>Document în arhivă</x:v>
      </x:c>
      <x:c r="C4" s="10" t="str">
        <x:v>Dimensiune octeți</x:v>
      </x:c>
    </x:row>
    <x:row r="5" ht="32" customHeight="1">
      <x:c r="A5" s="8" t="str">
        <x:v>AFIR FotoVoltaic 1.zip</x:v>
      </x:c>
      <x:c r="B5" s="8" t="str">
        <x:v>1. Proiect 1/1. Documente Cesiro Production SRL/act constitutiv cesiro production.pdf</x:v>
      </x:c>
      <x:c r="C5" s="8" t="n">
        <x:v>619150</x:v>
      </x:c>
    </x:row>
    <x:row r="6" ht="32" customHeight="1">
      <x:c r="A6" s="8" t="str">
        <x:v>AFIR FotoVoltaic 1.zip</x:v>
      </x:c>
      <x:c r="B6" s="8" t="str">
        <x:v>1. Proiect 1/1. Documente Cesiro Production SRL/cazier fiscal production 24.01.2024 117823718CF.pdf</x:v>
      </x:c>
      <x:c r="C6" s="8" t="n">
        <x:v>65677</x:v>
      </x:c>
    </x:row>
    <x:row r="7" ht="32" customHeight="1">
      <x:c r="A7" s="8" t="str">
        <x:v>AFIR FotoVoltaic 1.zip</x:v>
      </x:c>
      <x:c r="B7" s="8" t="str">
        <x:v>1. Proiect 1/1. Documente Cesiro Production SRL/certificat constatator 29.01.2024.pdf</x:v>
      </x:c>
      <x:c r="C7" s="8" t="n">
        <x:v>218776</x:v>
      </x:c>
    </x:row>
    <x:row r="8" ht="32" customHeight="1">
      <x:c r="A8" s="8" t="str">
        <x:v>AFIR FotoVoltaic 1.zip</x:v>
      </x:c>
      <x:c r="B8" s="8" t="str">
        <x:v>1. Proiect 1/1. Documente Cesiro Production SRL/Cesiro Production.pdf</x:v>
      </x:c>
      <x:c r="C8" s="8" t="n">
        <x:v>611208</x:v>
      </x:c>
    </x:row>
    <x:row r="9" ht="32" customHeight="1">
      <x:c r="A9" s="8" t="str">
        <x:v>AFIR FotoVoltaic 1.zip</x:v>
      </x:c>
      <x:c r="B9" s="8" t="str">
        <x:v>1. Proiect 1/1. Documente Cesiro Production SRL/Stampila Cesiro Production.pdf</x:v>
      </x:c>
      <x:c r="C9" s="8" t="n">
        <x:v>593484</x:v>
      </x:c>
    </x:row>
    <x:row r="10" ht="32" customHeight="1">
      <x:c r="A10" s="8" t="str">
        <x:v>AFIR FotoVoltaic 1.zip</x:v>
      </x:c>
      <x:c r="B10" s="8" t="str">
        <x:v>1. Proiect 1/1. Documente Cesiro Production SRL/Stampila Cesiro SA.pdf</x:v>
      </x:c>
      <x:c r="C10" s="8" t="n">
        <x:v>758239</x:v>
      </x:c>
    </x:row>
    <x:row r="11" ht="32" customHeight="1">
      <x:c r="A11" s="8" t="str">
        <x:v>AFIR FotoVoltaic 1.zip</x:v>
      </x:c>
      <x:c r="B11" s="8" t="str">
        <x:v>1. Proiect 1/1. Documente Cesiro Production SRL/Stampila Cesiro.png</x:v>
      </x:c>
      <x:c r="C11" s="8" t="n">
        <x:v>138128</x:v>
      </x:c>
    </x:row>
    <x:row r="12" ht="32" customHeight="1">
      <x:c r="A12" s="8" t="str">
        <x:v>AFIR FotoVoltaic 1.zip</x:v>
      </x:c>
      <x:c r="B12" s="8" t="str">
        <x:v>1. Proiect 1/10. Vizibilitate/Vizibilitate Identitate vizuala.docx</x:v>
      </x:c>
      <x:c r="C12" s="8" t="n">
        <x:v>12553</x:v>
      </x:c>
    </x:row>
    <x:row r="13" ht="32" customHeight="1">
      <x:c r="A13" s="8" t="str">
        <x:v>AFIR FotoVoltaic 1.zip</x:v>
      </x:c>
      <x:c r="B13" s="8" t="str">
        <x:v>1. Proiect 1/11. Plan de Afaceri/BVC Indicatori 2 - fara investitie.xls</x:v>
      </x:c>
      <x:c r="C13" s="8" t="n">
        <x:v>646144</x:v>
      </x:c>
    </x:row>
    <x:row r="14" ht="32" customHeight="1">
      <x:c r="A14" s="8" t="str">
        <x:v>AFIR FotoVoltaic 1.zip</x:v>
      </x:c>
      <x:c r="B14" s="8" t="str">
        <x:v>1. Proiect 1/11. Plan de Afaceri/BVC Indicatori 2.xls</x:v>
      </x:c>
      <x:c r="C14" s="8" t="n">
        <x:v>647680</x:v>
      </x:c>
    </x:row>
    <x:row r="15" ht="32" customHeight="1">
      <x:c r="A15" s="8" t="str">
        <x:v>AFIR FotoVoltaic 1.zip</x:v>
      </x:c>
      <x:c r="B15" s="8" t="str">
        <x:v>1. Proiect 1/11. Plan de Afaceri/Cesiro Production MEMORIU TEHNIC DE EVALUAREA IMPACTULUI ASUPRA MEDIULUI.docx</x:v>
      </x:c>
      <x:c r="C15" s="8" t="n">
        <x:v>2675060</x:v>
      </x:c>
    </x:row>
    <x:row r="16" ht="32" customHeight="1">
      <x:c r="A16" s="8" t="str">
        <x:v>AFIR FotoVoltaic 1.zip</x:v>
      </x:c>
      <x:c r="B16" s="8" t="str">
        <x:v>1. Proiect 1/11. Plan de Afaceri/Copy of BVC Indicatori 2 v1.xls</x:v>
      </x:c>
      <x:c r="C16" s="8" t="n">
        <x:v>664576</x:v>
      </x:c>
    </x:row>
    <x:row r="17" ht="32" customHeight="1">
      <x:c r="A17" s="8" t="str">
        <x:v>AFIR FotoVoltaic 1.zip</x:v>
      </x:c>
      <x:c r="B17" s="8" t="str">
        <x:v>1. Proiect 1/11. Plan de Afaceri/Plan de Afaceri.docx</x:v>
      </x:c>
      <x:c r="C17" s="8" t="n">
        <x:v>5208932</x:v>
      </x:c>
    </x:row>
    <x:row r="18" ht="32" customHeight="1">
      <x:c r="A18" s="8" t="str">
        <x:v>AFIR FotoVoltaic 1.zip</x:v>
      </x:c>
      <x:c r="B18" s="8" t="str">
        <x:v>1. Proiect 1/11. Plan de Afaceri/Prognoza Bilant Cesiro Production 5 ani.pdf</x:v>
      </x:c>
      <x:c r="C18" s="8" t="n">
        <x:v>351751</x:v>
      </x:c>
    </x:row>
    <x:row r="19" ht="32" customHeight="1">
      <x:c r="A19" s="8" t="str">
        <x:v>AFIR FotoVoltaic 1.zip</x:v>
      </x:c>
      <x:c r="B19" s="8" t="str">
        <x:v>1. Proiect 1/11. Plan de Afaceri/Prognoza cheltuieli Cesiro Production 5 ani.pdf</x:v>
      </x:c>
      <x:c r="C19" s="8" t="n">
        <x:v>352703</x:v>
      </x:c>
    </x:row>
    <x:row r="20" ht="32" customHeight="1">
      <x:c r="A20" s="8" t="str">
        <x:v>AFIR FotoVoltaic 1.zip</x:v>
      </x:c>
      <x:c r="B20" s="8" t="str">
        <x:v>1. Proiect 1/11. Plan de Afaceri/Prognoza CPP Cesiro Production 5 ani.pdf</x:v>
      </x:c>
      <x:c r="C20" s="8" t="n">
        <x:v>350180</x:v>
      </x:c>
    </x:row>
    <x:row r="21" ht="32" customHeight="1">
      <x:c r="A21" s="8" t="str">
        <x:v>AFIR FotoVoltaic 1.zip</x:v>
      </x:c>
      <x:c r="B21" s="8" t="str">
        <x:v>1. Proiect 1/11. Plan de Afaceri/Prognoza Flux de Numerar Cesiro Production 5 ani.pdf</x:v>
      </x:c>
      <x:c r="C21" s="8" t="n">
        <x:v>263969</x:v>
      </x:c>
    </x:row>
    <x:row r="22" ht="32" customHeight="1">
      <x:c r="A22" s="8" t="str">
        <x:v>AFIR FotoVoltaic 1.zip</x:v>
      </x:c>
      <x:c r="B22" s="8" t="str">
        <x:v>1. Proiect 1/11. Plan de Afaceri/Prognoza Flux de Numerar Cesiro Production an 1 din 5 ani.pdf</x:v>
      </x:c>
      <x:c r="C22" s="8" t="n">
        <x:v>264330</x:v>
      </x:c>
    </x:row>
    <x:row r="23" ht="32" customHeight="1">
      <x:c r="A23" s="8" t="str">
        <x:v>AFIR FotoVoltaic 1.zip</x:v>
      </x:c>
      <x:c r="B23" s="8" t="str">
        <x:v>1. Proiect 1/11. Plan de Afaceri/Prognoza Flux de Numerar Cesiro Production an 2 din 5 ani.pdf</x:v>
      </x:c>
      <x:c r="C23" s="8" t="n">
        <x:v>265049</x:v>
      </x:c>
    </x:row>
    <x:row r="24" ht="32" customHeight="1">
      <x:c r="A24" s="8" t="str">
        <x:v>AFIR FotoVoltaic 1.zip</x:v>
      </x:c>
      <x:c r="B24" s="8" t="str">
        <x:v>1. Proiect 1/11. Plan de Afaceri/Prognoza Flux de Numerar Cesiro Production an 3 din 5 ani.pdf</x:v>
      </x:c>
      <x:c r="C24" s="8" t="n">
        <x:v>265057</x:v>
      </x:c>
    </x:row>
    <x:row r="25" ht="32" customHeight="1">
      <x:c r="A25" s="8" t="str">
        <x:v>AFIR FotoVoltaic 1.zip</x:v>
      </x:c>
      <x:c r="B25" s="8" t="str">
        <x:v>1. Proiect 1/11. Plan de Afaceri/Prognoza Indicatori Cesiro Production 5 ani.pdf</x:v>
      </x:c>
      <x:c r="C25" s="8" t="n">
        <x:v>190387</x:v>
      </x:c>
    </x:row>
    <x:row r="26" ht="32" customHeight="1">
      <x:c r="A26" s="8" t="str">
        <x:v>AFIR FotoVoltaic 1.zip</x:v>
      </x:c>
      <x:c r="B26" s="8" t="str">
        <x:v>1. Proiect 1/11. Plan de Afaceri/Prognoza venituri Cesiro Production 5 ani.pdf</x:v>
      </x:c>
      <x:c r="C26" s="8" t="n">
        <x:v>361808</x:v>
      </x:c>
    </x:row>
    <x:row r="27" ht="32" customHeight="1">
      <x:c r="A27" s="8" t="str">
        <x:v>AFIR FotoVoltaic 1.zip</x:v>
      </x:c>
      <x:c r="B27" s="8" t="str">
        <x:v>1. Proiect 1/12. Contract de achizitie bunuri si servici/Contract Suntree Solar Tech SRL - Cesiro Production SRL.docx</x:v>
      </x:c>
      <x:c r="C27" s="8" t="n">
        <x:v>189700</x:v>
      </x:c>
    </x:row>
    <x:row r="28" ht="32" customHeight="1">
      <x:c r="A28" s="8" t="str">
        <x:v>AFIR FotoVoltaic 1.zip</x:v>
      </x:c>
      <x:c r="B28" s="8" t="str">
        <x:v>1. Proiect 1/14. Oferte/1. Suntree Solar Tech SRL/Anexe/Acte societate/Certificat constatator Suntree Solar Tech SRL.pdf</x:v>
      </x:c>
      <x:c r="C28" s="8" t="n">
        <x:v>1000385</x:v>
      </x:c>
    </x:row>
    <x:row r="29" ht="32" customHeight="1">
      <x:c r="A29" s="8" t="str">
        <x:v>AFIR FotoVoltaic 1.zip</x:v>
      </x:c>
      <x:c r="B29" s="8" t="str">
        <x:v>1. Proiect 1/14. Oferte/1. Suntree Solar Tech SRL/Anexe/Acte societate/Certificat de inregistrare Suntree Solar Tech SRL.pdf</x:v>
      </x:c>
      <x:c r="C29" s="8" t="n">
        <x:v>2426307</x:v>
      </x:c>
    </x:row>
    <x:row r="30" ht="32" customHeight="1">
      <x:c r="A30" s="8" t="str">
        <x:v>AFIR FotoVoltaic 1.zip</x:v>
      </x:c>
      <x:c r="B30" s="8" t="str">
        <x:v>1. Proiect 1/14. Oferte/1. Suntree Solar Tech SRL/Anexe/Fise tehnice echipamente ofertate/LUNA2000-200KWH-2H1.pdf</x:v>
      </x:c>
      <x:c r="C30" s="8" t="n">
        <x:v>171915</x:v>
      </x:c>
    </x:row>
    <x:row r="31" ht="32" customHeight="1">
      <x:c r="A31" s="8" t="str">
        <x:v>AFIR FotoVoltaic 1.zip</x:v>
      </x:c>
      <x:c r="B31" s="8" t="str">
        <x:v>1. Proiect 1/14. Oferte/1. Suntree Solar Tech SRL/Anexe/Fise tehnice echipamente ofertate/SUN2000-100KTL-M2.pdf</x:v>
      </x:c>
      <x:c r="C31" s="8" t="n">
        <x:v>441689</x:v>
      </x:c>
    </x:row>
    <x:row r="32" ht="32" customHeight="1">
      <x:c r="A32" s="8" t="str">
        <x:v>AFIR FotoVoltaic 1.zip</x:v>
      </x:c>
      <x:c r="B32" s="8" t="str">
        <x:v>1. Proiect 1/14. Oferte/1. Suntree Solar Tech SRL/Anexe/Fise tehnice echipamente ofertate/SUN2000-10KTL-M1.pdf</x:v>
      </x:c>
      <x:c r="C32" s="8" t="n">
        <x:v>1544755</x:v>
      </x:c>
    </x:row>
    <x:row r="33" ht="32" customHeight="1">
      <x:c r="A33" s="8" t="str">
        <x:v>AFIR FotoVoltaic 1.zip</x:v>
      </x:c>
      <x:c r="B33" s="8" t="str">
        <x:v>1. Proiect 1/14. Oferte/1. Suntree Solar Tech SRL/Anexe/Fise tehnice echipamente ofertate/TOPHiKu6.pdf</x:v>
      </x:c>
      <x:c r="C33" s="8" t="n">
        <x:v>354028</x:v>
      </x:c>
    </x:row>
    <x:row r="34" ht="32" customHeight="1">
      <x:c r="A34" s="8" t="str">
        <x:v>AFIR FotoVoltaic 1.zip</x:v>
      </x:c>
      <x:c r="B34" s="8" t="str">
        <x:v>1. Proiect 1/14. Oferte/1. Suntree Solar Tech SRL/Anexe/Fise tehnice echipamente ofertate/TOPHiKu6_Page_1.png</x:v>
      </x:c>
      <x:c r="C34" s="8" t="n">
        <x:v>1053099</x:v>
      </x:c>
    </x:row>
    <x:row r="35" ht="32" customHeight="1">
      <x:c r="A35" s="8" t="str">
        <x:v>AFIR FotoVoltaic 1.zip</x:v>
      </x:c>
      <x:c r="B35" s="8" t="str">
        <x:v>1. Proiect 1/14. Oferte/1. Suntree Solar Tech SRL/Anexe/Fise tehnice echipamente ofertate/TOPHiKu6_Page_2.png</x:v>
      </x:c>
      <x:c r="C35" s="8" t="n">
        <x:v>126378</x:v>
      </x:c>
    </x:row>
    <x:row r="36" ht="32" customHeight="1">
      <x:c r="A36" s="8" t="str">
        <x:v>AFIR FotoVoltaic 1.zip</x:v>
      </x:c>
      <x:c r="B36" s="8" t="str">
        <x:v>1. Proiect 1/14. Oferte/1. Suntree Solar Tech SRL/Declaratie conflict de interese Suntree Solar Tech SRL.docx</x:v>
      </x:c>
      <x:c r="C36" s="8" t="n">
        <x:v>2747589</x:v>
      </x:c>
    </x:row>
    <x:row r="37" ht="32" customHeight="1">
      <x:c r="A37" s="8" t="str">
        <x:v>AFIR FotoVoltaic 1.zip</x:v>
      </x:c>
      <x:c r="B37" s="8" t="str">
        <x:v>1. Proiect 1/14. Oferte/1. Suntree Solar Tech SRL/Declaratie conflict de interese Suntree Solar Tech SRL.pdf</x:v>
      </x:c>
      <x:c r="C37" s="8" t="n">
        <x:v>422684</x:v>
      </x:c>
    </x:row>
    <x:row r="38" ht="32" customHeight="1">
      <x:c r="A38" s="8" t="str">
        <x:v>AFIR FotoVoltaic 1.zip</x:v>
      </x:c>
      <x:c r="B38" s="8" t="str">
        <x:v>1. Proiect 1/14. Oferte/1. Suntree Solar Tech SRL/Oferta completa Suntree Solar Tech SRL.pdf</x:v>
      </x:c>
      <x:c r="C38" s="8" t="n">
        <x:v>7662971</x:v>
      </x:c>
    </x:row>
    <x:row r="39" ht="32" customHeight="1">
      <x:c r="A39" s="8" t="str">
        <x:v>AFIR FotoVoltaic 1.zip</x:v>
      </x:c>
      <x:c r="B39" s="8" t="str">
        <x:v>1. Proiect 1/14. Oferte/1. Suntree Solar Tech SRL/Oferta Suntree Solar Tech SRL.docx</x:v>
      </x:c>
      <x:c r="C39" s="8" t="n">
        <x:v>301133</x:v>
      </x:c>
    </x:row>
    <x:row r="40" ht="32" customHeight="1">
      <x:c r="A40" s="8" t="str">
        <x:v>AFIR FotoVoltaic 1.zip</x:v>
      </x:c>
      <x:c r="B40" s="8" t="str">
        <x:v>1. Proiect 1/14. Oferte/1. Suntree Solar Tech SRL/Oferta Suntree Solar Tech SRL.pdf</x:v>
      </x:c>
      <x:c r="C40" s="8" t="n">
        <x:v>2935372</x:v>
      </x:c>
    </x:row>
    <x:row r="41" ht="32" customHeight="1">
      <x:c r="A41" s="8" t="str">
        <x:v>AFIR FotoVoltaic 1.zip</x:v>
      </x:c>
      <x:c r="B41" s="8" t="str">
        <x:v>1. Proiect 1/14. Oferte/1. Suntree Solar Tech SRL/Solicitare oferta Suntree Solar Tech SRL.docx</x:v>
      </x:c>
      <x:c r="C41" s="8" t="n">
        <x:v>2759995</x:v>
      </x:c>
    </x:row>
    <x:row r="42" ht="32" customHeight="1">
      <x:c r="A42" s="8" t="str">
        <x:v>AFIR FotoVoltaic 1.zip</x:v>
      </x:c>
      <x:c r="B42" s="8" t="str">
        <x:v>1. Proiect 1/14. Oferte/2. Albaco Exim SRL/Anexe/Acte societate/Certificat constatator Albaco Exim SRL.pdf</x:v>
      </x:c>
      <x:c r="C42" s="8" t="n">
        <x:v>583873</x:v>
      </x:c>
    </x:row>
    <x:row r="43" ht="32" customHeight="1">
      <x:c r="A43" s="8" t="str">
        <x:v>AFIR FotoVoltaic 1.zip</x:v>
      </x:c>
      <x:c r="B43" s="8" t="str">
        <x:v>1. Proiect 1/14. Oferte/2. Albaco Exim SRL/Anexe/Acte societate/Certificat de inregistrare Albaco Exim SRL.pdf</x:v>
      </x:c>
      <x:c r="C43" s="8" t="n">
        <x:v>1823403</x:v>
      </x:c>
    </x:row>
    <x:row r="44" ht="32" customHeight="1">
      <x:c r="A44" s="8" t="str">
        <x:v>AFIR FotoVoltaic 1.zip</x:v>
      </x:c>
      <x:c r="B44" s="8" t="str">
        <x:v>1. Proiect 1/14. Oferte/2. Albaco Exim SRL/Anexe/Fise tehnice echipamente ofertate/JKM570N-72HL4-BDV.pdf</x:v>
      </x:c>
      <x:c r="C44" s="8" t="n">
        <x:v>444795</x:v>
      </x:c>
    </x:row>
    <x:row r="45" ht="32" customHeight="1">
      <x:c r="A45" s="8" t="str">
        <x:v>AFIR FotoVoltaic 1.zip</x:v>
      </x:c>
      <x:c r="B45" s="8" t="str">
        <x:v>1. Proiect 1/14. Oferte/2. Albaco Exim SRL/Anexe/Fise tehnice echipamente ofertate/LUNA2000-200KWH-2H1.pdf</x:v>
      </x:c>
      <x:c r="C45" s="8" t="n">
        <x:v>171915</x:v>
      </x:c>
    </x:row>
    <x:row r="46" ht="32" customHeight="1">
      <x:c r="A46" s="8" t="str">
        <x:v>AFIR FotoVoltaic 1.zip</x:v>
      </x:c>
      <x:c r="B46" s="8" t="str">
        <x:v>1. Proiect 1/14. Oferte/2. Albaco Exim SRL/Anexe/Fise tehnice echipamente ofertate/SUN2000-100KTL-M2.pdf</x:v>
      </x:c>
      <x:c r="C46" s="8" t="n">
        <x:v>441689</x:v>
      </x:c>
    </x:row>
    <x:row r="47" ht="32" customHeight="1">
      <x:c r="A47" s="8" t="str">
        <x:v>AFIR FotoVoltaic 1.zip</x:v>
      </x:c>
      <x:c r="B47" s="8" t="str">
        <x:v>1. Proiect 1/14. Oferte/2. Albaco Exim SRL/Anexe/Fise tehnice echipamente ofertate/SUN2000-10KTL-M1.pdf</x:v>
      </x:c>
      <x:c r="C47" s="8" t="n">
        <x:v>1544755</x:v>
      </x:c>
    </x:row>
    <x:row r="48" ht="32" customHeight="1">
      <x:c r="A48" s="8" t="str">
        <x:v>AFIR FotoVoltaic 1.zip</x:v>
      </x:c>
      <x:c r="B48" s="8" t="str">
        <x:v>1. Proiect 1/14. Oferte/2. Albaco Exim SRL/Declaratie conflict de interese Albaco Exim SRL.docx</x:v>
      </x:c>
      <x:c r="C48" s="8" t="n">
        <x:v>2747667</x:v>
      </x:c>
    </x:row>
    <x:row r="49" ht="32" customHeight="1">
      <x:c r="A49" s="8" t="str">
        <x:v>AFIR FotoVoltaic 1.zip</x:v>
      </x:c>
      <x:c r="B49" s="8" t="str">
        <x:v>1. Proiect 1/14. Oferte/2. Albaco Exim SRL/Declaratie conflict de interese Albaco Exim SRL.pdf</x:v>
      </x:c>
      <x:c r="C49" s="8" t="n">
        <x:v>419710</x:v>
      </x:c>
    </x:row>
    <x:row r="50" ht="32" customHeight="1">
      <x:c r="A50" s="8" t="str">
        <x:v>AFIR FotoVoltaic 1.zip</x:v>
      </x:c>
      <x:c r="B50" s="8" t="str">
        <x:v>1. Proiect 1/14. Oferte/2. Albaco Exim SRL/Oferta Albaco Exim SRL.docx</x:v>
      </x:c>
      <x:c r="C50" s="8" t="n">
        <x:v>230366</x:v>
      </x:c>
    </x:row>
    <x:row r="51" ht="32" customHeight="1">
      <x:c r="A51" s="8" t="str">
        <x:v>AFIR FotoVoltaic 1.zip</x:v>
      </x:c>
      <x:c r="B51" s="8" t="str">
        <x:v>1. Proiect 1/14. Oferte/2. Albaco Exim SRL/Oferta Albaco Exim SRL.pdf</x:v>
      </x:c>
      <x:c r="C51" s="8" t="n">
        <x:v>2674877</x:v>
      </x:c>
    </x:row>
    <x:row r="52" ht="32" customHeight="1">
      <x:c r="A52" s="8" t="str">
        <x:v>AFIR FotoVoltaic 1.zip</x:v>
      </x:c>
      <x:c r="B52" s="8" t="str">
        <x:v>1. Proiect 1/14. Oferte/2. Albaco Exim SRL/Oferta completa Albaco Exim SRL.pdf</x:v>
      </x:c>
      <x:c r="C52" s="8" t="n">
        <x:v>8786981</x:v>
      </x:c>
    </x:row>
    <x:row r="53" ht="32" customHeight="1">
      <x:c r="A53" s="8" t="str">
        <x:v>AFIR FotoVoltaic 1.zip</x:v>
      </x:c>
      <x:c r="B53" s="8" t="str">
        <x:v>1. Proiect 1/14. Oferte/2. Albaco Exim SRL/Solicitare oferta Albaco Exim SRL.docx</x:v>
      </x:c>
      <x:c r="C53" s="8" t="n">
        <x:v>2760046</x:v>
      </x:c>
    </x:row>
    <x:row r="54" ht="32" customHeight="1">
      <x:c r="A54" s="8" t="str">
        <x:v>AFIR FotoVoltaic 1.zip</x:v>
      </x:c>
      <x:c r="B54" s="8" t="str">
        <x:v>1. Proiect 1/14. Oferte/3. Energotehnica SRL/Anexe/Acte societate/Certificat constatator Energotehnica SRL.pdf</x:v>
      </x:c>
      <x:c r="C54" s="8" t="n">
        <x:v>200833</x:v>
      </x:c>
    </x:row>
    <x:row r="55" ht="32" customHeight="1">
      <x:c r="A55" s="8" t="str">
        <x:v>AFIR FotoVoltaic 1.zip</x:v>
      </x:c>
      <x:c r="B55" s="8" t="str">
        <x:v>1. Proiect 1/14. Oferte/3. Energotehnica SRL/Anexe/Acte societate/Certificat de inregsitrare Energotehnica SRL.pdf</x:v>
      </x:c>
      <x:c r="C55" s="8" t="n">
        <x:v>1896605</x:v>
      </x:c>
    </x:row>
    <x:row r="56" ht="32" customHeight="1">
      <x:c r="A56" s="8" t="str">
        <x:v>AFIR FotoVoltaic 1.zip</x:v>
      </x:c>
      <x:c r="B56" s="8" t="str">
        <x:v>1. Proiect 1/14. Oferte/3. Energotehnica SRL/Anexe/Fise tehnice echipamente ofertate/SG110CX.pdf</x:v>
      </x:c>
      <x:c r="C56" s="8" t="n">
        <x:v>364045</x:v>
      </x:c>
    </x:row>
    <x:row r="57" ht="32" customHeight="1">
      <x:c r="A57" s="8" t="str">
        <x:v>AFIR FotoVoltaic 1.zip</x:v>
      </x:c>
      <x:c r="B57" s="8" t="str">
        <x:v>1. Proiect 1/14. Oferte/3. Energotehnica SRL/Anexe/Fise tehnice echipamente ofertate/SH10RT.pdf</x:v>
      </x:c>
      <x:c r="C57" s="8" t="n">
        <x:v>193735</x:v>
      </x:c>
    </x:row>
    <x:row r="58" ht="32" customHeight="1">
      <x:c r="A58" s="8" t="str">
        <x:v>AFIR FotoVoltaic 1.zip</x:v>
      </x:c>
      <x:c r="B58" s="8" t="str">
        <x:v>1. Proiect 1/14. Oferte/3. Energotehnica SRL/Anexe/Fise tehnice echipamente ofertate/SMA SC200.pdf</x:v>
      </x:c>
      <x:c r="C58" s="8" t="n">
        <x:v>1180417</x:v>
      </x:c>
    </x:row>
    <x:row r="59" ht="32" customHeight="1">
      <x:c r="A59" s="8" t="str">
        <x:v>AFIR FotoVoltaic 1.zip</x:v>
      </x:c>
      <x:c r="B59" s="8" t="str">
        <x:v>1. Proiect 1/14. Oferte/3. Energotehnica SRL/Anexe/Fise tehnice echipamente ofertate/TOPHiKu6.pdf</x:v>
      </x:c>
      <x:c r="C59" s="8" t="n">
        <x:v>354028</x:v>
      </x:c>
    </x:row>
    <x:row r="60" ht="32" customHeight="1">
      <x:c r="A60" s="8" t="str">
        <x:v>AFIR FotoVoltaic 1.zip</x:v>
      </x:c>
      <x:c r="B60" s="8" t="str">
        <x:v>1. Proiect 1/14. Oferte/3. Energotehnica SRL/Declaratie conflict de interese Energotehnica SRL.docx</x:v>
      </x:c>
      <x:c r="C60" s="8" t="n">
        <x:v>2747787</x:v>
      </x:c>
    </x:row>
    <x:row r="61" ht="32" customHeight="1">
      <x:c r="A61" s="8" t="str">
        <x:v>AFIR FotoVoltaic 1.zip</x:v>
      </x:c>
      <x:c r="B61" s="8" t="str">
        <x:v>1. Proiect 1/14. Oferte/3. Energotehnica SRL/Declaratie conflict de interese Energotehnica SRL.pdf</x:v>
      </x:c>
      <x:c r="C61" s="8" t="n">
        <x:v>67474</x:v>
      </x:c>
    </x:row>
    <x:row r="62" ht="32" customHeight="1">
      <x:c r="A62" s="8" t="str">
        <x:v>AFIR FotoVoltaic 1.zip</x:v>
      </x:c>
      <x:c r="B62" s="8" t="str">
        <x:v>1. Proiect 1/14. Oferte/3. Energotehnica SRL/Oferta completa Energotehnica SRL.pdf</x:v>
      </x:c>
      <x:c r="C62" s="8" t="n">
        <x:v>9979690</x:v>
      </x:c>
    </x:row>
    <x:row r="63" ht="32" customHeight="1">
      <x:c r="A63" s="8" t="str">
        <x:v>AFIR FotoVoltaic 1.zip</x:v>
      </x:c>
      <x:c r="B63" s="8" t="str">
        <x:v>1. Proiect 1/14. Oferte/3. Energotehnica SRL/Oferta Energotehnica SRL.docx</x:v>
      </x:c>
      <x:c r="C63" s="8" t="n">
        <x:v>150253</x:v>
      </x:c>
    </x:row>
    <x:row r="64" ht="32" customHeight="1">
      <x:c r="A64" s="8" t="str">
        <x:v>AFIR FotoVoltaic 1.zip</x:v>
      </x:c>
      <x:c r="B64" s="8" t="str">
        <x:v>1. Proiect 1/14. Oferte/3. Energotehnica SRL/Oferta Energotehnica SRL.pdf</x:v>
      </x:c>
      <x:c r="C64" s="8" t="n">
        <x:v>2021480</x:v>
      </x:c>
    </x:row>
    <x:row r="65" ht="32" customHeight="1">
      <x:c r="A65" s="8" t="str">
        <x:v>AFIR FotoVoltaic 1.zip</x:v>
      </x:c>
      <x:c r="B65" s="8" t="str">
        <x:v>1. Proiect 1/14. Oferte/3. Energotehnica SRL/Solicitare oferta Energotehnica SRL.docx</x:v>
      </x:c>
      <x:c r="C65" s="8" t="n">
        <x:v>2760136</x:v>
      </x:c>
    </x:row>
    <x:row r="66" ht="32" customHeight="1">
      <x:c r="A66" s="8" t="str">
        <x:v>AFIR FotoVoltaic 1.zip</x:v>
      </x:c>
      <x:c r="B66" s="8" t="str">
        <x:v>1. Proiect 1/15. Banci/1. EximBank/Cerere_de_Credit_Cesiro_Production[1].docx</x:v>
      </x:c>
      <x:c r="C66" s="8" t="n">
        <x:v>51634</x:v>
      </x:c>
    </x:row>
    <x:row r="67" ht="32" customHeight="1">
      <x:c r="A67" s="8" t="str">
        <x:v>AFIR FotoVoltaic 1.zip</x:v>
      </x:c>
      <x:c r="B67" s="8" t="str">
        <x:v>1. Proiect 1/2. Contract de concesiune/58299.pdf</x:v>
      </x:c>
      <x:c r="C67" s="8" t="n">
        <x:v>72262</x:v>
      </x:c>
    </x:row>
    <x:row r="68" ht="32" customHeight="1">
      <x:c r="A68" s="8" t="str">
        <x:v>AFIR FotoVoltaic 1.zip</x:v>
      </x:c>
      <x:c r="B68" s="8" t="str">
        <x:v>1. Proiect 1/2. Contract de concesiune/58300 IPEC.pdf</x:v>
      </x:c>
      <x:c r="C68" s="8" t="n">
        <x:v>117771</x:v>
      </x:c>
    </x:row>
    <x:row r="69" ht="32" customHeight="1">
      <x:c r="A69" s="8" t="str">
        <x:v>AFIR FotoVoltaic 1.zip</x:v>
      </x:c>
      <x:c r="B69" s="8" t="str">
        <x:v>1. Proiect 1/2. Contract de concesiune/58300.pdf</x:v>
      </x:c>
      <x:c r="C69" s="8" t="n">
        <x:v>133339</x:v>
      </x:c>
    </x:row>
    <x:row r="70" ht="32" customHeight="1">
      <x:c r="A70" s="8" t="str">
        <x:v>AFIR FotoVoltaic 1.zip</x:v>
      </x:c>
      <x:c r="B70" s="8" t="str">
        <x:v>1. Proiect 1/2. Contract de concesiune/ACORD IPOTECAR IPEC.docx</x:v>
      </x:c>
      <x:c r="C70" s="8" t="n">
        <x:v>12382</x:v>
      </x:c>
    </x:row>
    <x:row r="71" ht="32" customHeight="1">
      <x:c r="A71" s="8" t="str">
        <x:v>AFIR FotoVoltaic 1.zip</x:v>
      </x:c>
      <x:c r="B71" s="8" t="str">
        <x:v>1. Proiect 1/2. Contract de concesiune/act aditional la contrractul de comodat nr 2 din 12.01.2021.docx</x:v>
      </x:c>
      <x:c r="C71" s="8" t="n">
        <x:v>1659536</x:v>
      </x:c>
    </x:row>
    <x:row r="72" ht="32" customHeight="1">
      <x:c r="A72" s="8" t="str">
        <x:v>AFIR FotoVoltaic 1.zip</x:v>
      </x:c>
      <x:c r="B72" s="8" t="str">
        <x:v>1. Proiect 1/2. Contract de concesiune/CF 50573 hala de productie fabrica Cesiro 10 10 2017.PDF</x:v>
      </x:c>
      <x:c r="C72" s="8" t="n">
        <x:v>1476807</x:v>
      </x:c>
    </x:row>
    <x:row r="73" ht="32" customHeight="1">
      <x:c r="A73" s="8" t="str">
        <x:v>AFIR FotoVoltaic 1.zip</x:v>
      </x:c>
      <x:c r="B73" s="8" t="str">
        <x:v>1. Proiect 1/2. Contract de concesiune/contract comodat nr 2-2.pdf</x:v>
      </x:c>
      <x:c r="C73" s="8" t="n">
        <x:v>658228</x:v>
      </x:c>
    </x:row>
    <x:row r="74" ht="32" customHeight="1">
      <x:c r="A74" s="8" t="str">
        <x:v>AFIR FotoVoltaic 1.zip</x:v>
      </x:c>
      <x:c r="B74" s="8" t="str">
        <x:v>1. Proiect 1/2. Contract de concesiune/Contract de inchiriere IPEC SA cu Cesiro Production.pdf</x:v>
      </x:c>
      <x:c r="C74" s="8" t="n">
        <x:v>8565306</x:v>
      </x:c>
    </x:row>
    <x:row r="75" ht="32" customHeight="1">
      <x:c r="A75" s="8" t="str">
        <x:v>AFIR FotoVoltaic 1.zip</x:v>
      </x:c>
      <x:c r="B75" s="8" t="str">
        <x:v>1. Proiect 1/2. Contract de concesiune/Contract de inchiriere IPEC SA cu Cesiro Production_Page_1.jpg</x:v>
      </x:c>
      <x:c r="C75" s="8" t="n">
        <x:v>1958014</x:v>
      </x:c>
    </x:row>
    <x:row r="76" ht="32" customHeight="1">
      <x:c r="A76" s="8" t="str">
        <x:v>AFIR FotoVoltaic 1.zip</x:v>
      </x:c>
      <x:c r="B76" s="8" t="str">
        <x:v>1. Proiect 1/2. Contract de concesiune/Contract de inchiriere IPEC SA cu Cesiro Production_Page_2.jpg</x:v>
      </x:c>
      <x:c r="C76" s="8" t="n">
        <x:v>2400537</x:v>
      </x:c>
    </x:row>
    <x:row r="77" ht="32" customHeight="1">
      <x:c r="A77" s="8" t="str">
        <x:v>AFIR FotoVoltaic 1.zip</x:v>
      </x:c>
      <x:c r="B77" s="8" t="str">
        <x:v>1. Proiect 1/2. Contract de concesiune/Contract de inchiriere IPEC SA cu Cesiro Production_Page_3.jpg</x:v>
      </x:c>
      <x:c r="C77" s="8" t="n">
        <x:v>2267914</x:v>
      </x:c>
    </x:row>
    <x:row r="78" ht="32" customHeight="1">
      <x:c r="A78" s="8" t="str">
        <x:v>AFIR FotoVoltaic 1.zip</x:v>
      </x:c>
      <x:c r="B78" s="8" t="str">
        <x:v>1. Proiect 1/2. Contract de concesiune/Contract de inchiriere IPEC SA cu Cesiro Production_Page_4.jpg</x:v>
      </x:c>
      <x:c r="C78" s="8" t="n">
        <x:v>465810</x:v>
      </x:c>
    </x:row>
    <x:row r="79" ht="32" customHeight="1">
      <x:c r="A79" s="8" t="str">
        <x:v>AFIR FotoVoltaic 1.zip</x:v>
      </x:c>
      <x:c r="B79" s="8" t="str">
        <x:v>1. Proiect 1/2. Contract de concesiune/Contract de inchiriere IPEC SA cu Cesiro Production_Page_5.jpg</x:v>
      </x:c>
      <x:c r="C79" s="8" t="n">
        <x:v>1032521</x:v>
      </x:c>
    </x:row>
    <x:row r="80" ht="32" customHeight="1">
      <x:c r="A80" s="8" t="str">
        <x:v>AFIR FotoVoltaic 1.zip</x:v>
      </x:c>
      <x:c r="B80" s="8" t="str">
        <x:v>1. Proiect 1/2. Contract de concesiune/Contract de inchiriere IPEC SA cu Cesiro Production_Page_6.jpg</x:v>
      </x:c>
      <x:c r="C80" s="8" t="n">
        <x:v>436304</x:v>
      </x:c>
    </x:row>
    <x:row r="81" ht="32" customHeight="1">
      <x:c r="A81" s="8" t="str">
        <x:v>AFIR FotoVoltaic 1.zip</x:v>
      </x:c>
      <x:c r="B81" s="8" t="str">
        <x:v>1. Proiect 1/2. Contract de concesiune/Contract Inchiriere Cesiro - Cesiro Productions.docx</x:v>
      </x:c>
      <x:c r="C81" s="8" t="n">
        <x:v>558862</x:v>
      </x:c>
    </x:row>
    <x:row r="82" ht="32" customHeight="1">
      <x:c r="A82" s="8" t="str">
        <x:v>AFIR FotoVoltaic 1.zip</x:v>
      </x:c>
      <x:c r="B82" s="8" t="str">
        <x:v>1. Proiect 1/2. Contract de concesiune/DECIZIE PASTRARE CONTRACT.docx</x:v>
      </x:c>
      <x:c r="C82" s="8" t="n">
        <x:v>16436</x:v>
      </x:c>
    </x:row>
    <x:row r="83" ht="32" customHeight="1">
      <x:c r="A83" s="8" t="str">
        <x:v>AFIR FotoVoltaic 1.zip</x:v>
      </x:c>
      <x:c r="B83" s="8" t="str">
        <x:v>1. Proiect 1/2. Contract de concesiune/SChema de amplasare panouri pe acoperis.xlsx</x:v>
      </x:c>
      <x:c r="C83" s="8" t="n">
        <x:v>36698</x:v>
      </x:c>
    </x:row>
    <x:row r="84" ht="32" customHeight="1">
      <x:c r="A84" s="8" t="str">
        <x:v>AFIR FotoVoltaic 1.zip</x:v>
      </x:c>
      <x:c r="B84" s="8" t="str">
        <x:v>1. Proiect 1/4. Certificat ONRC/Certificat Constatator Cesiro Production 26.01.2024.pdf</x:v>
      </x:c>
      <x:c r="C84" s="8" t="n">
        <x:v>209255</x:v>
      </x:c>
    </x:row>
    <x:row r="85" ht="32" customHeight="1">
      <x:c r="A85" s="8" t="str">
        <x:v>AFIR FotoVoltaic 1.zip</x:v>
      </x:c>
      <x:c r="B85" s="8" t="str">
        <x:v>1. Proiect 1/5. Memoriu Tehnic &amp; Justificativ/Arhiva/Deviz General 1 MW.xlsx</x:v>
      </x:c>
      <x:c r="C85" s="8" t="n">
        <x:v>42377</x:v>
      </x:c>
    </x:row>
    <x:row r="86" ht="32" customHeight="1">
      <x:c r="A86" s="8" t="str">
        <x:v>AFIR FotoVoltaic 1.zip</x:v>
      </x:c>
      <x:c r="B86" s="8" t="str">
        <x:v>1. Proiect 1/5. Memoriu Tehnic &amp; Justificativ/Arhiva/Deviz impecabil facut de Nicos.docx</x:v>
      </x:c>
      <x:c r="C86" s="8" t="n">
        <x:v>23045</x:v>
      </x:c>
    </x:row>
    <x:row r="87" ht="32" customHeight="1">
      <x:c r="A87" s="8" t="str">
        <x:v>AFIR FotoVoltaic 1.zip</x:v>
      </x:c>
      <x:c r="B87" s="8" t="str">
        <x:v>1. Proiect 1/5. Memoriu Tehnic &amp; Justificativ/Arhiva/DOCX Document nou.docx</x:v>
      </x:c>
      <x:c r="C87" s="8" t="n">
        <x:v>26298</x:v>
      </x:c>
    </x:row>
    <x:row r="88" ht="32" customHeight="1">
      <x:c r="A88" s="8" t="str">
        <x:v>AFIR FotoVoltaic 1.zip</x:v>
      </x:c>
      <x:c r="B88" s="8" t="str">
        <x:v>1. Proiect 1/5. Memoriu Tehnic &amp; Justificativ/Arhiva/Exemplu deviz.docx</x:v>
      </x:c>
      <x:c r="C88" s="8" t="n">
        <x:v>22639</x:v>
      </x:c>
    </x:row>
    <x:row r="89" ht="32" customHeight="1">
      <x:c r="A89" s="8" t="str">
        <x:v>AFIR FotoVoltaic 1.zip</x:v>
      </x:c>
      <x:c r="B89" s="8" t="str">
        <x:v>1. Proiect 1/5. Memoriu Tehnic &amp; Justificativ/Arhiva/Memoriu Justificativ 26.01.2024.docx</x:v>
      </x:c>
      <x:c r="C89" s="8" t="n">
        <x:v>31084</x:v>
      </x:c>
    </x:row>
    <x:row r="90" ht="32" customHeight="1">
      <x:c r="A90" s="8" t="str">
        <x:v>AFIR FotoVoltaic 1.zip</x:v>
      </x:c>
      <x:c r="B90" s="8" t="str">
        <x:v>1. Proiect 1/5. Memoriu Tehnic &amp; Justificativ/Arhiva/Memoriu Tehnic &amp; Justificativ 28.01.2024 (AutoRecovered).docx</x:v>
      </x:c>
      <x:c r="C90" s="8" t="n">
        <x:v>2834690</x:v>
      </x:c>
    </x:row>
    <x:row r="91" ht="32" customHeight="1">
      <x:c r="A91" s="8" t="str">
        <x:v>AFIR FotoVoltaic 1.zip</x:v>
      </x:c>
      <x:c r="B91" s="8" t="str">
        <x:v>1. Proiect 1/5. Memoriu Tehnic &amp; Justificativ/Arhiva/Memoriu Tehnic &amp; Justificativ 28.01.2024.docx</x:v>
      </x:c>
      <x:c r="C91" s="8" t="n">
        <x:v>2854001</x:v>
      </x:c>
    </x:row>
    <x:row r="92" ht="32" customHeight="1">
      <x:c r="A92" s="8" t="str">
        <x:v>AFIR FotoVoltaic 1.zip</x:v>
      </x:c>
      <x:c r="B92" s="8" t="str">
        <x:v>1. Proiect 1/5. Memoriu Tehnic &amp; Justificativ/Arhiva/Memoriu Tehnic 26.01.2024.docx</x:v>
      </x:c>
      <x:c r="C92" s="8" t="n">
        <x:v>72513</x:v>
      </x:c>
    </x:row>
    <x:row r="93" ht="32" customHeight="1">
      <x:c r="A93" s="8" t="str">
        <x:v>AFIR FotoVoltaic 1.zip</x:v>
      </x:c>
      <x:c r="B93" s="8" t="str">
        <x:v>1. Proiect 1/5. Memoriu Tehnic &amp; Justificativ/Arhiva/Memoriu Tehnic 27.01.2024.docx</x:v>
      </x:c>
      <x:c r="C93" s="8" t="n">
        <x:v>57794</x:v>
      </x:c>
    </x:row>
    <x:row r="94" ht="36" customHeight="1">
      <x:c r="A94" s="8" t="str">
        <x:v>AFIR FotoVoltaic 1.zip</x:v>
      </x:c>
      <x:c r="B94" s="8" t="str">
        <x:v>1. Proiect 1/5. Memoriu Tehnic &amp; Justificativ/Arhiva/PVGIS-5_GridConnectedPV_46.223_24.803_undefined_crystSi_1000kWp_14_36 (opt)deg_4 (opt)deg_page-0001.jpg</x:v>
      </x:c>
      <x:c r="C94" s="8" t="n">
        <x:v>735107</x:v>
      </x:c>
    </x:row>
    <x:row r="95" ht="32" customHeight="1">
      <x:c r="A95" s="8" t="str">
        <x:v>AFIR FotoVoltaic 1.zip</x:v>
      </x:c>
      <x:c r="B95" s="8" t="str">
        <x:v>1. Proiect 1/5. Memoriu Tehnic &amp; Justificativ/Cerere de finantare completata.pdf</x:v>
      </x:c>
      <x:c r="C95" s="8" t="n">
        <x:v>904341</x:v>
      </x:c>
    </x:row>
    <x:row r="96" ht="32" customHeight="1">
      <x:c r="A96" s="8" t="str">
        <x:v>AFIR FotoVoltaic 1.zip</x:v>
      </x:c>
      <x:c r="B96" s="8" t="str">
        <x:v>1. Proiect 1/5. Memoriu Tehnic &amp; Justificativ/Deviz general 11.02.2024.xlsx</x:v>
      </x:c>
      <x:c r="C96" s="8" t="n">
        <x:v>22598</x:v>
      </x:c>
    </x:row>
    <x:row r="97" ht="32" customHeight="1">
      <x:c r="A97" s="8" t="str">
        <x:v>AFIR FotoVoltaic 1.zip</x:v>
      </x:c>
      <x:c r="B97" s="8" t="str">
        <x:v>1. Proiect 1/5. Memoriu Tehnic &amp; Justificativ/Memoriu Tehnic &amp; Justificativ 28.01.2024.docx</x:v>
      </x:c>
      <x:c r="C97" s="8" t="n">
        <x:v>2744159</x:v>
      </x:c>
    </x:row>
    <x:row r="98" ht="32" customHeight="1">
      <x:c r="A98" s="8" t="str">
        <x:v>AFIR FotoVoltaic 1.zip</x:v>
      </x:c>
      <x:c r="B98" s="8" t="str">
        <x:v>1. Proiect 1/5. Memoriu Tehnic &amp; Justificativ/Model amplasare panouri fotovoltaice 10500 mp 210 m X 50 m.pdf</x:v>
      </x:c>
      <x:c r="C98" s="8" t="n">
        <x:v>263678</x:v>
      </x:c>
    </x:row>
    <x:row r="99" ht="36" customHeight="1">
      <x:c r="A99" s="8" t="str">
        <x:v>AFIR FotoVoltaic 1.zip</x:v>
      </x:c>
      <x:c r="B99" s="8" t="str">
        <x:v>1. Proiect 1/5. Memoriu Tehnic &amp; Justificativ/Oferte/1. Suntree Solar Tech SRL/Anexe/Acte societate/Certificat constatator Suntree Solar Tech SRL.pdf</x:v>
      </x:c>
      <x:c r="C99" s="8" t="n">
        <x:v>1000385</x:v>
      </x:c>
    </x:row>
    <x:row r="100" ht="36" customHeight="1">
      <x:c r="A100" s="8" t="str">
        <x:v>AFIR FotoVoltaic 1.zip</x:v>
      </x:c>
      <x:c r="B100" s="8" t="str">
        <x:v>1. Proiect 1/5. Memoriu Tehnic &amp; Justificativ/Oferte/1. Suntree Solar Tech SRL/Anexe/Acte societate/Certificat de inregistrare Suntree Solar Tech SRL.pdf</x:v>
      </x:c>
      <x:c r="C100" s="8" t="n">
        <x:v>2426307</x:v>
      </x:c>
    </x:row>
    <x:row r="101" ht="36" customHeight="1">
      <x:c r="A101" s="8" t="str">
        <x:v>AFIR FotoVoltaic 1.zip</x:v>
      </x:c>
      <x:c r="B101" s="8" t="str">
        <x:v>1. Proiect 1/5. Memoriu Tehnic &amp; Justificativ/Oferte/1. Suntree Solar Tech SRL/Anexe/Fise tehnice echipamente ofertate/LUNA2000-200KWH-2H1.pdf</x:v>
      </x:c>
      <x:c r="C101" s="8" t="n">
        <x:v>171915</x:v>
      </x:c>
    </x:row>
    <x:row r="102" ht="36" customHeight="1">
      <x:c r="A102" s="8" t="str">
        <x:v>AFIR FotoVoltaic 1.zip</x:v>
      </x:c>
      <x:c r="B102" s="8" t="str">
        <x:v>1. Proiect 1/5. Memoriu Tehnic &amp; Justificativ/Oferte/1. Suntree Solar Tech SRL/Anexe/Fise tehnice echipamente ofertate/SUN2000-100KTL-M2.pdf</x:v>
      </x:c>
      <x:c r="C102" s="8" t="n">
        <x:v>441689</x:v>
      </x:c>
    </x:row>
    <x:row r="103" ht="36" customHeight="1">
      <x:c r="A103" s="8" t="str">
        <x:v>AFIR FotoVoltaic 1.zip</x:v>
      </x:c>
      <x:c r="B103" s="8" t="str">
        <x:v>1. Proiect 1/5. Memoriu Tehnic &amp; Justificativ/Oferte/1. Suntree Solar Tech SRL/Anexe/Fise tehnice echipamente ofertate/SUN2000-10KTL-M1.pdf</x:v>
      </x:c>
      <x:c r="C103" s="8" t="n">
        <x:v>1544755</x:v>
      </x:c>
    </x:row>
    <x:row r="104" ht="36" customHeight="1">
      <x:c r="A104" s="8" t="str">
        <x:v>AFIR FotoVoltaic 1.zip</x:v>
      </x:c>
      <x:c r="B104" s="8" t="str">
        <x:v>1. Proiect 1/5. Memoriu Tehnic &amp; Justificativ/Oferte/1. Suntree Solar Tech SRL/Anexe/Fise tehnice echipamente ofertate/TOPHiKu6.pdf</x:v>
      </x:c>
      <x:c r="C104" s="8" t="n">
        <x:v>354028</x:v>
      </x:c>
    </x:row>
    <x:row r="105" ht="36" customHeight="1">
      <x:c r="A105" s="8" t="str">
        <x:v>AFIR FotoVoltaic 1.zip</x:v>
      </x:c>
      <x:c r="B105" s="8" t="str">
        <x:v>1. Proiect 1/5. Memoriu Tehnic &amp; Justificativ/Oferte/1. Suntree Solar Tech SRL/Declaratie conflict de interese Suntree Solar Tech SRL.docx</x:v>
      </x:c>
      <x:c r="C105" s="8" t="n">
        <x:v>2747589</x:v>
      </x:c>
    </x:row>
    <x:row r="106" ht="36" customHeight="1">
      <x:c r="A106" s="8" t="str">
        <x:v>AFIR FotoVoltaic 1.zip</x:v>
      </x:c>
      <x:c r="B106" s="8" t="str">
        <x:v>1. Proiect 1/5. Memoriu Tehnic &amp; Justificativ/Oferte/1. Suntree Solar Tech SRL/Declaratie conflict de interese Suntree Solar Tech SRL.pdf</x:v>
      </x:c>
      <x:c r="C106" s="8" t="n">
        <x:v>422684</x:v>
      </x:c>
    </x:row>
    <x:row r="107" ht="32" customHeight="1">
      <x:c r="A107" s="8" t="str">
        <x:v>AFIR FotoVoltaic 1.zip</x:v>
      </x:c>
      <x:c r="B107" s="8" t="str">
        <x:v>1. Proiect 1/5. Memoriu Tehnic &amp; Justificativ/Oferte/1. Suntree Solar Tech SRL/Oferta completa Suntree Solar Tech SRL.pdf</x:v>
      </x:c>
      <x:c r="C107" s="8" t="n">
        <x:v>7662971</x:v>
      </x:c>
    </x:row>
    <x:row r="108" ht="32" customHeight="1">
      <x:c r="A108" s="8" t="str">
        <x:v>AFIR FotoVoltaic 1.zip</x:v>
      </x:c>
      <x:c r="B108" s="8" t="str">
        <x:v>1. Proiect 1/5. Memoriu Tehnic &amp; Justificativ/Oferte/1. Suntree Solar Tech SRL/Oferta Suntree Solar Tech SRL.docx</x:v>
      </x:c>
      <x:c r="C108" s="8" t="n">
        <x:v>301133</x:v>
      </x:c>
    </x:row>
    <x:row r="109" ht="32" customHeight="1">
      <x:c r="A109" s="8" t="str">
        <x:v>AFIR FotoVoltaic 1.zip</x:v>
      </x:c>
      <x:c r="B109" s="8" t="str">
        <x:v>1. Proiect 1/5. Memoriu Tehnic &amp; Justificativ/Oferte/1. Suntree Solar Tech SRL/Oferta Suntree Solar Tech SRL.pdf</x:v>
      </x:c>
      <x:c r="C109" s="8" t="n">
        <x:v>2935372</x:v>
      </x:c>
    </x:row>
    <x:row r="110" ht="32" customHeight="1">
      <x:c r="A110" s="8" t="str">
        <x:v>AFIR FotoVoltaic 1.zip</x:v>
      </x:c>
      <x:c r="B110" s="8" t="str">
        <x:v>1. Proiect 1/5. Memoriu Tehnic &amp; Justificativ/Oferte/1. Suntree Solar Tech SRL/Solicitare oferta Suntree Solar Tech SRL.docx</x:v>
      </x:c>
      <x:c r="C110" s="8" t="n">
        <x:v>2759937</x:v>
      </x:c>
    </x:row>
    <x:row r="111" ht="36" customHeight="1">
      <x:c r="A111" s="8" t="str">
        <x:v>AFIR FotoVoltaic 1.zip</x:v>
      </x:c>
      <x:c r="B111" s="8" t="str">
        <x:v>1. Proiect 1/5. Memoriu Tehnic &amp; Justificativ/Oferte/2. Albaco Exim SRL/Anexe/Acte societate/Certificat constatator Albaco Exim SRL.pdf</x:v>
      </x:c>
      <x:c r="C111" s="8" t="n">
        <x:v>583873</x:v>
      </x:c>
    </x:row>
    <x:row r="112" ht="36" customHeight="1">
      <x:c r="A112" s="8" t="str">
        <x:v>AFIR FotoVoltaic 1.zip</x:v>
      </x:c>
      <x:c r="B112" s="8" t="str">
        <x:v>1. Proiect 1/5. Memoriu Tehnic &amp; Justificativ/Oferte/2. Albaco Exim SRL/Anexe/Acte societate/Certificat de inregistrare Albaco Exim SRL.pdf</x:v>
      </x:c>
      <x:c r="C112" s="8" t="n">
        <x:v>1823403</x:v>
      </x:c>
    </x:row>
    <x:row r="113" ht="36" customHeight="1">
      <x:c r="A113" s="8" t="str">
        <x:v>AFIR FotoVoltaic 1.zip</x:v>
      </x:c>
      <x:c r="B113" s="8" t="str">
        <x:v>1. Proiect 1/5. Memoriu Tehnic &amp; Justificativ/Oferte/2. Albaco Exim SRL/Anexe/Fise tehnice echipamente ofertate/JKM570N-72HL4-BDV.pdf</x:v>
      </x:c>
      <x:c r="C113" s="8" t="n">
        <x:v>444795</x:v>
      </x:c>
    </x:row>
    <x:row r="114" ht="36" customHeight="1">
      <x:c r="A114" s="8" t="str">
        <x:v>AFIR FotoVoltaic 1.zip</x:v>
      </x:c>
      <x:c r="B114" s="8" t="str">
        <x:v>1. Proiect 1/5. Memoriu Tehnic &amp; Justificativ/Oferte/2. Albaco Exim SRL/Anexe/Fise tehnice echipamente ofertate/LUNA2000-200KWH-2H1.pdf</x:v>
      </x:c>
      <x:c r="C114" s="8" t="n">
        <x:v>171915</x:v>
      </x:c>
    </x:row>
    <x:row r="115" ht="36" customHeight="1">
      <x:c r="A115" s="8" t="str">
        <x:v>AFIR FotoVoltaic 1.zip</x:v>
      </x:c>
      <x:c r="B115" s="8" t="str">
        <x:v>1. Proiect 1/5. Memoriu Tehnic &amp; Justificativ/Oferte/2. Albaco Exim SRL/Anexe/Fise tehnice echipamente ofertate/SUN2000-100KTL-M2.pdf</x:v>
      </x:c>
      <x:c r="C115" s="8" t="n">
        <x:v>441689</x:v>
      </x:c>
    </x:row>
    <x:row r="116" ht="36" customHeight="1">
      <x:c r="A116" s="8" t="str">
        <x:v>AFIR FotoVoltaic 1.zip</x:v>
      </x:c>
      <x:c r="B116" s="8" t="str">
        <x:v>1. Proiect 1/5. Memoriu Tehnic &amp; Justificativ/Oferte/2. Albaco Exim SRL/Anexe/Fise tehnice echipamente ofertate/SUN2000-10KTL-M1.pdf</x:v>
      </x:c>
      <x:c r="C116" s="8" t="n">
        <x:v>1544755</x:v>
      </x:c>
    </x:row>
    <x:row r="117" ht="32" customHeight="1">
      <x:c r="A117" s="8" t="str">
        <x:v>AFIR FotoVoltaic 1.zip</x:v>
      </x:c>
      <x:c r="B117" s="8" t="str">
        <x:v>1. Proiect 1/5. Memoriu Tehnic &amp; Justificativ/Oferte/2. Albaco Exim SRL/Declaratie conflict de interese Albaco Exim SRL.docx</x:v>
      </x:c>
      <x:c r="C117" s="8" t="n">
        <x:v>2747667</x:v>
      </x:c>
    </x:row>
    <x:row r="118" ht="32" customHeight="1">
      <x:c r="A118" s="8" t="str">
        <x:v>AFIR FotoVoltaic 1.zip</x:v>
      </x:c>
      <x:c r="B118" s="8" t="str">
        <x:v>1. Proiect 1/5. Memoriu Tehnic &amp; Justificativ/Oferte/2. Albaco Exim SRL/Declaratie conflict de interese Albaco Exim SRL.pdf</x:v>
      </x:c>
      <x:c r="C118" s="8" t="n">
        <x:v>419710</x:v>
      </x:c>
    </x:row>
    <x:row r="119" ht="32" customHeight="1">
      <x:c r="A119" s="8" t="str">
        <x:v>AFIR FotoVoltaic 1.zip</x:v>
      </x:c>
      <x:c r="B119" s="8" t="str">
        <x:v>1. Proiect 1/5. Memoriu Tehnic &amp; Justificativ/Oferte/2. Albaco Exim SRL/Oferta Albaco Exim SRL.docx</x:v>
      </x:c>
      <x:c r="C119" s="8" t="n">
        <x:v>230366</x:v>
      </x:c>
    </x:row>
    <x:row r="120" ht="32" customHeight="1">
      <x:c r="A120" s="8" t="str">
        <x:v>AFIR FotoVoltaic 1.zip</x:v>
      </x:c>
      <x:c r="B120" s="8" t="str">
        <x:v>1. Proiect 1/5. Memoriu Tehnic &amp; Justificativ/Oferte/2. Albaco Exim SRL/Oferta Albaco Exim SRL.pdf</x:v>
      </x:c>
      <x:c r="C120" s="8" t="n">
        <x:v>2674877</x:v>
      </x:c>
    </x:row>
    <x:row r="121" ht="32" customHeight="1">
      <x:c r="A121" s="8" t="str">
        <x:v>AFIR FotoVoltaic 1.zip</x:v>
      </x:c>
      <x:c r="B121" s="8" t="str">
        <x:v>1. Proiect 1/5. Memoriu Tehnic &amp; Justificativ/Oferte/2. Albaco Exim SRL/Oferta completa Albaco Exim SRL.pdf</x:v>
      </x:c>
      <x:c r="C121" s="8" t="n">
        <x:v>8786981</x:v>
      </x:c>
    </x:row>
    <x:row r="122" ht="32" customHeight="1">
      <x:c r="A122" s="8" t="str">
        <x:v>AFIR FotoVoltaic 1.zip</x:v>
      </x:c>
      <x:c r="B122" s="8" t="str">
        <x:v>1. Proiect 1/5. Memoriu Tehnic &amp; Justificativ/Oferte/2. Albaco Exim SRL/Solicitare oferta Albaco Exim SRL.docx</x:v>
      </x:c>
      <x:c r="C122" s="8" t="n">
        <x:v>2759359</x:v>
      </x:c>
    </x:row>
    <x:row r="123" ht="36" customHeight="1">
      <x:c r="A123" s="8" t="str">
        <x:v>AFIR FotoVoltaic 1.zip</x:v>
      </x:c>
      <x:c r="B123" s="8" t="str">
        <x:v>1. Proiect 1/5. Memoriu Tehnic &amp; Justificativ/Oferte/3. Energotehnica SRL/Anexe/Acte societate/Certificat constatator Energotehnica SRL.pdf</x:v>
      </x:c>
      <x:c r="C123" s="8" t="n">
        <x:v>200833</x:v>
      </x:c>
    </x:row>
    <x:row r="124" ht="36" customHeight="1">
      <x:c r="A124" s="8" t="str">
        <x:v>AFIR FotoVoltaic 1.zip</x:v>
      </x:c>
      <x:c r="B124" s="8" t="str">
        <x:v>1. Proiect 1/5. Memoriu Tehnic &amp; Justificativ/Oferte/3. Energotehnica SRL/Anexe/Acte societate/Certificat de inregsitrare Energotehnica SRL.pdf</x:v>
      </x:c>
      <x:c r="C124" s="8" t="n">
        <x:v>1896605</x:v>
      </x:c>
    </x:row>
    <x:row r="125" ht="32" customHeight="1">
      <x:c r="A125" s="8" t="str">
        <x:v>AFIR FotoVoltaic 1.zip</x:v>
      </x:c>
      <x:c r="B125" s="8" t="str">
        <x:v>1. Proiect 1/5. Memoriu Tehnic &amp; Justificativ/Oferte/3. Energotehnica SRL/Anexe/Fise tehnice echipamente ofertate/SG110CX.pdf</x:v>
      </x:c>
      <x:c r="C125" s="8" t="n">
        <x:v>364045</x:v>
      </x:c>
    </x:row>
    <x:row r="126" ht="32" customHeight="1">
      <x:c r="A126" s="8" t="str">
        <x:v>AFIR FotoVoltaic 1.zip</x:v>
      </x:c>
      <x:c r="B126" s="8" t="str">
        <x:v>1. Proiect 1/5. Memoriu Tehnic &amp; Justificativ/Oferte/3. Energotehnica SRL/Anexe/Fise tehnice echipamente ofertate/SH10RT.pdf</x:v>
      </x:c>
      <x:c r="C126" s="8" t="n">
        <x:v>193735</x:v>
      </x:c>
    </x:row>
    <x:row r="127" ht="36" customHeight="1">
      <x:c r="A127" s="8" t="str">
        <x:v>AFIR FotoVoltaic 1.zip</x:v>
      </x:c>
      <x:c r="B127" s="8" t="str">
        <x:v>1. Proiect 1/5. Memoriu Tehnic &amp; Justificativ/Oferte/3. Energotehnica SRL/Anexe/Fise tehnice echipamente ofertate/SMA SC200.pdf</x:v>
      </x:c>
      <x:c r="C127" s="8" t="n">
        <x:v>1180417</x:v>
      </x:c>
    </x:row>
    <x:row r="128" ht="32" customHeight="1">
      <x:c r="A128" s="8" t="str">
        <x:v>AFIR FotoVoltaic 1.zip</x:v>
      </x:c>
      <x:c r="B128" s="8" t="str">
        <x:v>1. Proiect 1/5. Memoriu Tehnic &amp; Justificativ/Oferte/3. Energotehnica SRL/Anexe/Fise tehnice echipamente ofertate/TOPHiKu6.pdf</x:v>
      </x:c>
      <x:c r="C128" s="8" t="n">
        <x:v>354028</x:v>
      </x:c>
    </x:row>
    <x:row r="129" ht="36" customHeight="1">
      <x:c r="A129" s="8" t="str">
        <x:v>AFIR FotoVoltaic 1.zip</x:v>
      </x:c>
      <x:c r="B129" s="8" t="str">
        <x:v>1. Proiect 1/5. Memoriu Tehnic &amp; Justificativ/Oferte/3. Energotehnica SRL/Declaratie conflict de interese Energotehnica SRL.docx</x:v>
      </x:c>
      <x:c r="C129" s="8" t="n">
        <x:v>2747787</x:v>
      </x:c>
    </x:row>
    <x:row r="130" ht="36" customHeight="1">
      <x:c r="A130" s="8" t="str">
        <x:v>AFIR FotoVoltaic 1.zip</x:v>
      </x:c>
      <x:c r="B130" s="8" t="str">
        <x:v>1. Proiect 1/5. Memoriu Tehnic &amp; Justificativ/Oferte/3. Energotehnica SRL/Declaratie conflict de interese Energotehnica SRL.pdf</x:v>
      </x:c>
      <x:c r="C130" s="8" t="n">
        <x:v>67474</x:v>
      </x:c>
    </x:row>
    <x:row r="131" ht="32" customHeight="1">
      <x:c r="A131" s="8" t="str">
        <x:v>AFIR FotoVoltaic 1.zip</x:v>
      </x:c>
      <x:c r="B131" s="8" t="str">
        <x:v>1. Proiect 1/5. Memoriu Tehnic &amp; Justificativ/Oferte/3. Energotehnica SRL/Oferta completa Energotehnica SRL.pdf</x:v>
      </x:c>
      <x:c r="C131" s="8" t="n">
        <x:v>8351483</x:v>
      </x:c>
    </x:row>
    <x:row r="132" ht="32" customHeight="1">
      <x:c r="A132" s="8" t="str">
        <x:v>AFIR FotoVoltaic 1.zip</x:v>
      </x:c>
      <x:c r="B132" s="8" t="str">
        <x:v>1. Proiect 1/5. Memoriu Tehnic &amp; Justificativ/Oferte/3. Energotehnica SRL/Oferta Energotehnica SRL.docx</x:v>
      </x:c>
      <x:c r="C132" s="8" t="n">
        <x:v>150253</x:v>
      </x:c>
    </x:row>
    <x:row r="133" ht="32" customHeight="1">
      <x:c r="A133" s="8" t="str">
        <x:v>AFIR FotoVoltaic 1.zip</x:v>
      </x:c>
      <x:c r="B133" s="8" t="str">
        <x:v>1. Proiect 1/5. Memoriu Tehnic &amp; Justificativ/Oferte/3. Energotehnica SRL/Oferta Energotehnica SRL.pdf</x:v>
      </x:c>
      <x:c r="C133" s="8" t="n">
        <x:v>394421</x:v>
      </x:c>
    </x:row>
    <x:row r="134" ht="32" customHeight="1">
      <x:c r="A134" s="8" t="str">
        <x:v>AFIR FotoVoltaic 1.zip</x:v>
      </x:c>
      <x:c r="B134" s="8" t="str">
        <x:v>1. Proiect 1/5. Memoriu Tehnic &amp; Justificativ/Oferte/3. Energotehnica SRL/Solicitare oferta Energotehnica SRL.docx</x:v>
      </x:c>
      <x:c r="C134" s="8" t="n">
        <x:v>2760061</x:v>
      </x:c>
    </x:row>
    <x:row r="135" ht="32" customHeight="1">
      <x:c r="A135" s="8" t="str">
        <x:v>AFIR FotoVoltaic 1.zip</x:v>
      </x:c>
      <x:c r="B135" s="8" t="str">
        <x:v>1. Proiect 1/5. Memoriu Tehnic &amp; Justificativ/PV-GIS.jpg</x:v>
      </x:c>
      <x:c r="C135" s="8" t="n">
        <x:v>404319</x:v>
      </x:c>
    </x:row>
    <x:row r="136" ht="32" customHeight="1">
      <x:c r="A136" s="8" t="str">
        <x:v>AFIR FotoVoltaic 1.zip</x:v>
      </x:c>
      <x:c r="B136" s="8" t="str">
        <x:v>1. Proiect 1/6. Decizie/Nota justificativa alegere furnizor.docx</x:v>
      </x:c>
      <x:c r="C136" s="8" t="n">
        <x:v>2749804</x:v>
      </x:c>
    </x:row>
    <x:row r="137" ht="32" customHeight="1">
      <x:c r="A137" s="8" t="str">
        <x:v>AFIR FotoVoltaic 1.zip</x:v>
      </x:c>
      <x:c r="B137" s="8" t="str">
        <x:v>1. Proiect 1/7. Cerere de finantare/Cerere finantare surse regenerabile de energie si stocarea energiei.pdf</x:v>
      </x:c>
      <x:c r="C137" s="8" t="n">
        <x:v>897536</x:v>
      </x:c>
    </x:row>
    <x:row r="138" ht="32" customHeight="1">
      <x:c r="A138" s="8" t="str">
        <x:v>AFIR FotoVoltaic 1.zip</x:v>
      </x:c>
      <x:c r="B138" s="8" t="str">
        <x:v>1. Proiect 1/7. Cerere de finantare/CF_DO_ENERGIE_v1.pdf</x:v>
      </x:c>
      <x:c r="C138" s="8" t="n">
        <x:v>907486</x:v>
      </x:c>
    </x:row>
    <x:row r="139" ht="32" customHeight="1">
      <x:c r="A139" s="8" t="str">
        <x:v>AFIR FotoVoltaic 1.zip</x:v>
      </x:c>
      <x:c r="B139" s="8" t="str">
        <x:v>1. Proiect 1/8. Analiza Cost Beneficiu/Analiza Cost Beneficiu.docx</x:v>
      </x:c>
      <x:c r="C139" s="8" t="n">
        <x:v>1326308</x:v>
      </x:c>
    </x:row>
    <x:row r="140" ht="32" customHeight="1">
      <x:c r="A140" s="8" t="str">
        <x:v>AFIR FotoVoltaic 1.zip</x:v>
      </x:c>
      <x:c r="B140" s="8" t="str">
        <x:v>1. Proiect 1/8. Analiza Cost Beneficiu/Modele pentru Analiza CB/Analiza cost-beneficiu.pdf</x:v>
      </x:c>
      <x:c r="C140" s="8" t="n">
        <x:v>929363</x:v>
      </x:c>
    </x:row>
    <x:row r="141" ht="32" customHeight="1">
      <x:c r="A141" s="8" t="str">
        <x:v>AFIR FotoVoltaic 1.zip</x:v>
      </x:c>
      <x:c r="B141" s="8" t="str">
        <x:v>1. Proiect 1/8. Analiza Cost Beneficiu/Modele pentru Analiza CB/Memoriu pentru APM Parc fotovoltaic.pdf</x:v>
      </x:c>
      <x:c r="C141" s="8" t="n">
        <x:v>1203128</x:v>
      </x:c>
    </x:row>
    <x:row r="142" ht="32" customHeight="1">
      <x:c r="A142" s="8" t="str">
        <x:v>AFIR FotoVoltaic 1.zip</x:v>
      </x:c>
      <x:c r="B142" s="8" t="str">
        <x:v>1. Proiect 1/8. Analiza Cost Beneficiu/Modele pentru Analiza CB/SF Sf Gheorghe.docx</x:v>
      </x:c>
      <x:c r="C142" s="8" t="n">
        <x:v>2283434</x:v>
      </x:c>
    </x:row>
    <x:row r="143" ht="32" customHeight="1">
      <x:c r="A143" s="8" t="str">
        <x:v>AFIR FotoVoltaic 1.zip</x:v>
      </x:c>
      <x:c r="B143" s="8" t="str">
        <x:v>1. Proiect 1/8. Analiza Cost Beneficiu/Modele pentru Analiza CB/SF Sf Gheorghe.pdf</x:v>
      </x:c>
      <x:c r="C143" s="8" t="n">
        <x:v>2691443</x:v>
      </x:c>
    </x:row>
    <x:row r="144" ht="32" customHeight="1">
      <x:c r="A144" s="8" t="str">
        <x:v>AFIR FotoVoltaic 1.zip</x:v>
      </x:c>
      <x:c r="B144" s="8" t="str">
        <x:v>1. Proiect 1/9. Fabrica Nuci/25112024.MOV</x:v>
      </x:c>
      <x:c r="C144" s="8" t="n">
        <x:v>49414559</x:v>
      </x:c>
    </x:row>
    <x:row r="145" ht="32" customHeight="1">
      <x:c r="A145" s="8" t="str">
        <x:v>AFIR FotoVoltaic 1.zip</x:v>
      </x:c>
      <x:c r="B145" s="8" t="str">
        <x:v>1. Proiect 1/9. Fabrica Nuci/AUTOMATED INDUSTRIAL WALNUT PROCESSING LINE 200 KG_H (3).pdf</x:v>
      </x:c>
      <x:c r="C145" s="8" t="n">
        <x:v>1374484</x:v>
      </x:c>
    </x:row>
    <x:row r="146" ht="32" customHeight="1">
      <x:c r="A146" s="8" t="str">
        <x:v>AFIR FotoVoltaic 1.zip</x:v>
      </x:c>
      <x:c r="B146" s="8" t="str">
        <x:v>1. Proiect 1/9. Fabrica Nuci/bigtem.com/2cb09733-78f3-46c4-a367-50763137b660.jpg</x:v>
      </x:c>
      <x:c r="C146" s="8" t="n">
        <x:v>33817</x:v>
      </x:c>
    </x:row>
    <x:row r="147" ht="32" customHeight="1">
      <x:c r="A147" s="8" t="str">
        <x:v>AFIR FotoVoltaic 1.zip</x:v>
      </x:c>
      <x:c r="B147" s="8" t="str">
        <x:v>1. Proiect 1/9. Fabrica Nuci/bigtem.com/bigtem.com.jpg</x:v>
      </x:c>
      <x:c r="C147" s="8" t="n">
        <x:v>214536</x:v>
      </x:c>
    </x:row>
    <x:row r="148" ht="32" customHeight="1">
      <x:c r="A148" s="8" t="str">
        <x:v>AFIR FotoVoltaic 1.zip</x:v>
      </x:c>
      <x:c r="B148" s="8" t="str">
        <x:v>1. Proiect 1/9. Fabrica Nuci/Catalog_Nut_technology_ENG_2023 (4).pdf</x:v>
      </x:c>
      <x:c r="C148" s="8" t="n">
        <x:v>4536091</x:v>
      </x:c>
    </x:row>
    <x:row r="149" ht="32" customHeight="1">
      <x:c r="A149" s="8" t="str">
        <x:v>AFIR FotoVoltaic 1.zip</x:v>
      </x:c>
      <x:c r="B149" s="8" t="str">
        <x:v>1. Proiect 1/9. Fabrica Nuci/Echipamente existente/Mori cu macinare discontinua.pdf</x:v>
      </x:c>
      <x:c r="C149" s="8" t="n">
        <x:v>833287</x:v>
      </x:c>
    </x:row>
    <x:row r="150" ht="32" customHeight="1">
      <x:c r="A150" s="8" t="str">
        <x:v>AFIR FotoVoltaic 1.zip</x:v>
      </x:c>
      <x:c r="B150" s="8" t="str">
        <x:v>1. Proiect 1/9. Fabrica Nuci/Echipamente existente/RX_60_35_50_EN_TD.pdf</x:v>
      </x:c>
      <x:c r="C150" s="8" t="n">
        <x:v>13715903</x:v>
      </x:c>
    </x:row>
    <x:row r="151" ht="32" customHeight="1">
      <x:c r="A151" s="8" t="str">
        <x:v>AFIR FotoVoltaic 1.zip</x:v>
      </x:c>
      <x:c r="B151" s="8" t="str">
        <x:v>1. Proiect 1/9. Fabrica Nuci/Echipamente existente/Uscator electric.pdf</x:v>
      </x:c>
      <x:c r="C151" s="8" t="n">
        <x:v>524705</x:v>
      </x:c>
    </x:row>
    <x:row r="152" ht="32" customHeight="1">
      <x:c r="A152" s="8" t="str">
        <x:v>AFIR FotoVoltaic 1.zip</x:v>
      </x:c>
      <x:c r="B152" s="8" t="str">
        <x:v>1. Proiect 1/9. Fabrica Nuci/Foshan Cat Five Equipment Manufacturing/Foshan Cat Five Equipment .jpg</x:v>
      </x:c>
      <x:c r="C152" s="8" t="n">
        <x:v>128812</x:v>
      </x:c>
    </x:row>
    <x:row r="153" ht="32" customHeight="1">
      <x:c r="A153" s="8" t="str">
        <x:v>AFIR FotoVoltaic 1.zip</x:v>
      </x:c>
      <x:c r="B153" s="8" t="str">
        <x:v>1. Proiect 1/9. Fabrica Nuci/Foshan Cat Five Equipment Manufacturing/fsfivecats.en.alibaba.com.txt</x:v>
      </x:c>
      <x:c r="C153" s="8" t="n">
        <x:v>30</x:v>
      </x:c>
    </x:row>
    <x:row r="154" ht="32" customHeight="1">
      <x:c r="A154" s="8" t="str">
        <x:v>AFIR FotoVoltaic 1.zip</x:v>
      </x:c>
      <x:c r="B154" s="8" t="str">
        <x:v>1. Proiect 1/9. Fabrica Nuci/Gongmao(公猫） June/2025-2-13-核桃-1.pdf</x:v>
      </x:c>
      <x:c r="C154" s="8" t="n">
        <x:v>20310770</x:v>
      </x:c>
    </x:row>
    <x:row r="155" ht="32" customHeight="1">
      <x:c r="A155" s="8" t="str">
        <x:v>AFIR FotoVoltaic 1.zip</x:v>
      </x:c>
      <x:c r="B155" s="8" t="str">
        <x:v>1. Proiect 1/9. Fabrica Nuci/Gongmao(公猫） June/9cb2a2640c709dec2b60b642627c56ec.mp4</x:v>
      </x:c>
      <x:c r="C155" s="8" t="n">
        <x:v>10566924</x:v>
      </x:c>
    </x:row>
    <x:row r="156" ht="32" customHeight="1">
      <x:c r="A156" s="8" t="str">
        <x:v>AFIR FotoVoltaic 1.zip</x:v>
      </x:c>
      <x:c r="B156" s="8" t="str">
        <x:v>1. Proiect 1/9. Fabrica Nuci/Gongmao(公猫） June/d9cfe9554a0948b16ad28ee03d7661d4.mp4</x:v>
      </x:c>
      <x:c r="C156" s="8" t="n">
        <x:v>6010370</x:v>
      </x:c>
    </x:row>
    <x:row r="157" ht="32" customHeight="1">
      <x:c r="A157" s="8" t="str">
        <x:v>AFIR FotoVoltaic 1.zip</x:v>
      </x:c>
      <x:c r="B157" s="8" t="str">
        <x:v>1. Proiect 1/9. Fabrica Nuci/IMG_4071 (1).MOV</x:v>
      </x:c>
      <x:c r="C157" s="8" t="n">
        <x:v>76665872</x:v>
      </x:c>
    </x:row>
    <x:row r="158" ht="32" customHeight="1">
      <x:c r="A158" s="8" t="str">
        <x:v>AFIR FotoVoltaic 1.zip</x:v>
      </x:c>
      <x:c r="B158" s="8" t="str">
        <x:v>1. Proiect 1/9. Fabrica Nuci/Industrial line for processing hazelnuts 200 kg h.docx</x:v>
      </x:c>
      <x:c r="C158" s="8" t="n">
        <x:v>1225466</x:v>
      </x:c>
    </x:row>
    <x:row r="159" ht="32" customHeight="1">
      <x:c r="A159" s="8" t="str">
        <x:v>AFIR FotoVoltaic 1.zip</x:v>
      </x:c>
      <x:c r="B159" s="8" t="str">
        <x:v>1. Proiect 1/9. Fabrica Nuci/Industrial line for processing hazelnuts 200 kg h.pdf</x:v>
      </x:c>
      <x:c r="C159" s="8" t="n">
        <x:v>932841</x:v>
      </x:c>
    </x:row>
    <x:row r="160" ht="32" customHeight="1">
      <x:c r="A160" s="8" t="str">
        <x:v>AFIR FotoVoltaic 1.zip</x:v>
      </x:c>
      <x:c r="B160" s="8" t="str">
        <x:v>1. Proiect 1/9. Fabrica Nuci/Kason-Sourcebook-vF.pdf</x:v>
      </x:c>
      <x:c r="C160" s="8" t="n">
        <x:v>6938436</x:v>
      </x:c>
    </x:row>
    <x:row r="161" ht="32" customHeight="1">
      <x:c r="A161" s="8" t="str">
        <x:v>AFIR FotoVoltaic 1.zip</x:v>
      </x:c>
      <x:c r="B161" s="8" t="str">
        <x:v>1. Proiect 1/9. Fabrica Nuci/Line for peeling from green skin and drying.docx</x:v>
      </x:c>
      <x:c r="C161" s="8" t="n">
        <x:v>523739</x:v>
      </x:c>
    </x:row>
    <x:row r="162" ht="32" customHeight="1">
      <x:c r="A162" s="8" t="str">
        <x:v>AFIR FotoVoltaic 1.zip</x:v>
      </x:c>
      <x:c r="B162" s="8" t="str">
        <x:v>1. Proiect 1/9. Fabrica Nuci/Line for peeling from green skin and drying.pdf</x:v>
      </x:c>
      <x:c r="C162" s="8" t="n">
        <x:v>458837</x:v>
      </x:c>
    </x:row>
    <x:row r="163" ht="32" customHeight="1">
      <x:c r="A163" s="8" t="str">
        <x:v>AFIR FotoVoltaic 1.zip</x:v>
      </x:c>
      <x:c r="B163" s="8" t="str">
        <x:v>1. Proiect 1/9. Fabrica Nuci/nuttechnology.com/AUTOMATED INDUSTRIAL WALNUT PROCESSING LINE 200 KG_H (3).pdf</x:v>
      </x:c>
      <x:c r="C163" s="8" t="n">
        <x:v>1374484</x:v>
      </x:c>
    </x:row>
    <x:row r="164" ht="32" customHeight="1">
      <x:c r="A164" s="8" t="str">
        <x:v>AFIR FotoVoltaic 1.zip</x:v>
      </x:c>
      <x:c r="B164" s="8" t="str">
        <x:v>1. Proiect 1/9. Fabrica Nuci/nuttechnology.com/Catalog_Nut_technology_ENG_2023 (4).pdf</x:v>
      </x:c>
      <x:c r="C164" s="8" t="n">
        <x:v>4536091</x:v>
      </x:c>
    </x:row>
    <x:row r="165" ht="32" customHeight="1">
      <x:c r="A165" s="8" t="str">
        <x:v>AFIR FotoVoltaic 1.zip</x:v>
      </x:c>
      <x:c r="B165" s="8" t="str">
        <x:v>1. Proiect 1/9. Fabrica Nuci/nuttechnology.com/Walnut harvesting, peeling and drying line (1).pdf</x:v>
      </x:c>
      <x:c r="C165" s="8" t="n">
        <x:v>1430109</x:v>
      </x:c>
    </x:row>
    <x:row r="166" ht="32" customHeight="1">
      <x:c r="A166" s="8" t="str">
        <x:v>AFIR FotoVoltaic 1.zip</x:v>
      </x:c>
      <x:c r="B166" s="8" t="str">
        <x:v>1. Proiect 1/9. Fabrica Nuci/sxtzrjx.en.alibaba.com/xtzrjx.en.alibaba.com.jpg</x:v>
      </x:c>
      <x:c r="C166" s="8" t="n">
        <x:v>396605</x:v>
      </x:c>
    </x:row>
    <x:row r="167" ht="32" customHeight="1">
      <x:c r="A167" s="8" t="str">
        <x:v>AFIR FotoVoltaic 1.zip</x:v>
      </x:c>
      <x:c r="B167" s="8" t="str">
        <x:v>1. Proiect 1/9. Fabrica Nuci/Walnut cracking machine 200 kg_h (2).pdf</x:v>
      </x:c>
      <x:c r="C167" s="8" t="n">
        <x:v>400802</x:v>
      </x:c>
    </x:row>
    <x:row r="168" ht="32" customHeight="1">
      <x:c r="A168" s="8" t="str">
        <x:v>AFIR FotoVoltaic 1.zip</x:v>
      </x:c>
      <x:c r="B168" s="8" t="str">
        <x:v>1. Proiect 1/9. Fabrica Nuci/Walnut harvesting, peeling and drying line (1).pdf</x:v>
      </x:c>
      <x:c r="C168" s="8" t="n">
        <x:v>1430109</x:v>
      </x:c>
    </x:row>
    <x:row r="169" ht="32" customHeight="1">
      <x:c r="A169" s="8" t="str">
        <x:v>AFIR FotoVoltaic 1.zip</x:v>
      </x:c>
      <x:c r="B169" s="8" t="str">
        <x:v>1. Proiect 1/9. Fabrica Nuci/WALNUT PROCESSING LINE 200 KG_H.docx</x:v>
      </x:c>
      <x:c r="C169" s="8" t="n">
        <x:v>1602366</x:v>
      </x:c>
    </x:row>
    <x:row r="170" ht="32" customHeight="1">
      <x:c r="A170" s="8" t="str">
        <x:v>AFIR FotoVoltaic 1.zip</x:v>
      </x:c>
      <x:c r="B170" s="8" t="str">
        <x:v>1. Proiect 1/9. Fabrica Nuci/WALNUT PROCESSING LINE 200 KG_H.pdf</x:v>
      </x:c>
      <x:c r="C170" s="8" t="n">
        <x:v>805977</x:v>
      </x:c>
    </x:row>
    <x:row r="171" ht="32" customHeight="1">
      <x:c r="A171" s="8" t="str">
        <x:v>AFIR FotoVoltaic 1.zip</x:v>
      </x:c>
      <x:c r="B171" s="8" t="str">
        <x:v>1. Proiect 1/9. Fabrica Nuci/Walnut-cracking-machine-200-kg_h.pdf</x:v>
      </x:c>
      <x:c r="C171" s="8" t="n">
        <x:v>348176</x:v>
      </x:c>
    </x:row>
    <x:row r="172" ht="32" customHeight="1">
      <x:c r="A172" s="8" t="str">
        <x:v>AFIR FotoVoltaic 1.zip</x:v>
      </x:c>
      <x:c r="B172" s="8" t="str">
        <x:v>1. Proiect 1/9. Fabrica Nuci/zcjxjx.net/6693ca86680cae391693930b3d0b940d.mp4</x:v>
      </x:c>
      <x:c r="C172" s="8" t="n">
        <x:v>43842652</x:v>
      </x:c>
    </x:row>
    <x:row r="173" ht="32" customHeight="1">
      <x:c r="A173" s="8" t="str">
        <x:v>AFIR FotoVoltaic 1.zip</x:v>
      </x:c>
      <x:c r="B173" s="8" t="str">
        <x:v>1. Proiect 1/9. Fabrica Nuci/zcjxjx.net/7cd53ce4974ce212f550c2e531448e40.mp4</x:v>
      </x:c>
      <x:c r="C173" s="8" t="n">
        <x:v>21451925</x:v>
      </x:c>
    </x:row>
    <x:row r="174" ht="32" customHeight="1">
      <x:c r="A174" s="8" t="str">
        <x:v>AFIR FotoVoltaic 1.zip</x:v>
      </x:c>
      <x:c r="B174" s="8" t="str">
        <x:v>1. Proiect 1/9. Fabrica Nuci/zcjxjx.net/Image_20241212140411.png</x:v>
      </x:c>
      <x:c r="C174" s="8" t="n">
        <x:v>802798</x:v>
      </x:c>
    </x:row>
    <x:row r="175" ht="32" customHeight="1">
      <x:c r="A175" s="8" t="str">
        <x:v>AFIR FotoVoltaic 1.zip</x:v>
      </x:c>
      <x:c r="B175" s="8" t="str">
        <x:v>1. Proiect 1/9. Fabrica Nuci/zcjxjx.net/Image_20241212140704.jpg</x:v>
      </x:c>
      <x:c r="C175" s="8" t="n">
        <x:v>535068</x:v>
      </x:c>
    </x:row>
    <x:row r="176" ht="32" customHeight="1">
      <x:c r="A176" s="8" t="str">
        <x:v>AFIR FotoVoltaic 1.zip</x:v>
      </x:c>
      <x:c r="B176" s="8" t="str">
        <x:v>1. Proiect 1/9. Fabrica Nuci/zcjxjx.net/Image_20241212140709.jpg</x:v>
      </x:c>
      <x:c r="C176" s="8" t="n">
        <x:v>276469</x:v>
      </x:c>
    </x:row>
    <x:row r="177" ht="32" customHeight="1">
      <x:c r="A177" s="8" t="str">
        <x:v>AFIR FotoVoltaic 1.zip</x:v>
      </x:c>
      <x:c r="B177" s="8" t="str">
        <x:v>1. Proiect 1/9. Fabrica Nuci/zcjxjx.net/Image_20241212140715.jpg</x:v>
      </x:c>
      <x:c r="C177" s="8" t="n">
        <x:v>379205</x:v>
      </x:c>
    </x:row>
    <x:row r="178" ht="32" customHeight="1">
      <x:c r="A178" s="8" t="str">
        <x:v>AFIR FotoVoltaic 1.zip</x:v>
      </x:c>
      <x:c r="B178" s="8" t="str">
        <x:v>1. Proiect 1/9. Fabrica Nuci/zcjxjx.net/Image_20241212140718.jpg</x:v>
      </x:c>
      <x:c r="C178" s="8" t="n">
        <x:v>252861</x:v>
      </x:c>
    </x:row>
    <x:row r="179" ht="32" customHeight="1">
      <x:c r="A179" s="8" t="str">
        <x:v>AFIR FotoVoltaic 1.zip</x:v>
      </x:c>
      <x:c r="B179" s="8" t="str">
        <x:v>1. Proiect 1/9. Fabrica Nuci/zcjxjx.net/Image_20241212140723.jpg</x:v>
      </x:c>
      <x:c r="C179" s="8" t="n">
        <x:v>249425</x:v>
      </x:c>
    </x:row>
    <x:row r="180" ht="32" customHeight="1">
      <x:c r="A180" s="8" t="str">
        <x:v>AFIR FotoVoltaic 1.zip</x:v>
      </x:c>
      <x:c r="B180" s="8" t="str">
        <x:v>1. Proiect 1/9. Fabrica Nuci/ZHENGZHOU YOUDING/Details20almonds26hazelnuts20machines.pdf</x:v>
      </x:c>
      <x:c r="C180" s="8" t="n">
        <x:v>1812806</x:v>
      </x:c>
    </x:row>
    <x:row r="181" ht="32" customHeight="1">
      <x:c r="A181" s="8" t="str">
        <x:v>AFIR FotoVoltaic 1.zip</x:v>
      </x:c>
      <x:c r="B181" s="8" t="str">
        <x:v>1. Proiect 1/9. Fabrica Nuci/ZHENGZHOU YOUDING/walnuts20separating%20line.pdf</x:v>
      </x:c>
      <x:c r="C181" s="8" t="n">
        <x:v>2301851</x:v>
      </x:c>
    </x:row>
    <x:row r="182" ht="32" customHeight="1">
      <x:c r="A182" s="8" t="str">
        <x:v>AFIR FotoVoltaic 1.zip</x:v>
      </x:c>
      <x:c r="B182" s="8" t="str">
        <x:v>1. Proiect 1/Act constitutiv Cesiro Production SRL.pdf</x:v>
      </x:c>
      <x:c r="C182" s="8" t="n">
        <x:v>8046727</x:v>
      </x:c>
    </x:row>
    <x:row r="183" ht="32" customHeight="1">
      <x:c r="A183" s="8" t="str">
        <x:v>AFIR FotoVoltaic 1.zip</x:v>
      </x:c>
      <x:c r="B183" s="8" t="str">
        <x:v>1. Proiect 1/Cerere finantare surse regenerabile de energie si stocarea energiei.pdf</x:v>
      </x:c>
      <x:c r="C183" s="8" t="n">
        <x:v>897328</x:v>
      </x:c>
    </x:row>
    <x:row r="184" ht="32" customHeight="1">
      <x:c r="A184" s="8" t="str">
        <x:v>AFIR FotoVoltaic 1.zip</x:v>
      </x:c>
      <x:c r="B184" s="8" t="str">
        <x:v>1. Proiect 1/DE DEPUS/1. Contract de inchiriere IPEC SA cu Cesiro Production.pdf</x:v>
      </x:c>
      <x:c r="C184" s="8" t="n">
        <x:v>8565306</x:v>
      </x:c>
    </x:row>
    <x:row r="185" ht="32" customHeight="1">
      <x:c r="A185" s="8" t="str">
        <x:v>AFIR FotoVoltaic 1.zip</x:v>
      </x:c>
      <x:c r="B185" s="8" t="str">
        <x:v>1. Proiect 1/DE DEPUS/12. Declaratie date cu caracter personal.pdf</x:v>
      </x:c>
      <x:c r="C185" s="8" t="n">
        <x:v>219447</x:v>
      </x:c>
    </x:row>
    <x:row r="186" ht="32" customHeight="1">
      <x:c r="A186" s="8" t="str">
        <x:v>AFIR FotoVoltaic 1.zip</x:v>
      </x:c>
      <x:c r="B186" s="8" t="str">
        <x:v>1. Proiect 1/DE DEPUS/15. Memoriu tehnic de evaluare a impactului asupra mediului.pdf</x:v>
      </x:c>
      <x:c r="C186" s="8" t="n">
        <x:v>1114213</x:v>
      </x:c>
    </x:row>
    <x:row r="187" ht="32" customHeight="1">
      <x:c r="A187" s="8" t="str">
        <x:v>AFIR FotoVoltaic 1.zip</x:v>
      </x:c>
      <x:c r="B187" s="8" t="str">
        <x:v>1. Proiect 1/DE DEPUS/15. MEMORIU TEHNIC DE EVALUAREA IMPACTULUI ASUPRA MEDIULUI.docx</x:v>
      </x:c>
      <x:c r="C187" s="8" t="n">
        <x:v>2701366</x:v>
      </x:c>
    </x:row>
    <x:row r="188" ht="32" customHeight="1">
      <x:c r="A188" s="8" t="str">
        <x:v>AFIR FotoVoltaic 1.zip</x:v>
      </x:c>
      <x:c r="B188" s="8" t="str">
        <x:v>1. Proiect 1/DE DEPUS/16. Declaratie asumare dezechilibre.pdf</x:v>
      </x:c>
      <x:c r="C188" s="8" t="n">
        <x:v>197435</x:v>
      </x:c>
    </x:row>
    <x:row r="189" ht="32" customHeight="1">
      <x:c r="A189" s="8" t="str">
        <x:v>AFIR FotoVoltaic 1.zip</x:v>
      </x:c>
      <x:c r="B189" s="8" t="str">
        <x:v>1. Proiect 1/DE DEPUS/17. Document bancar.pdf</x:v>
      </x:c>
      <x:c r="C189" s="8" t="n">
        <x:v>205677</x:v>
      </x:c>
    </x:row>
    <x:row r="190" ht="32" customHeight="1">
      <x:c r="A190" s="8" t="str">
        <x:v>AFIR FotoVoltaic 1.zip</x:v>
      </x:c>
      <x:c r="B190" s="8" t="str">
        <x:v>1. Proiect 1/DE DEPUS/18. CI Cosmin Adrian Covaciu.pdf</x:v>
      </x:c>
      <x:c r="C190" s="8" t="n">
        <x:v>158276</x:v>
      </x:c>
    </x:row>
    <x:row r="191" ht="32" customHeight="1">
      <x:c r="A191" s="8" t="str">
        <x:v>AFIR FotoVoltaic 1.zip</x:v>
      </x:c>
      <x:c r="B191" s="8" t="str">
        <x:v>1. Proiect 1/DE DEPUS/19. Grafic esalonare plati.pdf</x:v>
      </x:c>
      <x:c r="C191" s="8" t="n">
        <x:v>183543</x:v>
      </x:c>
    </x:row>
    <x:row r="192" ht="32" customHeight="1">
      <x:c r="A192" s="8" t="str">
        <x:v>AFIR FotoVoltaic 1.zip</x:v>
      </x:c>
      <x:c r="B192" s="8" t="str">
        <x:v>1. Proiect 1/DE DEPUS/2. Extras Carte Funciara.pdf</x:v>
      </x:c>
      <x:c r="C192" s="8" t="n">
        <x:v>117771</x:v>
      </x:c>
    </x:row>
    <x:row r="193" ht="32" customHeight="1">
      <x:c r="A193" s="8" t="str">
        <x:v>AFIR FotoVoltaic 1.zip</x:v>
      </x:c>
      <x:c r="B193" s="8" t="str">
        <x:v>1. Proiect 1/DE DEPUS/3. Certificat Constatator Cesiro Production.pdf</x:v>
      </x:c>
      <x:c r="C193" s="8" t="n">
        <x:v>209255</x:v>
      </x:c>
    </x:row>
    <x:row r="194" ht="32" customHeight="1">
      <x:c r="A194" s="8" t="str">
        <x:v>AFIR FotoVoltaic 1.zip</x:v>
      </x:c>
      <x:c r="B194" s="8" t="str">
        <x:v>1. Proiect 1/DE DEPUS/4. Act constitutiv Cesiro Production CAEN 1039 si 3511.pdf</x:v>
      </x:c>
      <x:c r="C194" s="8" t="n">
        <x:v>8046727</x:v>
      </x:c>
    </x:row>
    <x:row r="195" ht="32" customHeight="1">
      <x:c r="A195" s="8" t="str">
        <x:v>AFIR FotoVoltaic 1.zip</x:v>
      </x:c>
      <x:c r="B195" s="8" t="str">
        <x:v>1. Proiect 1/DE DEPUS/6. Analiza Cost Beneficiu.docx</x:v>
      </x:c>
      <x:c r="C195" s="8" t="n">
        <x:v>1326308</x:v>
      </x:c>
    </x:row>
    <x:row r="196" ht="32" customHeight="1">
      <x:c r="A196" s="8" t="str">
        <x:v>AFIR FotoVoltaic 1.zip</x:v>
      </x:c>
      <x:c r="B196" s="8" t="str">
        <x:v>1. Proiect 1/DE DEPUS/7. Plan de Afaceri.docx</x:v>
      </x:c>
      <x:c r="C196" s="8" t="n">
        <x:v>5208932</x:v>
      </x:c>
    </x:row>
    <x:row r="197" ht="32" customHeight="1">
      <x:c r="A197" s="8" t="str">
        <x:v>AFIR FotoVoltaic 1.zip</x:v>
      </x:c>
      <x:c r="B197" s="8" t="str">
        <x:v>1. Proiect 1/DE DEPUS/9. OFERTE.pdf</x:v>
      </x:c>
      <x:c r="C197" s="8" t="n">
        <x:v>26428747</x:v>
      </x:c>
    </x:row>
    <x:row r="198" ht="32" customHeight="1">
      <x:c r="A198" s="8" t="str">
        <x:v>AFIR FotoVoltaic 1.zip</x:v>
      </x:c>
      <x:c r="B198" s="8" t="str">
        <x:v>1. Proiect 1/DE DEPUS/DE DEPUS FINAL/15. Memoriu tehnic de evaluare a impactului asupra mediului semnat.pdf</x:v>
      </x:c>
      <x:c r="C198" s="8" t="n">
        <x:v>1196891</x:v>
      </x:c>
    </x:row>
    <x:row r="199" ht="32" customHeight="1">
      <x:c r="A199" s="8" t="str">
        <x:v>AFIR FotoVoltaic 1.zip</x:v>
      </x:c>
      <x:c r="B199" s="8" t="str">
        <x:v>1. Proiect 1/DE DEPUS/DE DEPUS FINAL/3. Certificat Constatator Cesiro Production semnat.pdf</x:v>
      </x:c>
      <x:c r="C199" s="8" t="n">
        <x:v>362490</x:v>
      </x:c>
    </x:row>
    <x:row r="200" ht="32" customHeight="1">
      <x:c r="A200" s="8" t="str">
        <x:v>AFIR FotoVoltaic 1.zip</x:v>
      </x:c>
      <x:c r="B200" s="8" t="str">
        <x:v>1. Proiect 1/DE DEPUS/DE DEPUS FINAL/4. Act constitutiv Cesiro Production CAEN 1039 si 3511 semnat.pdf</x:v>
      </x:c>
      <x:c r="C200" s="8" t="n">
        <x:v>8187883</x:v>
      </x:c>
    </x:row>
    <x:row r="201" ht="32" customHeight="1">
      <x:c r="A201" s="8" t="str">
        <x:v>AFIR FotoVoltaic 1.zip</x:v>
      </x:c>
      <x:c r="B201" s="8" t="str">
        <x:v>1. Proiect 1/DE DEPUS/DE DEPUS FINAL/6. Analiza Cost Beneficiu semnat.pdf</x:v>
      </x:c>
      <x:c r="C201" s="8" t="n">
        <x:v>1514349</x:v>
      </x:c>
    </x:row>
    <x:row r="202" ht="32" customHeight="1">
      <x:c r="A202" s="8" t="str">
        <x:v>AFIR FotoVoltaic 1.zip</x:v>
      </x:c>
      <x:c r="B202" s="8" t="str">
        <x:v>1. Proiect 1/DE DEPUS/DE DEPUS FINAL/7. Plan de Afaceri semnat.pdf</x:v>
      </x:c>
      <x:c r="C202" s="8" t="n">
        <x:v>3124666</x:v>
      </x:c>
    </x:row>
    <x:row r="203" ht="32" customHeight="1">
      <x:c r="A203" s="8" t="str">
        <x:v>AFIR FotoVoltaic 1.zip</x:v>
      </x:c>
      <x:c r="B203" s="8" t="str">
        <x:v>1. Proiect 1/DE DEPUS/DE DEPUS FINAL/9. OFERTE semnat.pdf</x:v>
      </x:c>
      <x:c r="C203" s="8" t="n">
        <x:v>26567498</x:v>
      </x:c>
    </x:row>
    <x:row r="204" ht="32" customHeight="1">
      <x:c r="A204" s="8" t="str">
        <x:v>AFIR FotoVoltaic 1.zip</x:v>
      </x:c>
      <x:c r="B204" s="8" t="str">
        <x:v>1. Proiect 1/DE DEPUS/DE DEPUS FINAL/Cerere de finantare semnat.pdf</x:v>
      </x:c>
      <x:c r="C204" s="8" t="n">
        <x:v>1408358</x:v>
      </x:c>
    </x:row>
    <x:row r="205" ht="32" customHeight="1">
      <x:c r="A205" s="8" t="str">
        <x:v>AFIR FotoVoltaic 1.zip</x:v>
      </x:c>
      <x:c r="B205" s="8" t="str">
        <x:v>1. Proiect 1/DE DEPUS/DE DEPUS FINAL/Codul de proiect FMSES011011372801030.docx</x:v>
      </x:c>
      <x:c r="C205" s="8" t="n">
        <x:v>14183</x:v>
      </x:c>
    </x:row>
    <x:row r="206" ht="32" customHeight="1">
      <x:c r="A206" s="8" t="str">
        <x:v>AFIR FotoVoltaic 1.zip</x:v>
      </x:c>
      <x:c r="B206" s="8" t="str">
        <x:v>1. Proiect 1/DE DEPUS/DE DEPUS FINAL/Declaratie asumare dezechilibre semnat.pdf</x:v>
      </x:c>
      <x:c r="C206" s="8" t="n">
        <x:v>335513</x:v>
      </x:c>
    </x:row>
    <x:row r="207" ht="32" customHeight="1">
      <x:c r="A207" s="8" t="str">
        <x:v>AFIR FotoVoltaic 1.zip</x:v>
      </x:c>
      <x:c r="B207" s="8" t="str">
        <x:v>1. Proiect 1/DE DEPUS/DE DEPUS FINAL/Declaratie caracteristici clădire semnat.pdf</x:v>
      </x:c>
      <x:c r="C207" s="8" t="n">
        <x:v>346004</x:v>
      </x:c>
    </x:row>
    <x:row r="208" ht="32" customHeight="1">
      <x:c r="A208" s="8" t="str">
        <x:v>AFIR FotoVoltaic 1.zip</x:v>
      </x:c>
      <x:c r="B208" s="8" t="str">
        <x:v>1. Proiect 1/DE DEPUS/DE DEPUS FINAL/Declaratie date cu caracter personal semnat.pdf</x:v>
      </x:c>
      <x:c r="C208" s="8" t="n">
        <x:v>357875</x:v>
      </x:c>
    </x:row>
    <x:row r="209" ht="32" customHeight="1">
      <x:c r="A209" s="8" t="str">
        <x:v>AFIR FotoVoltaic 1.zip</x:v>
      </x:c>
      <x:c r="B209" s="8" t="str">
        <x:v>1. Proiect 1/DE DEPUS/DE DEPUS FINAL/Memoriu Tehnic Justificativ semnat.pdf</x:v>
      </x:c>
      <x:c r="C209" s="8" t="n">
        <x:v>1686025</x:v>
      </x:c>
    </x:row>
    <x:row r="210" ht="32" customHeight="1">
      <x:c r="A210" s="8" t="str">
        <x:v>AFIR FotoVoltaic 1.zip</x:v>
      </x:c>
      <x:c r="B210" s="8" t="str">
        <x:v>1. Proiect 1/DE DEPUS/DE DEPUS FINAL/New folder/1. Contract de inchiriere IPEC SA cu Cesiro Production semnat.pdf</x:v>
      </x:c>
      <x:c r="C210" s="8" t="n">
        <x:v>8706145</x:v>
      </x:c>
    </x:row>
    <x:row r="211" ht="32" customHeight="1">
      <x:c r="A211" s="8" t="str">
        <x:v>AFIR FotoVoltaic 1.zip</x:v>
      </x:c>
      <x:c r="B211" s="8" t="str">
        <x:v>1. Proiect 1/DE DEPUS/DE DEPUS FINAL/New folder/17. Document bancar semnat.pdf</x:v>
      </x:c>
      <x:c r="C211" s="8" t="n">
        <x:v>346761</x:v>
      </x:c>
    </x:row>
    <x:row r="212" ht="32" customHeight="1">
      <x:c r="A212" s="8" t="str">
        <x:v>AFIR FotoVoltaic 1.zip</x:v>
      </x:c>
      <x:c r="B212" s="8" t="str">
        <x:v>1. Proiect 1/DE DEPUS/DE DEPUS FINAL/New folder/2. Extras Carte Funciara semnat.pdf</x:v>
      </x:c>
      <x:c r="C212" s="8" t="n">
        <x:v>267886</x:v>
      </x:c>
    </x:row>
    <x:row r="213" ht="32" customHeight="1">
      <x:c r="A213" s="8" t="str">
        <x:v>AFIR FotoVoltaic 1.zip</x:v>
      </x:c>
      <x:c r="B213" s="8" t="str">
        <x:v>1. Proiect 1/DE DEPUS/DE DEPUS FINAL/New folder/CI Cosmin Adrian Covaciu semnat.pdf</x:v>
      </x:c>
      <x:c r="C213" s="8" t="n">
        <x:v>299559</x:v>
      </x:c>
    </x:row>
    <x:row r="214" ht="32" customHeight="1">
      <x:c r="A214" s="8" t="str">
        <x:v>AFIR FotoVoltaic 1.zip</x:v>
      </x:c>
      <x:c r="B214" s="8" t="str">
        <x:v>1. Proiect 1/DE DEPUS/DE DEPUS FINAL/New folder/Contract de achizitie semnat.pdf</x:v>
      </x:c>
      <x:c r="C214" s="8" t="n">
        <x:v>4981023</x:v>
      </x:c>
    </x:row>
    <x:row r="215" ht="32" customHeight="1">
      <x:c r="A215" s="8" t="str">
        <x:v>AFIR FotoVoltaic 1.zip</x:v>
      </x:c>
      <x:c r="B215" s="8" t="str">
        <x:v>1. Proiect 1/DE DEPUS/DE DEPUS FINAL/New folder/Grafic esalonare plati semnat.pdf</x:v>
      </x:c>
      <x:c r="C215" s="8" t="n">
        <x:v>321660</x:v>
      </x:c>
    </x:row>
    <x:row r="216" ht="32" customHeight="1">
      <x:c r="A216" s="8" t="str">
        <x:v>AFIR FotoVoltaic 1.zip</x:v>
      </x:c>
      <x:c r="B216" s="8" t="str">
        <x:v>1. Proiect 1/DE DEPUS/DE DEPUS FINAL/New folder/Solicitari de oferte semnat.pdf</x:v>
      </x:c>
      <x:c r="C216" s="8" t="n">
        <x:v>6834438</x:v>
      </x:c>
    </x:row>
    <x:row r="217" ht="32" customHeight="1">
      <x:c r="A217" s="8" t="str">
        <x:v>AFIR FotoVoltaic 1.zip</x:v>
      </x:c>
      <x:c r="B217" s="8" t="str">
        <x:v>1. Proiect 1/DE DEPUS/DE DEPUS FINAL/Nota justificativa de atribuire semnat.pdf</x:v>
      </x:c>
      <x:c r="C217" s="8" t="n">
        <x:v>797803</x:v>
      </x:c>
    </x:row>
    <x:row r="218" ht="32" customHeight="1">
      <x:c r="A218" s="8" t="str">
        <x:v>AFIR FotoVoltaic 1.zip</x:v>
      </x:c>
      <x:c r="B218" s="8" t="str">
        <x:v>1. Proiect 1/DE DEPUS/De semnat 2/6. Analiza Cost Beneficiu.pdf</x:v>
      </x:c>
      <x:c r="C218" s="8" t="n">
        <x:v>1427520</x:v>
      </x:c>
    </x:row>
    <x:row r="219" ht="32" customHeight="1">
      <x:c r="A219" s="8" t="str">
        <x:v>AFIR FotoVoltaic 1.zip</x:v>
      </x:c>
      <x:c r="B219" s="8" t="str">
        <x:v>1. Proiect 1/DE DEPUS/De semnat 2/7. Plan de Afaceri.pdf</x:v>
      </x:c>
      <x:c r="C219" s="8" t="n">
        <x:v>3169190</x:v>
      </x:c>
    </x:row>
    <x:row r="220" ht="32" customHeight="1">
      <x:c r="A220" s="8" t="str">
        <x:v>AFIR FotoVoltaic 1.zip</x:v>
      </x:c>
      <x:c r="B220" s="8" t="str">
        <x:v>1. Proiect 1/DE DEPUS/De semnat 2/Cerere de finantare.pdf</x:v>
      </x:c>
      <x:c r="C220" s="8" t="n">
        <x:v>907486</x:v>
      </x:c>
    </x:row>
    <x:row r="221" ht="32" customHeight="1">
      <x:c r="A221" s="8" t="str">
        <x:v>AFIR FotoVoltaic 1.zip</x:v>
      </x:c>
      <x:c r="B221" s="8" t="str">
        <x:v>1. Proiect 1/DE DEPUS/De semnat 2/Contract de achizitie.pdf</x:v>
      </x:c>
      <x:c r="C221" s="8" t="n">
        <x:v>4840623</x:v>
      </x:c>
    </x:row>
    <x:row r="222" ht="32" customHeight="1">
      <x:c r="A222" s="8" t="str">
        <x:v>AFIR FotoVoltaic 1.zip</x:v>
      </x:c>
      <x:c r="B222" s="8" t="str">
        <x:v>1. Proiect 1/DE DEPUS/De semnat 2/Memoriu Tehnic  Justificativ.pdf</x:v>
      </x:c>
      <x:c r="C222" s="8" t="n">
        <x:v>1648309</x:v>
      </x:c>
    </x:row>
    <x:row r="223" ht="32" customHeight="1">
      <x:c r="A223" s="8" t="str">
        <x:v>AFIR FotoVoltaic 1.zip</x:v>
      </x:c>
      <x:c r="B223" s="8" t="str">
        <x:v>1. Proiect 1/DE DEPUS/De semnat 2/Nota justificativa de atribuire.pdf</x:v>
      </x:c>
      <x:c r="C223" s="8" t="n">
        <x:v>656326</x:v>
      </x:c>
    </x:row>
    <x:row r="224" ht="32" customHeight="1">
      <x:c r="A224" s="8" t="str">
        <x:v>AFIR FotoVoltaic 1.zip</x:v>
      </x:c>
      <x:c r="B224" s="8" t="str">
        <x:v>1. Proiect 1/DE DEPUS/De semnat 2/Solicitari de oferte.pdf</x:v>
      </x:c>
      <x:c r="C224" s="8" t="n">
        <x:v>6694973</x:v>
      </x:c>
    </x:row>
    <x:row r="225" ht="32" customHeight="1">
      <x:c r="A225" s="8" t="str">
        <x:v>AFIR FotoVoltaic 1.zip</x:v>
      </x:c>
      <x:c r="B225" s="8" t="str">
        <x:v>1. Proiect 1/DE DEPUS/Declaratie asumare dezechilibre.docx</x:v>
      </x:c>
      <x:c r="C225" s="8" t="n">
        <x:v>22463</x:v>
      </x:c>
    </x:row>
    <x:row r="226" ht="32" customHeight="1">
      <x:c r="A226" s="8" t="str">
        <x:v>AFIR FotoVoltaic 1.zip</x:v>
      </x:c>
      <x:c r="B226" s="8" t="str">
        <x:v>1. Proiect 1/DE DEPUS/Declaratie caracteristici clădire.docx</x:v>
      </x:c>
      <x:c r="C226" s="8" t="n">
        <x:v>22084</x:v>
      </x:c>
    </x:row>
    <x:row r="227" ht="32" customHeight="1">
      <x:c r="A227" s="8" t="str">
        <x:v>AFIR FotoVoltaic 1.zip</x:v>
      </x:c>
      <x:c r="B227" s="8" t="str">
        <x:v>1. Proiect 1/DE DEPUS/Declaratie caracteristici clădire.pdf</x:v>
      </x:c>
      <x:c r="C227" s="8" t="n">
        <x:v>208275</x:v>
      </x:c>
    </x:row>
    <x:row r="228" ht="32" customHeight="1">
      <x:c r="A228" s="8" t="str">
        <x:v>AFIR FotoVoltaic 1.zip</x:v>
      </x:c>
      <x:c r="B228" s="8" t="str">
        <x:v>1. Proiect 1/DE DEPUS/Declaratie date cu caracter personal.docx</x:v>
      </x:c>
      <x:c r="C228" s="8" t="n">
        <x:v>33961</x:v>
      </x:c>
    </x:row>
    <x:row r="229" ht="32" customHeight="1">
      <x:c r="A229" s="8" t="str">
        <x:v>AFIR FotoVoltaic 1.zip</x:v>
      </x:c>
      <x:c r="B229" s="8" t="str">
        <x:v>1. Proiect 1/DE DEPUS/Grafic esalonare plati.docx</x:v>
      </x:c>
      <x:c r="C229" s="8" t="n">
        <x:v>27885</x:v>
      </x:c>
    </x:row>
    <x:row r="230" ht="32" customHeight="1">
      <x:c r="A230" s="8" t="str">
        <x:v>AFIR FotoVoltaic 1.zip</x:v>
      </x:c>
      <x:c r="B230" s="8" t="str">
        <x:v>1. Proiect 1/DE DEPUS/Memoriu Tehnic &amp; Justificativ.docx</x:v>
      </x:c>
      <x:c r="C230" s="8" t="n">
        <x:v>2744159</x:v>
      </x:c>
    </x:row>
    <x:row r="231" ht="32" customHeight="1">
      <x:c r="A231" s="8" t="str">
        <x:v>AFIR FotoVoltaic 1.zip</x:v>
      </x:c>
      <x:c r="B231" s="8" t="str">
        <x:v>1. Proiect 1/Documente.xlsx</x:v>
      </x:c>
      <x:c r="C231" s="8" t="n">
        <x:v>10116</x:v>
      </x:c>
    </x:row>
    <x:row r="232" ht="32" customHeight="1">
      <x:c r="A232" s="8" t="str">
        <x:v>AFIR FotoVoltaic 1.zip</x:v>
      </x:c>
      <x:c r="B232" s="8" t="str">
        <x:v>1. Proiect 1/Nicos/Analiza_cost-beneficiu (1).docx</x:v>
      </x:c>
      <x:c r="C232" s="8" t="n">
        <x:v>556813</x:v>
      </x:c>
    </x:row>
    <x:row r="233" ht="32" customHeight="1">
      <x:c r="A233" s="8" t="str">
        <x:v>AFIR FotoVoltaic 1.zip</x:v>
      </x:c>
      <x:c r="B233" s="8" t="str">
        <x:v>1. Proiect 1/Nicos/Analiza_cost-beneficiu.docx</x:v>
      </x:c>
      <x:c r="C233" s="8" t="n">
        <x:v>556706</x:v>
      </x:c>
    </x:row>
    <x:row r="234" ht="32" customHeight="1">
      <x:c r="A234" s="8" t="str">
        <x:v>AFIR FotoVoltaic 1.zip</x:v>
      </x:c>
      <x:c r="B234" s="8" t="str">
        <x:v>1. Proiect 1/Nicos/CS-Datasheet-TOPHiKu6-TOPCon_CS6W-T_v1.6_traducere.pdf</x:v>
      </x:c>
      <x:c r="C234" s="8" t="n">
        <x:v>354028</x:v>
      </x:c>
    </x:row>
    <x:row r="235" ht="32" customHeight="1">
      <x:c r="A235" s="8" t="str">
        <x:v>AFIR FotoVoltaic 1.zip</x:v>
      </x:c>
      <x:c r="B235" s="8" t="str">
        <x:v>1. Proiect 1/Nicos/Fisa Tehnica smart logger 3000A (1).pdf</x:v>
      </x:c>
      <x:c r="C235" s="8" t="n">
        <x:v>134168</x:v>
      </x:c>
    </x:row>
    <x:row r="236" ht="32" customHeight="1">
      <x:c r="A236" s="8" t="str">
        <x:v>AFIR FotoVoltaic 1.zip</x:v>
      </x:c>
      <x:c r="B236" s="8" t="str">
        <x:v>1. Proiect 1/Nicos/Memoriu Tehnic 27.01.2024 (1).docx</x:v>
      </x:c>
      <x:c r="C236" s="8" t="n">
        <x:v>57361</x:v>
      </x:c>
    </x:row>
    <x:row r="237" ht="32" customHeight="1">
      <x:c r="A237" s="8" t="str">
        <x:v>AFIR FotoVoltaic 1.zip</x:v>
      </x:c>
      <x:c r="B237" s="8" t="str">
        <x:v>1. Proiect 1/Nicos/Mem_tehn (1).docx</x:v>
      </x:c>
      <x:c r="C237" s="8" t="n">
        <x:v>79798</x:v>
      </x:c>
    </x:row>
    <x:row r="238" ht="32" customHeight="1">
      <x:c r="A238" s="8" t="str">
        <x:v>AFIR FotoVoltaic 1.zip</x:v>
      </x:c>
      <x:c r="B238" s="8" t="str">
        <x:v>1. Proiect 1/Nicos/Mem_tehn.docx</x:v>
      </x:c>
      <x:c r="C238" s="8" t="n">
        <x:v>39317</x:v>
      </x:c>
    </x:row>
    <x:row r="239" ht="32" customHeight="1">
      <x:c r="A239" s="8" t="str">
        <x:v>AFIR FotoVoltaic 1.zip</x:v>
      </x:c>
      <x:c r="B239" s="8" t="str">
        <x:v>1. Proiect 1/Nicos/Program.xlsx</x:v>
      </x:c>
      <x:c r="C239" s="8" t="n">
        <x:v>8713</x:v>
      </x:c>
    </x:row>
    <x:row r="240" ht="32" customHeight="1">
      <x:c r="A240" s="8" t="str">
        <x:v>AFIR FotoVoltaic 1.zip</x:v>
      </x:c>
      <x:c r="B240" s="8" t="str">
        <x:v>1. Proiect 1/Nicos/PVGIS-5_GridConnectedPV_46.223_24.803_undefined_crystSi_1000kWp_14_36 (opt)deg_4 (opt)deg.pdf</x:v>
      </x:c>
      <x:c r="C240" s="8" t="n">
        <x:v>110084</x:v>
      </x:c>
    </x:row>
    <x:row r="241" ht="32" customHeight="1">
      <x:c r="A241" s="8" t="str">
        <x:v>AFIR FotoVoltaic 1.zip</x:v>
      </x:c>
      <x:c r="B241" s="8" t="str">
        <x:v>1. Proiect 1/Nicos/Spec tehn panou 997.docx</x:v>
      </x:c>
      <x:c r="C241" s="8" t="n">
        <x:v>14943</x:v>
      </x:c>
    </x:row>
    <x:row r="242" ht="32" customHeight="1">
      <x:c r="A242" s="8" t="str">
        <x:v>AFIR FotoVoltaic 1.zip</x:v>
      </x:c>
      <x:c r="B242" s="8" t="str">
        <x:v>1. Proiect 1/Nicos/Suntree -PI.pdf</x:v>
      </x:c>
      <x:c r="C242" s="8" t="n">
        <x:v>181113</x:v>
      </x:c>
    </x:row>
    <x:row r="243" ht="32" customHeight="1">
      <x:c r="A243" s="8" t="str">
        <x:v>AFIR FotoVoltaic 1.zip</x:v>
      </x:c>
      <x:c r="B243" s="8" t="str">
        <x:v>1. Proiect 1/Nicos/Suntree -Proforma Inovice.pdf</x:v>
      </x:c>
      <x:c r="C243" s="8" t="n">
        <x:v>177802</x:v>
      </x:c>
    </x:row>
    <x:row r="244" ht="32" customHeight="1">
      <x:c r="A244" s="8" t="str">
        <x:v>AFIR FotoVoltaic 1.zip</x:v>
      </x:c>
      <x:c r="B244" s="8" t="str">
        <x:v>1. Proiect 1/Nicos/~WRL0005.tmp</x:v>
      </x:c>
      <x:c r="C244" s="8" t="n">
        <x:v>49959</x:v>
      </x:c>
    </x:row>
    <x:row r="245" ht="32" customHeight="1">
      <x:c r="A245" s="8" t="str">
        <x:v>AFIR FotoVoltaic 1.zip</x:v>
      </x:c>
      <x:c r="B245" s="8" t="str">
        <x:v>1. Proiect 1/Pentru Analiza Cost Beneficiu.docx</x:v>
      </x:c>
      <x:c r="C245" s="8" t="n">
        <x:v>334885</x:v>
      </x:c>
    </x:row>
    <x:row r="246" ht="32" customHeight="1">
      <x:c r="A246" s="8" t="str">
        <x:v>AFIR FotoVoltaic 1.zip</x:v>
      </x:c>
      <x:c r="B246" s="8" t="str">
        <x:v>1. Proiect 1/Pentru Memoriul tehnic.docx</x:v>
      </x:c>
      <x:c r="C246" s="8" t="n">
        <x:v>62459</x:v>
      </x:c>
    </x:row>
    <x:row r="247" ht="32" customHeight="1">
      <x:c r="A247" s="8" t="str">
        <x:v>AFIR FotoVoltaic 1.zip</x:v>
      </x:c>
      <x:c r="B247" s="8" t="str">
        <x:v>3. Deviz/Deviz general.xlsx</x:v>
      </x:c>
      <x:c r="C247" s="8" t="n">
        <x:v>19169</x:v>
      </x:c>
    </x:row>
    <x:row r="248" ht="32" customHeight="1">
      <x:c r="A248" s="8" t="str">
        <x:v>AFIR FotoVoltaic 1.zip</x:v>
      </x:c>
      <x:c r="B248" s="8" t="str">
        <x:v>4. Contractare/1. Documente solicitate pentru contractare/ANPM/Anexa nr 5.docx</x:v>
      </x:c>
      <x:c r="C248" s="8" t="n">
        <x:v>141475</x:v>
      </x:c>
    </x:row>
    <x:row r="249" ht="32" customHeight="1">
      <x:c r="A249" s="8" t="str">
        <x:v>AFIR FotoVoltaic 1.zip</x:v>
      </x:c>
      <x:c r="B249" s="8" t="str">
        <x:v>4. Contractare/1. Documente solicitate pentru contractare/ANPM/Anexa nr 5.pdf</x:v>
      </x:c>
      <x:c r="C249" s="8" t="n">
        <x:v>1271506</x:v>
      </x:c>
    </x:row>
    <x:row r="250" ht="32" customHeight="1">
      <x:c r="A250" s="8" t="str">
        <x:v>AFIR FotoVoltaic 1.zip</x:v>
      </x:c>
      <x:c r="B250" s="8" t="str">
        <x:v>4. Contractare/1. Documente solicitate pentru contractare/ANPM/Dovada plata APM.pdf</x:v>
      </x:c>
      <x:c r="C250" s="8" t="n">
        <x:v>229065</x:v>
      </x:c>
    </x:row>
    <x:row r="251" ht="32" customHeight="1">
      <x:c r="A251" s="8" t="str">
        <x:v>AFIR FotoVoltaic 1.zip</x:v>
      </x:c>
      <x:c r="B251" s="8" t="str">
        <x:v>4. Contractare/1. Documente solicitate pentru contractare/ANPM/Plan de inacadrare in zona.docx</x:v>
      </x:c>
      <x:c r="C251" s="8" t="n">
        <x:v>1171272</x:v>
      </x:c>
    </x:row>
    <x:row r="252" ht="32" customHeight="1">
      <x:c r="A252" s="8" t="str">
        <x:v>AFIR FotoVoltaic 1.zip</x:v>
      </x:c>
      <x:c r="B252" s="8" t="str">
        <x:v>4. Contractare/1. Documente solicitate pentru contractare/ANPM/Plan de inacadrare in zona.pdf</x:v>
      </x:c>
      <x:c r="C252" s="8" t="n">
        <x:v>204263</x:v>
      </x:c>
    </x:row>
    <x:row r="253" ht="32" customHeight="1">
      <x:c r="A253" s="8" t="str">
        <x:v>AFIR FotoVoltaic 1.zip</x:v>
      </x:c>
      <x:c r="B253" s="8" t="str">
        <x:v>4. Contractare/1. Documente solicitate pentru contractare/ANPM/Plan de situatie.docx</x:v>
      </x:c>
      <x:c r="C253" s="8" t="n">
        <x:v>147257</x:v>
      </x:c>
    </x:row>
    <x:row r="254" ht="32" customHeight="1">
      <x:c r="A254" s="8" t="str">
        <x:v>AFIR FotoVoltaic 1.zip</x:v>
      </x:c>
      <x:c r="B254" s="8" t="str">
        <x:v>4. Contractare/1. Documente solicitate pentru contractare/ANPM/Plan de situatie.pdf</x:v>
      </x:c>
      <x:c r="C254" s="8" t="n">
        <x:v>50181</x:v>
      </x:c>
    </x:row>
    <x:row r="255" ht="32" customHeight="1">
      <x:c r="A255" s="8" t="str">
        <x:v>AFIR FotoVoltaic 1.zip</x:v>
      </x:c>
      <x:c r="B255" s="8" t="str">
        <x:v>4. Contractare/1. Documente solicitate pentru contractare/Arhiva/11. Declaratie prorpie raspundere CAEN.docx</x:v>
      </x:c>
      <x:c r="C255" s="8" t="n">
        <x:v>15640</x:v>
      </x:c>
    </x:row>
    <x:row r="256" ht="32" customHeight="1">
      <x:c r="A256" s="8" t="str">
        <x:v>AFIR FotoVoltaic 1.zip</x:v>
      </x:c>
      <x:c r="B256" s="8" t="str">
        <x:v>4. Contractare/1. Documente solicitate pentru contractare/Arhiva/2. Declaratie proprie raspundere depunere ATR.docx</x:v>
      </x:c>
      <x:c r="C256" s="8" t="n">
        <x:v>16992</x:v>
      </x:c>
    </x:row>
    <x:row r="257" ht="32" customHeight="1">
      <x:c r="A257" s="8" t="str">
        <x:v>AFIR FotoVoltaic 1.zip</x:v>
      </x:c>
      <x:c r="B257" s="8" t="str">
        <x:v>4. Contractare/1. Documente solicitate pentru contractare/Arhiva/8. Grafic de eșalonare.docx</x:v>
      </x:c>
      <x:c r="C257" s="8" t="n">
        <x:v>18652</x:v>
      </x:c>
    </x:row>
    <x:row r="258" ht="32" customHeight="1">
      <x:c r="A258" s="8" t="str">
        <x:v>AFIR FotoVoltaic 1.zip</x:v>
      </x:c>
      <x:c r="B258" s="8" t="str">
        <x:v>4. Contractare/1. Documente solicitate pentru contractare/Arhiva/act CESIRO PRODUCTION 12.02.2024.pdf</x:v>
      </x:c>
      <x:c r="C258" s="8" t="n">
        <x:v>99891</x:v>
      </x:c>
    </x:row>
    <x:row r="259" ht="32" customHeight="1">
      <x:c r="A259" s="8" t="str">
        <x:v>AFIR FotoVoltaic 1.zip</x:v>
      </x:c>
      <x:c r="B259" s="8" t="str">
        <x:v>4. Contractare/1. Documente solicitate pentru contractare/Arhiva/Anexa AP 1.1- Identificare financiara ING.docx</x:v>
      </x:c>
      <x:c r="C259" s="8" t="n">
        <x:v>17883</x:v>
      </x:c>
    </x:row>
    <x:row r="260" ht="32" customHeight="1">
      <x:c r="A260" s="8" t="str">
        <x:v>AFIR FotoVoltaic 1.zip</x:v>
      </x:c>
      <x:c r="B260" s="8" t="str">
        <x:v>4. Contractare/1. Documente solicitate pentru contractare/Arhiva/Cerere ATR pentru loc de consum si producere_modificat.doc</x:v>
      </x:c>
      <x:c r="C260" s="8" t="n">
        <x:v>301568</x:v>
      </x:c>
    </x:row>
    <x:row r="261" ht="32" customHeight="1">
      <x:c r="A261" s="8" t="str">
        <x:v>AFIR FotoVoltaic 1.zip</x:v>
      </x:c>
      <x:c r="B261" s="8" t="str">
        <x:v>4. Contractare/1. Documente solicitate pentru contractare/Arhiva/CESIRO PRODUCTION SRL - Factura ONRC.jpg</x:v>
      </x:c>
      <x:c r="C261" s="8" t="n">
        <x:v>163465</x:v>
      </x:c>
    </x:row>
    <x:row r="262" ht="32" customHeight="1">
      <x:c r="A262" s="8" t="str">
        <x:v>AFIR FotoVoltaic 1.zip</x:v>
      </x:c>
      <x:c r="B262" s="8" t="str">
        <x:v>4. Contractare/1. Documente solicitate pentru contractare/Arhiva/CUI Cesiro Production SRL Alb Negru .pdf</x:v>
      </x:c>
      <x:c r="C262" s="8" t="n">
        <x:v>611208</x:v>
      </x:c>
    </x:row>
    <x:row r="263" ht="36" customHeight="1">
      <x:c r="A263" s="8" t="str">
        <x:v>AFIR FotoVoltaic 1.zip</x:v>
      </x:c>
      <x:c r="B263" s="8" t="str">
        <x:v>4. Contractare/1. Documente solicitate pentru contractare/Arhiva/Dovada asigurarii finantarii cheltuielilor neeligibile Veche .pdf</x:v>
      </x:c>
      <x:c r="C263" s="8" t="n">
        <x:v>205677</x:v>
      </x:c>
    </x:row>
    <x:row r="264" ht="36" customHeight="1">
      <x:c r="A264" s="8" t="str">
        <x:v>AFIR FotoVoltaic 1.zip</x:v>
      </x:c>
      <x:c r="B264" s="8" t="str">
        <x:v>4. Contractare/1. Documente solicitate pentru contractare/Arhiva/HOTĂRÂREA ADUNĂRII GENERALE A ASOCIAȚILOR Cesiro Production Deschidere Cont Exim Bank.docx</x:v>
      </x:c>
      <x:c r="C264" s="8" t="n">
        <x:v>15916</x:v>
      </x:c>
    </x:row>
    <x:row r="265" ht="32" customHeight="1">
      <x:c r="A265" s="8" t="str">
        <x:v>AFIR FotoVoltaic 1.zip</x:v>
      </x:c>
      <x:c r="B265" s="8" t="str">
        <x:v>4. Contractare/1. Documente solicitate pentru contractare/Arhiva/IBAN CESIRO PRODUCTION ING.pdf</x:v>
      </x:c>
      <x:c r="C265" s="8" t="n">
        <x:v>115570</x:v>
      </x:c>
    </x:row>
    <x:row r="266" ht="32" customHeight="1">
      <x:c r="A266" s="8" t="str">
        <x:v>AFIR FotoVoltaic 1.zip</x:v>
      </x:c>
      <x:c r="B266" s="8" t="str">
        <x:v>4. Contractare/1. Documente solicitate pentru contractare/Cesiro Production SRL BCR 28.000.pdf</x:v>
      </x:c>
      <x:c r="C266" s="8" t="n">
        <x:v>83282</x:v>
      </x:c>
    </x:row>
    <x:row r="267" ht="32" customHeight="1">
      <x:c r="A267" s="8" t="str">
        <x:v>AFIR FotoVoltaic 1.zip</x:v>
      </x:c>
      <x:c r="B267" s="8" t="str">
        <x:v>4. Contractare/1. Documente solicitate pentru contractare/DE SEMNAT/1. Oferta castigatoare Suntree Solar Tech SRL.pdf</x:v>
      </x:c>
      <x:c r="C267" s="8" t="n">
        <x:v>7662971</x:v>
      </x:c>
    </x:row>
    <x:row r="268" ht="32" customHeight="1">
      <x:c r="A268" s="8" t="str">
        <x:v>AFIR FotoVoltaic 1.zip</x:v>
      </x:c>
      <x:c r="B268" s="8" t="str">
        <x:v>4. Contractare/1. Documente solicitate pentru contractare/DE SEMNAT/10. Certificat constatator ONRC  Cesiro Production.pdf</x:v>
      </x:c>
      <x:c r="C268" s="8" t="n">
        <x:v>793832</x:v>
      </x:c>
    </x:row>
    <x:row r="269" ht="32" customHeight="1">
      <x:c r="A269" s="8" t="str">
        <x:v>AFIR FotoVoltaic 1.zip</x:v>
      </x:c>
      <x:c r="B269" s="8" t="str">
        <x:v>4. Contractare/1. Documente solicitate pentru contractare/DE SEMNAT/11. Declaratie prorpie raspundere CAEN.pdf</x:v>
      </x:c>
      <x:c r="C269" s="8" t="n">
        <x:v>47811</x:v>
      </x:c>
    </x:row>
    <x:row r="270" ht="32" customHeight="1">
      <x:c r="A270" s="8" t="str">
        <x:v>AFIR FotoVoltaic 1.zip</x:v>
      </x:c>
      <x:c r="B270" s="8" t="str">
        <x:v>4. Contractare/1. Documente solicitate pentru contractare/DE SEMNAT/11.1 Act constitutiv modificat .pdf</x:v>
      </x:c>
      <x:c r="C270" s="8" t="n">
        <x:v>103586</x:v>
      </x:c>
    </x:row>
    <x:row r="271" ht="32" customHeight="1">
      <x:c r="A271" s="8" t="str">
        <x:v>AFIR FotoVoltaic 1.zip</x:v>
      </x:c>
      <x:c r="B271" s="8" t="str">
        <x:v>4. Contractare/1. Documente solicitate pentru contractare/DE SEMNAT/11.2 Cesiro Production declaratie[1] ONRC.pdf</x:v>
      </x:c>
      <x:c r="C271" s="8" t="n">
        <x:v>227681</x:v>
      </x:c>
    </x:row>
    <x:row r="272" ht="32" customHeight="1">
      <x:c r="A272" s="8" t="str">
        <x:v>AFIR FotoVoltaic 1.zip</x:v>
      </x:c>
      <x:c r="B272" s="8" t="str">
        <x:v>4. Contractare/1. Documente solicitate pentru contractare/DE SEMNAT/11.3 Cesiro Production SRL 11-10-150[1]   ONRC.pdf</x:v>
      </x:c>
      <x:c r="C272" s="8" t="n">
        <x:v>495171</x:v>
      </x:c>
    </x:row>
    <x:row r="273" ht="32" customHeight="1">
      <x:c r="A273" s="8" t="str">
        <x:v>AFIR FotoVoltaic 1.zip</x:v>
      </x:c>
      <x:c r="B273" s="8" t="str">
        <x:v>4. Contractare/1. Documente solicitate pentru contractare/DE SEMNAT/11.4 Cesiro Production SRL - Factura ONRC.pdf</x:v>
      </x:c>
      <x:c r="C273" s="8" t="n">
        <x:v>183278</x:v>
      </x:c>
    </x:row>
    <x:row r="274" ht="32" customHeight="1">
      <x:c r="A274" s="8" t="str">
        <x:v>AFIR FotoVoltaic 1.zip</x:v>
      </x:c>
      <x:c r="B274" s="8" t="str">
        <x:v>4. Contractare/1. Documente solicitate pentru contractare/DE SEMNAT/11.5 HOT CESIRO PRODUCTION - ob act 12.02.2024 ONRC .pdf</x:v>
      </x:c>
      <x:c r="C274" s="8" t="n">
        <x:v>65710</x:v>
      </x:c>
    </x:row>
    <x:row r="275" ht="32" customHeight="1">
      <x:c r="A275" s="8" t="str">
        <x:v>AFIR FotoVoltaic 1.zip</x:v>
      </x:c>
      <x:c r="B275" s="8" t="str">
        <x:v>4. Contractare/1. Documente solicitate pentru contractare/DE SEMNAT/12. CUI Cesiro Production Color.pdf</x:v>
      </x:c>
      <x:c r="C275" s="8" t="n">
        <x:v>1192230</x:v>
      </x:c>
    </x:row>
    <x:row r="276" ht="32" customHeight="1">
      <x:c r="A276" s="8" t="str">
        <x:v>AFIR FotoVoltaic 1.zip</x:v>
      </x:c>
      <x:c r="B276" s="8" t="str">
        <x:v>4. Contractare/1. Documente solicitate pentru contractare/DE SEMNAT/2. Declaratie proprie raspundere depunere ATR.pdf</x:v>
      </x:c>
      <x:c r="C276" s="8" t="n">
        <x:v>32967</x:v>
      </x:c>
    </x:row>
    <x:row r="277" ht="32" customHeight="1">
      <x:c r="A277" s="8" t="str">
        <x:v>AFIR FotoVoltaic 1.zip</x:v>
      </x:c>
      <x:c r="B277" s="8" t="str">
        <x:v>4. Contractare/1. Documente solicitate pentru contractare/DE SEMNAT/3. EXIM BANK Extras de cont Cesiro Production SRL.pdf</x:v>
      </x:c>
      <x:c r="C277" s="8" t="n">
        <x:v>231511</x:v>
      </x:c>
    </x:row>
    <x:row r="278" ht="32" customHeight="1">
      <x:c r="A278" s="8" t="str">
        <x:v>AFIR FotoVoltaic 1.zip</x:v>
      </x:c>
      <x:c r="B278" s="8" t="str">
        <x:v>4. Contractare/1. Documente solicitate pentru contractare/DE SEMNAT/4. Notificare APM.pdf</x:v>
      </x:c>
      <x:c r="C278" s="8" t="n">
        <x:v>370002</x:v>
      </x:c>
    </x:row>
    <x:row r="279" ht="36" customHeight="1">
      <x:c r="A279" s="8" t="str">
        <x:v>AFIR FotoVoltaic 1.zip</x:v>
      </x:c>
      <x:c r="B279" s="8" t="str">
        <x:v>4. Contractare/1. Documente solicitate pentru contractare/DE SEMNAT/5. Certificat de atestare fiscala Cesiro Production SRL.pdf</x:v>
      </x:c>
      <x:c r="C279" s="8" t="n">
        <x:v>177333</x:v>
      </x:c>
    </x:row>
    <x:row r="280" ht="32" customHeight="1">
      <x:c r="A280" s="8" t="str">
        <x:v>AFIR FotoVoltaic 1.zip</x:v>
      </x:c>
      <x:c r="B280" s="8" t="str">
        <x:v>4. Contractare/1. Documente solicitate pentru contractare/DE SEMNAT/6. CESIRO P. ADRESA CONTURI SEMNATA.pdf</x:v>
      </x:c>
      <x:c r="C280" s="8" t="n">
        <x:v>311875</x:v>
      </x:c>
    </x:row>
    <x:row r="281" ht="32" customHeight="1">
      <x:c r="A281" s="8" t="str">
        <x:v>AFIR FotoVoltaic 1.zip</x:v>
      </x:c>
      <x:c r="B281" s="8" t="str">
        <x:v>4. Contractare/1. Documente solicitate pentru contractare/DE SEMNAT/7. CI Cosmin Adrian Covaciu.pdf</x:v>
      </x:c>
      <x:c r="C281" s="8" t="n">
        <x:v>158276</x:v>
      </x:c>
    </x:row>
    <x:row r="282" ht="32" customHeight="1">
      <x:c r="A282" s="8" t="str">
        <x:v>AFIR FotoVoltaic 1.zip</x:v>
      </x:c>
      <x:c r="B282" s="8" t="str">
        <x:v>4. Contractare/1. Documente solicitate pentru contractare/DE SEMNAT/8. Grafic de eșalonare.pdf</x:v>
      </x:c>
      <x:c r="C282" s="8" t="n">
        <x:v>142566</x:v>
      </x:c>
    </x:row>
    <x:row r="283" ht="32" customHeight="1">
      <x:c r="A283" s="8" t="str">
        <x:v>AFIR FotoVoltaic 1.zip</x:v>
      </x:c>
      <x:c r="B283" s="8" t="str">
        <x:v>4. Contractare/1. Documente solicitate pentru contractare/DE SEMNAT/9. Modificare ONRC+ Factura.pdf</x:v>
      </x:c>
      <x:c r="C283" s="8" t="n">
        <x:v>340319</x:v>
      </x:c>
    </x:row>
    <x:row r="284" ht="32" customHeight="1">
      <x:c r="A284" s="8" t="str">
        <x:v>AFIR FotoVoltaic 1.zip</x:v>
      </x:c>
      <x:c r="B284" s="8" t="str">
        <x:v>4. Contractare/1. Documente solicitate pentru contractare/HOT CESIRO PRODUCTION - ob act 12.02.2024 ONRC .docx</x:v>
      </x:c>
      <x:c r="C284" s="8" t="n">
        <x:v>25692</x:v>
      </x:c>
    </x:row>
    <x:row r="285" ht="32" customHeight="1">
      <x:c r="A285" s="8" t="str">
        <x:v>AFIR FotoVoltaic 1.zip</x:v>
      </x:c>
      <x:c r="B285" s="8" t="str">
        <x:v>4. Contractare/1. Documente solicitate pentru contractare/Lista documente contractare.xlsx</x:v>
      </x:c>
      <x:c r="C285" s="8" t="n">
        <x:v>12561</x:v>
      </x:c>
    </x:row>
    <x:row r="286" ht="32" customHeight="1">
      <x:c r="A286" s="8" t="str">
        <x:v>AFIR FotoVoltaic 1.zip</x:v>
      </x:c>
      <x:c r="B286" s="8" t="str">
        <x:v>4. Contractare/1. Documente solicitate pentru contractare/NotificareSolicitant_E6_8_3_SE.pdf</x:v>
      </x:c>
      <x:c r="C286" s="8" t="n">
        <x:v>398849</x:v>
      </x:c>
    </x:row>
    <x:row r="287" ht="32" customHeight="1">
      <x:c r="A287" s="8" t="str">
        <x:v>AFIR FotoVoltaic 1.zip</x:v>
      </x:c>
      <x:c r="B287" s="8" t="str">
        <x:v>4. Contractare/1. Documente solicitate pentru contractare/SEMNATE/1. Oferta castigatoare Suntree Solar Tech SRL semnat.pdf</x:v>
      </x:c>
      <x:c r="C287" s="8" t="n">
        <x:v>7784424</x:v>
      </x:c>
    </x:row>
    <x:row r="288" ht="36" customHeight="1">
      <x:c r="A288" s="8" t="str">
        <x:v>AFIR FotoVoltaic 1.zip</x:v>
      </x:c>
      <x:c r="B288" s="8" t="str">
        <x:v>4. Contractare/1. Documente solicitate pentru contractare/SEMNATE/10. Certificat constatator ONRC  Cesiro Production semnat.pdf</x:v>
      </x:c>
      <x:c r="C288" s="8" t="n">
        <x:v>918231</x:v>
      </x:c>
    </x:row>
    <x:row r="289" ht="32" customHeight="1">
      <x:c r="A289" s="8" t="str">
        <x:v>AFIR FotoVoltaic 1.zip</x:v>
      </x:c>
      <x:c r="B289" s="8" t="str">
        <x:v>4. Contractare/1. Documente solicitate pentru contractare/SEMNATE/11. Declaratie prorpie raspundere CAEN semnat.pdf</x:v>
      </x:c>
      <x:c r="C289" s="8" t="n">
        <x:v>165133</x:v>
      </x:c>
    </x:row>
    <x:row r="290" ht="32" customHeight="1">
      <x:c r="A290" s="8" t="str">
        <x:v>AFIR FotoVoltaic 1.zip</x:v>
      </x:c>
      <x:c r="B290" s="8" t="str">
        <x:v>4. Contractare/1. Documente solicitate pentru contractare/SEMNATE/11.3 Cesiro Production SRL 11-10-150[1]   ONRC semnat.pdf</x:v>
      </x:c>
      <x:c r="C290" s="8" t="n">
        <x:v>612432</x:v>
      </x:c>
    </x:row>
    <x:row r="291" ht="32" customHeight="1">
      <x:c r="A291" s="8" t="str">
        <x:v>AFIR FotoVoltaic 1.zip</x:v>
      </x:c>
      <x:c r="B291" s="8" t="str">
        <x:v>4. Contractare/1. Documente solicitate pentru contractare/SEMNATE/11.4 Cesiro Production SRL - Factura ONRC semnat.pdf</x:v>
      </x:c>
      <x:c r="C291" s="8" t="n">
        <x:v>301279</x:v>
      </x:c>
    </x:row>
    <x:row r="292" ht="36" customHeight="1">
      <x:c r="A292" s="8" t="str">
        <x:v>AFIR FotoVoltaic 1.zip</x:v>
      </x:c>
      <x:c r="B292" s="8" t="str">
        <x:v>4. Contractare/1. Documente solicitate pentru contractare/SEMNATE/11.5 HOT CESIRO PRODUCTION - ob act 12.02.2024 ONRC semnat .pdf</x:v>
      </x:c>
      <x:c r="C292" s="8" t="n">
        <x:v>181644</x:v>
      </x:c>
    </x:row>
    <x:row r="293" ht="32" customHeight="1">
      <x:c r="A293" s="8" t="str">
        <x:v>AFIR FotoVoltaic 1.zip</x:v>
      </x:c>
      <x:c r="B293" s="8" t="str">
        <x:v>4. Contractare/1. Documente solicitate pentru contractare/SEMNATE/12. CUI Cesiro Production Color semnat.pdf</x:v>
      </x:c>
      <x:c r="C293" s="8" t="n">
        <x:v>1313499</x:v>
      </x:c>
    </x:row>
    <x:row r="294" ht="32" customHeight="1">
      <x:c r="A294" s="8" t="str">
        <x:v>AFIR FotoVoltaic 1.zip</x:v>
      </x:c>
      <x:c r="B294" s="8" t="str">
        <x:v>4. Contractare/1. Documente solicitate pentru contractare/SEMNATE/2. Declaratie proprie raspundere depunere ATR semnat.pdf</x:v>
      </x:c>
      <x:c r="C294" s="8" t="n">
        <x:v>151397</x:v>
      </x:c>
    </x:row>
    <x:row r="295" ht="32" customHeight="1">
      <x:c r="A295" s="8" t="str">
        <x:v>AFIR FotoVoltaic 1.zip</x:v>
      </x:c>
      <x:c r="B295" s="8" t="str">
        <x:v>4. Contractare/1. Documente solicitate pentru contractare/SEMNATE/3. EXIM BANK Extras de cont Cesiro Production SRL semnat.pdf</x:v>
      </x:c>
      <x:c r="C295" s="8" t="n">
        <x:v>296489</x:v>
      </x:c>
    </x:row>
    <x:row r="296" ht="32" customHeight="1">
      <x:c r="A296" s="8" t="str">
        <x:v>AFIR FotoVoltaic 1.zip</x:v>
      </x:c>
      <x:c r="B296" s="8" t="str">
        <x:v>4. Contractare/1. Documente solicitate pentru contractare/SEMNATE/4. Notificare APM semnat.pdf</x:v>
      </x:c>
      <x:c r="C296" s="8" t="n">
        <x:v>491973</x:v>
      </x:c>
    </x:row>
    <x:row r="297" ht="36" customHeight="1">
      <x:c r="A297" s="8" t="str">
        <x:v>AFIR FotoVoltaic 1.zip</x:v>
      </x:c>
      <x:c r="B297" s="8" t="str">
        <x:v>4. Contractare/1. Documente solicitate pentru contractare/SEMNATE/5. Certificat de atestare fiscala Cesiro Production SRL semnat.pdf</x:v>
      </x:c>
      <x:c r="C297" s="8" t="n">
        <x:v>351602</x:v>
      </x:c>
    </x:row>
    <x:row r="298" ht="32" customHeight="1">
      <x:c r="A298" s="8" t="str">
        <x:v>AFIR FotoVoltaic 1.zip</x:v>
      </x:c>
      <x:c r="B298" s="8" t="str">
        <x:v>4. Contractare/1. Documente solicitate pentru contractare/SEMNATE/6. CESIRO P. ADRESA CONTURI SEMNATA semnat.pdf</x:v>
      </x:c>
      <x:c r="C298" s="8" t="n">
        <x:v>378347</x:v>
      </x:c>
    </x:row>
    <x:row r="299" ht="32" customHeight="1">
      <x:c r="A299" s="8" t="str">
        <x:v>AFIR FotoVoltaic 1.zip</x:v>
      </x:c>
      <x:c r="B299" s="8" t="str">
        <x:v>4. Contractare/1. Documente solicitate pentru contractare/SEMNATE/7. CI Cosmin Adrian Covaciu semnat.pdf</x:v>
      </x:c>
      <x:c r="C299" s="8" t="n">
        <x:v>279896</x:v>
      </x:c>
    </x:row>
    <x:row r="300" ht="32" customHeight="1">
      <x:c r="A300" s="8" t="str">
        <x:v>AFIR FotoVoltaic 1.zip</x:v>
      </x:c>
      <x:c r="B300" s="8" t="str">
        <x:v>4. Contractare/1. Documente solicitate pentru contractare/SEMNATE/8. Grafic de eșalonare semnat.pdf</x:v>
      </x:c>
      <x:c r="C300" s="8" t="n">
        <x:v>257080</x:v>
      </x:c>
    </x:row>
    <x:row r="301" ht="32" customHeight="1">
      <x:c r="A301" s="8" t="str">
        <x:v>AFIR FotoVoltaic 1.zip</x:v>
      </x:c>
      <x:c r="B301" s="8" t="str">
        <x:v>4. Contractare/1. Documente solicitate pentru contractare/SEMNATE/9. Modificare ONRC+ Factura semnat.pdf</x:v>
      </x:c>
      <x:c r="C301" s="8" t="n">
        <x:v>462190</x:v>
      </x:c>
    </x:row>
    <x:row r="302" ht="32" customHeight="1">
      <x:c r="A302" s="8" t="str">
        <x:v>AFIR FotoVoltaic 1.zip</x:v>
      </x:c>
      <x:c r="B302" s="8" t="str">
        <x:v>4. Contractare/2. Contractul de Finantare/De Semnat/AnexaIII_FM.pdf</x:v>
      </x:c>
      <x:c r="C302" s="8" t="n">
        <x:v>227660</x:v>
      </x:c>
    </x:row>
    <x:row r="303" ht="32" customHeight="1">
      <x:c r="A303" s="8" t="str">
        <x:v>AFIR FotoVoltaic 1.zip</x:v>
      </x:c>
      <x:c r="B303" s="8" t="str">
        <x:v>4. Contractare/2. Contractul de Finantare/De Semnat/AnexaII_FM.pdf</x:v>
      </x:c>
      <x:c r="C303" s="8" t="n">
        <x:v>596614</x:v>
      </x:c>
    </x:row>
    <x:row r="304" ht="32" customHeight="1">
      <x:c r="A304" s="8" t="str">
        <x:v>AFIR FotoVoltaic 1.zip</x:v>
      </x:c>
      <x:c r="B304" s="8" t="str">
        <x:v>4. Contractare/2. Contractul de Finantare/De Semnat/AnexaIV_FM.pdf</x:v>
      </x:c>
      <x:c r="C304" s="8" t="n">
        <x:v>308134</x:v>
      </x:c>
    </x:row>
    <x:row r="305" ht="32" customHeight="1">
      <x:c r="A305" s="8" t="str">
        <x:v>AFIR FotoVoltaic 1.zip</x:v>
      </x:c>
      <x:c r="B305" s="8" t="str">
        <x:v>4. Contractare/2. Contractul de Finantare/De Semnat/AnexaI_FM.pdf</x:v>
      </x:c>
      <x:c r="C305" s="8" t="n">
        <x:v>302744</x:v>
      </x:c>
    </x:row>
    <x:row r="306" ht="32" customHeight="1">
      <x:c r="A306" s="8" t="str">
        <x:v>AFIR FotoVoltaic 1.zip</x:v>
      </x:c>
      <x:c r="B306" s="8" t="str">
        <x:v>4. Contractare/2. Contractul de Finantare/De Semnat/C1_1_FM.pdf</x:v>
      </x:c>
      <x:c r="C306" s="8" t="n">
        <x:v>1764739</x:v>
      </x:c>
    </x:row>
    <x:row r="307" ht="32" customHeight="1">
      <x:c r="A307" s="8" t="str">
        <x:v>AFIR FotoVoltaic 1.zip</x:v>
      </x:c>
      <x:c r="B307" s="8" t="str">
        <x:v>4. Contractare/2. Contractul de Finantare/Semnate/AnexaIII_FM semnat.pdf</x:v>
      </x:c>
      <x:c r="C307" s="8" t="n">
        <x:v>317733</x:v>
      </x:c>
    </x:row>
    <x:row r="308" ht="32" customHeight="1">
      <x:c r="A308" s="8" t="str">
        <x:v>AFIR FotoVoltaic 1.zip</x:v>
      </x:c>
      <x:c r="B308" s="8" t="str">
        <x:v>4. Contractare/2. Contractul de Finantare/Semnate/AnexaII_FM semnat.pdf</x:v>
      </x:c>
      <x:c r="C308" s="8" t="n">
        <x:v>703767</x:v>
      </x:c>
    </x:row>
    <x:row r="309" ht="32" customHeight="1">
      <x:c r="A309" s="8" t="str">
        <x:v>AFIR FotoVoltaic 1.zip</x:v>
      </x:c>
      <x:c r="B309" s="8" t="str">
        <x:v>4. Contractare/2. Contractul de Finantare/Semnate/AnexaIV_FM semnat.pdf</x:v>
      </x:c>
      <x:c r="C309" s="8" t="n">
        <x:v>413742</x:v>
      </x:c>
    </x:row>
    <x:row r="310" ht="32" customHeight="1">
      <x:c r="A310" s="8" t="str">
        <x:v>AFIR FotoVoltaic 1.zip</x:v>
      </x:c>
      <x:c r="B310" s="8" t="str">
        <x:v>4. Contractare/2. Contractul de Finantare/Semnate/AnexaI_FM semnat.pdf</x:v>
      </x:c>
      <x:c r="C310" s="8" t="n">
        <x:v>411053</x:v>
      </x:c>
    </x:row>
    <x:row r="311" ht="32" customHeight="1">
      <x:c r="A311" s="8" t="str">
        <x:v>AFIR FotoVoltaic 1.zip</x:v>
      </x:c>
      <x:c r="B311" s="8" t="str">
        <x:v>4. Contractare/2. Contractul de Finantare/Semnate/Contract Afir Cesiro Prod.pdf</x:v>
      </x:c>
      <x:c r="C311" s="8" t="n">
        <x:v>1828713</x:v>
      </x:c>
    </x:row>
    <x:row r="312" ht="32" customHeight="1">
      <x:c r="A312" s="8" t="str">
        <x:v>AFIR FotoVoltaic 1.zip</x:v>
      </x:c>
      <x:c r="B312" s="8" t="str">
        <x:v>4. Contractare/2. Contractul de Finantare/Semnate/factura_proforma_24022026_145801.pdf</x:v>
      </x:c>
      <x:c r="C312" s="8" t="n">
        <x:v>8462</x:v>
      </x:c>
    </x:row>
    <x:row r="313" ht="32" customHeight="1">
      <x:c r="A313" s="8" t="str">
        <x:v>AFIR FotoVoltaic 1.zip</x:v>
      </x:c>
      <x:c r="B313" s="8" t="str">
        <x:v>4. Contractare/2. Contractul de Finantare/Semnate/Formulare plată beneficiari schemă Energie (Actualizat 31.10.2025).rar</x:v>
      </x:c>
      <x:c r="C313" s="8" t="n">
        <x:v>1237940</x:v>
      </x:c>
    </x:row>
    <x:row r="314" ht="32" customHeight="1">
      <x:c r="A314" s="8" t="str">
        <x:v>AFIR FotoVoltaic 1.zip</x:v>
      </x:c>
      <x:c r="B314" s="8" t="str">
        <x:v>4. Contractare/2. Contractul de Finantare/Semnate/Notificare Schimbare Structura Actionariatului Cesiro Production SRL.docx</x:v>
      </x:c>
      <x:c r="C314" s="8" t="n">
        <x:v>18273</x:v>
      </x:c>
    </x:row>
    <x:row r="315" ht="32" customHeight="1">
      <x:c r="A315" s="8" t="str">
        <x:v>AFIR FotoVoltaic 1.zip</x:v>
      </x:c>
      <x:c r="B315" s="8" t="str">
        <x:v>4. Contractare/2. Contractul de Finantare/Semnate/Notificare Schimbare Structura Actionariatului Cesiro Production SRL.pdf</x:v>
      </x:c>
      <x:c r="C315" s="8" t="n">
        <x:v>268586</x:v>
      </x:c>
    </x:row>
    <x:row r="316" ht="32" customHeight="1">
      <x:c r="A316" s="8" t="str">
        <x:v>AFIR FotoVoltaic 1.zip</x:v>
      </x:c>
      <x:c r="B316" s="8" t="str">
        <x:v>4. Contractare/2. Contractul de Finantare/Semnate/Proforma nr_7.pdf</x:v>
      </x:c>
      <x:c r="C316" s="8" t="n">
        <x:v>8463</x:v>
      </x:c>
    </x:row>
    <x:row r="317" ht="32" customHeight="1">
      <x:c r="A317" s="8" t="str">
        <x:v>AFIR FotoVoltaic 1.zip</x:v>
      </x:c>
      <x:c r="B317" s="8" t="str">
        <x:v>4. Contractare/3. SF/1. Contract de inchiriere IPEC SA cu Cesiro Production semnat_Page_1.png</x:v>
      </x:c>
      <x:c r="C317" s="8" t="n">
        <x:v>7874597</x:v>
      </x:c>
    </x:row>
    <x:row r="318" ht="32" customHeight="1">
      <x:c r="A318" s="8" t="str">
        <x:v>AFIR FotoVoltaic 1.zip</x:v>
      </x:c>
      <x:c r="B318" s="8" t="str">
        <x:v>4. Contractare/3. SF/1. Contract de inchiriere IPEC SA cu Cesiro Production semnat_Page_2.png</x:v>
      </x:c>
      <x:c r="C318" s="8" t="n">
        <x:v>4919159</x:v>
      </x:c>
    </x:row>
    <x:row r="319" ht="32" customHeight="1">
      <x:c r="A319" s="8" t="str">
        <x:v>AFIR FotoVoltaic 1.zip</x:v>
      </x:c>
      <x:c r="B319" s="8" t="str">
        <x:v>4. Contractare/3. SF/1. Contract de inchiriere IPEC SA cu Cesiro Production semnat_Page_3.png</x:v>
      </x:c>
      <x:c r="C319" s="8" t="n">
        <x:v>4576857</x:v>
      </x:c>
    </x:row>
    <x:row r="320" ht="32" customHeight="1">
      <x:c r="A320" s="8" t="str">
        <x:v>AFIR FotoVoltaic 1.zip</x:v>
      </x:c>
      <x:c r="B320" s="8" t="str">
        <x:v>4. Contractare/3. SF/1. Contract de inchiriere IPEC SA cu Cesiro Production semnat_Page_4.png</x:v>
      </x:c>
      <x:c r="C320" s="8" t="n">
        <x:v>201987</x:v>
      </x:c>
    </x:row>
    <x:row r="321" ht="32" customHeight="1">
      <x:c r="A321" s="8" t="str">
        <x:v>AFIR FotoVoltaic 1.zip</x:v>
      </x:c>
      <x:c r="B321" s="8" t="str">
        <x:v>4. Contractare/3. SF/1. Contract de inchiriere IPEC SA cu Cesiro Production semnat_Page_5.png</x:v>
      </x:c>
      <x:c r="C321" s="8" t="n">
        <x:v>1579490</x:v>
      </x:c>
    </x:row>
    <x:row r="322" ht="32" customHeight="1">
      <x:c r="A322" s="8" t="str">
        <x:v>AFIR FotoVoltaic 1.zip</x:v>
      </x:c>
      <x:c r="B322" s="8" t="str">
        <x:v>4. Contractare/3. SF/1. Contract de inchiriere IPEC SA cu Cesiro Production semnat_Page_6.png</x:v>
      </x:c>
      <x:c r="C322" s="8" t="n">
        <x:v>128087</x:v>
      </x:c>
    </x:row>
    <x:row r="323" ht="32" customHeight="1">
      <x:c r="A323" s="8" t="str">
        <x:v>AFIR FotoVoltaic 1.zip</x:v>
      </x:c>
      <x:c r="B323" s="8" t="str">
        <x:v>4. Contractare/3. SF/2. Extras Carte Funciara semnat_Page_1.png</x:v>
      </x:c>
      <x:c r="C323" s="8" t="n">
        <x:v>61319</x:v>
      </x:c>
    </x:row>
    <x:row r="324" ht="32" customHeight="1">
      <x:c r="A324" s="8" t="str">
        <x:v>AFIR FotoVoltaic 1.zip</x:v>
      </x:c>
      <x:c r="B324" s="8" t="str">
        <x:v>4. Contractare/3. SF/2. Extras Carte Funciara semnat_Page_2.png</x:v>
      </x:c>
      <x:c r="C324" s="8" t="n">
        <x:v>168843</x:v>
      </x:c>
    </x:row>
    <x:row r="325" ht="32" customHeight="1">
      <x:c r="A325" s="8" t="str">
        <x:v>AFIR FotoVoltaic 1.zip</x:v>
      </x:c>
      <x:c r="B325" s="8" t="str">
        <x:v>4. Contractare/3. SF/2. Extras Carte Funciara semnat_Page_3.png</x:v>
      </x:c>
      <x:c r="C325" s="8" t="n">
        <x:v>77043</x:v>
      </x:c>
    </x:row>
    <x:row r="326" ht="32" customHeight="1">
      <x:c r="A326" s="8" t="str">
        <x:v>AFIR FotoVoltaic 1.zip</x:v>
      </x:c>
      <x:c r="B326" s="8" t="str">
        <x:v>4. Contractare/3. SF/ATR/atr sigh_Page_1.png</x:v>
      </x:c>
      <x:c r="C326" s="8" t="n">
        <x:v>323411</x:v>
      </x:c>
    </x:row>
    <x:row r="327" ht="32" customHeight="1">
      <x:c r="A327" s="8" t="str">
        <x:v>AFIR FotoVoltaic 1.zip</x:v>
      </x:c>
      <x:c r="B327" s="8" t="str">
        <x:v>4. Contractare/3. SF/ATR/atr sigh_Page_2.png</x:v>
      </x:c>
      <x:c r="C327" s="8" t="n">
        <x:v>53695</x:v>
      </x:c>
    </x:row>
    <x:row r="328" ht="32" customHeight="1">
      <x:c r="A328" s="8" t="str">
        <x:v>AFIR FotoVoltaic 1.zip</x:v>
      </x:c>
      <x:c r="B328" s="8" t="str">
        <x:v>4. Contractare/3. SF/ATR/atr sigh_Page_3.png</x:v>
      </x:c>
      <x:c r="C328" s="8" t="n">
        <x:v>30342</x:v>
      </x:c>
    </x:row>
    <x:row r="329" ht="32" customHeight="1">
      <x:c r="A329" s="8" t="str">
        <x:v>AFIR FotoVoltaic 1.zip</x:v>
      </x:c>
      <x:c r="B329" s="8" t="str">
        <x:v>4. Contractare/3. SF/Extras_Informare_3075 Carte Funciară Nr. 58300 Sighişoara Cesiro Production.pdf</x:v>
      </x:c>
      <x:c r="C329" s="8" t="n">
        <x:v>161996</x:v>
      </x:c>
    </x:row>
    <x:row r="330" ht="32" customHeight="1">
      <x:c r="A330" s="8" t="str">
        <x:v>AFIR FotoVoltaic 1.zip</x:v>
      </x:c>
      <x:c r="B330" s="8" t="str">
        <x:v>4. Contractare/3. SF/Fise Tehnice/LUNA2000-200KWH-2H1_Page_1.png</x:v>
      </x:c>
      <x:c r="C330" s="8" t="n">
        <x:v>224805</x:v>
      </x:c>
    </x:row>
    <x:row r="331" ht="32" customHeight="1">
      <x:c r="A331" s="8" t="str">
        <x:v>AFIR FotoVoltaic 1.zip</x:v>
      </x:c>
      <x:c r="B331" s="8" t="str">
        <x:v>4. Contractare/3. SF/Fise Tehnice/LUNA2000-200KWH-2H1_Page_2.png</x:v>
      </x:c>
      <x:c r="C331" s="8" t="n">
        <x:v>244262</x:v>
      </x:c>
    </x:row>
    <x:row r="332" ht="32" customHeight="1">
      <x:c r="A332" s="8" t="str">
        <x:v>AFIR FotoVoltaic 1.zip</x:v>
      </x:c>
      <x:c r="B332" s="8" t="str">
        <x:v>4. Contractare/3. SF/Fise Tehnice/SUN2000-100KTL-M2_Page_1.png</x:v>
      </x:c>
      <x:c r="C332" s="8" t="n">
        <x:v>295248</x:v>
      </x:c>
    </x:row>
    <x:row r="333" ht="32" customHeight="1">
      <x:c r="A333" s="8" t="str">
        <x:v>AFIR FotoVoltaic 1.zip</x:v>
      </x:c>
      <x:c r="B333" s="8" t="str">
        <x:v>4. Contractare/3. SF/Fise Tehnice/SUN2000-100KTL-M2_Page_2.png</x:v>
      </x:c>
      <x:c r="C333" s="8" t="n">
        <x:v>74924</x:v>
      </x:c>
    </x:row>
    <x:row r="334" ht="32" customHeight="1">
      <x:c r="A334" s="8" t="str">
        <x:v>AFIR FotoVoltaic 1.zip</x:v>
      </x:c>
      <x:c r="B334" s="8" t="str">
        <x:v>4. Contractare/3. SF/Fise Tehnice/SUN2000-10KTL-M1_Page_1.png</x:v>
      </x:c>
      <x:c r="C334" s="8" t="n">
        <x:v>2117226</x:v>
      </x:c>
    </x:row>
    <x:row r="335" ht="32" customHeight="1">
      <x:c r="A335" s="8" t="str">
        <x:v>AFIR FotoVoltaic 1.zip</x:v>
      </x:c>
      <x:c r="B335" s="8" t="str">
        <x:v>4. Contractare/3. SF/Fise Tehnice/SUN2000-10KTL-M1_Page_2.png</x:v>
      </x:c>
      <x:c r="C335" s="8" t="n">
        <x:v>93108</x:v>
      </x:c>
    </x:row>
    <x:row r="336" ht="32" customHeight="1">
      <x:c r="A336" s="8" t="str">
        <x:v>AFIR FotoVoltaic 1.zip</x:v>
      </x:c>
      <x:c r="B336" s="8" t="str">
        <x:v>4. Contractare/3. SF/Fise Tehnice/TOPHiKu6_Page_1.png</x:v>
      </x:c>
      <x:c r="C336" s="8" t="n">
        <x:v>1053099</x:v>
      </x:c>
    </x:row>
    <x:row r="337" ht="32" customHeight="1">
      <x:c r="A337" s="8" t="str">
        <x:v>AFIR FotoVoltaic 1.zip</x:v>
      </x:c>
      <x:c r="B337" s="8" t="str">
        <x:v>4. Contractare/3. SF/Fise Tehnice/TOPHiKu6_Page_2.png</x:v>
      </x:c>
      <x:c r="C337" s="8" t="n">
        <x:v>126378</x:v>
      </x:c>
    </x:row>
    <x:row r="338" ht="32" customHeight="1">
      <x:c r="A338" s="8" t="str">
        <x:v>AFIR FotoVoltaic 1.zip</x:v>
      </x:c>
      <x:c r="B338" s="8" t="str">
        <x:v>4. Contractare/3. SF/Foaie semnaturi SF Cesiro Production.jpg</x:v>
      </x:c>
      <x:c r="C338" s="8" t="n">
        <x:v>1733153</x:v>
      </x:c>
    </x:row>
    <x:row r="339" ht="32" customHeight="1">
      <x:c r="A339" s="8" t="str">
        <x:v>AFIR FotoVoltaic 1.zip</x:v>
      </x:c>
      <x:c r="B339" s="8" t="str">
        <x:v>4. Contractare/3. SF/Foaie semnaturi SF Cesiro Production.pdf</x:v>
      </x:c>
      <x:c r="C339" s="8" t="n">
        <x:v>1734188</x:v>
      </x:c>
    </x:row>
    <x:row r="340" ht="32" customHeight="1">
      <x:c r="A340" s="8" t="str">
        <x:v>AFIR FotoVoltaic 1.zip</x:v>
      </x:c>
      <x:c r="B340" s="8" t="str">
        <x:v>4. Contractare/3. SF/Proiect Fotovoltaice Cesiro-Semnat.pdf</x:v>
      </x:c>
      <x:c r="C340" s="8" t="n">
        <x:v>603873</x:v>
      </x:c>
    </x:row>
    <x:row r="341" ht="32" customHeight="1">
      <x:c r="A341" s="8" t="str">
        <x:v>AFIR FotoVoltaic 1.zip</x:v>
      </x:c>
      <x:c r="B341" s="8" t="str">
        <x:v>4. Contractare/3. SF/Proiect Fotovoltaice Cesiro-Semnat[1]_Page_1.png</x:v>
      </x:c>
      <x:c r="C341" s="8" t="n">
        <x:v>61705</x:v>
      </x:c>
    </x:row>
    <x:row r="342" ht="32" customHeight="1">
      <x:c r="A342" s="8" t="str">
        <x:v>AFIR FotoVoltaic 1.zip</x:v>
      </x:c>
      <x:c r="B342" s="8" t="str">
        <x:v>4. Contractare/3. SF/Proiect Fotovoltaice Cesiro-Semnat[1]_Page_2.png</x:v>
      </x:c>
      <x:c r="C342" s="8" t="n">
        <x:v>74729</x:v>
      </x:c>
    </x:row>
    <x:row r="343" ht="32" customHeight="1">
      <x:c r="A343" s="8" t="str">
        <x:v>AFIR FotoVoltaic 1.zip</x:v>
      </x:c>
      <x:c r="B343" s="8" t="str">
        <x:v>4. Contractare/3. SF/Proiect Fotovoltaice Cesiro-Semnat[1]_Page_3.png</x:v>
      </x:c>
      <x:c r="C343" s="8" t="n">
        <x:v>112581</x:v>
      </x:c>
    </x:row>
    <x:row r="344" ht="32" customHeight="1">
      <x:c r="A344" s="8" t="str">
        <x:v>AFIR FotoVoltaic 1.zip</x:v>
      </x:c>
      <x:c r="B344" s="8" t="str">
        <x:v>4. Contractare/3. SF/Proiect Fotovoltaice Cesiro-Semnat[1]_Page_4.png</x:v>
      </x:c>
      <x:c r="C344" s="8" t="n">
        <x:v>79518</x:v>
      </x:c>
    </x:row>
    <x:row r="345" ht="32" customHeight="1">
      <x:c r="A345" s="8" t="str">
        <x:v>AFIR FotoVoltaic 1.zip</x:v>
      </x:c>
      <x:c r="B345" s="8" t="str">
        <x:v>4. Contractare/3. SF/Proiect Fotovoltaice Cesiro-Semnat[1]_Page_5.png</x:v>
      </x:c>
      <x:c r="C345" s="8" t="n">
        <x:v>48041</x:v>
      </x:c>
    </x:row>
    <x:row r="346" ht="32" customHeight="1">
      <x:c r="A346" s="8" t="str">
        <x:v>AFIR FotoVoltaic 1.zip</x:v>
      </x:c>
      <x:c r="B346" s="8" t="str">
        <x:v>4. Contractare/3. SF/Studiul de Fezabilitate Cesiro Production .docx</x:v>
      </x:c>
      <x:c r="C346" s="8" t="n">
        <x:v>9409053</x:v>
      </x:c>
    </x:row>
    <x:row r="347" ht="32" customHeight="1">
      <x:c r="A347" s="8" t="str">
        <x:v>AFIR FotoVoltaic 1.zip</x:v>
      </x:c>
      <x:c r="B347" s="8" t="str">
        <x:v>4. Contractare/3. SF/Studiul de Fezabilitate Cesiro Production FINAL.docx</x:v>
      </x:c>
      <x:c r="C347" s="8" t="n">
        <x:v>13312564</x:v>
      </x:c>
    </x:row>
    <x:row r="348" ht="32" customHeight="1">
      <x:c r="A348" s="8" t="str">
        <x:v>AFIR FotoVoltaic 1.zip</x:v>
      </x:c>
      <x:c r="B348" s="8" t="str">
        <x:v>4. Contractare/3. SF/Studiul de Fezabilitate Cesiro Production FINAL.pdf</x:v>
      </x:c>
      <x:c r="C348" s="8" t="n">
        <x:v>9782943</x:v>
      </x:c>
    </x:row>
    <x:row r="349" ht="32" customHeight="1">
      <x:c r="A349" s="8" t="str">
        <x:v>AFIR FotoVoltaic 1.zip</x:v>
      </x:c>
      <x:c r="B349" s="8" t="str">
        <x:v>4. Contractare/3. SF/Studiul de Fezabilitate Cesiro Production Semnat.pdf</x:v>
      </x:c>
      <x:c r="C349" s="8" t="n">
        <x:v>11888323</x:v>
      </x:c>
    </x:row>
    <x:row r="350" ht="32" customHeight="1">
      <x:c r="A350" s="8" t="str">
        <x:v>AFIR FotoVoltaic 1.zip</x:v>
      </x:c>
      <x:c r="B350" s="8" t="str">
        <x:v>4. Contractare/Oferte/Copie a Oferta CEF 1mW Cesiro_Suntree Solar Tech_10.03.2025(1).xlsx</x:v>
      </x:c>
      <x:c r="C350" s="8" t="n">
        <x:v>1470278</x:v>
      </x:c>
    </x:row>
    <x:row r="351" ht="32" customHeight="1">
      <x:c r="A351" s="8" t="str">
        <x:v>AFIR FotoVoltaic 1.zip</x:v>
      </x:c>
      <x:c r="B351" s="8" t="str">
        <x:v>4. Contractare/Studiu de Solutie Documente/ANEXA-4-ord-19-2022.docx</x:v>
      </x:c>
      <x:c r="C351" s="8" t="n">
        <x:v>30518</x:v>
      </x:c>
    </x:row>
    <x:row r="352" ht="32" customHeight="1">
      <x:c r="A352" s="8" t="str">
        <x:v>AFIR FotoVoltaic 1.zip</x:v>
      </x:c>
      <x:c r="B352" s="8" t="str">
        <x:v>4. Contractare/Studiu de Solutie Documente/ANEXA-4-ord-19-2022.pdf</x:v>
      </x:c>
      <x:c r="C352" s="8" t="n">
        <x:v>149209</x:v>
      </x:c>
    </x:row>
    <x:row r="353" ht="36" customHeight="1">
      <x:c r="A353" s="8" t="str">
        <x:v>AFIR FotoVoltaic 1.zip</x:v>
      </x:c>
      <x:c r="B353" s="8" t="str">
        <x:v>4. Contractare/Studiu de Solutie Documente/Calendarul cu date exacte din contractul de finanțare nr. CFMSES011011372801030 AFIR.docx</x:v>
      </x:c>
      <x:c r="C353" s="8" t="n">
        <x:v>19225</x:v>
      </x:c>
    </x:row>
    <x:row r="354" ht="32" customHeight="1">
      <x:c r="A354" s="8" t="str">
        <x:v>AFIR FotoVoltaic 1.zip</x:v>
      </x:c>
      <x:c r="B354" s="8" t="str">
        <x:v>4. Contractare/Studiu de Solutie Documente/Confirmare SF Cesiro Production.pdf</x:v>
      </x:c>
      <x:c r="C354" s="8" t="n">
        <x:v>970374</x:v>
      </x:c>
    </x:row>
    <x:row r="355" ht="32" customHeight="1">
      <x:c r="A355" s="8" t="str">
        <x:v>AFIR FotoVoltaic 1.zip</x:v>
      </x:c>
      <x:c r="B355" s="8" t="str">
        <x:v>4. Contractare/Studiu de Solutie Documente/Pompe_de_c_ldur__ordonate.csv</x:v>
      </x:c>
      <x:c r="C355" s="8" t="n">
        <x:v>1185</x:v>
      </x:c>
    </x:row>
    <x:row r="356" ht="32" customHeight="1">
      <x:c r="A356" s="8" t="str">
        <x:v>AFIR FotoVoltaic 1.zip</x:v>
      </x:c>
      <x:c r="B356" s="8" t="str">
        <x:v>4. Contractare/Studiu de Solutie Documente/Schita Monofilara Fotovoltaice Cesiro.pdf</x:v>
      </x:c>
      <x:c r="C356" s="8" t="n">
        <x:v>290748</x:v>
      </x:c>
    </x:row>
    <x:row r="357" ht="36" customHeight="1">
      <x:c r="A357" s="8" t="str">
        <x:v>AFIR FotoVoltaic 1.zip</x:v>
      </x:c>
      <x:c r="B357" s="8" t="str">
        <x:v>5. ATR/1. Documente Solicitare ATR/2025.05.05 cerere de inscriere nume in ATR/5.-Cerere-de-racordare-prosumator-–-prin-programe-de-finantare-Anexa-4.docx</x:v>
      </x:c>
      <x:c r="C357" s="8" t="n">
        <x:v>31078</x:v>
      </x:c>
    </x:row>
    <x:row r="358" ht="32" customHeight="1">
      <x:c r="A358" s="8" t="str">
        <x:v>AFIR FotoVoltaic 1.zip</x:v>
      </x:c>
      <x:c r="B358" s="8" t="str">
        <x:v>5. ATR/1. Documente Solicitare ATR/ACTE Tg. Mures/2. Loc de consum existent_Anexa nr 2.docx</x:v>
      </x:c>
      <x:c r="C358" s="8" t="n">
        <x:v>25896</x:v>
      </x:c>
    </x:row>
    <x:row r="359" ht="32" customHeight="1">
      <x:c r="A359" s="8" t="str">
        <x:v>AFIR FotoVoltaic 1.zip</x:v>
      </x:c>
      <x:c r="B359" s="8" t="str">
        <x:v>5. ATR/1. Documente Solicitare ATR/ACTE Tg. Mures/atr sigh 2.pdf</x:v>
      </x:c>
      <x:c r="C359" s="8" t="n">
        <x:v>167290</x:v>
      </x:c>
    </x:row>
    <x:row r="360" ht="32" customHeight="1">
      <x:c r="A360" s="8" t="str">
        <x:v>AFIR FotoVoltaic 1.zip</x:v>
      </x:c>
      <x:c r="B360" s="8" t="str">
        <x:v>5. ATR/1. Documente Solicitare ATR/ACTE Tg. Mures/atr sigh.pdf</x:v>
      </x:c>
      <x:c r="C360" s="8" t="n">
        <x:v>167033</x:v>
      </x:c>
    </x:row>
    <x:row r="361" ht="32" customHeight="1">
      <x:c r="A361" s="8" t="str">
        <x:v>AFIR FotoVoltaic 1.zip</x:v>
      </x:c>
      <x:c r="B361" s="8" t="str">
        <x:v>5. ATR/1. Documente Solicitare ATR/ACTE Tg. Mures/crr sigh 2.pdf</x:v>
      </x:c>
      <x:c r="C361" s="8" t="n">
        <x:v>154561</x:v>
      </x:c>
    </x:row>
    <x:row r="362" ht="32" customHeight="1">
      <x:c r="A362" s="8" t="str">
        <x:v>AFIR FotoVoltaic 1.zip</x:v>
      </x:c>
      <x:c r="B362" s="8" t="str">
        <x:v>5. ATR/1. Documente Solicitare ATR/ACTE Tg. Mures/crr sighisoara.pdf</x:v>
      </x:c>
      <x:c r="C362" s="8" t="n">
        <x:v>153817</x:v>
      </x:c>
    </x:row>
    <x:row r="363" ht="32" customHeight="1">
      <x:c r="A363" s="8" t="str">
        <x:v>AFIR FotoVoltaic 1.zip</x:v>
      </x:c>
      <x:c r="B363" s="8" t="str">
        <x:v>5. ATR/1. Documente Solicitare ATR/ACTE Tg. Mures/Declaratie autenticitate date  RACORDARE.doc</x:v>
      </x:c>
      <x:c r="C363" s="8" t="n">
        <x:v>35840</x:v>
      </x:c>
    </x:row>
    <x:row r="364" ht="32" customHeight="1">
      <x:c r="A364" s="8" t="str">
        <x:v>AFIR FotoVoltaic 1.zip</x:v>
      </x:c>
      <x:c r="B364" s="8" t="str">
        <x:v>5. ATR/1. Documente Solicitare ATR/ACTE Tg. Mures/model imputernicire.pdf</x:v>
      </x:c>
      <x:c r="C364" s="8" t="n">
        <x:v>310282</x:v>
      </x:c>
    </x:row>
    <x:row r="365" ht="32" customHeight="1">
      <x:c r="A365" s="8" t="str">
        <x:v>AFIR FotoVoltaic 1.zip</x:v>
      </x:c>
      <x:c r="B365" s="8" t="str">
        <x:v>5. ATR/1. Documente Solicitare ATR/ACTE Tg. Mures/Nota-informare-clienti-DEER.doc</x:v>
      </x:c>
      <x:c r="C365" s="8" t="n">
        <x:v>103424</x:v>
      </x:c>
    </x:row>
    <x:row r="366" ht="32" customHeight="1">
      <x:c r="A366" s="8" t="str">
        <x:v>AFIR FotoVoltaic 1.zip</x:v>
      </x:c>
      <x:c r="B366" s="8" t="str">
        <x:v>5. ATR/1. Documente Solicitare ATR/ARTFIL PLAN ETAJ.pdf</x:v>
      </x:c>
      <x:c r="C366" s="8" t="n">
        <x:v>663751</x:v>
      </x:c>
    </x:row>
    <x:row r="367" ht="32" customHeight="1">
      <x:c r="A367" s="8" t="str">
        <x:v>AFIR FotoVoltaic 1.zip</x:v>
      </x:c>
      <x:c r="B367" s="8" t="str">
        <x:v>5. ATR/1. Documente Solicitare ATR/ARTFIL PLAN PARTER.pdf</x:v>
      </x:c>
      <x:c r="C367" s="8" t="n">
        <x:v>623593</x:v>
      </x:c>
    </x:row>
    <x:row r="368" ht="32" customHeight="1">
      <x:c r="A368" s="8" t="str">
        <x:v>AFIR FotoVoltaic 1.zip</x:v>
      </x:c>
      <x:c r="B368" s="8" t="str">
        <x:v>5. ATR/1. Documente Solicitare ATR/artfil utilat.pdf</x:v>
      </x:c>
      <x:c r="C368" s="8" t="n">
        <x:v>309798</x:v>
      </x:c>
    </x:row>
    <x:row r="369" ht="32" customHeight="1">
      <x:c r="A369" s="8" t="str">
        <x:v>AFIR FotoVoltaic 1.zip</x:v>
      </x:c>
      <x:c r="B369" s="8" t="str">
        <x:v>5. ATR/1. Documente Solicitare ATR/ATR Cesiro.pdf</x:v>
      </x:c>
      <x:c r="C369" s="8" t="n">
        <x:v>207874</x:v>
      </x:c>
    </x:row>
    <x:row r="370" ht="32" customHeight="1">
      <x:c r="A370" s="8" t="str">
        <x:v>AFIR FotoVoltaic 1.zip</x:v>
      </x:c>
      <x:c r="B370" s="8" t="str">
        <x:v>5. ATR/1. Documente Solicitare ATR/CERERE DE EMITERE A DOUĂ AVIZE TEHNICE DE RACORDARE.docx</x:v>
      </x:c>
      <x:c r="C370" s="8" t="n">
        <x:v>17618</x:v>
      </x:c>
    </x:row>
    <x:row r="371" ht="32" customHeight="1">
      <x:c r="A371" s="8" t="str">
        <x:v>AFIR FotoVoltaic 1.zip</x:v>
      </x:c>
      <x:c r="B371" s="8" t="str">
        <x:v>5. ATR/1. Documente Solicitare ATR/cerere-si-chestionar-pentru-obtinere-atr-cu-o-putere-mai-mare-de-100-kw.pdf</x:v>
      </x:c>
      <x:c r="C371" s="8" t="n">
        <x:v>211535</x:v>
      </x:c>
    </x:row>
    <x:row r="372" ht="32" customHeight="1">
      <x:c r="A372" s="8" t="str">
        <x:v>AFIR FotoVoltaic 1.zip</x:v>
      </x:c>
      <x:c r="B372" s="8" t="str">
        <x:v>5. ATR/1. Documente Solicitare ATR/De Depus/3. Certificat Constatator Cesiro Production.pdf</x:v>
      </x:c>
      <x:c r="C372" s="8" t="n">
        <x:v>209255</x:v>
      </x:c>
    </x:row>
    <x:row r="373" ht="32" customHeight="1">
      <x:c r="A373" s="8" t="str">
        <x:v>AFIR FotoVoltaic 1.zip</x:v>
      </x:c>
      <x:c r="B373" s="8" t="str">
        <x:v>5. ATR/1. Documente Solicitare ATR/De Depus/58300 IPEC.pdf</x:v>
      </x:c>
      <x:c r="C373" s="8" t="n">
        <x:v>117771</x:v>
      </x:c>
    </x:row>
    <x:row r="374" ht="32" customHeight="1">
      <x:c r="A374" s="8" t="str">
        <x:v>AFIR FotoVoltaic 1.zip</x:v>
      </x:c>
      <x:c r="B374" s="8" t="str">
        <x:v>5. ATR/1. Documente Solicitare ATR/De Depus/ATR Cesiro.pdf</x:v>
      </x:c>
      <x:c r="C374" s="8" t="n">
        <x:v>207874</x:v>
      </x:c>
    </x:row>
    <x:row r="375" ht="32" customHeight="1">
      <x:c r="A375" s="8" t="str">
        <x:v>AFIR FotoVoltaic 1.zip</x:v>
      </x:c>
      <x:c r="B375" s="8" t="str">
        <x:v>5. ATR/1. Documente Solicitare ATR/De Depus/Cesiro Production 2025_Page_1.png</x:v>
      </x:c>
      <x:c r="C375" s="8" t="n">
        <x:v>11651026</x:v>
      </x:c>
    </x:row>
    <x:row r="376" ht="32" customHeight="1">
      <x:c r="A376" s="8" t="str">
        <x:v>AFIR FotoVoltaic 1.zip</x:v>
      </x:c>
      <x:c r="B376" s="8" t="str">
        <x:v>5. ATR/1. Documente Solicitare ATR/De Depus/Cesiro Production 2025_Page_2.png</x:v>
      </x:c>
      <x:c r="C376" s="8" t="n">
        <x:v>2288852</x:v>
      </x:c>
    </x:row>
    <x:row r="377" ht="32" customHeight="1">
      <x:c r="A377" s="8" t="str">
        <x:v>AFIR FotoVoltaic 1.zip</x:v>
      </x:c>
      <x:c r="B377" s="8" t="str">
        <x:v>5. ATR/1. Documente Solicitare ATR/De Depus/Cesiro Production 2025_Page_3.png</x:v>
      </x:c>
      <x:c r="C377" s="8" t="n">
        <x:v>2118687</x:v>
      </x:c>
    </x:row>
    <x:row r="378" ht="32" customHeight="1">
      <x:c r="A378" s="8" t="str">
        <x:v>AFIR FotoVoltaic 1.zip</x:v>
      </x:c>
      <x:c r="B378" s="8" t="str">
        <x:v>5. ATR/1. Documente Solicitare ATR/De Depus/Cesiro Production 2025_Page_4.png</x:v>
      </x:c>
      <x:c r="C378" s="8" t="n">
        <x:v>1153587</x:v>
      </x:c>
    </x:row>
    <x:row r="379" ht="32" customHeight="1">
      <x:c r="A379" s="8" t="str">
        <x:v>AFIR FotoVoltaic 1.zip</x:v>
      </x:c>
      <x:c r="B379" s="8" t="str">
        <x:v>5. ATR/1. Documente Solicitare ATR/De Depus/Cesiro Production 2025_Page_5.png</x:v>
      </x:c>
      <x:c r="C379" s="8" t="n">
        <x:v>3209744</x:v>
      </x:c>
    </x:row>
    <x:row r="380" ht="32" customHeight="1">
      <x:c r="A380" s="8" t="str">
        <x:v>AFIR FotoVoltaic 1.zip</x:v>
      </x:c>
      <x:c r="B380" s="8" t="str">
        <x:v>5. ATR/1. Documente Solicitare ATR/De Depus/CI Cosmin Covaciu .jpg</x:v>
      </x:c>
      <x:c r="C380" s="8" t="n">
        <x:v>298244</x:v>
      </x:c>
    </x:row>
    <x:row r="381" ht="32" customHeight="1">
      <x:c r="A381" s="8" t="str">
        <x:v>AFIR FotoVoltaic 1.zip</x:v>
      </x:c>
      <x:c r="B381" s="8" t="str">
        <x:v>5. ATR/1. Documente Solicitare ATR/De Depus/Contract de inchiriere IPEC SA cu Cesiro Production.pdf</x:v>
      </x:c>
      <x:c r="C381" s="8" t="n">
        <x:v>8565306</x:v>
      </x:c>
    </x:row>
    <x:row r="382" ht="32" customHeight="1">
      <x:c r="A382" s="8" t="str">
        <x:v>AFIR FotoVoltaic 1.zip</x:v>
      </x:c>
      <x:c r="B382" s="8" t="str">
        <x:v>5. ATR/1. Documente Solicitare ATR/De Depus/CUI Cesiro Production 2025.pdf</x:v>
      </x:c>
      <x:c r="C382" s="8" t="n">
        <x:v>3010907</x:v>
      </x:c>
    </x:row>
    <x:row r="383" ht="32" customHeight="1">
      <x:c r="A383" s="8" t="str">
        <x:v>AFIR FotoVoltaic 1.zip</x:v>
      </x:c>
      <x:c r="B383" s="8" t="str">
        <x:v>5. ATR/1. Documente Solicitare ATR/De Depus/GDPR ATR Distributie Energie Electrica Mures.pdf</x:v>
      </x:c>
      <x:c r="C383" s="8" t="n">
        <x:v>228524</x:v>
      </x:c>
    </x:row>
    <x:row r="384" ht="32" customHeight="1">
      <x:c r="A384" s="8" t="str">
        <x:v>AFIR FotoVoltaic 1.zip</x:v>
      </x:c>
      <x:c r="B384" s="8" t="str">
        <x:v>5. ATR/1. Documente Solicitare ATR/GDPR ATR Distributie Energie Electrica Mures.docx</x:v>
      </x:c>
      <x:c r="C384" s="8" t="n">
        <x:v>16680</x:v>
      </x:c>
    </x:row>
    <x:row r="385" ht="32" customHeight="1">
      <x:c r="A385" s="8" t="str">
        <x:v>AFIR FotoVoltaic 1.zip</x:v>
      </x:c>
      <x:c r="B385" s="8" t="str">
        <x:v>5. ATR/1. Documente Solicitare ATR/GDPR ATR Distributie Energie Electrica Mures.pdf</x:v>
      </x:c>
      <x:c r="C385" s="8" t="n">
        <x:v>115257</x:v>
      </x:c>
    </x:row>
    <x:row r="386" ht="32" customHeight="1">
      <x:c r="A386" s="8" t="str">
        <x:v>AFIR FotoVoltaic 1.zip</x:v>
      </x:c>
      <x:c r="B386" s="8" t="str">
        <x:v>5. ATR/1. Documente Solicitare ATR/GDPR Nota-informare-clienti-DEER-final.pdf</x:v>
      </x:c>
      <x:c r="C386" s="8" t="n">
        <x:v>304502</x:v>
      </x:c>
    </x:row>
    <x:row r="387" ht="32" customHeight="1">
      <x:c r="A387" s="8" t="str">
        <x:v>AFIR FotoVoltaic 1.zip</x:v>
      </x:c>
      <x:c r="B387" s="8" t="str">
        <x:v>5. ATR/1. Documente Solicitare ATR/Plan ARTFIL scara 1 la 1000.doc</x:v>
      </x:c>
      <x:c r="C387" s="8" t="n">
        <x:v>162816</x:v>
      </x:c>
    </x:row>
    <x:row r="388" ht="32" customHeight="1">
      <x:c r="A388" s="8" t="str">
        <x:v>AFIR FotoVoltaic 1.zip</x:v>
      </x:c>
      <x:c r="B388" s="8" t="str">
        <x:v>5. ATR/1. Documente Solicitare ATR/Producator si consum/Proces-Racordare-La-Retelele-Electrice-V4.4.pptx</x:v>
      </x:c>
      <x:c r="C388" s="8" t="n">
        <x:v>437975</x:v>
      </x:c>
    </x:row>
    <x:row r="389" ht="32" customHeight="1">
      <x:c r="A389" s="8" t="str">
        <x:v>AFIR FotoVoltaic 1.zip</x:v>
      </x:c>
      <x:c r="B389" s="8" t="str">
        <x:v>5. ATR/1. Documente Solicitare ATR/Proiect Fotovoltaice Cesiro.pdf</x:v>
      </x:c>
      <x:c r="C389" s="8" t="n">
        <x:v>525878</x:v>
      </x:c>
    </x:row>
    <x:row r="390" ht="32" customHeight="1">
      <x:c r="A390" s="8" t="str">
        <x:v>AFIR FotoVoltaic 1.zip</x:v>
      </x:c>
      <x:c r="B390" s="8" t="str">
        <x:v>5. ATR/1. Documente Solicitare ATR/Prosumator/1.-Loc-consum-si-producere-nou-_Anexa-nr-1.docx</x:v>
      </x:c>
      <x:c r="C390" s="8" t="n">
        <x:v>24295</x:v>
      </x:c>
    </x:row>
    <x:row r="391" ht="32" customHeight="1">
      <x:c r="A391" s="8" t="str">
        <x:v>AFIR FotoVoltaic 1.zip</x:v>
      </x:c>
      <x:c r="B391" s="8" t="str">
        <x:v>5. ATR/1. Documente Solicitare ATR/Prosumator/2.-Loc-de-consum-existent_Anexa-nr-2.docx</x:v>
      </x:c>
      <x:c r="C391" s="8" t="n">
        <x:v>26346</x:v>
      </x:c>
    </x:row>
    <x:row r="392" ht="32" customHeight="1">
      <x:c r="A392" s="8" t="str">
        <x:v>AFIR FotoVoltaic 1.zip</x:v>
      </x:c>
      <x:c r="B392" s="8" t="str">
        <x:v>5. ATR/1. Documente Solicitare ATR/Prosumator/Autoproducator.doc</x:v>
      </x:c>
      <x:c r="C392" s="8" t="n">
        <x:v>227840</x:v>
      </x:c>
    </x:row>
    <x:row r="393" ht="36" customHeight="1">
      <x:c r="A393" s="8" t="str">
        <x:v>AFIR FotoVoltaic 1.zip</x:v>
      </x:c>
      <x:c r="B393" s="8" t="str">
        <x:v>5. ATR/1. Documente Solicitare ATR/Prosumator/Persoane fizice si juridice care au puterea instalata pe producere mai mare de  400kW.doc</x:v>
      </x:c>
      <x:c r="C393" s="8" t="n">
        <x:v>241664</x:v>
      </x:c>
    </x:row>
    <x:row r="394" ht="36" customHeight="1">
      <x:c r="A394" s="8" t="str">
        <x:v>AFIR FotoVoltaic 1.zip</x:v>
      </x:c>
      <x:c r="B394" s="8" t="str">
        <x:v>5. ATR/1. Documente Solicitare ATR/PROTOCOL DE ÎMPĂRȚIRE A CONSUMULUI ȘI RACORDĂRII ÎNTRE IPEC SA ȘI CESIRO PRODUCTION SRL.docx</x:v>
      </x:c>
      <x:c r="C394" s="8" t="n">
        <x:v>16880</x:v>
      </x:c>
    </x:row>
    <x:row r="395" ht="32" customHeight="1">
      <x:c r="A395" s="8" t="str">
        <x:v>AFIR FotoVoltaic 1.zip</x:v>
      </x:c>
      <x:c r="B395" s="8" t="str">
        <x:v>5. ATR/1. Documente Solicitare ATR/SaCERERE DE MODIFICARE ATR.docx</x:v>
      </x:c>
      <x:c r="C395" s="8" t="n">
        <x:v>18132</x:v>
      </x:c>
    </x:row>
    <x:row r="396" ht="32" customHeight="1">
      <x:c r="A396" s="8" t="str">
        <x:v>AFIR FotoVoltaic 1.zip</x:v>
      </x:c>
      <x:c r="B396" s="8" t="str">
        <x:v>5. ATR/1. Documente Solicitare ATR/Tema de proiectare schema monofilara sistemului fotovoltaic CESIRO 1MW.docx</x:v>
      </x:c>
      <x:c r="C396" s="8" t="n">
        <x:v>22718</x:v>
      </x:c>
    </x:row>
    <x:row r="397" ht="32" customHeight="1">
      <x:c r="A397" s="8" t="str">
        <x:v>AFIR FotoVoltaic 1.zip</x:v>
      </x:c>
      <x:c r="B397" s="8" t="str">
        <x:v>5. ATR/2. ATR/2025.05.23/DATR011 ProsumatorPJ.pdf</x:v>
      </x:c>
      <x:c r="C397" s="8" t="n">
        <x:v>565630</x:v>
      </x:c>
    </x:row>
    <x:row r="398" ht="32" customHeight="1">
      <x:c r="A398" s="8" t="str">
        <x:v>AFIR FotoVoltaic 1.zip</x:v>
      </x:c>
      <x:c r="B398" s="8" t="str">
        <x:v>6. Fise Tehnice/Huwei/LUNA2000-(107-215) Series Smart String ESS User Manual.pdf</x:v>
      </x:c>
      <x:c r="C398" s="8" t="n">
        <x:v>6522311</x:v>
      </x:c>
    </x:row>
    <x:row r="399" ht="32" customHeight="1">
      <x:c r="A399" s="8" t="str">
        <x:v>AFIR FotoVoltaic 1.zip</x:v>
      </x:c>
      <x:c r="B399" s="8" t="str">
        <x:v>6. Fise Tehnice/Huwei/Smart-PCS.pdf</x:v>
      </x:c>
      <x:c r="C399" s="8" t="n">
        <x:v>183169</x:v>
      </x:c>
    </x:row>
    <x:row r="400" ht="32" customHeight="1">
      <x:c r="A400" s="8" t="str">
        <x:v>AFIR FotoVoltaic 1.zip</x:v>
      </x:c>
      <x:c r="B400" s="8" t="str">
        <x:v>6. Fise Tehnice/Indoor Farming Vertical/2025 RUFENG Hydroponic Tower Quotation Sheet.pdf</x:v>
      </x:c>
      <x:c r="C400" s="8" t="n">
        <x:v>713087</x:v>
      </x:c>
    </x:row>
    <x:row r="401" ht="32" customHeight="1">
      <x:c r="A401" s="8" t="str">
        <x:v>AFIR FotoVoltaic 1.zip</x:v>
      </x:c>
      <x:c r="B401" s="8" t="str">
        <x:v>6. Fise Tehnice/Indoor Farming Vertical/Catalogue--RUFENG Agriculture.pdf</x:v>
      </x:c>
      <x:c r="C401" s="8" t="n">
        <x:v>3212988</x:v>
      </x:c>
    </x:row>
    <x:row r="402" ht="32" customHeight="1">
      <x:c r="A402" s="8" t="str">
        <x:v>AFIR FotoVoltaic 1.zip</x:v>
      </x:c>
      <x:c r="B402" s="8" t="str">
        <x:v>6. Fise Tehnice/Indoor Farming Vertical/Indoor Farming Tower How To instal.mp4</x:v>
      </x:c>
      <x:c r="C402" s="8" t="n">
        <x:v>36102005</x:v>
      </x:c>
    </x:row>
    <x:row r="403" ht="32" customHeight="1">
      <x:c r="A403" s="8" t="str">
        <x:v>AFIR FotoVoltaic 1.zip</x:v>
      </x:c>
      <x:c r="B403" s="8" t="str">
        <x:v>6. Fise Tehnice/Indoor Farming Vertical/Scaun extensibil.webp</x:v>
      </x:c>
      <x:c r="C403" s="8" t="n">
        <x:v>3764</x:v>
      </x:c>
    </x:row>
    <x:row r="404" ht="32" customHeight="1">
      <x:c r="A404" s="8" t="str">
        <x:v>AFIR FotoVoltaic 1.zip</x:v>
      </x:c>
      <x:c r="B404" s="8" t="str">
        <x:v>6. Fise Tehnice/Indoor Farming Vertical/TIAGo-Mobile-Manipulator-Robot-918x1024.webp</x:v>
      </x:c>
      <x:c r="C404" s="8" t="n">
        <x:v>41292</x:v>
      </x:c>
    </x:row>
    <x:row r="405" ht="32" customHeight="1">
      <x:c r="A405" s="8" t="str">
        <x:v>AFIR FotoVoltaic 1.zip</x:v>
      </x:c>
      <x:c r="B405" s="8" t="str">
        <x:v>6. Fise Tehnice/Panouri/Suntech/EN_STP430-450S-H48-Nkh+.pdf</x:v>
      </x:c>
      <x:c r="C405" s="8" t="n">
        <x:v>336407</x:v>
      </x:c>
    </x:row>
    <x:row r="406" ht="32" customHeight="1">
      <x:c r="A406" s="8" t="str">
        <x:v>AFIR FotoVoltaic 1.zip</x:v>
      </x:c>
      <x:c r="B406" s="8" t="str">
        <x:v>6. Fise Tehnice/Panouri/Suntech/EN_STP430-450S-H48-Nth+.pdf</x:v>
      </x:c>
      <x:c r="C406" s="8" t="n">
        <x:v>255454</x:v>
      </x:c>
    </x:row>
    <x:row r="407" ht="32" customHeight="1">
      <x:c r="A407" s="8" t="str">
        <x:v>AFIR FotoVoltaic 1.zip</x:v>
      </x:c>
      <x:c r="B407" s="8" t="str">
        <x:v>6. Fise Tehnice/Panouri/Suntech/EN_STP690-710S-D66-Nsh+.pdf</x:v>
      </x:c>
      <x:c r="C407" s="8" t="n">
        <x:v>533004</x:v>
      </x:c>
    </x:row>
    <x:row r="408" ht="32" customHeight="1">
      <x:c r="A408" s="8" t="str">
        <x:v>AFIR FotoVoltaic 1.zip</x:v>
      </x:c>
      <x:c r="B408" s="8" t="str">
        <x:v>6. Fise Tehnice/Panouri/Suntech/SG110CX.pdf</x:v>
      </x:c>
      <x:c r="C408" s="8" t="n">
        <x:v>364045</x:v>
      </x:c>
    </x:row>
    <x:row r="409" ht="32" customHeight="1">
      <x:c r="A409" s="8" t="str">
        <x:v>AFIR FotoVoltaic 1.zip</x:v>
      </x:c>
      <x:c r="B409" s="8" t="str">
        <x:v>6. Fise Tehnice/Panouri/Suntech/SH10RT.pdf</x:v>
      </x:c>
      <x:c r="C409" s="8" t="n">
        <x:v>193735</x:v>
      </x:c>
    </x:row>
    <x:row r="410" ht="32" customHeight="1">
      <x:c r="A410" s="8" t="str">
        <x:v>AFIR FotoVoltaic 1.zip</x:v>
      </x:c>
      <x:c r="B410" s="8" t="str">
        <x:v>6. Fise Tehnice/Panouri/Suntech/SKMBT_C28026021213330.pdf</x:v>
      </x:c>
      <x:c r="C410" s="8" t="n">
        <x:v>8293032</x:v>
      </x:c>
    </x:row>
    <x:row r="411" ht="32" customHeight="1">
      <x:c r="A411" s="8" t="str">
        <x:v>AFIR FotoVoltaic 1.zip</x:v>
      </x:c>
      <x:c r="B411" s="8" t="str">
        <x:v>6. Fise Tehnice/Panouri/Suntech/SMA SC200.pdf</x:v>
      </x:c>
      <x:c r="C411" s="8" t="n">
        <x:v>1180417</x:v>
      </x:c>
    </x:row>
    <x:row r="412" ht="32" customHeight="1">
      <x:c r="A412" s="8" t="str">
        <x:v>AFIR FotoVoltaic 1.zip</x:v>
      </x:c>
      <x:c r="B412" s="8" t="str">
        <x:v>6. Fise Tehnice/Panouri/Suntech/TOPHiKu6.pdf</x:v>
      </x:c>
      <x:c r="C412" s="8" t="n">
        <x:v>354028</x:v>
      </x:c>
    </x:row>
    <x:row r="413" ht="32" customHeight="1">
      <x:c r="A413" s="8" t="str">
        <x:v>AFIR FotoVoltaic 1.zip</x:v>
      </x:c>
      <x:c r="B413" s="8" t="str">
        <x:v>6. Fise Tehnice/Panouri/Vertex N 720W/VertexN_720W brochure_EN.pdf</x:v>
      </x:c>
      <x:c r="C413" s="8" t="n">
        <x:v>4137572</x:v>
      </x:c>
    </x:row>
    <x:row r="414" ht="32" customHeight="1">
      <x:c r="A414" s="8" t="str">
        <x:v>AFIR FotoVoltaic 1.zip</x:v>
      </x:c>
      <x:c r="B414" s="8" t="str">
        <x:v>6. Fise Tehnice/Tracker Panouri/Agile-1P_20240517.pdf</x:v>
      </x:c>
      <x:c r="C414" s="8" t="n">
        <x:v>392210</x:v>
      </x:c>
    </x:row>
    <x:row r="415" ht="32" customHeight="1">
      <x:c r="A415" s="8" t="str">
        <x:v>AFIR FotoVoltaic 1.zip</x:v>
      </x:c>
      <x:c r="B415" s="8" t="str">
        <x:v>6. Fise Tehnice/Tracker Panouri/Operations Presentation_V1.pdf</x:v>
      </x:c>
      <x:c r="C415" s="8" t="n">
        <x:v>4494491</x:v>
      </x:c>
    </x:row>
    <x:row r="416" ht="32" customHeight="1">
      <x:c r="A416" s="8" t="str">
        <x:v>AFIR FotoVoltaic 1.zip</x:v>
      </x:c>
      <x:c r="B416" s="8" t="str">
        <x:v>6. Fise Tehnice/Tracker Panouri/Smart_Control_System_Solution_EN.pdf</x:v>
      </x:c>
      <x:c r="C416" s="8" t="n">
        <x:v>16665078</x:v>
      </x:c>
    </x:row>
    <x:row r="417" ht="32" customHeight="1">
      <x:c r="A417" s="8" t="str">
        <x:v>AFIR FotoVoltaic 1.zip</x:v>
      </x:c>
      <x:c r="B417" s="8" t="str">
        <x:v>6. Fise Tehnice/Tracker Panouri/Vanguard 1P Datasheet_V1.pdf</x:v>
      </x:c>
      <x:c r="C417" s="8" t="n">
        <x:v>26628191</x:v>
      </x:c>
    </x:row>
    <x:row r="418" ht="32" customHeight="1">
      <x:c r="A418" s="8" t="str">
        <x:v>AFIR FotoVoltaic 1.zip</x:v>
      </x:c>
      <x:c r="B418" s="8" t="str">
        <x:v>6. Fise Tehnice/Tracker Panouri/Vanguard 1P Product Presentation_V1.pdf</x:v>
      </x:c>
      <x:c r="C418" s="8" t="n">
        <x:v>2890436</x:v>
      </x:c>
    </x:row>
    <x:row r="419" ht="32" customHeight="1">
      <x:c r="A419" s="8" t="str">
        <x:v>AFIR FotoVoltaic 1.zip</x:v>
      </x:c>
      <x:c r="B419" s="8" t="str">
        <x:v>6. Fise Tehnice/Tracker Panouri/Vanguard-2P_20240605_EN.pdf</x:v>
      </x:c>
      <x:c r="C419" s="8" t="n">
        <x:v>1308590</x:v>
      </x:c>
    </x:row>
    <x:row r="420" ht="32" customHeight="1">
      <x:c r="A420" s="8" t="str">
        <x:v>AFIR FotoVoltaic 1.zip</x:v>
      </x:c>
      <x:c r="B420" s="8" t="str">
        <x:v>6. Fise Tehnice/WallNuts June/2025-2-13-核桃-1.pdf</x:v>
      </x:c>
      <x:c r="C420" s="8" t="n">
        <x:v>22342497</x:v>
      </x:c>
    </x:row>
    <x:row r="421" ht="32" customHeight="1">
      <x:c r="A421" s="8" t="str">
        <x:v>AFIR FotoVoltaic 1.zip</x:v>
      </x:c>
      <x:c r="B421" s="8" t="str">
        <x:v>6. Fise Tehnice/WallNuts June/211afbbc1bd2263ecf37a01450e02879.mp4</x:v>
      </x:c>
      <x:c r="C421" s="8" t="n">
        <x:v>10566924</x:v>
      </x:c>
    </x:row>
    <x:row r="422" ht="32" customHeight="1">
      <x:c r="A422" s="8" t="str">
        <x:v>AFIR FotoVoltaic 1.zip</x:v>
      </x:c>
      <x:c r="B422" s="8" t="str">
        <x:v>6. Fise Tehnice/WallNuts June/346cbc767fd3a428d0223010250683b0.mp4</x:v>
      </x:c>
      <x:c r="C422" s="8" t="n">
        <x:v>2798952</x:v>
      </x:c>
    </x:row>
    <x:row r="423" ht="32" customHeight="1">
      <x:c r="A423" s="8" t="str">
        <x:v>AFIR FotoVoltaic 1.zip</x:v>
      </x:c>
      <x:c r="B423" s="8" t="str">
        <x:v>6. Fise Tehnice/WallNuts June/4eccc9b64eed2217a35818c4ab689da5.mp4</x:v>
      </x:c>
      <x:c r="C423" s="8" t="n">
        <x:v>22684157</x:v>
      </x:c>
    </x:row>
    <x:row r="424" ht="32" customHeight="1">
      <x:c r="A424" s="8" t="str">
        <x:v>AFIR FotoVoltaic 1.zip</x:v>
      </x:c>
      <x:c r="B424" s="8" t="str">
        <x:v>6. Fise Tehnice/WallNuts June/Furnizor 1/0f844363df20efa647c0fec9149c1b7d.mp4</x:v>
      </x:c>
      <x:c r="C424" s="8" t="n">
        <x:v>9148107</x:v>
      </x:c>
    </x:row>
    <x:row r="425" ht="32" customHeight="1">
      <x:c r="A425" s="8" t="str">
        <x:v>AFIR FotoVoltaic 1.zip</x:v>
      </x:c>
      <x:c r="B425" s="8" t="str">
        <x:v>6. Fise Tehnice/WallNuts June/Furnizor 1/96fe0e33f857316dcb85f7a433450d92.mp4</x:v>
      </x:c>
      <x:c r="C425" s="8" t="n">
        <x:v>9371732</x:v>
      </x:c>
    </x:row>
    <x:row r="426" ht="32" customHeight="1">
      <x:c r="A426" s="8" t="str">
        <x:v>AFIR FotoVoltaic 1.zip</x:v>
      </x:c>
      <x:c r="B426" s="8" t="str">
        <x:v>6. Fise Tehnice/WallNuts June/Furnizor 1/9e0193f55be6402762871e49eccc69bc.mp4</x:v>
      </x:c>
      <x:c r="C426" s="8" t="n">
        <x:v>3832540</x:v>
      </x:c>
    </x:row>
    <x:row r="427" ht="32" customHeight="1">
      <x:c r="A427" s="8" t="str">
        <x:v>AFIR FotoVoltaic 1.zip</x:v>
      </x:c>
      <x:c r="B427" s="8" t="str">
        <x:v>6. Fise Tehnice/WallNuts June/Furnizor 1/aefedaa2c06a561d9f620eda7d1e1da8.mp4</x:v>
      </x:c>
      <x:c r="C427" s="8" t="n">
        <x:v>4969216</x:v>
      </x:c>
    </x:row>
    <x:row r="428" ht="32" customHeight="1">
      <x:c r="A428" s="8" t="str">
        <x:v>AFIR FotoVoltaic 1.zip</x:v>
      </x:c>
      <x:c r="B428" s="8" t="str">
        <x:v>6. Fise Tehnice/WallNuts June/Furnizor 1/b2fbd06d4f9f23b97bf2b46ff897c82f.mp4</x:v>
      </x:c>
      <x:c r="C428" s="8" t="n">
        <x:v>5471318</x:v>
      </x:c>
    </x:row>
    <x:row r="429" ht="32" customHeight="1">
      <x:c r="A429" s="8" t="str">
        <x:v>AFIR FotoVoltaic 1.zip</x:v>
      </x:c>
      <x:c r="B429" s="8" t="str">
        <x:v>6. Fise Tehnice/WallNuts June/Furnizor 1/Duoke核桃设备报价（一小时300kg）.pdf</x:v>
      </x:c>
      <x:c r="C429" s="8" t="n">
        <x:v>766927</x:v>
      </x:c>
    </x:row>
    <x:row r="430" ht="32" customHeight="1">
      <x:c r="A430" s="8" t="str">
        <x:v>AFIR FotoVoltaic 1.zip</x:v>
      </x:c>
      <x:c r="B430" s="8" t="str">
        <x:v>6. Fise Tehnice/WallNuts June/Furnizor 1/ea2a955dbe6b586151e9ed2bb0fc93c0.mp4</x:v>
      </x:c>
      <x:c r="C430" s="8" t="n">
        <x:v>3794174</x:v>
      </x:c>
    </x:row>
    <x:row r="431" ht="32" customHeight="1">
      <x:c r="A431" s="8" t="str">
        <x:v>AFIR FotoVoltaic 1.zip</x:v>
      </x:c>
      <x:c r="B431" s="8" t="str">
        <x:v>6. Fise Tehnice/WallNuts June/Furnizor 1/ed03e0251826dc4112efcc92cf6a0187.mp4</x:v>
      </x:c>
      <x:c r="C431" s="8" t="n">
        <x:v>1769017</x:v>
      </x:c>
    </x:row>
    <x:row r="432" ht="32" customHeight="1">
      <x:c r="A432" s="8" t="str">
        <x:v>AFIR FotoVoltaic 1.zip</x:v>
      </x:c>
      <x:c r="B432" s="8" t="str">
        <x:v>6. Fise Tehnice/WallNuts June/Furnizor 1/Image_20250319105639.jpg</x:v>
      </x:c>
      <x:c r="C432" s="8" t="n">
        <x:v>189180</x:v>
      </x:c>
    </x:row>
    <x:row r="433" ht="32" customHeight="1">
      <x:c r="A433" s="8" t="str">
        <x:v>AFIR FotoVoltaic 1.zip</x:v>
      </x:c>
      <x:c r="B433" s="8" t="str">
        <x:v>6. Fise Tehnice/WallNuts June/Walnut_en.pdf</x:v>
      </x:c>
      <x:c r="C433" s="8" t="n">
        <x:v>94594</x:v>
      </x:c>
    </x:row>
    <x:row r="434" ht="32" customHeight="1">
      <x:c r="A434" s="8" t="str">
        <x:v>AFIR FotoVoltaic 1.zip</x:v>
      </x:c>
      <x:c r="B434" s="8" t="str">
        <x:v>6. Fise Tehnice/WallNuts June/WeChat_20250318161753.mp4</x:v>
      </x:c>
      <x:c r="C434" s="8" t="n">
        <x:v>6010370</x:v>
      </x:c>
    </x:row>
    <x:row r="435" ht="32" customHeight="1">
      <x:c r="A435" s="8" t="str">
        <x:v>AFIR FotoVoltaic 1.zip</x:v>
      </x:c>
      <x:c r="B435" s="8" t="str">
        <x:v>0. Arhiva/0. Documente necesare la depunerea Cererii de finanțare.docx</x:v>
      </x:c>
      <x:c r="C435" s="8" t="n">
        <x:v>22590</x:v>
      </x:c>
    </x:row>
    <x:row r="436" ht="32" customHeight="1">
      <x:c r="A436" s="8" t="str">
        <x:v>AFIR FotoVoltaic 1.zip</x:v>
      </x:c>
      <x:c r="B436" s="8" t="str">
        <x:v>0. Arhiva/13.1. Studiu de fezabiliatate_parte scrisa - IPEC S.A..pdf</x:v>
      </x:c>
      <x:c r="C436" s="8" t="n">
        <x:v>3465021</x:v>
      </x:c>
    </x:row>
    <x:row r="437" ht="32" customHeight="1">
      <x:c r="A437" s="8" t="str">
        <x:v>AFIR FotoVoltaic 1.zip</x:v>
      </x:c>
      <x:c r="B437" s="8" t="str">
        <x:v>0. Arhiva/13.2. Studiu de fezabilitate_parti desenate - IPEC S.A..pdf</x:v>
      </x:c>
      <x:c r="C437" s="8" t="n">
        <x:v>10341834</x:v>
      </x:c>
    </x:row>
    <x:row r="438" ht="32" customHeight="1">
      <x:c r="A438" s="8" t="str">
        <x:v>AFIR FotoVoltaic 1.zip</x:v>
      </x:c>
      <x:c r="B438" s="8" t="str">
        <x:v>0. Arhiva/15.1. Analiza_Cost_Beneficiu - descriere - IPEC S.A..pdf</x:v>
      </x:c>
      <x:c r="C438" s="8" t="n">
        <x:v>587865</x:v>
      </x:c>
    </x:row>
    <x:row r="439" ht="32" customHeight="1">
      <x:c r="A439" s="8" t="str">
        <x:v>AFIR FotoVoltaic 1.zip</x:v>
      </x:c>
      <x:c r="B439" s="8" t="str">
        <x:v>0. Arhiva/15.2. Analiza_Cost_Beneficiu - calcule - IPEC S.A..pdf</x:v>
      </x:c>
      <x:c r="C439" s="8" t="n">
        <x:v>543189</x:v>
      </x:c>
    </x:row>
    <x:row r="440" ht="32" customHeight="1">
      <x:c r="A440" s="8" t="str">
        <x:v>AFIR FotoVoltaic 1.zip</x:v>
      </x:c>
      <x:c r="B440" s="8" t="str">
        <x:v>0. Arhiva/2. Proiect 2/Cerere finantare surse regenerabile de energie si stocarea energiei.pdf</x:v>
      </x:c>
      <x:c r="C440" s="8" t="n">
        <x:v>899655</x:v>
      </x:c>
    </x:row>
    <x:row r="441" ht="32" customHeight="1">
      <x:c r="A441" s="8" t="str">
        <x:v>AFIR FotoVoltaic 1.zip</x:v>
      </x:c>
      <x:c r="B441" s="8" t="str">
        <x:v>0. Arhiva/3. Ajutatoare Depunere/1. Documente necesare la depunerea Cererii de finanțare.docx</x:v>
      </x:c>
      <x:c r="C441" s="8" t="n">
        <x:v>43397</x:v>
      </x:c>
    </x:row>
    <x:row r="442" ht="32" customHeight="1">
      <x:c r="A442" s="8" t="str">
        <x:v>AFIR FotoVoltaic 1.zip</x:v>
      </x:c>
      <x:c r="B442" s="8" t="str">
        <x:v>0. Arhiva/3. Ajutatoare Depunere/2. Continut Analiza Cost Beneficu.docx</x:v>
      </x:c>
      <x:c r="C442" s="8" t="n">
        <x:v>31932</x:v>
      </x:c>
    </x:row>
    <x:row r="443" ht="32" customHeight="1">
      <x:c r="A443" s="8" t="str">
        <x:v>AFIR FotoVoltaic 1.zip</x:v>
      </x:c>
      <x:c r="B443" s="8" t="str">
        <x:v>0. Arhiva/3. Ajutatoare Depunere/3. Achiziția.docx</x:v>
      </x:c>
      <x:c r="C443" s="8" t="n">
        <x:v>36296</x:v>
      </x:c>
    </x:row>
    <x:row r="444" ht="32" customHeight="1">
      <x:c r="A444" s="8" t="str">
        <x:v>AFIR FotoVoltaic 1.zip</x:v>
      </x:c>
      <x:c r="B444" s="8" t="str">
        <x:v>0. Arhiva/3. Ajutatoare Depunere/GHID Schema Energie Autoconsum V4.pdf</x:v>
      </x:c>
      <x:c r="C444" s="8" t="n">
        <x:v>4842944</x:v>
      </x:c>
    </x:row>
    <x:row r="445" ht="32" customHeight="1">
      <x:c r="A445" s="8" t="str">
        <x:v>AFIR FotoVoltaic 1.zip</x:v>
      </x:c>
      <x:c r="B445" s="8" t="str">
        <x:v>0. Arhiva/4. Plan de Afaceri Caen 1039/Cont Exim Bank/Cesiro Production.pdf</x:v>
      </x:c>
      <x:c r="C445" s="8" t="n">
        <x:v>611208</x:v>
      </x:c>
    </x:row>
    <x:row r="446" ht="32" customHeight="1">
      <x:c r="A446" s="8" t="str">
        <x:v>AFIR FotoVoltaic 1.zip</x:v>
      </x:c>
      <x:c r="B446" s="8" t="str">
        <x:v>0. Arhiva/4. Plan de Afaceri Caen 1039/Cont Exim Bank/constatator production.pdf</x:v>
      </x:c>
      <x:c r="C446" s="8" t="n">
        <x:v>793832</x:v>
      </x:c>
    </x:row>
    <x:row r="447" ht="36" customHeight="1">
      <x:c r="A447" s="8" t="str">
        <x:v>AFIR FotoVoltaic 1.zip</x:v>
      </x:c>
      <x:c r="B447" s="8" t="str">
        <x:v>0. Arhiva/4. Plan de Afaceri Caen 1039/Cont Exim Bank/HOTĂRÂREA ADUNĂRII GENERALE A ASOCIAȚILOR Cesiro Production Deschidere Cont Exim Bank.pdf</x:v>
      </x:c>
      <x:c r="C447" s="8" t="n">
        <x:v>171920</x:v>
      </x:c>
    </x:row>
    <x:row r="448" ht="32" customHeight="1">
      <x:c r="A448" s="8" t="str">
        <x:v>AFIR FotoVoltaic 1.zip</x:v>
      </x:c>
      <x:c r="B448" s="8" t="str">
        <x:v>0. Arhiva/4. Plan de Afaceri Caen 1039/pdfcoffee.com_plan-afaceri-bun-de-totdocx-pdf-free.pdf</x:v>
      </x:c>
      <x:c r="C448" s="8" t="n">
        <x:v>1217689</x:v>
      </x:c>
    </x:row>
    <x:row r="449" ht="32" customHeight="1">
      <x:c r="A449" s="8" t="str">
        <x:v>AFIR FotoVoltaic 1.zip</x:v>
      </x:c>
      <x:c r="B449" s="8" t="str">
        <x:v>0. Arhiva/5. Fotovoiltaic IPEC/Gmail/CONTRACT + Obligatii după semnare-20240118T142909Z-001.zip</x:v>
      </x:c>
      <x:c r="C449" s="8" t="n">
        <x:v>37442710</x:v>
      </x:c>
    </x:row>
    <x:row r="450" ht="32" customHeight="1">
      <x:c r="A450" s="8" t="str">
        <x:v>AFIR FotoVoltaic 1.zip</x:v>
      </x:c>
      <x:c r="B450" s="8" t="str">
        <x:v>0. Arhiva/5. Fotovoiltaic IPEC/Gmail/IMPLEMENTARE-20240118T142908Z-001.zip</x:v>
      </x:c>
      <x:c r="C450" s="8" t="n">
        <x:v>284</x:v>
      </x:c>
    </x:row>
    <x:row r="451" ht="32" customHeight="1">
      <x:c r="A451" s="8" t="str">
        <x:v>AFIR FotoVoltaic 1.zip</x:v>
      </x:c>
      <x:c r="B451" s="8" t="str">
        <x:v>0. Arhiva/5. Fotovoiltaic IPEC/Gmail/PRECONTRACTARE-20240118T142903Z-001.zip</x:v>
      </x:c>
      <x:c r="C451" s="8" t="n">
        <x:v>108823128</x:v>
      </x:c>
    </x:row>
    <x:row r="452" ht="32" customHeight="1">
      <x:c r="A452" s="8" t="str">
        <x:v>AFIR FotoVoltaic 1.zip</x:v>
      </x:c>
      <x:c r="B452" s="8" t="str">
        <x:v>0. Arhiva/5. Fotovoiltaic IPEC/Gmail/SCRIERE - EVALUARE/Bilant SC IPEC SA - 2019 - recipisa.pdf</x:v>
      </x:c>
      <x:c r="C452" s="8" t="n">
        <x:v>8640</x:v>
      </x:c>
    </x:row>
    <x:row r="453" ht="32" customHeight="1">
      <x:c r="A453" s="8" t="str">
        <x:v>AFIR FotoVoltaic 1.zip</x:v>
      </x:c>
      <x:c r="B453" s="8" t="str">
        <x:v>0. Arhiva/5. Fotovoiltaic IPEC/Gmail/SCRIERE - EVALUARE/bilant_SC IPEC SA 2021-recipisa.pdf</x:v>
      </x:c>
      <x:c r="C453" s="8" t="n">
        <x:v>9396</x:v>
      </x:c>
    </x:row>
    <x:row r="454" ht="32" customHeight="1">
      <x:c r="A454" s="8" t="str">
        <x:v>AFIR FotoVoltaic 1.zip</x:v>
      </x:c>
      <x:c r="B454" s="8" t="str">
        <x:v>0. Arhiva/5. Fotovoiltaic IPEC/Gmail/SCRIERE - EVALUARE/CV-Adrian Nemety-semnat.pdf</x:v>
      </x:c>
      <x:c r="C454" s="8" t="n">
        <x:v>402019</x:v>
      </x:c>
    </x:row>
    <x:row r="455" ht="32" customHeight="1">
      <x:c r="A455" s="8" t="str">
        <x:v>AFIR FotoVoltaic 1.zip</x:v>
      </x:c>
      <x:c r="B455" s="8" t="str">
        <x:v>0. Arhiva/5. Fotovoiltaic IPEC/Gmail/SCRIERE - EVALUARE/extras OTP.pdf</x:v>
      </x:c>
      <x:c r="C455" s="8" t="n">
        <x:v>174244</x:v>
      </x:c>
    </x:row>
    <x:row r="456" ht="32" customHeight="1">
      <x:c r="A456" s="8" t="str">
        <x:v>AFIR FotoVoltaic 1.zip</x:v>
      </x:c>
      <x:c r="B456" s="8" t="str">
        <x:v>0. Arhiva/5. Fotovoiltaic IPEC/Gmail/SCRIERE - EVALUARE-20240118T142757Z-001.zip</x:v>
      </x:c>
      <x:c r="C456" s="8" t="n">
        <x:v>219223348</x:v>
      </x:c>
    </x:row>
    <x:row r="457" ht="32" customHeight="1">
      <x:c r="A457" s="8" t="str">
        <x:v>AFIR FotoVoltaic 1.zip</x:v>
      </x:c>
      <x:c r="B457" s="8" t="str">
        <x:v>0. Arhiva/5. Fotovoiltaic IPEC/Gmail/SCRIERE - EVALUARE-20240118T142803Z-001.zip</x:v>
      </x:c>
      <x:c r="C457" s="8" t="n">
        <x:v>218837003</x:v>
      </x:c>
    </x:row>
    <x:row r="458" ht="32" customHeight="1">
      <x:c r="A458" s="8" t="str">
        <x:v>AFIR FotoVoltaic 1.zip</x:v>
      </x:c>
      <x:c r="B458" s="8" t="str">
        <x:v>0. Arhiva/5. Fotovoiltaic IPEC/Gmail/SCRIERE - EVALUARE-20240118T142809Z-001.zip</x:v>
      </x:c>
      <x:c r="C458" s="8" t="n">
        <x:v>219223348</x:v>
      </x:c>
    </x:row>
    <x:row r="459" ht="32" customHeight="1">
      <x:c r="A459" s="8" t="str">
        <x:v>AFIR FotoVoltaic 1.zip</x:v>
      </x:c>
      <x:c r="B459" s="8" t="str">
        <x:v>0. Arhiva/5. Fotovoiltaic IPEC/wetransfer_proiect-norv_2024-01-18_1253.zip</x:v>
      </x:c>
      <x:c r="C459" s="8" t="n">
        <x:v>20970913</x:v>
      </x:c>
    </x:row>
    <x:row r="460" ht="32" customHeight="1">
      <x:c r="A460" s="8" t="str">
        <x:v>AFIR FotoVoltaic 1.zip</x:v>
      </x:c>
      <x:c r="B460" s="8" t="str">
        <x:v>0. Arhiva/6. Dragos Jarca 10 MW Fotovoltaic/CEF Banesti PT+CS electrice - pdf.zip</x:v>
      </x:c>
      <x:c r="C460" s="8" t="n">
        <x:v>22513928</x:v>
      </x:c>
    </x:row>
    <x:row r="461" ht="32" customHeight="1">
      <x:c r="A461" s="8" t="str">
        <x:v>AFIR FotoVoltaic 1.zip</x:v>
      </x:c>
      <x:c r="B461" s="8" t="str">
        <x:v>0. Arhiva/BVC Indicatori 1 ii sau if.xls</x:v>
      </x:c>
      <x:c r="C461" s="8" t="n">
        <x:v>301568</x:v>
      </x:c>
    </x:row>
    <x:row r="462" ht="32" customHeight="1">
      <x:c r="A462" s="8" t="str">
        <x:v>AFIR FotoVoltaic 1.zip</x:v>
      </x:c>
      <x:c r="B462" s="8" t="str">
        <x:v>0. Arhiva/BVC Indicatori 2 srl sau sa .xls</x:v>
      </x:c>
      <x:c r="C462" s="8" t="n">
        <x:v>580096</x:v>
      </x:c>
    </x:row>
    <x:row r="463" ht="32" customHeight="1">
      <x:c r="A463" s="8" t="str">
        <x:v>AFIR FotoVoltaic 1.zip</x:v>
      </x:c>
      <x:c r="B463" s="8" t="str">
        <x:v>0. Arhiva/Cerere finantare surse regenerabile de energie si stocarea energiei.pdf</x:v>
      </x:c>
      <x:c r="C463" s="8" t="n">
        <x:v>869327</x:v>
      </x:c>
    </x:row>
    <x:row r="464" ht="32" customHeight="1">
      <x:c r="A464" s="8" t="str">
        <x:v>AFIR FotoVoltaic 1.zip</x:v>
      </x:c>
      <x:c r="B464" s="8" t="str">
        <x:v>0. Arhiva/CF_DO_ENERGIE_v1.pdf</x:v>
      </x:c>
      <x:c r="C464" s="8" t="n">
        <x:v>869327</x:v>
      </x:c>
    </x:row>
    <x:row r="465" ht="32" customHeight="1">
      <x:c r="A465" s="8" t="str">
        <x:v>AFIR FotoVoltaic 1.zip</x:v>
      </x:c>
      <x:c r="B465" s="8" t="str">
        <x:v>0. Arhiva/Declaratie pentru respectarea regulilor privind evitarea conflictului de interese.docx</x:v>
      </x:c>
      <x:c r="C465" s="8" t="n">
        <x:v>2745792</x:v>
      </x:c>
    </x:row>
    <x:row r="466" ht="32" customHeight="1">
      <x:c r="A466" s="8" t="str">
        <x:v>AFIR FotoVoltaic 1.zip</x:v>
      </x:c>
      <x:c r="B466" s="8" t="str">
        <x:v>0. Arhiva/Deviz General Gol.xlsx</x:v>
      </x:c>
      <x:c r="C466" s="8" t="n">
        <x:v>71511</x:v>
      </x:c>
    </x:row>
    <x:row r="467" ht="32" customHeight="1">
      <x:c r="A467" s="8" t="str">
        <x:v>AFIR FotoVoltaic 1.zip</x:v>
      </x:c>
      <x:c r="B467" s="8" t="str">
        <x:v>0. Arhiva/Deviz_IPEC_ALBA.xlsx</x:v>
      </x:c>
      <x:c r="C467" s="8" t="n">
        <x:v>83476</x:v>
      </x:c>
    </x:row>
    <x:row r="468" ht="32" customHeight="1">
      <x:c r="A468" s="8" t="str">
        <x:v>AFIR FotoVoltaic 1.zip</x:v>
      </x:c>
      <x:c r="B468" s="8" t="str">
        <x:v>0. Arhiva/Deviz_IPEC_ALBA_Scenariul 2.xlsx</x:v>
      </x:c>
      <x:c r="C468" s="8" t="n">
        <x:v>71739</x:v>
      </x:c>
    </x:row>
    <x:row r="469" ht="32" customHeight="1">
      <x:c r="A469" s="8" t="str">
        <x:v>AFIR FotoVoltaic 1.zip</x:v>
      </x:c>
      <x:c r="B469" s="8" t="str">
        <x:v>0. Arhiva/Draft_SVT-SF-220520-12_IPEC.docx</x:v>
      </x:c>
      <x:c r="C469" s="8" t="n">
        <x:v>6940842</x:v>
      </x:c>
    </x:row>
    <x:row r="470" ht="32" customHeight="1">
      <x:c r="A470" s="8" t="str">
        <x:v>AFIR FotoVoltaic 1.zip</x:v>
      </x:c>
      <x:c r="B470" s="8" t="str">
        <x:v>0. Arhiva/FormularDepunereOriginal_6698299_20220621175723.pdf</x:v>
      </x:c>
      <x:c r="C470" s="8" t="n">
        <x:v>201079</x:v>
      </x:c>
    </x:row>
    <x:row r="471" ht="32" customHeight="1">
      <x:c r="A471" s="8" t="str">
        <x:v>AFIR FotoVoltaic 1.zip</x:v>
      </x:c>
      <x:c r="B471" s="8" t="str">
        <x:v>0. Arhiva/GHID Schema Energie Autoconsum V4.docx</x:v>
      </x:c>
      <x:c r="C471" s="8" t="n">
        <x:v>914775</x:v>
      </x:c>
    </x:row>
    <x:row r="472" ht="32" customHeight="1">
      <x:c r="A472" s="8" t="str">
        <x:v>AFIR FotoVoltaic 1.zip</x:v>
      </x:c>
      <x:c r="B472" s="8" t="str">
        <x:v>0. Arhiva/GHID Schema Energie Autoconsum V4.pdf</x:v>
      </x:c>
      <x:c r="C472" s="8" t="n">
        <x:v>4937637</x:v>
      </x:c>
    </x:row>
    <x:row r="473" ht="32" customHeight="1">
      <x:c r="A473" s="8" t="str">
        <x:v>AFIR FotoVoltaic 1.zip</x:v>
      </x:c>
      <x:c r="B473" s="8" t="str">
        <x:v>0. Arhiva/Mediu_Anexa 6_6.1_ DNSH_Autoevaluare “Instalare centrală electrică fotovoltaică la IPEC.docx</x:v>
      </x:c>
      <x:c r="C473" s="8" t="n">
        <x:v>97190</x:v>
      </x:c>
    </x:row>
    <x:row r="474" ht="32" customHeight="1">
      <x:c r="A474" s="8" t="str">
        <x:v>AFIR FotoVoltaic 1.zip</x:v>
      </x:c>
      <x:c r="B474" s="8" t="str">
        <x:v>0. Arhiva/Memoriu tehnic CEF 1 MW Roman.pdf</x:v>
      </x:c>
      <x:c r="C474" s="8" t="n">
        <x:v>1020446</x:v>
      </x:c>
    </x:row>
    <x:row r="475" ht="36" customHeight="1">
      <x:c r="A475" s="8" t="str">
        <x:v>AFIR FotoVoltaic 1.zip</x:v>
      </x:c>
      <x:c r="B475" s="8" t="str">
        <x:v>0. Arhiva/Performance-Comparison-of-Fixed-Single-and-Dual-Axis-Tracking-Systems-For-Small-Photovoltaic-Systems-with-Measured-Direct-Beam-Fraction-.pdf</x:v>
      </x:c>
      <x:c r="C475" s="8" t="n">
        <x:v>440010</x:v>
      </x:c>
    </x:row>
    <x:row r="476" ht="32" customHeight="1">
      <x:c r="A476" s="8" t="str">
        <x:v>AFIR FotoVoltaic 1.zip</x:v>
      </x:c>
      <x:c r="B476" s="8" t="str">
        <x:v>0. Arhiva/Solicitare oferta achizitie.docx</x:v>
      </x:c>
      <x:c r="C476" s="8" t="n">
        <x:v>2746570</x:v>
      </x:c>
    </x:row>
    <x:row r="477" ht="32" customHeight="1">
      <x:c r="A477" s="8" t="str">
        <x:v>AFIR FotoVoltaic 1.zip</x:v>
      </x:c>
      <x:c r="B477" s="8" t="str">
        <x:v>0. Arhiva/Stampila Cesiro Production.pdf</x:v>
      </x:c>
      <x:c r="C477" s="8" t="n">
        <x:v>593484</x:v>
      </x:c>
    </x:row>
    <x:row r="478" ht="32" customHeight="1">
      <x:c r="A478" s="8" t="str">
        <x:v>AFIR FotoVoltaic 1.zip</x:v>
      </x:c>
      <x:c r="B478" s="8" t="str">
        <x:v>0. Arhiva/Tracking System On Roof.mp4</x:v>
      </x:c>
      <x:c r="C478" s="8" t="n">
        <x:v>17888774</x:v>
      </x:c>
    </x:row>
    <x:row r="479" ht="32" customHeight="1">
      <x:c r="A479" s="8" t="str">
        <x:v>AFIR FotoVoltaic 1.zip</x:v>
      </x:c>
      <x:c r="B479" s="8" t="str">
        <x:v>0. Arhiva/Walnut Automatic Proccesing line.docx</x:v>
      </x:c>
      <x:c r="C479" s="8" t="n">
        <x:v>18617</x:v>
      </x:c>
    </x:row>
    <x:row r="480" ht="32" customHeight="1">
      <x:c r="A480" s="8" t="str">
        <x:v>AFIR FotoVoltaic 1.zip</x:v>
      </x:c>
      <x:c r="B480" s="8" t="str">
        <x:v>0.0 Documente Oficiale Ghid/Corelarea puterii masinii cu suprafața fermei pentru achiziționarea de mașini agricole.pdf</x:v>
      </x:c>
      <x:c r="C480" s="8" t="n">
        <x:v>580372</x:v>
      </x:c>
    </x:row>
    <x:row r="481" ht="32" customHeight="1">
      <x:c r="A481" s="8" t="str">
        <x:v>AFIR FotoVoltaic 1.zip</x:v>
      </x:c>
      <x:c r="B481" s="8" t="str">
        <x:v>0.0 Documente Oficiale Ghid/Manual de Procedura Evaluare Selectare Generala PS 2027 Editia I Revizia 3.pdf</x:v>
      </x:c>
      <x:c r="C481" s="8" t="n">
        <x:v>868016</x:v>
      </x:c>
    </x:row>
    <x:row r="482" ht="32" customHeight="1">
      <x:c r="A482" s="8" t="str">
        <x:v>AFIR FotoVoltaic 1.zip</x:v>
      </x:c>
      <x:c r="B482" s="8" t="str">
        <x:v>0.0 Documente Oficiale Ghid/Manual de procedura pentru achizitii beneficiarii privati PS 2027.pdf</x:v>
      </x:c>
      <x:c r="C482" s="8" t="n">
        <x:v>651465</x:v>
      </x:c>
    </x:row>
    <x:row r="483" ht="32" customHeight="1">
      <x:c r="A483" s="8" t="str">
        <x:v>AFIR FotoVoltaic 1.zip</x:v>
      </x:c>
      <x:c r="B483" s="8" t="str">
        <x:v>0.0 Documente Oficiale Ghid/Manual general de autorizare plăți PS 2023 - 2027.pdf</x:v>
      </x:c>
      <x:c r="C483" s="8" t="n">
        <x:v>1103096</x:v>
      </x:c>
    </x:row>
    <x:row r="484" ht="32" customHeight="1">
      <x:c r="A484" s="8" t="str">
        <x:v>AFIR FotoVoltaic 1.zip</x:v>
      </x:c>
      <x:c r="B484" s="8" t="str">
        <x:v>0.0 Documente Oficiale Ghid/Manual Procedura Contabilizare Plati PS Editia 1 Revizia 1.pdf</x:v>
      </x:c>
      <x:c r="C484" s="8" t="n">
        <x:v>2176199</x:v>
      </x:c>
    </x:row>
    <x:row r="485" ht="32" customHeight="1">
      <x:c r="A485" s="8" t="str">
        <x:v>AFIR FotoVoltaic 1.zip</x:v>
      </x:c>
      <x:c r="B485" s="8" t="str">
        <x:v>0.0 Documente Oficiale Ghid/Manual Procedura Contractare Si Modificare Contracte Finantare PS PAC 2027.pdf</x:v>
      </x:c>
      <x:c r="C485" s="8" t="n">
        <x:v>1195991</x:v>
      </x:c>
    </x:row>
    <x:row r="486" ht="32" customHeight="1">
      <x:c r="A486" s="8" t="str">
        <x:v>AFIR FotoVoltaic 1.zip</x:v>
      </x:c>
      <x:c r="B486" s="8" t="str">
        <x:v>0.0 Documente Oficiale Ghid/Manual Procedura Efectuare Plati PS editia 1 revizia 1.pdf</x:v>
      </x:c>
      <x:c r="C486" s="8" t="n">
        <x:v>1203773</x:v>
      </x:c>
    </x:row>
    <x:row r="487" ht="32" customHeight="1">
      <x:c r="A487" s="8" t="str">
        <x:v>AFIR FotoVoltaic 1.zip</x:v>
      </x:c>
      <x:c r="B487" s="8" t="str">
        <x:v>0.0 Documente Oficiale Ghid/Manual Procedura evaluare selectare PS PAC 2023 2027.pdf</x:v>
      </x:c>
      <x:c r="C487" s="8" t="n">
        <x:v>453596</x:v>
      </x:c>
    </x:row>
    <x:row r="488" ht="32" customHeight="1">
      <x:c r="A488" s="8" t="str">
        <x:v>AFIR FotoVoltaic 1.zip</x:v>
      </x:c>
      <x:c r="B488" s="8" t="str">
        <x:v>0.0 Documente Oficiale Ghid/Manual Procedura Implementare DR 37 Editia I Revizia 1.pdf</x:v>
      </x:c>
      <x:c r="C488" s="8" t="n">
        <x:v>1683025</x:v>
      </x:c>
    </x:row>
    <x:row r="489" ht="32" customHeight="1">
      <x:c r="A489" s="8" t="str">
        <x:v>AFIR FotoVoltaic 1.zip</x:v>
      </x:c>
      <x:c r="B489" s="8" t="str">
        <x:v>0.0 Documente Oficiale Ghid/Manual Procedură soluționare contestații PS 2023 - 2027.pdf</x:v>
      </x:c>
      <x:c r="C489" s="8" t="n">
        <x:v>482777</x:v>
      </x:c>
    </x:row>
    <x:row r="490" ht="32" customHeight="1">
      <x:c r="A490" s="8" t="str">
        <x:v>AFIR FotoVoltaic 1.zip</x:v>
      </x:c>
      <x:c r="B490" s="8" t="str">
        <x:v>0.0 Documente Oficiale Ghid/Manual, Formulare Si Anexe Achiziții Beneficiari Publici Editia 1, Revizia 0.rar</x:v>
      </x:c>
      <x:c r="C490" s="8" t="n">
        <x:v>695616</x:v>
      </x:c>
    </x:row>
    <x:row r="491" ht="32" customHeight="1">
      <x:c r="A491" s="8" t="str">
        <x:v>AFIR FotoVoltaic 1.zip</x:v>
      </x:c>
      <x:c r="B491" s="8" t="str">
        <x:v>0.0 Documente Oficiale Ghid/Manualul Procedura Evaluare si Selectare Cereri Finantare PS 2027 Editia 1 Revizia 2.pdf</x:v>
      </x:c>
      <x:c r="C491" s="8" t="n">
        <x:v>785920</x:v>
      </x:c>
    </x:row>
    <x:row r="492" ht="32" customHeight="1">
      <x:c r="A492" s="8" t="str">
        <x:v>AFIR FotoVoltaic 1.zip</x:v>
      </x:c>
      <x:c r="B492" s="8" t="str">
        <x:v>0.0 Documente Oficiale Ghid/Procedura Efectuare Si Contabilizare Plati PS 2023 2027.rar</x:v>
      </x:c>
      <x:c r="C492" s="8" t="n">
        <x:v>614261</x:v>
      </x:c>
    </x:row>
    <x:row r="493" ht="32" customHeight="1">
      <x:c r="A493" s="8" t="str">
        <x:v>AFIR FotoVoltaic 1.zip</x:v>
      </x:c>
      <x:c r="B493" s="8" t="str">
        <x:v>0.0 Documente Oficiale Ghid/Procedura Evaluare Selectare Contractare Cereri Finantare Schema De Energie.pdf</x:v>
      </x:c>
      <x:c r="C493" s="8" t="n">
        <x:v>6308999</x:v>
      </x:c>
    </x:row>
    <x:row r="494" ht="32" customHeight="1">
      <x:c r="A494" s="8" t="str">
        <x:v>AFIR FotoVoltaic 1.zip</x:v>
      </x:c>
      <x:c r="B494" s="8" t="str">
        <x:v>0.0 Documente Oficiale Ghid/Procedura Inscriere Furnizori De Formare Profesionala DR 37 Transfer De Cunostinte.pdf</x:v>
      </x:c>
      <x:c r="C494" s="8" t="n">
        <x:v>465565</x:v>
      </x:c>
    </x:row>
    <x:row r="495" ht="32" customHeight="1">
      <x:c r="A495" s="8" t="str">
        <x:v>AFIR FotoVoltaic 1.zip</x:v>
      </x:c>
      <x:c r="B495" s="8" t="str">
        <x:v>0.0 Documente Oficiale Ghid/Procedura operationala pentru solicitarea de informatii suplimentare proiecte FEADR.pdf</x:v>
      </x:c>
      <x:c r="C495" s="8" t="n">
        <x:v>313338</x:v>
      </x:c>
    </x:row>
    <x:row r="496" ht="32" customHeight="1">
      <x:c r="A496" s="8" t="str">
        <x:v>AFIR FotoVoltaic 1.zip</x:v>
      </x:c>
      <x:c r="B496" s="8" t="str">
        <x:v>0.0 Documente Oficiale Ghid/Procedura Operationala Solicitare Informații Suplimentare.pdf</x:v>
      </x:c>
      <x:c r="C496" s="8" t="n">
        <x:v>864540</x:v>
      </x:c>
    </x:row>
    <x:row r="497" ht="36" customHeight="1">
      <x:c r="A497" s="8" t="str">
        <x:v>AFIR FotoVoltaic 1.zip</x:v>
      </x:c>
      <x:c r="B497" s="8" t="str">
        <x:v>0.0 Documente Oficiale Ghid/Procedură Operatională Evaluare Selectare Contractare Cereri Finanţare Schema Energie - OMADR 435-26.11.2024.rar</x:v>
      </x:c>
      <x:c r="C497" s="8" t="n">
        <x:v>3476745</x:v>
      </x:c>
    </x:row>
    <x:row r="498" ht="32" customHeight="1">
      <x:c r="A498" s="8" t="str">
        <x:v>0.0 Documente Oficiale Ghid\Manual Procedura evaluare selectare PS PAC 2023 2027.zip</x:v>
      </x:c>
      <x:c r="B498" s="8" t="str">
        <x:v>Manual Procedura evaluare selectare PS PAC 2023 2027.pdf</x:v>
      </x:c>
      <x:c r="C498" s="8" t="n">
        <x:v>453596</x:v>
      </x:c>
    </x:row>
    <x:row r="499" ht="32" customHeight="1">
      <x:c r="A499" s="8" t="str">
        <x:v>0.0 Documente Oficiale Ghid\Manual Procedura evaluare selectare PS PAC 2023 2027.zip</x:v>
      </x:c>
      <x:c r="B499" s="8" t="str">
        <x:v>Manual Procedura Implementare DR 37 Editia I Revizia 1.pdf</x:v>
      </x:c>
      <x:c r="C499" s="8" t="n">
        <x:v>1683025</x:v>
      </x:c>
    </x:row>
    <x:row r="500" ht="32" customHeight="1">
      <x:c r="A500" s="8" t="str">
        <x:v>0.0 Documente Oficiale Ghid\Manual Procedura evaluare selectare PS PAC 2023 2027.zip</x:v>
      </x:c>
      <x:c r="B500" s="8" t="str">
        <x:v>Manual Procedură soluționare contestații PS 2023 - 2027.pdf</x:v>
      </x:c>
      <x:c r="C500" s="8" t="n">
        <x:v>482777</x:v>
      </x:c>
    </x:row>
    <x:row r="501" ht="32" customHeight="1">
      <x:c r="A501" s="8" t="str">
        <x:v>0.0 Documente Oficiale Ghid\Manual Procedura evaluare selectare PS PAC 2023 2027.zip</x:v>
      </x:c>
      <x:c r="B501" s="8" t="str">
        <x:v>Manualul Procedura Evaluare si Selectare Cereri Finantare PS 2027 Editia 1 Revizia 2.pdf</x:v>
      </x:c>
      <x:c r="C501" s="8" t="n">
        <x:v>785920</x:v>
      </x:c>
    </x:row>
    <x:row r="502" ht="32" customHeight="1">
      <x:c r="A502" s="8" t="str">
        <x:v>0.0 Documente Oficiale Ghid\Manual Procedura evaluare selectare PS PAC 2023 2027.zip</x:v>
      </x:c>
      <x:c r="B502" s="8" t="str">
        <x:v>Procedura Evaluare Selectare Contractare Cereri Finantare Schema De Energie.pdf</x:v>
      </x:c>
      <x:c r="C502" s="8" t="n">
        <x:v>6308999</x:v>
      </x:c>
    </x:row>
    <x:row r="503" ht="32" customHeight="1">
      <x:c r="A503" s="8" t="str">
        <x:v>0.0 Documente Oficiale Ghid\Manual Procedura evaluare selectare PS PAC 2023 2027.zip</x:v>
      </x:c>
      <x:c r="B503" s="8" t="str">
        <x:v>Procedura Inscriere Furnizori De Formare Profesionala DR 37 Transfer De Cunostinte.pdf</x:v>
      </x:c>
      <x:c r="C503" s="8" t="n">
        <x:v>465565</x:v>
      </x:c>
    </x:row>
    <x:row r="504" ht="32" customHeight="1">
      <x:c r="A504" s="8" t="str">
        <x:v>0.0 Documente Oficiale Ghid\Manual Procedura evaluare selectare PS PAC 2023 2027.zip</x:v>
      </x:c>
      <x:c r="B504" s="8" t="str">
        <x:v>Procedura operationala pentru solicitarea de informatii suplimentare proiecte FEADR.pdf</x:v>
      </x:c>
      <x:c r="C504" s="8" t="n">
        <x:v>313338</x:v>
      </x:c>
    </x:row>
    <x:row r="505" ht="32" customHeight="1">
      <x:c r="A505" s="8" t="str">
        <x:v>0.0 Documente Oficiale Ghid\Manual Procedura evaluare selectare PS PAC 2023 2027.zip</x:v>
      </x:c>
      <x:c r="B505" s="8" t="str">
        <x:v>Procedura Operationala Solicitare Informații Suplimentare.pdf</x:v>
      </x:c>
      <x:c r="C505" s="8" t="n">
        <x:v>864540</x:v>
      </x:c>
    </x:row>
    <x:row r="506" ht="32" customHeight="1">
      <x:c r="A506" s="8" t="str">
        <x:v>0.0 Documente Oficiale Ghid\Manual Procedura evaluare selectare PS PAC 2023 2027.zip</x:v>
      </x:c>
      <x:c r="B506" s="8" t="str">
        <x:v>Corelarea puterii masinii cu suprafața fermei pentru achiziționarea de mașini agricole.pdf</x:v>
      </x:c>
      <x:c r="C506" s="8" t="n">
        <x:v>580372</x:v>
      </x:c>
    </x:row>
    <x:row r="507" ht="32" customHeight="1">
      <x:c r="A507" s="8" t="str">
        <x:v>0.0 Documente Oficiale Ghid\Manual Procedura evaluare selectare PS PAC 2023 2027.zip</x:v>
      </x:c>
      <x:c r="B507" s="8" t="str">
        <x:v>Manual de Procedura Evaluare Selectare Generala PS 2027 Editia I Revizia 3.pdf</x:v>
      </x:c>
      <x:c r="C507" s="8" t="n">
        <x:v>868016</x:v>
      </x:c>
    </x:row>
    <x:row r="508" ht="32" customHeight="1">
      <x:c r="A508" s="8" t="str">
        <x:v>0.0 Documente Oficiale Ghid\Manual Procedura evaluare selectare PS PAC 2023 2027.zip</x:v>
      </x:c>
      <x:c r="B508" s="8" t="str">
        <x:v>Manual de procedura pentru achizitii beneficiarii privati PS 2027.pdf</x:v>
      </x:c>
      <x:c r="C508" s="8" t="n">
        <x:v>651465</x:v>
      </x:c>
    </x:row>
    <x:row r="509" ht="32" customHeight="1">
      <x:c r="A509" s="8" t="str">
        <x:v>0.0 Documente Oficiale Ghid\Manual Procedura evaluare selectare PS PAC 2023 2027.zip</x:v>
      </x:c>
      <x:c r="B509" s="8" t="str">
        <x:v>Manual general de autorizare plăți PS 2023 - 2027.pdf</x:v>
      </x:c>
      <x:c r="C509" s="8" t="n">
        <x:v>1103096</x:v>
      </x:c>
    </x:row>
    <x:row r="510" ht="32" customHeight="1">
      <x:c r="A510" s="8" t="str">
        <x:v>0.0 Documente Oficiale Ghid\Manual Procedura evaluare selectare PS PAC 2023 2027.zip</x:v>
      </x:c>
      <x:c r="B510" s="8" t="str">
        <x:v>Manual Procedura Contabilizare Plati PS Editia 1 Revizia 1.pdf</x:v>
      </x:c>
      <x:c r="C510" s="8" t="n">
        <x:v>2176199</x:v>
      </x:c>
    </x:row>
    <x:row r="511" ht="32" customHeight="1">
      <x:c r="A511" s="8" t="str">
        <x:v>0.0 Documente Oficiale Ghid\Manual Procedura evaluare selectare PS PAC 2023 2027.zip</x:v>
      </x:c>
      <x:c r="B511" s="8" t="str">
        <x:v>Manual Procedura Contractare Si Modificare Contracte Finantare PS PAC 2027.pdf</x:v>
      </x:c>
      <x:c r="C511" s="8" t="n">
        <x:v>1195991</x:v>
      </x:c>
    </x:row>
    <x:row r="512" ht="32" customHeight="1">
      <x:c r="A512" s="8" t="str">
        <x:v>0.0 Documente Oficiale Ghid\Manual Procedura evaluare selectare PS PAC 2023 2027.zip</x:v>
      </x:c>
      <x:c r="B512" s="8" t="str">
        <x:v>Manual Procedura Efectuare Plati PS editia 1 revizia 1.pdf</x:v>
      </x:c>
      <x:c r="C512" s="8" t="n">
        <x:v>1203773</x:v>
      </x:c>
    </x:row>
    <x:row r="513" ht="32" customHeight="1">
      <x:c r="A513" s="8" t="str">
        <x:v>10. Contractare\4. Contractare.zip</x:v>
      </x:c>
      <x:c r="B513" s="8" t="str">
        <x:v>2. Contractul de Finantare/De Semnat/AnexaIII_FM.pdf</x:v>
      </x:c>
      <x:c r="C513" s="8" t="n">
        <x:v>227660</x:v>
      </x:c>
    </x:row>
    <x:row r="514" ht="32" customHeight="1">
      <x:c r="A514" s="8" t="str">
        <x:v>10. Contractare\4. Contractare.zip</x:v>
      </x:c>
      <x:c r="B514" s="8" t="str">
        <x:v>2. Contractul de Finantare/De Semnat/AnexaII_FM.pdf</x:v>
      </x:c>
      <x:c r="C514" s="8" t="n">
        <x:v>596614</x:v>
      </x:c>
    </x:row>
    <x:row r="515" ht="32" customHeight="1">
      <x:c r="A515" s="8" t="str">
        <x:v>10. Contractare\4. Contractare.zip</x:v>
      </x:c>
      <x:c r="B515" s="8" t="str">
        <x:v>2. Contractul de Finantare/De Semnat/AnexaIV_FM.pdf</x:v>
      </x:c>
      <x:c r="C515" s="8" t="n">
        <x:v>308134</x:v>
      </x:c>
    </x:row>
    <x:row r="516" ht="32" customHeight="1">
      <x:c r="A516" s="8" t="str">
        <x:v>10. Contractare\4. Contractare.zip</x:v>
      </x:c>
      <x:c r="B516" s="8" t="str">
        <x:v>2. Contractul de Finantare/De Semnat/AnexaI_FM.pdf</x:v>
      </x:c>
      <x:c r="C516" s="8" t="n">
        <x:v>302744</x:v>
      </x:c>
    </x:row>
    <x:row r="517" ht="32" customHeight="1">
      <x:c r="A517" s="8" t="str">
        <x:v>10. Contractare\4. Contractare.zip</x:v>
      </x:c>
      <x:c r="B517" s="8" t="str">
        <x:v>2. Contractul de Finantare/De Semnat/C1_1_FM.pdf</x:v>
      </x:c>
      <x:c r="C517" s="8" t="n">
        <x:v>1764739</x:v>
      </x:c>
    </x:row>
    <x:row r="518" ht="32" customHeight="1">
      <x:c r="A518" s="8" t="str">
        <x:v>10. Contractare\4. Contractare.zip</x:v>
      </x:c>
      <x:c r="B518" s="8" t="str">
        <x:v>2. Contractul de Finantare/Semnate/AnexaIII_FM semnat.pdf</x:v>
      </x:c>
      <x:c r="C518" s="8" t="n">
        <x:v>317733</x:v>
      </x:c>
    </x:row>
    <x:row r="519" ht="32" customHeight="1">
      <x:c r="A519" s="8" t="str">
        <x:v>10. Contractare\4. Contractare.zip</x:v>
      </x:c>
      <x:c r="B519" s="8" t="str">
        <x:v>2. Contractul de Finantare/Semnate/AnexaII_FM semnat.pdf</x:v>
      </x:c>
      <x:c r="C519" s="8" t="n">
        <x:v>703767</x:v>
      </x:c>
    </x:row>
    <x:row r="520" ht="32" customHeight="1">
      <x:c r="A520" s="8" t="str">
        <x:v>10. Contractare\4. Contractare.zip</x:v>
      </x:c>
      <x:c r="B520" s="8" t="str">
        <x:v>2. Contractul de Finantare/Semnate/AnexaIV_FM semnat.pdf</x:v>
      </x:c>
      <x:c r="C520" s="8" t="n">
        <x:v>413742</x:v>
      </x:c>
    </x:row>
    <x:row r="521" ht="32" customHeight="1">
      <x:c r="A521" s="8" t="str">
        <x:v>10. Contractare\4. Contractare.zip</x:v>
      </x:c>
      <x:c r="B521" s="8" t="str">
        <x:v>2. Contractul de Finantare/Semnate/AnexaI_FM semnat.pdf</x:v>
      </x:c>
      <x:c r="C521" s="8" t="n">
        <x:v>411053</x:v>
      </x:c>
    </x:row>
    <x:row r="522" ht="32" customHeight="1">
      <x:c r="A522" s="8" t="str">
        <x:v>10. Contractare\4. Contractare.zip</x:v>
      </x:c>
      <x:c r="B522" s="8" t="str">
        <x:v>2. Contractul de Finantare/Semnate/Contract Afir Cesiro Prod.pdf</x:v>
      </x:c>
      <x:c r="C522" s="8" t="n">
        <x:v>1828713</x:v>
      </x:c>
    </x:row>
    <x:row r="523" ht="32" customHeight="1">
      <x:c r="A523" s="8" t="str">
        <x:v>10. Contractare\4. Contractare.zip</x:v>
      </x:c>
      <x:c r="B523" s="8" t="str">
        <x:v>2. Contractul de Finantare/Semnate/factura_proforma_24022026_145801.pdf</x:v>
      </x:c>
      <x:c r="C523" s="8" t="n">
        <x:v>8462</x:v>
      </x:c>
    </x:row>
    <x:row r="524" ht="32" customHeight="1">
      <x:c r="A524" s="8" t="str">
        <x:v>10. Contractare\4. Contractare.zip</x:v>
      </x:c>
      <x:c r="B524" s="8" t="str">
        <x:v>2. Contractul de Finantare/Semnate/Formulare plată beneficiari schemă Energie (Actualizat 31.10.2025).rar</x:v>
      </x:c>
      <x:c r="C524" s="8" t="n">
        <x:v>1237940</x:v>
      </x:c>
    </x:row>
    <x:row r="525" ht="32" customHeight="1">
      <x:c r="A525" s="8" t="str">
        <x:v>10. Contractare\4. Contractare.zip</x:v>
      </x:c>
      <x:c r="B525" s="8" t="str">
        <x:v>2. Contractul de Finantare/Semnate/Notificare Schimbare Structura Actionariatului Cesiro Production SRL.docx</x:v>
      </x:c>
      <x:c r="C525" s="8" t="n">
        <x:v>18273</x:v>
      </x:c>
    </x:row>
    <x:row r="526" ht="32" customHeight="1">
      <x:c r="A526" s="8" t="str">
        <x:v>10. Contractare\4. Contractare.zip</x:v>
      </x:c>
      <x:c r="B526" s="8" t="str">
        <x:v>2. Contractul de Finantare/Semnate/Notificare Schimbare Structura Actionariatului Cesiro Production SRL.pdf</x:v>
      </x:c>
      <x:c r="C526" s="8" t="n">
        <x:v>268586</x:v>
      </x:c>
    </x:row>
    <x:row r="527" ht="32" customHeight="1">
      <x:c r="A527" s="8" t="str">
        <x:v>10. Contractare\4. Contractare.zip</x:v>
      </x:c>
      <x:c r="B527" s="8" t="str">
        <x:v>2. Contractul de Finantare/Semnate/Proforma nr_7.pdf</x:v>
      </x:c>
      <x:c r="C527" s="8" t="n">
        <x:v>8463</x:v>
      </x:c>
    </x:row>
    <x:row r="528" ht="32" customHeight="1">
      <x:c r="A528" s="8" t="str">
        <x:v>10. Contractare\4. Contractare.zip</x:v>
      </x:c>
      <x:c r="B528" s="8" t="str">
        <x:v>3. SF/1. Contract de inchiriere IPEC SA cu Cesiro Production semnat_Page_1.png</x:v>
      </x:c>
      <x:c r="C528" s="8" t="n">
        <x:v>7874597</x:v>
      </x:c>
    </x:row>
    <x:row r="529" ht="32" customHeight="1">
      <x:c r="A529" s="8" t="str">
        <x:v>10. Contractare\4. Contractare.zip</x:v>
      </x:c>
      <x:c r="B529" s="8" t="str">
        <x:v>3. SF/1. Contract de inchiriere IPEC SA cu Cesiro Production semnat_Page_2.png</x:v>
      </x:c>
      <x:c r="C529" s="8" t="n">
        <x:v>4919159</x:v>
      </x:c>
    </x:row>
    <x:row r="530" ht="32" customHeight="1">
      <x:c r="A530" s="8" t="str">
        <x:v>10. Contractare\4. Contractare.zip</x:v>
      </x:c>
      <x:c r="B530" s="8" t="str">
        <x:v>3. SF/1. Contract de inchiriere IPEC SA cu Cesiro Production semnat_Page_3.png</x:v>
      </x:c>
      <x:c r="C530" s="8" t="n">
        <x:v>4576857</x:v>
      </x:c>
    </x:row>
    <x:row r="531" ht="32" customHeight="1">
      <x:c r="A531" s="8" t="str">
        <x:v>10. Contractare\4. Contractare.zip</x:v>
      </x:c>
      <x:c r="B531" s="8" t="str">
        <x:v>3. SF/1. Contract de inchiriere IPEC SA cu Cesiro Production semnat_Page_4.png</x:v>
      </x:c>
      <x:c r="C531" s="8" t="n">
        <x:v>201987</x:v>
      </x:c>
    </x:row>
    <x:row r="532" ht="32" customHeight="1">
      <x:c r="A532" s="8" t="str">
        <x:v>10. Contractare\4. Contractare.zip</x:v>
      </x:c>
      <x:c r="B532" s="8" t="str">
        <x:v>3. SF/1. Contract de inchiriere IPEC SA cu Cesiro Production semnat_Page_5.png</x:v>
      </x:c>
      <x:c r="C532" s="8" t="n">
        <x:v>1579490</x:v>
      </x:c>
    </x:row>
    <x:row r="533" ht="32" customHeight="1">
      <x:c r="A533" s="8" t="str">
        <x:v>10. Contractare\4. Contractare.zip</x:v>
      </x:c>
      <x:c r="B533" s="8" t="str">
        <x:v>3. SF/1. Contract de inchiriere IPEC SA cu Cesiro Production semnat_Page_6.png</x:v>
      </x:c>
      <x:c r="C533" s="8" t="n">
        <x:v>128087</x:v>
      </x:c>
    </x:row>
    <x:row r="534" ht="32" customHeight="1">
      <x:c r="A534" s="8" t="str">
        <x:v>10. Contractare\4. Contractare.zip</x:v>
      </x:c>
      <x:c r="B534" s="8" t="str">
        <x:v>3. SF/2. Extras Carte Funciara semnat_Page_1.png</x:v>
      </x:c>
      <x:c r="C534" s="8" t="n">
        <x:v>61319</x:v>
      </x:c>
    </x:row>
    <x:row r="535" ht="32" customHeight="1">
      <x:c r="A535" s="8" t="str">
        <x:v>10. Contractare\4. Contractare.zip</x:v>
      </x:c>
      <x:c r="B535" s="8" t="str">
        <x:v>3. SF/2. Extras Carte Funciara semnat_Page_2.png</x:v>
      </x:c>
      <x:c r="C535" s="8" t="n">
        <x:v>168843</x:v>
      </x:c>
    </x:row>
    <x:row r="536" ht="32" customHeight="1">
      <x:c r="A536" s="8" t="str">
        <x:v>10. Contractare\4. Contractare.zip</x:v>
      </x:c>
      <x:c r="B536" s="8" t="str">
        <x:v>3. SF/2. Extras Carte Funciara semnat_Page_3.png</x:v>
      </x:c>
      <x:c r="C536" s="8" t="n">
        <x:v>77043</x:v>
      </x:c>
    </x:row>
    <x:row r="537" ht="32" customHeight="1">
      <x:c r="A537" s="8" t="str">
        <x:v>10. Contractare\4. Contractare.zip</x:v>
      </x:c>
      <x:c r="B537" s="8" t="str">
        <x:v>3. SF/ATR/atr sigh_Page_1.png</x:v>
      </x:c>
      <x:c r="C537" s="8" t="n">
        <x:v>323411</x:v>
      </x:c>
    </x:row>
    <x:row r="538" ht="32" customHeight="1">
      <x:c r="A538" s="8" t="str">
        <x:v>10. Contractare\4. Contractare.zip</x:v>
      </x:c>
      <x:c r="B538" s="8" t="str">
        <x:v>3. SF/ATR/atr sigh_Page_2.png</x:v>
      </x:c>
      <x:c r="C538" s="8" t="n">
        <x:v>53695</x:v>
      </x:c>
    </x:row>
    <x:row r="539" ht="32" customHeight="1">
      <x:c r="A539" s="8" t="str">
        <x:v>10. Contractare\4. Contractare.zip</x:v>
      </x:c>
      <x:c r="B539" s="8" t="str">
        <x:v>3. SF/ATR/atr sigh_Page_3.png</x:v>
      </x:c>
      <x:c r="C539" s="8" t="n">
        <x:v>30342</x:v>
      </x:c>
    </x:row>
    <x:row r="540" ht="32" customHeight="1">
      <x:c r="A540" s="8" t="str">
        <x:v>10. Contractare\4. Contractare.zip</x:v>
      </x:c>
      <x:c r="B540" s="8" t="str">
        <x:v>3. SF/Extras_Informare_3075 Carte Funciară Nr. 58300 Sighişoara Cesiro Production.pdf</x:v>
      </x:c>
      <x:c r="C540" s="8" t="n">
        <x:v>161996</x:v>
      </x:c>
    </x:row>
    <x:row r="541" ht="32" customHeight="1">
      <x:c r="A541" s="8" t="str">
        <x:v>10. Contractare\4. Contractare.zip</x:v>
      </x:c>
      <x:c r="B541" s="8" t="str">
        <x:v>3. SF/Fise Tehnice/LUNA2000-200KWH-2H1_Page_1.png</x:v>
      </x:c>
      <x:c r="C541" s="8" t="n">
        <x:v>224805</x:v>
      </x:c>
    </x:row>
    <x:row r="542" ht="32" customHeight="1">
      <x:c r="A542" s="8" t="str">
        <x:v>10. Contractare\4. Contractare.zip</x:v>
      </x:c>
      <x:c r="B542" s="8" t="str">
        <x:v>3. SF/Fise Tehnice/LUNA2000-200KWH-2H1_Page_2.png</x:v>
      </x:c>
      <x:c r="C542" s="8" t="n">
        <x:v>244262</x:v>
      </x:c>
    </x:row>
    <x:row r="543" ht="32" customHeight="1">
      <x:c r="A543" s="8" t="str">
        <x:v>10. Contractare\4. Contractare.zip</x:v>
      </x:c>
      <x:c r="B543" s="8" t="str">
        <x:v>3. SF/Fise Tehnice/SUN2000-100KTL-M2_Page_1.png</x:v>
      </x:c>
      <x:c r="C543" s="8" t="n">
        <x:v>295248</x:v>
      </x:c>
    </x:row>
    <x:row r="544" ht="32" customHeight="1">
      <x:c r="A544" s="8" t="str">
        <x:v>10. Contractare\4. Contractare.zip</x:v>
      </x:c>
      <x:c r="B544" s="8" t="str">
        <x:v>3. SF/Fise Tehnice/SUN2000-100KTL-M2_Page_2.png</x:v>
      </x:c>
      <x:c r="C544" s="8" t="n">
        <x:v>74924</x:v>
      </x:c>
    </x:row>
    <x:row r="545" ht="32" customHeight="1">
      <x:c r="A545" s="8" t="str">
        <x:v>10. Contractare\4. Contractare.zip</x:v>
      </x:c>
      <x:c r="B545" s="8" t="str">
        <x:v>3. SF/Fise Tehnice/SUN2000-10KTL-M1_Page_1.png</x:v>
      </x:c>
      <x:c r="C545" s="8" t="n">
        <x:v>2117226</x:v>
      </x:c>
    </x:row>
    <x:row r="546" ht="32" customHeight="1">
      <x:c r="A546" s="8" t="str">
        <x:v>10. Contractare\4. Contractare.zip</x:v>
      </x:c>
      <x:c r="B546" s="8" t="str">
        <x:v>3. SF/Fise Tehnice/SUN2000-10KTL-M1_Page_2.png</x:v>
      </x:c>
      <x:c r="C546" s="8" t="n">
        <x:v>93108</x:v>
      </x:c>
    </x:row>
    <x:row r="547" ht="32" customHeight="1">
      <x:c r="A547" s="8" t="str">
        <x:v>10. Contractare\4. Contractare.zip</x:v>
      </x:c>
      <x:c r="B547" s="8" t="str">
        <x:v>3. SF/Fise Tehnice/TOPHiKu6_Page_1.png</x:v>
      </x:c>
      <x:c r="C547" s="8" t="n">
        <x:v>1053099</x:v>
      </x:c>
    </x:row>
    <x:row r="548" ht="32" customHeight="1">
      <x:c r="A548" s="8" t="str">
        <x:v>10. Contractare\4. Contractare.zip</x:v>
      </x:c>
      <x:c r="B548" s="8" t="str">
        <x:v>3. SF/Fise Tehnice/TOPHiKu6_Page_2.png</x:v>
      </x:c>
      <x:c r="C548" s="8" t="n">
        <x:v>126378</x:v>
      </x:c>
    </x:row>
    <x:row r="549" ht="32" customHeight="1">
      <x:c r="A549" s="8" t="str">
        <x:v>10. Contractare\4. Contractare.zip</x:v>
      </x:c>
      <x:c r="B549" s="8" t="str">
        <x:v>3. SF/Foaie semnaturi SF Cesiro Production.jpg</x:v>
      </x:c>
      <x:c r="C549" s="8" t="n">
        <x:v>1733153</x:v>
      </x:c>
    </x:row>
    <x:row r="550" ht="32" customHeight="1">
      <x:c r="A550" s="8" t="str">
        <x:v>10. Contractare\4. Contractare.zip</x:v>
      </x:c>
      <x:c r="B550" s="8" t="str">
        <x:v>3. SF/Foaie semnaturi SF Cesiro Production.pdf</x:v>
      </x:c>
      <x:c r="C550" s="8" t="n">
        <x:v>1734188</x:v>
      </x:c>
    </x:row>
    <x:row r="551" ht="32" customHeight="1">
      <x:c r="A551" s="8" t="str">
        <x:v>10. Contractare\4. Contractare.zip</x:v>
      </x:c>
      <x:c r="B551" s="8" t="str">
        <x:v>3. SF/Proiect Fotovoltaice Cesiro-Semnat.pdf</x:v>
      </x:c>
      <x:c r="C551" s="8" t="n">
        <x:v>603873</x:v>
      </x:c>
    </x:row>
    <x:row r="552" ht="32" customHeight="1">
      <x:c r="A552" s="8" t="str">
        <x:v>10. Contractare\4. Contractare.zip</x:v>
      </x:c>
      <x:c r="B552" s="8" t="str">
        <x:v>3. SF/Proiect Fotovoltaice Cesiro-Semnat[1]_Page_1.png</x:v>
      </x:c>
      <x:c r="C552" s="8" t="n">
        <x:v>61705</x:v>
      </x:c>
    </x:row>
    <x:row r="553" ht="32" customHeight="1">
      <x:c r="A553" s="8" t="str">
        <x:v>10. Contractare\4. Contractare.zip</x:v>
      </x:c>
      <x:c r="B553" s="8" t="str">
        <x:v>3. SF/Proiect Fotovoltaice Cesiro-Semnat[1]_Page_2.png</x:v>
      </x:c>
      <x:c r="C553" s="8" t="n">
        <x:v>74729</x:v>
      </x:c>
    </x:row>
    <x:row r="554" ht="32" customHeight="1">
      <x:c r="A554" s="8" t="str">
        <x:v>10. Contractare\4. Contractare.zip</x:v>
      </x:c>
      <x:c r="B554" s="8" t="str">
        <x:v>3. SF/Proiect Fotovoltaice Cesiro-Semnat[1]_Page_3.png</x:v>
      </x:c>
      <x:c r="C554" s="8" t="n">
        <x:v>112581</x:v>
      </x:c>
    </x:row>
    <x:row r="555" ht="32" customHeight="1">
      <x:c r="A555" s="8" t="str">
        <x:v>10. Contractare\4. Contractare.zip</x:v>
      </x:c>
      <x:c r="B555" s="8" t="str">
        <x:v>3. SF/Proiect Fotovoltaice Cesiro-Semnat[1]_Page_4.png</x:v>
      </x:c>
      <x:c r="C555" s="8" t="n">
        <x:v>79518</x:v>
      </x:c>
    </x:row>
    <x:row r="556" ht="32" customHeight="1">
      <x:c r="A556" s="8" t="str">
        <x:v>10. Contractare\4. Contractare.zip</x:v>
      </x:c>
      <x:c r="B556" s="8" t="str">
        <x:v>3. SF/Proiect Fotovoltaice Cesiro-Semnat[1]_Page_5.png</x:v>
      </x:c>
      <x:c r="C556" s="8" t="n">
        <x:v>48041</x:v>
      </x:c>
    </x:row>
    <x:row r="557" ht="32" customHeight="1">
      <x:c r="A557" s="8" t="str">
        <x:v>10. Contractare\4. Contractare.zip</x:v>
      </x:c>
      <x:c r="B557" s="8" t="str">
        <x:v>3. SF/Studiul de Fezabilitate Cesiro Production .docx</x:v>
      </x:c>
      <x:c r="C557" s="8" t="n">
        <x:v>9409053</x:v>
      </x:c>
    </x:row>
    <x:row r="558" ht="32" customHeight="1">
      <x:c r="A558" s="8" t="str">
        <x:v>10. Contractare\4. Contractare.zip</x:v>
      </x:c>
      <x:c r="B558" s="8" t="str">
        <x:v>3. SF/Studiul de Fezabilitate Cesiro Production FINAL.docx</x:v>
      </x:c>
      <x:c r="C558" s="8" t="n">
        <x:v>13312564</x:v>
      </x:c>
    </x:row>
    <x:row r="559" ht="32" customHeight="1">
      <x:c r="A559" s="8" t="str">
        <x:v>10. Contractare\4. Contractare.zip</x:v>
      </x:c>
      <x:c r="B559" s="8" t="str">
        <x:v>3. SF/Studiul de Fezabilitate Cesiro Production FINAL.pdf</x:v>
      </x:c>
      <x:c r="C559" s="8" t="n">
        <x:v>9782943</x:v>
      </x:c>
    </x:row>
    <x:row r="560" ht="32" customHeight="1">
      <x:c r="A560" s="8" t="str">
        <x:v>10. Contractare\4. Contractare.zip</x:v>
      </x:c>
      <x:c r="B560" s="8" t="str">
        <x:v>3. SF/Studiul de Fezabilitate Cesiro Production Semnat.pdf</x:v>
      </x:c>
      <x:c r="C560" s="8" t="n">
        <x:v>11888323</x:v>
      </x:c>
    </x:row>
    <x:row r="561" ht="32" customHeight="1">
      <x:c r="A561" s="8" t="str">
        <x:v>10. Contractare\4. Contractare.zip</x:v>
      </x:c>
      <x:c r="B561" s="8" t="str">
        <x:v>Oferte/Copie a Oferta CEF 1mW Cesiro_Suntree Solar Tech_10.03.2025(1).xlsx</x:v>
      </x:c>
      <x:c r="C561" s="8" t="n">
        <x:v>1470278</x:v>
      </x:c>
    </x:row>
    <x:row r="562" ht="32" customHeight="1">
      <x:c r="A562" s="8" t="str">
        <x:v>10. Contractare\4. Contractare.zip</x:v>
      </x:c>
      <x:c r="B562" s="8" t="str">
        <x:v>Studiu de Solutie Documente/ANEXA-4-ord-19-2022.docx</x:v>
      </x:c>
      <x:c r="C562" s="8" t="n">
        <x:v>30518</x:v>
      </x:c>
    </x:row>
    <x:row r="563" ht="32" customHeight="1">
      <x:c r="A563" s="8" t="str">
        <x:v>10. Contractare\4. Contractare.zip</x:v>
      </x:c>
      <x:c r="B563" s="8" t="str">
        <x:v>Studiu de Solutie Documente/ANEXA-4-ord-19-2022.pdf</x:v>
      </x:c>
      <x:c r="C563" s="8" t="n">
        <x:v>149209</x:v>
      </x:c>
    </x:row>
    <x:row r="564" ht="32" customHeight="1">
      <x:c r="A564" s="8" t="str">
        <x:v>10. Contractare\4. Contractare.zip</x:v>
      </x:c>
      <x:c r="B564" s="8" t="str">
        <x:v>Studiu de Solutie Documente/Calendarul cu date exacte din contractul de finanțare nr. CFMSES011011372801030 AFIR.docx</x:v>
      </x:c>
      <x:c r="C564" s="8" t="n">
        <x:v>19225</x:v>
      </x:c>
    </x:row>
    <x:row r="565" ht="32" customHeight="1">
      <x:c r="A565" s="8" t="str">
        <x:v>10. Contractare\4. Contractare.zip</x:v>
      </x:c>
      <x:c r="B565" s="8" t="str">
        <x:v>Studiu de Solutie Documente/Confirmare SF Cesiro Production.pdf</x:v>
      </x:c>
      <x:c r="C565" s="8" t="n">
        <x:v>970374</x:v>
      </x:c>
    </x:row>
    <x:row r="566" ht="32" customHeight="1">
      <x:c r="A566" s="8" t="str">
        <x:v>10. Contractare\4. Contractare.zip</x:v>
      </x:c>
      <x:c r="B566" s="8" t="str">
        <x:v>Studiu de Solutie Documente/Pompe_de_c_ldur__ordonate.csv</x:v>
      </x:c>
      <x:c r="C566" s="8" t="n">
        <x:v>1185</x:v>
      </x:c>
    </x:row>
    <x:row r="567" ht="32" customHeight="1">
      <x:c r="A567" s="8" t="str">
        <x:v>10. Contractare\4. Contractare.zip</x:v>
      </x:c>
      <x:c r="B567" s="8" t="str">
        <x:v>Studiu de Solutie Documente/Schita Monofilara Fotovoltaice Cesiro.pdf</x:v>
      </x:c>
      <x:c r="C567" s="8" t="n">
        <x:v>290748</x:v>
      </x:c>
    </x:row>
    <x:row r="568" ht="32" customHeight="1">
      <x:c r="A568" s="8" t="str">
        <x:v>10. Contractare\4. Contractare.zip</x:v>
      </x:c>
      <x:c r="B568" s="8" t="str">
        <x:v>1. Documente solicitate pentru contractare/ANPM/Anexa nr 5.docx</x:v>
      </x:c>
      <x:c r="C568" s="8" t="n">
        <x:v>141475</x:v>
      </x:c>
    </x:row>
    <x:row r="569" ht="32" customHeight="1">
      <x:c r="A569" s="8" t="str">
        <x:v>10. Contractare\4. Contractare.zip</x:v>
      </x:c>
      <x:c r="B569" s="8" t="str">
        <x:v>1. Documente solicitate pentru contractare/ANPM/Anexa nr 5.pdf</x:v>
      </x:c>
      <x:c r="C569" s="8" t="n">
        <x:v>1271506</x:v>
      </x:c>
    </x:row>
    <x:row r="570" ht="32" customHeight="1">
      <x:c r="A570" s="8" t="str">
        <x:v>10. Contractare\4. Contractare.zip</x:v>
      </x:c>
      <x:c r="B570" s="8" t="str">
        <x:v>1. Documente solicitate pentru contractare/ANPM/Dovada plata APM.pdf</x:v>
      </x:c>
      <x:c r="C570" s="8" t="n">
        <x:v>229065</x:v>
      </x:c>
    </x:row>
    <x:row r="571" ht="32" customHeight="1">
      <x:c r="A571" s="8" t="str">
        <x:v>10. Contractare\4. Contractare.zip</x:v>
      </x:c>
      <x:c r="B571" s="8" t="str">
        <x:v>1. Documente solicitate pentru contractare/ANPM/Plan de inacadrare in zona.docx</x:v>
      </x:c>
      <x:c r="C571" s="8" t="n">
        <x:v>1171272</x:v>
      </x:c>
    </x:row>
    <x:row r="572" ht="32" customHeight="1">
      <x:c r="A572" s="8" t="str">
        <x:v>10. Contractare\4. Contractare.zip</x:v>
      </x:c>
      <x:c r="B572" s="8" t="str">
        <x:v>1. Documente solicitate pentru contractare/ANPM/Plan de inacadrare in zona.pdf</x:v>
      </x:c>
      <x:c r="C572" s="8" t="n">
        <x:v>204263</x:v>
      </x:c>
    </x:row>
    <x:row r="573" ht="32" customHeight="1">
      <x:c r="A573" s="8" t="str">
        <x:v>10. Contractare\4. Contractare.zip</x:v>
      </x:c>
      <x:c r="B573" s="8" t="str">
        <x:v>1. Documente solicitate pentru contractare/ANPM/Plan de situatie.docx</x:v>
      </x:c>
      <x:c r="C573" s="8" t="n">
        <x:v>147257</x:v>
      </x:c>
    </x:row>
    <x:row r="574" ht="32" customHeight="1">
      <x:c r="A574" s="8" t="str">
        <x:v>10. Contractare\4. Contractare.zip</x:v>
      </x:c>
      <x:c r="B574" s="8" t="str">
        <x:v>1. Documente solicitate pentru contractare/ANPM/Plan de situatie.pdf</x:v>
      </x:c>
      <x:c r="C574" s="8" t="n">
        <x:v>50181</x:v>
      </x:c>
    </x:row>
    <x:row r="575" ht="32" customHeight="1">
      <x:c r="A575" s="8" t="str">
        <x:v>10. Contractare\4. Contractare.zip</x:v>
      </x:c>
      <x:c r="B575" s="8" t="str">
        <x:v>1. Documente solicitate pentru contractare/Arhiva/11. Declaratie prorpie raspundere CAEN.docx</x:v>
      </x:c>
      <x:c r="C575" s="8" t="n">
        <x:v>15640</x:v>
      </x:c>
    </x:row>
    <x:row r="576" ht="32" customHeight="1">
      <x:c r="A576" s="8" t="str">
        <x:v>10. Contractare\4. Contractare.zip</x:v>
      </x:c>
      <x:c r="B576" s="8" t="str">
        <x:v>1. Documente solicitate pentru contractare/Arhiva/2. Declaratie proprie raspundere depunere ATR.docx</x:v>
      </x:c>
      <x:c r="C576" s="8" t="n">
        <x:v>16992</x:v>
      </x:c>
    </x:row>
    <x:row r="577" ht="32" customHeight="1">
      <x:c r="A577" s="8" t="str">
        <x:v>10. Contractare\4. Contractare.zip</x:v>
      </x:c>
      <x:c r="B577" s="8" t="str">
        <x:v>1. Documente solicitate pentru contractare/Arhiva/8. Grafic de eșalonare.docx</x:v>
      </x:c>
      <x:c r="C577" s="8" t="n">
        <x:v>18652</x:v>
      </x:c>
    </x:row>
    <x:row r="578" ht="32" customHeight="1">
      <x:c r="A578" s="8" t="str">
        <x:v>10. Contractare\4. Contractare.zip</x:v>
      </x:c>
      <x:c r="B578" s="8" t="str">
        <x:v>1. Documente solicitate pentru contractare/Arhiva/act CESIRO PRODUCTION 12.02.2024.pdf</x:v>
      </x:c>
      <x:c r="C578" s="8" t="n">
        <x:v>99891</x:v>
      </x:c>
    </x:row>
    <x:row r="579" ht="32" customHeight="1">
      <x:c r="A579" s="8" t="str">
        <x:v>10. Contractare\4. Contractare.zip</x:v>
      </x:c>
      <x:c r="B579" s="8" t="str">
        <x:v>1. Documente solicitate pentru contractare/Arhiva/Anexa AP 1.1- Identificare financiara ING.docx</x:v>
      </x:c>
      <x:c r="C579" s="8" t="n">
        <x:v>17883</x:v>
      </x:c>
    </x:row>
    <x:row r="580" ht="32" customHeight="1">
      <x:c r="A580" s="8" t="str">
        <x:v>10. Contractare\4. Contractare.zip</x:v>
      </x:c>
      <x:c r="B580" s="8" t="str">
        <x:v>1. Documente solicitate pentru contractare/Arhiva/Cerere ATR pentru loc de consum si producere_modificat.doc</x:v>
      </x:c>
      <x:c r="C580" s="8" t="n">
        <x:v>301568</x:v>
      </x:c>
    </x:row>
    <x:row r="581" ht="32" customHeight="1">
      <x:c r="A581" s="8" t="str">
        <x:v>10. Contractare\4. Contractare.zip</x:v>
      </x:c>
      <x:c r="B581" s="8" t="str">
        <x:v>1. Documente solicitate pentru contractare/Arhiva/CESIRO PRODUCTION SRL - Factura ONRC.jpg</x:v>
      </x:c>
      <x:c r="C581" s="8" t="n">
        <x:v>163465</x:v>
      </x:c>
    </x:row>
    <x:row r="582" ht="32" customHeight="1">
      <x:c r="A582" s="8" t="str">
        <x:v>10. Contractare\4. Contractare.zip</x:v>
      </x:c>
      <x:c r="B582" s="8" t="str">
        <x:v>1. Documente solicitate pentru contractare/Arhiva/CUI Cesiro Production SRL Alb Negru .pdf</x:v>
      </x:c>
      <x:c r="C582" s="8" t="n">
        <x:v>611208</x:v>
      </x:c>
    </x:row>
    <x:row r="583" ht="32" customHeight="1">
      <x:c r="A583" s="8" t="str">
        <x:v>10. Contractare\4. Contractare.zip</x:v>
      </x:c>
      <x:c r="B583" s="8" t="str">
        <x:v>1. Documente solicitate pentru contractare/Arhiva/Dovada asigurarii finantarii cheltuielilor neeligibile Veche .pdf</x:v>
      </x:c>
      <x:c r="C583" s="8" t="n">
        <x:v>205677</x:v>
      </x:c>
    </x:row>
    <x:row r="584" ht="36" customHeight="1">
      <x:c r="A584" s="8" t="str">
        <x:v>10. Contractare\4. Contractare.zip</x:v>
      </x:c>
      <x:c r="B584" s="8" t="str">
        <x:v>1. Documente solicitate pentru contractare/Arhiva/HOTĂRÂREA ADUNĂRII GENERALE A ASOCIAȚILOR Cesiro Production Deschidere Cont Exim Bank.docx</x:v>
      </x:c>
      <x:c r="C584" s="8" t="n">
        <x:v>15916</x:v>
      </x:c>
    </x:row>
    <x:row r="585" ht="32" customHeight="1">
      <x:c r="A585" s="8" t="str">
        <x:v>10. Contractare\4. Contractare.zip</x:v>
      </x:c>
      <x:c r="B585" s="8" t="str">
        <x:v>1. Documente solicitate pentru contractare/Arhiva/IBAN CESIRO PRODUCTION ING.pdf</x:v>
      </x:c>
      <x:c r="C585" s="8" t="n">
        <x:v>115570</x:v>
      </x:c>
    </x:row>
    <x:row r="586" ht="32" customHeight="1">
      <x:c r="A586" s="8" t="str">
        <x:v>10. Contractare\4. Contractare.zip</x:v>
      </x:c>
      <x:c r="B586" s="8" t="str">
        <x:v>1. Documente solicitate pentru contractare/Cesiro Production SRL BCR 28.000.pdf</x:v>
      </x:c>
      <x:c r="C586" s="8" t="n">
        <x:v>83282</x:v>
      </x:c>
    </x:row>
    <x:row r="587" ht="32" customHeight="1">
      <x:c r="A587" s="8" t="str">
        <x:v>10. Contractare\4. Contractare.zip</x:v>
      </x:c>
      <x:c r="B587" s="8" t="str">
        <x:v>1. Documente solicitate pentru contractare/DE SEMNAT/1. Oferta castigatoare Suntree Solar Tech SRL.pdf</x:v>
      </x:c>
      <x:c r="C587" s="8" t="n">
        <x:v>7662971</x:v>
      </x:c>
    </x:row>
    <x:row r="588" ht="32" customHeight="1">
      <x:c r="A588" s="8" t="str">
        <x:v>10. Contractare\4. Contractare.zip</x:v>
      </x:c>
      <x:c r="B588" s="8" t="str">
        <x:v>1. Documente solicitate pentru contractare/DE SEMNAT/10. Certificat constatator ONRC  Cesiro Production.pdf</x:v>
      </x:c>
      <x:c r="C588" s="8" t="n">
        <x:v>793832</x:v>
      </x:c>
    </x:row>
    <x:row r="589" ht="32" customHeight="1">
      <x:c r="A589" s="8" t="str">
        <x:v>10. Contractare\4. Contractare.zip</x:v>
      </x:c>
      <x:c r="B589" s="8" t="str">
        <x:v>1. Documente solicitate pentru contractare/DE SEMNAT/11. Declaratie prorpie raspundere CAEN.pdf</x:v>
      </x:c>
      <x:c r="C589" s="8" t="n">
        <x:v>47811</x:v>
      </x:c>
    </x:row>
    <x:row r="590" ht="32" customHeight="1">
      <x:c r="A590" s="8" t="str">
        <x:v>10. Contractare\4. Contractare.zip</x:v>
      </x:c>
      <x:c r="B590" s="8" t="str">
        <x:v>1. Documente solicitate pentru contractare/DE SEMNAT/11.1 Act constitutiv modificat .pdf</x:v>
      </x:c>
      <x:c r="C590" s="8" t="n">
        <x:v>103586</x:v>
      </x:c>
    </x:row>
    <x:row r="591" ht="32" customHeight="1">
      <x:c r="A591" s="8" t="str">
        <x:v>10. Contractare\4. Contractare.zip</x:v>
      </x:c>
      <x:c r="B591" s="8" t="str">
        <x:v>1. Documente solicitate pentru contractare/DE SEMNAT/11.2 Cesiro Production declaratie[1] ONRC.pdf</x:v>
      </x:c>
      <x:c r="C591" s="8" t="n">
        <x:v>227681</x:v>
      </x:c>
    </x:row>
    <x:row r="592" ht="32" customHeight="1">
      <x:c r="A592" s="8" t="str">
        <x:v>10. Contractare\4. Contractare.zip</x:v>
      </x:c>
      <x:c r="B592" s="8" t="str">
        <x:v>1. Documente solicitate pentru contractare/DE SEMNAT/11.3 Cesiro Production SRL 11-10-150[1]   ONRC.pdf</x:v>
      </x:c>
      <x:c r="C592" s="8" t="n">
        <x:v>495171</x:v>
      </x:c>
    </x:row>
    <x:row r="593" ht="32" customHeight="1">
      <x:c r="A593" s="8" t="str">
        <x:v>10. Contractare\4. Contractare.zip</x:v>
      </x:c>
      <x:c r="B593" s="8" t="str">
        <x:v>1. Documente solicitate pentru contractare/DE SEMNAT/11.4 Cesiro Production SRL - Factura ONRC.pdf</x:v>
      </x:c>
      <x:c r="C593" s="8" t="n">
        <x:v>183278</x:v>
      </x:c>
    </x:row>
    <x:row r="594" ht="32" customHeight="1">
      <x:c r="A594" s="8" t="str">
        <x:v>10. Contractare\4. Contractare.zip</x:v>
      </x:c>
      <x:c r="B594" s="8" t="str">
        <x:v>1. Documente solicitate pentru contractare/DE SEMNAT/11.5 HOT CESIRO PRODUCTION - ob act 12.02.2024 ONRC .pdf</x:v>
      </x:c>
      <x:c r="C594" s="8" t="n">
        <x:v>65710</x:v>
      </x:c>
    </x:row>
    <x:row r="595" ht="32" customHeight="1">
      <x:c r="A595" s="8" t="str">
        <x:v>10. Contractare\4. Contractare.zip</x:v>
      </x:c>
      <x:c r="B595" s="8" t="str">
        <x:v>1. Documente solicitate pentru contractare/DE SEMNAT/12. CUI Cesiro Production Color.pdf</x:v>
      </x:c>
      <x:c r="C595" s="8" t="n">
        <x:v>1192230</x:v>
      </x:c>
    </x:row>
    <x:row r="596" ht="32" customHeight="1">
      <x:c r="A596" s="8" t="str">
        <x:v>10. Contractare\4. Contractare.zip</x:v>
      </x:c>
      <x:c r="B596" s="8" t="str">
        <x:v>1. Documente solicitate pentru contractare/DE SEMNAT/2. Declaratie proprie raspundere depunere ATR.pdf</x:v>
      </x:c>
      <x:c r="C596" s="8" t="n">
        <x:v>32967</x:v>
      </x:c>
    </x:row>
    <x:row r="597" ht="32" customHeight="1">
      <x:c r="A597" s="8" t="str">
        <x:v>10. Contractare\4. Contractare.zip</x:v>
      </x:c>
      <x:c r="B597" s="8" t="str">
        <x:v>1. Documente solicitate pentru contractare/DE SEMNAT/3. EXIM BANK Extras de cont Cesiro Production SRL.pdf</x:v>
      </x:c>
      <x:c r="C597" s="8" t="n">
        <x:v>231511</x:v>
      </x:c>
    </x:row>
    <x:row r="598" ht="32" customHeight="1">
      <x:c r="A598" s="8" t="str">
        <x:v>10. Contractare\4. Contractare.zip</x:v>
      </x:c>
      <x:c r="B598" s="8" t="str">
        <x:v>1. Documente solicitate pentru contractare/DE SEMNAT/4. Notificare APM.pdf</x:v>
      </x:c>
      <x:c r="C598" s="8" t="n">
        <x:v>370002</x:v>
      </x:c>
    </x:row>
    <x:row r="599" ht="32" customHeight="1">
      <x:c r="A599" s="8" t="str">
        <x:v>10. Contractare\4. Contractare.zip</x:v>
      </x:c>
      <x:c r="B599" s="8" t="str">
        <x:v>1. Documente solicitate pentru contractare/DE SEMNAT/5. Certificat de atestare fiscala Cesiro Production SRL.pdf</x:v>
      </x:c>
      <x:c r="C599" s="8" t="n">
        <x:v>177333</x:v>
      </x:c>
    </x:row>
    <x:row r="600" ht="32" customHeight="1">
      <x:c r="A600" s="8" t="str">
        <x:v>10. Contractare\4. Contractare.zip</x:v>
      </x:c>
      <x:c r="B600" s="8" t="str">
        <x:v>1. Documente solicitate pentru contractare/DE SEMNAT/6. CESIRO P. ADRESA CONTURI SEMNATA.pdf</x:v>
      </x:c>
      <x:c r="C600" s="8" t="n">
        <x:v>311875</x:v>
      </x:c>
    </x:row>
    <x:row r="601" ht="32" customHeight="1">
      <x:c r="A601" s="8" t="str">
        <x:v>10. Contractare\4. Contractare.zip</x:v>
      </x:c>
      <x:c r="B601" s="8" t="str">
        <x:v>1. Documente solicitate pentru contractare/DE SEMNAT/7. CI Cosmin Adrian Covaciu.pdf</x:v>
      </x:c>
      <x:c r="C601" s="8" t="n">
        <x:v>158276</x:v>
      </x:c>
    </x:row>
    <x:row r="602" ht="32" customHeight="1">
      <x:c r="A602" s="8" t="str">
        <x:v>10. Contractare\4. Contractare.zip</x:v>
      </x:c>
      <x:c r="B602" s="8" t="str">
        <x:v>1. Documente solicitate pentru contractare/DE SEMNAT/8. Grafic de eșalonare.pdf</x:v>
      </x:c>
      <x:c r="C602" s="8" t="n">
        <x:v>142566</x:v>
      </x:c>
    </x:row>
    <x:row r="603" ht="32" customHeight="1">
      <x:c r="A603" s="8" t="str">
        <x:v>10. Contractare\4. Contractare.zip</x:v>
      </x:c>
      <x:c r="B603" s="8" t="str">
        <x:v>1. Documente solicitate pentru contractare/DE SEMNAT/9. Modificare ONRC+ Factura.pdf</x:v>
      </x:c>
      <x:c r="C603" s="8" t="n">
        <x:v>340319</x:v>
      </x:c>
    </x:row>
    <x:row r="604" ht="32" customHeight="1">
      <x:c r="A604" s="8" t="str">
        <x:v>10. Contractare\4. Contractare.zip</x:v>
      </x:c>
      <x:c r="B604" s="8" t="str">
        <x:v>1. Documente solicitate pentru contractare/HOT CESIRO PRODUCTION - ob act 12.02.2024 ONRC .docx</x:v>
      </x:c>
      <x:c r="C604" s="8" t="n">
        <x:v>25692</x:v>
      </x:c>
    </x:row>
    <x:row r="605" ht="32" customHeight="1">
      <x:c r="A605" s="8" t="str">
        <x:v>10. Contractare\4. Contractare.zip</x:v>
      </x:c>
      <x:c r="B605" s="8" t="str">
        <x:v>1. Documente solicitate pentru contractare/Lista documente contractare.xlsx</x:v>
      </x:c>
      <x:c r="C605" s="8" t="n">
        <x:v>12561</x:v>
      </x:c>
    </x:row>
    <x:row r="606" ht="32" customHeight="1">
      <x:c r="A606" s="8" t="str">
        <x:v>10. Contractare\4. Contractare.zip</x:v>
      </x:c>
      <x:c r="B606" s="8" t="str">
        <x:v>1. Documente solicitate pentru contractare/NotificareSolicitant_E6_8_3_SE.pdf</x:v>
      </x:c>
      <x:c r="C606" s="8" t="n">
        <x:v>398849</x:v>
      </x:c>
    </x:row>
    <x:row r="607" ht="32" customHeight="1">
      <x:c r="A607" s="8" t="str">
        <x:v>10. Contractare\4. Contractare.zip</x:v>
      </x:c>
      <x:c r="B607" s="8" t="str">
        <x:v>1. Documente solicitate pentru contractare/SEMNATE/1. Oferta castigatoare Suntree Solar Tech SRL semnat.pdf</x:v>
      </x:c>
      <x:c r="C607" s="8" t="n">
        <x:v>7784424</x:v>
      </x:c>
    </x:row>
    <x:row r="608" ht="32" customHeight="1">
      <x:c r="A608" s="8" t="str">
        <x:v>10. Contractare\4. Contractare.zip</x:v>
      </x:c>
      <x:c r="B608" s="8" t="str">
        <x:v>1. Documente solicitate pentru contractare/SEMNATE/10. Certificat constatator ONRC  Cesiro Production semnat.pdf</x:v>
      </x:c>
      <x:c r="C608" s="8" t="n">
        <x:v>918231</x:v>
      </x:c>
    </x:row>
    <x:row r="609" ht="32" customHeight="1">
      <x:c r="A609" s="8" t="str">
        <x:v>10. Contractare\4. Contractare.zip</x:v>
      </x:c>
      <x:c r="B609" s="8" t="str">
        <x:v>1. Documente solicitate pentru contractare/SEMNATE/11. Declaratie prorpie raspundere CAEN semnat.pdf</x:v>
      </x:c>
      <x:c r="C609" s="8" t="n">
        <x:v>165133</x:v>
      </x:c>
    </x:row>
    <x:row r="610" ht="32" customHeight="1">
      <x:c r="A610" s="8" t="str">
        <x:v>10. Contractare\4. Contractare.zip</x:v>
      </x:c>
      <x:c r="B610" s="8" t="str">
        <x:v>1. Documente solicitate pentru contractare/SEMNATE/11.3 Cesiro Production SRL 11-10-150[1]   ONRC semnat.pdf</x:v>
      </x:c>
      <x:c r="C610" s="8" t="n">
        <x:v>612432</x:v>
      </x:c>
    </x:row>
    <x:row r="611" ht="32" customHeight="1">
      <x:c r="A611" s="8" t="str">
        <x:v>10. Contractare\4. Contractare.zip</x:v>
      </x:c>
      <x:c r="B611" s="8" t="str">
        <x:v>1. Documente solicitate pentru contractare/SEMNATE/11.4 Cesiro Production SRL - Factura ONRC semnat.pdf</x:v>
      </x:c>
      <x:c r="C611" s="8" t="n">
        <x:v>301279</x:v>
      </x:c>
    </x:row>
    <x:row r="612" ht="32" customHeight="1">
      <x:c r="A612" s="8" t="str">
        <x:v>10. Contractare\4. Contractare.zip</x:v>
      </x:c>
      <x:c r="B612" s="8" t="str">
        <x:v>1. Documente solicitate pentru contractare/SEMNATE/11.5 HOT CESIRO PRODUCTION - ob act 12.02.2024 ONRC semnat .pdf</x:v>
      </x:c>
      <x:c r="C612" s="8" t="n">
        <x:v>181644</x:v>
      </x:c>
    </x:row>
    <x:row r="613" ht="32" customHeight="1">
      <x:c r="A613" s="8" t="str">
        <x:v>10. Contractare\4. Contractare.zip</x:v>
      </x:c>
      <x:c r="B613" s="8" t="str">
        <x:v>1. Documente solicitate pentru contractare/SEMNATE/12. CUI Cesiro Production Color semnat.pdf</x:v>
      </x:c>
      <x:c r="C613" s="8" t="n">
        <x:v>1313499</x:v>
      </x:c>
    </x:row>
    <x:row r="614" ht="32" customHeight="1">
      <x:c r="A614" s="8" t="str">
        <x:v>10. Contractare\4. Contractare.zip</x:v>
      </x:c>
      <x:c r="B614" s="8" t="str">
        <x:v>1. Documente solicitate pentru contractare/SEMNATE/2. Declaratie proprie raspundere depunere ATR semnat.pdf</x:v>
      </x:c>
      <x:c r="C614" s="8" t="n">
        <x:v>151397</x:v>
      </x:c>
    </x:row>
    <x:row r="615" ht="32" customHeight="1">
      <x:c r="A615" s="8" t="str">
        <x:v>10. Contractare\4. Contractare.zip</x:v>
      </x:c>
      <x:c r="B615" s="8" t="str">
        <x:v>1. Documente solicitate pentru contractare/SEMNATE/3. EXIM BANK Extras de cont Cesiro Production SRL semnat.pdf</x:v>
      </x:c>
      <x:c r="C615" s="8" t="n">
        <x:v>296489</x:v>
      </x:c>
    </x:row>
    <x:row r="616" ht="32" customHeight="1">
      <x:c r="A616" s="8" t="str">
        <x:v>10. Contractare\4. Contractare.zip</x:v>
      </x:c>
      <x:c r="B616" s="8" t="str">
        <x:v>1. Documente solicitate pentru contractare/SEMNATE/4. Notificare APM semnat.pdf</x:v>
      </x:c>
      <x:c r="C616" s="8" t="n">
        <x:v>491973</x:v>
      </x:c>
    </x:row>
    <x:row r="617" ht="32" customHeight="1">
      <x:c r="A617" s="8" t="str">
        <x:v>10. Contractare\4. Contractare.zip</x:v>
      </x:c>
      <x:c r="B617" s="8" t="str">
        <x:v>1. Documente solicitate pentru contractare/SEMNATE/5. Certificat de atestare fiscala Cesiro Production SRL semnat.pdf</x:v>
      </x:c>
      <x:c r="C617" s="8" t="n">
        <x:v>351602</x:v>
      </x:c>
    </x:row>
    <x:row r="618" ht="32" customHeight="1">
      <x:c r="A618" s="8" t="str">
        <x:v>10. Contractare\4. Contractare.zip</x:v>
      </x:c>
      <x:c r="B618" s="8" t="str">
        <x:v>1. Documente solicitate pentru contractare/SEMNATE/6. CESIRO P. ADRESA CONTURI SEMNATA semnat.pdf</x:v>
      </x:c>
      <x:c r="C618" s="8" t="n">
        <x:v>378347</x:v>
      </x:c>
    </x:row>
    <x:row r="619" ht="32" customHeight="1">
      <x:c r="A619" s="8" t="str">
        <x:v>10. Contractare\4. Contractare.zip</x:v>
      </x:c>
      <x:c r="B619" s="8" t="str">
        <x:v>1. Documente solicitate pentru contractare/SEMNATE/7. CI Cosmin Adrian Covaciu semnat.pdf</x:v>
      </x:c>
      <x:c r="C619" s="8" t="n">
        <x:v>279896</x:v>
      </x:c>
    </x:row>
    <x:row r="620" ht="32" customHeight="1">
      <x:c r="A620" s="8" t="str">
        <x:v>10. Contractare\4. Contractare.zip</x:v>
      </x:c>
      <x:c r="B620" s="8" t="str">
        <x:v>1. Documente solicitate pentru contractare/SEMNATE/8. Grafic de eșalonare semnat.pdf</x:v>
      </x:c>
      <x:c r="C620" s="8" t="n">
        <x:v>257080</x:v>
      </x:c>
    </x:row>
    <x:row r="621" ht="32" customHeight="1">
      <x:c r="A621" s="8" t="str">
        <x:v>10. Contractare\4. Contractare.zip</x:v>
      </x:c>
      <x:c r="B621" s="8" t="str">
        <x:v>1. Documente solicitate pentru contractare/SEMNATE/9. Modificare ONRC+ Factura semnat.pdf</x:v>
      </x:c>
      <x:c r="C621" s="8" t="n">
        <x:v>462190</x:v>
      </x:c>
    </x:row>
    <x:row r="622" ht="32" customHeight="1">
      <x:c r="A622" s="8" t="str">
        <x:v>10. Contractare\4. Contractare.zip</x:v>
      </x:c>
      <x:c r="B622" s="8" t="str">
        <x:v>2. Contractul de Finantare/Semnate/C3.2.2.pdf</x:v>
      </x:c>
      <x:c r="C622" s="8" t="n">
        <x:v>392146</x:v>
      </x:c>
    </x:row>
    <x:row r="623" ht="32" customHeight="1">
      <x:c r="A623" s="8" t="str">
        <x:v>11. Contract Finantare Semnat\AnexaI_FM semnat.zip</x:v>
      </x:c>
      <x:c r="B623" s="8" t="str">
        <x:v>AnexaI_FM semnat.pdf</x:v>
      </x:c>
      <x:c r="C623" s="8" t="n">
        <x:v>411053</x:v>
      </x:c>
    </x:row>
    <x:row r="624" ht="32" customHeight="1">
      <x:c r="A624" s="8" t="str">
        <x:v>11. Contract Finantare Semnat\AnexaI_FM semnat.zip</x:v>
      </x:c>
      <x:c r="B624" s="8" t="str">
        <x:v>AnexaII_FM semnat.pdf</x:v>
      </x:c>
      <x:c r="C624" s="8" t="n">
        <x:v>703767</x:v>
      </x:c>
    </x:row>
    <x:row r="625" ht="32" customHeight="1">
      <x:c r="A625" s="8" t="str">
        <x:v>11. Contract Finantare Semnat\AnexaI_FM semnat.zip</x:v>
      </x:c>
      <x:c r="B625" s="8" t="str">
        <x:v>AnexaIII_FM semnat.pdf</x:v>
      </x:c>
      <x:c r="C625" s="8" t="n">
        <x:v>317733</x:v>
      </x:c>
    </x:row>
    <x:row r="626" ht="32" customHeight="1">
      <x:c r="A626" s="8" t="str">
        <x:v>11. Contract Finantare Semnat\AnexaI_FM semnat.zip</x:v>
      </x:c>
      <x:c r="B626" s="8" t="str">
        <x:v>AnexaIV_FM semnat.pdf</x:v>
      </x:c>
      <x:c r="C626" s="8" t="n">
        <x:v>413742</x:v>
      </x:c>
    </x:row>
    <x:row r="627" ht="32" customHeight="1">
      <x:c r="A627" s="8" t="str">
        <x:v>11. Contract Finantare Semnat\AnexaI_FM semnat.zip</x:v>
      </x:c>
      <x:c r="B627" s="8" t="str">
        <x:v>Contract Afir Cesiro Prod.pdf</x:v>
      </x:c>
      <x:c r="C627" s="8" t="n">
        <x:v>1828713</x:v>
      </x:c>
    </x:row>
    <x:row r="628" ht="32" customHeight="1">
      <x:c r="A628" s="8" t="str">
        <x:v>11. Contract Finantare Semnat\AnexaI_FM semnat.zip</x:v>
      </x:c>
      <x:c r="B628" s="8" t="str">
        <x:v>factura_proforma_24022026_145801.pdf</x:v>
      </x:c>
      <x:c r="C628" s="8" t="n">
        <x:v>8462</x:v>
      </x:c>
    </x:row>
    <x:row r="629" ht="32" customHeight="1">
      <x:c r="A629" s="8" t="str">
        <x:v>11. Contract Finantare Semnat\AnexaI_FM semnat.zip</x:v>
      </x:c>
      <x:c r="B629" s="8" t="str">
        <x:v>Formulare plată beneficiari schemă Energie (Actualizat 31.10.2025).rar</x:v>
      </x:c>
      <x:c r="C629" s="8" t="n">
        <x:v>1237940</x:v>
      </x:c>
    </x:row>
    <x:row r="630" ht="32" customHeight="1">
      <x:c r="A630" s="8" t="str">
        <x:v>11. Contract Finantare Semnat\AnexaI_FM semnat.zip</x:v>
      </x:c>
      <x:c r="B630" s="8" t="str">
        <x:v>Notificare Schimbare Structura Actionariatului Cesiro Production SRL.docx</x:v>
      </x:c>
      <x:c r="C630" s="8" t="n">
        <x:v>18273</x:v>
      </x:c>
    </x:row>
    <x:row r="631" ht="32" customHeight="1">
      <x:c r="A631" s="8" t="str">
        <x:v>11. Contract Finantare Semnat\AnexaI_FM semnat.zip</x:v>
      </x:c>
      <x:c r="B631" s="8" t="str">
        <x:v>Notificare Schimbare Structura Actionariatului Cesiro Production SRL.pdf</x:v>
      </x:c>
      <x:c r="C631" s="8" t="n">
        <x:v>268586</x:v>
      </x:c>
    </x:row>
    <x:row r="632" ht="32" customHeight="1">
      <x:c r="A632" s="8" t="str">
        <x:v>11. Contract Finantare Semnat\AnexaI_FM semnat.zip</x:v>
      </x:c>
      <x:c r="B632" s="8" t="str">
        <x:v>Proforma nr_7.pdf</x:v>
      </x:c>
      <x:c r="C632" s="8" t="n">
        <x:v>8463</x:v>
      </x:c>
    </x:row>
    <x:row r="633" ht="32" customHeight="1">
      <x:c r="A633" s="8" t="str">
        <x:v>15.1 Promovare-Informare\cesiro_pagina_promovare_fm_final.zip</x:v>
      </x:c>
      <x:c r="B633" s="8" t="str">
        <x:v>cesiro_promovare_afir_fm_final/index.html</x:v>
      </x:c>
      <x:c r="C633" s="8" t="n">
        <x:v>20664</x:v>
      </x:c>
    </x:row>
    <x:row r="634" ht="32" customHeight="1">
      <x:c r="A634" s="8" t="str">
        <x:v>15.1 Promovare-Informare\cesiro_pagina_promovare_fm_final.zip</x:v>
      </x:c>
      <x:c r="B634" s="8" t="str">
        <x:v>cesiro_promovare_afir_fm_final/assets/logo_guvern.png</x:v>
      </x:c>
      <x:c r="C634" s="8" t="n">
        <x:v>52911</x:v>
      </x:c>
    </x:row>
    <x:row r="635" ht="32" customHeight="1">
      <x:c r="A635" s="8" t="str">
        <x:v>15.1 Promovare-Informare\cesiro_pagina_promovare_fm_final.zip</x:v>
      </x:c>
      <x:c r="B635" s="8" t="str">
        <x:v>cesiro_promovare_afir_fm_final/assets/logo_fm_finantat_ue_ets.png</x:v>
      </x:c>
      <x:c r="C635" s="8" t="n">
        <x:v>26419</x:v>
      </x:c>
    </x:row>
    <x:row r="636" ht="32" customHeight="1">
      <x:c r="A636" s="8" t="str">
        <x:v>15.1 Promovare-Informare\cesiro_pagina_promovare_fm_final.zip</x:v>
      </x:c>
      <x:c r="B636" s="8" t="str">
        <x:v>cesiro_promovare_afir_fm_final/assets/logo_comisia_europeana_ro.png</x:v>
      </x:c>
      <x:c r="C636" s="8" t="n">
        <x:v>57297</x:v>
      </x:c>
    </x:row>
    <x:row r="637" ht="32" customHeight="1">
      <x:c r="A637" s="8" t="str">
        <x:v>15.1 Promovare-Informare\cesiro_pagina_promovare_fm_final.zip</x:v>
      </x:c>
      <x:c r="B637" s="8" t="str">
        <x:v>cesiro_promovare_afir_fm_final/assets/logo_bei_ro.png</x:v>
      </x:c>
      <x:c r="C637" s="8" t="n">
        <x:v>9990</x:v>
      </x:c>
    </x:row>
    <x:row r="638" ht="32" customHeight="1">
      <x:c r="A638" s="8" t="str">
        <x:v>15.1 Promovare-Informare\cesiro_pagina_promovare_fm_final.zip</x:v>
      </x:c>
      <x:c r="B638" s="8" t="str">
        <x:v>cesiro_promovare_afir_fm_final/assets/logo_afir.png</x:v>
      </x:c>
      <x:c r="C638" s="8" t="n">
        <x:v>41910</x:v>
      </x:c>
    </x:row>
    <x:row r="639" ht="32" customHeight="1">
      <x:c r="A639" s="8" t="str">
        <x:v>15.1 Promovare-Informare\cesiro_pagina_promovare_fm_final.zip</x:v>
      </x:c>
      <x:c r="B639" s="8" t="str">
        <x:v>cesiro_pagina_promovare_fm_final_standalone.html</x:v>
      </x:c>
      <x:c r="C639" s="8" t="n">
        <x:v>523360</x:v>
      </x:c>
    </x:row>
    <x:row r="640" ht="36" customHeight="1">
      <x:c r="A640" s="8" t="str">
        <x:v>20. ATR\20. ATR.zip</x:v>
      </x:c>
      <x:c r="B640" s="8" t="str">
        <x:v>1. Documente Solicitare ATR/2025.05.05 cerere de inscriere nume in ATR/5.-Cerere-de-racordare-prosumator-–-prin-programe-de-finantare-Anexa-4.docx</x:v>
      </x:c>
      <x:c r="C640" s="8" t="n">
        <x:v>31078</x:v>
      </x:c>
    </x:row>
    <x:row r="641" ht="32" customHeight="1">
      <x:c r="A641" s="8" t="str">
        <x:v>20. ATR\20. ATR.zip</x:v>
      </x:c>
      <x:c r="B641" s="8" t="str">
        <x:v>1. Documente Solicitare ATR/ACTE Tg. Mures/2. Loc de consum existent_Anexa nr 2.docx</x:v>
      </x:c>
      <x:c r="C641" s="8" t="n">
        <x:v>25896</x:v>
      </x:c>
    </x:row>
    <x:row r="642" ht="32" customHeight="1">
      <x:c r="A642" s="8" t="str">
        <x:v>20. ATR\20. ATR.zip</x:v>
      </x:c>
      <x:c r="B642" s="8" t="str">
        <x:v>1. Documente Solicitare ATR/ACTE Tg. Mures/atr sigh 2.pdf</x:v>
      </x:c>
      <x:c r="C642" s="8" t="n">
        <x:v>167290</x:v>
      </x:c>
    </x:row>
    <x:row r="643" ht="32" customHeight="1">
      <x:c r="A643" s="8" t="str">
        <x:v>20. ATR\20. ATR.zip</x:v>
      </x:c>
      <x:c r="B643" s="8" t="str">
        <x:v>1. Documente Solicitare ATR/ACTE Tg. Mures/atr sigh.pdf</x:v>
      </x:c>
      <x:c r="C643" s="8" t="n">
        <x:v>167033</x:v>
      </x:c>
    </x:row>
    <x:row r="644" ht="32" customHeight="1">
      <x:c r="A644" s="8" t="str">
        <x:v>20. ATR\20. ATR.zip</x:v>
      </x:c>
      <x:c r="B644" s="8" t="str">
        <x:v>1. Documente Solicitare ATR/ACTE Tg. Mures/crr sigh 2.pdf</x:v>
      </x:c>
      <x:c r="C644" s="8" t="n">
        <x:v>154561</x:v>
      </x:c>
    </x:row>
    <x:row r="645" ht="32" customHeight="1">
      <x:c r="A645" s="8" t="str">
        <x:v>20. ATR\20. ATR.zip</x:v>
      </x:c>
      <x:c r="B645" s="8" t="str">
        <x:v>1. Documente Solicitare ATR/ACTE Tg. Mures/crr sighisoara.pdf</x:v>
      </x:c>
      <x:c r="C645" s="8" t="n">
        <x:v>153817</x:v>
      </x:c>
    </x:row>
    <x:row r="646" ht="32" customHeight="1">
      <x:c r="A646" s="8" t="str">
        <x:v>20. ATR\20. ATR.zip</x:v>
      </x:c>
      <x:c r="B646" s="8" t="str">
        <x:v>1. Documente Solicitare ATR/ACTE Tg. Mures/Declaratie autenticitate date  RACORDARE.doc</x:v>
      </x:c>
      <x:c r="C646" s="8" t="n">
        <x:v>35840</x:v>
      </x:c>
    </x:row>
    <x:row r="647" ht="32" customHeight="1">
      <x:c r="A647" s="8" t="str">
        <x:v>20. ATR\20. ATR.zip</x:v>
      </x:c>
      <x:c r="B647" s="8" t="str">
        <x:v>1. Documente Solicitare ATR/ACTE Tg. Mures/model imputernicire.pdf</x:v>
      </x:c>
      <x:c r="C647" s="8" t="n">
        <x:v>310282</x:v>
      </x:c>
    </x:row>
    <x:row r="648" ht="32" customHeight="1">
      <x:c r="A648" s="8" t="str">
        <x:v>20. ATR\20. ATR.zip</x:v>
      </x:c>
      <x:c r="B648" s="8" t="str">
        <x:v>1. Documente Solicitare ATR/ACTE Tg. Mures/Nota-informare-clienti-DEER.doc</x:v>
      </x:c>
      <x:c r="C648" s="8" t="n">
        <x:v>103424</x:v>
      </x:c>
    </x:row>
    <x:row r="649" ht="32" customHeight="1">
      <x:c r="A649" s="8" t="str">
        <x:v>20. ATR\20. ATR.zip</x:v>
      </x:c>
      <x:c r="B649" s="8" t="str">
        <x:v>1. Documente Solicitare ATR/ARTFIL PLAN ETAJ.pdf</x:v>
      </x:c>
      <x:c r="C649" s="8" t="n">
        <x:v>663751</x:v>
      </x:c>
    </x:row>
    <x:row r="650" ht="32" customHeight="1">
      <x:c r="A650" s="8" t="str">
        <x:v>20. ATR\20. ATR.zip</x:v>
      </x:c>
      <x:c r="B650" s="8" t="str">
        <x:v>1. Documente Solicitare ATR/ARTFIL PLAN PARTER.pdf</x:v>
      </x:c>
      <x:c r="C650" s="8" t="n">
        <x:v>623593</x:v>
      </x:c>
    </x:row>
    <x:row r="651" ht="32" customHeight="1">
      <x:c r="A651" s="8" t="str">
        <x:v>20. ATR\20. ATR.zip</x:v>
      </x:c>
      <x:c r="B651" s="8" t="str">
        <x:v>1. Documente Solicitare ATR/artfil utilat.pdf</x:v>
      </x:c>
      <x:c r="C651" s="8" t="n">
        <x:v>309798</x:v>
      </x:c>
    </x:row>
    <x:row r="652" ht="32" customHeight="1">
      <x:c r="A652" s="8" t="str">
        <x:v>20. ATR\20. ATR.zip</x:v>
      </x:c>
      <x:c r="B652" s="8" t="str">
        <x:v>1. Documente Solicitare ATR/ATR Cesiro.pdf</x:v>
      </x:c>
      <x:c r="C652" s="8" t="n">
        <x:v>207874</x:v>
      </x:c>
    </x:row>
    <x:row r="653" ht="32" customHeight="1">
      <x:c r="A653" s="8" t="str">
        <x:v>20. ATR\20. ATR.zip</x:v>
      </x:c>
      <x:c r="B653" s="8" t="str">
        <x:v>1. Documente Solicitare ATR/CERERE DE EMITERE A DOUĂ AVIZE TEHNICE DE RACORDARE.docx</x:v>
      </x:c>
      <x:c r="C653" s="8" t="n">
        <x:v>17618</x:v>
      </x:c>
    </x:row>
    <x:row r="654" ht="32" customHeight="1">
      <x:c r="A654" s="8" t="str">
        <x:v>20. ATR\20. ATR.zip</x:v>
      </x:c>
      <x:c r="B654" s="8" t="str">
        <x:v>1. Documente Solicitare ATR/cerere-si-chestionar-pentru-obtinere-atr-cu-o-putere-mai-mare-de-100-kw.pdf</x:v>
      </x:c>
      <x:c r="C654" s="8" t="n">
        <x:v>211535</x:v>
      </x:c>
    </x:row>
    <x:row r="655" ht="32" customHeight="1">
      <x:c r="A655" s="8" t="str">
        <x:v>20. ATR\20. ATR.zip</x:v>
      </x:c>
      <x:c r="B655" s="8" t="str">
        <x:v>1. Documente Solicitare ATR/De Depus/3. Certificat Constatator Cesiro Production.pdf</x:v>
      </x:c>
      <x:c r="C655" s="8" t="n">
        <x:v>209255</x:v>
      </x:c>
    </x:row>
    <x:row r="656" ht="32" customHeight="1">
      <x:c r="A656" s="8" t="str">
        <x:v>20. ATR\20. ATR.zip</x:v>
      </x:c>
      <x:c r="B656" s="8" t="str">
        <x:v>1. Documente Solicitare ATR/De Depus/58300 IPEC.pdf</x:v>
      </x:c>
      <x:c r="C656" s="8" t="n">
        <x:v>117771</x:v>
      </x:c>
    </x:row>
    <x:row r="657" ht="32" customHeight="1">
      <x:c r="A657" s="8" t="str">
        <x:v>20. ATR\20. ATR.zip</x:v>
      </x:c>
      <x:c r="B657" s="8" t="str">
        <x:v>1. Documente Solicitare ATR/De Depus/ATR Cesiro.pdf</x:v>
      </x:c>
      <x:c r="C657" s="8" t="n">
        <x:v>207874</x:v>
      </x:c>
    </x:row>
    <x:row r="658" ht="32" customHeight="1">
      <x:c r="A658" s="8" t="str">
        <x:v>20. ATR\20. ATR.zip</x:v>
      </x:c>
      <x:c r="B658" s="8" t="str">
        <x:v>1. Documente Solicitare ATR/De Depus/Cesiro Production 2025_Page_1.png</x:v>
      </x:c>
      <x:c r="C658" s="8" t="n">
        <x:v>11651026</x:v>
      </x:c>
    </x:row>
    <x:row r="659" ht="32" customHeight="1">
      <x:c r="A659" s="8" t="str">
        <x:v>20. ATR\20. ATR.zip</x:v>
      </x:c>
      <x:c r="B659" s="8" t="str">
        <x:v>1. Documente Solicitare ATR/De Depus/Cesiro Production 2025_Page_2.png</x:v>
      </x:c>
      <x:c r="C659" s="8" t="n">
        <x:v>2288852</x:v>
      </x:c>
    </x:row>
    <x:row r="660" ht="32" customHeight="1">
      <x:c r="A660" s="8" t="str">
        <x:v>20. ATR\20. ATR.zip</x:v>
      </x:c>
      <x:c r="B660" s="8" t="str">
        <x:v>1. Documente Solicitare ATR/De Depus/Cesiro Production 2025_Page_3.png</x:v>
      </x:c>
      <x:c r="C660" s="8" t="n">
        <x:v>2118687</x:v>
      </x:c>
    </x:row>
    <x:row r="661" ht="32" customHeight="1">
      <x:c r="A661" s="8" t="str">
        <x:v>20. ATR\20. ATR.zip</x:v>
      </x:c>
      <x:c r="B661" s="8" t="str">
        <x:v>1. Documente Solicitare ATR/De Depus/Cesiro Production 2025_Page_4.png</x:v>
      </x:c>
      <x:c r="C661" s="8" t="n">
        <x:v>1153587</x:v>
      </x:c>
    </x:row>
    <x:row r="662" ht="32" customHeight="1">
      <x:c r="A662" s="8" t="str">
        <x:v>20. ATR\20. ATR.zip</x:v>
      </x:c>
      <x:c r="B662" s="8" t="str">
        <x:v>1. Documente Solicitare ATR/De Depus/Cesiro Production 2025_Page_5.png</x:v>
      </x:c>
      <x:c r="C662" s="8" t="n">
        <x:v>3209744</x:v>
      </x:c>
    </x:row>
    <x:row r="663" ht="32" customHeight="1">
      <x:c r="A663" s="8" t="str">
        <x:v>20. ATR\20. ATR.zip</x:v>
      </x:c>
      <x:c r="B663" s="8" t="str">
        <x:v>1. Documente Solicitare ATR/De Depus/CI Cosmin Covaciu .jpg</x:v>
      </x:c>
      <x:c r="C663" s="8" t="n">
        <x:v>298244</x:v>
      </x:c>
    </x:row>
    <x:row r="664" ht="32" customHeight="1">
      <x:c r="A664" s="8" t="str">
        <x:v>20. ATR\20. ATR.zip</x:v>
      </x:c>
      <x:c r="B664" s="8" t="str">
        <x:v>1. Documente Solicitare ATR/De Depus/Contract de inchiriere IPEC SA cu Cesiro Production.pdf</x:v>
      </x:c>
      <x:c r="C664" s="8" t="n">
        <x:v>8565306</x:v>
      </x:c>
    </x:row>
    <x:row r="665" ht="32" customHeight="1">
      <x:c r="A665" s="8" t="str">
        <x:v>20. ATR\20. ATR.zip</x:v>
      </x:c>
      <x:c r="B665" s="8" t="str">
        <x:v>1. Documente Solicitare ATR/De Depus/CUI Cesiro Production 2025.pdf</x:v>
      </x:c>
      <x:c r="C665" s="8" t="n">
        <x:v>3010907</x:v>
      </x:c>
    </x:row>
    <x:row r="666" ht="32" customHeight="1">
      <x:c r="A666" s="8" t="str">
        <x:v>20. ATR\20. ATR.zip</x:v>
      </x:c>
      <x:c r="B666" s="8" t="str">
        <x:v>1. Documente Solicitare ATR/De Depus/GDPR ATR Distributie Energie Electrica Mures.pdf</x:v>
      </x:c>
      <x:c r="C666" s="8" t="n">
        <x:v>228524</x:v>
      </x:c>
    </x:row>
    <x:row r="667" ht="32" customHeight="1">
      <x:c r="A667" s="8" t="str">
        <x:v>20. ATR\20. ATR.zip</x:v>
      </x:c>
      <x:c r="B667" s="8" t="str">
        <x:v>1. Documente Solicitare ATR/GDPR ATR Distributie Energie Electrica Mures.docx</x:v>
      </x:c>
      <x:c r="C667" s="8" t="n">
        <x:v>16680</x:v>
      </x:c>
    </x:row>
    <x:row r="668" ht="32" customHeight="1">
      <x:c r="A668" s="8" t="str">
        <x:v>20. ATR\20. ATR.zip</x:v>
      </x:c>
      <x:c r="B668" s="8" t="str">
        <x:v>1. Documente Solicitare ATR/GDPR ATR Distributie Energie Electrica Mures.pdf</x:v>
      </x:c>
      <x:c r="C668" s="8" t="n">
        <x:v>115257</x:v>
      </x:c>
    </x:row>
    <x:row r="669" ht="32" customHeight="1">
      <x:c r="A669" s="8" t="str">
        <x:v>20. ATR\20. ATR.zip</x:v>
      </x:c>
      <x:c r="B669" s="8" t="str">
        <x:v>1. Documente Solicitare ATR/GDPR Nota-informare-clienti-DEER-final.pdf</x:v>
      </x:c>
      <x:c r="C669" s="8" t="n">
        <x:v>304502</x:v>
      </x:c>
    </x:row>
    <x:row r="670" ht="32" customHeight="1">
      <x:c r="A670" s="8" t="str">
        <x:v>20. ATR\20. ATR.zip</x:v>
      </x:c>
      <x:c r="B670" s="8" t="str">
        <x:v>1. Documente Solicitare ATR/Plan ARTFIL scara 1 la 1000.doc</x:v>
      </x:c>
      <x:c r="C670" s="8" t="n">
        <x:v>162816</x:v>
      </x:c>
    </x:row>
    <x:row r="671" ht="32" customHeight="1">
      <x:c r="A671" s="8" t="str">
        <x:v>20. ATR\20. ATR.zip</x:v>
      </x:c>
      <x:c r="B671" s="8" t="str">
        <x:v>1. Documente Solicitare ATR/Producator si consum/Proces-Racordare-La-Retelele-Electrice-V4.4.pptx</x:v>
      </x:c>
      <x:c r="C671" s="8" t="n">
        <x:v>437975</x:v>
      </x:c>
    </x:row>
    <x:row r="672" ht="32" customHeight="1">
      <x:c r="A672" s="8" t="str">
        <x:v>20. ATR\20. ATR.zip</x:v>
      </x:c>
      <x:c r="B672" s="8" t="str">
        <x:v>1. Documente Solicitare ATR/Proiect Fotovoltaice Cesiro.pdf</x:v>
      </x:c>
      <x:c r="C672" s="8" t="n">
        <x:v>525878</x:v>
      </x:c>
    </x:row>
    <x:row r="673" ht="32" customHeight="1">
      <x:c r="A673" s="8" t="str">
        <x:v>20. ATR\20. ATR.zip</x:v>
      </x:c>
      <x:c r="B673" s="8" t="str">
        <x:v>1. Documente Solicitare ATR/Prosumator/1.-Loc-consum-si-producere-nou-_Anexa-nr-1.docx</x:v>
      </x:c>
      <x:c r="C673" s="8" t="n">
        <x:v>24295</x:v>
      </x:c>
    </x:row>
    <x:row r="674" ht="32" customHeight="1">
      <x:c r="A674" s="8" t="str">
        <x:v>20. ATR\20. ATR.zip</x:v>
      </x:c>
      <x:c r="B674" s="8" t="str">
        <x:v>1. Documente Solicitare ATR/Prosumator/2.-Loc-de-consum-existent_Anexa-nr-2.docx</x:v>
      </x:c>
      <x:c r="C674" s="8" t="n">
        <x:v>26346</x:v>
      </x:c>
    </x:row>
    <x:row r="675" ht="32" customHeight="1">
      <x:c r="A675" s="8" t="str">
        <x:v>20. ATR\20. ATR.zip</x:v>
      </x:c>
      <x:c r="B675" s="8" t="str">
        <x:v>1. Documente Solicitare ATR/Prosumator/Autoproducator.doc</x:v>
      </x:c>
      <x:c r="C675" s="8" t="n">
        <x:v>227840</x:v>
      </x:c>
    </x:row>
    <x:row r="676" ht="36" customHeight="1">
      <x:c r="A676" s="8" t="str">
        <x:v>20. ATR\20. ATR.zip</x:v>
      </x:c>
      <x:c r="B676" s="8" t="str">
        <x:v>1. Documente Solicitare ATR/Prosumator/Persoane fizice si juridice care au puterea instalata pe producere mai mare de  400kW.doc</x:v>
      </x:c>
      <x:c r="C676" s="8" t="n">
        <x:v>241664</x:v>
      </x:c>
    </x:row>
    <x:row r="677" ht="32" customHeight="1">
      <x:c r="A677" s="8" t="str">
        <x:v>20. ATR\20. ATR.zip</x:v>
      </x:c>
      <x:c r="B677" s="8" t="str">
        <x:v>1. Documente Solicitare ATR/PROTOCOL DE ÎMPĂRȚIRE A CONSUMULUI ȘI RACORDĂRII ÎNTRE IPEC SA ȘI CESIRO PRODUCTION SRL.docx</x:v>
      </x:c>
      <x:c r="C677" s="8" t="n">
        <x:v>16880</x:v>
      </x:c>
    </x:row>
    <x:row r="678" ht="32" customHeight="1">
      <x:c r="A678" s="8" t="str">
        <x:v>20. ATR\20. ATR.zip</x:v>
      </x:c>
      <x:c r="B678" s="8" t="str">
        <x:v>1. Documente Solicitare ATR/SaCERERE DE MODIFICARE ATR.docx</x:v>
      </x:c>
      <x:c r="C678" s="8" t="n">
        <x:v>18132</x:v>
      </x:c>
    </x:row>
    <x:row r="679" ht="32" customHeight="1">
      <x:c r="A679" s="8" t="str">
        <x:v>20. ATR\20. ATR.zip</x:v>
      </x:c>
      <x:c r="B679" s="8" t="str">
        <x:v>1. Documente Solicitare ATR/Tema de proiectare schema monofilara sistemului fotovoltaic CESIRO 1MW.docx</x:v>
      </x:c>
      <x:c r="C679" s="8" t="n">
        <x:v>22718</x:v>
      </x:c>
    </x:row>
    <x:row r="680" ht="32" customHeight="1">
      <x:c r="A680" s="8" t="str">
        <x:v>20. ATR\20. ATR.zip</x:v>
      </x:c>
      <x:c r="B680" s="8" t="str">
        <x:v>2. ATR/2025.05.23/DATR011 ProsumatorPJ.pdf</x:v>
      </x:c>
      <x:c r="C680" s="8" t="n">
        <x:v>565630</x:v>
      </x:c>
    </x:row>
    <x:row r="681" ht="32" customHeight="1">
      <x:c r="A681" s="8" t="str">
        <x:v>20. ATR\20. ATR.zip</x:v>
      </x:c>
      <x:c r="B681" s="8" t="str">
        <x:v>2026.05.19 de semnat/CI Nou Cosmin Covaciu 2025 semnat (1) (1).pdf</x:v>
      </x:c>
      <x:c r="C681" s="8" t="n">
        <x:v>2975908</x:v>
      </x:c>
    </x:row>
    <x:row r="682" ht="32" customHeight="1">
      <x:c r="A682" s="8" t="str">
        <x:v>20. ATR\20. ATR.zip</x:v>
      </x:c>
      <x:c r="B682" s="8" t="str">
        <x:v>2026.05.19 de semnat/Contract de prestări servicii.pdf</x:v>
      </x:c>
      <x:c r="C682" s="8" t="n">
        <x:v>355948</x:v>
      </x:c>
    </x:row>
    <x:row r="683" ht="32" customHeight="1">
      <x:c r="A683" s="8" t="str">
        <x:v>20. ATR\20. ATR.zip</x:v>
      </x:c>
      <x:c r="B683" s="8" t="str">
        <x:v>2026.05.19 de semnat/CUI Cesiro Production.pdf</x:v>
      </x:c>
      <x:c r="C683" s="8" t="n">
        <x:v>62687</x:v>
      </x:c>
    </x:row>
    <x:row r="684" ht="32" customHeight="1">
      <x:c r="A684" s="8" t="str">
        <x:v>20. ATR\20. ATR.zip</x:v>
      </x:c>
      <x:c r="B684" s="8" t="str">
        <x:v>2026.05.19 de semnat/DATR011 ProsumatorPJ.pdf</x:v>
      </x:c>
      <x:c r="C684" s="8" t="n">
        <x:v>565630</x:v>
      </x:c>
    </x:row>
    <x:row r="685" ht="32" customHeight="1">
      <x:c r="A685" s="8" t="str">
        <x:v>20. ATR\20. ATR.zip</x:v>
      </x:c>
      <x:c r="B685" s="8" t="str">
        <x:v>2026.05.19 de semnat/Notificare-utilizator-incheiere-contract-cu-tert-Ordin-181 (1).pdf</x:v>
      </x:c>
      <x:c r="C685" s="8" t="n">
        <x:v>424573</x:v>
      </x:c>
    </x:row>
    <x:row r="686" ht="32" customHeight="1">
      <x:c r="A686" s="8" t="str">
        <x:v>20. ATR\20. ATR.zip</x:v>
      </x:c>
      <x:c r="B686" s="8" t="str">
        <x:v>2026.05.19 de semnat/Reglare Protectii.pdf</x:v>
      </x:c>
      <x:c r="C686" s="8" t="n">
        <x:v>290029</x:v>
      </x:c>
    </x:row>
    <x:row r="687" ht="32" customHeight="1">
      <x:c r="A687" s="8" t="str">
        <x:v>20. ATR\20. ATR.zip</x:v>
      </x:c>
      <x:c r="B687" s="8" t="str">
        <x:v>2026.05.19 semnat/CI Nou Cosmin Covaciu 2025 semnat (1) (1).pdf</x:v>
      </x:c>
      <x:c r="C687" s="8" t="n">
        <x:v>2975908</x:v>
      </x:c>
    </x:row>
    <x:row r="688" ht="32" customHeight="1">
      <x:c r="A688" s="8" t="str">
        <x:v>20. ATR\20. ATR.zip</x:v>
      </x:c>
      <x:c r="B688" s="8" t="str">
        <x:v>2026.05.19 semnat/Contract de prestări servicii.pdf</x:v>
      </x:c>
      <x:c r="C688" s="8" t="n">
        <x:v>421522</x:v>
      </x:c>
    </x:row>
    <x:row r="689" ht="32" customHeight="1">
      <x:c r="A689" s="8" t="str">
        <x:v>20. ATR\20. ATR.zip</x:v>
      </x:c>
      <x:c r="B689" s="8" t="str">
        <x:v>2026.05.19 semnat/CUI Cesiro Production.pdf</x:v>
      </x:c>
      <x:c r="C689" s="8" t="n">
        <x:v>139787</x:v>
      </x:c>
    </x:row>
    <x:row r="690" ht="32" customHeight="1">
      <x:c r="A690" s="8" t="str">
        <x:v>20. ATR\20. ATR.zip</x:v>
      </x:c>
      <x:c r="B690" s="8" t="str">
        <x:v>2026.05.19 semnat/DATR011 ProsumatorPJ.pdf</x:v>
      </x:c>
      <x:c r="C690" s="8" t="n">
        <x:v>585392</x:v>
      </x:c>
    </x:row>
    <x:row r="691" ht="32" customHeight="1">
      <x:c r="A691" s="8" t="str">
        <x:v>20. ATR\20. ATR.zip</x:v>
      </x:c>
      <x:c r="B691" s="8" t="str">
        <x:v>2026.05.19 semnat/Notificare-utilizator-incheiere-contract-cu-tert-Ordin-181 (1).pdf</x:v>
      </x:c>
      <x:c r="C691" s="8" t="n">
        <x:v>486948</x:v>
      </x:c>
    </x:row>
    <x:row r="692" ht="32" customHeight="1">
      <x:c r="A692" s="8" t="str">
        <x:v>20. ATR\20. ATR.zip</x:v>
      </x:c>
      <x:c r="B692" s="8" t="str">
        <x:v>2026.05.19 semnat/Reglare Protectii.pdf</x:v>
      </x:c>
      <x:c r="C692" s="8" t="n">
        <x:v>352590</x:v>
      </x:c>
    </x:row>
    <x:row r="693" ht="32" customHeight="1">
      <x:c r="A693" s="8" t="str">
        <x:v>4. Cerere de finantare\Clarificari AFIR-CESIRO PRODUCTION SRL (1).zip</x:v>
      </x:c>
      <x:c r="B693" s="8" t="str">
        <x:v>4. Dosar achizitie/Contract Suntree Solar Tech SRL - Cesiro Production SRL.pdf</x:v>
      </x:c>
      <x:c r="C693" s="8" t="n">
        <x:v>5852377</x:v>
      </x:c>
    </x:row>
    <x:row r="694" ht="32" customHeight="1">
      <x:c r="A694" s="8" t="str">
        <x:v>4. Cerere de finantare\Clarificari AFIR-CESIRO PRODUCTION SRL (1).zip</x:v>
      </x:c>
      <x:c r="B694" s="8" t="str">
        <x:v>4. Dosar achizitie/Oferte/1. Albaco Exim SRL/Anexe/Acte societate/Certificat constatator Albaco Exim SRL.pdf</x:v>
      </x:c>
      <x:c r="C694" s="8" t="n">
        <x:v>583873</x:v>
      </x:c>
    </x:row>
    <x:row r="695" ht="32" customHeight="1">
      <x:c r="A695" s="8" t="str">
        <x:v>4. Cerere de finantare\Clarificari AFIR-CESIRO PRODUCTION SRL (1).zip</x:v>
      </x:c>
      <x:c r="B695" s="8" t="str">
        <x:v>4. Dosar achizitie/Oferte/1. Albaco Exim SRL/Anexe/Acte societate/Certificat de inregistrare Albaco Exim SRL.pdf</x:v>
      </x:c>
      <x:c r="C695" s="8" t="n">
        <x:v>1823403</x:v>
      </x:c>
    </x:row>
    <x:row r="696" ht="32" customHeight="1">
      <x:c r="A696" s="8" t="str">
        <x:v>4. Cerere de finantare\Clarificari AFIR-CESIRO PRODUCTION SRL (1).zip</x:v>
      </x:c>
      <x:c r="B696" s="8" t="str">
        <x:v>4. Dosar achizitie/Oferte/1. Albaco Exim SRL/Anexe/Fise tehnice echipamente ofertate/JKM570N-72HL4-BDV.pdf</x:v>
      </x:c>
      <x:c r="C696" s="8" t="n">
        <x:v>278953</x:v>
      </x:c>
    </x:row>
    <x:row r="697" ht="32" customHeight="1">
      <x:c r="A697" s="8" t="str">
        <x:v>4. Cerere de finantare\Clarificari AFIR-CESIRO PRODUCTION SRL (1).zip</x:v>
      </x:c>
      <x:c r="B697" s="8" t="str">
        <x:v>4. Dosar achizitie/Oferte/1. Albaco Exim SRL/Anexe/Fise tehnice echipamente ofertate/LUNA2000-200KWH-2H1.pdf</x:v>
      </x:c>
      <x:c r="C697" s="8" t="n">
        <x:v>194256</x:v>
      </x:c>
    </x:row>
    <x:row r="698" ht="36" customHeight="1">
      <x:c r="A698" s="8" t="str">
        <x:v>4. Cerere de finantare\Clarificari AFIR-CESIRO PRODUCTION SRL (1).zip</x:v>
      </x:c>
      <x:c r="B698" s="8" t="str">
        <x:v>4. Dosar achizitie/Oferte/1. Albaco Exim SRL/Anexe/Fise tehnice echipamente ofertate/SUN2000-100KTL-110KTL-125KTL-Series-User-Manualro.pdf</x:v>
      </x:c>
      <x:c r="C698" s="8" t="n">
        <x:v>10496947</x:v>
      </x:c>
    </x:row>
    <x:row r="699" ht="32" customHeight="1">
      <x:c r="A699" s="8" t="str">
        <x:v>4. Cerere de finantare\Clarificari AFIR-CESIRO PRODUCTION SRL (1).zip</x:v>
      </x:c>
      <x:c r="B699" s="8" t="str">
        <x:v>4. Dosar achizitie/Oferte/1. Albaco Exim SRL/Anexe/Fise tehnice echipamente ofertate/SUN2000-100KTL-M2.pdf</x:v>
      </x:c>
      <x:c r="C699" s="8" t="n">
        <x:v>441689</x:v>
      </x:c>
    </x:row>
    <x:row r="700" ht="32" customHeight="1">
      <x:c r="A700" s="8" t="str">
        <x:v>4. Cerere de finantare\Clarificari AFIR-CESIRO PRODUCTION SRL (1).zip</x:v>
      </x:c>
      <x:c r="B700" s="8" t="str">
        <x:v>4. Dosar achizitie/Oferte/1. Albaco Exim SRL/Anexe/Fise tehnice echipamente ofertate/SUN2000-10KTL-M1.pdf</x:v>
      </x:c>
      <x:c r="C700" s="8" t="n">
        <x:v>212457</x:v>
      </x:c>
    </x:row>
    <x:row r="701" ht="32" customHeight="1">
      <x:c r="A701" s="8" t="str">
        <x:v>4. Cerere de finantare\Clarificari AFIR-CESIRO PRODUCTION SRL (1).zip</x:v>
      </x:c>
      <x:c r="B701" s="8" t="str">
        <x:v>4. Dosar achizitie/Oferte/1. Albaco Exim SRL/Anexe/Fise tehnice echipamente ofertate/SUN2000-3KTL-10KTL-M1-User-Manual_Ro.pdf</x:v>
      </x:c>
      <x:c r="C701" s="8" t="n">
        <x:v>5084760</x:v>
      </x:c>
    </x:row>
    <x:row r="702" ht="32" customHeight="1">
      <x:c r="A702" s="8" t="str">
        <x:v>4. Cerere de finantare\Clarificari AFIR-CESIRO PRODUCTION SRL (1).zip</x:v>
      </x:c>
      <x:c r="B702" s="8" t="str">
        <x:v>4. Dosar achizitie/Oferte/1. Albaco Exim SRL/Declaratie evitare conflict de interese Albaco Exim SRL.pdf</x:v>
      </x:c>
      <x:c r="C702" s="8" t="n">
        <x:v>419710</x:v>
      </x:c>
    </x:row>
    <x:row r="703" ht="32" customHeight="1">
      <x:c r="A703" s="8" t="str">
        <x:v>4. Cerere de finantare\Clarificari AFIR-CESIRO PRODUCTION SRL (1).zip</x:v>
      </x:c>
      <x:c r="B703" s="8" t="str">
        <x:v>4. Dosar achizitie/Oferte/1. Albaco Exim SRL/Oferta Albaco Exim SRL.pdf</x:v>
      </x:c>
      <x:c r="C703" s="8" t="n">
        <x:v>2674877</x:v>
      </x:c>
    </x:row>
    <x:row r="704" ht="32" customHeight="1">
      <x:c r="A704" s="8" t="str">
        <x:v>4. Cerere de finantare\Clarificari AFIR-CESIRO PRODUCTION SRL (1).zip</x:v>
      </x:c>
      <x:c r="B704" s="8" t="str">
        <x:v>4. Dosar achizitie/Oferte/1. Albaco Exim SRL/Solicitare oferta Albaco Exim SRL.pdf</x:v>
      </x:c>
      <x:c r="C704" s="8" t="n">
        <x:v>2723802</x:v>
      </x:c>
    </x:row>
    <x:row r="705" ht="32" customHeight="1">
      <x:c r="A705" s="8" t="str">
        <x:v>4. Cerere de finantare\Clarificari AFIR-CESIRO PRODUCTION SRL (1).zip</x:v>
      </x:c>
      <x:c r="B705" s="8" t="str">
        <x:v>4. Dosar achizitie/Oferte/2. Suntree Solar Tech SRL/Anexe/Acte societate/Certificat constatator Suntree Solar Tech SRL.pdf</x:v>
      </x:c>
      <x:c r="C705" s="8" t="n">
        <x:v>1000385</x:v>
      </x:c>
    </x:row>
    <x:row r="706" ht="32" customHeight="1">
      <x:c r="A706" s="8" t="str">
        <x:v>4. Cerere de finantare\Clarificari AFIR-CESIRO PRODUCTION SRL (1).zip</x:v>
      </x:c>
      <x:c r="B706" s="8" t="str">
        <x:v>4. Dosar achizitie/Oferte/2. Suntree Solar Tech SRL/Anexe/Acte societate/Certificat de inregistrare Suntree Solar Tech SRL.pdf</x:v>
      </x:c>
      <x:c r="C706" s="8" t="n">
        <x:v>2426307</x:v>
      </x:c>
    </x:row>
    <x:row r="707" ht="32" customHeight="1">
      <x:c r="A707" s="8" t="str">
        <x:v>4. Cerere de finantare\Clarificari AFIR-CESIRO PRODUCTION SRL (1).zip</x:v>
      </x:c>
      <x:c r="B707" s="8" t="str">
        <x:v>4. Dosar achizitie/Oferte/2. Suntree Solar Tech SRL/Anexe/Fise tehnice echipamente ofertate/LUNA2000-200KWH-2H1.pdf</x:v>
      </x:c>
      <x:c r="C707" s="8" t="n">
        <x:v>194256</x:v>
      </x:c>
    </x:row>
    <x:row r="708" ht="36" customHeight="1">
      <x:c r="A708" s="8" t="str">
        <x:v>4. Cerere de finantare\Clarificari AFIR-CESIRO PRODUCTION SRL (1).zip</x:v>
      </x:c>
      <x:c r="B708" s="8" t="str">
        <x:v>4. Dosar achizitie/Oferte/2. Suntree Solar Tech SRL/Anexe/Fise tehnice echipamente ofertate/SUN2000-100KTL-110KTL-125KTL-Series-User-Manualro.pdf</x:v>
      </x:c>
      <x:c r="C708" s="8" t="n">
        <x:v>10496947</x:v>
      </x:c>
    </x:row>
    <x:row r="709" ht="32" customHeight="1">
      <x:c r="A709" s="8" t="str">
        <x:v>4. Cerere de finantare\Clarificari AFIR-CESIRO PRODUCTION SRL (1).zip</x:v>
      </x:c>
      <x:c r="B709" s="8" t="str">
        <x:v>4. Dosar achizitie/Oferte/2. Suntree Solar Tech SRL/Anexe/Fise tehnice echipamente ofertate/SUN2000-100KTL-M2.pdf</x:v>
      </x:c>
      <x:c r="C709" s="8" t="n">
        <x:v>441689</x:v>
      </x:c>
    </x:row>
    <x:row r="710" ht="32" customHeight="1">
      <x:c r="A710" s="8" t="str">
        <x:v>4. Cerere de finantare\Clarificari AFIR-CESIRO PRODUCTION SRL (1).zip</x:v>
      </x:c>
      <x:c r="B710" s="8" t="str">
        <x:v>4. Dosar achizitie/Oferte/2. Suntree Solar Tech SRL/Anexe/Fise tehnice echipamente ofertate/SUN2000-10KTL-M1.pdf</x:v>
      </x:c>
      <x:c r="C710" s="8" t="n">
        <x:v>212457</x:v>
      </x:c>
    </x:row>
    <x:row r="711" ht="36" customHeight="1">
      <x:c r="A711" s="8" t="str">
        <x:v>4. Cerere de finantare\Clarificari AFIR-CESIRO PRODUCTION SRL (1).zip</x:v>
      </x:c>
      <x:c r="B711" s="8" t="str">
        <x:v>4. Dosar achizitie/Oferte/2. Suntree Solar Tech SRL/Anexe/Fise tehnice echipamente ofertate/SUN2000-3KTL-10KTL-M1-User-Manual_Ro.pdf</x:v>
      </x:c>
      <x:c r="C711" s="8" t="n">
        <x:v>5084760</x:v>
      </x:c>
    </x:row>
    <x:row r="712" ht="32" customHeight="1">
      <x:c r="A712" s="8" t="str">
        <x:v>4. Cerere de finantare\Clarificari AFIR-CESIRO PRODUCTION SRL (1).zip</x:v>
      </x:c>
      <x:c r="B712" s="8" t="str">
        <x:v>4. Dosar achizitie/Oferte/2. Suntree Solar Tech SRL/Anexe/Fise tehnice echipamente ofertate/TOPHiKu6.pdf</x:v>
      </x:c>
      <x:c r="C712" s="8" t="n">
        <x:v>354028</x:v>
      </x:c>
    </x:row>
    <x:row r="713" ht="32" customHeight="1">
      <x:c r="A713" s="8" t="str">
        <x:v>4. Cerere de finantare\Clarificari AFIR-CESIRO PRODUCTION SRL (1).zip</x:v>
      </x:c>
      <x:c r="B713" s="8" t="str">
        <x:v>4. Dosar achizitie/Oferte/2. Suntree Solar Tech SRL/Declaratie evitare conflict de interese Suntree Solar Tech SRL.pdf</x:v>
      </x:c>
      <x:c r="C713" s="8" t="n">
        <x:v>422684</x:v>
      </x:c>
    </x:row>
    <x:row r="714" ht="32" customHeight="1">
      <x:c r="A714" s="8" t="str">
        <x:v>4. Cerere de finantare\Clarificari AFIR-CESIRO PRODUCTION SRL (1).zip</x:v>
      </x:c>
      <x:c r="B714" s="8" t="str">
        <x:v>4. Dosar achizitie/Oferte/2. Suntree Solar Tech SRL/Oferta Suntree Solar Tech SRL.pdf</x:v>
      </x:c>
      <x:c r="C714" s="8" t="n">
        <x:v>2935372</x:v>
      </x:c>
    </x:row>
    <x:row r="715" ht="32" customHeight="1">
      <x:c r="A715" s="8" t="str">
        <x:v>4. Cerere de finantare\Clarificari AFIR-CESIRO PRODUCTION SRL (1).zip</x:v>
      </x:c>
      <x:c r="B715" s="8" t="str">
        <x:v>4. Dosar achizitie/Oferte/2. Suntree Solar Tech SRL/Solicitare oferta Suntree Solar Tech SRL.pdf</x:v>
      </x:c>
      <x:c r="C715" s="8" t="n">
        <x:v>2743514</x:v>
      </x:c>
    </x:row>
    <x:row r="716" ht="32" customHeight="1">
      <x:c r="A716" s="8" t="str">
        <x:v>4. Cerere de finantare\Clarificari AFIR-CESIRO PRODUCTION SRL (1).zip</x:v>
      </x:c>
      <x:c r="B716" s="8" t="str">
        <x:v>4. Dosar achizitie/Oferte/3. Energotehnica SRL/Anexe/Acte societate/Certificat constatator Energotehnica SRL.pdf</x:v>
      </x:c>
      <x:c r="C716" s="8" t="n">
        <x:v>200833</x:v>
      </x:c>
    </x:row>
    <x:row r="717" ht="32" customHeight="1">
      <x:c r="A717" s="8" t="str">
        <x:v>4. Cerere de finantare\Clarificari AFIR-CESIRO PRODUCTION SRL (1).zip</x:v>
      </x:c>
      <x:c r="B717" s="8" t="str">
        <x:v>4. Dosar achizitie/Oferte/3. Energotehnica SRL/Anexe/Acte societate/Certificat de inregsitrare Energotehnica SRL.pdf</x:v>
      </x:c>
      <x:c r="C717" s="8" t="n">
        <x:v>1896605</x:v>
      </x:c>
    </x:row>
    <x:row r="718" ht="32" customHeight="1">
      <x:c r="A718" s="8" t="str">
        <x:v>4. Cerere de finantare\Clarificari AFIR-CESIRO PRODUCTION SRL (1).zip</x:v>
      </x:c>
      <x:c r="B718" s="8" t="str">
        <x:v>4. Dosar achizitie/Oferte/3. Energotehnica SRL/Anexe/Fise tehnice echipamente ofertate/SG110CX.pdf</x:v>
      </x:c>
      <x:c r="C718" s="8" t="n">
        <x:v>205371</x:v>
      </x:c>
    </x:row>
    <x:row r="719" ht="32" customHeight="1">
      <x:c r="A719" s="8" t="str">
        <x:v>4. Cerere de finantare\Clarificari AFIR-CESIRO PRODUCTION SRL (1).zip</x:v>
      </x:c>
      <x:c r="B719" s="8" t="str">
        <x:v>4. Dosar achizitie/Oferte/3. Energotehnica SRL/Anexe/Fise tehnice echipamente ofertate/SH10RT.pdf</x:v>
      </x:c>
      <x:c r="C719" s="8" t="n">
        <x:v>213212</x:v>
      </x:c>
    </x:row>
    <x:row r="720" ht="32" customHeight="1">
      <x:c r="A720" s="8" t="str">
        <x:v>4. Cerere de finantare\Clarificari AFIR-CESIRO PRODUCTION SRL (1).zip</x:v>
      </x:c>
      <x:c r="B720" s="8" t="str">
        <x:v>4. Dosar achizitie/Oferte/3. Energotehnica SRL/Anexe/Fise tehnice echipamente ofertate/SMA SC200.pdf</x:v>
      </x:c>
      <x:c r="C720" s="8" t="n">
        <x:v>592872</x:v>
      </x:c>
    </x:row>
    <x:row r="721" ht="32" customHeight="1">
      <x:c r="A721" s="8" t="str">
        <x:v>4. Cerere de finantare\Clarificari AFIR-CESIRO PRODUCTION SRL (1).zip</x:v>
      </x:c>
      <x:c r="B721" s="8" t="str">
        <x:v>4. Dosar achizitie/Oferte/3. Energotehnica SRL/Anexe/Fise tehnice echipamente ofertate/Sungrow sg 10 RO.pdf</x:v>
      </x:c>
      <x:c r="C721" s="8" t="n">
        <x:v>9927769</x:v>
      </x:c>
    </x:row>
    <x:row r="722" ht="32" customHeight="1">
      <x:c r="A722" s="8" t="str">
        <x:v>4. Cerere de finantare\Clarificari AFIR-CESIRO PRODUCTION SRL (1).zip</x:v>
      </x:c>
      <x:c r="B722" s="8" t="str">
        <x:v>4. Dosar achizitie/Oferte/3. Energotehnica SRL/Anexe/Fise tehnice echipamente ofertate/Sungrow sg 100 RO.pdf</x:v>
      </x:c>
      <x:c r="C722" s="8" t="n">
        <x:v>10488930</x:v>
      </x:c>
    </x:row>
    <x:row r="723" ht="32" customHeight="1">
      <x:c r="A723" s="8" t="str">
        <x:v>4. Cerere de finantare\Clarificari AFIR-CESIRO PRODUCTION SRL (1).zip</x:v>
      </x:c>
      <x:c r="B723" s="8" t="str">
        <x:v>4. Dosar achizitie/Oferte/3. Energotehnica SRL/Anexe/Fise tehnice echipamente ofertate/TOPHiKu6.pdf</x:v>
      </x:c>
      <x:c r="C723" s="8" t="n">
        <x:v>354028</x:v>
      </x:c>
    </x:row>
    <x:row r="724" ht="32" customHeight="1">
      <x:c r="A724" s="8" t="str">
        <x:v>4. Cerere de finantare\Clarificari AFIR-CESIRO PRODUCTION SRL (1).zip</x:v>
      </x:c>
      <x:c r="B724" s="8" t="str">
        <x:v>4. Dosar achizitie/Oferte/3. Energotehnica SRL/Declaratie evitare conflict de interese Energotehnica SRL.pdf</x:v>
      </x:c>
      <x:c r="C724" s="8" t="n">
        <x:v>67474</x:v>
      </x:c>
    </x:row>
    <x:row r="725" ht="32" customHeight="1">
      <x:c r="A725" s="8" t="str">
        <x:v>4. Cerere de finantare\Clarificari AFIR-CESIRO PRODUCTION SRL (1).zip</x:v>
      </x:c>
      <x:c r="B725" s="8" t="str">
        <x:v>4. Dosar achizitie/Oferte/3. Energotehnica SRL/Oferta Energotehnica SRL.pdf</x:v>
      </x:c>
      <x:c r="C725" s="8" t="n">
        <x:v>2021480</x:v>
      </x:c>
    </x:row>
    <x:row r="726" ht="32" customHeight="1">
      <x:c r="A726" s="8" t="str">
        <x:v>4. Cerere de finantare\Clarificari AFIR-CESIRO PRODUCTION SRL (1).zip</x:v>
      </x:c>
      <x:c r="B726" s="8" t="str">
        <x:v>4. Dosar achizitie/Oferte/3. Energotehnica SRL/Solicitare oferta Energotehnica SRL.pdf</x:v>
      </x:c>
      <x:c r="C726" s="8" t="n">
        <x:v>2737536</x:v>
      </x:c>
    </x:row>
    <x:row r="727" ht="32" customHeight="1">
      <x:c r="A727" s="8" t="str">
        <x:v>4. Cerere de finantare\Clarificari AFIR-CESIRO PRODUCTION SRL (1).zip</x:v>
      </x:c>
      <x:c r="B727" s="8" t="str">
        <x:v>4. Dosar achizitie/Oferte/Declaratie evitare conflict de interese - Covaciu Cosmin-Adrian.pdf</x:v>
      </x:c>
      <x:c r="C727" s="8" t="n">
        <x:v>285432</x:v>
      </x:c>
    </x:row>
    <x:row r="728" ht="32" customHeight="1">
      <x:c r="A728" s="8" t="str">
        <x:v>4. Cerere de finantare\Clarificari AFIR-CESIRO PRODUCTION SRL (1).zip</x:v>
      </x:c>
      <x:c r="B728" s="8" t="str">
        <x:v>4. Dosar achizitie/Oferte/Memoriu tehnic.pdf</x:v>
      </x:c>
      <x:c r="C728" s="8" t="n">
        <x:v>2192993</x:v>
      </x:c>
    </x:row>
    <x:row r="729" ht="32" customHeight="1">
      <x:c r="A729" s="8" t="str">
        <x:v>4. Cerere de finantare\Clarificari AFIR-CESIRO PRODUCTION SRL (1).zip</x:v>
      </x:c>
      <x:c r="B729" s="8" t="str">
        <x:v>4. Dosar achizitie/Oferte/Nota justificativa de atribuire.pdf</x:v>
      </x:c>
      <x:c r="C729" s="8" t="n">
        <x:v>848496</x:v>
      </x:c>
    </x:row>
    <x:row r="730" ht="32" customHeight="1">
      <x:c r="A730" s="8" t="str">
        <x:v>4. Cerere de finantare\Clarificari AFIR-CESIRO PRODUCTION SRL (1).zip</x:v>
      </x:c>
      <x:c r="B730" s="8" t="str">
        <x:v>0. Raspuns Partea a 2-a Cesiro Production SRL 25.04.2024 semnat.pdf</x:v>
      </x:c>
      <x:c r="C730" s="8" t="n">
        <x:v>360004</x:v>
      </x:c>
    </x:row>
    <x:row r="731" ht="32" customHeight="1">
      <x:c r="A731" s="8" t="str">
        <x:v>4. Cerere de finantare\Clarificari AFIR-CESIRO PRODUCTION SRL (1).zip</x:v>
      </x:c>
      <x:c r="B731" s="8" t="str">
        <x:v>1. Cerere de finantare Cesiro Production SRL 25.04.2024 semnat.pdf</x:v>
      </x:c>
      <x:c r="C731" s="8" t="n">
        <x:v>1405951</x:v>
      </x:c>
    </x:row>
    <x:row r="732" ht="32" customHeight="1">
      <x:c r="A732" s="8" t="str">
        <x:v>4. Cerere de finantare\Clarificari AFIR-CESIRO PRODUCTION SRL (1).zip</x:v>
      </x:c>
      <x:c r="B732" s="8" t="str">
        <x:v>2. Plan de Afaceri Cesiro Production SRL 25.04.2024 semnat.pdf</x:v>
      </x:c>
      <x:c r="C732" s="8" t="n">
        <x:v>3086896</x:v>
      </x:c>
    </x:row>
    <x:row r="733" ht="36" customHeight="1">
      <x:c r="A733" s="8" t="str">
        <x:v>4. Cerere de finantare\Clarificari AFIR-CESIRO PRODUCTION SRL (1).zip</x:v>
      </x:c>
      <x:c r="B733" s="8" t="str">
        <x:v>3. Doc. 7 - Alte documente care demonstrează eligibilitatea solicitantului și a proiectului Cesiro Production SRL 25.04.2024 semnat.pdf</x:v>
      </x:c>
      <x:c r="C733" s="8" t="n">
        <x:v>4518078</x:v>
      </x:c>
    </x:row>
    <x:row r="734" ht="32" customHeight="1">
      <x:c r="A734" s="8" t="str">
        <x:v>0. Arhiva\5. Fotovoiltaic IPEC\wetransfer_proiect-norv_2024-01-18_1253.zip</x:v>
      </x:c>
      <x:c r="B734" s="8" t="str">
        <x:v>02_detailed_activity_budget_-v.1.3.1_ro-energy_res-2020 (1).xlsx</x:v>
      </x:c>
      <x:c r="C734" s="8" t="n">
        <x:v>172961</x:v>
      </x:c>
    </x:row>
    <x:row r="735" ht="32" customHeight="1">
      <x:c r="A735" s="8" t="str">
        <x:v>0. Arhiva\5. Fotovoiltaic IPEC\wetransfer_proiect-norv_2024-01-18_1253.zip</x:v>
      </x:c>
      <x:c r="B735" s="8" t="str">
        <x:v>07_business-plan-template_v.1.2_ro-energy_2020-completat (1).docx</x:v>
      </x:c>
      <x:c r="C735" s="8" t="n">
        <x:v>75407</x:v>
      </x:c>
    </x:row>
    <x:row r="736" ht="32" customHeight="1">
      <x:c r="A736" s="8" t="str">
        <x:v>0. Arhiva\5. Fotovoiltaic IPEC\wetransfer_proiect-norv_2024-01-18_1253.zip</x:v>
      </x:c>
      <x:c r="B736" s="8" t="str">
        <x:v>09_cvs_project-management-team_v.1.0 (4) (1)-Adrian Nemety (1).docx</x:v>
      </x:c>
      <x:c r="C736" s="8" t="n">
        <x:v>58934</x:v>
      </x:c>
    </x:row>
    <x:row r="737" ht="32" customHeight="1">
      <x:c r="A737" s="8" t="str">
        <x:v>0. Arhiva\5. Fotovoiltaic IPEC\wetransfer_proiect-norv_2024-01-18_1253.zip</x:v>
      </x:c>
      <x:c r="B737" s="8" t="str">
        <x:v>09_cvs_project-management-team_v.1.0 (4) (1)-Adrian Nemety.docx</x:v>
      </x:c>
      <x:c r="C737" s="8" t="n">
        <x:v>58934</x:v>
      </x:c>
    </x:row>
    <x:row r="738" ht="32" customHeight="1">
      <x:c r="A738" s="8" t="str">
        <x:v>0. Arhiva\5. Fotovoiltaic IPEC\wetransfer_proiect-norv_2024-01-18_1253.zip</x:v>
      </x:c>
      <x:c r="B738" s="8" t="str">
        <x:v>09_cvs_project-management-team_v.1.0 (4)- Cristian Covaciu.docx</x:v>
      </x:c>
      <x:c r="C738" s="8" t="n">
        <x:v>27243</x:v>
      </x:c>
    </x:row>
    <x:row r="739" ht="32" customHeight="1">
      <x:c r="A739" s="8" t="str">
        <x:v>0. Arhiva\5. Fotovoiltaic IPEC\wetransfer_proiect-norv_2024-01-18_1253.zip</x:v>
      </x:c>
      <x:c r="B739" s="8" t="str">
        <x:v>2021.06 - Balanta de verificare ipec.pdf</x:v>
      </x:c>
      <x:c r="C739" s="8" t="n">
        <x:v>5710715</x:v>
      </x:c>
    </x:row>
    <x:row r="740" ht="32" customHeight="1">
      <x:c r="A740" s="8" t="str">
        <x:v>0. Arhiva\5. Fotovoiltaic IPEC\wetransfer_proiect-norv_2024-01-18_1253.zip</x:v>
      </x:c>
      <x:c r="B740" s="8" t="str">
        <x:v>20211118_145327 (1).pdf</x:v>
      </x:c>
      <x:c r="C740" s="8" t="n">
        <x:v>2538932</x:v>
      </x:c>
    </x:row>
    <x:row r="741" ht="32" customHeight="1">
      <x:c r="A741" s="8" t="str">
        <x:v>0. Arhiva\5. Fotovoiltaic IPEC\wetransfer_proiect-norv_2024-01-18_1253.zip</x:v>
      </x:c>
      <x:c r="B741" s="8" t="str">
        <x:v>20211118_145327.pdf</x:v>
      </x:c>
      <x:c r="C741" s="8" t="n">
        <x:v>2538932</x:v>
      </x:c>
    </x:row>
    <x:row r="742" ht="32" customHeight="1">
      <x:c r="A742" s="8" t="str">
        <x:v>0. Arhiva\5. Fotovoiltaic IPEC\wetransfer_proiect-norv_2024-01-18_1253.zip</x:v>
      </x:c>
      <x:c r="B742" s="8" t="str">
        <x:v>A1- PDF file.pdf</x:v>
      </x:c>
      <x:c r="C742" s="8" t="n">
        <x:v>785450</x:v>
      </x:c>
    </x:row>
    <x:row r="743" ht="32" customHeight="1">
      <x:c r="A743" s="8" t="str">
        <x:v>0. Arhiva\5. Fotovoiltaic IPEC\wetransfer_proiect-norv_2024-01-18_1253.zip</x:v>
      </x:c>
      <x:c r="B743" s="8" t="str">
        <x:v>A1-Excel file.xlsx</x:v>
      </x:c>
      <x:c r="C743" s="8" t="n">
        <x:v>175356</x:v>
      </x:c>
    </x:row>
    <x:row r="744" ht="32" customHeight="1">
      <x:c r="A744" s="8" t="str">
        <x:v>0. Arhiva\5. Fotovoiltaic IPEC\wetransfer_proiect-norv_2024-01-18_1253.zip</x:v>
      </x:c>
      <x:c r="B744" s="8" t="str">
        <x:v>Communication plan.pdf</x:v>
      </x:c>
      <x:c r="C744" s="8" t="n">
        <x:v>281956</x:v>
      </x:c>
    </x:row>
    <x:row r="745" ht="32" customHeight="1">
      <x:c r="A745" s="8" t="str">
        <x:v>0. Arhiva\5. Fotovoiltaic IPEC\wetransfer_proiect-norv_2024-01-18_1253.zip</x:v>
      </x:c>
      <x:c r="B745" s="8" t="str">
        <x:v>Detailed budget.pdf</x:v>
      </x:c>
      <x:c r="C745" s="8" t="n">
        <x:v>2137264</x:v>
      </x:c>
    </x:row>
    <x:row r="746" ht="32" customHeight="1">
      <x:c r="A746" s="8" t="str">
        <x:v>0. Arhiva\5. Fotovoiltaic IPEC\wetransfer_proiect-norv_2024-01-18_1253.zip</x:v>
      </x:c>
      <x:c r="B746" s="8" t="str">
        <x:v>doc 2 (1).pdf</x:v>
      </x:c>
      <x:c r="C746" s="8" t="n">
        <x:v>2137264</x:v>
      </x:c>
    </x:row>
    <x:row r="747" ht="32" customHeight="1">
      <x:c r="A747" s="8" t="str">
        <x:v>0. Arhiva\5. Fotovoiltaic IPEC\wetransfer_proiect-norv_2024-01-18_1253.zip</x:v>
      </x:c>
      <x:c r="B747" s="8" t="str">
        <x:v>doc 3 (1).pdf</x:v>
      </x:c>
      <x:c r="C747" s="8" t="n">
        <x:v>291204</x:v>
      </x:c>
    </x:row>
    <x:row r="748" ht="32" customHeight="1">
      <x:c r="A748" s="8" t="str">
        <x:v>0. Arhiva\5. Fotovoiltaic IPEC\wetransfer_proiect-norv_2024-01-18_1253.zip</x:v>
      </x:c>
      <x:c r="B748" s="8" t="str">
        <x:v>doc 4 (1).pdf</x:v>
      </x:c>
      <x:c r="C748" s="8" t="n">
        <x:v>472100</x:v>
      </x:c>
    </x:row>
    <x:row r="749" ht="32" customHeight="1">
      <x:c r="A749" s="8" t="str">
        <x:v>0. Arhiva\5. Fotovoiltaic IPEC\wetransfer_proiect-norv_2024-01-18_1253.zip</x:v>
      </x:c>
      <x:c r="B749" s="8" t="str">
        <x:v>doc 5 (1).pdf</x:v>
      </x:c>
      <x:c r="C749" s="8" t="n">
        <x:v>714675</x:v>
      </x:c>
    </x:row>
    <x:row r="750" ht="32" customHeight="1">
      <x:c r="A750" s="8" t="str">
        <x:v>0. Arhiva\5. Fotovoiltaic IPEC\wetransfer_proiect-norv_2024-01-18_1253.zip</x:v>
      </x:c>
      <x:c r="B750" s="8" t="str">
        <x:v>doc 5.pdf</x:v>
      </x:c>
      <x:c r="C750" s="8" t="n">
        <x:v>714675</x:v>
      </x:c>
    </x:row>
    <x:row r="751" ht="32" customHeight="1">
      <x:c r="A751" s="8" t="str">
        <x:v>0. Arhiva\5. Fotovoiltaic IPEC\wetransfer_proiect-norv_2024-01-18_1253.zip</x:v>
      </x:c>
      <x:c r="B751" s="8" t="str">
        <x:v>E1.pdf</x:v>
      </x:c>
      <x:c r="C751" s="8" t="n">
        <x:v>201575</x:v>
      </x:c>
    </x:row>
    <x:row r="752" ht="32" customHeight="1">
      <x:c r="A752" s="8" t="str">
        <x:v>0. Arhiva\5. Fotovoiltaic IPEC\wetransfer_proiect-norv_2024-01-18_1253.zip</x:v>
      </x:c>
      <x:c r="B752" s="8" t="str">
        <x:v>E2.pdf</x:v>
      </x:c>
      <x:c r="C752" s="8" t="n">
        <x:v>158407</x:v>
      </x:c>
    </x:row>
    <x:row r="753" ht="32" customHeight="1">
      <x:c r="A753" s="8" t="str">
        <x:v>0. Arhiva\5. Fotovoiltaic IPEC\wetransfer_proiect-norv_2024-01-18_1253.zip</x:v>
      </x:c>
      <x:c r="B753" s="8" t="str">
        <x:v>E5.pdf</x:v>
      </x:c>
      <x:c r="C753" s="8" t="n">
        <x:v>511014</x:v>
      </x:c>
    </x:row>
    <x:row r="754" ht="32" customHeight="1">
      <x:c r="A754" s="8" t="str">
        <x:v>0. Arhiva\5. Fotovoiltaic IPEC\wetransfer_proiect-norv_2024-01-18_1253.zip</x:v>
      </x:c>
      <x:c r="B754" s="8" t="str">
        <x:v>letter (1).pdf</x:v>
      </x:c>
      <x:c r="C754" s="8" t="n">
        <x:v>215556</x:v>
      </x:c>
    </x:row>
    <x:row r="755" ht="32" customHeight="1">
      <x:c r="A755" s="8" t="str">
        <x:v>0. Arhiva\5. Fotovoiltaic IPEC\wetransfer_proiect-norv_2024-01-18_1253.zip</x:v>
      </x:c>
      <x:c r="B755" s="8" t="str">
        <x:v>letter.pdf</x:v>
      </x:c>
      <x:c r="C755" s="8" t="n">
        <x:v>215556</x:v>
      </x:c>
    </x:row>
    <x:row r="756" ht="32" customHeight="1">
      <x:c r="A756" s="8" t="str">
        <x:v>0. Arhiva\5. Fotovoiltaic IPEC\wetransfer_proiect-norv_2024-01-18_1253.zip</x:v>
      </x:c>
      <x:c r="B756" s="8" t="str">
        <x:v>Ore echipa de Proiect (1).xlsx</x:v>
      </x:c>
      <x:c r="C756" s="8" t="n">
        <x:v>9792</x:v>
      </x:c>
    </x:row>
    <x:row r="757" ht="32" customHeight="1">
      <x:c r="A757" s="8" t="str">
        <x:v>0. Arhiva\5. Fotovoiltaic IPEC\wetransfer_proiect-norv_2024-01-18_1253.zip</x:v>
      </x:c>
      <x:c r="B757" s="8" t="str">
        <x:v>Plan de implementare.pdf</x:v>
      </x:c>
      <x:c r="C757" s="8" t="n">
        <x:v>472100</x:v>
      </x:c>
    </x:row>
    <x:row r="758" ht="32" customHeight="1">
      <x:c r="A758" s="8" t="str">
        <x:v>0. Arhiva\5. Fotovoiltaic IPEC\wetransfer_proiect-norv_2024-01-18_1253.zip</x:v>
      </x:c>
      <x:c r="B758" s="8" t="str">
        <x:v>Plan de rambursare.pdf</x:v>
      </x:c>
      <x:c r="C758" s="8" t="n">
        <x:v>291204</x:v>
      </x:c>
    </x:row>
    <x:row r="759" ht="32" customHeight="1">
      <x:c r="A759" s="8" t="str">
        <x:v>0. Arhiva\6. Dragos Jarca 10 MW Fotovoltaic\CEF Banesti PT+CS electrice - pdf.zip</x:v>
      </x:c>
      <x:c r="B759" s="8" t="str">
        <x:v>Partea desenata pdf/E01.pdf</x:v>
      </x:c>
      <x:c r="C759" s="8" t="n">
        <x:v>1754244</x:v>
      </x:c>
    </x:row>
    <x:row r="760" ht="32" customHeight="1">
      <x:c r="A760" s="8" t="str">
        <x:v>0. Arhiva\6. Dragos Jarca 10 MW Fotovoltaic\CEF Banesti PT+CS electrice - pdf.zip</x:v>
      </x:c>
      <x:c r="B760" s="8" t="str">
        <x:v>Partea desenata pdf/E02.pdf</x:v>
      </x:c>
      <x:c r="C760" s="8" t="n">
        <x:v>908120</x:v>
      </x:c>
    </x:row>
    <x:row r="761" ht="32" customHeight="1">
      <x:c r="A761" s="8" t="str">
        <x:v>0. Arhiva\6. Dragos Jarca 10 MW Fotovoltaic\CEF Banesti PT+CS electrice - pdf.zip</x:v>
      </x:c>
      <x:c r="B761" s="8" t="str">
        <x:v>Partea desenata pdf/E03.pdf</x:v>
      </x:c>
      <x:c r="C761" s="8" t="n">
        <x:v>10153546</x:v>
      </x:c>
    </x:row>
    <x:row r="762" ht="32" customHeight="1">
      <x:c r="A762" s="8" t="str">
        <x:v>0. Arhiva\6. Dragos Jarca 10 MW Fotovoltaic\CEF Banesti PT+CS electrice - pdf.zip</x:v>
      </x:c>
      <x:c r="B762" s="8" t="str">
        <x:v>Partea desenata pdf/E04.pdf</x:v>
      </x:c>
      <x:c r="C762" s="8" t="n">
        <x:v>1615276</x:v>
      </x:c>
    </x:row>
    <x:row r="763" ht="32" customHeight="1">
      <x:c r="A763" s="8" t="str">
        <x:v>0. Arhiva\6. Dragos Jarca 10 MW Fotovoltaic\CEF Banesti PT+CS electrice - pdf.zip</x:v>
      </x:c>
      <x:c r="B763" s="8" t="str">
        <x:v>Partea desenata pdf/E05.pdf</x:v>
      </x:c>
      <x:c r="C763" s="8" t="n">
        <x:v>1649463</x:v>
      </x:c>
    </x:row>
    <x:row r="764" ht="32" customHeight="1">
      <x:c r="A764" s="8" t="str">
        <x:v>0. Arhiva\6. Dragos Jarca 10 MW Fotovoltaic\CEF Banesti PT+CS electrice - pdf.zip</x:v>
      </x:c>
      <x:c r="B764" s="8" t="str">
        <x:v>Partea desenata pdf/E06.pdf</x:v>
      </x:c>
      <x:c r="C764" s="8" t="n">
        <x:v>1648756</x:v>
      </x:c>
    </x:row>
    <x:row r="765" ht="32" customHeight="1">
      <x:c r="A765" s="8" t="str">
        <x:v>0. Arhiva\6. Dragos Jarca 10 MW Fotovoltaic\CEF Banesti PT+CS electrice - pdf.zip</x:v>
      </x:c>
      <x:c r="B765" s="8" t="str">
        <x:v>Partea desenata pdf/E07.pdf</x:v>
      </x:c>
      <x:c r="C765" s="8" t="n">
        <x:v>873732</x:v>
      </x:c>
    </x:row>
    <x:row r="766" ht="32" customHeight="1">
      <x:c r="A766" s="8" t="str">
        <x:v>0. Arhiva\6. Dragos Jarca 10 MW Fotovoltaic\CEF Banesti PT+CS electrice - pdf.zip</x:v>
      </x:c>
      <x:c r="B766" s="8" t="str">
        <x:v>Partea desenata pdf/E08.pdf</x:v>
      </x:c>
      <x:c r="C766" s="8" t="n">
        <x:v>874028</x:v>
      </x:c>
    </x:row>
    <x:row r="767" ht="32" customHeight="1">
      <x:c r="A767" s="8" t="str">
        <x:v>0. Arhiva\6. Dragos Jarca 10 MW Fotovoltaic\CEF Banesti PT+CS electrice - pdf.zip</x:v>
      </x:c>
      <x:c r="B767" s="8" t="str">
        <x:v>Partea desenata pdf/E09.pdf</x:v>
      </x:c>
      <x:c r="C767" s="8" t="n">
        <x:v>2021078</x:v>
      </x:c>
    </x:row>
    <x:row r="768" ht="32" customHeight="1">
      <x:c r="A768" s="8" t="str">
        <x:v>0. Arhiva\6. Dragos Jarca 10 MW Fotovoltaic\CEF Banesti PT+CS electrice - pdf.zip</x:v>
      </x:c>
      <x:c r="B768" s="8" t="str">
        <x:v>Partea desenata pdf/E10.pdf</x:v>
      </x:c>
      <x:c r="C768" s="8" t="n">
        <x:v>1614774</x:v>
      </x:c>
    </x:row>
    <x:row r="769" ht="32" customHeight="1">
      <x:c r="A769" s="8" t="str">
        <x:v>0. Arhiva\6. Dragos Jarca 10 MW Fotovoltaic\CEF Banesti PT+CS electrice - pdf.zip</x:v>
      </x:c>
      <x:c r="B769" s="8" t="str">
        <x:v>Partea desenata pdf/E11.pdf</x:v>
      </x:c>
      <x:c r="C769" s="8" t="n">
        <x:v>943221</x:v>
      </x:c>
    </x:row>
    <x:row r="770" ht="32" customHeight="1">
      <x:c r="A770" s="8" t="str">
        <x:v>0. Arhiva\6. Dragos Jarca 10 MW Fotovoltaic\CEF Banesti PT+CS electrice - pdf.zip</x:v>
      </x:c>
      <x:c r="B770" s="8" t="str">
        <x:v>Partea desenata pdf/E12.pdf</x:v>
      </x:c>
      <x:c r="C770" s="8" t="n">
        <x:v>838999</x:v>
      </x:c>
    </x:row>
    <x:row r="771" ht="32" customHeight="1">
      <x:c r="A771" s="8" t="str">
        <x:v>0. Arhiva\6. Dragos Jarca 10 MW Fotovoltaic\CEF Banesti PT+CS electrice - pdf.zip</x:v>
      </x:c>
      <x:c r="B771" s="8" t="str">
        <x:v>Partea scrisa pdf/01. Foaie de capat.pdf</x:v>
      </x:c>
      <x:c r="C771" s="8" t="n">
        <x:v>181697</x:v>
      </x:c>
    </x:row>
    <x:row r="772" ht="32" customHeight="1">
      <x:c r="A772" s="8" t="str">
        <x:v>0. Arhiva\6. Dragos Jarca 10 MW Fotovoltaic\CEF Banesti PT+CS electrice - pdf.zip</x:v>
      </x:c>
      <x:c r="B772" s="8" t="str">
        <x:v>Partea scrisa pdf/02. Foaie de semnaturi.pdf</x:v>
      </x:c>
      <x:c r="C772" s="8" t="n">
        <x:v>137901</x:v>
      </x:c>
    </x:row>
    <x:row r="773" ht="32" customHeight="1">
      <x:c r="A773" s="8" t="str">
        <x:v>0. Arhiva\6. Dragos Jarca 10 MW Fotovoltaic\CEF Banesti PT+CS electrice - pdf.zip</x:v>
      </x:c>
      <x:c r="B773" s="8" t="str">
        <x:v>Partea scrisa pdf/03. Borderou.pdf</x:v>
      </x:c>
      <x:c r="C773" s="8" t="n">
        <x:v>166979</x:v>
      </x:c>
    </x:row>
    <x:row r="774" ht="32" customHeight="1">
      <x:c r="A774" s="8" t="str">
        <x:v>0. Arhiva\6. Dragos Jarca 10 MW Fotovoltaic\CEF Banesti PT+CS electrice - pdf.zip</x:v>
      </x:c>
      <x:c r="B774" s="8" t="str">
        <x:v>Partea scrisa pdf/04. Memoriu electrice - CEF Banesti.pdf</x:v>
      </x:c>
      <x:c r="C774" s="8" t="n">
        <x:v>677938</x:v>
      </x:c>
    </x:row>
    <x:row r="775" ht="32" customHeight="1">
      <x:c r="A775" s="8" t="str">
        <x:v>0. Arhiva\6. Dragos Jarca 10 MW Fotovoltaic\CEF Banesti PT+CS electrice - pdf.zip</x:v>
      </x:c>
      <x:c r="B775" s="8" t="str">
        <x:v>Partea scrisa pdf/05. CS - Instalatii aferente constructiilor.pdf</x:v>
      </x:c>
      <x:c r="C775" s="8" t="n">
        <x:v>369215</x:v>
      </x:c>
    </x:row>
    <x:row r="776" ht="32" customHeight="1">
      <x:c r="A776" s="8" t="str">
        <x:v>0. Arhiva\6. Dragos Jarca 10 MW Fotovoltaic\CEF Banesti PT+CS electrice - pdf.zip</x:v>
      </x:c>
      <x:c r="B776" s="8" t="str">
        <x:v>Partea scrisa pdf/06. CS - Instalatii tehnologice electrice.pdf</x:v>
      </x:c>
      <x:c r="C776" s="8" t="n">
        <x:v>827492</x:v>
      </x:c>
    </x:row>
    <x:row r="777" ht="32" customHeight="1">
      <x:c r="A777" s="8" t="str">
        <x:v>0. Arhiva\6. Dragos Jarca 10 MW Fotovoltaic\CEF Banesti PT+CS electrice - pdf.zip</x:v>
      </x:c>
      <x:c r="B777" s="8" t="str">
        <x:v>Partea scrisa pdf/07. Lista cu cantitati de lucrari.pdf</x:v>
      </x:c>
      <x:c r="C777" s="8" t="n">
        <x:v>279305</x:v>
      </x:c>
    </x:row>
    <x:row r="778" ht="32" customHeight="1">
      <x:c r="A778" s="8" t="str">
        <x:v>0. Arhiva\6. Dragos Jarca 10 MW Fotovoltaic\CEF Banesti PT+CS electrice - pdf.zip</x:v>
      </x:c>
      <x:c r="B778" s="8" t="str">
        <x:v>Partea scrisa pdf/08. Jurnal cabluri curent alternativ.pdf</x:v>
      </x:c>
      <x:c r="C778" s="8" t="n">
        <x:v>116538</x:v>
      </x:c>
    </x:row>
    <x:row r="779" ht="32" customHeight="1">
      <x:c r="A779" s="8" t="str">
        <x:v>0. Arhiva\6. Dragos Jarca 10 MW Fotovoltaic\CEF Banesti PT+CS electrice - pdf.zip</x:v>
      </x:c>
      <x:c r="B779" s="8" t="str">
        <x:v>Partea scrisa pdf/09. Jurnal cabluri curent continuu.pdf</x:v>
      </x:c>
      <x:c r="C779" s="8" t="n">
        <x:v>220227</x:v>
      </x:c>
    </x:row>
    <x:row r="780" ht="32" customHeight="1">
      <x:c r="A780" s="8" t="str">
        <x:v>0. Arhiva\6. Dragos Jarca 10 MW Fotovoltaic\CEF Banesti PT+CS electrice - pdf.zip</x:v>
      </x:c>
      <x:c r="B780" s="8" t="str">
        <x:v>Partea scrisa pdf/10. Program control lucrari.pdf</x:v>
      </x:c>
      <x:c r="C780" s="8" t="n">
        <x:v>255624</x:v>
      </x:c>
    </x:row>
    <x:row r="781" ht="32" customHeight="1">
      <x:c r="A781" s="8" t="str">
        <x:v>0. Arhiva\6. Dragos Jarca 10 MW Fotovoltaic\CEF Banesti PT+CS electrice - pdf.zip</x:v>
      </x:c>
      <x:c r="B781" s="8" t="str">
        <x:v>Partea scrisa pdf/11. Program de executie al lucrarilor.pdf</x:v>
      </x:c>
      <x:c r="C781" s="8" t="n">
        <x:v>15398</x:v>
      </x:c>
    </x:row>
    <x:row r="782" ht="32" customHeight="1">
      <x:c r="A782" s="8" t="str">
        <x:v>0. Arhiva\6. Dragos Jarca 10 MW Fotovoltaic\CEF Banesti PT+CS electrice - pdf.zip</x:v>
      </x:c>
      <x:c r="B782" s="8" t="str">
        <x:v>Partea scrisa pdf/Anexa B1 – Calcul dimensionare cablu 20 kV.pdf</x:v>
      </x:c>
      <x:c r="C782" s="8" t="n">
        <x:v>10740</x:v>
      </x:c>
    </x:row>
    <x:row r="783" ht="32" customHeight="1">
      <x:c r="A783" s="8" t="str">
        <x:v>0. Arhiva\6. Dragos Jarca 10 MW Fotovoltaic\CEF Banesti PT+CS electrice - pdf.zip</x:v>
      </x:c>
      <x:c r="B783" s="8" t="str">
        <x:v>Partea scrisa pdf/Anexa B2 - Breviar calcul priza de pamant parc fotovoltaic.pdf</x:v>
      </x:c>
      <x:c r="C783" s="8" t="n">
        <x:v>130399</x:v>
      </x:c>
    </x:row>
    <x:row r="784" ht="32" customHeight="1">
      <x:c r="A784" s="8" t="str">
        <x:v>0. Arhiva\6. Dragos Jarca 10 MW Fotovoltaic\CEF Banesti PT+CS electrice - pdf.zip</x:v>
      </x:c>
      <x:c r="B784" s="8" t="str">
        <x:v>Partea scrisa pdf/Anexa B3 – Breviar dimensionare cabluri curent continuu.pdf</x:v>
      </x:c>
      <x:c r="C784" s="8" t="n">
        <x:v>780559</x:v>
      </x:c>
    </x:row>
    <x:row r="785" ht="32" customHeight="1">
      <x:c r="A785" s="8" t="str">
        <x:v>0. Arhiva\6. Dragos Jarca 10 MW Fotovoltaic\CEF Banesti PT+CS electrice - pdf.zip</x:v>
      </x:c>
      <x:c r="B785" s="8" t="str">
        <x:v>Partea scrisa pdf/Anexa B4 – Breviar dimensionare cabluri invertoare.pdf</x:v>
      </x:c>
      <x:c r="C785" s="8" t="n">
        <x:v>139440</x:v>
      </x:c>
    </x:row>
    <x:row r="786" ht="32" customHeight="1">
      <x:c r="A786" s="8" t="str">
        <x:v>0. Arhiva\6. Dragos Jarca 10 MW Fotovoltaic\CEF Banesti PT+CS electrice - pdf.zip</x:v>
      </x:c>
      <x:c r="B786" s="8" t="str">
        <x:v>Partea scrisa pdf/Anexa B5 – Breviar calcul cabluri circuite auxiliare.pdf</x:v>
      </x:c>
      <x:c r="C786" s="8" t="n">
        <x:v>114566</x:v>
      </x:c>
    </x:row>
    <x:row r="787" ht="32" customHeight="1">
      <x:c r="A787" s="8" t="str">
        <x:v>0. Arhiva\5. Fotovoiltaic IPEC\Gmail\CONTRACT + Obligatii după semnare-20240118T142909Z-001.zip</x:v>
      </x:c>
      <x:c r="B787" s="8" t="str">
        <x:v>CONTRACT + Obligatii după semnare/3. Planul de informare și publicitate_IPEC SA.pdf</x:v>
      </x:c>
      <x:c r="C787" s="8" t="n">
        <x:v>142589</x:v>
      </x:c>
    </x:row>
    <x:row r="788" ht="32" customHeight="1">
      <x:c r="A788" s="8" t="str">
        <x:v>0. Arhiva\5. Fotovoiltaic IPEC\Gmail\CONTRACT + Obligatii după semnare-20240118T142909Z-001.zip</x:v>
      </x:c>
      <x:c r="B788" s="8" t="str">
        <x:v>CONTRACT + Obligatii după semnare/1. Proceduri de lucru_IPEC SA.pdf</x:v>
      </x:c>
      <x:c r="C788" s="8" t="n">
        <x:v>204360</x:v>
      </x:c>
    </x:row>
    <x:row r="789" ht="32" customHeight="1">
      <x:c r="A789" s="8" t="str">
        <x:v>0. Arhiva\5. Fotovoiltaic IPEC\Gmail\CONTRACT + Obligatii după semnare-20240118T142909Z-001.zip</x:v>
      </x:c>
      <x:c r="B789" s="8" t="str">
        <x:v>CONTRACT + Obligatii după semnare/3. Planul de informare și publicitate_IPEC SA-semnat.pdf</x:v>
      </x:c>
      <x:c r="C789" s="8" t="n">
        <x:v>206983</x:v>
      </x:c>
    </x:row>
    <x:row r="790" ht="32" customHeight="1">
      <x:c r="A790" s="8" t="str">
        <x:v>0. Arhiva\5. Fotovoiltaic IPEC\Gmail\CONTRACT + Obligatii după semnare-20240118T142909Z-001.zip</x:v>
      </x:c>
      <x:c r="B790" s="8" t="str">
        <x:v>CONTRACT + Obligatii după semnare/1. Proceduri de lucru_IPEC SA-semnat.pdf</x:v>
      </x:c>
      <x:c r="C790" s="8" t="n">
        <x:v>252408</x:v>
      </x:c>
    </x:row>
    <x:row r="791" ht="32" customHeight="1">
      <x:c r="A791" s="8" t="str">
        <x:v>0. Arhiva\5. Fotovoiltaic IPEC\Gmail\CONTRACT + Obligatii după semnare-20240118T142909Z-001.zip</x:v>
      </x:c>
      <x:c r="B791" s="8" t="str">
        <x:v>CONTRACT + Obligatii după semnare/Contract finantare.pdf</x:v>
      </x:c>
      <x:c r="C791" s="8" t="n">
        <x:v>42601393</x:v>
      </x:c>
    </x:row>
    <x:row r="792" ht="32" customHeight="1">
      <x:c r="A792" s="8" t="str">
        <x:v>0. Arhiva\5. Fotovoiltaic IPEC\Gmail\PRECONTRACTARE-20240118T142903Z-001.zip</x:v>
      </x:c>
      <x:c r="B792" s="8" t="str">
        <x:v>PRECONTRACTARE/Notificare cont.pdf</x:v>
      </x:c>
      <x:c r="C792" s="8" t="n">
        <x:v>26922</x:v>
      </x:c>
    </x:row>
    <x:row r="793" ht="32" customHeight="1">
      <x:c r="A793" s="8" t="str">
        <x:v>0. Arhiva\5. Fotovoiltaic IPEC\Gmail\PRECONTRACTARE-20240118T142903Z-001.zip</x:v>
      </x:c>
      <x:c r="B793" s="8" t="str">
        <x:v>PRECONTRACTARE/e-CF hala 5.pdf</x:v>
      </x:c>
      <x:c r="C793" s="8" t="n">
        <x:v>1396437</x:v>
      </x:c>
    </x:row>
    <x:row r="794" ht="32" customHeight="1">
      <x:c r="A794" s="8" t="str">
        <x:v>0. Arhiva\5. Fotovoiltaic IPEC\Gmail\PRECONTRACTARE-20240118T142903Z-001.zip</x:v>
      </x:c>
      <x:c r="B794" s="8" t="str">
        <x:v>PRECONTRACTARE/Cazier judiciar Cristian Covaciu.pdf</x:v>
      </x:c>
      <x:c r="C794" s="8" t="n">
        <x:v>1419836</x:v>
      </x:c>
    </x:row>
    <x:row r="795" ht="32" customHeight="1">
      <x:c r="A795" s="8" t="str">
        <x:v>0. Arhiva\5. Fotovoiltaic IPEC\Gmail\PRECONTRACTARE-20240118T142903Z-001.zip</x:v>
      </x:c>
      <x:c r="B795" s="8" t="str">
        <x:v>PRECONTRACTARE/e-CF hala 4.pdf</x:v>
      </x:c>
      <x:c r="C795" s="8" t="n">
        <x:v>1708868</x:v>
      </x:c>
    </x:row>
    <x:row r="796" ht="32" customHeight="1">
      <x:c r="A796" s="8" t="str">
        <x:v>0. Arhiva\5. Fotovoiltaic IPEC\Gmail\PRECONTRACTARE-20240118T142903Z-001.zip</x:v>
      </x:c>
      <x:c r="B796" s="8" t="str">
        <x:v>PRECONTRACTARE/e-CF hala 1.pdf</x:v>
      </x:c>
      <x:c r="C796" s="8" t="n">
        <x:v>1235794</x:v>
      </x:c>
    </x:row>
    <x:row r="797" ht="32" customHeight="1">
      <x:c r="A797" s="8" t="str">
        <x:v>0. Arhiva\5. Fotovoiltaic IPEC\Gmail\PRECONTRACTARE-20240118T142903Z-001.zip</x:v>
      </x:c>
      <x:c r="B797" s="8" t="str">
        <x:v>PRECONTRACTARE/f-scrisoare IKEA.pdf</x:v>
      </x:c>
      <x:c r="C797" s="8" t="n">
        <x:v>332766</x:v>
      </x:c>
    </x:row>
    <x:row r="798" ht="32" customHeight="1">
      <x:c r="A798" s="8" t="str">
        <x:v>0. Arhiva\5. Fotovoiltaic IPEC\Gmail\PRECONTRACTARE-20240118T142903Z-001.zip</x:v>
      </x:c>
      <x:c r="B798" s="8" t="str">
        <x:v>PRECONTRACTARE/f-scrisoare ING.pdf</x:v>
      </x:c>
      <x:c r="C798" s="8" t="n">
        <x:v>261960</x:v>
      </x:c>
    </x:row>
    <x:row r="799" ht="32" customHeight="1">
      <x:c r="A799" s="8" t="str">
        <x:v>0. Arhiva\5. Fotovoiltaic IPEC\Gmail\PRECONTRACTARE-20240118T142903Z-001.zip</x:v>
      </x:c>
      <x:c r="B799" s="8" t="str">
        <x:v>PRECONTRACTARE/g-declaratie privind beneficiarul real al persoanei juridice.pdf</x:v>
      </x:c>
      <x:c r="C799" s="8" t="n">
        <x:v>661195</x:v>
      </x:c>
    </x:row>
    <x:row r="800" ht="32" customHeight="1">
      <x:c r="A800" s="8" t="str">
        <x:v>0. Arhiva\5. Fotovoiltaic IPEC\Gmail\PRECONTRACTARE-20240118T142903Z-001.zip</x:v>
      </x:c>
      <x:c r="B800" s="8" t="str">
        <x:v>PRECONTRACTARE/Cazier jurdiciar- Elena Covaciu.pdf</x:v>
      </x:c>
      <x:c r="C800" s="8" t="n">
        <x:v>286790</x:v>
      </x:c>
    </x:row>
    <x:row r="801" ht="32" customHeight="1">
      <x:c r="A801" s="8" t="str">
        <x:v>0. Arhiva\5. Fotovoiltaic IPEC\Gmail\PRECONTRACTARE-20240118T142903Z-001.zip</x:v>
      </x:c>
      <x:c r="B801" s="8" t="str">
        <x:v>PRECONTRACTARE/1. Certificat cazier fiscal.pdf</x:v>
      </x:c>
      <x:c r="C801" s="8" t="n">
        <x:v>63444</x:v>
      </x:c>
    </x:row>
    <x:row r="802" ht="32" customHeight="1">
      <x:c r="A802" s="8" t="str">
        <x:v>0. Arhiva\5. Fotovoiltaic IPEC\Gmail\PRECONTRACTARE-20240118T142903Z-001.zip</x:v>
      </x:c>
      <x:c r="B802" s="8" t="str">
        <x:v>PRECONTRACTARE/Certificat atestare fiscala.pdf</x:v>
      </x:c>
      <x:c r="C802" s="8" t="n">
        <x:v>680818</x:v>
      </x:c>
    </x:row>
    <x:row r="803" ht="32" customHeight="1">
      <x:c r="A803" s="8" t="str">
        <x:v>0. Arhiva\5. Fotovoiltaic IPEC\Gmail\PRECONTRACTARE-20240118T142903Z-001.zip</x:v>
      </x:c>
      <x:c r="B803" s="8" t="str">
        <x:v>PRECONTRACTARE/g-declaratie beneficiar real.pdf</x:v>
      </x:c>
      <x:c r="C803" s="8" t="n">
        <x:v>251900</x:v>
      </x:c>
    </x:row>
    <x:row r="804" ht="32" customHeight="1">
      <x:c r="A804" s="8" t="str">
        <x:v>0. Arhiva\5. Fotovoiltaic IPEC\Gmail\PRECONTRACTARE-20240118T142903Z-001.zip</x:v>
      </x:c>
      <x:c r="B804" s="8" t="str">
        <x:v>PRECONTRACTARE/Certificat de atestare fiscala.pdf</x:v>
      </x:c>
      <x:c r="C804" s="8" t="n">
        <x:v>101702</x:v>
      </x:c>
    </x:row>
    <x:row r="805" ht="32" customHeight="1">
      <x:c r="A805" s="8" t="str">
        <x:v>0. Arhiva\5. Fotovoiltaic IPEC\Gmail\PRECONTRACTARE-20240118T142903Z-001.zip</x:v>
      </x:c>
      <x:c r="B805" s="8" t="str">
        <x:v>PRECONTRACTARE/DecizieAcceptare_6698299_20231115150002.pdf</x:v>
      </x:c>
      <x:c r="C805" s="8" t="n">
        <x:v>200043</x:v>
      </x:c>
    </x:row>
    <x:row r="806" ht="32" customHeight="1">
      <x:c r="A806" s="8" t="str">
        <x:v>0. Arhiva\5. Fotovoiltaic IPEC\Gmail\PRECONTRACTARE-20240118T142903Z-001.zip</x:v>
      </x:c>
      <x:c r="B806" s="8" t="str">
        <x:v>PRECONTRACTARE/f-Scrisoare CEC.pdf</x:v>
      </x:c>
      <x:c r="C806" s="8" t="n">
        <x:v>116682</x:v>
      </x:c>
    </x:row>
    <x:row r="807" ht="32" customHeight="1">
      <x:c r="A807" s="8" t="str">
        <x:v>0. Arhiva\5. Fotovoiltaic IPEC\Gmail\PRECONTRACTARE-20240118T142903Z-001.zip</x:v>
      </x:c>
      <x:c r="B807" s="8" t="str">
        <x:v>PRECONTRACTARE/3. Finalizarea etapei de contractare/Decizie finala mediu.pdf</x:v>
      </x:c>
      <x:c r="C807" s="8" t="n">
        <x:v>489701</x:v>
      </x:c>
    </x:row>
    <x:row r="808" ht="32" customHeight="1">
      <x:c r="A808" s="8" t="str">
        <x:v>0. Arhiva\5. Fotovoiltaic IPEC\Gmail\PRECONTRACTARE-20240118T142903Z-001.zip</x:v>
      </x:c>
      <x:c r="B808" s="8" t="str">
        <x:v>PRECONTRACTARE/3. Finalizarea etapei de contractare/Decizie finala mediu-semnat.pdf</x:v>
      </x:c>
      <x:c r="C808" s="8" t="n">
        <x:v>570218</x:v>
      </x:c>
    </x:row>
    <x:row r="809" ht="32" customHeight="1">
      <x:c r="A809" s="8" t="str">
        <x:v>0. Arhiva\5. Fotovoiltaic IPEC\Gmail\PRECONTRACTARE-20240118T142903Z-001.zip</x:v>
      </x:c>
      <x:c r="B809" s="8" t="str">
        <x:v>PRECONTRACTARE/3. Finalizarea etapei de contractare/ANEXA nr. 2 a _ graficul cererilor de transfer -semnat.pdf</x:v>
      </x:c>
      <x:c r="C809" s="8" t="n">
        <x:v>146563</x:v>
      </x:c>
    </x:row>
    <x:row r="810" ht="32" customHeight="1">
      <x:c r="A810" s="8" t="str">
        <x:v>0. Arhiva\5. Fotovoiltaic IPEC\Gmail\PRECONTRACTARE-20240118T142903Z-001.zip</x:v>
      </x:c>
      <x:c r="B810" s="8" t="str">
        <x:v>PRECONTRACTARE/3. Finalizarea etapei de contractare/Aviz gospodarire ape-semnat.pdf</x:v>
      </x:c>
      <x:c r="C810" s="8" t="n">
        <x:v>1148581</x:v>
      </x:c>
    </x:row>
    <x:row r="811" ht="32" customHeight="1">
      <x:c r="A811" s="8" t="str">
        <x:v>0. Arhiva\5. Fotovoiltaic IPEC\Gmail\PRECONTRACTARE-20240118T142903Z-001.zip</x:v>
      </x:c>
      <x:c r="B811" s="8" t="str">
        <x:v>PRECONTRACTARE/h-certificat urbanism (1).pdf</x:v>
      </x:c>
      <x:c r="C811" s="8" t="n">
        <x:v>2857489</x:v>
      </x:c>
    </x:row>
    <x:row r="812" ht="32" customHeight="1">
      <x:c r="A812" s="8" t="str">
        <x:v>0. Arhiva\5. Fotovoiltaic IPEC\Gmail\PRECONTRACTARE-20240118T142903Z-001.zip</x:v>
      </x:c>
      <x:c r="B812" s="8" t="str">
        <x:v>PRECONTRACTARE/3. Finalizarea etapei de contractare/certificat urbanism (2).pdf</x:v>
      </x:c>
      <x:c r="C812" s="8" t="n">
        <x:v>2861297</x:v>
      </x:c>
    </x:row>
    <x:row r="813" ht="32" customHeight="1">
      <x:c r="A813" s="8" t="str">
        <x:v>0. Arhiva\5. Fotovoiltaic IPEC\Gmail\PRECONTRACTARE-20240118T142903Z-001.zip</x:v>
      </x:c>
      <x:c r="B813" s="8" t="str">
        <x:v>PRECONTRACTARE/h-certificat urbanism (2).pdf</x:v>
      </x:c>
      <x:c r="C813" s="8" t="n">
        <x:v>2861297</x:v>
      </x:c>
    </x:row>
    <x:row r="814" ht="32" customHeight="1">
      <x:c r="A814" s="8" t="str">
        <x:v>0. Arhiva\5. Fotovoiltaic IPEC\Gmail\PRECONTRACTARE-20240118T142903Z-001.zip</x:v>
      </x:c>
      <x:c r="B814" s="8" t="str">
        <x:v>PRECONTRACTARE/3. Finalizarea etapei de contractare/certificat urbanism (3).pdf</x:v>
      </x:c>
      <x:c r="C814" s="8" t="n">
        <x:v>2978403</x:v>
      </x:c>
    </x:row>
    <x:row r="815" ht="32" customHeight="1">
      <x:c r="A815" s="8" t="str">
        <x:v>0. Arhiva\5. Fotovoiltaic IPEC\Gmail\PRECONTRACTARE-20240118T142903Z-001.zip</x:v>
      </x:c>
      <x:c r="B815" s="8" t="str">
        <x:v>PRECONTRACTARE/d- aviz tehnic racordare.pdf</x:v>
      </x:c>
      <x:c r="C815" s="8" t="n">
        <x:v>1359533</x:v>
      </x:c>
    </x:row>
    <x:row r="816" ht="32" customHeight="1">
      <x:c r="A816" s="8" t="str">
        <x:v>0. Arhiva\5. Fotovoiltaic IPEC\Gmail\PRECONTRACTARE-20240118T142903Z-001.zip</x:v>
      </x:c>
      <x:c r="B816" s="8" t="str">
        <x:v>PRECONTRACTARE/h-certificat urbanism (3).pdf</x:v>
      </x:c>
      <x:c r="C816" s="8" t="n">
        <x:v>2978403</x:v>
      </x:c>
    </x:row>
    <x:row r="817" ht="32" customHeight="1">
      <x:c r="A817" s="8" t="str">
        <x:v>0. Arhiva\5. Fotovoiltaic IPEC\Gmail\PRECONTRACTARE-20240118T142903Z-001.zip</x:v>
      </x:c>
      <x:c r="B817" s="8" t="str">
        <x:v>PRECONTRACTARE/i-declaratie siturile Natura 2000.pdf</x:v>
      </x:c>
      <x:c r="C817" s="8" t="n">
        <x:v>1631052</x:v>
      </x:c>
    </x:row>
    <x:row r="818" ht="32" customHeight="1">
      <x:c r="A818" s="8" t="str">
        <x:v>0. Arhiva\5. Fotovoiltaic IPEC\Gmail\PRECONTRACTARE-20240118T142903Z-001.zip</x:v>
      </x:c>
      <x:c r="B818" s="8" t="str">
        <x:v>PRECONTRACTARE/k- echipa de proiect/Organigrama UIP.pdf</x:v>
      </x:c>
      <x:c r="C818" s="8" t="n">
        <x:v>198820</x:v>
      </x:c>
    </x:row>
    <x:row r="819" ht="32" customHeight="1">
      <x:c r="A819" s="8" t="str">
        <x:v>0. Arhiva\5. Fotovoiltaic IPEC\Gmail\PRECONTRACTARE-20240118T142903Z-001.zip</x:v>
      </x:c>
      <x:c r="B819" s="8" t="str">
        <x:v>PRECONTRACTARE/k- echipa de proiect/6.2 Anexa 3.d - declaratie privind conflctul de interese  repr achizitii.pdf</x:v>
      </x:c>
      <x:c r="C819" s="8" t="n">
        <x:v>220519</x:v>
      </x:c>
    </x:row>
    <x:row r="820" ht="32" customHeight="1">
      <x:c r="A820" s="8" t="str">
        <x:v>0. Arhiva\5. Fotovoiltaic IPEC\Gmail\PRECONTRACTARE-20240118T142903Z-001.zip</x:v>
      </x:c>
      <x:c r="B820" s="8" t="str">
        <x:v>PRECONTRACTARE/k- echipa de proiect/Fisa de post- Responsabil tehnic.pdf</x:v>
      </x:c>
      <x:c r="C820" s="8" t="n">
        <x:v>522570</x:v>
      </x:c>
    </x:row>
    <x:row r="821" ht="32" customHeight="1">
      <x:c r="A821" s="8" t="str">
        <x:v>0. Arhiva\5. Fotovoiltaic IPEC\Gmail\PRECONTRACTARE-20240118T142903Z-001.zip</x:v>
      </x:c>
      <x:c r="B821" s="8" t="str">
        <x:v>PRECONTRACTARE/k- echipa de proiect/6.2 Anexa 3.d - declaratie privind conflctul de interese  repr tehni.pdf</x:v>
      </x:c>
      <x:c r="C821" s="8" t="n">
        <x:v>223077</x:v>
      </x:c>
    </x:row>
    <x:row r="822" ht="32" customHeight="1">
      <x:c r="A822" s="8" t="str">
        <x:v>0. Arhiva\5. Fotovoiltaic IPEC\Gmail\PRECONTRACTARE-20240118T142903Z-001.zip</x:v>
      </x:c>
      <x:c r="B822" s="8" t="str">
        <x:v>PRECONTRACTARE/k- echipa de proiect/Fisa de post - Manager de proiect.pdf</x:v>
      </x:c>
      <x:c r="C822" s="8" t="n">
        <x:v>148458</x:v>
      </x:c>
    </x:row>
    <x:row r="823" ht="32" customHeight="1">
      <x:c r="A823" s="8" t="str">
        <x:v>0. Arhiva\5. Fotovoiltaic IPEC\Gmail\PRECONTRACTARE-20240118T142903Z-001.zip</x:v>
      </x:c>
      <x:c r="B823" s="8" t="str">
        <x:v>PRECONTRACTARE/k- echipa de proiect/6.1. Anexa 3.d - Declarație conflict de interese - repr.legal.pdf</x:v>
      </x:c>
      <x:c r="C823" s="8" t="n">
        <x:v>132520</x:v>
      </x:c>
    </x:row>
    <x:row r="824" ht="32" customHeight="1">
      <x:c r="A824" s="8" t="str">
        <x:v>0. Arhiva\5. Fotovoiltaic IPEC\Gmail\PRECONTRACTARE-20240118T142903Z-001.zip</x:v>
      </x:c>
      <x:c r="B824" s="8" t="str">
        <x:v>PRECONTRACTARE/k- echipa de proiect/CV-repr tehnic- Alexandru Garduli.pdf</x:v>
      </x:c>
      <x:c r="C824" s="8" t="n">
        <x:v>673192</x:v>
      </x:c>
    </x:row>
    <x:row r="825" ht="32" customHeight="1">
      <x:c r="A825" s="8" t="str">
        <x:v>0. Arhiva\5. Fotovoiltaic IPEC\Gmail\PRECONTRACTARE-20240118T142903Z-001.zip</x:v>
      </x:c>
      <x:c r="B825" s="8" t="str">
        <x:v>PRECONTRACTARE/k- echipa de proiect/Componenta UIP in format tabelar.pdf</x:v>
      </x:c>
      <x:c r="C825" s="8" t="n">
        <x:v>173893</x:v>
      </x:c>
    </x:row>
    <x:row r="826" ht="32" customHeight="1">
      <x:c r="A826" s="8" t="str">
        <x:v>0. Arhiva\5. Fotovoiltaic IPEC\Gmail\PRECONTRACTARE-20240118T142903Z-001.zip</x:v>
      </x:c>
      <x:c r="B826" s="8" t="str">
        <x:v>PRECONTRACTARE/2. Documente semnate electronic/7. Notificare cont proiect-semnat.pdf</x:v>
      </x:c>
      <x:c r="C826" s="8" t="n">
        <x:v>102849</x:v>
      </x:c>
    </x:row>
    <x:row r="827" ht="32" customHeight="1">
      <x:c r="A827" s="8" t="str">
        <x:v>0. Arhiva\5. Fotovoiltaic IPEC\Gmail\PRECONTRACTARE-20240118T142903Z-001.zip</x:v>
      </x:c>
      <x:c r="B827" s="8" t="str">
        <x:v>PRECONTRACTARE/k- echipa de proiect/Fisa de post - Responsabil financiar.pdf</x:v>
      </x:c>
      <x:c r="C827" s="8" t="n">
        <x:v>146686</x:v>
      </x:c>
    </x:row>
    <x:row r="828" ht="32" customHeight="1">
      <x:c r="A828" s="8" t="str">
        <x:v>0. Arhiva\5. Fotovoiltaic IPEC\Gmail\PRECONTRACTARE-20240118T142903Z-001.zip</x:v>
      </x:c>
      <x:c r="B828" s="8" t="str">
        <x:v>PRECONTRACTARE/3. Finalizarea etapei de contractare/certificat urbanism (1)-semnat.pdf</x:v>
      </x:c>
      <x:c r="C828" s="8" t="n">
        <x:v>2937937</x:v>
      </x:c>
    </x:row>
    <x:row r="829" ht="32" customHeight="1">
      <x:c r="A829" s="8" t="str">
        <x:v>0. Arhiva\5. Fotovoiltaic IPEC\Gmail\PRECONTRACTARE-20240118T142903Z-001.zip</x:v>
      </x:c>
      <x:c r="B829" s="8" t="str">
        <x:v>PRECONTRACTARE/k- echipa de proiect/CV CRISTIAN COVACIU.pdf</x:v>
      </x:c>
      <x:c r="C829" s="8" t="n">
        <x:v>952791</x:v>
      </x:c>
    </x:row>
    <x:row r="830" ht="32" customHeight="1">
      <x:c r="A830" s="8" t="str">
        <x:v>0. Arhiva\5. Fotovoiltaic IPEC\Gmail\PRECONTRACTARE-20240118T142903Z-001.zip</x:v>
      </x:c>
      <x:c r="B830" s="8" t="str">
        <x:v>PRECONTRACTARE/3. Finalizarea etapei de contractare/certificat urbanism (3)-semnat.pdf</x:v>
      </x:c>
      <x:c r="C830" s="8" t="n">
        <x:v>3058837</x:v>
      </x:c>
    </x:row>
    <x:row r="831" ht="32" customHeight="1">
      <x:c r="A831" s="8" t="str">
        <x:v>0. Arhiva\5. Fotovoiltaic IPEC\Gmail\PRECONTRACTARE-20240118T142903Z-001.zip</x:v>
      </x:c>
      <x:c r="B831" s="8" t="str">
        <x:v>PRECONTRACTARE/k- echipa de proiect/Fisa de post- Responsabil achizitii.pdf</x:v>
      </x:c>
      <x:c r="C831" s="8" t="n">
        <x:v>502032</x:v>
      </x:c>
    </x:row>
    <x:row r="832" ht="32" customHeight="1">
      <x:c r="A832" s="8" t="str">
        <x:v>0. Arhiva\5. Fotovoiltaic IPEC\Gmail\PRECONTRACTARE-20240118T142903Z-001.zip</x:v>
      </x:c>
      <x:c r="B832" s="8" t="str">
        <x:v>PRECONTRACTARE/k- echipa de proiect/6.3. Anexa 3.d - Declarație conflict de interese - repr.financiar.pdf</x:v>
      </x:c>
      <x:c r="C832" s="8" t="n">
        <x:v>134816</x:v>
      </x:c>
    </x:row>
    <x:row r="833" ht="32" customHeight="1">
      <x:c r="A833" s="8" t="str">
        <x:v>0. Arhiva\5. Fotovoiltaic IPEC\Gmail\PRECONTRACTARE-20240118T142903Z-001.zip</x:v>
      </x:c>
      <x:c r="B833" s="8" t="str">
        <x:v>PRECONTRACTARE/k- echipa de proiect/Atributii si responsabilitati UIP.pdf</x:v>
      </x:c>
      <x:c r="C833" s="8" t="n">
        <x:v>1494350</x:v>
      </x:c>
    </x:row>
    <x:row r="834" ht="32" customHeight="1">
      <x:c r="A834" s="8" t="str">
        <x:v>0. Arhiva\5. Fotovoiltaic IPEC\Gmail\PRECONTRACTARE-20240118T142903Z-001.zip</x:v>
      </x:c>
      <x:c r="B834" s="8" t="str">
        <x:v>PRECONTRACTARE/2. Documente semnate electronic/4.2.1. Scrisoare CEC-semnat.pdf</x:v>
      </x:c>
      <x:c r="C834" s="8" t="n">
        <x:v>192804</x:v>
      </x:c>
    </x:row>
    <x:row r="835" ht="32" customHeight="1">
      <x:c r="A835" s="8" t="str">
        <x:v>0. Arhiva\5. Fotovoiltaic IPEC\Gmail\PRECONTRACTARE-20240118T142903Z-001.zip</x:v>
      </x:c>
      <x:c r="B835" s="8" t="str">
        <x:v>PRECONTRACTARE/k- echipa de proiect/CV - rer achizitii - Ioana Mihu.pdf</x:v>
      </x:c>
      <x:c r="C835" s="8" t="n">
        <x:v>1244310</x:v>
      </x:c>
    </x:row>
    <x:row r="836" ht="32" customHeight="1">
      <x:c r="A836" s="8" t="str">
        <x:v>0. Arhiva\5. Fotovoiltaic IPEC\Gmail\PRECONTRACTARE-20240118T142903Z-001.zip</x:v>
      </x:c>
      <x:c r="B836" s="8" t="str">
        <x:v>PRECONTRACTARE/2. Documente semnate electronic/4.2.3. Scrisoare ING-semnat.pdf</x:v>
      </x:c>
      <x:c r="C836" s="8" t="n">
        <x:v>286025</x:v>
      </x:c>
    </x:row>
    <x:row r="837" ht="32" customHeight="1">
      <x:c r="A837" s="8" t="str">
        <x:v>0. Arhiva\5. Fotovoiltaic IPEC\Gmail\PRECONTRACTARE-20240118T142903Z-001.zip</x:v>
      </x:c>
      <x:c r="B837" s="8" t="str">
        <x:v>PRECONTRACTARE/f-Scrisoare IPEC-ro.pdf</x:v>
      </x:c>
      <x:c r="C837" s="8" t="n">
        <x:v>4534125</x:v>
      </x:c>
    </x:row>
    <x:row r="838" ht="32" customHeight="1">
      <x:c r="A838" s="8" t="str">
        <x:v>0. Arhiva\5. Fotovoiltaic IPEC\Gmail\PRECONTRACTARE-20240118T142903Z-001.zip</x:v>
      </x:c>
      <x:c r="B838" s="8" t="str">
        <x:v>PRECONTRACTARE/2. Documente semnate electronic/4.2.2. Scrisoare IKEA-semnat.pdf</x:v>
      </x:c>
      <x:c r="C838" s="8" t="n">
        <x:v>405294</x:v>
      </x:c>
    </x:row>
    <x:row r="839" ht="32" customHeight="1">
      <x:c r="A839" s="8" t="str">
        <x:v>0. Arhiva\5. Fotovoiltaic IPEC\Gmail\PRECONTRACTARE-20240118T142903Z-001.zip</x:v>
      </x:c>
      <x:c r="B839" s="8" t="str">
        <x:v>PRECONTRACTARE/3. Finalizarea etapei de contractare/certificat urbanism (2)-semnat.pdf</x:v>
      </x:c>
      <x:c r="C839" s="8" t="n">
        <x:v>2941743</x:v>
      </x:c>
    </x:row>
    <x:row r="840" ht="32" customHeight="1">
      <x:c r="A840" s="8" t="str">
        <x:v>0. Arhiva\5. Fotovoiltaic IPEC\Gmail\PRECONTRACTARE-20240118T142903Z-001.zip</x:v>
      </x:c>
      <x:c r="B840" s="8" t="str">
        <x:v>PRECONTRACTARE/2. Documente semnate electronic/2.4.4. Declaratie conflict interese- Stanciu Cosmina-semnat.pdf</x:v>
      </x:c>
      <x:c r="C840" s="8" t="n">
        <x:v>307401</x:v>
      </x:c>
    </x:row>
    <x:row r="841" ht="32" customHeight="1">
      <x:c r="A841" s="8" t="str">
        <x:v>0. Arhiva\5. Fotovoiltaic IPEC\Gmail\PRECONTRACTARE-20240118T142903Z-001.zip</x:v>
      </x:c>
      <x:c r="B841" s="8" t="str">
        <x:v>PRECONTRACTARE/2. Documente semnate electronic/6. Declaratie siturile Natura 2000-semnat.pdf</x:v>
      </x:c>
      <x:c r="C841" s="8" t="n">
        <x:v>1711710</x:v>
      </x:c>
    </x:row>
    <x:row r="842" ht="32" customHeight="1">
      <x:c r="A842" s="8" t="str">
        <x:v>0. Arhiva\5. Fotovoiltaic IPEC\Gmail\PRECONTRACTARE-20240118T142903Z-001.zip</x:v>
      </x:c>
      <x:c r="B842" s="8" t="str">
        <x:v>PRECONTRACTARE/2. Documente semnate electronic/2.4.1. Declaratie conflict interese- Cristian Covaciu-semnat.pdf</x:v>
      </x:c>
      <x:c r="C842" s="8" t="n">
        <x:v>299148</x:v>
      </x:c>
    </x:row>
    <x:row r="843" ht="32" customHeight="1">
      <x:c r="A843" s="8" t="str">
        <x:v>0. Arhiva\5. Fotovoiltaic IPEC\Gmail\PRECONTRACTARE-20240118T142903Z-001.zip</x:v>
      </x:c>
      <x:c r="B843" s="8" t="str">
        <x:v>PRECONTRACTARE/Documente de editat/Lista documente necesare in format editabil.docx</x:v>
      </x:c>
      <x:c r="C843" s="8" t="n">
        <x:v>13376</x:v>
      </x:c>
    </x:row>
    <x:row r="844" ht="32" customHeight="1">
      <x:c r="A844" s="8" t="str">
        <x:v>0. Arhiva\5. Fotovoiltaic IPEC\Gmail\PRECONTRACTARE-20240118T142903Z-001.zip</x:v>
      </x:c>
      <x:c r="B844" s="8" t="str">
        <x:v>PRECONTRACTARE/Documente de editat/6.4 Anexa 3.d - Declarație privind conflictul de interese - repr.tehnic.docx</x:v>
      </x:c>
      <x:c r="C844" s="8" t="n">
        <x:v>16949</x:v>
      </x:c>
    </x:row>
    <x:row r="845" ht="32" customHeight="1">
      <x:c r="A845" s="8" t="str">
        <x:v>0. Arhiva\5. Fotovoiltaic IPEC\Gmail\PRECONTRACTARE-20240118T142903Z-001.zip</x:v>
      </x:c>
      <x:c r="B845" s="8" t="str">
        <x:v>PRECONTRACTARE/2. Documente semnate electronic/2.3.2. Fisa post Alexandru Garduli-semnat.pdf</x:v>
      </x:c>
      <x:c r="C845" s="8" t="n">
        <x:v>591730</x:v>
      </x:c>
    </x:row>
    <x:row r="846" ht="32" customHeight="1">
      <x:c r="A846" s="8" t="str">
        <x:v>0. Arhiva\5. Fotovoiltaic IPEC\Gmail\PRECONTRACTARE-20240118T142903Z-001.zip</x:v>
      </x:c>
      <x:c r="B846" s="8" t="str">
        <x:v>PRECONTRACTARE/2. Documente semnate electronic/4.1.3. Extras CF hala 5-semnat.pdf</x:v>
      </x:c>
      <x:c r="C846" s="8" t="n">
        <x:v>1476979</x:v>
      </x:c>
    </x:row>
    <x:row r="847" ht="32" customHeight="1">
      <x:c r="A847" s="8" t="str">
        <x:v>0. Arhiva\5. Fotovoiltaic IPEC\Gmail\PRECONTRACTARE-20240118T142903Z-001.zip</x:v>
      </x:c>
      <x:c r="B847" s="8" t="str">
        <x:v>PRECONTRACTARE/3. Finalizarea etapei de contractare/certificat urbanism (1).pdf</x:v>
      </x:c>
      <x:c r="C847" s="8" t="n">
        <x:v>2857489</x:v>
      </x:c>
    </x:row>
    <x:row r="848" ht="32" customHeight="1">
      <x:c r="A848" s="8" t="str">
        <x:v>0. Arhiva\5. Fotovoiltaic IPEC\Gmail\PRECONTRACTARE-20240118T142903Z-001.zip</x:v>
      </x:c>
      <x:c r="B848" s="8" t="str">
        <x:v>PRECONTRACTARE/2. Documente semnate electronic/2.3.3. Fisa post Ioana Mihu-semnat.pdf</x:v>
      </x:c>
      <x:c r="C848" s="8" t="n">
        <x:v>575802</x:v>
      </x:c>
    </x:row>
    <x:row r="849" ht="32" customHeight="1">
      <x:c r="A849" s="8" t="str">
        <x:v>0. Arhiva\5. Fotovoiltaic IPEC\Gmail\PRECONTRACTARE-20240118T142903Z-001.zip</x:v>
      </x:c>
      <x:c r="B849" s="8" t="str">
        <x:v>PRECONTRACTARE/2. Documente semnate electronic/4.1.2. Extras CF hala 4-semnat.pdf</x:v>
      </x:c>
      <x:c r="C849" s="8" t="n">
        <x:v>1789410</x:v>
      </x:c>
    </x:row>
    <x:row r="850" ht="32" customHeight="1">
      <x:c r="A850" s="8" t="str">
        <x:v>0. Arhiva\5. Fotovoiltaic IPEC\Gmail\PRECONTRACTARE-20240118T142903Z-001.zip</x:v>
      </x:c>
      <x:c r="B850" s="8" t="str">
        <x:v>PRECONTRACTARE/Documente de editat/6.1 Anexa 3.d - Declarație privind conflictul de interese - repr.legal.docx</x:v>
      </x:c>
      <x:c r="C850" s="8" t="n">
        <x:v>17102</x:v>
      </x:c>
    </x:row>
    <x:row r="851" ht="32" customHeight="1">
      <x:c r="A851" s="8" t="str">
        <x:v>0. Arhiva\5. Fotovoiltaic IPEC\Gmail\PRECONTRACTARE-20240118T142903Z-001.zip</x:v>
      </x:c>
      <x:c r="B851" s="8" t="str">
        <x:v>PRECONTRACTARE/2. Documente semnate electronic/2.4.3. Declaratie conflict interese- Mihu Ioana-semnat.pdf</x:v>
      </x:c>
      <x:c r="C851" s="8" t="n">
        <x:v>300975</x:v>
      </x:c>
    </x:row>
    <x:row r="852" ht="32" customHeight="1">
      <x:c r="A852" s="8" t="str">
        <x:v>0. Arhiva\5. Fotovoiltaic IPEC\Gmail\PRECONTRACTARE-20240118T142903Z-001.zip</x:v>
      </x:c>
      <x:c r="B852" s="8" t="str">
        <x:v>PRECONTRACTARE/2. Documente semnate electronic/2.3.4. Fisa post Cosmina Stanciu-semnat.pdf</x:v>
      </x:c>
      <x:c r="C852" s="8" t="n">
        <x:v>637034</x:v>
      </x:c>
    </x:row>
    <x:row r="853" ht="32" customHeight="1">
      <x:c r="A853" s="8" t="str">
        <x:v>0. Arhiva\5. Fotovoiltaic IPEC\Gmail\PRECONTRACTARE-20240118T142903Z-001.zip</x:v>
      </x:c>
      <x:c r="B853" s="8" t="str">
        <x:v>PRECONTRACTARE/Documente de editat/6.2 Anexa 3.d - Declarație privind conflictul de interese - repr.achizitii.docx</x:v>
      </x:c>
      <x:c r="C853" s="8" t="n">
        <x:v>16933</x:v>
      </x:c>
    </x:row>
    <x:row r="854" ht="32" customHeight="1">
      <x:c r="A854" s="8" t="str">
        <x:v>0. Arhiva\5. Fotovoiltaic IPEC\Gmail\PRECONTRACTARE-20240118T142903Z-001.zip</x:v>
      </x:c>
      <x:c r="B854" s="8" t="str">
        <x:v>PRECONTRACTARE/Documente de editat/6.3 Anexa 3.d - Declarație privind conflictul de interese - repr.financiar.docx</x:v>
      </x:c>
      <x:c r="C854" s="8" t="n">
        <x:v>16959</x:v>
      </x:c>
    </x:row>
    <x:row r="855" ht="32" customHeight="1">
      <x:c r="A855" s="8" t="str">
        <x:v>0. Arhiva\5. Fotovoiltaic IPEC\Gmail\PRECONTRACTARE-20240118T142903Z-001.zip</x:v>
      </x:c>
      <x:c r="B855" s="8" t="str">
        <x:v>PRECONTRACTARE/Documente de editat/Fisa de post - Responsabil achizitii.docx</x:v>
      </x:c>
      <x:c r="C855" s="8" t="n">
        <x:v>30208</x:v>
      </x:c>
    </x:row>
    <x:row r="856" ht="32" customHeight="1">
      <x:c r="A856" s="8" t="str">
        <x:v>0. Arhiva\5. Fotovoiltaic IPEC\Gmail\PRECONTRACTARE-20240118T142903Z-001.zip</x:v>
      </x:c>
      <x:c r="B856" s="8" t="str">
        <x:v>PRECONTRACTARE/2. Documente semnate electronic/2.1.3. Componenta UIP-semnat.pdf</x:v>
      </x:c>
      <x:c r="C856" s="8" t="n">
        <x:v>253289</x:v>
      </x:c>
    </x:row>
    <x:row r="857" ht="32" customHeight="1">
      <x:c r="A857" s="8" t="str">
        <x:v>0. Arhiva\5. Fotovoiltaic IPEC\Gmail\PRECONTRACTARE-20240118T142903Z-001.zip</x:v>
      </x:c>
      <x:c r="B857" s="8" t="str">
        <x:v>PRECONTRACTARE/2. Documente semnate electronic/2.2.3. CV_Ioana Mihu-semnat.pdf</x:v>
      </x:c>
      <x:c r="C857" s="8" t="n">
        <x:v>1324840</x:v>
      </x:c>
    </x:row>
    <x:row r="858" ht="32" customHeight="1">
      <x:c r="A858" s="8" t="str">
        <x:v>0. Arhiva\5. Fotovoiltaic IPEC\Gmail\PRECONTRACTARE-20240118T142903Z-001.zip</x:v>
      </x:c>
      <x:c r="B858" s="8" t="str">
        <x:v>PRECONTRACTARE/Documente de editat/Fisa de post - Responsabil tehnic.docx</x:v>
      </x:c>
      <x:c r="C858" s="8" t="n">
        <x:v>30417</x:v>
      </x:c>
    </x:row>
    <x:row r="859" ht="32" customHeight="1">
      <x:c r="A859" s="8" t="str">
        <x:v>0. Arhiva\5. Fotovoiltaic IPEC\Gmail\PRECONTRACTARE-20240118T142903Z-001.zip</x:v>
      </x:c>
      <x:c r="B859" s="8" t="str">
        <x:v>PRECONTRACTARE/2. Documente semnate electronic/2.2.2. CV_Alexandru Garduli-semnat.pdf</x:v>
      </x:c>
      <x:c r="C859" s="8" t="n">
        <x:v>753803</x:v>
      </x:c>
    </x:row>
    <x:row r="860" ht="32" customHeight="1">
      <x:c r="A860" s="8" t="str">
        <x:v>0. Arhiva\5. Fotovoiltaic IPEC\Gmail\PRECONTRACTARE-20240118T142903Z-001.zip</x:v>
      </x:c>
      <x:c r="B860" s="8" t="str">
        <x:v>PRECONTRACTARE/2. Documente semnate electronic/2.3.1. Fisa Post Cristian Covaciu-semnat.pdf</x:v>
      </x:c>
      <x:c r="C860" s="8" t="n">
        <x:v>641404</x:v>
      </x:c>
    </x:row>
    <x:row r="861" ht="32" customHeight="1">
      <x:c r="A861" s="8" t="str">
        <x:v>0. Arhiva\5. Fotovoiltaic IPEC\Gmail\PRECONTRACTARE-20240118T142903Z-001.zip</x:v>
      </x:c>
      <x:c r="B861" s="8" t="str">
        <x:v>PRECONTRACTARE/2. Documente semnate electronic/2.2.4. CV-Cosmina Stanciu-semnat.pdf</x:v>
      </x:c>
      <x:c r="C861" s="8" t="n">
        <x:v>1670993</x:v>
      </x:c>
    </x:row>
    <x:row r="862" ht="32" customHeight="1">
      <x:c r="A862" s="8" t="str">
        <x:v>0. Arhiva\5. Fotovoiltaic IPEC\Gmail\PRECONTRACTARE-20240118T142903Z-001.zip</x:v>
      </x:c>
      <x:c r="B862" s="8" t="str">
        <x:v>PRECONTRACTARE/2. Documente semnate electronic/2.1.4. Organigrama UIP-semnat.pdf</x:v>
      </x:c>
      <x:c r="C862" s="8" t="n">
        <x:v>282260</x:v>
      </x:c>
    </x:row>
    <x:row r="863" ht="32" customHeight="1">
      <x:c r="A863" s="8" t="str">
        <x:v>0. Arhiva\5. Fotovoiltaic IPEC\Gmail\PRECONTRACTARE-20240118T142903Z-001.zip</x:v>
      </x:c>
      <x:c r="B863" s="8" t="str">
        <x:v>PRECONTRACTARE/Documente de editat/Fisa de post - Manager de proiect.docx</x:v>
      </x:c>
      <x:c r="C863" s="8" t="n">
        <x:v>30080</x:v>
      </x:c>
    </x:row>
    <x:row r="864" ht="32" customHeight="1">
      <x:c r="A864" s="8" t="str">
        <x:v>0. Arhiva\5. Fotovoiltaic IPEC\Gmail\PRECONTRACTARE-20240118T142903Z-001.zip</x:v>
      </x:c>
      <x:c r="B864" s="8" t="str">
        <x:v>PRECONTRACTARE/Documente de editat/2. Organigrama UIP.docx</x:v>
      </x:c>
      <x:c r="C864" s="8" t="n">
        <x:v>54572</x:v>
      </x:c>
    </x:row>
    <x:row r="865" ht="32" customHeight="1">
      <x:c r="A865" s="8" t="str">
        <x:v>0. Arhiva\5. Fotovoiltaic IPEC\Gmail\PRECONTRACTARE-20240118T142903Z-001.zip</x:v>
      </x:c>
      <x:c r="B865" s="8" t="str">
        <x:v>PRECONTRACTARE/Documente de editat/0.1. Atributii si responsabilitati UIP.doc</x:v>
      </x:c>
      <x:c r="C865" s="8" t="n">
        <x:v>93184</x:v>
      </x:c>
    </x:row>
    <x:row r="866" ht="32" customHeight="1">
      <x:c r="A866" s="8" t="str">
        <x:v>0. Arhiva\5. Fotovoiltaic IPEC\Gmail\PRECONTRACTARE-20240118T142903Z-001.zip</x:v>
      </x:c>
      <x:c r="B866" s="8" t="str">
        <x:v>PRECONTRACTARE/2. Documente semnate electronic/2.2.1. CV_Cristian Covaciu-semnat.pdf</x:v>
      </x:c>
      <x:c r="C866" s="8" t="n">
        <x:v>1033397</x:v>
      </x:c>
    </x:row>
    <x:row r="867" ht="32" customHeight="1">
      <x:c r="A867" s="8" t="str">
        <x:v>0. Arhiva\5. Fotovoiltaic IPEC\Gmail\PRECONTRACTARE-20240118T142903Z-001.zip</x:v>
      </x:c>
      <x:c r="B867" s="8" t="str">
        <x:v>PRECONTRACTARE/Documente de editat/1. Componenta UIP in format tabelar.docx</x:v>
      </x:c>
      <x:c r="C867" s="8" t="n">
        <x:v>34880</x:v>
      </x:c>
    </x:row>
    <x:row r="868" ht="32" customHeight="1">
      <x:c r="A868" s="8" t="str">
        <x:v>0. Arhiva\5. Fotovoiltaic IPEC\Gmail\PRECONTRACTARE-20240118T142903Z-001.zip</x:v>
      </x:c>
      <x:c r="B868" s="8" t="str">
        <x:v>PRECONTRACTARE/2. Documente semnate electronic/2.4.2. Declaratie conflict interese- Garduli Alexandru-semnat.pdf</x:v>
      </x:c>
      <x:c r="C868" s="8" t="n">
        <x:v>302545</x:v>
      </x:c>
    </x:row>
    <x:row r="869" ht="32" customHeight="1">
      <x:c r="A869" s="8" t="str">
        <x:v>0. Arhiva\5. Fotovoiltaic IPEC\Gmail\PRECONTRACTARE-20240118T142903Z-001.zip</x:v>
      </x:c>
      <x:c r="B869" s="8" t="str">
        <x:v>PRECONTRACTARE/2. Documente semnate electronic/1.1. Certificat de atestare fiscala - ANAF-semnat.pdf</x:v>
      </x:c>
      <x:c r="C869" s="8" t="n">
        <x:v>228116</x:v>
      </x:c>
    </x:row>
    <x:row r="870" ht="32" customHeight="1">
      <x:c r="A870" s="8" t="str">
        <x:v>0. Arhiva\5. Fotovoiltaic IPEC\Gmail\PRECONTRACTARE-20240118T142903Z-001.zip</x:v>
      </x:c>
      <x:c r="B870" s="8" t="str">
        <x:v>PRECONTRACTARE/2. Documente semnate electronic/4.2.4. Scrisoare IPEC-ro-semnat.pdf</x:v>
      </x:c>
      <x:c r="C870" s="8" t="n">
        <x:v>4611299</x:v>
      </x:c>
    </x:row>
    <x:row r="871" ht="32" customHeight="1">
      <x:c r="A871" s="8" t="str">
        <x:v>0. Arhiva\5. Fotovoiltaic IPEC\Gmail\PRECONTRACTARE-20240118T142903Z-001.zip</x:v>
      </x:c>
      <x:c r="B871" s="8" t="str">
        <x:v>PRECONTRACTARE/2. Documente semnate electronic/2.1.1. Decizia UIP revizuita-semnat.pdf</x:v>
      </x:c>
      <x:c r="C871" s="8" t="n">
        <x:v>398957</x:v>
      </x:c>
    </x:row>
    <x:row r="872" ht="32" customHeight="1">
      <x:c r="A872" s="8" t="str">
        <x:v>0. Arhiva\5. Fotovoiltaic IPEC\Gmail\PRECONTRACTARE-20240118T142903Z-001.zip</x:v>
      </x:c>
      <x:c r="B872" s="8" t="str">
        <x:v>PRECONTRACTARE/2. Documente semnate electronic/1.3. Certificat cazier fiscal-semnat.pdf</x:v>
      </x:c>
      <x:c r="C872" s="8" t="n">
        <x:v>191468</x:v>
      </x:c>
    </x:row>
    <x:row r="873" ht="32" customHeight="1">
      <x:c r="A873" s="8" t="str">
        <x:v>0. Arhiva\5. Fotovoiltaic IPEC\Gmail\PRECONTRACTARE-20240118T142903Z-001.zip</x:v>
      </x:c>
      <x:c r="B873" s="8" t="str">
        <x:v>PRECONTRACTARE/Documente de editat/Fisa de post - Responsabil financiar.docx</x:v>
      </x:c>
      <x:c r="C873" s="8" t="n">
        <x:v>30249</x:v>
      </x:c>
    </x:row>
    <x:row r="874" ht="32" customHeight="1">
      <x:c r="A874" s="8" t="str">
        <x:v>0. Arhiva\5. Fotovoiltaic IPEC\Gmail\PRECONTRACTARE-20240118T142903Z-001.zip</x:v>
      </x:c>
      <x:c r="B874" s="8" t="str">
        <x:v>PRECONTRACTARE/2. Documente semnate electronic/4.1.1. Extras CF hala 1-semnat.pdf</x:v>
      </x:c>
      <x:c r="C874" s="8" t="n">
        <x:v>1316342</x:v>
      </x:c>
    </x:row>
    <x:row r="875" ht="32" customHeight="1">
      <x:c r="A875" s="8" t="str">
        <x:v>0. Arhiva\5. Fotovoiltaic IPEC\Gmail\PRECONTRACTARE-20240118T142903Z-001.zip</x:v>
      </x:c>
      <x:c r="B875" s="8" t="str">
        <x:v>PRECONTRACTARE/2. Documente semnate electronic/1.2. Certificat atestare fiscala-semnat.pdf</x:v>
      </x:c>
      <x:c r="C875" s="8" t="n">
        <x:v>761458</x:v>
      </x:c>
    </x:row>
    <x:row r="876" ht="32" customHeight="1">
      <x:c r="A876" s="8" t="str">
        <x:v>0. Arhiva\5. Fotovoiltaic IPEC\Gmail\PRECONTRACTARE-20240118T142903Z-001.zip</x:v>
      </x:c>
      <x:c r="B876" s="8" t="str">
        <x:v>PRECONTRACTARE/k- echipa de proiect/Refacute/fisa post Ioana Mihu-semnat.pdf</x:v>
      </x:c>
      <x:c r="C876" s="8" t="n">
        <x:v>575798</x:v>
      </x:c>
    </x:row>
    <x:row r="877" ht="32" customHeight="1">
      <x:c r="A877" s="8" t="str">
        <x:v>0. Arhiva\5. Fotovoiltaic IPEC\Gmail\PRECONTRACTARE-20240118T142903Z-001.zip</x:v>
      </x:c>
      <x:c r="B877" s="8" t="str">
        <x:v>PRECONTRACTARE/k- echipa de proiect/Refacute/Organigrama UIP-v2-semnat.pdf</x:v>
      </x:c>
      <x:c r="C877" s="8" t="n">
        <x:v>282254</x:v>
      </x:c>
    </x:row>
    <x:row r="878" ht="32" customHeight="1">
      <x:c r="A878" s="8" t="str">
        <x:v>0. Arhiva\5. Fotovoiltaic IPEC\Gmail\PRECONTRACTARE-20240118T142903Z-001.zip</x:v>
      </x:c>
      <x:c r="B878" s="8" t="str">
        <x:v>PRECONTRACTARE/2. Documente semnate electronic/1.4. Cazier judiciar Cristian Covaciu-semnat.pdf</x:v>
      </x:c>
      <x:c r="C878" s="8" t="n">
        <x:v>1545900</x:v>
      </x:c>
    </x:row>
    <x:row r="879" ht="32" customHeight="1">
      <x:c r="A879" s="8" t="str">
        <x:v>0. Arhiva\5. Fotovoiltaic IPEC\Gmail\PRECONTRACTARE-20240118T142903Z-001.zip</x:v>
      </x:c>
      <x:c r="B879" s="8" t="str">
        <x:v>PRECONTRACTARE/k- echipa de proiect/Refacute/Declaratie conflict interese- Stanciu Cosmina-semnat.pdf</x:v>
      </x:c>
      <x:c r="C879" s="8" t="n">
        <x:v>307397</x:v>
      </x:c>
    </x:row>
    <x:row r="880" ht="32" customHeight="1">
      <x:c r="A880" s="8" t="str">
        <x:v>0. Arhiva\5. Fotovoiltaic IPEC\Gmail\PRECONTRACTARE-20240118T142903Z-001.zip</x:v>
      </x:c>
      <x:c r="B880" s="8" t="str">
        <x:v>PRECONTRACTARE/k- echipa de proiect/Refacute/Fisa post Stanciu Cosmina-semnat.pdf</x:v>
      </x:c>
      <x:c r="C880" s="8" t="n">
        <x:v>637040</x:v>
      </x:c>
    </x:row>
    <x:row r="881" ht="32" customHeight="1">
      <x:c r="A881" s="8" t="str">
        <x:v>0. Arhiva\5. Fotovoiltaic IPEC\Gmail\PRECONTRACTARE-20240118T142903Z-001.zip</x:v>
      </x:c>
      <x:c r="B881" s="8" t="str">
        <x:v>PRECONTRACTARE/k- echipa de proiect/Refacute/fisa post Alexandru Garduli-semnat.pdf</x:v>
      </x:c>
      <x:c r="C881" s="8" t="n">
        <x:v>591734</x:v>
      </x:c>
    </x:row>
    <x:row r="882" ht="32" customHeight="1">
      <x:c r="A882" s="8" t="str">
        <x:v>0. Arhiva\5. Fotovoiltaic IPEC\Gmail\PRECONTRACTARE-20240118T142903Z-001.zip</x:v>
      </x:c>
      <x:c r="B882" s="8" t="str">
        <x:v>PRECONTRACTARE/k- echipa de proiect/Refacute/Organigrama UIP-semnat.pdf</x:v>
      </x:c>
      <x:c r="C882" s="8" t="n">
        <x:v>277193</x:v>
      </x:c>
    </x:row>
    <x:row r="883" ht="32" customHeight="1">
      <x:c r="A883" s="8" t="str">
        <x:v>0. Arhiva\5. Fotovoiltaic IPEC\Gmail\PRECONTRACTARE-20240118T142903Z-001.zip</x:v>
      </x:c>
      <x:c r="B883" s="8" t="str">
        <x:v>PRECONTRACTARE/k- echipa de proiect/Refacute/Decizia nr 1-semnat.pdf</x:v>
      </x:c>
      <x:c r="C883" s="8" t="n">
        <x:v>398953</x:v>
      </x:c>
    </x:row>
    <x:row r="884" ht="32" customHeight="1">
      <x:c r="A884" s="8" t="str">
        <x:v>0. Arhiva\5. Fotovoiltaic IPEC\Gmail\PRECONTRACTARE-20240118T142903Z-001.zip</x:v>
      </x:c>
      <x:c r="B884" s="8" t="str">
        <x:v>PRECONTRACTARE/k- echipa de proiect/Refacute/Declaratie conflict interese- Cristian Covaciu-semnat.pdf</x:v>
      </x:c>
      <x:c r="C884" s="8" t="n">
        <x:v>299139</x:v>
      </x:c>
    </x:row>
    <x:row r="885" ht="32" customHeight="1">
      <x:c r="A885" s="8" t="str">
        <x:v>0. Arhiva\5. Fotovoiltaic IPEC\Gmail\PRECONTRACTARE-20240118T142903Z-001.zip</x:v>
      </x:c>
      <x:c r="B885" s="8" t="str">
        <x:v>PRECONTRACTARE/k- echipa de proiect/Refacute/Declaratie conflict interese- Garduli Alexandru-semnat.pdf</x:v>
      </x:c>
      <x:c r="C885" s="8" t="n">
        <x:v>302538</x:v>
      </x:c>
    </x:row>
    <x:row r="886" ht="32" customHeight="1">
      <x:c r="A886" s="8" t="str">
        <x:v>0. Arhiva\5. Fotovoiltaic IPEC\Gmail\PRECONTRACTARE-20240118T142903Z-001.zip</x:v>
      </x:c>
      <x:c r="B886" s="8" t="str">
        <x:v>PRECONTRACTARE/k- echipa de proiect/Refacute/Declaratie conflict interese- Mihu Ioana-semnat.pdf</x:v>
      </x:c>
      <x:c r="C886" s="8" t="n">
        <x:v>300964</x:v>
      </x:c>
    </x:row>
    <x:row r="887" ht="32" customHeight="1">
      <x:c r="A887" s="8" t="str">
        <x:v>0. Arhiva\5. Fotovoiltaic IPEC\Gmail\PRECONTRACTARE-20240118T142903Z-001.zip</x:v>
      </x:c>
      <x:c r="B887" s="8" t="str">
        <x:v>PRECONTRACTARE/k- echipa de proiect/Refacute/fisa Post Cristian Covaciu-semnat.pdf</x:v>
      </x:c>
      <x:c r="C887" s="8" t="n">
        <x:v>641398</x:v>
      </x:c>
    </x:row>
    <x:row r="888" ht="32" customHeight="1">
      <x:c r="A888" s="8" t="str">
        <x:v>0. Arhiva\5. Fotovoiltaic IPEC\Gmail\PRECONTRACTARE-20240118T142903Z-001.zip</x:v>
      </x:c>
      <x:c r="B888" s="8" t="str">
        <x:v>PRECONTRACTARE/k- echipa de proiect/Refacute/Componenta UIP-semnat.pdf</x:v>
      </x:c>
      <x:c r="C888" s="8" t="n">
        <x:v>253291</x:v>
      </x:c>
    </x:row>
    <x:row r="889" ht="32" customHeight="1">
      <x:c r="A889" s="8" t="str">
        <x:v>0. Arhiva\5. Fotovoiltaic IPEC\Gmail\PRECONTRACTARE-20240118T142903Z-001.zip</x:v>
      </x:c>
      <x:c r="B889" s="8" t="str">
        <x:v>PRECONTRACTARE/k- echipa de proiect/Refacute/CV-Cosmina Stanciu.pdf</x:v>
      </x:c>
      <x:c r="C889" s="8" t="n">
        <x:v>1594051</x:v>
      </x:c>
    </x:row>
    <x:row r="890" ht="32" customHeight="1">
      <x:c r="A890" s="8" t="str">
        <x:v>0. Arhiva\5. Fotovoiltaic IPEC\Gmail\PRECONTRACTARE-20240118T142903Z-001.zip</x:v>
      </x:c>
      <x:c r="B890" s="8" t="str">
        <x:v>PRECONTRACTARE/3. Finalizarea etapei de contractare/Autorizatie mediu.pdf</x:v>
      </x:c>
      <x:c r="C890" s="8" t="n">
        <x:v>10873079</x:v>
      </x:c>
    </x:row>
    <x:row r="891" ht="32" customHeight="1">
      <x:c r="A891" s="8" t="str">
        <x:v>0. Arhiva\5. Fotovoiltaic IPEC\Gmail\PRECONTRACTARE-20240118T142903Z-001.zip</x:v>
      </x:c>
      <x:c r="B891" s="8" t="str">
        <x:v>PRECONTRACTARE/1. Documente final - de semnat electronic/1.3. Certificat cazier fiscal.pdf</x:v>
      </x:c>
      <x:c r="C891" s="8" t="n">
        <x:v>63444</x:v>
      </x:c>
    </x:row>
    <x:row r="892" ht="32" customHeight="1">
      <x:c r="A892" s="8" t="str">
        <x:v>0. Arhiva\5. Fotovoiltaic IPEC\Gmail\PRECONTRACTARE-20240118T142903Z-001.zip</x:v>
      </x:c>
      <x:c r="B892" s="8" t="str">
        <x:v>PRECONTRACTARE/1. Documente final - de semnat electronic/7. Notificare cont proiect.pdf</x:v>
      </x:c>
      <x:c r="C892" s="8" t="n">
        <x:v>26922</x:v>
      </x:c>
    </x:row>
    <x:row r="893" ht="32" customHeight="1">
      <x:c r="A893" s="8" t="str">
        <x:v>0. Arhiva\5. Fotovoiltaic IPEC\Gmail\PRECONTRACTARE-20240118T142903Z-001.zip</x:v>
      </x:c>
      <x:c r="B893" s="8" t="str">
        <x:v>PRECONTRACTARE/k- echipa de proiect/Refacute/Atributii si responsabilitati UIP-semnat.pdf</x:v>
      </x:c>
      <x:c r="C893" s="8" t="n">
        <x:v>1867902</x:v>
      </x:c>
    </x:row>
    <x:row r="894" ht="32" customHeight="1">
      <x:c r="A894" s="8" t="str">
        <x:v>0. Arhiva\5. Fotovoiltaic IPEC\Gmail\PRECONTRACTARE-20240118T142903Z-001.zip</x:v>
      </x:c>
      <x:c r="B894" s="8" t="str">
        <x:v>PRECONTRACTARE/1. Documente final - de semnat electronic/2.4.3. Declaratie conflict interese- Mihu Ioana-semnat.pdf</x:v>
      </x:c>
      <x:c r="C894" s="8" t="n">
        <x:v>300964</x:v>
      </x:c>
    </x:row>
    <x:row r="895" ht="32" customHeight="1">
      <x:c r="A895" s="8" t="str">
        <x:v>0. Arhiva\5. Fotovoiltaic IPEC\Gmail\PRECONTRACTARE-20240118T142903Z-001.zip</x:v>
      </x:c>
      <x:c r="B895" s="8" t="str">
        <x:v>PRECONTRACTARE/1. Documente final - de semnat electronic/2.4.4. Declaratie conflict interese- Stanciu Cosmina-semnat.pdf</x:v>
      </x:c>
      <x:c r="C895" s="8" t="n">
        <x:v>307397</x:v>
      </x:c>
    </x:row>
    <x:row r="896" ht="32" customHeight="1">
      <x:c r="A896" s="8" t="str">
        <x:v>0. Arhiva\5. Fotovoiltaic IPEC\Gmail\PRECONTRACTARE-20240118T142903Z-001.zip</x:v>
      </x:c>
      <x:c r="B896" s="8" t="str">
        <x:v>PRECONTRACTARE/1. Documente final - de semnat electronic/2.4.2. Declaratie conflict interese- Garduli Alexandru-semnat.pdf</x:v>
      </x:c>
      <x:c r="C896" s="8" t="n">
        <x:v>302538</x:v>
      </x:c>
    </x:row>
    <x:row r="897" ht="32" customHeight="1">
      <x:c r="A897" s="8" t="str">
        <x:v>0. Arhiva\5. Fotovoiltaic IPEC\Gmail\PRECONTRACTARE-20240118T142903Z-001.zip</x:v>
      </x:c>
      <x:c r="B897" s="8" t="str">
        <x:v>PRECONTRACTARE/1. Documente final - de semnat electronic/2.1.4. Organigrama UIP-v2-semnat.pdf</x:v>
      </x:c>
      <x:c r="C897" s="8" t="n">
        <x:v>282254</x:v>
      </x:c>
    </x:row>
    <x:row r="898" ht="32" customHeight="1">
      <x:c r="A898" s="8" t="str">
        <x:v>0. Arhiva\5. Fotovoiltaic IPEC\Gmail\PRECONTRACTARE-20240118T142903Z-001.zip</x:v>
      </x:c>
      <x:c r="B898" s="8" t="str">
        <x:v>PRECONTRACTARE/1. Documente final - de semnat electronic/2.4.1. Declaratie conflict interese- Cristian Covaciu-semnat.pdf</x:v>
      </x:c>
      <x:c r="C898" s="8" t="n">
        <x:v>299139</x:v>
      </x:c>
    </x:row>
    <x:row r="899" ht="32" customHeight="1">
      <x:c r="A899" s="8" t="str">
        <x:v>0. Arhiva\5. Fotovoiltaic IPEC\Gmail\PRECONTRACTARE-20240118T142903Z-001.zip</x:v>
      </x:c>
      <x:c r="B899" s="8" t="str">
        <x:v>PRECONTRACTARE/1. Documente final - de semnat electronic/5. Declaratie privind beneficiarul real al persoanei juridice.pdf</x:v>
      </x:c>
      <x:c r="C899" s="8" t="n">
        <x:v>661195</x:v>
      </x:c>
    </x:row>
    <x:row r="900" ht="32" customHeight="1">
      <x:c r="A900" s="8" t="str">
        <x:v>0. Arhiva\5. Fotovoiltaic IPEC\Gmail\PRECONTRACTARE-20240118T142903Z-001.zip</x:v>
      </x:c>
      <x:c r="B900" s="8" t="str">
        <x:v>PRECONTRACTARE/1. Documente final - de semnat electronic/1.1. Certificat de atestare fiscala - ANAF.pdf</x:v>
      </x:c>
      <x:c r="C900" s="8" t="n">
        <x:v>101702</x:v>
      </x:c>
    </x:row>
    <x:row r="901" ht="32" customHeight="1">
      <x:c r="A901" s="8" t="str">
        <x:v>0. Arhiva\5. Fotovoiltaic IPEC\Gmail\PRECONTRACTARE-20240118T142903Z-001.zip</x:v>
      </x:c>
      <x:c r="B901" s="8" t="str">
        <x:v>PRECONTRACTARE/2. Documente semnate electronic/5. Declaratie privind beneficiarul real al persoanei juridice-semnat.pdf</x:v>
      </x:c>
      <x:c r="C901" s="8" t="n">
        <x:v>741851</x:v>
      </x:c>
    </x:row>
    <x:row r="902" ht="32" customHeight="1">
      <x:c r="A902" s="8" t="str">
        <x:v>0. Arhiva\5. Fotovoiltaic IPEC\Gmail\PRECONTRACTARE-20240118T142903Z-001.zip</x:v>
      </x:c>
      <x:c r="B902" s="8" t="str">
        <x:v>PRECONTRACTARE/1. Documente final - de semnat electronic/2.1.3. Componenta UIP-semnat.pdf</x:v>
      </x:c>
      <x:c r="C902" s="8" t="n">
        <x:v>253291</x:v>
      </x:c>
    </x:row>
    <x:row r="903" ht="32" customHeight="1">
      <x:c r="A903" s="8" t="str">
        <x:v>0. Arhiva\5. Fotovoiltaic IPEC\Gmail\PRECONTRACTARE-20240118T142903Z-001.zip</x:v>
      </x:c>
      <x:c r="B903" s="8" t="str">
        <x:v>PRECONTRACTARE/1. Documente final - de semnat electronic/1.2. Certificat atestare fiscala.pdf</x:v>
      </x:c>
      <x:c r="C903" s="8" t="n">
        <x:v>680818</x:v>
      </x:c>
    </x:row>
    <x:row r="904" ht="32" customHeight="1">
      <x:c r="A904" s="8" t="str">
        <x:v>0. Arhiva\5. Fotovoiltaic IPEC\Gmail\PRECONTRACTARE-20240118T142903Z-001.zip</x:v>
      </x:c>
      <x:c r="B904" s="8" t="str">
        <x:v>PRECONTRACTARE/1. Documente final - de semnat electronic/2.1.1. Decizia UIP revizuita.pdf</x:v>
      </x:c>
      <x:c r="C904" s="8" t="n">
        <x:v>398953</x:v>
      </x:c>
    </x:row>
    <x:row r="905" ht="32" customHeight="1">
      <x:c r="A905" s="8" t="str">
        <x:v>0. Arhiva\5. Fotovoiltaic IPEC\Gmail\PRECONTRACTARE-20240118T142903Z-001.zip</x:v>
      </x:c>
      <x:c r="B905" s="8" t="str">
        <x:v>PRECONTRACTARE/1. Documente final - de semnat electronic/2.3.3. Fisa post Ioana Mihu-semnat.pdf</x:v>
      </x:c>
      <x:c r="C905" s="8" t="n">
        <x:v>575798</x:v>
      </x:c>
    </x:row>
    <x:row r="906" ht="32" customHeight="1">
      <x:c r="A906" s="8" t="str">
        <x:v>0. Arhiva\5. Fotovoiltaic IPEC\Gmail\PRECONTRACTARE-20240118T142903Z-001.zip</x:v>
      </x:c>
      <x:c r="B906" s="8" t="str">
        <x:v>PRECONTRACTARE/1. Documente final - de semnat electronic/2.3.1. Fisa post Cristian Covaciu-semnat.pdf</x:v>
      </x:c>
      <x:c r="C906" s="8" t="n">
        <x:v>641398</x:v>
      </x:c>
    </x:row>
    <x:row r="907" ht="32" customHeight="1">
      <x:c r="A907" s="8" t="str">
        <x:v>0. Arhiva\5. Fotovoiltaic IPEC\Gmail\PRECONTRACTARE-20240118T142903Z-001.zip</x:v>
      </x:c>
      <x:c r="B907" s="8" t="str">
        <x:v>PRECONTRACTARE/1. Documente final - de semnat electronic/2.3.2. Fisa post Alexandru Garduli-semnat.pdf</x:v>
      </x:c>
      <x:c r="C907" s="8" t="n">
        <x:v>591734</x:v>
      </x:c>
    </x:row>
    <x:row r="908" ht="32" customHeight="1">
      <x:c r="A908" s="8" t="str">
        <x:v>0. Arhiva\5. Fotovoiltaic IPEC\Gmail\PRECONTRACTARE-20240118T142903Z-001.zip</x:v>
      </x:c>
      <x:c r="B908" s="8" t="str">
        <x:v>PRECONTRACTARE/1. Documente final - de semnat electronic/2.3.4. Fisa post Stanciu Cosmina-semnat.pdf</x:v>
      </x:c>
      <x:c r="C908" s="8" t="n">
        <x:v>637040</x:v>
      </x:c>
    </x:row>
    <x:row r="909" ht="32" customHeight="1">
      <x:c r="A909" s="8" t="str">
        <x:v>0. Arhiva\5. Fotovoiltaic IPEC\Gmail\PRECONTRACTARE-20240118T142903Z-001.zip</x:v>
      </x:c>
      <x:c r="B909" s="8" t="str">
        <x:v>PRECONTRACTARE/1. Documente final - de semnat electronic/2.2.1. CV_Cristian Covaciu.pdf</x:v>
      </x:c>
      <x:c r="C909" s="8" t="n">
        <x:v>952791</x:v>
      </x:c>
    </x:row>
    <x:row r="910" ht="32" customHeight="1">
      <x:c r="A910" s="8" t="str">
        <x:v>0. Arhiva\5. Fotovoiltaic IPEC\Gmail\PRECONTRACTARE-20240118T142903Z-001.zip</x:v>
      </x:c>
      <x:c r="B910" s="8" t="str">
        <x:v>PRECONTRACTARE/1. Documente final - de semnat electronic/4.2.3. Scrisoare ING.pdf</x:v>
      </x:c>
      <x:c r="C910" s="8" t="n">
        <x:v>261960</x:v>
      </x:c>
    </x:row>
    <x:row r="911" ht="32" customHeight="1">
      <x:c r="A911" s="8" t="str">
        <x:v>0. Arhiva\5. Fotovoiltaic IPEC\Gmail\PRECONTRACTARE-20240118T142903Z-001.zip</x:v>
      </x:c>
      <x:c r="B911" s="8" t="str">
        <x:v>PRECONTRACTARE/2. Documente semnate electronic/3. Aviz tehnic de racordare-semnat.pdf</x:v>
      </x:c>
      <x:c r="C911" s="8" t="n">
        <x:v>1446753</x:v>
      </x:c>
    </x:row>
    <x:row r="912" ht="32" customHeight="1">
      <x:c r="A912" s="8" t="str">
        <x:v>0. Arhiva\5. Fotovoiltaic IPEC\Gmail\PRECONTRACTARE-20240118T142903Z-001.zip</x:v>
      </x:c>
      <x:c r="B912" s="8" t="str">
        <x:v>PRECONTRACTARE/2. Documente semnate electronic/2.1.2. Atributii si responsabilitati UIP-semnat.pdf</x:v>
      </x:c>
      <x:c r="C912" s="8" t="n">
        <x:v>1867921</x:v>
      </x:c>
    </x:row>
    <x:row r="913" ht="32" customHeight="1">
      <x:c r="A913" s="8" t="str">
        <x:v>0. Arhiva\5. Fotovoiltaic IPEC\Gmail\PRECONTRACTARE-20240118T142903Z-001.zip</x:v>
      </x:c>
      <x:c r="B913" s="8" t="str">
        <x:v>PRECONTRACTARE/1. Documente final - de semnat electronic/1.4. Cazier judiciar Cristian Covaciu.pdf</x:v>
      </x:c>
      <x:c r="C913" s="8" t="n">
        <x:v>1419836</x:v>
      </x:c>
    </x:row>
    <x:row r="914" ht="32" customHeight="1">
      <x:c r="A914" s="8" t="str">
        <x:v>0. Arhiva\5. Fotovoiltaic IPEC\Gmail\PRECONTRACTARE-20240118T142903Z-001.zip</x:v>
      </x:c>
      <x:c r="B914" s="8" t="str">
        <x:v>PRECONTRACTARE/1. Documente final - de semnat electronic/6. Declaratie siturile Natura 2000.pdf</x:v>
      </x:c>
      <x:c r="C914" s="8" t="n">
        <x:v>1631052</x:v>
      </x:c>
    </x:row>
    <x:row r="915" ht="32" customHeight="1">
      <x:c r="A915" s="8" t="str">
        <x:v>0. Arhiva\5. Fotovoiltaic IPEC\Gmail\PRECONTRACTARE-20240118T142903Z-001.zip</x:v>
      </x:c>
      <x:c r="B915" s="8" t="str">
        <x:v>PRECONTRACTARE/1. Documente final - de semnat electronic/2.2.4. CV-Cosmina Stanciu.pdf</x:v>
      </x:c>
      <x:c r="C915" s="8" t="n">
        <x:v>1594051</x:v>
      </x:c>
    </x:row>
    <x:row r="916" ht="32" customHeight="1">
      <x:c r="A916" s="8" t="str">
        <x:v>0. Arhiva\5. Fotovoiltaic IPEC\Gmail\PRECONTRACTARE-20240118T142903Z-001.zip</x:v>
      </x:c>
      <x:c r="B916" s="8" t="str">
        <x:v>PRECONTRACTARE/1. Documente final - de semnat electronic/4.2.2. Scrisoare IKEA.pdf</x:v>
      </x:c>
      <x:c r="C916" s="8" t="n">
        <x:v>332766</x:v>
      </x:c>
    </x:row>
    <x:row r="917" ht="32" customHeight="1">
      <x:c r="A917" s="8" t="str">
        <x:v>0. Arhiva\5. Fotovoiltaic IPEC\Gmail\PRECONTRACTARE-20240118T142903Z-001.zip</x:v>
      </x:c>
      <x:c r="B917" s="8" t="str">
        <x:v>PRECONTRACTARE/1. Documente final - de semnat electronic/4.2.1. Scrisoare CEC.pdf</x:v>
      </x:c>
      <x:c r="C917" s="8" t="n">
        <x:v>116682</x:v>
      </x:c>
    </x:row>
    <x:row r="918" ht="32" customHeight="1">
      <x:c r="A918" s="8" t="str">
        <x:v>0. Arhiva\5. Fotovoiltaic IPEC\Gmail\PRECONTRACTARE-20240118T142903Z-001.zip</x:v>
      </x:c>
      <x:c r="B918" s="8" t="str">
        <x:v>PRECONTRACTARE/1. Documente final - de semnat electronic/2.1.2. Atributii si responsabilitati UIP-semnat.pdf</x:v>
      </x:c>
      <x:c r="C918" s="8" t="n">
        <x:v>1867902</x:v>
      </x:c>
    </x:row>
    <x:row r="919" ht="32" customHeight="1">
      <x:c r="A919" s="8" t="str">
        <x:v>0. Arhiva\5. Fotovoiltaic IPEC\Gmail\PRECONTRACTARE-20240118T142903Z-001.zip</x:v>
      </x:c>
      <x:c r="B919" s="8" t="str">
        <x:v>PRECONTRACTARE/1. Documente final - de semnat electronic/4.1.3. Extras CF hala 5.pdf</x:v>
      </x:c>
      <x:c r="C919" s="8" t="n">
        <x:v>1396437</x:v>
      </x:c>
    </x:row>
    <x:row r="920" ht="32" customHeight="1">
      <x:c r="A920" s="8" t="str">
        <x:v>0. Arhiva\5. Fotovoiltaic IPEC\Gmail\PRECONTRACTARE-20240118T142903Z-001.zip</x:v>
      </x:c>
      <x:c r="B920" s="8" t="str">
        <x:v>PRECONTRACTARE/1. Documente final - de semnat electronic/4.1.1. Extras CF hala 1.pdf</x:v>
      </x:c>
      <x:c r="C920" s="8" t="n">
        <x:v>1235794</x:v>
      </x:c>
    </x:row>
    <x:row r="921" ht="32" customHeight="1">
      <x:c r="A921" s="8" t="str">
        <x:v>0. Arhiva\5. Fotovoiltaic IPEC\Gmail\PRECONTRACTARE-20240118T142903Z-001.zip</x:v>
      </x:c>
      <x:c r="B921" s="8" t="str">
        <x:v>PRECONTRACTARE/1. Documente final - de semnat electronic/4.1.2. Extras CF hala 4.pdf</x:v>
      </x:c>
      <x:c r="C921" s="8" t="n">
        <x:v>1708868</x:v>
      </x:c>
    </x:row>
    <x:row r="922" ht="32" customHeight="1">
      <x:c r="A922" s="8" t="str">
        <x:v>0. Arhiva\5. Fotovoiltaic IPEC\Gmail\PRECONTRACTARE-20240118T142903Z-001.zip</x:v>
      </x:c>
      <x:c r="B922" s="8" t="str">
        <x:v>PRECONTRACTARE/1. Documente final - de semnat electronic/4.2.4. Scrisoare IPEC-ro.pdf</x:v>
      </x:c>
      <x:c r="C922" s="8" t="n">
        <x:v>4534125</x:v>
      </x:c>
    </x:row>
    <x:row r="923" ht="32" customHeight="1">
      <x:c r="A923" s="8" t="str">
        <x:v>0. Arhiva\5. Fotovoiltaic IPEC\Gmail\PRECONTRACTARE-20240118T142903Z-001.zip</x:v>
      </x:c>
      <x:c r="B923" s="8" t="str">
        <x:v>PRECONTRACTARE/1. Documente final - de semnat electronic/2.2.3. CV_Ioana Mihu.pdf</x:v>
      </x:c>
      <x:c r="C923" s="8" t="n">
        <x:v>1244310</x:v>
      </x:c>
    </x:row>
    <x:row r="924" ht="32" customHeight="1">
      <x:c r="A924" s="8" t="str">
        <x:v>0. Arhiva\5. Fotovoiltaic IPEC\Gmail\PRECONTRACTARE-20240118T142903Z-001.zip</x:v>
      </x:c>
      <x:c r="B924" s="8" t="str">
        <x:v>PRECONTRACTARE/1. Documente final - de semnat electronic/2.2.2. CV_Alexandru Garduli.pdf</x:v>
      </x:c>
      <x:c r="C924" s="8" t="n">
        <x:v>673192</x:v>
      </x:c>
    </x:row>
    <x:row r="925" ht="32" customHeight="1">
      <x:c r="A925" s="8" t="str">
        <x:v>0. Arhiva\5. Fotovoiltaic IPEC\Gmail\PRECONTRACTARE-20240118T142903Z-001.zip</x:v>
      </x:c>
      <x:c r="B925" s="8" t="str">
        <x:v>PRECONTRACTARE/1. Documente final - de semnat electronic/3. Aviz tehnic de racordare.pdf</x:v>
      </x:c>
      <x:c r="C925" s="8" t="n">
        <x:v>1359533</x:v>
      </x:c>
    </x:row>
    <x:row r="926" ht="32" customHeight="1">
      <x:c r="A926" s="8" t="str">
        <x:v>0. Arhiva\5. Fotovoiltaic IPEC\Gmail\SCRIERE - EVALUARE-20240118T142757Z-001.zip</x:v>
      </x:c>
      <x:c r="B926" s="8" t="str">
        <x:v>SCRIERE - EVALUARE/extras OTP.pdf</x:v>
      </x:c>
      <x:c r="C926" s="8" t="n">
        <x:v>174244</x:v>
      </x:c>
    </x:row>
    <x:row r="927" ht="32" customHeight="1">
      <x:c r="A927" s="8" t="str">
        <x:v>0. Arhiva\5. Fotovoiltaic IPEC\Gmail\SCRIERE - EVALUARE-20240118T142757Z-001.zip</x:v>
      </x:c>
      <x:c r="B927" s="8" t="str">
        <x:v>SCRIERE - EVALUARE/CV-Adrian Nemety-semnat.pdf</x:v>
      </x:c>
      <x:c r="C927" s="8" t="n">
        <x:v>402019</x:v>
      </x:c>
    </x:row>
    <x:row r="928" ht="32" customHeight="1">
      <x:c r="A928" s="8" t="str">
        <x:v>0. Arhiva\5. Fotovoiltaic IPEC\Gmail\SCRIERE - EVALUARE-20240118T142757Z-001.zip</x:v>
      </x:c>
      <x:c r="B928" s="8" t="str">
        <x:v>SCRIERE - EVALUARE/ATR-DOVADA DEPUNERE.pdf</x:v>
      </x:c>
      <x:c r="C928" s="8" t="n">
        <x:v>533814</x:v>
      </x:c>
    </x:row>
    <x:row r="929" ht="32" customHeight="1">
      <x:c r="A929" s="8" t="str">
        <x:v>0. Arhiva\5. Fotovoiltaic IPEC\Gmail\SCRIERE - EVALUARE-20240118T142757Z-001.zip</x:v>
      </x:c>
      <x:c r="B929" s="8" t="str">
        <x:v>SCRIERE - EVALUARE/scrisoare ING.pdf</x:v>
      </x:c>
      <x:c r="C929" s="8" t="n">
        <x:v>261960</x:v>
      </x:c>
    </x:row>
    <x:row r="930" ht="32" customHeight="1">
      <x:c r="A930" s="8" t="str">
        <x:v>0. Arhiva\5. Fotovoiltaic IPEC\Gmail\SCRIERE - EVALUARE-20240118T142757Z-001.zip</x:v>
      </x:c>
      <x:c r="B930" s="8" t="str">
        <x:v>SCRIERE - EVALUARE/Declaratia autoritatii responsabile cu monitorizarea siturilor natura 2000.pdf</x:v>
      </x:c>
      <x:c r="C930" s="8" t="n">
        <x:v>1426801</x:v>
      </x:c>
    </x:row>
    <x:row r="931" ht="32" customHeight="1">
      <x:c r="A931" s="8" t="str">
        <x:v>0. Arhiva\5. Fotovoiltaic IPEC\Gmail\SCRIERE - EVALUARE-20240118T142757Z-001.zip</x:v>
      </x:c>
      <x:c r="B931" s="8" t="str">
        <x:v>SCRIERE - EVALUARE/scrisoare IKEA.pdf</x:v>
      </x:c>
      <x:c r="C931" s="8" t="n">
        <x:v>332766</x:v>
      </x:c>
    </x:row>
    <x:row r="932" ht="32" customHeight="1">
      <x:c r="A932" s="8" t="str">
        <x:v>0. Arhiva\5. Fotovoiltaic IPEC\Gmail\SCRIERE - EVALUARE-20240118T142757Z-001.zip</x:v>
      </x:c>
      <x:c r="B932" s="8" t="str">
        <x:v>SCRIERE - EVALUARE/bilant_SC IPEC SA 2021-recipisa.pdf</x:v>
      </x:c>
      <x:c r="C932" s="8" t="n">
        <x:v>9396</x:v>
      </x:c>
    </x:row>
    <x:row r="933" ht="32" customHeight="1">
      <x:c r="A933" s="8" t="str">
        <x:v>0. Arhiva\5. Fotovoiltaic IPEC\Gmail\SCRIERE - EVALUARE-20240118T142757Z-001.zip</x:v>
      </x:c>
      <x:c r="B933" s="8" t="str">
        <x:v>SCRIERE - EVALUARE/CV-ADRIAN NEMETY.doc</x:v>
      </x:c>
      <x:c r="C933" s="8" t="n">
        <x:v>363008</x:v>
      </x:c>
    </x:row>
    <x:row r="934" ht="32" customHeight="1">
      <x:c r="A934" s="8" t="str">
        <x:v>0. Arhiva\5. Fotovoiltaic IPEC\Gmail\SCRIERE - EVALUARE-20240118T142757Z-001.zip</x:v>
      </x:c>
      <x:c r="B934" s="8" t="str">
        <x:v>SCRIERE - EVALUARE/Dovada Mediu.pdf</x:v>
      </x:c>
      <x:c r="C934" s="8" t="n">
        <x:v>349604</x:v>
      </x:c>
    </x:row>
    <x:row r="935" ht="32" customHeight="1">
      <x:c r="A935" s="8" t="str">
        <x:v>0. Arhiva\5. Fotovoiltaic IPEC\Gmail\SCRIERE - EVALUARE-20240118T142757Z-001.zip</x:v>
      </x:c>
      <x:c r="B935" s="8" t="str">
        <x:v>SCRIERE - EVALUARE/aviz tehnic racordare.pdf</x:v>
      </x:c>
      <x:c r="C935" s="8" t="n">
        <x:v>2338386</x:v>
      </x:c>
    </x:row>
    <x:row r="936" ht="32" customHeight="1">
      <x:c r="A936" s="8" t="str">
        <x:v>0. Arhiva\5. Fotovoiltaic IPEC\Gmail\SCRIERE - EVALUARE-20240118T142757Z-001.zip</x:v>
      </x:c>
      <x:c r="B936" s="8" t="str">
        <x:v>SCRIERE - EVALUARE/Model Declaratie Banca - ro.docx</x:v>
      </x:c>
      <x:c r="C936" s="8" t="n">
        <x:v>15386</x:v>
      </x:c>
    </x:row>
    <x:row r="937" ht="32" customHeight="1">
      <x:c r="A937" s="8" t="str">
        <x:v>0. Arhiva\5. Fotovoiltaic IPEC\Gmail\SCRIERE - EVALUARE-20240118T142757Z-001.zip</x:v>
      </x:c>
      <x:c r="B937" s="8" t="str">
        <x:v>SCRIERE - EVALUARE/CV CRISTIAN COVACIU.pdf</x:v>
      </x:c>
      <x:c r="C937" s="8" t="n">
        <x:v>952791</x:v>
      </x:c>
    </x:row>
    <x:row r="938" ht="32" customHeight="1">
      <x:c r="A938" s="8" t="str">
        <x:v>0. Arhiva\5. Fotovoiltaic IPEC\Gmail\SCRIERE - EVALUARE-20240118T142757Z-001.zip</x:v>
      </x:c>
      <x:c r="B938" s="8" t="str">
        <x:v>SCRIERE - EVALUARE/CV ANA LAZEA.pdf</x:v>
      </x:c>
      <x:c r="C938" s="8" t="n">
        <x:v>610518</x:v>
      </x:c>
    </x:row>
    <x:row r="939" ht="32" customHeight="1">
      <x:c r="A939" s="8" t="str">
        <x:v>0. Arhiva\5. Fotovoiltaic IPEC\Gmail\SCRIERE - EVALUARE-20240118T142757Z-001.zip</x:v>
      </x:c>
      <x:c r="B939" s="8" t="str">
        <x:v>SCRIERE - EVALUARE/Ceritifcat constatator.pdf</x:v>
      </x:c>
      <x:c r="C939" s="8" t="n">
        <x:v>676339</x:v>
      </x:c>
    </x:row>
    <x:row r="940" ht="32" customHeight="1">
      <x:c r="A940" s="8" t="str">
        <x:v>0. Arhiva\5. Fotovoiltaic IPEC\Gmail\SCRIERE - EVALUARE-20240118T142757Z-001.zip</x:v>
      </x:c>
      <x:c r="B940" s="8" t="str">
        <x:v>SCRIERE - EVALUARE/certificat urbanism (3).pdf</x:v>
      </x:c>
      <x:c r="C940" s="8" t="n">
        <x:v>2978403</x:v>
      </x:c>
    </x:row>
    <x:row r="941" ht="32" customHeight="1">
      <x:c r="A941" s="8" t="str">
        <x:v>0. Arhiva\5. Fotovoiltaic IPEC\Gmail\SCRIERE - EVALUARE-20240118T142757Z-001.zip</x:v>
      </x:c>
      <x:c r="B941" s="8" t="str">
        <x:v>SCRIERE - EVALUARE/certificat urbanism (1).pdf</x:v>
      </x:c>
      <x:c r="C941" s="8" t="n">
        <x:v>2857489</x:v>
      </x:c>
    </x:row>
    <x:row r="942" ht="32" customHeight="1">
      <x:c r="A942" s="8" t="str">
        <x:v>0. Arhiva\5. Fotovoiltaic IPEC\Gmail\SCRIERE - EVALUARE-20240118T142757Z-001.zip</x:v>
      </x:c>
      <x:c r="B942" s="8" t="str">
        <x:v>SCRIERE - EVALUARE/CF H5.pdf</x:v>
      </x:c>
      <x:c r="C942" s="8" t="n">
        <x:v>1335358</x:v>
      </x:c>
    </x:row>
    <x:row r="943" ht="32" customHeight="1">
      <x:c r="A943" s="8" t="str">
        <x:v>0. Arhiva\5. Fotovoiltaic IPEC\Gmail\SCRIERE - EVALUARE-20240118T142757Z-001.zip</x:v>
      </x:c>
      <x:c r="B943" s="8" t="str">
        <x:v>SCRIERE - EVALUARE/CF H1.pdf</x:v>
      </x:c>
      <x:c r="C943" s="8" t="n">
        <x:v>1242110</x:v>
      </x:c>
    </x:row>
    <x:row r="944" ht="32" customHeight="1">
      <x:c r="A944" s="8" t="str">
        <x:v>0. Arhiva\5. Fotovoiltaic IPEC\Gmail\SCRIERE - EVALUARE-20240118T142757Z-001.zip</x:v>
      </x:c>
      <x:c r="B944" s="8" t="str">
        <x:v>SCRIERE - EVALUARE/cerificat constator extins.pdf</x:v>
      </x:c>
      <x:c r="C944" s="8" t="n">
        <x:v>2178644</x:v>
      </x:c>
    </x:row>
    <x:row r="945" ht="32" customHeight="1">
      <x:c r="A945" s="8" t="str">
        <x:v>0. Arhiva\5. Fotovoiltaic IPEC\Gmail\SCRIERE - EVALUARE-20240118T142757Z-001.zip</x:v>
      </x:c>
      <x:c r="B945" s="8" t="str">
        <x:v>SCRIERE - EVALUARE/CF Hala 4.pdf</x:v>
      </x:c>
      <x:c r="C945" s="8" t="n">
        <x:v>1521142</x:v>
      </x:c>
    </x:row>
    <x:row r="946" ht="32" customHeight="1">
      <x:c r="A946" s="8" t="str">
        <x:v>0. Arhiva\5. Fotovoiltaic IPEC\Gmail\SCRIERE - EVALUARE-20240118T142757Z-001.zip</x:v>
      </x:c>
      <x:c r="B946" s="8" t="str">
        <x:v>SCRIERE - EVALUARE/Bilant SC IPEC SA - 2019 - recipisa.pdf</x:v>
      </x:c>
      <x:c r="C946" s="8" t="n">
        <x:v>8640</x:v>
      </x:c>
    </x:row>
    <x:row r="947" ht="32" customHeight="1">
      <x:c r="A947" s="8" t="str">
        <x:v>0. Arhiva\5. Fotovoiltaic IPEC\Gmail\SCRIERE - EVALUARE-20240118T142757Z-001.zip</x:v>
      </x:c>
      <x:c r="B947" s="8" t="str">
        <x:v>SCRIERE - EVALUARE/Identificare electronica - PNRR/DeclaratieReprezentantLegal_6698299_20220620163447.pdf</x:v>
      </x:c>
      <x:c r="C947" s="8" t="n">
        <x:v>154620</x:v>
      </x:c>
    </x:row>
    <x:row r="948" ht="32" customHeight="1">
      <x:c r="A948" s="8" t="str">
        <x:v>0. Arhiva\5. Fotovoiltaic IPEC\Gmail\SCRIERE - EVALUARE-20240118T142757Z-001.zip</x:v>
      </x:c>
      <x:c r="B948" s="8" t="str">
        <x:v>SCRIERE - EVALUARE/!FINAL - DE SEMNAT/28. Dovada depunere ATR - IPEC S.A..pdf</x:v>
      </x:c>
      <x:c r="C948" s="8" t="n">
        <x:v>533814</x:v>
      </x:c>
    </x:row>
    <x:row r="949" ht="32" customHeight="1">
      <x:c r="A949" s="8" t="str">
        <x:v>0. Arhiva\5. Fotovoiltaic IPEC\Gmail\SCRIERE - EVALUARE-20240118T142757Z-001.zip</x:v>
      </x:c>
      <x:c r="B949" s="8" t="str">
        <x:v>SCRIERE - EVALUARE/General-Organigrama Ipec.pdf</x:v>
      </x:c>
      <x:c r="C949" s="8" t="n">
        <x:v>306854</x:v>
      </x:c>
    </x:row>
    <x:row r="950" ht="32" customHeight="1">
      <x:c r="A950" s="8" t="str">
        <x:v>0. Arhiva\5. Fotovoiltaic IPEC\Gmail\SCRIERE - EVALUARE-20240118T142757Z-001.zip</x:v>
      </x:c>
      <x:c r="B950" s="8" t="str">
        <x:v>SCRIERE - EVALUARE/!FINAL - DE SEMNAT/0. OPIS Documente - IPEC S.A.pdf</x:v>
      </x:c>
      <x:c r="C950" s="8" t="n">
        <x:v>167126</x:v>
      </x:c>
    </x:row>
    <x:row r="951" ht="32" customHeight="1">
      <x:c r="A951" s="8" t="str">
        <x:v>0. Arhiva\5. Fotovoiltaic IPEC\Gmail\SCRIERE - EVALUARE-20240118T142757Z-001.zip</x:v>
      </x:c>
      <x:c r="B951" s="8" t="str">
        <x:v>SCRIERE - EVALUARE/ALTE DOCUMENTE/Proces verbal de receptie_GWC - IPEC S.A.ok.pdf</x:v>
      </x:c>
      <x:c r="C951" s="8" t="n">
        <x:v>280031</x:v>
      </x:c>
    </x:row>
    <x:row r="952" ht="32" customHeight="1">
      <x:c r="A952" s="8" t="str">
        <x:v>0. Arhiva\5. Fotovoiltaic IPEC\Gmail\SCRIERE - EVALUARE-20240118T142757Z-001.zip</x:v>
      </x:c>
      <x:c r="B952" s="8" t="str">
        <x:v>SCRIERE - EVALUARE/Identificare electronica - PNRR/DeclaratieReprezentantLegal_6698299_20220620163447-semnat.pdf</x:v>
      </x:c>
      <x:c r="C952" s="8" t="n">
        <x:v>235095</x:v>
      </x:c>
    </x:row>
    <x:row r="953" ht="32" customHeight="1">
      <x:c r="A953" s="8" t="str">
        <x:v>0. Arhiva\5. Fotovoiltaic IPEC\Gmail\SCRIERE - EVALUARE-20240118T142757Z-001.zip</x:v>
      </x:c>
      <x:c r="B953" s="8" t="str">
        <x:v>SCRIERE - EVALUARE/Identificare electronica - PNRR/DeclaratieInregistrareCertificat_20220620145953-semnat.pdf</x:v>
      </x:c>
      <x:c r="C953" s="8" t="n">
        <x:v>229997</x:v>
      </x:c>
    </x:row>
    <x:row r="954" ht="32" customHeight="1">
      <x:c r="A954" s="8" t="str">
        <x:v>0. Arhiva\5. Fotovoiltaic IPEC\Gmail\SCRIERE - EVALUARE-20240118T142757Z-001.zip</x:v>
      </x:c>
      <x:c r="B954" s="8" t="str">
        <x:v>SCRIERE - EVALUARE/!FINAL - DE SEMNAT/26. Declarație privind retrocedarea - IPEC S.A..pdf</x:v>
      </x:c>
      <x:c r="C954" s="8" t="n">
        <x:v>127774</x:v>
      </x:c>
    </x:row>
    <x:row r="955" ht="32" customHeight="1">
      <x:c r="A955" s="8" t="str">
        <x:v>0. Arhiva\5. Fotovoiltaic IPEC\Gmail\SCRIERE - EVALUARE-20240118T142757Z-001.zip</x:v>
      </x:c>
      <x:c r="B955" s="8" t="str">
        <x:v>SCRIERE - EVALUARE/Mediu_Anexa 6_6.1_ DNSH_Autoevaluare “Instalare centrală electrică fotovoltaică la IPEC.docx</x:v>
      </x:c>
      <x:c r="C955" s="8" t="n">
        <x:v>97485</x:v>
      </x:c>
    </x:row>
    <x:row r="956" ht="32" customHeight="1">
      <x:c r="A956" s="8" t="str">
        <x:v>0. Arhiva\5. Fotovoiltaic IPEC\Gmail\SCRIERE - EVALUARE-20240118T142757Z-001.zip</x:v>
      </x:c>
      <x:c r="B956" s="8" t="str">
        <x:v>SCRIERE - EVALUARE/!FINAL - DE SEMNAT/Proces verbal de receptie_GWC - IPEC S.A..pdf</x:v>
      </x:c>
      <x:c r="C956" s="8" t="n">
        <x:v>253900</x:v>
      </x:c>
    </x:row>
    <x:row r="957" ht="32" customHeight="1">
      <x:c r="A957" s="8" t="str">
        <x:v>0. Arhiva\5. Fotovoiltaic IPEC\Gmail\SCRIERE - EVALUARE-20240118T142757Z-001.zip</x:v>
      </x:c>
      <x:c r="B957" s="8" t="str">
        <x:v>SCRIERE - EVALUARE/!FINAL - DE SEMNAT/33. Analiza institutionala - IPEC S.A.pdf</x:v>
      </x:c>
      <x:c r="C957" s="8" t="n">
        <x:v>128145</x:v>
      </x:c>
    </x:row>
    <x:row r="958" ht="32" customHeight="1">
      <x:c r="A958" s="8" t="str">
        <x:v>0. Arhiva\5. Fotovoiltaic IPEC\Gmail\SCRIERE - EVALUARE-20240118T142757Z-001.zip</x:v>
      </x:c>
      <x:c r="B958" s="8" t="str">
        <x:v>SCRIERE - EVALUARE/ALTE DOCUMENTE/Proces verbal de receptie_GWC - IPEC S.A.ok.-semnat.pdf</x:v>
      </x:c>
      <x:c r="C958" s="8" t="n">
        <x:v>349913</x:v>
      </x:c>
    </x:row>
    <x:row r="959" ht="32" customHeight="1">
      <x:c r="A959" s="8" t="str">
        <x:v>0. Arhiva\5. Fotovoiltaic IPEC\Gmail\SCRIERE - EVALUARE-20240118T142757Z-001.zip</x:v>
      </x:c>
      <x:c r="B959" s="8" t="str">
        <x:v>SCRIERE - EVALUARE/!FINAL - DE SEMNAT/29. Hotarare Consiliu de administratie - IPEC S.A..pdf</x:v>
      </x:c>
      <x:c r="C959" s="8" t="n">
        <x:v>570511</x:v>
      </x:c>
    </x:row>
    <x:row r="960" ht="32" customHeight="1">
      <x:c r="A960" s="8" t="str">
        <x:v>0. Arhiva\5. Fotovoiltaic IPEC\Gmail\SCRIERE - EVALUARE-20240118T142757Z-001.zip</x:v>
      </x:c>
      <x:c r="B960" s="8" t="str">
        <x:v>SCRIERE - EVALUARE/Identificare electronica - PNRR/DeclaratieInregistrareCertificat_20220620145953.pdf</x:v>
      </x:c>
      <x:c r="C960" s="8" t="n">
        <x:v>151095</x:v>
      </x:c>
    </x:row>
    <x:row r="961" ht="32" customHeight="1">
      <x:c r="A961" s="8" t="str">
        <x:v>0. Arhiva\5. Fotovoiltaic IPEC\Gmail\SCRIERE - EVALUARE-20240118T142757Z-001.zip</x:v>
      </x:c>
      <x:c r="B961" s="8" t="str">
        <x:v>SCRIERE - EVALUARE/!FINAL - DE SEMNAT/25. Declarație privind disponibilitatea imobilului - IPEC S.A..pdf</x:v>
      </x:c>
      <x:c r="C961" s="8" t="n">
        <x:v>125603</x:v>
      </x:c>
    </x:row>
    <x:row r="962" ht="32" customHeight="1">
      <x:c r="A962" s="8" t="str">
        <x:v>0. Arhiva\5. Fotovoiltaic IPEC\Gmail\SCRIERE - EVALUARE-20240118T142757Z-001.zip</x:v>
      </x:c>
      <x:c r="B962" s="8" t="str">
        <x:v>SCRIERE - EVALUARE/certificat urbanism (2).pdf</x:v>
      </x:c>
      <x:c r="C962" s="8" t="n">
        <x:v>2861297</x:v>
      </x:c>
    </x:row>
    <x:row r="963" ht="32" customHeight="1">
      <x:c r="A963" s="8" t="str">
        <x:v>0. Arhiva\5. Fotovoiltaic IPEC\Gmail\SCRIERE - EVALUARE-20240118T142757Z-001.zip</x:v>
      </x:c>
      <x:c r="B963" s="8" t="str">
        <x:v>SCRIERE - EVALUARE/!FINAL - DE SEMNAT/8. Anexa 3.f - Declarație scop producere energie electrică - IPEC S.A..pdf</x:v>
      </x:c>
      <x:c r="C963" s="8" t="n">
        <x:v>109896</x:v>
      </x:c>
    </x:row>
    <x:row r="964" ht="32" customHeight="1">
      <x:c r="A964" s="8" t="str">
        <x:v>0. Arhiva\5. Fotovoiltaic IPEC\Gmail\SCRIERE - EVALUARE-20240118T142757Z-001.zip</x:v>
      </x:c>
      <x:c r="B964" s="8" t="str">
        <x:v>SCRIERE - EVALUARE/!FINAL - DE SEMNAT/14.2. Deviz_Scenariul 2 - IPEC S.A.pdf</x:v>
      </x:c>
      <x:c r="C964" s="8" t="n">
        <x:v>628344</x:v>
      </x:c>
    </x:row>
    <x:row r="965" ht="32" customHeight="1">
      <x:c r="A965" s="8" t="str">
        <x:v>0. Arhiva\5. Fotovoiltaic IPEC\Gmail\SCRIERE - EVALUARE-20240118T142757Z-001.zip</x:v>
      </x:c>
      <x:c r="B965" s="8" t="str">
        <x:v>SCRIERE - EVALUARE/!FINAL - DE SEMNAT/15.2. Analiza_Cost_Beneficiu - calcule - IPEC S.A..pdf</x:v>
      </x:c>
      <x:c r="C965" s="8" t="n">
        <x:v>543189</x:v>
      </x:c>
    </x:row>
    <x:row r="966" ht="32" customHeight="1">
      <x:c r="A966" s="8" t="str">
        <x:v>0. Arhiva\5. Fotovoiltaic IPEC\Gmail\SCRIERE - EVALUARE-20240118T142757Z-001.zip</x:v>
      </x:c>
      <x:c r="B966" s="8" t="str">
        <x:v>SCRIERE - EVALUARE/!FINAL - DE SEMNAT/15.1. Analiza_Cost_Beneficiu - descriere - IPEC S.A..pdf</x:v>
      </x:c>
      <x:c r="C966" s="8" t="n">
        <x:v>587865</x:v>
      </x:c>
    </x:row>
    <x:row r="967" ht="32" customHeight="1">
      <x:c r="A967" s="8" t="str">
        <x:v>0. Arhiva\5. Fotovoiltaic IPEC\Gmail\SCRIERE - EVALUARE-20240118T142757Z-001.zip</x:v>
      </x:c>
      <x:c r="B967" s="8" t="str">
        <x:v>SCRIERE - EVALUARE/!FINAL - DE SEMNAT/9. Anexa 3.g - Declarație evitare dubla finanțare - IPEC S.A..pdf</x:v>
      </x:c>
      <x:c r="C967" s="8" t="n">
        <x:v>136884</x:v>
      </x:c>
    </x:row>
    <x:row r="968" ht="32" customHeight="1">
      <x:c r="A968" s="8" t="str">
        <x:v>0. Arhiva\5. Fotovoiltaic IPEC\Gmail\SCRIERE - EVALUARE-20240118T142757Z-001.zip</x:v>
      </x:c>
      <x:c r="B968" s="8" t="str">
        <x:v>SCRIERE - EVALUARE/!FINAL - DE SEMNAT/10. Anexa 5 - Declaratie consimtamant prelucrare date - IPEC S.A..pdf</x:v>
      </x:c>
      <x:c r="C968" s="8" t="n">
        <x:v>200695</x:v>
      </x:c>
    </x:row>
    <x:row r="969" ht="32" customHeight="1">
      <x:c r="A969" s="8" t="str">
        <x:v>0. Arhiva\5. Fotovoiltaic IPEC\Gmail\SCRIERE - EVALUARE-20240118T142757Z-001.zip</x:v>
      </x:c>
      <x:c r="B969" s="8" t="str">
        <x:v>SCRIERE - EVALUARE/!FINAL - DE SEMNAT/4. Anexa 3.b - Declaraţie de angajament - IPEC S.A..pdf</x:v>
      </x:c>
      <x:c r="C969" s="8" t="n">
        <x:v>171878</x:v>
      </x:c>
    </x:row>
    <x:row r="970" ht="32" customHeight="1">
      <x:c r="A970" s="8" t="str">
        <x:v>0. Arhiva\5. Fotovoiltaic IPEC\Gmail\SCRIERE - EVALUARE-20240118T142757Z-001.zip</x:v>
      </x:c>
      <x:c r="B970" s="8" t="str">
        <x:v>SCRIERE - EVALUARE/!FINAL - DE SEMNAT/11. Anexa 6.1 - Declaratie DNSH - IPEC S.A.pdf</x:v>
      </x:c>
      <x:c r="C970" s="8" t="n">
        <x:v>168064</x:v>
      </x:c>
    </x:row>
    <x:row r="971" ht="32" customHeight="1">
      <x:c r="A971" s="8" t="str">
        <x:v>0. Arhiva\5. Fotovoiltaic IPEC\Gmail\SCRIERE - EVALUARE-20240118T142757Z-001.zip</x:v>
      </x:c>
      <x:c r="B971" s="8" t="str">
        <x:v>SCRIERE - EVALUARE/!FINAL - DE SEMNAT/5. Anexa 3.c - Declaraţie conformitate ajutor de stat - IPEC S.A..pdf</x:v>
      </x:c>
      <x:c r="C971" s="8" t="n">
        <x:v>138145</x:v>
      </x:c>
    </x:row>
    <x:row r="972" ht="32" customHeight="1">
      <x:c r="A972" s="8" t="str">
        <x:v>0. Arhiva\5. Fotovoiltaic IPEC\Gmail\SCRIERE - EVALUARE-20240118T142757Z-001.zip</x:v>
      </x:c>
      <x:c r="B972" s="8" t="str">
        <x:v>SCRIERE - EVALUARE/!FINAL - DE SEMNAT/14.1. Deviz_Scenariul 1 - IPEC S.A.pdf</x:v>
      </x:c>
      <x:c r="C972" s="8" t="n">
        <x:v>623109</x:v>
      </x:c>
    </x:row>
    <x:row r="973" ht="32" customHeight="1">
      <x:c r="A973" s="8" t="str">
        <x:v>0. Arhiva\5. Fotovoiltaic IPEC\Gmail\SCRIERE - EVALUARE-20240118T142757Z-001.zip</x:v>
      </x:c>
      <x:c r="B973" s="8" t="str">
        <x:v>SCRIERE - EVALUARE/!FINAL - DE SEMNAT/31.4. CV - repr.tehnic - IPEC S.A..pdf</x:v>
      </x:c>
      <x:c r="C973" s="8" t="n">
        <x:v>402019</x:v>
      </x:c>
    </x:row>
    <x:row r="974" ht="32" customHeight="1">
      <x:c r="A974" s="8" t="str">
        <x:v>0. Arhiva\5. Fotovoiltaic IPEC\Gmail\SCRIERE - EVALUARE-20240118T142757Z-001.zip</x:v>
      </x:c>
      <x:c r="B974" s="8" t="str">
        <x:v>SCRIERE - EVALUARE/!FINAL - DE SEMNAT/7. Anexa 3.e - Declaraţie privind tipul întreprinderii - IPEC S.A.pdf</x:v>
      </x:c>
      <x:c r="C974" s="8" t="n">
        <x:v>248788</x:v>
      </x:c>
    </x:row>
    <x:row r="975" ht="32" customHeight="1">
      <x:c r="A975" s="8" t="str">
        <x:v>0. Arhiva\5. Fotovoiltaic IPEC\Gmail\SCRIERE - EVALUARE-20240118T142757Z-001.zip</x:v>
      </x:c>
      <x:c r="B975" s="8" t="str">
        <x:v>SCRIERE - EVALUARE/!FINAL - DE SEMNAT/1. Anexa 1 - Formularul ofertei - IPEC S.A..pdf</x:v>
      </x:c>
      <x:c r="C975" s="8" t="n">
        <x:v>787760</x:v>
      </x:c>
    </x:row>
    <x:row r="976" ht="32" customHeight="1">
      <x:c r="A976" s="8" t="str">
        <x:v>0. Arhiva\5. Fotovoiltaic IPEC\Gmail\SCRIERE - EVALUARE-20240118T142757Z-001.zip</x:v>
      </x:c>
      <x:c r="B976" s="8" t="str">
        <x:v>SCRIERE - EVALUARE/ATR NOU.pdf</x:v>
      </x:c>
      <x:c r="C976" s="8" t="n">
        <x:v>1359533</x:v>
      </x:c>
    </x:row>
    <x:row r="977" ht="32" customHeight="1">
      <x:c r="A977" s="8" t="str">
        <x:v>0. Arhiva\5. Fotovoiltaic IPEC\Gmail\SCRIERE - EVALUARE-20240118T142757Z-001.zip</x:v>
      </x:c>
      <x:c r="B977" s="8" t="str">
        <x:v>SCRIERE - EVALUARE/!FINAL - DE SEMNAT/2. Anexa 1a - Conformitatea cu regulile de exceptare - IPEC S.A..pdf</x:v>
      </x:c>
      <x:c r="C977" s="8" t="n">
        <x:v>242440</x:v>
      </x:c>
    </x:row>
    <x:row r="978" ht="32" customHeight="1">
      <x:c r="A978" s="8" t="str">
        <x:v>0. Arhiva\5. Fotovoiltaic IPEC\Gmail\SCRIERE - EVALUARE-20240118T142757Z-001.zip</x:v>
      </x:c>
      <x:c r="B978" s="8" t="str">
        <x:v>SCRIERE - EVALUARE/!FINAL - DE SEMNAT/6.3. Anexa 3.d - Declaratie conflict de interese - repr.achizitii - IPEC S.A..pdf</x:v>
      </x:c>
      <x:c r="C978" s="8" t="n">
        <x:v>223140</x:v>
      </x:c>
    </x:row>
    <x:row r="979" ht="32" customHeight="1">
      <x:c r="A979" s="8" t="str">
        <x:v>0. Arhiva\5. Fotovoiltaic IPEC\Gmail\SCRIERE - EVALUARE-20240118T142757Z-001.zip</x:v>
      </x:c>
      <x:c r="B979" s="8" t="str">
        <x:v>SCRIERE - EVALUARE/!FINAL - DE SEMNAT/16. Copie act identitate repr.legal - IPEC S.A..pdf</x:v>
      </x:c>
      <x:c r="C979" s="8" t="n">
        <x:v>93336</x:v>
      </x:c>
    </x:row>
    <x:row r="980" ht="32" customHeight="1">
      <x:c r="A980" s="8" t="str">
        <x:v>0. Arhiva\5. Fotovoiltaic IPEC\Gmail\SCRIERE - EVALUARE-20240118T142757Z-001.zip</x:v>
      </x:c>
      <x:c r="B980" s="8" t="str">
        <x:v>SCRIERE - EVALUARE/!FINAL - DE SEMNAT/3. Anexa 3.a - Declaraţie de eligibilitate - IPEC S.A..pdf</x:v>
      </x:c>
      <x:c r="C980" s="8" t="n">
        <x:v>145987</x:v>
      </x:c>
    </x:row>
    <x:row r="981" ht="32" customHeight="1">
      <x:c r="A981" s="8" t="str">
        <x:v>0. Arhiva\5. Fotovoiltaic IPEC\Gmail\SCRIERE - EVALUARE-20240118T142757Z-001.zip</x:v>
      </x:c>
      <x:c r="B981" s="8" t="str">
        <x:v>SCRIERE - EVALUARE/!FINAL - DE SEMNAT/31.2.1. Fisa post - repr.financiar - IPEC S.A..pdf</x:v>
      </x:c>
      <x:c r="C981" s="8" t="n">
        <x:v>550899</x:v>
      </x:c>
    </x:row>
    <x:row r="982" ht="32" customHeight="1">
      <x:c r="A982" s="8" t="str">
        <x:v>0. Arhiva\5. Fotovoiltaic IPEC\Gmail\SCRIERE - EVALUARE-20240118T142757Z-001.zip</x:v>
      </x:c>
      <x:c r="B982" s="8" t="str">
        <x:v>SCRIERE - EVALUARE/!FINAL - DE SEMNAT/6.4. Anexa 3.d - Declaratie conflict de interese - repr.tehnic - IPEC S.A..pdf</x:v>
      </x:c>
      <x:c r="C982" s="8" t="n">
        <x:v>225028</x:v>
      </x:c>
    </x:row>
    <x:row r="983" ht="32" customHeight="1">
      <x:c r="A983" s="8" t="str">
        <x:v>0. Arhiva\5. Fotovoiltaic IPEC\Gmail\SCRIERE - EVALUARE-20240118T142757Z-001.zip</x:v>
      </x:c>
      <x:c r="B983" s="8" t="str">
        <x:v>SCRIERE - EVALUARE/!FINAL - DE SEMNAT/31.4.1. Fisa post - repr.tehnic - IPEC S.A..pdf</x:v>
      </x:c>
      <x:c r="C983" s="8" t="n">
        <x:v>527118</x:v>
      </x:c>
    </x:row>
    <x:row r="984" ht="32" customHeight="1">
      <x:c r="A984" s="8" t="str">
        <x:v>0. Arhiva\5. Fotovoiltaic IPEC\Gmail\SCRIERE - EVALUARE-20240118T142757Z-001.zip</x:v>
      </x:c>
      <x:c r="B984" s="8" t="str">
        <x:v>SCRIERE - EVALUARE/!FINAL - DE SEMNAT/6.2. Anexa 3.d - Declaratie conflict de interese - repr.financiar - IPEC S.A..pdf</x:v>
      </x:c>
      <x:c r="C984" s="8" t="n">
        <x:v>230820</x:v>
      </x:c>
    </x:row>
    <x:row r="985" ht="32" customHeight="1">
      <x:c r="A985" s="8" t="str">
        <x:v>0. Arhiva\5. Fotovoiltaic IPEC\Gmail\SCRIERE - EVALUARE-20240118T142757Z-001.zip</x:v>
      </x:c>
      <x:c r="B985" s="8" t="str">
        <x:v>SCRIERE - EVALUARE/!FINAL - DE SEMNAT/30.2. Componenta UIP in format tabular - IPEC S.A..pdf</x:v>
      </x:c>
      <x:c r="C985" s="8" t="n">
        <x:v>179236</x:v>
      </x:c>
    </x:row>
    <x:row r="986" ht="32" customHeight="1">
      <x:c r="A986" s="8" t="str">
        <x:v>0. Arhiva\5. Fotovoiltaic IPEC\Gmail\SCRIERE - EVALUARE-20240118T142757Z-001.zip</x:v>
      </x:c>
      <x:c r="B986" s="8" t="str">
        <x:v>SCRIERE - EVALUARE/!FINAL - DE SEMNAT/30.1. Decizia privind înființarea UIP - IPEC S.A..pdf</x:v>
      </x:c>
      <x:c r="C986" s="8" t="n">
        <x:v>301252</x:v>
      </x:c>
    </x:row>
    <x:row r="987" ht="32" customHeight="1">
      <x:c r="A987" s="8" t="str">
        <x:v>0. Arhiva\5. Fotovoiltaic IPEC\Gmail\SCRIERE - EVALUARE-20240118T142757Z-001.zip</x:v>
      </x:c>
      <x:c r="B987" s="8" t="str">
        <x:v>SCRIERE - EVALUARE/!FINAL - DE SEMNAT/20. Document banca - IPEC S.A..pdf</x:v>
      </x:c>
      <x:c r="C987" s="8" t="n">
        <x:v>174244</x:v>
      </x:c>
    </x:row>
    <x:row r="988" ht="32" customHeight="1">
      <x:c r="A988" s="8" t="str">
        <x:v>0. Arhiva\5. Fotovoiltaic IPEC\Gmail\SCRIERE - EVALUARE-20240118T142757Z-001.zip</x:v>
      </x:c>
      <x:c r="B988" s="8" t="str">
        <x:v>SCRIERE - EVALUARE/!FINAL - DE SEMNAT/12. Anexa 6.2 - Autoevaluare DNSH - IPEC S.A.pdf</x:v>
      </x:c>
      <x:c r="C988" s="8" t="n">
        <x:v>379221</x:v>
      </x:c>
    </x:row>
    <x:row r="989" ht="32" customHeight="1">
      <x:c r="A989" s="8" t="str">
        <x:v>0. Arhiva\5. Fotovoiltaic IPEC\Gmail\SCRIERE - EVALUARE-20240118T142757Z-001.zip</x:v>
      </x:c>
      <x:c r="B989" s="8" t="str">
        <x:v>SCRIERE - EVALUARE/!FINAL - DE SEMNAT/36. Plan de informare si publicitate - IPEC S.A.pdf</x:v>
      </x:c>
      <x:c r="C989" s="8" t="n">
        <x:v>128454</x:v>
      </x:c>
    </x:row>
    <x:row r="990" ht="32" customHeight="1">
      <x:c r="A990" s="8" t="str">
        <x:v>0. Arhiva\5. Fotovoiltaic IPEC\Gmail\SCRIERE - EVALUARE-20240118T142757Z-001.zip</x:v>
      </x:c>
      <x:c r="B990" s="8" t="str">
        <x:v>SCRIERE - EVALUARE/ACT CONSTITUTIV.pdf</x:v>
      </x:c>
      <x:c r="C990" s="8" t="n">
        <x:v>7449740</x:v>
      </x:c>
    </x:row>
    <x:row r="991" ht="32" customHeight="1">
      <x:c r="A991" s="8" t="str">
        <x:v>0. Arhiva\5. Fotovoiltaic IPEC\Gmail\SCRIERE - EVALUARE-20240118T142757Z-001.zip</x:v>
      </x:c>
      <x:c r="B991" s="8" t="str">
        <x:v>SCRIERE - EVALUARE/!FINAL - DE SEMNAT/13.1. Studiu de fezabiliatate_parte scrisa - IPEC S.A..pdf</x:v>
      </x:c>
      <x:c r="C991" s="8" t="n">
        <x:v>3465021</x:v>
      </x:c>
    </x:row>
    <x:row r="992" ht="32" customHeight="1">
      <x:c r="A992" s="8" t="str">
        <x:v>0. Arhiva\5. Fotovoiltaic IPEC\Gmail\SCRIERE - EVALUARE-20240118T142757Z-001.zip</x:v>
      </x:c>
      <x:c r="B992" s="8" t="str">
        <x:v>SCRIERE - EVALUARE/!FINAL - DE SEMNAT/30.3. Atributii si responsabilitati UIP - IPEC S.A..pdf</x:v>
      </x:c>
      <x:c r="C992" s="8" t="n">
        <x:v>1831475</x:v>
      </x:c>
    </x:row>
    <x:row r="993" ht="32" customHeight="1">
      <x:c r="A993" s="8" t="str">
        <x:v>0. Arhiva\5. Fotovoiltaic IPEC\Gmail\SCRIERE - EVALUARE-20240118T142757Z-001.zip</x:v>
      </x:c>
      <x:c r="B993" s="8" t="str">
        <x:v>SCRIERE - EVALUARE/!FINAL - DE SEMNAT/30.3. Organigrama UIP - IPEC S.A..pdf</x:v>
      </x:c>
      <x:c r="C993" s="8" t="n">
        <x:v>202916</x:v>
      </x:c>
    </x:row>
    <x:row r="994" ht="32" customHeight="1">
      <x:c r="A994" s="8" t="str">
        <x:v>0. Arhiva\5. Fotovoiltaic IPEC\Gmail\SCRIERE - EVALUARE-20240118T142757Z-001.zip</x:v>
      </x:c>
      <x:c r="B994" s="8" t="str">
        <x:v>SCRIERE - EVALUARE/!FINAL - DE SEMNAT/27. Dovada initiere proces ANPM - IPEC S.A..pdf</x:v>
      </x:c>
      <x:c r="C994" s="8" t="n">
        <x:v>349604</x:v>
      </x:c>
    </x:row>
    <x:row r="995" ht="32" customHeight="1">
      <x:c r="A995" s="8" t="str">
        <x:v>0. Arhiva\5. Fotovoiltaic IPEC\Gmail\SCRIERE - EVALUARE-20240118T142757Z-001.zip</x:v>
      </x:c>
      <x:c r="B995" s="8" t="str">
        <x:v>SCRIERE - EVALUARE/!FINAL - DE SEMNAT/19. Certificat constatator - IPEC S.A..pdf</x:v>
      </x:c>
      <x:c r="C995" s="8" t="n">
        <x:v>2178644</x:v>
      </x:c>
    </x:row>
    <x:row r="996" ht="32" customHeight="1">
      <x:c r="A996" s="8" t="str">
        <x:v>0. Arhiva\5. Fotovoiltaic IPEC\Gmail\SCRIERE - EVALUARE-20240118T142757Z-001.zip</x:v>
      </x:c>
      <x:c r="B996" s="8" t="str">
        <x:v>SCRIERE - EVALUARE/!FINAL - DE SEMNAT/23.4. Acord_angajament ipoteci - IPEC S.A..pdf</x:v>
      </x:c>
      <x:c r="C996" s="8" t="n">
        <x:v>5087232</x:v>
      </x:c>
    </x:row>
    <x:row r="997" ht="32" customHeight="1">
      <x:c r="A997" s="8" t="str">
        <x:v>0. Arhiva\5. Fotovoiltaic IPEC\Gmail\SCRIERE - EVALUARE-20240118T142757Z-001.zip</x:v>
      </x:c>
      <x:c r="B997" s="8" t="str">
        <x:v>SCRIERE - EVALUARE/!FINAL - DE SEMNAT/24.3. Certificat urbanism 3 - IPEC S.A..pdf</x:v>
      </x:c>
      <x:c r="C997" s="8" t="n">
        <x:v>2978403</x:v>
      </x:c>
    </x:row>
    <x:row r="998" ht="32" customHeight="1">
      <x:c r="A998" s="8" t="str">
        <x:v>0. Arhiva\5. Fotovoiltaic IPEC\Gmail\SCRIERE - EVALUARE-20240118T142757Z-001.zip</x:v>
      </x:c>
      <x:c r="B998" s="8" t="str">
        <x:v>SCRIERE - EVALUARE/!FINAL - DE SEMNAT/31.1. CV - manag.proiect - IPEC S.A..pdf</x:v>
      </x:c>
      <x:c r="C998" s="8" t="n">
        <x:v>952791</x:v>
      </x:c>
    </x:row>
    <x:row r="999" ht="32" customHeight="1">
      <x:c r="A999" s="8" t="str">
        <x:v>0. Arhiva\5. Fotovoiltaic IPEC\Gmail\SCRIERE - EVALUARE-20240118T142757Z-001.zip</x:v>
      </x:c>
      <x:c r="B999" s="8" t="str">
        <x:v>SCRIERE - EVALUARE/!FINAL - DE SEMNAT/31.1.1. Fisa post - manag.proiect - IPEC S.A..pdf</x:v>
      </x:c>
      <x:c r="C999" s="8" t="n">
        <x:v>554772</x:v>
      </x:c>
    </x:row>
    <x:row r="1000" ht="32" customHeight="1">
      <x:c r="A1000" s="8" t="str">
        <x:v>0. Arhiva\5. Fotovoiltaic IPEC\Gmail\SCRIERE - EVALUARE-20240118T142757Z-001.zip</x:v>
      </x:c>
      <x:c r="B1000" s="8" t="str">
        <x:v>SCRIERE - EVALUARE/!FINAL - DE SEMNAT/6.1. Anexa 3.d - Declaratie conflict de interese - manag.de proiect - IPEC S.A..pdf</x:v>
      </x:c>
      <x:c r="C1000" s="8" t="n">
        <x:v>228932</x:v>
      </x:c>
    </x:row>
    <x:row r="1001" ht="32" customHeight="1">
      <x:c r="A1001" s="8" t="str">
        <x:v>0. Arhiva\5. Fotovoiltaic IPEC\Gmail\SCRIERE - EVALUARE-20240118T142757Z-001.zip</x:v>
      </x:c>
      <x:c r="B1001" s="8" t="str">
        <x:v>SCRIERE - EVALUARE/!FINAL - DE SEMNAT/24.1. Certificat urbanism 1 - IPEC S.A..pdf</x:v>
      </x:c>
      <x:c r="C1001" s="8" t="n">
        <x:v>2857489</x:v>
      </x:c>
    </x:row>
    <x:row r="1002" ht="32" customHeight="1">
      <x:c r="A1002" s="8" t="str">
        <x:v>0. Arhiva\5. Fotovoiltaic IPEC\Gmail\SCRIERE - EVALUARE-20240118T142757Z-001.zip</x:v>
      </x:c>
      <x:c r="B1002" s="8" t="str">
        <x:v>SCRIERE - EVALUARE/!FINAL - DE SEMNAT/31.3. CV - repr.achizitii - IPEC S.A..pdf</x:v>
      </x:c>
      <x:c r="C1002" s="8" t="n">
        <x:v>610518</x:v>
      </x:c>
    </x:row>
    <x:row r="1003" ht="32" customHeight="1">
      <x:c r="A1003" s="8" t="str">
        <x:v>0. Arhiva\5. Fotovoiltaic IPEC\Gmail\SCRIERE - EVALUARE-20240118T142757Z-001.zip</x:v>
      </x:c>
      <x:c r="B1003" s="8" t="str">
        <x:v>SCRIERE - EVALUARE/!FINAL - DE SEMNAT/35. Documentele privind harta zona proiect si geolocalizare - IPEC S.A..pdf</x:v>
      </x:c>
      <x:c r="C1003" s="8" t="n">
        <x:v>197292</x:v>
      </x:c>
    </x:row>
    <x:row r="1004" ht="32" customHeight="1">
      <x:c r="A1004" s="8" t="str">
        <x:v>0. Arhiva\5. Fotovoiltaic IPEC\Gmail\SCRIERE - EVALUARE-20240118T142757Z-001.zip</x:v>
      </x:c>
      <x:c r="B1004" s="8" t="str">
        <x:v>SCRIERE - EVALUARE/Bilant SC IPEC SA - 2019 - semnat.pdf</x:v>
      </x:c>
      <x:c r="C1004" s="8" t="n">
        <x:v>2458069</x:v>
      </x:c>
    </x:row>
    <x:row r="1005" ht="32" customHeight="1">
      <x:c r="A1005" s="8" t="str">
        <x:v>0. Arhiva\5. Fotovoiltaic IPEC\Gmail\SCRIERE - EVALUARE-20240118T142757Z-001.zip</x:v>
      </x:c>
      <x:c r="B1005" s="8" t="str">
        <x:v>SCRIERE - EVALUARE/!FINAL - DE SEMNAT/23.1. Extras CF - hala 1 - IPEC S.A..pdf</x:v>
      </x:c>
      <x:c r="C1005" s="8" t="n">
        <x:v>1242110</x:v>
      </x:c>
    </x:row>
    <x:row r="1006" ht="32" customHeight="1">
      <x:c r="A1006" s="8" t="str">
        <x:v>0. Arhiva\5. Fotovoiltaic IPEC\Gmail\SCRIERE - EVALUARE-20240118T142757Z-001.zip</x:v>
      </x:c>
      <x:c r="B1006" s="8" t="str">
        <x:v>SCRIERE - EVALUARE/!FINAL - DE SEMNAT/31.3.1. Fisa post - repr.achizitii - IPEC S.A..pdf</x:v>
      </x:c>
      <x:c r="C1006" s="8" t="n">
        <x:v>505166</x:v>
      </x:c>
    </x:row>
    <x:row r="1007" ht="32" customHeight="1">
      <x:c r="A1007" s="8" t="str">
        <x:v>0. Arhiva\5. Fotovoiltaic IPEC\Gmail\SCRIERE - EVALUARE-20240118T142757Z-001.zip</x:v>
      </x:c>
      <x:c r="B1007" s="8" t="str">
        <x:v>SCRIERE - EVALUARE/!FINAL - DE SEMNAT/21. Situatii financiare_2019_2020_2021 - IPEC S.A..pdf</x:v>
      </x:c>
      <x:c r="C1007" s="8" t="n">
        <x:v>1723105</x:v>
      </x:c>
    </x:row>
    <x:row r="1008" ht="32" customHeight="1">
      <x:c r="A1008" s="8" t="str">
        <x:v>0. Arhiva\5. Fotovoiltaic IPEC\Gmail\SCRIERE - EVALUARE-20240118T142757Z-001.zip</x:v>
      </x:c>
      <x:c r="B1008" s="8" t="str">
        <x:v>SCRIERE - EVALUARE/!FINAL - DE SEMNAT/24.2. Certificat urbanism 2 - IPEC S.A..pdf</x:v>
      </x:c>
      <x:c r="C1008" s="8" t="n">
        <x:v>2861297</x:v>
      </x:c>
    </x:row>
    <x:row r="1009" ht="32" customHeight="1">
      <x:c r="A1009" s="8" t="str">
        <x:v>0. Arhiva\5. Fotovoiltaic IPEC\Gmail\SCRIERE - EVALUARE-20240118T142757Z-001.zip</x:v>
      </x:c>
      <x:c r="B1009" s="8" t="str">
        <x:v>SCRIERE - EVALUARE/!FINAL - DE SEMNAT/34.1. Plan amplasare - hala 1 - IPEC S.A..pdf</x:v>
      </x:c>
      <x:c r="C1009" s="8" t="n">
        <x:v>269088</x:v>
      </x:c>
    </x:row>
    <x:row r="1010" ht="32" customHeight="1">
      <x:c r="A1010" s="8" t="str">
        <x:v>0. Arhiva\5. Fotovoiltaic IPEC\Gmail\SCRIERE - EVALUARE-20240118T142757Z-001.zip</x:v>
      </x:c>
      <x:c r="B1010" s="8" t="str">
        <x:v>SCRIERE - EVALUARE/!FINAL - DE SEMNAT/34.2. Plan amplasare - hala 4 - IPEC S.A..pdf</x:v>
      </x:c>
      <x:c r="C1010" s="8" t="n">
        <x:v>255135</x:v>
      </x:c>
    </x:row>
    <x:row r="1011" ht="32" customHeight="1">
      <x:c r="A1011" s="8" t="str">
        <x:v>0. Arhiva\5. Fotovoiltaic IPEC\Gmail\SCRIERE - EVALUARE-20240118T142757Z-001.zip</x:v>
      </x:c>
      <x:c r="B1011" s="8" t="str">
        <x:v>SCRIERE - EVALUARE/!FINAL - DE SEMNAT/34.3. Plan amplasare - hala 5 - IPEC S.A..pdf</x:v>
      </x:c>
      <x:c r="C1011" s="8" t="n">
        <x:v>247687</x:v>
      </x:c>
    </x:row>
    <x:row r="1012" ht="32" customHeight="1">
      <x:c r="A1012" s="8" t="str">
        <x:v>0. Arhiva\5. Fotovoiltaic IPEC\Gmail\SCRIERE - EVALUARE-20240118T142757Z-001.zip</x:v>
      </x:c>
      <x:c r="B1012" s="8" t="str">
        <x:v>SCRIERE - EVALUARE/!FINAL - DE SEMNAT/23.3. Extras CF - hala 5 - IPEC S.A..pdf</x:v>
      </x:c>
      <x:c r="C1012" s="8" t="n">
        <x:v>1335358</x:v>
      </x:c>
    </x:row>
    <x:row r="1013" ht="32" customHeight="1">
      <x:c r="A1013" s="8" t="str">
        <x:v>0. Arhiva\5. Fotovoiltaic IPEC\Gmail\SCRIERE - EVALUARE-20240118T142757Z-001.zip</x:v>
      </x:c>
      <x:c r="B1013" s="8" t="str">
        <x:v>SCRIERE - EVALUARE/!FINAL - DE SEMNAT/31.2. CV - repr. financiar - IPEC S.A..pdf</x:v>
      </x:c>
      <x:c r="C1013" s="8" t="n">
        <x:v>1490785</x:v>
      </x:c>
    </x:row>
    <x:row r="1014" ht="32" customHeight="1">
      <x:c r="A1014" s="8" t="str">
        <x:v>0. Arhiva\5. Fotovoiltaic IPEC\Gmail\SCRIERE - EVALUARE-20240118T142757Z-001.zip</x:v>
      </x:c>
      <x:c r="B1014" s="8" t="str">
        <x:v>SCRIERE - EVALUARE/!FINAL - DE SEMNAT/32. Organigrama societatii - IPEC S.A..pdf</x:v>
      </x:c>
      <x:c r="C1014" s="8" t="n">
        <x:v>306854</x:v>
      </x:c>
    </x:row>
    <x:row r="1015" ht="32" customHeight="1">
      <x:c r="A1015" s="8" t="str">
        <x:v>0. Arhiva\5. Fotovoiltaic IPEC\Gmail\SCRIERE - EVALUARE-20240118T142757Z-001.zip</x:v>
      </x:c>
      <x:c r="B1015" s="8" t="str">
        <x:v>SCRIERE - EVALUARE/Clarificare - 13.11.2023/De semnat/1. Anexa 1 Formularul ofertei - cap.25.pdf</x:v>
      </x:c>
      <x:c r="C1015" s="8" t="n">
        <x:v>275946</x:v>
      </x:c>
    </x:row>
    <x:row r="1016" ht="32" customHeight="1">
      <x:c r="A1016" s="8" t="str">
        <x:v>0. Arhiva\5. Fotovoiltaic IPEC\Gmail\SCRIERE - EVALUARE-20240118T142757Z-001.zip</x:v>
      </x:c>
      <x:c r="B1016" s="8" t="str">
        <x:v>SCRIERE - EVALUARE/!FINAL - DE SEMNAT/17. Certificat de inregistrare - IPEC S.A..pdf</x:v>
      </x:c>
      <x:c r="C1016" s="8" t="n">
        <x:v>631588</x:v>
      </x:c>
    </x:row>
    <x:row r="1017" ht="32" customHeight="1">
      <x:c r="A1017" s="8" t="str">
        <x:v>0. Arhiva\5. Fotovoiltaic IPEC\Gmail\SCRIERE - EVALUARE-20240118T142757Z-001.zip</x:v>
      </x:c>
      <x:c r="B1017" s="8" t="str">
        <x:v>SCRIERE - EVALUARE/Clarificare 31.08.2023/De semnat/3. Hotarare Consiliului de administratie_aprobare proiect - 31.08.pdf</x:v>
      </x:c>
      <x:c r="C1017" s="8" t="n">
        <x:v>588857</x:v>
      </x:c>
    </x:row>
    <x:row r="1018" ht="32" customHeight="1">
      <x:c r="A1018" s="8" t="str">
        <x:v>0. Arhiva\5. Fotovoiltaic IPEC\Gmail\SCRIERE - EVALUARE-20240118T142757Z-001.zip</x:v>
      </x:c>
      <x:c r="B1018" s="8" t="str">
        <x:v>SCRIERE - EVALUARE/Clarificare 31.08.2023/Semnat/Decizie 31.08.2023.pdf</x:v>
      </x:c>
      <x:c r="C1018" s="8" t="n">
        <x:v>588857</x:v>
      </x:c>
    </x:row>
    <x:row r="1019" ht="32" customHeight="1">
      <x:c r="A1019" s="8" t="str">
        <x:v>0. Arhiva\5. Fotovoiltaic IPEC\Gmail\SCRIERE - EVALUARE-20240118T142757Z-001.zip</x:v>
      </x:c>
      <x:c r="B1019" s="8" t="str">
        <x:v>SCRIERE - EVALUARE/Clarificare 31.08.2023/De semnat/2.1. Anexa 3.a - Declaraţie de eligibilitate.pdf</x:v>
      </x:c>
      <x:c r="C1019" s="8" t="n">
        <x:v>155595</x:v>
      </x:c>
    </x:row>
    <x:row r="1020" ht="32" customHeight="1">
      <x:c r="A1020" s="8" t="str">
        <x:v>0. Arhiva\5. Fotovoiltaic IPEC\Gmail\SCRIERE - EVALUARE-20240118T142757Z-001.zip</x:v>
      </x:c>
      <x:c r="B1020" s="8" t="str">
        <x:v>SCRIERE - EVALUARE/Scrisoare IPEC-ro.pdf</x:v>
      </x:c>
      <x:c r="C1020" s="8" t="n">
        <x:v>4534125</x:v>
      </x:c>
    </x:row>
    <x:row r="1021" ht="32" customHeight="1">
      <x:c r="A1021" s="8" t="str">
        <x:v>0. Arhiva\5. Fotovoiltaic IPEC\Gmail\SCRIERE - EVALUARE-20240118T142757Z-001.zip</x:v>
      </x:c>
      <x:c r="B1021" s="8" t="str">
        <x:v>SCRIERE - EVALUARE/Clarificare 31.08.2023/De semnat/0. Raspuns clarificare.pdf</x:v>
      </x:c>
      <x:c r="C1021" s="8" t="n">
        <x:v>127701</x:v>
      </x:c>
    </x:row>
    <x:row r="1022" ht="32" customHeight="1">
      <x:c r="A1022" s="8" t="str">
        <x:v>0. Arhiva\5. Fotovoiltaic IPEC\Gmail\SCRIERE - EVALUARE-20240118T142757Z-001.zip</x:v>
      </x:c>
      <x:c r="B1022" s="8" t="str">
        <x:v>SCRIERE - EVALUARE/Clarificare - 13.11.2023/Semnat/Raspuns- olograf.pdf</x:v>
      </x:c>
      <x:c r="C1022" s="8" t="n">
        <x:v>305915</x:v>
      </x:c>
    </x:row>
    <x:row r="1023" ht="32" customHeight="1">
      <x:c r="A1023" s="8" t="str">
        <x:v>0. Arhiva\5. Fotovoiltaic IPEC\Gmail\SCRIERE - EVALUARE-20240118T142757Z-001.zip</x:v>
      </x:c>
      <x:c r="B1023" s="8" t="str">
        <x:v>SCRIERE - EVALUARE/Clarificare 31.08.2023/De semnat/2.2. Grant offer letter.pdf</x:v>
      </x:c>
      <x:c r="C1023" s="8" t="n">
        <x:v>1346230</x:v>
      </x:c>
    </x:row>
    <x:row r="1024" ht="32" customHeight="1">
      <x:c r="A1024" s="8" t="str">
        <x:v>0. Arhiva\5. Fotovoiltaic IPEC\Gmail\SCRIERE - EVALUARE-20240118T142757Z-001.zip</x:v>
      </x:c>
      <x:c r="B1024" s="8" t="str">
        <x:v>SCRIERE - EVALUARE/Clarificare - 13.11.2023/Semnat/Anexa 1 - olograf.pdf</x:v>
      </x:c>
      <x:c r="C1024" s="8" t="n">
        <x:v>1447240</x:v>
      </x:c>
    </x:row>
    <x:row r="1025" ht="32" customHeight="1">
      <x:c r="A1025" s="8" t="str">
        <x:v>0. Arhiva\5. Fotovoiltaic IPEC\Gmail\SCRIERE - EVALUARE-20240118T142757Z-001.zip</x:v>
      </x:c>
      <x:c r="B1025" s="8" t="str">
        <x:v>SCRIERE - EVALUARE/Clarificare - 13.11.2023/De semnat/0. Raspuns clarificare - 13.11.2023.pdf</x:v>
      </x:c>
      <x:c r="C1025" s="8" t="n">
        <x:v>102357</x:v>
      </x:c>
    </x:row>
    <x:row r="1026" ht="32" customHeight="1">
      <x:c r="A1026" s="8" t="str">
        <x:v>0. Arhiva\5. Fotovoiltaic IPEC\Gmail\SCRIERE - EVALUARE-20240118T142757Z-001.zip</x:v>
      </x:c>
      <x:c r="B1026" s="8" t="str">
        <x:v>SCRIERE - EVALUARE/Clarificare - 13.11.2023/Semnat/0. Raspuns clarificare - 13.11.2023-semnat.pdf</x:v>
      </x:c>
      <x:c r="C1026" s="8" t="n">
        <x:v>177658</x:v>
      </x:c>
    </x:row>
    <x:row r="1027" ht="32" customHeight="1">
      <x:c r="A1027" s="8" t="str">
        <x:v>0. Arhiva\5. Fotovoiltaic IPEC\Gmail\SCRIERE - EVALUARE-20240118T142757Z-001.zip</x:v>
      </x:c>
      <x:c r="B1027" s="8" t="str">
        <x:v>SCRIERE - EVALUARE/!FINAL - DE SEMNAT/23.2. Extras CF - hala 4 - IPEC S.A..pdf</x:v>
      </x:c>
      <x:c r="C1027" s="8" t="n">
        <x:v>1521142</x:v>
      </x:c>
    </x:row>
    <x:row r="1028" ht="32" customHeight="1">
      <x:c r="A1028" s="8" t="str">
        <x:v>0. Arhiva\5. Fotovoiltaic IPEC\Gmail\SCRIERE - EVALUARE-20240118T142757Z-001.zip</x:v>
      </x:c>
      <x:c r="B1028" s="8" t="str">
        <x:v>SCRIERE - EVALUARE/Clarificare 31.08.2023/Semnate electronic/RaspunsClarificare_6698299_20230831161735.pdf</x:v>
      </x:c>
      <x:c r="C1028" s="8" t="n">
        <x:v>261644</x:v>
      </x:c>
    </x:row>
    <x:row r="1029" ht="32" customHeight="1">
      <x:c r="A1029" s="8" t="str">
        <x:v>0. Arhiva\5. Fotovoiltaic IPEC\Gmail\SCRIERE - EVALUARE-20240118T142757Z-001.zip</x:v>
      </x:c>
      <x:c r="B1029" s="8" t="str">
        <x:v>SCRIERE - EVALUARE/Clarificare 31.08.2023/De semnat/RaspunsClarificare_6698299_20230831161735.pdf</x:v>
      </x:c>
      <x:c r="C1029" s="8" t="n">
        <x:v>181263</x:v>
      </x:c>
    </x:row>
    <x:row r="1030" ht="32" customHeight="1">
      <x:c r="A1030" s="8" t="str">
        <x:v>0. Arhiva\5. Fotovoiltaic IPEC\Gmail\SCRIERE - EVALUARE-20240118T142757Z-001.zip</x:v>
      </x:c>
      <x:c r="B1030" s="8" t="str">
        <x:v>SCRIERE - EVALUARE/Clarificare - 21.06.2023/De semnat/RaspunsClarificare_6698299_20230621193147.pdf</x:v>
      </x:c>
      <x:c r="C1030" s="8" t="n">
        <x:v>183636</x:v>
      </x:c>
    </x:row>
    <x:row r="1031" ht="32" customHeight="1">
      <x:c r="A1031" s="8" t="str">
        <x:v>0. Arhiva\5. Fotovoiltaic IPEC\Gmail\SCRIERE - EVALUARE-20240118T142757Z-001.zip</x:v>
      </x:c>
      <x:c r="B1031" s="8" t="str">
        <x:v>SCRIERE - EVALUARE/Clarificare 31.08.2023/Semnate electronic/2.2. Grant offer letter.pdf</x:v>
      </x:c>
      <x:c r="C1031" s="8" t="n">
        <x:v>1426788</x:v>
      </x:c>
    </x:row>
    <x:row r="1032" ht="32" customHeight="1">
      <x:c r="A1032" s="8" t="str">
        <x:v>0. Arhiva\5. Fotovoiltaic IPEC\Gmail\SCRIERE - EVALUARE-20240118T142757Z-001.zip</x:v>
      </x:c>
      <x:c r="B1032" s="8" t="str">
        <x:v>SCRIERE - EVALUARE/Clarificare - 13.11.2023/Semnat/1. Anexa 1 Formularul ofertei - cap.25-semnat.pdf</x:v>
      </x:c>
      <x:c r="C1032" s="8" t="n">
        <x:v>323180</x:v>
      </x:c>
    </x:row>
    <x:row r="1033" ht="32" customHeight="1">
      <x:c r="A1033" s="8" t="str">
        <x:v>0. Arhiva\5. Fotovoiltaic IPEC\Gmail\SCRIERE - EVALUARE-20240118T142757Z-001.zip</x:v>
      </x:c>
      <x:c r="B1033" s="8" t="str">
        <x:v>SCRIERE - EVALUARE/Clarificare - 21.06.2023/De semnat/0. Raspuns clarificare_IPEC S.A.pdf</x:v>
      </x:c>
      <x:c r="C1033" s="8" t="n">
        <x:v>150843</x:v>
      </x:c>
    </x:row>
    <x:row r="1034" ht="32" customHeight="1">
      <x:c r="A1034" s="8" t="str">
        <x:v>0. Arhiva\5. Fotovoiltaic IPEC\Gmail\SCRIERE - EVALUARE-20240118T142757Z-001.zip</x:v>
      </x:c>
      <x:c r="B1034" s="8" t="str">
        <x:v>SCRIERE - EVALUARE/!FINAL - DE SEMNAT/22. Documentele imobile - IPEC S.A..pdf</x:v>
      </x:c>
      <x:c r="C1034" s="8" t="n">
        <x:v>3993322</x:v>
      </x:c>
    </x:row>
    <x:row r="1035" ht="32" customHeight="1">
      <x:c r="A1035" s="8" t="str">
        <x:v>0. Arhiva\5. Fotovoiltaic IPEC\Gmail\SCRIERE - EVALUARE-20240118T142757Z-001.zip</x:v>
      </x:c>
      <x:c r="B1035" s="8" t="str">
        <x:v>SCRIERE - EVALUARE/Clarificare 31.08.2023/Semnate electronic/0. Raspuns clarificare.pdf-semnat.pdf</x:v>
      </x:c>
      <x:c r="C1035" s="8" t="n">
        <x:v>200943</x:v>
      </x:c>
    </x:row>
    <x:row r="1036" ht="32" customHeight="1">
      <x:c r="A1036" s="8" t="str">
        <x:v>0. Arhiva\5. Fotovoiltaic IPEC\Gmail\SCRIERE - EVALUARE-20240118T142757Z-001.zip</x:v>
      </x:c>
      <x:c r="B1036" s="8" t="str">
        <x:v>SCRIERE - EVALUARE/Clarificare 31.08.2023/De semnat/1. Anexa 1 Formularul ofertei_31.08.2023 (rev.2).pdf</x:v>
      </x:c>
      <x:c r="C1036" s="8" t="n">
        <x:v>1067000</x:v>
      </x:c>
    </x:row>
    <x:row r="1037" ht="32" customHeight="1">
      <x:c r="A1037" s="8" t="str">
        <x:v>0. Arhiva\5. Fotovoiltaic IPEC\Gmail\SCRIERE - EVALUARE-20240118T142757Z-001.zip</x:v>
      </x:c>
      <x:c r="B1037" s="8" t="str">
        <x:v>SCRIERE - EVALUARE/Clarificare - 21.06.2023/Semnat/3. Anexa 3.a - Declaraţie de eligibilitate-semnat.pdf</x:v>
      </x:c>
      <x:c r="C1037" s="8" t="n">
        <x:v>218796</x:v>
      </x:c>
    </x:row>
    <x:row r="1038" ht="32" customHeight="1">
      <x:c r="A1038" s="8" t="str">
        <x:v>0. Arhiva\5. Fotovoiltaic IPEC\Gmail\SCRIERE - EVALUARE-20240118T142757Z-001.zip</x:v>
      </x:c>
      <x:c r="B1038" s="8" t="str">
        <x:v>SCRIERE - EVALUARE/Clarificare - 21.06.2023/Semnat/RaspunsClarificare_6698299_20230621193147-semnat.pdf</x:v>
      </x:c>
      <x:c r="C1038" s="8" t="n">
        <x:v>264184</x:v>
      </x:c>
    </x:row>
    <x:row r="1039" ht="32" customHeight="1">
      <x:c r="A1039" s="8" t="str">
        <x:v>0. Arhiva\5. Fotovoiltaic IPEC\Gmail\SCRIERE - EVALUARE-20240118T142757Z-001.zip</x:v>
      </x:c>
      <x:c r="B1039" s="8" t="str">
        <x:v>SCRIERE - EVALUARE/Clarificare - 21.06.2023/Semnat/1.4. Hotarare AGA_actualizata_21.06.2023-semnat.pdf</x:v>
      </x:c>
      <x:c r="C1039" s="8" t="n">
        <x:v>667725</x:v>
      </x:c>
    </x:row>
    <x:row r="1040" ht="32" customHeight="1">
      <x:c r="A1040" s="8" t="str">
        <x:v>0. Arhiva\5. Fotovoiltaic IPEC\Gmail\SCRIERE - EVALUARE-20240118T142757Z-001.zip</x:v>
      </x:c>
      <x:c r="B1040" s="8" t="str">
        <x:v>SCRIERE - EVALUARE/Clarificare - 21.06.2023/Semnat/4. Analiza institutionala - IPEC S.A-semnat.pdf</x:v>
      </x:c>
      <x:c r="C1040" s="8" t="n">
        <x:v>185218</x:v>
      </x:c>
    </x:row>
    <x:row r="1041" ht="32" customHeight="1">
      <x:c r="A1041" s="8" t="str">
        <x:v>0. Arhiva\5. Fotovoiltaic IPEC\Gmail\SCRIERE - EVALUARE-20240118T142757Z-001.zip</x:v>
      </x:c>
      <x:c r="B1041" s="8" t="str">
        <x:v>SCRIERE - EVALUARE/!FINAL - DE SEMNAT/13.2. Studiu de fezabilitate_parti desenate - IPEC S.A..pdf</x:v>
      </x:c>
      <x:c r="C1041" s="8" t="n">
        <x:v>10341834</x:v>
      </x:c>
    </x:row>
    <x:row r="1042" ht="32" customHeight="1">
      <x:c r="A1042" s="8" t="str">
        <x:v>0. Arhiva\5. Fotovoiltaic IPEC\Gmail\SCRIERE - EVALUARE-20240118T142757Z-001.zip</x:v>
      </x:c>
      <x:c r="B1042" s="8" t="str">
        <x:v>SCRIERE - EVALUARE/Clarificare 31.08.2023/Semnate electronic/2.1. Anexa 3.a - Declaraţie de eligibilitate.pdf</x:v>
      </x:c>
      <x:c r="C1042" s="8" t="n">
        <x:v>223617</x:v>
      </x:c>
    </x:row>
    <x:row r="1043" ht="32" customHeight="1">
      <x:c r="A1043" s="8" t="str">
        <x:v>0. Arhiva\5. Fotovoiltaic IPEC\Gmail\SCRIERE - EVALUARE-20240118T142757Z-001.zip</x:v>
      </x:c>
      <x:c r="B1043" s="8" t="str">
        <x:v>SCRIERE - EVALUARE/Clarificare - 21.06.2023/Semnat/AGA.pdf</x:v>
      </x:c>
      <x:c r="C1043" s="8" t="n">
        <x:v>587083</x:v>
      </x:c>
    </x:row>
    <x:row r="1044" ht="32" customHeight="1">
      <x:c r="A1044" s="8" t="str">
        <x:v>0. Arhiva\5. Fotovoiltaic IPEC\Gmail\SCRIERE - EVALUARE-20240118T142757Z-001.zip</x:v>
      </x:c>
      <x:c r="B1044" s="8" t="str">
        <x:v>SCRIERE - EVALUARE/Clarificare 31.08.2023/Semnate electronic/1. Anexa 1 Formularul ofertei_31.08.2023 (rev.2).pdf-semnat.pdf</x:v>
      </x:c>
      <x:c r="C1044" s="8" t="n">
        <x:v>882212</x:v>
      </x:c>
    </x:row>
    <x:row r="1045" ht="32" customHeight="1">
      <x:c r="A1045" s="8" t="str">
        <x:v>0. Arhiva\5. Fotovoiltaic IPEC\Gmail\SCRIERE - EVALUARE-20240118T142757Z-001.zip</x:v>
      </x:c>
      <x:c r="B1045" s="8" t="str">
        <x:v>SCRIERE - EVALUARE/Clarificare - 21.06.2023/Semnat/2. Anexa 1a la Ghid_Conformitatea cu regulile de exceptare-semnat.pdf</x:v>
      </x:c>
      <x:c r="C1045" s="8" t="n">
        <x:v>251575</x:v>
      </x:c>
    </x:row>
    <x:row r="1046" ht="32" customHeight="1">
      <x:c r="A1046" s="8" t="str">
        <x:v>0. Arhiva\5. Fotovoiltaic IPEC\Gmail\SCRIERE - EVALUARE-20240118T142757Z-001.zip</x:v>
      </x:c>
      <x:c r="B1046" s="8" t="str">
        <x:v>SCRIERE - EVALUARE/Clarificare - 21.06.2023/De semnat/1.4. Hotarare AGA_actualizata_21.06.2023.pdf</x:v>
      </x:c>
      <x:c r="C1046" s="8" t="n">
        <x:v>587083</x:v>
      </x:c>
    </x:row>
    <x:row r="1047" ht="36" customHeight="1">
      <x:c r="A1047" s="8" t="str">
        <x:v>0. Arhiva\5. Fotovoiltaic IPEC\Gmail\SCRIERE - EVALUARE-20240118T142757Z-001.zip</x:v>
      </x:c>
      <x:c r="B1047" s="8" t="str">
        <x:v>SCRIERE - EVALUARE/Clarificare 31.08.2023/Semnate electronic/3. Hotarare Consiliului de administratie_aprobare proiect - 31.08.pdf</x:v>
      </x:c>
      <x:c r="C1047" s="8" t="n">
        <x:v>669508</x:v>
      </x:c>
    </x:row>
    <x:row r="1048" ht="32" customHeight="1">
      <x:c r="A1048" s="8" t="str">
        <x:v>0. Arhiva\5. Fotovoiltaic IPEC\Gmail\SCRIERE - EVALUARE-20240118T142757Z-001.zip</x:v>
      </x:c>
      <x:c r="B1048" s="8" t="str">
        <x:v>SCRIERE - EVALUARE/Clarificare - 21.06.2023/De semnat/4. Analiza institutionala - IPEC S.A.pdf</x:v>
      </x:c>
      <x:c r="C1048" s="8" t="n">
        <x:v>108180</x:v>
      </x:c>
    </x:row>
    <x:row r="1049" ht="32" customHeight="1">
      <x:c r="A1049" s="8" t="str">
        <x:v>0. Arhiva\5. Fotovoiltaic IPEC\Gmail\SCRIERE - EVALUARE-20240118T142757Z-001.zip</x:v>
      </x:c>
      <x:c r="B1049" s="8" t="str">
        <x:v>SCRIERE - EVALUARE/!FINAL - DE SEMNAT/SEMNATE ELECTRONIC/30.3. Organigrama UIP - IPEC S.A.-semnat.pdf</x:v>
      </x:c>
      <x:c r="C1049" s="8" t="n">
        <x:v>283331</x:v>
      </x:c>
    </x:row>
    <x:row r="1050" ht="32" customHeight="1">
      <x:c r="A1050" s="8" t="str">
        <x:v>0. Arhiva\5. Fotovoiltaic IPEC\Gmail\SCRIERE - EVALUARE-20240118T142757Z-001.zip</x:v>
      </x:c>
      <x:c r="B1050" s="8" t="str">
        <x:v>SCRIERE - EVALUARE/Clarificare - 21.06.2023/De semnat/3. Anexa 3.a - Declaraţie de eligibilitate.pdf</x:v>
      </x:c>
      <x:c r="C1050" s="8" t="n">
        <x:v>145558</x:v>
      </x:c>
    </x:row>
    <x:row r="1051" ht="32" customHeight="1">
      <x:c r="A1051" s="8" t="str">
        <x:v>0. Arhiva\5. Fotovoiltaic IPEC\Gmail\SCRIERE - EVALUARE-20240118T142757Z-001.zip</x:v>
      </x:c>
      <x:c r="B1051" s="8" t="str">
        <x:v>SCRIERE - EVALUARE/Clarificare - 21.06.2023/Semnat/Dovada depunere natura 2000-semnat.pdf</x:v>
      </x:c>
      <x:c r="C1051" s="8" t="n">
        <x:v>204776</x:v>
      </x:c>
    </x:row>
    <x:row r="1052" ht="32" customHeight="1">
      <x:c r="A1052" s="8" t="str">
        <x:v>0. Arhiva\5. Fotovoiltaic IPEC\Gmail\SCRIERE - EVALUARE-20240118T142757Z-001.zip</x:v>
      </x:c>
      <x:c r="B1052" s="8" t="str">
        <x:v>SCRIERE - EVALUARE/Clarificare - 21.06.2023/Semnat/0. Raspuns clarificare_IPEC S.A-semnat.pdf</x:v>
      </x:c>
      <x:c r="C1052" s="8" t="n">
        <x:v>224059</x:v>
      </x:c>
    </x:row>
    <x:row r="1053" ht="32" customHeight="1">
      <x:c r="A1053" s="8" t="str">
        <x:v>0. Arhiva\5. Fotovoiltaic IPEC\Gmail\SCRIERE - EVALUARE-20240118T142757Z-001.zip</x:v>
      </x:c>
      <x:c r="B1053" s="8" t="str">
        <x:v>SCRIERE - EVALUARE/!FINAL - DE SEMNAT/FORMULAR DEPUNERE/FormularDepunereOriginal_6698299_20220621175723-semnat.pdf</x:v>
      </x:c>
      <x:c r="C1053" s="8" t="n">
        <x:v>283490</x:v>
      </x:c>
    </x:row>
    <x:row r="1054" ht="32" customHeight="1">
      <x:c r="A1054" s="8" t="str">
        <x:v>0. Arhiva\5. Fotovoiltaic IPEC\Gmail\SCRIERE - EVALUARE-20240118T142757Z-001.zip</x:v>
      </x:c>
      <x:c r="B1054" s="8" t="str">
        <x:v>SCRIERE - EVALUARE/Clarificare - 21.06.2023/De semnat/2. Anexa 1a la Ghid_Conformitatea cu regulile de exceptare.pdf</x:v>
      </x:c>
      <x:c r="C1054" s="8" t="n">
        <x:v>174791</x:v>
      </x:c>
    </x:row>
    <x:row r="1055" ht="32" customHeight="1">
      <x:c r="A1055" s="8" t="str">
        <x:v>0. Arhiva\5. Fotovoiltaic IPEC\Gmail\SCRIERE - EVALUARE-20240118T142757Z-001.zip</x:v>
      </x:c>
      <x:c r="B1055" s="8" t="str">
        <x:v>SCRIERE - EVALUARE/!FINAL - DE SEMNAT/De semnat iar/12. Anexa 6.2 - Autoevaluare DNSH - IPEC S.A-semnat.pdf</x:v>
      </x:c>
      <x:c r="C1055" s="8" t="n">
        <x:v>456017</x:v>
      </x:c>
    </x:row>
    <x:row r="1056" ht="32" customHeight="1">
      <x:c r="A1056" s="8" t="str">
        <x:v>0. Arhiva\5. Fotovoiltaic IPEC\Gmail\SCRIERE - EVALUARE-20240118T142757Z-001.zip</x:v>
      </x:c>
      <x:c r="B1056" s="8" t="str">
        <x:v>SCRIERE - EVALUARE/Clarificare - 21.06.2023/De semnat/1. Anexa 1 Formularul ofertei_21.06.2023.pdf</x:v>
      </x:c>
      <x:c r="C1056" s="8" t="n">
        <x:v>778799</x:v>
      </x:c>
    </x:row>
    <x:row r="1057" ht="32" customHeight="1">
      <x:c r="A1057" s="8" t="str">
        <x:v>0. Arhiva\5. Fotovoiltaic IPEC\Gmail\SCRIERE - EVALUARE-20240118T142757Z-001.zip</x:v>
      </x:c>
      <x:c r="B1057" s="8" t="str">
        <x:v>SCRIERE - EVALUARE/!FINAL - DE SEMNAT/SEMNATE ELECTRONIC/36. Plan de informare si publicitate - IPEC S.A-semnat.pdf</x:v>
      </x:c>
      <x:c r="C1057" s="8" t="n">
        <x:v>200592</x:v>
      </x:c>
    </x:row>
    <x:row r="1058" ht="32" customHeight="1">
      <x:c r="A1058" s="8" t="str">
        <x:v>0. Arhiva\5. Fotovoiltaic IPEC\Gmail\SCRIERE - EVALUARE-20240118T142757Z-001.zip</x:v>
      </x:c>
      <x:c r="B1058" s="8" t="str">
        <x:v>SCRIERE - EVALUARE/!FINAL - DE SEMNAT/SEMNATE ELECTRONIC/31.4. CV - repr.tehnic - IPEC S.A.-semnat.pdf</x:v>
      </x:c>
      <x:c r="C1058" s="8" t="n">
        <x:v>482565</x:v>
      </x:c>
    </x:row>
    <x:row r="1059" ht="32" customHeight="1">
      <x:c r="A1059" s="8" t="str">
        <x:v>0. Arhiva\5. Fotovoiltaic IPEC\Gmail\SCRIERE - EVALUARE-20240118T142757Z-001.zip</x:v>
      </x:c>
      <x:c r="B1059" s="8" t="str">
        <x:v>SCRIERE - EVALUARE/!FINAL - DE SEMNAT/SEMNATE ELECTRONIC/31.4.1. Fisa post - repr.tehnic - IPEC S.A.-semnat.pdf</x:v>
      </x:c>
      <x:c r="C1059" s="8" t="n">
        <x:v>607676</x:v>
      </x:c>
    </x:row>
    <x:row r="1060" ht="32" customHeight="1">
      <x:c r="A1060" s="8" t="str">
        <x:v>0. Arhiva\5. Fotovoiltaic IPEC\Gmail\SCRIERE - EVALUARE-20240118T142757Z-001.zip</x:v>
      </x:c>
      <x:c r="B1060" s="8" t="str">
        <x:v>SCRIERE - EVALUARE/!FINAL - DE SEMNAT/De semnat iar/12. Anexa 6.2 - Autoevaluare DNSH - IPEC S.A.pdf</x:v>
      </x:c>
      <x:c r="C1060" s="8" t="n">
        <x:v>379346</x:v>
      </x:c>
    </x:row>
    <x:row r="1061" ht="32" customHeight="1">
      <x:c r="A1061" s="8" t="str">
        <x:v>0. Arhiva\5. Fotovoiltaic IPEC\Gmail\SCRIERE - EVALUARE-20240118T142757Z-001.zip</x:v>
      </x:c>
      <x:c r="B1061" s="8" t="str">
        <x:v>SCRIERE - EVALUARE/Clarificare - 21.06.2023/Semnat/1.3. Studiu de fezabilitate_actualizat_21.06.2023-semnat.pdf</x:v>
      </x:c>
      <x:c r="C1061" s="8" t="n">
        <x:v>2213308</x:v>
      </x:c>
    </x:row>
    <x:row r="1062" ht="32" customHeight="1">
      <x:c r="A1062" s="8" t="str">
        <x:v>0. Arhiva\5. Fotovoiltaic IPEC\Gmail\SCRIERE - EVALUARE-20240118T142757Z-001.zip</x:v>
      </x:c>
      <x:c r="B1062" s="8" t="str">
        <x:v>SCRIERE - EVALUARE/!FINAL - DE SEMNAT/De semnat iar/13.1. Studiu de fezabiliatate_parte scrisa - IPEC S.A.-semnat.pdf</x:v>
      </x:c>
      <x:c r="C1062" s="8" t="n">
        <x:v>2582193</x:v>
      </x:c>
    </x:row>
    <x:row r="1063" ht="32" customHeight="1">
      <x:c r="A1063" s="8" t="str">
        <x:v>0. Arhiva\5. Fotovoiltaic IPEC\Gmail\SCRIERE - EVALUARE-20240118T142757Z-001.zip</x:v>
      </x:c>
      <x:c r="B1063" s="8" t="str">
        <x:v>SCRIERE - EVALUARE/!FINAL - DE SEMNAT/SEMNATE ELECTRONIC/31.3.1. Fisa post - repr.achizitii - IPEC S.A.-semnat.pdf</x:v>
      </x:c>
      <x:c r="C1063" s="8" t="n">
        <x:v>585715</x:v>
      </x:c>
    </x:row>
    <x:row r="1064" ht="32" customHeight="1">
      <x:c r="A1064" s="8" t="str">
        <x:v>0. Arhiva\5. Fotovoiltaic IPEC\Gmail\SCRIERE - EVALUARE-20240118T142757Z-001.zip</x:v>
      </x:c>
      <x:c r="B1064" s="8" t="str">
        <x:v>SCRIERE - EVALUARE/Clarificare - 21.06.2023/Semnat/1. Anexa 1 Formularul ofertei_21.06.2023-semnat.pdf</x:v>
      </x:c>
      <x:c r="C1064" s="8" t="n">
        <x:v>749261</x:v>
      </x:c>
    </x:row>
    <x:row r="1065" ht="32" customHeight="1">
      <x:c r="A1065" s="8" t="str">
        <x:v>0. Arhiva\5. Fotovoiltaic IPEC\Gmail\SCRIERE - EVALUARE-20240118T142757Z-001.zip</x:v>
      </x:c>
      <x:c r="B1065" s="8" t="str">
        <x:v>SCRIERE - EVALUARE/!FINAL - DE SEMNAT/FORMULAR DEPUNERE/FormularDepunereOriginal_6698299_20220621175723.pdf</x:v>
      </x:c>
      <x:c r="C1065" s="8" t="n">
        <x:v>201079</x:v>
      </x:c>
    </x:row>
    <x:row r="1066" ht="32" customHeight="1">
      <x:c r="A1066" s="8" t="str">
        <x:v>0. Arhiva\5. Fotovoiltaic IPEC\Gmail\SCRIERE - EVALUARE-20240118T142757Z-001.zip</x:v>
      </x:c>
      <x:c r="B1066" s="8" t="str">
        <x:v>SCRIERE - EVALUARE/!FINAL - DE SEMNAT/SEMNATE ELECTRONIC/32. Organigrama societatii - IPEC S.A.-semnat.pdf</x:v>
      </x:c>
      <x:c r="C1066" s="8" t="n">
        <x:v>340767</x:v>
      </x:c>
    </x:row>
    <x:row r="1067" ht="32" customHeight="1">
      <x:c r="A1067" s="8" t="str">
        <x:v>0. Arhiva\5. Fotovoiltaic IPEC\Gmail\SCRIERE - EVALUARE-20240118T142757Z-001.zip</x:v>
      </x:c>
      <x:c r="B1067" s="8" t="str">
        <x:v>SCRIERE - EVALUARE/!FINAL - DE SEMNAT/SEMNATE ELECTRONIC/Proces verbal de receptie_GWC - IPEC S.A.-semnat.pdf</x:v>
      </x:c>
      <x:c r="C1067" s="8" t="n">
        <x:v>324006</x:v>
      </x:c>
    </x:row>
    <x:row r="1068" ht="36" customHeight="1">
      <x:c r="A1068" s="8" t="str">
        <x:v>0. Arhiva\5. Fotovoiltaic IPEC\Gmail\SCRIERE - EVALUARE-20240118T142757Z-001.zip</x:v>
      </x:c>
      <x:c r="B1068" s="8" t="str">
        <x:v>SCRIERE - EVALUARE/!FINAL - DE SEMNAT/SEMNATE ELECTRONIC/35. Documentele privind harta zona proiect si geolocalizare - IPEC S.A.-semnat.pdf</x:v>
      </x:c>
      <x:c r="C1068" s="8" t="n">
        <x:v>275167</x:v>
      </x:c>
    </x:row>
    <x:row r="1069" ht="32" customHeight="1">
      <x:c r="A1069" s="8" t="str">
        <x:v>0. Arhiva\5. Fotovoiltaic IPEC\Gmail\SCRIERE - EVALUARE-20240118T142757Z-001.zip</x:v>
      </x:c>
      <x:c r="B1069" s="8" t="str">
        <x:v>SCRIERE - EVALUARE/!FINAL - DE SEMNAT/SEMNATE ELECTRONIC/33. Analiza institutionala - IPEC S.A.semnat.pdf</x:v>
      </x:c>
      <x:c r="C1069" s="8" t="n">
        <x:v>200881</x:v>
      </x:c>
    </x:row>
    <x:row r="1070" ht="32" customHeight="1">
      <x:c r="A1070" s="8" t="str">
        <x:v>0. Arhiva\5. Fotovoiltaic IPEC\Gmail\SCRIERE - EVALUARE-20240118T142757Z-001.zip</x:v>
      </x:c>
      <x:c r="B1070" s="8" t="str">
        <x:v>SCRIERE - EVALUARE/Clarificare - 21.06.2023/De semnat/1.3. Studiu de fezabilitate_actualizat_21.06.2023.pdf</x:v>
      </x:c>
      <x:c r="C1070" s="8" t="n">
        <x:v>2345591</x:v>
      </x:c>
    </x:row>
    <x:row r="1071" ht="32" customHeight="1">
      <x:c r="A1071" s="8" t="str">
        <x:v>0. Arhiva\5. Fotovoiltaic IPEC\Gmail\SCRIERE - EVALUARE-20240118T142757Z-001.zip</x:v>
      </x:c>
      <x:c r="B1071" s="8" t="str">
        <x:v>SCRIERE - EVALUARE/!FINAL - DE SEMNAT/SEMNATE ELECTRONIC/31.2.1. Fisa post - repr.financiar - IPEC S.A.-semnat.pdf</x:v>
      </x:c>
      <x:c r="C1071" s="8" t="n">
        <x:v>631459</x:v>
      </x:c>
    </x:row>
    <x:row r="1072" ht="32" customHeight="1">
      <x:c r="A1072" s="8" t="str">
        <x:v>0. Arhiva\5. Fotovoiltaic IPEC\Gmail\SCRIERE - EVALUARE-20240118T142757Z-001.zip</x:v>
      </x:c>
      <x:c r="B1072" s="8" t="str">
        <x:v>SCRIERE - EVALUARE/!FINAL - DE SEMNAT/SEMNATE ELECTRONIC/30.2. Componenta UIP in format tabular - IPEC S.A.-semnat.pdf</x:v>
      </x:c>
      <x:c r="C1072" s="8" t="n">
        <x:v>259646</x:v>
      </x:c>
    </x:row>
    <x:row r="1073" ht="32" customHeight="1">
      <x:c r="A1073" s="8" t="str">
        <x:v>0. Arhiva\5. Fotovoiltaic IPEC\Gmail\SCRIERE - EVALUARE-20240118T142757Z-001.zip</x:v>
      </x:c>
      <x:c r="B1073" s="8" t="str">
        <x:v>SCRIERE - EVALUARE/!FINAL - DE SEMNAT/SEMNATE ELECTRONIC/34.1. Plan amplasare - hala 1 - IPEC S.A.-semnat.pdf</x:v>
      </x:c>
      <x:c r="C1073" s="8" t="n">
        <x:v>345522</x:v>
      </x:c>
    </x:row>
    <x:row r="1074" ht="32" customHeight="1">
      <x:c r="A1074" s="8" t="str">
        <x:v>0. Arhiva\5. Fotovoiltaic IPEC\Gmail\SCRIERE - EVALUARE-20240118T142757Z-001.zip</x:v>
      </x:c>
      <x:c r="B1074" s="8" t="str">
        <x:v>SCRIERE - EVALUARE/!FINAL - DE SEMNAT/De semnat iar/13.1. Studiu de fezabiliatate_parte scrisa - IPEC S.A..pdf</x:v>
      </x:c>
      <x:c r="C1074" s="8" t="n">
        <x:v>2505381</x:v>
      </x:c>
    </x:row>
    <x:row r="1075" ht="32" customHeight="1">
      <x:c r="A1075" s="8" t="str">
        <x:v>0. Arhiva\5. Fotovoiltaic IPEC\Gmail\SCRIERE - EVALUARE-20240118T142757Z-001.zip</x:v>
      </x:c>
      <x:c r="B1075" s="8" t="str">
        <x:v>SCRIERE - EVALUARE/!FINAL - DE SEMNAT/SEMNATE ELECTRONIC/34.3. Plan amplasare - hala 5 - IPEC S.A.-semnat.pdf</x:v>
      </x:c>
      <x:c r="C1075" s="8" t="n">
        <x:v>323972</x:v>
      </x:c>
    </x:row>
    <x:row r="1076" ht="32" customHeight="1">
      <x:c r="A1076" s="8" t="str">
        <x:v>0. Arhiva\5. Fotovoiltaic IPEC\Gmail\SCRIERE - EVALUARE-20240118T142757Z-001.zip</x:v>
      </x:c>
      <x:c r="B1076" s="8" t="str">
        <x:v>SCRIERE - EVALUARE/!FINAL - DE SEMNAT/SEMNATE ELECTRONIC/30.1. Decizia privind înființarea UIP - IPEC S.A.-semnat.pdf</x:v>
      </x:c>
      <x:c r="C1076" s="8" t="n">
        <x:v>381670</x:v>
      </x:c>
    </x:row>
    <x:row r="1077" ht="32" customHeight="1">
      <x:c r="A1077" s="8" t="str">
        <x:v>0. Arhiva\5. Fotovoiltaic IPEC\Gmail\SCRIERE - EVALUARE-20240118T142757Z-001.zip</x:v>
      </x:c>
      <x:c r="B1077" s="8" t="str">
        <x:v>SCRIERE - EVALUARE/!FINAL - DE SEMNAT/SEMNATE ELECTRONIC/34.2. Plan amplasare - hala 4 - IPEC S.A.-semnat.pdf</x:v>
      </x:c>
      <x:c r="C1077" s="8" t="n">
        <x:v>331525</x:v>
      </x:c>
    </x:row>
    <x:row r="1078" ht="32" customHeight="1">
      <x:c r="A1078" s="8" t="str">
        <x:v>0. Arhiva\5. Fotovoiltaic IPEC\Gmail\SCRIERE - EVALUARE-20240118T142757Z-001.zip</x:v>
      </x:c>
      <x:c r="B1078" s="8" t="str">
        <x:v>SCRIERE - EVALUARE/!FINAL - DE SEMNAT/SEMNATE ELECTRONIC/31.1. CV - manag.proiect - IPEC S.A.-semnat.pdf</x:v>
      </x:c>
      <x:c r="C1078" s="8" t="n">
        <x:v>1033302</x:v>
      </x:c>
    </x:row>
    <x:row r="1079" ht="32" customHeight="1">
      <x:c r="A1079" s="8" t="str">
        <x:v>0. Arhiva\5. Fotovoiltaic IPEC\Gmail\SCRIERE - EVALUARE-20240118T142757Z-001.zip</x:v>
      </x:c>
      <x:c r="B1079" s="8" t="str">
        <x:v>SCRIERE - EVALUARE/!FINAL - DE SEMNAT/SEMNATE ELECTRONIC/31.3. CV - repr.achizitii - IPEC S.A.-semnat.pdf</x:v>
      </x:c>
      <x:c r="C1079" s="8" t="n">
        <x:v>691019</x:v>
      </x:c>
    </x:row>
    <x:row r="1080" ht="32" customHeight="1">
      <x:c r="A1080" s="8" t="str">
        <x:v>0. Arhiva\5. Fotovoiltaic IPEC\Gmail\SCRIERE - EVALUARE-20240118T142757Z-001.zip</x:v>
      </x:c>
      <x:c r="B1080" s="8" t="str">
        <x:v>SCRIERE - EVALUARE/!FINAL - DE SEMNAT/SEMNATE ELECTRONIC/28. Dovada depunere ATR - IPEC S.A.-semnat.pdf</x:v>
      </x:c>
      <x:c r="C1080" s="8" t="n">
        <x:v>614227</x:v>
      </x:c>
    </x:row>
    <x:row r="1081" ht="32" customHeight="1">
      <x:c r="A1081" s="8" t="str">
        <x:v>0. Arhiva\5. Fotovoiltaic IPEC\Gmail\SCRIERE - EVALUARE-20240118T142757Z-001.zip</x:v>
      </x:c>
      <x:c r="B1081" s="8" t="str">
        <x:v>SCRIERE - EVALUARE/Clarificare - 21.06.2023/Semnat/1.2. Analiza ACB-semnat.pdf</x:v>
      </x:c>
      <x:c r="C1081" s="8" t="n">
        <x:v>1470868</x:v>
      </x:c>
    </x:row>
    <x:row r="1082" ht="32" customHeight="1">
      <x:c r="A1082" s="8" t="str">
        <x:v>0. Arhiva\5. Fotovoiltaic IPEC\Gmail\SCRIERE - EVALUARE-20240118T142757Z-001.zip</x:v>
      </x:c>
      <x:c r="B1082" s="8" t="str">
        <x:v>SCRIERE - EVALUARE/!FINAL - DE SEMNAT/SEMNATE ELECTRONIC/31.1.1. Fisa post - manag.proiect - IPEC S.A.-semnat.pdf</x:v>
      </x:c>
      <x:c r="C1082" s="8" t="n">
        <x:v>635318</x:v>
      </x:c>
    </x:row>
    <x:row r="1083" ht="36" customHeight="1">
      <x:c r="A1083" s="8" t="str">
        <x:v>0. Arhiva\5. Fotovoiltaic IPEC\Gmail\SCRIERE - EVALUARE-20240118T142757Z-001.zip</x:v>
      </x:c>
      <x:c r="B1083" s="8" t="str">
        <x:v>SCRIERE - EVALUARE/!FINAL - DE SEMNAT/SEMNATE ELECTRONIC/25. Declarație privind disponibilitatea imobilului - IPEC S.A.-semnat.pdf</x:v>
      </x:c>
      <x:c r="C1083" s="8" t="n">
        <x:v>199889</x:v>
      </x:c>
    </x:row>
    <x:row r="1084" ht="32" customHeight="1">
      <x:c r="A1084" s="8" t="str">
        <x:v>0. Arhiva\5. Fotovoiltaic IPEC\Gmail\SCRIERE - EVALUARE-20240118T142757Z-001.zip</x:v>
      </x:c>
      <x:c r="B1084" s="8" t="str">
        <x:v>SCRIERE - EVALUARE/!FINAL - DE SEMNAT/SEMNATE ELECTRONIC/31.2. CV - repr. financiar - IPEC S.A.-semnat.pdf</x:v>
      </x:c>
      <x:c r="C1084" s="8" t="n">
        <x:v>1571154</x:v>
      </x:c>
    </x:row>
    <x:row r="1085" ht="32" customHeight="1">
      <x:c r="A1085" s="8" t="str">
        <x:v>0. Arhiva\5. Fotovoiltaic IPEC\Gmail\SCRIERE - EVALUARE-20240118T142757Z-001.zip</x:v>
      </x:c>
      <x:c r="B1085" s="8" t="str">
        <x:v>SCRIERE - EVALUARE/Clarificare - 21.06.2023/De semnat/1.2. Analiza ACB.pdf</x:v>
      </x:c>
      <x:c r="C1085" s="8" t="n">
        <x:v>1403201</x:v>
      </x:c>
    </x:row>
    <x:row r="1086" ht="32" customHeight="1">
      <x:c r="A1086" s="8" t="str">
        <x:v>0. Arhiva\5. Fotovoiltaic IPEC\Gmail\SCRIERE - EVALUARE-20240118T142757Z-001.zip</x:v>
      </x:c>
      <x:c r="B1086" s="8" t="str">
        <x:v>SCRIERE - EVALUARE/!FINAL - DE SEMNAT/SEMNATE ELECTRONIC/29. Hotarare Consiliu de administratie - IPEC S.A.-semnat.pdf</x:v>
      </x:c>
      <x:c r="C1086" s="8" t="n">
        <x:v>651062</x:v>
      </x:c>
    </x:row>
    <x:row r="1087" ht="32" customHeight="1">
      <x:c r="A1087" s="8" t="str">
        <x:v>0. Arhiva\5. Fotovoiltaic IPEC\Gmail\SCRIERE - EVALUARE-20240118T142757Z-001.zip</x:v>
      </x:c>
      <x:c r="B1087" s="8" t="str">
        <x:v>SCRIERE - EVALUARE/!FINAL - DE SEMNAT/SEMNATE ELECTRONIC/26. Declarație privind retrocedarea - IPEC S.A.-semnat.pdf</x:v>
      </x:c>
      <x:c r="C1087" s="8" t="n">
        <x:v>201508</x:v>
      </x:c>
    </x:row>
    <x:row r="1088" ht="32" customHeight="1">
      <x:c r="A1088" s="8" t="str">
        <x:v>0. Arhiva\5. Fotovoiltaic IPEC\Gmail\SCRIERE - EVALUARE-20240118T142757Z-001.zip</x:v>
      </x:c>
      <x:c r="B1088" s="8" t="str">
        <x:v>SCRIERE - EVALUARE/!FINAL - DE SEMNAT/SEMNATE ELECTRONIC/20. Document banca - IPEC S.A.-semnat.pdf</x:v>
      </x:c>
      <x:c r="C1088" s="8" t="n">
        <x:v>254672</x:v>
      </x:c>
    </x:row>
    <x:row r="1089" ht="32" customHeight="1">
      <x:c r="A1089" s="8" t="str">
        <x:v>0. Arhiva\5. Fotovoiltaic IPEC\Gmail\SCRIERE - EVALUARE-20240118T142757Z-001.zip</x:v>
      </x:c>
      <x:c r="B1089" s="8" t="str">
        <x:v>SCRIERE - EVALUARE/!FINAL - DE SEMNAT/SEMNATE ELECTRONIC/27. Dovada initiere proces ANPM - IPEC S.A.-semnat.pdf</x:v>
      </x:c>
      <x:c r="C1089" s="8" t="n">
        <x:v>430020</x:v>
      </x:c>
    </x:row>
    <x:row r="1090" ht="32" customHeight="1">
      <x:c r="A1090" s="8" t="str">
        <x:v>0. Arhiva\5. Fotovoiltaic IPEC\Gmail\SCRIERE - EVALUARE-20240118T142757Z-001.zip</x:v>
      </x:c>
      <x:c r="B1090" s="8" t="str">
        <x:v>SCRIERE - EVALUARE/!FINAL - DE SEMNAT/SEMNATE ELECTRONIC/30.3. Atributii si responsabilitati UIP - IPEC S.A.-semnat.pdf</x:v>
      </x:c>
      <x:c r="C1090" s="8" t="n">
        <x:v>1911796</x:v>
      </x:c>
    </x:row>
    <x:row r="1091" ht="32" customHeight="1">
      <x:c r="A1091" s="8" t="str">
        <x:v>0. Arhiva\5. Fotovoiltaic IPEC\Gmail\SCRIERE - EVALUARE-20240118T142757Z-001.zip</x:v>
      </x:c>
      <x:c r="B1091" s="8" t="str">
        <x:v>SCRIERE - EVALUARE/!FINAL - DE SEMNAT/SEMNATE ELECTRONIC/23.2. Extras CF - hala 4 - IPEC S.A.-semnat.pdf</x:v>
      </x:c>
      <x:c r="C1091" s="8" t="n">
        <x:v>1601591</x:v>
      </x:c>
    </x:row>
    <x:row r="1092" ht="32" customHeight="1">
      <x:c r="A1092" s="8" t="str">
        <x:v>0. Arhiva\5. Fotovoiltaic IPEC\Gmail\SCRIERE - EVALUARE-20240118T142757Z-001.zip</x:v>
      </x:c>
      <x:c r="B1092" s="8" t="str">
        <x:v>SCRIERE - EVALUARE/!FINAL - DE SEMNAT/SEMNATE ELECTRONIC/16. Copie act identitate repr.legal - IPEC S.A.-semnat.pdf</x:v>
      </x:c>
      <x:c r="C1092" s="8" t="n">
        <x:v>174052</x:v>
      </x:c>
    </x:row>
    <x:row r="1093" ht="32" customHeight="1">
      <x:c r="A1093" s="8" t="str">
        <x:v>0. Arhiva\5. Fotovoiltaic IPEC\Gmail\SCRIERE - EVALUARE-20240118T142757Z-001.zip</x:v>
      </x:c>
      <x:c r="B1093" s="8" t="str">
        <x:v>SCRIERE - EVALUARE/!FINAL - DE SEMNAT/SEMNATE ELECTRONIC/17. Certificat de inregistrare - IPEC S.A.-semnat.pdf</x:v>
      </x:c>
      <x:c r="C1093" s="8" t="n">
        <x:v>712167</x:v>
      </x:c>
    </x:row>
    <x:row r="1094" ht="32" customHeight="1">
      <x:c r="A1094" s="8" t="str">
        <x:v>0. Arhiva\5. Fotovoiltaic IPEC\Gmail\SCRIERE - EVALUARE-20240118T142757Z-001.zip</x:v>
      </x:c>
      <x:c r="B1094" s="8" t="str">
        <x:v>SCRIERE - EVALUARE/!FINAL - DE SEMNAT/SEMNATE ELECTRONIC/23.3. Extras CF - hala 5 - IPEC S.A.-semnat.pdf</x:v>
      </x:c>
      <x:c r="C1094" s="8" t="n">
        <x:v>1415809</x:v>
      </x:c>
    </x:row>
    <x:row r="1095" ht="32" customHeight="1">
      <x:c r="A1095" s="8" t="str">
        <x:v>0. Arhiva\5. Fotovoiltaic IPEC\Gmail\SCRIERE - EVALUARE-20240118T142757Z-001.zip</x:v>
      </x:c>
      <x:c r="B1095" s="8" t="str">
        <x:v>SCRIERE - EVALUARE/!FINAL - DE SEMNAT/SEMNATE ELECTRONIC/24.3. Certificat urbanism 3 - IPEC S.A.-semnat.pdf</x:v>
      </x:c>
      <x:c r="C1095" s="8" t="n">
        <x:v>3058722</x:v>
      </x:c>
    </x:row>
    <x:row r="1096" ht="32" customHeight="1">
      <x:c r="A1096" s="8" t="str">
        <x:v>0. Arhiva\5. Fotovoiltaic IPEC\Gmail\SCRIERE - EVALUARE-20240118T142757Z-001.zip</x:v>
      </x:c>
      <x:c r="B1096" s="8" t="str">
        <x:v>SCRIERE - EVALUARE/!FINAL - DE SEMNAT/SEMNATE ELECTRONIC/19. Certificat constatator - IPEC S.A.-semnat.pdf</x:v>
      </x:c>
      <x:c r="C1096" s="8" t="n">
        <x:v>2258838</x:v>
      </x:c>
    </x:row>
    <x:row r="1097" ht="32" customHeight="1">
      <x:c r="A1097" s="8" t="str">
        <x:v>0. Arhiva\5. Fotovoiltaic IPEC\Gmail\SCRIERE - EVALUARE-20240118T142757Z-001.zip</x:v>
      </x:c>
      <x:c r="B1097" s="8" t="str">
        <x:v>SCRIERE - EVALUARE/!FINAL - DE SEMNAT/SEMNATE ELECTRONIC/24.1. Certificat urbanism 1 - IPEC S.A.-semnat.pdf</x:v>
      </x:c>
      <x:c r="C1097" s="8" t="n">
        <x:v>2937804</x:v>
      </x:c>
    </x:row>
    <x:row r="1098" ht="32" customHeight="1">
      <x:c r="A1098" s="8" t="str">
        <x:v>0. Arhiva\5. Fotovoiltaic IPEC\Gmail\SCRIERE - EVALUARE-20240118T142757Z-001.zip</x:v>
      </x:c>
      <x:c r="B1098" s="8" t="str">
        <x:v>SCRIERE - EVALUARE/!FINAL - DE SEMNAT/SEMNATE ELECTRONIC/24.2. Certificat urbanism 2 - IPEC S.A.-semnat.pdf</x:v>
      </x:c>
      <x:c r="C1098" s="8" t="n">
        <x:v>2941630</x:v>
      </x:c>
    </x:row>
    <x:row r="1099" ht="32" customHeight="1">
      <x:c r="A1099" s="8" t="str">
        <x:v>0. Arhiva\5. Fotovoiltaic IPEC\Gmail\SCRIERE - EVALUARE-20240118T142757Z-001.zip</x:v>
      </x:c>
      <x:c r="B1099" s="8" t="str">
        <x:v>SCRIERE - EVALUARE/De semnat olograf/Decizie AGA.pdf</x:v>
      </x:c>
      <x:c r="C1099" s="8" t="n">
        <x:v>570511</x:v>
      </x:c>
    </x:row>
    <x:row r="1100" ht="36" customHeight="1">
      <x:c r="A1100" s="8" t="str">
        <x:v>0. Arhiva\5. Fotovoiltaic IPEC\Gmail\SCRIERE - EVALUARE-20240118T142757Z-001.zip</x:v>
      </x:c>
      <x:c r="B1100" s="8" t="str">
        <x:v>SCRIERE - EVALUARE/!FINAL - DE SEMNAT/SEMNATE ELECTRONIC/6.4. Anexa 3.d - Declaratie conflict de interese - repr.tehnic - IPEC S.A.-semnat.pdf</x:v>
      </x:c>
      <x:c r="C1100" s="8" t="n">
        <x:v>305446</x:v>
      </x:c>
    </x:row>
    <x:row r="1101" ht="36" customHeight="1">
      <x:c r="A1101" s="8" t="str">
        <x:v>0. Arhiva\5. Fotovoiltaic IPEC\Gmail\SCRIERE - EVALUARE-20240118T142757Z-001.zip</x:v>
      </x:c>
      <x:c r="B1101" s="8" t="str">
        <x:v>SCRIERE - EVALUARE/!FINAL - DE SEMNAT/SEMNATE ELECTRONIC/6.3. Anexa 3.d - Declaratie conflict de interese - repr.achizitii - IPEC S.A.-semnat.pdf</x:v>
      </x:c>
      <x:c r="C1101" s="8" t="n">
        <x:v>303555</x:v>
      </x:c>
    </x:row>
    <x:row r="1102" ht="32" customHeight="1">
      <x:c r="A1102" s="8" t="str">
        <x:v>0. Arhiva\5. Fotovoiltaic IPEC\Gmail\SCRIERE - EVALUARE-20240118T142757Z-001.zip</x:v>
      </x:c>
      <x:c r="B1102" s="8" t="str">
        <x:v>SCRIERE - EVALUARE/!FINAL - DE SEMNAT/SEMNATE ELECTRONIC/12. Anexa 6.2 - Autoevaluare DNSH - IPEC S.A-semnat.pdf</x:v>
      </x:c>
      <x:c r="C1102" s="8" t="n">
        <x:v>438290</x:v>
      </x:c>
    </x:row>
    <x:row r="1103" ht="32" customHeight="1">
      <x:c r="A1103" s="8" t="str">
        <x:v>0. Arhiva\5. Fotovoiltaic IPEC\Gmail\SCRIERE - EVALUARE-20240118T142757Z-001.zip</x:v>
      </x:c>
      <x:c r="B1103" s="8" t="str">
        <x:v>SCRIERE - EVALUARE/!FINAL - DE SEMNAT/SEMNATE ELECTRONIC/14.2. Deviz_Scenariul 2 - IPEC S.A-semnat.pdf</x:v>
      </x:c>
      <x:c r="C1103" s="8" t="n">
        <x:v>704981</x:v>
      </x:c>
    </x:row>
    <x:row r="1104" ht="32" customHeight="1">
      <x:c r="A1104" s="8" t="str">
        <x:v>0. Arhiva\5. Fotovoiltaic IPEC\Gmail\SCRIERE - EVALUARE-20240118T142757Z-001.zip</x:v>
      </x:c>
      <x:c r="B1104" s="8" t="str">
        <x:v>SCRIERE - EVALUARE/!FINAL - DE SEMNAT/De semnat iar/13.2. Studiu de fezabilitate_parti desenate - IPEC S.A.-semnat.pdf</x:v>
      </x:c>
      <x:c r="C1104" s="8" t="n">
        <x:v>2507000</x:v>
      </x:c>
    </x:row>
    <x:row r="1105" ht="36" customHeight="1">
      <x:c r="A1105" s="8" t="str">
        <x:v>0. Arhiva\5. Fotovoiltaic IPEC\Gmail\SCRIERE - EVALUARE-20240118T142757Z-001.zip</x:v>
      </x:c>
      <x:c r="B1105" s="8" t="str">
        <x:v>SCRIERE - EVALUARE/!FINAL - DE SEMNAT/SEMNATE ELECTRONIC/9. Anexa 3.g - Declarație evitare dubla finanțare - IPEC S.A.-semnat.pdf</x:v>
      </x:c>
      <x:c r="C1105" s="8" t="n">
        <x:v>210154</x:v>
      </x:c>
    </x:row>
    <x:row r="1106" ht="32" customHeight="1">
      <x:c r="A1106" s="8" t="str">
        <x:v>0. Arhiva\5. Fotovoiltaic IPEC\Gmail\SCRIERE - EVALUARE-20240118T142757Z-001.zip</x:v>
      </x:c>
      <x:c r="B1106" s="8" t="str">
        <x:v>SCRIERE - EVALUARE/!FINAL - DE SEMNAT/SEMNATE ELECTRONIC/21. Situatii financiare_2019_2020_2021 - IPEC S.A.-semnat.pdf</x:v>
      </x:c>
      <x:c r="C1106" s="8" t="n">
        <x:v>1791942</x:v>
      </x:c>
    </x:row>
    <x:row r="1107" ht="36" customHeight="1">
      <x:c r="A1107" s="8" t="str">
        <x:v>0. Arhiva\5. Fotovoiltaic IPEC\Gmail\SCRIERE - EVALUARE-20240118T142757Z-001.zip</x:v>
      </x:c>
      <x:c r="B1107" s="8" t="str">
        <x:v>SCRIERE - EVALUARE/!FINAL - DE SEMNAT/SEMNATE ELECTRONIC/8. Anexa 3.f - Declarație scop producere energie electrică - IPEC S.A.-semnat.pdf</x:v>
      </x:c>
      <x:c r="C1107" s="8" t="n">
        <x:v>182226</x:v>
      </x:c>
    </x:row>
    <x:row r="1108" ht="32" customHeight="1">
      <x:c r="A1108" s="8" t="str">
        <x:v>0. Arhiva\5. Fotovoiltaic IPEC\Gmail\SCRIERE - EVALUARE-20240118T142757Z-001.zip</x:v>
      </x:c>
      <x:c r="B1108" s="8" t="str">
        <x:v>SCRIERE - EVALUARE/!FINAL - DE SEMNAT/SEMNATE ELECTRONIC/14.1. Deviz_Scenariul 1 - IPEC S.A-semnat.pdf</x:v>
      </x:c>
      <x:c r="C1108" s="8" t="n">
        <x:v>699772</x:v>
      </x:c>
    </x:row>
    <x:row r="1109" ht="36" customHeight="1">
      <x:c r="A1109" s="8" t="str">
        <x:v>0. Arhiva\5. Fotovoiltaic IPEC\Gmail\SCRIERE - EVALUARE-20240118T142757Z-001.zip</x:v>
      </x:c>
      <x:c r="B1109" s="8" t="str">
        <x:v>SCRIERE - EVALUARE/!FINAL - DE SEMNAT/SEMNATE ELECTRONIC/6.2. Anexa 3.d - Declaratie conflict de interese - repr.financiar - IPEC S.A.-semnat.pdf</x:v>
      </x:c>
      <x:c r="C1109" s="8" t="n">
        <x:v>311237</x:v>
      </x:c>
    </x:row>
    <x:row r="1110" ht="32" customHeight="1">
      <x:c r="A1110" s="8" t="str">
        <x:v>0. Arhiva\5. Fotovoiltaic IPEC\Gmail\SCRIERE - EVALUARE-20240118T142757Z-001.zip</x:v>
      </x:c>
      <x:c r="B1110" s="8" t="str">
        <x:v>SCRIERE - EVALUARE/!FINAL - DE SEMNAT/SEMNATE ELECTRONIC/23.1. Extras CF - hala 1 - IPEC S.A.-semnat.pdf</x:v>
      </x:c>
      <x:c r="C1110" s="8" t="n">
        <x:v>1322567</x:v>
      </x:c>
    </x:row>
    <x:row r="1111" ht="32" customHeight="1">
      <x:c r="A1111" s="8" t="str">
        <x:v>0. Arhiva\5. Fotovoiltaic IPEC\Gmail\SCRIERE - EVALUARE-20240118T142757Z-001.zip</x:v>
      </x:c>
      <x:c r="B1111" s="8" t="str">
        <x:v>SCRIERE - EVALUARE/!FINAL - DE SEMNAT/SEMNATE ELECTRONIC/22. Documentele imobile - IPEC S.A.-semnat.pdf</x:v>
      </x:c>
      <x:c r="C1111" s="8" t="n">
        <x:v>4074515</x:v>
      </x:c>
    </x:row>
    <x:row r="1112" ht="32" customHeight="1">
      <x:c r="A1112" s="8" t="str">
        <x:v>0. Arhiva\5. Fotovoiltaic IPEC\Gmail\SCRIERE - EVALUARE-20240118T142757Z-001.zip</x:v>
      </x:c>
      <x:c r="B1112" s="8" t="str">
        <x:v>SCRIERE - EVALUARE/!FINAL - DE SEMNAT/SEMNATE ELECTRONIC/11. Anexa 6.1 - Declaratie DNSH - IPEC S.A-semnat.pdf</x:v>
      </x:c>
      <x:c r="C1112" s="8" t="n">
        <x:v>238938</x:v>
      </x:c>
    </x:row>
    <x:row r="1113" ht="32" customHeight="1">
      <x:c r="A1113" s="8" t="str">
        <x:v>0. Arhiva\5. Fotovoiltaic IPEC\Gmail\SCRIERE - EVALUARE-20240118T142757Z-001.zip</x:v>
      </x:c>
      <x:c r="B1113" s="8" t="str">
        <x:v>SCRIERE - EVALUARE/De semnat olograf/Hotarare Consiliului de administratie_aprobare proiect - 21.06.docx</x:v>
      </x:c>
      <x:c r="C1113" s="8" t="n">
        <x:v>31973</x:v>
      </x:c>
    </x:row>
    <x:row r="1114" ht="32" customHeight="1">
      <x:c r="A1114" s="8" t="str">
        <x:v>0. Arhiva\5. Fotovoiltaic IPEC\Gmail\SCRIERE - EVALUARE-20240118T142757Z-001.zip</x:v>
      </x:c>
      <x:c r="B1114" s="8" t="str">
        <x:v>SCRIERE - EVALUARE/!FINAL - DE SEMNAT/SEMNATE ELECTRONIC/15.1. Analiza_Cost_Beneficiu - descriere - IPEC S.A.-semnat.pdf</x:v>
      </x:c>
      <x:c r="C1114" s="8" t="n">
        <x:v>653814</x:v>
      </x:c>
    </x:row>
    <x:row r="1115" ht="36" customHeight="1">
      <x:c r="A1115" s="8" t="str">
        <x:v>0. Arhiva\5. Fotovoiltaic IPEC\Gmail\SCRIERE - EVALUARE-20240118T142757Z-001.zip</x:v>
      </x:c>
      <x:c r="B1115" s="8" t="str">
        <x:v>SCRIERE - EVALUARE/!FINAL - DE SEMNAT/SEMNATE ELECTRONIC/10. Anexa 5 - Declaratie consimtamant prelucrare date - IPEC S.A.-semnat.pdf</x:v>
      </x:c>
      <x:c r="C1115" s="8" t="n">
        <x:v>271841</x:v>
      </x:c>
    </x:row>
    <x:row r="1116" ht="32" customHeight="1">
      <x:c r="A1116" s="8" t="str">
        <x:v>0. Arhiva\5. Fotovoiltaic IPEC\Gmail\SCRIERE - EVALUARE-20240118T142757Z-001.zip</x:v>
      </x:c>
      <x:c r="B1116" s="8" t="str">
        <x:v>SCRIERE - EVALUARE/De semnat olograf/Hotarare Consiliului de administratie_aprobare proiect.docx</x:v>
      </x:c>
      <x:c r="C1116" s="8" t="n">
        <x:v>31839</x:v>
      </x:c>
    </x:row>
    <x:row r="1117" ht="32" customHeight="1">
      <x:c r="A1117" s="8" t="str">
        <x:v>0. Arhiva\5. Fotovoiltaic IPEC\Gmail\SCRIERE - EVALUARE-20240118T142757Z-001.zip</x:v>
      </x:c>
      <x:c r="B1117" s="8" t="str">
        <x:v>SCRIERE - EVALUARE/!FINAL - DE SEMNAT/SEMNATE ELECTRONIC/15.2. Analiza_Cost_Beneficiu - calcule - IPEC S.A.-semnat.pdf</x:v>
      </x:c>
      <x:c r="C1117" s="8" t="n">
        <x:v>615588</x:v>
      </x:c>
    </x:row>
    <x:row r="1118" ht="36" customHeight="1">
      <x:c r="A1118" s="8" t="str">
        <x:v>0. Arhiva\5. Fotovoiltaic IPEC\Gmail\SCRIERE - EVALUARE-20240118T142757Z-001.zip</x:v>
      </x:c>
      <x:c r="B1118" s="8" t="str">
        <x:v>SCRIERE - EVALUARE/!FINAL - DE SEMNAT/SEMNATE ELECTRONIC/7. Anexa 3.e - Declaraţie privind tipul întreprinderii - IPEC S.A-semnat.pdf</x:v>
      </x:c>
      <x:c r="C1118" s="8" t="n">
        <x:v>306691</x:v>
      </x:c>
    </x:row>
    <x:row r="1119" ht="32" customHeight="1">
      <x:c r="A1119" s="8" t="str">
        <x:v>0. Arhiva\5. Fotovoiltaic IPEC\Gmail\SCRIERE - EVALUARE-20240118T142757Z-001.zip</x:v>
      </x:c>
      <x:c r="B1119" s="8" t="str">
        <x:v>SCRIERE - EVALUARE/De semnat olograf/semnate/fisa Post Cristian Covaciu.pdf</x:v>
      </x:c>
      <x:c r="C1119" s="8" t="n">
        <x:v>554772</x:v>
      </x:c>
    </x:row>
    <x:row r="1120" ht="32" customHeight="1">
      <x:c r="A1120" s="8" t="str">
        <x:v>0. Arhiva\5. Fotovoiltaic IPEC\Gmail\SCRIERE - EVALUARE-20240118T142757Z-001.zip</x:v>
      </x:c>
      <x:c r="B1120" s="8" t="str">
        <x:v>SCRIERE - EVALUARE/De semnat olograf/6.1. Anexa 3.d - Declarație conflict de interese - repr.legal.pdf</x:v>
      </x:c>
      <x:c r="C1120" s="8" t="n">
        <x:v>132520</x:v>
      </x:c>
    </x:row>
    <x:row r="1121" ht="32" customHeight="1">
      <x:c r="A1121" s="8" t="str">
        <x:v>0. Arhiva\5. Fotovoiltaic IPEC\Gmail\SCRIERE - EVALUARE-20240118T142757Z-001.zip</x:v>
      </x:c>
      <x:c r="B1121" s="8" t="str">
        <x:v>SCRIERE - EVALUARE/De semnat olograf/6.3. Anexa 3.d - Declarație conflict de interese - repr.financiar.pdf</x:v>
      </x:c>
      <x:c r="C1121" s="8" t="n">
        <x:v>134816</x:v>
      </x:c>
    </x:row>
    <x:row r="1122" ht="32" customHeight="1">
      <x:c r="A1122" s="8" t="str">
        <x:v>0. Arhiva\5. Fotovoiltaic IPEC\Gmail\SCRIERE - EVALUARE-20240118T142757Z-001.zip</x:v>
      </x:c>
      <x:c r="B1122" s="8" t="str">
        <x:v>SCRIERE - EVALUARE/De semnat olograf/6.4. Anexa 3.d - Declarație conflict de interese - repr.tehnic.pdf</x:v>
      </x:c>
      <x:c r="C1122" s="8" t="n">
        <x:v>134809</x:v>
      </x:c>
    </x:row>
    <x:row r="1123" ht="32" customHeight="1">
      <x:c r="A1123" s="8" t="str">
        <x:v>0. Arhiva\5. Fotovoiltaic IPEC\Gmail\SCRIERE - EVALUARE-20240118T142757Z-001.zip</x:v>
      </x:c>
      <x:c r="B1123" s="8" t="str">
        <x:v>SCRIERE - EVALUARE/De semnat olograf/Fisa de post - Responsabil tehnic.pdf</x:v>
      </x:c>
      <x:c r="C1123" s="8" t="n">
        <x:v>153157</x:v>
      </x:c>
    </x:row>
    <x:row r="1124" ht="32" customHeight="1">
      <x:c r="A1124" s="8" t="str">
        <x:v>0. Arhiva\5. Fotovoiltaic IPEC\Gmail\SCRIERE - EVALUARE-20240118T142757Z-001.zip</x:v>
      </x:c>
      <x:c r="B1124" s="8" t="str">
        <x:v>SCRIERE - EVALUARE/De semnat olograf/6.2. Anexa 3.d - Declarație conflict de interese - resp.achizitii.pdf</x:v>
      </x:c>
      <x:c r="C1124" s="8" t="n">
        <x:v>136022</x:v>
      </x:c>
    </x:row>
    <x:row r="1125" ht="32" customHeight="1">
      <x:c r="A1125" s="8" t="str">
        <x:v>0. Arhiva\5. Fotovoiltaic IPEC\Gmail\SCRIERE - EVALUARE-20240118T142757Z-001.zip</x:v>
      </x:c>
      <x:c r="B1125" s="8" t="str">
        <x:v>SCRIERE - EVALUARE/!FINAL - DE SEMNAT/SEMNATE ELECTRONIC/23.4. Acord_angajament ipoteci - IPEC S.A.-semnat.pdf</x:v>
      </x:c>
      <x:c r="C1125" s="8" t="n">
        <x:v>5158229</x:v>
      </x:c>
    </x:row>
    <x:row r="1126" ht="32" customHeight="1">
      <x:c r="A1126" s="8" t="str">
        <x:v>0. Arhiva\5. Fotovoiltaic IPEC\Gmail\SCRIERE - EVALUARE-20240118T142757Z-001.zip</x:v>
      </x:c>
      <x:c r="B1126" s="8" t="str">
        <x:v>SCRIERE - EVALUARE/!FINAL - DE SEMNAT/De semnat iar/13.2. Studiu de fezabilitate_parti desenate - IPEC S.A..pdf</x:v>
      </x:c>
      <x:c r="C1126" s="8" t="n">
        <x:v>2430276</x:v>
      </x:c>
    </x:row>
    <x:row r="1127" ht="36" customHeight="1">
      <x:c r="A1127" s="8" t="str">
        <x:v>0. Arhiva\5. Fotovoiltaic IPEC\Gmail\SCRIERE - EVALUARE-20240118T142757Z-001.zip</x:v>
      </x:c>
      <x:c r="B1127" s="8" t="str">
        <x:v>SCRIERE - EVALUARE/!FINAL - DE SEMNAT/SEMNATE ELECTRONIC/5. Anexa 3.c - Declaraţie conformitate ajutor de stat - IPEC S.A.-semnat.pdf</x:v>
      </x:c>
      <x:c r="C1127" s="8" t="n">
        <x:v>210266</x:v>
      </x:c>
    </x:row>
    <x:row r="1128" ht="32" customHeight="1">
      <x:c r="A1128" s="8" t="str">
        <x:v>0. Arhiva\5. Fotovoiltaic IPEC\Gmail\SCRIERE - EVALUARE-20240118T142757Z-001.zip</x:v>
      </x:c>
      <x:c r="B1128" s="8" t="str">
        <x:v>SCRIERE - EVALUARE/!FINAL - DE SEMNAT/SEMNATE ELECTRONIC/18. Act constitutiv - IPEC S.A.-semnat.pdf</x:v>
      </x:c>
      <x:c r="C1128" s="8" t="n">
        <x:v>7529435</x:v>
      </x:c>
    </x:row>
    <x:row r="1129" ht="32" customHeight="1">
      <x:c r="A1129" s="8" t="str">
        <x:v>0. Arhiva\5. Fotovoiltaic IPEC\Gmail\SCRIERE - EVALUARE-20240118T142757Z-001.zip</x:v>
      </x:c>
      <x:c r="B1129" s="8" t="str">
        <x:v>SCRIERE - EVALUARE/De semnat olograf/semnate/organigrama.pdf</x:v>
      </x:c>
      <x:c r="C1129" s="8" t="n">
        <x:v>202916</x:v>
      </x:c>
    </x:row>
    <x:row r="1130" ht="36" customHeight="1">
      <x:c r="A1130" s="8" t="str">
        <x:v>0. Arhiva\5. Fotovoiltaic IPEC\Gmail\SCRIERE - EVALUARE-20240118T142757Z-001.zip</x:v>
      </x:c>
      <x:c r="B1130" s="8" t="str">
        <x:v>SCRIERE - EVALUARE/!FINAL - DE SEMNAT/SEMNATE ELECTRONIC/6.1. Anexa 3.d - Declaratie conflict de interese - manag.de proiect - IPEC S.A.-semnat.pdf</x:v>
      </x:c>
      <x:c r="C1130" s="8" t="n">
        <x:v>309345</x:v>
      </x:c>
    </x:row>
    <x:row r="1131" ht="32" customHeight="1">
      <x:c r="A1131" s="8" t="str">
        <x:v>0. Arhiva\5. Fotovoiltaic IPEC\Gmail\SCRIERE - EVALUARE-20240118T142757Z-001.zip</x:v>
      </x:c>
      <x:c r="B1131" s="8" t="str">
        <x:v>SCRIERE - EVALUARE/De semnat olograf/semnate/decizie.pdf</x:v>
      </x:c>
      <x:c r="C1131" s="8" t="n">
        <x:v>301252</x:v>
      </x:c>
    </x:row>
    <x:row r="1132" ht="32" customHeight="1">
      <x:c r="A1132" s="8" t="str">
        <x:v>0. Arhiva\5. Fotovoiltaic IPEC\Gmail\SCRIERE - EVALUARE-20240118T142757Z-001.zip</x:v>
      </x:c>
      <x:c r="B1132" s="8" t="str">
        <x:v>SCRIERE - EVALUARE/De semnat olograf/Fisa de post - Responsabil financiar.pdf</x:v>
      </x:c>
      <x:c r="C1132" s="8" t="n">
        <x:v>146686</x:v>
      </x:c>
    </x:row>
    <x:row r="1133" ht="32" customHeight="1">
      <x:c r="A1133" s="8" t="str">
        <x:v>0. Arhiva\5. Fotovoiltaic IPEC\Gmail\SCRIERE - EVALUARE-20240118T142757Z-001.zip</x:v>
      </x:c>
      <x:c r="B1133" s="8" t="str">
        <x:v>SCRIERE - EVALUARE/!FINAL - DE SEMNAT/SEMNATE ELECTRONIC/3. Anexa 3.a - Declaraţie de eligibilitate - IPEC S.A.-semnat.pdf</x:v>
      </x:c>
      <x:c r="C1133" s="8" t="n">
        <x:v>219151</x:v>
      </x:c>
    </x:row>
    <x:row r="1134" ht="32" customHeight="1">
      <x:c r="A1134" s="8" t="str">
        <x:v>0. Arhiva\5. Fotovoiltaic IPEC\Gmail\SCRIERE - EVALUARE-20240118T142757Z-001.zip</x:v>
      </x:c>
      <x:c r="B1134" s="8" t="str">
        <x:v>SCRIERE - EVALUARE/SF/Deviz_IPEC_ALBA_Scenariul 2.xlsx</x:v>
      </x:c>
      <x:c r="C1134" s="8" t="n">
        <x:v>71739</x:v>
      </x:c>
    </x:row>
    <x:row r="1135" ht="32" customHeight="1">
      <x:c r="A1135" s="8" t="str">
        <x:v>0. Arhiva\5. Fotovoiltaic IPEC\Gmail\SCRIERE - EVALUARE-20240118T142757Z-001.zip</x:v>
      </x:c>
      <x:c r="B1135" s="8" t="str">
        <x:v>SCRIERE - EVALUARE/De semnat olograf/Fisa de post - Manager de proiect.pdf</x:v>
      </x:c>
      <x:c r="C1135" s="8" t="n">
        <x:v>148458</x:v>
      </x:c>
    </x:row>
    <x:row r="1136" ht="32" customHeight="1">
      <x:c r="A1136" s="8" t="str">
        <x:v>0. Arhiva\5. Fotovoiltaic IPEC\Gmail\SCRIERE - EVALUARE-20240118T142757Z-001.zip</x:v>
      </x:c>
      <x:c r="B1136" s="8" t="str">
        <x:v>SCRIERE - EVALUARE/De semnat olograf/1. Componenta UIP in format tabelar.pdf</x:v>
      </x:c>
      <x:c r="C1136" s="8" t="n">
        <x:v>115095</x:v>
      </x:c>
    </x:row>
    <x:row r="1137" ht="32" customHeight="1">
      <x:c r="A1137" s="8" t="str">
        <x:v>0. Arhiva\5. Fotovoiltaic IPEC\Gmail\SCRIERE - EVALUARE-20240118T142757Z-001.zip</x:v>
      </x:c>
      <x:c r="B1137" s="8" t="str">
        <x:v>SCRIERE - EVALUARE/De semnat olograf/semnate/componenta UIP in format tabular.pdf</x:v>
      </x:c>
      <x:c r="C1137" s="8" t="n">
        <x:v>179236</x:v>
      </x:c>
    </x:row>
    <x:row r="1138" ht="32" customHeight="1">
      <x:c r="A1138" s="8" t="str">
        <x:v>0. Arhiva\5. Fotovoiltaic IPEC\Gmail\SCRIERE - EVALUARE-20240118T142757Z-001.zip</x:v>
      </x:c>
      <x:c r="B1138" s="8" t="str">
        <x:v>SCRIERE - EVALUARE/De semnat olograf/semnate/atributii si responsabilitati UIP.pdf</x:v>
      </x:c>
      <x:c r="C1138" s="8" t="n">
        <x:v>1831475</x:v>
      </x:c>
    </x:row>
    <x:row r="1139" ht="32" customHeight="1">
      <x:c r="A1139" s="8" t="str">
        <x:v>0. Arhiva\5. Fotovoiltaic IPEC\Gmail\SCRIERE - EVALUARE-20240118T142757Z-001.zip</x:v>
      </x:c>
      <x:c r="B1139" s="8" t="str">
        <x:v>SCRIERE - EVALUARE/De semnat olograf/semnate/Fisa Post Nemety Adrian.pdf</x:v>
      </x:c>
      <x:c r="C1139" s="8" t="n">
        <x:v>527118</x:v>
      </x:c>
    </x:row>
    <x:row r="1140" ht="32" customHeight="1">
      <x:c r="A1140" s="8" t="str">
        <x:v>0. Arhiva\5. Fotovoiltaic IPEC\Gmail\SCRIERE - EVALUARE-20240118T142757Z-001.zip</x:v>
      </x:c>
      <x:c r="B1140" s="8" t="str">
        <x:v>SCRIERE - EVALUARE/De semnat olograf/semnate/Declaratie privind conflictul de interese -Ana LAZEA.pdf</x:v>
      </x:c>
      <x:c r="C1140" s="8" t="n">
        <x:v>223140</x:v>
      </x:c>
    </x:row>
    <x:row r="1141" ht="36" customHeight="1">
      <x:c r="A1141" s="8" t="str">
        <x:v>0. Arhiva\5. Fotovoiltaic IPEC\Gmail\SCRIERE - EVALUARE-20240118T142757Z-001.zip</x:v>
      </x:c>
      <x:c r="B1141" s="8" t="str">
        <x:v>SCRIERE - EVALUARE/!FINAL - DE SEMNAT/SEMNATE ELECTRONIC/2. Anexa 1a - Conformitatea cu regulile de exceptare - IPEC S.A.-semnat.pdf</x:v>
      </x:c>
      <x:c r="C1141" s="8" t="n">
        <x:v>308768</x:v>
      </x:c>
    </x:row>
    <x:row r="1142" ht="32" customHeight="1">
      <x:c r="A1142" s="8" t="str">
        <x:v>0. Arhiva\5. Fotovoiltaic IPEC\Gmail\SCRIERE - EVALUARE-20240118T142757Z-001.zip</x:v>
      </x:c>
      <x:c r="B1142" s="8" t="str">
        <x:v>SCRIERE - EVALUARE/De semnat olograf/semnate/Fisa post Stanciu Cosmina.pdf</x:v>
      </x:c>
      <x:c r="C1142" s="8" t="n">
        <x:v>550899</x:v>
      </x:c>
    </x:row>
    <x:row r="1143" ht="32" customHeight="1">
      <x:c r="A1143" s="8" t="str">
        <x:v>0. Arhiva\5. Fotovoiltaic IPEC\Gmail\SCRIERE - EVALUARE-20240118T142757Z-001.zip</x:v>
      </x:c>
      <x:c r="B1143" s="8" t="str">
        <x:v>SCRIERE - EVALUARE/De semnat olograf/0.1. Atributii si responsabilitati UIP.pdf</x:v>
      </x:c>
      <x:c r="C1143" s="8" t="n">
        <x:v>165169</x:v>
      </x:c>
    </x:row>
    <x:row r="1144" ht="32" customHeight="1">
      <x:c r="A1144" s="8" t="str">
        <x:v>0. Arhiva\5. Fotovoiltaic IPEC\Gmail\SCRIERE - EVALUARE-20240118T142757Z-001.zip</x:v>
      </x:c>
      <x:c r="B1144" s="8" t="str">
        <x:v>SCRIERE - EVALUARE/De semnat olograf/semnate/Declaratie privind conflictul de interese  - Nemety Adrian.pdf</x:v>
      </x:c>
      <x:c r="C1144" s="8" t="n">
        <x:v>225028</x:v>
      </x:c>
    </x:row>
    <x:row r="1145" ht="32" customHeight="1">
      <x:c r="A1145" s="8" t="str">
        <x:v>0. Arhiva\5. Fotovoiltaic IPEC\Gmail\SCRIERE - EVALUARE-20240118T142757Z-001.zip</x:v>
      </x:c>
      <x:c r="B1145" s="8" t="str">
        <x:v>SCRIERE - EVALUARE/!FINAL - DE SEMNAT/SEMNATE ELECTRONIC/0. OPIS Documente - IPEC S.A.-semnat.pdf</x:v>
      </x:c>
      <x:c r="C1145" s="8" t="n">
        <x:v>233564</x:v>
      </x:c>
    </x:row>
    <x:row r="1146" ht="32" customHeight="1">
      <x:c r="A1146" s="8" t="str">
        <x:v>0. Arhiva\5. Fotovoiltaic IPEC\Gmail\SCRIERE - EVALUARE-20240118T142757Z-001.zip</x:v>
      </x:c>
      <x:c r="B1146" s="8" t="str">
        <x:v>SCRIERE - EVALUARE/De semnat olograf/2. Organigrama UIP.pdf</x:v>
      </x:c>
      <x:c r="C1146" s="8" t="n">
        <x:v>118436</x:v>
      </x:c>
    </x:row>
    <x:row r="1147" ht="32" customHeight="1">
      <x:c r="A1147" s="8" t="str">
        <x:v>0. Arhiva\5. Fotovoiltaic IPEC\Gmail\SCRIERE - EVALUARE-20240118T142757Z-001.zip</x:v>
      </x:c>
      <x:c r="B1147" s="8" t="str">
        <x:v>SCRIERE - EVALUARE/De semnat olograf/semnate/Declaratie privind conflictul de interese Cristian Covaciu.pdf</x:v>
      </x:c>
      <x:c r="C1147" s="8" t="n">
        <x:v>228932</x:v>
      </x:c>
    </x:row>
    <x:row r="1148" ht="32" customHeight="1">
      <x:c r="A1148" s="8" t="str">
        <x:v>0. Arhiva\5. Fotovoiltaic IPEC\Gmail\SCRIERE - EVALUARE-20240118T142757Z-001.zip</x:v>
      </x:c>
      <x:c r="B1148" s="8" t="str">
        <x:v>SCRIERE - EVALUARE/De semnat olograf/Fisa de post - Responsabil achizitii.pdf</x:v>
      </x:c>
      <x:c r="C1148" s="8" t="n">
        <x:v>146257</x:v>
      </x:c>
    </x:row>
    <x:row r="1149" ht="32" customHeight="1">
      <x:c r="A1149" s="8" t="str">
        <x:v>0. Arhiva\5. Fotovoiltaic IPEC\Gmail\SCRIERE - EVALUARE-20240118T142757Z-001.zip</x:v>
      </x:c>
      <x:c r="B1149" s="8" t="str">
        <x:v>SCRIERE - EVALUARE/De semnat olograf/0.0. Decizie de infiintarea echipei de implementare a proiectului.pdf</x:v>
      </x:c>
      <x:c r="C1149" s="8" t="n">
        <x:v>104969</x:v>
      </x:c>
    </x:row>
    <x:row r="1150" ht="32" customHeight="1">
      <x:c r="A1150" s="8" t="str">
        <x:v>0. Arhiva\5. Fotovoiltaic IPEC\Gmail\SCRIERE - EVALUARE-20240118T142757Z-001.zip</x:v>
      </x:c>
      <x:c r="B1150" s="8" t="str">
        <x:v>SCRIERE - EVALUARE/De semnat olograf/semnate/Fisa post Ana Lazea.pdf</x:v>
      </x:c>
      <x:c r="C1150" s="8" t="n">
        <x:v>505166</x:v>
      </x:c>
    </x:row>
    <x:row r="1151" ht="32" customHeight="1">
      <x:c r="A1151" s="8" t="str">
        <x:v>0. Arhiva\5. Fotovoiltaic IPEC\Gmail\SCRIERE - EVALUARE-20240118T142757Z-001.zip</x:v>
      </x:c>
      <x:c r="B1151" s="8" t="str">
        <x:v>SCRIERE - EVALUARE/De semnat olograf/semnate/Declaratie privind conflictul de interese - Cosmina Stanciu.pdf</x:v>
      </x:c>
      <x:c r="C1151" s="8" t="n">
        <x:v>230820</x:v>
      </x:c>
    </x:row>
    <x:row r="1152" ht="32" customHeight="1">
      <x:c r="A1152" s="8" t="str">
        <x:v>0. Arhiva\5. Fotovoiltaic IPEC\Gmail\SCRIERE - EVALUARE-20240118T142757Z-001.zip</x:v>
      </x:c>
      <x:c r="B1152" s="8" t="str">
        <x:v>SCRIERE - EVALUARE/!FINAL - DE SEMNAT/SEMNATE ELECTRONIC/13.1. Studiu de fezabiliatate_parte scrisa - IPEC S.A.-semnat.pdf</x:v>
      </x:c>
      <x:c r="C1152" s="8" t="n">
        <x:v>3541433</x:v>
      </x:c>
    </x:row>
    <x:row r="1153" ht="32" customHeight="1">
      <x:c r="A1153" s="8" t="str">
        <x:v>0. Arhiva\5. Fotovoiltaic IPEC\Gmail\SCRIERE - EVALUARE-20240118T142757Z-001.zip</x:v>
      </x:c>
      <x:c r="B1153" s="8" t="str">
        <x:v>SCRIERE - EVALUARE/!FINAL - DE SEMNAT/SEMNATE ELECTRONIC/1. Anexa 1 - Formularul ofertei - IPEC S.A.-semnat.pdf</x:v>
      </x:c>
      <x:c r="C1153" s="8" t="n">
        <x:v>755606</x:v>
      </x:c>
    </x:row>
    <x:row r="1154" ht="32" customHeight="1">
      <x:c r="A1154" s="8" t="str">
        <x:v>0. Arhiva\5. Fotovoiltaic IPEC\Gmail\SCRIERE - EVALUARE-20240118T142757Z-001.zip</x:v>
      </x:c>
      <x:c r="B1154" s="8" t="str">
        <x:v>SCRIERE - EVALUARE/!FINAL - DE SEMNAT/SEMNATE ELECTRONIC/4. Anexa 3.b - Declaraţie de angajament - IPEC S.A.-semnat.pdf</x:v>
      </x:c>
      <x:c r="C1154" s="8" t="n">
        <x:v>241521</x:v>
      </x:c>
    </x:row>
    <x:row r="1155" ht="32" customHeight="1">
      <x:c r="A1155" s="8" t="str">
        <x:v>0. Arhiva\5. Fotovoiltaic IPEC\Gmail\SCRIERE - EVALUARE-20240118T142757Z-001.zip</x:v>
      </x:c>
      <x:c r="B1155" s="8" t="str">
        <x:v>SCRIERE - EVALUARE/!FINAL - DE SEMNAT/SEMNATE ELECTRONIC/13.2. Studiu de fezabilitate_parti desenate - IPEC S.A.-semnat.pdf</x:v>
      </x:c>
      <x:c r="C1155" s="8" t="n">
        <x:v>10417660</x:v>
      </x:c>
    </x:row>
    <x:row r="1156" ht="32" customHeight="1">
      <x:c r="A1156" s="8" t="str">
        <x:v>0. Arhiva\5. Fotovoiltaic IPEC\Gmail\SCRIERE - EVALUARE-20240118T142757Z-001.zip</x:v>
      </x:c>
      <x:c r="B1156" s="8" t="str">
        <x:v>SCRIERE - EVALUARE/SF/Draft_SVT-SF-220520-12_IPEC.docx</x:v>
      </x:c>
      <x:c r="C1156" s="8" t="n">
        <x:v>6940842</x:v>
      </x:c>
    </x:row>
    <x:row r="1157" ht="32" customHeight="1">
      <x:c r="A1157" s="8" t="str">
        <x:v>0. Arhiva\5. Fotovoiltaic IPEC\Gmail\SCRIERE - EVALUARE-20240118T142757Z-001.zip</x:v>
      </x:c>
      <x:c r="B1157" s="8" t="str">
        <x:v>SCRIERE - EVALUARE/!FINAL - DE SEMNAT/18. Act constitutiv - IPEC S.A..pdf</x:v>
      </x:c>
      <x:c r="C1157" s="8" t="n">
        <x:v>7449740</x:v>
      </x:c>
    </x:row>
    <x:row r="1158" ht="32" customHeight="1">
      <x:c r="A1158" s="8" t="str">
        <x:v>0. Arhiva\5. Fotovoiltaic IPEC\Gmail\SCRIERE - EVALUARE-20240118T142757Z-001.zip</x:v>
      </x:c>
      <x:c r="B1158" s="8" t="str">
        <x:v>SCRIERE - EVALUARE/bilant_SC IPEC SA 2021-semnat.pdf</x:v>
      </x:c>
      <x:c r="C1158" s="8" t="n">
        <x:v>19515761</x:v>
      </x:c>
    </x:row>
    <x:row r="1159" ht="32" customHeight="1">
      <x:c r="A1159" s="8" t="str">
        <x:v>0. Arhiva\5. Fotovoiltaic IPEC\Gmail\SCRIERE - EVALUARE-20240118T142803Z-001.zip</x:v>
      </x:c>
      <x:c r="B1159" s="8" t="str">
        <x:v>SCRIERE - EVALUARE/ATR-DOVADA DEPUNERE.pdf</x:v>
      </x:c>
      <x:c r="C1159" s="8" t="n">
        <x:v>533814</x:v>
      </x:c>
    </x:row>
    <x:row r="1160" ht="32" customHeight="1">
      <x:c r="A1160" s="8" t="str">
        <x:v>0. Arhiva\5. Fotovoiltaic IPEC\Gmail\SCRIERE - EVALUARE-20240118T142803Z-001.zip</x:v>
      </x:c>
      <x:c r="B1160" s="8" t="str">
        <x:v>SCRIERE - EVALUARE/Model Declaratie Banca - ro.docx</x:v>
      </x:c>
      <x:c r="C1160" s="8" t="n">
        <x:v>15386</x:v>
      </x:c>
    </x:row>
    <x:row r="1161" ht="32" customHeight="1">
      <x:c r="A1161" s="8" t="str">
        <x:v>0. Arhiva\5. Fotovoiltaic IPEC\Gmail\SCRIERE - EVALUARE-20240118T142803Z-001.zip</x:v>
      </x:c>
      <x:c r="B1161" s="8" t="str">
        <x:v>SCRIERE - EVALUARE/CF H1.pdf</x:v>
      </x:c>
      <x:c r="C1161" s="8" t="n">
        <x:v>1242110</x:v>
      </x:c>
    </x:row>
    <x:row r="1162" ht="32" customHeight="1">
      <x:c r="A1162" s="8" t="str">
        <x:v>0. Arhiva\5. Fotovoiltaic IPEC\Gmail\SCRIERE - EVALUARE-20240118T142803Z-001.zip</x:v>
      </x:c>
      <x:c r="B1162" s="8" t="str">
        <x:v>SCRIERE - EVALUARE/Dovada Mediu.pdf</x:v>
      </x:c>
      <x:c r="C1162" s="8" t="n">
        <x:v>349604</x:v>
      </x:c>
    </x:row>
    <x:row r="1163" ht="32" customHeight="1">
      <x:c r="A1163" s="8" t="str">
        <x:v>0. Arhiva\5. Fotovoiltaic IPEC\Gmail\SCRIERE - EVALUARE-20240118T142803Z-001.zip</x:v>
      </x:c>
      <x:c r="B1163" s="8" t="str">
        <x:v>SCRIERE - EVALUARE/CV ANA LAZEA.pdf</x:v>
      </x:c>
      <x:c r="C1163" s="8" t="n">
        <x:v>610518</x:v>
      </x:c>
    </x:row>
    <x:row r="1164" ht="32" customHeight="1">
      <x:c r="A1164" s="8" t="str">
        <x:v>0. Arhiva\5. Fotovoiltaic IPEC\Gmail\SCRIERE - EVALUARE-20240118T142803Z-001.zip</x:v>
      </x:c>
      <x:c r="B1164" s="8" t="str">
        <x:v>SCRIERE - EVALUARE/Ceritifcat constatator.pdf</x:v>
      </x:c>
      <x:c r="C1164" s="8" t="n">
        <x:v>676339</x:v>
      </x:c>
    </x:row>
    <x:row r="1165" ht="32" customHeight="1">
      <x:c r="A1165" s="8" t="str">
        <x:v>0. Arhiva\5. Fotovoiltaic IPEC\Gmail\SCRIERE - EVALUARE-20240118T142803Z-001.zip</x:v>
      </x:c>
      <x:c r="B1165" s="8" t="str">
        <x:v>SCRIERE - EVALUARE/CV-ADRIAN NEMETY.doc</x:v>
      </x:c>
      <x:c r="C1165" s="8" t="n">
        <x:v>363008</x:v>
      </x:c>
    </x:row>
    <x:row r="1166" ht="32" customHeight="1">
      <x:c r="A1166" s="8" t="str">
        <x:v>0. Arhiva\5. Fotovoiltaic IPEC\Gmail\SCRIERE - EVALUARE-20240118T142803Z-001.zip</x:v>
      </x:c>
      <x:c r="B1166" s="8" t="str">
        <x:v>SCRIERE - EVALUARE/CF H5.pdf</x:v>
      </x:c>
      <x:c r="C1166" s="8" t="n">
        <x:v>1335358</x:v>
      </x:c>
    </x:row>
    <x:row r="1167" ht="32" customHeight="1">
      <x:c r="A1167" s="8" t="str">
        <x:v>0. Arhiva\5. Fotovoiltaic IPEC\Gmail\SCRIERE - EVALUARE-20240118T142803Z-001.zip</x:v>
      </x:c>
      <x:c r="B1167" s="8" t="str">
        <x:v>SCRIERE - EVALUARE/aviz tehnic racordare.pdf</x:v>
      </x:c>
      <x:c r="C1167" s="8" t="n">
        <x:v>2338386</x:v>
      </x:c>
    </x:row>
    <x:row r="1168" ht="32" customHeight="1">
      <x:c r="A1168" s="8" t="str">
        <x:v>0. Arhiva\5. Fotovoiltaic IPEC\Gmail\SCRIERE - EVALUARE-20240118T142803Z-001.zip</x:v>
      </x:c>
      <x:c r="B1168" s="8" t="str">
        <x:v>SCRIERE - EVALUARE/Declaratia autoritatii responsabile cu monitorizarea siturilor natura 2000.pdf</x:v>
      </x:c>
      <x:c r="C1168" s="8" t="n">
        <x:v>1426801</x:v>
      </x:c>
    </x:row>
    <x:row r="1169" ht="32" customHeight="1">
      <x:c r="A1169" s="8" t="str">
        <x:v>0. Arhiva\5. Fotovoiltaic IPEC\Gmail\SCRIERE - EVALUARE-20240118T142803Z-001.zip</x:v>
      </x:c>
      <x:c r="B1169" s="8" t="str">
        <x:v>SCRIERE - EVALUARE/Identificare electronica - PNRR/DeclaratieReprezentantLegal_6698299_20220620163447.pdf</x:v>
      </x:c>
      <x:c r="C1169" s="8" t="n">
        <x:v>154620</x:v>
      </x:c>
    </x:row>
    <x:row r="1170" ht="32" customHeight="1">
      <x:c r="A1170" s="8" t="str">
        <x:v>0. Arhiva\5. Fotovoiltaic IPEC\Gmail\SCRIERE - EVALUARE-20240118T142803Z-001.zip</x:v>
      </x:c>
      <x:c r="B1170" s="8" t="str">
        <x:v>SCRIERE - EVALUARE/General-Organigrama Ipec.pdf</x:v>
      </x:c>
      <x:c r="C1170" s="8" t="n">
        <x:v>306854</x:v>
      </x:c>
    </x:row>
    <x:row r="1171" ht="32" customHeight="1">
      <x:c r="A1171" s="8" t="str">
        <x:v>0. Arhiva\5. Fotovoiltaic IPEC\Gmail\SCRIERE - EVALUARE-20240118T142803Z-001.zip</x:v>
      </x:c>
      <x:c r="B1171" s="8" t="str">
        <x:v>SCRIERE - EVALUARE/CF Hala 4.pdf</x:v>
      </x:c>
      <x:c r="C1171" s="8" t="n">
        <x:v>1521142</x:v>
      </x:c>
    </x:row>
    <x:row r="1172" ht="32" customHeight="1">
      <x:c r="A1172" s="8" t="str">
        <x:v>0. Arhiva\5. Fotovoiltaic IPEC\Gmail\SCRIERE - EVALUARE-20240118T142803Z-001.zip</x:v>
      </x:c>
      <x:c r="B1172" s="8" t="str">
        <x:v>SCRIERE - EVALUARE/ALTE DOCUMENTE/Proces verbal de receptie_GWC - IPEC S.A.ok.pdf</x:v>
      </x:c>
      <x:c r="C1172" s="8" t="n">
        <x:v>280031</x:v>
      </x:c>
    </x:row>
    <x:row r="1173" ht="32" customHeight="1">
      <x:c r="A1173" s="8" t="str">
        <x:v>0. Arhiva\5. Fotovoiltaic IPEC\Gmail\SCRIERE - EVALUARE-20240118T142803Z-001.zip</x:v>
      </x:c>
      <x:c r="B1173" s="8" t="str">
        <x:v>SCRIERE - EVALUARE/CV CRISTIAN COVACIU.pdf</x:v>
      </x:c>
      <x:c r="C1173" s="8" t="n">
        <x:v>952791</x:v>
      </x:c>
    </x:row>
    <x:row r="1174" ht="32" customHeight="1">
      <x:c r="A1174" s="8" t="str">
        <x:v>0. Arhiva\5. Fotovoiltaic IPEC\Gmail\SCRIERE - EVALUARE-20240118T142803Z-001.zip</x:v>
      </x:c>
      <x:c r="B1174" s="8" t="str">
        <x:v>SCRIERE - EVALUARE/scrisoare IKEA.pdf</x:v>
      </x:c>
      <x:c r="C1174" s="8" t="n">
        <x:v>332766</x:v>
      </x:c>
    </x:row>
    <x:row r="1175" ht="32" customHeight="1">
      <x:c r="A1175" s="8" t="str">
        <x:v>0. Arhiva\5. Fotovoiltaic IPEC\Gmail\SCRIERE - EVALUARE-20240118T142803Z-001.zip</x:v>
      </x:c>
      <x:c r="B1175" s="8" t="str">
        <x:v>SCRIERE - EVALUARE/Mediu_Anexa 6_6.1_ DNSH_Autoevaluare “Instalare centrală electrică fotovoltaică la IPEC.docx</x:v>
      </x:c>
      <x:c r="C1175" s="8" t="n">
        <x:v>97485</x:v>
      </x:c>
    </x:row>
    <x:row r="1176" ht="32" customHeight="1">
      <x:c r="A1176" s="8" t="str">
        <x:v>0. Arhiva\5. Fotovoiltaic IPEC\Gmail\SCRIERE - EVALUARE-20240118T142803Z-001.zip</x:v>
      </x:c>
      <x:c r="B1176" s="8" t="str">
        <x:v>SCRIERE - EVALUARE/scrisoare ING.pdf</x:v>
      </x:c>
      <x:c r="C1176" s="8" t="n">
        <x:v>261960</x:v>
      </x:c>
    </x:row>
    <x:row r="1177" ht="32" customHeight="1">
      <x:c r="A1177" s="8" t="str">
        <x:v>0. Arhiva\5. Fotovoiltaic IPEC\Gmail\SCRIERE - EVALUARE-20240118T142803Z-001.zip</x:v>
      </x:c>
      <x:c r="B1177" s="8" t="str">
        <x:v>SCRIERE - EVALUARE/Identificare electronica - PNRR/DeclaratieReprezentantLegal_6698299_20220620163447-semnat.pdf</x:v>
      </x:c>
      <x:c r="C1177" s="8" t="n">
        <x:v>235095</x:v>
      </x:c>
    </x:row>
    <x:row r="1178" ht="32" customHeight="1">
      <x:c r="A1178" s="8" t="str">
        <x:v>0. Arhiva\5. Fotovoiltaic IPEC\Gmail\SCRIERE - EVALUARE-20240118T142803Z-001.zip</x:v>
      </x:c>
      <x:c r="B1178" s="8" t="str">
        <x:v>SCRIERE - EVALUARE/Clarificare 31.08.2023/De semnat/3. Hotarare Consiliului de administratie_aprobare proiect - 31.08.pdf</x:v>
      </x:c>
      <x:c r="C1178" s="8" t="n">
        <x:v>588857</x:v>
      </x:c>
    </x:row>
    <x:row r="1179" ht="32" customHeight="1">
      <x:c r="A1179" s="8" t="str">
        <x:v>0. Arhiva\5. Fotovoiltaic IPEC\Gmail\SCRIERE - EVALUARE-20240118T142803Z-001.zip</x:v>
      </x:c>
      <x:c r="B1179" s="8" t="str">
        <x:v>SCRIERE - EVALUARE/Identificare electronica - PNRR/DeclaratieInregistrareCertificat_20220620145953.pdf</x:v>
      </x:c>
      <x:c r="C1179" s="8" t="n">
        <x:v>151095</x:v>
      </x:c>
    </x:row>
    <x:row r="1180" ht="32" customHeight="1">
      <x:c r="A1180" s="8" t="str">
        <x:v>0. Arhiva\5. Fotovoiltaic IPEC\Gmail\SCRIERE - EVALUARE-20240118T142803Z-001.zip</x:v>
      </x:c>
      <x:c r="B1180" s="8" t="str">
        <x:v>SCRIERE - EVALUARE/cerificat constator extins.pdf</x:v>
      </x:c>
      <x:c r="C1180" s="8" t="n">
        <x:v>2178644</x:v>
      </x:c>
    </x:row>
    <x:row r="1181" ht="32" customHeight="1">
      <x:c r="A1181" s="8" t="str">
        <x:v>0. Arhiva\5. Fotovoiltaic IPEC\Gmail\SCRIERE - EVALUARE-20240118T142803Z-001.zip</x:v>
      </x:c>
      <x:c r="B1181" s="8" t="str">
        <x:v>SCRIERE - EVALUARE/Clarificare 31.08.2023/De semnat/2.2. Grant offer letter.pdf</x:v>
      </x:c>
      <x:c r="C1181" s="8" t="n">
        <x:v>1346230</x:v>
      </x:c>
    </x:row>
    <x:row r="1182" ht="32" customHeight="1">
      <x:c r="A1182" s="8" t="str">
        <x:v>0. Arhiva\5. Fotovoiltaic IPEC\Gmail\SCRIERE - EVALUARE-20240118T142803Z-001.zip</x:v>
      </x:c>
      <x:c r="B1182" s="8" t="str">
        <x:v>SCRIERE - EVALUARE/Clarificare 31.08.2023/De semnat/RaspunsClarificare_6698299_20230831161735.pdf</x:v>
      </x:c>
      <x:c r="C1182" s="8" t="n">
        <x:v>181263</x:v>
      </x:c>
    </x:row>
    <x:row r="1183" ht="32" customHeight="1">
      <x:c r="A1183" s="8" t="str">
        <x:v>0. Arhiva\5. Fotovoiltaic IPEC\Gmail\SCRIERE - EVALUARE-20240118T142803Z-001.zip</x:v>
      </x:c>
      <x:c r="B1183" s="8" t="str">
        <x:v>SCRIERE - EVALUARE/!FINAL - DE SEMNAT/28. Dovada depunere ATR - IPEC S.A..pdf</x:v>
      </x:c>
      <x:c r="C1183" s="8" t="n">
        <x:v>533814</x:v>
      </x:c>
    </x:row>
    <x:row r="1184" ht="32" customHeight="1">
      <x:c r="A1184" s="8" t="str">
        <x:v>0. Arhiva\5. Fotovoiltaic IPEC\Gmail\SCRIERE - EVALUARE-20240118T142803Z-001.zip</x:v>
      </x:c>
      <x:c r="B1184" s="8" t="str">
        <x:v>SCRIERE - EVALUARE/ALTE DOCUMENTE/Proces verbal de receptie_GWC - IPEC S.A.ok.-semnat.pdf</x:v>
      </x:c>
      <x:c r="C1184" s="8" t="n">
        <x:v>349913</x:v>
      </x:c>
    </x:row>
    <x:row r="1185" ht="32" customHeight="1">
      <x:c r="A1185" s="8" t="str">
        <x:v>0. Arhiva\5. Fotovoiltaic IPEC\Gmail\SCRIERE - EVALUARE-20240118T142803Z-001.zip</x:v>
      </x:c>
      <x:c r="B1185" s="8" t="str">
        <x:v>SCRIERE - EVALUARE/certificat urbanism (3).pdf</x:v>
      </x:c>
      <x:c r="C1185" s="8" t="n">
        <x:v>2978403</x:v>
      </x:c>
    </x:row>
    <x:row r="1186" ht="32" customHeight="1">
      <x:c r="A1186" s="8" t="str">
        <x:v>0. Arhiva\5. Fotovoiltaic IPEC\Gmail\SCRIERE - EVALUARE-20240118T142803Z-001.zip</x:v>
      </x:c>
      <x:c r="B1186" s="8" t="str">
        <x:v>SCRIERE - EVALUARE/certificat urbanism (1).pdf</x:v>
      </x:c>
      <x:c r="C1186" s="8" t="n">
        <x:v>2857489</x:v>
      </x:c>
    </x:row>
    <x:row r="1187" ht="32" customHeight="1">
      <x:c r="A1187" s="8" t="str">
        <x:v>0. Arhiva\5. Fotovoiltaic IPEC\Gmail\SCRIERE - EVALUARE-20240118T142803Z-001.zip</x:v>
      </x:c>
      <x:c r="B1187" s="8" t="str">
        <x:v>SCRIERE - EVALUARE/Identificare electronica - PNRR/DeclaratieInregistrareCertificat_20220620145953-semnat.pdf</x:v>
      </x:c>
      <x:c r="C1187" s="8" t="n">
        <x:v>229997</x:v>
      </x:c>
    </x:row>
    <x:row r="1188" ht="32" customHeight="1">
      <x:c r="A1188" s="8" t="str">
        <x:v>0. Arhiva\5. Fotovoiltaic IPEC\Gmail\SCRIERE - EVALUARE-20240118T142803Z-001.zip</x:v>
      </x:c>
      <x:c r="B1188" s="8" t="str">
        <x:v>SCRIERE - EVALUARE/Clarificare 31.08.2023/De semnat/0. Raspuns clarificare.pdf</x:v>
      </x:c>
      <x:c r="C1188" s="8" t="n">
        <x:v>127701</x:v>
      </x:c>
    </x:row>
    <x:row r="1189" ht="32" customHeight="1">
      <x:c r="A1189" s="8" t="str">
        <x:v>0. Arhiva\5. Fotovoiltaic IPEC\Gmail\SCRIERE - EVALUARE-20240118T142803Z-001.zip</x:v>
      </x:c>
      <x:c r="B1189" s="8" t="str">
        <x:v>SCRIERE - EVALUARE/!FINAL - DE SEMNAT/25. Declarație privind disponibilitatea imobilului - IPEC S.A..pdf</x:v>
      </x:c>
      <x:c r="C1189" s="8" t="n">
        <x:v>125603</x:v>
      </x:c>
    </x:row>
    <x:row r="1190" ht="32" customHeight="1">
      <x:c r="A1190" s="8" t="str">
        <x:v>0. Arhiva\5. Fotovoiltaic IPEC\Gmail\SCRIERE - EVALUARE-20240118T142803Z-001.zip</x:v>
      </x:c>
      <x:c r="B1190" s="8" t="str">
        <x:v>SCRIERE - EVALUARE/!FINAL - DE SEMNAT/26. Declarație privind retrocedarea - IPEC S.A..pdf</x:v>
      </x:c>
      <x:c r="C1190" s="8" t="n">
        <x:v>127774</x:v>
      </x:c>
    </x:row>
    <x:row r="1191" ht="32" customHeight="1">
      <x:c r="A1191" s="8" t="str">
        <x:v>0. Arhiva\5. Fotovoiltaic IPEC\Gmail\SCRIERE - EVALUARE-20240118T142803Z-001.zip</x:v>
      </x:c>
      <x:c r="B1191" s="8" t="str">
        <x:v>SCRIERE - EVALUARE/Clarificare 31.08.2023/De semnat/2.1. Anexa 3.a - Declaraţie de eligibilitate.pdf</x:v>
      </x:c>
      <x:c r="C1191" s="8" t="n">
        <x:v>155595</x:v>
      </x:c>
    </x:row>
    <x:row r="1192" ht="32" customHeight="1">
      <x:c r="A1192" s="8" t="str">
        <x:v>0. Arhiva\5. Fotovoiltaic IPEC\Gmail\SCRIERE - EVALUARE-20240118T142803Z-001.zip</x:v>
      </x:c>
      <x:c r="B1192" s="8" t="str">
        <x:v>SCRIERE - EVALUARE/certificat urbanism (2).pdf</x:v>
      </x:c>
      <x:c r="C1192" s="8" t="n">
        <x:v>2861297</x:v>
      </x:c>
    </x:row>
    <x:row r="1193" ht="32" customHeight="1">
      <x:c r="A1193" s="8" t="str">
        <x:v>0. Arhiva\5. Fotovoiltaic IPEC\Gmail\SCRIERE - EVALUARE-20240118T142803Z-001.zip</x:v>
      </x:c>
      <x:c r="B1193" s="8" t="str">
        <x:v>SCRIERE - EVALUARE/!FINAL - DE SEMNAT/11. Anexa 6.1 - Declaratie DNSH - IPEC S.A.pdf</x:v>
      </x:c>
      <x:c r="C1193" s="8" t="n">
        <x:v>168064</x:v>
      </x:c>
    </x:row>
    <x:row r="1194" ht="32" customHeight="1">
      <x:c r="A1194" s="8" t="str">
        <x:v>0. Arhiva\5. Fotovoiltaic IPEC\Gmail\SCRIERE - EVALUARE-20240118T142803Z-001.zip</x:v>
      </x:c>
      <x:c r="B1194" s="8" t="str">
        <x:v>SCRIERE - EVALUARE/!FINAL - DE SEMNAT/Proces verbal de receptie_GWC - IPEC S.A..pdf</x:v>
      </x:c>
      <x:c r="C1194" s="8" t="n">
        <x:v>253900</x:v>
      </x:c>
    </x:row>
    <x:row r="1195" ht="32" customHeight="1">
      <x:c r="A1195" s="8" t="str">
        <x:v>0. Arhiva\5. Fotovoiltaic IPEC\Gmail\SCRIERE - EVALUARE-20240118T142803Z-001.zip</x:v>
      </x:c>
      <x:c r="B1195" s="8" t="str">
        <x:v>SCRIERE - EVALUARE/!FINAL - DE SEMNAT/0. OPIS Documente - IPEC S.A.pdf</x:v>
      </x:c>
      <x:c r="C1195" s="8" t="n">
        <x:v>167126</x:v>
      </x:c>
    </x:row>
    <x:row r="1196" ht="32" customHeight="1">
      <x:c r="A1196" s="8" t="str">
        <x:v>0. Arhiva\5. Fotovoiltaic IPEC\Gmail\SCRIERE - EVALUARE-20240118T142803Z-001.zip</x:v>
      </x:c>
      <x:c r="B1196" s="8" t="str">
        <x:v>SCRIERE - EVALUARE/!FINAL - DE SEMNAT/29. Hotarare Consiliu de administratie - IPEC S.A..pdf</x:v>
      </x:c>
      <x:c r="C1196" s="8" t="n">
        <x:v>570511</x:v>
      </x:c>
    </x:row>
    <x:row r="1197" ht="32" customHeight="1">
      <x:c r="A1197" s="8" t="str">
        <x:v>0. Arhiva\5. Fotovoiltaic IPEC\Gmail\SCRIERE - EVALUARE-20240118T142803Z-001.zip</x:v>
      </x:c>
      <x:c r="B1197" s="8" t="str">
        <x:v>SCRIERE - EVALUARE/Clarificare - 13.11.2023/De semnat/0. Raspuns clarificare - 13.11.2023.pdf</x:v>
      </x:c>
      <x:c r="C1197" s="8" t="n">
        <x:v>102357</x:v>
      </x:c>
    </x:row>
    <x:row r="1198" ht="32" customHeight="1">
      <x:c r="A1198" s="8" t="str">
        <x:v>0. Arhiva\5. Fotovoiltaic IPEC\Gmail\SCRIERE - EVALUARE-20240118T142803Z-001.zip</x:v>
      </x:c>
      <x:c r="B1198" s="8" t="str">
        <x:v>SCRIERE - EVALUARE/!FINAL - DE SEMNAT/8. Anexa 3.f - Declarație scop producere energie electrică - IPEC S.A..pdf</x:v>
      </x:c>
      <x:c r="C1198" s="8" t="n">
        <x:v>109896</x:v>
      </x:c>
    </x:row>
    <x:row r="1199" ht="32" customHeight="1">
      <x:c r="A1199" s="8" t="str">
        <x:v>0. Arhiva\5. Fotovoiltaic IPEC\Gmail\SCRIERE - EVALUARE-20240118T142803Z-001.zip</x:v>
      </x:c>
      <x:c r="B1199" s="8" t="str">
        <x:v>SCRIERE - EVALUARE/!FINAL - DE SEMNAT/15.2. Analiza_Cost_Beneficiu - calcule - IPEC S.A..pdf</x:v>
      </x:c>
      <x:c r="C1199" s="8" t="n">
        <x:v>543189</x:v>
      </x:c>
    </x:row>
    <x:row r="1200" ht="32" customHeight="1">
      <x:c r="A1200" s="8" t="str">
        <x:v>0. Arhiva\5. Fotovoiltaic IPEC\Gmail\SCRIERE - EVALUARE-20240118T142803Z-001.zip</x:v>
      </x:c>
      <x:c r="B1200" s="8" t="str">
        <x:v>SCRIERE - EVALUARE/!FINAL - DE SEMNAT/33. Analiza institutionala - IPEC S.A.pdf</x:v>
      </x:c>
      <x:c r="C1200" s="8" t="n">
        <x:v>128145</x:v>
      </x:c>
    </x:row>
    <x:row r="1201" ht="32" customHeight="1">
      <x:c r="A1201" s="8" t="str">
        <x:v>0. Arhiva\5. Fotovoiltaic IPEC\Gmail\SCRIERE - EVALUARE-20240118T142803Z-001.zip</x:v>
      </x:c>
      <x:c r="B1201" s="8" t="str">
        <x:v>SCRIERE - EVALUARE/!FINAL - DE SEMNAT/9. Anexa 3.g - Declarație evitare dubla finanțare - IPEC S.A..pdf</x:v>
      </x:c>
      <x:c r="C1201" s="8" t="n">
        <x:v>136884</x:v>
      </x:c>
    </x:row>
    <x:row r="1202" ht="32" customHeight="1">
      <x:c r="A1202" s="8" t="str">
        <x:v>0. Arhiva\5. Fotovoiltaic IPEC\Gmail\SCRIERE - EVALUARE-20240118T142803Z-001.zip</x:v>
      </x:c>
      <x:c r="B1202" s="8" t="str">
        <x:v>SCRIERE - EVALUARE/!FINAL - DE SEMNAT/4. Anexa 3.b - Declaraţie de angajament - IPEC S.A..pdf</x:v>
      </x:c>
      <x:c r="C1202" s="8" t="n">
        <x:v>171878</x:v>
      </x:c>
    </x:row>
    <x:row r="1203" ht="32" customHeight="1">
      <x:c r="A1203" s="8" t="str">
        <x:v>0. Arhiva\5. Fotovoiltaic IPEC\Gmail\SCRIERE - EVALUARE-20240118T142803Z-001.zip</x:v>
      </x:c>
      <x:c r="B1203" s="8" t="str">
        <x:v>SCRIERE - EVALUARE/!FINAL - DE SEMNAT/10. Anexa 5 - Declaratie consimtamant prelucrare date - IPEC S.A..pdf</x:v>
      </x:c>
      <x:c r="C1203" s="8" t="n">
        <x:v>200695</x:v>
      </x:c>
    </x:row>
    <x:row r="1204" ht="32" customHeight="1">
      <x:c r="A1204" s="8" t="str">
        <x:v>0. Arhiva\5. Fotovoiltaic IPEC\Gmail\SCRIERE - EVALUARE-20240118T142803Z-001.zip</x:v>
      </x:c>
      <x:c r="B1204" s="8" t="str">
        <x:v>SCRIERE - EVALUARE/!FINAL - DE SEMNAT/15.1. Analiza_Cost_Beneficiu - descriere - IPEC S.A..pdf</x:v>
      </x:c>
      <x:c r="C1204" s="8" t="n">
        <x:v>587865</x:v>
      </x:c>
    </x:row>
    <x:row r="1205" ht="32" customHeight="1">
      <x:c r="A1205" s="8" t="str">
        <x:v>0. Arhiva\5. Fotovoiltaic IPEC\Gmail\SCRIERE - EVALUARE-20240118T142803Z-001.zip</x:v>
      </x:c>
      <x:c r="B1205" s="8" t="str">
        <x:v>SCRIERE - EVALUARE/!FINAL - DE SEMNAT/14.2. Deviz_Scenariul 2 - IPEC S.A.pdf</x:v>
      </x:c>
      <x:c r="C1205" s="8" t="n">
        <x:v>628344</x:v>
      </x:c>
    </x:row>
    <x:row r="1206" ht="32" customHeight="1">
      <x:c r="A1206" s="8" t="str">
        <x:v>0. Arhiva\5. Fotovoiltaic IPEC\Gmail\SCRIERE - EVALUARE-20240118T142803Z-001.zip</x:v>
      </x:c>
      <x:c r="B1206" s="8" t="str">
        <x:v>SCRIERE - EVALUARE/!FINAL - DE SEMNAT/3. Anexa 3.a - Declaraţie de eligibilitate - IPEC S.A..pdf</x:v>
      </x:c>
      <x:c r="C1206" s="8" t="n">
        <x:v>145987</x:v>
      </x:c>
    </x:row>
    <x:row r="1207" ht="32" customHeight="1">
      <x:c r="A1207" s="8" t="str">
        <x:v>0. Arhiva\5. Fotovoiltaic IPEC\Gmail\SCRIERE - EVALUARE-20240118T142803Z-001.zip</x:v>
      </x:c>
      <x:c r="B1207" s="8" t="str">
        <x:v>SCRIERE - EVALUARE/Clarificare - 13.11.2023/De semnat/1. Anexa 1 Formularul ofertei - cap.25.pdf</x:v>
      </x:c>
      <x:c r="C1207" s="8" t="n">
        <x:v>275946</x:v>
      </x:c>
    </x:row>
    <x:row r="1208" ht="32" customHeight="1">
      <x:c r="A1208" s="8" t="str">
        <x:v>0. Arhiva\5. Fotovoiltaic IPEC\Gmail\SCRIERE - EVALUARE-20240118T142803Z-001.zip</x:v>
      </x:c>
      <x:c r="B1208" s="8" t="str">
        <x:v>SCRIERE - EVALUARE/!FINAL - DE SEMNAT/5. Anexa 3.c - Declaraţie conformitate ajutor de stat - IPEC S.A..pdf</x:v>
      </x:c>
      <x:c r="C1208" s="8" t="n">
        <x:v>138145</x:v>
      </x:c>
    </x:row>
    <x:row r="1209" ht="32" customHeight="1">
      <x:c r="A1209" s="8" t="str">
        <x:v>0. Arhiva\5. Fotovoiltaic IPEC\Gmail\SCRIERE - EVALUARE-20240118T142803Z-001.zip</x:v>
      </x:c>
      <x:c r="B1209" s="8" t="str">
        <x:v>SCRIERE - EVALUARE/Scrisoare IPEC-ro.pdf</x:v>
      </x:c>
      <x:c r="C1209" s="8" t="n">
        <x:v>4534125</x:v>
      </x:c>
    </x:row>
    <x:row r="1210" ht="32" customHeight="1">
      <x:c r="A1210" s="8" t="str">
        <x:v>0. Arhiva\5. Fotovoiltaic IPEC\Gmail\SCRIERE - EVALUARE-20240118T142803Z-001.zip</x:v>
      </x:c>
      <x:c r="B1210" s="8" t="str">
        <x:v>SCRIERE - EVALUARE/!FINAL - DE SEMNAT/31.4. CV - repr.tehnic - IPEC S.A..pdf</x:v>
      </x:c>
      <x:c r="C1210" s="8" t="n">
        <x:v>402019</x:v>
      </x:c>
    </x:row>
    <x:row r="1211" ht="32" customHeight="1">
      <x:c r="A1211" s="8" t="str">
        <x:v>0. Arhiva\5. Fotovoiltaic IPEC\Gmail\SCRIERE - EVALUARE-20240118T142803Z-001.zip</x:v>
      </x:c>
      <x:c r="B1211" s="8" t="str">
        <x:v>SCRIERE - EVALUARE/!FINAL - DE SEMNAT/6.3. Anexa 3.d - Declaratie conflict de interese - repr.achizitii - IPEC S.A..pdf</x:v>
      </x:c>
      <x:c r="C1211" s="8" t="n">
        <x:v>223140</x:v>
      </x:c>
    </x:row>
    <x:row r="1212" ht="32" customHeight="1">
      <x:c r="A1212" s="8" t="str">
        <x:v>0. Arhiva\5. Fotovoiltaic IPEC\Gmail\SCRIERE - EVALUARE-20240118T142803Z-001.zip</x:v>
      </x:c>
      <x:c r="B1212" s="8" t="str">
        <x:v>SCRIERE - EVALUARE/Clarificare 31.08.2023/De semnat/1. Anexa 1 Formularul ofertei_31.08.2023 (rev.2).pdf</x:v>
      </x:c>
      <x:c r="C1212" s="8" t="n">
        <x:v>1067000</x:v>
      </x:c>
    </x:row>
    <x:row r="1213" ht="32" customHeight="1">
      <x:c r="A1213" s="8" t="str">
        <x:v>0. Arhiva\5. Fotovoiltaic IPEC\Gmail\SCRIERE - EVALUARE-20240118T142803Z-001.zip</x:v>
      </x:c>
      <x:c r="B1213" s="8" t="str">
        <x:v>SCRIERE - EVALUARE/!FINAL - DE SEMNAT/7. Anexa 3.e - Declaraţie privind tipul întreprinderii - IPEC S.A.pdf</x:v>
      </x:c>
      <x:c r="C1213" s="8" t="n">
        <x:v>248788</x:v>
      </x:c>
    </x:row>
    <x:row r="1214" ht="32" customHeight="1">
      <x:c r="A1214" s="8" t="str">
        <x:v>0. Arhiva\5. Fotovoiltaic IPEC\Gmail\SCRIERE - EVALUARE-20240118T142803Z-001.zip</x:v>
      </x:c>
      <x:c r="B1214" s="8" t="str">
        <x:v>SCRIERE - EVALUARE/!FINAL - DE SEMNAT/36. Plan de informare si publicitate - IPEC S.A.pdf</x:v>
      </x:c>
      <x:c r="C1214" s="8" t="n">
        <x:v>128454</x:v>
      </x:c>
    </x:row>
    <x:row r="1215" ht="32" customHeight="1">
      <x:c r="A1215" s="8" t="str">
        <x:v>0. Arhiva\5. Fotovoiltaic IPEC\Gmail\SCRIERE - EVALUARE-20240118T142803Z-001.zip</x:v>
      </x:c>
      <x:c r="B1215" s="8" t="str">
        <x:v>SCRIERE - EVALUARE/!FINAL - DE SEMNAT/6.4. Anexa 3.d - Declaratie conflict de interese - repr.tehnic - IPEC S.A..pdf</x:v>
      </x:c>
      <x:c r="C1215" s="8" t="n">
        <x:v>225028</x:v>
      </x:c>
    </x:row>
    <x:row r="1216" ht="32" customHeight="1">
      <x:c r="A1216" s="8" t="str">
        <x:v>0. Arhiva\5. Fotovoiltaic IPEC\Gmail\SCRIERE - EVALUARE-20240118T142803Z-001.zip</x:v>
      </x:c>
      <x:c r="B1216" s="8" t="str">
        <x:v>SCRIERE - EVALUARE/!FINAL - DE SEMNAT/16. Copie act identitate repr.legal - IPEC S.A..pdf</x:v>
      </x:c>
      <x:c r="C1216" s="8" t="n">
        <x:v>93336</x:v>
      </x:c>
    </x:row>
    <x:row r="1217" ht="32" customHeight="1">
      <x:c r="A1217" s="8" t="str">
        <x:v>0. Arhiva\5. Fotovoiltaic IPEC\Gmail\SCRIERE - EVALUARE-20240118T142803Z-001.zip</x:v>
      </x:c>
      <x:c r="B1217" s="8" t="str">
        <x:v>SCRIERE - EVALUARE/!FINAL - DE SEMNAT/31.2.1. Fisa post - repr.financiar - IPEC S.A..pdf</x:v>
      </x:c>
      <x:c r="C1217" s="8" t="n">
        <x:v>550899</x:v>
      </x:c>
    </x:row>
    <x:row r="1218" ht="32" customHeight="1">
      <x:c r="A1218" s="8" t="str">
        <x:v>0. Arhiva\5. Fotovoiltaic IPEC\Gmail\SCRIERE - EVALUARE-20240118T142803Z-001.zip</x:v>
      </x:c>
      <x:c r="B1218" s="8" t="str">
        <x:v>SCRIERE - EVALUARE/!FINAL - DE SEMNAT/31.4.1. Fisa post - repr.tehnic - IPEC S.A..pdf</x:v>
      </x:c>
      <x:c r="C1218" s="8" t="n">
        <x:v>527118</x:v>
      </x:c>
    </x:row>
    <x:row r="1219" ht="32" customHeight="1">
      <x:c r="A1219" s="8" t="str">
        <x:v>0. Arhiva\5. Fotovoiltaic IPEC\Gmail\SCRIERE - EVALUARE-20240118T142803Z-001.zip</x:v>
      </x:c>
      <x:c r="B1219" s="8" t="str">
        <x:v>SCRIERE - EVALUARE/!FINAL - DE SEMNAT/31.1.1. Fisa post - manag.proiect - IPEC S.A..pdf</x:v>
      </x:c>
      <x:c r="C1219" s="8" t="n">
        <x:v>554772</x:v>
      </x:c>
    </x:row>
    <x:row r="1220" ht="32" customHeight="1">
      <x:c r="A1220" s="8" t="str">
        <x:v>0. Arhiva\5. Fotovoiltaic IPEC\Gmail\SCRIERE - EVALUARE-20240118T142803Z-001.zip</x:v>
      </x:c>
      <x:c r="B1220" s="8" t="str">
        <x:v>SCRIERE - EVALUARE/!FINAL - DE SEMNAT/30.2. Componenta UIP in format tabular - IPEC S.A..pdf</x:v>
      </x:c>
      <x:c r="C1220" s="8" t="n">
        <x:v>179236</x:v>
      </x:c>
    </x:row>
    <x:row r="1221" ht="32" customHeight="1">
      <x:c r="A1221" s="8" t="str">
        <x:v>0. Arhiva\5. Fotovoiltaic IPEC\Gmail\SCRIERE - EVALUARE-20240118T142803Z-001.zip</x:v>
      </x:c>
      <x:c r="B1221" s="8" t="str">
        <x:v>SCRIERE - EVALUARE/!FINAL - DE SEMNAT/14.1. Deviz_Scenariul 1 - IPEC S.A.pdf</x:v>
      </x:c>
      <x:c r="C1221" s="8" t="n">
        <x:v>623109</x:v>
      </x:c>
    </x:row>
    <x:row r="1222" ht="32" customHeight="1">
      <x:c r="A1222" s="8" t="str">
        <x:v>0. Arhiva\5. Fotovoiltaic IPEC\Gmail\SCRIERE - EVALUARE-20240118T142803Z-001.zip</x:v>
      </x:c>
      <x:c r="B1222" s="8" t="str">
        <x:v>SCRIERE - EVALUARE/!FINAL - DE SEMNAT/1. Anexa 1 - Formularul ofertei - IPEC S.A..pdf</x:v>
      </x:c>
      <x:c r="C1222" s="8" t="n">
        <x:v>787760</x:v>
      </x:c>
    </x:row>
    <x:row r="1223" ht="32" customHeight="1">
      <x:c r="A1223" s="8" t="str">
        <x:v>0. Arhiva\5. Fotovoiltaic IPEC\Gmail\SCRIERE - EVALUARE-20240118T142803Z-001.zip</x:v>
      </x:c>
      <x:c r="B1223" s="8" t="str">
        <x:v>SCRIERE - EVALUARE/!FINAL - DE SEMNAT/30.1. Decizia privind înființarea UIP - IPEC S.A..pdf</x:v>
      </x:c>
      <x:c r="C1223" s="8" t="n">
        <x:v>301252</x:v>
      </x:c>
    </x:row>
    <x:row r="1224" ht="32" customHeight="1">
      <x:c r="A1224" s="8" t="str">
        <x:v>0. Arhiva\5. Fotovoiltaic IPEC\Gmail\SCRIERE - EVALUARE-20240118T142803Z-001.zip</x:v>
      </x:c>
      <x:c r="B1224" s="8" t="str">
        <x:v>SCRIERE - EVALUARE/!FINAL - DE SEMNAT/2. Anexa 1a - Conformitatea cu regulile de exceptare - IPEC S.A..pdf</x:v>
      </x:c>
      <x:c r="C1224" s="8" t="n">
        <x:v>242440</x:v>
      </x:c>
    </x:row>
    <x:row r="1225" ht="32" customHeight="1">
      <x:c r="A1225" s="8" t="str">
        <x:v>0. Arhiva\5. Fotovoiltaic IPEC\Gmail\SCRIERE - EVALUARE-20240118T142803Z-001.zip</x:v>
      </x:c>
      <x:c r="B1225" s="8" t="str">
        <x:v>SCRIERE - EVALUARE/!FINAL - DE SEMNAT/6.1. Anexa 3.d - Declaratie conflict de interese - manag.de proiect - IPEC S.A..pdf</x:v>
      </x:c>
      <x:c r="C1225" s="8" t="n">
        <x:v>228932</x:v>
      </x:c>
    </x:row>
    <x:row r="1226" ht="32" customHeight="1">
      <x:c r="A1226" s="8" t="str">
        <x:v>0. Arhiva\5. Fotovoiltaic IPEC\Gmail\SCRIERE - EVALUARE-20240118T142803Z-001.zip</x:v>
      </x:c>
      <x:c r="B1226" s="8" t="str">
        <x:v>SCRIERE - EVALUARE/!FINAL - DE SEMNAT/20. Document banca - IPEC S.A..pdf</x:v>
      </x:c>
      <x:c r="C1226" s="8" t="n">
        <x:v>174244</x:v>
      </x:c>
    </x:row>
    <x:row r="1227" ht="32" customHeight="1">
      <x:c r="A1227" s="8" t="str">
        <x:v>0. Arhiva\5. Fotovoiltaic IPEC\Gmail\SCRIERE - EVALUARE-20240118T142803Z-001.zip</x:v>
      </x:c>
      <x:c r="B1227" s="8" t="str">
        <x:v>SCRIERE - EVALUARE/!FINAL - DE SEMNAT/6.2. Anexa 3.d - Declaratie conflict de interese - repr.financiar - IPEC S.A..pdf</x:v>
      </x:c>
      <x:c r="C1227" s="8" t="n">
        <x:v>230820</x:v>
      </x:c>
    </x:row>
    <x:row r="1228" ht="32" customHeight="1">
      <x:c r="A1228" s="8" t="str">
        <x:v>0. Arhiva\5. Fotovoiltaic IPEC\Gmail\SCRIERE - EVALUARE-20240118T142803Z-001.zip</x:v>
      </x:c>
      <x:c r="B1228" s="8" t="str">
        <x:v>SCRIERE - EVALUARE/!FINAL - DE SEMNAT/30.3. Organigrama UIP - IPEC S.A..pdf</x:v>
      </x:c>
      <x:c r="C1228" s="8" t="n">
        <x:v>202916</x:v>
      </x:c>
    </x:row>
    <x:row r="1229" ht="32" customHeight="1">
      <x:c r="A1229" s="8" t="str">
        <x:v>0. Arhiva\5. Fotovoiltaic IPEC\Gmail\SCRIERE - EVALUARE-20240118T142803Z-001.zip</x:v>
      </x:c>
      <x:c r="B1229" s="8" t="str">
        <x:v>SCRIERE - EVALUARE/ATR NOU.pdf</x:v>
      </x:c>
      <x:c r="C1229" s="8" t="n">
        <x:v>1359533</x:v>
      </x:c>
    </x:row>
    <x:row r="1230" ht="32" customHeight="1">
      <x:c r="A1230" s="8" t="str">
        <x:v>0. Arhiva\5. Fotovoiltaic IPEC\Gmail\SCRIERE - EVALUARE-20240118T142803Z-001.zip</x:v>
      </x:c>
      <x:c r="B1230" s="8" t="str">
        <x:v>SCRIERE - EVALUARE/!FINAL - DE SEMNAT/30.3. Atributii si responsabilitati UIP - IPEC S.A..pdf</x:v>
      </x:c>
      <x:c r="C1230" s="8" t="n">
        <x:v>1831475</x:v>
      </x:c>
    </x:row>
    <x:row r="1231" ht="32" customHeight="1">
      <x:c r="A1231" s="8" t="str">
        <x:v>0. Arhiva\5. Fotovoiltaic IPEC\Gmail\SCRIERE - EVALUARE-20240118T142803Z-001.zip</x:v>
      </x:c>
      <x:c r="B1231" s="8" t="str">
        <x:v>SCRIERE - EVALUARE/!FINAL - DE SEMNAT/12. Anexa 6.2 - Autoevaluare DNSH - IPEC S.A.pdf</x:v>
      </x:c>
      <x:c r="C1231" s="8" t="n">
        <x:v>379221</x:v>
      </x:c>
    </x:row>
    <x:row r="1232" ht="32" customHeight="1">
      <x:c r="A1232" s="8" t="str">
        <x:v>0. Arhiva\5. Fotovoiltaic IPEC\Gmail\SCRIERE - EVALUARE-20240118T142803Z-001.zip</x:v>
      </x:c>
      <x:c r="B1232" s="8" t="str">
        <x:v>SCRIERE - EVALUARE/!FINAL - DE SEMNAT/27. Dovada initiere proces ANPM - IPEC S.A..pdf</x:v>
      </x:c>
      <x:c r="C1232" s="8" t="n">
        <x:v>349604</x:v>
      </x:c>
    </x:row>
    <x:row r="1233" ht="32" customHeight="1">
      <x:c r="A1233" s="8" t="str">
        <x:v>0. Arhiva\5. Fotovoiltaic IPEC\Gmail\SCRIERE - EVALUARE-20240118T142803Z-001.zip</x:v>
      </x:c>
      <x:c r="B1233" s="8" t="str">
        <x:v>SCRIERE - EVALUARE/!FINAL - DE SEMNAT/19. Certificat constatator - IPEC S.A..pdf</x:v>
      </x:c>
      <x:c r="C1233" s="8" t="n">
        <x:v>2178644</x:v>
      </x:c>
    </x:row>
    <x:row r="1234" ht="32" customHeight="1">
      <x:c r="A1234" s="8" t="str">
        <x:v>0. Arhiva\5. Fotovoiltaic IPEC\Gmail\SCRIERE - EVALUARE-20240118T142803Z-001.zip</x:v>
      </x:c>
      <x:c r="B1234" s="8" t="str">
        <x:v>SCRIERE - EVALUARE/!FINAL - DE SEMNAT/31.3.1. Fisa post - repr.achizitii - IPEC S.A..pdf</x:v>
      </x:c>
      <x:c r="C1234" s="8" t="n">
        <x:v>505166</x:v>
      </x:c>
    </x:row>
    <x:row r="1235" ht="32" customHeight="1">
      <x:c r="A1235" s="8" t="str">
        <x:v>0. Arhiva\5. Fotovoiltaic IPEC\Gmail\SCRIERE - EVALUARE-20240118T142803Z-001.zip</x:v>
      </x:c>
      <x:c r="B1235" s="8" t="str">
        <x:v>SCRIERE - EVALUARE/!FINAL - DE SEMNAT/24.2. Certificat urbanism 2 - IPEC S.A..pdf</x:v>
      </x:c>
      <x:c r="C1235" s="8" t="n">
        <x:v>2861297</x:v>
      </x:c>
    </x:row>
    <x:row r="1236" ht="32" customHeight="1">
      <x:c r="A1236" s="8" t="str">
        <x:v>0. Arhiva\5. Fotovoiltaic IPEC\Gmail\SCRIERE - EVALUARE-20240118T142803Z-001.zip</x:v>
      </x:c>
      <x:c r="B1236" s="8" t="str">
        <x:v>SCRIERE - EVALUARE/!FINAL - DE SEMNAT/31.3. CV - repr.achizitii - IPEC S.A..pdf</x:v>
      </x:c>
      <x:c r="C1236" s="8" t="n">
        <x:v>610518</x:v>
      </x:c>
    </x:row>
    <x:row r="1237" ht="32" customHeight="1">
      <x:c r="A1237" s="8" t="str">
        <x:v>0. Arhiva\5. Fotovoiltaic IPEC\Gmail\SCRIERE - EVALUARE-20240118T142803Z-001.zip</x:v>
      </x:c>
      <x:c r="B1237" s="8" t="str">
        <x:v>SCRIERE - EVALUARE/!FINAL - DE SEMNAT/24.3. Certificat urbanism 3 - IPEC S.A..pdf</x:v>
      </x:c>
      <x:c r="C1237" s="8" t="n">
        <x:v>2978403</x:v>
      </x:c>
    </x:row>
    <x:row r="1238" ht="32" customHeight="1">
      <x:c r="A1238" s="8" t="str">
        <x:v>0. Arhiva\5. Fotovoiltaic IPEC\Gmail\SCRIERE - EVALUARE-20240118T142803Z-001.zip</x:v>
      </x:c>
      <x:c r="B1238" s="8" t="str">
        <x:v>SCRIERE - EVALUARE/!FINAL - DE SEMNAT/21. Situatii financiare_2019_2020_2021 - IPEC S.A..pdf</x:v>
      </x:c>
      <x:c r="C1238" s="8" t="n">
        <x:v>1723105</x:v>
      </x:c>
    </x:row>
    <x:row r="1239" ht="32" customHeight="1">
      <x:c r="A1239" s="8" t="str">
        <x:v>0. Arhiva\5. Fotovoiltaic IPEC\Gmail\SCRIERE - EVALUARE-20240118T142803Z-001.zip</x:v>
      </x:c>
      <x:c r="B1239" s="8" t="str">
        <x:v>SCRIERE - EVALUARE/!FINAL - DE SEMNAT/35. Documentele privind harta zona proiect si geolocalizare - IPEC S.A..pdf</x:v>
      </x:c>
      <x:c r="C1239" s="8" t="n">
        <x:v>197292</x:v>
      </x:c>
    </x:row>
    <x:row r="1240" ht="32" customHeight="1">
      <x:c r="A1240" s="8" t="str">
        <x:v>0. Arhiva\5. Fotovoiltaic IPEC\Gmail\SCRIERE - EVALUARE-20240118T142803Z-001.zip</x:v>
      </x:c>
      <x:c r="B1240" s="8" t="str">
        <x:v>SCRIERE - EVALUARE/!FINAL - DE SEMNAT/24.1. Certificat urbanism 1 - IPEC S.A..pdf</x:v>
      </x:c>
      <x:c r="C1240" s="8" t="n">
        <x:v>2857489</x:v>
      </x:c>
    </x:row>
    <x:row r="1241" ht="32" customHeight="1">
      <x:c r="A1241" s="8" t="str">
        <x:v>0. Arhiva\5. Fotovoiltaic IPEC\Gmail\SCRIERE - EVALUARE-20240118T142803Z-001.zip</x:v>
      </x:c>
      <x:c r="B1241" s="8" t="str">
        <x:v>SCRIERE - EVALUARE/!FINAL - DE SEMNAT/31.1. CV - manag.proiect - IPEC S.A..pdf</x:v>
      </x:c>
      <x:c r="C1241" s="8" t="n">
        <x:v>952791</x:v>
      </x:c>
    </x:row>
    <x:row r="1242" ht="32" customHeight="1">
      <x:c r="A1242" s="8" t="str">
        <x:v>0. Arhiva\5. Fotovoiltaic IPEC\Gmail\SCRIERE - EVALUARE-20240118T142803Z-001.zip</x:v>
      </x:c>
      <x:c r="B1242" s="8" t="str">
        <x:v>SCRIERE - EVALUARE/!FINAL - DE SEMNAT/34.2. Plan amplasare - hala 4 - IPEC S.A..pdf</x:v>
      </x:c>
      <x:c r="C1242" s="8" t="n">
        <x:v>255135</x:v>
      </x:c>
    </x:row>
    <x:row r="1243" ht="32" customHeight="1">
      <x:c r="A1243" s="8" t="str">
        <x:v>0. Arhiva\5. Fotovoiltaic IPEC\Gmail\SCRIERE - EVALUARE-20240118T142803Z-001.zip</x:v>
      </x:c>
      <x:c r="B1243" s="8" t="str">
        <x:v>SCRIERE - EVALUARE/!FINAL - DE SEMNAT/34.3. Plan amplasare - hala 5 - IPEC S.A..pdf</x:v>
      </x:c>
      <x:c r="C1243" s="8" t="n">
        <x:v>247687</x:v>
      </x:c>
    </x:row>
    <x:row r="1244" ht="32" customHeight="1">
      <x:c r="A1244" s="8" t="str">
        <x:v>0. Arhiva\5. Fotovoiltaic IPEC\Gmail\SCRIERE - EVALUARE-20240118T142803Z-001.zip</x:v>
      </x:c>
      <x:c r="B1244" s="8" t="str">
        <x:v>SCRIERE - EVALUARE/Clarificare 31.08.2023/Semnate electronic/RaspunsClarificare_6698299_20230831161735.pdf</x:v>
      </x:c>
      <x:c r="C1244" s="8" t="n">
        <x:v>261644</x:v>
      </x:c>
    </x:row>
    <x:row r="1245" ht="32" customHeight="1">
      <x:c r="A1245" s="8" t="str">
        <x:v>0. Arhiva\5. Fotovoiltaic IPEC\Gmail\SCRIERE - EVALUARE-20240118T142803Z-001.zip</x:v>
      </x:c>
      <x:c r="B1245" s="8" t="str">
        <x:v>SCRIERE - EVALUARE/!FINAL - DE SEMNAT/32. Organigrama societatii - IPEC S.A..pdf</x:v>
      </x:c>
      <x:c r="C1245" s="8" t="n">
        <x:v>306854</x:v>
      </x:c>
    </x:row>
    <x:row r="1246" ht="32" customHeight="1">
      <x:c r="A1246" s="8" t="str">
        <x:v>0. Arhiva\5. Fotovoiltaic IPEC\Gmail\SCRIERE - EVALUARE-20240118T142803Z-001.zip</x:v>
      </x:c>
      <x:c r="B1246" s="8" t="str">
        <x:v>SCRIERE - EVALUARE/!FINAL - DE SEMNAT/23.3. Extras CF - hala 5 - IPEC S.A..pdf</x:v>
      </x:c>
      <x:c r="C1246" s="8" t="n">
        <x:v>1335358</x:v>
      </x:c>
    </x:row>
    <x:row r="1247" ht="32" customHeight="1">
      <x:c r="A1247" s="8" t="str">
        <x:v>0. Arhiva\5. Fotovoiltaic IPEC\Gmail\SCRIERE - EVALUARE-20240118T142803Z-001.zip</x:v>
      </x:c>
      <x:c r="B1247" s="8" t="str">
        <x:v>SCRIERE - EVALUARE/!FINAL - DE SEMNAT/23.1. Extras CF - hala 1 - IPEC S.A..pdf</x:v>
      </x:c>
      <x:c r="C1247" s="8" t="n">
        <x:v>1242110</x:v>
      </x:c>
    </x:row>
    <x:row r="1248" ht="32" customHeight="1">
      <x:c r="A1248" s="8" t="str">
        <x:v>0. Arhiva\5. Fotovoiltaic IPEC\Gmail\SCRIERE - EVALUARE-20240118T142803Z-001.zip</x:v>
      </x:c>
      <x:c r="B1248" s="8" t="str">
        <x:v>SCRIERE - EVALUARE/!FINAL - DE SEMNAT/23.2. Extras CF - hala 4 - IPEC S.A..pdf</x:v>
      </x:c>
      <x:c r="C1248" s="8" t="n">
        <x:v>1521142</x:v>
      </x:c>
    </x:row>
    <x:row r="1249" ht="32" customHeight="1">
      <x:c r="A1249" s="8" t="str">
        <x:v>0. Arhiva\5. Fotovoiltaic IPEC\Gmail\SCRIERE - EVALUARE-20240118T142803Z-001.zip</x:v>
      </x:c>
      <x:c r="B1249" s="8" t="str">
        <x:v>SCRIERE - EVALUARE/!FINAL - DE SEMNAT/34.1. Plan amplasare - hala 1 - IPEC S.A..pdf</x:v>
      </x:c>
      <x:c r="C1249" s="8" t="n">
        <x:v>269088</x:v>
      </x:c>
    </x:row>
    <x:row r="1250" ht="32" customHeight="1">
      <x:c r="A1250" s="8" t="str">
        <x:v>0. Arhiva\5. Fotovoiltaic IPEC\Gmail\SCRIERE - EVALUARE-20240118T142803Z-001.zip</x:v>
      </x:c>
      <x:c r="B1250" s="8" t="str">
        <x:v>SCRIERE - EVALUARE/!FINAL - DE SEMNAT/13.1. Studiu de fezabiliatate_parte scrisa - IPEC S.A..pdf</x:v>
      </x:c>
      <x:c r="C1250" s="8" t="n">
        <x:v>3465021</x:v>
      </x:c>
    </x:row>
    <x:row r="1251" ht="32" customHeight="1">
      <x:c r="A1251" s="8" t="str">
        <x:v>0. Arhiva\5. Fotovoiltaic IPEC\Gmail\SCRIERE - EVALUARE-20240118T142803Z-001.zip</x:v>
      </x:c>
      <x:c r="B1251" s="8" t="str">
        <x:v>SCRIERE - EVALUARE/Clarificare 31.08.2023/Semnate electronic/2.2. Grant offer letter.pdf</x:v>
      </x:c>
      <x:c r="C1251" s="8" t="n">
        <x:v>1426788</x:v>
      </x:c>
    </x:row>
    <x:row r="1252" ht="32" customHeight="1">
      <x:c r="A1252" s="8" t="str">
        <x:v>0. Arhiva\5. Fotovoiltaic IPEC\Gmail\SCRIERE - EVALUARE-20240118T142803Z-001.zip</x:v>
      </x:c>
      <x:c r="B1252" s="8" t="str">
        <x:v>SCRIERE - EVALUARE/!FINAL - DE SEMNAT/23.4. Acord_angajament ipoteci - IPEC S.A..pdf</x:v>
      </x:c>
      <x:c r="C1252" s="8" t="n">
        <x:v>5087232</x:v>
      </x:c>
    </x:row>
    <x:row r="1253" ht="32" customHeight="1">
      <x:c r="A1253" s="8" t="str">
        <x:v>0. Arhiva\5. Fotovoiltaic IPEC\Gmail\SCRIERE - EVALUARE-20240118T142803Z-001.zip</x:v>
      </x:c>
      <x:c r="B1253" s="8" t="str">
        <x:v>SCRIERE - EVALUARE/!FINAL - DE SEMNAT/31.2. CV - repr. financiar - IPEC S.A..pdf</x:v>
      </x:c>
      <x:c r="C1253" s="8" t="n">
        <x:v>1490785</x:v>
      </x:c>
    </x:row>
    <x:row r="1254" ht="32" customHeight="1">
      <x:c r="A1254" s="8" t="str">
        <x:v>0. Arhiva\5. Fotovoiltaic IPEC\Gmail\SCRIERE - EVALUARE-20240118T142803Z-001.zip</x:v>
      </x:c>
      <x:c r="B1254" s="8" t="str">
        <x:v>SCRIERE - EVALUARE/Clarificare - 21.06.2023/De semnat/0. Raspuns clarificare_IPEC S.A.pdf</x:v>
      </x:c>
      <x:c r="C1254" s="8" t="n">
        <x:v>150843</x:v>
      </x:c>
    </x:row>
    <x:row r="1255" ht="32" customHeight="1">
      <x:c r="A1255" s="8" t="str">
        <x:v>0. Arhiva\5. Fotovoiltaic IPEC\Gmail\SCRIERE - EVALUARE-20240118T142803Z-001.zip</x:v>
      </x:c>
      <x:c r="B1255" s="8" t="str">
        <x:v>SCRIERE - EVALUARE/!FINAL - DE SEMNAT/17. Certificat de inregistrare - IPEC S.A..pdf</x:v>
      </x:c>
      <x:c r="C1255" s="8" t="n">
        <x:v>631588</x:v>
      </x:c>
    </x:row>
    <x:row r="1256" ht="32" customHeight="1">
      <x:c r="A1256" s="8" t="str">
        <x:v>0. Arhiva\5. Fotovoiltaic IPEC\Gmail\SCRIERE - EVALUARE-20240118T142803Z-001.zip</x:v>
      </x:c>
      <x:c r="B1256" s="8" t="str">
        <x:v>SCRIERE - EVALUARE/Clarificare 31.08.2023/Semnate electronic/2.1. Anexa 3.a - Declaraţie de eligibilitate.pdf</x:v>
      </x:c>
      <x:c r="C1256" s="8" t="n">
        <x:v>223617</x:v>
      </x:c>
    </x:row>
    <x:row r="1257" ht="32" customHeight="1">
      <x:c r="A1257" s="8" t="str">
        <x:v>0. Arhiva\5. Fotovoiltaic IPEC\Gmail\SCRIERE - EVALUARE-20240118T142803Z-001.zip</x:v>
      </x:c>
      <x:c r="B1257" s="8" t="str">
        <x:v>SCRIERE - EVALUARE/Clarificare - 21.06.2023/De semnat/1.4. Hotarare AGA_actualizata_21.06.2023.pdf</x:v>
      </x:c>
      <x:c r="C1257" s="8" t="n">
        <x:v>587083</x:v>
      </x:c>
    </x:row>
    <x:row r="1258" ht="32" customHeight="1">
      <x:c r="A1258" s="8" t="str">
        <x:v>0. Arhiva\5. Fotovoiltaic IPEC\Gmail\SCRIERE - EVALUARE-20240118T142803Z-001.zip</x:v>
      </x:c>
      <x:c r="B1258" s="8" t="str">
        <x:v>SCRIERE - EVALUARE/Clarificare - 21.06.2023/De semnat/RaspunsClarificare_6698299_20230621193147.pdf</x:v>
      </x:c>
      <x:c r="C1258" s="8" t="n">
        <x:v>183636</x:v>
      </x:c>
    </x:row>
    <x:row r="1259" ht="32" customHeight="1">
      <x:c r="A1259" s="8" t="str">
        <x:v>0. Arhiva\5. Fotovoiltaic IPEC\Gmail\SCRIERE - EVALUARE-20240118T142803Z-001.zip</x:v>
      </x:c>
      <x:c r="B1259" s="8" t="str">
        <x:v>SCRIERE - EVALUARE/Clarificare 31.08.2023/Semnate electronic/0. Raspuns clarificare.pdf-semnat.pdf</x:v>
      </x:c>
      <x:c r="C1259" s="8" t="n">
        <x:v>200943</x:v>
      </x:c>
    </x:row>
    <x:row r="1260" ht="32" customHeight="1">
      <x:c r="A1260" s="8" t="str">
        <x:v>0. Arhiva\5. Fotovoiltaic IPEC\Gmail\SCRIERE - EVALUARE-20240118T142803Z-001.zip</x:v>
      </x:c>
      <x:c r="B1260" s="8" t="str">
        <x:v>SCRIERE - EVALUARE/Clarificare - 21.06.2023/De semnat/3. Anexa 3.a - Declaraţie de eligibilitate.pdf</x:v>
      </x:c>
      <x:c r="C1260" s="8" t="n">
        <x:v>145558</x:v>
      </x:c>
    </x:row>
    <x:row r="1261" ht="32" customHeight="1">
      <x:c r="A1261" s="8" t="str">
        <x:v>0. Arhiva\5. Fotovoiltaic IPEC\Gmail\SCRIERE - EVALUARE-20240118T142803Z-001.zip</x:v>
      </x:c>
      <x:c r="B1261" s="8" t="str">
        <x:v>SCRIERE - EVALUARE/Clarificare - 21.06.2023/Semnat/RaspunsClarificare_6698299_20230621193147-semnat.pdf</x:v>
      </x:c>
      <x:c r="C1261" s="8" t="n">
        <x:v>264184</x:v>
      </x:c>
    </x:row>
    <x:row r="1262" ht="32" customHeight="1">
      <x:c r="A1262" s="8" t="str">
        <x:v>0. Arhiva\5. Fotovoiltaic IPEC\Gmail\SCRIERE - EVALUARE-20240118T142803Z-001.zip</x:v>
      </x:c>
      <x:c r="B1262" s="8" t="str">
        <x:v>SCRIERE - EVALUARE/Clarificare - 21.06.2023/De semnat/4. Analiza institutionala - IPEC S.A.pdf</x:v>
      </x:c>
      <x:c r="C1262" s="8" t="n">
        <x:v>108180</x:v>
      </x:c>
    </x:row>
    <x:row r="1263" ht="36" customHeight="1">
      <x:c r="A1263" s="8" t="str">
        <x:v>0. Arhiva\5. Fotovoiltaic IPEC\Gmail\SCRIERE - EVALUARE-20240118T142803Z-001.zip</x:v>
      </x:c>
      <x:c r="B1263" s="8" t="str">
        <x:v>SCRIERE - EVALUARE/Clarificare 31.08.2023/Semnate electronic/3. Hotarare Consiliului de administratie_aprobare proiect - 31.08.pdf</x:v>
      </x:c>
      <x:c r="C1263" s="8" t="n">
        <x:v>669508</x:v>
      </x:c>
    </x:row>
    <x:row r="1264" ht="32" customHeight="1">
      <x:c r="A1264" s="8" t="str">
        <x:v>0. Arhiva\5. Fotovoiltaic IPEC\Gmail\SCRIERE - EVALUARE-20240118T142803Z-001.zip</x:v>
      </x:c>
      <x:c r="B1264" s="8" t="str">
        <x:v>SCRIERE - EVALUARE/Clarificare - 21.06.2023/De semnat/2. Anexa 1a la Ghid_Conformitatea cu regulile de exceptare.pdf</x:v>
      </x:c>
      <x:c r="C1264" s="8" t="n">
        <x:v>174791</x:v>
      </x:c>
    </x:row>
    <x:row r="1265" ht="32" customHeight="1">
      <x:c r="A1265" s="8" t="str">
        <x:v>0. Arhiva\5. Fotovoiltaic IPEC\Gmail\SCRIERE - EVALUARE-20240118T142803Z-001.zip</x:v>
      </x:c>
      <x:c r="B1265" s="8" t="str">
        <x:v>SCRIERE - EVALUARE/Clarificare - 21.06.2023/Semnat/3. Anexa 3.a - Declaraţie de eligibilitate-semnat.pdf</x:v>
      </x:c>
      <x:c r="C1265" s="8" t="n">
        <x:v>218796</x:v>
      </x:c>
    </x:row>
    <x:row r="1266" ht="32" customHeight="1">
      <x:c r="A1266" s="8" t="str">
        <x:v>0. Arhiva\5. Fotovoiltaic IPEC\Gmail\SCRIERE - EVALUARE-20240118T142803Z-001.zip</x:v>
      </x:c>
      <x:c r="B1266" s="8" t="str">
        <x:v>SCRIERE - EVALUARE/Clarificare 31.08.2023/Semnate electronic/1. Anexa 1 Formularul ofertei_31.08.2023 (rev.2).pdf-semnat.pdf</x:v>
      </x:c>
      <x:c r="C1266" s="8" t="n">
        <x:v>882212</x:v>
      </x:c>
    </x:row>
    <x:row r="1267" ht="32" customHeight="1">
      <x:c r="A1267" s="8" t="str">
        <x:v>0. Arhiva\5. Fotovoiltaic IPEC\Gmail\SCRIERE - EVALUARE-20240118T142803Z-001.zip</x:v>
      </x:c>
      <x:c r="B1267" s="8" t="str">
        <x:v>SCRIERE - EVALUARE/Clarificare - 21.06.2023/Semnat/AGA.pdf</x:v>
      </x:c>
      <x:c r="C1267" s="8" t="n">
        <x:v>587083</x:v>
      </x:c>
    </x:row>
    <x:row r="1268" ht="32" customHeight="1">
      <x:c r="A1268" s="8" t="str">
        <x:v>0. Arhiva\5. Fotovoiltaic IPEC\Gmail\SCRIERE - EVALUARE-20240118T142803Z-001.zip</x:v>
      </x:c>
      <x:c r="B1268" s="8" t="str">
        <x:v>SCRIERE - EVALUARE/Clarificare 31.08.2023/Semnat/Decizie 31.08.2023.pdf</x:v>
      </x:c>
      <x:c r="C1268" s="8" t="n">
        <x:v>588857</x:v>
      </x:c>
    </x:row>
    <x:row r="1269" ht="32" customHeight="1">
      <x:c r="A1269" s="8" t="str">
        <x:v>0. Arhiva\5. Fotovoiltaic IPEC\Gmail\SCRIERE - EVALUARE-20240118T142803Z-001.zip</x:v>
      </x:c>
      <x:c r="B1269" s="8" t="str">
        <x:v>SCRIERE - EVALUARE/!FINAL - DE SEMNAT/22. Documentele imobile - IPEC S.A..pdf</x:v>
      </x:c>
      <x:c r="C1269" s="8" t="n">
        <x:v>3993322</x:v>
      </x:c>
    </x:row>
    <x:row r="1270" ht="32" customHeight="1">
      <x:c r="A1270" s="8" t="str">
        <x:v>0. Arhiva\5. Fotovoiltaic IPEC\Gmail\SCRIERE - EVALUARE-20240118T142803Z-001.zip</x:v>
      </x:c>
      <x:c r="B1270" s="8" t="str">
        <x:v>SCRIERE - EVALUARE/Bilant SC IPEC SA - 2019 - semnat.pdf</x:v>
      </x:c>
      <x:c r="C1270" s="8" t="n">
        <x:v>2458069</x:v>
      </x:c>
    </x:row>
    <x:row r="1271" ht="32" customHeight="1">
      <x:c r="A1271" s="8" t="str">
        <x:v>0. Arhiva\5. Fotovoiltaic IPEC\Gmail\SCRIERE - EVALUARE-20240118T142803Z-001.zip</x:v>
      </x:c>
      <x:c r="B1271" s="8" t="str">
        <x:v>SCRIERE - EVALUARE/Clarificare - 21.06.2023/Semnat/4. Analiza institutionala - IPEC S.A-semnat.pdf</x:v>
      </x:c>
      <x:c r="C1271" s="8" t="n">
        <x:v>185218</x:v>
      </x:c>
    </x:row>
    <x:row r="1272" ht="32" customHeight="1">
      <x:c r="A1272" s="8" t="str">
        <x:v>0. Arhiva\5. Fotovoiltaic IPEC\Gmail\SCRIERE - EVALUARE-20240118T142803Z-001.zip</x:v>
      </x:c>
      <x:c r="B1272" s="8" t="str">
        <x:v>SCRIERE - EVALUARE/Clarificare - 21.06.2023/Semnat/1.4. Hotarare AGA_actualizata_21.06.2023-semnat.pdf</x:v>
      </x:c>
      <x:c r="C1272" s="8" t="n">
        <x:v>667725</x:v>
      </x:c>
    </x:row>
    <x:row r="1273" ht="32" customHeight="1">
      <x:c r="A1273" s="8" t="str">
        <x:v>0. Arhiva\5. Fotovoiltaic IPEC\Gmail\SCRIERE - EVALUARE-20240118T142803Z-001.zip</x:v>
      </x:c>
      <x:c r="B1273" s="8" t="str">
        <x:v>SCRIERE - EVALUARE/Clarificare - 21.06.2023/Semnat/2. Anexa 1a la Ghid_Conformitatea cu regulile de exceptare-semnat.pdf</x:v>
      </x:c>
      <x:c r="C1273" s="8" t="n">
        <x:v>251575</x:v>
      </x:c>
    </x:row>
    <x:row r="1274" ht="32" customHeight="1">
      <x:c r="A1274" s="8" t="str">
        <x:v>0. Arhiva\5. Fotovoiltaic IPEC\Gmail\SCRIERE - EVALUARE-20240118T142803Z-001.zip</x:v>
      </x:c>
      <x:c r="B1274" s="8" t="str">
        <x:v>SCRIERE - EVALUARE/Clarificare - 21.06.2023/De semnat/1. Anexa 1 Formularul ofertei_21.06.2023.pdf</x:v>
      </x:c>
      <x:c r="C1274" s="8" t="n">
        <x:v>778799</x:v>
      </x:c>
    </x:row>
    <x:row r="1275" ht="32" customHeight="1">
      <x:c r="A1275" s="8" t="str">
        <x:v>0. Arhiva\5. Fotovoiltaic IPEC\Gmail\SCRIERE - EVALUARE-20240118T142803Z-001.zip</x:v>
      </x:c>
      <x:c r="B1275" s="8" t="str">
        <x:v>SCRIERE - EVALUARE/SF/Deviz_IPEC_ALBA_Scenariul 2.xlsx</x:v>
      </x:c>
      <x:c r="C1275" s="8" t="n">
        <x:v>71739</x:v>
      </x:c>
    </x:row>
    <x:row r="1276" ht="32" customHeight="1">
      <x:c r="A1276" s="8" t="str">
        <x:v>0. Arhiva\5. Fotovoiltaic IPEC\Gmail\SCRIERE - EVALUARE-20240118T142803Z-001.zip</x:v>
      </x:c>
      <x:c r="B1276" s="8" t="str">
        <x:v>SCRIERE - EVALUARE/Clarificare - 21.06.2023/Semnat/Dovada depunere natura 2000-semnat.pdf</x:v>
      </x:c>
      <x:c r="C1276" s="8" t="n">
        <x:v>204776</x:v>
      </x:c>
    </x:row>
    <x:row r="1277" ht="32" customHeight="1">
      <x:c r="A1277" s="8" t="str">
        <x:v>0. Arhiva\5. Fotovoiltaic IPEC\Gmail\SCRIERE - EVALUARE-20240118T142803Z-001.zip</x:v>
      </x:c>
      <x:c r="B1277" s="8" t="str">
        <x:v>SCRIERE - EVALUARE/De semnat olograf/Decizie AGA.pdf</x:v>
      </x:c>
      <x:c r="C1277" s="8" t="n">
        <x:v>570511</x:v>
      </x:c>
    </x:row>
    <x:row r="1278" ht="32" customHeight="1">
      <x:c r="A1278" s="8" t="str">
        <x:v>0. Arhiva\5. Fotovoiltaic IPEC\Gmail\SCRIERE - EVALUARE-20240118T142803Z-001.zip</x:v>
      </x:c>
      <x:c r="B1278" s="8" t="str">
        <x:v>SCRIERE - EVALUARE/Clarificare - 13.11.2023/Semnat/0. Raspuns clarificare - 13.11.2023-semnat.pdf</x:v>
      </x:c>
      <x:c r="C1278" s="8" t="n">
        <x:v>177658</x:v>
      </x:c>
    </x:row>
    <x:row r="1279" ht="32" customHeight="1">
      <x:c r="A1279" s="8" t="str">
        <x:v>0. Arhiva\5. Fotovoiltaic IPEC\Gmail\SCRIERE - EVALUARE-20240118T142803Z-001.zip</x:v>
      </x:c>
      <x:c r="B1279" s="8" t="str">
        <x:v>SCRIERE - EVALUARE/Clarificare - 13.11.2023/Semnat/Raspuns- olograf.pdf</x:v>
      </x:c>
      <x:c r="C1279" s="8" t="n">
        <x:v>305915</x:v>
      </x:c>
    </x:row>
    <x:row r="1280" ht="32" customHeight="1">
      <x:c r="A1280" s="8" t="str">
        <x:v>0. Arhiva\5. Fotovoiltaic IPEC\Gmail\SCRIERE - EVALUARE-20240118T142803Z-001.zip</x:v>
      </x:c>
      <x:c r="B1280" s="8" t="str">
        <x:v>SCRIERE - EVALUARE/Clarificare - 21.06.2023/Semnat/0. Raspuns clarificare_IPEC S.A-semnat.pdf</x:v>
      </x:c>
      <x:c r="C1280" s="8" t="n">
        <x:v>224059</x:v>
      </x:c>
    </x:row>
    <x:row r="1281" ht="32" customHeight="1">
      <x:c r="A1281" s="8" t="str">
        <x:v>0. Arhiva\5. Fotovoiltaic IPEC\Gmail\SCRIERE - EVALUARE-20240118T142803Z-001.zip</x:v>
      </x:c>
      <x:c r="B1281" s="8" t="str">
        <x:v>SCRIERE - EVALUARE/Clarificare - 13.11.2023/Semnat/1. Anexa 1 Formularul ofertei - cap.25-semnat.pdf</x:v>
      </x:c>
      <x:c r="C1281" s="8" t="n">
        <x:v>323180</x:v>
      </x:c>
    </x:row>
    <x:row r="1282" ht="32" customHeight="1">
      <x:c r="A1282" s="8" t="str">
        <x:v>0. Arhiva\5. Fotovoiltaic IPEC\Gmail\SCRIERE - EVALUARE-20240118T142803Z-001.zip</x:v>
      </x:c>
      <x:c r="B1282" s="8" t="str">
        <x:v>SCRIERE - EVALUARE/Clarificare - 13.11.2023/Semnat/Anexa 1 - olograf.pdf</x:v>
      </x:c>
      <x:c r="C1282" s="8" t="n">
        <x:v>1447240</x:v>
      </x:c>
    </x:row>
    <x:row r="1283" ht="32" customHeight="1">
      <x:c r="A1283" s="8" t="str">
        <x:v>0. Arhiva\5. Fotovoiltaic IPEC\Gmail\SCRIERE - EVALUARE-20240118T142803Z-001.zip</x:v>
      </x:c>
      <x:c r="B1283" s="8" t="str">
        <x:v>SCRIERE - EVALUARE/!FINAL - DE SEMNAT/De semnat iar/12. Anexa 6.2 - Autoevaluare DNSH - IPEC S.A-semnat.pdf</x:v>
      </x:c>
      <x:c r="C1283" s="8" t="n">
        <x:v>456017</x:v>
      </x:c>
    </x:row>
    <x:row r="1284" ht="32" customHeight="1">
      <x:c r="A1284" s="8" t="str">
        <x:v>0. Arhiva\5. Fotovoiltaic IPEC\Gmail\SCRIERE - EVALUARE-20240118T142803Z-001.zip</x:v>
      </x:c>
      <x:c r="B1284" s="8" t="str">
        <x:v>SCRIERE - EVALUARE/De semnat olograf/Hotarare Consiliului de administratie_aprobare proiect.docx</x:v>
      </x:c>
      <x:c r="C1284" s="8" t="n">
        <x:v>31839</x:v>
      </x:c>
    </x:row>
    <x:row r="1285" ht="32" customHeight="1">
      <x:c r="A1285" s="8" t="str">
        <x:v>0. Arhiva\5. Fotovoiltaic IPEC\Gmail\SCRIERE - EVALUARE-20240118T142803Z-001.zip</x:v>
      </x:c>
      <x:c r="B1285" s="8" t="str">
        <x:v>SCRIERE - EVALUARE/De semnat olograf/6.1. Anexa 3.d - Declarație conflict de interese - repr.legal.pdf</x:v>
      </x:c>
      <x:c r="C1285" s="8" t="n">
        <x:v>132520</x:v>
      </x:c>
    </x:row>
    <x:row r="1286" ht="32" customHeight="1">
      <x:c r="A1286" s="8" t="str">
        <x:v>0. Arhiva\5. Fotovoiltaic IPEC\Gmail\SCRIERE - EVALUARE-20240118T142803Z-001.zip</x:v>
      </x:c>
      <x:c r="B1286" s="8" t="str">
        <x:v>SCRIERE - EVALUARE/De semnat olograf/Fisa de post - Responsabil tehnic.pdf</x:v>
      </x:c>
      <x:c r="C1286" s="8" t="n">
        <x:v>153157</x:v>
      </x:c>
    </x:row>
    <x:row r="1287" ht="32" customHeight="1">
      <x:c r="A1287" s="8" t="str">
        <x:v>0. Arhiva\5. Fotovoiltaic IPEC\Gmail\SCRIERE - EVALUARE-20240118T142803Z-001.zip</x:v>
      </x:c>
      <x:c r="B1287" s="8" t="str">
        <x:v>SCRIERE - EVALUARE/!FINAL - DE SEMNAT/18. Act constitutiv - IPEC S.A..pdf</x:v>
      </x:c>
      <x:c r="C1287" s="8" t="n">
        <x:v>7449740</x:v>
      </x:c>
    </x:row>
    <x:row r="1288" ht="32" customHeight="1">
      <x:c r="A1288" s="8" t="str">
        <x:v>0. Arhiva\5. Fotovoiltaic IPEC\Gmail\SCRIERE - EVALUARE-20240118T142803Z-001.zip</x:v>
      </x:c>
      <x:c r="B1288" s="8" t="str">
        <x:v>SCRIERE - EVALUARE/De semnat olograf/Hotarare Consiliului de administratie_aprobare proiect - 21.06.docx</x:v>
      </x:c>
      <x:c r="C1288" s="8" t="n">
        <x:v>31973</x:v>
      </x:c>
    </x:row>
    <x:row r="1289" ht="32" customHeight="1">
      <x:c r="A1289" s="8" t="str">
        <x:v>0. Arhiva\5. Fotovoiltaic IPEC\Gmail\SCRIERE - EVALUARE-20240118T142803Z-001.zip</x:v>
      </x:c>
      <x:c r="B1289" s="8" t="str">
        <x:v>SCRIERE - EVALUARE/Clarificare - 21.06.2023/Semnat/1. Anexa 1 Formularul ofertei_21.06.2023-semnat.pdf</x:v>
      </x:c>
      <x:c r="C1289" s="8" t="n">
        <x:v>749261</x:v>
      </x:c>
    </x:row>
    <x:row r="1290" ht="32" customHeight="1">
      <x:c r="A1290" s="8" t="str">
        <x:v>0. Arhiva\5. Fotovoiltaic IPEC\Gmail\SCRIERE - EVALUARE-20240118T142803Z-001.zip</x:v>
      </x:c>
      <x:c r="B1290" s="8" t="str">
        <x:v>SCRIERE - EVALUARE/!FINAL - DE SEMNAT/De semnat iar/12. Anexa 6.2 - Autoevaluare DNSH - IPEC S.A.pdf</x:v>
      </x:c>
      <x:c r="C1290" s="8" t="n">
        <x:v>379346</x:v>
      </x:c>
    </x:row>
    <x:row r="1291" ht="32" customHeight="1">
      <x:c r="A1291" s="8" t="str">
        <x:v>0. Arhiva\5. Fotovoiltaic IPEC\Gmail\SCRIERE - EVALUARE-20240118T142803Z-001.zip</x:v>
      </x:c>
      <x:c r="B1291" s="8" t="str">
        <x:v>SCRIERE - EVALUARE/De semnat olograf/6.2. Anexa 3.d - Declarație conflict de interese - resp.achizitii.pdf</x:v>
      </x:c>
      <x:c r="C1291" s="8" t="n">
        <x:v>136022</x:v>
      </x:c>
    </x:row>
    <x:row r="1292" ht="32" customHeight="1">
      <x:c r="A1292" s="8" t="str">
        <x:v>0. Arhiva\5. Fotovoiltaic IPEC\Gmail\SCRIERE - EVALUARE-20240118T142803Z-001.zip</x:v>
      </x:c>
      <x:c r="B1292" s="8" t="str">
        <x:v>SCRIERE - EVALUARE/!FINAL - DE SEMNAT/13.2. Studiu de fezabilitate_parti desenate - IPEC S.A..pdf</x:v>
      </x:c>
      <x:c r="C1292" s="8" t="n">
        <x:v>10341834</x:v>
      </x:c>
    </x:row>
    <x:row r="1293" ht="32" customHeight="1">
      <x:c r="A1293" s="8" t="str">
        <x:v>0. Arhiva\5. Fotovoiltaic IPEC\Gmail\SCRIERE - EVALUARE-20240118T142803Z-001.zip</x:v>
      </x:c>
      <x:c r="B1293" s="8" t="str">
        <x:v>SCRIERE - EVALUARE/De semnat olograf/Fisa de post - Responsabil achizitii.pdf</x:v>
      </x:c>
      <x:c r="C1293" s="8" t="n">
        <x:v>146257</x:v>
      </x:c>
    </x:row>
    <x:row r="1294" ht="32" customHeight="1">
      <x:c r="A1294" s="8" t="str">
        <x:v>0. Arhiva\5. Fotovoiltaic IPEC\Gmail\SCRIERE - EVALUARE-20240118T142803Z-001.zip</x:v>
      </x:c>
      <x:c r="B1294" s="8" t="str">
        <x:v>SCRIERE - EVALUARE/De semnat olograf/6.3. Anexa 3.d - Declarație conflict de interese - repr.financiar.pdf</x:v>
      </x:c>
      <x:c r="C1294" s="8" t="n">
        <x:v>134816</x:v>
      </x:c>
    </x:row>
    <x:row r="1295" ht="32" customHeight="1">
      <x:c r="A1295" s="8" t="str">
        <x:v>0. Arhiva\5. Fotovoiltaic IPEC\Gmail\SCRIERE - EVALUARE-20240118T142803Z-001.zip</x:v>
      </x:c>
      <x:c r="B1295" s="8" t="str">
        <x:v>SCRIERE - EVALUARE/De semnat olograf/Fisa de post - Responsabil financiar.pdf</x:v>
      </x:c>
      <x:c r="C1295" s="8" t="n">
        <x:v>146686</x:v>
      </x:c>
    </x:row>
    <x:row r="1296" ht="32" customHeight="1">
      <x:c r="A1296" s="8" t="str">
        <x:v>0. Arhiva\5. Fotovoiltaic IPEC\Gmail\SCRIERE - EVALUARE-20240118T142803Z-001.zip</x:v>
      </x:c>
      <x:c r="B1296" s="8" t="str">
        <x:v>SCRIERE - EVALUARE/!FINAL - DE SEMNAT/SEMNATE ELECTRONIC/30.3. Organigrama UIP - IPEC S.A.-semnat.pdf</x:v>
      </x:c>
      <x:c r="C1296" s="8" t="n">
        <x:v>283331</x:v>
      </x:c>
    </x:row>
    <x:row r="1297" ht="32" customHeight="1">
      <x:c r="A1297" s="8" t="str">
        <x:v>0. Arhiva\5. Fotovoiltaic IPEC\Gmail\SCRIERE - EVALUARE-20240118T142803Z-001.zip</x:v>
      </x:c>
      <x:c r="B1297" s="8" t="str">
        <x:v>SCRIERE - EVALUARE/Clarificare - 21.06.2023/De semnat/1.3. Studiu de fezabilitate_actualizat_21.06.2023.pdf</x:v>
      </x:c>
      <x:c r="C1297" s="8" t="n">
        <x:v>2345591</x:v>
      </x:c>
    </x:row>
    <x:row r="1298" ht="32" customHeight="1">
      <x:c r="A1298" s="8" t="str">
        <x:v>0. Arhiva\5. Fotovoiltaic IPEC\Gmail\SCRIERE - EVALUARE-20240118T142803Z-001.zip</x:v>
      </x:c>
      <x:c r="B1298" s="8" t="str">
        <x:v>SCRIERE - EVALUARE/De semnat olograf/6.4. Anexa 3.d - Declarație conflict de interese - repr.tehnic.pdf</x:v>
      </x:c>
      <x:c r="C1298" s="8" t="n">
        <x:v>134809</x:v>
      </x:c>
    </x:row>
    <x:row r="1299" ht="32" customHeight="1">
      <x:c r="A1299" s="8" t="str">
        <x:v>0. Arhiva\5. Fotovoiltaic IPEC\Gmail\SCRIERE - EVALUARE-20240118T142803Z-001.zip</x:v>
      </x:c>
      <x:c r="B1299" s="8" t="str">
        <x:v>SCRIERE - EVALUARE/De semnat olograf/Fisa de post - Manager de proiect.pdf</x:v>
      </x:c>
      <x:c r="C1299" s="8" t="n">
        <x:v>148458</x:v>
      </x:c>
    </x:row>
    <x:row r="1300" ht="32" customHeight="1">
      <x:c r="A1300" s="8" t="str">
        <x:v>0. Arhiva\5. Fotovoiltaic IPEC\Gmail\SCRIERE - EVALUARE-20240118T142803Z-001.zip</x:v>
      </x:c>
      <x:c r="B1300" s="8" t="str">
        <x:v>SCRIERE - EVALUARE/De semnat olograf/0.1. Atributii si responsabilitati UIP.pdf</x:v>
      </x:c>
      <x:c r="C1300" s="8" t="n">
        <x:v>165169</x:v>
      </x:c>
    </x:row>
    <x:row r="1301" ht="32" customHeight="1">
      <x:c r="A1301" s="8" t="str">
        <x:v>0. Arhiva\5. Fotovoiltaic IPEC\Gmail\SCRIERE - EVALUARE-20240118T142803Z-001.zip</x:v>
      </x:c>
      <x:c r="B1301" s="8" t="str">
        <x:v>SCRIERE - EVALUARE/De semnat olograf/1. Componenta UIP in format tabelar.pdf</x:v>
      </x:c>
      <x:c r="C1301" s="8" t="n">
        <x:v>115095</x:v>
      </x:c>
    </x:row>
    <x:row r="1302" ht="32" customHeight="1">
      <x:c r="A1302" s="8" t="str">
        <x:v>0. Arhiva\5. Fotovoiltaic IPEC\Gmail\SCRIERE - EVALUARE-20240118T142803Z-001.zip</x:v>
      </x:c>
      <x:c r="B1302" s="8" t="str">
        <x:v>SCRIERE - EVALUARE/De semnat olograf/2. Organigrama UIP.pdf</x:v>
      </x:c>
      <x:c r="C1302" s="8" t="n">
        <x:v>118436</x:v>
      </x:c>
    </x:row>
    <x:row r="1303" ht="32" customHeight="1">
      <x:c r="A1303" s="8" t="str">
        <x:v>0. Arhiva\5. Fotovoiltaic IPEC\Gmail\SCRIERE - EVALUARE-20240118T142803Z-001.zip</x:v>
      </x:c>
      <x:c r="B1303" s="8" t="str">
        <x:v>SCRIERE - EVALUARE/De semnat olograf/0.0. Decizie de infiintarea echipei de implementare a proiectului.pdf</x:v>
      </x:c>
      <x:c r="C1303" s="8" t="n">
        <x:v>104969</x:v>
      </x:c>
    </x:row>
    <x:row r="1304" ht="32" customHeight="1">
      <x:c r="A1304" s="8" t="str">
        <x:v>0. Arhiva\5. Fotovoiltaic IPEC\Gmail\SCRIERE - EVALUARE-20240118T142803Z-001.zip</x:v>
      </x:c>
      <x:c r="B1304" s="8" t="str">
        <x:v>SCRIERE - EVALUARE/!FINAL - DE SEMNAT/FORMULAR DEPUNERE/FormularDepunereOriginal_6698299_20220621175723-semnat.pdf</x:v>
      </x:c>
      <x:c r="C1304" s="8" t="n">
        <x:v>283490</x:v>
      </x:c>
    </x:row>
    <x:row r="1305" ht="32" customHeight="1">
      <x:c r="A1305" s="8" t="str">
        <x:v>0. Arhiva\5. Fotovoiltaic IPEC\Gmail\SCRIERE - EVALUARE-20240118T142803Z-001.zip</x:v>
      </x:c>
      <x:c r="B1305" s="8" t="str">
        <x:v>SCRIERE - EVALUARE/Clarificare - 21.06.2023/Semnat/1.3. Studiu de fezabilitate_actualizat_21.06.2023-semnat.pdf</x:v>
      </x:c>
      <x:c r="C1305" s="8" t="n">
        <x:v>2213308</x:v>
      </x:c>
    </x:row>
    <x:row r="1306" ht="32" customHeight="1">
      <x:c r="A1306" s="8" t="str">
        <x:v>0. Arhiva\5. Fotovoiltaic IPEC\Gmail\SCRIERE - EVALUARE-20240118T142803Z-001.zip</x:v>
      </x:c>
      <x:c r="B1306" s="8" t="str">
        <x:v>SCRIERE - EVALUARE/ACT CONSTITUTIV.pdf</x:v>
      </x:c>
      <x:c r="C1306" s="8" t="n">
        <x:v>7449740</x:v>
      </x:c>
    </x:row>
    <x:row r="1307" ht="32" customHeight="1">
      <x:c r="A1307" s="8" t="str">
        <x:v>0. Arhiva\5. Fotovoiltaic IPEC\Gmail\SCRIERE - EVALUARE-20240118T142803Z-001.zip</x:v>
      </x:c>
      <x:c r="B1307" s="8" t="str">
        <x:v>SCRIERE - EVALUARE/!FINAL - DE SEMNAT/SEMNATE ELECTRONIC/31.2.1. Fisa post - repr.financiar - IPEC S.A.-semnat.pdf</x:v>
      </x:c>
      <x:c r="C1307" s="8" t="n">
        <x:v>631459</x:v>
      </x:c>
    </x:row>
    <x:row r="1308" ht="32" customHeight="1">
      <x:c r="A1308" s="8" t="str">
        <x:v>0. Arhiva\5. Fotovoiltaic IPEC\Gmail\SCRIERE - EVALUARE-20240118T142803Z-001.zip</x:v>
      </x:c>
      <x:c r="B1308" s="8" t="str">
        <x:v>SCRIERE - EVALUARE/!FINAL - DE SEMNAT/SEMNATE ELECTRONIC/31.4. CV - repr.tehnic - IPEC S.A.-semnat.pdf</x:v>
      </x:c>
      <x:c r="C1308" s="8" t="n">
        <x:v>482565</x:v>
      </x:c>
    </x:row>
    <x:row r="1309" ht="32" customHeight="1">
      <x:c r="A1309" s="8" t="str">
        <x:v>0. Arhiva\5. Fotovoiltaic IPEC\Gmail\SCRIERE - EVALUARE-20240118T142803Z-001.zip</x:v>
      </x:c>
      <x:c r="B1309" s="8" t="str">
        <x:v>SCRIERE - EVALUARE/!FINAL - DE SEMNAT/SEMNATE ELECTRONIC/31.4.1. Fisa post - repr.tehnic - IPEC S.A.-semnat.pdf</x:v>
      </x:c>
      <x:c r="C1309" s="8" t="n">
        <x:v>607676</x:v>
      </x:c>
    </x:row>
    <x:row r="1310" ht="32" customHeight="1">
      <x:c r="A1310" s="8" t="str">
        <x:v>0. Arhiva\5. Fotovoiltaic IPEC\Gmail\SCRIERE - EVALUARE-20240118T142803Z-001.zip</x:v>
      </x:c>
      <x:c r="B1310" s="8" t="str">
        <x:v>SCRIERE - EVALUARE/!FINAL - DE SEMNAT/SEMNATE ELECTRONIC/36. Plan de informare si publicitate - IPEC S.A-semnat.pdf</x:v>
      </x:c>
      <x:c r="C1310" s="8" t="n">
        <x:v>200592</x:v>
      </x:c>
    </x:row>
    <x:row r="1311" ht="32" customHeight="1">
      <x:c r="A1311" s="8" t="str">
        <x:v>0. Arhiva\5. Fotovoiltaic IPEC\Gmail\SCRIERE - EVALUARE-20240118T142803Z-001.zip</x:v>
      </x:c>
      <x:c r="B1311" s="8" t="str">
        <x:v>SCRIERE - EVALUARE/!FINAL - DE SEMNAT/FORMULAR DEPUNERE/FormularDepunereOriginal_6698299_20220621175723.pdf</x:v>
      </x:c>
      <x:c r="C1311" s="8" t="n">
        <x:v>201079</x:v>
      </x:c>
    </x:row>
    <x:row r="1312" ht="32" customHeight="1">
      <x:c r="A1312" s="8" t="str">
        <x:v>0. Arhiva\5. Fotovoiltaic IPEC\Gmail\SCRIERE - EVALUARE-20240118T142803Z-001.zip</x:v>
      </x:c>
      <x:c r="B1312" s="8" t="str">
        <x:v>SCRIERE - EVALUARE/!FINAL - DE SEMNAT/SEMNATE ELECTRONIC/31.3.1. Fisa post - repr.achizitii - IPEC S.A.-semnat.pdf</x:v>
      </x:c>
      <x:c r="C1312" s="8" t="n">
        <x:v>585715</x:v>
      </x:c>
    </x:row>
    <x:row r="1313" ht="32" customHeight="1">
      <x:c r="A1313" s="8" t="str">
        <x:v>0. Arhiva\5. Fotovoiltaic IPEC\Gmail\SCRIERE - EVALUARE-20240118T142803Z-001.zip</x:v>
      </x:c>
      <x:c r="B1313" s="8" t="str">
        <x:v>SCRIERE - EVALUARE/Clarificare - 21.06.2023/De semnat/1.2. Analiza ACB.pdf</x:v>
      </x:c>
      <x:c r="C1313" s="8" t="n">
        <x:v>1403201</x:v>
      </x:c>
    </x:row>
    <x:row r="1314" ht="32" customHeight="1">
      <x:c r="A1314" s="8" t="str">
        <x:v>0. Arhiva\5. Fotovoiltaic IPEC\Gmail\SCRIERE - EVALUARE-20240118T142803Z-001.zip</x:v>
      </x:c>
      <x:c r="B1314" s="8" t="str">
        <x:v>SCRIERE - EVALUARE/!FINAL - DE SEMNAT/SEMNATE ELECTRONIC/Proces verbal de receptie_GWC - IPEC S.A.-semnat.pdf</x:v>
      </x:c>
      <x:c r="C1314" s="8" t="n">
        <x:v>324006</x:v>
      </x:c>
    </x:row>
    <x:row r="1315" ht="32" customHeight="1">
      <x:c r="A1315" s="8" t="str">
        <x:v>0. Arhiva\5. Fotovoiltaic IPEC\Gmail\SCRIERE - EVALUARE-20240118T142803Z-001.zip</x:v>
      </x:c>
      <x:c r="B1315" s="8" t="str">
        <x:v>SCRIERE - EVALUARE/!FINAL - DE SEMNAT/SEMNATE ELECTRONIC/30.2. Componenta UIP in format tabular - IPEC S.A.-semnat.pdf</x:v>
      </x:c>
      <x:c r="C1315" s="8" t="n">
        <x:v>259646</x:v>
      </x:c>
    </x:row>
    <x:row r="1316" ht="32" customHeight="1">
      <x:c r="A1316" s="8" t="str">
        <x:v>0. Arhiva\5. Fotovoiltaic IPEC\Gmail\SCRIERE - EVALUARE-20240118T142803Z-001.zip</x:v>
      </x:c>
      <x:c r="B1316" s="8" t="str">
        <x:v>SCRIERE - EVALUARE/!FINAL - DE SEMNAT/SEMNATE ELECTRONIC/31.3. CV - repr.achizitii - IPEC S.A.-semnat.pdf</x:v>
      </x:c>
      <x:c r="C1316" s="8" t="n">
        <x:v>691019</x:v>
      </x:c>
    </x:row>
    <x:row r="1317" ht="32" customHeight="1">
      <x:c r="A1317" s="8" t="str">
        <x:v>0. Arhiva\5. Fotovoiltaic IPEC\Gmail\SCRIERE - EVALUARE-20240118T142803Z-001.zip</x:v>
      </x:c>
      <x:c r="B1317" s="8" t="str">
        <x:v>SCRIERE - EVALUARE/!FINAL - DE SEMNAT/De semnat iar/13.1. Studiu de fezabiliatate_parte scrisa - IPEC S.A.-semnat.pdf</x:v>
      </x:c>
      <x:c r="C1317" s="8" t="n">
        <x:v>2582193</x:v>
      </x:c>
    </x:row>
    <x:row r="1318" ht="32" customHeight="1">
      <x:c r="A1318" s="8" t="str">
        <x:v>0. Arhiva\5. Fotovoiltaic IPEC\Gmail\SCRIERE - EVALUARE-20240118T142803Z-001.zip</x:v>
      </x:c>
      <x:c r="B1318" s="8" t="str">
        <x:v>SCRIERE - EVALUARE/!FINAL - DE SEMNAT/De semnat iar/13.2. Studiu de fezabilitate_parti desenate - IPEC S.A.-semnat.pdf</x:v>
      </x:c>
      <x:c r="C1318" s="8" t="n">
        <x:v>2507000</x:v>
      </x:c>
    </x:row>
    <x:row r="1319" ht="32" customHeight="1">
      <x:c r="A1319" s="8" t="str">
        <x:v>0. Arhiva\5. Fotovoiltaic IPEC\Gmail\SCRIERE - EVALUARE-20240118T142803Z-001.zip</x:v>
      </x:c>
      <x:c r="B1319" s="8" t="str">
        <x:v>SCRIERE - EVALUARE/!FINAL - DE SEMNAT/SEMNATE ELECTRONIC/34.2. Plan amplasare - hala 4 - IPEC S.A.-semnat.pdf</x:v>
      </x:c>
      <x:c r="C1319" s="8" t="n">
        <x:v>331525</x:v>
      </x:c>
    </x:row>
    <x:row r="1320" ht="32" customHeight="1">
      <x:c r="A1320" s="8" t="str">
        <x:v>0. Arhiva\5. Fotovoiltaic IPEC\Gmail\SCRIERE - EVALUARE-20240118T142803Z-001.zip</x:v>
      </x:c>
      <x:c r="B1320" s="8" t="str">
        <x:v>SCRIERE - EVALUARE/!FINAL - DE SEMNAT/De semnat iar/13.1. Studiu de fezabiliatate_parte scrisa - IPEC S.A..pdf</x:v>
      </x:c>
      <x:c r="C1320" s="8" t="n">
        <x:v>2505381</x:v>
      </x:c>
    </x:row>
    <x:row r="1321" ht="32" customHeight="1">
      <x:c r="A1321" s="8" t="str">
        <x:v>0. Arhiva\5. Fotovoiltaic IPEC\Gmail\SCRIERE - EVALUARE-20240118T142803Z-001.zip</x:v>
      </x:c>
      <x:c r="B1321" s="8" t="str">
        <x:v>SCRIERE - EVALUARE/!FINAL - DE SEMNAT/SEMNATE ELECTRONIC/32. Organigrama societatii - IPEC S.A.-semnat.pdf</x:v>
      </x:c>
      <x:c r="C1321" s="8" t="n">
        <x:v>340767</x:v>
      </x:c>
    </x:row>
    <x:row r="1322" ht="32" customHeight="1">
      <x:c r="A1322" s="8" t="str">
        <x:v>0. Arhiva\5. Fotovoiltaic IPEC\Gmail\SCRIERE - EVALUARE-20240118T142803Z-001.zip</x:v>
      </x:c>
      <x:c r="B1322" s="8" t="str">
        <x:v>SCRIERE - EVALUARE/!FINAL - DE SEMNAT/SEMNATE ELECTRONIC/31.1.1. Fisa post - manag.proiect - IPEC S.A.-semnat.pdf</x:v>
      </x:c>
      <x:c r="C1322" s="8" t="n">
        <x:v>635318</x:v>
      </x:c>
    </x:row>
    <x:row r="1323" ht="32" customHeight="1">
      <x:c r="A1323" s="8" t="str">
        <x:v>0. Arhiva\5. Fotovoiltaic IPEC\Gmail\SCRIERE - EVALUARE-20240118T142803Z-001.zip</x:v>
      </x:c>
      <x:c r="B1323" s="8" t="str">
        <x:v>SCRIERE - EVALUARE/!FINAL - DE SEMNAT/SEMNATE ELECTRONIC/34.3. Plan amplasare - hala 5 - IPEC S.A.-semnat.pdf</x:v>
      </x:c>
      <x:c r="C1323" s="8" t="n">
        <x:v>323972</x:v>
      </x:c>
    </x:row>
    <x:row r="1324" ht="32" customHeight="1">
      <x:c r="A1324" s="8" t="str">
        <x:v>0. Arhiva\5. Fotovoiltaic IPEC\Gmail\SCRIERE - EVALUARE-20240118T142803Z-001.zip</x:v>
      </x:c>
      <x:c r="B1324" s="8" t="str">
        <x:v>SCRIERE - EVALUARE/!FINAL - DE SEMNAT/SEMNATE ELECTRONIC/29. Hotarare Consiliu de administratie - IPEC S.A.-semnat.pdf</x:v>
      </x:c>
      <x:c r="C1324" s="8" t="n">
        <x:v>651062</x:v>
      </x:c>
    </x:row>
    <x:row r="1325" ht="32" customHeight="1">
      <x:c r="A1325" s="8" t="str">
        <x:v>0. Arhiva\5. Fotovoiltaic IPEC\Gmail\SCRIERE - EVALUARE-20240118T142803Z-001.zip</x:v>
      </x:c>
      <x:c r="B1325" s="8" t="str">
        <x:v>SCRIERE - EVALUARE/!FINAL - DE SEMNAT/SEMNATE ELECTRONIC/28. Dovada depunere ATR - IPEC S.A.-semnat.pdf</x:v>
      </x:c>
      <x:c r="C1325" s="8" t="n">
        <x:v>614227</x:v>
      </x:c>
    </x:row>
    <x:row r="1326" ht="32" customHeight="1">
      <x:c r="A1326" s="8" t="str">
        <x:v>0. Arhiva\5. Fotovoiltaic IPEC\Gmail\SCRIERE - EVALUARE-20240118T142803Z-001.zip</x:v>
      </x:c>
      <x:c r="B1326" s="8" t="str">
        <x:v>SCRIERE - EVALUARE/!FINAL - DE SEMNAT/SEMNATE ELECTRONIC/31.1. CV - manag.proiect - IPEC S.A.-semnat.pdf</x:v>
      </x:c>
      <x:c r="C1326" s="8" t="n">
        <x:v>1033302</x:v>
      </x:c>
    </x:row>
    <x:row r="1327" ht="32" customHeight="1">
      <x:c r="A1327" s="8" t="str">
        <x:v>0. Arhiva\5. Fotovoiltaic IPEC\Gmail\SCRIERE - EVALUARE-20240118T142803Z-001.zip</x:v>
      </x:c>
      <x:c r="B1327" s="8" t="str">
        <x:v>SCRIERE - EVALUARE/!FINAL - DE SEMNAT/SEMNATE ELECTRONIC/34.1. Plan amplasare - hala 1 - IPEC S.A.-semnat.pdf</x:v>
      </x:c>
      <x:c r="C1327" s="8" t="n">
        <x:v>345522</x:v>
      </x:c>
    </x:row>
    <x:row r="1328" ht="32" customHeight="1">
      <x:c r="A1328" s="8" t="str">
        <x:v>0. Arhiva\5. Fotovoiltaic IPEC\Gmail\SCRIERE - EVALUARE-20240118T142803Z-001.zip</x:v>
      </x:c>
      <x:c r="B1328" s="8" t="str">
        <x:v>SCRIERE - EVALUARE/Clarificare - 21.06.2023/Semnat/1.2. Analiza ACB-semnat.pdf</x:v>
      </x:c>
      <x:c r="C1328" s="8" t="n">
        <x:v>1470868</x:v>
      </x:c>
    </x:row>
    <x:row r="1329" ht="32" customHeight="1">
      <x:c r="A1329" s="8" t="str">
        <x:v>0. Arhiva\5. Fotovoiltaic IPEC\Gmail\SCRIERE - EVALUARE-20240118T142803Z-001.zip</x:v>
      </x:c>
      <x:c r="B1329" s="8" t="str">
        <x:v>SCRIERE - EVALUARE/!FINAL - DE SEMNAT/SEMNATE ELECTRONIC/27. Dovada initiere proces ANPM - IPEC S.A.-semnat.pdf</x:v>
      </x:c>
      <x:c r="C1329" s="8" t="n">
        <x:v>430020</x:v>
      </x:c>
    </x:row>
    <x:row r="1330" ht="32" customHeight="1">
      <x:c r="A1330" s="8" t="str">
        <x:v>0. Arhiva\5. Fotovoiltaic IPEC\Gmail\SCRIERE - EVALUARE-20240118T142803Z-001.zip</x:v>
      </x:c>
      <x:c r="B1330" s="8" t="str">
        <x:v>SCRIERE - EVALUARE/!FINAL - DE SEMNAT/SEMNATE ELECTRONIC/30.1. Decizia privind înființarea UIP - IPEC S.A.-semnat.pdf</x:v>
      </x:c>
      <x:c r="C1330" s="8" t="n">
        <x:v>381670</x:v>
      </x:c>
    </x:row>
    <x:row r="1331" ht="32" customHeight="1">
      <x:c r="A1331" s="8" t="str">
        <x:v>0. Arhiva\5. Fotovoiltaic IPEC\Gmail\SCRIERE - EVALUARE-20240118T142803Z-001.zip</x:v>
      </x:c>
      <x:c r="B1331" s="8" t="str">
        <x:v>SCRIERE - EVALUARE/!FINAL - DE SEMNAT/SEMNATE ELECTRONIC/31.2. CV - repr. financiar - IPEC S.A.-semnat.pdf</x:v>
      </x:c>
      <x:c r="C1331" s="8" t="n">
        <x:v>1571154</x:v>
      </x:c>
    </x:row>
    <x:row r="1332" ht="36" customHeight="1">
      <x:c r="A1332" s="8" t="str">
        <x:v>0. Arhiva\5. Fotovoiltaic IPEC\Gmail\SCRIERE - EVALUARE-20240118T142803Z-001.zip</x:v>
      </x:c>
      <x:c r="B1332" s="8" t="str">
        <x:v>SCRIERE - EVALUARE/!FINAL - DE SEMNAT/SEMNATE ELECTRONIC/35. Documentele privind harta zona proiect si geolocalizare - IPEC S.A.-semnat.pdf</x:v>
      </x:c>
      <x:c r="C1332" s="8" t="n">
        <x:v>275167</x:v>
      </x:c>
    </x:row>
    <x:row r="1333" ht="32" customHeight="1">
      <x:c r="A1333" s="8" t="str">
        <x:v>0. Arhiva\5. Fotovoiltaic IPEC\Gmail\SCRIERE - EVALUARE-20240118T142803Z-001.zip</x:v>
      </x:c>
      <x:c r="B1333" s="8" t="str">
        <x:v>SCRIERE - EVALUARE/!FINAL - DE SEMNAT/SEMNATE ELECTRONIC/26. Declarație privind retrocedarea - IPEC S.A.-semnat.pdf</x:v>
      </x:c>
      <x:c r="C1333" s="8" t="n">
        <x:v>201508</x:v>
      </x:c>
    </x:row>
    <x:row r="1334" ht="36" customHeight="1">
      <x:c r="A1334" s="8" t="str">
        <x:v>0. Arhiva\5. Fotovoiltaic IPEC\Gmail\SCRIERE - EVALUARE-20240118T142803Z-001.zip</x:v>
      </x:c>
      <x:c r="B1334" s="8" t="str">
        <x:v>SCRIERE - EVALUARE/!FINAL - DE SEMNAT/SEMNATE ELECTRONIC/25. Declarație privind disponibilitatea imobilului - IPEC S.A.-semnat.pdf</x:v>
      </x:c>
      <x:c r="C1334" s="8" t="n">
        <x:v>199889</x:v>
      </x:c>
    </x:row>
    <x:row r="1335" ht="32" customHeight="1">
      <x:c r="A1335" s="8" t="str">
        <x:v>0. Arhiva\5. Fotovoiltaic IPEC\Gmail\SCRIERE - EVALUARE-20240118T142803Z-001.zip</x:v>
      </x:c>
      <x:c r="B1335" s="8" t="str">
        <x:v>SCRIERE - EVALUARE/!FINAL - DE SEMNAT/SEMNATE ELECTRONIC/30.3. Atributii si responsabilitati UIP - IPEC S.A.-semnat.pdf</x:v>
      </x:c>
      <x:c r="C1335" s="8" t="n">
        <x:v>1911796</x:v>
      </x:c>
    </x:row>
    <x:row r="1336" ht="32" customHeight="1">
      <x:c r="A1336" s="8" t="str">
        <x:v>0. Arhiva\5. Fotovoiltaic IPEC\Gmail\SCRIERE - EVALUARE-20240118T142803Z-001.zip</x:v>
      </x:c>
      <x:c r="B1336" s="8" t="str">
        <x:v>SCRIERE - EVALUARE/!FINAL - DE SEMNAT/SEMNATE ELECTRONIC/20. Document banca - IPEC S.A.-semnat.pdf</x:v>
      </x:c>
      <x:c r="C1336" s="8" t="n">
        <x:v>254672</x:v>
      </x:c>
    </x:row>
    <x:row r="1337" ht="32" customHeight="1">
      <x:c r="A1337" s="8" t="str">
        <x:v>0. Arhiva\5. Fotovoiltaic IPEC\Gmail\SCRIERE - EVALUARE-20240118T142803Z-001.zip</x:v>
      </x:c>
      <x:c r="B1337" s="8" t="str">
        <x:v>SCRIERE - EVALUARE/!FINAL - DE SEMNAT/SEMNATE ELECTRONIC/17. Certificat de inregistrare - IPEC S.A.-semnat.pdf</x:v>
      </x:c>
      <x:c r="C1337" s="8" t="n">
        <x:v>712167</x:v>
      </x:c>
    </x:row>
    <x:row r="1338" ht="32" customHeight="1">
      <x:c r="A1338" s="8" t="str">
        <x:v>0. Arhiva\5. Fotovoiltaic IPEC\Gmail\SCRIERE - EVALUARE-20240118T142803Z-001.zip</x:v>
      </x:c>
      <x:c r="B1338" s="8" t="str">
        <x:v>SCRIERE - EVALUARE/!FINAL - DE SEMNAT/SEMNATE ELECTRONIC/23.3. Extras CF - hala 5 - IPEC S.A.-semnat.pdf</x:v>
      </x:c>
      <x:c r="C1338" s="8" t="n">
        <x:v>1415809</x:v>
      </x:c>
    </x:row>
    <x:row r="1339" ht="32" customHeight="1">
      <x:c r="A1339" s="8" t="str">
        <x:v>0. Arhiva\5. Fotovoiltaic IPEC\Gmail\SCRIERE - EVALUARE-20240118T142803Z-001.zip</x:v>
      </x:c>
      <x:c r="B1339" s="8" t="str">
        <x:v>SCRIERE - EVALUARE/!FINAL - DE SEMNAT/SEMNATE ELECTRONIC/23.2. Extras CF - hala 4 - IPEC S.A.-semnat.pdf</x:v>
      </x:c>
      <x:c r="C1339" s="8" t="n">
        <x:v>1601591</x:v>
      </x:c>
    </x:row>
    <x:row r="1340" ht="32" customHeight="1">
      <x:c r="A1340" s="8" t="str">
        <x:v>0. Arhiva\5. Fotovoiltaic IPEC\Gmail\SCRIERE - EVALUARE-20240118T142803Z-001.zip</x:v>
      </x:c>
      <x:c r="B1340" s="8" t="str">
        <x:v>SCRIERE - EVALUARE/!FINAL - DE SEMNAT/SEMNATE ELECTRONIC/23.1. Extras CF - hala 1 - IPEC S.A.-semnat.pdf</x:v>
      </x:c>
      <x:c r="C1340" s="8" t="n">
        <x:v>1322567</x:v>
      </x:c>
    </x:row>
    <x:row r="1341" ht="32" customHeight="1">
      <x:c r="A1341" s="8" t="str">
        <x:v>0. Arhiva\5. Fotovoiltaic IPEC\Gmail\SCRIERE - EVALUARE-20240118T142803Z-001.zip</x:v>
      </x:c>
      <x:c r="B1341" s="8" t="str">
        <x:v>SCRIERE - EVALUARE/De semnat olograf/semnate/fisa Post Cristian Covaciu.pdf</x:v>
      </x:c>
      <x:c r="C1341" s="8" t="n">
        <x:v>554772</x:v>
      </x:c>
    </x:row>
    <x:row r="1342" ht="32" customHeight="1">
      <x:c r="A1342" s="8" t="str">
        <x:v>0. Arhiva\5. Fotovoiltaic IPEC\Gmail\SCRIERE - EVALUARE-20240118T142803Z-001.zip</x:v>
      </x:c>
      <x:c r="B1342" s="8" t="str">
        <x:v>SCRIERE - EVALUARE/!FINAL - DE SEMNAT/SEMNATE ELECTRONIC/16. Copie act identitate repr.legal - IPEC S.A.-semnat.pdf</x:v>
      </x:c>
      <x:c r="C1342" s="8" t="n">
        <x:v>174052</x:v>
      </x:c>
    </x:row>
    <x:row r="1343" ht="32" customHeight="1">
      <x:c r="A1343" s="8" t="str">
        <x:v>0. Arhiva\5. Fotovoiltaic IPEC\Gmail\SCRIERE - EVALUARE-20240118T142803Z-001.zip</x:v>
      </x:c>
      <x:c r="B1343" s="8" t="str">
        <x:v>SCRIERE - EVALUARE/De semnat olograf/semnate/decizie.pdf</x:v>
      </x:c>
      <x:c r="C1343" s="8" t="n">
        <x:v>301252</x:v>
      </x:c>
    </x:row>
    <x:row r="1344" ht="36" customHeight="1">
      <x:c r="A1344" s="8" t="str">
        <x:v>0. Arhiva\5. Fotovoiltaic IPEC\Gmail\SCRIERE - EVALUARE-20240118T142803Z-001.zip</x:v>
      </x:c>
      <x:c r="B1344" s="8" t="str">
        <x:v>SCRIERE - EVALUARE/!FINAL - DE SEMNAT/SEMNATE ELECTRONIC/9. Anexa 3.g - Declarație evitare dubla finanțare - IPEC S.A.-semnat.pdf</x:v>
      </x:c>
      <x:c r="C1344" s="8" t="n">
        <x:v>210154</x:v>
      </x:c>
    </x:row>
    <x:row r="1345" ht="32" customHeight="1">
      <x:c r="A1345" s="8" t="str">
        <x:v>0. Arhiva\5. Fotovoiltaic IPEC\Gmail\SCRIERE - EVALUARE-20240118T142803Z-001.zip</x:v>
      </x:c>
      <x:c r="B1345" s="8" t="str">
        <x:v>SCRIERE - EVALUARE/!FINAL - DE SEMNAT/SEMNATE ELECTRONIC/24.3. Certificat urbanism 3 - IPEC S.A.-semnat.pdf</x:v>
      </x:c>
      <x:c r="C1345" s="8" t="n">
        <x:v>3058722</x:v>
      </x:c>
    </x:row>
    <x:row r="1346" ht="32" customHeight="1">
      <x:c r="A1346" s="8" t="str">
        <x:v>0. Arhiva\5. Fotovoiltaic IPEC\Gmail\SCRIERE - EVALUARE-20240118T142803Z-001.zip</x:v>
      </x:c>
      <x:c r="B1346" s="8" t="str">
        <x:v>SCRIERE - EVALUARE/!FINAL - DE SEMNAT/SEMNATE ELECTRONIC/24.2. Certificat urbanism 2 - IPEC S.A.-semnat.pdf</x:v>
      </x:c>
      <x:c r="C1346" s="8" t="n">
        <x:v>2941630</x:v>
      </x:c>
    </x:row>
    <x:row r="1347" ht="32" customHeight="1">
      <x:c r="A1347" s="8" t="str">
        <x:v>0. Arhiva\5. Fotovoiltaic IPEC\Gmail\SCRIERE - EVALUARE-20240118T142803Z-001.zip</x:v>
      </x:c>
      <x:c r="B1347" s="8" t="str">
        <x:v>SCRIERE - EVALUARE/!FINAL - DE SEMNAT/SEMNATE ELECTRONIC/14.1. Deviz_Scenariul 1 - IPEC S.A-semnat.pdf</x:v>
      </x:c>
      <x:c r="C1347" s="8" t="n">
        <x:v>699772</x:v>
      </x:c>
    </x:row>
    <x:row r="1348" ht="32" customHeight="1">
      <x:c r="A1348" s="8" t="str">
        <x:v>0. Arhiva\5. Fotovoiltaic IPEC\Gmail\SCRIERE - EVALUARE-20240118T142803Z-001.zip</x:v>
      </x:c>
      <x:c r="B1348" s="8" t="str">
        <x:v>SCRIERE - EVALUARE/!FINAL - DE SEMNAT/SEMNATE ELECTRONIC/14.2. Deviz_Scenariul 2 - IPEC S.A-semnat.pdf</x:v>
      </x:c>
      <x:c r="C1348" s="8" t="n">
        <x:v>704981</x:v>
      </x:c>
    </x:row>
    <x:row r="1349" ht="36" customHeight="1">
      <x:c r="A1349" s="8" t="str">
        <x:v>0. Arhiva\5. Fotovoiltaic IPEC\Gmail\SCRIERE - EVALUARE-20240118T142803Z-001.zip</x:v>
      </x:c>
      <x:c r="B1349" s="8" t="str">
        <x:v>SCRIERE - EVALUARE/!FINAL - DE SEMNAT/SEMNATE ELECTRONIC/6.4. Anexa 3.d - Declaratie conflict de interese - repr.tehnic - IPEC S.A.-semnat.pdf</x:v>
      </x:c>
      <x:c r="C1349" s="8" t="n">
        <x:v>305446</x:v>
      </x:c>
    </x:row>
    <x:row r="1350" ht="32" customHeight="1">
      <x:c r="A1350" s="8" t="str">
        <x:v>0. Arhiva\5. Fotovoiltaic IPEC\Gmail\SCRIERE - EVALUARE-20240118T142803Z-001.zip</x:v>
      </x:c>
      <x:c r="B1350" s="8" t="str">
        <x:v>SCRIERE - EVALUARE/!FINAL - DE SEMNAT/SEMNATE ELECTRONIC/11. Anexa 6.1 - Declaratie DNSH - IPEC S.A-semnat.pdf</x:v>
      </x:c>
      <x:c r="C1350" s="8" t="n">
        <x:v>238938</x:v>
      </x:c>
    </x:row>
    <x:row r="1351" ht="32" customHeight="1">
      <x:c r="A1351" s="8" t="str">
        <x:v>0. Arhiva\5. Fotovoiltaic IPEC\Gmail\SCRIERE - EVALUARE-20240118T142803Z-001.zip</x:v>
      </x:c>
      <x:c r="B1351" s="8" t="str">
        <x:v>SCRIERE - EVALUARE/!FINAL - DE SEMNAT/SEMNATE ELECTRONIC/15.2. Analiza_Cost_Beneficiu - calcule - IPEC S.A.-semnat.pdf</x:v>
      </x:c>
      <x:c r="C1351" s="8" t="n">
        <x:v>615588</x:v>
      </x:c>
    </x:row>
    <x:row r="1352" ht="36" customHeight="1">
      <x:c r="A1352" s="8" t="str">
        <x:v>0. Arhiva\5. Fotovoiltaic IPEC\Gmail\SCRIERE - EVALUARE-20240118T142803Z-001.zip</x:v>
      </x:c>
      <x:c r="B1352" s="8" t="str">
        <x:v>SCRIERE - EVALUARE/!FINAL - DE SEMNAT/SEMNATE ELECTRONIC/6.3. Anexa 3.d - Declaratie conflict de interese - repr.achizitii - IPEC S.A.-semnat.pdf</x:v>
      </x:c>
      <x:c r="C1352" s="8" t="n">
        <x:v>303555</x:v>
      </x:c>
    </x:row>
    <x:row r="1353" ht="32" customHeight="1">
      <x:c r="A1353" s="8" t="str">
        <x:v>0. Arhiva\5. Fotovoiltaic IPEC\Gmail\SCRIERE - EVALUARE-20240118T142803Z-001.zip</x:v>
      </x:c>
      <x:c r="B1353" s="8" t="str">
        <x:v>SCRIERE - EVALUARE/De semnat olograf/semnate/componenta UIP in format tabular.pdf</x:v>
      </x:c>
      <x:c r="C1353" s="8" t="n">
        <x:v>179236</x:v>
      </x:c>
    </x:row>
    <x:row r="1354" ht="32" customHeight="1">
      <x:c r="A1354" s="8" t="str">
        <x:v>0. Arhiva\5. Fotovoiltaic IPEC\Gmail\SCRIERE - EVALUARE-20240118T142803Z-001.zip</x:v>
      </x:c>
      <x:c r="B1354" s="8" t="str">
        <x:v>SCRIERE - EVALUARE/!FINAL - DE SEMNAT/SEMNATE ELECTRONIC/24.1. Certificat urbanism 1 - IPEC S.A.-semnat.pdf</x:v>
      </x:c>
      <x:c r="C1354" s="8" t="n">
        <x:v>2937804</x:v>
      </x:c>
    </x:row>
    <x:row r="1355" ht="36" customHeight="1">
      <x:c r="A1355" s="8" t="str">
        <x:v>0. Arhiva\5. Fotovoiltaic IPEC\Gmail\SCRIERE - EVALUARE-20240118T142803Z-001.zip</x:v>
      </x:c>
      <x:c r="B1355" s="8" t="str">
        <x:v>SCRIERE - EVALUARE/!FINAL - DE SEMNAT/SEMNATE ELECTRONIC/10. Anexa 5 - Declaratie consimtamant prelucrare date - IPEC S.A.-semnat.pdf</x:v>
      </x:c>
      <x:c r="C1355" s="8" t="n">
        <x:v>271841</x:v>
      </x:c>
    </x:row>
    <x:row r="1356" ht="32" customHeight="1">
      <x:c r="A1356" s="8" t="str">
        <x:v>0. Arhiva\5. Fotovoiltaic IPEC\Gmail\SCRIERE - EVALUARE-20240118T142803Z-001.zip</x:v>
      </x:c>
      <x:c r="B1356" s="8" t="str">
        <x:v>SCRIERE - EVALUARE/!FINAL - DE SEMNAT/SEMNATE ELECTRONIC/15.1. Analiza_Cost_Beneficiu - descriere - IPEC S.A.-semnat.pdf</x:v>
      </x:c>
      <x:c r="C1356" s="8" t="n">
        <x:v>653814</x:v>
      </x:c>
    </x:row>
    <x:row r="1357" ht="36" customHeight="1">
      <x:c r="A1357" s="8" t="str">
        <x:v>0. Arhiva\5. Fotovoiltaic IPEC\Gmail\SCRIERE - EVALUARE-20240118T142803Z-001.zip</x:v>
      </x:c>
      <x:c r="B1357" s="8" t="str">
        <x:v>SCRIERE - EVALUARE/!FINAL - DE SEMNAT/SEMNATE ELECTRONIC/8. Anexa 3.f - Declarație scop producere energie electrică - IPEC S.A.-semnat.pdf</x:v>
      </x:c>
      <x:c r="C1357" s="8" t="n">
        <x:v>182226</x:v>
      </x:c>
    </x:row>
    <x:row r="1358" ht="32" customHeight="1">
      <x:c r="A1358" s="8" t="str">
        <x:v>0. Arhiva\5. Fotovoiltaic IPEC\Gmail\SCRIERE - EVALUARE-20240118T142803Z-001.zip</x:v>
      </x:c>
      <x:c r="B1358" s="8" t="str">
        <x:v>SCRIERE - EVALUARE/!FINAL - DE SEMNAT/SEMNATE ELECTRONIC/19. Certificat constatator - IPEC S.A.-semnat.pdf</x:v>
      </x:c>
      <x:c r="C1358" s="8" t="n">
        <x:v>2258838</x:v>
      </x:c>
    </x:row>
    <x:row r="1359" ht="32" customHeight="1">
      <x:c r="A1359" s="8" t="str">
        <x:v>0. Arhiva\5. Fotovoiltaic IPEC\Gmail\SCRIERE - EVALUARE-20240118T142803Z-001.zip</x:v>
      </x:c>
      <x:c r="B1359" s="8" t="str">
        <x:v>SCRIERE - EVALUARE/De semnat olograf/semnate/atributii si responsabilitati UIP.pdf</x:v>
      </x:c>
      <x:c r="C1359" s="8" t="n">
        <x:v>1831475</x:v>
      </x:c>
    </x:row>
    <x:row r="1360" ht="36" customHeight="1">
      <x:c r="A1360" s="8" t="str">
        <x:v>0. Arhiva\5. Fotovoiltaic IPEC\Gmail\SCRIERE - EVALUARE-20240118T142803Z-001.zip</x:v>
      </x:c>
      <x:c r="B1360" s="8" t="str">
        <x:v>SCRIERE - EVALUARE/!FINAL - DE SEMNAT/SEMNATE ELECTRONIC/6.2. Anexa 3.d - Declaratie conflict de interese - repr.financiar - IPEC S.A.-semnat.pdf</x:v>
      </x:c>
      <x:c r="C1360" s="8" t="n">
        <x:v>311237</x:v>
      </x:c>
    </x:row>
    <x:row r="1361" ht="32" customHeight="1">
      <x:c r="A1361" s="8" t="str">
        <x:v>0. Arhiva\5. Fotovoiltaic IPEC\Gmail\SCRIERE - EVALUARE-20240118T142803Z-001.zip</x:v>
      </x:c>
      <x:c r="B1361" s="8" t="str">
        <x:v>SCRIERE - EVALUARE/De semnat olograf/semnate/organigrama.pdf</x:v>
      </x:c>
      <x:c r="C1361" s="8" t="n">
        <x:v>202916</x:v>
      </x:c>
    </x:row>
    <x:row r="1362" ht="36" customHeight="1">
      <x:c r="A1362" s="8" t="str">
        <x:v>0. Arhiva\5. Fotovoiltaic IPEC\Gmail\SCRIERE - EVALUARE-20240118T142803Z-001.zip</x:v>
      </x:c>
      <x:c r="B1362" s="8" t="str">
        <x:v>SCRIERE - EVALUARE/!FINAL - DE SEMNAT/SEMNATE ELECTRONIC/6.1. Anexa 3.d - Declaratie conflict de interese - manag.de proiect - IPEC S.A.-semnat.pdf</x:v>
      </x:c>
      <x:c r="C1362" s="8" t="n">
        <x:v>309345</x:v>
      </x:c>
    </x:row>
    <x:row r="1363" ht="32" customHeight="1">
      <x:c r="A1363" s="8" t="str">
        <x:v>0. Arhiva\5. Fotovoiltaic IPEC\Gmail\SCRIERE - EVALUARE-20240118T142803Z-001.zip</x:v>
      </x:c>
      <x:c r="B1363" s="8" t="str">
        <x:v>SCRIERE - EVALUARE/De semnat olograf/semnate/Declaratie privind conflictul de interese Cristian Covaciu.pdf</x:v>
      </x:c>
      <x:c r="C1363" s="8" t="n">
        <x:v>228932</x:v>
      </x:c>
    </x:row>
    <x:row r="1364" ht="32" customHeight="1">
      <x:c r="A1364" s="8" t="str">
        <x:v>0. Arhiva\5. Fotovoiltaic IPEC\Gmail\SCRIERE - EVALUARE-20240118T142803Z-001.zip</x:v>
      </x:c>
      <x:c r="B1364" s="8" t="str">
        <x:v>SCRIERE - EVALUARE/De semnat olograf/semnate/Fisa Post Nemety Adrian.pdf</x:v>
      </x:c>
      <x:c r="C1364" s="8" t="n">
        <x:v>527118</x:v>
      </x:c>
    </x:row>
    <x:row r="1365" ht="32" customHeight="1">
      <x:c r="A1365" s="8" t="str">
        <x:v>0. Arhiva\5. Fotovoiltaic IPEC\Gmail\SCRIERE - EVALUARE-20240118T142803Z-001.zip</x:v>
      </x:c>
      <x:c r="B1365" s="8" t="str">
        <x:v>SCRIERE - EVALUARE/De semnat olograf/semnate/Fisa post Stanciu Cosmina.pdf</x:v>
      </x:c>
      <x:c r="C1365" s="8" t="n">
        <x:v>550899</x:v>
      </x:c>
    </x:row>
    <x:row r="1366" ht="32" customHeight="1">
      <x:c r="A1366" s="8" t="str">
        <x:v>0. Arhiva\5. Fotovoiltaic IPEC\Gmail\SCRIERE - EVALUARE-20240118T142803Z-001.zip</x:v>
      </x:c>
      <x:c r="B1366" s="8" t="str">
        <x:v>SCRIERE - EVALUARE/De semnat olograf/semnate/Declaratie privind conflictul de interese -Ana LAZEA.pdf</x:v>
      </x:c>
      <x:c r="C1366" s="8" t="n">
        <x:v>223140</x:v>
      </x:c>
    </x:row>
    <x:row r="1367" ht="32" customHeight="1">
      <x:c r="A1367" s="8" t="str">
        <x:v>0. Arhiva\5. Fotovoiltaic IPEC\Gmail\SCRIERE - EVALUARE-20240118T142803Z-001.zip</x:v>
      </x:c>
      <x:c r="B1367" s="8" t="str">
        <x:v>SCRIERE - EVALUARE/De semnat olograf/semnate/Declaratie privind conflictul de interese  - Nemety Adrian.pdf</x:v>
      </x:c>
      <x:c r="C1367" s="8" t="n">
        <x:v>225028</x:v>
      </x:c>
    </x:row>
    <x:row r="1368" ht="32" customHeight="1">
      <x:c r="A1368" s="8" t="str">
        <x:v>0. Arhiva\5. Fotovoiltaic IPEC\Gmail\SCRIERE - EVALUARE-20240118T142803Z-001.zip</x:v>
      </x:c>
      <x:c r="B1368" s="8" t="str">
        <x:v>SCRIERE - EVALUARE/De semnat olograf/semnate/Fisa post Ana Lazea.pdf</x:v>
      </x:c>
      <x:c r="C1368" s="8" t="n">
        <x:v>505166</x:v>
      </x:c>
    </x:row>
    <x:row r="1369" ht="36" customHeight="1">
      <x:c r="A1369" s="8" t="str">
        <x:v>0. Arhiva\5. Fotovoiltaic IPEC\Gmail\SCRIERE - EVALUARE-20240118T142803Z-001.zip</x:v>
      </x:c>
      <x:c r="B1369" s="8" t="str">
        <x:v>SCRIERE - EVALUARE/!FINAL - DE SEMNAT/SEMNATE ELECTRONIC/7. Anexa 3.e - Declaraţie privind tipul întreprinderii - IPEC S.A-semnat.pdf</x:v>
      </x:c>
      <x:c r="C1369" s="8" t="n">
        <x:v>306691</x:v>
      </x:c>
    </x:row>
    <x:row r="1370" ht="36" customHeight="1">
      <x:c r="A1370" s="8" t="str">
        <x:v>0. Arhiva\5. Fotovoiltaic IPEC\Gmail\SCRIERE - EVALUARE-20240118T142803Z-001.zip</x:v>
      </x:c>
      <x:c r="B1370" s="8" t="str">
        <x:v>SCRIERE - EVALUARE/!FINAL - DE SEMNAT/SEMNATE ELECTRONIC/5. Anexa 3.c - Declaraţie conformitate ajutor de stat - IPEC S.A.-semnat.pdf</x:v>
      </x:c>
      <x:c r="C1370" s="8" t="n">
        <x:v>210266</x:v>
      </x:c>
    </x:row>
    <x:row r="1371" ht="32" customHeight="1">
      <x:c r="A1371" s="8" t="str">
        <x:v>0. Arhiva\5. Fotovoiltaic IPEC\Gmail\SCRIERE - EVALUARE-20240118T142803Z-001.zip</x:v>
      </x:c>
      <x:c r="B1371" s="8" t="str">
        <x:v>SCRIERE - EVALUARE/!FINAL - DE SEMNAT/SEMNATE ELECTRONIC/21. Situatii financiare_2019_2020_2021 - IPEC S.A.-semnat.pdf</x:v>
      </x:c>
      <x:c r="C1371" s="8" t="n">
        <x:v>1791942</x:v>
      </x:c>
    </x:row>
    <x:row r="1372" ht="32" customHeight="1">
      <x:c r="A1372" s="8" t="str">
        <x:v>0. Arhiva\5. Fotovoiltaic IPEC\Gmail\SCRIERE - EVALUARE-20240118T142803Z-001.zip</x:v>
      </x:c>
      <x:c r="B1372" s="8" t="str">
        <x:v>SCRIERE - EVALUARE/!FINAL - DE SEMNAT/SEMNATE ELECTRONIC/4. Anexa 3.b - Declaraţie de angajament - IPEC S.A.-semnat.pdf</x:v>
      </x:c>
      <x:c r="C1372" s="8" t="n">
        <x:v>241521</x:v>
      </x:c>
    </x:row>
    <x:row r="1373" ht="32" customHeight="1">
      <x:c r="A1373" s="8" t="str">
        <x:v>0. Arhiva\5. Fotovoiltaic IPEC\Gmail\SCRIERE - EVALUARE-20240118T142803Z-001.zip</x:v>
      </x:c>
      <x:c r="B1373" s="8" t="str">
        <x:v>SCRIERE - EVALUARE/De semnat olograf/semnate/Declaratie privind conflictul de interese - Cosmina Stanciu.pdf</x:v>
      </x:c>
      <x:c r="C1373" s="8" t="n">
        <x:v>230820</x:v>
      </x:c>
    </x:row>
    <x:row r="1374" ht="32" customHeight="1">
      <x:c r="A1374" s="8" t="str">
        <x:v>0. Arhiva\5. Fotovoiltaic IPEC\Gmail\SCRIERE - EVALUARE-20240118T142803Z-001.zip</x:v>
      </x:c>
      <x:c r="B1374" s="8" t="str">
        <x:v>SCRIERE - EVALUARE/!FINAL - DE SEMNAT/SEMNATE ELECTRONIC/22. Documentele imobile - IPEC S.A.-semnat.pdf</x:v>
      </x:c>
      <x:c r="C1374" s="8" t="n">
        <x:v>4074515</x:v>
      </x:c>
    </x:row>
    <x:row r="1375" ht="32" customHeight="1">
      <x:c r="A1375" s="8" t="str">
        <x:v>0. Arhiva\5. Fotovoiltaic IPEC\Gmail\SCRIERE - EVALUARE-20240118T142803Z-001.zip</x:v>
      </x:c>
      <x:c r="B1375" s="8" t="str">
        <x:v>SCRIERE - EVALUARE/!FINAL - DE SEMNAT/SEMNATE ELECTRONIC/12. Anexa 6.2 - Autoevaluare DNSH - IPEC S.A-semnat.pdf</x:v>
      </x:c>
      <x:c r="C1375" s="8" t="n">
        <x:v>438290</x:v>
      </x:c>
    </x:row>
    <x:row r="1376" ht="32" customHeight="1">
      <x:c r="A1376" s="8" t="str">
        <x:v>0. Arhiva\5. Fotovoiltaic IPEC\Gmail\SCRIERE - EVALUARE-20240118T142803Z-001.zip</x:v>
      </x:c>
      <x:c r="B1376" s="8" t="str">
        <x:v>SCRIERE - EVALUARE/!FINAL - DE SEMNAT/SEMNATE ELECTRONIC/23.4. Acord_angajament ipoteci - IPEC S.A.-semnat.pdf</x:v>
      </x:c>
      <x:c r="C1376" s="8" t="n">
        <x:v>5158229</x:v>
      </x:c>
    </x:row>
    <x:row r="1377" ht="32" customHeight="1">
      <x:c r="A1377" s="8" t="str">
        <x:v>0. Arhiva\5. Fotovoiltaic IPEC\Gmail\SCRIERE - EVALUARE-20240118T142803Z-001.zip</x:v>
      </x:c>
      <x:c r="B1377" s="8" t="str">
        <x:v>SCRIERE - EVALUARE/!FINAL - DE SEMNAT/SEMNATE ELECTRONIC/3. Anexa 3.a - Declaraţie de eligibilitate - IPEC S.A.-semnat.pdf</x:v>
      </x:c>
      <x:c r="C1377" s="8" t="n">
        <x:v>219151</x:v>
      </x:c>
    </x:row>
    <x:row r="1378" ht="32" customHeight="1">
      <x:c r="A1378" s="8" t="str">
        <x:v>0. Arhiva\5. Fotovoiltaic IPEC\Gmail\SCRIERE - EVALUARE-20240118T142803Z-001.zip</x:v>
      </x:c>
      <x:c r="B1378" s="8" t="str">
        <x:v>SCRIERE - EVALUARE/!FINAL - DE SEMNAT/SEMNATE ELECTRONIC/0. OPIS Documente - IPEC S.A.-semnat.pdf</x:v>
      </x:c>
      <x:c r="C1378" s="8" t="n">
        <x:v>233564</x:v>
      </x:c>
    </x:row>
    <x:row r="1379" ht="36" customHeight="1">
      <x:c r="A1379" s="8" t="str">
        <x:v>0. Arhiva\5. Fotovoiltaic IPEC\Gmail\SCRIERE - EVALUARE-20240118T142803Z-001.zip</x:v>
      </x:c>
      <x:c r="B1379" s="8" t="str">
        <x:v>SCRIERE - EVALUARE/!FINAL - DE SEMNAT/SEMNATE ELECTRONIC/2. Anexa 1a - Conformitatea cu regulile de exceptare - IPEC S.A.-semnat.pdf</x:v>
      </x:c>
      <x:c r="C1379" s="8" t="n">
        <x:v>308768</x:v>
      </x:c>
    </x:row>
    <x:row r="1380" ht="32" customHeight="1">
      <x:c r="A1380" s="8" t="str">
        <x:v>0. Arhiva\5. Fotovoiltaic IPEC\Gmail\SCRIERE - EVALUARE-20240118T142803Z-001.zip</x:v>
      </x:c>
      <x:c r="B1380" s="8" t="str">
        <x:v>SCRIERE - EVALUARE/!FINAL - DE SEMNAT/SEMNATE ELECTRONIC/18. Act constitutiv - IPEC S.A.-semnat.pdf</x:v>
      </x:c>
      <x:c r="C1380" s="8" t="n">
        <x:v>7529435</x:v>
      </x:c>
    </x:row>
    <x:row r="1381" ht="32" customHeight="1">
      <x:c r="A1381" s="8" t="str">
        <x:v>0. Arhiva\5. Fotovoiltaic IPEC\Gmail\SCRIERE - EVALUARE-20240118T142803Z-001.zip</x:v>
      </x:c>
      <x:c r="B1381" s="8" t="str">
        <x:v>SCRIERE - EVALUARE/!FINAL - DE SEMNAT/SEMNATE ELECTRONIC/1. Anexa 1 - Formularul ofertei - IPEC S.A.-semnat.pdf</x:v>
      </x:c>
      <x:c r="C1381" s="8" t="n">
        <x:v>755606</x:v>
      </x:c>
    </x:row>
    <x:row r="1382" ht="32" customHeight="1">
      <x:c r="A1382" s="8" t="str">
        <x:v>0. Arhiva\5. Fotovoiltaic IPEC\Gmail\SCRIERE - EVALUARE-20240118T142803Z-001.zip</x:v>
      </x:c>
      <x:c r="B1382" s="8" t="str">
        <x:v>SCRIERE - EVALUARE/!FINAL - DE SEMNAT/SEMNATE ELECTRONIC/13.1. Studiu de fezabiliatate_parte scrisa - IPEC S.A.-semnat.pdf</x:v>
      </x:c>
      <x:c r="C1382" s="8" t="n">
        <x:v>3541433</x:v>
      </x:c>
    </x:row>
    <x:row r="1383" ht="32" customHeight="1">
      <x:c r="A1383" s="8" t="str">
        <x:v>0. Arhiva\5. Fotovoiltaic IPEC\Gmail\SCRIERE - EVALUARE-20240118T142803Z-001.zip</x:v>
      </x:c>
      <x:c r="B1383" s="8" t="str">
        <x:v>SCRIERE - EVALUARE/!FINAL - DE SEMNAT/SEMNATE ELECTRONIC/33. Analiza institutionala - IPEC S.A.semnat.pdf</x:v>
      </x:c>
      <x:c r="C1383" s="8" t="n">
        <x:v>200881</x:v>
      </x:c>
    </x:row>
    <x:row r="1384" ht="32" customHeight="1">
      <x:c r="A1384" s="8" t="str">
        <x:v>0. Arhiva\5. Fotovoiltaic IPEC\Gmail\SCRIERE - EVALUARE-20240118T142803Z-001.zip</x:v>
      </x:c>
      <x:c r="B1384" s="8" t="str">
        <x:v>SCRIERE - EVALUARE/bilant_SC IPEC SA 2021-semnat.pdf</x:v>
      </x:c>
      <x:c r="C1384" s="8" t="n">
        <x:v>19515761</x:v>
      </x:c>
    </x:row>
    <x:row r="1385" ht="32" customHeight="1">
      <x:c r="A1385" s="8" t="str">
        <x:v>0. Arhiva\5. Fotovoiltaic IPEC\Gmail\SCRIERE - EVALUARE-20240118T142803Z-001.zip</x:v>
      </x:c>
      <x:c r="B1385" s="8" t="str">
        <x:v>SCRIERE - EVALUARE/SF/Draft_SVT-SF-220520-12_IPEC.docx</x:v>
      </x:c>
      <x:c r="C1385" s="8" t="n">
        <x:v>6940842</x:v>
      </x:c>
    </x:row>
    <x:row r="1386" ht="32" customHeight="1">
      <x:c r="A1386" s="8" t="str">
        <x:v>0. Arhiva\5. Fotovoiltaic IPEC\Gmail\SCRIERE - EVALUARE-20240118T142803Z-001.zip</x:v>
      </x:c>
      <x:c r="B1386" s="8" t="str">
        <x:v>SCRIERE - EVALUARE/!FINAL - DE SEMNAT/SEMNATE ELECTRONIC/13.2. Studiu de fezabilitate_parti desenate - IPEC S.A.-semnat.pdf</x:v>
      </x:c>
      <x:c r="C1386" s="8" t="n">
        <x:v>10417660</x:v>
      </x:c>
    </x:row>
    <x:row r="1387" ht="32" customHeight="1">
      <x:c r="A1387" s="8" t="str">
        <x:v>0. Arhiva\5. Fotovoiltaic IPEC\Gmail\SCRIERE - EVALUARE-20240118T142803Z-001.zip</x:v>
      </x:c>
      <x:c r="B1387" s="8" t="str">
        <x:v>SCRIERE - EVALUARE/!FINAL - DE SEMNAT/De semnat iar/13.2. Studiu de fezabilitate_parti desenate - IPEC S.A..pdf</x:v>
      </x:c>
      <x:c r="C1387" s="8" t="n">
        <x:v>2430276</x:v>
      </x:c>
    </x:row>
    <x:row r="1388" ht="32" customHeight="1">
      <x:c r="A1388" s="8" t="str">
        <x:v>0. Arhiva\5. Fotovoiltaic IPEC\Gmail\SCRIERE - EVALUARE-20240118T142809Z-001.zip</x:v>
      </x:c>
      <x:c r="B1388" s="8" t="str">
        <x:v>SCRIERE - EVALUARE/extras OTP.pdf</x:v>
      </x:c>
      <x:c r="C1388" s="8" t="n">
        <x:v>174244</x:v>
      </x:c>
    </x:row>
    <x:row r="1389" ht="32" customHeight="1">
      <x:c r="A1389" s="8" t="str">
        <x:v>0. Arhiva\5. Fotovoiltaic IPEC\Gmail\SCRIERE - EVALUARE-20240118T142809Z-001.zip</x:v>
      </x:c>
      <x:c r="B1389" s="8" t="str">
        <x:v>SCRIERE - EVALUARE/CV-ADRIAN NEMETY.doc</x:v>
      </x:c>
      <x:c r="C1389" s="8" t="n">
        <x:v>363008</x:v>
      </x:c>
    </x:row>
    <x:row r="1390" ht="32" customHeight="1">
      <x:c r="A1390" s="8" t="str">
        <x:v>0. Arhiva\5. Fotovoiltaic IPEC\Gmail\SCRIERE - EVALUARE-20240118T142809Z-001.zip</x:v>
      </x:c>
      <x:c r="B1390" s="8" t="str">
        <x:v>SCRIERE - EVALUARE/ATR-DOVADA DEPUNERE.pdf</x:v>
      </x:c>
      <x:c r="C1390" s="8" t="n">
        <x:v>533814</x:v>
      </x:c>
    </x:row>
    <x:row r="1391" ht="32" customHeight="1">
      <x:c r="A1391" s="8" t="str">
        <x:v>0. Arhiva\5. Fotovoiltaic IPEC\Gmail\SCRIERE - EVALUARE-20240118T142809Z-001.zip</x:v>
      </x:c>
      <x:c r="B1391" s="8" t="str">
        <x:v>SCRIERE - EVALUARE/CV CRISTIAN COVACIU.pdf</x:v>
      </x:c>
      <x:c r="C1391" s="8" t="n">
        <x:v>952791</x:v>
      </x:c>
    </x:row>
    <x:row r="1392" ht="32" customHeight="1">
      <x:c r="A1392" s="8" t="str">
        <x:v>0. Arhiva\5. Fotovoiltaic IPEC\Gmail\SCRIERE - EVALUARE-20240118T142809Z-001.zip</x:v>
      </x:c>
      <x:c r="B1392" s="8" t="str">
        <x:v>SCRIERE - EVALUARE/CV-Adrian Nemety-semnat.pdf</x:v>
      </x:c>
      <x:c r="C1392" s="8" t="n">
        <x:v>402019</x:v>
      </x:c>
    </x:row>
    <x:row r="1393" ht="32" customHeight="1">
      <x:c r="A1393" s="8" t="str">
        <x:v>0. Arhiva\5. Fotovoiltaic IPEC\Gmail\SCRIERE - EVALUARE-20240118T142809Z-001.zip</x:v>
      </x:c>
      <x:c r="B1393" s="8" t="str">
        <x:v>SCRIERE - EVALUARE/CV ANA LAZEA.pdf</x:v>
      </x:c>
      <x:c r="C1393" s="8" t="n">
        <x:v>610518</x:v>
      </x:c>
    </x:row>
    <x:row r="1394" ht="32" customHeight="1">
      <x:c r="A1394" s="8" t="str">
        <x:v>0. Arhiva\5. Fotovoiltaic IPEC\Gmail\SCRIERE - EVALUARE-20240118T142809Z-001.zip</x:v>
      </x:c>
      <x:c r="B1394" s="8" t="str">
        <x:v>SCRIERE - EVALUARE/scrisoare ING.pdf</x:v>
      </x:c>
      <x:c r="C1394" s="8" t="n">
        <x:v>261960</x:v>
      </x:c>
    </x:row>
    <x:row r="1395" ht="32" customHeight="1">
      <x:c r="A1395" s="8" t="str">
        <x:v>0. Arhiva\5. Fotovoiltaic IPEC\Gmail\SCRIERE - EVALUARE-20240118T142809Z-001.zip</x:v>
      </x:c>
      <x:c r="B1395" s="8" t="str">
        <x:v>SCRIERE - EVALUARE/scrisoare IKEA.pdf</x:v>
      </x:c>
      <x:c r="C1395" s="8" t="n">
        <x:v>332766</x:v>
      </x:c>
    </x:row>
    <x:row r="1396" ht="32" customHeight="1">
      <x:c r="A1396" s="8" t="str">
        <x:v>0. Arhiva\5. Fotovoiltaic IPEC\Gmail\SCRIERE - EVALUARE-20240118T142809Z-001.zip</x:v>
      </x:c>
      <x:c r="B1396" s="8" t="str">
        <x:v>SCRIERE - EVALUARE/Model Declaratie Banca - ro.docx</x:v>
      </x:c>
      <x:c r="C1396" s="8" t="n">
        <x:v>15386</x:v>
      </x:c>
    </x:row>
    <x:row r="1397" ht="32" customHeight="1">
      <x:c r="A1397" s="8" t="str">
        <x:v>0. Arhiva\5. Fotovoiltaic IPEC\Gmail\SCRIERE - EVALUARE-20240118T142809Z-001.zip</x:v>
      </x:c>
      <x:c r="B1397" s="8" t="str">
        <x:v>SCRIERE - EVALUARE/Mediu_Anexa 6_6.1_ DNSH_Autoevaluare “Instalare centrală electrică fotovoltaică la IPEC.docx</x:v>
      </x:c>
      <x:c r="C1397" s="8" t="n">
        <x:v>97485</x:v>
      </x:c>
    </x:row>
    <x:row r="1398" ht="32" customHeight="1">
      <x:c r="A1398" s="8" t="str">
        <x:v>0. Arhiva\5. Fotovoiltaic IPEC\Gmail\SCRIERE - EVALUARE-20240118T142809Z-001.zip</x:v>
      </x:c>
      <x:c r="B1398" s="8" t="str">
        <x:v>SCRIERE - EVALUARE/Dovada Mediu.pdf</x:v>
      </x:c>
      <x:c r="C1398" s="8" t="n">
        <x:v>349604</x:v>
      </x:c>
    </x:row>
    <x:row r="1399" ht="32" customHeight="1">
      <x:c r="A1399" s="8" t="str">
        <x:v>0. Arhiva\5. Fotovoiltaic IPEC\Gmail\SCRIERE - EVALUARE-20240118T142809Z-001.zip</x:v>
      </x:c>
      <x:c r="B1399" s="8" t="str">
        <x:v>SCRIERE - EVALUARE/bilant_SC IPEC SA 2021-recipisa.pdf</x:v>
      </x:c>
      <x:c r="C1399" s="8" t="n">
        <x:v>9396</x:v>
      </x:c>
    </x:row>
    <x:row r="1400" ht="32" customHeight="1">
      <x:c r="A1400" s="8" t="str">
        <x:v>0. Arhiva\5. Fotovoiltaic IPEC\Gmail\SCRIERE - EVALUARE-20240118T142809Z-001.zip</x:v>
      </x:c>
      <x:c r="B1400" s="8" t="str">
        <x:v>SCRIERE - EVALUARE/Ceritifcat constatator.pdf</x:v>
      </x:c>
      <x:c r="C1400" s="8" t="n">
        <x:v>676339</x:v>
      </x:c>
    </x:row>
    <x:row r="1401" ht="32" customHeight="1">
      <x:c r="A1401" s="8" t="str">
        <x:v>0. Arhiva\5. Fotovoiltaic IPEC\Gmail\SCRIERE - EVALUARE-20240118T142809Z-001.zip</x:v>
      </x:c>
      <x:c r="B1401" s="8" t="str">
        <x:v>SCRIERE - EVALUARE/CF H5.pdf</x:v>
      </x:c>
      <x:c r="C1401" s="8" t="n">
        <x:v>1335358</x:v>
      </x:c>
    </x:row>
    <x:row r="1402" ht="32" customHeight="1">
      <x:c r="A1402" s="8" t="str">
        <x:v>0. Arhiva\5. Fotovoiltaic IPEC\Gmail\SCRIERE - EVALUARE-20240118T142809Z-001.zip</x:v>
      </x:c>
      <x:c r="B1402" s="8" t="str">
        <x:v>SCRIERE - EVALUARE/General-Organigrama Ipec.pdf</x:v>
      </x:c>
      <x:c r="C1402" s="8" t="n">
        <x:v>306854</x:v>
      </x:c>
    </x:row>
    <x:row r="1403" ht="32" customHeight="1">
      <x:c r="A1403" s="8" t="str">
        <x:v>0. Arhiva\5. Fotovoiltaic IPEC\Gmail\SCRIERE - EVALUARE-20240118T142809Z-001.zip</x:v>
      </x:c>
      <x:c r="B1403" s="8" t="str">
        <x:v>SCRIERE - EVALUARE/CF Hala 4.pdf</x:v>
      </x:c>
      <x:c r="C1403" s="8" t="n">
        <x:v>1521142</x:v>
      </x:c>
    </x:row>
    <x:row r="1404" ht="32" customHeight="1">
      <x:c r="A1404" s="8" t="str">
        <x:v>0. Arhiva\5. Fotovoiltaic IPEC\Gmail\SCRIERE - EVALUARE-20240118T142809Z-001.zip</x:v>
      </x:c>
      <x:c r="B1404" s="8" t="str">
        <x:v>SCRIERE - EVALUARE/Identificare electronica - PNRR/DeclaratieReprezentantLegal_6698299_20220620163447-semnat.pdf</x:v>
      </x:c>
      <x:c r="C1404" s="8" t="n">
        <x:v>235095</x:v>
      </x:c>
    </x:row>
    <x:row r="1405" ht="32" customHeight="1">
      <x:c r="A1405" s="8" t="str">
        <x:v>0. Arhiva\5. Fotovoiltaic IPEC\Gmail\SCRIERE - EVALUARE-20240118T142809Z-001.zip</x:v>
      </x:c>
      <x:c r="B1405" s="8" t="str">
        <x:v>SCRIERE - EVALUARE/cerificat constator extins.pdf</x:v>
      </x:c>
      <x:c r="C1405" s="8" t="n">
        <x:v>2178644</x:v>
      </x:c>
    </x:row>
    <x:row r="1406" ht="32" customHeight="1">
      <x:c r="A1406" s="8" t="str">
        <x:v>0. Arhiva\5. Fotovoiltaic IPEC\Gmail\SCRIERE - EVALUARE-20240118T142809Z-001.zip</x:v>
      </x:c>
      <x:c r="B1406" s="8" t="str">
        <x:v>SCRIERE - EVALUARE/ALTE DOCUMENTE/Proces verbal de receptie_GWC - IPEC S.A.ok.pdf</x:v>
      </x:c>
      <x:c r="C1406" s="8" t="n">
        <x:v>280031</x:v>
      </x:c>
    </x:row>
    <x:row r="1407" ht="32" customHeight="1">
      <x:c r="A1407" s="8" t="str">
        <x:v>0. Arhiva\5. Fotovoiltaic IPEC\Gmail\SCRIERE - EVALUARE-20240118T142809Z-001.zip</x:v>
      </x:c>
      <x:c r="B1407" s="8" t="str">
        <x:v>SCRIERE - EVALUARE/aviz tehnic racordare.pdf</x:v>
      </x:c>
      <x:c r="C1407" s="8" t="n">
        <x:v>2338386</x:v>
      </x:c>
    </x:row>
    <x:row r="1408" ht="32" customHeight="1">
      <x:c r="A1408" s="8" t="str">
        <x:v>0. Arhiva\5. Fotovoiltaic IPEC\Gmail\SCRIERE - EVALUARE-20240118T142809Z-001.zip</x:v>
      </x:c>
      <x:c r="B1408" s="8" t="str">
        <x:v>SCRIERE - EVALUARE/certificat urbanism (3).pdf</x:v>
      </x:c>
      <x:c r="C1408" s="8" t="n">
        <x:v>2978403</x:v>
      </x:c>
    </x:row>
    <x:row r="1409" ht="32" customHeight="1">
      <x:c r="A1409" s="8" t="str">
        <x:v>0. Arhiva\5. Fotovoiltaic IPEC\Gmail\SCRIERE - EVALUARE-20240118T142809Z-001.zip</x:v>
      </x:c>
      <x:c r="B1409" s="8" t="str">
        <x:v>SCRIERE - EVALUARE/certificat urbanism (1).pdf</x:v>
      </x:c>
      <x:c r="C1409" s="8" t="n">
        <x:v>2857489</x:v>
      </x:c>
    </x:row>
    <x:row r="1410" ht="32" customHeight="1">
      <x:c r="A1410" s="8" t="str">
        <x:v>0. Arhiva\5. Fotovoiltaic IPEC\Gmail\SCRIERE - EVALUARE-20240118T142809Z-001.zip</x:v>
      </x:c>
      <x:c r="B1410" s="8" t="str">
        <x:v>SCRIERE - EVALUARE/Clarificare - 13.11.2023/Semnat/Raspuns- olograf.pdf</x:v>
      </x:c>
      <x:c r="C1410" s="8" t="n">
        <x:v>305915</x:v>
      </x:c>
    </x:row>
    <x:row r="1411" ht="32" customHeight="1">
      <x:c r="A1411" s="8" t="str">
        <x:v>0. Arhiva\5. Fotovoiltaic IPEC\Gmail\SCRIERE - EVALUARE-20240118T142809Z-001.zip</x:v>
      </x:c>
      <x:c r="B1411" s="8" t="str">
        <x:v>SCRIERE - EVALUARE/ALTE DOCUMENTE/Proces verbal de receptie_GWC - IPEC S.A.ok.-semnat.pdf</x:v>
      </x:c>
      <x:c r="C1411" s="8" t="n">
        <x:v>349913</x:v>
      </x:c>
    </x:row>
    <x:row r="1412" ht="32" customHeight="1">
      <x:c r="A1412" s="8" t="str">
        <x:v>0. Arhiva\5. Fotovoiltaic IPEC\Gmail\SCRIERE - EVALUARE-20240118T142809Z-001.zip</x:v>
      </x:c>
      <x:c r="B1412" s="8" t="str">
        <x:v>SCRIERE - EVALUARE/ACT CONSTITUTIV.pdf</x:v>
      </x:c>
      <x:c r="C1412" s="8" t="n">
        <x:v>7449740</x:v>
      </x:c>
    </x:row>
    <x:row r="1413" ht="32" customHeight="1">
      <x:c r="A1413" s="8" t="str">
        <x:v>0. Arhiva\5. Fotovoiltaic IPEC\Gmail\SCRIERE - EVALUARE-20240118T142809Z-001.zip</x:v>
      </x:c>
      <x:c r="B1413" s="8" t="str">
        <x:v>SCRIERE - EVALUARE/Clarificare - 13.11.2023/Semnat/0. Raspuns clarificare - 13.11.2023-semnat.pdf</x:v>
      </x:c>
      <x:c r="C1413" s="8" t="n">
        <x:v>177658</x:v>
      </x:c>
    </x:row>
    <x:row r="1414" ht="32" customHeight="1">
      <x:c r="A1414" s="8" t="str">
        <x:v>0. Arhiva\5. Fotovoiltaic IPEC\Gmail\SCRIERE - EVALUARE-20240118T142809Z-001.zip</x:v>
      </x:c>
      <x:c r="B1414" s="8" t="str">
        <x:v>SCRIERE - EVALUARE/Identificare electronica - PNRR/DeclaratieInregistrareCertificat_20220620145953.pdf</x:v>
      </x:c>
      <x:c r="C1414" s="8" t="n">
        <x:v>151095</x:v>
      </x:c>
    </x:row>
    <x:row r="1415" ht="32" customHeight="1">
      <x:c r="A1415" s="8" t="str">
        <x:v>0. Arhiva\5. Fotovoiltaic IPEC\Gmail\SCRIERE - EVALUARE-20240118T142809Z-001.zip</x:v>
      </x:c>
      <x:c r="B1415" s="8" t="str">
        <x:v>SCRIERE - EVALUARE/Identificare electronica - PNRR/DeclaratieReprezentantLegal_6698299_20220620163447.pdf</x:v>
      </x:c>
      <x:c r="C1415" s="8" t="n">
        <x:v>154620</x:v>
      </x:c>
    </x:row>
    <x:row r="1416" ht="32" customHeight="1">
      <x:c r="A1416" s="8" t="str">
        <x:v>0. Arhiva\5. Fotovoiltaic IPEC\Gmail\SCRIERE - EVALUARE-20240118T142809Z-001.zip</x:v>
      </x:c>
      <x:c r="B1416" s="8" t="str">
        <x:v>SCRIERE - EVALUARE/ATR NOU.pdf</x:v>
      </x:c>
      <x:c r="C1416" s="8" t="n">
        <x:v>1359533</x:v>
      </x:c>
    </x:row>
    <x:row r="1417" ht="32" customHeight="1">
      <x:c r="A1417" s="8" t="str">
        <x:v>0. Arhiva\5. Fotovoiltaic IPEC\Gmail\SCRIERE - EVALUARE-20240118T142809Z-001.zip</x:v>
      </x:c>
      <x:c r="B1417" s="8" t="str">
        <x:v>SCRIERE - EVALUARE/Clarificare - 13.11.2023/De semnat/0. Raspuns clarificare - 13.11.2023.pdf</x:v>
      </x:c>
      <x:c r="C1417" s="8" t="n">
        <x:v>102357</x:v>
      </x:c>
    </x:row>
    <x:row r="1418" ht="32" customHeight="1">
      <x:c r="A1418" s="8" t="str">
        <x:v>0. Arhiva\5. Fotovoiltaic IPEC\Gmail\SCRIERE - EVALUARE-20240118T142809Z-001.zip</x:v>
      </x:c>
      <x:c r="B1418" s="8" t="str">
        <x:v>SCRIERE - EVALUARE/Clarificare 31.08.2023/De semnat/3. Hotarare Consiliului de administratie_aprobare proiect - 31.08.pdf</x:v>
      </x:c>
      <x:c r="C1418" s="8" t="n">
        <x:v>588857</x:v>
      </x:c>
    </x:row>
    <x:row r="1419" ht="32" customHeight="1">
      <x:c r="A1419" s="8" t="str">
        <x:v>0. Arhiva\5. Fotovoiltaic IPEC\Gmail\SCRIERE - EVALUARE-20240118T142809Z-001.zip</x:v>
      </x:c>
      <x:c r="B1419" s="8" t="str">
        <x:v>SCRIERE - EVALUARE/Identificare electronica - PNRR/DeclaratieInregistrareCertificat_20220620145953-semnat.pdf</x:v>
      </x:c>
      <x:c r="C1419" s="8" t="n">
        <x:v>229997</x:v>
      </x:c>
    </x:row>
    <x:row r="1420" ht="32" customHeight="1">
      <x:c r="A1420" s="8" t="str">
        <x:v>0. Arhiva\5. Fotovoiltaic IPEC\Gmail\SCRIERE - EVALUARE-20240118T142809Z-001.zip</x:v>
      </x:c>
      <x:c r="B1420" s="8" t="str">
        <x:v>SCRIERE - EVALUARE/Clarificare 31.08.2023/De semnat/2.1. Anexa 3.a - Declaraţie de eligibilitate.pdf</x:v>
      </x:c>
      <x:c r="C1420" s="8" t="n">
        <x:v>155595</x:v>
      </x:c>
    </x:row>
    <x:row r="1421" ht="32" customHeight="1">
      <x:c r="A1421" s="8" t="str">
        <x:v>0. Arhiva\5. Fotovoiltaic IPEC\Gmail\SCRIERE - EVALUARE-20240118T142809Z-001.zip</x:v>
      </x:c>
      <x:c r="B1421" s="8" t="str">
        <x:v>SCRIERE - EVALUARE/Clarificare 31.08.2023/Semnat/Decizie 31.08.2023.pdf</x:v>
      </x:c>
      <x:c r="C1421" s="8" t="n">
        <x:v>588857</x:v>
      </x:c>
    </x:row>
    <x:row r="1422" ht="32" customHeight="1">
      <x:c r="A1422" s="8" t="str">
        <x:v>0. Arhiva\5. Fotovoiltaic IPEC\Gmail\SCRIERE - EVALUARE-20240118T142809Z-001.zip</x:v>
      </x:c>
      <x:c r="B1422" s="8" t="str">
        <x:v>SCRIERE - EVALUARE/Clarificare - 13.11.2023/Semnat/1. Anexa 1 Formularul ofertei - cap.25-semnat.pdf</x:v>
      </x:c>
      <x:c r="C1422" s="8" t="n">
        <x:v>323180</x:v>
      </x:c>
    </x:row>
    <x:row r="1423" ht="32" customHeight="1">
      <x:c r="A1423" s="8" t="str">
        <x:v>0. Arhiva\5. Fotovoiltaic IPEC\Gmail\SCRIERE - EVALUARE-20240118T142809Z-001.zip</x:v>
      </x:c>
      <x:c r="B1423" s="8" t="str">
        <x:v>SCRIERE - EVALUARE/Clarificare - 21.06.2023/De semnat/RaspunsClarificare_6698299_20230621193147.pdf</x:v>
      </x:c>
      <x:c r="C1423" s="8" t="n">
        <x:v>183636</x:v>
      </x:c>
    </x:row>
    <x:row r="1424" ht="32" customHeight="1">
      <x:c r="A1424" s="8" t="str">
        <x:v>0. Arhiva\5. Fotovoiltaic IPEC\Gmail\SCRIERE - EVALUARE-20240118T142809Z-001.zip</x:v>
      </x:c>
      <x:c r="B1424" s="8" t="str">
        <x:v>SCRIERE - EVALUARE/Clarificare - 13.11.2023/De semnat/1. Anexa 1 Formularul ofertei - cap.25.pdf</x:v>
      </x:c>
      <x:c r="C1424" s="8" t="n">
        <x:v>275946</x:v>
      </x:c>
    </x:row>
    <x:row r="1425" ht="32" customHeight="1">
      <x:c r="A1425" s="8" t="str">
        <x:v>0. Arhiva\5. Fotovoiltaic IPEC\Gmail\SCRIERE - EVALUARE-20240118T142809Z-001.zip</x:v>
      </x:c>
      <x:c r="B1425" s="8" t="str">
        <x:v>SCRIERE - EVALUARE/Declaratia autoritatii responsabile cu monitorizarea siturilor natura 2000.pdf</x:v>
      </x:c>
      <x:c r="C1425" s="8" t="n">
        <x:v>1426801</x:v>
      </x:c>
    </x:row>
    <x:row r="1426" ht="32" customHeight="1">
      <x:c r="A1426" s="8" t="str">
        <x:v>0. Arhiva\5. Fotovoiltaic IPEC\Gmail\SCRIERE - EVALUARE-20240118T142809Z-001.zip</x:v>
      </x:c>
      <x:c r="B1426" s="8" t="str">
        <x:v>SCRIERE - EVALUARE/Clarificare - 21.06.2023/De semnat/1.4. Hotarare AGA_actualizata_21.06.2023.pdf</x:v>
      </x:c>
      <x:c r="C1426" s="8" t="n">
        <x:v>587083</x:v>
      </x:c>
    </x:row>
    <x:row r="1427" ht="32" customHeight="1">
      <x:c r="A1427" s="8" t="str">
        <x:v>0. Arhiva\5. Fotovoiltaic IPEC\Gmail\SCRIERE - EVALUARE-20240118T142809Z-001.zip</x:v>
      </x:c>
      <x:c r="B1427" s="8" t="str">
        <x:v>SCRIERE - EVALUARE/Clarificare 31.08.2023/De semnat/2.2. Grant offer letter.pdf</x:v>
      </x:c>
      <x:c r="C1427" s="8" t="n">
        <x:v>1346230</x:v>
      </x:c>
    </x:row>
    <x:row r="1428" ht="32" customHeight="1">
      <x:c r="A1428" s="8" t="str">
        <x:v>0. Arhiva\5. Fotovoiltaic IPEC\Gmail\SCRIERE - EVALUARE-20240118T142809Z-001.zip</x:v>
      </x:c>
      <x:c r="B1428" s="8" t="str">
        <x:v>SCRIERE - EVALUARE/Clarificare - 21.06.2023/De semnat/0. Raspuns clarificare_IPEC S.A.pdf</x:v>
      </x:c>
      <x:c r="C1428" s="8" t="n">
        <x:v>150843</x:v>
      </x:c>
    </x:row>
    <x:row r="1429" ht="32" customHeight="1">
      <x:c r="A1429" s="8" t="str">
        <x:v>0. Arhiva\5. Fotovoiltaic IPEC\Gmail\SCRIERE - EVALUARE-20240118T142809Z-001.zip</x:v>
      </x:c>
      <x:c r="B1429" s="8" t="str">
        <x:v>SCRIERE - EVALUARE/Clarificare 31.08.2023/De semnat/RaspunsClarificare_6698299_20230831161735.pdf</x:v>
      </x:c>
      <x:c r="C1429" s="8" t="n">
        <x:v>181263</x:v>
      </x:c>
    </x:row>
    <x:row r="1430" ht="32" customHeight="1">
      <x:c r="A1430" s="8" t="str">
        <x:v>0. Arhiva\5. Fotovoiltaic IPEC\Gmail\SCRIERE - EVALUARE-20240118T142809Z-001.zip</x:v>
      </x:c>
      <x:c r="B1430" s="8" t="str">
        <x:v>SCRIERE - EVALUARE/Clarificare - 13.11.2023/Semnat/Anexa 1 - olograf.pdf</x:v>
      </x:c>
      <x:c r="C1430" s="8" t="n">
        <x:v>1447240</x:v>
      </x:c>
    </x:row>
    <x:row r="1431" ht="32" customHeight="1">
      <x:c r="A1431" s="8" t="str">
        <x:v>0. Arhiva\5. Fotovoiltaic IPEC\Gmail\SCRIERE - EVALUARE-20240118T142809Z-001.zip</x:v>
      </x:c>
      <x:c r="B1431" s="8" t="str">
        <x:v>SCRIERE - EVALUARE/Clarificare 31.08.2023/De semnat/0. Raspuns clarificare.pdf</x:v>
      </x:c>
      <x:c r="C1431" s="8" t="n">
        <x:v>127701</x:v>
      </x:c>
    </x:row>
    <x:row r="1432" ht="32" customHeight="1">
      <x:c r="A1432" s="8" t="str">
        <x:v>0. Arhiva\5. Fotovoiltaic IPEC\Gmail\SCRIERE - EVALUARE-20240118T142809Z-001.zip</x:v>
      </x:c>
      <x:c r="B1432" s="8" t="str">
        <x:v>SCRIERE - EVALUARE/Clarificare - 21.06.2023/De semnat/2. Anexa 1a la Ghid_Conformitatea cu regulile de exceptare.pdf</x:v>
      </x:c>
      <x:c r="C1432" s="8" t="n">
        <x:v>174791</x:v>
      </x:c>
    </x:row>
    <x:row r="1433" ht="32" customHeight="1">
      <x:c r="A1433" s="8" t="str">
        <x:v>0. Arhiva\5. Fotovoiltaic IPEC\Gmail\SCRIERE - EVALUARE-20240118T142809Z-001.zip</x:v>
      </x:c>
      <x:c r="B1433" s="8" t="str">
        <x:v>SCRIERE - EVALUARE/Clarificare - 21.06.2023/De semnat/4. Analiza institutionala - IPEC S.A.pdf</x:v>
      </x:c>
      <x:c r="C1433" s="8" t="n">
        <x:v>108180</x:v>
      </x:c>
    </x:row>
    <x:row r="1434" ht="32" customHeight="1">
      <x:c r="A1434" s="8" t="str">
        <x:v>0. Arhiva\5. Fotovoiltaic IPEC\Gmail\SCRIERE - EVALUARE-20240118T142809Z-001.zip</x:v>
      </x:c>
      <x:c r="B1434" s="8" t="str">
        <x:v>SCRIERE - EVALUARE/Clarificare - 21.06.2023/Semnat/RaspunsClarificare_6698299_20230621193147-semnat.pdf</x:v>
      </x:c>
      <x:c r="C1434" s="8" t="n">
        <x:v>264184</x:v>
      </x:c>
    </x:row>
    <x:row r="1435" ht="32" customHeight="1">
      <x:c r="A1435" s="8" t="str">
        <x:v>0. Arhiva\5. Fotovoiltaic IPEC\Gmail\SCRIERE - EVALUARE-20240118T142809Z-001.zip</x:v>
      </x:c>
      <x:c r="B1435" s="8" t="str">
        <x:v>SCRIERE - EVALUARE/Clarificare - 21.06.2023/Semnat/4. Analiza institutionala - IPEC S.A-semnat.pdf</x:v>
      </x:c>
      <x:c r="C1435" s="8" t="n">
        <x:v>185218</x:v>
      </x:c>
    </x:row>
    <x:row r="1436" ht="32" customHeight="1">
      <x:c r="A1436" s="8" t="str">
        <x:v>0. Arhiva\5. Fotovoiltaic IPEC\Gmail\SCRIERE - EVALUARE-20240118T142809Z-001.zip</x:v>
      </x:c>
      <x:c r="B1436" s="8" t="str">
        <x:v>SCRIERE - EVALUARE/Clarificare - 21.06.2023/De semnat/3. Anexa 3.a - Declaraţie de eligibilitate.pdf</x:v>
      </x:c>
      <x:c r="C1436" s="8" t="n">
        <x:v>145558</x:v>
      </x:c>
    </x:row>
    <x:row r="1437" ht="32" customHeight="1">
      <x:c r="A1437" s="8" t="str">
        <x:v>0. Arhiva\5. Fotovoiltaic IPEC\Gmail\SCRIERE - EVALUARE-20240118T142809Z-001.zip</x:v>
      </x:c>
      <x:c r="B1437" s="8" t="str">
        <x:v>SCRIERE - EVALUARE/Clarificare - 21.06.2023/Semnat/3. Anexa 3.a - Declaraţie de eligibilitate-semnat.pdf</x:v>
      </x:c>
      <x:c r="C1437" s="8" t="n">
        <x:v>218796</x:v>
      </x:c>
    </x:row>
    <x:row r="1438" ht="32" customHeight="1">
      <x:c r="A1438" s="8" t="str">
        <x:v>0. Arhiva\5. Fotovoiltaic IPEC\Gmail\SCRIERE - EVALUARE-20240118T142809Z-001.zip</x:v>
      </x:c>
      <x:c r="B1438" s="8" t="str">
        <x:v>SCRIERE - EVALUARE/!FINAL - DE SEMNAT/26. Declarație privind retrocedarea - IPEC S.A..pdf</x:v>
      </x:c>
      <x:c r="C1438" s="8" t="n">
        <x:v>127774</x:v>
      </x:c>
    </x:row>
    <x:row r="1439" ht="32" customHeight="1">
      <x:c r="A1439" s="8" t="str">
        <x:v>0. Arhiva\5. Fotovoiltaic IPEC\Gmail\SCRIERE - EVALUARE-20240118T142809Z-001.zip</x:v>
      </x:c>
      <x:c r="B1439" s="8" t="str">
        <x:v>SCRIERE - EVALUARE/Clarificare - 21.06.2023/Semnat/2. Anexa 1a la Ghid_Conformitatea cu regulile de exceptare-semnat.pdf</x:v>
      </x:c>
      <x:c r="C1439" s="8" t="n">
        <x:v>251575</x:v>
      </x:c>
    </x:row>
    <x:row r="1440" ht="32" customHeight="1">
      <x:c r="A1440" s="8" t="str">
        <x:v>0. Arhiva\5. Fotovoiltaic IPEC\Gmail\SCRIERE - EVALUARE-20240118T142809Z-001.zip</x:v>
      </x:c>
      <x:c r="B1440" s="8" t="str">
        <x:v>SCRIERE - EVALUARE/Clarificare - 21.06.2023/Semnat/1.4. Hotarare AGA_actualizata_21.06.2023-semnat.pdf</x:v>
      </x:c>
      <x:c r="C1440" s="8" t="n">
        <x:v>667725</x:v>
      </x:c>
    </x:row>
    <x:row r="1441" ht="32" customHeight="1">
      <x:c r="A1441" s="8" t="str">
        <x:v>0. Arhiva\5. Fotovoiltaic IPEC\Gmail\SCRIERE - EVALUARE-20240118T142809Z-001.zip</x:v>
      </x:c>
      <x:c r="B1441" s="8" t="str">
        <x:v>SCRIERE - EVALUARE/!FINAL - DE SEMNAT/Proces verbal de receptie_GWC - IPEC S.A..pdf</x:v>
      </x:c>
      <x:c r="C1441" s="8" t="n">
        <x:v>253900</x:v>
      </x:c>
    </x:row>
    <x:row r="1442" ht="32" customHeight="1">
      <x:c r="A1442" s="8" t="str">
        <x:v>0. Arhiva\5. Fotovoiltaic IPEC\Gmail\SCRIERE - EVALUARE-20240118T142809Z-001.zip</x:v>
      </x:c>
      <x:c r="B1442" s="8" t="str">
        <x:v>SCRIERE - EVALUARE/Bilant SC IPEC SA - 2019 - semnat.pdf</x:v>
      </x:c>
      <x:c r="C1442" s="8" t="n">
        <x:v>2458069</x:v>
      </x:c>
    </x:row>
    <x:row r="1443" ht="32" customHeight="1">
      <x:c r="A1443" s="8" t="str">
        <x:v>0. Arhiva\5. Fotovoiltaic IPEC\Gmail\SCRIERE - EVALUARE-20240118T142809Z-001.zip</x:v>
      </x:c>
      <x:c r="B1443" s="8" t="str">
        <x:v>SCRIERE - EVALUARE/!FINAL - DE SEMNAT/28. Dovada depunere ATR - IPEC S.A..pdf</x:v>
      </x:c>
      <x:c r="C1443" s="8" t="n">
        <x:v>533814</x:v>
      </x:c>
    </x:row>
    <x:row r="1444" ht="32" customHeight="1">
      <x:c r="A1444" s="8" t="str">
        <x:v>0. Arhiva\5. Fotovoiltaic IPEC\Gmail\SCRIERE - EVALUARE-20240118T142809Z-001.zip</x:v>
      </x:c>
      <x:c r="B1444" s="8" t="str">
        <x:v>SCRIERE - EVALUARE/Clarificare - 21.06.2023/De semnat/1. Anexa 1 Formularul ofertei_21.06.2023.pdf</x:v>
      </x:c>
      <x:c r="C1444" s="8" t="n">
        <x:v>778799</x:v>
      </x:c>
    </x:row>
    <x:row r="1445" ht="32" customHeight="1">
      <x:c r="A1445" s="8" t="str">
        <x:v>0. Arhiva\5. Fotovoiltaic IPEC\Gmail\SCRIERE - EVALUARE-20240118T142809Z-001.zip</x:v>
      </x:c>
      <x:c r="B1445" s="8" t="str">
        <x:v>SCRIERE - EVALUARE/Clarificare - 21.06.2023/Semnat/AGA.pdf</x:v>
      </x:c>
      <x:c r="C1445" s="8" t="n">
        <x:v>587083</x:v>
      </x:c>
    </x:row>
    <x:row r="1446" ht="32" customHeight="1">
      <x:c r="A1446" s="8" t="str">
        <x:v>0. Arhiva\5. Fotovoiltaic IPEC\Gmail\SCRIERE - EVALUARE-20240118T142809Z-001.zip</x:v>
      </x:c>
      <x:c r="B1446" s="8" t="str">
        <x:v>SCRIERE - EVALUARE/Clarificare - 21.06.2023/Semnat/0. Raspuns clarificare_IPEC S.A-semnat.pdf</x:v>
      </x:c>
      <x:c r="C1446" s="8" t="n">
        <x:v>224059</x:v>
      </x:c>
    </x:row>
    <x:row r="1447" ht="32" customHeight="1">
      <x:c r="A1447" s="8" t="str">
        <x:v>0. Arhiva\5. Fotovoiltaic IPEC\Gmail\SCRIERE - EVALUARE-20240118T142809Z-001.zip</x:v>
      </x:c>
      <x:c r="B1447" s="8" t="str">
        <x:v>SCRIERE - EVALUARE/Clarificare 31.08.2023/De semnat/1. Anexa 1 Formularul ofertei_31.08.2023 (rev.2).pdf</x:v>
      </x:c>
      <x:c r="C1447" s="8" t="n">
        <x:v>1067000</x:v>
      </x:c>
    </x:row>
    <x:row r="1448" ht="32" customHeight="1">
      <x:c r="A1448" s="8" t="str">
        <x:v>0. Arhiva\5. Fotovoiltaic IPEC\Gmail\SCRIERE - EVALUARE-20240118T142809Z-001.zip</x:v>
      </x:c>
      <x:c r="B1448" s="8" t="str">
        <x:v>SCRIERE - EVALUARE/!FINAL - DE SEMNAT/0. OPIS Documente - IPEC S.A.pdf</x:v>
      </x:c>
      <x:c r="C1448" s="8" t="n">
        <x:v>167126</x:v>
      </x:c>
    </x:row>
    <x:row r="1449" ht="32" customHeight="1">
      <x:c r="A1449" s="8" t="str">
        <x:v>0. Arhiva\5. Fotovoiltaic IPEC\Gmail\SCRIERE - EVALUARE-20240118T142809Z-001.zip</x:v>
      </x:c>
      <x:c r="B1449" s="8" t="str">
        <x:v>SCRIERE - EVALUARE/CF H1.pdf</x:v>
      </x:c>
      <x:c r="C1449" s="8" t="n">
        <x:v>1242110</x:v>
      </x:c>
    </x:row>
    <x:row r="1450" ht="32" customHeight="1">
      <x:c r="A1450" s="8" t="str">
        <x:v>0. Arhiva\5. Fotovoiltaic IPEC\Gmail\SCRIERE - EVALUARE-20240118T142809Z-001.zip</x:v>
      </x:c>
      <x:c r="B1450" s="8" t="str">
        <x:v>SCRIERE - EVALUARE/Clarificare - 21.06.2023/Semnat/Dovada depunere natura 2000-semnat.pdf</x:v>
      </x:c>
      <x:c r="C1450" s="8" t="n">
        <x:v>204776</x:v>
      </x:c>
    </x:row>
    <x:row r="1451" ht="32" customHeight="1">
      <x:c r="A1451" s="8" t="str">
        <x:v>0. Arhiva\5. Fotovoiltaic IPEC\Gmail\SCRIERE - EVALUARE-20240118T142809Z-001.zip</x:v>
      </x:c>
      <x:c r="B1451" s="8" t="str">
        <x:v>SCRIERE - EVALUARE/Clarificare 31.08.2023/Semnate electronic/RaspunsClarificare_6698299_20230831161735.pdf</x:v>
      </x:c>
      <x:c r="C1451" s="8" t="n">
        <x:v>261644</x:v>
      </x:c>
    </x:row>
    <x:row r="1452" ht="36" customHeight="1">
      <x:c r="A1452" s="8" t="str">
        <x:v>0. Arhiva\5. Fotovoiltaic IPEC\Gmail\SCRIERE - EVALUARE-20240118T142809Z-001.zip</x:v>
      </x:c>
      <x:c r="B1452" s="8" t="str">
        <x:v>SCRIERE - EVALUARE/Clarificare 31.08.2023/Semnate electronic/3. Hotarare Consiliului de administratie_aprobare proiect - 31.08.pdf</x:v>
      </x:c>
      <x:c r="C1452" s="8" t="n">
        <x:v>669508</x:v>
      </x:c>
    </x:row>
    <x:row r="1453" ht="32" customHeight="1">
      <x:c r="A1453" s="8" t="str">
        <x:v>0. Arhiva\5. Fotovoiltaic IPEC\Gmail\SCRIERE - EVALUARE-20240118T142809Z-001.zip</x:v>
      </x:c>
      <x:c r="B1453" s="8" t="str">
        <x:v>SCRIERE - EVALUARE/Clarificare 31.08.2023/Semnate electronic/2.1. Anexa 3.a - Declaraţie de eligibilitate.pdf</x:v>
      </x:c>
      <x:c r="C1453" s="8" t="n">
        <x:v>223617</x:v>
      </x:c>
    </x:row>
    <x:row r="1454" ht="32" customHeight="1">
      <x:c r="A1454" s="8" t="str">
        <x:v>0. Arhiva\5. Fotovoiltaic IPEC\Gmail\SCRIERE - EVALUARE-20240118T142809Z-001.zip</x:v>
      </x:c>
      <x:c r="B1454" s="8" t="str">
        <x:v>SCRIERE - EVALUARE/Scrisoare IPEC-ro.pdf</x:v>
      </x:c>
      <x:c r="C1454" s="8" t="n">
        <x:v>4534125</x:v>
      </x:c>
    </x:row>
    <x:row r="1455" ht="32" customHeight="1">
      <x:c r="A1455" s="8" t="str">
        <x:v>0. Arhiva\5. Fotovoiltaic IPEC\Gmail\SCRIERE - EVALUARE-20240118T142809Z-001.zip</x:v>
      </x:c>
      <x:c r="B1455" s="8" t="str">
        <x:v>SCRIERE - EVALUARE/!FINAL - DE SEMNAT/33. Analiza institutionala - IPEC S.A.pdf</x:v>
      </x:c>
      <x:c r="C1455" s="8" t="n">
        <x:v>128145</x:v>
      </x:c>
    </x:row>
    <x:row r="1456" ht="32" customHeight="1">
      <x:c r="A1456" s="8" t="str">
        <x:v>0. Arhiva\5. Fotovoiltaic IPEC\Gmail\SCRIERE - EVALUARE-20240118T142809Z-001.zip</x:v>
      </x:c>
      <x:c r="B1456" s="8" t="str">
        <x:v>SCRIERE - EVALUARE/Clarificare 31.08.2023/Semnate electronic/0. Raspuns clarificare.pdf-semnat.pdf</x:v>
      </x:c>
      <x:c r="C1456" s="8" t="n">
        <x:v>200943</x:v>
      </x:c>
    </x:row>
    <x:row r="1457" ht="32" customHeight="1">
      <x:c r="A1457" s="8" t="str">
        <x:v>0. Arhiva\5. Fotovoiltaic IPEC\Gmail\SCRIERE - EVALUARE-20240118T142809Z-001.zip</x:v>
      </x:c>
      <x:c r="B1457" s="8" t="str">
        <x:v>SCRIERE - EVALUARE/!FINAL - DE SEMNAT/29. Hotarare Consiliu de administratie - IPEC S.A..pdf</x:v>
      </x:c>
      <x:c r="C1457" s="8" t="n">
        <x:v>570511</x:v>
      </x:c>
    </x:row>
    <x:row r="1458" ht="32" customHeight="1">
      <x:c r="A1458" s="8" t="str">
        <x:v>0. Arhiva\5. Fotovoiltaic IPEC\Gmail\SCRIERE - EVALUARE-20240118T142809Z-001.zip</x:v>
      </x:c>
      <x:c r="B1458" s="8" t="str">
        <x:v>SCRIERE - EVALUARE/Clarificare - 21.06.2023/De semnat/1.2. Analiza ACB.pdf</x:v>
      </x:c>
      <x:c r="C1458" s="8" t="n">
        <x:v>1403201</x:v>
      </x:c>
    </x:row>
    <x:row r="1459" ht="32" customHeight="1">
      <x:c r="A1459" s="8" t="str">
        <x:v>0. Arhiva\5. Fotovoiltaic IPEC\Gmail\SCRIERE - EVALUARE-20240118T142809Z-001.zip</x:v>
      </x:c>
      <x:c r="B1459" s="8" t="str">
        <x:v>SCRIERE - EVALUARE/Clarificare 31.08.2023/Semnate electronic/2.2. Grant offer letter.pdf</x:v>
      </x:c>
      <x:c r="C1459" s="8" t="n">
        <x:v>1426788</x:v>
      </x:c>
    </x:row>
    <x:row r="1460" ht="32" customHeight="1">
      <x:c r="A1460" s="8" t="str">
        <x:v>0. Arhiva\5. Fotovoiltaic IPEC\Gmail\SCRIERE - EVALUARE-20240118T142809Z-001.zip</x:v>
      </x:c>
      <x:c r="B1460" s="8" t="str">
        <x:v>SCRIERE - EVALUARE/!FINAL - DE SEMNAT/25. Declarație privind disponibilitatea imobilului - IPEC S.A..pdf</x:v>
      </x:c>
      <x:c r="C1460" s="8" t="n">
        <x:v>125603</x:v>
      </x:c>
    </x:row>
    <x:row r="1461" ht="32" customHeight="1">
      <x:c r="A1461" s="8" t="str">
        <x:v>0. Arhiva\5. Fotovoiltaic IPEC\Gmail\SCRIERE - EVALUARE-20240118T142809Z-001.zip</x:v>
      </x:c>
      <x:c r="B1461" s="8" t="str">
        <x:v>SCRIERE - EVALUARE/!FINAL - DE SEMNAT/9. Anexa 3.g - Declarație evitare dubla finanțare - IPEC S.A..pdf</x:v>
      </x:c>
      <x:c r="C1461" s="8" t="n">
        <x:v>136884</x:v>
      </x:c>
    </x:row>
    <x:row r="1462" ht="32" customHeight="1">
      <x:c r="A1462" s="8" t="str">
        <x:v>0. Arhiva\5. Fotovoiltaic IPEC\Gmail\SCRIERE - EVALUARE-20240118T142809Z-001.zip</x:v>
      </x:c>
      <x:c r="B1462" s="8" t="str">
        <x:v>SCRIERE - EVALUARE/!FINAL - DE SEMNAT/8. Anexa 3.f - Declarație scop producere energie electrică - IPEC S.A..pdf</x:v>
      </x:c>
      <x:c r="C1462" s="8" t="n">
        <x:v>109896</x:v>
      </x:c>
    </x:row>
    <x:row r="1463" ht="32" customHeight="1">
      <x:c r="A1463" s="8" t="str">
        <x:v>0. Arhiva\5. Fotovoiltaic IPEC\Gmail\SCRIERE - EVALUARE-20240118T142809Z-001.zip</x:v>
      </x:c>
      <x:c r="B1463" s="8" t="str">
        <x:v>SCRIERE - EVALUARE/!FINAL - DE SEMNAT/11. Anexa 6.1 - Declaratie DNSH - IPEC S.A.pdf</x:v>
      </x:c>
      <x:c r="C1463" s="8" t="n">
        <x:v>168064</x:v>
      </x:c>
    </x:row>
    <x:row r="1464" ht="32" customHeight="1">
      <x:c r="A1464" s="8" t="str">
        <x:v>0. Arhiva\5. Fotovoiltaic IPEC\Gmail\SCRIERE - EVALUARE-20240118T142809Z-001.zip</x:v>
      </x:c>
      <x:c r="B1464" s="8" t="str">
        <x:v>SCRIERE - EVALUARE/!FINAL - DE SEMNAT/5. Anexa 3.c - Declaraţie conformitate ajutor de stat - IPEC S.A..pdf</x:v>
      </x:c>
      <x:c r="C1464" s="8" t="n">
        <x:v>138145</x:v>
      </x:c>
    </x:row>
    <x:row r="1465" ht="32" customHeight="1">
      <x:c r="A1465" s="8" t="str">
        <x:v>0. Arhiva\5. Fotovoiltaic IPEC\Gmail\SCRIERE - EVALUARE-20240118T142809Z-001.zip</x:v>
      </x:c>
      <x:c r="B1465" s="8" t="str">
        <x:v>SCRIERE - EVALUARE/!FINAL - DE SEMNAT/3. Anexa 3.a - Declaraţie de eligibilitate - IPEC S.A..pdf</x:v>
      </x:c>
      <x:c r="C1465" s="8" t="n">
        <x:v>145987</x:v>
      </x:c>
    </x:row>
    <x:row r="1466" ht="32" customHeight="1">
      <x:c r="A1466" s="8" t="str">
        <x:v>0. Arhiva\5. Fotovoiltaic IPEC\Gmail\SCRIERE - EVALUARE-20240118T142809Z-001.zip</x:v>
      </x:c>
      <x:c r="B1466" s="8" t="str">
        <x:v>SCRIERE - EVALUARE/!FINAL - DE SEMNAT/4. Anexa 3.b - Declaraţie de angajament - IPEC S.A..pdf</x:v>
      </x:c>
      <x:c r="C1466" s="8" t="n">
        <x:v>171878</x:v>
      </x:c>
    </x:row>
    <x:row r="1467" ht="32" customHeight="1">
      <x:c r="A1467" s="8" t="str">
        <x:v>0. Arhiva\5. Fotovoiltaic IPEC\Gmail\SCRIERE - EVALUARE-20240118T142809Z-001.zip</x:v>
      </x:c>
      <x:c r="B1467" s="8" t="str">
        <x:v>SCRIERE - EVALUARE/Clarificare - 21.06.2023/Semnat/1.2. Analiza ACB-semnat.pdf</x:v>
      </x:c>
      <x:c r="C1467" s="8" t="n">
        <x:v>1470868</x:v>
      </x:c>
    </x:row>
    <x:row r="1468" ht="32" customHeight="1">
      <x:c r="A1468" s="8" t="str">
        <x:v>0. Arhiva\5. Fotovoiltaic IPEC\Gmail\SCRIERE - EVALUARE-20240118T142809Z-001.zip</x:v>
      </x:c>
      <x:c r="B1468" s="8" t="str">
        <x:v>SCRIERE - EVALUARE/!FINAL - DE SEMNAT/7. Anexa 3.e - Declaraţie privind tipul întreprinderii - IPEC S.A.pdf</x:v>
      </x:c>
      <x:c r="C1468" s="8" t="n">
        <x:v>248788</x:v>
      </x:c>
    </x:row>
    <x:row r="1469" ht="32" customHeight="1">
      <x:c r="A1469" s="8" t="str">
        <x:v>0. Arhiva\5. Fotovoiltaic IPEC\Gmail\SCRIERE - EVALUARE-20240118T142809Z-001.zip</x:v>
      </x:c>
      <x:c r="B1469" s="8" t="str">
        <x:v>SCRIERE - EVALUARE/!FINAL - DE SEMNAT/15.2. Analiza_Cost_Beneficiu - calcule - IPEC S.A..pdf</x:v>
      </x:c>
      <x:c r="C1469" s="8" t="n">
        <x:v>543189</x:v>
      </x:c>
    </x:row>
    <x:row r="1470" ht="32" customHeight="1">
      <x:c r="A1470" s="8" t="str">
        <x:v>0. Arhiva\5. Fotovoiltaic IPEC\Gmail\SCRIERE - EVALUARE-20240118T142809Z-001.zip</x:v>
      </x:c>
      <x:c r="B1470" s="8" t="str">
        <x:v>SCRIERE - EVALUARE/!FINAL - DE SEMNAT/14.2. Deviz_Scenariul 2 - IPEC S.A.pdf</x:v>
      </x:c>
      <x:c r="C1470" s="8" t="n">
        <x:v>628344</x:v>
      </x:c>
    </x:row>
    <x:row r="1471" ht="32" customHeight="1">
      <x:c r="A1471" s="8" t="str">
        <x:v>0. Arhiva\5. Fotovoiltaic IPEC\Gmail\SCRIERE - EVALUARE-20240118T142809Z-001.zip</x:v>
      </x:c>
      <x:c r="B1471" s="8" t="str">
        <x:v>SCRIERE - EVALUARE/!FINAL - DE SEMNAT/14.1. Deviz_Scenariul 1 - IPEC S.A.pdf</x:v>
      </x:c>
      <x:c r="C1471" s="8" t="n">
        <x:v>623109</x:v>
      </x:c>
    </x:row>
    <x:row r="1472" ht="32" customHeight="1">
      <x:c r="A1472" s="8" t="str">
        <x:v>0. Arhiva\5. Fotovoiltaic IPEC\Gmail\SCRIERE - EVALUARE-20240118T142809Z-001.zip</x:v>
      </x:c>
      <x:c r="B1472" s="8" t="str">
        <x:v>SCRIERE - EVALUARE/!FINAL - DE SEMNAT/15.1. Analiza_Cost_Beneficiu - descriere - IPEC S.A..pdf</x:v>
      </x:c>
      <x:c r="C1472" s="8" t="n">
        <x:v>587865</x:v>
      </x:c>
    </x:row>
    <x:row r="1473" ht="32" customHeight="1">
      <x:c r="A1473" s="8" t="str">
        <x:v>0. Arhiva\5. Fotovoiltaic IPEC\Gmail\SCRIERE - EVALUARE-20240118T142809Z-001.zip</x:v>
      </x:c>
      <x:c r="B1473" s="8" t="str">
        <x:v>SCRIERE - EVALUARE/!FINAL - DE SEMNAT/1. Anexa 1 - Formularul ofertei - IPEC S.A..pdf</x:v>
      </x:c>
      <x:c r="C1473" s="8" t="n">
        <x:v>787760</x:v>
      </x:c>
    </x:row>
    <x:row r="1474" ht="32" customHeight="1">
      <x:c r="A1474" s="8" t="str">
        <x:v>0. Arhiva\5. Fotovoiltaic IPEC\Gmail\SCRIERE - EVALUARE-20240118T142809Z-001.zip</x:v>
      </x:c>
      <x:c r="B1474" s="8" t="str">
        <x:v>SCRIERE - EVALUARE/!FINAL - DE SEMNAT/10. Anexa 5 - Declaratie consimtamant prelucrare date - IPEC S.A..pdf</x:v>
      </x:c>
      <x:c r="C1474" s="8" t="n">
        <x:v>200695</x:v>
      </x:c>
    </x:row>
    <x:row r="1475" ht="32" customHeight="1">
      <x:c r="A1475" s="8" t="str">
        <x:v>0. Arhiva\5. Fotovoiltaic IPEC\Gmail\SCRIERE - EVALUARE-20240118T142809Z-001.zip</x:v>
      </x:c>
      <x:c r="B1475" s="8" t="str">
        <x:v>SCRIERE - EVALUARE/!FINAL - DE SEMNAT/36. Plan de informare si publicitate - IPEC S.A.pdf</x:v>
      </x:c>
      <x:c r="C1475" s="8" t="n">
        <x:v>128454</x:v>
      </x:c>
    </x:row>
    <x:row r="1476" ht="32" customHeight="1">
      <x:c r="A1476" s="8" t="str">
        <x:v>0. Arhiva\5. Fotovoiltaic IPEC\Gmail\SCRIERE - EVALUARE-20240118T142809Z-001.zip</x:v>
      </x:c>
      <x:c r="B1476" s="8" t="str">
        <x:v>SCRIERE - EVALUARE/!FINAL - DE SEMNAT/16. Copie act identitate repr.legal - IPEC S.A..pdf</x:v>
      </x:c>
      <x:c r="C1476" s="8" t="n">
        <x:v>93336</x:v>
      </x:c>
    </x:row>
    <x:row r="1477" ht="32" customHeight="1">
      <x:c r="A1477" s="8" t="str">
        <x:v>0. Arhiva\5. Fotovoiltaic IPEC\Gmail\SCRIERE - EVALUARE-20240118T142809Z-001.zip</x:v>
      </x:c>
      <x:c r="B1477" s="8" t="str">
        <x:v>SCRIERE - EVALUARE/!FINAL - DE SEMNAT/2. Anexa 1a - Conformitatea cu regulile de exceptare - IPEC S.A..pdf</x:v>
      </x:c>
      <x:c r="C1477" s="8" t="n">
        <x:v>242440</x:v>
      </x:c>
    </x:row>
    <x:row r="1478" ht="32" customHeight="1">
      <x:c r="A1478" s="8" t="str">
        <x:v>0. Arhiva\5. Fotovoiltaic IPEC\Gmail\SCRIERE - EVALUARE-20240118T142809Z-001.zip</x:v>
      </x:c>
      <x:c r="B1478" s="8" t="str">
        <x:v>SCRIERE - EVALUARE/!FINAL - DE SEMNAT/31.4. CV - repr.tehnic - IPEC S.A..pdf</x:v>
      </x:c>
      <x:c r="C1478" s="8" t="n">
        <x:v>402019</x:v>
      </x:c>
    </x:row>
    <x:row r="1479" ht="32" customHeight="1">
      <x:c r="A1479" s="8" t="str">
        <x:v>0. Arhiva\5. Fotovoiltaic IPEC\Gmail\SCRIERE - EVALUARE-20240118T142809Z-001.zip</x:v>
      </x:c>
      <x:c r="B1479" s="8" t="str">
        <x:v>SCRIERE - EVALUARE/!FINAL - DE SEMNAT/6.1. Anexa 3.d - Declaratie conflict de interese - manag.de proiect - IPEC S.A..pdf</x:v>
      </x:c>
      <x:c r="C1479" s="8" t="n">
        <x:v>228932</x:v>
      </x:c>
    </x:row>
    <x:row r="1480" ht="32" customHeight="1">
      <x:c r="A1480" s="8" t="str">
        <x:v>0. Arhiva\5. Fotovoiltaic IPEC\Gmail\SCRIERE - EVALUARE-20240118T142809Z-001.zip</x:v>
      </x:c>
      <x:c r="B1480" s="8" t="str">
        <x:v>SCRIERE - EVALUARE/Clarificare 31.08.2023/Semnate electronic/1. Anexa 1 Formularul ofertei_31.08.2023 (rev.2).pdf-semnat.pdf</x:v>
      </x:c>
      <x:c r="C1480" s="8" t="n">
        <x:v>882212</x:v>
      </x:c>
    </x:row>
    <x:row r="1481" ht="32" customHeight="1">
      <x:c r="A1481" s="8" t="str">
        <x:v>0. Arhiva\5. Fotovoiltaic IPEC\Gmail\SCRIERE - EVALUARE-20240118T142809Z-001.zip</x:v>
      </x:c>
      <x:c r="B1481" s="8" t="str">
        <x:v>SCRIERE - EVALUARE/!FINAL - DE SEMNAT/6.4. Anexa 3.d - Declaratie conflict de interese - repr.tehnic - IPEC S.A..pdf</x:v>
      </x:c>
      <x:c r="C1481" s="8" t="n">
        <x:v>225028</x:v>
      </x:c>
    </x:row>
    <x:row r="1482" ht="32" customHeight="1">
      <x:c r="A1482" s="8" t="str">
        <x:v>0. Arhiva\5. Fotovoiltaic IPEC\Gmail\SCRIERE - EVALUARE-20240118T142809Z-001.zip</x:v>
      </x:c>
      <x:c r="B1482" s="8" t="str">
        <x:v>SCRIERE - EVALUARE/!FINAL - DE SEMNAT/SEMNATE ELECTRONIC/30.3. Organigrama UIP - IPEC S.A.-semnat.pdf</x:v>
      </x:c>
      <x:c r="C1482" s="8" t="n">
        <x:v>283331</x:v>
      </x:c>
    </x:row>
    <x:row r="1483" ht="32" customHeight="1">
      <x:c r="A1483" s="8" t="str">
        <x:v>0. Arhiva\5. Fotovoiltaic IPEC\Gmail\SCRIERE - EVALUARE-20240118T142809Z-001.zip</x:v>
      </x:c>
      <x:c r="B1483" s="8" t="str">
        <x:v>SCRIERE - EVALUARE/!FINAL - DE SEMNAT/12. Anexa 6.2 - Autoevaluare DNSH - IPEC S.A.pdf</x:v>
      </x:c>
      <x:c r="C1483" s="8" t="n">
        <x:v>379221</x:v>
      </x:c>
    </x:row>
    <x:row r="1484" ht="32" customHeight="1">
      <x:c r="A1484" s="8" t="str">
        <x:v>0. Arhiva\5. Fotovoiltaic IPEC\Gmail\SCRIERE - EVALUARE-20240118T142809Z-001.zip</x:v>
      </x:c>
      <x:c r="B1484" s="8" t="str">
        <x:v>SCRIERE - EVALUARE/!FINAL - DE SEMNAT/SEMNATE ELECTRONIC/36. Plan de informare si publicitate - IPEC S.A-semnat.pdf</x:v>
      </x:c>
      <x:c r="C1484" s="8" t="n">
        <x:v>200592</x:v>
      </x:c>
    </x:row>
    <x:row r="1485" ht="32" customHeight="1">
      <x:c r="A1485" s="8" t="str">
        <x:v>0. Arhiva\5. Fotovoiltaic IPEC\Gmail\SCRIERE - EVALUARE-20240118T142809Z-001.zip</x:v>
      </x:c>
      <x:c r="B1485" s="8" t="str">
        <x:v>SCRIERE - EVALUARE/!FINAL - DE SEMNAT/31.4.1. Fisa post - repr.tehnic - IPEC S.A..pdf</x:v>
      </x:c>
      <x:c r="C1485" s="8" t="n">
        <x:v>527118</x:v>
      </x:c>
    </x:row>
    <x:row r="1486" ht="32" customHeight="1">
      <x:c r="A1486" s="8" t="str">
        <x:v>0. Arhiva\5. Fotovoiltaic IPEC\Gmail\SCRIERE - EVALUARE-20240118T142809Z-001.zip</x:v>
      </x:c>
      <x:c r="B1486" s="8" t="str">
        <x:v>SCRIERE - EVALUARE/!FINAL - DE SEMNAT/31.1.1. Fisa post - manag.proiect - IPEC S.A..pdf</x:v>
      </x:c>
      <x:c r="C1486" s="8" t="n">
        <x:v>554772</x:v>
      </x:c>
    </x:row>
    <x:row r="1487" ht="32" customHeight="1">
      <x:c r="A1487" s="8" t="str">
        <x:v>0. Arhiva\5. Fotovoiltaic IPEC\Gmail\SCRIERE - EVALUARE-20240118T142809Z-001.zip</x:v>
      </x:c>
      <x:c r="B1487" s="8" t="str">
        <x:v>SCRIERE - EVALUARE/!FINAL - DE SEMNAT/31.2.1. Fisa post - repr.financiar - IPEC S.A..pdf</x:v>
      </x:c>
      <x:c r="C1487" s="8" t="n">
        <x:v>550899</x:v>
      </x:c>
    </x:row>
    <x:row r="1488" ht="36" customHeight="1">
      <x:c r="A1488" s="8" t="str">
        <x:v>0. Arhiva\5. Fotovoiltaic IPEC\Gmail\SCRIERE - EVALUARE-20240118T142809Z-001.zip</x:v>
      </x:c>
      <x:c r="B1488" s="8" t="str">
        <x:v>SCRIERE - EVALUARE/!FINAL - DE SEMNAT/SEMNATE ELECTRONIC/35. Documentele privind harta zona proiect si geolocalizare - IPEC S.A.-semnat.pdf</x:v>
      </x:c>
      <x:c r="C1488" s="8" t="n">
        <x:v>275167</x:v>
      </x:c>
    </x:row>
    <x:row r="1489" ht="32" customHeight="1">
      <x:c r="A1489" s="8" t="str">
        <x:v>0. Arhiva\5. Fotovoiltaic IPEC\Gmail\SCRIERE - EVALUARE-20240118T142809Z-001.zip</x:v>
      </x:c>
      <x:c r="B1489" s="8" t="str">
        <x:v>SCRIERE - EVALUARE/!FINAL - DE SEMNAT/18. Act constitutiv - IPEC S.A..pdf</x:v>
      </x:c>
      <x:c r="C1489" s="8" t="n">
        <x:v>7449740</x:v>
      </x:c>
    </x:row>
    <x:row r="1490" ht="32" customHeight="1">
      <x:c r="A1490" s="8" t="str">
        <x:v>0. Arhiva\5. Fotovoiltaic IPEC\Gmail\SCRIERE - EVALUARE-20240118T142809Z-001.zip</x:v>
      </x:c>
      <x:c r="B1490" s="8" t="str">
        <x:v>SCRIERE - EVALUARE/!FINAL - DE SEMNAT/30.3. Organigrama UIP - IPEC S.A..pdf</x:v>
      </x:c>
      <x:c r="C1490" s="8" t="n">
        <x:v>202916</x:v>
      </x:c>
    </x:row>
    <x:row r="1491" ht="32" customHeight="1">
      <x:c r="A1491" s="8" t="str">
        <x:v>0. Arhiva\5. Fotovoiltaic IPEC\Gmail\SCRIERE - EVALUARE-20240118T142809Z-001.zip</x:v>
      </x:c>
      <x:c r="B1491" s="8" t="str">
        <x:v>SCRIERE - EVALUARE/Clarificare - 21.06.2023/De semnat/1.3. Studiu de fezabilitate_actualizat_21.06.2023.pdf</x:v>
      </x:c>
      <x:c r="C1491" s="8" t="n">
        <x:v>2345591</x:v>
      </x:c>
    </x:row>
    <x:row r="1492" ht="32" customHeight="1">
      <x:c r="A1492" s="8" t="str">
        <x:v>0. Arhiva\5. Fotovoiltaic IPEC\Gmail\SCRIERE - EVALUARE-20240118T142809Z-001.zip</x:v>
      </x:c>
      <x:c r="B1492" s="8" t="str">
        <x:v>SCRIERE - EVALUARE/!FINAL - DE SEMNAT/31.3.1. Fisa post - repr.achizitii - IPEC S.A..pdf</x:v>
      </x:c>
      <x:c r="C1492" s="8" t="n">
        <x:v>505166</x:v>
      </x:c>
    </x:row>
    <x:row r="1493" ht="32" customHeight="1">
      <x:c r="A1493" s="8" t="str">
        <x:v>0. Arhiva\5. Fotovoiltaic IPEC\Gmail\SCRIERE - EVALUARE-20240118T142809Z-001.zip</x:v>
      </x:c>
      <x:c r="B1493" s="8" t="str">
        <x:v>SCRIERE - EVALUARE/!FINAL - DE SEMNAT/SEMNATE ELECTRONIC/Proces verbal de receptie_GWC - IPEC S.A.-semnat.pdf</x:v>
      </x:c>
      <x:c r="C1493" s="8" t="n">
        <x:v>324006</x:v>
      </x:c>
    </x:row>
    <x:row r="1494" ht="32" customHeight="1">
      <x:c r="A1494" s="8" t="str">
        <x:v>0. Arhiva\5. Fotovoiltaic IPEC\Gmail\SCRIERE - EVALUARE-20240118T142809Z-001.zip</x:v>
      </x:c>
      <x:c r="B1494" s="8" t="str">
        <x:v>SCRIERE - EVALUARE/!FINAL - DE SEMNAT/30.1. Decizia privind înființarea UIP - IPEC S.A..pdf</x:v>
      </x:c>
      <x:c r="C1494" s="8" t="n">
        <x:v>301252</x:v>
      </x:c>
    </x:row>
    <x:row r="1495" ht="32" customHeight="1">
      <x:c r="A1495" s="8" t="str">
        <x:v>0. Arhiva\5. Fotovoiltaic IPEC\Gmail\SCRIERE - EVALUARE-20240118T142809Z-001.zip</x:v>
      </x:c>
      <x:c r="B1495" s="8" t="str">
        <x:v>SCRIERE - EVALUARE/!FINAL - DE SEMNAT/SEMNATE ELECTRONIC/34.1. Plan amplasare - hala 1 - IPEC S.A.-semnat.pdf</x:v>
      </x:c>
      <x:c r="C1495" s="8" t="n">
        <x:v>345522</x:v>
      </x:c>
    </x:row>
    <x:row r="1496" ht="32" customHeight="1">
      <x:c r="A1496" s="8" t="str">
        <x:v>0. Arhiva\5. Fotovoiltaic IPEC\Gmail\SCRIERE - EVALUARE-20240118T142809Z-001.zip</x:v>
      </x:c>
      <x:c r="B1496" s="8" t="str">
        <x:v>SCRIERE - EVALUARE/!FINAL - DE SEMNAT/30.2. Componenta UIP in format tabular - IPEC S.A..pdf</x:v>
      </x:c>
      <x:c r="C1496" s="8" t="n">
        <x:v>179236</x:v>
      </x:c>
    </x:row>
    <x:row r="1497" ht="32" customHeight="1">
      <x:c r="A1497" s="8" t="str">
        <x:v>0. Arhiva\5. Fotovoiltaic IPEC\Gmail\SCRIERE - EVALUARE-20240118T142809Z-001.zip</x:v>
      </x:c>
      <x:c r="B1497" s="8" t="str">
        <x:v>SCRIERE - EVALUARE/Bilant SC IPEC SA - 2019 - recipisa.pdf</x:v>
      </x:c>
      <x:c r="C1497" s="8" t="n">
        <x:v>8640</x:v>
      </x:c>
    </x:row>
    <x:row r="1498" ht="32" customHeight="1">
      <x:c r="A1498" s="8" t="str">
        <x:v>0. Arhiva\5. Fotovoiltaic IPEC\Gmail\SCRIERE - EVALUARE-20240118T142809Z-001.zip</x:v>
      </x:c>
      <x:c r="B1498" s="8" t="str">
        <x:v>SCRIERE - EVALUARE/!FINAL - DE SEMNAT/SEMNATE ELECTRONIC/34.2. Plan amplasare - hala 4 - IPEC S.A.-semnat.pdf</x:v>
      </x:c>
      <x:c r="C1498" s="8" t="n">
        <x:v>331525</x:v>
      </x:c>
    </x:row>
    <x:row r="1499" ht="32" customHeight="1">
      <x:c r="A1499" s="8" t="str">
        <x:v>0. Arhiva\5. Fotovoiltaic IPEC\Gmail\SCRIERE - EVALUARE-20240118T142809Z-001.zip</x:v>
      </x:c>
      <x:c r="B1499" s="8" t="str">
        <x:v>SCRIERE - EVALUARE/Clarificare - 21.06.2023/Semnat/1.3. Studiu de fezabilitate_actualizat_21.06.2023-semnat.pdf</x:v>
      </x:c>
      <x:c r="C1499" s="8" t="n">
        <x:v>2213308</x:v>
      </x:c>
    </x:row>
    <x:row r="1500" ht="32" customHeight="1">
      <x:c r="A1500" s="8" t="str">
        <x:v>0. Arhiva\5. Fotovoiltaic IPEC\Gmail\SCRIERE - EVALUARE-20240118T142809Z-001.zip</x:v>
      </x:c>
      <x:c r="B1500" s="8" t="str">
        <x:v>SCRIERE - EVALUARE/!FINAL - DE SEMNAT/FORMULAR DEPUNERE/FormularDepunereOriginal_6698299_20220621175723-semnat.pdf</x:v>
      </x:c>
      <x:c r="C1500" s="8" t="n">
        <x:v>283490</x:v>
      </x:c>
    </x:row>
    <x:row r="1501" ht="32" customHeight="1">
      <x:c r="A1501" s="8" t="str">
        <x:v>0. Arhiva\5. Fotovoiltaic IPEC\Gmail\SCRIERE - EVALUARE-20240118T142809Z-001.zip</x:v>
      </x:c>
      <x:c r="B1501" s="8" t="str">
        <x:v>SCRIERE - EVALUARE/!FINAL - DE SEMNAT/SEMNATE ELECTRONIC/32. Organigrama societatii - IPEC S.A.-semnat.pdf</x:v>
      </x:c>
      <x:c r="C1501" s="8" t="n">
        <x:v>340767</x:v>
      </x:c>
    </x:row>
    <x:row r="1502" ht="32" customHeight="1">
      <x:c r="A1502" s="8" t="str">
        <x:v>0. Arhiva\5. Fotovoiltaic IPEC\Gmail\SCRIERE - EVALUARE-20240118T142809Z-001.zip</x:v>
      </x:c>
      <x:c r="B1502" s="8" t="str">
        <x:v>SCRIERE - EVALUARE/certificat urbanism (2).pdf</x:v>
      </x:c>
      <x:c r="C1502" s="8" t="n">
        <x:v>2861297</x:v>
      </x:c>
    </x:row>
    <x:row r="1503" ht="32" customHeight="1">
      <x:c r="A1503" s="8" t="str">
        <x:v>0. Arhiva\5. Fotovoiltaic IPEC\Gmail\SCRIERE - EVALUARE-20240118T142809Z-001.zip</x:v>
      </x:c>
      <x:c r="B1503" s="8" t="str">
        <x:v>SCRIERE - EVALUARE/!FINAL - DE SEMNAT/SEMNATE ELECTRONIC/34.3. Plan amplasare - hala 5 - IPEC S.A.-semnat.pdf</x:v>
      </x:c>
      <x:c r="C1503" s="8" t="n">
        <x:v>323972</x:v>
      </x:c>
    </x:row>
    <x:row r="1504" ht="32" customHeight="1">
      <x:c r="A1504" s="8" t="str">
        <x:v>0. Arhiva\5. Fotovoiltaic IPEC\Gmail\SCRIERE - EVALUARE-20240118T142809Z-001.zip</x:v>
      </x:c>
      <x:c r="B1504" s="8" t="str">
        <x:v>SCRIERE - EVALUARE/!FINAL - DE SEMNAT/SEMNATE ELECTRONIC/31.4.1. Fisa post - repr.tehnic - IPEC S.A.-semnat.pdf</x:v>
      </x:c>
      <x:c r="C1504" s="8" t="n">
        <x:v>607676</x:v>
      </x:c>
    </x:row>
    <x:row r="1505" ht="32" customHeight="1">
      <x:c r="A1505" s="8" t="str">
        <x:v>0. Arhiva\5. Fotovoiltaic IPEC\Gmail\SCRIERE - EVALUARE-20240118T142809Z-001.zip</x:v>
      </x:c>
      <x:c r="B1505" s="8" t="str">
        <x:v>SCRIERE - EVALUARE/!FINAL - DE SEMNAT/23.4. Acord_angajament ipoteci - IPEC S.A..pdf</x:v>
      </x:c>
      <x:c r="C1505" s="8" t="n">
        <x:v>5087232</x:v>
      </x:c>
    </x:row>
    <x:row r="1506" ht="32" customHeight="1">
      <x:c r="A1506" s="8" t="str">
        <x:v>0. Arhiva\5. Fotovoiltaic IPEC\Gmail\SCRIERE - EVALUARE-20240118T142809Z-001.zip</x:v>
      </x:c>
      <x:c r="B1506" s="8" t="str">
        <x:v>SCRIERE - EVALUARE/!FINAL - DE SEMNAT/20. Document banca - IPEC S.A..pdf</x:v>
      </x:c>
      <x:c r="C1506" s="8" t="n">
        <x:v>174244</x:v>
      </x:c>
    </x:row>
    <x:row r="1507" ht="32" customHeight="1">
      <x:c r="A1507" s="8" t="str">
        <x:v>0. Arhiva\5. Fotovoiltaic IPEC\Gmail\SCRIERE - EVALUARE-20240118T142809Z-001.zip</x:v>
      </x:c>
      <x:c r="B1507" s="8" t="str">
        <x:v>SCRIERE - EVALUARE/!FINAL - DE SEMNAT/SEMNATE ELECTRONIC/31.4. CV - repr.tehnic - IPEC S.A.-semnat.pdf</x:v>
      </x:c>
      <x:c r="C1507" s="8" t="n">
        <x:v>482565</x:v>
      </x:c>
    </x:row>
    <x:row r="1508" ht="32" customHeight="1">
      <x:c r="A1508" s="8" t="str">
        <x:v>0. Arhiva\5. Fotovoiltaic IPEC\Gmail\SCRIERE - EVALUARE-20240118T142809Z-001.zip</x:v>
      </x:c>
      <x:c r="B1508" s="8" t="str">
        <x:v>SCRIERE - EVALUARE/!FINAL - DE SEMNAT/SEMNATE ELECTRONIC/31.3.1. Fisa post - repr.achizitii - IPEC S.A.-semnat.pdf</x:v>
      </x:c>
      <x:c r="C1508" s="8" t="n">
        <x:v>585715</x:v>
      </x:c>
    </x:row>
    <x:row r="1509" ht="32" customHeight="1">
      <x:c r="A1509" s="8" t="str">
        <x:v>0. Arhiva\5. Fotovoiltaic IPEC\Gmail\SCRIERE - EVALUARE-20240118T142809Z-001.zip</x:v>
      </x:c>
      <x:c r="B1509" s="8" t="str">
        <x:v>SCRIERE - EVALUARE/!FINAL - DE SEMNAT/SEMNATE ELECTRONIC/31.3. CV - repr.achizitii - IPEC S.A.-semnat.pdf</x:v>
      </x:c>
      <x:c r="C1509" s="8" t="n">
        <x:v>691019</x:v>
      </x:c>
    </x:row>
    <x:row r="1510" ht="32" customHeight="1">
      <x:c r="A1510" s="8" t="str">
        <x:v>0. Arhiva\5. Fotovoiltaic IPEC\Gmail\SCRIERE - EVALUARE-20240118T142809Z-001.zip</x:v>
      </x:c>
      <x:c r="B1510" s="8" t="str">
        <x:v>SCRIERE - EVALUARE/!FINAL - DE SEMNAT/SEMNATE ELECTRONIC/33. Analiza institutionala - IPEC S.A.semnat.pdf</x:v>
      </x:c>
      <x:c r="C1510" s="8" t="n">
        <x:v>200881</x:v>
      </x:c>
    </x:row>
    <x:row r="1511" ht="32" customHeight="1">
      <x:c r="A1511" s="8" t="str">
        <x:v>0. Arhiva\5. Fotovoiltaic IPEC\Gmail\SCRIERE - EVALUARE-20240118T142809Z-001.zip</x:v>
      </x:c>
      <x:c r="B1511" s="8" t="str">
        <x:v>SCRIERE - EVALUARE/!FINAL - DE SEMNAT/30.3. Atributii si responsabilitati UIP - IPEC S.A..pdf</x:v>
      </x:c>
      <x:c r="C1511" s="8" t="n">
        <x:v>1831475</x:v>
      </x:c>
    </x:row>
    <x:row r="1512" ht="32" customHeight="1">
      <x:c r="A1512" s="8" t="str">
        <x:v>0. Arhiva\5. Fotovoiltaic IPEC\Gmail\SCRIERE - EVALUARE-20240118T142809Z-001.zip</x:v>
      </x:c>
      <x:c r="B1512" s="8" t="str">
        <x:v>SCRIERE - EVALUARE/!FINAL - DE SEMNAT/21. Situatii financiare_2019_2020_2021 - IPEC S.A..pdf</x:v>
      </x:c>
      <x:c r="C1512" s="8" t="n">
        <x:v>1723105</x:v>
      </x:c>
    </x:row>
    <x:row r="1513" ht="32" customHeight="1">
      <x:c r="A1513" s="8" t="str">
        <x:v>0. Arhiva\5. Fotovoiltaic IPEC\Gmail\SCRIERE - EVALUARE-20240118T142809Z-001.zip</x:v>
      </x:c>
      <x:c r="B1513" s="8" t="str">
        <x:v>SCRIERE - EVALUARE/!FINAL - DE SEMNAT/SEMNATE ELECTRONIC/31.2.1. Fisa post - repr.financiar - IPEC S.A.-semnat.pdf</x:v>
      </x:c>
      <x:c r="C1513" s="8" t="n">
        <x:v>631459</x:v>
      </x:c>
    </x:row>
    <x:row r="1514" ht="32" customHeight="1">
      <x:c r="A1514" s="8" t="str">
        <x:v>0. Arhiva\5. Fotovoiltaic IPEC\Gmail\SCRIERE - EVALUARE-20240118T142809Z-001.zip</x:v>
      </x:c>
      <x:c r="B1514" s="8" t="str">
        <x:v>SCRIERE - EVALUARE/!FINAL - DE SEMNAT/6.3. Anexa 3.d - Declaratie conflict de interese - repr.achizitii - IPEC S.A..pdf</x:v>
      </x:c>
      <x:c r="C1514" s="8" t="n">
        <x:v>223140</x:v>
      </x:c>
    </x:row>
    <x:row r="1515" ht="32" customHeight="1">
      <x:c r="A1515" s="8" t="str">
        <x:v>0. Arhiva\5. Fotovoiltaic IPEC\Gmail\SCRIERE - EVALUARE-20240118T142809Z-001.zip</x:v>
      </x:c>
      <x:c r="B1515" s="8" t="str">
        <x:v>SCRIERE - EVALUARE/!FINAL - DE SEMNAT/6.2. Anexa 3.d - Declaratie conflict de interese - repr.financiar - IPEC S.A..pdf</x:v>
      </x:c>
      <x:c r="C1515" s="8" t="n">
        <x:v>230820</x:v>
      </x:c>
    </x:row>
    <x:row r="1516" ht="32" customHeight="1">
      <x:c r="A1516" s="8" t="str">
        <x:v>0. Arhiva\5. Fotovoiltaic IPEC\Gmail\SCRIERE - EVALUARE-20240118T142809Z-001.zip</x:v>
      </x:c>
      <x:c r="B1516" s="8" t="str">
        <x:v>SCRIERE - EVALUARE/!FINAL - DE SEMNAT/FORMULAR DEPUNERE/FormularDepunereOriginal_6698299_20220621175723.pdf</x:v>
      </x:c>
      <x:c r="C1516" s="8" t="n">
        <x:v>201079</x:v>
      </x:c>
    </x:row>
    <x:row r="1517" ht="32" customHeight="1">
      <x:c r="A1517" s="8" t="str">
        <x:v>0. Arhiva\5. Fotovoiltaic IPEC\Gmail\SCRIERE - EVALUARE-20240118T142809Z-001.zip</x:v>
      </x:c>
      <x:c r="B1517" s="8" t="str">
        <x:v>SCRIERE - EVALUARE/!FINAL - DE SEMNAT/27. Dovada initiere proces ANPM - IPEC S.A..pdf</x:v>
      </x:c>
      <x:c r="C1517" s="8" t="n">
        <x:v>349604</x:v>
      </x:c>
    </x:row>
    <x:row r="1518" ht="32" customHeight="1">
      <x:c r="A1518" s="8" t="str">
        <x:v>0. Arhiva\5. Fotovoiltaic IPEC\Gmail\SCRIERE - EVALUARE-20240118T142809Z-001.zip</x:v>
      </x:c>
      <x:c r="B1518" s="8" t="str">
        <x:v>SCRIERE - EVALUARE/!FINAL - DE SEMNAT/13.2. Studiu de fezabilitate_parti desenate - IPEC S.A..pdf</x:v>
      </x:c>
      <x:c r="C1518" s="8" t="n">
        <x:v>10341834</x:v>
      </x:c>
    </x:row>
    <x:row r="1519" ht="32" customHeight="1">
      <x:c r="A1519" s="8" t="str">
        <x:v>0. Arhiva\5. Fotovoiltaic IPEC\Gmail\SCRIERE - EVALUARE-20240118T142809Z-001.zip</x:v>
      </x:c>
      <x:c r="B1519" s="8" t="str">
        <x:v>SCRIERE - EVALUARE/!FINAL - DE SEMNAT/De semnat iar/12. Anexa 6.2 - Autoevaluare DNSH - IPEC S.A.pdf</x:v>
      </x:c>
      <x:c r="C1519" s="8" t="n">
        <x:v>379346</x:v>
      </x:c>
    </x:row>
    <x:row r="1520" ht="32" customHeight="1">
      <x:c r="A1520" s="8" t="str">
        <x:v>0. Arhiva\5. Fotovoiltaic IPEC\Gmail\SCRIERE - EVALUARE-20240118T142809Z-001.zip</x:v>
      </x:c>
      <x:c r="B1520" s="8" t="str">
        <x:v>SCRIERE - EVALUARE/!FINAL - DE SEMNAT/De semnat iar/12. Anexa 6.2 - Autoevaluare DNSH - IPEC S.A-semnat.pdf</x:v>
      </x:c>
      <x:c r="C1520" s="8" t="n">
        <x:v>456017</x:v>
      </x:c>
    </x:row>
    <x:row r="1521" ht="32" customHeight="1">
      <x:c r="A1521" s="8" t="str">
        <x:v>0. Arhiva\5. Fotovoiltaic IPEC\Gmail\SCRIERE - EVALUARE-20240118T142809Z-001.zip</x:v>
      </x:c>
      <x:c r="B1521" s="8" t="str">
        <x:v>SCRIERE - EVALUARE/!FINAL - DE SEMNAT/SEMNATE ELECTRONIC/31.1.1. Fisa post - manag.proiect - IPEC S.A.-semnat.pdf</x:v>
      </x:c>
      <x:c r="C1521" s="8" t="n">
        <x:v>635318</x:v>
      </x:c>
    </x:row>
    <x:row r="1522" ht="32" customHeight="1">
      <x:c r="A1522" s="8" t="str">
        <x:v>0. Arhiva\5. Fotovoiltaic IPEC\Gmail\SCRIERE - EVALUARE-20240118T142809Z-001.zip</x:v>
      </x:c>
      <x:c r="B1522" s="8" t="str">
        <x:v>SCRIERE - EVALUARE/!FINAL - DE SEMNAT/24.3. Certificat urbanism 3 - IPEC S.A..pdf</x:v>
      </x:c>
      <x:c r="C1522" s="8" t="n">
        <x:v>2978403</x:v>
      </x:c>
    </x:row>
    <x:row r="1523" ht="32" customHeight="1">
      <x:c r="A1523" s="8" t="str">
        <x:v>0. Arhiva\5. Fotovoiltaic IPEC\Gmail\SCRIERE - EVALUARE-20240118T142809Z-001.zip</x:v>
      </x:c>
      <x:c r="B1523" s="8" t="str">
        <x:v>SCRIERE - EVALUARE/!FINAL - DE SEMNAT/31.1. CV - manag.proiect - IPEC S.A..pdf</x:v>
      </x:c>
      <x:c r="C1523" s="8" t="n">
        <x:v>952791</x:v>
      </x:c>
    </x:row>
    <x:row r="1524" ht="32" customHeight="1">
      <x:c r="A1524" s="8" t="str">
        <x:v>0. Arhiva\5. Fotovoiltaic IPEC\Gmail\SCRIERE - EVALUARE-20240118T142809Z-001.zip</x:v>
      </x:c>
      <x:c r="B1524" s="8" t="str">
        <x:v>SCRIERE - EVALUARE/!FINAL - DE SEMNAT/SEMNATE ELECTRONIC/30.2. Componenta UIP in format tabular - IPEC S.A.-semnat.pdf</x:v>
      </x:c>
      <x:c r="C1524" s="8" t="n">
        <x:v>259646</x:v>
      </x:c>
    </x:row>
    <x:row r="1525" ht="32" customHeight="1">
      <x:c r="A1525" s="8" t="str">
        <x:v>0. Arhiva\5. Fotovoiltaic IPEC\Gmail\SCRIERE - EVALUARE-20240118T142809Z-001.zip</x:v>
      </x:c>
      <x:c r="B1525" s="8" t="str">
        <x:v>SCRIERE - EVALUARE/!FINAL - DE SEMNAT/SEMNATE ELECTRONIC/31.2. CV - repr. financiar - IPEC S.A.-semnat.pdf</x:v>
      </x:c>
      <x:c r="C1525" s="8" t="n">
        <x:v>1571154</x:v>
      </x:c>
    </x:row>
    <x:row r="1526" ht="32" customHeight="1">
      <x:c r="A1526" s="8" t="str">
        <x:v>0. Arhiva\5. Fotovoiltaic IPEC\Gmail\SCRIERE - EVALUARE-20240118T142809Z-001.zip</x:v>
      </x:c>
      <x:c r="B1526" s="8" t="str">
        <x:v>SCRIERE - EVALUARE/!FINAL - DE SEMNAT/34.2. Plan amplasare - hala 4 - IPEC S.A..pdf</x:v>
      </x:c>
      <x:c r="C1526" s="8" t="n">
        <x:v>255135</x:v>
      </x:c>
    </x:row>
    <x:row r="1527" ht="32" customHeight="1">
      <x:c r="A1527" s="8" t="str">
        <x:v>0. Arhiva\5. Fotovoiltaic IPEC\Gmail\SCRIERE - EVALUARE-20240118T142809Z-001.zip</x:v>
      </x:c>
      <x:c r="B1527" s="8" t="str">
        <x:v>SCRIERE - EVALUARE/!FINAL - DE SEMNAT/24.2. Certificat urbanism 2 - IPEC S.A..pdf</x:v>
      </x:c>
      <x:c r="C1527" s="8" t="n">
        <x:v>2861297</x:v>
      </x:c>
    </x:row>
    <x:row r="1528" ht="32" customHeight="1">
      <x:c r="A1528" s="8" t="str">
        <x:v>0. Arhiva\5. Fotovoiltaic IPEC\Gmail\SCRIERE - EVALUARE-20240118T142809Z-001.zip</x:v>
      </x:c>
      <x:c r="B1528" s="8" t="str">
        <x:v>SCRIERE - EVALUARE/!FINAL - DE SEMNAT/24.1. Certificat urbanism 1 - IPEC S.A..pdf</x:v>
      </x:c>
      <x:c r="C1528" s="8" t="n">
        <x:v>2857489</x:v>
      </x:c>
    </x:row>
    <x:row r="1529" ht="32" customHeight="1">
      <x:c r="A1529" s="8" t="str">
        <x:v>0. Arhiva\5. Fotovoiltaic IPEC\Gmail\SCRIERE - EVALUARE-20240118T142809Z-001.zip</x:v>
      </x:c>
      <x:c r="B1529" s="8" t="str">
        <x:v>SCRIERE - EVALUARE/!FINAL - DE SEMNAT/SEMNATE ELECTRONIC/31.1. CV - manag.proiect - IPEC S.A.-semnat.pdf</x:v>
      </x:c>
      <x:c r="C1529" s="8" t="n">
        <x:v>1033302</x:v>
      </x:c>
    </x:row>
    <x:row r="1530" ht="32" customHeight="1">
      <x:c r="A1530" s="8" t="str">
        <x:v>0. Arhiva\5. Fotovoiltaic IPEC\Gmail\SCRIERE - EVALUARE-20240118T142809Z-001.zip</x:v>
      </x:c>
      <x:c r="B1530" s="8" t="str">
        <x:v>SCRIERE - EVALUARE/!FINAL - DE SEMNAT/35. Documentele privind harta zona proiect si geolocalizare - IPEC S.A..pdf</x:v>
      </x:c>
      <x:c r="C1530" s="8" t="n">
        <x:v>197292</x:v>
      </x:c>
    </x:row>
    <x:row r="1531" ht="32" customHeight="1">
      <x:c r="A1531" s="8" t="str">
        <x:v>0. Arhiva\5. Fotovoiltaic IPEC\Gmail\SCRIERE - EVALUARE-20240118T142809Z-001.zip</x:v>
      </x:c>
      <x:c r="B1531" s="8" t="str">
        <x:v>SCRIERE - EVALUARE/!FINAL - DE SEMNAT/SEMNATE ELECTRONIC/30.1. Decizia privind înființarea UIP - IPEC S.A.-semnat.pdf</x:v>
      </x:c>
      <x:c r="C1531" s="8" t="n">
        <x:v>381670</x:v>
      </x:c>
    </x:row>
    <x:row r="1532" ht="32" customHeight="1">
      <x:c r="A1532" s="8" t="str">
        <x:v>0. Arhiva\5. Fotovoiltaic IPEC\Gmail\SCRIERE - EVALUARE-20240118T142809Z-001.zip</x:v>
      </x:c>
      <x:c r="B1532" s="8" t="str">
        <x:v>SCRIERE - EVALUARE/SF/Deviz_IPEC_ALBA_Scenariul 2.xlsx</x:v>
      </x:c>
      <x:c r="C1532" s="8" t="n">
        <x:v>71739</x:v>
      </x:c>
    </x:row>
    <x:row r="1533" ht="32" customHeight="1">
      <x:c r="A1533" s="8" t="str">
        <x:v>0. Arhiva\5. Fotovoiltaic IPEC\Gmail\SCRIERE - EVALUARE-20240118T142809Z-001.zip</x:v>
      </x:c>
      <x:c r="B1533" s="8" t="str">
        <x:v>SCRIERE - EVALUARE/SF/Draft_SVT-SF-220520-12_IPEC.docx</x:v>
      </x:c>
      <x:c r="C1533" s="8" t="n">
        <x:v>6940842</x:v>
      </x:c>
    </x:row>
    <x:row r="1534" ht="32" customHeight="1">
      <x:c r="A1534" s="8" t="str">
        <x:v>0. Arhiva\5. Fotovoiltaic IPEC\Gmail\SCRIERE - EVALUARE-20240118T142809Z-001.zip</x:v>
      </x:c>
      <x:c r="B1534" s="8" t="str">
        <x:v>SCRIERE - EVALUARE/!FINAL - DE SEMNAT/34.3. Plan amplasare - hala 5 - IPEC S.A..pdf</x:v>
      </x:c>
      <x:c r="C1534" s="8" t="n">
        <x:v>247687</x:v>
      </x:c>
    </x:row>
    <x:row r="1535" ht="32" customHeight="1">
      <x:c r="A1535" s="8" t="str">
        <x:v>0. Arhiva\5. Fotovoiltaic IPEC\Gmail\SCRIERE - EVALUARE-20240118T142809Z-001.zip</x:v>
      </x:c>
      <x:c r="B1535" s="8" t="str">
        <x:v>SCRIERE - EVALUARE/!FINAL - DE SEMNAT/31.3. CV - repr.achizitii - IPEC S.A..pdf</x:v>
      </x:c>
      <x:c r="C1535" s="8" t="n">
        <x:v>610518</x:v>
      </x:c>
    </x:row>
    <x:row r="1536" ht="32" customHeight="1">
      <x:c r="A1536" s="8" t="str">
        <x:v>0. Arhiva\5. Fotovoiltaic IPEC\Gmail\SCRIERE - EVALUARE-20240118T142809Z-001.zip</x:v>
      </x:c>
      <x:c r="B1536" s="8" t="str">
        <x:v>SCRIERE - EVALUARE/!FINAL - DE SEMNAT/SEMNATE ELECTRONIC/26. Declarație privind retrocedarea - IPEC S.A.-semnat.pdf</x:v>
      </x:c>
      <x:c r="C1536" s="8" t="n">
        <x:v>201508</x:v>
      </x:c>
    </x:row>
    <x:row r="1537" ht="32" customHeight="1">
      <x:c r="A1537" s="8" t="str">
        <x:v>0. Arhiva\5. Fotovoiltaic IPEC\Gmail\SCRIERE - EVALUARE-20240118T142809Z-001.zip</x:v>
      </x:c>
      <x:c r="B1537" s="8" t="str">
        <x:v>SCRIERE - EVALUARE/!FINAL - DE SEMNAT/SEMNATE ELECTRONIC/28. Dovada depunere ATR - IPEC S.A.-semnat.pdf</x:v>
      </x:c>
      <x:c r="C1537" s="8" t="n">
        <x:v>614227</x:v>
      </x:c>
    </x:row>
    <x:row r="1538" ht="32" customHeight="1">
      <x:c r="A1538" s="8" t="str">
        <x:v>0. Arhiva\5. Fotovoiltaic IPEC\Gmail\SCRIERE - EVALUARE-20240118T142809Z-001.zip</x:v>
      </x:c>
      <x:c r="B1538" s="8" t="str">
        <x:v>SCRIERE - EVALUARE/!FINAL - DE SEMNAT/34.1. Plan amplasare - hala 1 - IPEC S.A..pdf</x:v>
      </x:c>
      <x:c r="C1538" s="8" t="n">
        <x:v>269088</x:v>
      </x:c>
    </x:row>
    <x:row r="1539" ht="32" customHeight="1">
      <x:c r="A1539" s="8" t="str">
        <x:v>0. Arhiva\5. Fotovoiltaic IPEC\Gmail\SCRIERE - EVALUARE-20240118T142809Z-001.zip</x:v>
      </x:c>
      <x:c r="B1539" s="8" t="str">
        <x:v>SCRIERE - EVALUARE/!FINAL - DE SEMNAT/SEMNATE ELECTRONIC/30.3. Atributii si responsabilitati UIP - IPEC S.A.-semnat.pdf</x:v>
      </x:c>
      <x:c r="C1539" s="8" t="n">
        <x:v>1911796</x:v>
      </x:c>
    </x:row>
    <x:row r="1540" ht="36" customHeight="1">
      <x:c r="A1540" s="8" t="str">
        <x:v>0. Arhiva\5. Fotovoiltaic IPEC\Gmail\SCRIERE - EVALUARE-20240118T142809Z-001.zip</x:v>
      </x:c>
      <x:c r="B1540" s="8" t="str">
        <x:v>SCRIERE - EVALUARE/!FINAL - DE SEMNAT/SEMNATE ELECTRONIC/25. Declarație privind disponibilitatea imobilului - IPEC S.A.-semnat.pdf</x:v>
      </x:c>
      <x:c r="C1540" s="8" t="n">
        <x:v>199889</x:v>
      </x:c>
    </x:row>
    <x:row r="1541" ht="32" customHeight="1">
      <x:c r="A1541" s="8" t="str">
        <x:v>0. Arhiva\5. Fotovoiltaic IPEC\Gmail\SCRIERE - EVALUARE-20240118T142809Z-001.zip</x:v>
      </x:c>
      <x:c r="B1541" s="8" t="str">
        <x:v>SCRIERE - EVALUARE/!FINAL - DE SEMNAT/SEMNATE ELECTRONIC/27. Dovada initiere proces ANPM - IPEC S.A.-semnat.pdf</x:v>
      </x:c>
      <x:c r="C1541" s="8" t="n">
        <x:v>430020</x:v>
      </x:c>
    </x:row>
    <x:row r="1542" ht="32" customHeight="1">
      <x:c r="A1542" s="8" t="str">
        <x:v>0. Arhiva\5. Fotovoiltaic IPEC\Gmail\SCRIERE - EVALUARE-20240118T142809Z-001.zip</x:v>
      </x:c>
      <x:c r="B1542" s="8" t="str">
        <x:v>SCRIERE - EVALUARE/!FINAL - DE SEMNAT/23.2. Extras CF - hala 4 - IPEC S.A..pdf</x:v>
      </x:c>
      <x:c r="C1542" s="8" t="n">
        <x:v>1521142</x:v>
      </x:c>
    </x:row>
    <x:row r="1543" ht="32" customHeight="1">
      <x:c r="A1543" s="8" t="str">
        <x:v>0. Arhiva\5. Fotovoiltaic IPEC\Gmail\SCRIERE - EVALUARE-20240118T142809Z-001.zip</x:v>
      </x:c>
      <x:c r="B1543" s="8" t="str">
        <x:v>SCRIERE - EVALUARE/!FINAL - DE SEMNAT/32. Organigrama societatii - IPEC S.A..pdf</x:v>
      </x:c>
      <x:c r="C1543" s="8" t="n">
        <x:v>306854</x:v>
      </x:c>
    </x:row>
    <x:row r="1544" ht="32" customHeight="1">
      <x:c r="A1544" s="8" t="str">
        <x:v>0. Arhiva\5. Fotovoiltaic IPEC\Gmail\SCRIERE - EVALUARE-20240118T142809Z-001.zip</x:v>
      </x:c>
      <x:c r="B1544" s="8" t="str">
        <x:v>SCRIERE - EVALUARE/!FINAL - DE SEMNAT/23.1. Extras CF - hala 1 - IPEC S.A..pdf</x:v>
      </x:c>
      <x:c r="C1544" s="8" t="n">
        <x:v>1242110</x:v>
      </x:c>
    </x:row>
    <x:row r="1545" ht="32" customHeight="1">
      <x:c r="A1545" s="8" t="str">
        <x:v>0. Arhiva\5. Fotovoiltaic IPEC\Gmail\SCRIERE - EVALUARE-20240118T142809Z-001.zip</x:v>
      </x:c>
      <x:c r="B1545" s="8" t="str">
        <x:v>SCRIERE - EVALUARE/!FINAL - DE SEMNAT/SEMNATE ELECTRONIC/29. Hotarare Consiliu de administratie - IPEC S.A.-semnat.pdf</x:v>
      </x:c>
      <x:c r="C1545" s="8" t="n">
        <x:v>651062</x:v>
      </x:c>
    </x:row>
    <x:row r="1546" ht="32" customHeight="1">
      <x:c r="A1546" s="8" t="str">
        <x:v>0. Arhiva\5. Fotovoiltaic IPEC\Gmail\SCRIERE - EVALUARE-20240118T142809Z-001.zip</x:v>
      </x:c>
      <x:c r="B1546" s="8" t="str">
        <x:v>SCRIERE - EVALUARE/!FINAL - DE SEMNAT/19. Certificat constatator - IPEC S.A..pdf</x:v>
      </x:c>
      <x:c r="C1546" s="8" t="n">
        <x:v>2178644</x:v>
      </x:c>
    </x:row>
    <x:row r="1547" ht="32" customHeight="1">
      <x:c r="A1547" s="8" t="str">
        <x:v>0. Arhiva\5. Fotovoiltaic IPEC\Gmail\SCRIERE - EVALUARE-20240118T142809Z-001.zip</x:v>
      </x:c>
      <x:c r="B1547" s="8" t="str">
        <x:v>SCRIERE - EVALUARE/!FINAL - DE SEMNAT/23.3. Extras CF - hala 5 - IPEC S.A..pdf</x:v>
      </x:c>
      <x:c r="C1547" s="8" t="n">
        <x:v>1335358</x:v>
      </x:c>
    </x:row>
    <x:row r="1548" ht="32" customHeight="1">
      <x:c r="A1548" s="8" t="str">
        <x:v>0. Arhiva\5. Fotovoiltaic IPEC\Gmail\SCRIERE - EVALUARE-20240118T142809Z-001.zip</x:v>
      </x:c>
      <x:c r="B1548" s="8" t="str">
        <x:v>SCRIERE - EVALUARE/!FINAL - DE SEMNAT/17. Certificat de inregistrare - IPEC S.A..pdf</x:v>
      </x:c>
      <x:c r="C1548" s="8" t="n">
        <x:v>631588</x:v>
      </x:c>
    </x:row>
    <x:row r="1549" ht="32" customHeight="1">
      <x:c r="A1549" s="8" t="str">
        <x:v>0. Arhiva\5. Fotovoiltaic IPEC\Gmail\SCRIERE - EVALUARE-20240118T142809Z-001.zip</x:v>
      </x:c>
      <x:c r="B1549" s="8" t="str">
        <x:v>SCRIERE - EVALUARE/!FINAL - DE SEMNAT/13.1. Studiu de fezabiliatate_parte scrisa - IPEC S.A..pdf</x:v>
      </x:c>
      <x:c r="C1549" s="8" t="n">
        <x:v>3465021</x:v>
      </x:c>
    </x:row>
    <x:row r="1550" ht="32" customHeight="1">
      <x:c r="A1550" s="8" t="str">
        <x:v>0. Arhiva\5. Fotovoiltaic IPEC\Gmail\SCRIERE - EVALUARE-20240118T142809Z-001.zip</x:v>
      </x:c>
      <x:c r="B1550" s="8" t="str">
        <x:v>SCRIERE - EVALUARE/!FINAL - DE SEMNAT/31.2. CV - repr. financiar - IPEC S.A..pdf</x:v>
      </x:c>
      <x:c r="C1550" s="8" t="n">
        <x:v>1490785</x:v>
      </x:c>
    </x:row>
    <x:row r="1551" ht="32" customHeight="1">
      <x:c r="A1551" s="8" t="str">
        <x:v>0. Arhiva\5. Fotovoiltaic IPEC\Gmail\SCRIERE - EVALUARE-20240118T142809Z-001.zip</x:v>
      </x:c>
      <x:c r="B1551" s="8" t="str">
        <x:v>SCRIERE - EVALUARE/!FINAL - DE SEMNAT/De semnat iar/13.1. Studiu de fezabiliatate_parte scrisa - IPEC S.A.-semnat.pdf</x:v>
      </x:c>
      <x:c r="C1551" s="8" t="n">
        <x:v>2582193</x:v>
      </x:c>
    </x:row>
    <x:row r="1552" ht="32" customHeight="1">
      <x:c r="A1552" s="8" t="str">
        <x:v>0. Arhiva\5. Fotovoiltaic IPEC\Gmail\SCRIERE - EVALUARE-20240118T142809Z-001.zip</x:v>
      </x:c>
      <x:c r="B1552" s="8" t="str">
        <x:v>SCRIERE - EVALUARE/!FINAL - DE SEMNAT/SEMNATE ELECTRONIC/23.4. Acord_angajament ipoteci - IPEC S.A.-semnat.pdf</x:v>
      </x:c>
      <x:c r="C1552" s="8" t="n">
        <x:v>5158229</x:v>
      </x:c>
    </x:row>
    <x:row r="1553" ht="32" customHeight="1">
      <x:c r="A1553" s="8" t="str">
        <x:v>0. Arhiva\5. Fotovoiltaic IPEC\Gmail\SCRIERE - EVALUARE-20240118T142809Z-001.zip</x:v>
      </x:c>
      <x:c r="B1553" s="8" t="str">
        <x:v>SCRIERE - EVALUARE/!FINAL - DE SEMNAT/SEMNATE ELECTRONIC/23.1. Extras CF - hala 1 - IPEC S.A.-semnat.pdf</x:v>
      </x:c>
      <x:c r="C1553" s="8" t="n">
        <x:v>1322567</x:v>
      </x:c>
    </x:row>
    <x:row r="1554" ht="32" customHeight="1">
      <x:c r="A1554" s="8" t="str">
        <x:v>0. Arhiva\5. Fotovoiltaic IPEC\Gmail\SCRIERE - EVALUARE-20240118T142809Z-001.zip</x:v>
      </x:c>
      <x:c r="B1554" s="8" t="str">
        <x:v>SCRIERE - EVALUARE/!FINAL - DE SEMNAT/SEMNATE ELECTRONIC/23.3. Extras CF - hala 5 - IPEC S.A.-semnat.pdf</x:v>
      </x:c>
      <x:c r="C1554" s="8" t="n">
        <x:v>1415809</x:v>
      </x:c>
    </x:row>
    <x:row r="1555" ht="32" customHeight="1">
      <x:c r="A1555" s="8" t="str">
        <x:v>0. Arhiva\5. Fotovoiltaic IPEC\Gmail\SCRIERE - EVALUARE-20240118T142809Z-001.zip</x:v>
      </x:c>
      <x:c r="B1555" s="8" t="str">
        <x:v>SCRIERE - EVALUARE/!FINAL - DE SEMNAT/SEMNATE ELECTRONIC/23.2. Extras CF - hala 4 - IPEC S.A.-semnat.pdf</x:v>
      </x:c>
      <x:c r="C1555" s="8" t="n">
        <x:v>1601591</x:v>
      </x:c>
    </x:row>
    <x:row r="1556" ht="32" customHeight="1">
      <x:c r="A1556" s="8" t="str">
        <x:v>0. Arhiva\5. Fotovoiltaic IPEC\Gmail\SCRIERE - EVALUARE-20240118T142809Z-001.zip</x:v>
      </x:c>
      <x:c r="B1556" s="8" t="str">
        <x:v>SCRIERE - EVALUARE/!FINAL - DE SEMNAT/SEMNATE ELECTRONIC/24.3. Certificat urbanism 3 - IPEC S.A.-semnat.pdf</x:v>
      </x:c>
      <x:c r="C1556" s="8" t="n">
        <x:v>3058722</x:v>
      </x:c>
    </x:row>
    <x:row r="1557" ht="32" customHeight="1">
      <x:c r="A1557" s="8" t="str">
        <x:v>0. Arhiva\5. Fotovoiltaic IPEC\Gmail\SCRIERE - EVALUARE-20240118T142809Z-001.zip</x:v>
      </x:c>
      <x:c r="B1557" s="8" t="str">
        <x:v>SCRIERE - EVALUARE/!FINAL - DE SEMNAT/SEMNATE ELECTRONIC/16. Copie act identitate repr.legal - IPEC S.A.-semnat.pdf</x:v>
      </x:c>
      <x:c r="C1557" s="8" t="n">
        <x:v>174052</x:v>
      </x:c>
    </x:row>
    <x:row r="1558" ht="32" customHeight="1">
      <x:c r="A1558" s="8" t="str">
        <x:v>0. Arhiva\5. Fotovoiltaic IPEC\Gmail\SCRIERE - EVALUARE-20240118T142809Z-001.zip</x:v>
      </x:c>
      <x:c r="B1558" s="8" t="str">
        <x:v>SCRIERE - EVALUARE/!FINAL - DE SEMNAT/De semnat iar/13.2. Studiu de fezabilitate_parti desenate - IPEC S.A.-semnat.pdf</x:v>
      </x:c>
      <x:c r="C1558" s="8" t="n">
        <x:v>2507000</x:v>
      </x:c>
    </x:row>
    <x:row r="1559" ht="32" customHeight="1">
      <x:c r="A1559" s="8" t="str">
        <x:v>0. Arhiva\5. Fotovoiltaic IPEC\Gmail\SCRIERE - EVALUARE-20240118T142809Z-001.zip</x:v>
      </x:c>
      <x:c r="B1559" s="8" t="str">
        <x:v>SCRIERE - EVALUARE/!FINAL - DE SEMNAT/SEMNATE ELECTRONIC/11. Anexa 6.1 - Declaratie DNSH - IPEC S.A-semnat.pdf</x:v>
      </x:c>
      <x:c r="C1559" s="8" t="n">
        <x:v>238938</x:v>
      </x:c>
    </x:row>
    <x:row r="1560" ht="32" customHeight="1">
      <x:c r="A1560" s="8" t="str">
        <x:v>0. Arhiva\5. Fotovoiltaic IPEC\Gmail\SCRIERE - EVALUARE-20240118T142809Z-001.zip</x:v>
      </x:c>
      <x:c r="B1560" s="8" t="str">
        <x:v>SCRIERE - EVALUARE/!FINAL - DE SEMNAT/SEMNATE ELECTRONIC/24.2. Certificat urbanism 2 - IPEC S.A.-semnat.pdf</x:v>
      </x:c>
      <x:c r="C1560" s="8" t="n">
        <x:v>2941630</x:v>
      </x:c>
    </x:row>
    <x:row r="1561" ht="32" customHeight="1">
      <x:c r="A1561" s="8" t="str">
        <x:v>0. Arhiva\5. Fotovoiltaic IPEC\Gmail\SCRIERE - EVALUARE-20240118T142809Z-001.zip</x:v>
      </x:c>
      <x:c r="B1561" s="8" t="str">
        <x:v>SCRIERE - EVALUARE/!FINAL - DE SEMNAT/SEMNATE ELECTRONIC/15.1. Analiza_Cost_Beneficiu - descriere - IPEC S.A.-semnat.pdf</x:v>
      </x:c>
      <x:c r="C1561" s="8" t="n">
        <x:v>653814</x:v>
      </x:c>
    </x:row>
    <x:row r="1562" ht="32" customHeight="1">
      <x:c r="A1562" s="8" t="str">
        <x:v>0. Arhiva\5. Fotovoiltaic IPEC\Gmail\SCRIERE - EVALUARE-20240118T142809Z-001.zip</x:v>
      </x:c>
      <x:c r="B1562" s="8" t="str">
        <x:v>SCRIERE - EVALUARE/!FINAL - DE SEMNAT/De semnat iar/13.1. Studiu de fezabiliatate_parte scrisa - IPEC S.A..pdf</x:v>
      </x:c>
      <x:c r="C1562" s="8" t="n">
        <x:v>2505381</x:v>
      </x:c>
    </x:row>
    <x:row r="1563" ht="36" customHeight="1">
      <x:c r="A1563" s="8" t="str">
        <x:v>0. Arhiva\5. Fotovoiltaic IPEC\Gmail\SCRIERE - EVALUARE-20240118T142809Z-001.zip</x:v>
      </x:c>
      <x:c r="B1563" s="8" t="str">
        <x:v>SCRIERE - EVALUARE/!FINAL - DE SEMNAT/SEMNATE ELECTRONIC/9. Anexa 3.g - Declarație evitare dubla finanțare - IPEC S.A.-semnat.pdf</x:v>
      </x:c>
      <x:c r="C1563" s="8" t="n">
        <x:v>210154</x:v>
      </x:c>
    </x:row>
    <x:row r="1564" ht="32" customHeight="1">
      <x:c r="A1564" s="8" t="str">
        <x:v>0. Arhiva\5. Fotovoiltaic IPEC\Gmail\SCRIERE - EVALUARE-20240118T142809Z-001.zip</x:v>
      </x:c>
      <x:c r="B1564" s="8" t="str">
        <x:v>SCRIERE - EVALUARE/!FINAL - DE SEMNAT/SEMNATE ELECTRONIC/17. Certificat de inregistrare - IPEC S.A.-semnat.pdf</x:v>
      </x:c>
      <x:c r="C1564" s="8" t="n">
        <x:v>712167</x:v>
      </x:c>
    </x:row>
    <x:row r="1565" ht="32" customHeight="1">
      <x:c r="A1565" s="8" t="str">
        <x:v>0. Arhiva\5. Fotovoiltaic IPEC\Gmail\SCRIERE - EVALUARE-20240118T142809Z-001.zip</x:v>
      </x:c>
      <x:c r="B1565" s="8" t="str">
        <x:v>SCRIERE - EVALUARE/!FINAL - DE SEMNAT/SEMNATE ELECTRONIC/14.2. Deviz_Scenariul 2 - IPEC S.A-semnat.pdf</x:v>
      </x:c>
      <x:c r="C1565" s="8" t="n">
        <x:v>704981</x:v>
      </x:c>
    </x:row>
    <x:row r="1566" ht="32" customHeight="1">
      <x:c r="A1566" s="8" t="str">
        <x:v>0. Arhiva\5. Fotovoiltaic IPEC\Gmail\SCRIERE - EVALUARE-20240118T142809Z-001.zip</x:v>
      </x:c>
      <x:c r="B1566" s="8" t="str">
        <x:v>SCRIERE - EVALUARE/!FINAL - DE SEMNAT/SEMNATE ELECTRONIC/12. Anexa 6.2 - Autoevaluare DNSH - IPEC S.A-semnat.pdf</x:v>
      </x:c>
      <x:c r="C1566" s="8" t="n">
        <x:v>438290</x:v>
      </x:c>
    </x:row>
    <x:row r="1567" ht="36" customHeight="1">
      <x:c r="A1567" s="8" t="str">
        <x:v>0. Arhiva\5. Fotovoiltaic IPEC\Gmail\SCRIERE - EVALUARE-20240118T142809Z-001.zip</x:v>
      </x:c>
      <x:c r="B1567" s="8" t="str">
        <x:v>SCRIERE - EVALUARE/!FINAL - DE SEMNAT/SEMNATE ELECTRONIC/10. Anexa 5 - Declaratie consimtamant prelucrare date - IPEC S.A.-semnat.pdf</x:v>
      </x:c>
      <x:c r="C1567" s="8" t="n">
        <x:v>271841</x:v>
      </x:c>
    </x:row>
    <x:row r="1568" ht="36" customHeight="1">
      <x:c r="A1568" s="8" t="str">
        <x:v>0. Arhiva\5. Fotovoiltaic IPEC\Gmail\SCRIERE - EVALUARE-20240118T142809Z-001.zip</x:v>
      </x:c>
      <x:c r="B1568" s="8" t="str">
        <x:v>SCRIERE - EVALUARE/!FINAL - DE SEMNAT/SEMNATE ELECTRONIC/8. Anexa 3.f - Declarație scop producere energie electrică - IPEC S.A.-semnat.pdf</x:v>
      </x:c>
      <x:c r="C1568" s="8" t="n">
        <x:v>182226</x:v>
      </x:c>
    </x:row>
    <x:row r="1569" ht="36" customHeight="1">
      <x:c r="A1569" s="8" t="str">
        <x:v>0. Arhiva\5. Fotovoiltaic IPEC\Gmail\SCRIERE - EVALUARE-20240118T142809Z-001.zip</x:v>
      </x:c>
      <x:c r="B1569" s="8" t="str">
        <x:v>SCRIERE - EVALUARE/!FINAL - DE SEMNAT/SEMNATE ELECTRONIC/6.4. Anexa 3.d - Declaratie conflict de interese - repr.tehnic - IPEC S.A.-semnat.pdf</x:v>
      </x:c>
      <x:c r="C1569" s="8" t="n">
        <x:v>305446</x:v>
      </x:c>
    </x:row>
    <x:row r="1570" ht="36" customHeight="1">
      <x:c r="A1570" s="8" t="str">
        <x:v>0. Arhiva\5. Fotovoiltaic IPEC\Gmail\SCRIERE - EVALUARE-20240118T142809Z-001.zip</x:v>
      </x:c>
      <x:c r="B1570" s="8" t="str">
        <x:v>SCRIERE - EVALUARE/!FINAL - DE SEMNAT/SEMNATE ELECTRONIC/7. Anexa 3.e - Declaraţie privind tipul întreprinderii - IPEC S.A-semnat.pdf</x:v>
      </x:c>
      <x:c r="C1570" s="8" t="n">
        <x:v>306691</x:v>
      </x:c>
    </x:row>
    <x:row r="1571" ht="36" customHeight="1">
      <x:c r="A1571" s="8" t="str">
        <x:v>0. Arhiva\5. Fotovoiltaic IPEC\Gmail\SCRIERE - EVALUARE-20240118T142809Z-001.zip</x:v>
      </x:c>
      <x:c r="B1571" s="8" t="str">
        <x:v>SCRIERE - EVALUARE/!FINAL - DE SEMNAT/SEMNATE ELECTRONIC/6.3. Anexa 3.d - Declaratie conflict de interese - repr.achizitii - IPEC S.A.-semnat.pdf</x:v>
      </x:c>
      <x:c r="C1571" s="8" t="n">
        <x:v>303555</x:v>
      </x:c>
    </x:row>
    <x:row r="1572" ht="32" customHeight="1">
      <x:c r="A1572" s="8" t="str">
        <x:v>0. Arhiva\5. Fotovoiltaic IPEC\Gmail\SCRIERE - EVALUARE-20240118T142809Z-001.zip</x:v>
      </x:c>
      <x:c r="B1572" s="8" t="str">
        <x:v>SCRIERE - EVALUARE/De semnat olograf/Decizie AGA.pdf</x:v>
      </x:c>
      <x:c r="C1572" s="8" t="n">
        <x:v>570511</x:v>
      </x:c>
    </x:row>
    <x:row r="1573" ht="32" customHeight="1">
      <x:c r="A1573" s="8" t="str">
        <x:v>0. Arhiva\5. Fotovoiltaic IPEC\Gmail\SCRIERE - EVALUARE-20240118T142809Z-001.zip</x:v>
      </x:c>
      <x:c r="B1573" s="8" t="str">
        <x:v>SCRIERE - EVALUARE/!FINAL - DE SEMNAT/SEMNATE ELECTRONIC/14.1. Deviz_Scenariul 1 - IPEC S.A-semnat.pdf</x:v>
      </x:c>
      <x:c r="C1573" s="8" t="n">
        <x:v>699772</x:v>
      </x:c>
    </x:row>
    <x:row r="1574" ht="32" customHeight="1">
      <x:c r="A1574" s="8" t="str">
        <x:v>0. Arhiva\5. Fotovoiltaic IPEC\Gmail\SCRIERE - EVALUARE-20240118T142809Z-001.zip</x:v>
      </x:c>
      <x:c r="B1574" s="8" t="str">
        <x:v>SCRIERE - EVALUARE/!FINAL - DE SEMNAT/22. Documentele imobile - IPEC S.A..pdf</x:v>
      </x:c>
      <x:c r="C1574" s="8" t="n">
        <x:v>3993322</x:v>
      </x:c>
    </x:row>
    <x:row r="1575" ht="32" customHeight="1">
      <x:c r="A1575" s="8" t="str">
        <x:v>0. Arhiva\5. Fotovoiltaic IPEC\Gmail\SCRIERE - EVALUARE-20240118T142809Z-001.zip</x:v>
      </x:c>
      <x:c r="B1575" s="8" t="str">
        <x:v>SCRIERE - EVALUARE/!FINAL - DE SEMNAT/SEMNATE ELECTRONIC/18. Act constitutiv - IPEC S.A.-semnat.pdf</x:v>
      </x:c>
      <x:c r="C1575" s="8" t="n">
        <x:v>7529435</x:v>
      </x:c>
    </x:row>
    <x:row r="1576" ht="32" customHeight="1">
      <x:c r="A1576" s="8" t="str">
        <x:v>0. Arhiva\5. Fotovoiltaic IPEC\Gmail\SCRIERE - EVALUARE-20240118T142809Z-001.zip</x:v>
      </x:c>
      <x:c r="B1576" s="8" t="str">
        <x:v>SCRIERE - EVALUARE/!FINAL - DE SEMNAT/SEMNATE ELECTRONIC/20. Document banca - IPEC S.A.-semnat.pdf</x:v>
      </x:c>
      <x:c r="C1576" s="8" t="n">
        <x:v>254672</x:v>
      </x:c>
    </x:row>
    <x:row r="1577" ht="36" customHeight="1">
      <x:c r="A1577" s="8" t="str">
        <x:v>0. Arhiva\5. Fotovoiltaic IPEC\Gmail\SCRIERE - EVALUARE-20240118T142809Z-001.zip</x:v>
      </x:c>
      <x:c r="B1577" s="8" t="str">
        <x:v>SCRIERE - EVALUARE/!FINAL - DE SEMNAT/SEMNATE ELECTRONIC/6.1. Anexa 3.d - Declaratie conflict de interese - manag.de proiect - IPEC S.A.-semnat.pdf</x:v>
      </x:c>
      <x:c r="C1577" s="8" t="n">
        <x:v>309345</x:v>
      </x:c>
    </x:row>
    <x:row r="1578" ht="32" customHeight="1">
      <x:c r="A1578" s="8" t="str">
        <x:v>0. Arhiva\5. Fotovoiltaic IPEC\Gmail\SCRIERE - EVALUARE-20240118T142809Z-001.zip</x:v>
      </x:c>
      <x:c r="B1578" s="8" t="str">
        <x:v>SCRIERE - EVALUARE/De semnat olograf/Hotarare Consiliului de administratie_aprobare proiect - 21.06.docx</x:v>
      </x:c>
      <x:c r="C1578" s="8" t="n">
        <x:v>31973</x:v>
      </x:c>
    </x:row>
    <x:row r="1579" ht="32" customHeight="1">
      <x:c r="A1579" s="8" t="str">
        <x:v>0. Arhiva\5. Fotovoiltaic IPEC\Gmail\SCRIERE - EVALUARE-20240118T142809Z-001.zip</x:v>
      </x:c>
      <x:c r="B1579" s="8" t="str">
        <x:v>SCRIERE - EVALUARE/De semnat olograf/semnate/decizie.pdf</x:v>
      </x:c>
      <x:c r="C1579" s="8" t="n">
        <x:v>301252</x:v>
      </x:c>
    </x:row>
    <x:row r="1580" ht="36" customHeight="1">
      <x:c r="A1580" s="8" t="str">
        <x:v>0. Arhiva\5. Fotovoiltaic IPEC\Gmail\SCRIERE - EVALUARE-20240118T142809Z-001.zip</x:v>
      </x:c>
      <x:c r="B1580" s="8" t="str">
        <x:v>SCRIERE - EVALUARE/!FINAL - DE SEMNAT/SEMNATE ELECTRONIC/6.2. Anexa 3.d - Declaratie conflict de interese - repr.financiar - IPEC S.A.-semnat.pdf</x:v>
      </x:c>
      <x:c r="C1580" s="8" t="n">
        <x:v>311237</x:v>
      </x:c>
    </x:row>
    <x:row r="1581" ht="32" customHeight="1">
      <x:c r="A1581" s="8" t="str">
        <x:v>0. Arhiva\5. Fotovoiltaic IPEC\Gmail\SCRIERE - EVALUARE-20240118T142809Z-001.zip</x:v>
      </x:c>
      <x:c r="B1581" s="8" t="str">
        <x:v>SCRIERE - EVALUARE/!FINAL - DE SEMNAT/SEMNATE ELECTRONIC/19. Certificat constatator - IPEC S.A.-semnat.pdf</x:v>
      </x:c>
      <x:c r="C1581" s="8" t="n">
        <x:v>2258838</x:v>
      </x:c>
    </x:row>
    <x:row r="1582" ht="32" customHeight="1">
      <x:c r="A1582" s="8" t="str">
        <x:v>0. Arhiva\5. Fotovoiltaic IPEC\Gmail\SCRIERE - EVALUARE-20240118T142809Z-001.zip</x:v>
      </x:c>
      <x:c r="B1582" s="8" t="str">
        <x:v>SCRIERE - EVALUARE/!FINAL - DE SEMNAT/SEMNATE ELECTRONIC/15.2. Analiza_Cost_Beneficiu - calcule - IPEC S.A.-semnat.pdf</x:v>
      </x:c>
      <x:c r="C1582" s="8" t="n">
        <x:v>615588</x:v>
      </x:c>
    </x:row>
    <x:row r="1583" ht="36" customHeight="1">
      <x:c r="A1583" s="8" t="str">
        <x:v>0. Arhiva\5. Fotovoiltaic IPEC\Gmail\SCRIERE - EVALUARE-20240118T142809Z-001.zip</x:v>
      </x:c>
      <x:c r="B1583" s="8" t="str">
        <x:v>SCRIERE - EVALUARE/!FINAL - DE SEMNAT/SEMNATE ELECTRONIC/5. Anexa 3.c - Declaraţie conformitate ajutor de stat - IPEC S.A.-semnat.pdf</x:v>
      </x:c>
      <x:c r="C1583" s="8" t="n">
        <x:v>210266</x:v>
      </x:c>
    </x:row>
    <x:row r="1584" ht="32" customHeight="1">
      <x:c r="A1584" s="8" t="str">
        <x:v>0. Arhiva\5. Fotovoiltaic IPEC\Gmail\SCRIERE - EVALUARE-20240118T142809Z-001.zip</x:v>
      </x:c>
      <x:c r="B1584" s="8" t="str">
        <x:v>SCRIERE - EVALUARE/!FINAL - DE SEMNAT/SEMNATE ELECTRONIC/4. Anexa 3.b - Declaraţie de angajament - IPEC S.A.-semnat.pdf</x:v>
      </x:c>
      <x:c r="C1584" s="8" t="n">
        <x:v>241521</x:v>
      </x:c>
    </x:row>
    <x:row r="1585" ht="32" customHeight="1">
      <x:c r="A1585" s="8" t="str">
        <x:v>0. Arhiva\5. Fotovoiltaic IPEC\Gmail\SCRIERE - EVALUARE-20240118T142809Z-001.zip</x:v>
      </x:c>
      <x:c r="B1585" s="8" t="str">
        <x:v>SCRIERE - EVALUARE/De semnat olograf/6.4. Anexa 3.d - Declarație conflict de interese - repr.tehnic.pdf</x:v>
      </x:c>
      <x:c r="C1585" s="8" t="n">
        <x:v>134809</x:v>
      </x:c>
    </x:row>
    <x:row r="1586" ht="32" customHeight="1">
      <x:c r="A1586" s="8" t="str">
        <x:v>0. Arhiva\5. Fotovoiltaic IPEC\Gmail\SCRIERE - EVALUARE-20240118T142809Z-001.zip</x:v>
      </x:c>
      <x:c r="B1586" s="8" t="str">
        <x:v>SCRIERE - EVALUARE/De semnat olograf/semnate/componenta UIP in format tabular.pdf</x:v>
      </x:c>
      <x:c r="C1586" s="8" t="n">
        <x:v>179236</x:v>
      </x:c>
    </x:row>
    <x:row r="1587" ht="32" customHeight="1">
      <x:c r="A1587" s="8" t="str">
        <x:v>0. Arhiva\5. Fotovoiltaic IPEC\Gmail\SCRIERE - EVALUARE-20240118T142809Z-001.zip</x:v>
      </x:c>
      <x:c r="B1587" s="8" t="str">
        <x:v>SCRIERE - EVALUARE/!FINAL - DE SEMNAT/SEMNATE ELECTRONIC/3. Anexa 3.a - Declaraţie de eligibilitate - IPEC S.A.-semnat.pdf</x:v>
      </x:c>
      <x:c r="C1587" s="8" t="n">
        <x:v>219151</x:v>
      </x:c>
    </x:row>
    <x:row r="1588" ht="32" customHeight="1">
      <x:c r="A1588" s="8" t="str">
        <x:v>0. Arhiva\5. Fotovoiltaic IPEC\Gmail\SCRIERE - EVALUARE-20240118T142809Z-001.zip</x:v>
      </x:c>
      <x:c r="B1588" s="8" t="str">
        <x:v>SCRIERE - EVALUARE/De semnat olograf/semnate/fisa Post Cristian Covaciu.pdf</x:v>
      </x:c>
      <x:c r="C1588" s="8" t="n">
        <x:v>554772</x:v>
      </x:c>
    </x:row>
    <x:row r="1589" ht="32" customHeight="1">
      <x:c r="A1589" s="8" t="str">
        <x:v>0. Arhiva\5. Fotovoiltaic IPEC\Gmail\SCRIERE - EVALUARE-20240118T142809Z-001.zip</x:v>
      </x:c>
      <x:c r="B1589" s="8" t="str">
        <x:v>SCRIERE - EVALUARE/De semnat olograf/Hotarare Consiliului de administratie_aprobare proiect.docx</x:v>
      </x:c>
      <x:c r="C1589" s="8" t="n">
        <x:v>31839</x:v>
      </x:c>
    </x:row>
    <x:row r="1590" ht="32" customHeight="1">
      <x:c r="A1590" s="8" t="str">
        <x:v>0. Arhiva\5. Fotovoiltaic IPEC\Gmail\SCRIERE - EVALUARE-20240118T142809Z-001.zip</x:v>
      </x:c>
      <x:c r="B1590" s="8" t="str">
        <x:v>SCRIERE - EVALUARE/De semnat olograf/6.2. Anexa 3.d - Declarație conflict de interese - resp.achizitii.pdf</x:v>
      </x:c>
      <x:c r="C1590" s="8" t="n">
        <x:v>136022</x:v>
      </x:c>
    </x:row>
    <x:row r="1591" ht="32" customHeight="1">
      <x:c r="A1591" s="8" t="str">
        <x:v>0. Arhiva\5. Fotovoiltaic IPEC\Gmail\SCRIERE - EVALUARE-20240118T142809Z-001.zip</x:v>
      </x:c>
      <x:c r="B1591" s="8" t="str">
        <x:v>SCRIERE - EVALUARE/!FINAL - DE SEMNAT/SEMNATE ELECTRONIC/21. Situatii financiare_2019_2020_2021 - IPEC S.A.-semnat.pdf</x:v>
      </x:c>
      <x:c r="C1591" s="8" t="n">
        <x:v>1791942</x:v>
      </x:c>
    </x:row>
    <x:row r="1592" ht="36" customHeight="1">
      <x:c r="A1592" s="8" t="str">
        <x:v>0. Arhiva\5. Fotovoiltaic IPEC\Gmail\SCRIERE - EVALUARE-20240118T142809Z-001.zip</x:v>
      </x:c>
      <x:c r="B1592" s="8" t="str">
        <x:v>SCRIERE - EVALUARE/!FINAL - DE SEMNAT/SEMNATE ELECTRONIC/2. Anexa 1a - Conformitatea cu regulile de exceptare - IPEC S.A.-semnat.pdf</x:v>
      </x:c>
      <x:c r="C1592" s="8" t="n">
        <x:v>308768</x:v>
      </x:c>
    </x:row>
    <x:row r="1593" ht="32" customHeight="1">
      <x:c r="A1593" s="8" t="str">
        <x:v>0. Arhiva\5. Fotovoiltaic IPEC\Gmail\SCRIERE - EVALUARE-20240118T142809Z-001.zip</x:v>
      </x:c>
      <x:c r="B1593" s="8" t="str">
        <x:v>SCRIERE - EVALUARE/De semnat olograf/6.1. Anexa 3.d - Declarație conflict de interese - repr.legal.pdf</x:v>
      </x:c>
      <x:c r="C1593" s="8" t="n">
        <x:v>132520</x:v>
      </x:c>
    </x:row>
    <x:row r="1594" ht="32" customHeight="1">
      <x:c r="A1594" s="8" t="str">
        <x:v>0. Arhiva\5. Fotovoiltaic IPEC\Gmail\SCRIERE - EVALUARE-20240118T142809Z-001.zip</x:v>
      </x:c>
      <x:c r="B1594" s="8" t="str">
        <x:v>SCRIERE - EVALUARE/De semnat olograf/6.3. Anexa 3.d - Declarație conflict de interese - repr.financiar.pdf</x:v>
      </x:c>
      <x:c r="C1594" s="8" t="n">
        <x:v>134816</x:v>
      </x:c>
    </x:row>
    <x:row r="1595" ht="32" customHeight="1">
      <x:c r="A1595" s="8" t="str">
        <x:v>0. Arhiva\5. Fotovoiltaic IPEC\Gmail\SCRIERE - EVALUARE-20240118T142809Z-001.zip</x:v>
      </x:c>
      <x:c r="B1595" s="8" t="str">
        <x:v>SCRIERE - EVALUARE/!FINAL - DE SEMNAT/SEMNATE ELECTRONIC/22. Documentele imobile - IPEC S.A.-semnat.pdf</x:v>
      </x:c>
      <x:c r="C1595" s="8" t="n">
        <x:v>4074515</x:v>
      </x:c>
    </x:row>
    <x:row r="1596" ht="32" customHeight="1">
      <x:c r="A1596" s="8" t="str">
        <x:v>0. Arhiva\5. Fotovoiltaic IPEC\Gmail\SCRIERE - EVALUARE-20240118T142809Z-001.zip</x:v>
      </x:c>
      <x:c r="B1596" s="8" t="str">
        <x:v>SCRIERE - EVALUARE/De semnat olograf/semnate/Declaratie privind conflictul de interese Cristian Covaciu.pdf</x:v>
      </x:c>
      <x:c r="C1596" s="8" t="n">
        <x:v>228932</x:v>
      </x:c>
    </x:row>
    <x:row r="1597" ht="32" customHeight="1">
      <x:c r="A1597" s="8" t="str">
        <x:v>0. Arhiva\5. Fotovoiltaic IPEC\Gmail\SCRIERE - EVALUARE-20240118T142809Z-001.zip</x:v>
      </x:c>
      <x:c r="B1597" s="8" t="str">
        <x:v>SCRIERE - EVALUARE/De semnat olograf/semnate/organigrama.pdf</x:v>
      </x:c>
      <x:c r="C1597" s="8" t="n">
        <x:v>202916</x:v>
      </x:c>
    </x:row>
    <x:row r="1598" ht="32" customHeight="1">
      <x:c r="A1598" s="8" t="str">
        <x:v>0. Arhiva\5. Fotovoiltaic IPEC\Gmail\SCRIERE - EVALUARE-20240118T142809Z-001.zip</x:v>
      </x:c>
      <x:c r="B1598" s="8" t="str">
        <x:v>SCRIERE - EVALUARE/De semnat olograf/semnate/atributii si responsabilitati UIP.pdf</x:v>
      </x:c>
      <x:c r="C1598" s="8" t="n">
        <x:v>1831475</x:v>
      </x:c>
    </x:row>
    <x:row r="1599" ht="32" customHeight="1">
      <x:c r="A1599" s="8" t="str">
        <x:v>0. Arhiva\5. Fotovoiltaic IPEC\Gmail\SCRIERE - EVALUARE-20240118T142809Z-001.zip</x:v>
      </x:c>
      <x:c r="B1599" s="8" t="str">
        <x:v>SCRIERE - EVALUARE/De semnat olograf/Fisa de post - Responsabil tehnic.pdf</x:v>
      </x:c>
      <x:c r="C1599" s="8" t="n">
        <x:v>153157</x:v>
      </x:c>
    </x:row>
    <x:row r="1600" ht="32" customHeight="1">
      <x:c r="A1600" s="8" t="str">
        <x:v>0. Arhiva\5. Fotovoiltaic IPEC\Gmail\SCRIERE - EVALUARE-20240118T142809Z-001.zip</x:v>
      </x:c>
      <x:c r="B1600" s="8" t="str">
        <x:v>SCRIERE - EVALUARE/De semnat olograf/semnate/Fisa post Ana Lazea.pdf</x:v>
      </x:c>
      <x:c r="C1600" s="8" t="n">
        <x:v>505166</x:v>
      </x:c>
    </x:row>
    <x:row r="1601" ht="32" customHeight="1">
      <x:c r="A1601" s="8" t="str">
        <x:v>0. Arhiva\5. Fotovoiltaic IPEC\Gmail\SCRIERE - EVALUARE-20240118T142809Z-001.zip</x:v>
      </x:c>
      <x:c r="B1601" s="8" t="str">
        <x:v>SCRIERE - EVALUARE/De semnat olograf/Fisa de post - Responsabil financiar.pdf</x:v>
      </x:c>
      <x:c r="C1601" s="8" t="n">
        <x:v>146686</x:v>
      </x:c>
    </x:row>
    <x:row r="1602" ht="32" customHeight="1">
      <x:c r="A1602" s="8" t="str">
        <x:v>0. Arhiva\5. Fotovoiltaic IPEC\Gmail\SCRIERE - EVALUARE-20240118T142809Z-001.zip</x:v>
      </x:c>
      <x:c r="B1602" s="8" t="str">
        <x:v>SCRIERE - EVALUARE/De semnat olograf/semnate/Fisa Post Nemety Adrian.pdf</x:v>
      </x:c>
      <x:c r="C1602" s="8" t="n">
        <x:v>527118</x:v>
      </x:c>
    </x:row>
    <x:row r="1603" ht="32" customHeight="1">
      <x:c r="A1603" s="8" t="str">
        <x:v>0. Arhiva\5. Fotovoiltaic IPEC\Gmail\SCRIERE - EVALUARE-20240118T142809Z-001.zip</x:v>
      </x:c>
      <x:c r="B1603" s="8" t="str">
        <x:v>SCRIERE - EVALUARE/De semnat olograf/Fisa de post - Responsabil achizitii.pdf</x:v>
      </x:c>
      <x:c r="C1603" s="8" t="n">
        <x:v>146257</x:v>
      </x:c>
    </x:row>
    <x:row r="1604" ht="32" customHeight="1">
      <x:c r="A1604" s="8" t="str">
        <x:v>0. Arhiva\5. Fotovoiltaic IPEC\Gmail\SCRIERE - EVALUARE-20240118T142809Z-001.zip</x:v>
      </x:c>
      <x:c r="B1604" s="8" t="str">
        <x:v>SCRIERE - EVALUARE/!FINAL - DE SEMNAT/SEMNATE ELECTRONIC/0. OPIS Documente - IPEC S.A.-semnat.pdf</x:v>
      </x:c>
      <x:c r="C1604" s="8" t="n">
        <x:v>233564</x:v>
      </x:c>
    </x:row>
    <x:row r="1605" ht="32" customHeight="1">
      <x:c r="A1605" s="8" t="str">
        <x:v>0. Arhiva\5. Fotovoiltaic IPEC\Gmail\SCRIERE - EVALUARE-20240118T142809Z-001.zip</x:v>
      </x:c>
      <x:c r="B1605" s="8" t="str">
        <x:v>SCRIERE - EVALUARE/De semnat olograf/Fisa de post - Manager de proiect.pdf</x:v>
      </x:c>
      <x:c r="C1605" s="8" t="n">
        <x:v>148458</x:v>
      </x:c>
    </x:row>
    <x:row r="1606" ht="32" customHeight="1">
      <x:c r="A1606" s="8" t="str">
        <x:v>0. Arhiva\5. Fotovoiltaic IPEC\Gmail\SCRIERE - EVALUARE-20240118T142809Z-001.zip</x:v>
      </x:c>
      <x:c r="B1606" s="8" t="str">
        <x:v>SCRIERE - EVALUARE/De semnat olograf/semnate/Declaratie privind conflictul de interese  - Nemety Adrian.pdf</x:v>
      </x:c>
      <x:c r="C1606" s="8" t="n">
        <x:v>225028</x:v>
      </x:c>
    </x:row>
    <x:row r="1607" ht="32" customHeight="1">
      <x:c r="A1607" s="8" t="str">
        <x:v>0. Arhiva\5. Fotovoiltaic IPEC\Gmail\SCRIERE - EVALUARE-20240118T142809Z-001.zip</x:v>
      </x:c>
      <x:c r="B1607" s="8" t="str">
        <x:v>SCRIERE - EVALUARE/De semnat olograf/semnate/Declaratie privind conflictul de interese -Ana LAZEA.pdf</x:v>
      </x:c>
      <x:c r="C1607" s="8" t="n">
        <x:v>223140</x:v>
      </x:c>
    </x:row>
    <x:row r="1608" ht="32" customHeight="1">
      <x:c r="A1608" s="8" t="str">
        <x:v>0. Arhiva\5. Fotovoiltaic IPEC\Gmail\SCRIERE - EVALUARE-20240118T142809Z-001.zip</x:v>
      </x:c>
      <x:c r="B1608" s="8" t="str">
        <x:v>SCRIERE - EVALUARE/De semnat olograf/semnate/Fisa post Stanciu Cosmina.pdf</x:v>
      </x:c>
      <x:c r="C1608" s="8" t="n">
        <x:v>550899</x:v>
      </x:c>
    </x:row>
    <x:row r="1609" ht="32" customHeight="1">
      <x:c r="A1609" s="8" t="str">
        <x:v>0. Arhiva\5. Fotovoiltaic IPEC\Gmail\SCRIERE - EVALUARE-20240118T142809Z-001.zip</x:v>
      </x:c>
      <x:c r="B1609" s="8" t="str">
        <x:v>SCRIERE - EVALUARE/De semnat olograf/2. Organigrama UIP.pdf</x:v>
      </x:c>
      <x:c r="C1609" s="8" t="n">
        <x:v>118436</x:v>
      </x:c>
    </x:row>
    <x:row r="1610" ht="32" customHeight="1">
      <x:c r="A1610" s="8" t="str">
        <x:v>0. Arhiva\5. Fotovoiltaic IPEC\Gmail\SCRIERE - EVALUARE-20240118T142809Z-001.zip</x:v>
      </x:c>
      <x:c r="B1610" s="8" t="str">
        <x:v>SCRIERE - EVALUARE/De semnat olograf/1. Componenta UIP in format tabelar.pdf</x:v>
      </x:c>
      <x:c r="C1610" s="8" t="n">
        <x:v>115095</x:v>
      </x:c>
    </x:row>
    <x:row r="1611" ht="32" customHeight="1">
      <x:c r="A1611" s="8" t="str">
        <x:v>0. Arhiva\5. Fotovoiltaic IPEC\Gmail\SCRIERE - EVALUARE-20240118T142809Z-001.zip</x:v>
      </x:c>
      <x:c r="B1611" s="8" t="str">
        <x:v>SCRIERE - EVALUARE/De semnat olograf/0.0. Decizie de infiintarea echipei de implementare a proiectului.pdf</x:v>
      </x:c>
      <x:c r="C1611" s="8" t="n">
        <x:v>104969</x:v>
      </x:c>
    </x:row>
    <x:row r="1612" ht="32" customHeight="1">
      <x:c r="A1612" s="8" t="str">
        <x:v>0. Arhiva\5. Fotovoiltaic IPEC\Gmail\SCRIERE - EVALUARE-20240118T142809Z-001.zip</x:v>
      </x:c>
      <x:c r="B1612" s="8" t="str">
        <x:v>SCRIERE - EVALUARE/De semnat olograf/semnate/Declaratie privind conflictul de interese - Cosmina Stanciu.pdf</x:v>
      </x:c>
      <x:c r="C1612" s="8" t="n">
        <x:v>230820</x:v>
      </x:c>
    </x:row>
    <x:row r="1613" ht="32" customHeight="1">
      <x:c r="A1613" s="8" t="str">
        <x:v>0. Arhiva\5. Fotovoiltaic IPEC\Gmail\SCRIERE - EVALUARE-20240118T142809Z-001.zip</x:v>
      </x:c>
      <x:c r="B1613" s="8" t="str">
        <x:v>SCRIERE - EVALUARE/De semnat olograf/0.1. Atributii si responsabilitati UIP.pdf</x:v>
      </x:c>
      <x:c r="C1613" s="8" t="n">
        <x:v>165169</x:v>
      </x:c>
    </x:row>
    <x:row r="1614" ht="32" customHeight="1">
      <x:c r="A1614" s="8" t="str">
        <x:v>0. Arhiva\5. Fotovoiltaic IPEC\Gmail\SCRIERE - EVALUARE-20240118T142809Z-001.zip</x:v>
      </x:c>
      <x:c r="B1614" s="8" t="str">
        <x:v>SCRIERE - EVALUARE/!FINAL - DE SEMNAT/SEMNATE ELECTRONIC/24.1. Certificat urbanism 1 - IPEC S.A.-semnat.pdf</x:v>
      </x:c>
      <x:c r="C1614" s="8" t="n">
        <x:v>2937804</x:v>
      </x:c>
    </x:row>
    <x:row r="1615" ht="32" customHeight="1">
      <x:c r="A1615" s="8" t="str">
        <x:v>0. Arhiva\5. Fotovoiltaic IPEC\Gmail\SCRIERE - EVALUARE-20240118T142809Z-001.zip</x:v>
      </x:c>
      <x:c r="B1615" s="8" t="str">
        <x:v>SCRIERE - EVALUARE/!FINAL - DE SEMNAT/SEMNATE ELECTRONIC/1. Anexa 1 - Formularul ofertei - IPEC S.A.-semnat.pdf</x:v>
      </x:c>
      <x:c r="C1615" s="8" t="n">
        <x:v>755606</x:v>
      </x:c>
    </x:row>
    <x:row r="1616" ht="32" customHeight="1">
      <x:c r="A1616" s="8" t="str">
        <x:v>0. Arhiva\5. Fotovoiltaic IPEC\Gmail\SCRIERE - EVALUARE-20240118T142809Z-001.zip</x:v>
      </x:c>
      <x:c r="B1616" s="8" t="str">
        <x:v>SCRIERE - EVALUARE/!FINAL - DE SEMNAT/SEMNATE ELECTRONIC/13.1. Studiu de fezabiliatate_parte scrisa - IPEC S.A.-semnat.pdf</x:v>
      </x:c>
      <x:c r="C1616" s="8" t="n">
        <x:v>3541433</x:v>
      </x:c>
    </x:row>
    <x:row r="1617" ht="32" customHeight="1">
      <x:c r="A1617" s="8" t="str">
        <x:v>0. Arhiva\5. Fotovoiltaic IPEC\Gmail\SCRIERE - EVALUARE-20240118T142809Z-001.zip</x:v>
      </x:c>
      <x:c r="B1617" s="8" t="str">
        <x:v>SCRIERE - EVALUARE/!FINAL - DE SEMNAT/De semnat iar/13.2. Studiu de fezabilitate_parti desenate - IPEC S.A..pdf</x:v>
      </x:c>
      <x:c r="C1617" s="8" t="n">
        <x:v>2430276</x:v>
      </x:c>
    </x:row>
    <x:row r="1618" ht="32" customHeight="1">
      <x:c r="A1618" s="8" t="str">
        <x:v>0. Arhiva\5. Fotovoiltaic IPEC\Gmail\SCRIERE - EVALUARE-20240118T142809Z-001.zip</x:v>
      </x:c>
      <x:c r="B1618" s="8" t="str">
        <x:v>SCRIERE - EVALUARE/Clarificare - 21.06.2023/Semnat/1. Anexa 1 Formularul ofertei_21.06.2023-semnat.pdf</x:v>
      </x:c>
      <x:c r="C1618" s="8" t="n">
        <x:v>749261</x:v>
      </x:c>
    </x:row>
    <x:row r="1619" ht="32" customHeight="1">
      <x:c r="A1619" s="8" t="str">
        <x:v>0. Arhiva\5. Fotovoiltaic IPEC\Gmail\SCRIERE - EVALUARE-20240118T142809Z-001.zip</x:v>
      </x:c>
      <x:c r="B1619" s="8" t="str">
        <x:v>SCRIERE - EVALUARE/bilant_SC IPEC SA 2021-semnat.pdf</x:v>
      </x:c>
      <x:c r="C1619" s="8" t="n">
        <x:v>19515761</x:v>
      </x:c>
    </x:row>
    <x:row r="1620" ht="32" customHeight="1">
      <x:c r="A1620" s="8" t="str">
        <x:v>0. Arhiva\5. Fotovoiltaic IPEC\Gmail\SCRIERE - EVALUARE-20240118T142809Z-001.zip</x:v>
      </x:c>
      <x:c r="B1620" s="8" t="str">
        <x:v>SCRIERE - EVALUARE/!FINAL - DE SEMNAT/SEMNATE ELECTRONIC/13.2. Studiu de fezabilitate_parti desenate - IPEC S.A.-semnat.pdf</x:v>
      </x:c>
      <x:c r="C1620" s="8" t="n">
        <x:v>10417660</x:v>
      </x:c>
    </x:row>
    <x:row r="1621" ht="36" customHeight="1">
      <x:c r="A1621" s="8" t="str">
        <x:v>0.1. Fise Tehnice\Huawei\wetransfer_sistem-de-stocare_2026-03-09_1341.zip</x:v>
      </x:c>
      <x:c r="B1621" s="8" t="str">
        <x:v>Sistem de stocare/Electric Diagram/LUNA2000-4472-2S DC main power loop single line diagram &amp; AC auxiliary power supply loop single line diagram - 20241010.pdf</x:v>
      </x:c>
      <x:c r="C1621" s="8" t="n">
        <x:v>1871062</x:v>
      </x:c>
    </x:row>
    <x:row r="1622" ht="36" customHeight="1">
      <x:c r="A1622" s="8" t="str">
        <x:v>0.1. Fise Tehnice\Huawei\wetransfer_sistem-de-stocare_2026-03-09_1341.zip</x:v>
      </x:c>
      <x:c r="B1622" s="8" t="str">
        <x:v>Sistem de stocare/Electric Diagram/LUNA2000-5015-2S DC main power loop SLD &amp; AC auxiliary power supply loop SLD &amp; External interface signal loop SLD.pdf</x:v>
      </x:c>
      <x:c r="C1622" s="8" t="n">
        <x:v>1992252</x:v>
      </x:c>
    </x:row>
    <x:row r="1623" ht="32" customHeight="1">
      <x:c r="A1623" s="8" t="str">
        <x:v>0.1. Fise Tehnice\Huawei\wetransfer_sistem-de-stocare_2026-03-09_1341.zip</x:v>
      </x:c>
      <x:c r="B1623" s="8" t="str">
        <x:v>Sistem de stocare/Foundation &amp; Site requirements/2.5 MW_5 MWh Layout(Oversea).pdf</x:v>
      </x:c>
      <x:c r="C1623" s="8" t="n">
        <x:v>345823</x:v>
      </x:c>
    </x:row>
    <x:row r="1624" ht="32" customHeight="1">
      <x:c r="A1624" s="8" t="str">
        <x:v>0.1. Fise Tehnice\Huawei\wetransfer_sistem-de-stocare_2026-03-09_1341.zip</x:v>
      </x:c>
      <x:c r="B1624" s="8" t="str">
        <x:v>Sistem de stocare/Foundation &amp; Site requirements/V2 Smart String ESS Solution Architectural Layout-ENG.pdf</x:v>
      </x:c>
      <x:c r="C1624" s="8" t="n">
        <x:v>5505905</x:v>
      </x:c>
    </x:row>
    <x:row r="1625" ht="32" customHeight="1">
      <x:c r="A1625" s="8" t="str">
        <x:v>0.1. Fise Tehnice\Huawei\wetransfer_sistem-de-stocare_2026-03-09_1341.zip</x:v>
      </x:c>
      <x:c r="B1625" s="8" t="str">
        <x:v>Sistem de stocare/Foundation &amp; Site requirements/【01】V2 Smart String ESS Container Structural Layout-ENG.pdf</x:v>
      </x:c>
      <x:c r="C1625" s="8" t="n">
        <x:v>2510324</x:v>
      </x:c>
    </x:row>
    <x:row r="1626" ht="32" customHeight="1">
      <x:c r="A1626" s="8" t="str">
        <x:v>0.1. Fise Tehnice\Huawei\wetransfer_sistem-de-stocare_2026-03-09_1341.zip</x:v>
      </x:c>
      <x:c r="B1626" s="8" t="str">
        <x:v>Sistem de stocare/Foundation &amp; Site requirements/【02】V2 Smart String ESS Earthing Diagram-ENG.pdf</x:v>
      </x:c>
      <x:c r="C1626" s="8" t="n">
        <x:v>3483930</x:v>
      </x:c>
    </x:row>
    <x:row r="1627" ht="32" customHeight="1">
      <x:c r="A1627" s="8" t="str">
        <x:v>0.1. Fise Tehnice\Huawei\wetransfer_sistem-de-stocare_2026-03-09_1341.zip</x:v>
      </x:c>
      <x:c r="B1627" s="8" t="str">
        <x:v>Sistem de stocare/Foundation &amp; Site requirements/【03】V2 Smart String ESS Drain Dimensions-ENG.pdf</x:v>
      </x:c>
      <x:c r="C1627" s="8" t="n">
        <x:v>861059</x:v>
      </x:c>
    </x:row>
    <x:row r="1628" ht="32" customHeight="1">
      <x:c r="A1628" s="8" t="str">
        <x:v>0.1. Fise Tehnice\Huawei\wetransfer_sistem-de-stocare_2026-03-09_1341.zip</x:v>
      </x:c>
      <x:c r="B1628" s="8" t="str">
        <x:v>Sistem de stocare/Foundation &amp; Site requirements/【04-1】V2 Smart String ESS Foundation Plan-Strip Solution-ENG.pdf</x:v>
      </x:c>
      <x:c r="C1628" s="8" t="n">
        <x:v>1213815</x:v>
      </x:c>
    </x:row>
    <x:row r="1629" ht="32" customHeight="1">
      <x:c r="A1629" s="8" t="str">
        <x:v>0.1. Fise Tehnice\Huawei\wetransfer_sistem-de-stocare_2026-03-09_1341.zip</x:v>
      </x:c>
      <x:c r="B1629" s="8" t="str">
        <x:v>Sistem de stocare/Foundation &amp; Site requirements/【04-2】V2 Smart String ESS Foundation Plan-Spread Solution-ENG.pdf</x:v>
      </x:c>
      <x:c r="C1629" s="8" t="n">
        <x:v>1193539</x:v>
      </x:c>
    </x:row>
    <x:row r="1630" ht="32" customHeight="1">
      <x:c r="A1630" s="8" t="str">
        <x:v>0.1. Fise Tehnice\Huawei\wetransfer_sistem-de-stocare_2026-03-09_1341.zip</x:v>
      </x:c>
      <x:c r="B1630" s="8" t="str">
        <x:v>Sistem de stocare/Foundation &amp; Site requirements/【05】V2 Smart String ESS Hoisting Diagram-ENG.pdf</x:v>
      </x:c>
      <x:c r="C1630" s="8" t="n">
        <x:v>9148259</x:v>
      </x:c>
    </x:row>
    <x:row r="1631" ht="32" customHeight="1">
      <x:c r="A1631" s="8" t="str">
        <x:v>0.1. Fise Tehnice\Huawei\wetransfer_sistem-de-stocare_2026-03-09_1341.zip</x:v>
      </x:c>
      <x:c r="B1631" s="8" t="str">
        <x:v>Sistem de stocare/Foundation &amp; Site requirements/【06】V2 Smart String ESS Clearance Requirements-ENG.pdf</x:v>
      </x:c>
      <x:c r="C1631" s="8" t="n">
        <x:v>2301665</x:v>
      </x:c>
    </x:row>
    <x:row r="1632" ht="32" customHeight="1">
      <x:c r="A1632" s="8" t="str">
        <x:v>0.1. Fise Tehnice\Huawei\wetransfer_sistem-de-stocare_2026-03-09_1341.zip</x:v>
      </x:c>
      <x:c r="B1632" s="8" t="str">
        <x:v>Sistem de stocare/Foundation &amp; Site requirements/【07】V2 Smart String ESS External Ports Diagram-ENG.pdf</x:v>
      </x:c>
      <x:c r="C1632" s="8" t="n">
        <x:v>2123689</x:v>
      </x:c>
    </x:row>
    <x:row r="1633" ht="32" customHeight="1">
      <x:c r="A1633" s="8" t="str">
        <x:v>0.1. Fise Tehnice\Huawei\wetransfer_sistem-de-stocare_2026-03-09_1341.zip</x:v>
      </x:c>
      <x:c r="B1633" s="8" t="str">
        <x:v>Sistem de stocare/PCS/LUNA2000-213KTL-H0/1. Datasheet/LUNA2000-213KTL-H0_datasheet.pdf</x:v>
      </x:c>
      <x:c r="C1633" s="8" t="n">
        <x:v>139937</x:v>
      </x:c>
    </x:row>
    <x:row r="1634" ht="36" customHeight="1">
      <x:c r="A1634" s="8" t="str">
        <x:v>0.1. Fise Tehnice\Huawei\wetransfer_sistem-de-stocare_2026-03-09_1341.zip</x:v>
      </x:c>
      <x:c r="B1634" s="8" t="str">
        <x:v>Sistem de stocare/PCS/LUNA2000-213KTL-H0/2. Manuals/LUNA2000-100KTL, 200KTL, and 213KTL Series Smart Power Control System Alarm Reference.pdf</x:v>
      </x:c>
      <x:c r="C1634" s="8" t="n">
        <x:v>328567</x:v>
      </x:c>
    </x:row>
    <x:row r="1635" ht="32" customHeight="1">
      <x:c r="A1635" s="8" t="str">
        <x:v>0.1. Fise Tehnice\Huawei\wetransfer_sistem-de-stocare_2026-03-09_1341.zip</x:v>
      </x:c>
      <x:c r="B1635" s="8" t="str">
        <x:v>Sistem de stocare/PCS/LUNA2000-213KTL-H0/2. Manuals/LUNA2000-213KTL-H0 Smart Power Control System Quick Guide_issue03.pdf</x:v>
      </x:c>
      <x:c r="C1635" s="8" t="n">
        <x:v>6547065</x:v>
      </x:c>
    </x:row>
    <x:row r="1636" ht="32" customHeight="1">
      <x:c r="A1636" s="8" t="str">
        <x:v>0.1. Fise Tehnice\Huawei\wetransfer_sistem-de-stocare_2026-03-09_1341.zip</x:v>
      </x:c>
      <x:c r="B1636" s="8" t="str">
        <x:v>Sistem de stocare/PCS/LUNA2000-213KTL-H0/2. Manuals/LUNA2000-213KTL-H0 Smart Power Control System User Manual_issue04.pdf</x:v>
      </x:c>
      <x:c r="C1636" s="8" t="n">
        <x:v>4995036</x:v>
      </x:c>
    </x:row>
    <x:row r="1637" ht="36" customHeight="1">
      <x:c r="A1637" s="8" t="str">
        <x:v>0.1. Fise Tehnice\Huawei\wetransfer_sistem-de-stocare_2026-03-09_1341.zip</x:v>
      </x:c>
      <x:c r="B1637" s="8" t="str">
        <x:v>Sistem de stocare/PCS/LUNA2000-213KTL-H0/3. Characteristic curve/Characteristics Curve of LUNA2000-213KTL-H0 - 20240731.docx.pdf</x:v>
      </x:c>
      <x:c r="C1637" s="8" t="n">
        <x:v>358102</x:v>
      </x:c>
    </x:row>
    <x:row r="1638" ht="32" customHeight="1">
      <x:c r="A1638" s="8" t="str">
        <x:v>0.1. Fise Tehnice\Huawei\wetransfer_sistem-de-stocare_2026-03-09_1341.zip</x:v>
      </x:c>
      <x:c r="B1638" s="8" t="str">
        <x:v>Sistem de stocare/PCS/LUNA2000-213KTL-H0/3. Characteristic curve/LUNA2000-213KTL-H0 Efficiency Curve 20240731.pdf</x:v>
      </x:c>
      <x:c r="C1638" s="8" t="n">
        <x:v>388552</x:v>
      </x:c>
    </x:row>
    <x:row r="1639" ht="36" customHeight="1">
      <x:c r="A1639" s="8" t="str">
        <x:v>0.1. Fise Tehnice\Huawei\wetransfer_sistem-de-stocare_2026-03-09_1341.zip</x:v>
      </x:c>
      <x:c r="B1639" s="8" t="str">
        <x:v>Sistem de stocare/PCS/LUNA2000-213KTL-H0/4. Foundations &amp; supports/LUNA2000-213KTL-H0 Center of Gravity of PCS Support 20241020.pdf</x:v>
      </x:c>
      <x:c r="C1639" s="8" t="n">
        <x:v>1062036</x:v>
      </x:c>
    </x:row>
    <x:row r="1640" ht="32" customHeight="1">
      <x:c r="A1640" s="8" t="str">
        <x:v>0.1. Fise Tehnice\Huawei\wetransfer_sistem-de-stocare_2026-03-09_1341.zip</x:v>
      </x:c>
      <x:c r="B1640" s="8" t="str">
        <x:v>Sistem de stocare/PCS/LUNA2000-213KTL-H0/4. Foundations &amp; supports/LUNA2000-213KTL-H0 PCS Hold hoop installation-20240127.dwg</x:v>
      </x:c>
      <x:c r="C1640" s="8" t="n">
        <x:v>818487</x:v>
      </x:c>
    </x:row>
    <x:row r="1641" ht="32" customHeight="1">
      <x:c r="A1641" s="8" t="str">
        <x:v>0.1. Fise Tehnice\Huawei\wetransfer_sistem-de-stocare_2026-03-09_1341.zip</x:v>
      </x:c>
      <x:c r="B1641" s="8" t="str">
        <x:v>Sistem de stocare/PCS/LUNA2000-213KTL-H0/4. Foundations &amp; supports/LUNA2000-213KTL-H0 PCS Hold hoop installation-20240127.pdf</x:v>
      </x:c>
      <x:c r="C1641" s="8" t="n">
        <x:v>114256</x:v>
      </x:c>
    </x:row>
    <x:row r="1642" ht="32" customHeight="1">
      <x:c r="A1642" s="8" t="str">
        <x:v>0.1. Fise Tehnice\Huawei\wetransfer_sistem-de-stocare_2026-03-09_1341.zip</x:v>
      </x:c>
      <x:c r="B1642" s="8" t="str">
        <x:v>Sistem de stocare/PCS/LUNA2000-213KTL-H0/4. Foundations &amp; supports/LUNA2000-213KTL-H0 PCS Support Drawing 20241020.pdf</x:v>
      </x:c>
      <x:c r="C1642" s="8" t="n">
        <x:v>1010390</x:v>
      </x:c>
    </x:row>
    <x:row r="1643" ht="36" customHeight="1">
      <x:c r="A1643" s="8" t="str">
        <x:v>0.1. Fise Tehnice\Huawei\wetransfer_sistem-de-stocare_2026-03-09_1341.zip</x:v>
      </x:c>
      <x:c r="B1643" s="8" t="str">
        <x:v>Sistem de stocare/PCS/LUNA2000-213KTL-H0/4. Foundations &amp; supports/LUNA2000-213KTL-H0 PCS Support Foundation Drawing (Pile) 20241020.dxf</x:v>
      </x:c>
      <x:c r="C1643" s="8" t="n">
        <x:v>4785679</x:v>
      </x:c>
    </x:row>
    <x:row r="1644" ht="36" customHeight="1">
      <x:c r="A1644" s="8" t="str">
        <x:v>0.1. Fise Tehnice\Huawei\wetransfer_sistem-de-stocare_2026-03-09_1341.zip</x:v>
      </x:c>
      <x:c r="B1644" s="8" t="str">
        <x:v>Sistem de stocare/PCS/LUNA2000-213KTL-H0/4. Foundations &amp; supports/LUNA2000-213KTL-H0 PCS Support Foundation Drawing (Pile) 20241020.pdf</x:v>
      </x:c>
      <x:c r="C1644" s="8" t="n">
        <x:v>315025</x:v>
      </x:c>
    </x:row>
    <x:row r="1645" ht="36" customHeight="1">
      <x:c r="A1645" s="8" t="str">
        <x:v>0.1. Fise Tehnice\Huawei\wetransfer_sistem-de-stocare_2026-03-09_1341.zip</x:v>
      </x:c>
      <x:c r="B1645" s="8" t="str">
        <x:v>Sistem de stocare/PCS/LUNA2000-213KTL-H0/4. Foundations &amp; supports/LUNA2000-213KTL-H0 PCS Support Foundation Drawing (Strip) 20241020.dxf</x:v>
      </x:c>
      <x:c r="C1645" s="8" t="n">
        <x:v>7046809</x:v>
      </x:c>
    </x:row>
    <x:row r="1646" ht="36" customHeight="1">
      <x:c r="A1646" s="8" t="str">
        <x:v>0.1. Fise Tehnice\Huawei\wetransfer_sistem-de-stocare_2026-03-09_1341.zip</x:v>
      </x:c>
      <x:c r="B1646" s="8" t="str">
        <x:v>Sistem de stocare/PCS/LUNA2000-213KTL-H0/4. Foundations &amp; supports/LUNA2000-213KTL-H0 PCS Support Foundation Drawing (Strip) 20241020.pdf</x:v>
      </x:c>
      <x:c r="C1646" s="8" t="n">
        <x:v>311914</x:v>
      </x:c>
    </x:row>
    <x:row r="1647" ht="32" customHeight="1">
      <x:c r="A1647" s="8" t="str">
        <x:v>0.1. Fise Tehnice\Huawei\wetransfer_sistem-de-stocare_2026-03-09_1341.zip</x:v>
      </x:c>
      <x:c r="B1647" s="8" t="str">
        <x:v>Sistem de stocare/PCS/LUNA2000-213KTL-H0/4. Foundations &amp; supports/LUNA2000-213KTL-H0 PCS Support Layout Drawing 20241020.pdf</x:v>
      </x:c>
      <x:c r="C1647" s="8" t="n">
        <x:v>1007819</x:v>
      </x:c>
    </x:row>
    <x:row r="1648" ht="32" customHeight="1">
      <x:c r="A1648" s="8" t="str">
        <x:v>0.1. Fise Tehnice\Huawei\wetransfer_sistem-de-stocare_2026-03-09_1341.zip</x:v>
      </x:c>
      <x:c r="B1648" s="8" t="str">
        <x:v>Sistem de stocare/PCS/LUNA2000-213KTL-H0/4. Foundations &amp; supports/PCS支架地基 PCS Support Foundation Drawing-20240123.dwg</x:v>
      </x:c>
      <x:c r="C1648" s="8" t="n">
        <x:v>218215</x:v>
      </x:c>
    </x:row>
    <x:row r="1649" ht="32" customHeight="1">
      <x:c r="A1649" s="8" t="str">
        <x:v>0.1. Fise Tehnice\Huawei\wetransfer_sistem-de-stocare_2026-03-09_1341.zip</x:v>
      </x:c>
      <x:c r="B1649" s="8" t="str">
        <x:v>Sistem de stocare/User manual/HUAWEI LUNA2000-(2236-5015) Series Smart String Grid Forming ESS User Manual.pdf</x:v>
      </x:c>
      <x:c r="C1649" s="8" t="n">
        <x:v>14644307</x:v>
      </x:c>
    </x:row>
    <x:row r="1650" ht="32" customHeight="1">
      <x:c r="A1650" s="8" t="str">
        <x:v>10. Contractare\Studiu de Solutie Documente\Confirmare SF Cesiro Production.zip</x:v>
      </x:c>
      <x:c r="B1650" s="8" t="str">
        <x:v>Confirmare SF Cesiro Production.pdf</x:v>
      </x:c>
      <x:c r="C1650" s="8" t="n">
        <x:v>970374</x:v>
      </x:c>
    </x:row>
    <x:row r="1651" ht="32" customHeight="1">
      <x:c r="A1651" s="8" t="str">
        <x:v>10. Contractare\Studiu de Solutie Documente\Confirmare SF Cesiro Production.zip</x:v>
      </x:c>
      <x:c r="B1651" s="8" t="str">
        <x:v>Pompe_de_c_ldur__ordonate.csv</x:v>
      </x:c>
      <x:c r="C1651" s="8" t="n">
        <x:v>1185</x:v>
      </x:c>
    </x:row>
    <x:row r="1652" ht="32" customHeight="1">
      <x:c r="A1652" s="8" t="str">
        <x:v>10. Contractare\Studiu de Solutie Documente\Confirmare SF Cesiro Production.zip</x:v>
      </x:c>
      <x:c r="B1652" s="8" t="str">
        <x:v>Schita Monofilara Fotovoltaice Cesiro.pdf</x:v>
      </x:c>
      <x:c r="C1652" s="8" t="n">
        <x:v>290748</x:v>
      </x:c>
    </x:row>
    <x:row r="1653" ht="32" customHeight="1">
      <x:c r="A1653" s="8" t="str">
        <x:v>10. Contractare\Studiu de Solutie Documente\Confirmare SF Cesiro Production.zip</x:v>
      </x:c>
      <x:c r="B1653" s="8" t="str">
        <x:v>ANEXA-4-ord-19-2022.docx</x:v>
      </x:c>
      <x:c r="C1653" s="8" t="n">
        <x:v>30518</x:v>
      </x:c>
    </x:row>
    <x:row r="1654" ht="32" customHeight="1">
      <x:c r="A1654" s="8" t="str">
        <x:v>10. Contractare\Studiu de Solutie Documente\Confirmare SF Cesiro Production.zip</x:v>
      </x:c>
      <x:c r="B1654" s="8" t="str">
        <x:v>ANEXA-4-ord-19-2022.pdf</x:v>
      </x:c>
      <x:c r="C1654" s="8" t="n">
        <x:v>149209</x:v>
      </x:c>
    </x:row>
    <x:row r="1655" ht="32" customHeight="1">
      <x:c r="A1655" s="8" t="str">
        <x:v>10. Contractare\Studiu de Solutie Documente\Confirmare SF Cesiro Production.zip</x:v>
      </x:c>
      <x:c r="B1655" s="8" t="str">
        <x:v>Calendarul cu date exacte din contractul de finanțare nr. CFMSES011011372801030 AFIR.docx</x:v>
      </x:c>
      <x:c r="C1655" s="8" t="n">
        <x:v>19225</x:v>
      </x:c>
    </x:row>
    <x:row r="1656" ht="32" customHeight="1">
      <x:c r="A1656" s="8" t="str">
        <x:v>10. Contractare\2. Contractul de Finantare\Semnate\AnexaI_FM semnat.zip</x:v>
      </x:c>
      <x:c r="B1656" s="8" t="str">
        <x:v>AnexaI_FM semnat.pdf</x:v>
      </x:c>
      <x:c r="C1656" s="8" t="n">
        <x:v>411053</x:v>
      </x:c>
    </x:row>
    <x:row r="1657" ht="32" customHeight="1">
      <x:c r="A1657" s="8" t="str">
        <x:v>10. Contractare\2. Contractul de Finantare\Semnate\AnexaI_FM semnat.zip</x:v>
      </x:c>
      <x:c r="B1657" s="8" t="str">
        <x:v>AnexaII_FM semnat.pdf</x:v>
      </x:c>
      <x:c r="C1657" s="8" t="n">
        <x:v>703767</x:v>
      </x:c>
    </x:row>
    <x:row r="1658" ht="32" customHeight="1">
      <x:c r="A1658" s="8" t="str">
        <x:v>10. Contractare\2. Contractul de Finantare\Semnate\AnexaI_FM semnat.zip</x:v>
      </x:c>
      <x:c r="B1658" s="8" t="str">
        <x:v>AnexaIII_FM semnat.pdf</x:v>
      </x:c>
      <x:c r="C1658" s="8" t="n">
        <x:v>317733</x:v>
      </x:c>
    </x:row>
    <x:row r="1659" ht="32" customHeight="1">
      <x:c r="A1659" s="8" t="str">
        <x:v>10. Contractare\2. Contractul de Finantare\Semnate\AnexaI_FM semnat.zip</x:v>
      </x:c>
      <x:c r="B1659" s="8" t="str">
        <x:v>AnexaIV_FM semnat.pdf</x:v>
      </x:c>
      <x:c r="C1659" s="8" t="n">
        <x:v>413742</x:v>
      </x:c>
    </x:row>
    <x:row r="1660" ht="32" customHeight="1">
      <x:c r="A1660" s="8" t="str">
        <x:v>10. Contractare\2. Contractul de Finantare\Semnate\AnexaI_FM semnat.zip</x:v>
      </x:c>
      <x:c r="B1660" s="8" t="str">
        <x:v>Contract Afir Cesiro Prod.pdf</x:v>
      </x:c>
      <x:c r="C1660" s="8" t="n">
        <x:v>1828713</x:v>
      </x:c>
    </x:row>
    <x:row r="1661" ht="32" customHeight="1">
      <x:c r="A1661" s="8" t="str">
        <x:v>10. Contractare\2. Contractul de Finantare\Semnate\AnexaI_FM semnat.zip</x:v>
      </x:c>
      <x:c r="B1661" s="8" t="str">
        <x:v>factura_proforma_24022026_145801.pdf</x:v>
      </x:c>
      <x:c r="C1661" s="8" t="n">
        <x:v>8462</x:v>
      </x:c>
    </x:row>
    <x:row r="1662" ht="32" customHeight="1">
      <x:c r="A1662" s="8" t="str">
        <x:v>10. Contractare\2. Contractul de Finantare\Semnate\AnexaI_FM semnat.zip</x:v>
      </x:c>
      <x:c r="B1662" s="8" t="str">
        <x:v>Formulare plată beneficiari schemă Energie (Actualizat 31.10.2025).rar</x:v>
      </x:c>
      <x:c r="C1662" s="8" t="n">
        <x:v>1237940</x:v>
      </x:c>
    </x:row>
    <x:row r="1663" ht="32" customHeight="1">
      <x:c r="A1663" s="8" t="str">
        <x:v>10. Contractare\2. Contractul de Finantare\Semnate\AnexaI_FM semnat.zip</x:v>
      </x:c>
      <x:c r="B1663" s="8" t="str">
        <x:v>Notificare Schimbare Structura Actionariatului Cesiro Production SRL.docx</x:v>
      </x:c>
      <x:c r="C1663" s="8" t="n">
        <x:v>18273</x:v>
      </x:c>
    </x:row>
    <x:row r="1664" ht="32" customHeight="1">
      <x:c r="A1664" s="8" t="str">
        <x:v>10. Contractare\2. Contractul de Finantare\Semnate\AnexaI_FM semnat.zip</x:v>
      </x:c>
      <x:c r="B1664" s="8" t="str">
        <x:v>Notificare Schimbare Structura Actionariatului Cesiro Production SRL.pdf</x:v>
      </x:c>
      <x:c r="C1664" s="8" t="n">
        <x:v>268586</x:v>
      </x:c>
    </x:row>
    <x:row r="1665" ht="32" customHeight="1">
      <x:c r="A1665" s="8" t="str">
        <x:v>10. Contractare\2. Contractul de Finantare\Semnate\AnexaI_FM semnat.zip</x:v>
      </x:c>
      <x:c r="B1665" s="8" t="str">
        <x:v>Proforma nr_7.pdf</x:v>
      </x:c>
      <x:c r="C1665" s="8" t="n">
        <x:v>8463</x:v>
      </x:c>
    </x:row>
    <x:row r="1666" ht="32" customHeight="1">
      <x:c r="A1666" s="8" t="str">
        <x:v>15. Implementare Proiect Fotovoltaic\3.Suntree-Neets\Decontare Neets-Suntree.zip</x:v>
      </x:c>
      <x:c r="B1666" s="8" t="str">
        <x:v>Contract de achizitie nr.1 din 19_02_2026_ Neets Fotoshooting SRL.docx</x:v>
      </x:c>
      <x:c r="C1666" s="8" t="n">
        <x:v>33823</x:v>
      </x:c>
    </x:row>
    <x:row r="1667" ht="32" customHeight="1">
      <x:c r="A1667" s="8" t="str">
        <x:v>15. Implementare Proiect Fotovoltaic\3.Suntree-Neets\Decontare Neets-Suntree.zip</x:v>
      </x:c>
      <x:c r="B1667" s="8" t="str">
        <x:v>Factura Neets-Suntree nr.16.pdf</x:v>
      </x:c>
      <x:c r="C1667" s="8" t="n">
        <x:v>7725</x:v>
      </x:c>
    </x:row>
    <x:row r="1668" ht="32" customHeight="1">
      <x:c r="A1668" s="8" t="str">
        <x:v>15. Implementare Proiect Fotovoltaic\3.Suntree-Neets\Decontare Neets-Suntree.zip</x:v>
      </x:c>
      <x:c r="B1668" s="8" t="str">
        <x:v>Proforma nr.5.pdf</x:v>
      </x:c>
      <x:c r="C1668" s="8" t="n">
        <x:v>8428</x:v>
      </x:c>
    </x:row>
    <x:row r="1669" ht="32" customHeight="1">
      <x:c r="A1669" s="8" t="str">
        <x:v>15. Implementare Proiect Fotovoltaic\3.Suntree-Neets\Decontare Neets-Suntree.zip</x:v>
      </x:c>
      <x:c r="B1669" s="8" t="str">
        <x:v>Proforma nr.6.pdf</x:v>
      </x:c>
      <x:c r="C1669" s="8" t="n">
        <x:v>8462</x:v>
      </x:c>
    </x:row>
    <x:row r="1670" ht="32" customHeight="1">
      <x:c r="A1670" s="8" t="str">
        <x:v>15. Implementare Proiect Fotovoltaic\3.Suntree-Neets\Decontare Neets-Suntree.zip</x:v>
      </x:c>
      <x:c r="B1670" s="8" t="str">
        <x:v>Proforma nr.8.pdf</x:v>
      </x:c>
      <x:c r="C1670" s="8" t="n">
        <x:v>8458</x:v>
      </x:c>
    </x:row>
    <x:row r="1671" ht="32" customHeight="1">
      <x:c r="A1671" s="8" t="str">
        <x:v>15. Implementare Proiect Fotovoltaic\3.Suntree-Neets\Decontare Neets-Suntree.zip</x:v>
      </x:c>
      <x:c r="B1671" s="8" t="str">
        <x:v>Proforma nr.9.pdf</x:v>
      </x:c>
      <x:c r="C1671" s="8" t="n">
        <x:v>8433</x:v>
      </x:c>
    </x:row>
    <x:row r="1672" ht="32" customHeight="1">
      <x:c r="A1672" s="8" t="str">
        <x:v>15. Implementare Proiect Fotovoltaic\3.Suntree-Neets\Decontare Neets-Suntree.zip</x:v>
      </x:c>
      <x:c r="B1672" s="8" t="str">
        <x:v>Proforma nr.10.pdf</x:v>
      </x:c>
      <x:c r="C1672" s="8" t="n">
        <x:v>8431</x:v>
      </x:c>
    </x:row>
    <x:row r="1673" ht="32" customHeight="1">
      <x:c r="A1673" s="8" t="str">
        <x:v>15. Implementare Proiect Fotovoltaic\3.Suntree-Neets\Decontare Neets-Suntree.zip</x:v>
      </x:c>
      <x:c r="B1673" s="8" t="str">
        <x:v>Proforma nr.11.pdf</x:v>
      </x:c>
      <x:c r="C1673" s="8" t="n">
        <x:v>8472</x:v>
      </x:c>
    </x:row>
    <x:row r="1674" ht="32" customHeight="1">
      <x:c r="A1674" s="8" t="str">
        <x:v>15. Implementare Proiect Fotovoltaic\3.Suntree-Neets\Decontare Neets-Suntree.zip</x:v>
      </x:c>
      <x:c r="B1674" s="8" t="str">
        <x:v>Proforma nr.12.pdf</x:v>
      </x:c>
      <x:c r="C1674" s="8" t="n">
        <x:v>8470</x:v>
      </x:c>
    </x:row>
    <x:row r="1675" ht="32" customHeight="1">
      <x:c r="A1675" s="8" t="str">
        <x:v>15. Implementare Proiect Fotovoltaic\3.Suntree-Neets\Decontare Neets-Suntree.zip</x:v>
      </x:c>
      <x:c r="B1675" s="8" t="str">
        <x:v>Proforma nr_7.pdf</x:v>
      </x:c>
      <x:c r="C1675" s="8" t="n">
        <x:v>8463</x:v>
      </x:c>
    </x:row>
    <x:row r="1676" ht="36" customHeight="1">
      <x:c r="A1676" s="8" t="str">
        <x:v>15. Implementare Proiect Fotovoltaic\10.Neets-Suntech\Etichete panouri\Furate 1\WhatsApp Image 2026-05-14 at 10.53.06.zip</x:v>
      </x:c>
      <x:c r="B1676" s="8" t="str">
        <x:v>WhatsApp Image 2026-05-14 at 10.53.06.jpeg</x:v>
      </x:c>
      <x:c r="C1676" s="8" t="n">
        <x:v>51008</x:v>
      </x:c>
    </x:row>
    <x:row r="1677" ht="36" customHeight="1">
      <x:c r="A1677" s="8" t="str">
        <x:v>15. Implementare Proiect Fotovoltaic\10.Neets-Suntech\Etichete panouri\Furate 1\WhatsApp Image 2026-05-14 at 10.53.06.zip</x:v>
      </x:c>
      <x:c r="B1677" s="8" t="str">
        <x:v>WhatsApp Image 2026-05-14 at 10.53.16 (1).jpeg</x:v>
      </x:c>
      <x:c r="C1677" s="8" t="n">
        <x:v>48198</x:v>
      </x:c>
    </x:row>
    <x:row r="1678" ht="36" customHeight="1">
      <x:c r="A1678" s="8" t="str">
        <x:v>15. Implementare Proiect Fotovoltaic\10.Neets-Suntech\Etichete panouri\Furate 1\WhatsApp Image 2026-05-14 at 10.53.06.zip</x:v>
      </x:c>
      <x:c r="B1678" s="8" t="str">
        <x:v>WhatsApp Image 2026-05-14 at 10.53.16.jpeg</x:v>
      </x:c>
      <x:c r="C1678" s="8" t="n">
        <x:v>45946</x:v>
      </x:c>
    </x:row>
    <x:row r="1679" ht="36" customHeight="1">
      <x:c r="A1679" s="8" t="str">
        <x:v>15. Implementare Proiect Fotovoltaic\10.Neets-Suntech\Etichete panouri\Furate 1\WhatsApp Image 2026-05-14 at 10.53.06.zip</x:v>
      </x:c>
      <x:c r="B1679" s="8" t="str">
        <x:v>WhatsApp Image 2026-05-14 at 10.53.17 (1).jpeg</x:v>
      </x:c>
      <x:c r="C1679" s="8" t="n">
        <x:v>62170</x:v>
      </x:c>
    </x:row>
    <x:row r="1680" ht="36" customHeight="1">
      <x:c r="A1680" s="8" t="str">
        <x:v>15. Implementare Proiect Fotovoltaic\10.Neets-Suntech\Etichete panouri\Furate 1\WhatsApp Image 2026-05-14 at 10.53.06.zip</x:v>
      </x:c>
      <x:c r="B1680" s="8" t="str">
        <x:v>WhatsApp Image 2026-05-14 at 10.53.17.jpeg</x:v>
      </x:c>
      <x:c r="C1680" s="8" t="n">
        <x:v>67729</x:v>
      </x:c>
    </x:row>
    <x:row r="1681" ht="36" customHeight="1">
      <x:c r="A1681" s="8" t="str">
        <x:v>15. Implementare Proiect Fotovoltaic\10.Neets-Suntech\Etichete panouri\Furate 1\WhatsApp Image 2026-05-14 at 10.53.06.zip</x:v>
      </x:c>
      <x:c r="B1681" s="8" t="str">
        <x:v>WhatsApp Image 2026-05-14 at 10.54.09 (1).jpeg</x:v>
      </x:c>
      <x:c r="C1681" s="8" t="n">
        <x:v>83616</x:v>
      </x:c>
    </x:row>
    <x:row r="1682" ht="36" customHeight="1">
      <x:c r="A1682" s="8" t="str">
        <x:v>15. Implementare Proiect Fotovoltaic\10.Neets-Suntech\Etichete panouri\Furate 1\WhatsApp Image 2026-05-14 at 10.53.06.zip</x:v>
      </x:c>
      <x:c r="B1682" s="8" t="str">
        <x:v>WhatsApp Image 2026-05-14 at 10.54.09 (2).jpeg</x:v>
      </x:c>
      <x:c r="C1682" s="8" t="n">
        <x:v>76411</x:v>
      </x:c>
    </x:row>
    <x:row r="1683" ht="36" customHeight="1">
      <x:c r="A1683" s="8" t="str">
        <x:v>15. Implementare Proiect Fotovoltaic\10.Neets-Suntech\Etichete panouri\Furate 1\WhatsApp Image 2026-05-14 at 10.53.06.zip</x:v>
      </x:c>
      <x:c r="B1683" s="8" t="str">
        <x:v>WhatsApp Image 2026-05-14 at 10.54.09.jpeg</x:v>
      </x:c>
      <x:c r="C1683" s="8" t="n">
        <x:v>73322</x:v>
      </x:c>
    </x:row>
    <x:row r="1684" ht="36" customHeight="1">
      <x:c r="A1684" s="8" t="str">
        <x:v>15. Implementare Proiect Fotovoltaic\10.Neets-Suntech\Etichete panouri\Furate 1\WhatsApp Image 2026-05-14 at 10.53.06.zip</x:v>
      </x:c>
      <x:c r="B1684" s="8" t="str">
        <x:v>WhatsApp Image 2026-05-14 at 10.54.10 (1).jpeg</x:v>
      </x:c>
      <x:c r="C1684" s="8" t="n">
        <x:v>75770</x:v>
      </x:c>
    </x:row>
    <x:row r="1685" ht="36" customHeight="1">
      <x:c r="A1685" s="8" t="str">
        <x:v>15. Implementare Proiect Fotovoltaic\10.Neets-Suntech\Etichete panouri\Furate 1\WhatsApp Image 2026-05-14 at 10.53.06.zip</x:v>
      </x:c>
      <x:c r="B1685" s="8" t="str">
        <x:v>WhatsApp Image 2026-05-14 at 10.54.10 (2).jpeg</x:v>
      </x:c>
      <x:c r="C1685" s="8" t="n">
        <x:v>73731</x:v>
      </x:c>
    </x:row>
    <x:row r="1686" ht="36" customHeight="1">
      <x:c r="A1686" s="8" t="str">
        <x:v>15. Implementare Proiect Fotovoltaic\10.Neets-Suntech\Etichete panouri\Furate 1\WhatsApp Image 2026-05-14 at 10.53.06.zip</x:v>
      </x:c>
      <x:c r="B1686" s="8" t="str">
        <x:v>WhatsApp Image 2026-05-14 at 10.54.10 (3).jpeg</x:v>
      </x:c>
      <x:c r="C1686" s="8" t="n">
        <x:v>59087</x:v>
      </x:c>
    </x:row>
    <x:row r="1687" ht="36" customHeight="1">
      <x:c r="A1687" s="8" t="str">
        <x:v>15. Implementare Proiect Fotovoltaic\10.Neets-Suntech\Etichete panouri\Furate 1\WhatsApp Image 2026-05-14 at 10.53.06.zip</x:v>
      </x:c>
      <x:c r="B1687" s="8" t="str">
        <x:v>WhatsApp Image 2026-05-14 at 10.54.10.jpeg</x:v>
      </x:c>
      <x:c r="C1687" s="8" t="n">
        <x:v>74739</x:v>
      </x:c>
    </x:row>
    <x:row r="1688" ht="36" customHeight="1">
      <x:c r="A1688" s="8" t="str">
        <x:v>15. Implementare Proiect Fotovoltaic\10.Neets-Suntech\Etichete panouri\Furate 1\WhatsApp Image 2026-05-14 at 10.53.06.zip</x:v>
      </x:c>
      <x:c r="B1688" s="8" t="str">
        <x:v>WhatsApp Image 2026-05-14 at 10.54.11 (1).jpeg</x:v>
      </x:c>
      <x:c r="C1688" s="8" t="n">
        <x:v>183471</x:v>
      </x:c>
    </x:row>
    <x:row r="1689" ht="36" customHeight="1">
      <x:c r="A1689" s="8" t="str">
        <x:v>15. Implementare Proiect Fotovoltaic\10.Neets-Suntech\Etichete panouri\Furate 1\WhatsApp Image 2026-05-14 at 10.53.06.zip</x:v>
      </x:c>
      <x:c r="B1689" s="8" t="str">
        <x:v>WhatsApp Image 2026-05-14 at 10.54.11 (2).jpeg</x:v>
      </x:c>
      <x:c r="C1689" s="8" t="n">
        <x:v>74288</x:v>
      </x:c>
    </x:row>
    <x:row r="1690" ht="36" customHeight="1">
      <x:c r="A1690" s="8" t="str">
        <x:v>15. Implementare Proiect Fotovoltaic\10.Neets-Suntech\Etichete panouri\Furate 1\WhatsApp Image 2026-05-14 at 10.53.06.zip</x:v>
      </x:c>
      <x:c r="B1690" s="8" t="str">
        <x:v>WhatsApp Image 2026-05-14 at 10.54.11 (3).jpeg</x:v>
      </x:c>
      <x:c r="C1690" s="8" t="n">
        <x:v>211345</x:v>
      </x:c>
    </x:row>
    <x:row r="1691" ht="36" customHeight="1">
      <x:c r="A1691" s="8" t="str">
        <x:v>15. Implementare Proiect Fotovoltaic\10.Neets-Suntech\Etichete panouri\Furate 1\WhatsApp Image 2026-05-14 at 10.53.06.zip</x:v>
      </x:c>
      <x:c r="B1691" s="8" t="str">
        <x:v>WhatsApp Image 2026-05-14 at 10.54.11 (4).jpeg</x:v>
      </x:c>
      <x:c r="C1691" s="8" t="n">
        <x:v>164722</x:v>
      </x:c>
    </x:row>
    <x:row r="1692" ht="36" customHeight="1">
      <x:c r="A1692" s="8" t="str">
        <x:v>15. Implementare Proiect Fotovoltaic\10.Neets-Suntech\Etichete panouri\Furate 1\WhatsApp Image 2026-05-14 at 10.53.06.zip</x:v>
      </x:c>
      <x:c r="B1692" s="8" t="str">
        <x:v>WhatsApp Image 2026-05-14 at 10.54.11.jpeg</x:v>
      </x:c>
      <x:c r="C1692" s="8" t="n">
        <x:v>61955</x:v>
      </x:c>
    </x:row>
    <x:row r="1693" ht="36" customHeight="1">
      <x:c r="A1693" s="8" t="str">
        <x:v>15. Implementare Proiect Fotovoltaic\10.Neets-Suntech\Etichete panouri\Furate 1\WhatsApp Image 2026-05-14 at 10.53.06.zip</x:v>
      </x:c>
      <x:c r="B1693" s="8" t="str">
        <x:v>WhatsApp Image 2026-05-14 at 10.54.12 (1).jpeg</x:v>
      </x:c>
      <x:c r="C1693" s="8" t="n">
        <x:v>115261</x:v>
      </x:c>
    </x:row>
    <x:row r="1694" ht="36" customHeight="1">
      <x:c r="A1694" s="8" t="str">
        <x:v>15. Implementare Proiect Fotovoltaic\10.Neets-Suntech\Etichete panouri\Furate 1\WhatsApp Image 2026-05-14 at 10.53.06.zip</x:v>
      </x:c>
      <x:c r="B1694" s="8" t="str">
        <x:v>WhatsApp Image 2026-05-14 at 10.54.12 (2).jpeg</x:v>
      </x:c>
      <x:c r="C1694" s="8" t="n">
        <x:v>81130</x:v>
      </x:c>
    </x:row>
    <x:row r="1695" ht="36" customHeight="1">
      <x:c r="A1695" s="8" t="str">
        <x:v>15. Implementare Proiect Fotovoltaic\10.Neets-Suntech\Etichete panouri\Furate 1\WhatsApp Image 2026-05-14 at 10.53.06.zip</x:v>
      </x:c>
      <x:c r="B1695" s="8" t="str">
        <x:v>WhatsApp Image 2026-05-14 at 10.54.12 (3).jpeg</x:v>
      </x:c>
      <x:c r="C1695" s="8" t="n">
        <x:v>77037</x:v>
      </x:c>
    </x:row>
    <x:row r="1696" ht="36" customHeight="1">
      <x:c r="A1696" s="8" t="str">
        <x:v>15. Implementare Proiect Fotovoltaic\10.Neets-Suntech\Etichete panouri\Furate 1\WhatsApp Image 2026-05-14 at 10.53.06.zip</x:v>
      </x:c>
      <x:c r="B1696" s="8" t="str">
        <x:v>WhatsApp Image 2026-05-14 at 10.54.12.jpeg</x:v>
      </x:c>
      <x:c r="C1696" s="8" t="n">
        <x:v>151450</x:v>
      </x:c>
    </x:row>
    <x:row r="1697" ht="36" customHeight="1">
      <x:c r="A1697" s="8" t="str">
        <x:v>15. Implementare Proiect Fotovoltaic\10.Neets-Suntech\Etichete panouri\Furate 1\WhatsApp Image 2026-05-14 at 10.53.06.zip</x:v>
      </x:c>
      <x:c r="B1697" s="8" t="str">
        <x:v>WhatsApp Image 2026-05-14 at 10.54.13 (1).jpeg</x:v>
      </x:c>
      <x:c r="C1697" s="8" t="n">
        <x:v>201378</x:v>
      </x:c>
    </x:row>
    <x:row r="1698" ht="36" customHeight="1">
      <x:c r="A1698" s="8" t="str">
        <x:v>15. Implementare Proiect Fotovoltaic\10.Neets-Suntech\Etichete panouri\Furate 1\WhatsApp Image 2026-05-14 at 10.53.06.zip</x:v>
      </x:c>
      <x:c r="B1698" s="8" t="str">
        <x:v>WhatsApp Image 2026-05-14 at 10.54.13 (2).jpeg</x:v>
      </x:c>
      <x:c r="C1698" s="8" t="n">
        <x:v>180804</x:v>
      </x:c>
    </x:row>
    <x:row r="1699" ht="36" customHeight="1">
      <x:c r="A1699" s="8" t="str">
        <x:v>15. Implementare Proiect Fotovoltaic\10.Neets-Suntech\Etichete panouri\Furate 1\WhatsApp Image 2026-05-14 at 10.53.06.zip</x:v>
      </x:c>
      <x:c r="B1699" s="8" t="str">
        <x:v>WhatsApp Image 2026-05-14 at 10.54.13 (3).jpeg</x:v>
      </x:c>
      <x:c r="C1699" s="8" t="n">
        <x:v>191131</x:v>
      </x:c>
    </x:row>
    <x:row r="1700" ht="36" customHeight="1">
      <x:c r="A1700" s="8" t="str">
        <x:v>15. Implementare Proiect Fotovoltaic\10.Neets-Suntech\Etichete panouri\Furate 1\WhatsApp Image 2026-05-14 at 10.53.06.zip</x:v>
      </x:c>
      <x:c r="B1700" s="8" t="str">
        <x:v>WhatsApp Image 2026-05-14 at 10.54.13 (4).jpeg</x:v>
      </x:c>
      <x:c r="C1700" s="8" t="n">
        <x:v>203521</x:v>
      </x:c>
    </x:row>
    <x:row r="1701" ht="36" customHeight="1">
      <x:c r="A1701" s="8" t="str">
        <x:v>15. Implementare Proiect Fotovoltaic\10.Neets-Suntech\Etichete panouri\Furate 1\WhatsApp Image 2026-05-14 at 10.53.06.zip</x:v>
      </x:c>
      <x:c r="B1701" s="8" t="str">
        <x:v>WhatsApp Image 2026-05-14 at 10.54.13.jpeg</x:v>
      </x:c>
      <x:c r="C1701" s="8" t="n">
        <x:v>172271</x:v>
      </x:c>
    </x:row>
    <x:row r="1702" ht="36" customHeight="1">
      <x:c r="A1702" s="8" t="str">
        <x:v>15. Implementare Proiect Fotovoltaic\10.Neets-Suntech\Etichete panouri\Furate 1\WhatsApp Image 2026-05-14 at 10.53.06.zip</x:v>
      </x:c>
      <x:c r="B1702" s="8" t="str">
        <x:v>WhatsApp Image 2026-05-14 at 10.54.14 (1).jpeg</x:v>
      </x:c>
      <x:c r="C1702" s="8" t="n">
        <x:v>193740</x:v>
      </x:c>
    </x:row>
    <x:row r="1703" ht="36" customHeight="1">
      <x:c r="A1703" s="8" t="str">
        <x:v>15. Implementare Proiect Fotovoltaic\10.Neets-Suntech\Etichete panouri\Furate 1\WhatsApp Image 2026-05-14 at 10.53.06.zip</x:v>
      </x:c>
      <x:c r="B1703" s="8" t="str">
        <x:v>WhatsApp Image 2026-05-14 at 10.54.14 (2).jpeg</x:v>
      </x:c>
      <x:c r="C1703" s="8" t="n">
        <x:v>107573</x:v>
      </x:c>
    </x:row>
    <x:row r="1704" ht="36" customHeight="1">
      <x:c r="A1704" s="8" t="str">
        <x:v>15. Implementare Proiect Fotovoltaic\10.Neets-Suntech\Etichete panouri\Furate 1\WhatsApp Image 2026-05-14 at 10.53.06.zip</x:v>
      </x:c>
      <x:c r="B1704" s="8" t="str">
        <x:v>WhatsApp Image 2026-05-14 at 10.54.14 (3).jpeg</x:v>
      </x:c>
      <x:c r="C1704" s="8" t="n">
        <x:v>83471</x:v>
      </x:c>
    </x:row>
    <x:row r="1705" ht="36" customHeight="1">
      <x:c r="A1705" s="8" t="str">
        <x:v>15. Implementare Proiect Fotovoltaic\10.Neets-Suntech\Etichete panouri\Furate 1\WhatsApp Image 2026-05-14 at 10.53.06.zip</x:v>
      </x:c>
      <x:c r="B1705" s="8" t="str">
        <x:v>WhatsApp Image 2026-05-14 at 10.54.14.jpeg</x:v>
      </x:c>
      <x:c r="C1705" s="8" t="n">
        <x:v>89430</x:v>
      </x:c>
    </x:row>
    <x:row r="1706" ht="36" customHeight="1">
      <x:c r="A1706" s="8" t="str">
        <x:v>15. Implementare Proiect Fotovoltaic\10.Neets-Suntech\Etichete panouri\Furate 1\WhatsApp Image 2026-05-14 at 10.53.06.zip</x:v>
      </x:c>
      <x:c r="B1706" s="8" t="str">
        <x:v>WhatsApp Image 2026-05-14 at 10.54.15 (1).jpeg</x:v>
      </x:c>
      <x:c r="C1706" s="8" t="n">
        <x:v>140751</x:v>
      </x:c>
    </x:row>
    <x:row r="1707" ht="36" customHeight="1">
      <x:c r="A1707" s="8" t="str">
        <x:v>15. Implementare Proiect Fotovoltaic\10.Neets-Suntech\Etichete panouri\Furate 1\WhatsApp Image 2026-05-14 at 10.53.06.zip</x:v>
      </x:c>
      <x:c r="B1707" s="8" t="str">
        <x:v>WhatsApp Image 2026-05-14 at 10.54.15 (2).jpeg</x:v>
      </x:c>
      <x:c r="C1707" s="8" t="n">
        <x:v>64159</x:v>
      </x:c>
    </x:row>
    <x:row r="1708" ht="36" customHeight="1">
      <x:c r="A1708" s="8" t="str">
        <x:v>15. Implementare Proiect Fotovoltaic\10.Neets-Suntech\Etichete panouri\Furate 1\WhatsApp Image 2026-05-14 at 10.53.06.zip</x:v>
      </x:c>
      <x:c r="B1708" s="8" t="str">
        <x:v>WhatsApp Image 2026-05-14 at 10.54.15.jpeg</x:v>
      </x:c>
      <x:c r="C1708" s="8" t="n">
        <x:v>174999</x:v>
      </x:c>
    </x:row>
    <x:row r="1709" ht="36" customHeight="1">
      <x:c r="A1709" s="8" t="str">
        <x:v>15. Implementare Proiect Fotovoltaic\10.Neets-Suntech\Etichete panouri\Furate 1\WhatsApp Image 2026-05-14 at 10.53.06.zip</x:v>
      </x:c>
      <x:c r="B1709" s="8" t="str">
        <x:v>WhatsApp Image 2026-05-14 at 10.54.19.jpeg</x:v>
      </x:c>
      <x:c r="C1709" s="8" t="n">
        <x:v>172130</x:v>
      </x:c>
    </x:row>
    <x:row r="1710" ht="36" customHeight="1">
      <x:c r="A1710" s="8" t="str">
        <x:v>15. Implementare Proiect Fotovoltaic\10.Neets-Suntech\Etichete panouri\Furate 1\WhatsApp Image 2026-05-14 at 10.53.06.zip</x:v>
      </x:c>
      <x:c r="B1710" s="8" t="str">
        <x:v>WhatsApp Image 2026-05-14 at 10.54.20.jpeg</x:v>
      </x:c>
      <x:c r="C1710" s="8" t="n">
        <x:v>102572</x:v>
      </x:c>
    </x:row>
    <x:row r="1711" ht="32" customHeight="1">
      <x:c r="A1711" s="8" t="str">
        <x:v>16.1 Act aditional 1\PDF Semnat si Depus\Memoriu Justificativ si Referat Cesiro Production.zip</x:v>
      </x:c>
      <x:c r="B1711" s="8" t="str">
        <x:v>Referat_proiectant_CESIRO__s.pdf</x:v>
      </x:c>
      <x:c r="C1711" s="8" t="n">
        <x:v>12457305</x:v>
      </x:c>
    </x:row>
    <x:row r="1712" ht="32" customHeight="1">
      <x:c r="A1712" s="8" t="str">
        <x:v>16.1 Act aditional 1\PDF Semnat si Depus\Memoriu Justificativ si Referat Cesiro Production.zip</x:v>
      </x:c>
      <x:c r="B1712" s="8" t="str">
        <x:v>Studiu_Justificativ_Aprofundat_CESIRO (2).pdf</x:v>
      </x:c>
      <x:c r="C1712" s="8" t="n">
        <x:v>527000</x:v>
      </x:c>
    </x:row>
    <x:row r="1713" ht="32" customHeight="1">
      <x:c r="A1713" s="8" t="str">
        <x:v>16.1 Act aditional 1\PDF Semnat si Depus\Memoriu Justificativ si Referat Cesiro Production.zip</x:v>
      </x:c>
      <x:c r="B1713" s="8" t="str">
        <x:v>Fisa tehnica invertor.pdf</x:v>
      </x:c>
      <x:c r="C1713" s="8" t="n">
        <x:v>441689</x:v>
      </x:c>
    </x:row>
    <x:row r="1714" ht="32" customHeight="1">
      <x:c r="A1714" s="8" t="str">
        <x:v>16.1 Act aditional 1\PDF Semnat si Depus\Memoriu Justificativ si Referat Cesiro Production.zip</x:v>
      </x:c>
      <x:c r="B1714" s="8" t="str">
        <x:v>Fisa tehnica panou.pdf</x:v>
      </x:c>
      <x:c r="C1714" s="8" t="n">
        <x:v>255454</x:v>
      </x:c>
    </x:row>
    <x:row r="1715" ht="32" customHeight="1">
      <x:c r="A1715" s="8" t="str">
        <x:v>16.1 Act aditional 1\PDF Semnat si Depus\Memoriu Justificativ si Referat Cesiro Production.zip</x:v>
      </x:c>
      <x:c r="B1715" s="8" t="str">
        <x:v>Memoriu_Justificativ_Consolidat_CESIRO (2).pdf</x:v>
      </x:c>
      <x:c r="C1715" s="8" t="n">
        <x:v>367855</x:v>
      </x:c>
    </x:row>
    <x:row r="1716" ht="32" customHeight="1">
      <x:c r="A1716" s="8" t="str">
        <x:v>16.2 Act Aditional 2-Neaprobat\PDF - Semnat\Documente Anexe.zip</x:v>
      </x:c>
      <x:c r="B1716" s="8" t="str">
        <x:v>Act. Aditional Nr.2- Cesiro-Suntree__.pdf</x:v>
      </x:c>
      <x:c r="C1716" s="8" t="n">
        <x:v>3149917</x:v>
      </x:c>
    </x:row>
    <x:row r="1717" ht="32" customHeight="1">
      <x:c r="A1717" s="8" t="str">
        <x:v>16.2 Act Aditional 2-Neaprobat\PDF - Semnat\Documente Anexe.zip</x:v>
      </x:c>
      <x:c r="B1717" s="8" t="str">
        <x:v>Adresa_Inaintare_CESIRO_AFIR_.pdf</x:v>
      </x:c>
      <x:c r="C1717" s="8" t="n">
        <x:v>315697</x:v>
      </x:c>
    </x:row>
    <x:row r="1718" ht="32" customHeight="1">
      <x:c r="A1718" s="8" t="str">
        <x:v>16.2 Act Aditional 2-Neaprobat\PDF - Semnat\Documente Anexe.zip</x:v>
      </x:c>
      <x:c r="B1718" s="8" t="str">
        <x:v>Declaratia Proiectantului-s__.pdf</x:v>
      </x:c>
      <x:c r="C1718" s="8" t="n">
        <x:v>5008901</x:v>
      </x:c>
    </x:row>
    <x:row r="1719" ht="32" customHeight="1">
      <x:c r="A1719" s="8" t="str">
        <x:v>16.2 Act Aditional 2-Neaprobat\PDF - Semnat\Documente Anexe.zip</x:v>
      </x:c>
      <x:c r="B1719" s="8" t="str">
        <x:v>Fisa Tehnica- EN_STP430-450S-H48-Nkh+.pdf</x:v>
      </x:c>
      <x:c r="C1719" s="8" t="n">
        <x:v>490526</x:v>
      </x:c>
    </x:row>
    <x:row r="1720" ht="32" customHeight="1">
      <x:c r="A1720" s="8" t="str">
        <x:v>16.2 Act Aditional 2-Neaprobat\PDF - Semnat\Documente Anexe.zip</x:v>
      </x:c>
      <x:c r="B1720" s="8" t="str">
        <x:v>Fisa Tehnica- EN_STP430-450S-H48-Nth+.pdf</x:v>
      </x:c>
      <x:c r="C1720" s="8" t="n">
        <x:v>409856</x:v>
      </x:c>
    </x:row>
    <x:row r="1721" ht="32" customHeight="1">
      <x:c r="A1721" s="8" t="str">
        <x:v>16.3 Act aditional 2 - Prelungire termen\Clarificare nr1\Raspuns Clarificare nr1.zip</x:v>
      </x:c>
      <x:c r="B1721" s="8" t="str">
        <x:v>3. Referat_proiectant_prelungire_CESIRO_s.pdf</x:v>
      </x:c>
      <x:c r="C1721" s="8" t="n">
        <x:v>6571167</x:v>
      </x:c>
    </x:row>
    <x:row r="1722" ht="32" customHeight="1">
      <x:c r="A1722" s="8" t="str">
        <x:v>16.3 Act aditional 2 - Prelungire termen\Clarificare nr1\Raspuns Clarificare nr1.zip</x:v>
      </x:c>
      <x:c r="B1722" s="8" t="str">
        <x:v>2_Memoriu_justificativ_prelungire_ss.pdf</x:v>
      </x:c>
      <x:c r="C1722" s="8" t="n">
        <x:v>414483</x:v>
      </x:c>
    </x:row>
    <x:row r="1723" ht="32" customHeight="1">
      <x:c r="A1723" s="8" t="str">
        <x:v>16.3 Act aditional 2 - Prelungire termen\Clarificare nr1\Raspuns Clarificare nr1.zip</x:v>
      </x:c>
      <x:c r="B1723" s="8" t="str">
        <x:v>4. AP_0.0_grafic_de_esalonare_SEs__.pdf</x:v>
      </x:c>
      <x:c r="C1723" s="8" t="n">
        <x:v>711170</x:v>
      </x:c>
    </x:row>
    <x:row r="1724" ht="32" customHeight="1">
      <x:c r="A1724" s="8" t="str">
        <x:v>16.3 Act aditional 2 - Prelungire termen\Clarificare nr1\Raspuns Clarificare nr1.zip</x:v>
      </x:c>
      <x:c r="B1724" s="8" t="str">
        <x:v>6. Grafic_implementare_fizica_financiara_CESIRO_31_05_2027_.pdf</x:v>
      </x:c>
      <x:c r="C1724" s="8" t="n">
        <x:v>303399</x:v>
      </x:c>
    </x:row>
    <x:row r="1725" ht="32" customHeight="1">
      <x:c r="A1725" s="8" t="str">
        <x:v>16.3 Act aditional 2 - Prelungire termen\Clarificare nr1\Raspuns Clarificare nr1.zip</x:v>
      </x:c>
      <x:c r="B1725" s="8" t="str">
        <x:v>5_Declaratie_proprie_raspundere_ss_.pdf</x:v>
      </x:c>
      <x:c r="C1725" s="8" t="n">
        <x:v>314789</x:v>
      </x:c>
    </x:row>
    <x:row r="1726" ht="32" customHeight="1">
      <x:c r="A1726" s="8" t="str">
        <x:v>16.3 Act aditional 2 - Prelungire termen\Clarificare nr1\Raspuns Clarificare nr1.zip</x:v>
      </x:c>
      <x:c r="B1726" s="8" t="str">
        <x:v>1_Formular_C3_1_Nota_explicativa_revizuita_31_05_2027_EXECUTIE_31_08_2027_s.pdf</x:v>
      </x:c>
      <x:c r="C1726" s="8" t="n">
        <x:v>366767</x:v>
      </x:c>
    </x:row>
    <x:row r="1727" ht="32" customHeight="1">
      <x:c r="A1727" s="8" t="str">
        <x:v>30.1 Cerere Rambursare 1\Clarificare nr.1\Formular de raspuns Informatii Suplimentare .zip</x:v>
      </x:c>
      <x:c r="B1727" s="8" t="str">
        <x:v>3.1 Certificat de Calitate si Conformitate-traduse__.pdf</x:v>
      </x:c>
      <x:c r="C1727" s="8" t="n">
        <x:v>8972629</x:v>
      </x:c>
    </x:row>
    <x:row r="1728" ht="32" customHeight="1">
      <x:c r="A1728" s="8" t="str">
        <x:v>30.1 Cerere Rambursare 1\Clarificare nr.1\Formular de raspuns Informatii Suplimentare .zip</x:v>
      </x:c>
      <x:c r="B1728" s="8" t="str">
        <x:v>3.2 Decizie_121_08092026_rev3_.pdf</x:v>
      </x:c>
      <x:c r="C1728" s="8" t="n">
        <x:v>252012</x:v>
      </x:c>
    </x:row>
    <x:row r="1729" ht="32" customHeight="1">
      <x:c r="A1729" s="8" t="str">
        <x:v>30.1 Cerere Rambursare 1\Clarificare nr.1\Formular de raspuns Informatii Suplimentare .zip</x:v>
      </x:c>
      <x:c r="B1729" s="8" t="str">
        <x:v>4, Nota_eroare_materiala_pct4_Skybase.pdf</x:v>
      </x:c>
      <x:c r="C1729" s="8" t="n">
        <x:v>308703</x:v>
      </x:c>
    </x:row>
    <x:row r="1730" ht="32" customHeight="1">
      <x:c r="A1730" s="8" t="str">
        <x:v>30.1 Cerere Rambursare 1\Clarificare nr.1\Formular de raspuns Informatii Suplimentare .zip</x:v>
      </x:c>
      <x:c r="B1730" s="8" t="str">
        <x:v>5. Documente financiar-contabile.pdf</x:v>
      </x:c>
      <x:c r="C1730" s="8" t="n">
        <x:v>32091094</x:v>
      </x:c>
    </x:row>
    <x:row r="1731" ht="32" customHeight="1">
      <x:c r="A1731" s="8" t="str">
        <x:v>30.1 Cerere Rambursare 1\Clarificare nr.1\Formular de raspuns Informatii Suplimentare .zip</x:v>
      </x:c>
      <x:c r="B1731" s="8" t="str">
        <x:v>6, Facturi proforme SST_ nr_1_8.pdf</x:v>
      </x:c>
      <x:c r="C1731" s="8" t="n">
        <x:v>10262232</x:v>
      </x:c>
    </x:row>
    <x:row r="1732" ht="32" customHeight="1">
      <x:c r="A1732" s="8" t="str">
        <x:v>30.1 Cerere Rambursare 1\Clarificare nr.1\Formular de raspuns Informatii Suplimentare .zip</x:v>
      </x:c>
      <x:c r="B1732" s="8" t="str">
        <x:v>AP_raspuns_informatii_suplimentare_.pdf</x:v>
      </x:c>
      <x:c r="C1732" s="8" t="n">
        <x:v>341707</x:v>
      </x:c>
    </x:row>
    <x:row r="1733" ht="32" customHeight="1">
      <x:c r="A1733" s="8" t="str">
        <x:v>30.1 Cerere Rambursare 1\Clarificare nr.1\Formular de raspuns Informatii Suplimentare .zip</x:v>
      </x:c>
      <x:c r="B1733" s="8" t="str">
        <x:v>1. Documentar_fotografic_CESIRO_Transa1_REVIZUITv1__.pdf</x:v>
      </x:c>
      <x:c r="C1733" s="8" t="n">
        <x:v>5190811</x:v>
      </x:c>
    </x:row>
    <x:row r="1734" ht="32" customHeight="1">
      <x:c r="A1734" s="8" t="str">
        <x:v>30.1 Cerere Rambursare 1\Clarificare nr.1\Formular de raspuns Informatii Suplimentare .zip</x:v>
      </x:c>
      <x:c r="B1734" s="8" t="str">
        <x:v>2.1 Traducere_Certificat_TUV_PV50721072 (2).pdf</x:v>
      </x:c>
      <x:c r="C1734" s="8" t="n">
        <x:v>363681</x:v>
      </x:c>
    </x:row>
    <x:row r="1735" ht="32" customHeight="1">
      <x:c r="A1735" s="8" t="str">
        <x:v>30.1 Cerere Rambursare 1\Clarificare nr.1\Formular de raspuns Informatii Suplimentare .zip</x:v>
      </x:c>
      <x:c r="B1735" s="8" t="str">
        <x:v>2.2 Certificate de calitate engelza.pdf</x:v>
      </x:c>
      <x:c r="C1735" s="8" t="n">
        <x:v>526991</x:v>
      </x:c>
    </x:row>
    <x:row r="1736" ht="36" customHeight="1">
      <x:c r="A1736" s="8" t="str">
        <x:v>30.1 Cerere Rambursare 1\12. Raportul de audit financiar\Ce s-a trimis la Tamas\8. Certificate, conformitate, calitate, garanții- DE FACUT.zip</x:v>
      </x:c>
      <x:c r="B1736" s="8" t="str">
        <x:v>AVASCO Solar/Draft/Declaration of conformity - Neets Fotoshooting SRL - Avasco Solar Signed.pdf</x:v>
      </x:c>
      <x:c r="C1736" s="8" t="n">
        <x:v>242850</x:v>
      </x:c>
    </x:row>
    <x:row r="1737" ht="36" customHeight="1">
      <x:c r="A1737" s="8" t="str">
        <x:v>30.1 Cerere Rambursare 1\12. Raportul de audit financiar\Ce s-a trimis la Tamas\8. Certificate, conformitate, calitate, garanții- DE FACUT.zip</x:v>
      </x:c>
      <x:c r="B1737" s="8" t="str">
        <x:v>AVASCO Solar/Draft/Product warranty - Cesiro Production SRL - Avasco Solar Signed.pdf</x:v>
      </x:c>
      <x:c r="C1737" s="8" t="n">
        <x:v>219503</x:v>
      </x:c>
    </x:row>
    <x:row r="1738" ht="36" customHeight="1">
      <x:c r="A1738" s="8" t="str">
        <x:v>30.1 Cerere Rambursare 1\12. Raportul de audit financiar\Ce s-a trimis la Tamas\8. Certificate, conformitate, calitate, garanții- DE FACUT.zip</x:v>
      </x:c>
      <x:c r="B1738" s="8" t="str">
        <x:v>AVASCO Solar/Draft/Project report -.pdf</x:v>
      </x:c>
      <x:c r="C1738" s="8" t="n">
        <x:v>6349411</x:v>
      </x:c>
    </x:row>
    <x:row r="1739" ht="36" customHeight="1">
      <x:c r="A1739" s="8" t="str">
        <x:v>30.1 Cerere Rambursare 1\12. Raportul de audit financiar\Ce s-a trimis la Tamas\8. Certificate, conformitate, calitate, garanții- DE FACUT.zip</x:v>
      </x:c>
      <x:c r="B1739" s="8" t="str">
        <x:v>AVASCO Solar/Fise tehnice si garantie Avasco.pdf</x:v>
      </x:c>
      <x:c r="C1739" s="8" t="n">
        <x:v>6790514</x:v>
      </x:c>
    </x:row>
    <x:row r="1740" ht="36" customHeight="1">
      <x:c r="A1740" s="8" t="str">
        <x:v>30.1 Cerere Rambursare 1\12. Raportul de audit financiar\Ce s-a trimis la Tamas\8. Certificate, conformitate, calitate, garanții- DE FACUT.zip</x:v>
      </x:c>
      <x:c r="B1740" s="8" t="str">
        <x:v>Huawei Cerificate/Draft/Certificate_SUN2000-100-115KTL-M2_CE-EMC_EN.pdf</x:v>
      </x:c>
      <x:c r="C1740" s="8" t="n">
        <x:v>171711</x:v>
      </x:c>
    </x:row>
    <x:row r="1741" ht="36" customHeight="1">
      <x:c r="A1741" s="8" t="str">
        <x:v>30.1 Cerere Rambursare 1\12. Raportul de audit financiar\Ce s-a trimis la Tamas\8. Certificate, conformitate, calitate, garanții- DE FACUT.zip</x:v>
      </x:c>
      <x:c r="B1741" s="8" t="str">
        <x:v>Huawei Cerificate/Draft/Certificate_SUN2000-100-115KTL-M2_EN50549-1_EN.pdf</x:v>
      </x:c>
      <x:c r="C1741" s="8" t="n">
        <x:v>469119</x:v>
      </x:c>
    </x:row>
    <x:row r="1742" ht="36" customHeight="1">
      <x:c r="A1742" s="8" t="str">
        <x:v>30.1 Cerere Rambursare 1\12. Raportul de audit financiar\Ce s-a trimis la Tamas\8. Certificate, conformitate, calitate, garanții- DE FACUT.zip</x:v>
      </x:c>
      <x:c r="B1742" s="8" t="str">
        <x:v>Huawei Cerificate/Draft/Certificate_SUN2000-100-115KTL-M2_EN50549-2_EN.pdf</x:v>
      </x:c>
      <x:c r="C1742" s="8" t="n">
        <x:v>420705</x:v>
      </x:c>
    </x:row>
    <x:row r="1743" ht="36" customHeight="1">
      <x:c r="A1743" s="8" t="str">
        <x:v>30.1 Cerere Rambursare 1\12. Raportul de audit financiar\Ce s-a trimis la Tamas\8. Certificate, conformitate, calitate, garanții- DE FACUT.zip</x:v>
      </x:c>
      <x:c r="B1743" s="8" t="str">
        <x:v>Huawei Cerificate/Draft/Certificate_SUN2000-100-115KTL-M2_EN62109-1-2_EN.pdf</x:v>
      </x:c>
      <x:c r="C1743" s="8" t="n">
        <x:v>243037</x:v>
      </x:c>
    </x:row>
    <x:row r="1744" ht="36" customHeight="1">
      <x:c r="A1744" s="8" t="str">
        <x:v>30.1 Cerere Rambursare 1\12. Raportul de audit financiar\Ce s-a trimis la Tamas\8. Certificate, conformitate, calitate, garanții- DE FACUT.zip</x:v>
      </x:c>
      <x:c r="B1744" s="8" t="str">
        <x:v>Huawei Cerificate/Draft/Certificate_SUN2000-100-115KTL-M2_IEC61727_IEC62116_EN.pdf</x:v>
      </x:c>
      <x:c r="C1744" s="8" t="n">
        <x:v>358837</x:v>
      </x:c>
    </x:row>
    <x:row r="1745" ht="36" customHeight="1">
      <x:c r="A1745" s="8" t="str">
        <x:v>30.1 Cerere Rambursare 1\12. Raportul de audit financiar\Ce s-a trimis la Tamas\8. Certificate, conformitate, calitate, garanții- DE FACUT.zip</x:v>
      </x:c>
      <x:c r="B1745" s="8" t="str">
        <x:v>Huawei Cerificate/Draft/Certificate_SUN2000-100-115KTL-M2_IEC_61683_60068_EN.pdf</x:v>
      </x:c>
      <x:c r="C1745" s="8" t="n">
        <x:v>297814</x:v>
      </x:c>
    </x:row>
    <x:row r="1746" ht="36" customHeight="1">
      <x:c r="A1746" s="8" t="str">
        <x:v>30.1 Cerere Rambursare 1\12. Raportul de audit financiar\Ce s-a trimis la Tamas\8. Certificate, conformitate, calitate, garanții- DE FACUT.zip</x:v>
      </x:c>
      <x:c r="B1746" s="8" t="str">
        <x:v>Huawei Cerificate/Draft/Certificate_SUN2000-100-115KTL-M2_RED_Article_3.3d_EN.pdf</x:v>
      </x:c>
      <x:c r="C1746" s="8" t="n">
        <x:v>591497</x:v>
      </x:c>
    </x:row>
    <x:row r="1747" ht="36" customHeight="1">
      <x:c r="A1747" s="8" t="str">
        <x:v>30.1 Cerere Rambursare 1\12. Raportul de audit financiar\Ce s-a trimis la Tamas\8. Certificate, conformitate, calitate, garanții- DE FACUT.zip</x:v>
      </x:c>
      <x:c r="B1747" s="8" t="str">
        <x:v>Huawei Cerificate/Draft/DataSheet_SUN2000-100KTL-M2_Type_I_II_EN.pdf</x:v>
      </x:c>
      <x:c r="C1747" s="8" t="n">
        <x:v>252960</x:v>
      </x:c>
    </x:row>
    <x:row r="1748" ht="36" customHeight="1">
      <x:c r="A1748" s="8" t="str">
        <x:v>30.1 Cerere Rambursare 1\12. Raportul de audit financiar\Ce s-a trimis la Tamas\8. Certificate, conformitate, calitate, garanții- DE FACUT.zip</x:v>
      </x:c>
      <x:c r="B1748" s="8" t="str">
        <x:v>Huawei Cerificate/Fise Tehnice Huawei.pdf</x:v>
      </x:c>
      <x:c r="C1748" s="8" t="n">
        <x:v>2563426</x:v>
      </x:c>
    </x:row>
    <x:row r="1749" ht="36" customHeight="1">
      <x:c r="A1749" s="8" t="str">
        <x:v>30.1 Cerere Rambursare 1\12. Raportul de audit financiar\Ce s-a trimis la Tamas\8. Certificate, conformitate, calitate, garanții- DE FACUT.zip</x:v>
      </x:c>
      <x:c r="B1749" s="8" t="str">
        <x:v>Panouri Certificate/draft/2026-Special-for-Global-Market-EN.pdf</x:v>
      </x:c>
      <x:c r="C1749" s="8" t="n">
        <x:v>254443</x:v>
      </x:c>
    </x:row>
    <x:row r="1750" ht="36" customHeight="1">
      <x:c r="A1750" s="8" t="str">
        <x:v>30.1 Cerere Rambursare 1\12. Raportul de audit financiar\Ce s-a trimis la Tamas\8. Certificate, conformitate, calitate, garanții- DE FACUT.zip</x:v>
      </x:c>
      <x:c r="B1750" s="8" t="str">
        <x:v>Panouri Certificate/draft/IEC62941.pdf</x:v>
      </x:c>
      <x:c r="C1750" s="8" t="n">
        <x:v>1398177</x:v>
      </x:c>
    </x:row>
    <x:row r="1751" ht="36" customHeight="1">
      <x:c r="A1751" s="8" t="str">
        <x:v>30.1 Cerere Rambursare 1\12. Raportul de audit financiar\Ce s-a trimis la Tamas\8. Certificate, conformitate, calitate, garanții- DE FACUT.zip</x:v>
      </x:c>
      <x:c r="B1751" s="8" t="str">
        <x:v>Panouri Certificate/draft/Installation-Manual_GLOBAL.pdf</x:v>
      </x:c>
      <x:c r="C1751" s="8" t="n">
        <x:v>4035192</x:v>
      </x:c>
    </x:row>
    <x:row r="1752" ht="36" customHeight="1">
      <x:c r="A1752" s="8" t="str">
        <x:v>30.1 Cerere Rambursare 1\12. Raportul de audit financiar\Ce s-a trimis la Tamas\8. Certificate, conformitate, calitate, garanții- DE FACUT.zip</x:v>
      </x:c>
      <x:c r="B1752" s="8" t="str">
        <x:v>Panouri Certificate/draft/ISO14001.pdf</x:v>
      </x:c>
      <x:c r="C1752" s="8" t="n">
        <x:v>198552</x:v>
      </x:c>
    </x:row>
    <x:row r="1753" ht="36" customHeight="1">
      <x:c r="A1753" s="8" t="str">
        <x:v>30.1 Cerere Rambursare 1\12. Raportul de audit financiar\Ce s-a trimis la Tamas\8. Certificate, conformitate, calitate, garanții- DE FACUT.zip</x:v>
      </x:c>
      <x:c r="B1753" s="8" t="str">
        <x:v>Panouri Certificate/draft/ISO45001.pdf</x:v>
      </x:c>
      <x:c r="C1753" s="8" t="n">
        <x:v>191794</x:v>
      </x:c>
    </x:row>
    <x:row r="1754" ht="36" customHeight="1">
      <x:c r="A1754" s="8" t="str">
        <x:v>30.1 Cerere Rambursare 1\12. Raportul de audit financiar\Ce s-a trimis la Tamas\8. Certificate, conformitate, calitate, garanții- DE FACUT.zip</x:v>
      </x:c>
      <x:c r="B1754" s="8" t="str">
        <x:v>Panouri Certificate/draft/ISO9001.pdf</x:v>
      </x:c>
      <x:c r="C1754" s="8" t="n">
        <x:v>205026</x:v>
      </x:c>
    </x:row>
    <x:row r="1755" ht="36" customHeight="1">
      <x:c r="A1755" s="8" t="str">
        <x:v>30.1 Cerere Rambursare 1\12. Raportul de audit financiar\Ce s-a trimis la Tamas\8. Certificate, conformitate, calitate, garanții- DE FACUT.zip</x:v>
      </x:c>
      <x:c r="B1755" s="8" t="str">
        <x:v>Panouri Certificate/draft/Member-of-CBCA.pdf</x:v>
      </x:c>
      <x:c r="C1755" s="8" t="n">
        <x:v>908292</x:v>
      </x:c>
    </x:row>
    <x:row r="1756" ht="36" customHeight="1">
      <x:c r="A1756" s="8" t="str">
        <x:v>30.1 Cerere Rambursare 1\12. Raportul de audit financiar\Ce s-a trimis la Tamas\8. Certificate, conformitate, calitate, garanții- DE FACUT.zip</x:v>
      </x:c>
      <x:c r="B1756" s="8" t="str">
        <x:v>Panouri Certificate/draft/Participant-of-UNGC.pdf</x:v>
      </x:c>
      <x:c r="C1756" s="8" t="n">
        <x:v>193686</x:v>
      </x:c>
    </x:row>
    <x:row r="1757" ht="36" customHeight="1">
      <x:c r="A1757" s="8" t="str">
        <x:v>30.1 Cerere Rambursare 1\12. Raportul de audit financiar\Ce s-a trimis la Tamas\8. Certificate, conformitate, calitate, garanții- DE FACUT.zip</x:v>
      </x:c>
      <x:c r="B1757" s="8" t="str">
        <x:v>Panouri Certificate/draft/SA8000.pdf</x:v>
      </x:c>
      <x:c r="C1757" s="8" t="n">
        <x:v>381502</x:v>
      </x:c>
    </x:row>
    <x:row r="1758" ht="36" customHeight="1">
      <x:c r="A1758" s="8" t="str">
        <x:v>30.1 Cerere Rambursare 1\12. Raportul de audit financiar\Ce s-a trimis la Tamas\8. Certificate, conformitate, calitate, garanții- DE FACUT.zip</x:v>
      </x:c>
      <x:c r="B1758" s="8" t="str">
        <x:v>Panouri Certificate/draft/Suntech - partners.png</x:v>
      </x:c>
      <x:c r="C1758" s="8" t="n">
        <x:v>59776</x:v>
      </x:c>
    </x:row>
    <x:row r="1759" ht="36" customHeight="1">
      <x:c r="A1759" s="8" t="str">
        <x:v>30.1 Cerere Rambursare 1\12. Raportul de audit financiar\Ce s-a trimis la Tamas\8. Certificate, conformitate, calitate, garanții- DE FACUT.zip</x:v>
      </x:c>
      <x:c r="B1759" s="8" t="str">
        <x:v>Panouri Certificate/Fise Tehnice Panouri.pdf</x:v>
      </x:c>
      <x:c r="C1759" s="8" t="n">
        <x:v>7748053</x:v>
      </x:c>
    </x:row>
    <x:row r="1760" ht="36" customHeight="1">
      <x:c r="A1760" s="8" t="str">
        <x:v>30.1 Cerere Rambursare 1\12. Raportul de audit financiar\Ce s-a trimis la Tamas\CesiroProductionAFIR.zip</x:v>
      </x:c>
      <x:c r="B1760" s="8" t="str">
        <x:v>18. PV_01_Predare_primire_amplasament_16_02_2026v2.pdf</x:v>
      </x:c>
      <x:c r="C1760" s="8" t="n">
        <x:v>279520</x:v>
      </x:c>
    </x:row>
    <x:row r="1761" ht="36" customHeight="1">
      <x:c r="A1761" s="8" t="str">
        <x:v>30.1 Cerere Rambursare 1\12. Raportul de audit financiar\Ce s-a trimis la Tamas\CesiroProductionAFIR.zip</x:v>
      </x:c>
      <x:c r="B1761" s="8" t="str">
        <x:v>6. Anexa_1_Centralizator_procese_verbale_Transa1v2.pdf</x:v>
      </x:c>
      <x:c r="C1761" s="8" t="n">
        <x:v>297977</x:v>
      </x:c>
    </x:row>
    <x:row r="1762" ht="36" customHeight="1">
      <x:c r="A1762" s="8" t="str">
        <x:v>30.1 Cerere Rambursare 1\12. Raportul de audit financiar\Ce s-a trimis la Tamas\CesiroProductionAFIR.zip</x:v>
      </x:c>
      <x:c r="B1762" s="8" t="str">
        <x:v>19. PV_02_Organizare_santier_17_02_2026 (1).pdf</x:v>
      </x:c>
      <x:c r="C1762" s="8" t="n">
        <x:v>113053</x:v>
      </x:c>
    </x:row>
    <x:row r="1763" ht="36" customHeight="1">
      <x:c r="A1763" s="8" t="str">
        <x:v>30.1 Cerere Rambursare 1\12. Raportul de audit financiar\Ce s-a trimis la Tamas\CesiroProductionAFIR.zip</x:v>
      </x:c>
      <x:c r="B1763" s="8" t="str">
        <x:v>8. Certificate, conformitate, calitate, garanții- DE FACUT.zip</x:v>
      </x:c>
      <x:c r="C1763" s="8" t="n">
        <x:v>32750358</x:v>
      </x:c>
    </x:row>
    <x:row r="1764" ht="36" customHeight="1">
      <x:c r="A1764" s="8" t="str">
        <x:v>30.1 Cerere Rambursare 1\12. Raportul de audit financiar\Ce s-a trimis la Tamas\CesiroProductionAFIR.zip</x:v>
      </x:c>
      <x:c r="B1764" s="8" t="str">
        <x:v>16. Comunicat_inceput_CESIRO_PRODUCTION_FM_AFIR.pdf</x:v>
      </x:c>
      <x:c r="C1764" s="8" t="n">
        <x:v>204875</x:v>
      </x:c>
    </x:row>
    <x:row r="1765" ht="36" customHeight="1">
      <x:c r="A1765" s="8" t="str">
        <x:v>30.1 Cerere Rambursare 1\12. Raportul de audit financiar\Ce s-a trimis la Tamas\CesiroProductionAFIR.zip</x:v>
      </x:c>
      <x:c r="B1765" s="8" t="str">
        <x:v>15. cesiro_pagina_promovare_fm_final_standalone.html</x:v>
      </x:c>
      <x:c r="C1765" s="8" t="n">
        <x:v>523360</x:v>
      </x:c>
    </x:row>
    <x:row r="1766" ht="36" customHeight="1">
      <x:c r="A1766" s="8" t="str">
        <x:v>30.1 Cerere Rambursare 1\12. Raportul de audit financiar\Ce s-a trimis la Tamas\CesiroProductionAFIR.zip</x:v>
      </x:c>
      <x:c r="B1766" s="8" t="str">
        <x:v>2.4 Extras Cont BCR 2.pdf</x:v>
      </x:c>
      <x:c r="C1766" s="8" t="n">
        <x:v>96164</x:v>
      </x:c>
    </x:row>
    <x:row r="1767" ht="36" customHeight="1">
      <x:c r="A1767" s="8" t="str">
        <x:v>30.1 Cerere Rambursare 1\12. Raportul de audit financiar\Ce s-a trimis la Tamas\CesiroProductionAFIR.zip</x:v>
      </x:c>
      <x:c r="B1767" s="8" t="str">
        <x:v>2.3 Extras Cont BCR 1.pdf</x:v>
      </x:c>
      <x:c r="C1767" s="8" t="n">
        <x:v>104842</x:v>
      </x:c>
    </x:row>
    <x:row r="1768" ht="36" customHeight="1">
      <x:c r="A1768" s="8" t="str">
        <x:v>30.1 Cerere Rambursare 1\12. Raportul de audit financiar\Ce s-a trimis la Tamas\CesiroProductionAFIR.zip</x:v>
      </x:c>
      <x:c r="B1768" s="8" t="str">
        <x:v>2.2 Factura SST 33.pdf</x:v>
      </x:c>
      <x:c r="C1768" s="8" t="n">
        <x:v>107593</x:v>
      </x:c>
    </x:row>
    <x:row r="1769" ht="36" customHeight="1">
      <x:c r="A1769" s="8" t="str">
        <x:v>30.1 Cerere Rambursare 1\12. Raportul de audit financiar\Ce s-a trimis la Tamas\CesiroProductionAFIR.zip</x:v>
      </x:c>
      <x:c r="B1769" s="8" t="str">
        <x:v>4. 2 Acte Aditionale Contract de Achizitie.pdf</x:v>
      </x:c>
      <x:c r="C1769" s="8" t="n">
        <x:v>11327172</x:v>
      </x:c>
    </x:row>
    <x:row r="1770" ht="36" customHeight="1">
      <x:c r="A1770" s="8" t="str">
        <x:v>30.1 Cerere Rambursare 1\12. Raportul de audit financiar\Ce s-a trimis la Tamas\CesiroProductionAFIR.zip</x:v>
      </x:c>
      <x:c r="B1770" s="8" t="str">
        <x:v>4.1 Contract de achizitie Cesiro Production-Suntree.pdf</x:v>
      </x:c>
      <x:c r="C1770" s="8" t="n">
        <x:v>4840623</x:v>
      </x:c>
    </x:row>
    <x:row r="1771" ht="36" customHeight="1">
      <x:c r="A1771" s="8" t="str">
        <x:v>30.1 Cerere Rambursare 1\12. Raportul de audit financiar\Ce s-a trimis la Tamas\CesiroProductionAFIR.zip</x:v>
      </x:c>
      <x:c r="B1771" s="8" t="str">
        <x:v>11. 1.3.1 SE Raport de audit.doc</x:v>
      </x:c>
      <x:c r="C1771" s="8" t="n">
        <x:v>82944</x:v>
      </x:c>
    </x:row>
    <x:row r="1772" ht="36" customHeight="1">
      <x:c r="A1772" s="8" t="str">
        <x:v>30.1 Cerere Rambursare 1\12. Raportul de audit financiar\Ce s-a trimis la Tamas\CesiroProductionAFIR.zip</x:v>
      </x:c>
      <x:c r="B1772" s="8" t="str">
        <x:v>27. Avizare Notificare Nr.2/Adresa_Inaintare_CESIRO_AFIR_.pdf</x:v>
      </x:c>
      <x:c r="C1772" s="8" t="n">
        <x:v>315697</x:v>
      </x:c>
    </x:row>
    <x:row r="1773" ht="36" customHeight="1">
      <x:c r="A1773" s="8" t="str">
        <x:v>30.1 Cerere Rambursare 1\12. Raportul de audit financiar\Ce s-a trimis la Tamas\CesiroProductionAFIR.zip</x:v>
      </x:c>
      <x:c r="B1773" s="8" t="str">
        <x:v>27. Avizare Notificare Nr.2/C3.3.8 (1) (1).pdf</x:v>
      </x:c>
      <x:c r="C1773" s="8" t="n">
        <x:v>382812</x:v>
      </x:c>
    </x:row>
    <x:row r="1774" ht="36" customHeight="1">
      <x:c r="A1774" s="8" t="str">
        <x:v>30.1 Cerere Rambursare 1\12. Raportul de audit financiar\Ce s-a trimis la Tamas\CesiroProductionAFIR.zip</x:v>
      </x:c>
      <x:c r="B1774" s="8" t="str">
        <x:v>27. Avizare Notificare Nr.2/Declaratia Proiectantului-s__.pdf</x:v>
      </x:c>
      <x:c r="C1774" s="8" t="n">
        <x:v>5008901</x:v>
      </x:c>
    </x:row>
    <x:row r="1775" ht="36" customHeight="1">
      <x:c r="A1775" s="8" t="str">
        <x:v>30.1 Cerere Rambursare 1\12. Raportul de audit financiar\Ce s-a trimis la Tamas\CesiroProductionAFIR.zip</x:v>
      </x:c>
      <x:c r="B1775" s="8" t="str">
        <x:v>27. Avizare Notificare Nr.2/Formular_C3_1_completat-de solicitare_.pdf</x:v>
      </x:c>
      <x:c r="C1775" s="8" t="n">
        <x:v>317597</x:v>
      </x:c>
    </x:row>
    <x:row r="1776" ht="36" customHeight="1">
      <x:c r="A1776" s="8" t="str">
        <x:v>30.1 Cerere Rambursare 1\12. Raportul de audit financiar\Ce s-a trimis la Tamas\CesiroProductionAFIR.zip</x:v>
      </x:c>
      <x:c r="B1776" s="8" t="str">
        <x:v>26. Avizare Act aditional nr.1/C3.3.4_.pdf</x:v>
      </x:c>
      <x:c r="C1776" s="8" t="n">
        <x:v>683510</x:v>
      </x:c>
    </x:row>
    <x:row r="1777" ht="36" customHeight="1">
      <x:c r="A1777" s="8" t="str">
        <x:v>30.1 Cerere Rambursare 1\12. Raportul de audit financiar\Ce s-a trimis la Tamas\CesiroProductionAFIR.zip</x:v>
      </x:c>
      <x:c r="B1777" s="8" t="str">
        <x:v>26. Avizare Act aditional nr.1/Fisa tehnica invertor.pdf</x:v>
      </x:c>
      <x:c r="C1777" s="8" t="n">
        <x:v>441689</x:v>
      </x:c>
    </x:row>
    <x:row r="1778" ht="36" customHeight="1">
      <x:c r="A1778" s="8" t="str">
        <x:v>30.1 Cerere Rambursare 1\12. Raportul de audit financiar\Ce s-a trimis la Tamas\CesiroProductionAFIR.zip</x:v>
      </x:c>
      <x:c r="B1778" s="8" t="str">
        <x:v>26. Avizare Act aditional nr.1/Fisa tehnica panou.pdf</x:v>
      </x:c>
      <x:c r="C1778" s="8" t="n">
        <x:v>255454</x:v>
      </x:c>
    </x:row>
    <x:row r="1779" ht="36" customHeight="1">
      <x:c r="A1779" s="8" t="str">
        <x:v>30.1 Cerere Rambursare 1\12. Raportul de audit financiar\Ce s-a trimis la Tamas\CesiroProductionAFIR.zip</x:v>
      </x:c>
      <x:c r="B1779" s="8" t="str">
        <x:v>26. Avizare Act aditional nr.1/Formular_C3_1_completat _.pdf</x:v>
      </x:c>
      <x:c r="C1779" s="8" t="n">
        <x:v>320142</x:v>
      </x:c>
    </x:row>
    <x:row r="1780" ht="36" customHeight="1">
      <x:c r="A1780" s="8" t="str">
        <x:v>30.1 Cerere Rambursare 1\12. Raportul de audit financiar\Ce s-a trimis la Tamas\CesiroProductionAFIR.zip</x:v>
      </x:c>
      <x:c r="B1780" s="8" t="str">
        <x:v>26. Avizare Act aditional nr.1/Memoriu_Justificativ_Consolidat_CESIRO (2).pdf</x:v>
      </x:c>
      <x:c r="C1780" s="8" t="n">
        <x:v>367855</x:v>
      </x:c>
    </x:row>
    <x:row r="1781" ht="36" customHeight="1">
      <x:c r="A1781" s="8" t="str">
        <x:v>30.1 Cerere Rambursare 1\12. Raportul de audit financiar\Ce s-a trimis la Tamas\CesiroProductionAFIR.zip</x:v>
      </x:c>
      <x:c r="B1781" s="8" t="str">
        <x:v>26. Avizare Act aditional nr.1/Referat_proiectant_CESIRO__s.pdf</x:v>
      </x:c>
      <x:c r="C1781" s="8" t="n">
        <x:v>12457305</x:v>
      </x:c>
    </x:row>
    <x:row r="1782" ht="36" customHeight="1">
      <x:c r="A1782" s="8" t="str">
        <x:v>30.1 Cerere Rambursare 1\12. Raportul de audit financiar\Ce s-a trimis la Tamas\CesiroProductionAFIR.zip</x:v>
      </x:c>
      <x:c r="B1782" s="8" t="str">
        <x:v>26. Avizare Act aditional nr.1/Studiu_Justificativ_Aprofundat_CESIRO (2).pdf</x:v>
      </x:c>
      <x:c r="C1782" s="8" t="n">
        <x:v>527000</x:v>
      </x:c>
    </x:row>
    <x:row r="1783" ht="36" customHeight="1">
      <x:c r="A1783" s="8" t="str">
        <x:v>30.1 Cerere Rambursare 1\12. Raportul de audit financiar\Ce s-a trimis la Tamas\CesiroProductionAFIR.zip</x:v>
      </x:c>
      <x:c r="B1783" s="8" t="str">
        <x:v>17. balanta_de_verificare_10082026_125949v2.pdf</x:v>
      </x:c>
      <x:c r="C1783" s="8" t="n">
        <x:v>3607006</x:v>
      </x:c>
    </x:row>
    <x:row r="1784" ht="36" customHeight="1">
      <x:c r="A1784" s="8" t="str">
        <x:v>30.1 Cerere Rambursare 1\12. Raportul de audit financiar\Ce s-a trimis la Tamas\CesiroProductionAFIR.zip</x:v>
      </x:c>
      <x:c r="B1784" s="8" t="str">
        <x:v>14. CESIRO_Ordin_incepere_lucrari-v2.pdf</x:v>
      </x:c>
      <x:c r="C1784" s="8" t="n">
        <x:v>3591658</x:v>
      </x:c>
    </x:row>
    <x:row r="1785" ht="36" customHeight="1">
      <x:c r="A1785" s="8" t="str">
        <x:v>30.1 Cerere Rambursare 1\12. Raportul de audit financiar\Ce s-a trimis la Tamas\CesiroProductionAFIR.zip</x:v>
      </x:c>
      <x:c r="B1785" s="8" t="str">
        <x:v>13. AP 1.4 SE Declarație pe propria răspundere_v2.pdf</x:v>
      </x:c>
      <x:c r="C1785" s="8" t="n">
        <x:v>1704918</x:v>
      </x:c>
    </x:row>
    <x:row r="1786" ht="36" customHeight="1">
      <x:c r="A1786" s="8" t="str">
        <x:v>30.1 Cerere Rambursare 1\12. Raportul de audit financiar\Ce s-a trimis la Tamas\CesiroProductionAFIR.zip</x:v>
      </x:c>
      <x:c r="B1786" s="8" t="str">
        <x:v>9-10 Documentar_fotografic_CESIRO_Transa1_REVIZUITv2.pdf</x:v>
      </x:c>
      <x:c r="C1786" s="8" t="n">
        <x:v>5000127</x:v>
      </x:c>
    </x:row>
    <x:row r="1787" ht="36" customHeight="1">
      <x:c r="A1787" s="8" t="str">
        <x:v>30.1 Cerere Rambursare 1\12. Raportul de audit financiar\Ce s-a trimis la Tamas\CesiroProductionAFIR.zip</x:v>
      </x:c>
      <x:c r="B1787" s="8" t="str">
        <x:v>7. Situatie_de_plata_transa_V2_v4.pdf</x:v>
      </x:c>
      <x:c r="C1787" s="8" t="n">
        <x:v>5360647</x:v>
      </x:c>
    </x:row>
    <x:row r="1788" ht="36" customHeight="1">
      <x:c r="A1788" s="8" t="str">
        <x:v>30.1 Cerere Rambursare 1\12. Raportul de audit financiar\Ce s-a trimis la Tamas\CesiroProductionAFIR.zip</x:v>
      </x:c>
      <x:c r="B1788" s="8" t="str">
        <x:v>5. AP_1_3_SE_Raport_executie_Transa1_v4.pdf</x:v>
      </x:c>
      <x:c r="C1788" s="8" t="n">
        <x:v>5622719</x:v>
      </x:c>
    </x:row>
    <x:row r="1789" ht="36" customHeight="1">
      <x:c r="A1789" s="8" t="str">
        <x:v>30.1 Cerere Rambursare 1\12. Raportul de audit financiar\Ce s-a trimis la Tamas\CesiroProductionAFIR.zip</x:v>
      </x:c>
      <x:c r="B1789" s="8" t="str">
        <x:v>3. AP_1.2_SE_declaratie_de_cheltuieli--_V3.pdf</x:v>
      </x:c>
      <x:c r="C1789" s="8" t="n">
        <x:v>724890</x:v>
      </x:c>
    </x:row>
    <x:row r="1790" ht="36" customHeight="1">
      <x:c r="A1790" s="8" t="str">
        <x:v>30.1 Cerere Rambursare 1\12. Raportul de audit financiar\Ce s-a trimis la Tamas\CesiroProductionAFIR.zip</x:v>
      </x:c>
      <x:c r="B1790" s="8" t="str">
        <x:v>2.1. AP 1.1 SE Cerere de rambursare-v3.pdf</x:v>
      </x:c>
      <x:c r="C1790" s="8" t="n">
        <x:v>760000</x:v>
      </x:c>
    </x:row>
    <x:row r="1791" ht="36" customHeight="1">
      <x:c r="A1791" s="8" t="str">
        <x:v>30.1 Cerere Rambursare 1\12. Raportul de audit financiar\Ce s-a trimis la Tamas\CesiroProductionAFIR.zip</x:v>
      </x:c>
      <x:c r="B1791" s="8" t="str">
        <x:v>1. AP_0.0_grafic_de_esalonare_SEV3.pdf</x:v>
      </x:c>
      <x:c r="C1791" s="8" t="n">
        <x:v>706616</x:v>
      </x:c>
    </x:row>
    <x:row r="1792" ht="36" customHeight="1">
      <x:c r="A1792" s="8" t="str">
        <x:v>30.1 Cerere Rambursare 1\12. Raportul de audit financiar\Ce s-a trimis la Tamas\CesiroProductionAFIR.zip</x:v>
      </x:c>
      <x:c r="B1792" s="8" t="str">
        <x:v>25. PV_08_Receptie_partiala_transa1_03_07_2026 v2.pdf</x:v>
      </x:c>
      <x:c r="C1792" s="8" t="n">
        <x:v>310025</x:v>
      </x:c>
    </x:row>
    <x:row r="1793" ht="36" customHeight="1">
      <x:c r="A1793" s="8" t="str">
        <x:v>30.1 Cerere Rambursare 1\12. Raportul de audit financiar\Ce s-a trimis la Tamas\CesiroProductionAFIR.zip</x:v>
      </x:c>
      <x:c r="B1793" s="8" t="str">
        <x:v>24. PV_07_Verificare_faze_determinante_30_06_2026 v3.pdf</x:v>
      </x:c>
      <x:c r="C1793" s="8" t="n">
        <x:v>282064</x:v>
      </x:c>
    </x:row>
    <x:row r="1794" ht="36" customHeight="1">
      <x:c r="A1794" s="8" t="str">
        <x:v>30.1 Cerere Rambursare 1\12. Raportul de audit financiar\Ce s-a trimis la Tamas\CesiroProductionAFIR.zip</x:v>
      </x:c>
      <x:c r="B1794" s="8" t="str">
        <x:v>23. PV_06_Montaj_module_28_06_2026 v2.pdf</x:v>
      </x:c>
      <x:c r="C1794" s="8" t="n">
        <x:v>290586</x:v>
      </x:c>
    </x:row>
    <x:row r="1795" ht="36" customHeight="1">
      <x:c r="A1795" s="8" t="str">
        <x:v>30.1 Cerere Rambursare 1\12. Raportul de audit financiar\Ce s-a trimis la Tamas\CesiroProductionAFIR.zip</x:v>
      </x:c>
      <x:c r="B1795" s="8" t="str">
        <x:v>22.2 Centralizator_2222_panouri_montate_CD1 v1.pdf</x:v>
      </x:c>
      <x:c r="C1795" s="8" t="n">
        <x:v>7228685</x:v>
      </x:c>
    </x:row>
    <x:row r="1796" ht="36" customHeight="1">
      <x:c r="A1796" s="8" t="str">
        <x:v>30.1 Cerere Rambursare 1\12. Raportul de audit financiar\Ce s-a trimis la Tamas\CesiroProductionAFIR.zip</x:v>
      </x:c>
      <x:c r="B1796" s="8" t="str">
        <x:v>21 PV_04_Montaj_structura_14_04_2026 (1).v2.pdf</x:v>
      </x:c>
      <x:c r="C1796" s="8" t="n">
        <x:v>320894</x:v>
      </x:c>
    </x:row>
    <x:row r="1797" ht="36" customHeight="1">
      <x:c r="A1797" s="8" t="str">
        <x:v>30.1 Cerere Rambursare 1\12. Raportul de audit financiar\Ce s-a trimis la Tamas\CesiroProductionAFIR.zip</x:v>
      </x:c>
      <x:c r="B1797" s="8" t="str">
        <x:v>22.1 PV_04_Montaj_structura_14_04_2026 (1).v2.pdf</x:v>
      </x:c>
      <x:c r="C1797" s="8" t="n">
        <x:v>320894</x:v>
      </x:c>
    </x:row>
    <x:row r="1798" ht="36" customHeight="1">
      <x:c r="A1798" s="8" t="str">
        <x:v>30.1 Cerere Rambursare 1\12. Raportul de audit financiar\Ce s-a trimis la Tamas\CesiroProductionAFIR.zip</x:v>
      </x:c>
      <x:c r="B1798" s="8" t="str">
        <x:v>20.1 PV_03_Receptie_structura_08_04_2026 (2).v2.pdf</x:v>
      </x:c>
      <x:c r="C1798" s="8" t="n">
        <x:v>262918</x:v>
      </x:c>
    </x:row>
    <x:row r="1799" ht="36" customHeight="1">
      <x:c r="A1799" s="8" t="str">
        <x:v>30.1 Cerere Rambursare 1\12. Raportul de audit financiar\Ce s-a trimis la Tamas\CesiroProductionAFIR.zip</x:v>
      </x:c>
      <x:c r="B1799" s="8" t="str">
        <x:v>20.2 PV_03_Receptie_structura_08_04_2026 (2).v2.pdf</x:v>
      </x:c>
      <x:c r="C1799" s="8" t="n">
        <x:v>262918</x:v>
      </x:c>
    </x:row>
    <x:row r="1800" ht="36" customHeight="1">
      <x:c r="A1800" s="8" t="str">
        <x:v>30.1 Cerere Rambursare 1\9-10. Fotografii relevante ale investiției\11. Vizibilitate\Arhiva\Comunicat_inceput_CESIRO_PRODUCTION_FM_AFIR_pachet_site.zip</x:v>
      </x:c>
      <x:c r="B1800" s="8" t="str">
        <x:v>comunicat_inceput_CESIRO_FM_AFIR/assets/logo_guvern.png</x:v>
      </x:c>
      <x:c r="C1800" s="8" t="n">
        <x:v>52911</x:v>
      </x:c>
    </x:row>
    <x:row r="1801" ht="36" customHeight="1">
      <x:c r="A1801" s="8" t="str">
        <x:v>30.1 Cerere Rambursare 1\9-10. Fotografii relevante ale investiției\11. Vizibilitate\Arhiva\Comunicat_inceput_CESIRO_PRODUCTION_FM_AFIR_pachet_site.zip</x:v>
      </x:c>
      <x:c r="B1801" s="8" t="str">
        <x:v>comunicat_inceput_CESIRO_FM_AFIR/assets/logo_fm_finantat_ue_ets.png</x:v>
      </x:c>
      <x:c r="C1801" s="8" t="n">
        <x:v>26419</x:v>
      </x:c>
    </x:row>
    <x:row r="1802" ht="36" customHeight="1">
      <x:c r="A1802" s="8" t="str">
        <x:v>30.1 Cerere Rambursare 1\9-10. Fotografii relevante ale investiției\11. Vizibilitate\Arhiva\Comunicat_inceput_CESIRO_PRODUCTION_FM_AFIR_pachet_site.zip</x:v>
      </x:c>
      <x:c r="B1802" s="8" t="str">
        <x:v>comunicat_inceput_CESIRO_FM_AFIR/assets/logo_bei_ro.png</x:v>
      </x:c>
      <x:c r="C1802" s="8" t="n">
        <x:v>9990</x:v>
      </x:c>
    </x:row>
    <x:row r="1803" ht="36" customHeight="1">
      <x:c r="A1803" s="8" t="str">
        <x:v>30.1 Cerere Rambursare 1\9-10. Fotografii relevante ale investiției\11. Vizibilitate\Arhiva\Comunicat_inceput_CESIRO_PRODUCTION_FM_AFIR_pachet_site.zip</x:v>
      </x:c>
      <x:c r="B1803" s="8" t="str">
        <x:v>comunicat_inceput_CESIRO_FM_AFIR/assets/logo_afir.png</x:v>
      </x:c>
      <x:c r="C1803" s="8" t="n">
        <x:v>41910</x:v>
      </x:c>
    </x:row>
    <x:row r="1804" ht="36" customHeight="1">
      <x:c r="A1804" s="8" t="str">
        <x:v>30.1 Cerere Rambursare 1\9-10. Fotografii relevante ale investiției\11. Vizibilitate\Arhiva\Comunicat_inceput_CESIRO_PRODUCTION_FM_AFIR_pachet_site.zip</x:v>
      </x:c>
      <x:c r="B1804" s="8" t="str">
        <x:v>comunicat_inceput_CESIRO_FM_AFIR/assets/logo_comisia_europeana_ro.png</x:v>
      </x:c>
      <x:c r="C1804" s="8" t="n">
        <x:v>55763</x:v>
      </x:c>
    </x:row>
    <x:row r="1805" ht="36" customHeight="1">
      <x:c r="A1805" s="8" t="str">
        <x:v>30.1 Cerere Rambursare 1\9-10. Fotografii relevante ale investiției\11. Vizibilitate\Arhiva\Comunicat_inceput_CESIRO_PRODUCTION_FM_AFIR_pachet_site.zip</x:v>
      </x:c>
      <x:c r="B1805" s="8" t="str">
        <x:v>comunicat_inceput_CESIRO_FM_AFIR/assets/logo_european_commission_en.png</x:v>
      </x:c>
      <x:c r="C1805" s="8" t="n">
        <x:v>19606</x:v>
      </x:c>
    </x:row>
    <x:row r="1806" ht="36" customHeight="1">
      <x:c r="A1806" s="8" t="str">
        <x:v>30.1 Cerere Rambursare 1\9-10. Fotografii relevante ale investiției\11. Vizibilitate\Arhiva\Comunicat_inceput_CESIRO_PRODUCTION_FM_AFIR_pachet_site.zip</x:v>
      </x:c>
      <x:c r="B1806" s="8" t="str">
        <x:v>comunicat_inceput_CESIRO_FM_AFIR/index.html</x:v>
      </x:c>
      <x:c r="C1806" s="8" t="n">
        <x:v>18941</x:v>
      </x:c>
    </x:row>
    <x:row r="1807" ht="36" customHeight="1">
      <x:c r="A1807" s="8" t="str">
        <x:v>30.1 Cerere Rambursare 1\9-10. Fotografii relevante ale investiției\11. Vizibilitate\Arhiva\Comunicat_inceput_CESIRO_PRODUCTION_FM_AFIR_pachet_site.zip</x:v>
      </x:c>
      <x:c r="B1807" s="8" t="str">
        <x:v>comunicat_inceput_CESIRO_FM_AFIR/comunicat_inceput_CESIRO_PRODUCTION_FM_AFIR.html</x:v>
      </x:c>
      <x:c r="C1807" s="8" t="n">
        <x:v>18941</x:v>
      </x:c>
    </x:row>
    <x:row r="1808" ht="36" customHeight="1">
      <x:c r="A1808" s="8" t="str">
        <x:v>30.1 Cerere Rambursare 1\9-10. Fotografii relevante ale investiției\11. Vizibilitate\Arhiva\Comunicat_inceput_CESIRO_PRODUCTION_FM_AFIR_pachet_site.zip</x:v>
      </x:c>
      <x:c r="B1808" s="8" t="str">
        <x:v>Comunicat_inceput_CESIRO_PRODUCTION_FM_AFIR_standalone.html</x:v>
      </x:c>
      <x:c r="C1808" s="8" t="n">
        <x:v>268245</x:v>
      </x:c>
    </x:row>
    <x:row r="1809" ht="36" customHeight="1">
      <x:c r="A1809" s="8" t="str">
        <x:v>30.1 Cerere Rambursare 1\9-10. Fotografii relevante ale investiției\11. Vizibilitate\Arhiva\Comunicat_inceput_CESIRO_PRODUCTION_FM_AFIR_pachet_site.zip</x:v>
      </x:c>
      <x:c r="B1809" s="8" t="str">
        <x:v>Comunicat_inceput_CESIRO_PRODUCTION_FM_AFIR_snippet_wordpress.html</x:v>
      </x:c>
      <x:c r="C1809" s="8" t="n">
        <x:v>18451</x:v>
      </x:c>
    </x:row>
    <x:row r="1810" ht="32" customHeight="1">
      <x:c r="A1810" s="8" t="str">
        <x:v>5. De Depus\DE DEPUS FINAL\Documente depuse la proiect.zip</x:v>
      </x:c>
      <x:c r="B1810" s="8" t="str">
        <x:v>4. Act constitutiv Cesiro Production CAEN 1039 si 3511 semnat.pdf</x:v>
      </x:c>
      <x:c r="C1810" s="8" t="n">
        <x:v>8187883</x:v>
      </x:c>
    </x:row>
    <x:row r="1811" ht="32" customHeight="1">
      <x:c r="A1811" s="8" t="str">
        <x:v>5. De Depus\DE DEPUS FINAL\Documente depuse la proiect.zip</x:v>
      </x:c>
      <x:c r="B1811" s="8" t="str">
        <x:v>6. Analiza Cost Beneficiu semnat.pdf</x:v>
      </x:c>
      <x:c r="C1811" s="8" t="n">
        <x:v>1514349</x:v>
      </x:c>
    </x:row>
    <x:row r="1812" ht="32" customHeight="1">
      <x:c r="A1812" s="8" t="str">
        <x:v>5. De Depus\DE DEPUS FINAL\Documente depuse la proiect.zip</x:v>
      </x:c>
      <x:c r="B1812" s="8" t="str">
        <x:v>7. Plan de Afaceri semnat.pdf</x:v>
      </x:c>
      <x:c r="C1812" s="8" t="n">
        <x:v>3124666</x:v>
      </x:c>
    </x:row>
    <x:row r="1813" ht="32" customHeight="1">
      <x:c r="A1813" s="8" t="str">
        <x:v>5. De Depus\DE DEPUS FINAL\Documente depuse la proiect.zip</x:v>
      </x:c>
      <x:c r="B1813" s="8" t="str">
        <x:v>9. OFERTE semnat.pdf</x:v>
      </x:c>
      <x:c r="C1813" s="8" t="n">
        <x:v>26567498</x:v>
      </x:c>
    </x:row>
    <x:row r="1814" ht="32" customHeight="1">
      <x:c r="A1814" s="8" t="str">
        <x:v>5. De Depus\DE DEPUS FINAL\Documente depuse la proiect.zip</x:v>
      </x:c>
      <x:c r="B1814" s="8" t="str">
        <x:v>15. Memoriu tehnic de evaluare a impactului asupra mediului semnat.pdf</x:v>
      </x:c>
      <x:c r="C1814" s="8" t="n">
        <x:v>1196891</x:v>
      </x:c>
    </x:row>
    <x:row r="1815" ht="32" customHeight="1">
      <x:c r="A1815" s="8" t="str">
        <x:v>5. De Depus\DE DEPUS FINAL\Documente depuse la proiect.zip</x:v>
      </x:c>
      <x:c r="B1815" s="8" t="str">
        <x:v>Cerere de finantare semnat.pdf</x:v>
      </x:c>
      <x:c r="C1815" s="8" t="n">
        <x:v>1408358</x:v>
      </x:c>
    </x:row>
    <x:row r="1816" ht="32" customHeight="1">
      <x:c r="A1816" s="8" t="str">
        <x:v>5. De Depus\DE DEPUS FINAL\Documente depuse la proiect.zip</x:v>
      </x:c>
      <x:c r="B1816" s="8" t="str">
        <x:v>Codul de proiect FMSES011011372801030.docx</x:v>
      </x:c>
      <x:c r="C1816" s="8" t="n">
        <x:v>14183</x:v>
      </x:c>
    </x:row>
    <x:row r="1817" ht="32" customHeight="1">
      <x:c r="A1817" s="8" t="str">
        <x:v>5. De Depus\DE DEPUS FINAL\Documente depuse la proiect.zip</x:v>
      </x:c>
      <x:c r="B1817" s="8" t="str">
        <x:v>Declaratie asumare dezechilibre semnat.pdf</x:v>
      </x:c>
      <x:c r="C1817" s="8" t="n">
        <x:v>335513</x:v>
      </x:c>
    </x:row>
    <x:row r="1818" ht="32" customHeight="1">
      <x:c r="A1818" s="8" t="str">
        <x:v>5. De Depus\DE DEPUS FINAL\Documente depuse la proiect.zip</x:v>
      </x:c>
      <x:c r="B1818" s="8" t="str">
        <x:v>Declaratie caracteristici clădire semnat.pdf</x:v>
      </x:c>
      <x:c r="C1818" s="8" t="n">
        <x:v>346004</x:v>
      </x:c>
    </x:row>
    <x:row r="1819" ht="32" customHeight="1">
      <x:c r="A1819" s="8" t="str">
        <x:v>5. De Depus\DE DEPUS FINAL\Documente depuse la proiect.zip</x:v>
      </x:c>
      <x:c r="B1819" s="8" t="str">
        <x:v>Declaratie date cu caracter personal semnat.pdf</x:v>
      </x:c>
      <x:c r="C1819" s="8" t="n">
        <x:v>357875</x:v>
      </x:c>
    </x:row>
    <x:row r="1820" ht="32" customHeight="1">
      <x:c r="A1820" s="8" t="str">
        <x:v>5. De Depus\DE DEPUS FINAL\Documente depuse la proiect.zip</x:v>
      </x:c>
      <x:c r="B1820" s="8" t="str">
        <x:v>Memoriu Tehnic Justificativ semnat.pdf</x:v>
      </x:c>
      <x:c r="C1820" s="8" t="n">
        <x:v>1686025</x:v>
      </x:c>
    </x:row>
    <x:row r="1821" ht="32" customHeight="1">
      <x:c r="A1821" s="8" t="str">
        <x:v>5. De Depus\DE DEPUS FINAL\Documente depuse la proiect.zip</x:v>
      </x:c>
      <x:c r="B1821" s="8" t="str">
        <x:v>Nota justificativa de atribuire semnat.pdf</x:v>
      </x:c>
      <x:c r="C1821" s="8" t="n">
        <x:v>797803</x:v>
      </x:c>
    </x:row>
    <x:row r="1822" ht="32" customHeight="1">
      <x:c r="A1822" s="8" t="str">
        <x:v>5. De Depus\DE DEPUS FINAL\Documente depuse la proiect.zip</x:v>
      </x:c>
      <x:c r="B1822" s="8" t="str">
        <x:v>3. Certificat Constatator Cesiro Production semnat.pdf</x:v>
      </x:c>
      <x:c r="C1822" s="8" t="n">
        <x:v>362490</x:v>
      </x:c>
    </x:row>
  </x:sheetData>
  <x:pageMargins left="0.7" right="0.7" top="0.75" bottom="0.75" header="0.3" footer="0.3"/>
  <x:tableParts count="1">
    <x:tablePart xmlns:r="http://schemas.openxmlformats.org/officeDocument/2006/relationships" r:id="Rabb831b085594fd9"/>
  </x:tableParts>
</x:worksheet>
</file>