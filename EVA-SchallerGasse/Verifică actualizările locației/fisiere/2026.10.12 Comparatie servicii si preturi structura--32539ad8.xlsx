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395270f611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 Servicii" sheetId="1" r:id="Ra536042f4a194576"/>
    <x:sheet xmlns:r="http://schemas.openxmlformats.org/officeDocument/2006/relationships" name="2 Preturi" sheetId="2" r:id="Rb6a1b1299a7c4717"/>
  </x:sheets>
</x:workbook>
</file>

<file path=xl/comments1.xml><?xml version="1.0" encoding="utf-8"?>
<x:comments xmlns:x="http://schemas.openxmlformats.org/spreadsheetml/2006/main">
  <x:authors>
    <x:author/>
  </x:authors>
  <x:commentList>
    <x:comment ref="G58" authorId="0">
      <x:text>
        <x:r>
          <x:t>Sursa originală: D:\00. Downloads\Apartamente Viena\00. Cladire 1 Schallergasse 35, 1120 Wien (Meidling)\04. Firme + Executie\01. Verificator (Pruefingenieur)\TOMS\2026.10.02 Contract v4.1 - data actualizata\2026.10.02 Werkvertrag TOMS - Entwurf AG v4.1.pdf
Data lizibilă: 2026.10.02
ID Eva-Mail: 64c91100-89c3-4206-8e7e-988e575385b8</x:t>
        </x:r>
      </x:text>
    </x:comment>
    <x:comment ref="G59" authorId="0">
      <x:text>
        <x:r>
          <x:t>Sursa originală: D:\00. Downloads\Apartamente Viena\00. Cladire 1 Schallergasse 35, 1120 Wien (Meidling)\04. Firme + Executie\01. Verificator (Pruefingenieur)\TOMS\2026.10.02 Contract v4.1 - data actualizata\Beilagen\2026.10.02 ANG 855_Schallergasse 35, 1120 Wien_TWP.PDF
Data lizibilă: 2026.09.03</x:t>
        </x:r>
      </x:text>
    </x:comment>
    <x:comment ref="G60" authorId="0">
      <x:text>
        <x:r>
          <x:t>Sursa originală: D:\00. Downloads\Apartamente Viena\00. Cladire 1 Schallergasse 35, 1120 Wien (Meidling)\04. Firme + Executie\01. Verificator (Pruefingenieur)\TOMS\2026.10.02 Contract v4.1 - data actualizata\Beilagen\2026.10.02 ANG 839_Schallergasse 35, 1120 Wien_PI.PDF
Data lizibilă: 2026.08.20</x:t>
        </x:r>
      </x:text>
    </x:comment>
    <x:comment ref="G61" authorId="0">
      <x:text>
        <x:r>
          <x:t>Sursa originală: D:\00. Downloads\Apartamente Viena\00. Cladire 1 Schallergasse 35, 1120 Wien (Meidling)\04. Firme + Executie\01. Verificator (Pruefingenieur)\TOMS\2026.10.02 Contract v4.1 - data actualizata\Beilagen\2026.10.02 2026-09-23 ANG 891 Bauwerksbuch (3.400 EUR netto).PDF
Data lizibilă: 2026.09.23</x:t>
        </x:r>
      </x:text>
    </x:comment>
    <x:comment ref="G62" authorId="0">
      <x:text>
        <x:r>
          <x:t>Sursa originală: D:\00. Downloads\Apartamente Viena\00. Cladire 1 Schallergasse 35, 1120 Wien (Meidling)\04. Firme + Executie\01. Verificator (Pruefingenieur)\TOMS\2026.10.02 Contract v4.1 - data actualizata\Beilagen\2026.10.02 2026-09-28 Fragekatalog 2 - unterzeichnet von TOMS.pdf
Data lizibilă: 2026.09.28</x:t>
        </x:r>
      </x:text>
    </x:comment>
    <x:comment ref="G63" authorId="0">
      <x:text>
        <x:r>
          <x:t>Sursa originală: D:\00. Downloads\Apartamente Viena\00. Cladire 1 Schallergasse 35, 1120 Wien (Meidling)\04. Firme + Executie\01. Verificator (Pruefingenieur)\TOMS\2026.10.02 Contract v4.1 - data actualizata\Beilagen\2026.10.01 PRIMIT TOMS 838c8bcd.txt
Data lizibilă: 2026.10.01
ID Eva-Mail: 838c8bcd-4e2d-4e90-bc25-25355ea6da60</x:t>
        </x:r>
      </x:text>
    </x:comment>
    <x:comment ref="G64" authorId="0">
      <x:text>
        <x:r>
          <x:t>Sursa originală: D:\00. Downloads\Apartamente Viena\00. Cladire 1 Schallergasse 35, 1120 Wien (Meidling)\08. Corespondenta\2026.10.11 Verificare zilnica\2026.10.11 PRIMIT TOMS cdd301b0.txt
Data lizibilă: 2026.10.08
ID Eva-Mail: cdd301b0-457e-4452-a394-6eea21256e61</x:t>
        </x:r>
      </x:text>
    </x:comment>
    <x:comment ref="G65" authorId="0">
      <x:text>
        <x:r>
          <x:t>Sursa originală: D:\00. Downloads\Apartamente Viena\00. Cladire 1 Schallergasse 35, 1120 Wien (Meidling)\04. Firme + Executie\01. Verificator (Pruefingenieur)\TOMS\2026.10.02 Contract v4.1 - data actualizata\2026.10.05 Status trimitere verificat.txt
Data lizibilă: 2026.10.05
ID Eva-Mail: 64c91100-89c3-4206-8e7e-988e575385b8</x:t>
        </x:r>
      </x:text>
    </x:comment>
    <x:comment ref="G66" authorId="0">
      <x:text>
        <x:r>
          <x:t>Sursa originală: D:\00. Downloads\Apartamente Viena\00. Cladire 1 Schallergasse 35, 1120 Wien (Meidling)\04. Firme + Executie\02. Protectia Muncii (BauKG-Koordinator)\TOMS\ANG 840_Schallergasse 35, 1120 Wien_BauKG.PDF
Data lizibilă: 2026.08.20</x:t>
        </x:r>
      </x:text>
    </x:comment>
    <x:comment ref="G67" authorId="0">
      <x:text>
        <x:r>
          <x:t>Sursa originală: D:\00. Downloads\Apartamente Viena\00. Cladire 1 Schallergasse 35, 1120 Wien (Meidling)\04. Firme + Executie\01. Verificator (Pruefingenieur)\TOMS\2026.10.02 Contract v4.1 - data actualizata\Beilagen\2026.10.02 2026-09-23 Anlage 5 - Fragenkatalog (digitale Reinschrift) korrigiert + signiert von TOMS.pdf
Data lizibilă: 2026.09.23</x:t>
        </x:r>
      </x:text>
    </x:comment>
    <x:comment ref="G68" authorId="0">
      <x:text>
        <x:r>
          <x:t>Sursa originală: D:\00. Downloads\Apartamente Viena\00. Cladire 1 Schallergasse 35, 1120 Wien (Meidling)\00.Proiect\09. Vertraege\bmberger.at\2026.08.17\2026_08_17_Anbot_Statik_Detail.pdf
Data lizibilă: 2026.08.17
ID Eva-Mail: ce6905cb-0c93-4e6b-8cde-7e300dfc874c</x:t>
        </x:r>
      </x:text>
    </x:comment>
    <x:comment ref="G69" authorId="0">
      <x:text>
        <x:r>
          <x:t>Sursa originală: D:\00. Downloads\Apartamente Viena\00. Cladire 1 Schallergasse 35, 1120 Wien (Meidling)\03. Proiectare\Statik\Angebot 2026-470-AN01 2026-09-17.pdf
Data lizibilă: 2026.09.17
ID Eva-Mail: 63cd2bcb-2160-4027-b6c8-25bb42d9ae50</x:t>
        </x:r>
      </x:text>
    </x:comment>
    <x:comment ref="G70" authorId="0">
      <x:text>
        <x:r>
          <x:t>Sursa originală: D:\00. Downloads\Apartamente Viena\00. Cladire 1 Schallergasse 35, 1120 Wien (Meidling)\00.Proiect\07. Kosten + Ausschreibung\03. Angebote (Oferte)\Angebot REALIG Gschirtz.pdf
Data lizibilă: 2026.03.26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G35" authorId="0">
      <x:text>
        <x:r>
          <x:t>Sursa originală: D:\00. Downloads\Apartamente Viena\00. Cladire 1 Schallergasse 35, 1120 Wien (Meidling)\04. Firme + Executie\01. Verificator (Pruefingenieur)\TOMS\2026.10.02 Contract v4.1 - data actualizata\2026.10.02 Werkvertrag TOMS - Entwurf AG v4.1.pdf
Data lizibilă: 2026.10.02
ID Eva-Mail: 64c91100-89c3-4206-8e7e-988e575385b8</x:t>
        </x:r>
      </x:text>
    </x:comment>
    <x:comment ref="G36" authorId="0">
      <x:text>
        <x:r>
          <x:t>Sursa originală: D:\00. Downloads\Apartamente Viena\00. Cladire 1 Schallergasse 35, 1120 Wien (Meidling)\04. Firme + Executie\01. Verificator (Pruefingenieur)\TOMS\2026.10.02 Contract v4.1 - data actualizata\Beilagen\2026.10.02 ANG 855_Schallergasse 35, 1120 Wien_TWP.PDF
Data lizibilă: 2026.09.03</x:t>
        </x:r>
      </x:text>
    </x:comment>
    <x:comment ref="G37" authorId="0">
      <x:text>
        <x:r>
          <x:t>Sursa originală: D:\00. Downloads\Apartamente Viena\00. Cladire 1 Schallergasse 35, 1120 Wien (Meidling)\04. Firme + Executie\01. Verificator (Pruefingenieur)\TOMS\2026.10.02 Contract v4.1 - data actualizata\Beilagen\2026.10.02 ANG 839_Schallergasse 35, 1120 Wien_PI.PDF
Data lizibilă: 2026.08.20</x:t>
        </x:r>
      </x:text>
    </x:comment>
    <x:comment ref="G38" authorId="0">
      <x:text>
        <x:r>
          <x:t>Sursa originală: D:\00. Downloads\Apartamente Viena\00. Cladire 1 Schallergasse 35, 1120 Wien (Meidling)\04. Firme + Executie\01. Verificator (Pruefingenieur)\TOMS\2026.10.02 Contract v4.1 - data actualizata\Beilagen\2026.10.02 2026-09-23 ANG 891 Bauwerksbuch (3.400 EUR netto).PDF
Data lizibilă: 2026.09.23</x:t>
        </x:r>
      </x:text>
    </x:comment>
    <x:comment ref="G39" authorId="0">
      <x:text>
        <x:r>
          <x:t>Sursa originală: D:\00. Downloads\Apartamente Viena\00. Cladire 1 Schallergasse 35, 1120 Wien (Meidling)\04. Firme + Executie\01. Verificator (Pruefingenieur)\TOMS\2026.10.02 Contract v4.1 - data actualizata\Beilagen\2026.10.02 2026-09-28 Fragekatalog 2 - unterzeichnet von TOMS.pdf
Data lizibilă: 2026.09.28</x:t>
        </x:r>
      </x:text>
    </x:comment>
    <x:comment ref="G40" authorId="0">
      <x:text>
        <x:r>
          <x:t>Sursa originală: D:\00. Downloads\Apartamente Viena\00. Cladire 1 Schallergasse 35, 1120 Wien (Meidling)\04. Firme + Executie\01. Verificator (Pruefingenieur)\TOMS\2026.10.02 Contract v4.1 - data actualizata\Beilagen\2026.10.01 PRIMIT TOMS 838c8bcd.txt
Data lizibilă: 2026.10.01
ID Eva-Mail: 838c8bcd-4e2d-4e90-bc25-25355ea6da60</x:t>
        </x:r>
      </x:text>
    </x:comment>
    <x:comment ref="G41" authorId="0">
      <x:text>
        <x:r>
          <x:t>Sursa originală: D:\00. Downloads\Apartamente Viena\00. Cladire 1 Schallergasse 35, 1120 Wien (Meidling)\08. Corespondenta\2026.10.11 Verificare zilnica\2026.10.11 PRIMIT TOMS cdd301b0.txt
Data lizibilă: 2026.10.08
ID Eva-Mail: cdd301b0-457e-4452-a394-6eea21256e61</x:t>
        </x:r>
      </x:text>
    </x:comment>
    <x:comment ref="G42" authorId="0">
      <x:text>
        <x:r>
          <x:t>Sursa originală: D:\00. Downloads\Apartamente Viena\00. Cladire 1 Schallergasse 35, 1120 Wien (Meidling)\04. Firme + Executie\01. Verificator (Pruefingenieur)\TOMS\2026.10.02 Contract v4.1 - data actualizata\2026.10.05 Status trimitere verificat.txt
Data lizibilă: 2026.10.05
ID Eva-Mail: 64c91100-89c3-4206-8e7e-988e575385b8</x:t>
        </x:r>
      </x:text>
    </x:comment>
    <x:comment ref="G43" authorId="0">
      <x:text>
        <x:r>
          <x:t>Sursa originală: D:\00. Downloads\Apartamente Viena\00. Cladire 1 Schallergasse 35, 1120 Wien (Meidling)\04. Firme + Executie\02. Protectia Muncii (BauKG-Koordinator)\TOMS\ANG 840_Schallergasse 35, 1120 Wien_BauKG.PDF
Data lizibilă: 2026.08.20</x:t>
        </x:r>
      </x:text>
    </x:comment>
    <x:comment ref="G44" authorId="0">
      <x:text>
        <x:r>
          <x:t>Sursa originală: D:\00. Downloads\Apartamente Viena\00. Cladire 1 Schallergasse 35, 1120 Wien (Meidling)\04. Firme + Executie\01. Verificator (Pruefingenieur)\TOMS\2026.10.02 Contract v4.1 - data actualizata\Beilagen\2026.10.02 2026-09-23 Anlage 5 - Fragenkatalog (digitale Reinschrift) korrigiert + signiert von TOMS.pdf
Data lizibilă: 2026.09.23</x:t>
        </x:r>
      </x:text>
    </x:comment>
    <x:comment ref="G45" authorId="0">
      <x:text>
        <x:r>
          <x:t>Sursa originală: D:\00. Downloads\Apartamente Viena\00. Cladire 1 Schallergasse 35, 1120 Wien (Meidling)\00.Proiect\09. Vertraege\bmberger.at\2026.08.17\2026_08_17_Anbot_Statik_Detail.pdf
Data lizibilă: 2026.08.17
ID Eva-Mail: ce6905cb-0c93-4e6b-8cde-7e300dfc874c</x:t>
        </x:r>
      </x:text>
    </x:comment>
    <x:comment ref="G46" authorId="0">
      <x:text>
        <x:r>
          <x:t>Sursa originală: D:\00. Downloads\Apartamente Viena\00. Cladire 1 Schallergasse 35, 1120 Wien (Meidling)\03. Proiectare\Statik\Angebot 2026-470-AN01 2026-09-17.pdf
Data lizibilă: 2026.09.17
ID Eva-Mail: 63cd2bcb-2160-4027-b6c8-25bb42d9ae50</x:t>
        </x:r>
      </x:text>
    </x:comment>
    <x:comment ref="G47" authorId="0">
      <x:text>
        <x:r>
          <x:t>Sursa originală: D:\00. Downloads\Apartamente Viena\00. Cladire 1 Schallergasse 35, 1120 Wien (Meidling)\00.Proiect\07. Kosten + Ausschreibung\03. Angebote (Oferte)\Angebot REALIG Gschirtz.pdf
Data lizibilă: 2026.03.26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#,##0.00;[Red](#,##0.00);0.00"/>
    <x:numFmt numFmtId="202" formatCode="yyyy.mm.dd"/>
  </x:numFmts>
  <x:fonts count="11">
    <x:font>
      <x:sz val="11"/>
      <x:name val="Carlito"/>
    </x:font>
    <x:font>
      <x:sz val="11"/>
      <x:color rgb="FF172333"/>
      <x:name val="Arial"/>
    </x:font>
    <x:font>
      <x:b/>
      <x:sz val="16"/>
      <x:color rgb="FF24344B"/>
      <x:name val="Arial"/>
    </x:font>
    <x:font>
      <x:b/>
      <x:sz val="11"/>
      <x:color rgb="FFFFFFFF"/>
      <x:name val="Arial"/>
    </x:font>
    <x:font>
      <x:b/>
      <x:sz val="11"/>
      <x:color rgb="FF5F6B79"/>
      <x:name val="Arial"/>
    </x:font>
    <x:font>
      <x:sz val="11"/>
      <x:color rgb="FF5F6B79"/>
      <x:name val="Arial"/>
    </x:font>
    <x:font>
      <x:b/>
      <x:sz val="11"/>
      <x:color rgb="FF9C2C26"/>
      <x:name val="Arial"/>
    </x:font>
    <x:font>
      <x:sz val="11"/>
      <x:color rgb="FF1767A6"/>
      <x:name val="Arial"/>
    </x:font>
    <x:font>
      <x:b/>
      <x:sz val="11"/>
      <x:color rgb="FF172333"/>
      <x:name val="Arial"/>
    </x:font>
    <x:font>
      <x:b/>
      <x:sz val="11"/>
      <x:color rgb="FF24344B"/>
      <x:name val="Arial"/>
    </x:font>
    <x:font>
      <x:b/>
      <x:sz val="14"/>
      <x:color rgb="FF24344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44B"/>
      </x:patternFill>
    </x:fill>
    <x:fill>
      <x:patternFill patternType="solid">
        <x:fgColor rgb="FFFFFFFF"/>
      </x:patternFill>
    </x:fill>
    <x:fill>
      <x:patternFill patternType="solid">
        <x:fgColor rgb="FFF5F7FA"/>
      </x:patternFill>
    </x:fill>
    <x:fill>
      <x:patternFill patternType="solid">
        <x:fgColor rgb="FFEEF2F7"/>
      </x:patternFill>
    </x:fill>
  </x:fills>
  <x:borders count="7">
    <x:border/>
    <x:border>
      <x:bottom style="thin">
        <x:color rgb="FF24344B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CBD2DC"/>
      </x:top>
    </x:border>
    <x:border>
      <x:top style="medium">
        <x:color rgb="FF24344B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1" fillId="3" borderId="5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4" borderId="5" xfId="0" applyNumberFormat="1" applyFont="1" applyFill="1" applyBorder="1" applyAlignment="1">
      <x:alignment vertical="top" wrapText="1"/>
    </x:xf>
    <x:xf numFmtId="201" fontId="1" fillId="3" borderId="5" xfId="0" applyNumberFormat="1" applyFont="1" applyFill="1" applyBorder="1" applyAlignment="1">
      <x:alignment horizontal="right" vertical="top" wrapText="1"/>
    </x:xf>
    <x:xf numFmtId="201" fontId="1" fillId="4" borderId="0" xfId="0" applyNumberFormat="1" applyFont="1" applyFill="1" applyBorder="1" applyAlignment="1">
      <x:alignment horizontal="right" vertical="top" wrapText="1"/>
    </x:xf>
    <x:xf numFmtId="201" fontId="1" fillId="3" borderId="0" xfId="0" applyNumberFormat="1" applyFont="1" applyFill="1" applyBorder="1" applyAlignment="1">
      <x:alignment horizontal="right" vertical="top" wrapText="1"/>
    </x:xf>
    <x:xf numFmtId="201" fontId="1" fillId="4" borderId="5" xfId="0" applyNumberFormat="1" applyFont="1" applyFill="1" applyBorder="1" applyAlignment="1">
      <x:alignment horizontal="right" vertical="top" wrapText="1"/>
    </x:xf>
    <x:xf numFmtId="201" fontId="7" fillId="3" borderId="5" xfId="0" applyNumberFormat="1" applyFont="1" applyFill="1" applyBorder="1" applyAlignment="1">
      <x:alignment horizontal="right" vertical="top" wrapText="1"/>
    </x:xf>
    <x:xf numFmtId="201" fontId="7" fillId="4" borderId="0" xfId="0" applyNumberFormat="1" applyFont="1" applyFill="1" applyBorder="1" applyAlignment="1">
      <x:alignment horizontal="right" vertical="top" wrapText="1"/>
    </x:xf>
    <x:xf numFmtId="201" fontId="7" fillId="3" borderId="0" xfId="0" applyNumberFormat="1" applyFont="1" applyFill="1" applyBorder="1" applyAlignment="1">
      <x:alignment horizontal="right" vertical="top" wrapText="1"/>
    </x:xf>
    <x:xf numFmtId="201" fontId="7" fillId="4" borderId="5" xfId="0" applyNumberFormat="1" applyFont="1" applyFill="1" applyBorder="1" applyAlignment="1">
      <x:alignment horizontal="right" vertical="top" wrapText="1"/>
    </x:xf>
    <x:xf numFmtId="201" fontId="8" fillId="4" borderId="5" xfId="0" applyNumberFormat="1" applyFont="1" applyFill="1" applyBorder="1" applyAlignment="1">
      <x:alignment horizontal="right" vertical="top" wrapText="1"/>
    </x:xf>
    <x:xf numFmtId="201" fontId="8" fillId="3" borderId="0" xfId="0" applyNumberFormat="1" applyFont="1" applyFill="1" applyBorder="1" applyAlignment="1">
      <x:alignment horizontal="right" vertical="top" wrapText="1"/>
    </x:xf>
    <x:xf numFmtId="201" fontId="8" fillId="4" borderId="0" xfId="0" applyNumberFormat="1" applyFont="1" applyFill="1" applyBorder="1" applyAlignment="1">
      <x:alignment horizontal="right" vertical="top" wrapText="1"/>
    </x:xf>
    <x:xf numFmtId="201" fontId="8" fillId="3" borderId="5" xfId="0" applyNumberFormat="1" applyFont="1" applyFill="1" applyBorder="1" applyAlignment="1">
      <x:alignment horizontal="right"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201" fontId="8" fillId="5" borderId="5" xfId="0" applyNumberFormat="1" applyFont="1" applyFill="1" applyBorder="1" applyAlignment="1">
      <x:alignment horizontal="right"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1" fontId="8" fillId="5" borderId="0" xfId="0" applyNumberFormat="1" applyFont="1" applyFill="1" applyBorder="1" applyAlignment="1">
      <x:alignment horizontal="right"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201" fontId="8" fillId="5" borderId="6" xfId="0" applyNumberFormat="1" applyFont="1" applyFill="1" applyBorder="1" applyAlignment="1">
      <x:alignment horizontal="right" vertical="top" wrapText="1"/>
    </x:xf>
    <x:xf numFmtId="0" fontId="9" fillId="5" borderId="0" xfId="0" applyNumberFormat="1" applyFont="1" applyFill="1" applyBorder="1" applyAlignment="1">
      <x:alignment vertical="top" wrapText="1"/>
    </x:xf>
    <x:xf numFmtId="201" fontId="9" fillId="5" borderId="0" xfId="0" applyNumberFormat="1" applyFont="1" applyFill="1" applyBorder="1" applyAlignment="1">
      <x:alignment horizontal="right" vertical="top" wrapText="1"/>
    </x:xf>
    <x:xf numFmtId="202" fontId="7" fillId="4" borderId="5" xfId="0" applyNumberFormat="1" applyFont="1" applyFill="1" applyBorder="1" applyAlignment="1">
      <x:alignment horizontal="right" vertical="top" wrapText="1"/>
    </x:xf>
    <x:xf numFmtId="0" fontId="1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color rgb="FF9C2C26"/>
      </x:font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9c79b1731848ba" /><Relationship Type="http://schemas.openxmlformats.org/officeDocument/2006/relationships/theme" Target="/xl/theme/theme1.xml" Id="Rdb169ace1a3c4307" /><Relationship Type="http://schemas.openxmlformats.org/officeDocument/2006/relationships/sharedStrings" Target="/xl/sharedStrings.xml" Id="R9654bade54914cfc" /><Relationship Type="http://schemas.openxmlformats.org/officeDocument/2006/relationships/worksheet" Target="/xl/worksheets/sheet1.xml" Id="Ra536042f4a194576" /><Relationship Type="http://schemas.openxmlformats.org/officeDocument/2006/relationships/worksheet" Target="/xl/worksheets/sheet2.xml" Id="Rb6a1b1299a7c4717" /></Relationships>
</file>

<file path=xl/tables/table1.xml><?xml version="1.0" encoding="utf-8"?>
<x:table xmlns:x="http://schemas.openxmlformats.org/spreadsheetml/2006/main" id="1" name="ComparatieServicii" displayName="ComparatieServicii" ref="A7:G54" headerRowCount="1" totalsRowCount="0" totalsRowShown="0">
  <x:autoFilter ref="A7:G54"/>
  <x:tableColumns count="7">
    <x:tableColumn id="1" name="Capitol / discuție"/>
    <x:tableColumn id="2" name="Serviciu sau condiție"/>
    <x:tableColumn id="3" name="Propunere de contract TOMS v4.1 trimisă"/>
    <x:tableColumn id="4" name="TOMS: ofertă și răspunsuri"/>
    <x:tableColumn id="5" name="Markus BERGER"/>
    <x:tableColumn id="6" name="Dr. PECH"/>
    <x:tableColumn id="7" name="Sur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aratiePreturi" displayName="ComparatiePreturi" ref="A7:G31" headerRowCount="1" totalsRowCount="0" totalsRowShown="0">
  <x:autoFilter ref="A7:G31"/>
  <x:tableColumns count="7">
    <x:tableColumn id="1" name="Categorie"/>
    <x:tableColumn id="2" name="Serviciu / unitate"/>
    <x:tableColumn id="3" name="TOMS EUR net"/>
    <x:tableColumn id="4" name="BERGER EUR net"/>
    <x:tableColumn id="5" name="PECH EUR net"/>
    <x:tableColumn id="6" name="Delimitare și condiții"/>
    <x:tableColumn id="7" name="Sur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7c88155591c4242" /><Relationship Type="http://schemas.openxmlformats.org/officeDocument/2006/relationships/vmlDrawing" Target="/xl/drawings/vmldrawing.vml" Id="Ra0b737a1cc8e4d6c" /><Relationship Type="http://schemas.openxmlformats.org/officeDocument/2006/relationships/table" Target="/xl/tables/table1.xml" Id="Re8310e98a1fe4e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8bbe970e50c642b6" /><Relationship Type="http://schemas.openxmlformats.org/officeDocument/2006/relationships/vmlDrawing" Target="/xl/drawings/vmldrawing2.vml" Id="R043bd7e11add4513" /><Relationship Type="http://schemas.openxmlformats.org/officeDocument/2006/relationships/table" Target="/xl/tables/table2.xml" Id="R959e7fc4b25e4de3" /></Relationships>
</file>

<file path=xl/worksheets/sheet1.xml><?xml version="1.0" encoding="utf-8"?>
<x:worksheet xmlns:x="http://schemas.openxmlformats.org/spreadsheetml/2006/main">
  <x:sheetPr>
    <x:tabColor rgb="FF24344B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5" hidden="0" customWidth="1"/>
    <x:col min="2" max="2" width="26.8799991607666" hidden="0" customWidth="1"/>
    <x:col min="3" max="3" width="42.5" hidden="0" customWidth="1"/>
    <x:col min="4" max="4" width="42.5" hidden="0" customWidth="1"/>
    <x:col min="5" max="5" width="36.25" hidden="0" customWidth="1"/>
    <x:col min="6" max="6" width="41.880001068115234" hidden="0" customWidth="1"/>
    <x:col min="7" max="7" width="21.8799991607666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</x:row>
    <x:row r="2" ht="23.25" customHeight="1">
      <x:c r="A2" s="3" t="str">
        <x:v>Schallergasse 35 — servicii și discuții, 2026.10.12</x:v>
      </x:c>
      <x:c r="B2" s="2"/>
      <x:c r="C2" s="2"/>
      <x:c r="D2" s="2"/>
      <x:c r="E2" s="2"/>
      <x:c r="F2" s="2"/>
      <x:c r="G2" s="2"/>
    </x:row>
    <x:row r="3" ht="4.5" customHeight="1">
      <x:c r="A3" s="4"/>
      <x:c r="B3" s="4"/>
      <x:c r="C3" s="4"/>
      <x:c r="D3" s="4"/>
      <x:c r="E3" s="4"/>
      <x:c r="F3" s="4"/>
      <x:c r="G3" s="4"/>
    </x:row>
    <x:row r="4" ht="18.75" customHeight="1">
      <x:c r="A4" s="2" t="str">
        <x:v>Reper: propunerea TOMS v4.1 trimisă la 2026.10.02. Cererile AG se disting de confirmările ofertantului.</x:v>
      </x:c>
      <x:c r="B4" s="2"/>
      <x:c r="C4" s="2"/>
      <x:c r="D4" s="2"/>
      <x:c r="E4" s="2"/>
      <x:c r="F4" s="2"/>
      <x:c r="G4" s="2"/>
    </x:row>
    <x:row r="5" ht="18.75" customHeight="1">
      <x:c r="A5" s="27" t="str">
        <x:v>TOMS a refuzat preluarea în prezent la 2026.10.08. Întinderea față de v4.1 este de clarificat. Nu există acceptare confirmată.</x:v>
      </x:c>
      <x:c r="B5" s="2"/>
      <x:c r="C5" s="2"/>
      <x:c r="D5" s="2"/>
      <x:c r="E5" s="2"/>
      <x:c r="F5" s="2"/>
      <x:c r="G5" s="2"/>
    </x:row>
    <x:row r="6">
      <x:c r="A6" s="26" t="str">
        <x:v>AG = beneficiar. PI = Prüfingenieur. LB = descrierea serviciilor. Confirmarea unui punct nu dovedește acceptarea întregului contract.</x:v>
      </x:c>
      <x:c r="B6" s="2"/>
      <x:c r="C6" s="2"/>
      <x:c r="D6" s="2"/>
      <x:c r="E6" s="2"/>
      <x:c r="F6" s="2"/>
      <x:c r="G6" s="2"/>
    </x:row>
    <x:row r="7" ht="36" customHeight="1">
      <x:c r="A7" s="13" t="str">
        <x:v>Capitol / discuție</x:v>
      </x:c>
      <x:c r="B7" s="14" t="str">
        <x:v>Serviciu sau condiție</x:v>
      </x:c>
      <x:c r="C7" s="14" t="str">
        <x:v>Propunere de contract TOMS v4.1 trimisă</x:v>
      </x:c>
      <x:c r="D7" s="14" t="str">
        <x:v>TOMS: ofertă și răspunsuri</x:v>
      </x:c>
      <x:c r="E7" s="14" t="str">
        <x:v>Markus BERGER</x:v>
      </x:c>
      <x:c r="F7" s="14" t="str">
        <x:v>Dr. PECH</x:v>
      </x:c>
      <x:c r="G7" s="15" t="str">
        <x:v>Surse</x:v>
      </x:c>
    </x:row>
    <x:row r="8" ht="50.25" customHeight="1">
      <x:c r="A8" s="20" t="str">
        <x:v>Discuții</x:v>
      </x:c>
      <x:c r="B8" s="21" t="str">
        <x:v>2026.09.23: oferte și clarificări</x:v>
      </x:c>
      <x:c r="C8" s="21" t="str">
        <x:v>Reia ANG 839, ANG 855 și ANG 891. Validitate indicată până la 2026.12.31.</x:v>
      </x:c>
      <x:c r="D8" s="21" t="str">
        <x:v>25.000 structură + 1.500 asistență + 8.000 PI + 3.400 Bauwerksbuch, EUR net. Confirmările punctuale rămân distincte de acceptarea v4.1.</x:v>
      </x:c>
      <x:c r="E8" s="21" t="str">
        <x:v>Ofertă 2026.08.17. Acceptarea beneficiarului nedemonstrată.</x:v>
      </x:c>
      <x:c r="F8" s="21" t="str">
        <x:v>Ofertă 2026.09.17, 2026-470/AN01. Formular de comandă nesemnat.</x:v>
      </x:c>
      <x:c r="G8" s="21" t="str">
        <x:v>T1 §11,15; T2–T4; B1 p1–4; P1 p1–3</x:v>
      </x:c>
    </x:row>
    <x:row r="9" ht="63" customHeight="1">
      <x:c r="A9" s="23" t="str">
        <x:v>Discuții</x:v>
      </x:c>
      <x:c r="B9" s="22" t="str">
        <x:v>2026.09.28 și 2026.10.01: reducerea detaliilor</x:v>
      </x:c>
      <x:c r="C9" s="22" t="str">
        <x:v>V4.1 elimină detaliile refuzate sau cu supliment. Păstrează proiectarea de conducere și verificarea documentelor terților.</x:v>
      </x:c>
      <x:c r="D9" s="22" t="str">
        <x:v>Q2 semnat: Aufpreis / nein pentru mai multe detalii. Emailul 2026.10.01 menține delimitarea față de atelier și responsabilitatea executantului.</x:v>
      </x:c>
      <x:c r="E9" s="22" t="str">
        <x:v>Nu există clarificări echivalente pe fiecare punct.</x:v>
      </x:c>
      <x:c r="F9" s="22" t="str">
        <x:v>Referință generică la descrierea AG, fără identificarea versiunii.</x:v>
      </x:c>
      <x:c r="G9" s="22" t="str">
        <x:v>T1 §1–3,6,9; T5 A/C; T6; B1; P1 p2</x:v>
      </x:c>
    </x:row>
    <x:row r="10" ht="50.25" customHeight="1">
      <x:c r="A10" s="19" t="str">
        <x:v>Discuții</x:v>
      </x:c>
      <x:c r="B10" s="18" t="str">
        <x:v>2026.10.02: ultimul contract transmis</x:v>
      </x:c>
      <x:c r="C10" s="18" t="str">
        <x:v>V4.1 TRIMIS. D1 la 3 săptămâni după semnarea ambelor părți. Restul termenelor prin acord.</x:v>
      </x:c>
      <x:c r="D10" s="18" t="str">
        <x:v>Trimiterea este confirmată. Acceptarea, semnarea și începerea nu sunt confirmate.</x:v>
      </x:c>
      <x:c r="E10" s="18" t="str">
        <x:v>Nu a fost transmis același contract pentru acceptare, în sursele verificate.</x:v>
      </x:c>
      <x:c r="F10" s="18" t="str">
        <x:v>Nu a fost transmis același contract pentru acceptare, în sursele verificate.</x:v>
      </x:c>
      <x:c r="G10" s="18" t="str">
        <x:v>T1 §8; T8; B1; P1</x:v>
      </x:c>
    </x:row>
    <x:row r="11" ht="50.25" customHeight="1">
      <x:c r="A11" s="23" t="str">
        <x:v>Discuții</x:v>
      </x:c>
      <x:c r="B11" s="22" t="str">
        <x:v>2026.10.08: ultimul răspuns TOMS</x:v>
      </x:c>
      <x:c r="C11" s="22" t="str">
        <x:v>Nu există acceptare ulterioară documentată.</x:v>
      </x:c>
      <x:c r="D11" s="22" t="str">
        <x:v>Refuză în prezent comanda amplă din lipsă de resurse. Răspunde firului v3. Întinderea exactă față de v4.1 trebuie clarificată.</x:v>
      </x:c>
      <x:c r="E11" s="22" t="str">
        <x:v>Disponibilitatea actuală nu este confirmată.</x:v>
      </x:c>
      <x:c r="F11" s="22" t="str">
        <x:v>Disponibilitatea și calendarul actual nu sunt confirmate.</x:v>
      </x:c>
      <x:c r="G11" s="22" t="str">
        <x:v>T7; B1 p1,3; P1 p4</x:v>
      </x:c>
    </x:row>
    <x:row r="12" ht="50.25" customHeight="1">
      <x:c r="A12" s="20" t="str">
        <x:v>§1</x:v>
      </x:c>
      <x:c r="B12" s="21" t="str">
        <x:v>Obiect și anexe contractuale</x:v>
      </x:c>
      <x:c r="C12" s="21" t="str">
        <x:v>V4.1 și anexele identificate. Răspunsurile specifice Aufpreis/nein prevalează față de formulări generale.</x:v>
      </x:c>
      <x:c r="D12" s="21" t="str">
        <x:v>Confirmări tehnice parțiale în chestionare. Întregul contract v4.1 nu este acceptat.</x:v>
      </x:c>
      <x:c r="E12" s="21" t="str">
        <x:v>Extindere, transformare, mansardă și modificări constructive, generic.</x:v>
      </x:c>
      <x:c r="F12" s="21" t="str">
        <x:v>Toate cele 6 poziții trimit la Leistungsbeschreibung AG. Data și versiunea acesteia trebuie fixate.</x:v>
      </x:c>
      <x:c r="G12" s="21" t="str">
        <x:v>T1 §1; T5; B1 p1; P1 p2</x:v>
      </x:c>
    </x:row>
    <x:row r="13" ht="63" customHeight="1">
      <x:c r="A13" s="24" t="str">
        <x:v>§2</x:v>
      </x:c>
      <x:c r="B13" s="25" t="str">
        <x:v>Calcule de execuție și preluarea predimensionării</x:v>
      </x:c>
      <x:c r="C13" s="25" t="str">
        <x:v>Calcule verificabile pentru întregul obiect. Preluarea pe răspundere proprie a predimensionării 2022 și a datelor de bază.</x:v>
      </x:c>
      <x:c r="D13" s="25" t="str">
        <x:v>Q1 F3 confirmă un calcul nou pe planul actual și preluarea pe răspundere proprie, în pachetul ANG 855. Întregul v4.1 rămâne neacceptat.</x:v>
      </x:c>
      <x:c r="E13" s="25" t="str">
        <x:v>Calcule detaliate. 13.000 EUR condiționat de păstrarea conceptului predimensionării.</x:v>
      </x:c>
      <x:c r="F13" s="25" t="str">
        <x:v>Pos01 Ausführungsstatik, 42.000 EUR. Detaliile prin descrierea AG neidentificată.</x:v>
      </x:c>
      <x:c r="G13" s="25" t="str">
        <x:v>T1 §2; T2 pos1.2.1; T10 F3; B1 p2; P1 pos01</x:v>
      </x:c>
    </x:row>
    <x:row r="14" ht="63" customHeight="1">
      <x:c r="A14" s="19" t="str">
        <x:v>§2</x:v>
      </x:c>
      <x:c r="B14" s="18" t="str">
        <x:v>Fundații și placa de 30 cm</x:v>
      </x:c>
      <x:c r="C14" s="18" t="str">
        <x:v>Calcul, armare și racord la fundațiile existente.</x:v>
      </x:c>
      <x:c r="D14" s="18" t="str">
        <x:v>Confirmat în Q1 F1/F12: placă de 30 cm și racord la fundațiile existente. Fără preț separat pe element. V4.1 nu este acceptat integral.</x:v>
      </x:c>
      <x:c r="E14" s="18" t="str">
        <x:v>Elemente portante generic. Fundația și probele nu sunt inventariate separat. Săpăturile/probele sunt excluse.</x:v>
      </x:c>
      <x:c r="F14" s="18" t="str">
        <x:v>Confirmare detaliată necesară în Pos01 prin descrierea AG.</x:v>
      </x:c>
      <x:c r="G14" s="18" t="str">
        <x:v>T1 §2.1; T2; T10 F1,F12; B1 p1–3; P1 pos01</x:v>
      </x:c>
    </x:row>
    <x:row r="15" ht="50.25" customHeight="1">
      <x:c r="A15" s="23" t="str">
        <x:v>§2</x:v>
      </x:c>
      <x:c r="B15" s="22" t="str">
        <x:v>Puț lift, groapă și fundare</x:v>
      </x:c>
      <x:c r="C15" s="22" t="str">
        <x:v>Întregul puț și fundarea, cu verificarea încărcărilor fabricantului.</x:v>
      </x:c>
      <x:c r="D15" s="22" t="str">
        <x:v>Confirmat în Q1 F1/F6: liftul și preluarea sarcinilor furnizate de fabricant. TOMS le verifică static; nu generează aceste sarcini.</x:v>
      </x:c>
      <x:c r="E15" s="22" t="str">
        <x:v>Liftul apare în obiect și calculul onorariului. Interfețele nu sunt descrise separat.</x:v>
      </x:c>
      <x:c r="F15" s="22" t="str">
        <x:v>Prin descrierea AG la Pos01. Liftul nu este numit separat în PDF-ul ofertei.</x:v>
      </x:c>
      <x:c r="G15" s="22" t="str">
        <x:v>T1 §2.2,6; T10 F1,F6; B1 p1; P1 pos01</x:v>
      </x:c>
    </x:row>
    <x:row r="16" ht="50.25" customHeight="1">
      <x:c r="A16" s="19" t="str">
        <x:v>§2</x:v>
      </x:c>
      <x:c r="B16" s="18" t="str">
        <x:v>Planșee existente, ziduri, goluri și buiandrugi</x:v>
      </x:c>
      <x:c r="C16" s="18" t="str">
        <x:v>Consolidarea planșeelor din lemn, reazeme, goluri și elementele portante afectate.</x:v>
      </x:c>
      <x:c r="D16" s="18" t="str">
        <x:v>Confirmat Q1 F1 pentru planșee, pereți, buiandrugi și goluri. Fără preț separat pe element/gol.</x:v>
      </x:c>
      <x:c r="E16" s="18" t="str">
        <x:v>Transformarea și elementele portante, generic. Golurile nu au poziție/preț separat.</x:v>
      </x:c>
      <x:c r="F16" s="18" t="str">
        <x:v>Pos02 Durchbruchsplanung Bestand: 6.000 EUR. Restul detaliilor prin Pos01/LB.</x:v>
      </x:c>
      <x:c r="G16" s="18" t="str">
        <x:v>T1 §2.3–4; T2; T10 F1; B1 p1–2; P1 pos01–02</x:v>
      </x:c>
    </x:row>
    <x:row r="17" ht="50.25" customHeight="1">
      <x:c r="A17" s="23" t="str">
        <x:v>§2</x:v>
      </x:c>
      <x:c r="B17" s="22" t="str">
        <x:v>Mansardă, acoperiș, lucarne și terase</x:v>
      </x:c>
      <x:c r="C17" s="22" t="str">
        <x:v>Calcule și Führungsplanung lemn/oțel pentru mansarda pe două niveluri, inclusiv racorduri structurale.</x:v>
      </x:c>
      <x:c r="D17" s="22" t="str">
        <x:v>Führungsplanung confirmată în Q1 F1 și ANG 855. Detaliile de atelier și dimensionările de noduri sunt excluse.</x:v>
      </x:c>
      <x:c r="E17" s="22" t="str">
        <x:v>Mansarda în obiect. Planuri de oțel numite; planurile pentru lemn nu sunt numite explicit.</x:v>
      </x:c>
      <x:c r="F17" s="22" t="str">
        <x:v>Prin Pos01 și descrierea AG. Livrabilele pe lemn/oțel trebuie confirmate.</x:v>
      </x:c>
      <x:c r="G17" s="22" t="str">
        <x:v>T1 §2.5,3,6; T2; T10 F1; B1 p1–2; P1 pos01</x:v>
      </x:c>
    </x:row>
    <x:row r="18" ht="50.25" customHeight="1">
      <x:c r="A18" s="19" t="str">
        <x:v>§2</x:v>
      </x:c>
      <x:c r="B18" s="18" t="str">
        <x:v>Contravântuire și traseul încărcărilor</x:v>
      </x:c>
      <x:c r="C18" s="18" t="str">
        <x:v>Calculul stabilității, diafragmelor, acțiunii vântului și transmiterii sarcinilor în existent.</x:v>
      </x:c>
      <x:c r="D18" s="18" t="str">
        <x:v>Principiul structural confirmat Q1. Detaliile conexiunilor de contravântuire sunt excluse Q2 A10.</x:v>
      </x:c>
      <x:c r="E18" s="18" t="str">
        <x:v>Calcule ale elementelor portante generic. Detaliile nu sunt enumerate.</x:v>
      </x:c>
      <x:c r="F18" s="18" t="str">
        <x:v>Prin Pos01/LB. Confirmare explicită necesară pentru fiecare subsistem.</x:v>
      </x:c>
      <x:c r="G18" s="18" t="str">
        <x:v>T1 §2.6,6; T10 F1; T5 A10; B1 p2; P1 pos01</x:v>
      </x:c>
    </x:row>
    <x:row r="19" ht="63" customHeight="1">
      <x:c r="A19" s="23" t="str">
        <x:v>§2</x:v>
      </x:c>
      <x:c r="B19" s="22" t="str">
        <x:v>Balcoane în curte și transmiterea sarcinilor</x:v>
      </x:c>
      <x:c r="C19" s="22" t="str">
        <x:v>Calculul balconului și traseului încărcărilor în zidăria existentă. Dimensionarea ancorelor separat, la terți.</x:v>
      </x:c>
      <x:c r="D19" s="22" t="str">
        <x:v>Sistemul și transferul sarcinilor sunt confirmate în principiu în Q1. Ancorele/diblurile detaliate: Aufpreis Q2 A5, excluse v4.1.</x:v>
      </x:c>
      <x:c r="E19" s="22" t="str">
        <x:v>Nu sunt numite separat; includerea și ancorele trebuie clarificate.</x:v>
      </x:c>
      <x:c r="F19" s="22" t="str">
        <x:v>Nu sunt numite separat în oferta PDF; verificare prin LB necesară.</x:v>
      </x:c>
      <x:c r="G19" s="22" t="str">
        <x:v>T1 §2.7,6; T10 F1; T5 A5; B1; P1 pos01</x:v>
      </x:c>
    </x:row>
    <x:row r="20" ht="50.25" customHeight="1">
      <x:c r="A20" s="19" t="str">
        <x:v>§2</x:v>
      </x:c>
      <x:c r="B20" s="18" t="str">
        <x:v>Scări, pereți antifoc, vecini și coșuri</x:v>
      </x:c>
      <x:c r="C20" s="18" t="str">
        <x:v>Elementele structurale afectate și racordurile de principiu, în limitele contractului.</x:v>
      </x:c>
      <x:c r="D20" s="18" t="str">
        <x:v>Confirmate structural în Q1 F1. Dimensionarea la foc pe clase R nu este inclusă.</x:v>
      </x:c>
      <x:c r="E20" s="18" t="str">
        <x:v>Elemente portante generic; nu sunt enumerate individual.</x:v>
      </x:c>
      <x:c r="F20" s="18" t="str">
        <x:v>Prin Pos01/LB. Confirmare detaliată necesară.</x:v>
      </x:c>
      <x:c r="G20" s="18" t="str">
        <x:v>T1 §2.8–9,6; T10 F1; B1 p2; P1 pos01</x:v>
      </x:c>
    </x:row>
    <x:row r="21" ht="63" customHeight="1">
      <x:c r="A21" s="23" t="str">
        <x:v>§2</x:v>
      </x:c>
      <x:c r="B21" s="22" t="str">
        <x:v>Subzidiri etapizate</x:v>
      </x:c>
      <x:c r="C21" s="22" t="str">
        <x:v>Calcule și desen de principiu pentru geometrie, armare, lungimi și succesiune.</x:v>
      </x:c>
      <x:c r="D21" s="22" t="str">
        <x:v>Q1 F6 confirmă calculul și desenul de principiu pentru subzidiri. Proiectul sprijinirii excavării rămâne distinct, la terți.</x:v>
      </x:c>
      <x:c r="E21" s="22" t="str">
        <x:v>Baugrubensicherung și zidurile de sprijin sunt excluse. Subzidirile nu sunt confirmate distinct.</x:v>
      </x:c>
      <x:c r="F21" s="22" t="str">
        <x:v>Pos03 Baugrubensicherung 5.000 EUR. Exacta acoperire a subzidirilor trebuie confirmată.</x:v>
      </x:c>
      <x:c r="G21" s="22" t="str">
        <x:v>T1 §2.10,6; T10 F6; B1 p2; P1 pos03</x:v>
      </x:c>
    </x:row>
    <x:row r="22" ht="63" customHeight="1">
      <x:c r="A22" s="20" t="str">
        <x:v>§2–3</x:v>
      </x:c>
      <x:c r="B22" s="21" t="str">
        <x:v>Planuri de poziții, cofraj și armare</x:v>
      </x:c>
      <x:c r="C22" s="21" t="str">
        <x:v>Planuri pe niveluri și planuri de conducere 1:50, coerente cu calculul.</x:v>
      </x:c>
      <x:c r="D22" s="21" t="str">
        <x:v>ANG 855 include toate planurile cofraj/armare. Q1 F2 confirmă planurile de poziții/sarcini. Detalierea completă de atelier este exclusă.</x:v>
      </x:c>
      <x:c r="E22" s="21" t="str">
        <x:v>Konstruktionspläne, cofraj/armare și/sau oțel: 20.000 EUR separat de calcul.</x:v>
      </x:c>
      <x:c r="F22" s="21" t="str">
        <x:v>Nu există poziție separată de planuri. Livrabilele de execuție se clarifică în Pos01/LB.</x:v>
      </x:c>
      <x:c r="G22" s="21" t="str">
        <x:v>T1 §2.11,3,9; T2; T10 F2; B1 p2; P1 pos01</x:v>
      </x:c>
    </x:row>
    <x:row r="23" ht="50.25" customHeight="1">
      <x:c r="A23" s="23" t="str">
        <x:v>§2–3</x:v>
      </x:c>
      <x:c r="B23" s="22" t="str">
        <x:v>Liste de armare și liste de piese</x:v>
      </x:c>
      <x:c r="C23" s="22" t="str">
        <x:v>Liste de armare/fasonare. Nu cere liste complete de conectori și piese în planuri.</x:v>
      </x:c>
      <x:c r="D23" s="22" t="str">
        <x:v>Q1 F2 confirmă listele armare/fasonare. Q2 exclude Excel/CSV separat și liste de piese direct în plan.</x:v>
      </x:c>
      <x:c r="E23" s="22" t="str">
        <x:v>Stücklisten incluse generic în planurile constructive; tipurile exacte de liste nu sunt enumerate.</x:v>
      </x:c>
      <x:c r="F23" s="22" t="str">
        <x:v>Nu sunt numite separat; clarificare prin Pos01/LB.</x:v>
      </x:c>
      <x:c r="G23" s="22" t="str">
        <x:v>T1 §2.12,6,9; T10 F2; T5 A8,C; B1 p2; P1 pos01</x:v>
      </x:c>
    </x:row>
    <x:row r="24" ht="50.25" customHeight="1">
      <x:c r="A24" s="19" t="str">
        <x:v>§2–3</x:v>
      </x:c>
      <x:c r="B24" s="18" t="str">
        <x:v>Planuri de atelier și documente ale executantului</x:v>
      </x:c>
      <x:c r="C24" s="18" t="str">
        <x:v>Întocmire la executant. Verificarea și aprobarea planurilor terților sunt incluse în cererea v4.1.</x:v>
      </x:c>
      <x:c r="D24" s="18" t="str">
        <x:v>Q1 F2 confirmă REVIZUIREA planurilor atelier și documentelor furnizorilor. Întocmirea Werkstätten-/Abbundpläne este exclusă.</x:v>
      </x:c>
      <x:c r="E24" s="18" t="str">
        <x:v>Întocmirea exclusă. Executantul le întocmește și sunt aprobate ulterior.</x:v>
      </x:c>
      <x:c r="F24" s="18" t="str">
        <x:v>Întocmirea și aprobarea nu sunt numite separat; trebuie confirmate.</x:v>
      </x:c>
      <x:c r="G24" s="18" t="str">
        <x:v>T1 §2.13,3,6; T10 F2; T5 A12; T6; B1 p2; P1</x:v>
      </x:c>
    </x:row>
    <x:row r="25" ht="63" customHeight="1">
      <x:c r="A25" s="23" t="str">
        <x:v>§2–3</x:v>
      </x:c>
      <x:c r="B25" s="22" t="str">
        <x:v>Încărcări ale furnizorilor și verificarea sprijinirilor</x:v>
      </x:c>
      <x:c r="C25" s="22" t="str">
        <x:v>Verifică încărcările și documentele terților. Nu generează încărcările MEP/lift și nu întocmește toate proiectele temporare.</x:v>
      </x:c>
      <x:c r="D25" s="22" t="str">
        <x:v>Q1 F6 confirmă revizuirea documentelor terților și sarcinilor. Proiectele de sprijinire și generarea sarcinilor sunt la terți.</x:v>
      </x:c>
      <x:c r="E25" s="22" t="str">
        <x:v>Dă încărcările clădirii proprii. Proiectul excavării și specialiștii externi sunt excluși.</x:v>
      </x:c>
      <x:c r="F25" s="22" t="str">
        <x:v>Excavarea are Pos03. Încărcările furnizorilor și verificarea proiectelor temporare nu sunt explicit detaliate.</x:v>
      </x:c>
      <x:c r="G25" s="22" t="str">
        <x:v>T1 §2.14,6; T10 F6; B1 p2–3; P1 pos03</x:v>
      </x:c>
    </x:row>
    <x:row r="26" ht="63" customHeight="1">
      <x:c r="A26" s="20" t="str">
        <x:v>§2</x:v>
      </x:c>
      <x:c r="B26" s="21" t="str">
        <x:v>Revizii, corecții și întrebări tehnice</x:v>
      </x:c>
      <x:c r="C26" s="21" t="str">
        <x:v>Cel puțin 2 cicluri de corecții per plan și răspunsuri tehnice la întrebări de ofertare.</x:v>
      </x:c>
      <x:c r="D26" s="21" t="str">
        <x:v>Q1 F2 confirmă două cicluri de corecții și răspunsuri tehnice ofertanților. Evaluarea comercială și negocierile de atribuire sunt excluse.</x:v>
      </x:c>
      <x:c r="E26" s="21" t="str">
        <x:v>Coordonare generică. Ciclurile și termenele nu sunt fixate; suplimente în regie.</x:v>
      </x:c>
      <x:c r="F26" s="21" t="str">
        <x:v>Modificările peste uzual din sfera AG/partenerilor pot fi în regie. Ciclurile nu sunt fixate.</x:v>
      </x:c>
      <x:c r="G26" s="21" t="str">
        <x:v>T1 §2,3,4; T10 F2; B1 p2–3; P1 p3–4</x:v>
      </x:c>
    </x:row>
    <x:row r="27" ht="63" customHeight="1">
      <x:c r="A27" s="24" t="str">
        <x:v>§3,6</x:v>
      </x:c>
      <x:c r="B27" s="25" t="str">
        <x:v>Noduri lemn/oțel, ancore și îmbinări</x:v>
      </x:c>
      <x:c r="C27" s="25" t="str">
        <x:v>EXCLUS: dimensionări de noduri/conectori, ancore, dibluri, suduri și detalii de îmbinare. Necesar prestator/executant terț.</x:v>
      </x:c>
      <x:c r="D27" s="25" t="str">
        <x:v>Q2: mai multe puncte Aufpreis fără sumă sau nein. V4.1 nu le include în 25.000 EUR.</x:v>
      </x:c>
      <x:c r="E27" s="25" t="str">
        <x:v>Detaliile necesare execuției sunt generic menționate; calculele de noduri/ancore nu sunt confirmate individual.</x:v>
      </x:c>
      <x:c r="F27" s="25" t="str">
        <x:v>Nu sunt detaliate separat; confirmarea LB și prețul pentru detalii sunt necesare.</x:v>
      </x:c>
      <x:c r="G27" s="25" t="str">
        <x:v>T1 §3,6; T5 A1,A2,A3–A6; T6; B1 p2; P1 pos01</x:v>
      </x:c>
    </x:row>
    <x:row r="28" ht="50.25" customHeight="1">
      <x:c r="A28" s="20" t="str">
        <x:v>§3</x:v>
      </x:c>
      <x:c r="B28" s="21" t="str">
        <x:v>Forțe de reazem și detalii de rezemare</x:v>
      </x:c>
      <x:c r="C28" s="21" t="str">
        <x:v>Forțele în calcul, fără înscriere obligatorie pe plan. Plăci de reazem/paturi de mortar/lungimi de rezemare în limitele v4.1.</x:v>
      </x:c>
      <x:c r="D28" s="21" t="str">
        <x:v>Q2 A7: «in Statik enthalten», nu pe plan. A9: detaliile de rezemare incluse.</x:v>
      </x:c>
      <x:c r="E28" s="21" t="str">
        <x:v>Date necesare execuției generic. Forțele și detaliile pe plan nu sunt enumerate.</x:v>
      </x:c>
      <x:c r="F28" s="21" t="str">
        <x:v>Prin Pos01/LB. Confirmare a modului de predare necesară.</x:v>
      </x:c>
      <x:c r="G28" s="21" t="str">
        <x:v>T1 §3; T5 A7,A9; B1 p2; P1 pos01</x:v>
      </x:c>
    </x:row>
    <x:row r="29" ht="63" customHeight="1">
      <x:c r="A29" s="24" t="str">
        <x:v>§4</x:v>
      </x:c>
      <x:c r="B29" s="25" t="str">
        <x:v>Asistență statică și vizite de șantier</x:v>
      </x:c>
      <x:c r="C29" s="25" t="str">
        <x:v>Ședință de început + 6 vizite critice. Protocoale în 3 zile și răspunsuri în 2 zile, cerute de AG.</x:v>
      </x:c>
      <x:c r="D29" s="25" t="str">
        <x:v>ANG 855: 1.500 EUR, fără număr de vizite. Q1 F5 confirmă 6 faze + început + după nevoie, răspunsuri în 2 zile și deplasare. Protocolul în 3 zile este cerință AG.</x:v>
      </x:c>
      <x:c r="E29" s="25" t="str">
        <x:v>2.000 EUR pentru asistență, maximum 8 vizite. Separat de activitatea Prüfingenieur.</x:v>
      </x:c>
      <x:c r="F29" s="25" t="str">
        <x:v>14.000 EUR Pos05 Baubegleitung, cu 12 recepții. Nu confirmă distinct toate vizitele ori rolul PI.</x:v>
      </x:c>
      <x:c r="G29" s="25" t="str">
        <x:v>T1 §4; T2 pos1.2.2; T10 F5; B1 p2–3; P1 pos05</x:v>
      </x:c>
    </x:row>
    <x:row r="30" ht="63" customHeight="1">
      <x:c r="A30" s="19" t="str">
        <x:v>§4</x:v>
      </x:c>
      <x:c r="B30" s="18" t="str">
        <x:v>Durată, prelungire și vizite suplimentare</x:v>
      </x:c>
      <x:c r="C30" s="18" t="str">
        <x:v>Circa 12 luni. Cerere de prelungire până la 15 luni fără supliment dacă nu depășește 3 vizite în plus; apoi 300 EUR net/vizită.</x:v>
      </x:c>
      <x:c r="D30" s="18" t="str">
        <x:v>Q1 F5 confirmă prelungirea condiționată la 15 luni și 300 EUR net/vizită suplimentară cu deplasare. Pragul numeric de peste 3 vizite este completare AG neacceptată.</x:v>
      </x:c>
      <x:c r="E30" s="18" t="str">
        <x:v>Circa 12 luni. Vizitele peste limită fără tarif separat, suplimente în regie.</x:v>
      </x:c>
      <x:c r="F30" s="18" t="str">
        <x:v>Calendar prin acord. Fiecare recepție suplimentară: 450 EUR net.</x:v>
      </x:c>
      <x:c r="G30" s="18" t="str">
        <x:v>T1 §4; T10 F5; B1 p1–3; P1 pos05,p4</x:v>
      </x:c>
    </x:row>
    <x:row r="31" ht="63" customHeight="1">
      <x:c r="A31" s="24" t="str">
        <x:v>§5</x:v>
      </x:c>
      <x:c r="B31" s="25" t="str">
        <x:v>Prüfingenieur §127 / verificare pe șantier</x:v>
      </x:c>
      <x:c r="C31" s="25" t="str">
        <x:v>15 vizite, verificări critice, recepții armare/teren, Rohbaubeschau și final. Disponibilitate 24 h, cerută de AG.</x:v>
      </x:c>
      <x:c r="D31" s="25" t="str">
        <x:v>ANG 839: 8.000 EUR, ipoteză 15 vizite. Q1 F7 confirmă 24 h și o singură Rohbaubeschau. Aceste confirmări nu sunt acceptarea întregului v4.1.</x:v>
      </x:c>
      <x:c r="E31" s="25" t="str">
        <x:v>10.000 EUR: verificări §127 până la Rohbaubeschau și anexă §128. Numărul tuturor vizitelor PI nu este dat.</x:v>
      </x:c>
      <x:c r="F31" s="25" t="str">
        <x:v>Prüfingenieur nu este numit explicit. 12 Abnahmen nu dovedesc numirea în acest rol.</x:v>
      </x:c>
      <x:c r="G31" s="25" t="str">
        <x:v>T1 §5; T3; T10 F7; B1 p3; P1 pos04–06</x:v>
      </x:c>
    </x:row>
    <x:row r="32" ht="63" customHeight="1">
      <x:c r="A32" s="19" t="str">
        <x:v>§5</x:v>
      </x:c>
      <x:c r="B32" s="18" t="str">
        <x:v>Certificat §128 și relația MA37</x:v>
      </x:c>
      <x:c r="C32" s="18" t="str">
        <x:v>Certificat ZT, colectare dovezi materiale/protocoale, coordonare cu arhitect/Bauführer și răspunsuri structurale MA37.</x:v>
      </x:c>
      <x:c r="D32" s="18" t="str">
        <x:v>Q1 F8/F10 confirmă certificatul final, documentele și colaborarea cu autoritatea. As-built la arhitect. Nu este acceptare integrală v4.1.</x:v>
      </x:c>
      <x:c r="E32" s="18" t="str">
        <x:v>Anexă §128 explicită, condiționată de confirmări Bauführer și ÖBA/Bauwerber.</x:v>
      </x:c>
      <x:c r="F32" s="18" t="str">
        <x:v>Pos06 Schlussunterlagen: 1.500 EUR. Certificatul §128 și rolul PI nu sunt exprimate explicit.</x:v>
      </x:c>
      <x:c r="G32" s="18" t="str">
        <x:v>T1 §5; T3; T10 F8,F10; B1 p3; P1 pos06</x:v>
      </x:c>
    </x:row>
    <x:row r="33" ht="75.75" customHeight="1">
      <x:c r="A33" s="23" t="str">
        <x:v>§5</x:v>
      </x:c>
      <x:c r="B33" s="22" t="str">
        <x:v>Control intern și costuri de verificare externe</x:v>
      </x:c>
      <x:c r="C33" s="22" t="str">
        <x:v>Control cu 4 ochi, coerență plan/calcul, plauzibilitate baze și coordonare verificări terțe dacă sunt cerute.</x:v>
      </x:c>
      <x:c r="D33" s="22" t="str">
        <x:v>Q1 F7/F10 confirmă controlul, coordonarea verificării externe dacă o cere MA37 și declarația fără alte costuri de verificare. Nu este ofertă separată de elaborare Prüfstatik extern.</x:v>
      </x:c>
      <x:c r="E33" s="22" t="str">
        <x:v>Nu sunt descrise distinct; costul/externalizarea trebuie clarificate.</x:v>
      </x:c>
      <x:c r="F33" s="22" t="str">
        <x:v>Nu sunt descrise distinct; costul/externalizarea trebuie clarificate.</x:v>
      </x:c>
      <x:c r="G33" s="22" t="str">
        <x:v>T1 §5; T3; T10 F7,F10; B1; P1</x:v>
      </x:c>
    </x:row>
    <x:row r="34" ht="50.25" customHeight="1">
      <x:c r="A34" s="20" t="str">
        <x:v>§6</x:v>
      </x:c>
      <x:c r="B34" s="21" t="str">
        <x:v>Sprijiniri de excavare și susțineri temporare</x:v>
      </x:c>
      <x:c r="C34" s="21" t="str">
        <x:v>Proiecte/calcul ale excavării și susținerilor temporare la terți. TOMS verifică documentele în limitele cererii.</x:v>
      </x:c>
      <x:c r="D34" s="21" t="str">
        <x:v>EXCLUS întocmirea în v4.1. Nu echivalează cu subzidirea de principiu cerută separat.</x:v>
      </x:c>
      <x:c r="E34" s="21" t="str">
        <x:v>Baugrubensicherung, ziduri de sprijin și exterior excluse.</x:v>
      </x:c>
      <x:c r="F34" s="21" t="str">
        <x:v>Baugrubensicherung inclusă explicit, 5.000 EUR. Susținerile planșeelor/fațadei și etapizarea se clarifică.</x:v>
      </x:c>
      <x:c r="G34" s="21" t="str">
        <x:v>T1 §2.10,6; B1 p2; P1 pos03</x:v>
      </x:c>
    </x:row>
    <x:row r="35" ht="63" customHeight="1">
      <x:c r="A35" s="23" t="str">
        <x:v>§6</x:v>
      </x:c>
      <x:c r="B35" s="22" t="str">
        <x:v>Foc, protecții speciale și verificare seismică</x:v>
      </x:c>
      <x:c r="C35" s="22" t="str">
        <x:v>Calcul la foc pe clase R și protecții speciale anticoroziune/lemn excluse. Verificarea seismică existentă nu este livrabil nou.</x:v>
      </x:c>
      <x:c r="D35" s="22" t="str">
        <x:v>Excluderi menținute în v4.1 conform răspunsurilor specifice.</x:v>
      </x:c>
      <x:c r="E35" s="22" t="str">
        <x:v>Neenumerate separat. Nu se deduce includerea din calculele generice.</x:v>
      </x:c>
      <x:c r="F35" s="22" t="str">
        <x:v>Neenumerate separat. Nu se deduce includerea fără LB identificată.</x:v>
      </x:c>
      <x:c r="G35" s="22" t="str">
        <x:v>T1 §6; T10 F1,F3; T5 A11; B1; P1</x:v>
      </x:c>
    </x:row>
    <x:row r="36" ht="50.25" customHeight="1">
      <x:c r="A36" s="19" t="str">
        <x:v>§6</x:v>
      </x:c>
      <x:c r="B36" s="18" t="str">
        <x:v>Cantități, devize și evaluarea ofertelor</x:v>
      </x:c>
      <x:c r="C36" s="18" t="str">
        <x:v>EXCLUS: extrase de cantități, liste de interfețe, ședințe de atribuire și evaluare comercială.</x:v>
      </x:c>
      <x:c r="D36" s="18" t="str">
        <x:v>Nu sunt în pachetul structural v4.1. Răspunsurile tehnice la ofertare sunt distincte.</x:v>
      </x:c>
      <x:c r="E36" s="18" t="str">
        <x:v>Nu sunt ofertate expres; listele de piese nu sunt deviz de cantități.</x:v>
      </x:c>
      <x:c r="F36" s="18" t="str">
        <x:v>Nu sunt ofertate expres.</x:v>
      </x:c>
      <x:c r="G36" s="18" t="str">
        <x:v>T1 §2,6; B1 p2; P1</x:v>
      </x:c>
    </x:row>
    <x:row r="37" ht="50.25" customHeight="1">
      <x:c r="A37" s="23" t="str">
        <x:v>§6</x:v>
      </x:c>
      <x:c r="B37" s="22" t="str">
        <x:v>ÖBA, Bauführung, demolare și As-built</x:v>
      </x:c>
      <x:c r="C37" s="22" t="str">
        <x:v>EXCLUS: ÖBA/Bauführung, plan demolare/organizare și planuri structurale As-built, la arhitect.</x:v>
      </x:c>
      <x:c r="D37" s="22" t="str">
        <x:v>Servicii la alte părți. Nu există supraveghere continuă inclusă.</x:v>
      </x:c>
      <x:c r="E37" s="22" t="str">
        <x:v>PI separat de confirmările ÖBA/Bauführer; nu sunt ofertate ÖBA sau Bauführung.</x:v>
      </x:c>
      <x:c r="F37" s="22" t="str">
        <x:v>Baubegleitung nu se echivalează cu ÖBA/Bauführung. Acoperirea exactă se clarifică.</x:v>
      </x:c>
      <x:c r="G37" s="22" t="str">
        <x:v>T1 §6; B1 p3; P1 pos05–06</x:v>
      </x:c>
    </x:row>
    <x:row r="38" ht="50.25" customHeight="1">
      <x:c r="A38" s="19" t="str">
        <x:v>§6</x:v>
      </x:c>
      <x:c r="B38" s="18" t="str">
        <x:v>Probe, investigații și starea vecinilor</x:v>
      </x:c>
      <x:c r="C38" s="18" t="str">
        <x:v>Investigații suplimentare terțe doar cu acord scris AG. Recomandare constatare vecini; executarea acesteia este exclusă.</x:v>
      </x:c>
      <x:c r="D38" s="18" t="str">
        <x:v>Nu există includere integrală de geotehnică sau probe executate de TOMS.</x:v>
      </x:c>
      <x:c r="E38" s="18" t="str">
        <x:v>Geotehnician, geometru, săpături pentru fundații și deschideri de probe excluse.</x:v>
      </x:c>
      <x:c r="F38" s="18" t="str">
        <x:v>Untergrundbeschau 800 EUR. Refacerea după probe rămâne la AG dacă nu se comandă separat.</x:v>
      </x:c>
      <x:c r="G38" s="18" t="str">
        <x:v>T1 §2,6; B1 p3; P1 pos04,p4</x:v>
      </x:c>
    </x:row>
    <x:row r="39" ht="50.25" customHeight="1">
      <x:c r="A39" s="24" t="str">
        <x:v>§7</x:v>
      </x:c>
      <x:c r="B39" s="25" t="str">
        <x:v>Bauwerksbuch: existent și intervenții noi</x:v>
      </x:c>
      <x:c r="C39" s="25" t="str">
        <x:v>3.400 EUR net. Evaluare inițială, cartea clădirii și înregistrare MA37 pentru întregul obiect.</x:v>
      </x:c>
      <x:c r="D39" s="25" t="str">
        <x:v>ANG 891 explicit, 3.400 EUR. Q2 E1–E7 și E10–E12 incluse; întregul contract rămâne neacceptat.</x:v>
      </x:c>
      <x:c r="E39" s="25" t="str">
        <x:v>Nespecificat. Nu se adaugă zero la total.</x:v>
      </x:c>
      <x:c r="F39" s="25" t="str">
        <x:v>Nespecificat. Schlussunterlagen nu dovedește Bauwerksbuch.</x:v>
      </x:c>
      <x:c r="G39" s="25" t="str">
        <x:v>T1 §7; T4; T5 E; B1; P1 pos06</x:v>
      </x:c>
    </x:row>
    <x:row r="40" ht="50.25" customHeight="1">
      <x:c r="A40" s="19" t="str">
        <x:v>§7</x:v>
      </x:c>
      <x:c r="B40" s="18" t="str">
        <x:v>Bauwerksbuch: fotografii, fisuri și catalog extins</x:v>
      </x:c>
      <x:c r="C40" s="18" t="str">
        <x:v>Fotografii/comparație înainte-după și catalog extins excluse. Conținutul obligatoriu prevăzut în contract rămâne cerut.</x:v>
      </x:c>
      <x:c r="D40" s="18" t="str">
        <x:v>Q2 E8 și E9: nein. Nu sunt servicii incluse fără supliment.</x:v>
      </x:c>
      <x:c r="E40" s="18" t="str">
        <x:v>Nespecificat.</x:v>
      </x:c>
      <x:c r="F40" s="18" t="str">
        <x:v>Nespecificat.</x:v>
      </x:c>
      <x:c r="G40" s="18" t="str">
        <x:v>T1 §7; T5 E8–E9; B1; P1</x:v>
      </x:c>
    </x:row>
    <x:row r="41" ht="50.25" customHeight="1">
      <x:c r="A41" s="24" t="str">
        <x:v>§7–8</x:v>
      </x:c>
      <x:c r="B41" s="25" t="str">
        <x:v>Predări și termene ale dosarelor</x:v>
      </x:c>
      <x:c r="C41" s="25" t="str">
        <x:v>D1 în 3 săptămâni de la semnare. D2–D5 prin acord. Bauwerksbuch: draft/versiune finală înainte de notificarea finalizării.</x:v>
      </x:c>
      <x:c r="D41" s="25" t="str">
        <x:v>Termene cerute în v4.1. Calendarul nu a început fără semnare confirmată.</x:v>
      </x:c>
      <x:c r="E41" s="25" t="str">
        <x:v>Început prin acord, circa 12 luni. Nu există date distincte de predare.</x:v>
      </x:c>
      <x:c r="F41" s="25" t="str">
        <x:v>Calendar prin acord, începe după comandă scrisă și documentație. Nu există date distincte.</x:v>
      </x:c>
      <x:c r="G41" s="25" t="str">
        <x:v>T1 §7–8; T8; B1 p1,3; P1 p4</x:v>
      </x:c>
    </x:row>
    <x:row r="42" ht="50.25" customHeight="1">
      <x:c r="A42" s="20" t="str">
        <x:v>§9</x:v>
      </x:c>
      <x:c r="B42" s="21" t="str">
        <x:v>PDF, DWG, DXF, IFC și revizii</x:v>
      </x:c>
      <x:c r="C42" s="21" t="str">
        <x:v>PDF semnat, DWG AutoCAD 2018 sau mai vechi, DXF, IFC 2x3/4, listă planuri și istoric revizii.</x:v>
      </x:c>
      <x:c r="D42" s="21" t="str">
        <x:v>Q2 C confirmă formatele, reviziile, lista și accesul/download. Specificațiile contractuale complete cer acceptare.</x:v>
      </x:c>
      <x:c r="E42" s="21" t="str">
        <x:v>Predare pe hârtie o dată și electronic. Formatele editabile nu sunt precizate.</x:v>
      </x:c>
      <x:c r="F42" s="21" t="str">
        <x:v>Formatele nu sunt enumerate. Trebuie anexată exacta descriere AG.</x:v>
      </x:c>
      <x:c r="G42" s="21" t="str">
        <x:v>T1 §9; T5 C; B1 p3; P1 p2</x:v>
      </x:c>
    </x:row>
    <x:row r="43" ht="50.25" customHeight="1">
      <x:c r="A43" s="23" t="str">
        <x:v>§9</x:v>
      </x:c>
      <x:c r="B43" s="22" t="str">
        <x:v>Model nativ, CSV/Excel, fișiere utilaj și layere</x:v>
      </x:c>
      <x:c r="C43" s="22" t="str">
        <x:v>EXCLUS: model nativ calcul, liste suplimentare CSV/Excel, BTL/BVX, NC/DSTV, layere speciale și poziții complete.</x:v>
      </x:c>
      <x:c r="D43" s="22" t="str">
        <x:v>Q2 C: nein pentru aceste livrabile. Nu se tratează ca incluse în 25.000 EUR.</x:v>
      </x:c>
      <x:c r="E43" s="22" t="str">
        <x:v>Nespecificat. Predare electronică generică nu le confirmă.</x:v>
      </x:c>
      <x:c r="F43" s="22" t="str">
        <x:v>Nespecificat. Referința LB nu le confirmă individual.</x:v>
      </x:c>
      <x:c r="G43" s="22" t="str">
        <x:v>T1 §9; T5 C; B1 p3; P1</x:v>
      </x:c>
    </x:row>
    <x:row r="44" ht="50.25" customHeight="1">
      <x:c r="A44" s="19" t="str">
        <x:v>§9</x:v>
      </x:c>
      <x:c r="B44" s="18" t="str">
        <x:v>Drepturi de utilizare, modificare și terți</x:v>
      </x:c>
      <x:c r="C44" s="18" t="str">
        <x:v>AG cere utilizare nelimitată, modificare și transmitere către terți, inclusiv predare intermediară/finală.</x:v>
      </x:c>
      <x:c r="D44" s="18" t="str">
        <x:v>Q1 F17 confirmă principiul utilizării nelimitate, accesului terților și predării. Întregul contract v4.1 nu este acceptat.</x:v>
      </x:c>
      <x:c r="E44" s="18" t="str">
        <x:v>Licența pentru modificare/terți nu este precizată.</x:v>
      </x:c>
      <x:c r="F44" s="18" t="str">
        <x:v>AGB păstrează drepturile la PECH inclusiv pentru execuție/modificare/reproducere de terți, chiar după plată. Necesită negociere.</x:v>
      </x:c>
      <x:c r="G44" s="18" t="str">
        <x:v>T1 §9; T10 F17; B1; P1 p4</x:v>
      </x:c>
    </x:row>
    <x:row r="45" ht="50.25" customHeight="1">
      <x:c r="A45" s="24" t="str">
        <x:v>§10</x:v>
      </x:c>
      <x:c r="B45" s="25" t="str">
        <x:v>Recepția livrabilelor și corectarea erorilor</x:v>
      </x:c>
      <x:c r="C45" s="25" t="str">
        <x:v>Control completitudine în 10 zile lucrătoare, completări în 5 zile. Aprobarea AG nu transferă răspunderea tehnică.</x:v>
      </x:c>
      <x:c r="D45" s="25" t="str">
        <x:v>Clauze AG. Nu există acceptare contractuală documentată.</x:v>
      </x:c>
      <x:c r="E45" s="25" t="str">
        <x:v>Aprobarea planurilor de cofraj de către AG/proiectant prevăzută; termenele nu sunt similare explicit.</x:v>
      </x:c>
      <x:c r="F45" s="25" t="str">
        <x:v>Termenele de recepție a dosarelor nu sunt similare explicit. AGB reglementează separat obiecțiile la facturi.</x:v>
      </x:c>
      <x:c r="G45" s="25" t="str">
        <x:v>T1 §3,10; B1 p2; P1 p4</x:v>
      </x:c>
    </x:row>
    <x:row r="46" ht="63" customHeight="1">
      <x:c r="A46" s="20" t="str">
        <x:v>§11</x:v>
      </x:c>
      <x:c r="B46" s="21" t="str">
        <x:v>Preț, modificări și cheltuieli</x:v>
      </x:c>
      <x:c r="C46" s="21" t="str">
        <x:v>37.900 EUR net. Preț fix cerut, deplasări incluse, suplimente doar după aprobare scrisă.</x:v>
      </x:c>
      <x:c r="D46" s="21" t="str">
        <x:v>Ofertele prevăd convenire separată/recalcul la efort crescut peste 10%. Q1 F18 limitează la schimbări AG și acord prealabil; erorile proprii nu sunt supliment.</x:v>
      </x:c>
      <x:c r="E46" s="21" t="str">
        <x:v>45.000 EUR net. Suplimente în regie; reducerea pentru calcul este condiționată de concept neschimbat.</x:v>
      </x:c>
      <x:c r="F46" s="21" t="str">
        <x:v>69.300 EUR net. AGB prevede ZT-Index și schimbări în regie; nu confirmă preț fix.</x:v>
      </x:c>
      <x:c r="G46" s="21" t="str">
        <x:v>T1 §11; T2–T4; T10 F18; B1 p2–3; P1 p1–4</x:v>
      </x:c>
    </x:row>
    <x:row r="47" ht="63" customHeight="1">
      <x:c r="A47" s="23" t="str">
        <x:v>§11</x:v>
      </x:c>
      <x:c r="B47" s="22" t="str">
        <x:v>Plăți și rețineri</x:v>
      </x:c>
      <x:c r="C47" s="22" t="str">
        <x:v>Plată pe dosare predate/recepționate, fără avans, la 30 zile. D1–D5 sunt repartizări AG, nu prețuri ofertate separat.</x:v>
      </x:c>
      <x:c r="D47" s="22" t="str">
        <x:v>30 zile în ofertele originale. Q1 F18: după progres, plan de plăți de propus de TOMS. Repartizările AG și plata fără avans nu sunt acceptate automat.</x:v>
      </x:c>
      <x:c r="E47" s="22" t="str">
        <x:v>Facturi parțiale după progres, 14 zile fără deduceri. Atribuirea parțială cere acord.</x:v>
      </x:c>
      <x:c r="F47" s="22" t="str">
        <x:v>Facturi parțiale lunare, 14 zile fără deduceri. Kein Haftrücklass: fără reținere de garanție.</x:v>
      </x:c>
      <x:c r="G47" s="22" t="str">
        <x:v>T1 §11; T2–T4; T10 F18; B1 p3; P1 p1,4</x:v>
      </x:c>
    </x:row>
    <x:row r="48" ht="50.25" customHeight="1">
      <x:c r="A48" s="20" t="str">
        <x:v>§12–13</x:v>
      </x:c>
      <x:c r="B48" s="21" t="str">
        <x:v>Responsabil, echipă, asigurare și independență</x:v>
      </x:c>
      <x:c r="C48" s="21" t="str">
        <x:v>DI Ferdinand Toms, echipă/înlocuitor și dovezi profesionale. Confirmarea continuității poliței și a independenței este cerută.</x:v>
      </x:c>
      <x:c r="D48" s="21" t="str">
        <x:v>Documente Generali în anexe. Echipa și unele confirmări rămân de completat înainte de semnare.</x:v>
      </x:c>
      <x:c r="E48" s="21" t="str">
        <x:v>Markus Berger semnează oferta prestatorului. Confirmările comparabile trebuie cerute separat.</x:v>
      </x:c>
      <x:c r="F48" s="21" t="str">
        <x:v>Persoană de contact Bernhard Ployer. Confirmările comparabile trebuie cerute separat.</x:v>
      </x:c>
      <x:c r="G48" s="21" t="str">
        <x:v>T1 §12–13,Anl6–7; B1 p4; P1 p1</x:v>
      </x:c>
    </x:row>
    <x:row r="49" ht="63" customHeight="1">
      <x:c r="A49" s="24" t="str">
        <x:v>§14</x:v>
      </x:c>
      <x:c r="B49" s="25" t="str">
        <x:v>Planwechsel și cerințe MA37</x:v>
      </x:c>
      <x:c r="C49" s="25" t="str">
        <x:v>Un pachet combinat de adaptare în conceptul existent; contribuție structurală. Arhitectul depune. Corectarea erorilor proprii nu este modificare plătită.</x:v>
      </x:c>
      <x:c r="D49" s="25" t="str">
        <x:v>Q1 F11/F13 confirmă colaborarea structurală. Încadrarea Planwechsel/nouă depunere și bucla exactă v4.1 rămân de clarificat.</x:v>
      </x:c>
      <x:c r="E49" s="25" t="str">
        <x:v>Planwechsel inclus nu este precizat. Confirmarea PI presupune lipsa modificărilor care ar necesita Planwechsel.</x:v>
      </x:c>
      <x:c r="F49" s="25" t="str">
        <x:v>Nu este cotat separat. Modificările peste uzual pot fi în regie.</x:v>
      </x:c>
      <x:c r="G49" s="25" t="str">
        <x:v>T1 §14; T10 F11,F13; B1 p2–3; P1 p3–4</x:v>
      </x:c>
    </x:row>
    <x:row r="50" ht="50.25" customHeight="1">
      <x:c r="A50" s="20" t="str">
        <x:v>§15</x:v>
      </x:c>
      <x:c r="B50" s="21" t="str">
        <x:v>Valabilitatea ofertelor</x:v>
      </x:c>
      <x:c r="C50" s="21" t="str">
        <x:v>ANG 839/855 și ANG 891: până la 2026.12.31 potrivit anexelor.</x:v>
      </x:c>
      <x:c r="D50" s="21" t="str">
        <x:v>Valabilitatea istorică a prețului nu dovedește disponibilitate actuală după refuzul 2026.10.08.</x:v>
      </x:c>
      <x:c r="E50" s="21" t="str">
        <x:v>8 săptămâni de la 2026.08.17. Expirare calculată: 2026.10.12. Fără prelungire confirmată.</x:v>
      </x:c>
      <x:c r="F50" s="21" t="str">
        <x:v>90 zile de la 2026.09.17. Expirare calculată: 2026.12.16. Disponibilitatea nu este confirmată.</x:v>
      </x:c>
      <x:c r="G50" s="21" t="str">
        <x:v>T1 §15; T7; B1 p3; P1 p1</x:v>
      </x:c>
    </x:row>
    <x:row r="51" ht="50.25" customHeight="1">
      <x:c r="A51" s="24" t="str">
        <x:v>§16</x:v>
      </x:c>
      <x:c r="B51" s="25" t="str">
        <x:v>Încheiere și reziliere contract</x:v>
      </x:c>
      <x:c r="C51" s="25" t="str">
        <x:v>Încheiere după predare completă și înregistrarea Bauwerksbuch. Reguli AG pentru încetare și modificări scrise.</x:v>
      </x:c>
      <x:c r="D51" s="25" t="str">
        <x:v>Proiect de contract transmis; nu contract bilateral acceptat.</x:v>
      </x:c>
      <x:c r="E51" s="25" t="str">
        <x:v>Oferta nu conține o procedură comparabilă de încetare.</x:v>
      </x:c>
      <x:c r="F51" s="25" t="str">
        <x:v>AGB proprii aplicabile în ofertă. Nu există clauze identice acceptate cu v4.1.</x:v>
      </x:c>
      <x:c r="G51" s="25" t="str">
        <x:v>T1 §16; T8; B1; P1 p4</x:v>
      </x:c>
    </x:row>
    <x:row r="52" ht="37.5" customHeight="1">
      <x:c r="A52" s="20" t="str">
        <x:v>În afara v4.1</x:v>
      </x:c>
      <x:c r="B52" s="21" t="str">
        <x:v>BauKG / coordonare securitate</x:v>
      </x:c>
      <x:c r="C52" s="21" t="str">
        <x:v>Nu intră în pachetul v4.1 de 37.900 EUR.</x:v>
      </x:c>
      <x:c r="D52" s="21" t="str">
        <x:v>ANG 840: 11.040 EUR net, ofertă istorică separată. Nu se adaugă la totalul v4.1.</x:v>
      </x:c>
      <x:c r="E52" s="21" t="str">
        <x:v>Nu este ofertat explicit în oferta analizată.</x:v>
      </x:c>
      <x:c r="F52" s="21" t="str">
        <x:v>Nu este ofertat explicit în oferta analizată.</x:v>
      </x:c>
      <x:c r="G52" s="21" t="str">
        <x:v>T1 §11; T9; B1; P1</x:v>
      </x:c>
    </x:row>
    <x:row r="53" ht="50.25" customHeight="1">
      <x:c r="A53" s="24" t="str">
        <x:v>Ofertă istorică</x:v>
      </x:c>
      <x:c r="B53" s="25" t="str">
        <x:v>REALIG / Christian Gschirtz</x:v>
      </x:c>
      <x:c r="C53" s="25" t="str">
        <x:v>Nu este ofertă structurală acceptată în v4.1.</x:v>
      </x:c>
      <x:c r="D53" s="25" t="str">
        <x:v>Nu se compară drept componentă TOMS.</x:v>
      </x:c>
      <x:c r="E53" s="25" t="str">
        <x:v>REALIG separat de BERGER: 24.000 EUR net, sumă presupusă într-un pachet general de proiectare.</x:v>
      </x:c>
      <x:c r="F53" s="25" t="str">
        <x:v>REALIG separat de PECH: nu există defalcare fermă pentru aceleași servicii.</x:v>
      </x:c>
      <x:c r="G53" s="25" t="str">
        <x:v>R1 p2, Sonstige Planungen (Summen angenommen)</x:v>
      </x:c>
    </x:row>
    <x:row r="54" ht="63" customHeight="1">
      <x:c r="A54" s="20" t="str">
        <x:v>Decizie</x:v>
      </x:c>
      <x:c r="B54" s="21" t="str">
        <x:v>Ce trebuie cerut înainte de alegere</x:v>
      </x:c>
      <x:c r="C54" s="21" t="str">
        <x:v>Confirmați exact serviciile cerute, excluderile și prestatorul detaliilor de îmbinare/ancore/atelier.</x:v>
      </x:c>
      <x:c r="D54" s="21" t="str">
        <x:v>Clarificarea refuzului față de v4.1, disponibilitatea și acceptarea scrisă. Fără pornire D1 dedusă.</x:v>
      </x:c>
      <x:c r="E54" s="21" t="str">
        <x:v>Prelungire ofertă, calendar, lemn/ancore, Bauwerksbuch, formate și Planwechsel. PI separat de 8 vizite de asistență.</x:v>
      </x:c>
      <x:c r="F54" s="21" t="str">
        <x:v>LB exactă, planuri, PI/§128, Bauwerksbuch, drepturi de utilizare, indexare și calendar.</x:v>
      </x:c>
      <x:c r="G54" s="21" t="str">
        <x:v>Sinteză T1–T8; B1; P1</x:v>
      </x:c>
    </x:row>
    <x:row r="57" ht="22.5" customHeight="1">
      <x:c r="A57" s="58" t="str">
        <x:v>Surse și originale</x:v>
      </x:c>
    </x:row>
    <x:row r="58" ht="43.5" customHeight="1">
      <x:c r="A58" s="61" t="str">
        <x:v>T1</x:v>
      </x:c>
      <x:c r="B58" s="61" t="str">
        <x:v>TOMS v4.1, propunere AG transmisă</x:v>
      </x:c>
      <x:c r="C58" s="62" t="n">
        <x:v>46297</x:v>
      </x:c>
      <x:c r="D58" s="61" t="str">
        <x:v>Original în arhivă</x:v>
      </x:c>
      <x:c r="E58" s="61" t="str">
        <x:v>ID Eva-Mail</x:v>
      </x:c>
      <x:c r="F58" s="61" t="str">
        <x:v>64c91100-89c3-4206-8e7e-988e575385b8</x:v>
      </x:c>
      <x:c r="G58" s="63" t="str">
        <x:v>Calea în nota celulei</x:v>
      </x:c>
    </x:row>
    <x:row r="59" ht="43.5" customHeight="1">
      <x:c r="A59" s="61" t="str">
        <x:v>T2</x:v>
      </x:c>
      <x:c r="B59" s="61" t="str">
        <x:v>TOMS ANG 855, structură și asistență</x:v>
      </x:c>
      <x:c r="C59" s="62" t="n">
        <x:v>46268</x:v>
      </x:c>
      <x:c r="D59" s="61" t="str">
        <x:v>Original în arhivă</x:v>
      </x:c>
      <x:c r="E59" s="61" t="str">
        <x:v>Document anexat</x:v>
      </x:c>
      <x:c r="F59" s="61" t="str"/>
      <x:c r="G59" s="63" t="str">
        <x:v>Calea în nota celulei</x:v>
      </x:c>
    </x:row>
    <x:row r="60" ht="43.5" customHeight="1">
      <x:c r="A60" s="61" t="str">
        <x:v>T3</x:v>
      </x:c>
      <x:c r="B60" s="61" t="str">
        <x:v>TOMS ANG 839, Prüfingenieur</x:v>
      </x:c>
      <x:c r="C60" s="62" t="n">
        <x:v>46254</x:v>
      </x:c>
      <x:c r="D60" s="61" t="str">
        <x:v>Original în arhivă</x:v>
      </x:c>
      <x:c r="E60" s="61" t="str">
        <x:v>Document anexat</x:v>
      </x:c>
      <x:c r="F60" s="61" t="str"/>
      <x:c r="G60" s="63" t="str">
        <x:v>Calea în nota celulei</x:v>
      </x:c>
    </x:row>
    <x:row r="61" ht="43.5" customHeight="1">
      <x:c r="A61" s="61" t="str">
        <x:v>T4</x:v>
      </x:c>
      <x:c r="B61" s="61" t="str">
        <x:v>TOMS ANG 891, Bauwerksbuch</x:v>
      </x:c>
      <x:c r="C61" s="62" t="n">
        <x:v>46288</x:v>
      </x:c>
      <x:c r="D61" s="61" t="str">
        <x:v>Original în arhivă</x:v>
      </x:c>
      <x:c r="E61" s="61" t="str">
        <x:v>Document anexat</x:v>
      </x:c>
      <x:c r="F61" s="61" t="str"/>
      <x:c r="G61" s="63" t="str">
        <x:v>Calea în nota celulei</x:v>
      </x:c>
    </x:row>
    <x:row r="62" ht="43.5" customHeight="1">
      <x:c r="A62" s="61" t="str">
        <x:v>T5</x:v>
      </x:c>
      <x:c r="B62" s="61" t="str">
        <x:v>TOMS Q2, chestionar semnat</x:v>
      </x:c>
      <x:c r="C62" s="62" t="n">
        <x:v>46293</x:v>
      </x:c>
      <x:c r="D62" s="61" t="str">
        <x:v>Original în arhivă</x:v>
      </x:c>
      <x:c r="E62" s="61" t="str">
        <x:v>Document anexat</x:v>
      </x:c>
      <x:c r="F62" s="61" t="str"/>
      <x:c r="G62" s="63" t="str">
        <x:v>Calea în nota celulei</x:v>
      </x:c>
    </x:row>
    <x:row r="63" ht="43.5" customHeight="1">
      <x:c r="A63" s="61" t="str">
        <x:v>T6</x:v>
      </x:c>
      <x:c r="B63" s="61" t="str">
        <x:v>TOMS, răspuns privind delimitarea serviciilor</x:v>
      </x:c>
      <x:c r="C63" s="62" t="n">
        <x:v>46296</x:v>
      </x:c>
      <x:c r="D63" s="61" t="str">
        <x:v>Original în arhivă</x:v>
      </x:c>
      <x:c r="E63" s="61" t="str">
        <x:v>ID Eva-Mail</x:v>
      </x:c>
      <x:c r="F63" s="61" t="str">
        <x:v>838c8bcd-4e2d-4e90-bc25-25355ea6da60</x:v>
      </x:c>
      <x:c r="G63" s="63" t="str">
        <x:v>Calea în nota celulei</x:v>
      </x:c>
    </x:row>
    <x:row r="64" ht="43.5" customHeight="1">
      <x:c r="A64" s="61" t="str">
        <x:v>T7</x:v>
      </x:c>
      <x:c r="B64" s="61" t="str">
        <x:v>TOMS, refuz de preluare din lipsă de resurse</x:v>
      </x:c>
      <x:c r="C64" s="62" t="n">
        <x:v>46303</x:v>
      </x:c>
      <x:c r="D64" s="61" t="str">
        <x:v>Original în arhivă</x:v>
      </x:c>
      <x:c r="E64" s="61" t="str">
        <x:v>ID Eva-Mail</x:v>
      </x:c>
      <x:c r="F64" s="61" t="str">
        <x:v>cdd301b0-457e-4452-a394-6eea21256e61</x:v>
      </x:c>
      <x:c r="G64" s="63" t="str">
        <x:v>Calea în nota celulei</x:v>
      </x:c>
    </x:row>
    <x:row r="65" ht="43.5" customHeight="1">
      <x:c r="A65" s="61" t="str">
        <x:v>T8</x:v>
      </x:c>
      <x:c r="B65" s="61" t="str">
        <x:v>Dovada trimiterii v4.1 în Eva-Mail</x:v>
      </x:c>
      <x:c r="C65" s="62" t="n">
        <x:v>46300</x:v>
      </x:c>
      <x:c r="D65" s="61" t="str">
        <x:v>Original în arhivă</x:v>
      </x:c>
      <x:c r="E65" s="61" t="str">
        <x:v>ID Eva-Mail</x:v>
      </x:c>
      <x:c r="F65" s="61" t="str">
        <x:v>64c91100-89c3-4206-8e7e-988e575385b8</x:v>
      </x:c>
      <x:c r="G65" s="63" t="str">
        <x:v>Calea în nota celulei</x:v>
      </x:c>
    </x:row>
    <x:row r="66" ht="43.5" customHeight="1">
      <x:c r="A66" s="61" t="str">
        <x:v>T9</x:v>
      </x:c>
      <x:c r="B66" s="61" t="str">
        <x:v>TOMS ANG 840, BauKG istoric separat</x:v>
      </x:c>
      <x:c r="C66" s="62" t="n">
        <x:v>46254</x:v>
      </x:c>
      <x:c r="D66" s="61" t="str">
        <x:v>Original în arhivă</x:v>
      </x:c>
      <x:c r="E66" s="61" t="str">
        <x:v>Document anexat</x:v>
      </x:c>
      <x:c r="F66" s="61" t="str"/>
      <x:c r="G66" s="63" t="str">
        <x:v>Calea în nota celulei</x:v>
      </x:c>
    </x:row>
    <x:row r="67" ht="43.5" customHeight="1">
      <x:c r="A67" s="61" t="str">
        <x:v>T10</x:v>
      </x:c>
      <x:c r="B67" s="61" t="str">
        <x:v>TOMS Q1, versiune corectată și semnată</x:v>
      </x:c>
      <x:c r="C67" s="62" t="n">
        <x:v>46288</x:v>
      </x:c>
      <x:c r="D67" s="61" t="str">
        <x:v>Original în arhivă</x:v>
      </x:c>
      <x:c r="E67" s="61" t="str">
        <x:v>Document anexat</x:v>
      </x:c>
      <x:c r="F67" s="61" t="str"/>
      <x:c r="G67" s="63" t="str">
        <x:v>Calea în nota celulei</x:v>
      </x:c>
    </x:row>
    <x:row r="68" ht="43.5" customHeight="1">
      <x:c r="A68" s="61" t="str">
        <x:v>B1</x:v>
      </x:c>
      <x:c r="B68" s="61" t="str">
        <x:v>Markus BERGER, ofertă detaliată, 4 pagini</x:v>
      </x:c>
      <x:c r="C68" s="62" t="n">
        <x:v>46251</x:v>
      </x:c>
      <x:c r="D68" s="61" t="str">
        <x:v>Original în arhivă</x:v>
      </x:c>
      <x:c r="E68" s="61" t="str">
        <x:v>ID Eva-Mail</x:v>
      </x:c>
      <x:c r="F68" s="61" t="str">
        <x:v>ce6905cb-0c93-4e6b-8cde-7e300dfc874c</x:v>
      </x:c>
      <x:c r="G68" s="63" t="str">
        <x:v>Calea în nota celulei</x:v>
      </x:c>
    </x:row>
    <x:row r="69" ht="43.5" customHeight="1">
      <x:c r="A69" s="61" t="str">
        <x:v>P1</x:v>
      </x:c>
      <x:c r="B69" s="61" t="str">
        <x:v>Dr. PECH, ofertă 2026-470/AN01, 4 pagini</x:v>
      </x:c>
      <x:c r="C69" s="62" t="n">
        <x:v>46282</x:v>
      </x:c>
      <x:c r="D69" s="61" t="str">
        <x:v>Original în arhivă</x:v>
      </x:c>
      <x:c r="E69" s="61" t="str">
        <x:v>ID Eva-Mail</x:v>
      </x:c>
      <x:c r="F69" s="61" t="str">
        <x:v>63cd2bcb-2160-4027-b6c8-25bb42d9ae50</x:v>
      </x:c>
      <x:c r="G69" s="63" t="str">
        <x:v>Calea în nota celulei</x:v>
      </x:c>
    </x:row>
    <x:row r="70" ht="43.5" customHeight="1">
      <x:c r="A70" s="61" t="str">
        <x:v>R1</x:v>
      </x:c>
      <x:c r="B70" s="61" t="str">
        <x:v>REALIG, ofertă generală cu sumă presupusă</x:v>
      </x:c>
      <x:c r="C70" s="62" t="n">
        <x:v>46107</x:v>
      </x:c>
      <x:c r="D70" s="61" t="str">
        <x:v>Original în arhivă</x:v>
      </x:c>
      <x:c r="E70" s="61" t="str">
        <x:v>Document anexat</x:v>
      </x:c>
      <x:c r="F70" s="61" t="str"/>
      <x:c r="G70" s="63" t="str">
        <x:v>Calea în nota celulei</x:v>
      </x:c>
    </x:row>
  </x:sheetData>
  <x:conditionalFormatting sqref="C8:F54">
    <x:cfRule type="containsText" dxfId="0" priority="1" operator="containsText" text="EXCLUS"/>
    <x:cfRule type="containsText" dxfId="1" priority="2" operator="containsText" text="Nespecificat"/>
  </x:conditionalFormatting>
  <x:pageMargins left="0.7" right="0.7" top="0.75" bottom="0.75" header="0.3" footer="0.3"/>
  <x:legacyDrawing xmlns:r="http://schemas.openxmlformats.org/officeDocument/2006/relationships" r:id="Ra0b737a1cc8e4d6c"/>
  <x:tableParts count="1">
    <x:tablePart xmlns:r="http://schemas.openxmlformats.org/officeDocument/2006/relationships" r:id="Re8310e98a1fe4ede"/>
  </x:tableParts>
</x:worksheet>
</file>

<file path=xl/worksheets/sheet2.xml><?xml version="1.0" encoding="utf-8"?>
<x:worksheet xmlns:x="http://schemas.openxmlformats.org/spreadsheetml/2006/main">
  <x:sheetPr>
    <x:tabColor rgb="FF24344B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5" hidden="0" customWidth="1"/>
    <x:col min="2" max="2" width="26.8799991607666" hidden="0" customWidth="1"/>
    <x:col min="3" max="3" width="42.5" hidden="0" customWidth="1"/>
    <x:col min="4" max="4" width="42.5" hidden="0" customWidth="1"/>
    <x:col min="5" max="5" width="36.25" hidden="0" customWidth="1"/>
    <x:col min="6" max="6" width="41.880001068115234" hidden="0" customWidth="1"/>
    <x:col min="7" max="7" width="21.8799991607666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</x:row>
    <x:row r="2" ht="23.25" customHeight="1">
      <x:c r="A2" s="3" t="str">
        <x:v>Schallergasse 35 — prețuri pe servicii, 2026.10.12</x:v>
      </x:c>
      <x:c r="B2" s="2"/>
      <x:c r="C2" s="2"/>
      <x:c r="D2" s="2"/>
      <x:c r="E2" s="2"/>
      <x:c r="F2" s="2"/>
      <x:c r="G2" s="2"/>
    </x:row>
    <x:row r="3" ht="4.5" customHeight="1">
      <x:c r="A3" s="4"/>
      <x:c r="B3" s="4"/>
      <x:c r="C3" s="4"/>
      <x:c r="D3" s="4"/>
      <x:c r="E3" s="4"/>
      <x:c r="F3" s="4"/>
      <x:c r="G3" s="4"/>
    </x:row>
    <x:row r="4" ht="18.75" customHeight="1">
      <x:c r="A4" s="2" t="str">
        <x:v>TVA</x:v>
      </x:c>
      <x:c r="B4" s="2"/>
      <x:c r="C4" s="29" t="n">
        <x:v>0.2</x:v>
      </x:c>
      <x:c r="D4" s="2" t="str">
        <x:v>Toate prețurile sunt în EUR. Totalurile au domenii diferite.</x:v>
      </x:c>
      <x:c r="E4" s="2"/>
      <x:c r="F4" s="2"/>
      <x:c r="G4" s="2"/>
    </x:row>
    <x:row r="5" ht="18.75" customHeight="1">
      <x:c r="A5" s="2" t="str">
        <x:v>„Nespecificat”, „Exclus” și „Inclus în pachet” nu reprezintă zero. Suplimentele și pozițiile istorice nu intră în total.</x:v>
      </x:c>
      <x:c r="B5" s="2"/>
      <x:c r="C5" s="2"/>
      <x:c r="D5" s="2"/>
      <x:c r="E5" s="2"/>
      <x:c r="F5" s="2"/>
      <x:c r="G5" s="2"/>
    </x:row>
    <x:row r="6">
      <x:c r="A6" s="2"/>
      <x:c r="B6" s="2"/>
      <x:c r="C6" s="2"/>
      <x:c r="D6" s="2"/>
      <x:c r="E6" s="2"/>
      <x:c r="F6" s="2"/>
      <x:c r="G6" s="2"/>
    </x:row>
    <x:row r="7" ht="36" customHeight="1">
      <x:c r="A7" s="13" t="str">
        <x:v>Categorie</x:v>
      </x:c>
      <x:c r="B7" s="14" t="str">
        <x:v>Serviciu / unitate</x:v>
      </x:c>
      <x:c r="C7" s="14" t="str">
        <x:v>TOMS EUR net</x:v>
      </x:c>
      <x:c r="D7" s="14" t="str">
        <x:v>BERGER EUR net</x:v>
      </x:c>
      <x:c r="E7" s="14" t="str">
        <x:v>PECH EUR net</x:v>
      </x:c>
      <x:c r="F7" s="14" t="str">
        <x:v>Delimitare și condiții</x:v>
      </x:c>
      <x:c r="G7" s="15" t="str">
        <x:v>Surse</x:v>
      </x:c>
    </x:row>
    <x:row r="8" ht="63" customHeight="1">
      <x:c r="A8" s="20" t="str">
        <x:v>Pachet</x:v>
      </x:c>
      <x:c r="B8" s="21" t="str">
        <x:v>Calcul de structură / Ausführungsstatik</x:v>
      </x:c>
      <x:c r="C8" s="38" t="n">
        <x:v>25000</x:v>
      </x:c>
      <x:c r="D8" s="38" t="n">
        <x:v>13000</x:v>
      </x:c>
      <x:c r="E8" s="38" t="n">
        <x:v>42000</x:v>
      </x:c>
      <x:c r="F8" s="21" t="str">
        <x:v>TOMS: include și planurile cofraj/armare, Führungsplanung lemn/oțel. BERGER: condiționat de conceptul static neschimbat. PECH: Pos01, livrabile prin LB de identificat.</x:v>
      </x:c>
      <x:c r="G8" s="21" t="str">
        <x:v>T2 pos1.2.1; B1 p2; P1 pos01</x:v>
      </x:c>
    </x:row>
    <x:row r="9" ht="63" customHeight="1">
      <x:c r="A9" s="23" t="str">
        <x:v>Pachet</x:v>
      </x:c>
      <x:c r="B9" s="22" t="str">
        <x:v>Planuri constructive / cofraj / armare</x:v>
      </x:c>
      <x:c r="C9" s="39" t="str">
        <x:v>Inclus în 25.000</x:v>
      </x:c>
      <x:c r="D9" s="39" t="n">
        <x:v>20000</x:v>
      </x:c>
      <x:c r="E9" s="39" t="str">
        <x:v>Nespecificat separat</x:v>
      </x:c>
      <x:c r="F9" s="22" t="str">
        <x:v>TOMS nu defalcă acest preț. BERGER include Stücklisten și planuri de oțel, exclude atelier. La PECH exacta acoperire prin Pos01/LB trebuie confirmată.</x:v>
      </x:c>
      <x:c r="G9" s="22" t="str">
        <x:v>T2; B1 p2; P1 pos01</x:v>
      </x:c>
    </x:row>
    <x:row r="10" ht="50.25" customHeight="1">
      <x:c r="A10" s="19" t="str">
        <x:v>Pachet</x:v>
      </x:c>
      <x:c r="B10" s="18" t="str">
        <x:v>Goluri în existent / Durchbruchsplanung</x:v>
      </x:c>
      <x:c r="C10" s="40" t="str">
        <x:v>Confirmat în pachet</x:v>
      </x:c>
      <x:c r="D10" s="40" t="str">
        <x:v>Nespecificat separat</x:v>
      </x:c>
      <x:c r="E10" s="40" t="n">
        <x:v>6000</x:v>
      </x:c>
      <x:c r="F10" s="18" t="str">
        <x:v>PECH Pos02. La TOMS confirmat în Q1 și cerut în v4.1; fără preț separat. BERGER numai obiect general de transformare.</x:v>
      </x:c>
      <x:c r="G10" s="18" t="str">
        <x:v>T1 §2.4; T10 F1; B1 p1–2; P1 pos02</x:v>
      </x:c>
    </x:row>
    <x:row r="11" ht="63" customHeight="1">
      <x:c r="A11" s="23" t="str">
        <x:v>Pachet</x:v>
      </x:c>
      <x:c r="B11" s="22" t="str">
        <x:v>Sprijinirea excavării / Baugrubensicherung</x:v>
      </x:c>
      <x:c r="C11" s="39" t="str">
        <x:v>Exclus întocmire</x:v>
      </x:c>
      <x:c r="D11" s="39" t="str">
        <x:v>Exclus</x:v>
      </x:c>
      <x:c r="E11" s="39" t="n">
        <x:v>5000</x:v>
      </x:c>
      <x:c r="F11" s="22" t="str">
        <x:v>PECH Pos03. Exacta acoperire a subzidirilor/susținerilor temporare trebuie fixată. TOMS cere subzidiri de principiu, distinct de proiectul excavării.</x:v>
      </x:c>
      <x:c r="G11" s="22" t="str">
        <x:v>T1 §2.10,6; B1 p2; P1 pos03</x:v>
      </x:c>
    </x:row>
    <x:row r="12" ht="37.5" customHeight="1">
      <x:c r="A12" s="19" t="str">
        <x:v>Pachet</x:v>
      </x:c>
      <x:c r="B12" s="18" t="str">
        <x:v>Inspecție teren / Untergrundbeschau</x:v>
      </x:c>
      <x:c r="C12" s="40" t="str">
        <x:v>Cerut în PI</x:v>
      </x:c>
      <x:c r="D12" s="40" t="str">
        <x:v>Nespecificat separat</x:v>
      </x:c>
      <x:c r="E12" s="40" t="n">
        <x:v>800</x:v>
      </x:c>
      <x:c r="F12" s="18" t="str">
        <x:v>PECH Pos04. Nu echivalează cu întregul studiu geotehnic ori cu lucrările de probe.</x:v>
      </x:c>
      <x:c r="G12" s="18" t="str">
        <x:v>T1 §5; T3; B1 p3; P1 pos04</x:v>
      </x:c>
    </x:row>
    <x:row r="13" ht="50.25" customHeight="1">
      <x:c r="A13" s="23" t="str">
        <x:v>Pachet</x:v>
      </x:c>
      <x:c r="B13" s="22" t="str">
        <x:v>Asistență statică / Baubegleitung</x:v>
      </x:c>
      <x:c r="C13" s="39" t="n">
        <x:v>1500</x:v>
      </x:c>
      <x:c r="D13" s="39" t="n">
        <x:v>2000</x:v>
      </x:c>
      <x:c r="E13" s="39" t="n">
        <x:v>14000</x:v>
      </x:c>
      <x:c r="F13" s="22" t="str">
        <x:v>TOMS: Q1 F5, început + 6 faze critice + după nevoie. BERGER: maximum 8 vizite asistență. PECH: 12 Abnahmen, fără numire PI explicită.</x:v>
      </x:c>
      <x:c r="G13" s="22" t="str">
        <x:v>T1 §4; T2 pos1.2.2; T10 F5; B1 p2; P1 pos05</x:v>
      </x:c>
    </x:row>
    <x:row r="14" ht="50.25" customHeight="1">
      <x:c r="A14" s="19" t="str">
        <x:v>Pachet</x:v>
      </x:c>
      <x:c r="B14" s="18" t="str">
        <x:v>Prüfingenieur / §127 și §128</x:v>
      </x:c>
      <x:c r="C14" s="40" t="n">
        <x:v>8000</x:v>
      </x:c>
      <x:c r="D14" s="40" t="n">
        <x:v>10000</x:v>
      </x:c>
      <x:c r="E14" s="40" t="str">
        <x:v>Neconfirmat explicit</x:v>
      </x:c>
      <x:c r="F14" s="18" t="str">
        <x:v>TOMS ANG 839. BERGER PI până la Rohbaubeschau și anexă §128. Nu echivalați 12 recepții PECH cu PI.</x:v>
      </x:c>
      <x:c r="G14" s="18" t="str">
        <x:v>T3; B1 p3; P1 pos05–06</x:v>
      </x:c>
    </x:row>
    <x:row r="15" ht="50.25" customHeight="1">
      <x:c r="A15" s="23" t="str">
        <x:v>Pachet</x:v>
      </x:c>
      <x:c r="B15" s="22" t="str">
        <x:v>Bauwerksbuch și înregistrare</x:v>
      </x:c>
      <x:c r="C15" s="39" t="n">
        <x:v>3400</x:v>
      </x:c>
      <x:c r="D15" s="39" t="str">
        <x:v>Nespecificat</x:v>
      </x:c>
      <x:c r="E15" s="39" t="str">
        <x:v>Nespecificat</x:v>
      </x:c>
      <x:c r="F15" s="22" t="str">
        <x:v>TOMS ANG 891. La ceilalți nu există preț sau includere explicită. Fotografiile/fisurile și catalogul extins TOMS sunt excluse.</x:v>
      </x:c>
      <x:c r="G15" s="22" t="str">
        <x:v>T4; T5 E8–E9; B1; P1</x:v>
      </x:c>
    </x:row>
    <x:row r="16" ht="50.25" customHeight="1">
      <x:c r="A16" s="19" t="str">
        <x:v>Pachet</x:v>
      </x:c>
      <x:c r="B16" s="18" t="str">
        <x:v>Documente finale / Schlussunterlagen</x:v>
      </x:c>
      <x:c r="C16" s="40" t="str">
        <x:v>Cerut în PI/BWB</x:v>
      </x:c>
      <x:c r="D16" s="40" t="str">
        <x:v>Anexa §128 în PI</x:v>
      </x:c>
      <x:c r="E16" s="40" t="n">
        <x:v>1500</x:v>
      </x:c>
      <x:c r="F16" s="18" t="str">
        <x:v>PECH Pos06. Nu dovedește includerea Bauwerksbuch ori numirea PI. Nu se dublează prețurile TOMS/BERGER.</x:v>
      </x:c>
      <x:c r="G16" s="18" t="str">
        <x:v>T1 §5,7,9; B1 p3; P1 pos06</x:v>
      </x:c>
    </x:row>
    <x:row r="17" ht="50.25" customHeight="1">
      <x:c r="A17" s="52" t="str">
        <x:v>Total</x:v>
      </x:c>
      <x:c r="B17" s="53" t="str">
        <x:v>TOTAL PACHET, NET</x:v>
      </x:c>
      <x:c r="C17" s="54" t="n">
        <x:f>SUM(C8:C16)</x:f>
        <x:v>37900</x:v>
      </x:c>
      <x:c r="D17" s="54" t="n">
        <x:f>SUM(D8:D16)</x:f>
        <x:v>45000</x:v>
      </x:c>
      <x:c r="E17" s="54" t="n">
        <x:f>SUM(E8:E16)</x:f>
        <x:v>69300</x:v>
      </x:c>
      <x:c r="F17" s="53" t="str">
        <x:v>Totalurile ofertelor au domenii diferite. Nu includ prețuri lipsă, suplimente sau costul completării serviciilor excluse.</x:v>
      </x:c>
      <x:c r="G17" s="53" t="str">
        <x:v>T1 §11; B1 p1; P1 p1</x:v>
      </x:c>
    </x:row>
    <x:row r="18" ht="37.5" customHeight="1">
      <x:c r="A18" s="49" t="str">
        <x:v>Total</x:v>
      </x:c>
      <x:c r="B18" s="50" t="str">
        <x:v>TVA</x:v>
      </x:c>
      <x:c r="C18" s="51" t="n">
        <x:f>C17*$C$4</x:f>
        <x:v>7580</x:v>
      </x:c>
      <x:c r="D18" s="51" t="n">
        <x:f>D17*$C$4</x:f>
        <x:v>9000</x:v>
      </x:c>
      <x:c r="E18" s="51" t="n">
        <x:f>E17*$C$4</x:f>
        <x:v>13860</x:v>
      </x:c>
      <x:c r="F18" s="50" t="str">
        <x:v>20% potrivit ofertelor. Calcul pe totalul net.</x:v>
      </x:c>
      <x:c r="G18" s="50" t="str">
        <x:v>T2–T4; B1 p1; P1 p1</x:v>
      </x:c>
    </x:row>
    <x:row r="19" ht="37.5" customHeight="1">
      <x:c r="A19" s="55" t="str">
        <x:v>Total</x:v>
      </x:c>
      <x:c r="B19" s="55" t="str">
        <x:v>TOTAL PACHET, CU TVA</x:v>
      </x:c>
      <x:c r="C19" s="56" t="n">
        <x:f>SUM(C17:C18)</x:f>
        <x:v>45480</x:v>
      </x:c>
      <x:c r="D19" s="56" t="n">
        <x:f>SUM(D17:D18)</x:f>
        <x:v>54000</x:v>
      </x:c>
      <x:c r="E19" s="56" t="n">
        <x:f>SUM(E17:E18)</x:f>
        <x:v>83160</x:v>
      </x:c>
      <x:c r="F19" s="55" t="str">
        <x:v>Comparați numai după alinierea serviciilor și confirmarea disponibilității.</x:v>
      </x:c>
      <x:c r="G19" s="55" t="str">
        <x:v>Calcul din pozițiile de mai sus</x:v>
      </x:c>
    </x:row>
    <x:row r="20" ht="63" customHeight="1">
      <x:c r="A20" s="20" t="str">
        <x:v>Subtotal</x:v>
      </x:c>
      <x:c r="B20" s="21" t="str">
        <x:v>Structură + asistență, fără PI/Bauwerksbuch</x:v>
      </x:c>
      <x:c r="C20" s="45" t="n">
        <x:f>SUM(C8:C9,C13)</x:f>
        <x:v>26500</x:v>
      </x:c>
      <x:c r="D20" s="45" t="n">
        <x:f>SUM(D8:D9,D13)</x:f>
        <x:v>35000</x:v>
      </x:c>
      <x:c r="E20" s="45" t="str">
        <x:v>Nu este separat confirmat</x:v>
      </x:c>
      <x:c r="F20" s="21" t="str">
        <x:v>TOMS: 25.000+1.500. BERGER: 13.000+20.000+2.000, subtotal matematic; atribuirea parțială cere acord. PECH nu are o componentă PI separată identificată.</x:v>
      </x:c>
      <x:c r="G20" s="21" t="str">
        <x:v>T1 §11; T2; B1 p2–3; P1</x:v>
      </x:c>
    </x:row>
    <x:row r="21" ht="63" customHeight="1">
      <x:c r="A21" s="24" t="str">
        <x:v>Supliment</x:v>
      </x:c>
      <x:c r="B21" s="25" t="str">
        <x:v>Vizită / recepție suplimentară, EUR per unitate</x:v>
      </x:c>
      <x:c r="C21" s="41" t="n">
        <x:v>300</x:v>
      </x:c>
      <x:c r="D21" s="41" t="str">
        <x:v>Nespecificat per vizită</x:v>
      </x:c>
      <x:c r="E21" s="41" t="n">
        <x:v>450</x:v>
      </x:c>
      <x:c r="F21" s="25" t="str">
        <x:v>TOMS 300: confirmat Q1 F5 cu deplasare. Pragul de peste 3 vizite este completare AG neacceptată. PECH 450: fiecare recepție suplimentară. Nu se adaugă automat la pachet.</x:v>
      </x:c>
      <x:c r="G21" s="25" t="str">
        <x:v>T1 §4; T10 F5; B1 p3; P1 pos05</x:v>
      </x:c>
    </x:row>
    <x:row r="22" ht="37.5" customHeight="1">
      <x:c r="A22" s="19" t="str">
        <x:v>Supliment</x:v>
      </x:c>
      <x:c r="B22" s="18" t="str">
        <x:v>ZT / Baumeister, EUR/oră</x:v>
      </x:c>
      <x:c r="C22" s="40" t="str">
        <x:v>Nespecificat aici</x:v>
      </x:c>
      <x:c r="D22" s="40" t="n">
        <x:v>150</x:v>
      </x:c>
      <x:c r="E22" s="40" t="n">
        <x:v>195</x:v>
      </x:c>
      <x:c r="F22" s="18" t="str">
        <x:v>Tarife net în regie, numai pentru lucrări suplimentare. Nu includ un număr de ore.</x:v>
      </x:c>
      <x:c r="G22" s="18" t="str">
        <x:v>B1 p3; P1 p1–4</x:v>
      </x:c>
    </x:row>
    <x:row r="23" ht="50.25" customHeight="1">
      <x:c r="A23" s="23" t="str">
        <x:v>Supliment</x:v>
      </x:c>
      <x:c r="B23" s="22" t="str">
        <x:v>Tehnician calificat / Projektleiter, EUR/oră</x:v>
      </x:c>
      <x:c r="C23" s="39" t="str">
        <x:v>Nespecificat aici</x:v>
      </x:c>
      <x:c r="D23" s="39" t="n">
        <x:v>135</x:v>
      </x:c>
      <x:c r="E23" s="39" t="n">
        <x:v>145</x:v>
      </x:c>
      <x:c r="F23" s="22" t="str">
        <x:v>Categorii profesionale diferite; denumirile originale sunt păstrate. Nu reprezintă servicii identice automat.</x:v>
      </x:c>
      <x:c r="G23" s="22" t="str">
        <x:v>B1 p3; P1 p1–4</x:v>
      </x:c>
    </x:row>
    <x:row r="24" ht="37.5" customHeight="1">
      <x:c r="A24" s="19" t="str">
        <x:v>Supliment</x:v>
      </x:c>
      <x:c r="B24" s="18" t="str">
        <x:v>Techniker, EUR/oră</x:v>
      </x:c>
      <x:c r="C24" s="40" t="str">
        <x:v>Nespecificat aici</x:v>
      </x:c>
      <x:c r="D24" s="40" t="n">
        <x:v>95</x:v>
      </x:c>
      <x:c r="E24" s="40" t="n">
        <x:v>125</x:v>
      </x:c>
      <x:c r="F24" s="18" t="str">
        <x:v>Regie net. Cantitatea de ore nu este stabilită.</x:v>
      </x:c>
      <x:c r="G24" s="18" t="str">
        <x:v>B1 p3; P1 p1–4</x:v>
      </x:c>
    </x:row>
    <x:row r="25" ht="37.5" customHeight="1">
      <x:c r="A25" s="23" t="str">
        <x:v>Supliment</x:v>
      </x:c>
      <x:c r="B25" s="22" t="str">
        <x:v>Secretariat BERGER / desenator PECH, EUR/oră</x:v>
      </x:c>
      <x:c r="C25" s="39" t="str">
        <x:v>Nespecificat aici</x:v>
      </x:c>
      <x:c r="D25" s="39" t="n">
        <x:v>75</x:v>
      </x:c>
      <x:c r="E25" s="39" t="n">
        <x:v>95</x:v>
      </x:c>
      <x:c r="F25" s="22" t="str">
        <x:v>Categorii diferite: Sekretärin la BERGER și Technischer Zeichner la PECH.</x:v>
      </x:c>
      <x:c r="G25" s="22" t="str">
        <x:v>B1 p3; P1 p1–4</x:v>
      </x:c>
    </x:row>
    <x:row r="26" ht="50.25" customHeight="1">
      <x:c r="A26" s="19" t="str">
        <x:v>Supliment</x:v>
      </x:c>
      <x:c r="B26" s="18" t="str">
        <x:v>Prüfingenieur, tarif orar original</x:v>
      </x:c>
      <x:c r="C26" s="40" t="n">
        <x:v>155</x:v>
      </x:c>
      <x:c r="D26" s="40" t="str">
        <x:v>Nespecificat PI</x:v>
      </x:c>
      <x:c r="E26" s="40" t="str">
        <x:v>Rol PI neconfirmat</x:v>
      </x:c>
      <x:c r="F26" s="18" t="str">
        <x:v>TOMS ANG 839: 155 EUR net/oră. Tarif specific PI; nu se aplică automat întregii proiectări TWP și nu este un supliment comandat.</x:v>
      </x:c>
      <x:c r="G26" s="18" t="str">
        <x:v>T3 p1</x:v>
      </x:c>
    </x:row>
    <x:row r="27" ht="50.25" customHeight="1">
      <x:c r="A27" s="23" t="str">
        <x:v>Supliment</x:v>
      </x:c>
      <x:c r="B27" s="22" t="str">
        <x:v>Noduri, ancore și detalii cu Aufpreis</x:v>
      </x:c>
      <x:c r="C27" s="39" t="str">
        <x:v>Fără sumă</x:v>
      </x:c>
      <x:c r="D27" s="39" t="str">
        <x:v>De clarificat</x:v>
      </x:c>
      <x:c r="E27" s="39" t="str">
        <x:v>De clarificat</x:v>
      </x:c>
      <x:c r="F27" s="22" t="str">
        <x:v>Nu există preț separat ferm verificat pentru completarea întregului set de detalii. Nu se estimează o valoare și nu se însumează zero.</x:v>
      </x:c>
      <x:c r="G27" s="22" t="str">
        <x:v>T5 A1–A6; T1 §6; B1; P1</x:v>
      </x:c>
    </x:row>
    <x:row r="28" ht="75.75" customHeight="1">
      <x:c r="A28" s="20" t="str">
        <x:v>Istoric</x:v>
      </x:c>
      <x:c r="B28" s="21" t="str">
        <x:v>BauKG TOMS ANG 840, separat de v4.1</x:v>
      </x:c>
      <x:c r="C28" s="38" t="n">
        <x:v>11040</x:v>
      </x:c>
      <x:c r="D28" s="38" t="str">
        <x:v>Nespecificat</x:v>
      </x:c>
      <x:c r="E28" s="38" t="str">
        <x:v>Nespecificat</x:v>
      </x:c>
      <x:c r="F28" s="21" t="str">
        <x:v>ANG 840 separat: 1.200 EUR planificare + 9.840 EUR șantier, ipoteză 12 luni. Total 11.040 EXCLUS din v4.1. Oferta originală: 125 EUR/oră suplimente; fără disponibilitate confirmată.</x:v>
      </x:c>
      <x:c r="G28" s="21" t="str">
        <x:v>T9; T1 §11; T7</x:v>
      </x:c>
    </x:row>
    <x:row r="29" ht="50.25" customHeight="1">
      <x:c r="A29" s="24" t="str">
        <x:v>Condiții</x:v>
      </x:c>
      <x:c r="B29" s="25" t="str">
        <x:v>Valabilitate, dată calculată/confirmată</x:v>
      </x:c>
      <x:c r="C29" s="57" t="n">
        <x:v>46387</x:v>
      </x:c>
      <x:c r="D29" s="57" t="n">
        <x:v>46307</x:v>
      </x:c>
      <x:c r="E29" s="57" t="n">
        <x:v>46372</x:v>
      </x:c>
      <x:c r="F29" s="25" t="str">
        <x:v>TOMS: prelungire istorică. BERGER: 8săptămâni. PECH: 90zile. Datele nu reprezintă o confirmare de resurse ori acceptare.</x:v>
      </x:c>
      <x:c r="G29" s="25" t="str">
        <x:v>T1 §15; B1 p3; P1 p1</x:v>
      </x:c>
    </x:row>
    <x:row r="30" ht="75.75" customHeight="1">
      <x:c r="A30" s="19" t="str">
        <x:v>Condiții</x:v>
      </x:c>
      <x:c r="B30" s="18" t="str">
        <x:v>Termen de plată și indexare</x:v>
      </x:c>
      <x:c r="C30" s="40" t="str">
        <x:v>30 zile</x:v>
      </x:c>
      <x:c r="D30" s="40" t="str">
        <x:v>14 zile</x:v>
      </x:c>
      <x:c r="E30" s="40" t="str">
        <x:v>14 zile, ZT-Index</x:v>
      </x:c>
      <x:c r="F30" s="18" t="str">
        <x:v>TOMS: 30 zile în ofertele originale, planul de plăți AG neacceptat; recalcul efort &gt;10% cu acord, limitat Q1 F18 la modificări AG. BERGER după progres. PECH facturi lunare, ZT-Index, fără Haftrücklass.</x:v>
      </x:c>
      <x:c r="G30" s="18" t="str">
        <x:v>T1 §11; T2–T4; T10 F18; B1 p3; P1 p1,4</x:v>
      </x:c>
    </x:row>
    <x:row r="31" ht="63" customHeight="1">
      <x:c r="A31" s="23" t="str">
        <x:v>Condiții</x:v>
      </x:c>
      <x:c r="B31" s="22" t="str">
        <x:v>Status comercial la 2026.10.12</x:v>
      </x:c>
      <x:c r="C31" s="39" t="str">
        <x:v>V4.1 trimis, neacceptat</x:v>
      </x:c>
      <x:c r="D31" s="39" t="str">
        <x:v>Acceptarea A&amp;C neconfirmată</x:v>
      </x:c>
      <x:c r="E31" s="39" t="str">
        <x:v>Acceptarea A&amp;C neconfirmată</x:v>
      </x:c>
      <x:c r="F31" s="22" t="str">
        <x:v>TOMS: refuz 2026.10.08 din lipsă resurse, întindere față de v4.1 de clarificat. Acceptarea A&amp;C a ofertelor BERGER/PECH nu este demonstrată.</x:v>
      </x:c>
      <x:c r="G31" s="22" t="str">
        <x:v>T7–T8; B1 p4; P1 p3</x:v>
      </x:c>
    </x:row>
    <x:row r="34" ht="22.5" customHeight="1">
      <x:c r="A34" s="58" t="str">
        <x:v>Surse și originale</x:v>
      </x:c>
    </x:row>
    <x:row r="35" ht="43.5" customHeight="1">
      <x:c r="A35" s="61" t="str">
        <x:v>T1</x:v>
      </x:c>
      <x:c r="B35" s="61" t="str">
        <x:v>TOMS v4.1, propunere AG transmisă</x:v>
      </x:c>
      <x:c r="C35" s="62" t="n">
        <x:v>46297</x:v>
      </x:c>
      <x:c r="D35" s="61" t="str">
        <x:v>Original în arhivă</x:v>
      </x:c>
      <x:c r="E35" s="61" t="str">
        <x:v>ID Eva-Mail</x:v>
      </x:c>
      <x:c r="F35" s="61" t="str">
        <x:v>64c91100-89c3-4206-8e7e-988e575385b8</x:v>
      </x:c>
      <x:c r="G35" s="63" t="str">
        <x:v>Calea în nota celulei</x:v>
      </x:c>
    </x:row>
    <x:row r="36" ht="43.5" customHeight="1">
      <x:c r="A36" s="61" t="str">
        <x:v>T2</x:v>
      </x:c>
      <x:c r="B36" s="61" t="str">
        <x:v>TOMS ANG 855, structură și asistență</x:v>
      </x:c>
      <x:c r="C36" s="62" t="n">
        <x:v>46268</x:v>
      </x:c>
      <x:c r="D36" s="61" t="str">
        <x:v>Original în arhivă</x:v>
      </x:c>
      <x:c r="E36" s="61" t="str">
        <x:v>Document anexat</x:v>
      </x:c>
      <x:c r="F36" s="61" t="str"/>
      <x:c r="G36" s="63" t="str">
        <x:v>Calea în nota celulei</x:v>
      </x:c>
    </x:row>
    <x:row r="37" ht="43.5" customHeight="1">
      <x:c r="A37" s="61" t="str">
        <x:v>T3</x:v>
      </x:c>
      <x:c r="B37" s="61" t="str">
        <x:v>TOMS ANG 839, Prüfingenieur</x:v>
      </x:c>
      <x:c r="C37" s="62" t="n">
        <x:v>46254</x:v>
      </x:c>
      <x:c r="D37" s="61" t="str">
        <x:v>Original în arhivă</x:v>
      </x:c>
      <x:c r="E37" s="61" t="str">
        <x:v>Document anexat</x:v>
      </x:c>
      <x:c r="F37" s="61" t="str"/>
      <x:c r="G37" s="63" t="str">
        <x:v>Calea în nota celulei</x:v>
      </x:c>
    </x:row>
    <x:row r="38" ht="43.5" customHeight="1">
      <x:c r="A38" s="61" t="str">
        <x:v>T4</x:v>
      </x:c>
      <x:c r="B38" s="61" t="str">
        <x:v>TOMS ANG 891, Bauwerksbuch</x:v>
      </x:c>
      <x:c r="C38" s="62" t="n">
        <x:v>46288</x:v>
      </x:c>
      <x:c r="D38" s="61" t="str">
        <x:v>Original în arhivă</x:v>
      </x:c>
      <x:c r="E38" s="61" t="str">
        <x:v>Document anexat</x:v>
      </x:c>
      <x:c r="F38" s="61" t="str"/>
      <x:c r="G38" s="63" t="str">
        <x:v>Calea în nota celulei</x:v>
      </x:c>
    </x:row>
    <x:row r="39" ht="43.5" customHeight="1">
      <x:c r="A39" s="61" t="str">
        <x:v>T5</x:v>
      </x:c>
      <x:c r="B39" s="61" t="str">
        <x:v>TOMS Q2, chestionar semnat</x:v>
      </x:c>
      <x:c r="C39" s="62" t="n">
        <x:v>46293</x:v>
      </x:c>
      <x:c r="D39" s="61" t="str">
        <x:v>Original în arhivă</x:v>
      </x:c>
      <x:c r="E39" s="61" t="str">
        <x:v>Document anexat</x:v>
      </x:c>
      <x:c r="F39" s="61" t="str"/>
      <x:c r="G39" s="63" t="str">
        <x:v>Calea în nota celulei</x:v>
      </x:c>
    </x:row>
    <x:row r="40" ht="43.5" customHeight="1">
      <x:c r="A40" s="61" t="str">
        <x:v>T6</x:v>
      </x:c>
      <x:c r="B40" s="61" t="str">
        <x:v>TOMS, răspuns privind delimitarea serviciilor</x:v>
      </x:c>
      <x:c r="C40" s="62" t="n">
        <x:v>46296</x:v>
      </x:c>
      <x:c r="D40" s="61" t="str">
        <x:v>Original în arhivă</x:v>
      </x:c>
      <x:c r="E40" s="61" t="str">
        <x:v>ID Eva-Mail</x:v>
      </x:c>
      <x:c r="F40" s="61" t="str">
        <x:v>838c8bcd-4e2d-4e90-bc25-25355ea6da60</x:v>
      </x:c>
      <x:c r="G40" s="63" t="str">
        <x:v>Calea în nota celulei</x:v>
      </x:c>
    </x:row>
    <x:row r="41" ht="43.5" customHeight="1">
      <x:c r="A41" s="61" t="str">
        <x:v>T7</x:v>
      </x:c>
      <x:c r="B41" s="61" t="str">
        <x:v>TOMS, refuz de preluare din lipsă de resurse</x:v>
      </x:c>
      <x:c r="C41" s="62" t="n">
        <x:v>46303</x:v>
      </x:c>
      <x:c r="D41" s="61" t="str">
        <x:v>Original în arhivă</x:v>
      </x:c>
      <x:c r="E41" s="61" t="str">
        <x:v>ID Eva-Mail</x:v>
      </x:c>
      <x:c r="F41" s="61" t="str">
        <x:v>cdd301b0-457e-4452-a394-6eea21256e61</x:v>
      </x:c>
      <x:c r="G41" s="63" t="str">
        <x:v>Calea în nota celulei</x:v>
      </x:c>
    </x:row>
    <x:row r="42" ht="43.5" customHeight="1">
      <x:c r="A42" s="61" t="str">
        <x:v>T8</x:v>
      </x:c>
      <x:c r="B42" s="61" t="str">
        <x:v>Dovada trimiterii v4.1 în Eva-Mail</x:v>
      </x:c>
      <x:c r="C42" s="62" t="n">
        <x:v>46300</x:v>
      </x:c>
      <x:c r="D42" s="61" t="str">
        <x:v>Original în arhivă</x:v>
      </x:c>
      <x:c r="E42" s="61" t="str">
        <x:v>ID Eva-Mail</x:v>
      </x:c>
      <x:c r="F42" s="61" t="str">
        <x:v>64c91100-89c3-4206-8e7e-988e575385b8</x:v>
      </x:c>
      <x:c r="G42" s="63" t="str">
        <x:v>Calea în nota celulei</x:v>
      </x:c>
    </x:row>
    <x:row r="43" ht="43.5" customHeight="1">
      <x:c r="A43" s="61" t="str">
        <x:v>T9</x:v>
      </x:c>
      <x:c r="B43" s="61" t="str">
        <x:v>TOMS ANG 840, BauKG istoric separat</x:v>
      </x:c>
      <x:c r="C43" s="62" t="n">
        <x:v>46254</x:v>
      </x:c>
      <x:c r="D43" s="61" t="str">
        <x:v>Original în arhivă</x:v>
      </x:c>
      <x:c r="E43" s="61" t="str">
        <x:v>Document anexat</x:v>
      </x:c>
      <x:c r="F43" s="61" t="str"/>
      <x:c r="G43" s="63" t="str">
        <x:v>Calea în nota celulei</x:v>
      </x:c>
    </x:row>
    <x:row r="44" ht="43.5" customHeight="1">
      <x:c r="A44" s="61" t="str">
        <x:v>T10</x:v>
      </x:c>
      <x:c r="B44" s="61" t="str">
        <x:v>TOMS Q1, versiune corectată și semnată</x:v>
      </x:c>
      <x:c r="C44" s="62" t="n">
        <x:v>46288</x:v>
      </x:c>
      <x:c r="D44" s="61" t="str">
        <x:v>Original în arhivă</x:v>
      </x:c>
      <x:c r="E44" s="61" t="str">
        <x:v>Document anexat</x:v>
      </x:c>
      <x:c r="F44" s="61" t="str"/>
      <x:c r="G44" s="63" t="str">
        <x:v>Calea în nota celulei</x:v>
      </x:c>
    </x:row>
    <x:row r="45" ht="43.5" customHeight="1">
      <x:c r="A45" s="61" t="str">
        <x:v>B1</x:v>
      </x:c>
      <x:c r="B45" s="61" t="str">
        <x:v>Markus BERGER, ofertă detaliată, 4 pagini</x:v>
      </x:c>
      <x:c r="C45" s="62" t="n">
        <x:v>46251</x:v>
      </x:c>
      <x:c r="D45" s="61" t="str">
        <x:v>Original în arhivă</x:v>
      </x:c>
      <x:c r="E45" s="61" t="str">
        <x:v>ID Eva-Mail</x:v>
      </x:c>
      <x:c r="F45" s="61" t="str">
        <x:v>ce6905cb-0c93-4e6b-8cde-7e300dfc874c</x:v>
      </x:c>
      <x:c r="G45" s="63" t="str">
        <x:v>Calea în nota celulei</x:v>
      </x:c>
    </x:row>
    <x:row r="46" ht="43.5" customHeight="1">
      <x:c r="A46" s="61" t="str">
        <x:v>P1</x:v>
      </x:c>
      <x:c r="B46" s="61" t="str">
        <x:v>Dr. PECH, ofertă 2026-470/AN01, 4 pagini</x:v>
      </x:c>
      <x:c r="C46" s="62" t="n">
        <x:v>46282</x:v>
      </x:c>
      <x:c r="D46" s="61" t="str">
        <x:v>Original în arhivă</x:v>
      </x:c>
      <x:c r="E46" s="61" t="str">
        <x:v>ID Eva-Mail</x:v>
      </x:c>
      <x:c r="F46" s="61" t="str">
        <x:v>63cd2bcb-2160-4027-b6c8-25bb42d9ae50</x:v>
      </x:c>
      <x:c r="G46" s="63" t="str">
        <x:v>Calea în nota celulei</x:v>
      </x:c>
    </x:row>
    <x:row r="47" ht="43.5" customHeight="1">
      <x:c r="A47" s="61" t="str">
        <x:v>R1</x:v>
      </x:c>
      <x:c r="B47" s="61" t="str">
        <x:v>REALIG, ofertă generală cu sumă presupusă</x:v>
      </x:c>
      <x:c r="C47" s="62" t="n">
        <x:v>46107</x:v>
      </x:c>
      <x:c r="D47" s="61" t="str">
        <x:v>Original în arhivă</x:v>
      </x:c>
      <x:c r="E47" s="61" t="str">
        <x:v>Document anexat</x:v>
      </x:c>
      <x:c r="F47" s="61" t="str"/>
      <x:c r="G47" s="63" t="str">
        <x:v>Calea în nota celulei</x:v>
      </x:c>
    </x:row>
    <x:row r="49" ht="21" customHeight="1">
      <x:c r="A49" s="59" t="str">
        <x:v>REALIG: 24.000 EUR net pentru statică și verificări armare, sumă presupusă în oferta generală 2026.03.26 (R1 p2).</x:v>
      </x:c>
      <x:c r="B49" s="59"/>
      <x:c r="C49" s="59"/>
      <x:c r="D49" s="59"/>
      <x:c r="E49" s="59"/>
      <x:c r="F49" s="59"/>
      <x:c r="G49" s="59"/>
    </x:row>
    <x:row r="50" ht="21" customHeight="1">
      <x:c r="A50" s="59" t="str">
        <x:v>Nu este ofertă fermă separată pentru același pachet. Neid/Avunduk: refuzuri de capacitate în arhivă, fără preț comparabil confirmat.</x:v>
      </x:c>
      <x:c r="B50" s="59"/>
      <x:c r="C50" s="59"/>
      <x:c r="D50" s="59"/>
      <x:c r="E50" s="59"/>
      <x:c r="F50" s="59"/>
      <x:c r="G50" s="59"/>
    </x:row>
  </x:sheetData>
  <x:conditionalFormatting sqref="C8:E31">
    <x:cfRule type="containsText" dxfId="2" priority="1" operator="containsText" text="Nespecificat"/>
    <x:cfRule type="containsText" dxfId="3" priority="2" operator="containsText" text="Neconfirmat"/>
    <x:cfRule type="containsText" dxfId="4" priority="3" operator="containsText" text="Fără sumă"/>
  </x:conditionalFormatting>
  <x:pageMargins left="0.7" right="0.7" top="0.75" bottom="0.75" header="0.3" footer="0.3"/>
  <x:legacyDrawing xmlns:r="http://schemas.openxmlformats.org/officeDocument/2006/relationships" r:id="R043bd7e11add4513"/>
  <x:tableParts count="1">
    <x:tablePart xmlns:r="http://schemas.openxmlformats.org/officeDocument/2006/relationships" r:id="R959e7fc4b25e4de3"/>
  </x:tableParts>
</x:worksheet>
</file>