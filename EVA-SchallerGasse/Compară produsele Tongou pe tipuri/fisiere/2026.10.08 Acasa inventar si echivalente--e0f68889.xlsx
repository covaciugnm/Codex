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cb79781b42d4595" /></Relationships>
</file>

<file path=xl/workbook.xml><?xml version="1.0" encoding="utf-8"?>
<x:workbook xmlns:x="http://schemas.openxmlformats.org/spreadsheetml/2006/main">
  <x:sheets>
    <x:sheet xmlns:r="http://schemas.openxmlformats.org/officeDocument/2006/relationships" name="Echivalente propuse" sheetId="1" r:id="Re9925dae77644c47"/>
    <x:sheet xmlns:r="http://schemas.openxmlformats.org/officeDocument/2006/relationships" name="Inventar foto" sheetId="2" r:id="R76ad23554f7c4e96"/>
    <x:sheet xmlns:r="http://schemas.openxmlformats.org/officeDocument/2006/relationships" name="Protectie" sheetId="3" r:id="Rd2a79647b07849a6"/>
    <x:sheet xmlns:r="http://schemas.openxmlformats.org/officeDocument/2006/relationships" name="Produse candidate" sheetId="4" r:id="Rb64dfa1363954f26"/>
    <x:sheet xmlns:r="http://schemas.openxmlformats.org/officeDocument/2006/relationships" name="Necesar si stoc" sheetId="5" r:id="Rdae472a7c7b44aa6"/>
  </x:sheets>
</x:workbook>
</file>

<file path=xl/sharedStrings.xml><?xml version="1.0" encoding="utf-8"?>
<x:sst xmlns:x="http://schemas.openxmlformats.org/spreadsheetml/2006/main">
  <x:si>
    <x:t xml:space="preserve">ACASA · Echivalente Tongou propuse</x:t>
  </x:si>
  <x:si>
    <x:t xml:space="preserve">2026.10.08 · Preferință Zigbee, apoi Wi-Fi. Propuneri pentru validare tehnică; fără cantități de comandă.</x:t>
  </x:si>
  <x:si>
    <x:t xml:space="preserve">✓ albastru: candidat condiționat · ✓ verde: marcaj vizibil · ? galben: incert · ✗ roșu: fără echivalent</x:t>
  </x:si>
  <x:si>
    <x:t xml:space="preserve">ID existent</x:t>
  </x:si>
  <x:si>
    <x:t xml:space="preserve">Foto / poziție</x:t>
  </x:si>
  <x:si>
    <x:t xml:space="preserve">Echipament existent</x:t>
  </x:si>
  <x:si>
    <x:t xml:space="preserve">Statut</x:t>
  </x:si>
  <x:si>
    <x:t xml:space="preserve">SKU preferat</x:t>
  </x:si>
  <x:si>
    <x:t xml:space="preserve">Model / produs</x:t>
  </x:si>
  <x:si>
    <x:t xml:space="preserve">Protocol</x:t>
  </x:si>
  <x:si>
    <x:t xml:space="preserve">Alternative SKU</x:t>
  </x:si>
  <x:si>
    <x:t xml:space="preserve">Propunere</x:t>
  </x:si>
  <x:si>
    <x:t xml:space="preserve">Diferențe / condiții</x:t>
  </x:si>
  <x:si>
    <x:t xml:space="preserve">Stoc buc.</x:t>
  </x:si>
  <x:si>
    <x:t xml:space="preserve">Data stoc</x:t>
  </x:si>
  <x:si>
    <x:t xml:space="preserve">Preț RON cu TVA</x:t>
  </x:si>
  <x:si>
    <x:t xml:space="preserve">Sursă</x:t>
  </x:si>
  <x:si>
    <x:t xml:space="preserve">F1-01</x:t>
  </x:si>
  <x:si>
    <x:t xml:space="preserve">F1 / Sus stânga / CASA</x:t>
  </x:si>
  <x:si>
    <x:t xml:space="preserve">Disjunctor MCB 4P Ilizibil</x:t>
  </x:si>
  <x:si>
    <x:t xml:space="preserve">✓ Propunere condiționată</x:t>
  </x:si>
  <x:si>
    <x:t xml:space="preserve">43081</x:t>
  </x:si>
  <x:si>
    <x:t xml:space="preserve">DISJUNCTOR SMART RCBO 4P 1-63A 30-500mA CU POWER METER ZIGBEE TOQCB2L TONGOU</x:t>
  </x:si>
  <x:si>
    <x:t xml:space="preserve">Zigbee</x:t>
  </x:si>
  <x:si>
    <x:t xml:space="preserve">43078</x:t>
  </x:si>
  <x:si>
    <x:t xml:space="preserve">RCBO smart 4P Zigbee; alternativ MCB smart 4P plus protecție diferențială separată.</x:t>
  </x:si>
  <x:si>
    <x:t xml:space="preserve">Confirmă 3P+N versus 4 poli protejați, utilizarea neutrului și selectivitatea. 43081 este reglabil 1–63 A / 30–500 mA în catalog; aceasta nu confirmă echivalența cu un C40 fix. Wi-Fi 4P RCBO nu este disponibil în cele 29 produse analizate. 4 manete cuplate; nominalul nu poate fi citit.</x:t>
  </x:si>
  <x:si>
    <x:t xml:space="preserve">2026.10.08</x:t>
  </x:si>
  <x:si>
    <x:t xml:space="preserve">https://www.conexelectronic.ro/cumpara/disjunctor-smart-rcbo-4p-1-63a-30-500ma-cu-power-meter-zigbee-toqcb2l-16211</x:t>
  </x:si>
  <x:si>
    <x:t xml:space="preserve">F1-02</x:t>
  </x:si>
  <x:si>
    <x:t xml:space="preserve">F1 / Sus central / aparat suspendat</x:t>
  </x:si>
  <x:si>
    <x:t xml:space="preserve">Aparat modular văzut din spate 3P aparent</x:t>
  </x:si>
  <x:si>
    <x:t xml:space="preserve">? Identificare necesară</x:t>
  </x:si>
  <x:si>
    <x:t xml:space="preserve">Fără echivalent verificat</x:t>
  </x:si>
  <x:si>
    <x:t xml:space="preserve">—</x:t>
  </x:si>
  <x:si>
    <x:t xml:space="preserve">Nicio înlocuire propusă înaintea identificării.</x:t>
  </x:si>
  <x:si>
    <x:t xml:space="preserve">Citește codul integral, nominalul, numărul polilor și funcția. Pentru R/S/T verifică dacă sunt trei circuite separate sau alimentare comună înainte de a propune aparat multipolar. Nu poate fi clasificat sigur drept disjunctor/contactor din această vedere.</x:t>
  </x:si>
  <x:si>
    <x:t xml:space="preserve">Inventar foto / catalog Tongou analizat</x:t>
  </x:si>
  <x:si>
    <x:t xml:space="preserve">F1-03</x:t>
  </x:si>
  <x:si>
    <x:t xml:space="preserve">F1 / Rând superior / R</x:t>
  </x:si>
  <x:si>
    <x:t xml:space="preserve">Disjunctor MCB 1P C50</x:t>
  </x:si>
  <x:si>
    <x:t xml:space="preserve">Citește codul integral, nominalul, numărul polilor și funcția. Pentru R/S/T verifică dacă sunt trei circuite separate sau alimentare comună înainte de a propune aparat multipolar. Aparate separate; nu presupune declanșare comună trifazată.</x:t>
  </x:si>
  <x:si>
    <x:t xml:space="preserve">F1-04</x:t>
  </x:si>
  <x:si>
    <x:t xml:space="preserve">F1 / Rând superior / S</x:t>
  </x:si>
  <x:si>
    <x:t xml:space="preserve">F1-05</x:t>
  </x:si>
  <x:si>
    <x:t xml:space="preserve">F1 / Rând superior / T</x:t>
  </x:si>
  <x:si>
    <x:t xml:space="preserve">F1-06</x:t>
  </x:si>
  <x:si>
    <x:t xml:space="preserve">F1 / Rând superior / PISCINĂ</x:t>
  </x:si>
  <x:si>
    <x:t xml:space="preserve">Disjunctor MCB 3P C20</x:t>
  </x:si>
  <x:si>
    <x:t xml:space="preserve">43080</x:t>
  </x:si>
  <x:si>
    <x:t xml:space="preserve">DISJUNCTOR SMART RCBO 3P 1-63A 30-500mA CU POWER METER ZIGBEE TOQCB2L TONGOU</x:t>
  </x:si>
  <x:si>
    <x:t xml:space="preserve">43071;43077;43068</x:t>
  </x:si>
  <x:si>
    <x:t xml:space="preserve">RCBO smart 3P Zigbee, Wi-Fi alternativ; MCB smart doar dacă diferențialul este separat.</x:t>
  </x:si>
  <x:si>
    <x:t xml:space="preserve">Nu înlocuiește direct C6–C40 cu C63. Confirmă curba, pragul termomagnetic real, Icn/Icu și tipul diferențial. Pentru consumatori cu N poate fi necesar 3P+N/4P; verifică schema. Pentru C63, 43089 este MCB fix C63 fără diferențial/smart, doar după verificarea capacității de rupere.</x:t>
  </x:si>
  <x:si>
    <x:t xml:space="preserve">https://www.conexelectronic.ro/cumpara/disjunctor-smart-rcbo-3p-1-63a-30-500ma-cu-power-meter-zigbee-toqcb2l-16210</x:t>
  </x:si>
  <x:si>
    <x:t xml:space="preserve">F1-07</x:t>
  </x:si>
  <x:si>
    <x:t xml:space="preserve">F1 / Rând superior / ALARMĂ - PRIZE S-EST</x:t>
  </x:si>
  <x:si>
    <x:t xml:space="preserve">Disjunctor MCB 3P aparent C16</x:t>
  </x:si>
  <x:si>
    <x:t xml:space="preserve">Citește codul integral, nominalul, numărul polilor și funcția. Pentru R/S/T verifică dacă sunt trei circuite separate sau alimentare comună înainte de a propune aparat multipolar. Etichetele de circuite traversează modulele; confirmă dacă sunt poli cuplați sau circuite separate.</x:t>
  </x:si>
  <x:si>
    <x:t xml:space="preserve">F1-08</x:t>
  </x:si>
  <x:si>
    <x:t xml:space="preserve">F1 / Rând superior / după C16</x:t>
  </x:si>
  <x:si>
    <x:t xml:space="preserve">Disjunctor MCB 3P aparent C10</x:t>
  </x:si>
  <x:si>
    <x:t xml:space="preserve">Citește codul integral, nominalul, numărul polilor și funcția. Pentru R/S/T verifică dacă sunt trei circuite separate sau alimentare comună înainte de a propune aparat multipolar. Cablurile și materialul negru ascund separația aparatelor.</x:t>
  </x:si>
  <x:si>
    <x:t xml:space="preserve">F1-09</x:t>
  </x:si>
  <x:si>
    <x:t xml:space="preserve">F1 / Rând superior / zona acoperită înainte de nr. 1</x:t>
  </x:si>
  <x:si>
    <x:t xml:space="preserve">Aparate modulare acoperite</x:t>
  </x:si>
  <x:si>
    <x:t xml:space="preserve">Citește codul integral, nominalul, numărul polilor și funcția. Pentru R/S/T verifică dacă sunt trei circuite separate sau alimentare comună înainte de a propune aparat multipolar. Fără numărare suplimentară: posibilă suprapunere cu grupul C10.</x:t>
  </x:si>
  <x:si>
    <x:t xml:space="preserve">F1-10</x:t>
  </x:si>
  <x:si>
    <x:t xml:space="preserve">F1 / Circuit numerotat 1</x:t>
  </x:si>
  <x:si>
    <x:t xml:space="preserve">Disjunctor MCB 1P+N probabil C20 aparent</x:t>
  </x:si>
  <x:si>
    <x:t xml:space="preserve">43082</x:t>
  </x:si>
  <x:si>
    <x:t xml:space="preserve">DISJUNCTOR RCBO SMART 1P+N 1...40A 10...100mA ZIGBEE TOSMR1 TONGOU</x:t>
  </x:si>
  <x:si>
    <x:t xml:space="preserve">43079;43070</x:t>
  </x:si>
  <x:si>
    <x:t xml:space="preserve">RCBO smart monofazat: preferință Zigbee, alternativ Wi-Fi.</x:t>
  </x:si>
  <x:si>
    <x:t xml:space="preserve">Păstrează nominalul și curba circuitului; reglajul electronic 1–40 A nu dovedește echivalența unui MCB fix C6/C10/C16. Cere tip A, 30 mA unde cerut, capacitate de rupere și protecție autonomă fără cloud. 1P+N nu înseamnă doi poli protejați. Alternativa 2P cere verificarea schemei. Numerotarea este reper vizual, nu identificare a consumatorului. Valoare de confirmat prin fotografie apropiată.</x:t>
  </x:si>
  <x:si>
    <x:t xml:space="preserve">https://www.conexelectronic.ro/cumpara/disjunctor-rcbo-smart-1p-n-1-40a-10-100ma-zigbee-tosmr1-tongou-16212</x:t>
  </x:si>
  <x:si>
    <x:t xml:space="preserve">F1-11</x:t>
  </x:si>
  <x:si>
    <x:t xml:space="preserve">F1 / Circuit numerotat 2</x:t>
  </x:si>
  <x:si>
    <x:t xml:space="preserve">F1-12</x:t>
  </x:si>
  <x:si>
    <x:t xml:space="preserve">F1 / Circuit numerotat 3</x:t>
  </x:si>
  <x:si>
    <x:t xml:space="preserve">F1-13</x:t>
  </x:si>
  <x:si>
    <x:t xml:space="preserve">F1 / Circuit numerotat 4</x:t>
  </x:si>
  <x:si>
    <x:t xml:space="preserve">F1-14</x:t>
  </x:si>
  <x:si>
    <x:t xml:space="preserve">F1 / Circuit numerotat 5</x:t>
  </x:si>
  <x:si>
    <x:t xml:space="preserve">F1-15</x:t>
  </x:si>
  <x:si>
    <x:t xml:space="preserve">F1 / Circuit numerotat 6</x:t>
  </x:si>
  <x:si>
    <x:t xml:space="preserve">F1-16</x:t>
  </x:si>
  <x:si>
    <x:t xml:space="preserve">F1 / Circuit numerotat 7</x:t>
  </x:si>
  <x:si>
    <x:t xml:space="preserve">Disjunctor MCB 1P+N probabil Ilizibil</x:t>
  </x:si>
  <x:si>
    <x:t xml:space="preserve">Păstrează nominalul și curba circuitului; reglajul electronic 1–40 A nu dovedește echivalența unui MCB fix C6/C10/C16. Cere tip A, 30 mA unde cerut, capacitate de rupere și protecție autonomă fără cloud. 1P+N nu înseamnă doi poli protejați. Alternativa 2P cere verificarea schemei. Numerotarea este reper vizual, nu identificare a consumatorului. Poziție dedusă din succesiunea 1–39; ascunsă/parțial în afara cadrului. Nu este aparat confirmat independent.</x:t>
  </x:si>
  <x:si>
    <x:t xml:space="preserve">F1-17</x:t>
  </x:si>
  <x:si>
    <x:t xml:space="preserve">F1 / Circuit numerotat 8</x:t>
  </x:si>
  <x:si>
    <x:t xml:space="preserve">F1-18</x:t>
  </x:si>
  <x:si>
    <x:t xml:space="preserve">F1 / Circuit numerotat 9</x:t>
  </x:si>
  <x:si>
    <x:t xml:space="preserve">Păstrează nominalul și curba circuitului; reglajul electronic 1–40 A nu dovedește echivalența unui MCB fix C6/C10/C16. Cere tip A, 30 mA unde cerut, capacitate de rupere și protecție autonomă fără cloud. 1P+N nu înseamnă doi poli protejați. Alternativa 2P cere verificarea schemei. Numerotarea este reper vizual, nu identificare a consumatorului.</x:t>
  </x:si>
  <x:si>
    <x:t xml:space="preserve">F1-19</x:t>
  </x:si>
  <x:si>
    <x:t xml:space="preserve">F1 / Circuit numerotat 10</x:t>
  </x:si>
  <x:si>
    <x:t xml:space="preserve">Disjunctor MCB 1P+N probabil C16</x:t>
  </x:si>
  <x:si>
    <x:t xml:space="preserve">F1-20</x:t>
  </x:si>
  <x:si>
    <x:t xml:space="preserve">F1 / Circuit numerotat 11</x:t>
  </x:si>
  <x:si>
    <x:t xml:space="preserve">F1-21</x:t>
  </x:si>
  <x:si>
    <x:t xml:space="preserve">F1 / Circuit numerotat 12</x:t>
  </x:si>
  <x:si>
    <x:t xml:space="preserve">F1-22</x:t>
  </x:si>
  <x:si>
    <x:t xml:space="preserve">F1 / Circuit numerotat 13</x:t>
  </x:si>
  <x:si>
    <x:t xml:space="preserve">F1-23</x:t>
  </x:si>
  <x:si>
    <x:t xml:space="preserve">F1 / Circuit numerotat 14</x:t>
  </x:si>
  <x:si>
    <x:t xml:space="preserve">F1-24</x:t>
  </x:si>
  <x:si>
    <x:t xml:space="preserve">F1 / Circuit numerotat 15</x:t>
  </x:si>
  <x:si>
    <x:t xml:space="preserve">F1-25</x:t>
  </x:si>
  <x:si>
    <x:t xml:space="preserve">F1 / Circuit numerotat 16</x:t>
  </x:si>
  <x:si>
    <x:t xml:space="preserve">F1-26</x:t>
  </x:si>
  <x:si>
    <x:t xml:space="preserve">F1 / Circuit numerotat 17</x:t>
  </x:si>
  <x:si>
    <x:t xml:space="preserve">Disjunctor MCB 1P+N probabil C10</x:t>
  </x:si>
  <x:si>
    <x:t xml:space="preserve">F1-27</x:t>
  </x:si>
  <x:si>
    <x:t xml:space="preserve">F1 / Circuit numerotat 18</x:t>
  </x:si>
  <x:si>
    <x:t xml:space="preserve">F1-28</x:t>
  </x:si>
  <x:si>
    <x:t xml:space="preserve">F1 / Circuit numerotat 19</x:t>
  </x:si>
  <x:si>
    <x:t xml:space="preserve">F1-29</x:t>
  </x:si>
  <x:si>
    <x:t xml:space="preserve">F1 / Circuit numerotat 20</x:t>
  </x:si>
  <x:si>
    <x:t xml:space="preserve">F1-30</x:t>
  </x:si>
  <x:si>
    <x:t xml:space="preserve">F1 / Circuit numerotat 21</x:t>
  </x:si>
  <x:si>
    <x:t xml:space="preserve">F1-31</x:t>
  </x:si>
  <x:si>
    <x:t xml:space="preserve">F1 / Circuit numerotat 22</x:t>
  </x:si>
  <x:si>
    <x:t xml:space="preserve">F1-32</x:t>
  </x:si>
  <x:si>
    <x:t xml:space="preserve">F1 / Circuit numerotat 23</x:t>
  </x:si>
  <x:si>
    <x:t xml:space="preserve">F1-33</x:t>
  </x:si>
  <x:si>
    <x:t xml:space="preserve">F1 / Circuit numerotat 24</x:t>
  </x:si>
  <x:si>
    <x:t xml:space="preserve">F1-34</x:t>
  </x:si>
  <x:si>
    <x:t xml:space="preserve">F1 / Circuit numerotat 25</x:t>
  </x:si>
  <x:si>
    <x:t xml:space="preserve">F1-35</x:t>
  </x:si>
  <x:si>
    <x:t xml:space="preserve">F1 / Circuit numerotat 26</x:t>
  </x:si>
  <x:si>
    <x:t xml:space="preserve">F1-36</x:t>
  </x:si>
  <x:si>
    <x:t xml:space="preserve">F1 / Circuit numerotat 27</x:t>
  </x:si>
  <x:si>
    <x:t xml:space="preserve">Disjunctor MCB 1P+N probabil C6</x:t>
  </x:si>
  <x:si>
    <x:t xml:space="preserve">F1-37</x:t>
  </x:si>
  <x:si>
    <x:t xml:space="preserve">F1 / Circuit numerotat 28</x:t>
  </x:si>
  <x:si>
    <x:t xml:space="preserve">F1-38</x:t>
  </x:si>
  <x:si>
    <x:t xml:space="preserve">F1 / Circuit numerotat 29</x:t>
  </x:si>
  <x:si>
    <x:t xml:space="preserve">F1-39</x:t>
  </x:si>
  <x:si>
    <x:t xml:space="preserve">F1 / Circuit numerotat 30</x:t>
  </x:si>
  <x:si>
    <x:t xml:space="preserve">F1-40</x:t>
  </x:si>
  <x:si>
    <x:t xml:space="preserve">F1 / Circuit numerotat 31</x:t>
  </x:si>
  <x:si>
    <x:t xml:space="preserve">F1-41</x:t>
  </x:si>
  <x:si>
    <x:t xml:space="preserve">F1 / Circuit numerotat 32</x:t>
  </x:si>
  <x:si>
    <x:t xml:space="preserve">F1-42</x:t>
  </x:si>
  <x:si>
    <x:t xml:space="preserve">F1 / Circuit numerotat 33</x:t>
  </x:si>
  <x:si>
    <x:t xml:space="preserve">F1-43</x:t>
  </x:si>
  <x:si>
    <x:t xml:space="preserve">F1 / Circuit numerotat 34</x:t>
  </x:si>
  <x:si>
    <x:t xml:space="preserve">F1-44</x:t>
  </x:si>
  <x:si>
    <x:t xml:space="preserve">F1 / Circuit numerotat 35</x:t>
  </x:si>
  <x:si>
    <x:t xml:space="preserve">F1-45</x:t>
  </x:si>
  <x:si>
    <x:t xml:space="preserve">F1 / Circuit numerotat 36</x:t>
  </x:si>
  <x:si>
    <x:t xml:space="preserve">F1-46</x:t>
  </x:si>
  <x:si>
    <x:t xml:space="preserve">F1 / Circuit numerotat 37</x:t>
  </x:si>
  <x:si>
    <x:t xml:space="preserve">F1-47</x:t>
  </x:si>
  <x:si>
    <x:t xml:space="preserve">F1 / Circuit numerotat 38</x:t>
  </x:si>
  <x:si>
    <x:t xml:space="preserve">F1-48</x:t>
  </x:si>
  <x:si>
    <x:t xml:space="preserve">F1 / Circuit numerotat 39</x:t>
  </x:si>
  <x:si>
    <x:t xml:space="preserve">F1-49</x:t>
  </x:si>
  <x:si>
    <x:t xml:space="preserve">F1 / Jos / două prize rotunde</x:t>
  </x:si>
  <x:si>
    <x:t xml:space="preserve">Priză modulară DIN cu contact de protecție</x:t>
  </x:si>
  <x:si>
    <x:t xml:space="preserve">✗ Fără echivalent în selecție</x:t>
  </x:si>
  <x:si>
    <x:t xml:space="preserve">Accesoriu / componentă de păstrat sau dimensionat separat.</x:t>
  </x:si>
  <x:si>
    <x:t xml:space="preserve">Catalogul Tongou de 29 produse nu conține un echivalent verificat. Nu se deduc secțiuni și curenți după fotografie. Curent nominal ilizibil; fără echivalent în catalogul analizat.</x:t>
  </x:si>
  <x:si>
    <x:t xml:space="preserve">F1-50</x:t>
  </x:si>
  <x:si>
    <x:t xml:space="preserve">F1 / Jos central / Siemens</x:t>
  </x:si>
  <x:si>
    <x:t xml:space="preserve">Contactor de putere 3P aparent</x:t>
  </x:si>
  <x:si>
    <x:t xml:space="preserve">✗ Fără echivalent direct</x:t>
  </x:si>
  <x:si>
    <x:t xml:space="preserve">Contactor adecvat sarcinii + comandă smart separată, dacă este necesară.</x:t>
  </x:si>
  <x:si>
    <x:t xml:space="preserve">Un întrerupător smart nu este echivalent de contactor. Confirmă AC-1/AC-3, curent, bobină, contacte auxiliare, interblocări și frecvența manevrelor. Nu deduce 115 A din codul Siemens incomplet.</x:t>
  </x:si>
  <x:si>
    <x:t xml:space="preserve">F1-51</x:t>
  </x:si>
  <x:si>
    <x:t xml:space="preserve">F1 / Jos / stânga contactorului Siemens</x:t>
  </x:si>
  <x:si>
    <x:t xml:space="preserve">Contactor/releu auxiliar</x:t>
  </x:si>
  <x:si>
    <x:t xml:space="preserve">F1-52</x:t>
  </x:si>
  <x:si>
    <x:t xml:space="preserve">F1 / Jos dreapta</x:t>
  </x:si>
  <x:si>
    <x:t xml:space="preserve">Disjunctor MCB 3P Ilizibil</x:t>
  </x:si>
  <x:si>
    <x:t xml:space="preserve">F1-53</x:t>
  </x:si>
  <x:si>
    <x:t xml:space="preserve">F1 / Sus dreapta / capac fumuriu</x:t>
  </x:si>
  <x:si>
    <x:t xml:space="preserve">Bloc de distribuție cu capac</x:t>
  </x:si>
  <x:si>
    <x:t xml:space="preserve">Catalogul Tongou de 29 produse nu conține un echivalent verificat. Nu se deduc secțiuni și curenți după fotografie.</x:t>
  </x:si>
  <x:si>
    <x:t xml:space="preserve">F2-01</x:t>
  </x:si>
  <x:si>
    <x:t xml:space="preserve">F2 / Sus / ALIMENTARE PANOURI SOLARE ȘI C.E.</x:t>
  </x:si>
  <x:si>
    <x:t xml:space="preserve">Contactor de putere 3P 3RT1054-1…6</x:t>
  </x:si>
  <x:si>
    <x:t xml:space="preserve">Un întrerupător smart nu este echivalent de contactor. Confirmă AC-1/AC-3, curent, bobină, contacte auxiliare, interblocări și frecvența manevrelor. Nu deduce 115 A din codul Siemens incomplet. Inscripția nu dovedește comutație DC; categoria AC/DC și tensiunea bobinei trebuie citite.</x:t>
  </x:si>
  <x:si>
    <x:t xml:space="preserve">F2-02</x:t>
  </x:si>
  <x:si>
    <x:t xml:space="preserve">F2 / Lateral contactor</x:t>
  </x:si>
  <x:si>
    <x:t xml:space="preserve">Bloc auxiliar atașat</x:t>
  </x:si>
  <x:si>
    <x:t xml:space="preserve">F2-03</x:t>
  </x:si>
  <x:si>
    <x:t xml:space="preserve">F2 / Jos stânga</x:t>
  </x:si>
  <x:si>
    <x:t xml:space="preserve">Disjunctor MCB 1P+N C16</x:t>
  </x:si>
  <x:si>
    <x:t xml:space="preserve">Păstrează nominalul și curba circuitului; reglajul electronic 1–40 A nu dovedește echivalența unui MCB fix C6/C10/C16. Cere tip A, 30 mA unde cerut, capacitate de rupere și protecție autonomă fără cloud. 1P+N nu înseamnă doi poli protejați. Alternativa 2P cere verificarea schemei.</x:t>
  </x:si>
  <x:si>
    <x:t xml:space="preserve">F2-04</x:t>
  </x:si>
  <x:si>
    <x:t xml:space="preserve">F2 / Jos / POMPE</x:t>
  </x:si>
  <x:si>
    <x:t xml:space="preserve">Disjunctor MCB 1P+N C6 aparent</x:t>
  </x:si>
  <x:si>
    <x:t xml:space="preserve">F2-05</x:t>
  </x:si>
  <x:si>
    <x:t xml:space="preserve">F2 / Jos / CENTRALE ELECTRICE</x:t>
  </x:si>
  <x:si>
    <x:t xml:space="preserve">Disjunctor MCB 3P C80</x:t>
  </x:si>
  <x:si>
    <x:t xml:space="preserve">MCB 80/100 A: aparat dimensionat separat, monitorizare smart distinctă.</x:t>
  </x:si>
  <x:si>
    <x:t xml:space="preserve">Nu se înlocuiește cu Tongou 63 A. Necesare curent proiectat, curent de scurtcircuit, secțiuni, selectivitate și categoria aparatului.</x:t>
  </x:si>
  <x:si>
    <x:t xml:space="preserve">F2-06</x:t>
  </x:si>
  <x:si>
    <x:t xml:space="preserve">F2 / Jos dreapta</x:t>
  </x:si>
  <x:si>
    <x:t xml:space="preserve">Disjunctor MCB 4P C40</x:t>
  </x:si>
  <x:si>
    <x:t xml:space="preserve">Confirmă 3P+N versus 4 poli protejați, utilizarea neutrului și selectivitatea. 43081 este reglabil 1–63 A / 30–500 mA în catalog; aceasta nu confirmă echivalența cu un C40 fix. Wi-Fi 4P RCBO nu este disponibil în cele 29 produse analizate.</x:t>
  </x:si>
  <x:si>
    <x:t xml:space="preserve">F3-01</x:t>
  </x:si>
  <x:si>
    <x:t xml:space="preserve">F3 / Sus stânga</x:t>
  </x:si>
  <x:si>
    <x:t xml:space="preserve">Contactor de putere 3P 3RT10…</x:t>
  </x:si>
  <x:si>
    <x:t xml:space="preserve">Un întrerupător smart nu este echivalent de contactor. Confirmă AC-1/AC-3, curent, bobină, contacte auxiliare, interblocări și frecvența manevrelor. Nu deduce 115 A din codul Siemens incomplet. Nu se atribuie curent nominal după aspect; citește plăcuța și bobina.</x:t>
  </x:si>
  <x:si>
    <x:t xml:space="preserve">F3-02</x:t>
  </x:si>
  <x:si>
    <x:t xml:space="preserve">F3 / Sus dreapta</x:t>
  </x:si>
  <x:si>
    <x:t xml:space="preserve">F3-03</x:t>
  </x:si>
  <x:si>
    <x:t xml:space="preserve">F3 / Margine stângă sus</x:t>
  </x:si>
  <x:si>
    <x:t xml:space="preserve">Disjunctoare parțial vizibile Nedeterminat Ilizibil</x:t>
  </x:si>
  <x:si>
    <x:t xml:space="preserve">Citește codul integral, nominalul, numărul polilor și funcția. Pentru R/S/T verifică dacă sunt trei circuite separate sau alimentare comună înainte de a propune aparat multipolar. Pot aparține altui compartiment; nu se presupune duplicare sau aparat suplimentar sigur.</x:t>
  </x:si>
  <x:si>
    <x:t xml:space="preserve">F3-04</x:t>
  </x:si>
  <x:si>
    <x:t xml:space="preserve">F3 / Jos stânga</x:t>
  </x:si>
  <x:si>
    <x:t xml:space="preserve">F3-05</x:t>
  </x:si>
  <x:si>
    <x:t xml:space="preserve">F3 / Jos centru-stânga</x:t>
  </x:si>
  <x:si>
    <x:t xml:space="preserve">Disjunctor MCB 4P aparent Ilizibil</x:t>
  </x:si>
  <x:si>
    <x:t xml:space="preserve">Citește codul integral, nominalul, numărul polilor și funcția. Pentru R/S/T verifică dacă sunt trei circuite separate sau alimentare comună înainte de a propune aparat multipolar.</x:t>
  </x:si>
  <x:si>
    <x:t xml:space="preserve">F3-06</x:t>
  </x:si>
  <x:si>
    <x:t xml:space="preserve">F3 / Jos centru-dreapta</x:t>
  </x:si>
  <x:si>
    <x:t xml:space="preserve">F3-07</x:t>
  </x:si>
  <x:si>
    <x:t xml:space="preserve">F3 / Jos dreapta</x:t>
  </x:si>
  <x:si>
    <x:t xml:space="preserve">F3-08</x:t>
  </x:si>
  <x:si>
    <x:t xml:space="preserve">F3 / Peste contactorul drept</x:t>
  </x:si>
  <x:si>
    <x:t xml:space="preserve">Ecran izolant transparent</x:t>
  </x:si>
  <x:si>
    <x:t xml:space="preserve">F3-09</x:t>
  </x:si>
  <x:si>
    <x:t xml:space="preserve">F3 / Jos / între grupuri</x:t>
  </x:si>
  <x:si>
    <x:t xml:space="preserve">Conectori / blocuri de conexiune</x:t>
  </x:si>
  <x:si>
    <x:t xml:space="preserve">F4-01</x:t>
  </x:si>
  <x:si>
    <x:t xml:space="preserve">F4 / Sus / nr. 1</x:t>
  </x:si>
  <x:si>
    <x:t xml:space="preserve">Disjunctor MCB 3P C40</x:t>
  </x:si>
  <x:si>
    <x:t xml:space="preserve">F4-02</x:t>
  </x:si>
  <x:si>
    <x:t xml:space="preserve">F4 / Sus / nr. 2</x:t>
  </x:si>
  <x:si>
    <x:t xml:space="preserve">F4-03</x:t>
  </x:si>
  <x:si>
    <x:t xml:space="preserve">F4 / Sus / nr. 3</x:t>
  </x:si>
  <x:si>
    <x:t xml:space="preserve">Disjunctor MCB 3P C16</x:t>
  </x:si>
  <x:si>
    <x:t xml:space="preserve">F4-04</x:t>
  </x:si>
  <x:si>
    <x:t xml:space="preserve">F4 / Sus / nr. 4</x:t>
  </x:si>
  <x:si>
    <x:t xml:space="preserve">Disjunctor MCB 3P C6</x:t>
  </x:si>
  <x:si>
    <x:t xml:space="preserve">F4-05</x:t>
  </x:si>
  <x:si>
    <x:t xml:space="preserve">F4 / Sus / nr. 5</x:t>
  </x:si>
  <x:si>
    <x:t xml:space="preserve">Disjunctor MCB 1P+N C20</x:t>
  </x:si>
  <x:si>
    <x:t xml:space="preserve">Păstrează nominalul și curba circuitului; reglajul electronic 1–40 A nu dovedește echivalența unui MCB fix C6/C10/C16. Cere tip A, 30 mA unde cerut, capacitate de rupere și protecție autonomă fără cloud. 1P+N nu înseamnă doi poli protejați. Alternativa 2P cere verificarea schemei. Nominal și numerotare de reconfirmat la inventarul fizic.</x:t>
  </x:si>
  <x:si>
    <x:t xml:space="preserve">F4-06</x:t>
  </x:si>
  <x:si>
    <x:t xml:space="preserve">F4 / Sus / nr. 6</x:t>
  </x:si>
  <x:si>
    <x:t xml:space="preserve">F4-07</x:t>
  </x:si>
  <x:si>
    <x:t xml:space="preserve">F4 / Sus / nr. 7</x:t>
  </x:si>
  <x:si>
    <x:t xml:space="preserve">F4-08</x:t>
  </x:si>
  <x:si>
    <x:t xml:space="preserve">F4 / Sus / nr. 8</x:t>
  </x:si>
  <x:si>
    <x:t xml:space="preserve">Disjunctor MCB 1P+N C10</x:t>
  </x:si>
  <x:si>
    <x:t xml:space="preserve">F4-09</x:t>
  </x:si>
  <x:si>
    <x:t xml:space="preserve">F4 / Sus / nr. 9</x:t>
  </x:si>
  <x:si>
    <x:t xml:space="preserve">Disjunctor MCB 1P+N C6</x:t>
  </x:si>
  <x:si>
    <x:t xml:space="preserve">F4-10</x:t>
  </x:si>
  <x:si>
    <x:t xml:space="preserve">F4 / Sus / nr. 10</x:t>
  </x:si>
  <x:si>
    <x:t xml:space="preserve">F4-11</x:t>
  </x:si>
  <x:si>
    <x:t xml:space="preserve">F4 / Sus / nr. 11</x:t>
  </x:si>
  <x:si>
    <x:t xml:space="preserve">F4-12</x:t>
  </x:si>
  <x:si>
    <x:t xml:space="preserve">F4 / Sus / nr. 12</x:t>
  </x:si>
  <x:si>
    <x:t xml:space="preserve">F4-13</x:t>
  </x:si>
  <x:si>
    <x:t xml:space="preserve">F4 / Sus / nr. 13</x:t>
  </x:si>
  <x:si>
    <x:t xml:space="preserve">F4-14</x:t>
  </x:si>
  <x:si>
    <x:t xml:space="preserve">F4 / Sus / nr. 14</x:t>
  </x:si>
  <x:si>
    <x:t xml:space="preserve">F4-15</x:t>
  </x:si>
  <x:si>
    <x:t xml:space="preserve">F4 / Sus / nr. 15</x:t>
  </x:si>
  <x:si>
    <x:t xml:space="preserve">F4-16</x:t>
  </x:si>
  <x:si>
    <x:t xml:space="preserve">F4 / Sus / nr. 16</x:t>
  </x:si>
  <x:si>
    <x:t xml:space="preserve">F4-17</x:t>
  </x:si>
  <x:si>
    <x:t xml:space="preserve">F4 / Sus / nr. 17</x:t>
  </x:si>
  <x:si>
    <x:t xml:space="preserve">F4-18</x:t>
  </x:si>
  <x:si>
    <x:t xml:space="preserve">F4 / Rând median / K1</x:t>
  </x:si>
  <x:si>
    <x:t xml:space="preserve">Contactor compact 3P + auxiliar aparent</x:t>
  </x:si>
  <x:si>
    <x:t xml:space="preserve">F4-19</x:t>
  </x:si>
  <x:si>
    <x:t xml:space="preserve">F4 / Rând median / K2</x:t>
  </x:si>
  <x:si>
    <x:t xml:space="preserve">F4-20</x:t>
  </x:si>
  <x:si>
    <x:t xml:space="preserve">F4 / Rând median / K3</x:t>
  </x:si>
  <x:si>
    <x:t xml:space="preserve">F4-21</x:t>
  </x:si>
  <x:si>
    <x:t xml:space="preserve">F4 / Rând median / K4</x:t>
  </x:si>
  <x:si>
    <x:t xml:space="preserve">F4-22</x:t>
  </x:si>
  <x:si>
    <x:t xml:space="preserve">F4 / Rând median / K5</x:t>
  </x:si>
  <x:si>
    <x:t xml:space="preserve">F4-23</x:t>
  </x:si>
  <x:si>
    <x:t xml:space="preserve">F4 / Rând median / K6</x:t>
  </x:si>
  <x:si>
    <x:t xml:space="preserve">F4-24</x:t>
  </x:si>
  <x:si>
    <x:t xml:space="preserve">F4 / Rând median / K7</x:t>
  </x:si>
  <x:si>
    <x:t xml:space="preserve">F4-25</x:t>
  </x:si>
  <x:si>
    <x:t xml:space="preserve">F4 / Dreapta / cadran circular</x:t>
  </x:si>
  <x:si>
    <x:t xml:space="preserve">Ceas programator analogic DIN</x:t>
  </x:si>
  <x:si>
    <x:t xml:space="preserve">✓ Funcție parțială; stoc epuizat</x:t>
  </x:si>
  <x:si>
    <x:t xml:space="preserve">43074</x:t>
  </x:si>
  <x:si>
    <x:t xml:space="preserve">INTRERUPATOR SMART PROTECTII SUPRA/SUBTENSIUNE ZIGBEE TONGOU</x:t>
  </x:si>
  <x:si>
    <x:t xml:space="preserve">Temporizare Zigbee posibilă numai ca funcție de comandă, după verificări.</x:t>
  </x:si>
  <x:si>
    <x:t xml:space="preserve">43074 este întrerupător smart, nu ceas cu contacte echivalente garantate. Stoc 0. Verifică contact uscat/ieșire alimentată, tensiune bobină și funcționare fără internet; nu comuta sarcina contactorului printr-o echivalare de aspect.</x:t>
  </x:si>
  <x:si>
    <x:t xml:space="preserve">https://www.conexelectronic.ro/cumpara/intrerupator-smart-protectii-supra-subtensiune-zigbee-tongou-16204</x:t>
  </x:si>
  <x:si>
    <x:t xml:space="preserve">F5-01</x:t>
  </x:si>
  <x:si>
    <x:t xml:space="preserve">F5 / Sus</x:t>
  </x:si>
  <x:si>
    <x:t xml:space="preserve">Disjunctor MCB 3P C100</x:t>
  </x:si>
  <x:si>
    <x:t xml:space="preserve">F5-02</x:t>
  </x:si>
  <x:si>
    <x:t xml:space="preserve">F5 / Jos stânga</x:t>
  </x:si>
  <x:si>
    <x:t xml:space="preserve">F5-03</x:t>
  </x:si>
  <x:si>
    <x:t xml:space="preserve">F5 / Jos dreapta</x:t>
  </x:si>
  <x:si>
    <x:t xml:space="preserve">Disjunctor MCB 3P C63</x:t>
  </x:si>
  <x:si>
    <x:t xml:space="preserve">F6-01</x:t>
  </x:si>
  <x:si>
    <x:t xml:space="preserve">F6 / Rând principal / de la stânga 1</x:t>
  </x:si>
  <x:si>
    <x:t xml:space="preserve">F6-02</x:t>
  </x:si>
  <x:si>
    <x:t xml:space="preserve">F6 / Rând principal / de la stânga 2</x:t>
  </x:si>
  <x:si>
    <x:t xml:space="preserve">F6-03</x:t>
  </x:si>
  <x:si>
    <x:t xml:space="preserve">F6 / Rând principal / de la stânga 3</x:t>
  </x:si>
  <x:si>
    <x:t xml:space="preserve">Disjunctor MCB 3P C10</x:t>
  </x:si>
  <x:si>
    <x:t xml:space="preserve">F6-04</x:t>
  </x:si>
  <x:si>
    <x:t xml:space="preserve">F6 / Rând principal / de la stânga 4</x:t>
  </x:si>
  <x:si>
    <x:t xml:space="preserve">F6-05</x:t>
  </x:si>
  <x:si>
    <x:t xml:space="preserve">F6 / Rând principal / de la stânga 5</x:t>
  </x:si>
  <x:si>
    <x:t xml:space="preserve">F6-06</x:t>
  </x:si>
  <x:si>
    <x:t xml:space="preserve">F6 / Rând principal / de la stânga 6</x:t>
  </x:si>
  <x:si>
    <x:t xml:space="preserve">F6-07</x:t>
  </x:si>
  <x:si>
    <x:t xml:space="preserve">F6 / Rând principal / de la stânga 7</x:t>
  </x:si>
  <x:si>
    <x:t xml:space="preserve">F6-08</x:t>
  </x:si>
  <x:si>
    <x:t xml:space="preserve">F6 / Dreapta / disjunctor 1</x:t>
  </x:si>
  <x:si>
    <x:t xml:space="preserve">F6-09</x:t>
  </x:si>
  <x:si>
    <x:t xml:space="preserve">F6 / Dreapta / disjunctor 2</x:t>
  </x:si>
  <x:si>
    <x:t xml:space="preserve">F6-10</x:t>
  </x:si>
  <x:si>
    <x:t xml:space="preserve">F6 / Sus / stânga, centru, dreapta</x:t>
  </x:si>
  <x:si>
    <x:t xml:space="preserve">Transformator de curent  METSECT…</x:t>
  </x:si>
  <x:si>
    <x:t xml:space="preserve">Transformatoare de curent și contor compatibile, selectate separat.</x:t>
  </x:si>
  <x:si>
    <x:t xml:space="preserve">Contorizarea internă a unui smart breaker nu înlocuiește automat CT-urile sau protecția/contorul existent. Trei corpuri vizibile, cel stâng este tăiat de cadru. Necesare raport primar/secundar, VA și clasa.</x:t>
  </x:si>
  <x:si>
    <x:t xml:space="preserve">F6-11</x:t>
  </x:si>
  <x:si>
    <x:t xml:space="preserve">F6 / Deasupra disjunctoarelor</x:t>
  </x:si>
  <x:si>
    <x:t xml:space="preserve">Bară pieptene trifazată 3P A9XPH357; 100 A / 40 °C aparent</x:t>
  </x:si>
  <x:si>
    <x:t xml:space="preserve">Catalogul Tongou de 29 produse nu conține un echivalent verificat. Nu se deduc secțiuni și curenți după fotografie. Compatibilitatea mecanică nu se transferă automat la Tongou.</x:t>
  </x:si>
  <x:si>
    <x:t xml:space="preserve">F6-12</x:t>
  </x:si>
  <x:si>
    <x:t xml:space="preserve">F6 / Colț inferior dreapta</x:t>
  </x:si>
  <x:si>
    <x:t xml:space="preserve">Aparat modular parțial vizibil</x:t>
  </x:si>
  <x:si>
    <x:t xml:space="preserve">Citește codul integral, nominalul, numărul polilor și funcția. Pentru R/S/T verifică dacă sunt trei circuite separate sau alimentare comună înainte de a propune aparat multipolar. Fără echivalare; nu se vede fața aparatului.</x:t>
  </x:si>
  <x:si>
    <x:t xml:space="preserve">F7-01</x:t>
  </x:si>
  <x:si>
    <x:t xml:space="preserve">F7 / Sus / grup 1</x:t>
  </x:si>
  <x:si>
    <x:t xml:space="preserve">Disjunctor MCB 3P C32</x:t>
  </x:si>
  <x:si>
    <x:t xml:space="preserve">F7-02</x:t>
  </x:si>
  <x:si>
    <x:t xml:space="preserve">F7 / Sus / grup 2</x:t>
  </x:si>
  <x:si>
    <x:t xml:space="preserve">F7-03</x:t>
  </x:si>
  <x:si>
    <x:t xml:space="preserve">F7 / Sus / grup 3</x:t>
  </x:si>
  <x:si>
    <x:t xml:space="preserve">F7-04</x:t>
  </x:si>
  <x:si>
    <x:t xml:space="preserve">F7 / Sus dreapta / disjunctor 1</x:t>
  </x:si>
  <x:si>
    <x:t xml:space="preserve">F7-05</x:t>
  </x:si>
  <x:si>
    <x:t xml:space="preserve">F7 / Sus dreapta / disjunctor 2</x:t>
  </x:si>
  <x:si>
    <x:t xml:space="preserve">F7-06</x:t>
  </x:si>
  <x:si>
    <x:t xml:space="preserve">F7 / Sus dreapta / disjunctor 3</x:t>
  </x:si>
  <x:si>
    <x:t xml:space="preserve">F7-07</x:t>
  </x:si>
  <x:si>
    <x:t xml:space="preserve">F7 / Jos stânga / separat</x:t>
  </x:si>
  <x:si>
    <x:t xml:space="preserve">Disjunctor MCB 1P+N C25</x:t>
  </x:si>
  <x:si>
    <x:t xml:space="preserve">F7-08</x:t>
  </x:si>
  <x:si>
    <x:t xml:space="preserve">F7 / Jos central / primul grup</x:t>
  </x:si>
  <x:si>
    <x:t xml:space="preserve">F7-09</x:t>
  </x:si>
  <x:si>
    <x:t xml:space="preserve">F7 / Jos / după C6 / disjunctor 1</x:t>
  </x:si>
  <x:si>
    <x:t xml:space="preserve">F7-10</x:t>
  </x:si>
  <x:si>
    <x:t xml:space="preserve">F7 / Jos / după C6 / disjunctor 2</x:t>
  </x:si>
  <x:si>
    <x:t xml:space="preserve">F7-11</x:t>
  </x:si>
  <x:si>
    <x:t xml:space="preserve">F7 / Jos / după C6 / disjunctor 3</x:t>
  </x:si>
  <x:si>
    <x:t xml:space="preserve">F7-12</x:t>
  </x:si>
  <x:si>
    <x:t xml:space="preserve">F7 / Jos / după C6 / disjunctor 4</x:t>
  </x:si>
  <x:si>
    <x:t xml:space="preserve">F7-13</x:t>
  </x:si>
  <x:si>
    <x:t xml:space="preserve">F7 / Jos / după C6 / disjunctor 5</x:t>
  </x:si>
  <x:si>
    <x:t xml:space="preserve">F7-14</x:t>
  </x:si>
  <x:si>
    <x:t xml:space="preserve">F7 / Jos dreapta</x:t>
  </x:si>
  <x:si>
    <x:t xml:space="preserve">F1-54</x:t>
  </x:si>
  <x:si>
    <x:t xml:space="preserve">F1 / Distribuite în fotografie</x:t>
  </x:si>
  <x:si>
    <x:t xml:space="preserve">Borne PE / N / trecere și suporturi</x:t>
  </x:si>
  <x:si>
    <x:t xml:space="preserve">Catalogul Tongou de 29 produse nu conține un echivalent verificat. Nu se deduc secțiuni și curenți după fotografie. Tipurile apar diferit în fiecare cadru; cantități și secțiuni de inventariat fizic.</x:t>
  </x:si>
  <x:si>
    <x:t xml:space="preserve">F1-55</x:t>
  </x:si>
  <x:si>
    <x:t xml:space="preserve">F1 / Structură și conexiuni</x:t>
  </x:si>
  <x:si>
    <x:t xml:space="preserve">Șine DIN, cabluri, papuci / ferule și carcasă</x:t>
  </x:si>
  <x:si>
    <x:t xml:space="preserve">Catalogul Tongou de 29 produse nu conține un echivalent verificat. Nu se deduc secțiuni și curenți după fotografie. Lungimi, secțiuni, tipuri de izolație și numărul terminalelor nu pot fi stabilite complet din fotografie.</x:t>
  </x:si>
  <x:si>
    <x:t xml:space="preserve">F1-56</x:t>
  </x:si>
  <x:si>
    <x:t xml:space="preserve">F1 / Trasee interioare</x:t>
  </x:si>
  <x:si>
    <x:t xml:space="preserve">Canale de cablu / capace</x:t>
  </x:si>
  <x:si>
    <x:t xml:space="preserve">F2-07</x:t>
  </x:si>
  <x:si>
    <x:t xml:space="preserve">F2 / Distribuite în fotografie</x:t>
  </x:si>
  <x:si>
    <x:t xml:space="preserve">F2-08</x:t>
  </x:si>
  <x:si>
    <x:t xml:space="preserve">F2 / Structură și conexiuni</x:t>
  </x:si>
  <x:si>
    <x:t xml:space="preserve">F3-10</x:t>
  </x:si>
  <x:si>
    <x:t xml:space="preserve">F3 / Distribuite în fotografie</x:t>
  </x:si>
  <x:si>
    <x:t xml:space="preserve">F3-11</x:t>
  </x:si>
  <x:si>
    <x:t xml:space="preserve">F3 / Structură și conexiuni</x:t>
  </x:si>
  <x:si>
    <x:t xml:space="preserve">F4-26</x:t>
  </x:si>
  <x:si>
    <x:t xml:space="preserve">F4 / Distribuite în fotografie</x:t>
  </x:si>
  <x:si>
    <x:t xml:space="preserve">F4-27</x:t>
  </x:si>
  <x:si>
    <x:t xml:space="preserve">F4 / Structură și conexiuni</x:t>
  </x:si>
  <x:si>
    <x:t xml:space="preserve">F4-28</x:t>
  </x:si>
  <x:si>
    <x:t xml:space="preserve">F4 / Trasee interioare</x:t>
  </x:si>
  <x:si>
    <x:t xml:space="preserve">F5-04</x:t>
  </x:si>
  <x:si>
    <x:t xml:space="preserve">F5 / Distribuite în fotografie</x:t>
  </x:si>
  <x:si>
    <x:t xml:space="preserve">F5-05</x:t>
  </x:si>
  <x:si>
    <x:t xml:space="preserve">F5 / Structură și conexiuni</x:t>
  </x:si>
  <x:si>
    <x:t xml:space="preserve">F6-13</x:t>
  </x:si>
  <x:si>
    <x:t xml:space="preserve">F6 / Distribuite în fotografie</x:t>
  </x:si>
  <x:si>
    <x:t xml:space="preserve">F6-14</x:t>
  </x:si>
  <x:si>
    <x:t xml:space="preserve">F6 / Structură și conexiuni</x:t>
  </x:si>
  <x:si>
    <x:t xml:space="preserve">F7-15</x:t>
  </x:si>
  <x:si>
    <x:t xml:space="preserve">F7 / Distribuite în fotografie</x:t>
  </x:si>
  <x:si>
    <x:t xml:space="preserve">F7-16</x:t>
  </x:si>
  <x:si>
    <x:t xml:space="preserve">F7 / Structură și conexiuni</x:t>
  </x:si>
  <x:si>
    <x:t xml:space="preserve">F7-17</x:t>
  </x:si>
  <x:si>
    <x:t xml:space="preserve">F7 / Trasee interioare</x:t>
  </x:si>
  <x:si>
    <x:t xml:space="preserve">ACASA · Inventar vizual</x:t>
  </x:si>
  <x:si>
    <x:t xml:space="preserve">7 fotografii · Cantitățile sunt observații per cadru. 0 = poziție dedusă, neconfirmată vizual; nu se însumează ca deviz.</x:t>
  </x:si>
  <x:si>
    <x:t xml:space="preserve">ID</x:t>
  </x:si>
  <x:si>
    <x:t xml:space="preserve">Foto</x:t>
  </x:si>
  <x:si>
    <x:t xml:space="preserve">Pozitie</x:t>
  </x:si>
  <x:si>
    <x:t xml:space="preserve">Tip</x:t>
  </x:si>
  <x:si>
    <x:t xml:space="preserve">Cantitate</x:t>
  </x:si>
  <x:si>
    <x:t xml:space="preserve">Poli</x:t>
  </x:si>
  <x:si>
    <x:t xml:space="preserve">Marcaj</x:t>
  </x:si>
  <x:si>
    <x:t xml:space="preserve">Marca</x:t>
  </x:si>
  <x:si>
    <x:t xml:space="preserve">Certitudine</x:t>
  </x:si>
  <x:si>
    <x:t xml:space="preserve">Observatii</x:t>
  </x:si>
  <x:si>
    <x:t xml:space="preserve">Plan</x:t>
  </x:si>
  <x:si>
    <x:t xml:space="preserve">F1</x:t>
  </x:si>
  <x:si>
    <x:t xml:space="preserve">Sus stânga / CASA</x:t>
  </x:si>
  <x:si>
    <x:t xml:space="preserve">Disjunctor MCB</x:t>
  </x:si>
  <x:si>
    <x:t xml:space="preserve">4P</x:t>
  </x:si>
  <x:si>
    <x:t xml:space="preserve">Ilizibil</x:t>
  </x:si>
  <x:si>
    <x:t xml:space="preserve">Schneider Electric</x:t>
  </x:si>
  <x:si>
    <x:t xml:space="preserve">? Marcaj incomplet</x:t>
  </x:si>
  <x:si>
    <x:t xml:space="preserve">4 manete cuplate; nominalul nu poate fi citit.</x:t>
  </x:si>
  <x:si>
    <x:t xml:space="preserve">M4</x:t>
  </x:si>
  <x:si>
    <x:t xml:space="preserve">Sus central / aparat suspendat</x:t>
  </x:si>
  <x:si>
    <x:t xml:space="preserve">Aparat modular văzut din spate</x:t>
  </x:si>
  <x:si>
    <x:t xml:space="preserve">3P aparent</x:t>
  </x:si>
  <x:si>
    <x:t xml:space="preserve">Neidentificată</x:t>
  </x:si>
  <x:si>
    <x:t xml:space="preserve">? Neidentificat</x:t>
  </x:si>
  <x:si>
    <x:t xml:space="preserve">Nu poate fi clasificat sigur drept disjunctor/contactor din această vedere.</x:t>
  </x:si>
  <x:si>
    <x:t xml:space="preserve">V</x:t>
  </x:si>
  <x:si>
    <x:t xml:space="preserve">Rând superior / R</x:t>
  </x:si>
  <x:si>
    <x:t xml:space="preserve">1P</x:t>
  </x:si>
  <x:si>
    <x:t xml:space="preserve">C50</x:t>
  </x:si>
  <x:si>
    <x:t xml:space="preserve">✓ Vizibil</x:t>
  </x:si>
  <x:si>
    <x:t xml:space="preserve">Aparate separate; nu presupune declanșare comună trifazată.</x:t>
  </x:si>
  <x:si>
    <x:t xml:space="preserve">Rând superior / S</x:t>
  </x:si>
  <x:si>
    <x:t xml:space="preserve">Rând superior / T</x:t>
  </x:si>
  <x:si>
    <x:t xml:space="preserve">Rând superior / PISCINĂ</x:t>
  </x:si>
  <x:si>
    <x:t xml:space="preserve">3P</x:t>
  </x:si>
  <x:si>
    <x:t xml:space="preserve">C20</x:t>
  </x:si>
  <x:si>
    <x:t xml:space="preserve">M3</x:t>
  </x:si>
  <x:si>
    <x:t xml:space="preserve">Rând superior / ALARMĂ - PRIZE S-EST</x:t>
  </x:si>
  <x:si>
    <x:t xml:space="preserve">C16</x:t>
  </x:si>
  <x:si>
    <x:t xml:space="preserve">? Grupare de confirmat</x:t>
  </x:si>
  <x:si>
    <x:t xml:space="preserve">Etichetele de circuite traversează modulele; confirmă dacă sunt poli cuplați sau circuite separate.</x:t>
  </x:si>
  <x:si>
    <x:t xml:space="preserve">Rând superior / după C16</x:t>
  </x:si>
  <x:si>
    <x:t xml:space="preserve">C10</x:t>
  </x:si>
  <x:si>
    <x:t xml:space="preserve">Cablurile și materialul negru ascund separația aparatelor.</x:t>
  </x:si>
  <x:si>
    <x:t xml:space="preserve">Rând superior / zona acoperită înainte de nr. 1</x:t>
  </x:si>
  <x:si>
    <x:t xml:space="preserve">Necunoscut</x:t>
  </x:si>
  <x:si>
    <x:t xml:space="preserve">? Acoperit</x:t>
  </x:si>
  <x:si>
    <x:t xml:space="preserve">Fără numărare suplimentară: posibilă suprapunere cu grupul C10.</x:t>
  </x:si>
  <x:si>
    <x:t xml:space="preserve">Circuit numerotat 1</x:t>
  </x:si>
  <x:si>
    <x:t xml:space="preserve">1P+N probabil</x:t>
  </x:si>
  <x:si>
    <x:t xml:space="preserve">C20 aparent</x:t>
  </x:si>
  <x:si>
    <x:t xml:space="preserve">Numerotarea este reper vizual, nu identificare a consumatorului. Valoare de confirmat prin fotografie apropiată.</x:t>
  </x:si>
  <x:si>
    <x:t xml:space="preserve">M1</x:t>
  </x:si>
  <x:si>
    <x:t xml:space="preserve">Circuit numerotat 2</x:t>
  </x:si>
  <x:si>
    <x:t xml:space="preserve">Circuit numerotat 3</x:t>
  </x:si>
  <x:si>
    <x:t xml:space="preserve">Circuit numerotat 4</x:t>
  </x:si>
  <x:si>
    <x:t xml:space="preserve">Circuit numerotat 5</x:t>
  </x:si>
  <x:si>
    <x:t xml:space="preserve">Circuit numerotat 6</x:t>
  </x:si>
  <x:si>
    <x:t xml:space="preserve">Circuit numerotat 7</x:t>
  </x:si>
  <x:si>
    <x:t xml:space="preserve">? Poziție dedusă</x:t>
  </x:si>
  <x:si>
    <x:t xml:space="preserve">Numerotarea este reper vizual, nu identificare a consumatorului. Poziție dedusă din succesiunea 1–39; ascunsă/parțial în afara cadrului. Nu este aparat confirmat independent.</x:t>
  </x:si>
  <x:si>
    <x:t xml:space="preserve">Circuit numerotat 8</x:t>
  </x:si>
  <x:si>
    <x:t xml:space="preserve">Circuit numerotat 9</x:t>
  </x:si>
  <x:si>
    <x:t xml:space="preserve">Numerotarea este reper vizual, nu identificare a consumatorului.</x:t>
  </x:si>
  <x:si>
    <x:t xml:space="preserve">Circuit numerotat 10</x:t>
  </x:si>
  <x:si>
    <x:t xml:space="preserve">Circuit numerotat 11</x:t>
  </x:si>
  <x:si>
    <x:t xml:space="preserve">Circuit numerotat 12</x:t>
  </x:si>
  <x:si>
    <x:t xml:space="preserve">Circuit numerotat 13</x:t>
  </x:si>
  <x:si>
    <x:t xml:space="preserve">Circuit numerotat 14</x:t>
  </x:si>
  <x:si>
    <x:t xml:space="preserve">Circuit numerotat 15</x:t>
  </x:si>
  <x:si>
    <x:t xml:space="preserve">Circuit numerotat 16</x:t>
  </x:si>
  <x:si>
    <x:t xml:space="preserve">Circuit numerotat 17</x:t>
  </x:si>
  <x:si>
    <x:t xml:space="preserve">Circuit numerotat 18</x:t>
  </x:si>
  <x:si>
    <x:t xml:space="preserve">Circuit numerotat 19</x:t>
  </x:si>
  <x:si>
    <x:t xml:space="preserve">Circuit numerotat 20</x:t>
  </x:si>
  <x:si>
    <x:t xml:space="preserve">Circuit numerotat 21</x:t>
  </x:si>
  <x:si>
    <x:t xml:space="preserve">Circuit numerotat 22</x:t>
  </x:si>
  <x:si>
    <x:t xml:space="preserve">Circuit numerotat 23</x:t>
  </x:si>
  <x:si>
    <x:t xml:space="preserve">Circuit numerotat 24</x:t>
  </x:si>
  <x:si>
    <x:t xml:space="preserve">Circuit numerotat 25</x:t>
  </x:si>
  <x:si>
    <x:t xml:space="preserve">Circuit numerotat 26</x:t>
  </x:si>
  <x:si>
    <x:t xml:space="preserve">Circuit numerotat 27</x:t>
  </x:si>
  <x:si>
    <x:t xml:space="preserve">C6</x:t>
  </x:si>
  <x:si>
    <x:t xml:space="preserve">Circuit numerotat 28</x:t>
  </x:si>
  <x:si>
    <x:t xml:space="preserve">Circuit numerotat 29</x:t>
  </x:si>
  <x:si>
    <x:t xml:space="preserve">Circuit numerotat 30</x:t>
  </x:si>
  <x:si>
    <x:t xml:space="preserve">Circuit numerotat 31</x:t>
  </x:si>
  <x:si>
    <x:t xml:space="preserve">Circuit numerotat 32</x:t>
  </x:si>
  <x:si>
    <x:t xml:space="preserve">Circuit numerotat 33</x:t>
  </x:si>
  <x:si>
    <x:t xml:space="preserve">Circuit numerotat 34</x:t>
  </x:si>
  <x:si>
    <x:t xml:space="preserve">Circuit numerotat 35</x:t>
  </x:si>
  <x:si>
    <x:t xml:space="preserve">Circuit numerotat 36</x:t>
  </x:si>
  <x:si>
    <x:t xml:space="preserve">Circuit numerotat 37</x:t>
  </x:si>
  <x:si>
    <x:t xml:space="preserve">Circuit numerotat 38</x:t>
  </x:si>
  <x:si>
    <x:t xml:space="preserve">Circuit numerotat 39</x:t>
  </x:si>
  <x:si>
    <x:t xml:space="preserve">Jos / două prize rotunde</x:t>
  </x:si>
  <x:si>
    <x:t xml:space="preserve">Curent nominal ilizibil; fără echivalent în catalogul analizat.</x:t>
  </x:si>
  <x:si>
    <x:t xml:space="preserve">A</x:t>
  </x:si>
  <x:si>
    <x:t xml:space="preserve">Jos central / Siemens</x:t>
  </x:si>
  <x:si>
    <x:t xml:space="preserve">Contactor de putere</x:t>
  </x:si>
  <x:si>
    <x:t xml:space="preserve">Siemens</x:t>
  </x:si>
  <x:si>
    <x:t xml:space="preserve">? Cod ilizibil</x:t>
  </x:si>
  <x:si>
    <x:t xml:space="preserve">K</x:t>
  </x:si>
  <x:si>
    <x:t xml:space="preserve">Jos / stânga contactorului Siemens</x:t>
  </x:si>
  <x:si>
    <x:t xml:space="preserve">? Identificare provizorie</x:t>
  </x:si>
  <x:si>
    <x:t xml:space="preserve">Jos dreapta</x:t>
  </x:si>
  <x:si>
    <x:t xml:space="preserve">Sus dreapta / capac fumuriu</x:t>
  </x:si>
  <x:si>
    <x:t xml:space="preserve">F2</x:t>
  </x:si>
  <x:si>
    <x:t xml:space="preserve">Sus / ALIMENTARE PANOURI SOLARE ȘI C.E.</x:t>
  </x:si>
  <x:si>
    <x:t xml:space="preserve">3RT1054-1…6</x:t>
  </x:si>
  <x:si>
    <x:t xml:space="preserve">Siemens SIRIUS</x:t>
  </x:si>
  <x:si>
    <x:t xml:space="preserve">? Sufix / bobină ilizibile</x:t>
  </x:si>
  <x:si>
    <x:t xml:space="preserve">Inscripția nu dovedește comutație DC; categoria AC/DC și tensiunea bobinei trebuie citite.</x:t>
  </x:si>
  <x:si>
    <x:t xml:space="preserve">Lateral contactor</x:t>
  </x:si>
  <x:si>
    <x:t xml:space="preserve">Siemens probabil</x:t>
  </x:si>
  <x:si>
    <x:t xml:space="preserve">? Referință ilizibilă</x:t>
  </x:si>
  <x:si>
    <x:t xml:space="preserve">Jos stânga</x:t>
  </x:si>
  <x:si>
    <x:t xml:space="preserve">1P+N</x:t>
  </x:si>
  <x:si>
    <x:t xml:space="preserve">Jos / POMPE</x:t>
  </x:si>
  <x:si>
    <x:t xml:space="preserve">C6 aparent</x:t>
  </x:si>
  <x:si>
    <x:t xml:space="preserve">? Valoare de confirmat</x:t>
  </x:si>
  <x:si>
    <x:t xml:space="preserve">Jos / CENTRALE ELECTRICE</x:t>
  </x:si>
  <x:si>
    <x:t xml:space="preserve">C80</x:t>
  </x:si>
  <x:si>
    <x:t xml:space="preserve">H</x:t>
  </x:si>
  <x:si>
    <x:t xml:space="preserve">C40</x:t>
  </x:si>
  <x:si>
    <x:t xml:space="preserve">F3</x:t>
  </x:si>
  <x:si>
    <x:t xml:space="preserve">Sus stânga</x:t>
  </x:si>
  <x:si>
    <x:t xml:space="preserve">3RT10…</x:t>
  </x:si>
  <x:si>
    <x:t xml:space="preserve">? Cod complet ilizibil</x:t>
  </x:si>
  <x:si>
    <x:t xml:space="preserve">Nu se atribuie curent nominal după aspect; citește plăcuța și bobina.</x:t>
  </x:si>
  <x:si>
    <x:t xml:space="preserve">Sus dreapta</x:t>
  </x:si>
  <x:si>
    <x:t xml:space="preserve">Margine stângă sus</x:t>
  </x:si>
  <x:si>
    <x:t xml:space="preserve">Disjunctoare parțial vizibile</x:t>
  </x:si>
  <x:si>
    <x:t xml:space="preserve">Nedeterminat</x:t>
  </x:si>
  <x:si>
    <x:t xml:space="preserve">? Cadru incomplet</x:t>
  </x:si>
  <x:si>
    <x:t xml:space="preserve">Pot aparține altui compartiment; nu se presupune duplicare sau aparat suplimentar sigur.</x:t>
  </x:si>
  <x:si>
    <x:t xml:space="preserve">Jos centru-stânga</x:t>
  </x:si>
  <x:si>
    <x:t xml:space="preserve">4P aparent</x:t>
  </x:si>
  <x:si>
    <x:t xml:space="preserve">Jos centru-dreapta</x:t>
  </x:si>
  <x:si>
    <x:t xml:space="preserve">Peste contactorul drept</x:t>
  </x:si>
  <x:si>
    <x:t xml:space="preserve">Jos / între grupuri</x:t>
  </x:si>
  <x:si>
    <x:t xml:space="preserve">F4</x:t>
  </x:si>
  <x:si>
    <x:t xml:space="preserve">Sus / nr. 1</x:t>
  </x:si>
  <x:si>
    <x:t xml:space="preserve">Sus / nr. 2</x:t>
  </x:si>
  <x:si>
    <x:t xml:space="preserve">Sus / nr. 3</x:t>
  </x:si>
  <x:si>
    <x:t xml:space="preserve">Sus / nr. 4</x:t>
  </x:si>
  <x:si>
    <x:t xml:space="preserve">Sus / nr. 5</x:t>
  </x:si>
  <x:si>
    <x:t xml:space="preserve">Nominal și numerotare de reconfirmat la inventarul fizic.</x:t>
  </x:si>
  <x:si>
    <x:t xml:space="preserve">Sus / nr. 6</x:t>
  </x:si>
  <x:si>
    <x:t xml:space="preserve">Sus / nr. 7</x:t>
  </x:si>
  <x:si>
    <x:t xml:space="preserve">Sus / nr. 8</x:t>
  </x:si>
  <x:si>
    <x:t xml:space="preserve">Sus / nr. 9</x:t>
  </x:si>
  <x:si>
    <x:t xml:space="preserve">Sus / nr. 10</x:t>
  </x:si>
  <x:si>
    <x:t xml:space="preserve">Sus / nr. 11</x:t>
  </x:si>
  <x:si>
    <x:t xml:space="preserve">Sus / nr. 12</x:t>
  </x:si>
  <x:si>
    <x:t xml:space="preserve">Sus / nr. 13</x:t>
  </x:si>
  <x:si>
    <x:t xml:space="preserve">Sus / nr. 14</x:t>
  </x:si>
  <x:si>
    <x:t xml:space="preserve">Sus / nr. 15</x:t>
  </x:si>
  <x:si>
    <x:t xml:space="preserve">Sus / nr. 16</x:t>
  </x:si>
  <x:si>
    <x:t xml:space="preserve">Sus / nr. 17</x:t>
  </x:si>
  <x:si>
    <x:t xml:space="preserve">Rând median / K1</x:t>
  </x:si>
  <x:si>
    <x:t xml:space="preserve">Contactor compact</x:t>
  </x:si>
  <x:si>
    <x:t xml:space="preserve">3P + auxiliar aparent</x:t>
  </x:si>
  <x:si>
    <x:t xml:space="preserve">Schneider / Telemecanique</x:t>
  </x:si>
  <x:si>
    <x:t xml:space="preserve">? Referință și bobină ilizibile</x:t>
  </x:si>
  <x:si>
    <x:t xml:space="preserve">Rând median / K2</x:t>
  </x:si>
  <x:si>
    <x:t xml:space="preserve">Rând median / K3</x:t>
  </x:si>
  <x:si>
    <x:t xml:space="preserve">Rând median / K4</x:t>
  </x:si>
  <x:si>
    <x:t xml:space="preserve">Rând median / K5</x:t>
  </x:si>
  <x:si>
    <x:t xml:space="preserve">Rând median / K6</x:t>
  </x:si>
  <x:si>
    <x:t xml:space="preserve">Rând median / K7</x:t>
  </x:si>
  <x:si>
    <x:t xml:space="preserve">Dreapta / cadran circular</x:t>
  </x:si>
  <x:si>
    <x:t xml:space="preserve">? Cod și contacte ilizibile</x:t>
  </x:si>
  <x:si>
    <x:t xml:space="preserve">T</x:t>
  </x:si>
  <x:si>
    <x:t xml:space="preserve">F5</x:t>
  </x:si>
  <x:si>
    <x:t xml:space="preserve">Sus</x:t>
  </x:si>
  <x:si>
    <x:t xml:space="preserve">C100</x:t>
  </x:si>
  <x:si>
    <x:t xml:space="preserve">C63</x:t>
  </x:si>
  <x:si>
    <x:t xml:space="preserve">F6</x:t>
  </x:si>
  <x:si>
    <x:t xml:space="preserve">Rând principal / de la stânga 1</x:t>
  </x:si>
  <x:si>
    <x:t xml:space="preserve">Rând principal / de la stânga 2</x:t>
  </x:si>
  <x:si>
    <x:t xml:space="preserve">Rând principal / de la stânga 3</x:t>
  </x:si>
  <x:si>
    <x:t xml:space="preserve">Rând principal / de la stânga 4</x:t>
  </x:si>
  <x:si>
    <x:t xml:space="preserve">Rând principal / de la stânga 5</x:t>
  </x:si>
  <x:si>
    <x:t xml:space="preserve">Rând principal / de la stânga 6</x:t>
  </x:si>
  <x:si>
    <x:t xml:space="preserve">Rând principal / de la stânga 7</x:t>
  </x:si>
  <x:si>
    <x:t xml:space="preserve">Dreapta / disjunctor 1</x:t>
  </x:si>
  <x:si>
    <x:t xml:space="preserve">Dreapta / disjunctor 2</x:t>
  </x:si>
  <x:si>
    <x:t xml:space="preserve">Sus / stânga, centru, dreapta</x:t>
  </x:si>
  <x:si>
    <x:t xml:space="preserve">Transformator de curent</x:t>
  </x:si>
  <x:si>
    <x:t xml:space="preserve">METSECT…</x:t>
  </x:si>
  <x:si>
    <x:t xml:space="preserve">? Raport/clasă ilizibile</x:t>
  </x:si>
  <x:si>
    <x:t xml:space="preserve">Trei corpuri vizibile, cel stâng este tăiat de cadru. Necesare raport primar/secundar, VA și clasa.</x:t>
  </x:si>
  <x:si>
    <x:t xml:space="preserve">CT</x:t>
  </x:si>
  <x:si>
    <x:t xml:space="preserve">Deasupra disjunctoarelor</x:t>
  </x:si>
  <x:si>
    <x:t xml:space="preserve">Bară pieptene trifazată</x:t>
  </x:si>
  <x:si>
    <x:t xml:space="preserve">A9XPH357; 100 A / 40 °C aparent</x:t>
  </x:si>
  <x:si>
    <x:t xml:space="preserve">Compatibilitatea mecanică nu se transferă automat la Tongou.</x:t>
  </x:si>
  <x:si>
    <x:t xml:space="preserve">Colț inferior dreapta</x:t>
  </x:si>
  <x:si>
    <x:t xml:space="preserve">Fără echivalare; nu se vede fața aparatului.</x:t>
  </x:si>
  <x:si>
    <x:t xml:space="preserve">F7</x:t>
  </x:si>
  <x:si>
    <x:t xml:space="preserve">Sus / grup 1</x:t>
  </x:si>
  <x:si>
    <x:t xml:space="preserve">C32</x:t>
  </x:si>
  <x:si>
    <x:t xml:space="preserve">Sus / grup 2</x:t>
  </x:si>
  <x:si>
    <x:t xml:space="preserve">Sus / grup 3</x:t>
  </x:si>
  <x:si>
    <x:t xml:space="preserve">Sus dreapta / disjunctor 1</x:t>
  </x:si>
  <x:si>
    <x:t xml:space="preserve">Sus dreapta / disjunctor 2</x:t>
  </x:si>
  <x:si>
    <x:t xml:space="preserve">Sus dreapta / disjunctor 3</x:t>
  </x:si>
  <x:si>
    <x:t xml:space="preserve">Jos stânga / separat</x:t>
  </x:si>
  <x:si>
    <x:t xml:space="preserve">C25</x:t>
  </x:si>
  <x:si>
    <x:t xml:space="preserve">Jos central / primul grup</x:t>
  </x:si>
  <x:si>
    <x:t xml:space="preserve">Jos / după C6 / disjunctor 1</x:t>
  </x:si>
  <x:si>
    <x:t xml:space="preserve">Jos / după C6 / disjunctor 2</x:t>
  </x:si>
  <x:si>
    <x:t xml:space="preserve">Jos / după C6 / disjunctor 3</x:t>
  </x:si>
  <x:si>
    <x:t xml:space="preserve">Jos / după C6 / disjunctor 4</x:t>
  </x:si>
  <x:si>
    <x:t xml:space="preserve">Jos / după C6 / disjunctor 5</x:t>
  </x:si>
  <x:si>
    <x:t xml:space="preserve">? Cod / bobină ilizibile</x:t>
  </x:si>
  <x:si>
    <x:t xml:space="preserve">Distribuite în fotografie</x:t>
  </x:si>
  <x:si>
    <x:t xml:space="preserve">Mărci ilizibile</x:t>
  </x:si>
  <x:si>
    <x:t xml:space="preserve">Tipurile apar diferit în fiecare cadru; cantități și secțiuni de inventariat fizic.</x:t>
  </x:si>
  <x:si>
    <x:t xml:space="preserve">Structură și conexiuni</x:t>
  </x:si>
  <x:si>
    <x:t xml:space="preserve">Diverse</x:t>
  </x:si>
  <x:si>
    <x:t xml:space="preserve">Lungimi, secțiuni, tipuri de izolație și numărul terminalelor nu pot fi stabilite complet din fotografie.</x:t>
  </x:si>
  <x:si>
    <x:t xml:space="preserve">Trasee interioare</x:t>
  </x:si>
  <x:si>
    <x:t xml:space="preserve">ACASA · Protecții și criterii de alegere</x:t>
  </x:si>
  <x:si>
    <x:t xml:space="preserve">Propunerea nu certifică instalația. Codurile și măsurătorile lipsă se completează de un electrician autorizat.</x:t>
  </x:si>
  <x:si>
    <x:t xml:space="preserve">Temă</x:t>
  </x:si>
  <x:si>
    <x:t xml:space="preserve">Obiectiv</x:t>
  </x:si>
  <x:si>
    <x:t xml:space="preserve">Condiții și verificări</x:t>
  </x:si>
  <x:si>
    <x:t xml:space="preserve">1. Identificare și verificări</x:t>
  </x:si>
  <x:si>
    <x:t xml:space="preserve">Inventarul este vizual; nu este proiect de execuție.</x:t>
  </x:si>
  <x:si>
    <x:t xml:space="preserve">Electricianul identifică sistemul de legare la pământ, N/PE/PEN, secțiuni, impedanță buclă, curenți de scurtcircuit, izolație și continuitate PE. În F3 apar conductoare verde-galben la bornele aparatelor: destinația lor trebuie verificată prioritar, fără concluzie numai din culoare.</x:t>
  </x:si>
  <x:si>
    <x:t xml:space="preserve">2. Supracurent / scurtcircuit</x:t>
  </x:si>
  <x:si>
    <x:t xml:space="preserve">Nominalul circuitului se păstrează după calcul și măsurători.</x:t>
  </x:si>
  <x:si>
    <x:t xml:space="preserve">Nu se majorează C6/C10/C16 etc. la C63 pentru a obține funcții smart. Pentru C80/C100 nu există echivalent direct în selecția Tongou.</x:t>
  </x:si>
  <x:si>
    <x:t xml:space="preserve">3. Protecție diferențială</x:t>
  </x:si>
  <x:si>
    <x:t xml:space="preserve">RCBO pe circuit, tip adecvat sarcinii; 30 mA pentru protecția suplimentară unde aplicabil.</x:t>
  </x:si>
  <x:si>
    <x:t xml:space="preserve">Tip A pentru aplicații compatibile; F/B ori soluția cerută de producător pentru convertoare, pompe, fotovoltaic sau încărcare EV. Tipul A/B al SKU-urilor Tongou propuse nu este confirmat. Nu se setează 100–500 mA ca substitut pentru 30 mA. Absența unui RCD în poze nu dovedește absența sa în instalație.</x:t>
  </x:si>
  <x:si>
    <x:t xml:space="preserve">4. Supratensiuni tranzitorii AC</x:t>
  </x:si>
  <x:si>
    <x:t xml:space="preserve">SPD coordonat la intrare și subtablouri, după evaluare.</x:t>
  </x:si>
  <x:si>
    <x:t xml:space="preserve">Candidați 43094/43095/43096 (2/3/4P, 275 V, 15/40 kA), fără Zigbee/Wi-Fi. Numărul polilor, tipul T1/T2/T3, Up, sistemul TT/TN și protecția de rezervă trebuie confirmate. Nu se declară protecție la trăsnet doar după 40 kA.</x:t>
  </x:si>
  <x:si>
    <x:t xml:space="preserve">5. Fotovoltaic / DC</x:t>
  </x:si>
  <x:si>
    <x:t xml:space="preserve">Numai dacă circuitele sunt efectiv DC.</x:t>
  </x:si>
  <x:si>
    <x:t xml:space="preserve">43097 (500 V DC) / 43098 (1000 V DC) sunt candidați SPD, nu disjunctoare și nu separatoare. Alegerea cere Voc maxim la rece și configurația stringurilor; eticheta PANOURI SOLARE nu este suficientă.</x:t>
  </x:si>
  <x:si>
    <x:t xml:space="preserve">6. Supratensiune susținută / faze</x:t>
  </x:si>
  <x:si>
    <x:t xml:space="preserve">Funcție distinctă de SPD.</x:t>
  </x:si>
  <x:si>
    <x:t xml:space="preserve">Verifică pragurile, timpul de reacție, pierderea/ordinea fazelor și defectul de neutru. Nu atribui toate acestea fiecărui Tongou doar pentru că este smart.</x:t>
  </x:si>
  <x:si>
    <x:t xml:space="preserve">7. Arc electric / incendiu</x:t>
  </x:si>
  <x:si>
    <x:t xml:space="preserve">Evaluează necesitatea AFDD pe circuitele potrivite.</x:t>
  </x:si>
  <x:si>
    <x:t xml:space="preserve">Niciun AFDD verificat în catalogul celor 29 de produse. Protecția la temperatură a aparatului nu este detecție de arc pe tot circuitul.</x:t>
  </x:si>
  <x:si>
    <x:t xml:space="preserve">8. Motoare, pompe, piscină</x:t>
  </x:si>
  <x:si>
    <x:t xml:space="preserve">Protecția motorului și cerințele zonelor umede se verifică separat.</x:t>
  </x:si>
  <x:si>
    <x:t xml:space="preserve">Contactoarele și RCBO nu substituie automat protecția termică de motor. Verifică legăturile echipotențiale, separarea circuitelor și condițiile specifice piscinei.</x:t>
  </x:si>
  <x:si>
    <x:t xml:space="preserve">9. Zigbee prioritar / Wi-Fi alternativ</x:t>
  </x:si>
  <x:si>
    <x:t xml:space="preserve">Comanda și monitorizarea se adaugă protecției electrice validate.</x:t>
  </x:si>
  <x:si>
    <x:t xml:space="preserve">Confirmă gateway-ul și compatibilitatea exactă, inclusiv funcționarea locală. Protecțiile trebuie să funcționeze fără cloud. Reînchiderea automată după defect se dezactivează implicit până la evaluarea riscului, în special la motoare și piscină.</x:t>
  </x:si>
  <x:si>
    <x:t xml:space="preserve">10. Achiziție</x:t>
  </x:si>
  <x:si>
    <x:t xml:space="preserve">Listă de candidați, nu comandă sau deviz final.</x:t>
  </x:si>
  <x:si>
    <x:t xml:space="preserve">Stocurile și prețurile sunt captura catalogului 2026.10.08; același SKU propus la multe rânduri nu înseamnă stoc alocat fiecărui rând. Nu se însumează prețurile în lipsa cantităților confirmate și a echivalenței certificate.</x:t>
  </x:si>
  <x:si>
    <x:t xml:space="preserve">Surse tehnice / consultate 2026.10.08</x:t>
  </x:si>
  <x:si>
    <x:t xml:space="preserve">Schneider Electric — Electrical Installation Guide</x:t>
  </x:si>
  <x:si>
    <x:t xml:space="preserve">https://www.electrical-installation.org/enwiki/Practical_values_for_a_protective_scheme
https://www.electrical-installation.org/enwiki/Additional_measure_of_protection_against_direct_contact
https://www.electrical-installation.org/enwiki/RCDs_selection_in_presence_of_DC_earth_leakage_currents
https://www.electrical-installation.org/enwiki/Power_quality_-_impact_of_solar_self-consumption</x:t>
  </x:si>
  <x:si>
    <x:t xml:space="preserve">ACASA · Produse Tongou de verificat</x:t>
  </x:si>
  <x:si>
    <x:t xml:space="preserve">Stoc și preț: captura catalogului 2026.10.08. Stocul nu este rezervat; fiecare SKU apare o singură dată aici.</x:t>
  </x:si>
  <x:si>
    <x:t xml:space="preserve">SKU</x:t>
  </x:si>
  <x:si>
    <x:t xml:space="preserve">Denumire</x:t>
  </x:si>
  <x:si>
    <x:t xml:space="preserve">Curent A</x:t>
  </x:si>
  <x:si>
    <x:t xml:space="preserve">Diferențial mA</x:t>
  </x:si>
  <x:si>
    <x:t xml:space="preserve">Stoc</x:t>
  </x:si>
  <x:si>
    <x:t xml:space="preserve">RON cu TVA</x:t>
  </x:si>
  <x:si>
    <x:t xml:space="preserve">Observații</x:t>
  </x:si>
  <x:si>
    <x:t xml:space="preserve">1–40</x:t>
  </x:si>
  <x:si>
    <x:t xml:space="preserve">10–100</x:t>
  </x:si>
  <x:si>
    <x:t xml:space="preserve">Pagina Conex nu publică un fișier tehnic asociat pentru acest SKU. Funcțiile omise din descrierea Conex rămân „?” în matrice; manualul de familie este salvat separat.</x:t>
  </x:si>
  <x:si>
    <x:t xml:space="preserve">43079</x:t>
  </x:si>
  <x:si>
    <x:t xml:space="preserve">DISJUNCTOR SMART RCBO 2P 1-63A 30-500mA CU POWER METER ZIGBEE TOQCB2L TONGOU</x:t>
  </x:si>
  <x:si>
    <x:t xml:space="preserve">2P</x:t>
  </x:si>
  <x:si>
    <x:t xml:space="preserve">1–63</x:t>
  </x:si>
  <x:si>
    <x:t xml:space="preserve">30–500</x:t>
  </x:si>
  <x:si>
    <x:t xml:space="preserve">Linkurile PDF Conex sunt indisponibile (HTTP 404). Vezi Documentație pentru fișiere oficiale alternative.</x:t>
  </x:si>
  <x:si>
    <x:t xml:space="preserve">https://www.conexelectronic.ro/cumpara/disjunctor-smart-rcbo-2p-1-63a-30-500ma-cu-power-meter-zigbee-toqcb2l-16209</x:t>
  </x:si>
  <x:si>
    <x:t xml:space="preserve">43070</x:t>
  </x:si>
  <x:si>
    <x:t xml:space="preserve">DISJUNCTOR SMART RCBO 2P 1-63A 30-500mA CU POWER METER WIFI TOQCB2L TONGOU</x:t>
  </x:si>
  <x:si>
    <x:t xml:space="preserve">Wi-Fi</x:t>
  </x:si>
  <x:si>
    <x:t xml:space="preserve">https://www.conexelectronic.ro/cumpara/disjunctor-smart-rcbo-2p-1-63a-30-500ma-cu-power-meter-wifi-toqcb2l-16200</x:t>
  </x:si>
  <x:si>
    <x:t xml:space="preserve">43071</x:t>
  </x:si>
  <x:si>
    <x:t xml:space="preserve">DISJUNCTOR SMART RCBO 3P 1-63A 30-500mA CU POWER METER WIFI TOQCB2L TONGOU</x:t>
  </x:si>
  <x:si>
    <x:t xml:space="preserve">https://www.conexelectronic.ro/cumpara/disjunctor-smart-rcbo-3p-1-63a-30-500ma-cu-power-meter-wifi-toqcb2l-16201</x:t>
  </x:si>
  <x:si>
    <x:t xml:space="preserve">43077</x:t>
  </x:si>
  <x:si>
    <x:t xml:space="preserve">DISJUNCTOR SMART 3P 1-63A CU POWER METER ZIGBEE TOQCB2 TONGOU</x:t>
  </x:si>
  <x:si>
    <x:t xml:space="preserve">— Nu se aplică</x:t>
  </x:si>
  <x:si>
    <x:t xml:space="preserve">Descriere scurtă 400 V, interval detaliat AC 90–295 V. Poate fi diferența între faze și alimentarea electronicii, dar pagina nu o explică. Manual asociat numit TO-Q-SY2-JWT pentru un produs TOQCB2 Zigbee; asociere neconfirmată. Linkurile PDF Conex sunt indisponibile (HTTP 404). Vezi Documentație pentru fișiere oficiale alternative.</x:t>
  </x:si>
  <x:si>
    <x:t xml:space="preserve">https://www.conexelectronic.ro/cumpara/disjunctor-smart-3p-1-63a-cu-power-meter-zigbee-toqcb2-tongou-16207</x:t>
  </x:si>
  <x:si>
    <x:t xml:space="preserve">DISJUNCTOR SMART 4P 1-63A CU POWER METER ZIGBEE TOQCB2 TONGOU</x:t>
  </x:si>
  <x:si>
    <x:t xml:space="preserve">Descriere scurtă 400 V, interval detaliat AC 90–295 V. Referința tensiunilor nu este explicată. Manual asociat numit TO-Q-SY2-JWT pentru un produs TOQCB2 Zigbee; asociere neconfirmată. Linkurile PDF Conex sunt indisponibile (HTTP 404). Vezi Documentație pentru fișiere oficiale alternative.</x:t>
  </x:si>
  <x:si>
    <x:t xml:space="preserve">https://www.conexelectronic.ro/cumpara/disjunctor-smart-4p-1-63a-cu-power-meter-zigbee-toqcb2-tongou-16208</x:t>
  </x:si>
  <x:si>
    <x:t xml:space="preserve">43068</x:t>
  </x:si>
  <x:si>
    <x:t xml:space="preserve">DISJUNCTOR SMART 3P 1...63A/400V CU POWER METER WIFI TOQCB2 TONGOU</x:t>
  </x:si>
  <x:si>
    <x:t xml:space="preserve">Descrierea enumeră Wi-Fi implicit, Zigbee și 4G personalizare. Numai Wi-Fi este confirmat de titlul acestui SKU; nu sunt trei protocoale simultane. Frecvență Wi-Fi scrisă 2.4Hz în sursă; unitate eronată probabil. Linkurile PDF Conex sunt indisponibile (HTTP 404). Vezi Documentație pentru fișiere oficiale alternative.</x:t>
  </x:si>
  <x:si>
    <x:t xml:space="preserve">https://www.conexelectronic.ro/cumpara/disjunctor-smart-3p-1-63a-400v-cu-power-meter-wifi-toqcb2-tongou-16198</x:t>
  </x:si>
  <x:si>
    <x:t xml:space="preserve">43089</x:t>
  </x:si>
  <x:si>
    <x:t xml:space="preserve">DISJUNCTOR 3P/63A/AC400V/6KA/CURBA C TONGOU</x:t>
  </x:si>
  <x:si>
    <x:t xml:space="preserve">Fără comunicație smart</x:t>
  </x:si>
  <x:si>
    <x:t xml:space="preserve">Pagina Conex nu publică un fișier tehnic asociat pentru acest SKU.</x:t>
  </x:si>
  <x:si>
    <x:t xml:space="preserve">https://www.conexelectronic.ro/cumpara/disjunctor-3p-63a-ac400v-6ka-curba-c-tongou-16218</x:t>
  </x:si>
  <x:si>
    <x:t xml:space="preserve">Pagina Conex nu publică un fișier tehnic asociat pentru acest SKU. Stoc epuizat: 0 bucăți. Prețul este cel afișat, fără disponibilitate pentru comandă imediată.</x:t>
  </x:si>
  <x:si>
    <x:t xml:space="preserve">43094</x:t>
  </x:si>
  <x:si>
    <x:t xml:space="preserve">DESCARCATOR SUPRATENSIUNE SPD AC 2P 15KA-40KA 275V TONGOU</x:t>
  </x:si>
  <x:si>
    <x:t xml:space="preserve">https://www.conexelectronic.ro/cumpara/descarcator-supratensiune-spd-ac-2p-15ka-40ka-275v-tongou-16223</x:t>
  </x:si>
  <x:si>
    <x:t xml:space="preserve">43095</x:t>
  </x:si>
  <x:si>
    <x:t xml:space="preserve">DESCARCATOR SUPRATENSIUNE SPD AC 3P 15KA-40KA 275V TONGOU</x:t>
  </x:si>
  <x:si>
    <x:t xml:space="preserve">https://www.conexelectronic.ro/cumpara/descarcator-supratensiune-spd-ac-3p-15ka-40ka-275v-tongou-16224</x:t>
  </x:si>
  <x:si>
    <x:t xml:space="preserve">43096</x:t>
  </x:si>
  <x:si>
    <x:t xml:space="preserve">DESCARCATOR SUPRATENSIUNE SPD AC 4P 15KA-40KA 275V TONGOU</x:t>
  </x:si>
  <x:si>
    <x:t xml:space="preserve">https://www.conexelectronic.ro/cumpara/descarcator-supratensiune-spd-ac-4p-15ka-40ka-275v-tongou-16225</x:t>
  </x:si>
  <x:si>
    <x:t xml:space="preserve">43097</x:t>
  </x:si>
  <x:si>
    <x:t xml:space="preserve">DESCARCATOR SUPRATENSIUNE SPD DC 2P 20kA-40kA 500V TONGOU</x:t>
  </x:si>
  <x:si>
    <x:t xml:space="preserve">SPD DC: nu se compară ca înlocuitor al variantei AC. Tensiunea DC și curentul de descărcare sunt distincte.</x:t>
  </x:si>
  <x:si>
    <x:t xml:space="preserve">https://www.conexelectronic.ro/cumpara/descarcator-supratensiune-spd-dc-2p-20ka-40ka-500v-tongou-16226</x:t>
  </x:si>
  <x:si>
    <x:t xml:space="preserve">43098</x:t>
  </x:si>
  <x:si>
    <x:t xml:space="preserve">DESCARCATOR SUPRATENSIUNE SPD DC 3P 20kA-40kA 1000V TONGOU</x:t>
  </x:si>
  <x:si>
    <x:t xml:space="preserve">https://www.conexelectronic.ro/cumpara/descarcator-supratensiune-spd-dc-3p-20ka-40ka-1000v-tongou-16227</x:t>
  </x:si>
</x:sst>
</file>

<file path=xl/styles.xml><?xml version="1.0" encoding="utf-8"?>
<x:styleSheet xmlns:x="http://schemas.openxmlformats.org/spreadsheetml/2006/main">
  <x:numFmts count="1">
    <x:numFmt numFmtId="200" formatCode="+0;-0;0"/>
  </x:numFmts>
  <x:fonts count="8">
    <x:font>
      <x:sz val="11"/>
      <x:name val="Carlito"/>
    </x:font>
    <x:font>
      <x:sz val="11"/>
      <x:color rgb="FF243B53"/>
      <x:name val="Arial"/>
    </x:font>
    <x:font>
      <x:b/>
      <x:sz val="18"/>
      <x:color rgb="FFFFFFFF"/>
      <x:name val="Arial"/>
    </x:font>
    <x:font>
      <x:b/>
      <x:sz val="11"/>
      <x:color rgb="FFFFFFFF"/>
      <x:name val="Arial"/>
    </x:font>
    <x:font>
      <x:sz val="11"/>
      <x:color rgb="FF155EAD"/>
      <x:name val="Arial"/>
    </x:font>
    <x:font>
      <x:sz val="11"/>
      <x:color rgb="FF8A5700"/>
      <x:name val="Arial"/>
    </x:font>
    <x:font>
      <x:sz val="11"/>
      <x:color rgb="FFB42318"/>
      <x:name val="Arial"/>
    </x:font>
    <x:font>
      <x:sz val="11"/>
      <x:color rgb="FF267347"/>
      <x:name val="Arial"/>
    </x:font>
  </x:fonts>
  <x:fills count="12">
    <x:fill>
      <x:patternFill patternType="none"/>
    </x:fill>
    <x:fill>
      <x:patternFill patternType="gray125"/>
    </x:fill>
    <x:fill>
      <x:patternFill patternType="solid">
        <x:fgColor rgb="FF243B53"/>
      </x:patternFill>
    </x:fill>
    <x:fill>
      <x:patternFill patternType="solid">
        <x:fgColor rgb="FFEAF2FC"/>
      </x:patternFill>
    </x:fill>
    <x:fill>
      <x:patternFill patternType="solid">
        <x:fgColor rgb="FFFFF2CC"/>
      </x:patternFill>
    </x:fill>
    <x:fill>
      <x:patternFill patternType="solid">
        <x:fgColor rgb="FFFDE9E7"/>
      </x:patternFill>
    </x:fill>
    <x:fill>
      <x:patternFill patternType="solid">
        <x:fgColor rgb="FFECF8EF"/>
      </x:patternFill>
    </x:fill>
    <x:fill>
      <x:patternFill patternType="solid">
        <x:fgColor rgb="FF243B53"/>
      </x:patternFill>
    </x:fill>
    <x:fill>
      <x:patternFill patternType="solid">
        <x:fgColor rgb="FFFFF2CC"/>
      </x:patternFill>
    </x:fill>
    <x:fill>
      <x:patternFill patternType="solid">
        <x:fgColor rgb="FFF0F4F8"/>
      </x:patternFill>
    </x:fill>
    <x:fill>
      <x:patternFill patternType="solid">
        <x:fgColor rgb="FFEAF2FC"/>
      </x:patternFill>
    </x:fill>
    <x:fill>
      <x:patternFill patternType="solid">
        <x:fgColor rgb="FFFDE9E7"/>
      </x:patternFill>
    </x:fill>
  </x:fills>
  <x:borders count="1">
    <x:border/>
  </x:borders>
  <x:cellStyleXfs count="1">
    <x:xf numFmtId="0" fontId="0" fillId="0" borderId="0"/>
  </x:cellStyleXfs>
  <x:cellXfs count="23">
    <x:xf numFmtId="0" fontId="0" fillId="0" borderId="0" xfId="0"/>
    <x:xf numFmtId="0" fontId="1" fillId="0" borderId="0" xfId="0" applyFont="1" applyAlignment="1">
      <x:alignment vertical="center" wrapText="1"/>
    </x:xf>
    <x:xf numFmtId="0" fontId="1" fillId="2" borderId="0" xfId="0" applyFont="1" applyFill="1" applyAlignment="1">
      <x:alignment vertical="center" wrapText="1"/>
    </x:xf>
    <x:xf numFmtId="0" fontId="3" fillId="2" borderId="0" xfId="0" applyFont="1" applyFill="1" applyAlignment="1">
      <x:alignment vertical="center" wrapText="1"/>
    </x:xf>
    <x:xf numFmtId="0" fontId="4" fillId="3" borderId="0" xfId="0" applyFont="1" applyFill="1" applyAlignment="1">
      <x:alignment vertical="center" wrapText="1"/>
    </x:xf>
    <x:xf numFmtId="4" fontId="1" fillId="0" borderId="0" xfId="0" applyNumberFormat="1" applyFont="1" applyAlignment="1">
      <x:alignment vertical="center" wrapText="1"/>
    </x:xf>
    <x:xf numFmtId="0" fontId="5" fillId="4" borderId="0" xfId="0" applyFont="1" applyFill="1" applyAlignment="1">
      <x:alignment vertical="center" wrapText="1"/>
    </x:xf>
    <x:xf numFmtId="0" fontId="6" fillId="5" borderId="0" xfId="0" applyFont="1" applyFill="1" applyAlignment="1">
      <x:alignment vertical="center" wrapText="1"/>
    </x:xf>
    <x:xf numFmtId="0" fontId="7" fillId="6" borderId="0" xfId="0" applyFont="1" applyFill="1" applyAlignment="1">
      <x:alignment vertical="center" wrapText="1"/>
    </x:xf>
    <x:xf numFmtId="0" fontId="2" fillId="2" borderId="0" xfId="0" applyFont="1" applyFill="1" applyAlignment="1">
      <x:alignment vertical="center" wrapText="1"/>
    </x:xf>
    <x:xf numFmtId="0" fontId="1" fillId="2" borderId="0" xfId="0" applyFont="1" applyFill="1" applyAlignment="1">
      <x:alignment vertical="center" wrapText="1"/>
    </x:xf>
    <x:xf numFmtId="0" fontId="1" fillId="0" borderId="0" xfId="0" applyFont="1" applyAlignment="1">
      <x:alignment vertical="center" wrapText="1"/>
    </x:xf>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2" fillId="7" borderId="0" xfId="0" applyNumberFormat="1" applyFont="1" applyFill="1" applyBorder="1" applyAlignment="1">
      <x:alignment vertical="center" wrapText="1"/>
    </x:xf>
    <x:xf numFmtId="0" fontId="3" fillId="7" borderId="0" xfId="0" applyNumberFormat="1" applyFont="1" applyFill="1" applyBorder="1" applyAlignment="1">
      <x:alignment vertical="center" wrapText="1"/>
    </x:xf>
    <x:xf numFmtId="0" fontId="1" fillId="8" borderId="0" xfId="0" applyNumberFormat="1" applyFont="1" applyFill="1" applyBorder="1" applyAlignment="1">
      <x:alignment vertical="center" wrapText="1"/>
    </x:xf>
    <x:xf numFmtId="0" fontId="1" fillId="9" borderId="0" xfId="0" applyNumberFormat="1" applyFont="1" applyFill="1" applyBorder="1" applyAlignment="1">
      <x:alignment vertical="center" wrapText="1"/>
    </x:xf>
    <x:xf numFmtId="0" fontId="1" fillId="1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4bd774c0ab4dce" /><Relationship Type="http://schemas.openxmlformats.org/officeDocument/2006/relationships/theme" Target="/xl/theme/theme1.xml" Id="R45e8ab42f82144e9" /><Relationship Type="http://schemas.openxmlformats.org/officeDocument/2006/relationships/sharedStrings" Target="/xl/sharedStrings.xml" Id="Rb9e719b7c2d9446e" /><Relationship Type="http://schemas.openxmlformats.org/officeDocument/2006/relationships/worksheet" Target="/xl/worksheets/sheet1.xml" Id="Re9925dae77644c47" /><Relationship Type="http://schemas.openxmlformats.org/officeDocument/2006/relationships/worksheet" Target="/xl/worksheets/sheet2.xml" Id="R76ad23554f7c4e96" /><Relationship Type="http://schemas.openxmlformats.org/officeDocument/2006/relationships/worksheet" Target="/xl/worksheets/sheet3.xml" Id="Rd2a79647b07849a6" /><Relationship Type="http://schemas.openxmlformats.org/officeDocument/2006/relationships/worksheet" Target="/xl/worksheets/sheet4.xml" Id="Rb64dfa1363954f26" /><Relationship Type="http://schemas.openxmlformats.org/officeDocument/2006/relationships/worksheet" Target="/xl/worksheets/sheet5.xml" Id="Rdae472a7c7b44aa6" /></Relationships>
</file>

<file path=xl/tables/table1.xml><?xml version="1.0" encoding="utf-8"?>
<x:table xmlns:x="http://schemas.openxmlformats.org/spreadsheetml/2006/main" id="1" name="T1" displayName="T1_" ref="A5:N144" totalsRowShown="0">
  <x:tableColumns count="14">
    <x:tableColumn id="1" name="ID existent"/>
    <x:tableColumn id="2" name="Foto / poziție"/>
    <x:tableColumn id="3" name="Echipament existent"/>
    <x:tableColumn id="4" name="Statut"/>
    <x:tableColumn id="5" name="SKU preferat"/>
    <x:tableColumn id="6" name="Model / produs"/>
    <x:tableColumn id="7" name="Protocol"/>
    <x:tableColumn id="8" name="Alternative SKU"/>
    <x:tableColumn id="9" name="Propunere"/>
    <x:tableColumn id="10" name="Diferențe / condiții"/>
    <x:tableColumn id="11" name="Stoc buc."/>
    <x:tableColumn id="12" name="Data stoc"/>
    <x:tableColumn id="13" name="Preț RON cu TVA"/>
    <x:tableColumn id="14" name="Sursă"/>
  </x:tableColumns>
  <x:tableStyleInfo name="TableStyleLight9" showFirstColumn="0" showLastColumn="0" showRowStripes="1" showColumnStripes="0"/>
</x:table>
</file>

<file path=xl/tables/table2.xml><?xml version="1.0" encoding="utf-8"?>
<x:table xmlns:x="http://schemas.openxmlformats.org/spreadsheetml/2006/main" id="2" name="T2" displayName="T2_" ref="A5:K144" totalsRowShown="0">
  <x:tableColumns count="11">
    <x:tableColumn id="1" name="ID"/>
    <x:tableColumn id="2" name="Foto"/>
    <x:tableColumn id="3" name="Pozitie"/>
    <x:tableColumn id="4" name="Tip"/>
    <x:tableColumn id="5" name="Cantitate"/>
    <x:tableColumn id="6" name="Poli"/>
    <x:tableColumn id="7" name="Marcaj"/>
    <x:tableColumn id="8" name="Marca"/>
    <x:tableColumn id="9" name="Certitudine"/>
    <x:tableColumn id="10" name="Observatii"/>
    <x:tableColumn id="11" name="Plan"/>
  </x:tableColumns>
  <x:tableStyleInfo name="TableStyleLight9" showFirstColumn="0" showLastColumn="0" showRowStripes="1" showColumnStripes="0"/>
</x:table>
</file>

<file path=xl/tables/table3.xml><?xml version="1.0" encoding="utf-8"?>
<x:table xmlns:x="http://schemas.openxmlformats.org/spreadsheetml/2006/main" id="3" name="T3" displayName="T3_" ref="A5:C16" totalsRowShown="0">
  <x:tableColumns count="3">
    <x:tableColumn id="1" name="Temă"/>
    <x:tableColumn id="2" name="Obiectiv"/>
    <x:tableColumn id="3" name="Condiții și verificări"/>
  </x:tableColumns>
  <x:tableStyleInfo name="TableStyleLight9" showFirstColumn="0" showLastColumn="0" showRowStripes="1" showColumnStripes="0"/>
</x:table>
</file>

<file path=xl/tables/table4.xml><?xml version="1.0" encoding="utf-8"?>
<x:table xmlns:x="http://schemas.openxmlformats.org/spreadsheetml/2006/main" id="4" name="T4" displayName="T4_" ref="A5:J21" totalsRowShown="0">
  <x:tableColumns count="10">
    <x:tableColumn id="1" name="SKU"/>
    <x:tableColumn id="2" name="Denumire"/>
    <x:tableColumn id="3" name="Protocol"/>
    <x:tableColumn id="4" name="Poli"/>
    <x:tableColumn id="5" name="Curent A"/>
    <x:tableColumn id="6" name="Diferențial mA"/>
    <x:tableColumn id="7" name="Stoc"/>
    <x:tableColumn id="8" name="RON cu TVA"/>
    <x:tableColumn id="9" name="Observații"/>
    <x:tableColumn id="10" name="Sursă"/>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6685aa6374c4896" /></Relationships>
</file>

<file path=xl/worksheets/_rels/sheet2.xml.rels>&#65279;<?xml version="1.0" encoding="utf-8"?><Relationships xmlns="http://schemas.openxmlformats.org/package/2006/relationships"><Relationship Type="http://schemas.openxmlformats.org/officeDocument/2006/relationships/table" Target="/xl/tables/table2.xml" Id="R2162b4205f254af1" /></Relationships>
</file>

<file path=xl/worksheets/_rels/sheet3.xml.rels>&#65279;<?xml version="1.0" encoding="utf-8"?><Relationships xmlns="http://schemas.openxmlformats.org/package/2006/relationships"><Relationship Type="http://schemas.openxmlformats.org/officeDocument/2006/relationships/table" Target="/xl/tables/table3.xml" Id="R27543bb861f74716" /></Relationships>
</file>

<file path=xl/worksheets/_rels/sheet4.xml.rels>&#65279;<?xml version="1.0" encoding="utf-8"?><Relationships xmlns="http://schemas.openxmlformats.org/package/2006/relationships"><Relationship Type="http://schemas.openxmlformats.org/officeDocument/2006/relationships/table" Target="/xl/tables/table4.xml" Id="R5ebefbe492cc4f5c" /></Relationships>
</file>

<file path=xl/worksheets/sheet1.xml><?xml version="1.0" encoding="utf-8"?>
<x:worksheet xmlns:x="http://schemas.openxmlformats.org/spreadsheetml/2006/main">
  <x:sheetViews>
    <x:sheetView showGridLines="0" workbookViewId="0">
      <x:pane xSplit="2" ySplit="20" topLeftCell="C21" activePane="bottomRight" state="frozen"/>
    </x:sheetView>
  </x:sheetViews>
  <x:sheetFormatPr defaultRowHeight="14.399999618530273"/>
  <x:cols>
    <x:col min="1" max="1" width="12" customWidth="1"/>
    <x:col min="2" max="2" width="40" customWidth="1"/>
    <x:col min="3" max="3" width="35" customWidth="1"/>
    <x:col min="4" max="4" width="29" customWidth="1"/>
    <x:col min="5" max="5" width="15" customWidth="1"/>
    <x:col min="6" max="6" width="48" customWidth="1"/>
    <x:col min="7" max="7" width="14" customWidth="1"/>
    <x:col min="8" max="8" width="22" customWidth="1"/>
    <x:col min="9" max="9" width="52" customWidth="1"/>
    <x:col min="10" max="10" width="90" customWidth="1"/>
    <x:col min="11" max="11" width="12" customWidth="1"/>
    <x:col min="12" max="12" width="16" customWidth="1"/>
    <x:col min="13" max="13" width="18" customWidth="1"/>
    <x:col min="14" max="14" width="52" customWidth="1"/>
  </x:cols>
  <x:sheetData>
    <x:row r="1" ht="37.95000076293945" customHeight="1">
      <x:c r="A1" s="9" t="s">
        <x:v>0</x:v>
      </x:c>
      <x:c r="B1" s="10"/>
      <x:c r="C1" s="10"/>
      <x:c r="D1" s="10"/>
      <x:c r="E1" s="10"/>
      <x:c r="F1" s="2"/>
      <x:c r="G1" s="2"/>
      <x:c r="H1" s="2"/>
      <x:c r="I1" s="2"/>
      <x:c r="J1" s="2"/>
      <x:c r="K1" s="2"/>
      <x:c r="L1" s="2"/>
      <x:c r="M1" s="2"/>
      <x:c r="N1" s="2"/>
    </x:row>
    <x:row r="2" ht="55.04999923706055" customHeight="1">
      <x:c r="A2" s="11" t="s">
        <x:v>1</x:v>
      </x:c>
      <x:c r="B2" s="11"/>
      <x:c r="C2" s="11"/>
      <x:c r="D2" s="11"/>
      <x:c r="E2" s="11"/>
      <x:c r="F2" s="1"/>
      <x:c r="G2" s="1"/>
      <x:c r="H2" s="1"/>
      <x:c r="I2" s="1"/>
      <x:c r="J2" s="1"/>
      <x:c r="K2" s="1"/>
      <x:c r="L2" s="1"/>
      <x:c r="M2" s="1"/>
      <x:c r="N2" s="1"/>
    </x:row>
    <x:row r="3" ht="40.04999923706055" customHeight="1">
      <x:c r="A3" s="11" t="s">
        <x:v>2</x:v>
      </x:c>
      <x:c r="B3" s="11"/>
      <x:c r="C3" s="11"/>
      <x:c r="D3" s="11"/>
      <x:c r="E3" s="11"/>
      <x:c r="F3" s="1"/>
      <x:c r="G3" s="1"/>
      <x:c r="H3" s="1"/>
      <x:c r="I3" s="1"/>
      <x:c r="J3" s="1"/>
      <x:c r="K3" s="1"/>
      <x:c r="L3" s="1"/>
      <x:c r="M3" s="1"/>
      <x:c r="N3" s="1"/>
    </x:row>
    <x:row r="4" ht="12" customHeight="1">
      <x:c r="A4" s="1"/>
      <x:c r="B4" s="1"/>
      <x:c r="C4" s="1"/>
      <x:c r="D4" s="1"/>
      <x:c r="E4" s="1"/>
      <x:c r="F4" s="1"/>
      <x:c r="G4" s="1"/>
      <x:c r="H4" s="1"/>
      <x:c r="I4" s="1"/>
      <x:c r="J4" s="1"/>
      <x:c r="K4" s="1"/>
      <x:c r="L4" s="1"/>
      <x:c r="M4" s="1"/>
      <x:c r="N4" s="1"/>
    </x:row>
    <x:row r="5" ht="34.95000076293945" customHeight="1">
      <x:c r="A5" s="3" t="s">
        <x:v>3</x:v>
      </x:c>
      <x:c r="B5" s="3" t="s">
        <x:v>4</x:v>
      </x:c>
      <x:c r="C5" s="3" t="s">
        <x:v>5</x:v>
      </x:c>
      <x:c r="D5" s="3" t="s">
        <x:v>6</x:v>
      </x:c>
      <x:c r="E5" s="3" t="s">
        <x:v>7</x:v>
      </x:c>
      <x:c r="F5" s="3" t="s">
        <x:v>8</x:v>
      </x:c>
      <x:c r="G5" s="3" t="s">
        <x:v>9</x:v>
      </x:c>
      <x:c r="H5" s="3" t="s">
        <x:v>10</x:v>
      </x:c>
      <x:c r="I5" s="3" t="s">
        <x:v>11</x:v>
      </x:c>
      <x:c r="J5" s="3" t="s">
        <x:v>12</x:v>
      </x:c>
      <x:c r="K5" s="3" t="s">
        <x:v>13</x:v>
      </x:c>
      <x:c r="L5" s="3" t="s">
        <x:v>14</x:v>
      </x:c>
      <x:c r="M5" s="3" t="s">
        <x:v>15</x:v>
      </x:c>
      <x:c r="N5" s="3" t="s">
        <x:v>16</x:v>
      </x:c>
    </x:row>
    <x:row r="6" ht="145.0500030517578" customHeight="1">
      <x:c r="A6" s="1" t="s">
        <x:v>17</x:v>
      </x:c>
      <x:c r="B6" s="1" t="s">
        <x:v>18</x:v>
      </x:c>
      <x:c r="C6" s="1" t="s">
        <x:v>19</x:v>
      </x:c>
      <x:c r="D6" s="4" t="s">
        <x:v>20</x:v>
      </x:c>
      <x:c r="E6" s="1" t="s">
        <x:v>21</x:v>
      </x:c>
      <x:c r="F6" s="1" t="s">
        <x:v>22</x:v>
      </x:c>
      <x:c r="G6" s="1" t="s">
        <x:v>23</x:v>
      </x:c>
      <x:c r="H6" s="1" t="s">
        <x:v>24</x:v>
      </x:c>
      <x:c r="I6" s="1" t="s">
        <x:v>25</x:v>
      </x:c>
      <x:c r="J6" s="1" t="s">
        <x:v>26</x:v>
      </x:c>
      <x:c r="K6" s="1">
        <x:v>2</x:v>
      </x:c>
      <x:c r="L6" s="1" t="s">
        <x:v>27</x:v>
      </x:c>
      <x:c r="M6" s="5">
        <x:v>719</x:v>
      </x:c>
      <x:c r="N6" s="1" t="s">
        <x:v>28</x:v>
      </x:c>
    </x:row>
    <x:row r="7" ht="145.0500030517578" customHeight="1">
      <x:c r="A7" s="1" t="s">
        <x:v>29</x:v>
      </x:c>
      <x:c r="B7" s="1" t="s">
        <x:v>30</x:v>
      </x:c>
      <x:c r="C7" s="1" t="s">
        <x:v>31</x:v>
      </x:c>
      <x:c r="D7" s="6" t="s">
        <x:v>32</x:v>
      </x:c>
      <x:c r="E7" s="1"/>
      <x:c r="F7" s="1" t="s">
        <x:v>33</x:v>
      </x:c>
      <x:c r="G7" s="1" t="s">
        <x:v>34</x:v>
      </x:c>
      <x:c r="H7" s="1"/>
      <x:c r="I7" s="1" t="s">
        <x:v>35</x:v>
      </x:c>
      <x:c r="J7" s="1" t="s">
        <x:v>36</x:v>
      </x:c>
      <x:c r="K7" s="1" t="s">
        <x:v>34</x:v>
      </x:c>
      <x:c r="L7" s="1" t="s">
        <x:v>34</x:v>
      </x:c>
      <x:c r="M7" s="5" t="s">
        <x:v>34</x:v>
      </x:c>
      <x:c r="N7" s="1" t="s">
        <x:v>37</x:v>
      </x:c>
    </x:row>
    <x:row r="8" ht="145.0500030517578" customHeight="1">
      <x:c r="A8" s="1" t="s">
        <x:v>38</x:v>
      </x:c>
      <x:c r="B8" s="1" t="s">
        <x:v>39</x:v>
      </x:c>
      <x:c r="C8" s="1" t="s">
        <x:v>40</x:v>
      </x:c>
      <x:c r="D8" s="6" t="s">
        <x:v>32</x:v>
      </x:c>
      <x:c r="E8" s="1"/>
      <x:c r="F8" s="1" t="s">
        <x:v>33</x:v>
      </x:c>
      <x:c r="G8" s="1" t="s">
        <x:v>34</x:v>
      </x:c>
      <x:c r="H8" s="1"/>
      <x:c r="I8" s="1" t="s">
        <x:v>35</x:v>
      </x:c>
      <x:c r="J8" s="1" t="s">
        <x:v>41</x:v>
      </x:c>
      <x:c r="K8" s="1" t="s">
        <x:v>34</x:v>
      </x:c>
      <x:c r="L8" s="1" t="s">
        <x:v>34</x:v>
      </x:c>
      <x:c r="M8" s="5" t="s">
        <x:v>34</x:v>
      </x:c>
      <x:c r="N8" s="1" t="s">
        <x:v>37</x:v>
      </x:c>
    </x:row>
    <x:row r="9" ht="145.0500030517578" customHeight="1">
      <x:c r="A9" s="1" t="s">
        <x:v>42</x:v>
      </x:c>
      <x:c r="B9" s="1" t="s">
        <x:v>43</x:v>
      </x:c>
      <x:c r="C9" s="1" t="s">
        <x:v>40</x:v>
      </x:c>
      <x:c r="D9" s="6" t="s">
        <x:v>32</x:v>
      </x:c>
      <x:c r="E9" s="1"/>
      <x:c r="F9" s="1" t="s">
        <x:v>33</x:v>
      </x:c>
      <x:c r="G9" s="1" t="s">
        <x:v>34</x:v>
      </x:c>
      <x:c r="H9" s="1"/>
      <x:c r="I9" s="1" t="s">
        <x:v>35</x:v>
      </x:c>
      <x:c r="J9" s="1" t="s">
        <x:v>41</x:v>
      </x:c>
      <x:c r="K9" s="1" t="s">
        <x:v>34</x:v>
      </x:c>
      <x:c r="L9" s="1" t="s">
        <x:v>34</x:v>
      </x:c>
      <x:c r="M9" s="5" t="s">
        <x:v>34</x:v>
      </x:c>
      <x:c r="N9" s="1" t="s">
        <x:v>37</x:v>
      </x:c>
    </x:row>
    <x:row r="10" ht="145.0500030517578" customHeight="1">
      <x:c r="A10" s="1" t="s">
        <x:v>44</x:v>
      </x:c>
      <x:c r="B10" s="1" t="s">
        <x:v>45</x:v>
      </x:c>
      <x:c r="C10" s="1" t="s">
        <x:v>40</x:v>
      </x:c>
      <x:c r="D10" s="6" t="s">
        <x:v>32</x:v>
      </x:c>
      <x:c r="E10" s="1"/>
      <x:c r="F10" s="1" t="s">
        <x:v>33</x:v>
      </x:c>
      <x:c r="G10" s="1" t="s">
        <x:v>34</x:v>
      </x:c>
      <x:c r="H10" s="1"/>
      <x:c r="I10" s="1" t="s">
        <x:v>35</x:v>
      </x:c>
      <x:c r="J10" s="1" t="s">
        <x:v>41</x:v>
      </x:c>
      <x:c r="K10" s="1" t="s">
        <x:v>34</x:v>
      </x:c>
      <x:c r="L10" s="1" t="s">
        <x:v>34</x:v>
      </x:c>
      <x:c r="M10" s="5" t="s">
        <x:v>34</x:v>
      </x:c>
      <x:c r="N10" s="1" t="s">
        <x:v>37</x:v>
      </x:c>
    </x:row>
    <x:row r="11" ht="145.0500030517578" customHeight="1">
      <x:c r="A11" s="1" t="s">
        <x:v>46</x:v>
      </x:c>
      <x:c r="B11" s="1" t="s">
        <x:v>47</x:v>
      </x:c>
      <x:c r="C11" s="1" t="s">
        <x:v>48</x:v>
      </x:c>
      <x:c r="D11" s="4" t="s">
        <x:v>20</x:v>
      </x:c>
      <x:c r="E11" s="1" t="s">
        <x:v>49</x:v>
      </x:c>
      <x:c r="F11" s="1" t="s">
        <x:v>50</x:v>
      </x:c>
      <x:c r="G11" s="1" t="s">
        <x:v>23</x:v>
      </x:c>
      <x:c r="H11" s="1" t="s">
        <x:v>51</x:v>
      </x:c>
      <x:c r="I11" s="1" t="s">
        <x:v>52</x:v>
      </x:c>
      <x:c r="J11" s="1" t="s">
        <x:v>53</x:v>
      </x:c>
      <x:c r="K11" s="1">
        <x:v>1</x:v>
      </x:c>
      <x:c r="L11" s="1" t="s">
        <x:v>27</x:v>
      </x:c>
      <x:c r="M11" s="5">
        <x:v>695</x:v>
      </x:c>
      <x:c r="N11" s="1" t="s">
        <x:v>54</x:v>
      </x:c>
    </x:row>
    <x:row r="12" ht="145.0500030517578" customHeight="1">
      <x:c r="A12" s="1" t="s">
        <x:v>55</x:v>
      </x:c>
      <x:c r="B12" s="1" t="s">
        <x:v>56</x:v>
      </x:c>
      <x:c r="C12" s="1" t="s">
        <x:v>57</x:v>
      </x:c>
      <x:c r="D12" s="6" t="s">
        <x:v>32</x:v>
      </x:c>
      <x:c r="E12" s="1"/>
      <x:c r="F12" s="1" t="s">
        <x:v>33</x:v>
      </x:c>
      <x:c r="G12" s="1" t="s">
        <x:v>34</x:v>
      </x:c>
      <x:c r="H12" s="1"/>
      <x:c r="I12" s="1" t="s">
        <x:v>35</x:v>
      </x:c>
      <x:c r="J12" s="1" t="s">
        <x:v>58</x:v>
      </x:c>
      <x:c r="K12" s="1" t="s">
        <x:v>34</x:v>
      </x:c>
      <x:c r="L12" s="1" t="s">
        <x:v>34</x:v>
      </x:c>
      <x:c r="M12" s="5" t="s">
        <x:v>34</x:v>
      </x:c>
      <x:c r="N12" s="1" t="s">
        <x:v>37</x:v>
      </x:c>
    </x:row>
    <x:row r="13" ht="145.0500030517578" customHeight="1">
      <x:c r="A13" s="1" t="s">
        <x:v>59</x:v>
      </x:c>
      <x:c r="B13" s="1" t="s">
        <x:v>60</x:v>
      </x:c>
      <x:c r="C13" s="1" t="s">
        <x:v>61</x:v>
      </x:c>
      <x:c r="D13" s="6" t="s">
        <x:v>32</x:v>
      </x:c>
      <x:c r="E13" s="1"/>
      <x:c r="F13" s="1" t="s">
        <x:v>33</x:v>
      </x:c>
      <x:c r="G13" s="1" t="s">
        <x:v>34</x:v>
      </x:c>
      <x:c r="H13" s="1"/>
      <x:c r="I13" s="1" t="s">
        <x:v>35</x:v>
      </x:c>
      <x:c r="J13" s="1" t="s">
        <x:v>62</x:v>
      </x:c>
      <x:c r="K13" s="1" t="s">
        <x:v>34</x:v>
      </x:c>
      <x:c r="L13" s="1" t="s">
        <x:v>34</x:v>
      </x:c>
      <x:c r="M13" s="5" t="s">
        <x:v>34</x:v>
      </x:c>
      <x:c r="N13" s="1" t="s">
        <x:v>37</x:v>
      </x:c>
    </x:row>
    <x:row r="14" ht="145.0500030517578" customHeight="1">
      <x:c r="A14" s="1" t="s">
        <x:v>63</x:v>
      </x:c>
      <x:c r="B14" s="1" t="s">
        <x:v>64</x:v>
      </x:c>
      <x:c r="C14" s="1" t="s">
        <x:v>65</x:v>
      </x:c>
      <x:c r="D14" s="6" t="s">
        <x:v>32</x:v>
      </x:c>
      <x:c r="E14" s="1"/>
      <x:c r="F14" s="1" t="s">
        <x:v>33</x:v>
      </x:c>
      <x:c r="G14" s="1" t="s">
        <x:v>34</x:v>
      </x:c>
      <x:c r="H14" s="1"/>
      <x:c r="I14" s="1" t="s">
        <x:v>35</x:v>
      </x:c>
      <x:c r="J14" s="1" t="s">
        <x:v>66</x:v>
      </x:c>
      <x:c r="K14" s="1" t="s">
        <x:v>34</x:v>
      </x:c>
      <x:c r="L14" s="1" t="s">
        <x:v>34</x:v>
      </x:c>
      <x:c r="M14" s="5" t="s">
        <x:v>34</x:v>
      </x:c>
      <x:c r="N14" s="1" t="s">
        <x:v>37</x:v>
      </x:c>
    </x:row>
    <x:row r="15" ht="145.0500030517578" customHeight="1">
      <x:c r="A15" s="1" t="s">
        <x:v>67</x:v>
      </x:c>
      <x:c r="B15" s="1" t="s">
        <x:v>68</x:v>
      </x:c>
      <x:c r="C15" s="1" t="s">
        <x:v>69</x:v>
      </x:c>
      <x:c r="D15" s="4" t="s">
        <x:v>20</x:v>
      </x:c>
      <x:c r="E15" s="1" t="s">
        <x:v>70</x:v>
      </x:c>
      <x:c r="F15" s="1" t="s">
        <x:v>71</x:v>
      </x:c>
      <x:c r="G15" s="1" t="s">
        <x:v>23</x:v>
      </x:c>
      <x:c r="H15" s="1" t="s">
        <x:v>72</x:v>
      </x:c>
      <x:c r="I15" s="1" t="s">
        <x:v>73</x:v>
      </x:c>
      <x:c r="J15" s="1" t="s">
        <x:v>74</x:v>
      </x:c>
      <x:c r="K15" s="1">
        <x:v>3</x:v>
      </x:c>
      <x:c r="L15" s="1" t="s">
        <x:v>27</x:v>
      </x:c>
      <x:c r="M15" s="5">
        <x:v>432</x:v>
      </x:c>
      <x:c r="N15" s="1" t="s">
        <x:v>75</x:v>
      </x:c>
    </x:row>
    <x:row r="16" ht="145.0500030517578" customHeight="1">
      <x:c r="A16" s="1" t="s">
        <x:v>76</x:v>
      </x:c>
      <x:c r="B16" s="1" t="s">
        <x:v>77</x:v>
      </x:c>
      <x:c r="C16" s="1" t="s">
        <x:v>69</x:v>
      </x:c>
      <x:c r="D16" s="4" t="s">
        <x:v>20</x:v>
      </x:c>
      <x:c r="E16" s="1" t="s">
        <x:v>70</x:v>
      </x:c>
      <x:c r="F16" s="1" t="s">
        <x:v>71</x:v>
      </x:c>
      <x:c r="G16" s="1" t="s">
        <x:v>23</x:v>
      </x:c>
      <x:c r="H16" s="1" t="s">
        <x:v>72</x:v>
      </x:c>
      <x:c r="I16" s="1" t="s">
        <x:v>73</x:v>
      </x:c>
      <x:c r="J16" s="1" t="s">
        <x:v>74</x:v>
      </x:c>
      <x:c r="K16" s="1">
        <x:v>3</x:v>
      </x:c>
      <x:c r="L16" s="1" t="s">
        <x:v>27</x:v>
      </x:c>
      <x:c r="M16" s="5">
        <x:v>432</x:v>
      </x:c>
      <x:c r="N16" s="1" t="s">
        <x:v>75</x:v>
      </x:c>
    </x:row>
    <x:row r="17" ht="145.0500030517578" customHeight="1">
      <x:c r="A17" s="1" t="s">
        <x:v>78</x:v>
      </x:c>
      <x:c r="B17" s="1" t="s">
        <x:v>79</x:v>
      </x:c>
      <x:c r="C17" s="1" t="s">
        <x:v>69</x:v>
      </x:c>
      <x:c r="D17" s="4" t="s">
        <x:v>20</x:v>
      </x:c>
      <x:c r="E17" s="1" t="s">
        <x:v>70</x:v>
      </x:c>
      <x:c r="F17" s="1" t="s">
        <x:v>71</x:v>
      </x:c>
      <x:c r="G17" s="1" t="s">
        <x:v>23</x:v>
      </x:c>
      <x:c r="H17" s="1" t="s">
        <x:v>72</x:v>
      </x:c>
      <x:c r="I17" s="1" t="s">
        <x:v>73</x:v>
      </x:c>
      <x:c r="J17" s="1" t="s">
        <x:v>74</x:v>
      </x:c>
      <x:c r="K17" s="1">
        <x:v>3</x:v>
      </x:c>
      <x:c r="L17" s="1" t="s">
        <x:v>27</x:v>
      </x:c>
      <x:c r="M17" s="5">
        <x:v>432</x:v>
      </x:c>
      <x:c r="N17" s="1" t="s">
        <x:v>75</x:v>
      </x:c>
    </x:row>
    <x:row r="18" ht="145.0500030517578" customHeight="1">
      <x:c r="A18" s="1" t="s">
        <x:v>80</x:v>
      </x:c>
      <x:c r="B18" s="1" t="s">
        <x:v>81</x:v>
      </x:c>
      <x:c r="C18" s="1" t="s">
        <x:v>69</x:v>
      </x:c>
      <x:c r="D18" s="4" t="s">
        <x:v>20</x:v>
      </x:c>
      <x:c r="E18" s="1" t="s">
        <x:v>70</x:v>
      </x:c>
      <x:c r="F18" s="1" t="s">
        <x:v>71</x:v>
      </x:c>
      <x:c r="G18" s="1" t="s">
        <x:v>23</x:v>
      </x:c>
      <x:c r="H18" s="1" t="s">
        <x:v>72</x:v>
      </x:c>
      <x:c r="I18" s="1" t="s">
        <x:v>73</x:v>
      </x:c>
      <x:c r="J18" s="1" t="s">
        <x:v>74</x:v>
      </x:c>
      <x:c r="K18" s="1">
        <x:v>3</x:v>
      </x:c>
      <x:c r="L18" s="1" t="s">
        <x:v>27</x:v>
      </x:c>
      <x:c r="M18" s="5">
        <x:v>432</x:v>
      </x:c>
      <x:c r="N18" s="1" t="s">
        <x:v>75</x:v>
      </x:c>
    </x:row>
    <x:row r="19" ht="145.0500030517578" customHeight="1">
      <x:c r="A19" s="1" t="s">
        <x:v>82</x:v>
      </x:c>
      <x:c r="B19" s="1" t="s">
        <x:v>83</x:v>
      </x:c>
      <x:c r="C19" s="1" t="s">
        <x:v>69</x:v>
      </x:c>
      <x:c r="D19" s="4" t="s">
        <x:v>20</x:v>
      </x:c>
      <x:c r="E19" s="1" t="s">
        <x:v>70</x:v>
      </x:c>
      <x:c r="F19" s="1" t="s">
        <x:v>71</x:v>
      </x:c>
      <x:c r="G19" s="1" t="s">
        <x:v>23</x:v>
      </x:c>
      <x:c r="H19" s="1" t="s">
        <x:v>72</x:v>
      </x:c>
      <x:c r="I19" s="1" t="s">
        <x:v>73</x:v>
      </x:c>
      <x:c r="J19" s="1" t="s">
        <x:v>74</x:v>
      </x:c>
      <x:c r="K19" s="1">
        <x:v>3</x:v>
      </x:c>
      <x:c r="L19" s="1" t="s">
        <x:v>27</x:v>
      </x:c>
      <x:c r="M19" s="5">
        <x:v>432</x:v>
      </x:c>
      <x:c r="N19" s="1" t="s">
        <x:v>75</x:v>
      </x:c>
    </x:row>
    <x:row r="20" ht="145.0500030517578" customHeight="1">
      <x:c r="A20" s="1" t="s">
        <x:v>84</x:v>
      </x:c>
      <x:c r="B20" s="1" t="s">
        <x:v>85</x:v>
      </x:c>
      <x:c r="C20" s="1" t="s">
        <x:v>69</x:v>
      </x:c>
      <x:c r="D20" s="4" t="s">
        <x:v>20</x:v>
      </x:c>
      <x:c r="E20" s="1" t="s">
        <x:v>70</x:v>
      </x:c>
      <x:c r="F20" s="1" t="s">
        <x:v>71</x:v>
      </x:c>
      <x:c r="G20" s="1" t="s">
        <x:v>23</x:v>
      </x:c>
      <x:c r="H20" s="1" t="s">
        <x:v>72</x:v>
      </x:c>
      <x:c r="I20" s="1" t="s">
        <x:v>73</x:v>
      </x:c>
      <x:c r="J20" s="1" t="s">
        <x:v>74</x:v>
      </x:c>
      <x:c r="K20" s="1">
        <x:v>3</x:v>
      </x:c>
      <x:c r="L20" s="1" t="s">
        <x:v>27</x:v>
      </x:c>
      <x:c r="M20" s="5">
        <x:v>432</x:v>
      </x:c>
      <x:c r="N20" s="1" t="s">
        <x:v>75</x:v>
      </x:c>
    </x:row>
    <x:row r="21" ht="145.0500030517578" customHeight="1">
      <x:c r="A21" s="1" t="s">
        <x:v>86</x:v>
      </x:c>
      <x:c r="B21" s="1" t="s">
        <x:v>87</x:v>
      </x:c>
      <x:c r="C21" s="1" t="s">
        <x:v>88</x:v>
      </x:c>
      <x:c r="D21" s="4" t="s">
        <x:v>20</x:v>
      </x:c>
      <x:c r="E21" s="1" t="s">
        <x:v>70</x:v>
      </x:c>
      <x:c r="F21" s="1" t="s">
        <x:v>71</x:v>
      </x:c>
      <x:c r="G21" s="1" t="s">
        <x:v>23</x:v>
      </x:c>
      <x:c r="H21" s="1" t="s">
        <x:v>72</x:v>
      </x:c>
      <x:c r="I21" s="1" t="s">
        <x:v>73</x:v>
      </x:c>
      <x:c r="J21" s="1" t="s">
        <x:v>89</x:v>
      </x:c>
      <x:c r="K21" s="1">
        <x:v>3</x:v>
      </x:c>
      <x:c r="L21" s="1" t="s">
        <x:v>27</x:v>
      </x:c>
      <x:c r="M21" s="5">
        <x:v>432</x:v>
      </x:c>
      <x:c r="N21" s="1" t="s">
        <x:v>75</x:v>
      </x:c>
    </x:row>
    <x:row r="22" ht="145.0500030517578" customHeight="1">
      <x:c r="A22" s="1" t="s">
        <x:v>90</x:v>
      </x:c>
      <x:c r="B22" s="1" t="s">
        <x:v>91</x:v>
      </x:c>
      <x:c r="C22" s="1" t="s">
        <x:v>88</x:v>
      </x:c>
      <x:c r="D22" s="4" t="s">
        <x:v>20</x:v>
      </x:c>
      <x:c r="E22" s="1" t="s">
        <x:v>70</x:v>
      </x:c>
      <x:c r="F22" s="1" t="s">
        <x:v>71</x:v>
      </x:c>
      <x:c r="G22" s="1" t="s">
        <x:v>23</x:v>
      </x:c>
      <x:c r="H22" s="1" t="s">
        <x:v>72</x:v>
      </x:c>
      <x:c r="I22" s="1" t="s">
        <x:v>73</x:v>
      </x:c>
      <x:c r="J22" s="1" t="s">
        <x:v>89</x:v>
      </x:c>
      <x:c r="K22" s="1">
        <x:v>3</x:v>
      </x:c>
      <x:c r="L22" s="1" t="s">
        <x:v>27</x:v>
      </x:c>
      <x:c r="M22" s="5">
        <x:v>432</x:v>
      </x:c>
      <x:c r="N22" s="1" t="s">
        <x:v>75</x:v>
      </x:c>
    </x:row>
    <x:row r="23" ht="145.0500030517578" customHeight="1">
      <x:c r="A23" s="1" t="s">
        <x:v>92</x:v>
      </x:c>
      <x:c r="B23" s="1" t="s">
        <x:v>93</x:v>
      </x:c>
      <x:c r="C23" s="1" t="s">
        <x:v>88</x:v>
      </x:c>
      <x:c r="D23" s="4" t="s">
        <x:v>20</x:v>
      </x:c>
      <x:c r="E23" s="1" t="s">
        <x:v>70</x:v>
      </x:c>
      <x:c r="F23" s="1" t="s">
        <x:v>71</x:v>
      </x:c>
      <x:c r="G23" s="1" t="s">
        <x:v>23</x:v>
      </x:c>
      <x:c r="H23" s="1" t="s">
        <x:v>72</x:v>
      </x:c>
      <x:c r="I23" s="1" t="s">
        <x:v>73</x:v>
      </x:c>
      <x:c r="J23" s="1" t="s">
        <x:v>94</x:v>
      </x:c>
      <x:c r="K23" s="1">
        <x:v>3</x:v>
      </x:c>
      <x:c r="L23" s="1" t="s">
        <x:v>27</x:v>
      </x:c>
      <x:c r="M23" s="5">
        <x:v>432</x:v>
      </x:c>
      <x:c r="N23" s="1" t="s">
        <x:v>75</x:v>
      </x:c>
    </x:row>
    <x:row r="24" ht="145.0500030517578" customHeight="1">
      <x:c r="A24" s="1" t="s">
        <x:v>95</x:v>
      </x:c>
      <x:c r="B24" s="1" t="s">
        <x:v>96</x:v>
      </x:c>
      <x:c r="C24" s="1" t="s">
        <x:v>97</x:v>
      </x:c>
      <x:c r="D24" s="4" t="s">
        <x:v>20</x:v>
      </x:c>
      <x:c r="E24" s="1" t="s">
        <x:v>70</x:v>
      </x:c>
      <x:c r="F24" s="1" t="s">
        <x:v>71</x:v>
      </x:c>
      <x:c r="G24" s="1" t="s">
        <x:v>23</x:v>
      </x:c>
      <x:c r="H24" s="1" t="s">
        <x:v>72</x:v>
      </x:c>
      <x:c r="I24" s="1" t="s">
        <x:v>73</x:v>
      </x:c>
      <x:c r="J24" s="1" t="s">
        <x:v>94</x:v>
      </x:c>
      <x:c r="K24" s="1">
        <x:v>3</x:v>
      </x:c>
      <x:c r="L24" s="1" t="s">
        <x:v>27</x:v>
      </x:c>
      <x:c r="M24" s="5">
        <x:v>432</x:v>
      </x:c>
      <x:c r="N24" s="1" t="s">
        <x:v>75</x:v>
      </x:c>
    </x:row>
    <x:row r="25" ht="145.0500030517578" customHeight="1">
      <x:c r="A25" s="1" t="s">
        <x:v>98</x:v>
      </x:c>
      <x:c r="B25" s="1" t="s">
        <x:v>99</x:v>
      </x:c>
      <x:c r="C25" s="1" t="s">
        <x:v>97</x:v>
      </x:c>
      <x:c r="D25" s="4" t="s">
        <x:v>20</x:v>
      </x:c>
      <x:c r="E25" s="1" t="s">
        <x:v>70</x:v>
      </x:c>
      <x:c r="F25" s="1" t="s">
        <x:v>71</x:v>
      </x:c>
      <x:c r="G25" s="1" t="s">
        <x:v>23</x:v>
      </x:c>
      <x:c r="H25" s="1" t="s">
        <x:v>72</x:v>
      </x:c>
      <x:c r="I25" s="1" t="s">
        <x:v>73</x:v>
      </x:c>
      <x:c r="J25" s="1" t="s">
        <x:v>94</x:v>
      </x:c>
      <x:c r="K25" s="1">
        <x:v>3</x:v>
      </x:c>
      <x:c r="L25" s="1" t="s">
        <x:v>27</x:v>
      </x:c>
      <x:c r="M25" s="5">
        <x:v>432</x:v>
      </x:c>
      <x:c r="N25" s="1" t="s">
        <x:v>75</x:v>
      </x:c>
    </x:row>
    <x:row r="26" ht="145.0500030517578" customHeight="1">
      <x:c r="A26" s="1" t="s">
        <x:v>100</x:v>
      </x:c>
      <x:c r="B26" s="1" t="s">
        <x:v>101</x:v>
      </x:c>
      <x:c r="C26" s="1" t="s">
        <x:v>97</x:v>
      </x:c>
      <x:c r="D26" s="4" t="s">
        <x:v>20</x:v>
      </x:c>
      <x:c r="E26" s="1" t="s">
        <x:v>70</x:v>
      </x:c>
      <x:c r="F26" s="1" t="s">
        <x:v>71</x:v>
      </x:c>
      <x:c r="G26" s="1" t="s">
        <x:v>23</x:v>
      </x:c>
      <x:c r="H26" s="1" t="s">
        <x:v>72</x:v>
      </x:c>
      <x:c r="I26" s="1" t="s">
        <x:v>73</x:v>
      </x:c>
      <x:c r="J26" s="1" t="s">
        <x:v>94</x:v>
      </x:c>
      <x:c r="K26" s="1">
        <x:v>3</x:v>
      </x:c>
      <x:c r="L26" s="1" t="s">
        <x:v>27</x:v>
      </x:c>
      <x:c r="M26" s="5">
        <x:v>432</x:v>
      </x:c>
      <x:c r="N26" s="1" t="s">
        <x:v>75</x:v>
      </x:c>
    </x:row>
    <x:row r="27" ht="145.0500030517578" customHeight="1">
      <x:c r="A27" s="1" t="s">
        <x:v>102</x:v>
      </x:c>
      <x:c r="B27" s="1" t="s">
        <x:v>103</x:v>
      </x:c>
      <x:c r="C27" s="1" t="s">
        <x:v>88</x:v>
      </x:c>
      <x:c r="D27" s="4" t="s">
        <x:v>20</x:v>
      </x:c>
      <x:c r="E27" s="1" t="s">
        <x:v>70</x:v>
      </x:c>
      <x:c r="F27" s="1" t="s">
        <x:v>71</x:v>
      </x:c>
      <x:c r="G27" s="1" t="s">
        <x:v>23</x:v>
      </x:c>
      <x:c r="H27" s="1" t="s">
        <x:v>72</x:v>
      </x:c>
      <x:c r="I27" s="1" t="s">
        <x:v>73</x:v>
      </x:c>
      <x:c r="J27" s="1" t="s">
        <x:v>89</x:v>
      </x:c>
      <x:c r="K27" s="1">
        <x:v>3</x:v>
      </x:c>
      <x:c r="L27" s="1" t="s">
        <x:v>27</x:v>
      </x:c>
      <x:c r="M27" s="5">
        <x:v>432</x:v>
      </x:c>
      <x:c r="N27" s="1" t="s">
        <x:v>75</x:v>
      </x:c>
    </x:row>
    <x:row r="28" ht="145.0500030517578" customHeight="1">
      <x:c r="A28" s="1" t="s">
        <x:v>104</x:v>
      </x:c>
      <x:c r="B28" s="1" t="s">
        <x:v>105</x:v>
      </x:c>
      <x:c r="C28" s="1" t="s">
        <x:v>88</x:v>
      </x:c>
      <x:c r="D28" s="4" t="s">
        <x:v>20</x:v>
      </x:c>
      <x:c r="E28" s="1" t="s">
        <x:v>70</x:v>
      </x:c>
      <x:c r="F28" s="1" t="s">
        <x:v>71</x:v>
      </x:c>
      <x:c r="G28" s="1" t="s">
        <x:v>23</x:v>
      </x:c>
      <x:c r="H28" s="1" t="s">
        <x:v>72</x:v>
      </x:c>
      <x:c r="I28" s="1" t="s">
        <x:v>73</x:v>
      </x:c>
      <x:c r="J28" s="1" t="s">
        <x:v>89</x:v>
      </x:c>
      <x:c r="K28" s="1">
        <x:v>3</x:v>
      </x:c>
      <x:c r="L28" s="1" t="s">
        <x:v>27</x:v>
      </x:c>
      <x:c r="M28" s="5">
        <x:v>432</x:v>
      </x:c>
      <x:c r="N28" s="1" t="s">
        <x:v>75</x:v>
      </x:c>
    </x:row>
    <x:row r="29" ht="145.0500030517578" customHeight="1">
      <x:c r="A29" s="1" t="s">
        <x:v>106</x:v>
      </x:c>
      <x:c r="B29" s="1" t="s">
        <x:v>107</x:v>
      </x:c>
      <x:c r="C29" s="1" t="s">
        <x:v>88</x:v>
      </x:c>
      <x:c r="D29" s="4" t="s">
        <x:v>20</x:v>
      </x:c>
      <x:c r="E29" s="1" t="s">
        <x:v>70</x:v>
      </x:c>
      <x:c r="F29" s="1" t="s">
        <x:v>71</x:v>
      </x:c>
      <x:c r="G29" s="1" t="s">
        <x:v>23</x:v>
      </x:c>
      <x:c r="H29" s="1" t="s">
        <x:v>72</x:v>
      </x:c>
      <x:c r="I29" s="1" t="s">
        <x:v>73</x:v>
      </x:c>
      <x:c r="J29" s="1" t="s">
        <x:v>89</x:v>
      </x:c>
      <x:c r="K29" s="1">
        <x:v>3</x:v>
      </x:c>
      <x:c r="L29" s="1" t="s">
        <x:v>27</x:v>
      </x:c>
      <x:c r="M29" s="5">
        <x:v>432</x:v>
      </x:c>
      <x:c r="N29" s="1" t="s">
        <x:v>75</x:v>
      </x:c>
    </x:row>
    <x:row r="30" ht="145.0500030517578" customHeight="1">
      <x:c r="A30" s="1" t="s">
        <x:v>108</x:v>
      </x:c>
      <x:c r="B30" s="1" t="s">
        <x:v>109</x:v>
      </x:c>
      <x:c r="C30" s="1" t="s">
        <x:v>97</x:v>
      </x:c>
      <x:c r="D30" s="4" t="s">
        <x:v>20</x:v>
      </x:c>
      <x:c r="E30" s="1" t="s">
        <x:v>70</x:v>
      </x:c>
      <x:c r="F30" s="1" t="s">
        <x:v>71</x:v>
      </x:c>
      <x:c r="G30" s="1" t="s">
        <x:v>23</x:v>
      </x:c>
      <x:c r="H30" s="1" t="s">
        <x:v>72</x:v>
      </x:c>
      <x:c r="I30" s="1" t="s">
        <x:v>73</x:v>
      </x:c>
      <x:c r="J30" s="1" t="s">
        <x:v>94</x:v>
      </x:c>
      <x:c r="K30" s="1">
        <x:v>3</x:v>
      </x:c>
      <x:c r="L30" s="1" t="s">
        <x:v>27</x:v>
      </x:c>
      <x:c r="M30" s="5">
        <x:v>432</x:v>
      </x:c>
      <x:c r="N30" s="1" t="s">
        <x:v>75</x:v>
      </x:c>
    </x:row>
    <x:row r="31" ht="145.0500030517578" customHeight="1">
      <x:c r="A31" s="1" t="s">
        <x:v>110</x:v>
      </x:c>
      <x:c r="B31" s="1" t="s">
        <x:v>111</x:v>
      </x:c>
      <x:c r="C31" s="1" t="s">
        <x:v>112</x:v>
      </x:c>
      <x:c r="D31" s="4" t="s">
        <x:v>20</x:v>
      </x:c>
      <x:c r="E31" s="1" t="s">
        <x:v>70</x:v>
      </x:c>
      <x:c r="F31" s="1" t="s">
        <x:v>71</x:v>
      </x:c>
      <x:c r="G31" s="1" t="s">
        <x:v>23</x:v>
      </x:c>
      <x:c r="H31" s="1" t="s">
        <x:v>72</x:v>
      </x:c>
      <x:c r="I31" s="1" t="s">
        <x:v>73</x:v>
      </x:c>
      <x:c r="J31" s="1" t="s">
        <x:v>94</x:v>
      </x:c>
      <x:c r="K31" s="1">
        <x:v>3</x:v>
      </x:c>
      <x:c r="L31" s="1" t="s">
        <x:v>27</x:v>
      </x:c>
      <x:c r="M31" s="5">
        <x:v>432</x:v>
      </x:c>
      <x:c r="N31" s="1" t="s">
        <x:v>75</x:v>
      </x:c>
    </x:row>
    <x:row r="32" ht="145.0500030517578" customHeight="1">
      <x:c r="A32" s="1" t="s">
        <x:v>113</x:v>
      </x:c>
      <x:c r="B32" s="1" t="s">
        <x:v>114</x:v>
      </x:c>
      <x:c r="C32" s="1" t="s">
        <x:v>112</x:v>
      </x:c>
      <x:c r="D32" s="4" t="s">
        <x:v>20</x:v>
      </x:c>
      <x:c r="E32" s="1" t="s">
        <x:v>70</x:v>
      </x:c>
      <x:c r="F32" s="1" t="s">
        <x:v>71</x:v>
      </x:c>
      <x:c r="G32" s="1" t="s">
        <x:v>23</x:v>
      </x:c>
      <x:c r="H32" s="1" t="s">
        <x:v>72</x:v>
      </x:c>
      <x:c r="I32" s="1" t="s">
        <x:v>73</x:v>
      </x:c>
      <x:c r="J32" s="1" t="s">
        <x:v>94</x:v>
      </x:c>
      <x:c r="K32" s="1">
        <x:v>3</x:v>
      </x:c>
      <x:c r="L32" s="1" t="s">
        <x:v>27</x:v>
      </x:c>
      <x:c r="M32" s="5">
        <x:v>432</x:v>
      </x:c>
      <x:c r="N32" s="1" t="s">
        <x:v>75</x:v>
      </x:c>
    </x:row>
    <x:row r="33" ht="145.0500030517578" customHeight="1">
      <x:c r="A33" s="1" t="s">
        <x:v>115</x:v>
      </x:c>
      <x:c r="B33" s="1" t="s">
        <x:v>116</x:v>
      </x:c>
      <x:c r="C33" s="1" t="s">
        <x:v>88</x:v>
      </x:c>
      <x:c r="D33" s="4" t="s">
        <x:v>20</x:v>
      </x:c>
      <x:c r="E33" s="1" t="s">
        <x:v>70</x:v>
      </x:c>
      <x:c r="F33" s="1" t="s">
        <x:v>71</x:v>
      </x:c>
      <x:c r="G33" s="1" t="s">
        <x:v>23</x:v>
      </x:c>
      <x:c r="H33" s="1" t="s">
        <x:v>72</x:v>
      </x:c>
      <x:c r="I33" s="1" t="s">
        <x:v>73</x:v>
      </x:c>
      <x:c r="J33" s="1" t="s">
        <x:v>94</x:v>
      </x:c>
      <x:c r="K33" s="1">
        <x:v>3</x:v>
      </x:c>
      <x:c r="L33" s="1" t="s">
        <x:v>27</x:v>
      </x:c>
      <x:c r="M33" s="5">
        <x:v>432</x:v>
      </x:c>
      <x:c r="N33" s="1" t="s">
        <x:v>75</x:v>
      </x:c>
    </x:row>
    <x:row r="34" ht="145.0500030517578" customHeight="1">
      <x:c r="A34" s="1" t="s">
        <x:v>117</x:v>
      </x:c>
      <x:c r="B34" s="1" t="s">
        <x:v>118</x:v>
      </x:c>
      <x:c r="C34" s="1" t="s">
        <x:v>88</x:v>
      </x:c>
      <x:c r="D34" s="4" t="s">
        <x:v>20</x:v>
      </x:c>
      <x:c r="E34" s="1" t="s">
        <x:v>70</x:v>
      </x:c>
      <x:c r="F34" s="1" t="s">
        <x:v>71</x:v>
      </x:c>
      <x:c r="G34" s="1" t="s">
        <x:v>23</x:v>
      </x:c>
      <x:c r="H34" s="1" t="s">
        <x:v>72</x:v>
      </x:c>
      <x:c r="I34" s="1" t="s">
        <x:v>73</x:v>
      </x:c>
      <x:c r="J34" s="1" t="s">
        <x:v>94</x:v>
      </x:c>
      <x:c r="K34" s="1">
        <x:v>3</x:v>
      </x:c>
      <x:c r="L34" s="1" t="s">
        <x:v>27</x:v>
      </x:c>
      <x:c r="M34" s="5">
        <x:v>432</x:v>
      </x:c>
      <x:c r="N34" s="1" t="s">
        <x:v>75</x:v>
      </x:c>
    </x:row>
    <x:row r="35" ht="145.0500030517578" customHeight="1">
      <x:c r="A35" s="1" t="s">
        <x:v>119</x:v>
      </x:c>
      <x:c r="B35" s="1" t="s">
        <x:v>120</x:v>
      </x:c>
      <x:c r="C35" s="1" t="s">
        <x:v>112</x:v>
      </x:c>
      <x:c r="D35" s="4" t="s">
        <x:v>20</x:v>
      </x:c>
      <x:c r="E35" s="1" t="s">
        <x:v>70</x:v>
      </x:c>
      <x:c r="F35" s="1" t="s">
        <x:v>71</x:v>
      </x:c>
      <x:c r="G35" s="1" t="s">
        <x:v>23</x:v>
      </x:c>
      <x:c r="H35" s="1" t="s">
        <x:v>72</x:v>
      </x:c>
      <x:c r="I35" s="1" t="s">
        <x:v>73</x:v>
      </x:c>
      <x:c r="J35" s="1" t="s">
        <x:v>94</x:v>
      </x:c>
      <x:c r="K35" s="1">
        <x:v>3</x:v>
      </x:c>
      <x:c r="L35" s="1" t="s">
        <x:v>27</x:v>
      </x:c>
      <x:c r="M35" s="5">
        <x:v>432</x:v>
      </x:c>
      <x:c r="N35" s="1" t="s">
        <x:v>75</x:v>
      </x:c>
    </x:row>
    <x:row r="36" ht="145.0500030517578" customHeight="1">
      <x:c r="A36" s="1" t="s">
        <x:v>121</x:v>
      </x:c>
      <x:c r="B36" s="1" t="s">
        <x:v>122</x:v>
      </x:c>
      <x:c r="C36" s="1" t="s">
        <x:v>112</x:v>
      </x:c>
      <x:c r="D36" s="4" t="s">
        <x:v>20</x:v>
      </x:c>
      <x:c r="E36" s="1" t="s">
        <x:v>70</x:v>
      </x:c>
      <x:c r="F36" s="1" t="s">
        <x:v>71</x:v>
      </x:c>
      <x:c r="G36" s="1" t="s">
        <x:v>23</x:v>
      </x:c>
      <x:c r="H36" s="1" t="s">
        <x:v>72</x:v>
      </x:c>
      <x:c r="I36" s="1" t="s">
        <x:v>73</x:v>
      </x:c>
      <x:c r="J36" s="1" t="s">
        <x:v>94</x:v>
      </x:c>
      <x:c r="K36" s="1">
        <x:v>3</x:v>
      </x:c>
      <x:c r="L36" s="1" t="s">
        <x:v>27</x:v>
      </x:c>
      <x:c r="M36" s="5">
        <x:v>432</x:v>
      </x:c>
      <x:c r="N36" s="1" t="s">
        <x:v>75</x:v>
      </x:c>
    </x:row>
    <x:row r="37" ht="145.0500030517578" customHeight="1">
      <x:c r="A37" s="1" t="s">
        <x:v>123</x:v>
      </x:c>
      <x:c r="B37" s="1" t="s">
        <x:v>124</x:v>
      </x:c>
      <x:c r="C37" s="1" t="s">
        <x:v>112</x:v>
      </x:c>
      <x:c r="D37" s="4" t="s">
        <x:v>20</x:v>
      </x:c>
      <x:c r="E37" s="1" t="s">
        <x:v>70</x:v>
      </x:c>
      <x:c r="F37" s="1" t="s">
        <x:v>71</x:v>
      </x:c>
      <x:c r="G37" s="1" t="s">
        <x:v>23</x:v>
      </x:c>
      <x:c r="H37" s="1" t="s">
        <x:v>72</x:v>
      </x:c>
      <x:c r="I37" s="1" t="s">
        <x:v>73</x:v>
      </x:c>
      <x:c r="J37" s="1" t="s">
        <x:v>94</x:v>
      </x:c>
      <x:c r="K37" s="1">
        <x:v>3</x:v>
      </x:c>
      <x:c r="L37" s="1" t="s">
        <x:v>27</x:v>
      </x:c>
      <x:c r="M37" s="5">
        <x:v>432</x:v>
      </x:c>
      <x:c r="N37" s="1" t="s">
        <x:v>75</x:v>
      </x:c>
    </x:row>
    <x:row r="38" ht="145.0500030517578" customHeight="1">
      <x:c r="A38" s="1" t="s">
        <x:v>125</x:v>
      </x:c>
      <x:c r="B38" s="1" t="s">
        <x:v>126</x:v>
      </x:c>
      <x:c r="C38" s="1" t="s">
        <x:v>112</x:v>
      </x:c>
      <x:c r="D38" s="4" t="s">
        <x:v>20</x:v>
      </x:c>
      <x:c r="E38" s="1" t="s">
        <x:v>70</x:v>
      </x:c>
      <x:c r="F38" s="1" t="s">
        <x:v>71</x:v>
      </x:c>
      <x:c r="G38" s="1" t="s">
        <x:v>23</x:v>
      </x:c>
      <x:c r="H38" s="1" t="s">
        <x:v>72</x:v>
      </x:c>
      <x:c r="I38" s="1" t="s">
        <x:v>73</x:v>
      </x:c>
      <x:c r="J38" s="1" t="s">
        <x:v>94</x:v>
      </x:c>
      <x:c r="K38" s="1">
        <x:v>3</x:v>
      </x:c>
      <x:c r="L38" s="1" t="s">
        <x:v>27</x:v>
      </x:c>
      <x:c r="M38" s="5">
        <x:v>432</x:v>
      </x:c>
      <x:c r="N38" s="1" t="s">
        <x:v>75</x:v>
      </x:c>
    </x:row>
    <x:row r="39" ht="145.0500030517578" customHeight="1">
      <x:c r="A39" s="1" t="s">
        <x:v>127</x:v>
      </x:c>
      <x:c r="B39" s="1" t="s">
        <x:v>128</x:v>
      </x:c>
      <x:c r="C39" s="1" t="s">
        <x:v>88</x:v>
      </x:c>
      <x:c r="D39" s="4" t="s">
        <x:v>20</x:v>
      </x:c>
      <x:c r="E39" s="1" t="s">
        <x:v>70</x:v>
      </x:c>
      <x:c r="F39" s="1" t="s">
        <x:v>71</x:v>
      </x:c>
      <x:c r="G39" s="1" t="s">
        <x:v>23</x:v>
      </x:c>
      <x:c r="H39" s="1" t="s">
        <x:v>72</x:v>
      </x:c>
      <x:c r="I39" s="1" t="s">
        <x:v>73</x:v>
      </x:c>
      <x:c r="J39" s="1" t="s">
        <x:v>89</x:v>
      </x:c>
      <x:c r="K39" s="1">
        <x:v>3</x:v>
      </x:c>
      <x:c r="L39" s="1" t="s">
        <x:v>27</x:v>
      </x:c>
      <x:c r="M39" s="5">
        <x:v>432</x:v>
      </x:c>
      <x:c r="N39" s="1" t="s">
        <x:v>75</x:v>
      </x:c>
    </x:row>
    <x:row r="40" ht="145.0500030517578" customHeight="1">
      <x:c r="A40" s="1" t="s">
        <x:v>129</x:v>
      </x:c>
      <x:c r="B40" s="1" t="s">
        <x:v>130</x:v>
      </x:c>
      <x:c r="C40" s="1" t="s">
        <x:v>88</x:v>
      </x:c>
      <x:c r="D40" s="4" t="s">
        <x:v>20</x:v>
      </x:c>
      <x:c r="E40" s="1" t="s">
        <x:v>70</x:v>
      </x:c>
      <x:c r="F40" s="1" t="s">
        <x:v>71</x:v>
      </x:c>
      <x:c r="G40" s="1" t="s">
        <x:v>23</x:v>
      </x:c>
      <x:c r="H40" s="1" t="s">
        <x:v>72</x:v>
      </x:c>
      <x:c r="I40" s="1" t="s">
        <x:v>73</x:v>
      </x:c>
      <x:c r="J40" s="1" t="s">
        <x:v>89</x:v>
      </x:c>
      <x:c r="K40" s="1">
        <x:v>3</x:v>
      </x:c>
      <x:c r="L40" s="1" t="s">
        <x:v>27</x:v>
      </x:c>
      <x:c r="M40" s="5">
        <x:v>432</x:v>
      </x:c>
      <x:c r="N40" s="1" t="s">
        <x:v>75</x:v>
      </x:c>
    </x:row>
    <x:row r="41" ht="145.0500030517578" customHeight="1">
      <x:c r="A41" s="1" t="s">
        <x:v>131</x:v>
      </x:c>
      <x:c r="B41" s="1" t="s">
        <x:v>132</x:v>
      </x:c>
      <x:c r="C41" s="1" t="s">
        <x:v>133</x:v>
      </x:c>
      <x:c r="D41" s="4" t="s">
        <x:v>20</x:v>
      </x:c>
      <x:c r="E41" s="1" t="s">
        <x:v>70</x:v>
      </x:c>
      <x:c r="F41" s="1" t="s">
        <x:v>71</x:v>
      </x:c>
      <x:c r="G41" s="1" t="s">
        <x:v>23</x:v>
      </x:c>
      <x:c r="H41" s="1" t="s">
        <x:v>72</x:v>
      </x:c>
      <x:c r="I41" s="1" t="s">
        <x:v>73</x:v>
      </x:c>
      <x:c r="J41" s="1" t="s">
        <x:v>94</x:v>
      </x:c>
      <x:c r="K41" s="1">
        <x:v>3</x:v>
      </x:c>
      <x:c r="L41" s="1" t="s">
        <x:v>27</x:v>
      </x:c>
      <x:c r="M41" s="5">
        <x:v>432</x:v>
      </x:c>
      <x:c r="N41" s="1" t="s">
        <x:v>75</x:v>
      </x:c>
    </x:row>
    <x:row r="42" ht="145.0500030517578" customHeight="1">
      <x:c r="A42" s="1" t="s">
        <x:v>134</x:v>
      </x:c>
      <x:c r="B42" s="1" t="s">
        <x:v>135</x:v>
      </x:c>
      <x:c r="C42" s="1" t="s">
        <x:v>133</x:v>
      </x:c>
      <x:c r="D42" s="4" t="s">
        <x:v>20</x:v>
      </x:c>
      <x:c r="E42" s="1" t="s">
        <x:v>70</x:v>
      </x:c>
      <x:c r="F42" s="1" t="s">
        <x:v>71</x:v>
      </x:c>
      <x:c r="G42" s="1" t="s">
        <x:v>23</x:v>
      </x:c>
      <x:c r="H42" s="1" t="s">
        <x:v>72</x:v>
      </x:c>
      <x:c r="I42" s="1" t="s">
        <x:v>73</x:v>
      </x:c>
      <x:c r="J42" s="1" t="s">
        <x:v>94</x:v>
      </x:c>
      <x:c r="K42" s="1">
        <x:v>3</x:v>
      </x:c>
      <x:c r="L42" s="1" t="s">
        <x:v>27</x:v>
      </x:c>
      <x:c r="M42" s="5">
        <x:v>432</x:v>
      </x:c>
      <x:c r="N42" s="1" t="s">
        <x:v>75</x:v>
      </x:c>
    </x:row>
    <x:row r="43" ht="145.0500030517578" customHeight="1">
      <x:c r="A43" s="1" t="s">
        <x:v>136</x:v>
      </x:c>
      <x:c r="B43" s="1" t="s">
        <x:v>137</x:v>
      </x:c>
      <x:c r="C43" s="1" t="s">
        <x:v>133</x:v>
      </x:c>
      <x:c r="D43" s="4" t="s">
        <x:v>20</x:v>
      </x:c>
      <x:c r="E43" s="1" t="s">
        <x:v>70</x:v>
      </x:c>
      <x:c r="F43" s="1" t="s">
        <x:v>71</x:v>
      </x:c>
      <x:c r="G43" s="1" t="s">
        <x:v>23</x:v>
      </x:c>
      <x:c r="H43" s="1" t="s">
        <x:v>72</x:v>
      </x:c>
      <x:c r="I43" s="1" t="s">
        <x:v>73</x:v>
      </x:c>
      <x:c r="J43" s="1" t="s">
        <x:v>94</x:v>
      </x:c>
      <x:c r="K43" s="1">
        <x:v>3</x:v>
      </x:c>
      <x:c r="L43" s="1" t="s">
        <x:v>27</x:v>
      </x:c>
      <x:c r="M43" s="5">
        <x:v>432</x:v>
      </x:c>
      <x:c r="N43" s="1" t="s">
        <x:v>75</x:v>
      </x:c>
    </x:row>
    <x:row r="44" ht="145.0500030517578" customHeight="1">
      <x:c r="A44" s="1" t="s">
        <x:v>138</x:v>
      </x:c>
      <x:c r="B44" s="1" t="s">
        <x:v>139</x:v>
      </x:c>
      <x:c r="C44" s="1" t="s">
        <x:v>133</x:v>
      </x:c>
      <x:c r="D44" s="4" t="s">
        <x:v>20</x:v>
      </x:c>
      <x:c r="E44" s="1" t="s">
        <x:v>70</x:v>
      </x:c>
      <x:c r="F44" s="1" t="s">
        <x:v>71</x:v>
      </x:c>
      <x:c r="G44" s="1" t="s">
        <x:v>23</x:v>
      </x:c>
      <x:c r="H44" s="1" t="s">
        <x:v>72</x:v>
      </x:c>
      <x:c r="I44" s="1" t="s">
        <x:v>73</x:v>
      </x:c>
      <x:c r="J44" s="1" t="s">
        <x:v>94</x:v>
      </x:c>
      <x:c r="K44" s="1">
        <x:v>3</x:v>
      </x:c>
      <x:c r="L44" s="1" t="s">
        <x:v>27</x:v>
      </x:c>
      <x:c r="M44" s="5">
        <x:v>432</x:v>
      </x:c>
      <x:c r="N44" s="1" t="s">
        <x:v>75</x:v>
      </x:c>
    </x:row>
    <x:row r="45" ht="145.0500030517578" customHeight="1">
      <x:c r="A45" s="1" t="s">
        <x:v>140</x:v>
      </x:c>
      <x:c r="B45" s="1" t="s">
        <x:v>141</x:v>
      </x:c>
      <x:c r="C45" s="1" t="s">
        <x:v>133</x:v>
      </x:c>
      <x:c r="D45" s="4" t="s">
        <x:v>20</x:v>
      </x:c>
      <x:c r="E45" s="1" t="s">
        <x:v>70</x:v>
      </x:c>
      <x:c r="F45" s="1" t="s">
        <x:v>71</x:v>
      </x:c>
      <x:c r="G45" s="1" t="s">
        <x:v>23</x:v>
      </x:c>
      <x:c r="H45" s="1" t="s">
        <x:v>72</x:v>
      </x:c>
      <x:c r="I45" s="1" t="s">
        <x:v>73</x:v>
      </x:c>
      <x:c r="J45" s="1" t="s">
        <x:v>94</x:v>
      </x:c>
      <x:c r="K45" s="1">
        <x:v>3</x:v>
      </x:c>
      <x:c r="L45" s="1" t="s">
        <x:v>27</x:v>
      </x:c>
      <x:c r="M45" s="5">
        <x:v>432</x:v>
      </x:c>
      <x:c r="N45" s="1" t="s">
        <x:v>75</x:v>
      </x:c>
    </x:row>
    <x:row r="46" ht="145.0500030517578" customHeight="1">
      <x:c r="A46" s="1" t="s">
        <x:v>142</x:v>
      </x:c>
      <x:c r="B46" s="1" t="s">
        <x:v>143</x:v>
      </x:c>
      <x:c r="C46" s="1" t="s">
        <x:v>88</x:v>
      </x:c>
      <x:c r="D46" s="4" t="s">
        <x:v>20</x:v>
      </x:c>
      <x:c r="E46" s="1" t="s">
        <x:v>70</x:v>
      </x:c>
      <x:c r="F46" s="1" t="s">
        <x:v>71</x:v>
      </x:c>
      <x:c r="G46" s="1" t="s">
        <x:v>23</x:v>
      </x:c>
      <x:c r="H46" s="1" t="s">
        <x:v>72</x:v>
      </x:c>
      <x:c r="I46" s="1" t="s">
        <x:v>73</x:v>
      </x:c>
      <x:c r="J46" s="1" t="s">
        <x:v>94</x:v>
      </x:c>
      <x:c r="K46" s="1">
        <x:v>3</x:v>
      </x:c>
      <x:c r="L46" s="1" t="s">
        <x:v>27</x:v>
      </x:c>
      <x:c r="M46" s="5">
        <x:v>432</x:v>
      </x:c>
      <x:c r="N46" s="1" t="s">
        <x:v>75</x:v>
      </x:c>
    </x:row>
    <x:row r="47" ht="145.0500030517578" customHeight="1">
      <x:c r="A47" s="1" t="s">
        <x:v>144</x:v>
      </x:c>
      <x:c r="B47" s="1" t="s">
        <x:v>145</x:v>
      </x:c>
      <x:c r="C47" s="1" t="s">
        <x:v>88</x:v>
      </x:c>
      <x:c r="D47" s="4" t="s">
        <x:v>20</x:v>
      </x:c>
      <x:c r="E47" s="1" t="s">
        <x:v>70</x:v>
      </x:c>
      <x:c r="F47" s="1" t="s">
        <x:v>71</x:v>
      </x:c>
      <x:c r="G47" s="1" t="s">
        <x:v>23</x:v>
      </x:c>
      <x:c r="H47" s="1" t="s">
        <x:v>72</x:v>
      </x:c>
      <x:c r="I47" s="1" t="s">
        <x:v>73</x:v>
      </x:c>
      <x:c r="J47" s="1" t="s">
        <x:v>94</x:v>
      </x:c>
      <x:c r="K47" s="1">
        <x:v>3</x:v>
      </x:c>
      <x:c r="L47" s="1" t="s">
        <x:v>27</x:v>
      </x:c>
      <x:c r="M47" s="5">
        <x:v>432</x:v>
      </x:c>
      <x:c r="N47" s="1" t="s">
        <x:v>75</x:v>
      </x:c>
    </x:row>
    <x:row r="48" ht="145.0500030517578" customHeight="1">
      <x:c r="A48" s="1" t="s">
        <x:v>146</x:v>
      </x:c>
      <x:c r="B48" s="1" t="s">
        <x:v>147</x:v>
      </x:c>
      <x:c r="C48" s="1" t="s">
        <x:v>88</x:v>
      </x:c>
      <x:c r="D48" s="4" t="s">
        <x:v>20</x:v>
      </x:c>
      <x:c r="E48" s="1" t="s">
        <x:v>70</x:v>
      </x:c>
      <x:c r="F48" s="1" t="s">
        <x:v>71</x:v>
      </x:c>
      <x:c r="G48" s="1" t="s">
        <x:v>23</x:v>
      </x:c>
      <x:c r="H48" s="1" t="s">
        <x:v>72</x:v>
      </x:c>
      <x:c r="I48" s="1" t="s">
        <x:v>73</x:v>
      </x:c>
      <x:c r="J48" s="1" t="s">
        <x:v>94</x:v>
      </x:c>
      <x:c r="K48" s="1">
        <x:v>3</x:v>
      </x:c>
      <x:c r="L48" s="1" t="s">
        <x:v>27</x:v>
      </x:c>
      <x:c r="M48" s="5">
        <x:v>432</x:v>
      </x:c>
      <x:c r="N48" s="1" t="s">
        <x:v>75</x:v>
      </x:c>
    </x:row>
    <x:row r="49" ht="145.0500030517578" customHeight="1">
      <x:c r="A49" s="1" t="s">
        <x:v>148</x:v>
      </x:c>
      <x:c r="B49" s="1" t="s">
        <x:v>149</x:v>
      </x:c>
      <x:c r="C49" s="1" t="s">
        <x:v>88</x:v>
      </x:c>
      <x:c r="D49" s="4" t="s">
        <x:v>20</x:v>
      </x:c>
      <x:c r="E49" s="1" t="s">
        <x:v>70</x:v>
      </x:c>
      <x:c r="F49" s="1" t="s">
        <x:v>71</x:v>
      </x:c>
      <x:c r="G49" s="1" t="s">
        <x:v>23</x:v>
      </x:c>
      <x:c r="H49" s="1" t="s">
        <x:v>72</x:v>
      </x:c>
      <x:c r="I49" s="1" t="s">
        <x:v>73</x:v>
      </x:c>
      <x:c r="J49" s="1" t="s">
        <x:v>94</x:v>
      </x:c>
      <x:c r="K49" s="1">
        <x:v>3</x:v>
      </x:c>
      <x:c r="L49" s="1" t="s">
        <x:v>27</x:v>
      </x:c>
      <x:c r="M49" s="5">
        <x:v>432</x:v>
      </x:c>
      <x:c r="N49" s="1" t="s">
        <x:v>75</x:v>
      </x:c>
    </x:row>
    <x:row r="50" ht="145.0500030517578" customHeight="1">
      <x:c r="A50" s="1" t="s">
        <x:v>150</x:v>
      </x:c>
      <x:c r="B50" s="1" t="s">
        <x:v>151</x:v>
      </x:c>
      <x:c r="C50" s="1" t="s">
        <x:v>88</x:v>
      </x:c>
      <x:c r="D50" s="4" t="s">
        <x:v>20</x:v>
      </x:c>
      <x:c r="E50" s="1" t="s">
        <x:v>70</x:v>
      </x:c>
      <x:c r="F50" s="1" t="s">
        <x:v>71</x:v>
      </x:c>
      <x:c r="G50" s="1" t="s">
        <x:v>23</x:v>
      </x:c>
      <x:c r="H50" s="1" t="s">
        <x:v>72</x:v>
      </x:c>
      <x:c r="I50" s="1" t="s">
        <x:v>73</x:v>
      </x:c>
      <x:c r="J50" s="1" t="s">
        <x:v>94</x:v>
      </x:c>
      <x:c r="K50" s="1">
        <x:v>3</x:v>
      </x:c>
      <x:c r="L50" s="1" t="s">
        <x:v>27</x:v>
      </x:c>
      <x:c r="M50" s="5">
        <x:v>432</x:v>
      </x:c>
      <x:c r="N50" s="1" t="s">
        <x:v>75</x:v>
      </x:c>
    </x:row>
    <x:row r="51" ht="145.0500030517578" customHeight="1">
      <x:c r="A51" s="1" t="s">
        <x:v>152</x:v>
      </x:c>
      <x:c r="B51" s="1" t="s">
        <x:v>153</x:v>
      </x:c>
      <x:c r="C51" s="1" t="s">
        <x:v>88</x:v>
      </x:c>
      <x:c r="D51" s="4" t="s">
        <x:v>20</x:v>
      </x:c>
      <x:c r="E51" s="1" t="s">
        <x:v>70</x:v>
      </x:c>
      <x:c r="F51" s="1" t="s">
        <x:v>71</x:v>
      </x:c>
      <x:c r="G51" s="1" t="s">
        <x:v>23</x:v>
      </x:c>
      <x:c r="H51" s="1" t="s">
        <x:v>72</x:v>
      </x:c>
      <x:c r="I51" s="1" t="s">
        <x:v>73</x:v>
      </x:c>
      <x:c r="J51" s="1" t="s">
        <x:v>94</x:v>
      </x:c>
      <x:c r="K51" s="1">
        <x:v>3</x:v>
      </x:c>
      <x:c r="L51" s="1" t="s">
        <x:v>27</x:v>
      </x:c>
      <x:c r="M51" s="5">
        <x:v>432</x:v>
      </x:c>
      <x:c r="N51" s="1" t="s">
        <x:v>75</x:v>
      </x:c>
    </x:row>
    <x:row r="52" ht="145.0500030517578" customHeight="1">
      <x:c r="A52" s="1" t="s">
        <x:v>154</x:v>
      </x:c>
      <x:c r="B52" s="1" t="s">
        <x:v>155</x:v>
      </x:c>
      <x:c r="C52" s="1" t="s">
        <x:v>88</x:v>
      </x:c>
      <x:c r="D52" s="4" t="s">
        <x:v>20</x:v>
      </x:c>
      <x:c r="E52" s="1" t="s">
        <x:v>70</x:v>
      </x:c>
      <x:c r="F52" s="1" t="s">
        <x:v>71</x:v>
      </x:c>
      <x:c r="G52" s="1" t="s">
        <x:v>23</x:v>
      </x:c>
      <x:c r="H52" s="1" t="s">
        <x:v>72</x:v>
      </x:c>
      <x:c r="I52" s="1" t="s">
        <x:v>73</x:v>
      </x:c>
      <x:c r="J52" s="1" t="s">
        <x:v>94</x:v>
      </x:c>
      <x:c r="K52" s="1">
        <x:v>3</x:v>
      </x:c>
      <x:c r="L52" s="1" t="s">
        <x:v>27</x:v>
      </x:c>
      <x:c r="M52" s="5">
        <x:v>432</x:v>
      </x:c>
      <x:c r="N52" s="1" t="s">
        <x:v>75</x:v>
      </x:c>
    </x:row>
    <x:row r="53" ht="145.0500030517578" customHeight="1">
      <x:c r="A53" s="1" t="s">
        <x:v>156</x:v>
      </x:c>
      <x:c r="B53" s="1" t="s">
        <x:v>157</x:v>
      </x:c>
      <x:c r="C53" s="1" t="s">
        <x:v>88</x:v>
      </x:c>
      <x:c r="D53" s="4" t="s">
        <x:v>20</x:v>
      </x:c>
      <x:c r="E53" s="1" t="s">
        <x:v>70</x:v>
      </x:c>
      <x:c r="F53" s="1" t="s">
        <x:v>71</x:v>
      </x:c>
      <x:c r="G53" s="1" t="s">
        <x:v>23</x:v>
      </x:c>
      <x:c r="H53" s="1" t="s">
        <x:v>72</x:v>
      </x:c>
      <x:c r="I53" s="1" t="s">
        <x:v>73</x:v>
      </x:c>
      <x:c r="J53" s="1" t="s">
        <x:v>94</x:v>
      </x:c>
      <x:c r="K53" s="1">
        <x:v>3</x:v>
      </x:c>
      <x:c r="L53" s="1" t="s">
        <x:v>27</x:v>
      </x:c>
      <x:c r="M53" s="5">
        <x:v>432</x:v>
      </x:c>
      <x:c r="N53" s="1" t="s">
        <x:v>75</x:v>
      </x:c>
    </x:row>
    <x:row r="54" ht="145.0500030517578" customHeight="1">
      <x:c r="A54" s="1" t="s">
        <x:v>158</x:v>
      </x:c>
      <x:c r="B54" s="1" t="s">
        <x:v>159</x:v>
      </x:c>
      <x:c r="C54" s="1" t="s">
        <x:v>160</x:v>
      </x:c>
      <x:c r="D54" s="7" t="s">
        <x:v>161</x:v>
      </x:c>
      <x:c r="E54" s="1"/>
      <x:c r="F54" s="1" t="s">
        <x:v>33</x:v>
      </x:c>
      <x:c r="G54" s="1" t="s">
        <x:v>34</x:v>
      </x:c>
      <x:c r="H54" s="1"/>
      <x:c r="I54" s="1" t="s">
        <x:v>162</x:v>
      </x:c>
      <x:c r="J54" s="1" t="s">
        <x:v>163</x:v>
      </x:c>
      <x:c r="K54" s="1" t="s">
        <x:v>34</x:v>
      </x:c>
      <x:c r="L54" s="1" t="s">
        <x:v>34</x:v>
      </x:c>
      <x:c r="M54" s="5" t="s">
        <x:v>34</x:v>
      </x:c>
      <x:c r="N54" s="1" t="s">
        <x:v>37</x:v>
      </x:c>
    </x:row>
    <x:row r="55" ht="145.0500030517578" customHeight="1">
      <x:c r="A55" s="1" t="s">
        <x:v>164</x:v>
      </x:c>
      <x:c r="B55" s="1" t="s">
        <x:v>165</x:v>
      </x:c>
      <x:c r="C55" s="1" t="s">
        <x:v>166</x:v>
      </x:c>
      <x:c r="D55" s="7" t="s">
        <x:v>167</x:v>
      </x:c>
      <x:c r="E55" s="1"/>
      <x:c r="F55" s="1" t="s">
        <x:v>33</x:v>
      </x:c>
      <x:c r="G55" s="1" t="s">
        <x:v>34</x:v>
      </x:c>
      <x:c r="H55" s="1"/>
      <x:c r="I55" s="1" t="s">
        <x:v>168</x:v>
      </x:c>
      <x:c r="J55" s="1" t="s">
        <x:v>169</x:v>
      </x:c>
      <x:c r="K55" s="1" t="s">
        <x:v>34</x:v>
      </x:c>
      <x:c r="L55" s="1" t="s">
        <x:v>34</x:v>
      </x:c>
      <x:c r="M55" s="5" t="s">
        <x:v>34</x:v>
      </x:c>
      <x:c r="N55" s="1" t="s">
        <x:v>37</x:v>
      </x:c>
    </x:row>
    <x:row r="56" ht="145.0500030517578" customHeight="1">
      <x:c r="A56" s="1" t="s">
        <x:v>170</x:v>
      </x:c>
      <x:c r="B56" s="1" t="s">
        <x:v>171</x:v>
      </x:c>
      <x:c r="C56" s="1" t="s">
        <x:v>172</x:v>
      </x:c>
      <x:c r="D56" s="7" t="s">
        <x:v>167</x:v>
      </x:c>
      <x:c r="E56" s="1"/>
      <x:c r="F56" s="1" t="s">
        <x:v>33</x:v>
      </x:c>
      <x:c r="G56" s="1" t="s">
        <x:v>34</x:v>
      </x:c>
      <x:c r="H56" s="1"/>
      <x:c r="I56" s="1" t="s">
        <x:v>168</x:v>
      </x:c>
      <x:c r="J56" s="1" t="s">
        <x:v>169</x:v>
      </x:c>
      <x:c r="K56" s="1" t="s">
        <x:v>34</x:v>
      </x:c>
      <x:c r="L56" s="1" t="s">
        <x:v>34</x:v>
      </x:c>
      <x:c r="M56" s="5" t="s">
        <x:v>34</x:v>
      </x:c>
      <x:c r="N56" s="1" t="s">
        <x:v>37</x:v>
      </x:c>
    </x:row>
    <x:row r="57" ht="145.0500030517578" customHeight="1">
      <x:c r="A57" s="1" t="s">
        <x:v>173</x:v>
      </x:c>
      <x:c r="B57" s="1" t="s">
        <x:v>174</x:v>
      </x:c>
      <x:c r="C57" s="1" t="s">
        <x:v>175</x:v>
      </x:c>
      <x:c r="D57" s="4" t="s">
        <x:v>20</x:v>
      </x:c>
      <x:c r="E57" s="1" t="s">
        <x:v>49</x:v>
      </x:c>
      <x:c r="F57" s="1" t="s">
        <x:v>50</x:v>
      </x:c>
      <x:c r="G57" s="1" t="s">
        <x:v>23</x:v>
      </x:c>
      <x:c r="H57" s="1" t="s">
        <x:v>51</x:v>
      </x:c>
      <x:c r="I57" s="1" t="s">
        <x:v>52</x:v>
      </x:c>
      <x:c r="J57" s="1" t="s">
        <x:v>53</x:v>
      </x:c>
      <x:c r="K57" s="1">
        <x:v>1</x:v>
      </x:c>
      <x:c r="L57" s="1" t="s">
        <x:v>27</x:v>
      </x:c>
      <x:c r="M57" s="5">
        <x:v>695</x:v>
      </x:c>
      <x:c r="N57" s="1" t="s">
        <x:v>54</x:v>
      </x:c>
    </x:row>
    <x:row r="58" ht="145.0500030517578" customHeight="1">
      <x:c r="A58" s="1" t="s">
        <x:v>176</x:v>
      </x:c>
      <x:c r="B58" s="1" t="s">
        <x:v>177</x:v>
      </x:c>
      <x:c r="C58" s="1" t="s">
        <x:v>178</x:v>
      </x:c>
      <x:c r="D58" s="7" t="s">
        <x:v>161</x:v>
      </x:c>
      <x:c r="E58" s="1"/>
      <x:c r="F58" s="1" t="s">
        <x:v>33</x:v>
      </x:c>
      <x:c r="G58" s="1" t="s">
        <x:v>34</x:v>
      </x:c>
      <x:c r="H58" s="1"/>
      <x:c r="I58" s="1" t="s">
        <x:v>162</x:v>
      </x:c>
      <x:c r="J58" s="1" t="s">
        <x:v>179</x:v>
      </x:c>
      <x:c r="K58" s="1" t="s">
        <x:v>34</x:v>
      </x:c>
      <x:c r="L58" s="1" t="s">
        <x:v>34</x:v>
      </x:c>
      <x:c r="M58" s="5" t="s">
        <x:v>34</x:v>
      </x:c>
      <x:c r="N58" s="1" t="s">
        <x:v>37</x:v>
      </x:c>
    </x:row>
    <x:row r="59" ht="145.0500030517578" customHeight="1">
      <x:c r="A59" s="1" t="s">
        <x:v>180</x:v>
      </x:c>
      <x:c r="B59" s="1" t="s">
        <x:v>181</x:v>
      </x:c>
      <x:c r="C59" s="1" t="s">
        <x:v>182</x:v>
      </x:c>
      <x:c r="D59" s="7" t="s">
        <x:v>167</x:v>
      </x:c>
      <x:c r="E59" s="1"/>
      <x:c r="F59" s="1" t="s">
        <x:v>33</x:v>
      </x:c>
      <x:c r="G59" s="1" t="s">
        <x:v>34</x:v>
      </x:c>
      <x:c r="H59" s="1"/>
      <x:c r="I59" s="1" t="s">
        <x:v>168</x:v>
      </x:c>
      <x:c r="J59" s="1" t="s">
        <x:v>183</x:v>
      </x:c>
      <x:c r="K59" s="1" t="s">
        <x:v>34</x:v>
      </x:c>
      <x:c r="L59" s="1" t="s">
        <x:v>34</x:v>
      </x:c>
      <x:c r="M59" s="5" t="s">
        <x:v>34</x:v>
      </x:c>
      <x:c r="N59" s="1" t="s">
        <x:v>37</x:v>
      </x:c>
    </x:row>
    <x:row r="60" ht="145.0500030517578" customHeight="1">
      <x:c r="A60" s="1" t="s">
        <x:v>184</x:v>
      </x:c>
      <x:c r="B60" s="1" t="s">
        <x:v>185</x:v>
      </x:c>
      <x:c r="C60" s="1" t="s">
        <x:v>186</x:v>
      </x:c>
      <x:c r="D60" s="7" t="s">
        <x:v>161</x:v>
      </x:c>
      <x:c r="E60" s="1"/>
      <x:c r="F60" s="1" t="s">
        <x:v>33</x:v>
      </x:c>
      <x:c r="G60" s="1" t="s">
        <x:v>34</x:v>
      </x:c>
      <x:c r="H60" s="1"/>
      <x:c r="I60" s="1" t="s">
        <x:v>162</x:v>
      </x:c>
      <x:c r="J60" s="1" t="s">
        <x:v>179</x:v>
      </x:c>
      <x:c r="K60" s="1" t="s">
        <x:v>34</x:v>
      </x:c>
      <x:c r="L60" s="1" t="s">
        <x:v>34</x:v>
      </x:c>
      <x:c r="M60" s="5" t="s">
        <x:v>34</x:v>
      </x:c>
      <x:c r="N60" s="1" t="s">
        <x:v>37</x:v>
      </x:c>
    </x:row>
    <x:row r="61" ht="145.0500030517578" customHeight="1">
      <x:c r="A61" s="1" t="s">
        <x:v>187</x:v>
      </x:c>
      <x:c r="B61" s="1" t="s">
        <x:v>188</x:v>
      </x:c>
      <x:c r="C61" s="1" t="s">
        <x:v>189</x:v>
      </x:c>
      <x:c r="D61" s="4" t="s">
        <x:v>20</x:v>
      </x:c>
      <x:c r="E61" s="1" t="s">
        <x:v>70</x:v>
      </x:c>
      <x:c r="F61" s="1" t="s">
        <x:v>71</x:v>
      </x:c>
      <x:c r="G61" s="1" t="s">
        <x:v>23</x:v>
      </x:c>
      <x:c r="H61" s="1" t="s">
        <x:v>72</x:v>
      </x:c>
      <x:c r="I61" s="1" t="s">
        <x:v>73</x:v>
      </x:c>
      <x:c r="J61" s="1" t="s">
        <x:v>190</x:v>
      </x:c>
      <x:c r="K61" s="1">
        <x:v>3</x:v>
      </x:c>
      <x:c r="L61" s="1" t="s">
        <x:v>27</x:v>
      </x:c>
      <x:c r="M61" s="5">
        <x:v>432</x:v>
      </x:c>
      <x:c r="N61" s="1" t="s">
        <x:v>75</x:v>
      </x:c>
    </x:row>
    <x:row r="62" ht="145.0500030517578" customHeight="1">
      <x:c r="A62" s="1" t="s">
        <x:v>191</x:v>
      </x:c>
      <x:c r="B62" s="1" t="s">
        <x:v>192</x:v>
      </x:c>
      <x:c r="C62" s="1" t="s">
        <x:v>193</x:v>
      </x:c>
      <x:c r="D62" s="4" t="s">
        <x:v>20</x:v>
      </x:c>
      <x:c r="E62" s="1" t="s">
        <x:v>70</x:v>
      </x:c>
      <x:c r="F62" s="1" t="s">
        <x:v>71</x:v>
      </x:c>
      <x:c r="G62" s="1" t="s">
        <x:v>23</x:v>
      </x:c>
      <x:c r="H62" s="1" t="s">
        <x:v>72</x:v>
      </x:c>
      <x:c r="I62" s="1" t="s">
        <x:v>73</x:v>
      </x:c>
      <x:c r="J62" s="1" t="s">
        <x:v>190</x:v>
      </x:c>
      <x:c r="K62" s="1">
        <x:v>3</x:v>
      </x:c>
      <x:c r="L62" s="1" t="s">
        <x:v>27</x:v>
      </x:c>
      <x:c r="M62" s="5">
        <x:v>432</x:v>
      </x:c>
      <x:c r="N62" s="1" t="s">
        <x:v>75</x:v>
      </x:c>
    </x:row>
    <x:row r="63" ht="145.0500030517578" customHeight="1">
      <x:c r="A63" s="1" t="s">
        <x:v>194</x:v>
      </x:c>
      <x:c r="B63" s="1" t="s">
        <x:v>195</x:v>
      </x:c>
      <x:c r="C63" s="1" t="s">
        <x:v>196</x:v>
      </x:c>
      <x:c r="D63" s="7" t="s">
        <x:v>167</x:v>
      </x:c>
      <x:c r="E63" s="1"/>
      <x:c r="F63" s="1" t="s">
        <x:v>33</x:v>
      </x:c>
      <x:c r="G63" s="1" t="s">
        <x:v>34</x:v>
      </x:c>
      <x:c r="H63" s="1"/>
      <x:c r="I63" s="1" t="s">
        <x:v>197</x:v>
      </x:c>
      <x:c r="J63" s="1" t="s">
        <x:v>198</x:v>
      </x:c>
      <x:c r="K63" s="1" t="s">
        <x:v>34</x:v>
      </x:c>
      <x:c r="L63" s="1" t="s">
        <x:v>34</x:v>
      </x:c>
      <x:c r="M63" s="5" t="s">
        <x:v>34</x:v>
      </x:c>
      <x:c r="N63" s="1" t="s">
        <x:v>37</x:v>
      </x:c>
    </x:row>
    <x:row r="64" ht="145.0500030517578" customHeight="1">
      <x:c r="A64" s="1" t="s">
        <x:v>199</x:v>
      </x:c>
      <x:c r="B64" s="1" t="s">
        <x:v>200</x:v>
      </x:c>
      <x:c r="C64" s="1" t="s">
        <x:v>201</x:v>
      </x:c>
      <x:c r="D64" s="4" t="s">
        <x:v>20</x:v>
      </x:c>
      <x:c r="E64" s="1" t="s">
        <x:v>21</x:v>
      </x:c>
      <x:c r="F64" s="1" t="s">
        <x:v>22</x:v>
      </x:c>
      <x:c r="G64" s="1" t="s">
        <x:v>23</x:v>
      </x:c>
      <x:c r="H64" s="1" t="s">
        <x:v>24</x:v>
      </x:c>
      <x:c r="I64" s="1" t="s">
        <x:v>25</x:v>
      </x:c>
      <x:c r="J64" s="1" t="s">
        <x:v>202</x:v>
      </x:c>
      <x:c r="K64" s="1">
        <x:v>2</x:v>
      </x:c>
      <x:c r="L64" s="1" t="s">
        <x:v>27</x:v>
      </x:c>
      <x:c r="M64" s="5">
        <x:v>719</x:v>
      </x:c>
      <x:c r="N64" s="1" t="s">
        <x:v>28</x:v>
      </x:c>
    </x:row>
    <x:row r="65" ht="145.0500030517578" customHeight="1">
      <x:c r="A65" s="1" t="s">
        <x:v>203</x:v>
      </x:c>
      <x:c r="B65" s="1" t="s">
        <x:v>204</x:v>
      </x:c>
      <x:c r="C65" s="1" t="s">
        <x:v>205</x:v>
      </x:c>
      <x:c r="D65" s="7" t="s">
        <x:v>167</x:v>
      </x:c>
      <x:c r="E65" s="1"/>
      <x:c r="F65" s="1" t="s">
        <x:v>33</x:v>
      </x:c>
      <x:c r="G65" s="1" t="s">
        <x:v>34</x:v>
      </x:c>
      <x:c r="H65" s="1"/>
      <x:c r="I65" s="1" t="s">
        <x:v>168</x:v>
      </x:c>
      <x:c r="J65" s="1" t="s">
        <x:v>206</x:v>
      </x:c>
      <x:c r="K65" s="1" t="s">
        <x:v>34</x:v>
      </x:c>
      <x:c r="L65" s="1" t="s">
        <x:v>34</x:v>
      </x:c>
      <x:c r="M65" s="5" t="s">
        <x:v>34</x:v>
      </x:c>
      <x:c r="N65" s="1" t="s">
        <x:v>37</x:v>
      </x:c>
    </x:row>
    <x:row r="66" ht="145.0500030517578" customHeight="1">
      <x:c r="A66" s="1" t="s">
        <x:v>207</x:v>
      </x:c>
      <x:c r="B66" s="1" t="s">
        <x:v>208</x:v>
      </x:c>
      <x:c r="C66" s="1" t="s">
        <x:v>205</x:v>
      </x:c>
      <x:c r="D66" s="7" t="s">
        <x:v>167</x:v>
      </x:c>
      <x:c r="E66" s="1"/>
      <x:c r="F66" s="1" t="s">
        <x:v>33</x:v>
      </x:c>
      <x:c r="G66" s="1" t="s">
        <x:v>34</x:v>
      </x:c>
      <x:c r="H66" s="1"/>
      <x:c r="I66" s="1" t="s">
        <x:v>168</x:v>
      </x:c>
      <x:c r="J66" s="1" t="s">
        <x:v>206</x:v>
      </x:c>
      <x:c r="K66" s="1" t="s">
        <x:v>34</x:v>
      </x:c>
      <x:c r="L66" s="1" t="s">
        <x:v>34</x:v>
      </x:c>
      <x:c r="M66" s="5" t="s">
        <x:v>34</x:v>
      </x:c>
      <x:c r="N66" s="1" t="s">
        <x:v>37</x:v>
      </x:c>
    </x:row>
    <x:row r="67" ht="145.0500030517578" customHeight="1">
      <x:c r="A67" s="1" t="s">
        <x:v>209</x:v>
      </x:c>
      <x:c r="B67" s="1" t="s">
        <x:v>210</x:v>
      </x:c>
      <x:c r="C67" s="1" t="s">
        <x:v>211</x:v>
      </x:c>
      <x:c r="D67" s="6" t="s">
        <x:v>32</x:v>
      </x:c>
      <x:c r="E67" s="1"/>
      <x:c r="F67" s="1" t="s">
        <x:v>33</x:v>
      </x:c>
      <x:c r="G67" s="1" t="s">
        <x:v>34</x:v>
      </x:c>
      <x:c r="H67" s="1"/>
      <x:c r="I67" s="1" t="s">
        <x:v>35</x:v>
      </x:c>
      <x:c r="J67" s="1" t="s">
        <x:v>212</x:v>
      </x:c>
      <x:c r="K67" s="1" t="s">
        <x:v>34</x:v>
      </x:c>
      <x:c r="L67" s="1" t="s">
        <x:v>34</x:v>
      </x:c>
      <x:c r="M67" s="5" t="s">
        <x:v>34</x:v>
      </x:c>
      <x:c r="N67" s="1" t="s">
        <x:v>37</x:v>
      </x:c>
    </x:row>
    <x:row r="68" ht="145.0500030517578" customHeight="1">
      <x:c r="A68" s="1" t="s">
        <x:v>213</x:v>
      </x:c>
      <x:c r="B68" s="1" t="s">
        <x:v>214</x:v>
      </x:c>
      <x:c r="C68" s="1" t="s">
        <x:v>175</x:v>
      </x:c>
      <x:c r="D68" s="4" t="s">
        <x:v>20</x:v>
      </x:c>
      <x:c r="E68" s="1" t="s">
        <x:v>49</x:v>
      </x:c>
      <x:c r="F68" s="1" t="s">
        <x:v>50</x:v>
      </x:c>
      <x:c r="G68" s="1" t="s">
        <x:v>23</x:v>
      </x:c>
      <x:c r="H68" s="1" t="s">
        <x:v>51</x:v>
      </x:c>
      <x:c r="I68" s="1" t="s">
        <x:v>52</x:v>
      </x:c>
      <x:c r="J68" s="1" t="s">
        <x:v>53</x:v>
      </x:c>
      <x:c r="K68" s="1">
        <x:v>1</x:v>
      </x:c>
      <x:c r="L68" s="1" t="s">
        <x:v>27</x:v>
      </x:c>
      <x:c r="M68" s="5">
        <x:v>695</x:v>
      </x:c>
      <x:c r="N68" s="1" t="s">
        <x:v>54</x:v>
      </x:c>
    </x:row>
    <x:row r="69" ht="145.0500030517578" customHeight="1">
      <x:c r="A69" s="1" t="s">
        <x:v>215</x:v>
      </x:c>
      <x:c r="B69" s="1" t="s">
        <x:v>216</x:v>
      </x:c>
      <x:c r="C69" s="1" t="s">
        <x:v>217</x:v>
      </x:c>
      <x:c r="D69" s="6" t="s">
        <x:v>32</x:v>
      </x:c>
      <x:c r="E69" s="1"/>
      <x:c r="F69" s="1" t="s">
        <x:v>33</x:v>
      </x:c>
      <x:c r="G69" s="1" t="s">
        <x:v>34</x:v>
      </x:c>
      <x:c r="H69" s="1"/>
      <x:c r="I69" s="1" t="s">
        <x:v>35</x:v>
      </x:c>
      <x:c r="J69" s="1" t="s">
        <x:v>218</x:v>
      </x:c>
      <x:c r="K69" s="1" t="s">
        <x:v>34</x:v>
      </x:c>
      <x:c r="L69" s="1" t="s">
        <x:v>34</x:v>
      </x:c>
      <x:c r="M69" s="5" t="s">
        <x:v>34</x:v>
      </x:c>
      <x:c r="N69" s="1" t="s">
        <x:v>37</x:v>
      </x:c>
    </x:row>
    <x:row r="70" ht="145.0500030517578" customHeight="1">
      <x:c r="A70" s="1" t="s">
        <x:v>219</x:v>
      </x:c>
      <x:c r="B70" s="1" t="s">
        <x:v>220</x:v>
      </x:c>
      <x:c r="C70" s="1" t="s">
        <x:v>175</x:v>
      </x:c>
      <x:c r="D70" s="4" t="s">
        <x:v>20</x:v>
      </x:c>
      <x:c r="E70" s="1" t="s">
        <x:v>49</x:v>
      </x:c>
      <x:c r="F70" s="1" t="s">
        <x:v>50</x:v>
      </x:c>
      <x:c r="G70" s="1" t="s">
        <x:v>23</x:v>
      </x:c>
      <x:c r="H70" s="1" t="s">
        <x:v>51</x:v>
      </x:c>
      <x:c r="I70" s="1" t="s">
        <x:v>52</x:v>
      </x:c>
      <x:c r="J70" s="1" t="s">
        <x:v>53</x:v>
      </x:c>
      <x:c r="K70" s="1">
        <x:v>1</x:v>
      </x:c>
      <x:c r="L70" s="1" t="s">
        <x:v>27</x:v>
      </x:c>
      <x:c r="M70" s="5">
        <x:v>695</x:v>
      </x:c>
      <x:c r="N70" s="1" t="s">
        <x:v>54</x:v>
      </x:c>
    </x:row>
    <x:row r="71" ht="145.0500030517578" customHeight="1">
      <x:c r="A71" s="1" t="s">
        <x:v>221</x:v>
      </x:c>
      <x:c r="B71" s="1" t="s">
        <x:v>222</x:v>
      </x:c>
      <x:c r="C71" s="1" t="s">
        <x:v>175</x:v>
      </x:c>
      <x:c r="D71" s="4" t="s">
        <x:v>20</x:v>
      </x:c>
      <x:c r="E71" s="1" t="s">
        <x:v>49</x:v>
      </x:c>
      <x:c r="F71" s="1" t="s">
        <x:v>50</x:v>
      </x:c>
      <x:c r="G71" s="1" t="s">
        <x:v>23</x:v>
      </x:c>
      <x:c r="H71" s="1" t="s">
        <x:v>51</x:v>
      </x:c>
      <x:c r="I71" s="1" t="s">
        <x:v>52</x:v>
      </x:c>
      <x:c r="J71" s="1" t="s">
        <x:v>53</x:v>
      </x:c>
      <x:c r="K71" s="1">
        <x:v>1</x:v>
      </x:c>
      <x:c r="L71" s="1" t="s">
        <x:v>27</x:v>
      </x:c>
      <x:c r="M71" s="5">
        <x:v>695</x:v>
      </x:c>
      <x:c r="N71" s="1" t="s">
        <x:v>54</x:v>
      </x:c>
    </x:row>
    <x:row r="72" ht="145.0500030517578" customHeight="1">
      <x:c r="A72" s="1" t="s">
        <x:v>223</x:v>
      </x:c>
      <x:c r="B72" s="1" t="s">
        <x:v>224</x:v>
      </x:c>
      <x:c r="C72" s="1" t="s">
        <x:v>225</x:v>
      </x:c>
      <x:c r="D72" s="7" t="s">
        <x:v>161</x:v>
      </x:c>
      <x:c r="E72" s="1"/>
      <x:c r="F72" s="1" t="s">
        <x:v>33</x:v>
      </x:c>
      <x:c r="G72" s="1" t="s">
        <x:v>34</x:v>
      </x:c>
      <x:c r="H72" s="1"/>
      <x:c r="I72" s="1" t="s">
        <x:v>162</x:v>
      </x:c>
      <x:c r="J72" s="1" t="s">
        <x:v>179</x:v>
      </x:c>
      <x:c r="K72" s="1" t="s">
        <x:v>34</x:v>
      </x:c>
      <x:c r="L72" s="1" t="s">
        <x:v>34</x:v>
      </x:c>
      <x:c r="M72" s="5" t="s">
        <x:v>34</x:v>
      </x:c>
      <x:c r="N72" s="1" t="s">
        <x:v>37</x:v>
      </x:c>
    </x:row>
    <x:row r="73" ht="145.0500030517578" customHeight="1">
      <x:c r="A73" s="1" t="s">
        <x:v>226</x:v>
      </x:c>
      <x:c r="B73" s="1" t="s">
        <x:v>227</x:v>
      </x:c>
      <x:c r="C73" s="1" t="s">
        <x:v>228</x:v>
      </x:c>
      <x:c r="D73" s="7" t="s">
        <x:v>161</x:v>
      </x:c>
      <x:c r="E73" s="1"/>
      <x:c r="F73" s="1" t="s">
        <x:v>33</x:v>
      </x:c>
      <x:c r="G73" s="1" t="s">
        <x:v>34</x:v>
      </x:c>
      <x:c r="H73" s="1"/>
      <x:c r="I73" s="1" t="s">
        <x:v>162</x:v>
      </x:c>
      <x:c r="J73" s="1" t="s">
        <x:v>179</x:v>
      </x:c>
      <x:c r="K73" s="1" t="s">
        <x:v>34</x:v>
      </x:c>
      <x:c r="L73" s="1" t="s">
        <x:v>34</x:v>
      </x:c>
      <x:c r="M73" s="5" t="s">
        <x:v>34</x:v>
      </x:c>
      <x:c r="N73" s="1" t="s">
        <x:v>37</x:v>
      </x:c>
    </x:row>
    <x:row r="74" ht="145.0500030517578" customHeight="1">
      <x:c r="A74" s="1" t="s">
        <x:v>229</x:v>
      </x:c>
      <x:c r="B74" s="1" t="s">
        <x:v>230</x:v>
      </x:c>
      <x:c r="C74" s="1" t="s">
        <x:v>231</x:v>
      </x:c>
      <x:c r="D74" s="4" t="s">
        <x:v>20</x:v>
      </x:c>
      <x:c r="E74" s="1" t="s">
        <x:v>49</x:v>
      </x:c>
      <x:c r="F74" s="1" t="s">
        <x:v>50</x:v>
      </x:c>
      <x:c r="G74" s="1" t="s">
        <x:v>23</x:v>
      </x:c>
      <x:c r="H74" s="1" t="s">
        <x:v>51</x:v>
      </x:c>
      <x:c r="I74" s="1" t="s">
        <x:v>52</x:v>
      </x:c>
      <x:c r="J74" s="1" t="s">
        <x:v>53</x:v>
      </x:c>
      <x:c r="K74" s="1">
        <x:v>1</x:v>
      </x:c>
      <x:c r="L74" s="1" t="s">
        <x:v>27</x:v>
      </x:c>
      <x:c r="M74" s="5">
        <x:v>695</x:v>
      </x:c>
      <x:c r="N74" s="1" t="s">
        <x:v>54</x:v>
      </x:c>
    </x:row>
    <x:row r="75" ht="145.0500030517578" customHeight="1">
      <x:c r="A75" s="1" t="s">
        <x:v>232</x:v>
      </x:c>
      <x:c r="B75" s="1" t="s">
        <x:v>233</x:v>
      </x:c>
      <x:c r="C75" s="1" t="s">
        <x:v>231</x:v>
      </x:c>
      <x:c r="D75" s="4" t="s">
        <x:v>20</x:v>
      </x:c>
      <x:c r="E75" s="1" t="s">
        <x:v>49</x:v>
      </x:c>
      <x:c r="F75" s="1" t="s">
        <x:v>50</x:v>
      </x:c>
      <x:c r="G75" s="1" t="s">
        <x:v>23</x:v>
      </x:c>
      <x:c r="H75" s="1" t="s">
        <x:v>51</x:v>
      </x:c>
      <x:c r="I75" s="1" t="s">
        <x:v>52</x:v>
      </x:c>
      <x:c r="J75" s="1" t="s">
        <x:v>53</x:v>
      </x:c>
      <x:c r="K75" s="1">
        <x:v>1</x:v>
      </x:c>
      <x:c r="L75" s="1" t="s">
        <x:v>27</x:v>
      </x:c>
      <x:c r="M75" s="5">
        <x:v>695</x:v>
      </x:c>
      <x:c r="N75" s="1" t="s">
        <x:v>54</x:v>
      </x:c>
    </x:row>
    <x:row r="76" ht="145.0500030517578" customHeight="1">
      <x:c r="A76" s="1" t="s">
        <x:v>234</x:v>
      </x:c>
      <x:c r="B76" s="1" t="s">
        <x:v>235</x:v>
      </x:c>
      <x:c r="C76" s="1" t="s">
        <x:v>236</x:v>
      </x:c>
      <x:c r="D76" s="4" t="s">
        <x:v>20</x:v>
      </x:c>
      <x:c r="E76" s="1" t="s">
        <x:v>49</x:v>
      </x:c>
      <x:c r="F76" s="1" t="s">
        <x:v>50</x:v>
      </x:c>
      <x:c r="G76" s="1" t="s">
        <x:v>23</x:v>
      </x:c>
      <x:c r="H76" s="1" t="s">
        <x:v>51</x:v>
      </x:c>
      <x:c r="I76" s="1" t="s">
        <x:v>52</x:v>
      </x:c>
      <x:c r="J76" s="1" t="s">
        <x:v>53</x:v>
      </x:c>
      <x:c r="K76" s="1">
        <x:v>1</x:v>
      </x:c>
      <x:c r="L76" s="1" t="s">
        <x:v>27</x:v>
      </x:c>
      <x:c r="M76" s="5">
        <x:v>695</x:v>
      </x:c>
      <x:c r="N76" s="1" t="s">
        <x:v>54</x:v>
      </x:c>
    </x:row>
    <x:row r="77" ht="145.0500030517578" customHeight="1">
      <x:c r="A77" s="1" t="s">
        <x:v>237</x:v>
      </x:c>
      <x:c r="B77" s="1" t="s">
        <x:v>238</x:v>
      </x:c>
      <x:c r="C77" s="1" t="s">
        <x:v>239</x:v>
      </x:c>
      <x:c r="D77" s="4" t="s">
        <x:v>20</x:v>
      </x:c>
      <x:c r="E77" s="1" t="s">
        <x:v>49</x:v>
      </x:c>
      <x:c r="F77" s="1" t="s">
        <x:v>50</x:v>
      </x:c>
      <x:c r="G77" s="1" t="s">
        <x:v>23</x:v>
      </x:c>
      <x:c r="H77" s="1" t="s">
        <x:v>51</x:v>
      </x:c>
      <x:c r="I77" s="1" t="s">
        <x:v>52</x:v>
      </x:c>
      <x:c r="J77" s="1" t="s">
        <x:v>53</x:v>
      </x:c>
      <x:c r="K77" s="1">
        <x:v>1</x:v>
      </x:c>
      <x:c r="L77" s="1" t="s">
        <x:v>27</x:v>
      </x:c>
      <x:c r="M77" s="5">
        <x:v>695</x:v>
      </x:c>
      <x:c r="N77" s="1" t="s">
        <x:v>54</x:v>
      </x:c>
    </x:row>
    <x:row r="78" ht="145.0500030517578" customHeight="1">
      <x:c r="A78" s="1" t="s">
        <x:v>240</x:v>
      </x:c>
      <x:c r="B78" s="1" t="s">
        <x:v>241</x:v>
      </x:c>
      <x:c r="C78" s="1" t="s">
        <x:v>242</x:v>
      </x:c>
      <x:c r="D78" s="4" t="s">
        <x:v>20</x:v>
      </x:c>
      <x:c r="E78" s="1" t="s">
        <x:v>70</x:v>
      </x:c>
      <x:c r="F78" s="1" t="s">
        <x:v>71</x:v>
      </x:c>
      <x:c r="G78" s="1" t="s">
        <x:v>23</x:v>
      </x:c>
      <x:c r="H78" s="1" t="s">
        <x:v>72</x:v>
      </x:c>
      <x:c r="I78" s="1" t="s">
        <x:v>73</x:v>
      </x:c>
      <x:c r="J78" s="1" t="s">
        <x:v>243</x:v>
      </x:c>
      <x:c r="K78" s="1">
        <x:v>3</x:v>
      </x:c>
      <x:c r="L78" s="1" t="s">
        <x:v>27</x:v>
      </x:c>
      <x:c r="M78" s="5">
        <x:v>432</x:v>
      </x:c>
      <x:c r="N78" s="1" t="s">
        <x:v>75</x:v>
      </x:c>
    </x:row>
    <x:row r="79" ht="145.0500030517578" customHeight="1">
      <x:c r="A79" s="1" t="s">
        <x:v>244</x:v>
      </x:c>
      <x:c r="B79" s="1" t="s">
        <x:v>245</x:v>
      </x:c>
      <x:c r="C79" s="1" t="s">
        <x:v>242</x:v>
      </x:c>
      <x:c r="D79" s="4" t="s">
        <x:v>20</x:v>
      </x:c>
      <x:c r="E79" s="1" t="s">
        <x:v>70</x:v>
      </x:c>
      <x:c r="F79" s="1" t="s">
        <x:v>71</x:v>
      </x:c>
      <x:c r="G79" s="1" t="s">
        <x:v>23</x:v>
      </x:c>
      <x:c r="H79" s="1" t="s">
        <x:v>72</x:v>
      </x:c>
      <x:c r="I79" s="1" t="s">
        <x:v>73</x:v>
      </x:c>
      <x:c r="J79" s="1" t="s">
        <x:v>243</x:v>
      </x:c>
      <x:c r="K79" s="1">
        <x:v>3</x:v>
      </x:c>
      <x:c r="L79" s="1" t="s">
        <x:v>27</x:v>
      </x:c>
      <x:c r="M79" s="5">
        <x:v>432</x:v>
      </x:c>
      <x:c r="N79" s="1" t="s">
        <x:v>75</x:v>
      </x:c>
    </x:row>
    <x:row r="80" ht="145.0500030517578" customHeight="1">
      <x:c r="A80" s="1" t="s">
        <x:v>246</x:v>
      </x:c>
      <x:c r="B80" s="1" t="s">
        <x:v>247</x:v>
      </x:c>
      <x:c r="C80" s="1" t="s">
        <x:v>242</x:v>
      </x:c>
      <x:c r="D80" s="4" t="s">
        <x:v>20</x:v>
      </x:c>
      <x:c r="E80" s="1" t="s">
        <x:v>70</x:v>
      </x:c>
      <x:c r="F80" s="1" t="s">
        <x:v>71</x:v>
      </x:c>
      <x:c r="G80" s="1" t="s">
        <x:v>23</x:v>
      </x:c>
      <x:c r="H80" s="1" t="s">
        <x:v>72</x:v>
      </x:c>
      <x:c r="I80" s="1" t="s">
        <x:v>73</x:v>
      </x:c>
      <x:c r="J80" s="1" t="s">
        <x:v>243</x:v>
      </x:c>
      <x:c r="K80" s="1">
        <x:v>3</x:v>
      </x:c>
      <x:c r="L80" s="1" t="s">
        <x:v>27</x:v>
      </x:c>
      <x:c r="M80" s="5">
        <x:v>432</x:v>
      </x:c>
      <x:c r="N80" s="1" t="s">
        <x:v>75</x:v>
      </x:c>
    </x:row>
    <x:row r="81" ht="145.0500030517578" customHeight="1">
      <x:c r="A81" s="1" t="s">
        <x:v>248</x:v>
      </x:c>
      <x:c r="B81" s="1" t="s">
        <x:v>249</x:v>
      </x:c>
      <x:c r="C81" s="1" t="s">
        <x:v>250</x:v>
      </x:c>
      <x:c r="D81" s="4" t="s">
        <x:v>20</x:v>
      </x:c>
      <x:c r="E81" s="1" t="s">
        <x:v>70</x:v>
      </x:c>
      <x:c r="F81" s="1" t="s">
        <x:v>71</x:v>
      </x:c>
      <x:c r="G81" s="1" t="s">
        <x:v>23</x:v>
      </x:c>
      <x:c r="H81" s="1" t="s">
        <x:v>72</x:v>
      </x:c>
      <x:c r="I81" s="1" t="s">
        <x:v>73</x:v>
      </x:c>
      <x:c r="J81" s="1" t="s">
        <x:v>243</x:v>
      </x:c>
      <x:c r="K81" s="1">
        <x:v>3</x:v>
      </x:c>
      <x:c r="L81" s="1" t="s">
        <x:v>27</x:v>
      </x:c>
      <x:c r="M81" s="5">
        <x:v>432</x:v>
      </x:c>
      <x:c r="N81" s="1" t="s">
        <x:v>75</x:v>
      </x:c>
    </x:row>
    <x:row r="82" ht="145.0500030517578" customHeight="1">
      <x:c r="A82" s="1" t="s">
        <x:v>251</x:v>
      </x:c>
      <x:c r="B82" s="1" t="s">
        <x:v>252</x:v>
      </x:c>
      <x:c r="C82" s="1" t="s">
        <x:v>253</x:v>
      </x:c>
      <x:c r="D82" s="4" t="s">
        <x:v>20</x:v>
      </x:c>
      <x:c r="E82" s="1" t="s">
        <x:v>70</x:v>
      </x:c>
      <x:c r="F82" s="1" t="s">
        <x:v>71</x:v>
      </x:c>
      <x:c r="G82" s="1" t="s">
        <x:v>23</x:v>
      </x:c>
      <x:c r="H82" s="1" t="s">
        <x:v>72</x:v>
      </x:c>
      <x:c r="I82" s="1" t="s">
        <x:v>73</x:v>
      </x:c>
      <x:c r="J82" s="1" t="s">
        <x:v>243</x:v>
      </x:c>
      <x:c r="K82" s="1">
        <x:v>3</x:v>
      </x:c>
      <x:c r="L82" s="1" t="s">
        <x:v>27</x:v>
      </x:c>
      <x:c r="M82" s="5">
        <x:v>432</x:v>
      </x:c>
      <x:c r="N82" s="1" t="s">
        <x:v>75</x:v>
      </x:c>
    </x:row>
    <x:row r="83" ht="145.0500030517578" customHeight="1">
      <x:c r="A83" s="1" t="s">
        <x:v>254</x:v>
      </x:c>
      <x:c r="B83" s="1" t="s">
        <x:v>255</x:v>
      </x:c>
      <x:c r="C83" s="1" t="s">
        <x:v>253</x:v>
      </x:c>
      <x:c r="D83" s="4" t="s">
        <x:v>20</x:v>
      </x:c>
      <x:c r="E83" s="1" t="s">
        <x:v>70</x:v>
      </x:c>
      <x:c r="F83" s="1" t="s">
        <x:v>71</x:v>
      </x:c>
      <x:c r="G83" s="1" t="s">
        <x:v>23</x:v>
      </x:c>
      <x:c r="H83" s="1" t="s">
        <x:v>72</x:v>
      </x:c>
      <x:c r="I83" s="1" t="s">
        <x:v>73</x:v>
      </x:c>
      <x:c r="J83" s="1" t="s">
        <x:v>243</x:v>
      </x:c>
      <x:c r="K83" s="1">
        <x:v>3</x:v>
      </x:c>
      <x:c r="L83" s="1" t="s">
        <x:v>27</x:v>
      </x:c>
      <x:c r="M83" s="5">
        <x:v>432</x:v>
      </x:c>
      <x:c r="N83" s="1" t="s">
        <x:v>75</x:v>
      </x:c>
    </x:row>
    <x:row r="84" ht="145.0500030517578" customHeight="1">
      <x:c r="A84" s="1" t="s">
        <x:v>256</x:v>
      </x:c>
      <x:c r="B84" s="1" t="s">
        <x:v>257</x:v>
      </x:c>
      <x:c r="C84" s="1" t="s">
        <x:v>253</x:v>
      </x:c>
      <x:c r="D84" s="4" t="s">
        <x:v>20</x:v>
      </x:c>
      <x:c r="E84" s="1" t="s">
        <x:v>70</x:v>
      </x:c>
      <x:c r="F84" s="1" t="s">
        <x:v>71</x:v>
      </x:c>
      <x:c r="G84" s="1" t="s">
        <x:v>23</x:v>
      </x:c>
      <x:c r="H84" s="1" t="s">
        <x:v>72</x:v>
      </x:c>
      <x:c r="I84" s="1" t="s">
        <x:v>73</x:v>
      </x:c>
      <x:c r="J84" s="1" t="s">
        <x:v>243</x:v>
      </x:c>
      <x:c r="K84" s="1">
        <x:v>3</x:v>
      </x:c>
      <x:c r="L84" s="1" t="s">
        <x:v>27</x:v>
      </x:c>
      <x:c r="M84" s="5">
        <x:v>432</x:v>
      </x:c>
      <x:c r="N84" s="1" t="s">
        <x:v>75</x:v>
      </x:c>
    </x:row>
    <x:row r="85" ht="145.0500030517578" customHeight="1">
      <x:c r="A85" s="1" t="s">
        <x:v>258</x:v>
      </x:c>
      <x:c r="B85" s="1" t="s">
        <x:v>259</x:v>
      </x:c>
      <x:c r="C85" s="1" t="s">
        <x:v>253</x:v>
      </x:c>
      <x:c r="D85" s="4" t="s">
        <x:v>20</x:v>
      </x:c>
      <x:c r="E85" s="1" t="s">
        <x:v>70</x:v>
      </x:c>
      <x:c r="F85" s="1" t="s">
        <x:v>71</x:v>
      </x:c>
      <x:c r="G85" s="1" t="s">
        <x:v>23</x:v>
      </x:c>
      <x:c r="H85" s="1" t="s">
        <x:v>72</x:v>
      </x:c>
      <x:c r="I85" s="1" t="s">
        <x:v>73</x:v>
      </x:c>
      <x:c r="J85" s="1" t="s">
        <x:v>243</x:v>
      </x:c>
      <x:c r="K85" s="1">
        <x:v>3</x:v>
      </x:c>
      <x:c r="L85" s="1" t="s">
        <x:v>27</x:v>
      </x:c>
      <x:c r="M85" s="5">
        <x:v>432</x:v>
      </x:c>
      <x:c r="N85" s="1" t="s">
        <x:v>75</x:v>
      </x:c>
    </x:row>
    <x:row r="86" ht="145.0500030517578" customHeight="1">
      <x:c r="A86" s="1" t="s">
        <x:v>260</x:v>
      </x:c>
      <x:c r="B86" s="1" t="s">
        <x:v>261</x:v>
      </x:c>
      <x:c r="C86" s="1" t="s">
        <x:v>253</x:v>
      </x:c>
      <x:c r="D86" s="4" t="s">
        <x:v>20</x:v>
      </x:c>
      <x:c r="E86" s="1" t="s">
        <x:v>70</x:v>
      </x:c>
      <x:c r="F86" s="1" t="s">
        <x:v>71</x:v>
      </x:c>
      <x:c r="G86" s="1" t="s">
        <x:v>23</x:v>
      </x:c>
      <x:c r="H86" s="1" t="s">
        <x:v>72</x:v>
      </x:c>
      <x:c r="I86" s="1" t="s">
        <x:v>73</x:v>
      </x:c>
      <x:c r="J86" s="1" t="s">
        <x:v>243</x:v>
      </x:c>
      <x:c r="K86" s="1">
        <x:v>3</x:v>
      </x:c>
      <x:c r="L86" s="1" t="s">
        <x:v>27</x:v>
      </x:c>
      <x:c r="M86" s="5">
        <x:v>432</x:v>
      </x:c>
      <x:c r="N86" s="1" t="s">
        <x:v>75</x:v>
      </x:c>
    </x:row>
    <x:row r="87" ht="145.0500030517578" customHeight="1">
      <x:c r="A87" s="1" t="s">
        <x:v>262</x:v>
      </x:c>
      <x:c r="B87" s="1" t="s">
        <x:v>263</x:v>
      </x:c>
      <x:c r="C87" s="1" t="s">
        <x:v>253</x:v>
      </x:c>
      <x:c r="D87" s="4" t="s">
        <x:v>20</x:v>
      </x:c>
      <x:c r="E87" s="1" t="s">
        <x:v>70</x:v>
      </x:c>
      <x:c r="F87" s="1" t="s">
        <x:v>71</x:v>
      </x:c>
      <x:c r="G87" s="1" t="s">
        <x:v>23</x:v>
      </x:c>
      <x:c r="H87" s="1" t="s">
        <x:v>72</x:v>
      </x:c>
      <x:c r="I87" s="1" t="s">
        <x:v>73</x:v>
      </x:c>
      <x:c r="J87" s="1" t="s">
        <x:v>243</x:v>
      </x:c>
      <x:c r="K87" s="1">
        <x:v>3</x:v>
      </x:c>
      <x:c r="L87" s="1" t="s">
        <x:v>27</x:v>
      </x:c>
      <x:c r="M87" s="5">
        <x:v>432</x:v>
      </x:c>
      <x:c r="N87" s="1" t="s">
        <x:v>75</x:v>
      </x:c>
    </x:row>
    <x:row r="88" ht="145.0500030517578" customHeight="1">
      <x:c r="A88" s="1" t="s">
        <x:v>264</x:v>
      </x:c>
      <x:c r="B88" s="1" t="s">
        <x:v>265</x:v>
      </x:c>
      <x:c r="C88" s="1" t="s">
        <x:v>253</x:v>
      </x:c>
      <x:c r="D88" s="4" t="s">
        <x:v>20</x:v>
      </x:c>
      <x:c r="E88" s="1" t="s">
        <x:v>70</x:v>
      </x:c>
      <x:c r="F88" s="1" t="s">
        <x:v>71</x:v>
      </x:c>
      <x:c r="G88" s="1" t="s">
        <x:v>23</x:v>
      </x:c>
      <x:c r="H88" s="1" t="s">
        <x:v>72</x:v>
      </x:c>
      <x:c r="I88" s="1" t="s">
        <x:v>73</x:v>
      </x:c>
      <x:c r="J88" s="1" t="s">
        <x:v>243</x:v>
      </x:c>
      <x:c r="K88" s="1">
        <x:v>3</x:v>
      </x:c>
      <x:c r="L88" s="1" t="s">
        <x:v>27</x:v>
      </x:c>
      <x:c r="M88" s="5">
        <x:v>432</x:v>
      </x:c>
      <x:c r="N88" s="1" t="s">
        <x:v>75</x:v>
      </x:c>
    </x:row>
    <x:row r="89" ht="145.0500030517578" customHeight="1">
      <x:c r="A89" s="1" t="s">
        <x:v>266</x:v>
      </x:c>
      <x:c r="B89" s="1" t="s">
        <x:v>267</x:v>
      </x:c>
      <x:c r="C89" s="1" t="s">
        <x:v>253</x:v>
      </x:c>
      <x:c r="D89" s="4" t="s">
        <x:v>20</x:v>
      </x:c>
      <x:c r="E89" s="1" t="s">
        <x:v>70</x:v>
      </x:c>
      <x:c r="F89" s="1" t="s">
        <x:v>71</x:v>
      </x:c>
      <x:c r="G89" s="1" t="s">
        <x:v>23</x:v>
      </x:c>
      <x:c r="H89" s="1" t="s">
        <x:v>72</x:v>
      </x:c>
      <x:c r="I89" s="1" t="s">
        <x:v>73</x:v>
      </x:c>
      <x:c r="J89" s="1" t="s">
        <x:v>243</x:v>
      </x:c>
      <x:c r="K89" s="1">
        <x:v>3</x:v>
      </x:c>
      <x:c r="L89" s="1" t="s">
        <x:v>27</x:v>
      </x:c>
      <x:c r="M89" s="5">
        <x:v>432</x:v>
      </x:c>
      <x:c r="N89" s="1" t="s">
        <x:v>75</x:v>
      </x:c>
    </x:row>
    <x:row r="90" ht="145.0500030517578" customHeight="1">
      <x:c r="A90" s="1" t="s">
        <x:v>268</x:v>
      </x:c>
      <x:c r="B90" s="1" t="s">
        <x:v>269</x:v>
      </x:c>
      <x:c r="C90" s="1" t="s">
        <x:v>253</x:v>
      </x:c>
      <x:c r="D90" s="4" t="s">
        <x:v>20</x:v>
      </x:c>
      <x:c r="E90" s="1" t="s">
        <x:v>70</x:v>
      </x:c>
      <x:c r="F90" s="1" t="s">
        <x:v>71</x:v>
      </x:c>
      <x:c r="G90" s="1" t="s">
        <x:v>23</x:v>
      </x:c>
      <x:c r="H90" s="1" t="s">
        <x:v>72</x:v>
      </x:c>
      <x:c r="I90" s="1" t="s">
        <x:v>73</x:v>
      </x:c>
      <x:c r="J90" s="1" t="s">
        <x:v>243</x:v>
      </x:c>
      <x:c r="K90" s="1">
        <x:v>3</x:v>
      </x:c>
      <x:c r="L90" s="1" t="s">
        <x:v>27</x:v>
      </x:c>
      <x:c r="M90" s="5">
        <x:v>432</x:v>
      </x:c>
      <x:c r="N90" s="1" t="s">
        <x:v>75</x:v>
      </x:c>
    </x:row>
    <x:row r="91" ht="145.0500030517578" customHeight="1">
      <x:c r="A91" s="1" t="s">
        <x:v>270</x:v>
      </x:c>
      <x:c r="B91" s="1" t="s">
        <x:v>271</x:v>
      </x:c>
      <x:c r="C91" s="1" t="s">
        <x:v>272</x:v>
      </x:c>
      <x:c r="D91" s="7" t="s">
        <x:v>167</x:v>
      </x:c>
      <x:c r="E91" s="1"/>
      <x:c r="F91" s="1" t="s">
        <x:v>33</x:v>
      </x:c>
      <x:c r="G91" s="1" t="s">
        <x:v>34</x:v>
      </x:c>
      <x:c r="H91" s="1"/>
      <x:c r="I91" s="1" t="s">
        <x:v>168</x:v>
      </x:c>
      <x:c r="J91" s="1" t="s">
        <x:v>169</x:v>
      </x:c>
      <x:c r="K91" s="1" t="s">
        <x:v>34</x:v>
      </x:c>
      <x:c r="L91" s="1" t="s">
        <x:v>34</x:v>
      </x:c>
      <x:c r="M91" s="5" t="s">
        <x:v>34</x:v>
      </x:c>
      <x:c r="N91" s="1" t="s">
        <x:v>37</x:v>
      </x:c>
    </x:row>
    <x:row r="92" ht="145.0500030517578" customHeight="1">
      <x:c r="A92" s="1" t="s">
        <x:v>273</x:v>
      </x:c>
      <x:c r="B92" s="1" t="s">
        <x:v>274</x:v>
      </x:c>
      <x:c r="C92" s="1" t="s">
        <x:v>272</x:v>
      </x:c>
      <x:c r="D92" s="7" t="s">
        <x:v>167</x:v>
      </x:c>
      <x:c r="E92" s="1"/>
      <x:c r="F92" s="1" t="s">
        <x:v>33</x:v>
      </x:c>
      <x:c r="G92" s="1" t="s">
        <x:v>34</x:v>
      </x:c>
      <x:c r="H92" s="1"/>
      <x:c r="I92" s="1" t="s">
        <x:v>168</x:v>
      </x:c>
      <x:c r="J92" s="1" t="s">
        <x:v>169</x:v>
      </x:c>
      <x:c r="K92" s="1" t="s">
        <x:v>34</x:v>
      </x:c>
      <x:c r="L92" s="1" t="s">
        <x:v>34</x:v>
      </x:c>
      <x:c r="M92" s="5" t="s">
        <x:v>34</x:v>
      </x:c>
      <x:c r="N92" s="1" t="s">
        <x:v>37</x:v>
      </x:c>
    </x:row>
    <x:row r="93" ht="145.0500030517578" customHeight="1">
      <x:c r="A93" s="1" t="s">
        <x:v>275</x:v>
      </x:c>
      <x:c r="B93" s="1" t="s">
        <x:v>276</x:v>
      </x:c>
      <x:c r="C93" s="1" t="s">
        <x:v>272</x:v>
      </x:c>
      <x:c r="D93" s="7" t="s">
        <x:v>167</x:v>
      </x:c>
      <x:c r="E93" s="1"/>
      <x:c r="F93" s="1" t="s">
        <x:v>33</x:v>
      </x:c>
      <x:c r="G93" s="1" t="s">
        <x:v>34</x:v>
      </x:c>
      <x:c r="H93" s="1"/>
      <x:c r="I93" s="1" t="s">
        <x:v>168</x:v>
      </x:c>
      <x:c r="J93" s="1" t="s">
        <x:v>169</x:v>
      </x:c>
      <x:c r="K93" s="1" t="s">
        <x:v>34</x:v>
      </x:c>
      <x:c r="L93" s="1" t="s">
        <x:v>34</x:v>
      </x:c>
      <x:c r="M93" s="5" t="s">
        <x:v>34</x:v>
      </x:c>
      <x:c r="N93" s="1" t="s">
        <x:v>37</x:v>
      </x:c>
    </x:row>
    <x:row r="94" ht="145.0500030517578" customHeight="1">
      <x:c r="A94" s="1" t="s">
        <x:v>277</x:v>
      </x:c>
      <x:c r="B94" s="1" t="s">
        <x:v>278</x:v>
      </x:c>
      <x:c r="C94" s="1" t="s">
        <x:v>272</x:v>
      </x:c>
      <x:c r="D94" s="7" t="s">
        <x:v>167</x:v>
      </x:c>
      <x:c r="E94" s="1"/>
      <x:c r="F94" s="1" t="s">
        <x:v>33</x:v>
      </x:c>
      <x:c r="G94" s="1" t="s">
        <x:v>34</x:v>
      </x:c>
      <x:c r="H94" s="1"/>
      <x:c r="I94" s="1" t="s">
        <x:v>168</x:v>
      </x:c>
      <x:c r="J94" s="1" t="s">
        <x:v>169</x:v>
      </x:c>
      <x:c r="K94" s="1" t="s">
        <x:v>34</x:v>
      </x:c>
      <x:c r="L94" s="1" t="s">
        <x:v>34</x:v>
      </x:c>
      <x:c r="M94" s="5" t="s">
        <x:v>34</x:v>
      </x:c>
      <x:c r="N94" s="1" t="s">
        <x:v>37</x:v>
      </x:c>
    </x:row>
    <x:row r="95" ht="145.0500030517578" customHeight="1">
      <x:c r="A95" s="1" t="s">
        <x:v>279</x:v>
      </x:c>
      <x:c r="B95" s="1" t="s">
        <x:v>280</x:v>
      </x:c>
      <x:c r="C95" s="1" t="s">
        <x:v>272</x:v>
      </x:c>
      <x:c r="D95" s="7" t="s">
        <x:v>167</x:v>
      </x:c>
      <x:c r="E95" s="1"/>
      <x:c r="F95" s="1" t="s">
        <x:v>33</x:v>
      </x:c>
      <x:c r="G95" s="1" t="s">
        <x:v>34</x:v>
      </x:c>
      <x:c r="H95" s="1"/>
      <x:c r="I95" s="1" t="s">
        <x:v>168</x:v>
      </x:c>
      <x:c r="J95" s="1" t="s">
        <x:v>169</x:v>
      </x:c>
      <x:c r="K95" s="1" t="s">
        <x:v>34</x:v>
      </x:c>
      <x:c r="L95" s="1" t="s">
        <x:v>34</x:v>
      </x:c>
      <x:c r="M95" s="5" t="s">
        <x:v>34</x:v>
      </x:c>
      <x:c r="N95" s="1" t="s">
        <x:v>37</x:v>
      </x:c>
    </x:row>
    <x:row r="96" ht="145.0500030517578" customHeight="1">
      <x:c r="A96" s="1" t="s">
        <x:v>281</x:v>
      </x:c>
      <x:c r="B96" s="1" t="s">
        <x:v>282</x:v>
      </x:c>
      <x:c r="C96" s="1" t="s">
        <x:v>272</x:v>
      </x:c>
      <x:c r="D96" s="7" t="s">
        <x:v>167</x:v>
      </x:c>
      <x:c r="E96" s="1"/>
      <x:c r="F96" s="1" t="s">
        <x:v>33</x:v>
      </x:c>
      <x:c r="G96" s="1" t="s">
        <x:v>34</x:v>
      </x:c>
      <x:c r="H96" s="1"/>
      <x:c r="I96" s="1" t="s">
        <x:v>168</x:v>
      </x:c>
      <x:c r="J96" s="1" t="s">
        <x:v>169</x:v>
      </x:c>
      <x:c r="K96" s="1" t="s">
        <x:v>34</x:v>
      </x:c>
      <x:c r="L96" s="1" t="s">
        <x:v>34</x:v>
      </x:c>
      <x:c r="M96" s="5" t="s">
        <x:v>34</x:v>
      </x:c>
      <x:c r="N96" s="1" t="s">
        <x:v>37</x:v>
      </x:c>
    </x:row>
    <x:row r="97" ht="145.0500030517578" customHeight="1">
      <x:c r="A97" s="1" t="s">
        <x:v>283</x:v>
      </x:c>
      <x:c r="B97" s="1" t="s">
        <x:v>284</x:v>
      </x:c>
      <x:c r="C97" s="1" t="s">
        <x:v>272</x:v>
      </x:c>
      <x:c r="D97" s="7" t="s">
        <x:v>167</x:v>
      </x:c>
      <x:c r="E97" s="1"/>
      <x:c r="F97" s="1" t="s">
        <x:v>33</x:v>
      </x:c>
      <x:c r="G97" s="1" t="s">
        <x:v>34</x:v>
      </x:c>
      <x:c r="H97" s="1"/>
      <x:c r="I97" s="1" t="s">
        <x:v>168</x:v>
      </x:c>
      <x:c r="J97" s="1" t="s">
        <x:v>169</x:v>
      </x:c>
      <x:c r="K97" s="1" t="s">
        <x:v>34</x:v>
      </x:c>
      <x:c r="L97" s="1" t="s">
        <x:v>34</x:v>
      </x:c>
      <x:c r="M97" s="5" t="s">
        <x:v>34</x:v>
      </x:c>
      <x:c r="N97" s="1" t="s">
        <x:v>37</x:v>
      </x:c>
    </x:row>
    <x:row r="98" ht="145.0500030517578" customHeight="1">
      <x:c r="A98" s="1" t="s">
        <x:v>285</x:v>
      </x:c>
      <x:c r="B98" s="1" t="s">
        <x:v>286</x:v>
      </x:c>
      <x:c r="C98" s="1" t="s">
        <x:v>287</x:v>
      </x:c>
      <x:c r="D98" s="4" t="s">
        <x:v>288</x:v>
      </x:c>
      <x:c r="E98" s="1" t="s">
        <x:v>289</x:v>
      </x:c>
      <x:c r="F98" s="1" t="s">
        <x:v>290</x:v>
      </x:c>
      <x:c r="G98" s="1" t="s">
        <x:v>23</x:v>
      </x:c>
      <x:c r="H98" s="1"/>
      <x:c r="I98" s="1" t="s">
        <x:v>291</x:v>
      </x:c>
      <x:c r="J98" s="1" t="s">
        <x:v>292</x:v>
      </x:c>
      <x:c r="K98" s="7">
        <x:v>0</x:v>
      </x:c>
      <x:c r="L98" s="1" t="s">
        <x:v>27</x:v>
      </x:c>
      <x:c r="M98" s="5">
        <x:v>129</x:v>
      </x:c>
      <x:c r="N98" s="1" t="s">
        <x:v>293</x:v>
      </x:c>
    </x:row>
    <x:row r="99" ht="145.0500030517578" customHeight="1">
      <x:c r="A99" s="1" t="s">
        <x:v>294</x:v>
      </x:c>
      <x:c r="B99" s="1" t="s">
        <x:v>295</x:v>
      </x:c>
      <x:c r="C99" s="1" t="s">
        <x:v>296</x:v>
      </x:c>
      <x:c r="D99" s="7" t="s">
        <x:v>167</x:v>
      </x:c>
      <x:c r="E99" s="1"/>
      <x:c r="F99" s="1" t="s">
        <x:v>33</x:v>
      </x:c>
      <x:c r="G99" s="1" t="s">
        <x:v>34</x:v>
      </x:c>
      <x:c r="H99" s="1"/>
      <x:c r="I99" s="1" t="s">
        <x:v>197</x:v>
      </x:c>
      <x:c r="J99" s="1" t="s">
        <x:v>198</x:v>
      </x:c>
      <x:c r="K99" s="1" t="s">
        <x:v>34</x:v>
      </x:c>
      <x:c r="L99" s="1" t="s">
        <x:v>34</x:v>
      </x:c>
      <x:c r="M99" s="5" t="s">
        <x:v>34</x:v>
      </x:c>
      <x:c r="N99" s="1" t="s">
        <x:v>37</x:v>
      </x:c>
    </x:row>
    <x:row r="100" ht="145.0500030517578" customHeight="1">
      <x:c r="A100" s="1" t="s">
        <x:v>297</x:v>
      </x:c>
      <x:c r="B100" s="1" t="s">
        <x:v>298</x:v>
      </x:c>
      <x:c r="C100" s="1" t="s">
        <x:v>296</x:v>
      </x:c>
      <x:c r="D100" s="7" t="s">
        <x:v>167</x:v>
      </x:c>
      <x:c r="E100" s="1"/>
      <x:c r="F100" s="1" t="s">
        <x:v>33</x:v>
      </x:c>
      <x:c r="G100" s="1" t="s">
        <x:v>34</x:v>
      </x:c>
      <x:c r="H100" s="1"/>
      <x:c r="I100" s="1" t="s">
        <x:v>197</x:v>
      </x:c>
      <x:c r="J100" s="1" t="s">
        <x:v>198</x:v>
      </x:c>
      <x:c r="K100" s="1" t="s">
        <x:v>34</x:v>
      </x:c>
      <x:c r="L100" s="1" t="s">
        <x:v>34</x:v>
      </x:c>
      <x:c r="M100" s="5" t="s">
        <x:v>34</x:v>
      </x:c>
      <x:c r="N100" s="1" t="s">
        <x:v>37</x:v>
      </x:c>
    </x:row>
    <x:row r="101" ht="145.0500030517578" customHeight="1">
      <x:c r="A101" s="1" t="s">
        <x:v>299</x:v>
      </x:c>
      <x:c r="B101" s="1" t="s">
        <x:v>300</x:v>
      </x:c>
      <x:c r="C101" s="1" t="s">
        <x:v>301</x:v>
      </x:c>
      <x:c r="D101" s="4" t="s">
        <x:v>20</x:v>
      </x:c>
      <x:c r="E101" s="1" t="s">
        <x:v>49</x:v>
      </x:c>
      <x:c r="F101" s="1" t="s">
        <x:v>50</x:v>
      </x:c>
      <x:c r="G101" s="1" t="s">
        <x:v>23</x:v>
      </x:c>
      <x:c r="H101" s="1" t="s">
        <x:v>51</x:v>
      </x:c>
      <x:c r="I101" s="1" t="s">
        <x:v>52</x:v>
      </x:c>
      <x:c r="J101" s="1" t="s">
        <x:v>53</x:v>
      </x:c>
      <x:c r="K101" s="1">
        <x:v>1</x:v>
      </x:c>
      <x:c r="L101" s="1" t="s">
        <x:v>27</x:v>
      </x:c>
      <x:c r="M101" s="5">
        <x:v>695</x:v>
      </x:c>
      <x:c r="N101" s="1" t="s">
        <x:v>54</x:v>
      </x:c>
    </x:row>
    <x:row r="102" ht="145.0500030517578" customHeight="1">
      <x:c r="A102" s="1" t="s">
        <x:v>302</x:v>
      </x:c>
      <x:c r="B102" s="1" t="s">
        <x:v>303</x:v>
      </x:c>
      <x:c r="C102" s="1" t="s">
        <x:v>236</x:v>
      </x:c>
      <x:c r="D102" s="4" t="s">
        <x:v>20</x:v>
      </x:c>
      <x:c r="E102" s="1" t="s">
        <x:v>49</x:v>
      </x:c>
      <x:c r="F102" s="1" t="s">
        <x:v>50</x:v>
      </x:c>
      <x:c r="G102" s="1" t="s">
        <x:v>23</x:v>
      </x:c>
      <x:c r="H102" s="1" t="s">
        <x:v>51</x:v>
      </x:c>
      <x:c r="I102" s="1" t="s">
        <x:v>52</x:v>
      </x:c>
      <x:c r="J102" s="1" t="s">
        <x:v>53</x:v>
      </x:c>
      <x:c r="K102" s="1">
        <x:v>1</x:v>
      </x:c>
      <x:c r="L102" s="1" t="s">
        <x:v>27</x:v>
      </x:c>
      <x:c r="M102" s="5">
        <x:v>695</x:v>
      </x:c>
      <x:c r="N102" s="1" t="s">
        <x:v>54</x:v>
      </x:c>
    </x:row>
    <x:row r="103" ht="145.0500030517578" customHeight="1">
      <x:c r="A103" s="1" t="s">
        <x:v>304</x:v>
      </x:c>
      <x:c r="B103" s="1" t="s">
        <x:v>305</x:v>
      </x:c>
      <x:c r="C103" s="1" t="s">
        <x:v>236</x:v>
      </x:c>
      <x:c r="D103" s="4" t="s">
        <x:v>20</x:v>
      </x:c>
      <x:c r="E103" s="1" t="s">
        <x:v>49</x:v>
      </x:c>
      <x:c r="F103" s="1" t="s">
        <x:v>50</x:v>
      </x:c>
      <x:c r="G103" s="1" t="s">
        <x:v>23</x:v>
      </x:c>
      <x:c r="H103" s="1" t="s">
        <x:v>51</x:v>
      </x:c>
      <x:c r="I103" s="1" t="s">
        <x:v>52</x:v>
      </x:c>
      <x:c r="J103" s="1" t="s">
        <x:v>53</x:v>
      </x:c>
      <x:c r="K103" s="1">
        <x:v>1</x:v>
      </x:c>
      <x:c r="L103" s="1" t="s">
        <x:v>27</x:v>
      </x:c>
      <x:c r="M103" s="5">
        <x:v>695</x:v>
      </x:c>
      <x:c r="N103" s="1" t="s">
        <x:v>54</x:v>
      </x:c>
    </x:row>
    <x:row r="104" ht="145.0500030517578" customHeight="1">
      <x:c r="A104" s="1" t="s">
        <x:v>306</x:v>
      </x:c>
      <x:c r="B104" s="1" t="s">
        <x:v>307</x:v>
      </x:c>
      <x:c r="C104" s="1" t="s">
        <x:v>308</x:v>
      </x:c>
      <x:c r="D104" s="4" t="s">
        <x:v>20</x:v>
      </x:c>
      <x:c r="E104" s="1" t="s">
        <x:v>49</x:v>
      </x:c>
      <x:c r="F104" s="1" t="s">
        <x:v>50</x:v>
      </x:c>
      <x:c r="G104" s="1" t="s">
        <x:v>23</x:v>
      </x:c>
      <x:c r="H104" s="1" t="s">
        <x:v>51</x:v>
      </x:c>
      <x:c r="I104" s="1" t="s">
        <x:v>52</x:v>
      </x:c>
      <x:c r="J104" s="1" t="s">
        <x:v>53</x:v>
      </x:c>
      <x:c r="K104" s="1">
        <x:v>1</x:v>
      </x:c>
      <x:c r="L104" s="1" t="s">
        <x:v>27</x:v>
      </x:c>
      <x:c r="M104" s="5">
        <x:v>695</x:v>
      </x:c>
      <x:c r="N104" s="1" t="s">
        <x:v>54</x:v>
      </x:c>
    </x:row>
    <x:row r="105" ht="145.0500030517578" customHeight="1">
      <x:c r="A105" s="1" t="s">
        <x:v>309</x:v>
      </x:c>
      <x:c r="B105" s="1" t="s">
        <x:v>310</x:v>
      </x:c>
      <x:c r="C105" s="1" t="s">
        <x:v>231</x:v>
      </x:c>
      <x:c r="D105" s="4" t="s">
        <x:v>20</x:v>
      </x:c>
      <x:c r="E105" s="1" t="s">
        <x:v>49</x:v>
      </x:c>
      <x:c r="F105" s="1" t="s">
        <x:v>50</x:v>
      </x:c>
      <x:c r="G105" s="1" t="s">
        <x:v>23</x:v>
      </x:c>
      <x:c r="H105" s="1" t="s">
        <x:v>51</x:v>
      </x:c>
      <x:c r="I105" s="1" t="s">
        <x:v>52</x:v>
      </x:c>
      <x:c r="J105" s="1" t="s">
        <x:v>53</x:v>
      </x:c>
      <x:c r="K105" s="1">
        <x:v>1</x:v>
      </x:c>
      <x:c r="L105" s="1" t="s">
        <x:v>27</x:v>
      </x:c>
      <x:c r="M105" s="5">
        <x:v>695</x:v>
      </x:c>
      <x:c r="N105" s="1" t="s">
        <x:v>54</x:v>
      </x:c>
    </x:row>
    <x:row r="106" ht="145.0500030517578" customHeight="1">
      <x:c r="A106" s="1" t="s">
        <x:v>311</x:v>
      </x:c>
      <x:c r="B106" s="1" t="s">
        <x:v>312</x:v>
      </x:c>
      <x:c r="C106" s="1" t="s">
        <x:v>236</x:v>
      </x:c>
      <x:c r="D106" s="4" t="s">
        <x:v>20</x:v>
      </x:c>
      <x:c r="E106" s="1" t="s">
        <x:v>49</x:v>
      </x:c>
      <x:c r="F106" s="1" t="s">
        <x:v>50</x:v>
      </x:c>
      <x:c r="G106" s="1" t="s">
        <x:v>23</x:v>
      </x:c>
      <x:c r="H106" s="1" t="s">
        <x:v>51</x:v>
      </x:c>
      <x:c r="I106" s="1" t="s">
        <x:v>52</x:v>
      </x:c>
      <x:c r="J106" s="1" t="s">
        <x:v>53</x:v>
      </x:c>
      <x:c r="K106" s="1">
        <x:v>1</x:v>
      </x:c>
      <x:c r="L106" s="1" t="s">
        <x:v>27</x:v>
      </x:c>
      <x:c r="M106" s="5">
        <x:v>695</x:v>
      </x:c>
      <x:c r="N106" s="1" t="s">
        <x:v>54</x:v>
      </x:c>
    </x:row>
    <x:row r="107" ht="145.0500030517578" customHeight="1">
      <x:c r="A107" s="1" t="s">
        <x:v>313</x:v>
      </x:c>
      <x:c r="B107" s="1" t="s">
        <x:v>314</x:v>
      </x:c>
      <x:c r="C107" s="1" t="s">
        <x:v>236</x:v>
      </x:c>
      <x:c r="D107" s="4" t="s">
        <x:v>20</x:v>
      </x:c>
      <x:c r="E107" s="1" t="s">
        <x:v>49</x:v>
      </x:c>
      <x:c r="F107" s="1" t="s">
        <x:v>50</x:v>
      </x:c>
      <x:c r="G107" s="1" t="s">
        <x:v>23</x:v>
      </x:c>
      <x:c r="H107" s="1" t="s">
        <x:v>51</x:v>
      </x:c>
      <x:c r="I107" s="1" t="s">
        <x:v>52</x:v>
      </x:c>
      <x:c r="J107" s="1" t="s">
        <x:v>53</x:v>
      </x:c>
      <x:c r="K107" s="1">
        <x:v>1</x:v>
      </x:c>
      <x:c r="L107" s="1" t="s">
        <x:v>27</x:v>
      </x:c>
      <x:c r="M107" s="5">
        <x:v>695</x:v>
      </x:c>
      <x:c r="N107" s="1" t="s">
        <x:v>54</x:v>
      </x:c>
    </x:row>
    <x:row r="108" ht="145.0500030517578" customHeight="1">
      <x:c r="A108" s="1" t="s">
        <x:v>315</x:v>
      </x:c>
      <x:c r="B108" s="1" t="s">
        <x:v>316</x:v>
      </x:c>
      <x:c r="C108" s="1" t="s">
        <x:v>236</x:v>
      </x:c>
      <x:c r="D108" s="4" t="s">
        <x:v>20</x:v>
      </x:c>
      <x:c r="E108" s="1" t="s">
        <x:v>49</x:v>
      </x:c>
      <x:c r="F108" s="1" t="s">
        <x:v>50</x:v>
      </x:c>
      <x:c r="G108" s="1" t="s">
        <x:v>23</x:v>
      </x:c>
      <x:c r="H108" s="1" t="s">
        <x:v>51</x:v>
      </x:c>
      <x:c r="I108" s="1" t="s">
        <x:v>52</x:v>
      </x:c>
      <x:c r="J108" s="1" t="s">
        <x:v>53</x:v>
      </x:c>
      <x:c r="K108" s="1">
        <x:v>1</x:v>
      </x:c>
      <x:c r="L108" s="1" t="s">
        <x:v>27</x:v>
      </x:c>
      <x:c r="M108" s="5">
        <x:v>695</x:v>
      </x:c>
      <x:c r="N108" s="1" t="s">
        <x:v>54</x:v>
      </x:c>
    </x:row>
    <x:row r="109" ht="145.0500030517578" customHeight="1">
      <x:c r="A109" s="1" t="s">
        <x:v>317</x:v>
      </x:c>
      <x:c r="B109" s="1" t="s">
        <x:v>318</x:v>
      </x:c>
      <x:c r="C109" s="1" t="s">
        <x:v>250</x:v>
      </x:c>
      <x:c r="D109" s="4" t="s">
        <x:v>20</x:v>
      </x:c>
      <x:c r="E109" s="1" t="s">
        <x:v>70</x:v>
      </x:c>
      <x:c r="F109" s="1" t="s">
        <x:v>71</x:v>
      </x:c>
      <x:c r="G109" s="1" t="s">
        <x:v>23</x:v>
      </x:c>
      <x:c r="H109" s="1" t="s">
        <x:v>72</x:v>
      </x:c>
      <x:c r="I109" s="1" t="s">
        <x:v>73</x:v>
      </x:c>
      <x:c r="J109" s="1" t="s">
        <x:v>190</x:v>
      </x:c>
      <x:c r="K109" s="1">
        <x:v>3</x:v>
      </x:c>
      <x:c r="L109" s="1" t="s">
        <x:v>27</x:v>
      </x:c>
      <x:c r="M109" s="5">
        <x:v>432</x:v>
      </x:c>
      <x:c r="N109" s="1" t="s">
        <x:v>75</x:v>
      </x:c>
    </x:row>
    <x:row r="110" ht="145.0500030517578" customHeight="1">
      <x:c r="A110" s="1" t="s">
        <x:v>319</x:v>
      </x:c>
      <x:c r="B110" s="1" t="s">
        <x:v>320</x:v>
      </x:c>
      <x:c r="C110" s="1" t="s">
        <x:v>253</x:v>
      </x:c>
      <x:c r="D110" s="4" t="s">
        <x:v>20</x:v>
      </x:c>
      <x:c r="E110" s="1" t="s">
        <x:v>70</x:v>
      </x:c>
      <x:c r="F110" s="1" t="s">
        <x:v>71</x:v>
      </x:c>
      <x:c r="G110" s="1" t="s">
        <x:v>23</x:v>
      </x:c>
      <x:c r="H110" s="1" t="s">
        <x:v>72</x:v>
      </x:c>
      <x:c r="I110" s="1" t="s">
        <x:v>73</x:v>
      </x:c>
      <x:c r="J110" s="1" t="s">
        <x:v>190</x:v>
      </x:c>
      <x:c r="K110" s="1">
        <x:v>3</x:v>
      </x:c>
      <x:c r="L110" s="1" t="s">
        <x:v>27</x:v>
      </x:c>
      <x:c r="M110" s="5">
        <x:v>432</x:v>
      </x:c>
      <x:c r="N110" s="1" t="s">
        <x:v>75</x:v>
      </x:c>
    </x:row>
    <x:row r="111" ht="145.0500030517578" customHeight="1">
      <x:c r="A111" s="1" t="s">
        <x:v>321</x:v>
      </x:c>
      <x:c r="B111" s="1" t="s">
        <x:v>322</x:v>
      </x:c>
      <x:c r="C111" s="1" t="s">
        <x:v>323</x:v>
      </x:c>
      <x:c r="D111" s="7" t="s">
        <x:v>167</x:v>
      </x:c>
      <x:c r="E111" s="1"/>
      <x:c r="F111" s="1" t="s">
        <x:v>33</x:v>
      </x:c>
      <x:c r="G111" s="1" t="s">
        <x:v>34</x:v>
      </x:c>
      <x:c r="H111" s="1"/>
      <x:c r="I111" s="1" t="s">
        <x:v>324</x:v>
      </x:c>
      <x:c r="J111" s="1" t="s">
        <x:v>325</x:v>
      </x:c>
      <x:c r="K111" s="1" t="s">
        <x:v>34</x:v>
      </x:c>
      <x:c r="L111" s="1" t="s">
        <x:v>34</x:v>
      </x:c>
      <x:c r="M111" s="5" t="s">
        <x:v>34</x:v>
      </x:c>
      <x:c r="N111" s="1" t="s">
        <x:v>37</x:v>
      </x:c>
    </x:row>
    <x:row r="112" ht="145.0500030517578" customHeight="1">
      <x:c r="A112" s="1" t="s">
        <x:v>326</x:v>
      </x:c>
      <x:c r="B112" s="1" t="s">
        <x:v>327</x:v>
      </x:c>
      <x:c r="C112" s="1" t="s">
        <x:v>328</x:v>
      </x:c>
      <x:c r="D112" s="7" t="s">
        <x:v>161</x:v>
      </x:c>
      <x:c r="E112" s="1"/>
      <x:c r="F112" s="1" t="s">
        <x:v>33</x:v>
      </x:c>
      <x:c r="G112" s="1" t="s">
        <x:v>34</x:v>
      </x:c>
      <x:c r="H112" s="1"/>
      <x:c r="I112" s="1" t="s">
        <x:v>162</x:v>
      </x:c>
      <x:c r="J112" s="1" t="s">
        <x:v>329</x:v>
      </x:c>
      <x:c r="K112" s="1" t="s">
        <x:v>34</x:v>
      </x:c>
      <x:c r="L112" s="1" t="s">
        <x:v>34</x:v>
      </x:c>
      <x:c r="M112" s="5" t="s">
        <x:v>34</x:v>
      </x:c>
      <x:c r="N112" s="1" t="s">
        <x:v>37</x:v>
      </x:c>
    </x:row>
    <x:row r="113" ht="145.0500030517578" customHeight="1">
      <x:c r="A113" s="1" t="s">
        <x:v>330</x:v>
      </x:c>
      <x:c r="B113" s="1" t="s">
        <x:v>331</x:v>
      </x:c>
      <x:c r="C113" s="1" t="s">
        <x:v>332</x:v>
      </x:c>
      <x:c r="D113" s="6" t="s">
        <x:v>32</x:v>
      </x:c>
      <x:c r="E113" s="1"/>
      <x:c r="F113" s="1" t="s">
        <x:v>33</x:v>
      </x:c>
      <x:c r="G113" s="1" t="s">
        <x:v>34</x:v>
      </x:c>
      <x:c r="H113" s="1"/>
      <x:c r="I113" s="1" t="s">
        <x:v>35</x:v>
      </x:c>
      <x:c r="J113" s="1" t="s">
        <x:v>333</x:v>
      </x:c>
      <x:c r="K113" s="1" t="s">
        <x:v>34</x:v>
      </x:c>
      <x:c r="L113" s="1" t="s">
        <x:v>34</x:v>
      </x:c>
      <x:c r="M113" s="5" t="s">
        <x:v>34</x:v>
      </x:c>
      <x:c r="N113" s="1" t="s">
        <x:v>37</x:v>
      </x:c>
    </x:row>
    <x:row r="114" ht="145.0500030517578" customHeight="1">
      <x:c r="A114" s="1" t="s">
        <x:v>334</x:v>
      </x:c>
      <x:c r="B114" s="1" t="s">
        <x:v>335</x:v>
      </x:c>
      <x:c r="C114" s="1" t="s">
        <x:v>336</x:v>
      </x:c>
      <x:c r="D114" s="4" t="s">
        <x:v>20</x:v>
      </x:c>
      <x:c r="E114" s="1" t="s">
        <x:v>49</x:v>
      </x:c>
      <x:c r="F114" s="1" t="s">
        <x:v>50</x:v>
      </x:c>
      <x:c r="G114" s="1" t="s">
        <x:v>23</x:v>
      </x:c>
      <x:c r="H114" s="1" t="s">
        <x:v>51</x:v>
      </x:c>
      <x:c r="I114" s="1" t="s">
        <x:v>52</x:v>
      </x:c>
      <x:c r="J114" s="1" t="s">
        <x:v>53</x:v>
      </x:c>
      <x:c r="K114" s="1">
        <x:v>1</x:v>
      </x:c>
      <x:c r="L114" s="1" t="s">
        <x:v>27</x:v>
      </x:c>
      <x:c r="M114" s="5">
        <x:v>695</x:v>
      </x:c>
      <x:c r="N114" s="1" t="s">
        <x:v>54</x:v>
      </x:c>
    </x:row>
    <x:row r="115" ht="145.0500030517578" customHeight="1">
      <x:c r="A115" s="1" t="s">
        <x:v>337</x:v>
      </x:c>
      <x:c r="B115" s="1" t="s">
        <x:v>338</x:v>
      </x:c>
      <x:c r="C115" s="1" t="s">
        <x:v>236</x:v>
      </x:c>
      <x:c r="D115" s="4" t="s">
        <x:v>20</x:v>
      </x:c>
      <x:c r="E115" s="1" t="s">
        <x:v>49</x:v>
      </x:c>
      <x:c r="F115" s="1" t="s">
        <x:v>50</x:v>
      </x:c>
      <x:c r="G115" s="1" t="s">
        <x:v>23</x:v>
      </x:c>
      <x:c r="H115" s="1" t="s">
        <x:v>51</x:v>
      </x:c>
      <x:c r="I115" s="1" t="s">
        <x:v>52</x:v>
      </x:c>
      <x:c r="J115" s="1" t="s">
        <x:v>53</x:v>
      </x:c>
      <x:c r="K115" s="1">
        <x:v>1</x:v>
      </x:c>
      <x:c r="L115" s="1" t="s">
        <x:v>27</x:v>
      </x:c>
      <x:c r="M115" s="5">
        <x:v>695</x:v>
      </x:c>
      <x:c r="N115" s="1" t="s">
        <x:v>54</x:v>
      </x:c>
    </x:row>
    <x:row r="116" ht="145.0500030517578" customHeight="1">
      <x:c r="A116" s="1" t="s">
        <x:v>339</x:v>
      </x:c>
      <x:c r="B116" s="1" t="s">
        <x:v>340</x:v>
      </x:c>
      <x:c r="C116" s="1" t="s">
        <x:v>336</x:v>
      </x:c>
      <x:c r="D116" s="4" t="s">
        <x:v>20</x:v>
      </x:c>
      <x:c r="E116" s="1" t="s">
        <x:v>49</x:v>
      </x:c>
      <x:c r="F116" s="1" t="s">
        <x:v>50</x:v>
      </x:c>
      <x:c r="G116" s="1" t="s">
        <x:v>23</x:v>
      </x:c>
      <x:c r="H116" s="1" t="s">
        <x:v>51</x:v>
      </x:c>
      <x:c r="I116" s="1" t="s">
        <x:v>52</x:v>
      </x:c>
      <x:c r="J116" s="1" t="s">
        <x:v>53</x:v>
      </x:c>
      <x:c r="K116" s="1">
        <x:v>1</x:v>
      </x:c>
      <x:c r="L116" s="1" t="s">
        <x:v>27</x:v>
      </x:c>
      <x:c r="M116" s="5">
        <x:v>695</x:v>
      </x:c>
      <x:c r="N116" s="1" t="s">
        <x:v>54</x:v>
      </x:c>
    </x:row>
    <x:row r="117" ht="145.0500030517578" customHeight="1">
      <x:c r="A117" s="1" t="s">
        <x:v>341</x:v>
      </x:c>
      <x:c r="B117" s="1" t="s">
        <x:v>342</x:v>
      </x:c>
      <x:c r="C117" s="1" t="s">
        <x:v>250</x:v>
      </x:c>
      <x:c r="D117" s="4" t="s">
        <x:v>20</x:v>
      </x:c>
      <x:c r="E117" s="1" t="s">
        <x:v>70</x:v>
      </x:c>
      <x:c r="F117" s="1" t="s">
        <x:v>71</x:v>
      </x:c>
      <x:c r="G117" s="1" t="s">
        <x:v>23</x:v>
      </x:c>
      <x:c r="H117" s="1" t="s">
        <x:v>72</x:v>
      </x:c>
      <x:c r="I117" s="1" t="s">
        <x:v>73</x:v>
      </x:c>
      <x:c r="J117" s="1" t="s">
        <x:v>190</x:v>
      </x:c>
      <x:c r="K117" s="1">
        <x:v>3</x:v>
      </x:c>
      <x:c r="L117" s="1" t="s">
        <x:v>27</x:v>
      </x:c>
      <x:c r="M117" s="5">
        <x:v>432</x:v>
      </x:c>
      <x:c r="N117" s="1" t="s">
        <x:v>75</x:v>
      </x:c>
    </x:row>
    <x:row r="118" ht="145.0500030517578" customHeight="1">
      <x:c r="A118" s="1" t="s">
        <x:v>343</x:v>
      </x:c>
      <x:c r="B118" s="1" t="s">
        <x:v>344</x:v>
      </x:c>
      <x:c r="C118" s="1" t="s">
        <x:v>250</x:v>
      </x:c>
      <x:c r="D118" s="4" t="s">
        <x:v>20</x:v>
      </x:c>
      <x:c r="E118" s="1" t="s">
        <x:v>70</x:v>
      </x:c>
      <x:c r="F118" s="1" t="s">
        <x:v>71</x:v>
      </x:c>
      <x:c r="G118" s="1" t="s">
        <x:v>23</x:v>
      </x:c>
      <x:c r="H118" s="1" t="s">
        <x:v>72</x:v>
      </x:c>
      <x:c r="I118" s="1" t="s">
        <x:v>73</x:v>
      </x:c>
      <x:c r="J118" s="1" t="s">
        <x:v>190</x:v>
      </x:c>
      <x:c r="K118" s="1">
        <x:v>3</x:v>
      </x:c>
      <x:c r="L118" s="1" t="s">
        <x:v>27</x:v>
      </x:c>
      <x:c r="M118" s="5">
        <x:v>432</x:v>
      </x:c>
      <x:c r="N118" s="1" t="s">
        <x:v>75</x:v>
      </x:c>
    </x:row>
    <x:row r="119" ht="145.0500030517578" customHeight="1">
      <x:c r="A119" s="1" t="s">
        <x:v>345</x:v>
      </x:c>
      <x:c r="B119" s="1" t="s">
        <x:v>346</x:v>
      </x:c>
      <x:c r="C119" s="1" t="s">
        <x:v>250</x:v>
      </x:c>
      <x:c r="D119" s="4" t="s">
        <x:v>20</x:v>
      </x:c>
      <x:c r="E119" s="1" t="s">
        <x:v>70</x:v>
      </x:c>
      <x:c r="F119" s="1" t="s">
        <x:v>71</x:v>
      </x:c>
      <x:c r="G119" s="1" t="s">
        <x:v>23</x:v>
      </x:c>
      <x:c r="H119" s="1" t="s">
        <x:v>72</x:v>
      </x:c>
      <x:c r="I119" s="1" t="s">
        <x:v>73</x:v>
      </x:c>
      <x:c r="J119" s="1" t="s">
        <x:v>190</x:v>
      </x:c>
      <x:c r="K119" s="1">
        <x:v>3</x:v>
      </x:c>
      <x:c r="L119" s="1" t="s">
        <x:v>27</x:v>
      </x:c>
      <x:c r="M119" s="5">
        <x:v>432</x:v>
      </x:c>
      <x:c r="N119" s="1" t="s">
        <x:v>75</x:v>
      </x:c>
    </x:row>
    <x:row r="120" ht="145.0500030517578" customHeight="1">
      <x:c r="A120" s="1" t="s">
        <x:v>347</x:v>
      </x:c>
      <x:c r="B120" s="1" t="s">
        <x:v>348</x:v>
      </x:c>
      <x:c r="C120" s="1" t="s">
        <x:v>349</x:v>
      </x:c>
      <x:c r="D120" s="4" t="s">
        <x:v>20</x:v>
      </x:c>
      <x:c r="E120" s="1" t="s">
        <x:v>70</x:v>
      </x:c>
      <x:c r="F120" s="1" t="s">
        <x:v>71</x:v>
      </x:c>
      <x:c r="G120" s="1" t="s">
        <x:v>23</x:v>
      </x:c>
      <x:c r="H120" s="1" t="s">
        <x:v>72</x:v>
      </x:c>
      <x:c r="I120" s="1" t="s">
        <x:v>73</x:v>
      </x:c>
      <x:c r="J120" s="1" t="s">
        <x:v>190</x:v>
      </x:c>
      <x:c r="K120" s="1">
        <x:v>3</x:v>
      </x:c>
      <x:c r="L120" s="1" t="s">
        <x:v>27</x:v>
      </x:c>
      <x:c r="M120" s="5">
        <x:v>432</x:v>
      </x:c>
      <x:c r="N120" s="1" t="s">
        <x:v>75</x:v>
      </x:c>
    </x:row>
    <x:row r="121" ht="145.0500030517578" customHeight="1">
      <x:c r="A121" s="1" t="s">
        <x:v>350</x:v>
      </x:c>
      <x:c r="B121" s="1" t="s">
        <x:v>351</x:v>
      </x:c>
      <x:c r="C121" s="1" t="s">
        <x:v>239</x:v>
      </x:c>
      <x:c r="D121" s="4" t="s">
        <x:v>20</x:v>
      </x:c>
      <x:c r="E121" s="1" t="s">
        <x:v>49</x:v>
      </x:c>
      <x:c r="F121" s="1" t="s">
        <x:v>50</x:v>
      </x:c>
      <x:c r="G121" s="1" t="s">
        <x:v>23</x:v>
      </x:c>
      <x:c r="H121" s="1" t="s">
        <x:v>51</x:v>
      </x:c>
      <x:c r="I121" s="1" t="s">
        <x:v>52</x:v>
      </x:c>
      <x:c r="J121" s="1" t="s">
        <x:v>53</x:v>
      </x:c>
      <x:c r="K121" s="1">
        <x:v>1</x:v>
      </x:c>
      <x:c r="L121" s="1" t="s">
        <x:v>27</x:v>
      </x:c>
      <x:c r="M121" s="5">
        <x:v>695</x:v>
      </x:c>
      <x:c r="N121" s="1" t="s">
        <x:v>54</x:v>
      </x:c>
    </x:row>
    <x:row r="122" ht="145.0500030517578" customHeight="1">
      <x:c r="A122" s="1" t="s">
        <x:v>352</x:v>
      </x:c>
      <x:c r="B122" s="1" t="s">
        <x:v>353</x:v>
      </x:c>
      <x:c r="C122" s="1" t="s">
        <x:v>189</x:v>
      </x:c>
      <x:c r="D122" s="4" t="s">
        <x:v>20</x:v>
      </x:c>
      <x:c r="E122" s="1" t="s">
        <x:v>70</x:v>
      </x:c>
      <x:c r="F122" s="1" t="s">
        <x:v>71</x:v>
      </x:c>
      <x:c r="G122" s="1" t="s">
        <x:v>23</x:v>
      </x:c>
      <x:c r="H122" s="1" t="s">
        <x:v>72</x:v>
      </x:c>
      <x:c r="I122" s="1" t="s">
        <x:v>73</x:v>
      </x:c>
      <x:c r="J122" s="1" t="s">
        <x:v>190</x:v>
      </x:c>
      <x:c r="K122" s="1">
        <x:v>3</x:v>
      </x:c>
      <x:c r="L122" s="1" t="s">
        <x:v>27</x:v>
      </x:c>
      <x:c r="M122" s="5">
        <x:v>432</x:v>
      </x:c>
      <x:c r="N122" s="1" t="s">
        <x:v>75</x:v>
      </x:c>
    </x:row>
    <x:row r="123" ht="145.0500030517578" customHeight="1">
      <x:c r="A123" s="1" t="s">
        <x:v>354</x:v>
      </x:c>
      <x:c r="B123" s="1" t="s">
        <x:v>355</x:v>
      </x:c>
      <x:c r="C123" s="1" t="s">
        <x:v>189</x:v>
      </x:c>
      <x:c r="D123" s="4" t="s">
        <x:v>20</x:v>
      </x:c>
      <x:c r="E123" s="1" t="s">
        <x:v>70</x:v>
      </x:c>
      <x:c r="F123" s="1" t="s">
        <x:v>71</x:v>
      </x:c>
      <x:c r="G123" s="1" t="s">
        <x:v>23</x:v>
      </x:c>
      <x:c r="H123" s="1" t="s">
        <x:v>72</x:v>
      </x:c>
      <x:c r="I123" s="1" t="s">
        <x:v>73</x:v>
      </x:c>
      <x:c r="J123" s="1" t="s">
        <x:v>190</x:v>
      </x:c>
      <x:c r="K123" s="1">
        <x:v>3</x:v>
      </x:c>
      <x:c r="L123" s="1" t="s">
        <x:v>27</x:v>
      </x:c>
      <x:c r="M123" s="5">
        <x:v>432</x:v>
      </x:c>
      <x:c r="N123" s="1" t="s">
        <x:v>75</x:v>
      </x:c>
    </x:row>
    <x:row r="124" ht="145.0500030517578" customHeight="1">
      <x:c r="A124" s="1" t="s">
        <x:v>356</x:v>
      </x:c>
      <x:c r="B124" s="1" t="s">
        <x:v>357</x:v>
      </x:c>
      <x:c r="C124" s="1" t="s">
        <x:v>189</x:v>
      </x:c>
      <x:c r="D124" s="4" t="s">
        <x:v>20</x:v>
      </x:c>
      <x:c r="E124" s="1" t="s">
        <x:v>70</x:v>
      </x:c>
      <x:c r="F124" s="1" t="s">
        <x:v>71</x:v>
      </x:c>
      <x:c r="G124" s="1" t="s">
        <x:v>23</x:v>
      </x:c>
      <x:c r="H124" s="1" t="s">
        <x:v>72</x:v>
      </x:c>
      <x:c r="I124" s="1" t="s">
        <x:v>73</x:v>
      </x:c>
      <x:c r="J124" s="1" t="s">
        <x:v>190</x:v>
      </x:c>
      <x:c r="K124" s="1">
        <x:v>3</x:v>
      </x:c>
      <x:c r="L124" s="1" t="s">
        <x:v>27</x:v>
      </x:c>
      <x:c r="M124" s="5">
        <x:v>432</x:v>
      </x:c>
      <x:c r="N124" s="1" t="s">
        <x:v>75</x:v>
      </x:c>
    </x:row>
    <x:row r="125" ht="145.0500030517578" customHeight="1">
      <x:c r="A125" s="1" t="s">
        <x:v>358</x:v>
      </x:c>
      <x:c r="B125" s="1" t="s">
        <x:v>359</x:v>
      </x:c>
      <x:c r="C125" s="1" t="s">
        <x:v>189</x:v>
      </x:c>
      <x:c r="D125" s="4" t="s">
        <x:v>20</x:v>
      </x:c>
      <x:c r="E125" s="1" t="s">
        <x:v>70</x:v>
      </x:c>
      <x:c r="F125" s="1" t="s">
        <x:v>71</x:v>
      </x:c>
      <x:c r="G125" s="1" t="s">
        <x:v>23</x:v>
      </x:c>
      <x:c r="H125" s="1" t="s">
        <x:v>72</x:v>
      </x:c>
      <x:c r="I125" s="1" t="s">
        <x:v>73</x:v>
      </x:c>
      <x:c r="J125" s="1" t="s">
        <x:v>190</x:v>
      </x:c>
      <x:c r="K125" s="1">
        <x:v>3</x:v>
      </x:c>
      <x:c r="L125" s="1" t="s">
        <x:v>27</x:v>
      </x:c>
      <x:c r="M125" s="5">
        <x:v>432</x:v>
      </x:c>
      <x:c r="N125" s="1" t="s">
        <x:v>75</x:v>
      </x:c>
    </x:row>
    <x:row r="126" ht="145.0500030517578" customHeight="1">
      <x:c r="A126" s="1" t="s">
        <x:v>360</x:v>
      </x:c>
      <x:c r="B126" s="1" t="s">
        <x:v>361</x:v>
      </x:c>
      <x:c r="C126" s="1" t="s">
        <x:v>189</x:v>
      </x:c>
      <x:c r="D126" s="4" t="s">
        <x:v>20</x:v>
      </x:c>
      <x:c r="E126" s="1" t="s">
        <x:v>70</x:v>
      </x:c>
      <x:c r="F126" s="1" t="s">
        <x:v>71</x:v>
      </x:c>
      <x:c r="G126" s="1" t="s">
        <x:v>23</x:v>
      </x:c>
      <x:c r="H126" s="1" t="s">
        <x:v>72</x:v>
      </x:c>
      <x:c r="I126" s="1" t="s">
        <x:v>73</x:v>
      </x:c>
      <x:c r="J126" s="1" t="s">
        <x:v>190</x:v>
      </x:c>
      <x:c r="K126" s="1">
        <x:v>3</x:v>
      </x:c>
      <x:c r="L126" s="1" t="s">
        <x:v>27</x:v>
      </x:c>
      <x:c r="M126" s="5">
        <x:v>432</x:v>
      </x:c>
      <x:c r="N126" s="1" t="s">
        <x:v>75</x:v>
      </x:c>
    </x:row>
    <x:row r="127" ht="145.0500030517578" customHeight="1">
      <x:c r="A127" s="1" t="s">
        <x:v>362</x:v>
      </x:c>
      <x:c r="B127" s="1" t="s">
        <x:v>363</x:v>
      </x:c>
      <x:c r="C127" s="1" t="s">
        <x:v>272</x:v>
      </x:c>
      <x:c r="D127" s="7" t="s">
        <x:v>167</x:v>
      </x:c>
      <x:c r="E127" s="1"/>
      <x:c r="F127" s="1" t="s">
        <x:v>33</x:v>
      </x:c>
      <x:c r="G127" s="1" t="s">
        <x:v>34</x:v>
      </x:c>
      <x:c r="H127" s="1"/>
      <x:c r="I127" s="1" t="s">
        <x:v>168</x:v>
      </x:c>
      <x:c r="J127" s="1" t="s">
        <x:v>169</x:v>
      </x:c>
      <x:c r="K127" s="1" t="s">
        <x:v>34</x:v>
      </x:c>
      <x:c r="L127" s="1" t="s">
        <x:v>34</x:v>
      </x:c>
      <x:c r="M127" s="5" t="s">
        <x:v>34</x:v>
      </x:c>
      <x:c r="N127" s="1" t="s">
        <x:v>37</x:v>
      </x:c>
    </x:row>
    <x:row r="128" ht="145.0500030517578" customHeight="1">
      <x:c r="A128" s="1" t="s">
        <x:v>364</x:v>
      </x:c>
      <x:c r="B128" s="1" t="s">
        <x:v>365</x:v>
      </x:c>
      <x:c r="C128" s="1" t="s">
        <x:v>366</x:v>
      </x:c>
      <x:c r="D128" s="7" t="s">
        <x:v>161</x:v>
      </x:c>
      <x:c r="E128" s="1"/>
      <x:c r="F128" s="1" t="s">
        <x:v>33</x:v>
      </x:c>
      <x:c r="G128" s="1" t="s">
        <x:v>34</x:v>
      </x:c>
      <x:c r="H128" s="1"/>
      <x:c r="I128" s="1" t="s">
        <x:v>162</x:v>
      </x:c>
      <x:c r="J128" s="1" t="s">
        <x:v>367</x:v>
      </x:c>
      <x:c r="K128" s="1" t="s">
        <x:v>34</x:v>
      </x:c>
      <x:c r="L128" s="1" t="s">
        <x:v>34</x:v>
      </x:c>
      <x:c r="M128" s="5" t="s">
        <x:v>34</x:v>
      </x:c>
      <x:c r="N128" s="1" t="s">
        <x:v>37</x:v>
      </x:c>
    </x:row>
    <x:row r="129" ht="145.0500030517578" customHeight="1">
      <x:c r="A129" s="1" t="s">
        <x:v>368</x:v>
      </x:c>
      <x:c r="B129" s="1" t="s">
        <x:v>369</x:v>
      </x:c>
      <x:c r="C129" s="1" t="s">
        <x:v>370</x:v>
      </x:c>
      <x:c r="D129" s="7" t="s">
        <x:v>161</x:v>
      </x:c>
      <x:c r="E129" s="1"/>
      <x:c r="F129" s="1" t="s">
        <x:v>33</x:v>
      </x:c>
      <x:c r="G129" s="1" t="s">
        <x:v>34</x:v>
      </x:c>
      <x:c r="H129" s="1"/>
      <x:c r="I129" s="1" t="s">
        <x:v>162</x:v>
      </x:c>
      <x:c r="J129" s="1" t="s">
        <x:v>371</x:v>
      </x:c>
      <x:c r="K129" s="1" t="s">
        <x:v>34</x:v>
      </x:c>
      <x:c r="L129" s="1" t="s">
        <x:v>34</x:v>
      </x:c>
      <x:c r="M129" s="5" t="s">
        <x:v>34</x:v>
      </x:c>
      <x:c r="N129" s="1" t="s">
        <x:v>37</x:v>
      </x:c>
    </x:row>
    <x:row r="130" ht="145.0500030517578" customHeight="1">
      <x:c r="A130" s="1" t="s">
        <x:v>372</x:v>
      </x:c>
      <x:c r="B130" s="1" t="s">
        <x:v>373</x:v>
      </x:c>
      <x:c r="C130" s="1" t="s">
        <x:v>374</x:v>
      </x:c>
      <x:c r="D130" s="7" t="s">
        <x:v>161</x:v>
      </x:c>
      <x:c r="E130" s="1"/>
      <x:c r="F130" s="1" t="s">
        <x:v>33</x:v>
      </x:c>
      <x:c r="G130" s="1" t="s">
        <x:v>34</x:v>
      </x:c>
      <x:c r="H130" s="1"/>
      <x:c r="I130" s="1" t="s">
        <x:v>162</x:v>
      </x:c>
      <x:c r="J130" s="1" t="s">
        <x:v>179</x:v>
      </x:c>
      <x:c r="K130" s="1" t="s">
        <x:v>34</x:v>
      </x:c>
      <x:c r="L130" s="1" t="s">
        <x:v>34</x:v>
      </x:c>
      <x:c r="M130" s="5" t="s">
        <x:v>34</x:v>
      </x:c>
      <x:c r="N130" s="1" t="s">
        <x:v>37</x:v>
      </x:c>
    </x:row>
    <x:row r="131" ht="145.0500030517578" customHeight="1">
      <x:c r="A131" s="1" t="s">
        <x:v>375</x:v>
      </x:c>
      <x:c r="B131" s="1" t="s">
        <x:v>376</x:v>
      </x:c>
      <x:c r="C131" s="1" t="s">
        <x:v>366</x:v>
      </x:c>
      <x:c r="D131" s="7" t="s">
        <x:v>161</x:v>
      </x:c>
      <x:c r="E131" s="1"/>
      <x:c r="F131" s="1" t="s">
        <x:v>33</x:v>
      </x:c>
      <x:c r="G131" s="1" t="s">
        <x:v>34</x:v>
      </x:c>
      <x:c r="H131" s="1"/>
      <x:c r="I131" s="1" t="s">
        <x:v>162</x:v>
      </x:c>
      <x:c r="J131" s="1" t="s">
        <x:v>367</x:v>
      </x:c>
      <x:c r="K131" s="1" t="s">
        <x:v>34</x:v>
      </x:c>
      <x:c r="L131" s="1" t="s">
        <x:v>34</x:v>
      </x:c>
      <x:c r="M131" s="5" t="s">
        <x:v>34</x:v>
      </x:c>
      <x:c r="N131" s="1" t="s">
        <x:v>37</x:v>
      </x:c>
    </x:row>
    <x:row r="132" ht="145.0500030517578" customHeight="1">
      <x:c r="A132" s="1" t="s">
        <x:v>377</x:v>
      </x:c>
      <x:c r="B132" s="1" t="s">
        <x:v>378</x:v>
      </x:c>
      <x:c r="C132" s="1" t="s">
        <x:v>370</x:v>
      </x:c>
      <x:c r="D132" s="7" t="s">
        <x:v>161</x:v>
      </x:c>
      <x:c r="E132" s="1"/>
      <x:c r="F132" s="1" t="s">
        <x:v>33</x:v>
      </x:c>
      <x:c r="G132" s="1" t="s">
        <x:v>34</x:v>
      </x:c>
      <x:c r="H132" s="1"/>
      <x:c r="I132" s="1" t="s">
        <x:v>162</x:v>
      </x:c>
      <x:c r="J132" s="1" t="s">
        <x:v>371</x:v>
      </x:c>
      <x:c r="K132" s="1" t="s">
        <x:v>34</x:v>
      </x:c>
      <x:c r="L132" s="1" t="s">
        <x:v>34</x:v>
      </x:c>
      <x:c r="M132" s="5" t="s">
        <x:v>34</x:v>
      </x:c>
      <x:c r="N132" s="1" t="s">
        <x:v>37</x:v>
      </x:c>
    </x:row>
    <x:row r="133" ht="145.0500030517578" customHeight="1">
      <x:c r="A133" s="1" t="s">
        <x:v>379</x:v>
      </x:c>
      <x:c r="B133" s="1" t="s">
        <x:v>380</x:v>
      </x:c>
      <x:c r="C133" s="1" t="s">
        <x:v>366</x:v>
      </x:c>
      <x:c r="D133" s="7" t="s">
        <x:v>161</x:v>
      </x:c>
      <x:c r="E133" s="1"/>
      <x:c r="F133" s="1" t="s">
        <x:v>33</x:v>
      </x:c>
      <x:c r="G133" s="1" t="s">
        <x:v>34</x:v>
      </x:c>
      <x:c r="H133" s="1"/>
      <x:c r="I133" s="1" t="s">
        <x:v>162</x:v>
      </x:c>
      <x:c r="J133" s="1" t="s">
        <x:v>367</x:v>
      </x:c>
      <x:c r="K133" s="1" t="s">
        <x:v>34</x:v>
      </x:c>
      <x:c r="L133" s="1" t="s">
        <x:v>34</x:v>
      </x:c>
      <x:c r="M133" s="5" t="s">
        <x:v>34</x:v>
      </x:c>
      <x:c r="N133" s="1" t="s">
        <x:v>37</x:v>
      </x:c>
    </x:row>
    <x:row r="134" ht="145.0500030517578" customHeight="1">
      <x:c r="A134" s="1" t="s">
        <x:v>381</x:v>
      </x:c>
      <x:c r="B134" s="1" t="s">
        <x:v>382</x:v>
      </x:c>
      <x:c r="C134" s="1" t="s">
        <x:v>370</x:v>
      </x:c>
      <x:c r="D134" s="7" t="s">
        <x:v>161</x:v>
      </x:c>
      <x:c r="E134" s="1"/>
      <x:c r="F134" s="1" t="s">
        <x:v>33</x:v>
      </x:c>
      <x:c r="G134" s="1" t="s">
        <x:v>34</x:v>
      </x:c>
      <x:c r="H134" s="1"/>
      <x:c r="I134" s="1" t="s">
        <x:v>162</x:v>
      </x:c>
      <x:c r="J134" s="1" t="s">
        <x:v>371</x:v>
      </x:c>
      <x:c r="K134" s="1" t="s">
        <x:v>34</x:v>
      </x:c>
      <x:c r="L134" s="1" t="s">
        <x:v>34</x:v>
      </x:c>
      <x:c r="M134" s="5" t="s">
        <x:v>34</x:v>
      </x:c>
      <x:c r="N134" s="1" t="s">
        <x:v>37</x:v>
      </x:c>
    </x:row>
    <x:row r="135" ht="145.0500030517578" customHeight="1">
      <x:c r="A135" s="1" t="s">
        <x:v>383</x:v>
      </x:c>
      <x:c r="B135" s="1" t="s">
        <x:v>384</x:v>
      </x:c>
      <x:c r="C135" s="1" t="s">
        <x:v>366</x:v>
      </x:c>
      <x:c r="D135" s="7" t="s">
        <x:v>161</x:v>
      </x:c>
      <x:c r="E135" s="1"/>
      <x:c r="F135" s="1" t="s">
        <x:v>33</x:v>
      </x:c>
      <x:c r="G135" s="1" t="s">
        <x:v>34</x:v>
      </x:c>
      <x:c r="H135" s="1"/>
      <x:c r="I135" s="1" t="s">
        <x:v>162</x:v>
      </x:c>
      <x:c r="J135" s="1" t="s">
        <x:v>367</x:v>
      </x:c>
      <x:c r="K135" s="1" t="s">
        <x:v>34</x:v>
      </x:c>
      <x:c r="L135" s="1" t="s">
        <x:v>34</x:v>
      </x:c>
      <x:c r="M135" s="5" t="s">
        <x:v>34</x:v>
      </x:c>
      <x:c r="N135" s="1" t="s">
        <x:v>37</x:v>
      </x:c>
    </x:row>
    <x:row r="136" ht="145.0500030517578" customHeight="1">
      <x:c r="A136" s="1" t="s">
        <x:v>385</x:v>
      </x:c>
      <x:c r="B136" s="1" t="s">
        <x:v>386</x:v>
      </x:c>
      <x:c r="C136" s="1" t="s">
        <x:v>370</x:v>
      </x:c>
      <x:c r="D136" s="7" t="s">
        <x:v>161</x:v>
      </x:c>
      <x:c r="E136" s="1"/>
      <x:c r="F136" s="1" t="s">
        <x:v>33</x:v>
      </x:c>
      <x:c r="G136" s="1" t="s">
        <x:v>34</x:v>
      </x:c>
      <x:c r="H136" s="1"/>
      <x:c r="I136" s="1" t="s">
        <x:v>162</x:v>
      </x:c>
      <x:c r="J136" s="1" t="s">
        <x:v>371</x:v>
      </x:c>
      <x:c r="K136" s="1" t="s">
        <x:v>34</x:v>
      </x:c>
      <x:c r="L136" s="1" t="s">
        <x:v>34</x:v>
      </x:c>
      <x:c r="M136" s="5" t="s">
        <x:v>34</x:v>
      </x:c>
      <x:c r="N136" s="1" t="s">
        <x:v>37</x:v>
      </x:c>
    </x:row>
    <x:row r="137" ht="145.0500030517578" customHeight="1">
      <x:c r="A137" s="1" t="s">
        <x:v>387</x:v>
      </x:c>
      <x:c r="B137" s="1" t="s">
        <x:v>388</x:v>
      </x:c>
      <x:c r="C137" s="1" t="s">
        <x:v>374</x:v>
      </x:c>
      <x:c r="D137" s="7" t="s">
        <x:v>161</x:v>
      </x:c>
      <x:c r="E137" s="1"/>
      <x:c r="F137" s="1" t="s">
        <x:v>33</x:v>
      </x:c>
      <x:c r="G137" s="1" t="s">
        <x:v>34</x:v>
      </x:c>
      <x:c r="H137" s="1"/>
      <x:c r="I137" s="1" t="s">
        <x:v>162</x:v>
      </x:c>
      <x:c r="J137" s="1" t="s">
        <x:v>179</x:v>
      </x:c>
      <x:c r="K137" s="1" t="s">
        <x:v>34</x:v>
      </x:c>
      <x:c r="L137" s="1" t="s">
        <x:v>34</x:v>
      </x:c>
      <x:c r="M137" s="5" t="s">
        <x:v>34</x:v>
      </x:c>
      <x:c r="N137" s="1" t="s">
        <x:v>37</x:v>
      </x:c>
    </x:row>
    <x:row r="138" ht="145.0500030517578" customHeight="1">
      <x:c r="A138" s="1" t="s">
        <x:v>389</x:v>
      </x:c>
      <x:c r="B138" s="1" t="s">
        <x:v>390</x:v>
      </x:c>
      <x:c r="C138" s="1" t="s">
        <x:v>366</x:v>
      </x:c>
      <x:c r="D138" s="7" t="s">
        <x:v>161</x:v>
      </x:c>
      <x:c r="E138" s="1"/>
      <x:c r="F138" s="1" t="s">
        <x:v>33</x:v>
      </x:c>
      <x:c r="G138" s="1" t="s">
        <x:v>34</x:v>
      </x:c>
      <x:c r="H138" s="1"/>
      <x:c r="I138" s="1" t="s">
        <x:v>162</x:v>
      </x:c>
      <x:c r="J138" s="1" t="s">
        <x:v>367</x:v>
      </x:c>
      <x:c r="K138" s="1" t="s">
        <x:v>34</x:v>
      </x:c>
      <x:c r="L138" s="1" t="s">
        <x:v>34</x:v>
      </x:c>
      <x:c r="M138" s="5" t="s">
        <x:v>34</x:v>
      </x:c>
      <x:c r="N138" s="1" t="s">
        <x:v>37</x:v>
      </x:c>
    </x:row>
    <x:row r="139" ht="145.0500030517578" customHeight="1">
      <x:c r="A139" s="1" t="s">
        <x:v>391</x:v>
      </x:c>
      <x:c r="B139" s="1" t="s">
        <x:v>392</x:v>
      </x:c>
      <x:c r="C139" s="1" t="s">
        <x:v>370</x:v>
      </x:c>
      <x:c r="D139" s="7" t="s">
        <x:v>161</x:v>
      </x:c>
      <x:c r="E139" s="1"/>
      <x:c r="F139" s="1" t="s">
        <x:v>33</x:v>
      </x:c>
      <x:c r="G139" s="1" t="s">
        <x:v>34</x:v>
      </x:c>
      <x:c r="H139" s="1"/>
      <x:c r="I139" s="1" t="s">
        <x:v>162</x:v>
      </x:c>
      <x:c r="J139" s="1" t="s">
        <x:v>371</x:v>
      </x:c>
      <x:c r="K139" s="1" t="s">
        <x:v>34</x:v>
      </x:c>
      <x:c r="L139" s="1" t="s">
        <x:v>34</x:v>
      </x:c>
      <x:c r="M139" s="5" t="s">
        <x:v>34</x:v>
      </x:c>
      <x:c r="N139" s="1" t="s">
        <x:v>37</x:v>
      </x:c>
    </x:row>
    <x:row r="140" ht="145.0500030517578" customHeight="1">
      <x:c r="A140" s="1" t="s">
        <x:v>393</x:v>
      </x:c>
      <x:c r="B140" s="1" t="s">
        <x:v>394</x:v>
      </x:c>
      <x:c r="C140" s="1" t="s">
        <x:v>366</x:v>
      </x:c>
      <x:c r="D140" s="7" t="s">
        <x:v>161</x:v>
      </x:c>
      <x:c r="E140" s="1"/>
      <x:c r="F140" s="1" t="s">
        <x:v>33</x:v>
      </x:c>
      <x:c r="G140" s="1" t="s">
        <x:v>34</x:v>
      </x:c>
      <x:c r="H140" s="1"/>
      <x:c r="I140" s="1" t="s">
        <x:v>162</x:v>
      </x:c>
      <x:c r="J140" s="1" t="s">
        <x:v>367</x:v>
      </x:c>
      <x:c r="K140" s="1" t="s">
        <x:v>34</x:v>
      </x:c>
      <x:c r="L140" s="1" t="s">
        <x:v>34</x:v>
      </x:c>
      <x:c r="M140" s="5" t="s">
        <x:v>34</x:v>
      </x:c>
      <x:c r="N140" s="1" t="s">
        <x:v>37</x:v>
      </x:c>
    </x:row>
    <x:row r="141" ht="145.0500030517578" customHeight="1">
      <x:c r="A141" s="1" t="s">
        <x:v>395</x:v>
      </x:c>
      <x:c r="B141" s="1" t="s">
        <x:v>396</x:v>
      </x:c>
      <x:c r="C141" s="1" t="s">
        <x:v>370</x:v>
      </x:c>
      <x:c r="D141" s="7" t="s">
        <x:v>161</x:v>
      </x:c>
      <x:c r="E141" s="1"/>
      <x:c r="F141" s="1" t="s">
        <x:v>33</x:v>
      </x:c>
      <x:c r="G141" s="1" t="s">
        <x:v>34</x:v>
      </x:c>
      <x:c r="H141" s="1"/>
      <x:c r="I141" s="1" t="s">
        <x:v>162</x:v>
      </x:c>
      <x:c r="J141" s="1" t="s">
        <x:v>371</x:v>
      </x:c>
      <x:c r="K141" s="1" t="s">
        <x:v>34</x:v>
      </x:c>
      <x:c r="L141" s="1" t="s">
        <x:v>34</x:v>
      </x:c>
      <x:c r="M141" s="5" t="s">
        <x:v>34</x:v>
      </x:c>
      <x:c r="N141" s="1" t="s">
        <x:v>37</x:v>
      </x:c>
    </x:row>
    <x:row r="142" ht="145.0500030517578" customHeight="1">
      <x:c r="A142" s="1" t="s">
        <x:v>397</x:v>
      </x:c>
      <x:c r="B142" s="1" t="s">
        <x:v>398</x:v>
      </x:c>
      <x:c r="C142" s="1" t="s">
        <x:v>366</x:v>
      </x:c>
      <x:c r="D142" s="7" t="s">
        <x:v>161</x:v>
      </x:c>
      <x:c r="E142" s="1"/>
      <x:c r="F142" s="1" t="s">
        <x:v>33</x:v>
      </x:c>
      <x:c r="G142" s="1" t="s">
        <x:v>34</x:v>
      </x:c>
      <x:c r="H142" s="1"/>
      <x:c r="I142" s="1" t="s">
        <x:v>162</x:v>
      </x:c>
      <x:c r="J142" s="1" t="s">
        <x:v>367</x:v>
      </x:c>
      <x:c r="K142" s="1" t="s">
        <x:v>34</x:v>
      </x:c>
      <x:c r="L142" s="1" t="s">
        <x:v>34</x:v>
      </x:c>
      <x:c r="M142" s="5" t="s">
        <x:v>34</x:v>
      </x:c>
      <x:c r="N142" s="1" t="s">
        <x:v>37</x:v>
      </x:c>
    </x:row>
    <x:row r="143" ht="145.0500030517578" customHeight="1">
      <x:c r="A143" s="1" t="s">
        <x:v>399</x:v>
      </x:c>
      <x:c r="B143" s="1" t="s">
        <x:v>400</x:v>
      </x:c>
      <x:c r="C143" s="1" t="s">
        <x:v>370</x:v>
      </x:c>
      <x:c r="D143" s="7" t="s">
        <x:v>161</x:v>
      </x:c>
      <x:c r="E143" s="1"/>
      <x:c r="F143" s="1" t="s">
        <x:v>33</x:v>
      </x:c>
      <x:c r="G143" s="1" t="s">
        <x:v>34</x:v>
      </x:c>
      <x:c r="H143" s="1"/>
      <x:c r="I143" s="1" t="s">
        <x:v>162</x:v>
      </x:c>
      <x:c r="J143" s="1" t="s">
        <x:v>371</x:v>
      </x:c>
      <x:c r="K143" s="1" t="s">
        <x:v>34</x:v>
      </x:c>
      <x:c r="L143" s="1" t="s">
        <x:v>34</x:v>
      </x:c>
      <x:c r="M143" s="5" t="s">
        <x:v>34</x:v>
      </x:c>
      <x:c r="N143" s="1" t="s">
        <x:v>37</x:v>
      </x:c>
    </x:row>
    <x:row r="144" ht="145.0500030517578" customHeight="1">
      <x:c r="A144" s="1" t="s">
        <x:v>401</x:v>
      </x:c>
      <x:c r="B144" s="1" t="s">
        <x:v>402</x:v>
      </x:c>
      <x:c r="C144" s="1" t="s">
        <x:v>374</x:v>
      </x:c>
      <x:c r="D144" s="7" t="s">
        <x:v>161</x:v>
      </x:c>
      <x:c r="E144" s="1"/>
      <x:c r="F144" s="1" t="s">
        <x:v>33</x:v>
      </x:c>
      <x:c r="G144" s="1" t="s">
        <x:v>34</x:v>
      </x:c>
      <x:c r="H144" s="1"/>
      <x:c r="I144" s="1" t="s">
        <x:v>162</x:v>
      </x:c>
      <x:c r="J144" s="1" t="s">
        <x:v>179</x:v>
      </x:c>
      <x:c r="K144" s="1" t="s">
        <x:v>34</x:v>
      </x:c>
      <x:c r="L144" s="1" t="s">
        <x:v>34</x:v>
      </x:c>
      <x:c r="M144" s="5" t="s">
        <x:v>34</x:v>
      </x:c>
      <x:c r="N144" s="1" t="s">
        <x:v>37</x:v>
      </x:c>
    </x:row>
  </x:sheetData>
  <x:mergeCells>
    <x:mergeCell ref="A1:E1"/>
    <x:mergeCell ref="A2:E2"/>
    <x:mergeCell ref="A3:E3"/>
  </x:mergeCells>
  <x:pageMargins left="0.7" right="0.7" top="0.75" bottom="0.75" header="0.3" footer="0.3"/>
  <x:tableParts count="1">
    <x:tablePart xmlns:r="http://schemas.openxmlformats.org/officeDocument/2006/relationships" r:id="R36685aa6374c4896"/>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4.399999618530273"/>
  <x:cols>
    <x:col min="1" max="1" width="12" customWidth="1"/>
    <x:col min="2" max="2" width="9" customWidth="1"/>
    <x:col min="3" max="3" width="42" customWidth="1"/>
    <x:col min="4" max="4" width="38" customWidth="1"/>
    <x:col min="5" max="5" width="16" customWidth="1"/>
    <x:col min="6" max="6" width="22" customWidth="1"/>
    <x:col min="7" max="7" width="24" customWidth="1"/>
    <x:col min="8" max="8" width="28" customWidth="1"/>
    <x:col min="9" max="9" width="30" customWidth="1"/>
    <x:col min="10" max="10" width="78" customWidth="1"/>
    <x:col min="11" max="11" width="10" customWidth="1"/>
  </x:cols>
  <x:sheetData>
    <x:row r="1" ht="37.95000076293945" customHeight="1">
      <x:c r="A1" s="9" t="s">
        <x:v>403</x:v>
      </x:c>
      <x:c r="B1" s="10"/>
      <x:c r="C1" s="10"/>
      <x:c r="D1" s="10"/>
      <x:c r="E1" s="10"/>
      <x:c r="F1" s="2"/>
      <x:c r="G1" s="2"/>
      <x:c r="H1" s="2"/>
      <x:c r="I1" s="2"/>
      <x:c r="J1" s="2"/>
      <x:c r="K1" s="2"/>
    </x:row>
    <x:row r="2" ht="55.04999923706055" customHeight="1">
      <x:c r="A2" s="11" t="s">
        <x:v>404</x:v>
      </x:c>
      <x:c r="B2" s="11"/>
      <x:c r="C2" s="11"/>
      <x:c r="D2" s="11"/>
      <x:c r="E2" s="11"/>
      <x:c r="F2" s="1"/>
      <x:c r="G2" s="1"/>
      <x:c r="H2" s="1"/>
      <x:c r="I2" s="1"/>
      <x:c r="J2" s="1"/>
      <x:c r="K2" s="1"/>
    </x:row>
    <x:row r="3" ht="40.04999923706055" customHeight="1">
      <x:c r="A3" s="11" t="s">
        <x:v>2</x:v>
      </x:c>
      <x:c r="B3" s="11"/>
      <x:c r="C3" s="11"/>
      <x:c r="D3" s="11"/>
      <x:c r="E3" s="11"/>
      <x:c r="F3" s="1"/>
      <x:c r="G3" s="1"/>
      <x:c r="H3" s="1"/>
      <x:c r="I3" s="1"/>
      <x:c r="J3" s="1"/>
      <x:c r="K3" s="1"/>
    </x:row>
    <x:row r="4" ht="12" customHeight="1">
      <x:c r="A4" s="1"/>
      <x:c r="B4" s="1"/>
      <x:c r="C4" s="1"/>
      <x:c r="D4" s="1"/>
      <x:c r="E4" s="1"/>
      <x:c r="F4" s="1"/>
      <x:c r="G4" s="1"/>
      <x:c r="H4" s="1"/>
      <x:c r="I4" s="1"/>
      <x:c r="J4" s="1"/>
      <x:c r="K4" s="1"/>
    </x:row>
    <x:row r="5" ht="34.95000076293945" customHeight="1">
      <x:c r="A5" s="3" t="s">
        <x:v>405</x:v>
      </x:c>
      <x:c r="B5" s="3" t="s">
        <x:v>406</x:v>
      </x:c>
      <x:c r="C5" s="3" t="s">
        <x:v>407</x:v>
      </x:c>
      <x:c r="D5" s="3" t="s">
        <x:v>408</x:v>
      </x:c>
      <x:c r="E5" s="3" t="s">
        <x:v>409</x:v>
      </x:c>
      <x:c r="F5" s="3" t="s">
        <x:v>410</x:v>
      </x:c>
      <x:c r="G5" s="3" t="s">
        <x:v>411</x:v>
      </x:c>
      <x:c r="H5" s="3" t="s">
        <x:v>412</x:v>
      </x:c>
      <x:c r="I5" s="3" t="s">
        <x:v>413</x:v>
      </x:c>
      <x:c r="J5" s="3" t="s">
        <x:v>414</x:v>
      </x:c>
      <x:c r="K5" s="3" t="s">
        <x:v>415</x:v>
      </x:c>
    </x:row>
    <x:row r="6" ht="82.05000305175781" customHeight="1">
      <x:c r="A6" s="1" t="s">
        <x:v>17</x:v>
      </x:c>
      <x:c r="B6" s="1" t="s">
        <x:v>416</x:v>
      </x:c>
      <x:c r="C6" s="1" t="s">
        <x:v>417</x:v>
      </x:c>
      <x:c r="D6" s="1" t="s">
        <x:v>418</x:v>
      </x:c>
      <x:c r="E6" s="1">
        <x:v>1</x:v>
      </x:c>
      <x:c r="F6" s="1" t="s">
        <x:v>419</x:v>
      </x:c>
      <x:c r="G6" s="1" t="s">
        <x:v>420</x:v>
      </x:c>
      <x:c r="H6" s="1" t="s">
        <x:v>421</x:v>
      </x:c>
      <x:c r="I6" s="6" t="s">
        <x:v>422</x:v>
      </x:c>
      <x:c r="J6" s="1" t="s">
        <x:v>423</x:v>
      </x:c>
      <x:c r="K6" s="1" t="s">
        <x:v>424</x:v>
      </x:c>
    </x:row>
    <x:row r="7" ht="82.05000305175781" customHeight="1">
      <x:c r="A7" s="1" t="s">
        <x:v>29</x:v>
      </x:c>
      <x:c r="B7" s="1" t="s">
        <x:v>416</x:v>
      </x:c>
      <x:c r="C7" s="1" t="s">
        <x:v>425</x:v>
      </x:c>
      <x:c r="D7" s="1" t="s">
        <x:v>426</x:v>
      </x:c>
      <x:c r="E7" s="1">
        <x:v>1</x:v>
      </x:c>
      <x:c r="F7" s="1" t="s">
        <x:v>427</x:v>
      </x:c>
      <x:c r="G7" s="1"/>
      <x:c r="H7" s="1" t="s">
        <x:v>428</x:v>
      </x:c>
      <x:c r="I7" s="6" t="s">
        <x:v>429</x:v>
      </x:c>
      <x:c r="J7" s="1" t="s">
        <x:v>430</x:v>
      </x:c>
      <x:c r="K7" s="1" t="s">
        <x:v>431</x:v>
      </x:c>
    </x:row>
    <x:row r="8" ht="82.05000305175781" customHeight="1">
      <x:c r="A8" s="1" t="s">
        <x:v>38</x:v>
      </x:c>
      <x:c r="B8" s="1" t="s">
        <x:v>416</x:v>
      </x:c>
      <x:c r="C8" s="1" t="s">
        <x:v>432</x:v>
      </x:c>
      <x:c r="D8" s="1" t="s">
        <x:v>418</x:v>
      </x:c>
      <x:c r="E8" s="1">
        <x:v>1</x:v>
      </x:c>
      <x:c r="F8" s="1" t="s">
        <x:v>433</x:v>
      </x:c>
      <x:c r="G8" s="1" t="s">
        <x:v>434</x:v>
      </x:c>
      <x:c r="H8" s="1" t="s">
        <x:v>421</x:v>
      </x:c>
      <x:c r="I8" s="8" t="s">
        <x:v>435</x:v>
      </x:c>
      <x:c r="J8" s="1" t="s">
        <x:v>436</x:v>
      </x:c>
      <x:c r="K8" s="1" t="s">
        <x:v>431</x:v>
      </x:c>
    </x:row>
    <x:row r="9" ht="82.05000305175781" customHeight="1">
      <x:c r="A9" s="1" t="s">
        <x:v>42</x:v>
      </x:c>
      <x:c r="B9" s="1" t="s">
        <x:v>416</x:v>
      </x:c>
      <x:c r="C9" s="1" t="s">
        <x:v>437</x:v>
      </x:c>
      <x:c r="D9" s="1" t="s">
        <x:v>418</x:v>
      </x:c>
      <x:c r="E9" s="1">
        <x:v>1</x:v>
      </x:c>
      <x:c r="F9" s="1" t="s">
        <x:v>433</x:v>
      </x:c>
      <x:c r="G9" s="1" t="s">
        <x:v>434</x:v>
      </x:c>
      <x:c r="H9" s="1" t="s">
        <x:v>421</x:v>
      </x:c>
      <x:c r="I9" s="8" t="s">
        <x:v>435</x:v>
      </x:c>
      <x:c r="J9" s="1" t="s">
        <x:v>436</x:v>
      </x:c>
      <x:c r="K9" s="1" t="s">
        <x:v>431</x:v>
      </x:c>
    </x:row>
    <x:row r="10" ht="82.05000305175781" customHeight="1">
      <x:c r="A10" s="1" t="s">
        <x:v>44</x:v>
      </x:c>
      <x:c r="B10" s="1" t="s">
        <x:v>416</x:v>
      </x:c>
      <x:c r="C10" s="1" t="s">
        <x:v>438</x:v>
      </x:c>
      <x:c r="D10" s="1" t="s">
        <x:v>418</x:v>
      </x:c>
      <x:c r="E10" s="1">
        <x:v>1</x:v>
      </x:c>
      <x:c r="F10" s="1" t="s">
        <x:v>433</x:v>
      </x:c>
      <x:c r="G10" s="1" t="s">
        <x:v>434</x:v>
      </x:c>
      <x:c r="H10" s="1" t="s">
        <x:v>421</x:v>
      </x:c>
      <x:c r="I10" s="8" t="s">
        <x:v>435</x:v>
      </x:c>
      <x:c r="J10" s="1" t="s">
        <x:v>436</x:v>
      </x:c>
      <x:c r="K10" s="1" t="s">
        <x:v>431</x:v>
      </x:c>
    </x:row>
    <x:row r="11" ht="82.05000305175781" customHeight="1">
      <x:c r="A11" s="1" t="s">
        <x:v>46</x:v>
      </x:c>
      <x:c r="B11" s="1" t="s">
        <x:v>416</x:v>
      </x:c>
      <x:c r="C11" s="1" t="s">
        <x:v>439</x:v>
      </x:c>
      <x:c r="D11" s="1" t="s">
        <x:v>418</x:v>
      </x:c>
      <x:c r="E11" s="1">
        <x:v>1</x:v>
      </x:c>
      <x:c r="F11" s="1" t="s">
        <x:v>440</x:v>
      </x:c>
      <x:c r="G11" s="1" t="s">
        <x:v>441</x:v>
      </x:c>
      <x:c r="H11" s="1" t="s">
        <x:v>421</x:v>
      </x:c>
      <x:c r="I11" s="8" t="s">
        <x:v>435</x:v>
      </x:c>
      <x:c r="J11" s="1"/>
      <x:c r="K11" s="1" t="s">
        <x:v>442</x:v>
      </x:c>
    </x:row>
    <x:row r="12" ht="82.05000305175781" customHeight="1">
      <x:c r="A12" s="1" t="s">
        <x:v>55</x:v>
      </x:c>
      <x:c r="B12" s="1" t="s">
        <x:v>416</x:v>
      </x:c>
      <x:c r="C12" s="1" t="s">
        <x:v>443</x:v>
      </x:c>
      <x:c r="D12" s="1" t="s">
        <x:v>418</x:v>
      </x:c>
      <x:c r="E12" s="1">
        <x:v>1</x:v>
      </x:c>
      <x:c r="F12" s="1" t="s">
        <x:v>427</x:v>
      </x:c>
      <x:c r="G12" s="1" t="s">
        <x:v>444</x:v>
      </x:c>
      <x:c r="H12" s="1" t="s">
        <x:v>421</x:v>
      </x:c>
      <x:c r="I12" s="6" t="s">
        <x:v>445</x:v>
      </x:c>
      <x:c r="J12" s="1" t="s">
        <x:v>446</x:v>
      </x:c>
      <x:c r="K12" s="1" t="s">
        <x:v>431</x:v>
      </x:c>
    </x:row>
    <x:row r="13" ht="82.05000305175781" customHeight="1">
      <x:c r="A13" s="1" t="s">
        <x:v>59</x:v>
      </x:c>
      <x:c r="B13" s="1" t="s">
        <x:v>416</x:v>
      </x:c>
      <x:c r="C13" s="1" t="s">
        <x:v>447</x:v>
      </x:c>
      <x:c r="D13" s="1" t="s">
        <x:v>418</x:v>
      </x:c>
      <x:c r="E13" s="1">
        <x:v>1</x:v>
      </x:c>
      <x:c r="F13" s="1" t="s">
        <x:v>427</x:v>
      </x:c>
      <x:c r="G13" s="1" t="s">
        <x:v>448</x:v>
      </x:c>
      <x:c r="H13" s="1" t="s">
        <x:v>421</x:v>
      </x:c>
      <x:c r="I13" s="6" t="s">
        <x:v>445</x:v>
      </x:c>
      <x:c r="J13" s="1" t="s">
        <x:v>449</x:v>
      </x:c>
      <x:c r="K13" s="1" t="s">
        <x:v>431</x:v>
      </x:c>
    </x:row>
    <x:row r="14" ht="82.05000305175781" customHeight="1">
      <x:c r="A14" s="1" t="s">
        <x:v>63</x:v>
      </x:c>
      <x:c r="B14" s="1" t="s">
        <x:v>416</x:v>
      </x:c>
      <x:c r="C14" s="1" t="s">
        <x:v>450</x:v>
      </x:c>
      <x:c r="D14" s="1" t="s">
        <x:v>65</x:v>
      </x:c>
      <x:c r="E14" s="1" t="s">
        <x:v>451</x:v>
      </x:c>
      <x:c r="F14" s="1"/>
      <x:c r="G14" s="1"/>
      <x:c r="H14" s="1" t="s">
        <x:v>421</x:v>
      </x:c>
      <x:c r="I14" s="6" t="s">
        <x:v>452</x:v>
      </x:c>
      <x:c r="J14" s="1" t="s">
        <x:v>453</x:v>
      </x:c>
      <x:c r="K14" s="1" t="s">
        <x:v>431</x:v>
      </x:c>
    </x:row>
    <x:row r="15" ht="82.05000305175781" customHeight="1">
      <x:c r="A15" s="1" t="s">
        <x:v>67</x:v>
      </x:c>
      <x:c r="B15" s="1" t="s">
        <x:v>416</x:v>
      </x:c>
      <x:c r="C15" s="1" t="s">
        <x:v>454</x:v>
      </x:c>
      <x:c r="D15" s="1" t="s">
        <x:v>418</x:v>
      </x:c>
      <x:c r="E15" s="1">
        <x:v>1</x:v>
      </x:c>
      <x:c r="F15" s="1" t="s">
        <x:v>455</x:v>
      </x:c>
      <x:c r="G15" s="1" t="s">
        <x:v>456</x:v>
      </x:c>
      <x:c r="H15" s="1" t="s">
        <x:v>421</x:v>
      </x:c>
      <x:c r="I15" s="6" t="s">
        <x:v>422</x:v>
      </x:c>
      <x:c r="J15" s="1" t="s">
        <x:v>457</x:v>
      </x:c>
      <x:c r="K15" s="1" t="s">
        <x:v>458</x:v>
      </x:c>
    </x:row>
    <x:row r="16" ht="82.05000305175781" customHeight="1">
      <x:c r="A16" s="1" t="s">
        <x:v>76</x:v>
      </x:c>
      <x:c r="B16" s="1" t="s">
        <x:v>416</x:v>
      </x:c>
      <x:c r="C16" s="1" t="s">
        <x:v>459</x:v>
      </x:c>
      <x:c r="D16" s="1" t="s">
        <x:v>418</x:v>
      </x:c>
      <x:c r="E16" s="1">
        <x:v>1</x:v>
      </x:c>
      <x:c r="F16" s="1" t="s">
        <x:v>455</x:v>
      </x:c>
      <x:c r="G16" s="1" t="s">
        <x:v>456</x:v>
      </x:c>
      <x:c r="H16" s="1" t="s">
        <x:v>421</x:v>
      </x:c>
      <x:c r="I16" s="6" t="s">
        <x:v>422</x:v>
      </x:c>
      <x:c r="J16" s="1" t="s">
        <x:v>457</x:v>
      </x:c>
      <x:c r="K16" s="1" t="s">
        <x:v>458</x:v>
      </x:c>
    </x:row>
    <x:row r="17" ht="82.05000305175781" customHeight="1">
      <x:c r="A17" s="1" t="s">
        <x:v>78</x:v>
      </x:c>
      <x:c r="B17" s="1" t="s">
        <x:v>416</x:v>
      </x:c>
      <x:c r="C17" s="1" t="s">
        <x:v>460</x:v>
      </x:c>
      <x:c r="D17" s="1" t="s">
        <x:v>418</x:v>
      </x:c>
      <x:c r="E17" s="1">
        <x:v>1</x:v>
      </x:c>
      <x:c r="F17" s="1" t="s">
        <x:v>455</x:v>
      </x:c>
      <x:c r="G17" s="1" t="s">
        <x:v>456</x:v>
      </x:c>
      <x:c r="H17" s="1" t="s">
        <x:v>421</x:v>
      </x:c>
      <x:c r="I17" s="6" t="s">
        <x:v>422</x:v>
      </x:c>
      <x:c r="J17" s="1" t="s">
        <x:v>457</x:v>
      </x:c>
      <x:c r="K17" s="1" t="s">
        <x:v>458</x:v>
      </x:c>
    </x:row>
    <x:row r="18" ht="82.05000305175781" customHeight="1">
      <x:c r="A18" s="1" t="s">
        <x:v>80</x:v>
      </x:c>
      <x:c r="B18" s="1" t="s">
        <x:v>416</x:v>
      </x:c>
      <x:c r="C18" s="1" t="s">
        <x:v>461</x:v>
      </x:c>
      <x:c r="D18" s="1" t="s">
        <x:v>418</x:v>
      </x:c>
      <x:c r="E18" s="1">
        <x:v>1</x:v>
      </x:c>
      <x:c r="F18" s="1" t="s">
        <x:v>455</x:v>
      </x:c>
      <x:c r="G18" s="1" t="s">
        <x:v>456</x:v>
      </x:c>
      <x:c r="H18" s="1" t="s">
        <x:v>421</x:v>
      </x:c>
      <x:c r="I18" s="6" t="s">
        <x:v>422</x:v>
      </x:c>
      <x:c r="J18" s="1" t="s">
        <x:v>457</x:v>
      </x:c>
      <x:c r="K18" s="1" t="s">
        <x:v>458</x:v>
      </x:c>
    </x:row>
    <x:row r="19" ht="82.05000305175781" customHeight="1">
      <x:c r="A19" s="1" t="s">
        <x:v>82</x:v>
      </x:c>
      <x:c r="B19" s="1" t="s">
        <x:v>416</x:v>
      </x:c>
      <x:c r="C19" s="1" t="s">
        <x:v>462</x:v>
      </x:c>
      <x:c r="D19" s="1" t="s">
        <x:v>418</x:v>
      </x:c>
      <x:c r="E19" s="1">
        <x:v>1</x:v>
      </x:c>
      <x:c r="F19" s="1" t="s">
        <x:v>455</x:v>
      </x:c>
      <x:c r="G19" s="1" t="s">
        <x:v>456</x:v>
      </x:c>
      <x:c r="H19" s="1" t="s">
        <x:v>421</x:v>
      </x:c>
      <x:c r="I19" s="6" t="s">
        <x:v>422</x:v>
      </x:c>
      <x:c r="J19" s="1" t="s">
        <x:v>457</x:v>
      </x:c>
      <x:c r="K19" s="1" t="s">
        <x:v>458</x:v>
      </x:c>
    </x:row>
    <x:row r="20" ht="82.05000305175781" customHeight="1">
      <x:c r="A20" s="1" t="s">
        <x:v>84</x:v>
      </x:c>
      <x:c r="B20" s="1" t="s">
        <x:v>416</x:v>
      </x:c>
      <x:c r="C20" s="1" t="s">
        <x:v>463</x:v>
      </x:c>
      <x:c r="D20" s="1" t="s">
        <x:v>418</x:v>
      </x:c>
      <x:c r="E20" s="1">
        <x:v>1</x:v>
      </x:c>
      <x:c r="F20" s="1" t="s">
        <x:v>455</x:v>
      </x:c>
      <x:c r="G20" s="1" t="s">
        <x:v>456</x:v>
      </x:c>
      <x:c r="H20" s="1" t="s">
        <x:v>421</x:v>
      </x:c>
      <x:c r="I20" s="6" t="s">
        <x:v>422</x:v>
      </x:c>
      <x:c r="J20" s="1" t="s">
        <x:v>457</x:v>
      </x:c>
      <x:c r="K20" s="1" t="s">
        <x:v>458</x:v>
      </x:c>
    </x:row>
    <x:row r="21" ht="82.05000305175781" customHeight="1">
      <x:c r="A21" s="1" t="s">
        <x:v>86</x:v>
      </x:c>
      <x:c r="B21" s="1" t="s">
        <x:v>416</x:v>
      </x:c>
      <x:c r="C21" s="1" t="s">
        <x:v>464</x:v>
      </x:c>
      <x:c r="D21" s="1" t="s">
        <x:v>418</x:v>
      </x:c>
      <x:c r="E21" s="1">
        <x:v>0</x:v>
      </x:c>
      <x:c r="F21" s="1" t="s">
        <x:v>455</x:v>
      </x:c>
      <x:c r="G21" s="1" t="s">
        <x:v>420</x:v>
      </x:c>
      <x:c r="H21" s="1" t="s">
        <x:v>421</x:v>
      </x:c>
      <x:c r="I21" s="6" t="s">
        <x:v>465</x:v>
      </x:c>
      <x:c r="J21" s="1" t="s">
        <x:v>466</x:v>
      </x:c>
      <x:c r="K21" s="1" t="s">
        <x:v>458</x:v>
      </x:c>
    </x:row>
    <x:row r="22" ht="82.05000305175781" customHeight="1">
      <x:c r="A22" s="1" t="s">
        <x:v>90</x:v>
      </x:c>
      <x:c r="B22" s="1" t="s">
        <x:v>416</x:v>
      </x:c>
      <x:c r="C22" s="1" t="s">
        <x:v>467</x:v>
      </x:c>
      <x:c r="D22" s="1" t="s">
        <x:v>418</x:v>
      </x:c>
      <x:c r="E22" s="1">
        <x:v>0</x:v>
      </x:c>
      <x:c r="F22" s="1" t="s">
        <x:v>455</x:v>
      </x:c>
      <x:c r="G22" s="1" t="s">
        <x:v>420</x:v>
      </x:c>
      <x:c r="H22" s="1" t="s">
        <x:v>421</x:v>
      </x:c>
      <x:c r="I22" s="6" t="s">
        <x:v>465</x:v>
      </x:c>
      <x:c r="J22" s="1" t="s">
        <x:v>466</x:v>
      </x:c>
      <x:c r="K22" s="1" t="s">
        <x:v>458</x:v>
      </x:c>
    </x:row>
    <x:row r="23" ht="82.05000305175781" customHeight="1">
      <x:c r="A23" s="1" t="s">
        <x:v>92</x:v>
      </x:c>
      <x:c r="B23" s="1" t="s">
        <x:v>416</x:v>
      </x:c>
      <x:c r="C23" s="1" t="s">
        <x:v>468</x:v>
      </x:c>
      <x:c r="D23" s="1" t="s">
        <x:v>418</x:v>
      </x:c>
      <x:c r="E23" s="1">
        <x:v>1</x:v>
      </x:c>
      <x:c r="F23" s="1" t="s">
        <x:v>455</x:v>
      </x:c>
      <x:c r="G23" s="1" t="s">
        <x:v>420</x:v>
      </x:c>
      <x:c r="H23" s="1" t="s">
        <x:v>421</x:v>
      </x:c>
      <x:c r="I23" s="6" t="s">
        <x:v>422</x:v>
      </x:c>
      <x:c r="J23" s="1" t="s">
        <x:v>469</x:v>
      </x:c>
      <x:c r="K23" s="1" t="s">
        <x:v>458</x:v>
      </x:c>
    </x:row>
    <x:row r="24" ht="82.05000305175781" customHeight="1">
      <x:c r="A24" s="1" t="s">
        <x:v>95</x:v>
      </x:c>
      <x:c r="B24" s="1" t="s">
        <x:v>416</x:v>
      </x:c>
      <x:c r="C24" s="1" t="s">
        <x:v>470</x:v>
      </x:c>
      <x:c r="D24" s="1" t="s">
        <x:v>418</x:v>
      </x:c>
      <x:c r="E24" s="1">
        <x:v>1</x:v>
      </x:c>
      <x:c r="F24" s="1" t="s">
        <x:v>455</x:v>
      </x:c>
      <x:c r="G24" s="1" t="s">
        <x:v>444</x:v>
      </x:c>
      <x:c r="H24" s="1" t="s">
        <x:v>421</x:v>
      </x:c>
      <x:c r="I24" s="8" t="s">
        <x:v>435</x:v>
      </x:c>
      <x:c r="J24" s="1" t="s">
        <x:v>469</x:v>
      </x:c>
      <x:c r="K24" s="1" t="s">
        <x:v>458</x:v>
      </x:c>
    </x:row>
    <x:row r="25" ht="82.05000305175781" customHeight="1">
      <x:c r="A25" s="1" t="s">
        <x:v>98</x:v>
      </x:c>
      <x:c r="B25" s="1" t="s">
        <x:v>416</x:v>
      </x:c>
      <x:c r="C25" s="1" t="s">
        <x:v>471</x:v>
      </x:c>
      <x:c r="D25" s="1" t="s">
        <x:v>418</x:v>
      </x:c>
      <x:c r="E25" s="1">
        <x:v>1</x:v>
      </x:c>
      <x:c r="F25" s="1" t="s">
        <x:v>455</x:v>
      </x:c>
      <x:c r="G25" s="1" t="s">
        <x:v>444</x:v>
      </x:c>
      <x:c r="H25" s="1" t="s">
        <x:v>421</x:v>
      </x:c>
      <x:c r="I25" s="8" t="s">
        <x:v>435</x:v>
      </x:c>
      <x:c r="J25" s="1" t="s">
        <x:v>469</x:v>
      </x:c>
      <x:c r="K25" s="1" t="s">
        <x:v>458</x:v>
      </x:c>
    </x:row>
    <x:row r="26" ht="82.05000305175781" customHeight="1">
      <x:c r="A26" s="1" t="s">
        <x:v>100</x:v>
      </x:c>
      <x:c r="B26" s="1" t="s">
        <x:v>416</x:v>
      </x:c>
      <x:c r="C26" s="1" t="s">
        <x:v>472</x:v>
      </x:c>
      <x:c r="D26" s="1" t="s">
        <x:v>418</x:v>
      </x:c>
      <x:c r="E26" s="1">
        <x:v>1</x:v>
      </x:c>
      <x:c r="F26" s="1" t="s">
        <x:v>455</x:v>
      </x:c>
      <x:c r="G26" s="1" t="s">
        <x:v>444</x:v>
      </x:c>
      <x:c r="H26" s="1" t="s">
        <x:v>421</x:v>
      </x:c>
      <x:c r="I26" s="8" t="s">
        <x:v>435</x:v>
      </x:c>
      <x:c r="J26" s="1" t="s">
        <x:v>469</x:v>
      </x:c>
      <x:c r="K26" s="1" t="s">
        <x:v>458</x:v>
      </x:c>
    </x:row>
    <x:row r="27" ht="82.05000305175781" customHeight="1">
      <x:c r="A27" s="1" t="s">
        <x:v>102</x:v>
      </x:c>
      <x:c r="B27" s="1" t="s">
        <x:v>416</x:v>
      </x:c>
      <x:c r="C27" s="1" t="s">
        <x:v>473</x:v>
      </x:c>
      <x:c r="D27" s="1" t="s">
        <x:v>418</x:v>
      </x:c>
      <x:c r="E27" s="1">
        <x:v>0</x:v>
      </x:c>
      <x:c r="F27" s="1" t="s">
        <x:v>455</x:v>
      </x:c>
      <x:c r="G27" s="1" t="s">
        <x:v>420</x:v>
      </x:c>
      <x:c r="H27" s="1" t="s">
        <x:v>421</x:v>
      </x:c>
      <x:c r="I27" s="6" t="s">
        <x:v>465</x:v>
      </x:c>
      <x:c r="J27" s="1" t="s">
        <x:v>466</x:v>
      </x:c>
      <x:c r="K27" s="1" t="s">
        <x:v>458</x:v>
      </x:c>
    </x:row>
    <x:row r="28" ht="82.05000305175781" customHeight="1">
      <x:c r="A28" s="1" t="s">
        <x:v>104</x:v>
      </x:c>
      <x:c r="B28" s="1" t="s">
        <x:v>416</x:v>
      </x:c>
      <x:c r="C28" s="1" t="s">
        <x:v>474</x:v>
      </x:c>
      <x:c r="D28" s="1" t="s">
        <x:v>418</x:v>
      </x:c>
      <x:c r="E28" s="1">
        <x:v>0</x:v>
      </x:c>
      <x:c r="F28" s="1" t="s">
        <x:v>455</x:v>
      </x:c>
      <x:c r="G28" s="1" t="s">
        <x:v>420</x:v>
      </x:c>
      <x:c r="H28" s="1" t="s">
        <x:v>421</x:v>
      </x:c>
      <x:c r="I28" s="6" t="s">
        <x:v>465</x:v>
      </x:c>
      <x:c r="J28" s="1" t="s">
        <x:v>466</x:v>
      </x:c>
      <x:c r="K28" s="1" t="s">
        <x:v>458</x:v>
      </x:c>
    </x:row>
    <x:row r="29" ht="82.05000305175781" customHeight="1">
      <x:c r="A29" s="1" t="s">
        <x:v>106</x:v>
      </x:c>
      <x:c r="B29" s="1" t="s">
        <x:v>416</x:v>
      </x:c>
      <x:c r="C29" s="1" t="s">
        <x:v>475</x:v>
      </x:c>
      <x:c r="D29" s="1" t="s">
        <x:v>418</x:v>
      </x:c>
      <x:c r="E29" s="1">
        <x:v>0</x:v>
      </x:c>
      <x:c r="F29" s="1" t="s">
        <x:v>455</x:v>
      </x:c>
      <x:c r="G29" s="1" t="s">
        <x:v>420</x:v>
      </x:c>
      <x:c r="H29" s="1" t="s">
        <x:v>421</x:v>
      </x:c>
      <x:c r="I29" s="6" t="s">
        <x:v>465</x:v>
      </x:c>
      <x:c r="J29" s="1" t="s">
        <x:v>466</x:v>
      </x:c>
      <x:c r="K29" s="1" t="s">
        <x:v>458</x:v>
      </x:c>
    </x:row>
    <x:row r="30" ht="82.05000305175781" customHeight="1">
      <x:c r="A30" s="1" t="s">
        <x:v>108</x:v>
      </x:c>
      <x:c r="B30" s="1" t="s">
        <x:v>416</x:v>
      </x:c>
      <x:c r="C30" s="1" t="s">
        <x:v>476</x:v>
      </x:c>
      <x:c r="D30" s="1" t="s">
        <x:v>418</x:v>
      </x:c>
      <x:c r="E30" s="1">
        <x:v>1</x:v>
      </x:c>
      <x:c r="F30" s="1" t="s">
        <x:v>455</x:v>
      </x:c>
      <x:c r="G30" s="1" t="s">
        <x:v>444</x:v>
      </x:c>
      <x:c r="H30" s="1" t="s">
        <x:v>421</x:v>
      </x:c>
      <x:c r="I30" s="8" t="s">
        <x:v>435</x:v>
      </x:c>
      <x:c r="J30" s="1" t="s">
        <x:v>469</x:v>
      </x:c>
      <x:c r="K30" s="1" t="s">
        <x:v>458</x:v>
      </x:c>
    </x:row>
    <x:row r="31" ht="82.05000305175781" customHeight="1">
      <x:c r="A31" s="1" t="s">
        <x:v>110</x:v>
      </x:c>
      <x:c r="B31" s="1" t="s">
        <x:v>416</x:v>
      </x:c>
      <x:c r="C31" s="1" t="s">
        <x:v>477</x:v>
      </x:c>
      <x:c r="D31" s="1" t="s">
        <x:v>418</x:v>
      </x:c>
      <x:c r="E31" s="1">
        <x:v>1</x:v>
      </x:c>
      <x:c r="F31" s="1" t="s">
        <x:v>455</x:v>
      </x:c>
      <x:c r="G31" s="1" t="s">
        <x:v>448</x:v>
      </x:c>
      <x:c r="H31" s="1" t="s">
        <x:v>421</x:v>
      </x:c>
      <x:c r="I31" s="8" t="s">
        <x:v>435</x:v>
      </x:c>
      <x:c r="J31" s="1" t="s">
        <x:v>469</x:v>
      </x:c>
      <x:c r="K31" s="1" t="s">
        <x:v>458</x:v>
      </x:c>
    </x:row>
    <x:row r="32" ht="82.05000305175781" customHeight="1">
      <x:c r="A32" s="1" t="s">
        <x:v>113</x:v>
      </x:c>
      <x:c r="B32" s="1" t="s">
        <x:v>416</x:v>
      </x:c>
      <x:c r="C32" s="1" t="s">
        <x:v>478</x:v>
      </x:c>
      <x:c r="D32" s="1" t="s">
        <x:v>418</x:v>
      </x:c>
      <x:c r="E32" s="1">
        <x:v>1</x:v>
      </x:c>
      <x:c r="F32" s="1" t="s">
        <x:v>455</x:v>
      </x:c>
      <x:c r="G32" s="1" t="s">
        <x:v>448</x:v>
      </x:c>
      <x:c r="H32" s="1" t="s">
        <x:v>421</x:v>
      </x:c>
      <x:c r="I32" s="8" t="s">
        <x:v>435</x:v>
      </x:c>
      <x:c r="J32" s="1" t="s">
        <x:v>469</x:v>
      </x:c>
      <x:c r="K32" s="1" t="s">
        <x:v>458</x:v>
      </x:c>
    </x:row>
    <x:row r="33" ht="82.05000305175781" customHeight="1">
      <x:c r="A33" s="1" t="s">
        <x:v>115</x:v>
      </x:c>
      <x:c r="B33" s="1" t="s">
        <x:v>416</x:v>
      </x:c>
      <x:c r="C33" s="1" t="s">
        <x:v>479</x:v>
      </x:c>
      <x:c r="D33" s="1" t="s">
        <x:v>418</x:v>
      </x:c>
      <x:c r="E33" s="1">
        <x:v>1</x:v>
      </x:c>
      <x:c r="F33" s="1" t="s">
        <x:v>455</x:v>
      </x:c>
      <x:c r="G33" s="1" t="s">
        <x:v>420</x:v>
      </x:c>
      <x:c r="H33" s="1" t="s">
        <x:v>421</x:v>
      </x:c>
      <x:c r="I33" s="6" t="s">
        <x:v>422</x:v>
      </x:c>
      <x:c r="J33" s="1" t="s">
        <x:v>469</x:v>
      </x:c>
      <x:c r="K33" s="1" t="s">
        <x:v>458</x:v>
      </x:c>
    </x:row>
    <x:row r="34" ht="82.05000305175781" customHeight="1">
      <x:c r="A34" s="1" t="s">
        <x:v>117</x:v>
      </x:c>
      <x:c r="B34" s="1" t="s">
        <x:v>416</x:v>
      </x:c>
      <x:c r="C34" s="1" t="s">
        <x:v>480</x:v>
      </x:c>
      <x:c r="D34" s="1" t="s">
        <x:v>418</x:v>
      </x:c>
      <x:c r="E34" s="1">
        <x:v>1</x:v>
      </x:c>
      <x:c r="F34" s="1" t="s">
        <x:v>455</x:v>
      </x:c>
      <x:c r="G34" s="1" t="s">
        <x:v>420</x:v>
      </x:c>
      <x:c r="H34" s="1" t="s">
        <x:v>421</x:v>
      </x:c>
      <x:c r="I34" s="6" t="s">
        <x:v>422</x:v>
      </x:c>
      <x:c r="J34" s="1" t="s">
        <x:v>469</x:v>
      </x:c>
      <x:c r="K34" s="1" t="s">
        <x:v>458</x:v>
      </x:c>
    </x:row>
    <x:row r="35" ht="82.05000305175781" customHeight="1">
      <x:c r="A35" s="1" t="s">
        <x:v>119</x:v>
      </x:c>
      <x:c r="B35" s="1" t="s">
        <x:v>416</x:v>
      </x:c>
      <x:c r="C35" s="1" t="s">
        <x:v>481</x:v>
      </x:c>
      <x:c r="D35" s="1" t="s">
        <x:v>418</x:v>
      </x:c>
      <x:c r="E35" s="1">
        <x:v>1</x:v>
      </x:c>
      <x:c r="F35" s="1" t="s">
        <x:v>455</x:v>
      </x:c>
      <x:c r="G35" s="1" t="s">
        <x:v>448</x:v>
      </x:c>
      <x:c r="H35" s="1" t="s">
        <x:v>421</x:v>
      </x:c>
      <x:c r="I35" s="8" t="s">
        <x:v>435</x:v>
      </x:c>
      <x:c r="J35" s="1" t="s">
        <x:v>469</x:v>
      </x:c>
      <x:c r="K35" s="1" t="s">
        <x:v>458</x:v>
      </x:c>
    </x:row>
    <x:row r="36" ht="82.05000305175781" customHeight="1">
      <x:c r="A36" s="1" t="s">
        <x:v>121</x:v>
      </x:c>
      <x:c r="B36" s="1" t="s">
        <x:v>416</x:v>
      </x:c>
      <x:c r="C36" s="1" t="s">
        <x:v>482</x:v>
      </x:c>
      <x:c r="D36" s="1" t="s">
        <x:v>418</x:v>
      </x:c>
      <x:c r="E36" s="1">
        <x:v>1</x:v>
      </x:c>
      <x:c r="F36" s="1" t="s">
        <x:v>455</x:v>
      </x:c>
      <x:c r="G36" s="1" t="s">
        <x:v>448</x:v>
      </x:c>
      <x:c r="H36" s="1" t="s">
        <x:v>421</x:v>
      </x:c>
      <x:c r="I36" s="8" t="s">
        <x:v>435</x:v>
      </x:c>
      <x:c r="J36" s="1" t="s">
        <x:v>469</x:v>
      </x:c>
      <x:c r="K36" s="1" t="s">
        <x:v>458</x:v>
      </x:c>
    </x:row>
    <x:row r="37" ht="82.05000305175781" customHeight="1">
      <x:c r="A37" s="1" t="s">
        <x:v>123</x:v>
      </x:c>
      <x:c r="B37" s="1" t="s">
        <x:v>416</x:v>
      </x:c>
      <x:c r="C37" s="1" t="s">
        <x:v>483</x:v>
      </x:c>
      <x:c r="D37" s="1" t="s">
        <x:v>418</x:v>
      </x:c>
      <x:c r="E37" s="1">
        <x:v>1</x:v>
      </x:c>
      <x:c r="F37" s="1" t="s">
        <x:v>455</x:v>
      </x:c>
      <x:c r="G37" s="1" t="s">
        <x:v>448</x:v>
      </x:c>
      <x:c r="H37" s="1" t="s">
        <x:v>421</x:v>
      </x:c>
      <x:c r="I37" s="8" t="s">
        <x:v>435</x:v>
      </x:c>
      <x:c r="J37" s="1" t="s">
        <x:v>469</x:v>
      </x:c>
      <x:c r="K37" s="1" t="s">
        <x:v>458</x:v>
      </x:c>
    </x:row>
    <x:row r="38" ht="82.05000305175781" customHeight="1">
      <x:c r="A38" s="1" t="s">
        <x:v>125</x:v>
      </x:c>
      <x:c r="B38" s="1" t="s">
        <x:v>416</x:v>
      </x:c>
      <x:c r="C38" s="1" t="s">
        <x:v>484</x:v>
      </x:c>
      <x:c r="D38" s="1" t="s">
        <x:v>418</x:v>
      </x:c>
      <x:c r="E38" s="1">
        <x:v>1</x:v>
      </x:c>
      <x:c r="F38" s="1" t="s">
        <x:v>455</x:v>
      </x:c>
      <x:c r="G38" s="1" t="s">
        <x:v>448</x:v>
      </x:c>
      <x:c r="H38" s="1" t="s">
        <x:v>421</x:v>
      </x:c>
      <x:c r="I38" s="8" t="s">
        <x:v>435</x:v>
      </x:c>
      <x:c r="J38" s="1" t="s">
        <x:v>469</x:v>
      </x:c>
      <x:c r="K38" s="1" t="s">
        <x:v>458</x:v>
      </x:c>
    </x:row>
    <x:row r="39" ht="82.05000305175781" customHeight="1">
      <x:c r="A39" s="1" t="s">
        <x:v>127</x:v>
      </x:c>
      <x:c r="B39" s="1" t="s">
        <x:v>416</x:v>
      </x:c>
      <x:c r="C39" s="1" t="s">
        <x:v>485</x:v>
      </x:c>
      <x:c r="D39" s="1" t="s">
        <x:v>418</x:v>
      </x:c>
      <x:c r="E39" s="1">
        <x:v>0</x:v>
      </x:c>
      <x:c r="F39" s="1" t="s">
        <x:v>455</x:v>
      </x:c>
      <x:c r="G39" s="1" t="s">
        <x:v>420</x:v>
      </x:c>
      <x:c r="H39" s="1" t="s">
        <x:v>421</x:v>
      </x:c>
      <x:c r="I39" s="6" t="s">
        <x:v>465</x:v>
      </x:c>
      <x:c r="J39" s="1" t="s">
        <x:v>466</x:v>
      </x:c>
      <x:c r="K39" s="1" t="s">
        <x:v>458</x:v>
      </x:c>
    </x:row>
    <x:row r="40" ht="82.05000305175781" customHeight="1">
      <x:c r="A40" s="1" t="s">
        <x:v>129</x:v>
      </x:c>
      <x:c r="B40" s="1" t="s">
        <x:v>416</x:v>
      </x:c>
      <x:c r="C40" s="1" t="s">
        <x:v>486</x:v>
      </x:c>
      <x:c r="D40" s="1" t="s">
        <x:v>418</x:v>
      </x:c>
      <x:c r="E40" s="1">
        <x:v>0</x:v>
      </x:c>
      <x:c r="F40" s="1" t="s">
        <x:v>455</x:v>
      </x:c>
      <x:c r="G40" s="1" t="s">
        <x:v>420</x:v>
      </x:c>
      <x:c r="H40" s="1" t="s">
        <x:v>421</x:v>
      </x:c>
      <x:c r="I40" s="6" t="s">
        <x:v>465</x:v>
      </x:c>
      <x:c r="J40" s="1" t="s">
        <x:v>466</x:v>
      </x:c>
      <x:c r="K40" s="1" t="s">
        <x:v>458</x:v>
      </x:c>
    </x:row>
    <x:row r="41" ht="82.05000305175781" customHeight="1">
      <x:c r="A41" s="1" t="s">
        <x:v>131</x:v>
      </x:c>
      <x:c r="B41" s="1" t="s">
        <x:v>416</x:v>
      </x:c>
      <x:c r="C41" s="1" t="s">
        <x:v>487</x:v>
      </x:c>
      <x:c r="D41" s="1" t="s">
        <x:v>418</x:v>
      </x:c>
      <x:c r="E41" s="1">
        <x:v>1</x:v>
      </x:c>
      <x:c r="F41" s="1" t="s">
        <x:v>455</x:v>
      </x:c>
      <x:c r="G41" s="1" t="s">
        <x:v>488</x:v>
      </x:c>
      <x:c r="H41" s="1" t="s">
        <x:v>421</x:v>
      </x:c>
      <x:c r="I41" s="8" t="s">
        <x:v>435</x:v>
      </x:c>
      <x:c r="J41" s="1" t="s">
        <x:v>469</x:v>
      </x:c>
      <x:c r="K41" s="1" t="s">
        <x:v>458</x:v>
      </x:c>
    </x:row>
    <x:row r="42" ht="82.05000305175781" customHeight="1">
      <x:c r="A42" s="1" t="s">
        <x:v>134</x:v>
      </x:c>
      <x:c r="B42" s="1" t="s">
        <x:v>416</x:v>
      </x:c>
      <x:c r="C42" s="1" t="s">
        <x:v>489</x:v>
      </x:c>
      <x:c r="D42" s="1" t="s">
        <x:v>418</x:v>
      </x:c>
      <x:c r="E42" s="1">
        <x:v>1</x:v>
      </x:c>
      <x:c r="F42" s="1" t="s">
        <x:v>455</x:v>
      </x:c>
      <x:c r="G42" s="1" t="s">
        <x:v>488</x:v>
      </x:c>
      <x:c r="H42" s="1" t="s">
        <x:v>421</x:v>
      </x:c>
      <x:c r="I42" s="8" t="s">
        <x:v>435</x:v>
      </x:c>
      <x:c r="J42" s="1" t="s">
        <x:v>469</x:v>
      </x:c>
      <x:c r="K42" s="1" t="s">
        <x:v>458</x:v>
      </x:c>
    </x:row>
    <x:row r="43" ht="82.05000305175781" customHeight="1">
      <x:c r="A43" s="1" t="s">
        <x:v>136</x:v>
      </x:c>
      <x:c r="B43" s="1" t="s">
        <x:v>416</x:v>
      </x:c>
      <x:c r="C43" s="1" t="s">
        <x:v>490</x:v>
      </x:c>
      <x:c r="D43" s="1" t="s">
        <x:v>418</x:v>
      </x:c>
      <x:c r="E43" s="1">
        <x:v>1</x:v>
      </x:c>
      <x:c r="F43" s="1" t="s">
        <x:v>455</x:v>
      </x:c>
      <x:c r="G43" s="1" t="s">
        <x:v>488</x:v>
      </x:c>
      <x:c r="H43" s="1" t="s">
        <x:v>421</x:v>
      </x:c>
      <x:c r="I43" s="8" t="s">
        <x:v>435</x:v>
      </x:c>
      <x:c r="J43" s="1" t="s">
        <x:v>469</x:v>
      </x:c>
      <x:c r="K43" s="1" t="s">
        <x:v>458</x:v>
      </x:c>
    </x:row>
    <x:row r="44" ht="82.05000305175781" customHeight="1">
      <x:c r="A44" s="1" t="s">
        <x:v>138</x:v>
      </x:c>
      <x:c r="B44" s="1" t="s">
        <x:v>416</x:v>
      </x:c>
      <x:c r="C44" s="1" t="s">
        <x:v>491</x:v>
      </x:c>
      <x:c r="D44" s="1" t="s">
        <x:v>418</x:v>
      </x:c>
      <x:c r="E44" s="1">
        <x:v>1</x:v>
      </x:c>
      <x:c r="F44" s="1" t="s">
        <x:v>455</x:v>
      </x:c>
      <x:c r="G44" s="1" t="s">
        <x:v>488</x:v>
      </x:c>
      <x:c r="H44" s="1" t="s">
        <x:v>421</x:v>
      </x:c>
      <x:c r="I44" s="8" t="s">
        <x:v>435</x:v>
      </x:c>
      <x:c r="J44" s="1" t="s">
        <x:v>469</x:v>
      </x:c>
      <x:c r="K44" s="1" t="s">
        <x:v>458</x:v>
      </x:c>
    </x:row>
    <x:row r="45" ht="82.05000305175781" customHeight="1">
      <x:c r="A45" s="1" t="s">
        <x:v>140</x:v>
      </x:c>
      <x:c r="B45" s="1" t="s">
        <x:v>416</x:v>
      </x:c>
      <x:c r="C45" s="1" t="s">
        <x:v>492</x:v>
      </x:c>
      <x:c r="D45" s="1" t="s">
        <x:v>418</x:v>
      </x:c>
      <x:c r="E45" s="1">
        <x:v>1</x:v>
      </x:c>
      <x:c r="F45" s="1" t="s">
        <x:v>455</x:v>
      </x:c>
      <x:c r="G45" s="1" t="s">
        <x:v>488</x:v>
      </x:c>
      <x:c r="H45" s="1" t="s">
        <x:v>421</x:v>
      </x:c>
      <x:c r="I45" s="8" t="s">
        <x:v>435</x:v>
      </x:c>
      <x:c r="J45" s="1" t="s">
        <x:v>469</x:v>
      </x:c>
      <x:c r="K45" s="1" t="s">
        <x:v>458</x:v>
      </x:c>
    </x:row>
    <x:row r="46" ht="82.05000305175781" customHeight="1">
      <x:c r="A46" s="1" t="s">
        <x:v>142</x:v>
      </x:c>
      <x:c r="B46" s="1" t="s">
        <x:v>416</x:v>
      </x:c>
      <x:c r="C46" s="1" t="s">
        <x:v>493</x:v>
      </x:c>
      <x:c r="D46" s="1" t="s">
        <x:v>418</x:v>
      </x:c>
      <x:c r="E46" s="1">
        <x:v>1</x:v>
      </x:c>
      <x:c r="F46" s="1" t="s">
        <x:v>455</x:v>
      </x:c>
      <x:c r="G46" s="1" t="s">
        <x:v>420</x:v>
      </x:c>
      <x:c r="H46" s="1" t="s">
        <x:v>421</x:v>
      </x:c>
      <x:c r="I46" s="6" t="s">
        <x:v>422</x:v>
      </x:c>
      <x:c r="J46" s="1" t="s">
        <x:v>469</x:v>
      </x:c>
      <x:c r="K46" s="1" t="s">
        <x:v>458</x:v>
      </x:c>
    </x:row>
    <x:row r="47" ht="82.05000305175781" customHeight="1">
      <x:c r="A47" s="1" t="s">
        <x:v>144</x:v>
      </x:c>
      <x:c r="B47" s="1" t="s">
        <x:v>416</x:v>
      </x:c>
      <x:c r="C47" s="1" t="s">
        <x:v>494</x:v>
      </x:c>
      <x:c r="D47" s="1" t="s">
        <x:v>418</x:v>
      </x:c>
      <x:c r="E47" s="1">
        <x:v>1</x:v>
      </x:c>
      <x:c r="F47" s="1" t="s">
        <x:v>455</x:v>
      </x:c>
      <x:c r="G47" s="1" t="s">
        <x:v>420</x:v>
      </x:c>
      <x:c r="H47" s="1" t="s">
        <x:v>421</x:v>
      </x:c>
      <x:c r="I47" s="6" t="s">
        <x:v>422</x:v>
      </x:c>
      <x:c r="J47" s="1" t="s">
        <x:v>469</x:v>
      </x:c>
      <x:c r="K47" s="1" t="s">
        <x:v>458</x:v>
      </x:c>
    </x:row>
    <x:row r="48" ht="82.05000305175781" customHeight="1">
      <x:c r="A48" s="1" t="s">
        <x:v>146</x:v>
      </x:c>
      <x:c r="B48" s="1" t="s">
        <x:v>416</x:v>
      </x:c>
      <x:c r="C48" s="1" t="s">
        <x:v>495</x:v>
      </x:c>
      <x:c r="D48" s="1" t="s">
        <x:v>418</x:v>
      </x:c>
      <x:c r="E48" s="1">
        <x:v>1</x:v>
      </x:c>
      <x:c r="F48" s="1" t="s">
        <x:v>455</x:v>
      </x:c>
      <x:c r="G48" s="1" t="s">
        <x:v>420</x:v>
      </x:c>
      <x:c r="H48" s="1" t="s">
        <x:v>421</x:v>
      </x:c>
      <x:c r="I48" s="6" t="s">
        <x:v>422</x:v>
      </x:c>
      <x:c r="J48" s="1" t="s">
        <x:v>469</x:v>
      </x:c>
      <x:c r="K48" s="1" t="s">
        <x:v>458</x:v>
      </x:c>
    </x:row>
    <x:row r="49" ht="82.05000305175781" customHeight="1">
      <x:c r="A49" s="1" t="s">
        <x:v>148</x:v>
      </x:c>
      <x:c r="B49" s="1" t="s">
        <x:v>416</x:v>
      </x:c>
      <x:c r="C49" s="1" t="s">
        <x:v>496</x:v>
      </x:c>
      <x:c r="D49" s="1" t="s">
        <x:v>418</x:v>
      </x:c>
      <x:c r="E49" s="1">
        <x:v>1</x:v>
      </x:c>
      <x:c r="F49" s="1" t="s">
        <x:v>455</x:v>
      </x:c>
      <x:c r="G49" s="1" t="s">
        <x:v>420</x:v>
      </x:c>
      <x:c r="H49" s="1" t="s">
        <x:v>421</x:v>
      </x:c>
      <x:c r="I49" s="6" t="s">
        <x:v>422</x:v>
      </x:c>
      <x:c r="J49" s="1" t="s">
        <x:v>469</x:v>
      </x:c>
      <x:c r="K49" s="1" t="s">
        <x:v>458</x:v>
      </x:c>
    </x:row>
    <x:row r="50" ht="82.05000305175781" customHeight="1">
      <x:c r="A50" s="1" t="s">
        <x:v>150</x:v>
      </x:c>
      <x:c r="B50" s="1" t="s">
        <x:v>416</x:v>
      </x:c>
      <x:c r="C50" s="1" t="s">
        <x:v>497</x:v>
      </x:c>
      <x:c r="D50" s="1" t="s">
        <x:v>418</x:v>
      </x:c>
      <x:c r="E50" s="1">
        <x:v>1</x:v>
      </x:c>
      <x:c r="F50" s="1" t="s">
        <x:v>455</x:v>
      </x:c>
      <x:c r="G50" s="1" t="s">
        <x:v>420</x:v>
      </x:c>
      <x:c r="H50" s="1" t="s">
        <x:v>421</x:v>
      </x:c>
      <x:c r="I50" s="6" t="s">
        <x:v>422</x:v>
      </x:c>
      <x:c r="J50" s="1" t="s">
        <x:v>469</x:v>
      </x:c>
      <x:c r="K50" s="1" t="s">
        <x:v>458</x:v>
      </x:c>
    </x:row>
    <x:row r="51" ht="82.05000305175781" customHeight="1">
      <x:c r="A51" s="1" t="s">
        <x:v>152</x:v>
      </x:c>
      <x:c r="B51" s="1" t="s">
        <x:v>416</x:v>
      </x:c>
      <x:c r="C51" s="1" t="s">
        <x:v>498</x:v>
      </x:c>
      <x:c r="D51" s="1" t="s">
        <x:v>418</x:v>
      </x:c>
      <x:c r="E51" s="1">
        <x:v>1</x:v>
      </x:c>
      <x:c r="F51" s="1" t="s">
        <x:v>455</x:v>
      </x:c>
      <x:c r="G51" s="1" t="s">
        <x:v>420</x:v>
      </x:c>
      <x:c r="H51" s="1" t="s">
        <x:v>421</x:v>
      </x:c>
      <x:c r="I51" s="6" t="s">
        <x:v>422</x:v>
      </x:c>
      <x:c r="J51" s="1" t="s">
        <x:v>469</x:v>
      </x:c>
      <x:c r="K51" s="1" t="s">
        <x:v>458</x:v>
      </x:c>
    </x:row>
    <x:row r="52" ht="82.05000305175781" customHeight="1">
      <x:c r="A52" s="1" t="s">
        <x:v>154</x:v>
      </x:c>
      <x:c r="B52" s="1" t="s">
        <x:v>416</x:v>
      </x:c>
      <x:c r="C52" s="1" t="s">
        <x:v>499</x:v>
      </x:c>
      <x:c r="D52" s="1" t="s">
        <x:v>418</x:v>
      </x:c>
      <x:c r="E52" s="1">
        <x:v>1</x:v>
      </x:c>
      <x:c r="F52" s="1" t="s">
        <x:v>455</x:v>
      </x:c>
      <x:c r="G52" s="1" t="s">
        <x:v>420</x:v>
      </x:c>
      <x:c r="H52" s="1" t="s">
        <x:v>421</x:v>
      </x:c>
      <x:c r="I52" s="6" t="s">
        <x:v>422</x:v>
      </x:c>
      <x:c r="J52" s="1" t="s">
        <x:v>469</x:v>
      </x:c>
      <x:c r="K52" s="1" t="s">
        <x:v>458</x:v>
      </x:c>
    </x:row>
    <x:row r="53" ht="82.05000305175781" customHeight="1">
      <x:c r="A53" s="1" t="s">
        <x:v>156</x:v>
      </x:c>
      <x:c r="B53" s="1" t="s">
        <x:v>416</x:v>
      </x:c>
      <x:c r="C53" s="1" t="s">
        <x:v>500</x:v>
      </x:c>
      <x:c r="D53" s="1" t="s">
        <x:v>418</x:v>
      </x:c>
      <x:c r="E53" s="1">
        <x:v>1</x:v>
      </x:c>
      <x:c r="F53" s="1" t="s">
        <x:v>455</x:v>
      </x:c>
      <x:c r="G53" s="1" t="s">
        <x:v>420</x:v>
      </x:c>
      <x:c r="H53" s="1" t="s">
        <x:v>421</x:v>
      </x:c>
      <x:c r="I53" s="6" t="s">
        <x:v>422</x:v>
      </x:c>
      <x:c r="J53" s="1" t="s">
        <x:v>469</x:v>
      </x:c>
      <x:c r="K53" s="1" t="s">
        <x:v>458</x:v>
      </x:c>
    </x:row>
    <x:row r="54" ht="82.05000305175781" customHeight="1">
      <x:c r="A54" s="1" t="s">
        <x:v>158</x:v>
      </x:c>
      <x:c r="B54" s="1" t="s">
        <x:v>416</x:v>
      </x:c>
      <x:c r="C54" s="1" t="s">
        <x:v>501</x:v>
      </x:c>
      <x:c r="D54" s="1" t="s">
        <x:v>160</x:v>
      </x:c>
      <x:c r="E54" s="1">
        <x:v>2</x:v>
      </x:c>
      <x:c r="F54" s="1"/>
      <x:c r="G54" s="1"/>
      <x:c r="H54" s="1" t="s">
        <x:v>428</x:v>
      </x:c>
      <x:c r="I54" s="8" t="s">
        <x:v>435</x:v>
      </x:c>
      <x:c r="J54" s="1" t="s">
        <x:v>502</x:v>
      </x:c>
      <x:c r="K54" s="1" t="s">
        <x:v>503</x:v>
      </x:c>
    </x:row>
    <x:row r="55" ht="82.05000305175781" customHeight="1">
      <x:c r="A55" s="1" t="s">
        <x:v>164</x:v>
      </x:c>
      <x:c r="B55" s="1" t="s">
        <x:v>416</x:v>
      </x:c>
      <x:c r="C55" s="1" t="s">
        <x:v>504</x:v>
      </x:c>
      <x:c r="D55" s="1" t="s">
        <x:v>505</x:v>
      </x:c>
      <x:c r="E55" s="1">
        <x:v>1</x:v>
      </x:c>
      <x:c r="F55" s="1" t="s">
        <x:v>427</x:v>
      </x:c>
      <x:c r="G55" s="1"/>
      <x:c r="H55" s="1" t="s">
        <x:v>506</x:v>
      </x:c>
      <x:c r="I55" s="6" t="s">
        <x:v>507</x:v>
      </x:c>
      <x:c r="J55" s="1"/>
      <x:c r="K55" s="1" t="s">
        <x:v>508</x:v>
      </x:c>
    </x:row>
    <x:row r="56" ht="82.05000305175781" customHeight="1">
      <x:c r="A56" s="1" t="s">
        <x:v>170</x:v>
      </x:c>
      <x:c r="B56" s="1" t="s">
        <x:v>416</x:v>
      </x:c>
      <x:c r="C56" s="1" t="s">
        <x:v>509</x:v>
      </x:c>
      <x:c r="D56" s="1" t="s">
        <x:v>172</x:v>
      </x:c>
      <x:c r="E56" s="1">
        <x:v>1</x:v>
      </x:c>
      <x:c r="F56" s="1"/>
      <x:c r="G56" s="1"/>
      <x:c r="H56" s="1" t="s">
        <x:v>428</x:v>
      </x:c>
      <x:c r="I56" s="6" t="s">
        <x:v>510</x:v>
      </x:c>
      <x:c r="J56" s="1"/>
      <x:c r="K56" s="1" t="s">
        <x:v>508</x:v>
      </x:c>
    </x:row>
    <x:row r="57" ht="82.05000305175781" customHeight="1">
      <x:c r="A57" s="1" t="s">
        <x:v>173</x:v>
      </x:c>
      <x:c r="B57" s="1" t="s">
        <x:v>416</x:v>
      </x:c>
      <x:c r="C57" s="1" t="s">
        <x:v>511</x:v>
      </x:c>
      <x:c r="D57" s="1" t="s">
        <x:v>418</x:v>
      </x:c>
      <x:c r="E57" s="1">
        <x:v>1</x:v>
      </x:c>
      <x:c r="F57" s="1" t="s">
        <x:v>440</x:v>
      </x:c>
      <x:c r="G57" s="1" t="s">
        <x:v>420</x:v>
      </x:c>
      <x:c r="H57" s="1" t="s">
        <x:v>421</x:v>
      </x:c>
      <x:c r="I57" s="6" t="s">
        <x:v>422</x:v>
      </x:c>
      <x:c r="J57" s="1"/>
      <x:c r="K57" s="1" t="s">
        <x:v>442</x:v>
      </x:c>
    </x:row>
    <x:row r="58" ht="82.05000305175781" customHeight="1">
      <x:c r="A58" s="1" t="s">
        <x:v>176</x:v>
      </x:c>
      <x:c r="B58" s="1" t="s">
        <x:v>416</x:v>
      </x:c>
      <x:c r="C58" s="1" t="s">
        <x:v>512</x:v>
      </x:c>
      <x:c r="D58" s="1" t="s">
        <x:v>178</x:v>
      </x:c>
      <x:c r="E58" s="1">
        <x:v>1</x:v>
      </x:c>
      <x:c r="F58" s="1"/>
      <x:c r="G58" s="1"/>
      <x:c r="H58" s="1" t="s">
        <x:v>428</x:v>
      </x:c>
      <x:c r="I58" s="8" t="s">
        <x:v>435</x:v>
      </x:c>
      <x:c r="J58" s="1"/>
      <x:c r="K58" s="1" t="s">
        <x:v>503</x:v>
      </x:c>
    </x:row>
    <x:row r="59" ht="82.05000305175781" customHeight="1">
      <x:c r="A59" s="1" t="s">
        <x:v>180</x:v>
      </x:c>
      <x:c r="B59" s="1" t="s">
        <x:v>513</x:v>
      </x:c>
      <x:c r="C59" s="1" t="s">
        <x:v>514</x:v>
      </x:c>
      <x:c r="D59" s="1" t="s">
        <x:v>505</x:v>
      </x:c>
      <x:c r="E59" s="1">
        <x:v>1</x:v>
      </x:c>
      <x:c r="F59" s="1" t="s">
        <x:v>440</x:v>
      </x:c>
      <x:c r="G59" s="1" t="s">
        <x:v>515</x:v>
      </x:c>
      <x:c r="H59" s="1" t="s">
        <x:v>516</x:v>
      </x:c>
      <x:c r="I59" s="6" t="s">
        <x:v>517</x:v>
      </x:c>
      <x:c r="J59" s="1" t="s">
        <x:v>518</x:v>
      </x:c>
      <x:c r="K59" s="1" t="s">
        <x:v>508</x:v>
      </x:c>
    </x:row>
    <x:row r="60" ht="82.05000305175781" customHeight="1">
      <x:c r="A60" s="1" t="s">
        <x:v>184</x:v>
      </x:c>
      <x:c r="B60" s="1" t="s">
        <x:v>513</x:v>
      </x:c>
      <x:c r="C60" s="1" t="s">
        <x:v>519</x:v>
      </x:c>
      <x:c r="D60" s="1" t="s">
        <x:v>186</x:v>
      </x:c>
      <x:c r="E60" s="1">
        <x:v>1</x:v>
      </x:c>
      <x:c r="F60" s="1"/>
      <x:c r="G60" s="1"/>
      <x:c r="H60" s="1" t="s">
        <x:v>520</x:v>
      </x:c>
      <x:c r="I60" s="6" t="s">
        <x:v>521</x:v>
      </x:c>
      <x:c r="J60" s="1"/>
      <x:c r="K60" s="1" t="s">
        <x:v>503</x:v>
      </x:c>
    </x:row>
    <x:row r="61" ht="82.05000305175781" customHeight="1">
      <x:c r="A61" s="1" t="s">
        <x:v>187</x:v>
      </x:c>
      <x:c r="B61" s="1" t="s">
        <x:v>513</x:v>
      </x:c>
      <x:c r="C61" s="1" t="s">
        <x:v>522</x:v>
      </x:c>
      <x:c r="D61" s="1" t="s">
        <x:v>418</x:v>
      </x:c>
      <x:c r="E61" s="1">
        <x:v>1</x:v>
      </x:c>
      <x:c r="F61" s="1" t="s">
        <x:v>523</x:v>
      </x:c>
      <x:c r="G61" s="1" t="s">
        <x:v>444</x:v>
      </x:c>
      <x:c r="H61" s="1" t="s">
        <x:v>421</x:v>
      </x:c>
      <x:c r="I61" s="8" t="s">
        <x:v>435</x:v>
      </x:c>
      <x:c r="J61" s="1"/>
      <x:c r="K61" s="1" t="s">
        <x:v>458</x:v>
      </x:c>
    </x:row>
    <x:row r="62" ht="82.05000305175781" customHeight="1">
      <x:c r="A62" s="1" t="s">
        <x:v>191</x:v>
      </x:c>
      <x:c r="B62" s="1" t="s">
        <x:v>513</x:v>
      </x:c>
      <x:c r="C62" s="1" t="s">
        <x:v>524</x:v>
      </x:c>
      <x:c r="D62" s="1" t="s">
        <x:v>418</x:v>
      </x:c>
      <x:c r="E62" s="1">
        <x:v>1</x:v>
      </x:c>
      <x:c r="F62" s="1" t="s">
        <x:v>523</x:v>
      </x:c>
      <x:c r="G62" s="1" t="s">
        <x:v>525</x:v>
      </x:c>
      <x:c r="H62" s="1" t="s">
        <x:v>421</x:v>
      </x:c>
      <x:c r="I62" s="6" t="s">
        <x:v>526</x:v>
      </x:c>
      <x:c r="J62" s="1"/>
      <x:c r="K62" s="1" t="s">
        <x:v>458</x:v>
      </x:c>
    </x:row>
    <x:row r="63" ht="82.05000305175781" customHeight="1">
      <x:c r="A63" s="1" t="s">
        <x:v>194</x:v>
      </x:c>
      <x:c r="B63" s="1" t="s">
        <x:v>513</x:v>
      </x:c>
      <x:c r="C63" s="1" t="s">
        <x:v>527</x:v>
      </x:c>
      <x:c r="D63" s="1" t="s">
        <x:v>418</x:v>
      </x:c>
      <x:c r="E63" s="1">
        <x:v>1</x:v>
      </x:c>
      <x:c r="F63" s="1" t="s">
        <x:v>440</x:v>
      </x:c>
      <x:c r="G63" s="1" t="s">
        <x:v>528</x:v>
      </x:c>
      <x:c r="H63" s="1" t="s">
        <x:v>421</x:v>
      </x:c>
      <x:c r="I63" s="8" t="s">
        <x:v>435</x:v>
      </x:c>
      <x:c r="J63" s="1"/>
      <x:c r="K63" s="1" t="s">
        <x:v>529</x:v>
      </x:c>
    </x:row>
    <x:row r="64" ht="82.05000305175781" customHeight="1">
      <x:c r="A64" s="1" t="s">
        <x:v>199</x:v>
      </x:c>
      <x:c r="B64" s="1" t="s">
        <x:v>513</x:v>
      </x:c>
      <x:c r="C64" s="1" t="s">
        <x:v>511</x:v>
      </x:c>
      <x:c r="D64" s="1" t="s">
        <x:v>418</x:v>
      </x:c>
      <x:c r="E64" s="1">
        <x:v>1</x:v>
      </x:c>
      <x:c r="F64" s="1" t="s">
        <x:v>419</x:v>
      </x:c>
      <x:c r="G64" s="1" t="s">
        <x:v>530</x:v>
      </x:c>
      <x:c r="H64" s="1" t="s">
        <x:v>421</x:v>
      </x:c>
      <x:c r="I64" s="8" t="s">
        <x:v>435</x:v>
      </x:c>
      <x:c r="J64" s="1"/>
      <x:c r="K64" s="1" t="s">
        <x:v>424</x:v>
      </x:c>
    </x:row>
    <x:row r="65" ht="82.05000305175781" customHeight="1">
      <x:c r="A65" s="1" t="s">
        <x:v>203</x:v>
      </x:c>
      <x:c r="B65" s="1" t="s">
        <x:v>531</x:v>
      </x:c>
      <x:c r="C65" s="1" t="s">
        <x:v>532</x:v>
      </x:c>
      <x:c r="D65" s="1" t="s">
        <x:v>505</x:v>
      </x:c>
      <x:c r="E65" s="1">
        <x:v>1</x:v>
      </x:c>
      <x:c r="F65" s="1" t="s">
        <x:v>440</x:v>
      </x:c>
      <x:c r="G65" s="1" t="s">
        <x:v>533</x:v>
      </x:c>
      <x:c r="H65" s="1" t="s">
        <x:v>516</x:v>
      </x:c>
      <x:c r="I65" s="6" t="s">
        <x:v>534</x:v>
      </x:c>
      <x:c r="J65" s="1" t="s">
        <x:v>535</x:v>
      </x:c>
      <x:c r="K65" s="1" t="s">
        <x:v>508</x:v>
      </x:c>
    </x:row>
    <x:row r="66" ht="82.05000305175781" customHeight="1">
      <x:c r="A66" s="1" t="s">
        <x:v>207</x:v>
      </x:c>
      <x:c r="B66" s="1" t="s">
        <x:v>531</x:v>
      </x:c>
      <x:c r="C66" s="1" t="s">
        <x:v>536</x:v>
      </x:c>
      <x:c r="D66" s="1" t="s">
        <x:v>505</x:v>
      </x:c>
      <x:c r="E66" s="1">
        <x:v>1</x:v>
      </x:c>
      <x:c r="F66" s="1" t="s">
        <x:v>440</x:v>
      </x:c>
      <x:c r="G66" s="1" t="s">
        <x:v>533</x:v>
      </x:c>
      <x:c r="H66" s="1" t="s">
        <x:v>516</x:v>
      </x:c>
      <x:c r="I66" s="6" t="s">
        <x:v>534</x:v>
      </x:c>
      <x:c r="J66" s="1" t="s">
        <x:v>535</x:v>
      </x:c>
      <x:c r="K66" s="1" t="s">
        <x:v>508</x:v>
      </x:c>
    </x:row>
    <x:row r="67" ht="82.05000305175781" customHeight="1">
      <x:c r="A67" s="1" t="s">
        <x:v>209</x:v>
      </x:c>
      <x:c r="B67" s="1" t="s">
        <x:v>531</x:v>
      </x:c>
      <x:c r="C67" s="1" t="s">
        <x:v>537</x:v>
      </x:c>
      <x:c r="D67" s="1" t="s">
        <x:v>538</x:v>
      </x:c>
      <x:c r="E67" s="1">
        <x:v>2</x:v>
      </x:c>
      <x:c r="F67" s="1" t="s">
        <x:v>539</x:v>
      </x:c>
      <x:c r="G67" s="1" t="s">
        <x:v>420</x:v>
      </x:c>
      <x:c r="H67" s="1" t="s">
        <x:v>421</x:v>
      </x:c>
      <x:c r="I67" s="6" t="s">
        <x:v>540</x:v>
      </x:c>
      <x:c r="J67" s="1" t="s">
        <x:v>541</x:v>
      </x:c>
      <x:c r="K67" s="1" t="s">
        <x:v>431</x:v>
      </x:c>
    </x:row>
    <x:row r="68" ht="82.05000305175781" customHeight="1">
      <x:c r="A68" s="1" t="s">
        <x:v>213</x:v>
      </x:c>
      <x:c r="B68" s="1" t="s">
        <x:v>531</x:v>
      </x:c>
      <x:c r="C68" s="1" t="s">
        <x:v>522</x:v>
      </x:c>
      <x:c r="D68" s="1" t="s">
        <x:v>418</x:v>
      </x:c>
      <x:c r="E68" s="1">
        <x:v>1</x:v>
      </x:c>
      <x:c r="F68" s="1" t="s">
        <x:v>440</x:v>
      </x:c>
      <x:c r="G68" s="1" t="s">
        <x:v>420</x:v>
      </x:c>
      <x:c r="H68" s="1" t="s">
        <x:v>421</x:v>
      </x:c>
      <x:c r="I68" s="6" t="s">
        <x:v>422</x:v>
      </x:c>
      <x:c r="J68" s="1"/>
      <x:c r="K68" s="1" t="s">
        <x:v>442</x:v>
      </x:c>
    </x:row>
    <x:row r="69" ht="82.05000305175781" customHeight="1">
      <x:c r="A69" s="1" t="s">
        <x:v>215</x:v>
      </x:c>
      <x:c r="B69" s="1" t="s">
        <x:v>531</x:v>
      </x:c>
      <x:c r="C69" s="1" t="s">
        <x:v>542</x:v>
      </x:c>
      <x:c r="D69" s="1" t="s">
        <x:v>418</x:v>
      </x:c>
      <x:c r="E69" s="1">
        <x:v>1</x:v>
      </x:c>
      <x:c r="F69" s="1" t="s">
        <x:v>543</x:v>
      </x:c>
      <x:c r="G69" s="1" t="s">
        <x:v>420</x:v>
      </x:c>
      <x:c r="H69" s="1" t="s">
        <x:v>421</x:v>
      </x:c>
      <x:c r="I69" s="6" t="s">
        <x:v>422</x:v>
      </x:c>
      <x:c r="J69" s="1"/>
      <x:c r="K69" s="1" t="s">
        <x:v>431</x:v>
      </x:c>
    </x:row>
    <x:row r="70" ht="82.05000305175781" customHeight="1">
      <x:c r="A70" s="1" t="s">
        <x:v>219</x:v>
      </x:c>
      <x:c r="B70" s="1" t="s">
        <x:v>531</x:v>
      </x:c>
      <x:c r="C70" s="1" t="s">
        <x:v>544</x:v>
      </x:c>
      <x:c r="D70" s="1" t="s">
        <x:v>418</x:v>
      </x:c>
      <x:c r="E70" s="1">
        <x:v>1</x:v>
      </x:c>
      <x:c r="F70" s="1" t="s">
        <x:v>440</x:v>
      </x:c>
      <x:c r="G70" s="1" t="s">
        <x:v>420</x:v>
      </x:c>
      <x:c r="H70" s="1" t="s">
        <x:v>421</x:v>
      </x:c>
      <x:c r="I70" s="6" t="s">
        <x:v>422</x:v>
      </x:c>
      <x:c r="J70" s="1"/>
      <x:c r="K70" s="1" t="s">
        <x:v>442</x:v>
      </x:c>
    </x:row>
    <x:row r="71" ht="82.05000305175781" customHeight="1">
      <x:c r="A71" s="1" t="s">
        <x:v>221</x:v>
      </x:c>
      <x:c r="B71" s="1" t="s">
        <x:v>531</x:v>
      </x:c>
      <x:c r="C71" s="1" t="s">
        <x:v>511</x:v>
      </x:c>
      <x:c r="D71" s="1" t="s">
        <x:v>418</x:v>
      </x:c>
      <x:c r="E71" s="1">
        <x:v>1</x:v>
      </x:c>
      <x:c r="F71" s="1" t="s">
        <x:v>440</x:v>
      </x:c>
      <x:c r="G71" s="1" t="s">
        <x:v>420</x:v>
      </x:c>
      <x:c r="H71" s="1" t="s">
        <x:v>421</x:v>
      </x:c>
      <x:c r="I71" s="6" t="s">
        <x:v>422</x:v>
      </x:c>
      <x:c r="J71" s="1"/>
      <x:c r="K71" s="1" t="s">
        <x:v>442</x:v>
      </x:c>
    </x:row>
    <x:row r="72" ht="82.05000305175781" customHeight="1">
      <x:c r="A72" s="1" t="s">
        <x:v>223</x:v>
      </x:c>
      <x:c r="B72" s="1" t="s">
        <x:v>531</x:v>
      </x:c>
      <x:c r="C72" s="1" t="s">
        <x:v>545</x:v>
      </x:c>
      <x:c r="D72" s="1" t="s">
        <x:v>225</x:v>
      </x:c>
      <x:c r="E72" s="1">
        <x:v>1</x:v>
      </x:c>
      <x:c r="F72" s="1"/>
      <x:c r="G72" s="1"/>
      <x:c r="H72" s="1" t="s">
        <x:v>428</x:v>
      </x:c>
      <x:c r="I72" s="8" t="s">
        <x:v>435</x:v>
      </x:c>
      <x:c r="J72" s="1"/>
      <x:c r="K72" s="1" t="s">
        <x:v>503</x:v>
      </x:c>
    </x:row>
    <x:row r="73" ht="82.05000305175781" customHeight="1">
      <x:c r="A73" s="1" t="s">
        <x:v>226</x:v>
      </x:c>
      <x:c r="B73" s="1" t="s">
        <x:v>531</x:v>
      </x:c>
      <x:c r="C73" s="1" t="s">
        <x:v>546</x:v>
      </x:c>
      <x:c r="D73" s="1" t="s">
        <x:v>228</x:v>
      </x:c>
      <x:c r="E73" s="1" t="s">
        <x:v>451</x:v>
      </x:c>
      <x:c r="F73" s="1"/>
      <x:c r="G73" s="1"/>
      <x:c r="H73" s="1" t="s">
        <x:v>428</x:v>
      </x:c>
      <x:c r="I73" s="8" t="s">
        <x:v>435</x:v>
      </x:c>
      <x:c r="J73" s="1"/>
      <x:c r="K73" s="1" t="s">
        <x:v>503</x:v>
      </x:c>
    </x:row>
    <x:row r="74" ht="82.05000305175781" customHeight="1">
      <x:c r="A74" s="1" t="s">
        <x:v>229</x:v>
      </x:c>
      <x:c r="B74" s="1" t="s">
        <x:v>547</x:v>
      </x:c>
      <x:c r="C74" s="1" t="s">
        <x:v>548</x:v>
      </x:c>
      <x:c r="D74" s="1" t="s">
        <x:v>418</x:v>
      </x:c>
      <x:c r="E74" s="1">
        <x:v>1</x:v>
      </x:c>
      <x:c r="F74" s="1" t="s">
        <x:v>440</x:v>
      </x:c>
      <x:c r="G74" s="1" t="s">
        <x:v>530</x:v>
      </x:c>
      <x:c r="H74" s="1" t="s">
        <x:v>421</x:v>
      </x:c>
      <x:c r="I74" s="8" t="s">
        <x:v>435</x:v>
      </x:c>
      <x:c r="J74" s="1"/>
      <x:c r="K74" s="1" t="s">
        <x:v>442</x:v>
      </x:c>
    </x:row>
    <x:row r="75" ht="82.05000305175781" customHeight="1">
      <x:c r="A75" s="1" t="s">
        <x:v>232</x:v>
      </x:c>
      <x:c r="B75" s="1" t="s">
        <x:v>547</x:v>
      </x:c>
      <x:c r="C75" s="1" t="s">
        <x:v>549</x:v>
      </x:c>
      <x:c r="D75" s="1" t="s">
        <x:v>418</x:v>
      </x:c>
      <x:c r="E75" s="1">
        <x:v>1</x:v>
      </x:c>
      <x:c r="F75" s="1" t="s">
        <x:v>440</x:v>
      </x:c>
      <x:c r="G75" s="1" t="s">
        <x:v>530</x:v>
      </x:c>
      <x:c r="H75" s="1" t="s">
        <x:v>421</x:v>
      </x:c>
      <x:c r="I75" s="8" t="s">
        <x:v>435</x:v>
      </x:c>
      <x:c r="J75" s="1"/>
      <x:c r="K75" s="1" t="s">
        <x:v>442</x:v>
      </x:c>
    </x:row>
    <x:row r="76" ht="82.05000305175781" customHeight="1">
      <x:c r="A76" s="1" t="s">
        <x:v>234</x:v>
      </x:c>
      <x:c r="B76" s="1" t="s">
        <x:v>547</x:v>
      </x:c>
      <x:c r="C76" s="1" t="s">
        <x:v>550</x:v>
      </x:c>
      <x:c r="D76" s="1" t="s">
        <x:v>418</x:v>
      </x:c>
      <x:c r="E76" s="1">
        <x:v>1</x:v>
      </x:c>
      <x:c r="F76" s="1" t="s">
        <x:v>440</x:v>
      </x:c>
      <x:c r="G76" s="1" t="s">
        <x:v>444</x:v>
      </x:c>
      <x:c r="H76" s="1" t="s">
        <x:v>421</x:v>
      </x:c>
      <x:c r="I76" s="8" t="s">
        <x:v>435</x:v>
      </x:c>
      <x:c r="J76" s="1"/>
      <x:c r="K76" s="1" t="s">
        <x:v>442</x:v>
      </x:c>
    </x:row>
    <x:row r="77" ht="82.05000305175781" customHeight="1">
      <x:c r="A77" s="1" t="s">
        <x:v>237</x:v>
      </x:c>
      <x:c r="B77" s="1" t="s">
        <x:v>547</x:v>
      </x:c>
      <x:c r="C77" s="1" t="s">
        <x:v>551</x:v>
      </x:c>
      <x:c r="D77" s="1" t="s">
        <x:v>418</x:v>
      </x:c>
      <x:c r="E77" s="1">
        <x:v>1</x:v>
      </x:c>
      <x:c r="F77" s="1" t="s">
        <x:v>440</x:v>
      </x:c>
      <x:c r="G77" s="1" t="s">
        <x:v>488</x:v>
      </x:c>
      <x:c r="H77" s="1" t="s">
        <x:v>421</x:v>
      </x:c>
      <x:c r="I77" s="8" t="s">
        <x:v>435</x:v>
      </x:c>
      <x:c r="J77" s="1"/>
      <x:c r="K77" s="1" t="s">
        <x:v>442</x:v>
      </x:c>
    </x:row>
    <x:row r="78" ht="82.05000305175781" customHeight="1">
      <x:c r="A78" s="1" t="s">
        <x:v>240</x:v>
      </x:c>
      <x:c r="B78" s="1" t="s">
        <x:v>547</x:v>
      </x:c>
      <x:c r="C78" s="1" t="s">
        <x:v>552</x:v>
      </x:c>
      <x:c r="D78" s="1" t="s">
        <x:v>418</x:v>
      </x:c>
      <x:c r="E78" s="1">
        <x:v>1</x:v>
      </x:c>
      <x:c r="F78" s="1" t="s">
        <x:v>523</x:v>
      </x:c>
      <x:c r="G78" s="1" t="s">
        <x:v>441</x:v>
      </x:c>
      <x:c r="H78" s="1" t="s">
        <x:v>421</x:v>
      </x:c>
      <x:c r="I78" s="8" t="s">
        <x:v>435</x:v>
      </x:c>
      <x:c r="J78" s="1" t="s">
        <x:v>553</x:v>
      </x:c>
      <x:c r="K78" s="1" t="s">
        <x:v>458</x:v>
      </x:c>
    </x:row>
    <x:row r="79" ht="82.05000305175781" customHeight="1">
      <x:c r="A79" s="1" t="s">
        <x:v>244</x:v>
      </x:c>
      <x:c r="B79" s="1" t="s">
        <x:v>547</x:v>
      </x:c>
      <x:c r="C79" s="1" t="s">
        <x:v>554</x:v>
      </x:c>
      <x:c r="D79" s="1" t="s">
        <x:v>418</x:v>
      </x:c>
      <x:c r="E79" s="1">
        <x:v>1</x:v>
      </x:c>
      <x:c r="F79" s="1" t="s">
        <x:v>523</x:v>
      </x:c>
      <x:c r="G79" s="1" t="s">
        <x:v>441</x:v>
      </x:c>
      <x:c r="H79" s="1" t="s">
        <x:v>421</x:v>
      </x:c>
      <x:c r="I79" s="8" t="s">
        <x:v>435</x:v>
      </x:c>
      <x:c r="J79" s="1" t="s">
        <x:v>553</x:v>
      </x:c>
      <x:c r="K79" s="1" t="s">
        <x:v>458</x:v>
      </x:c>
    </x:row>
    <x:row r="80" ht="82.05000305175781" customHeight="1">
      <x:c r="A80" s="1" t="s">
        <x:v>246</x:v>
      </x:c>
      <x:c r="B80" s="1" t="s">
        <x:v>547</x:v>
      </x:c>
      <x:c r="C80" s="1" t="s">
        <x:v>555</x:v>
      </x:c>
      <x:c r="D80" s="1" t="s">
        <x:v>418</x:v>
      </x:c>
      <x:c r="E80" s="1">
        <x:v>1</x:v>
      </x:c>
      <x:c r="F80" s="1" t="s">
        <x:v>523</x:v>
      </x:c>
      <x:c r="G80" s="1" t="s">
        <x:v>441</x:v>
      </x:c>
      <x:c r="H80" s="1" t="s">
        <x:v>421</x:v>
      </x:c>
      <x:c r="I80" s="8" t="s">
        <x:v>435</x:v>
      </x:c>
      <x:c r="J80" s="1" t="s">
        <x:v>553</x:v>
      </x:c>
      <x:c r="K80" s="1" t="s">
        <x:v>458</x:v>
      </x:c>
    </x:row>
    <x:row r="81" ht="82.05000305175781" customHeight="1">
      <x:c r="A81" s="1" t="s">
        <x:v>248</x:v>
      </x:c>
      <x:c r="B81" s="1" t="s">
        <x:v>547</x:v>
      </x:c>
      <x:c r="C81" s="1" t="s">
        <x:v>556</x:v>
      </x:c>
      <x:c r="D81" s="1" t="s">
        <x:v>418</x:v>
      </x:c>
      <x:c r="E81" s="1">
        <x:v>1</x:v>
      </x:c>
      <x:c r="F81" s="1" t="s">
        <x:v>523</x:v>
      </x:c>
      <x:c r="G81" s="1" t="s">
        <x:v>448</x:v>
      </x:c>
      <x:c r="H81" s="1" t="s">
        <x:v>421</x:v>
      </x:c>
      <x:c r="I81" s="8" t="s">
        <x:v>435</x:v>
      </x:c>
      <x:c r="J81" s="1" t="s">
        <x:v>553</x:v>
      </x:c>
      <x:c r="K81" s="1" t="s">
        <x:v>458</x:v>
      </x:c>
    </x:row>
    <x:row r="82" ht="82.05000305175781" customHeight="1">
      <x:c r="A82" s="1" t="s">
        <x:v>251</x:v>
      </x:c>
      <x:c r="B82" s="1" t="s">
        <x:v>547</x:v>
      </x:c>
      <x:c r="C82" s="1" t="s">
        <x:v>557</x:v>
      </x:c>
      <x:c r="D82" s="1" t="s">
        <x:v>418</x:v>
      </x:c>
      <x:c r="E82" s="1">
        <x:v>1</x:v>
      </x:c>
      <x:c r="F82" s="1" t="s">
        <x:v>523</x:v>
      </x:c>
      <x:c r="G82" s="1" t="s">
        <x:v>488</x:v>
      </x:c>
      <x:c r="H82" s="1" t="s">
        <x:v>421</x:v>
      </x:c>
      <x:c r="I82" s="8" t="s">
        <x:v>435</x:v>
      </x:c>
      <x:c r="J82" s="1" t="s">
        <x:v>553</x:v>
      </x:c>
      <x:c r="K82" s="1" t="s">
        <x:v>458</x:v>
      </x:c>
    </x:row>
    <x:row r="83" ht="82.05000305175781" customHeight="1">
      <x:c r="A83" s="1" t="s">
        <x:v>254</x:v>
      </x:c>
      <x:c r="B83" s="1" t="s">
        <x:v>547</x:v>
      </x:c>
      <x:c r="C83" s="1" t="s">
        <x:v>558</x:v>
      </x:c>
      <x:c r="D83" s="1" t="s">
        <x:v>418</x:v>
      </x:c>
      <x:c r="E83" s="1">
        <x:v>1</x:v>
      </x:c>
      <x:c r="F83" s="1" t="s">
        <x:v>523</x:v>
      </x:c>
      <x:c r="G83" s="1" t="s">
        <x:v>488</x:v>
      </x:c>
      <x:c r="H83" s="1" t="s">
        <x:v>421</x:v>
      </x:c>
      <x:c r="I83" s="8" t="s">
        <x:v>435</x:v>
      </x:c>
      <x:c r="J83" s="1" t="s">
        <x:v>553</x:v>
      </x:c>
      <x:c r="K83" s="1" t="s">
        <x:v>458</x:v>
      </x:c>
    </x:row>
    <x:row r="84" ht="82.05000305175781" customHeight="1">
      <x:c r="A84" s="1" t="s">
        <x:v>256</x:v>
      </x:c>
      <x:c r="B84" s="1" t="s">
        <x:v>547</x:v>
      </x:c>
      <x:c r="C84" s="1" t="s">
        <x:v>559</x:v>
      </x:c>
      <x:c r="D84" s="1" t="s">
        <x:v>418</x:v>
      </x:c>
      <x:c r="E84" s="1">
        <x:v>1</x:v>
      </x:c>
      <x:c r="F84" s="1" t="s">
        <x:v>523</x:v>
      </x:c>
      <x:c r="G84" s="1" t="s">
        <x:v>488</x:v>
      </x:c>
      <x:c r="H84" s="1" t="s">
        <x:v>421</x:v>
      </x:c>
      <x:c r="I84" s="8" t="s">
        <x:v>435</x:v>
      </x:c>
      <x:c r="J84" s="1" t="s">
        <x:v>553</x:v>
      </x:c>
      <x:c r="K84" s="1" t="s">
        <x:v>458</x:v>
      </x:c>
    </x:row>
    <x:row r="85" ht="82.05000305175781" customHeight="1">
      <x:c r="A85" s="1" t="s">
        <x:v>258</x:v>
      </x:c>
      <x:c r="B85" s="1" t="s">
        <x:v>547</x:v>
      </x:c>
      <x:c r="C85" s="1" t="s">
        <x:v>560</x:v>
      </x:c>
      <x:c r="D85" s="1" t="s">
        <x:v>418</x:v>
      </x:c>
      <x:c r="E85" s="1">
        <x:v>1</x:v>
      </x:c>
      <x:c r="F85" s="1" t="s">
        <x:v>523</x:v>
      </x:c>
      <x:c r="G85" s="1" t="s">
        <x:v>488</x:v>
      </x:c>
      <x:c r="H85" s="1" t="s">
        <x:v>421</x:v>
      </x:c>
      <x:c r="I85" s="8" t="s">
        <x:v>435</x:v>
      </x:c>
      <x:c r="J85" s="1" t="s">
        <x:v>553</x:v>
      </x:c>
      <x:c r="K85" s="1" t="s">
        <x:v>458</x:v>
      </x:c>
    </x:row>
    <x:row r="86" ht="82.05000305175781" customHeight="1">
      <x:c r="A86" s="1" t="s">
        <x:v>260</x:v>
      </x:c>
      <x:c r="B86" s="1" t="s">
        <x:v>547</x:v>
      </x:c>
      <x:c r="C86" s="1" t="s">
        <x:v>561</x:v>
      </x:c>
      <x:c r="D86" s="1" t="s">
        <x:v>418</x:v>
      </x:c>
      <x:c r="E86" s="1">
        <x:v>1</x:v>
      </x:c>
      <x:c r="F86" s="1" t="s">
        <x:v>523</x:v>
      </x:c>
      <x:c r="G86" s="1" t="s">
        <x:v>488</x:v>
      </x:c>
      <x:c r="H86" s="1" t="s">
        <x:v>421</x:v>
      </x:c>
      <x:c r="I86" s="8" t="s">
        <x:v>435</x:v>
      </x:c>
      <x:c r="J86" s="1" t="s">
        <x:v>553</x:v>
      </x:c>
      <x:c r="K86" s="1" t="s">
        <x:v>458</x:v>
      </x:c>
    </x:row>
    <x:row r="87" ht="82.05000305175781" customHeight="1">
      <x:c r="A87" s="1" t="s">
        <x:v>262</x:v>
      </x:c>
      <x:c r="B87" s="1" t="s">
        <x:v>547</x:v>
      </x:c>
      <x:c r="C87" s="1" t="s">
        <x:v>562</x:v>
      </x:c>
      <x:c r="D87" s="1" t="s">
        <x:v>418</x:v>
      </x:c>
      <x:c r="E87" s="1">
        <x:v>1</x:v>
      </x:c>
      <x:c r="F87" s="1" t="s">
        <x:v>523</x:v>
      </x:c>
      <x:c r="G87" s="1" t="s">
        <x:v>488</x:v>
      </x:c>
      <x:c r="H87" s="1" t="s">
        <x:v>421</x:v>
      </x:c>
      <x:c r="I87" s="8" t="s">
        <x:v>435</x:v>
      </x:c>
      <x:c r="J87" s="1" t="s">
        <x:v>553</x:v>
      </x:c>
      <x:c r="K87" s="1" t="s">
        <x:v>458</x:v>
      </x:c>
    </x:row>
    <x:row r="88" ht="82.05000305175781" customHeight="1">
      <x:c r="A88" s="1" t="s">
        <x:v>264</x:v>
      </x:c>
      <x:c r="B88" s="1" t="s">
        <x:v>547</x:v>
      </x:c>
      <x:c r="C88" s="1" t="s">
        <x:v>563</x:v>
      </x:c>
      <x:c r="D88" s="1" t="s">
        <x:v>418</x:v>
      </x:c>
      <x:c r="E88" s="1">
        <x:v>1</x:v>
      </x:c>
      <x:c r="F88" s="1" t="s">
        <x:v>523</x:v>
      </x:c>
      <x:c r="G88" s="1" t="s">
        <x:v>488</x:v>
      </x:c>
      <x:c r="H88" s="1" t="s">
        <x:v>421</x:v>
      </x:c>
      <x:c r="I88" s="8" t="s">
        <x:v>435</x:v>
      </x:c>
      <x:c r="J88" s="1" t="s">
        <x:v>553</x:v>
      </x:c>
      <x:c r="K88" s="1" t="s">
        <x:v>458</x:v>
      </x:c>
    </x:row>
    <x:row r="89" ht="82.05000305175781" customHeight="1">
      <x:c r="A89" s="1" t="s">
        <x:v>266</x:v>
      </x:c>
      <x:c r="B89" s="1" t="s">
        <x:v>547</x:v>
      </x:c>
      <x:c r="C89" s="1" t="s">
        <x:v>564</x:v>
      </x:c>
      <x:c r="D89" s="1" t="s">
        <x:v>418</x:v>
      </x:c>
      <x:c r="E89" s="1">
        <x:v>1</x:v>
      </x:c>
      <x:c r="F89" s="1" t="s">
        <x:v>523</x:v>
      </x:c>
      <x:c r="G89" s="1" t="s">
        <x:v>488</x:v>
      </x:c>
      <x:c r="H89" s="1" t="s">
        <x:v>421</x:v>
      </x:c>
      <x:c r="I89" s="8" t="s">
        <x:v>435</x:v>
      </x:c>
      <x:c r="J89" s="1" t="s">
        <x:v>553</x:v>
      </x:c>
      <x:c r="K89" s="1" t="s">
        <x:v>458</x:v>
      </x:c>
    </x:row>
    <x:row r="90" ht="82.05000305175781" customHeight="1">
      <x:c r="A90" s="1" t="s">
        <x:v>268</x:v>
      </x:c>
      <x:c r="B90" s="1" t="s">
        <x:v>547</x:v>
      </x:c>
      <x:c r="C90" s="1" t="s">
        <x:v>565</x:v>
      </x:c>
      <x:c r="D90" s="1" t="s">
        <x:v>418</x:v>
      </x:c>
      <x:c r="E90" s="1">
        <x:v>1</x:v>
      </x:c>
      <x:c r="F90" s="1" t="s">
        <x:v>523</x:v>
      </x:c>
      <x:c r="G90" s="1" t="s">
        <x:v>488</x:v>
      </x:c>
      <x:c r="H90" s="1" t="s">
        <x:v>421</x:v>
      </x:c>
      <x:c r="I90" s="8" t="s">
        <x:v>435</x:v>
      </x:c>
      <x:c r="J90" s="1" t="s">
        <x:v>553</x:v>
      </x:c>
      <x:c r="K90" s="1" t="s">
        <x:v>458</x:v>
      </x:c>
    </x:row>
    <x:row r="91" ht="82.05000305175781" customHeight="1">
      <x:c r="A91" s="1" t="s">
        <x:v>270</x:v>
      </x:c>
      <x:c r="B91" s="1" t="s">
        <x:v>547</x:v>
      </x:c>
      <x:c r="C91" s="1" t="s">
        <x:v>566</x:v>
      </x:c>
      <x:c r="D91" s="1" t="s">
        <x:v>567</x:v>
      </x:c>
      <x:c r="E91" s="1">
        <x:v>1</x:v>
      </x:c>
      <x:c r="F91" s="1" t="s">
        <x:v>568</x:v>
      </x:c>
      <x:c r="G91" s="1"/>
      <x:c r="H91" s="1" t="s">
        <x:v>569</x:v>
      </x:c>
      <x:c r="I91" s="6" t="s">
        <x:v>570</x:v>
      </x:c>
      <x:c r="J91" s="1"/>
      <x:c r="K91" s="1" t="s">
        <x:v>508</x:v>
      </x:c>
    </x:row>
    <x:row r="92" ht="82.05000305175781" customHeight="1">
      <x:c r="A92" s="1" t="s">
        <x:v>273</x:v>
      </x:c>
      <x:c r="B92" s="1" t="s">
        <x:v>547</x:v>
      </x:c>
      <x:c r="C92" s="1" t="s">
        <x:v>571</x:v>
      </x:c>
      <x:c r="D92" s="1" t="s">
        <x:v>567</x:v>
      </x:c>
      <x:c r="E92" s="1">
        <x:v>1</x:v>
      </x:c>
      <x:c r="F92" s="1" t="s">
        <x:v>568</x:v>
      </x:c>
      <x:c r="G92" s="1"/>
      <x:c r="H92" s="1" t="s">
        <x:v>569</x:v>
      </x:c>
      <x:c r="I92" s="6" t="s">
        <x:v>570</x:v>
      </x:c>
      <x:c r="J92" s="1"/>
      <x:c r="K92" s="1" t="s">
        <x:v>508</x:v>
      </x:c>
    </x:row>
    <x:row r="93" ht="82.05000305175781" customHeight="1">
      <x:c r="A93" s="1" t="s">
        <x:v>275</x:v>
      </x:c>
      <x:c r="B93" s="1" t="s">
        <x:v>547</x:v>
      </x:c>
      <x:c r="C93" s="1" t="s">
        <x:v>572</x:v>
      </x:c>
      <x:c r="D93" s="1" t="s">
        <x:v>567</x:v>
      </x:c>
      <x:c r="E93" s="1">
        <x:v>1</x:v>
      </x:c>
      <x:c r="F93" s="1" t="s">
        <x:v>568</x:v>
      </x:c>
      <x:c r="G93" s="1"/>
      <x:c r="H93" s="1" t="s">
        <x:v>569</x:v>
      </x:c>
      <x:c r="I93" s="6" t="s">
        <x:v>570</x:v>
      </x:c>
      <x:c r="J93" s="1"/>
      <x:c r="K93" s="1" t="s">
        <x:v>508</x:v>
      </x:c>
    </x:row>
    <x:row r="94" ht="82.05000305175781" customHeight="1">
      <x:c r="A94" s="1" t="s">
        <x:v>277</x:v>
      </x:c>
      <x:c r="B94" s="1" t="s">
        <x:v>547</x:v>
      </x:c>
      <x:c r="C94" s="1" t="s">
        <x:v>573</x:v>
      </x:c>
      <x:c r="D94" s="1" t="s">
        <x:v>567</x:v>
      </x:c>
      <x:c r="E94" s="1">
        <x:v>1</x:v>
      </x:c>
      <x:c r="F94" s="1" t="s">
        <x:v>568</x:v>
      </x:c>
      <x:c r="G94" s="1"/>
      <x:c r="H94" s="1" t="s">
        <x:v>569</x:v>
      </x:c>
      <x:c r="I94" s="6" t="s">
        <x:v>570</x:v>
      </x:c>
      <x:c r="J94" s="1"/>
      <x:c r="K94" s="1" t="s">
        <x:v>508</x:v>
      </x:c>
    </x:row>
    <x:row r="95" ht="82.05000305175781" customHeight="1">
      <x:c r="A95" s="1" t="s">
        <x:v>279</x:v>
      </x:c>
      <x:c r="B95" s="1" t="s">
        <x:v>547</x:v>
      </x:c>
      <x:c r="C95" s="1" t="s">
        <x:v>574</x:v>
      </x:c>
      <x:c r="D95" s="1" t="s">
        <x:v>567</x:v>
      </x:c>
      <x:c r="E95" s="1">
        <x:v>1</x:v>
      </x:c>
      <x:c r="F95" s="1" t="s">
        <x:v>568</x:v>
      </x:c>
      <x:c r="G95" s="1"/>
      <x:c r="H95" s="1" t="s">
        <x:v>569</x:v>
      </x:c>
      <x:c r="I95" s="6" t="s">
        <x:v>570</x:v>
      </x:c>
      <x:c r="J95" s="1"/>
      <x:c r="K95" s="1" t="s">
        <x:v>508</x:v>
      </x:c>
    </x:row>
    <x:row r="96" ht="82.05000305175781" customHeight="1">
      <x:c r="A96" s="1" t="s">
        <x:v>281</x:v>
      </x:c>
      <x:c r="B96" s="1" t="s">
        <x:v>547</x:v>
      </x:c>
      <x:c r="C96" s="1" t="s">
        <x:v>575</x:v>
      </x:c>
      <x:c r="D96" s="1" t="s">
        <x:v>567</x:v>
      </x:c>
      <x:c r="E96" s="1">
        <x:v>1</x:v>
      </x:c>
      <x:c r="F96" s="1" t="s">
        <x:v>568</x:v>
      </x:c>
      <x:c r="G96" s="1"/>
      <x:c r="H96" s="1" t="s">
        <x:v>569</x:v>
      </x:c>
      <x:c r="I96" s="6" t="s">
        <x:v>570</x:v>
      </x:c>
      <x:c r="J96" s="1"/>
      <x:c r="K96" s="1" t="s">
        <x:v>508</x:v>
      </x:c>
    </x:row>
    <x:row r="97" ht="82.05000305175781" customHeight="1">
      <x:c r="A97" s="1" t="s">
        <x:v>283</x:v>
      </x:c>
      <x:c r="B97" s="1" t="s">
        <x:v>547</x:v>
      </x:c>
      <x:c r="C97" s="1" t="s">
        <x:v>576</x:v>
      </x:c>
      <x:c r="D97" s="1" t="s">
        <x:v>567</x:v>
      </x:c>
      <x:c r="E97" s="1">
        <x:v>1</x:v>
      </x:c>
      <x:c r="F97" s="1" t="s">
        <x:v>568</x:v>
      </x:c>
      <x:c r="G97" s="1"/>
      <x:c r="H97" s="1" t="s">
        <x:v>569</x:v>
      </x:c>
      <x:c r="I97" s="6" t="s">
        <x:v>570</x:v>
      </x:c>
      <x:c r="J97" s="1"/>
      <x:c r="K97" s="1" t="s">
        <x:v>508</x:v>
      </x:c>
    </x:row>
    <x:row r="98" ht="82.05000305175781" customHeight="1">
      <x:c r="A98" s="1" t="s">
        <x:v>285</x:v>
      </x:c>
      <x:c r="B98" s="1" t="s">
        <x:v>547</x:v>
      </x:c>
      <x:c r="C98" s="1" t="s">
        <x:v>577</x:v>
      </x:c>
      <x:c r="D98" s="1" t="s">
        <x:v>287</x:v>
      </x:c>
      <x:c r="E98" s="1">
        <x:v>1</x:v>
      </x:c>
      <x:c r="F98" s="1"/>
      <x:c r="G98" s="1"/>
      <x:c r="H98" s="1" t="s">
        <x:v>428</x:v>
      </x:c>
      <x:c r="I98" s="6" t="s">
        <x:v>578</x:v>
      </x:c>
      <x:c r="J98" s="1"/>
      <x:c r="K98" s="1" t="s">
        <x:v>579</x:v>
      </x:c>
    </x:row>
    <x:row r="99" ht="82.05000305175781" customHeight="1">
      <x:c r="A99" s="1" t="s">
        <x:v>294</x:v>
      </x:c>
      <x:c r="B99" s="1" t="s">
        <x:v>580</x:v>
      </x:c>
      <x:c r="C99" s="1" t="s">
        <x:v>581</x:v>
      </x:c>
      <x:c r="D99" s="1" t="s">
        <x:v>418</x:v>
      </x:c>
      <x:c r="E99" s="1">
        <x:v>1</x:v>
      </x:c>
      <x:c r="F99" s="1" t="s">
        <x:v>440</x:v>
      </x:c>
      <x:c r="G99" s="1" t="s">
        <x:v>582</x:v>
      </x:c>
      <x:c r="H99" s="1" t="s">
        <x:v>421</x:v>
      </x:c>
      <x:c r="I99" s="8" t="s">
        <x:v>435</x:v>
      </x:c>
      <x:c r="J99" s="1"/>
      <x:c r="K99" s="1" t="s">
        <x:v>529</x:v>
      </x:c>
    </x:row>
    <x:row r="100" ht="82.05000305175781" customHeight="1">
      <x:c r="A100" s="1" t="s">
        <x:v>297</x:v>
      </x:c>
      <x:c r="B100" s="1" t="s">
        <x:v>580</x:v>
      </x:c>
      <x:c r="C100" s="1" t="s">
        <x:v>522</x:v>
      </x:c>
      <x:c r="D100" s="1" t="s">
        <x:v>418</x:v>
      </x:c>
      <x:c r="E100" s="1">
        <x:v>1</x:v>
      </x:c>
      <x:c r="F100" s="1" t="s">
        <x:v>440</x:v>
      </x:c>
      <x:c r="G100" s="1" t="s">
        <x:v>582</x:v>
      </x:c>
      <x:c r="H100" s="1" t="s">
        <x:v>421</x:v>
      </x:c>
      <x:c r="I100" s="8" t="s">
        <x:v>435</x:v>
      </x:c>
      <x:c r="J100" s="1"/>
      <x:c r="K100" s="1" t="s">
        <x:v>529</x:v>
      </x:c>
    </x:row>
    <x:row r="101" ht="82.05000305175781" customHeight="1">
      <x:c r="A101" s="1" t="s">
        <x:v>299</x:v>
      </x:c>
      <x:c r="B101" s="1" t="s">
        <x:v>580</x:v>
      </x:c>
      <x:c r="C101" s="1" t="s">
        <x:v>511</x:v>
      </x:c>
      <x:c r="D101" s="1" t="s">
        <x:v>418</x:v>
      </x:c>
      <x:c r="E101" s="1">
        <x:v>1</x:v>
      </x:c>
      <x:c r="F101" s="1" t="s">
        <x:v>440</x:v>
      </x:c>
      <x:c r="G101" s="1" t="s">
        <x:v>583</x:v>
      </x:c>
      <x:c r="H101" s="1" t="s">
        <x:v>421</x:v>
      </x:c>
      <x:c r="I101" s="8" t="s">
        <x:v>435</x:v>
      </x:c>
      <x:c r="J101" s="1"/>
      <x:c r="K101" s="1" t="s">
        <x:v>442</x:v>
      </x:c>
    </x:row>
    <x:row r="102" ht="82.05000305175781" customHeight="1">
      <x:c r="A102" s="1" t="s">
        <x:v>302</x:v>
      </x:c>
      <x:c r="B102" s="1" t="s">
        <x:v>584</x:v>
      </x:c>
      <x:c r="C102" s="1" t="s">
        <x:v>585</x:v>
      </x:c>
      <x:c r="D102" s="1" t="s">
        <x:v>418</x:v>
      </x:c>
      <x:c r="E102" s="1">
        <x:v>1</x:v>
      </x:c>
      <x:c r="F102" s="1" t="s">
        <x:v>440</x:v>
      </x:c>
      <x:c r="G102" s="1" t="s">
        <x:v>444</x:v>
      </x:c>
      <x:c r="H102" s="1" t="s">
        <x:v>421</x:v>
      </x:c>
      <x:c r="I102" s="8" t="s">
        <x:v>435</x:v>
      </x:c>
      <x:c r="J102" s="1"/>
      <x:c r="K102" s="1" t="s">
        <x:v>442</x:v>
      </x:c>
    </x:row>
    <x:row r="103" ht="82.05000305175781" customHeight="1">
      <x:c r="A103" s="1" t="s">
        <x:v>304</x:v>
      </x:c>
      <x:c r="B103" s="1" t="s">
        <x:v>584</x:v>
      </x:c>
      <x:c r="C103" s="1" t="s">
        <x:v>586</x:v>
      </x:c>
      <x:c r="D103" s="1" t="s">
        <x:v>418</x:v>
      </x:c>
      <x:c r="E103" s="1">
        <x:v>1</x:v>
      </x:c>
      <x:c r="F103" s="1" t="s">
        <x:v>440</x:v>
      </x:c>
      <x:c r="G103" s="1" t="s">
        <x:v>444</x:v>
      </x:c>
      <x:c r="H103" s="1" t="s">
        <x:v>421</x:v>
      </x:c>
      <x:c r="I103" s="8" t="s">
        <x:v>435</x:v>
      </x:c>
      <x:c r="J103" s="1"/>
      <x:c r="K103" s="1" t="s">
        <x:v>442</x:v>
      </x:c>
    </x:row>
    <x:row r="104" ht="82.05000305175781" customHeight="1">
      <x:c r="A104" s="1" t="s">
        <x:v>306</x:v>
      </x:c>
      <x:c r="B104" s="1" t="s">
        <x:v>584</x:v>
      </x:c>
      <x:c r="C104" s="1" t="s">
        <x:v>587</x:v>
      </x:c>
      <x:c r="D104" s="1" t="s">
        <x:v>418</x:v>
      </x:c>
      <x:c r="E104" s="1">
        <x:v>1</x:v>
      </x:c>
      <x:c r="F104" s="1" t="s">
        <x:v>440</x:v>
      </x:c>
      <x:c r="G104" s="1" t="s">
        <x:v>448</x:v>
      </x:c>
      <x:c r="H104" s="1" t="s">
        <x:v>421</x:v>
      </x:c>
      <x:c r="I104" s="8" t="s">
        <x:v>435</x:v>
      </x:c>
      <x:c r="J104" s="1"/>
      <x:c r="K104" s="1" t="s">
        <x:v>442</x:v>
      </x:c>
    </x:row>
    <x:row r="105" ht="82.05000305175781" customHeight="1">
      <x:c r="A105" s="1" t="s">
        <x:v>309</x:v>
      </x:c>
      <x:c r="B105" s="1" t="s">
        <x:v>584</x:v>
      </x:c>
      <x:c r="C105" s="1" t="s">
        <x:v>588</x:v>
      </x:c>
      <x:c r="D105" s="1" t="s">
        <x:v>418</x:v>
      </x:c>
      <x:c r="E105" s="1">
        <x:v>1</x:v>
      </x:c>
      <x:c r="F105" s="1" t="s">
        <x:v>440</x:v>
      </x:c>
      <x:c r="G105" s="1" t="s">
        <x:v>530</x:v>
      </x:c>
      <x:c r="H105" s="1" t="s">
        <x:v>421</x:v>
      </x:c>
      <x:c r="I105" s="8" t="s">
        <x:v>435</x:v>
      </x:c>
      <x:c r="J105" s="1"/>
      <x:c r="K105" s="1" t="s">
        <x:v>442</x:v>
      </x:c>
    </x:row>
    <x:row r="106" ht="82.05000305175781" customHeight="1">
      <x:c r="A106" s="1" t="s">
        <x:v>311</x:v>
      </x:c>
      <x:c r="B106" s="1" t="s">
        <x:v>584</x:v>
      </x:c>
      <x:c r="C106" s="1" t="s">
        <x:v>589</x:v>
      </x:c>
      <x:c r="D106" s="1" t="s">
        <x:v>418</x:v>
      </x:c>
      <x:c r="E106" s="1">
        <x:v>1</x:v>
      </x:c>
      <x:c r="F106" s="1" t="s">
        <x:v>440</x:v>
      </x:c>
      <x:c r="G106" s="1" t="s">
        <x:v>444</x:v>
      </x:c>
      <x:c r="H106" s="1" t="s">
        <x:v>421</x:v>
      </x:c>
      <x:c r="I106" s="8" t="s">
        <x:v>435</x:v>
      </x:c>
      <x:c r="J106" s="1"/>
      <x:c r="K106" s="1" t="s">
        <x:v>442</x:v>
      </x:c>
    </x:row>
    <x:row r="107" ht="82.05000305175781" customHeight="1">
      <x:c r="A107" s="1" t="s">
        <x:v>313</x:v>
      </x:c>
      <x:c r="B107" s="1" t="s">
        <x:v>584</x:v>
      </x:c>
      <x:c r="C107" s="1" t="s">
        <x:v>590</x:v>
      </x:c>
      <x:c r="D107" s="1" t="s">
        <x:v>418</x:v>
      </x:c>
      <x:c r="E107" s="1">
        <x:v>1</x:v>
      </x:c>
      <x:c r="F107" s="1" t="s">
        <x:v>440</x:v>
      </x:c>
      <x:c r="G107" s="1" t="s">
        <x:v>444</x:v>
      </x:c>
      <x:c r="H107" s="1" t="s">
        <x:v>421</x:v>
      </x:c>
      <x:c r="I107" s="8" t="s">
        <x:v>435</x:v>
      </x:c>
      <x:c r="J107" s="1"/>
      <x:c r="K107" s="1" t="s">
        <x:v>442</x:v>
      </x:c>
    </x:row>
    <x:row r="108" ht="82.05000305175781" customHeight="1">
      <x:c r="A108" s="1" t="s">
        <x:v>315</x:v>
      </x:c>
      <x:c r="B108" s="1" t="s">
        <x:v>584</x:v>
      </x:c>
      <x:c r="C108" s="1" t="s">
        <x:v>591</x:v>
      </x:c>
      <x:c r="D108" s="1" t="s">
        <x:v>418</x:v>
      </x:c>
      <x:c r="E108" s="1">
        <x:v>1</x:v>
      </x:c>
      <x:c r="F108" s="1" t="s">
        <x:v>440</x:v>
      </x:c>
      <x:c r="G108" s="1" t="s">
        <x:v>444</x:v>
      </x:c>
      <x:c r="H108" s="1" t="s">
        <x:v>421</x:v>
      </x:c>
      <x:c r="I108" s="8" t="s">
        <x:v>435</x:v>
      </x:c>
      <x:c r="J108" s="1"/>
      <x:c r="K108" s="1" t="s">
        <x:v>442</x:v>
      </x:c>
    </x:row>
    <x:row r="109" ht="82.05000305175781" customHeight="1">
      <x:c r="A109" s="1" t="s">
        <x:v>317</x:v>
      </x:c>
      <x:c r="B109" s="1" t="s">
        <x:v>584</x:v>
      </x:c>
      <x:c r="C109" s="1" t="s">
        <x:v>592</x:v>
      </x:c>
      <x:c r="D109" s="1" t="s">
        <x:v>418</x:v>
      </x:c>
      <x:c r="E109" s="1">
        <x:v>1</x:v>
      </x:c>
      <x:c r="F109" s="1" t="s">
        <x:v>523</x:v>
      </x:c>
      <x:c r="G109" s="1" t="s">
        <x:v>448</x:v>
      </x:c>
      <x:c r="H109" s="1" t="s">
        <x:v>421</x:v>
      </x:c>
      <x:c r="I109" s="8" t="s">
        <x:v>435</x:v>
      </x:c>
      <x:c r="J109" s="1"/>
      <x:c r="K109" s="1" t="s">
        <x:v>458</x:v>
      </x:c>
    </x:row>
    <x:row r="110" ht="82.05000305175781" customHeight="1">
      <x:c r="A110" s="1" t="s">
        <x:v>319</x:v>
      </x:c>
      <x:c r="B110" s="1" t="s">
        <x:v>584</x:v>
      </x:c>
      <x:c r="C110" s="1" t="s">
        <x:v>593</x:v>
      </x:c>
      <x:c r="D110" s="1" t="s">
        <x:v>418</x:v>
      </x:c>
      <x:c r="E110" s="1">
        <x:v>1</x:v>
      </x:c>
      <x:c r="F110" s="1" t="s">
        <x:v>523</x:v>
      </x:c>
      <x:c r="G110" s="1" t="s">
        <x:v>488</x:v>
      </x:c>
      <x:c r="H110" s="1" t="s">
        <x:v>421</x:v>
      </x:c>
      <x:c r="I110" s="8" t="s">
        <x:v>435</x:v>
      </x:c>
      <x:c r="J110" s="1"/>
      <x:c r="K110" s="1" t="s">
        <x:v>458</x:v>
      </x:c>
    </x:row>
    <x:row r="111" ht="82.05000305175781" customHeight="1">
      <x:c r="A111" s="1" t="s">
        <x:v>321</x:v>
      </x:c>
      <x:c r="B111" s="1" t="s">
        <x:v>584</x:v>
      </x:c>
      <x:c r="C111" s="1" t="s">
        <x:v>594</x:v>
      </x:c>
      <x:c r="D111" s="1" t="s">
        <x:v>595</x:v>
      </x:c>
      <x:c r="E111" s="1">
        <x:v>3</x:v>
      </x:c>
      <x:c r="F111" s="1"/>
      <x:c r="G111" s="1" t="s">
        <x:v>596</x:v>
      </x:c>
      <x:c r="H111" s="1" t="s">
        <x:v>421</x:v>
      </x:c>
      <x:c r="I111" s="6" t="s">
        <x:v>597</x:v>
      </x:c>
      <x:c r="J111" s="1" t="s">
        <x:v>598</x:v>
      </x:c>
      <x:c r="K111" s="1" t="s">
        <x:v>599</x:v>
      </x:c>
    </x:row>
    <x:row r="112" ht="82.05000305175781" customHeight="1">
      <x:c r="A112" s="1" t="s">
        <x:v>326</x:v>
      </x:c>
      <x:c r="B112" s="1" t="s">
        <x:v>584</x:v>
      </x:c>
      <x:c r="C112" s="1" t="s">
        <x:v>600</x:v>
      </x:c>
      <x:c r="D112" s="1" t="s">
        <x:v>601</x:v>
      </x:c>
      <x:c r="E112" s="1">
        <x:v>1</x:v>
      </x:c>
      <x:c r="F112" s="1" t="s">
        <x:v>440</x:v>
      </x:c>
      <x:c r="G112" s="1" t="s">
        <x:v>602</x:v>
      </x:c>
      <x:c r="H112" s="1" t="s">
        <x:v>421</x:v>
      </x:c>
      <x:c r="I112" s="8" t="s">
        <x:v>435</x:v>
      </x:c>
      <x:c r="J112" s="1" t="s">
        <x:v>603</x:v>
      </x:c>
      <x:c r="K112" s="1" t="s">
        <x:v>503</x:v>
      </x:c>
    </x:row>
    <x:row r="113" ht="82.05000305175781" customHeight="1">
      <x:c r="A113" s="1" t="s">
        <x:v>330</x:v>
      </x:c>
      <x:c r="B113" s="1" t="s">
        <x:v>584</x:v>
      </x:c>
      <x:c r="C113" s="1" t="s">
        <x:v>604</x:v>
      </x:c>
      <x:c r="D113" s="1" t="s">
        <x:v>332</x:v>
      </x:c>
      <x:c r="E113" s="1">
        <x:v>1</x:v>
      </x:c>
      <x:c r="F113" s="1"/>
      <x:c r="G113" s="1"/>
      <x:c r="H113" s="1" t="s">
        <x:v>421</x:v>
      </x:c>
      <x:c r="I113" s="6" t="s">
        <x:v>429</x:v>
      </x:c>
      <x:c r="J113" s="1" t="s">
        <x:v>605</x:v>
      </x:c>
      <x:c r="K113" s="1" t="s">
        <x:v>431</x:v>
      </x:c>
    </x:row>
    <x:row r="114" ht="82.05000305175781" customHeight="1">
      <x:c r="A114" s="1" t="s">
        <x:v>334</x:v>
      </x:c>
      <x:c r="B114" s="1" t="s">
        <x:v>606</x:v>
      </x:c>
      <x:c r="C114" s="1" t="s">
        <x:v>607</x:v>
      </x:c>
      <x:c r="D114" s="1" t="s">
        <x:v>418</x:v>
      </x:c>
      <x:c r="E114" s="1">
        <x:v>1</x:v>
      </x:c>
      <x:c r="F114" s="1" t="s">
        <x:v>440</x:v>
      </x:c>
      <x:c r="G114" s="1" t="s">
        <x:v>608</x:v>
      </x:c>
      <x:c r="H114" s="1" t="s">
        <x:v>421</x:v>
      </x:c>
      <x:c r="I114" s="8" t="s">
        <x:v>435</x:v>
      </x:c>
      <x:c r="J114" s="1"/>
      <x:c r="K114" s="1" t="s">
        <x:v>442</x:v>
      </x:c>
    </x:row>
    <x:row r="115" ht="82.05000305175781" customHeight="1">
      <x:c r="A115" s="1" t="s">
        <x:v>337</x:v>
      </x:c>
      <x:c r="B115" s="1" t="s">
        <x:v>606</x:v>
      </x:c>
      <x:c r="C115" s="1" t="s">
        <x:v>609</x:v>
      </x:c>
      <x:c r="D115" s="1" t="s">
        <x:v>418</x:v>
      </x:c>
      <x:c r="E115" s="1">
        <x:v>1</x:v>
      </x:c>
      <x:c r="F115" s="1" t="s">
        <x:v>440</x:v>
      </x:c>
      <x:c r="G115" s="1" t="s">
        <x:v>444</x:v>
      </x:c>
      <x:c r="H115" s="1" t="s">
        <x:v>421</x:v>
      </x:c>
      <x:c r="I115" s="8" t="s">
        <x:v>435</x:v>
      </x:c>
      <x:c r="J115" s="1"/>
      <x:c r="K115" s="1" t="s">
        <x:v>442</x:v>
      </x:c>
    </x:row>
    <x:row r="116" ht="82.05000305175781" customHeight="1">
      <x:c r="A116" s="1" t="s">
        <x:v>339</x:v>
      </x:c>
      <x:c r="B116" s="1" t="s">
        <x:v>606</x:v>
      </x:c>
      <x:c r="C116" s="1" t="s">
        <x:v>610</x:v>
      </x:c>
      <x:c r="D116" s="1" t="s">
        <x:v>418</x:v>
      </x:c>
      <x:c r="E116" s="1">
        <x:v>1</x:v>
      </x:c>
      <x:c r="F116" s="1" t="s">
        <x:v>440</x:v>
      </x:c>
      <x:c r="G116" s="1" t="s">
        <x:v>608</x:v>
      </x:c>
      <x:c r="H116" s="1" t="s">
        <x:v>421</x:v>
      </x:c>
      <x:c r="I116" s="8" t="s">
        <x:v>435</x:v>
      </x:c>
      <x:c r="J116" s="1"/>
      <x:c r="K116" s="1" t="s">
        <x:v>442</x:v>
      </x:c>
    </x:row>
    <x:row r="117" ht="82.05000305175781" customHeight="1">
      <x:c r="A117" s="1" t="s">
        <x:v>341</x:v>
      </x:c>
      <x:c r="B117" s="1" t="s">
        <x:v>606</x:v>
      </x:c>
      <x:c r="C117" s="1" t="s">
        <x:v>611</x:v>
      </x:c>
      <x:c r="D117" s="1" t="s">
        <x:v>418</x:v>
      </x:c>
      <x:c r="E117" s="1">
        <x:v>1</x:v>
      </x:c>
      <x:c r="F117" s="1" t="s">
        <x:v>523</x:v>
      </x:c>
      <x:c r="G117" s="1" t="s">
        <x:v>448</x:v>
      </x:c>
      <x:c r="H117" s="1" t="s">
        <x:v>421</x:v>
      </x:c>
      <x:c r="I117" s="8" t="s">
        <x:v>435</x:v>
      </x:c>
      <x:c r="J117" s="1"/>
      <x:c r="K117" s="1" t="s">
        <x:v>458</x:v>
      </x:c>
    </x:row>
    <x:row r="118" ht="82.05000305175781" customHeight="1">
      <x:c r="A118" s="1" t="s">
        <x:v>343</x:v>
      </x:c>
      <x:c r="B118" s="1" t="s">
        <x:v>606</x:v>
      </x:c>
      <x:c r="C118" s="1" t="s">
        <x:v>612</x:v>
      </x:c>
      <x:c r="D118" s="1" t="s">
        <x:v>418</x:v>
      </x:c>
      <x:c r="E118" s="1">
        <x:v>1</x:v>
      </x:c>
      <x:c r="F118" s="1" t="s">
        <x:v>523</x:v>
      </x:c>
      <x:c r="G118" s="1" t="s">
        <x:v>448</x:v>
      </x:c>
      <x:c r="H118" s="1" t="s">
        <x:v>421</x:v>
      </x:c>
      <x:c r="I118" s="8" t="s">
        <x:v>435</x:v>
      </x:c>
      <x:c r="J118" s="1"/>
      <x:c r="K118" s="1" t="s">
        <x:v>458</x:v>
      </x:c>
    </x:row>
    <x:row r="119" ht="82.05000305175781" customHeight="1">
      <x:c r="A119" s="1" t="s">
        <x:v>345</x:v>
      </x:c>
      <x:c r="B119" s="1" t="s">
        <x:v>606</x:v>
      </x:c>
      <x:c r="C119" s="1" t="s">
        <x:v>613</x:v>
      </x:c>
      <x:c r="D119" s="1" t="s">
        <x:v>418</x:v>
      </x:c>
      <x:c r="E119" s="1">
        <x:v>1</x:v>
      </x:c>
      <x:c r="F119" s="1" t="s">
        <x:v>523</x:v>
      </x:c>
      <x:c r="G119" s="1" t="s">
        <x:v>448</x:v>
      </x:c>
      <x:c r="H119" s="1" t="s">
        <x:v>421</x:v>
      </x:c>
      <x:c r="I119" s="8" t="s">
        <x:v>435</x:v>
      </x:c>
      <x:c r="J119" s="1"/>
      <x:c r="K119" s="1" t="s">
        <x:v>458</x:v>
      </x:c>
    </x:row>
    <x:row r="120" ht="82.05000305175781" customHeight="1">
      <x:c r="A120" s="1" t="s">
        <x:v>347</x:v>
      </x:c>
      <x:c r="B120" s="1" t="s">
        <x:v>606</x:v>
      </x:c>
      <x:c r="C120" s="1" t="s">
        <x:v>614</x:v>
      </x:c>
      <x:c r="D120" s="1" t="s">
        <x:v>418</x:v>
      </x:c>
      <x:c r="E120" s="1">
        <x:v>1</x:v>
      </x:c>
      <x:c r="F120" s="1" t="s">
        <x:v>523</x:v>
      </x:c>
      <x:c r="G120" s="1" t="s">
        <x:v>615</x:v>
      </x:c>
      <x:c r="H120" s="1" t="s">
        <x:v>421</x:v>
      </x:c>
      <x:c r="I120" s="8" t="s">
        <x:v>435</x:v>
      </x:c>
      <x:c r="J120" s="1"/>
      <x:c r="K120" s="1" t="s">
        <x:v>458</x:v>
      </x:c>
    </x:row>
    <x:row r="121" ht="82.05000305175781" customHeight="1">
      <x:c r="A121" s="1" t="s">
        <x:v>350</x:v>
      </x:c>
      <x:c r="B121" s="1" t="s">
        <x:v>606</x:v>
      </x:c>
      <x:c r="C121" s="1" t="s">
        <x:v>616</x:v>
      </x:c>
      <x:c r="D121" s="1" t="s">
        <x:v>418</x:v>
      </x:c>
      <x:c r="E121" s="1">
        <x:v>1</x:v>
      </x:c>
      <x:c r="F121" s="1" t="s">
        <x:v>440</x:v>
      </x:c>
      <x:c r="G121" s="1" t="s">
        <x:v>488</x:v>
      </x:c>
      <x:c r="H121" s="1" t="s">
        <x:v>421</x:v>
      </x:c>
      <x:c r="I121" s="8" t="s">
        <x:v>435</x:v>
      </x:c>
      <x:c r="J121" s="1"/>
      <x:c r="K121" s="1" t="s">
        <x:v>442</x:v>
      </x:c>
    </x:row>
    <x:row r="122" ht="82.05000305175781" customHeight="1">
      <x:c r="A122" s="1" t="s">
        <x:v>352</x:v>
      </x:c>
      <x:c r="B122" s="1" t="s">
        <x:v>606</x:v>
      </x:c>
      <x:c r="C122" s="1" t="s">
        <x:v>617</x:v>
      </x:c>
      <x:c r="D122" s="1" t="s">
        <x:v>418</x:v>
      </x:c>
      <x:c r="E122" s="1">
        <x:v>1</x:v>
      </x:c>
      <x:c r="F122" s="1" t="s">
        <x:v>523</x:v>
      </x:c>
      <x:c r="G122" s="1" t="s">
        <x:v>444</x:v>
      </x:c>
      <x:c r="H122" s="1" t="s">
        <x:v>421</x:v>
      </x:c>
      <x:c r="I122" s="8" t="s">
        <x:v>435</x:v>
      </x:c>
      <x:c r="J122" s="1"/>
      <x:c r="K122" s="1" t="s">
        <x:v>458</x:v>
      </x:c>
    </x:row>
    <x:row r="123" ht="82.05000305175781" customHeight="1">
      <x:c r="A123" s="1" t="s">
        <x:v>354</x:v>
      </x:c>
      <x:c r="B123" s="1" t="s">
        <x:v>606</x:v>
      </x:c>
      <x:c r="C123" s="1" t="s">
        <x:v>618</x:v>
      </x:c>
      <x:c r="D123" s="1" t="s">
        <x:v>418</x:v>
      </x:c>
      <x:c r="E123" s="1">
        <x:v>1</x:v>
      </x:c>
      <x:c r="F123" s="1" t="s">
        <x:v>523</x:v>
      </x:c>
      <x:c r="G123" s="1" t="s">
        <x:v>444</x:v>
      </x:c>
      <x:c r="H123" s="1" t="s">
        <x:v>421</x:v>
      </x:c>
      <x:c r="I123" s="8" t="s">
        <x:v>435</x:v>
      </x:c>
      <x:c r="J123" s="1"/>
      <x:c r="K123" s="1" t="s">
        <x:v>458</x:v>
      </x:c>
    </x:row>
    <x:row r="124" ht="82.05000305175781" customHeight="1">
      <x:c r="A124" s="1" t="s">
        <x:v>356</x:v>
      </x:c>
      <x:c r="B124" s="1" t="s">
        <x:v>606</x:v>
      </x:c>
      <x:c r="C124" s="1" t="s">
        <x:v>619</x:v>
      </x:c>
      <x:c r="D124" s="1" t="s">
        <x:v>418</x:v>
      </x:c>
      <x:c r="E124" s="1">
        <x:v>1</x:v>
      </x:c>
      <x:c r="F124" s="1" t="s">
        <x:v>523</x:v>
      </x:c>
      <x:c r="G124" s="1" t="s">
        <x:v>444</x:v>
      </x:c>
      <x:c r="H124" s="1" t="s">
        <x:v>421</x:v>
      </x:c>
      <x:c r="I124" s="8" t="s">
        <x:v>435</x:v>
      </x:c>
      <x:c r="J124" s="1"/>
      <x:c r="K124" s="1" t="s">
        <x:v>458</x:v>
      </x:c>
    </x:row>
    <x:row r="125" ht="82.05000305175781" customHeight="1">
      <x:c r="A125" s="1" t="s">
        <x:v>358</x:v>
      </x:c>
      <x:c r="B125" s="1" t="s">
        <x:v>606</x:v>
      </x:c>
      <x:c r="C125" s="1" t="s">
        <x:v>620</x:v>
      </x:c>
      <x:c r="D125" s="1" t="s">
        <x:v>418</x:v>
      </x:c>
      <x:c r="E125" s="1">
        <x:v>1</x:v>
      </x:c>
      <x:c r="F125" s="1" t="s">
        <x:v>523</x:v>
      </x:c>
      <x:c r="G125" s="1" t="s">
        <x:v>444</x:v>
      </x:c>
      <x:c r="H125" s="1" t="s">
        <x:v>421</x:v>
      </x:c>
      <x:c r="I125" s="8" t="s">
        <x:v>435</x:v>
      </x:c>
      <x:c r="J125" s="1"/>
      <x:c r="K125" s="1" t="s">
        <x:v>458</x:v>
      </x:c>
    </x:row>
    <x:row r="126" ht="82.05000305175781" customHeight="1">
      <x:c r="A126" s="1" t="s">
        <x:v>360</x:v>
      </x:c>
      <x:c r="B126" s="1" t="s">
        <x:v>606</x:v>
      </x:c>
      <x:c r="C126" s="1" t="s">
        <x:v>621</x:v>
      </x:c>
      <x:c r="D126" s="1" t="s">
        <x:v>418</x:v>
      </x:c>
      <x:c r="E126" s="1">
        <x:v>1</x:v>
      </x:c>
      <x:c r="F126" s="1" t="s">
        <x:v>523</x:v>
      </x:c>
      <x:c r="G126" s="1" t="s">
        <x:v>444</x:v>
      </x:c>
      <x:c r="H126" s="1" t="s">
        <x:v>421</x:v>
      </x:c>
      <x:c r="I126" s="8" t="s">
        <x:v>435</x:v>
      </x:c>
      <x:c r="J126" s="1"/>
      <x:c r="K126" s="1" t="s">
        <x:v>458</x:v>
      </x:c>
    </x:row>
    <x:row r="127" ht="82.05000305175781" customHeight="1">
      <x:c r="A127" s="1" t="s">
        <x:v>362</x:v>
      </x:c>
      <x:c r="B127" s="1" t="s">
        <x:v>606</x:v>
      </x:c>
      <x:c r="C127" s="1" t="s">
        <x:v>511</x:v>
      </x:c>
      <x:c r="D127" s="1" t="s">
        <x:v>567</x:v>
      </x:c>
      <x:c r="E127" s="1">
        <x:v>1</x:v>
      </x:c>
      <x:c r="F127" s="1" t="s">
        <x:v>568</x:v>
      </x:c>
      <x:c r="G127" s="1"/>
      <x:c r="H127" s="1" t="s">
        <x:v>421</x:v>
      </x:c>
      <x:c r="I127" s="6" t="s">
        <x:v>622</x:v>
      </x:c>
      <x:c r="J127" s="1"/>
      <x:c r="K127" s="1" t="s">
        <x:v>508</x:v>
      </x:c>
    </x:row>
    <x:row r="128" ht="82.05000305175781" customHeight="1">
      <x:c r="A128" s="1" t="s">
        <x:v>364</x:v>
      </x:c>
      <x:c r="B128" s="1" t="s">
        <x:v>416</x:v>
      </x:c>
      <x:c r="C128" s="1" t="s">
        <x:v>623</x:v>
      </x:c>
      <x:c r="D128" s="1" t="s">
        <x:v>366</x:v>
      </x:c>
      <x:c r="E128" s="1" t="s">
        <x:v>451</x:v>
      </x:c>
      <x:c r="F128" s="1"/>
      <x:c r="G128" s="1"/>
      <x:c r="H128" s="1" t="s">
        <x:v>624</x:v>
      </x:c>
      <x:c r="I128" s="8" t="s">
        <x:v>435</x:v>
      </x:c>
      <x:c r="J128" s="1" t="s">
        <x:v>625</x:v>
      </x:c>
      <x:c r="K128" s="1" t="s">
        <x:v>503</x:v>
      </x:c>
    </x:row>
    <x:row r="129" ht="82.05000305175781" customHeight="1">
      <x:c r="A129" s="1" t="s">
        <x:v>368</x:v>
      </x:c>
      <x:c r="B129" s="1" t="s">
        <x:v>416</x:v>
      </x:c>
      <x:c r="C129" s="1" t="s">
        <x:v>626</x:v>
      </x:c>
      <x:c r="D129" s="1" t="s">
        <x:v>370</x:v>
      </x:c>
      <x:c r="E129" s="1" t="s">
        <x:v>451</x:v>
      </x:c>
      <x:c r="F129" s="1"/>
      <x:c r="G129" s="1"/>
      <x:c r="H129" s="1" t="s">
        <x:v>627</x:v>
      </x:c>
      <x:c r="I129" s="8" t="s">
        <x:v>435</x:v>
      </x:c>
      <x:c r="J129" s="1" t="s">
        <x:v>628</x:v>
      </x:c>
      <x:c r="K129" s="1" t="s">
        <x:v>503</x:v>
      </x:c>
    </x:row>
    <x:row r="130" ht="82.05000305175781" customHeight="1">
      <x:c r="A130" s="1" t="s">
        <x:v>372</x:v>
      </x:c>
      <x:c r="B130" s="1" t="s">
        <x:v>416</x:v>
      </x:c>
      <x:c r="C130" s="1" t="s">
        <x:v>629</x:v>
      </x:c>
      <x:c r="D130" s="1" t="s">
        <x:v>374</x:v>
      </x:c>
      <x:c r="E130" s="1" t="s">
        <x:v>451</x:v>
      </x:c>
      <x:c r="F130" s="1"/>
      <x:c r="G130" s="1"/>
      <x:c r="H130" s="1" t="s">
        <x:v>428</x:v>
      </x:c>
      <x:c r="I130" s="8" t="s">
        <x:v>435</x:v>
      </x:c>
      <x:c r="J130" s="1"/>
      <x:c r="K130" s="1" t="s">
        <x:v>503</x:v>
      </x:c>
    </x:row>
    <x:row r="131" ht="82.05000305175781" customHeight="1">
      <x:c r="A131" s="1" t="s">
        <x:v>375</x:v>
      </x:c>
      <x:c r="B131" s="1" t="s">
        <x:v>513</x:v>
      </x:c>
      <x:c r="C131" s="1" t="s">
        <x:v>623</x:v>
      </x:c>
      <x:c r="D131" s="1" t="s">
        <x:v>366</x:v>
      </x:c>
      <x:c r="E131" s="1" t="s">
        <x:v>451</x:v>
      </x:c>
      <x:c r="F131" s="1"/>
      <x:c r="G131" s="1"/>
      <x:c r="H131" s="1" t="s">
        <x:v>624</x:v>
      </x:c>
      <x:c r="I131" s="8" t="s">
        <x:v>435</x:v>
      </x:c>
      <x:c r="J131" s="1" t="s">
        <x:v>625</x:v>
      </x:c>
      <x:c r="K131" s="1" t="s">
        <x:v>503</x:v>
      </x:c>
    </x:row>
    <x:row r="132" ht="82.05000305175781" customHeight="1">
      <x:c r="A132" s="1" t="s">
        <x:v>377</x:v>
      </x:c>
      <x:c r="B132" s="1" t="s">
        <x:v>513</x:v>
      </x:c>
      <x:c r="C132" s="1" t="s">
        <x:v>626</x:v>
      </x:c>
      <x:c r="D132" s="1" t="s">
        <x:v>370</x:v>
      </x:c>
      <x:c r="E132" s="1" t="s">
        <x:v>451</x:v>
      </x:c>
      <x:c r="F132" s="1"/>
      <x:c r="G132" s="1"/>
      <x:c r="H132" s="1" t="s">
        <x:v>627</x:v>
      </x:c>
      <x:c r="I132" s="8" t="s">
        <x:v>435</x:v>
      </x:c>
      <x:c r="J132" s="1" t="s">
        <x:v>628</x:v>
      </x:c>
      <x:c r="K132" s="1" t="s">
        <x:v>503</x:v>
      </x:c>
    </x:row>
    <x:row r="133" ht="82.05000305175781" customHeight="1">
      <x:c r="A133" s="1" t="s">
        <x:v>379</x:v>
      </x:c>
      <x:c r="B133" s="1" t="s">
        <x:v>531</x:v>
      </x:c>
      <x:c r="C133" s="1" t="s">
        <x:v>623</x:v>
      </x:c>
      <x:c r="D133" s="1" t="s">
        <x:v>366</x:v>
      </x:c>
      <x:c r="E133" s="1" t="s">
        <x:v>451</x:v>
      </x:c>
      <x:c r="F133" s="1"/>
      <x:c r="G133" s="1"/>
      <x:c r="H133" s="1" t="s">
        <x:v>624</x:v>
      </x:c>
      <x:c r="I133" s="8" t="s">
        <x:v>435</x:v>
      </x:c>
      <x:c r="J133" s="1" t="s">
        <x:v>625</x:v>
      </x:c>
      <x:c r="K133" s="1" t="s">
        <x:v>503</x:v>
      </x:c>
    </x:row>
    <x:row r="134" ht="82.05000305175781" customHeight="1">
      <x:c r="A134" s="1" t="s">
        <x:v>381</x:v>
      </x:c>
      <x:c r="B134" s="1" t="s">
        <x:v>531</x:v>
      </x:c>
      <x:c r="C134" s="1" t="s">
        <x:v>626</x:v>
      </x:c>
      <x:c r="D134" s="1" t="s">
        <x:v>370</x:v>
      </x:c>
      <x:c r="E134" s="1" t="s">
        <x:v>451</x:v>
      </x:c>
      <x:c r="F134" s="1"/>
      <x:c r="G134" s="1"/>
      <x:c r="H134" s="1" t="s">
        <x:v>627</x:v>
      </x:c>
      <x:c r="I134" s="8" t="s">
        <x:v>435</x:v>
      </x:c>
      <x:c r="J134" s="1" t="s">
        <x:v>628</x:v>
      </x:c>
      <x:c r="K134" s="1" t="s">
        <x:v>503</x:v>
      </x:c>
    </x:row>
    <x:row r="135" ht="82.05000305175781" customHeight="1">
      <x:c r="A135" s="1" t="s">
        <x:v>383</x:v>
      </x:c>
      <x:c r="B135" s="1" t="s">
        <x:v>547</x:v>
      </x:c>
      <x:c r="C135" s="1" t="s">
        <x:v>623</x:v>
      </x:c>
      <x:c r="D135" s="1" t="s">
        <x:v>366</x:v>
      </x:c>
      <x:c r="E135" s="1" t="s">
        <x:v>451</x:v>
      </x:c>
      <x:c r="F135" s="1"/>
      <x:c r="G135" s="1"/>
      <x:c r="H135" s="1" t="s">
        <x:v>624</x:v>
      </x:c>
      <x:c r="I135" s="8" t="s">
        <x:v>435</x:v>
      </x:c>
      <x:c r="J135" s="1" t="s">
        <x:v>625</x:v>
      </x:c>
      <x:c r="K135" s="1" t="s">
        <x:v>503</x:v>
      </x:c>
    </x:row>
    <x:row r="136" ht="82.05000305175781" customHeight="1">
      <x:c r="A136" s="1" t="s">
        <x:v>385</x:v>
      </x:c>
      <x:c r="B136" s="1" t="s">
        <x:v>547</x:v>
      </x:c>
      <x:c r="C136" s="1" t="s">
        <x:v>626</x:v>
      </x:c>
      <x:c r="D136" s="1" t="s">
        <x:v>370</x:v>
      </x:c>
      <x:c r="E136" s="1" t="s">
        <x:v>451</x:v>
      </x:c>
      <x:c r="F136" s="1"/>
      <x:c r="G136" s="1"/>
      <x:c r="H136" s="1" t="s">
        <x:v>627</x:v>
      </x:c>
      <x:c r="I136" s="8" t="s">
        <x:v>435</x:v>
      </x:c>
      <x:c r="J136" s="1" t="s">
        <x:v>628</x:v>
      </x:c>
      <x:c r="K136" s="1" t="s">
        <x:v>503</x:v>
      </x:c>
    </x:row>
    <x:row r="137" ht="82.05000305175781" customHeight="1">
      <x:c r="A137" s="1" t="s">
        <x:v>387</x:v>
      </x:c>
      <x:c r="B137" s="1" t="s">
        <x:v>547</x:v>
      </x:c>
      <x:c r="C137" s="1" t="s">
        <x:v>629</x:v>
      </x:c>
      <x:c r="D137" s="1" t="s">
        <x:v>374</x:v>
      </x:c>
      <x:c r="E137" s="1" t="s">
        <x:v>451</x:v>
      </x:c>
      <x:c r="F137" s="1"/>
      <x:c r="G137" s="1"/>
      <x:c r="H137" s="1" t="s">
        <x:v>428</x:v>
      </x:c>
      <x:c r="I137" s="8" t="s">
        <x:v>435</x:v>
      </x:c>
      <x:c r="J137" s="1"/>
      <x:c r="K137" s="1" t="s">
        <x:v>503</x:v>
      </x:c>
    </x:row>
    <x:row r="138" ht="82.05000305175781" customHeight="1">
      <x:c r="A138" s="1" t="s">
        <x:v>389</x:v>
      </x:c>
      <x:c r="B138" s="1" t="s">
        <x:v>580</x:v>
      </x:c>
      <x:c r="C138" s="1" t="s">
        <x:v>623</x:v>
      </x:c>
      <x:c r="D138" s="1" t="s">
        <x:v>366</x:v>
      </x:c>
      <x:c r="E138" s="1" t="s">
        <x:v>451</x:v>
      </x:c>
      <x:c r="F138" s="1"/>
      <x:c r="G138" s="1"/>
      <x:c r="H138" s="1" t="s">
        <x:v>624</x:v>
      </x:c>
      <x:c r="I138" s="8" t="s">
        <x:v>435</x:v>
      </x:c>
      <x:c r="J138" s="1" t="s">
        <x:v>625</x:v>
      </x:c>
      <x:c r="K138" s="1" t="s">
        <x:v>503</x:v>
      </x:c>
    </x:row>
    <x:row r="139" ht="82.05000305175781" customHeight="1">
      <x:c r="A139" s="1" t="s">
        <x:v>391</x:v>
      </x:c>
      <x:c r="B139" s="1" t="s">
        <x:v>580</x:v>
      </x:c>
      <x:c r="C139" s="1" t="s">
        <x:v>626</x:v>
      </x:c>
      <x:c r="D139" s="1" t="s">
        <x:v>370</x:v>
      </x:c>
      <x:c r="E139" s="1" t="s">
        <x:v>451</x:v>
      </x:c>
      <x:c r="F139" s="1"/>
      <x:c r="G139" s="1"/>
      <x:c r="H139" s="1" t="s">
        <x:v>627</x:v>
      </x:c>
      <x:c r="I139" s="8" t="s">
        <x:v>435</x:v>
      </x:c>
      <x:c r="J139" s="1" t="s">
        <x:v>628</x:v>
      </x:c>
      <x:c r="K139" s="1" t="s">
        <x:v>503</x:v>
      </x:c>
    </x:row>
    <x:row r="140" ht="82.05000305175781" customHeight="1">
      <x:c r="A140" s="1" t="s">
        <x:v>393</x:v>
      </x:c>
      <x:c r="B140" s="1" t="s">
        <x:v>584</x:v>
      </x:c>
      <x:c r="C140" s="1" t="s">
        <x:v>623</x:v>
      </x:c>
      <x:c r="D140" s="1" t="s">
        <x:v>366</x:v>
      </x:c>
      <x:c r="E140" s="1" t="s">
        <x:v>451</x:v>
      </x:c>
      <x:c r="F140" s="1"/>
      <x:c r="G140" s="1"/>
      <x:c r="H140" s="1" t="s">
        <x:v>624</x:v>
      </x:c>
      <x:c r="I140" s="8" t="s">
        <x:v>435</x:v>
      </x:c>
      <x:c r="J140" s="1" t="s">
        <x:v>625</x:v>
      </x:c>
      <x:c r="K140" s="1" t="s">
        <x:v>503</x:v>
      </x:c>
    </x:row>
    <x:row r="141" ht="82.05000305175781" customHeight="1">
      <x:c r="A141" s="1" t="s">
        <x:v>395</x:v>
      </x:c>
      <x:c r="B141" s="1" t="s">
        <x:v>584</x:v>
      </x:c>
      <x:c r="C141" s="1" t="s">
        <x:v>626</x:v>
      </x:c>
      <x:c r="D141" s="1" t="s">
        <x:v>370</x:v>
      </x:c>
      <x:c r="E141" s="1" t="s">
        <x:v>451</x:v>
      </x:c>
      <x:c r="F141" s="1"/>
      <x:c r="G141" s="1"/>
      <x:c r="H141" s="1" t="s">
        <x:v>627</x:v>
      </x:c>
      <x:c r="I141" s="8" t="s">
        <x:v>435</x:v>
      </x:c>
      <x:c r="J141" s="1" t="s">
        <x:v>628</x:v>
      </x:c>
      <x:c r="K141" s="1" t="s">
        <x:v>503</x:v>
      </x:c>
    </x:row>
    <x:row r="142" ht="82.05000305175781" customHeight="1">
      <x:c r="A142" s="1" t="s">
        <x:v>397</x:v>
      </x:c>
      <x:c r="B142" s="1" t="s">
        <x:v>606</x:v>
      </x:c>
      <x:c r="C142" s="1" t="s">
        <x:v>623</x:v>
      </x:c>
      <x:c r="D142" s="1" t="s">
        <x:v>366</x:v>
      </x:c>
      <x:c r="E142" s="1" t="s">
        <x:v>451</x:v>
      </x:c>
      <x:c r="F142" s="1"/>
      <x:c r="G142" s="1"/>
      <x:c r="H142" s="1" t="s">
        <x:v>624</x:v>
      </x:c>
      <x:c r="I142" s="8" t="s">
        <x:v>435</x:v>
      </x:c>
      <x:c r="J142" s="1" t="s">
        <x:v>625</x:v>
      </x:c>
      <x:c r="K142" s="1" t="s">
        <x:v>503</x:v>
      </x:c>
    </x:row>
    <x:row r="143" ht="82.05000305175781" customHeight="1">
      <x:c r="A143" s="1" t="s">
        <x:v>399</x:v>
      </x:c>
      <x:c r="B143" s="1" t="s">
        <x:v>606</x:v>
      </x:c>
      <x:c r="C143" s="1" t="s">
        <x:v>626</x:v>
      </x:c>
      <x:c r="D143" s="1" t="s">
        <x:v>370</x:v>
      </x:c>
      <x:c r="E143" s="1" t="s">
        <x:v>451</x:v>
      </x:c>
      <x:c r="F143" s="1"/>
      <x:c r="G143" s="1"/>
      <x:c r="H143" s="1" t="s">
        <x:v>627</x:v>
      </x:c>
      <x:c r="I143" s="8" t="s">
        <x:v>435</x:v>
      </x:c>
      <x:c r="J143" s="1" t="s">
        <x:v>628</x:v>
      </x:c>
      <x:c r="K143" s="1" t="s">
        <x:v>503</x:v>
      </x:c>
    </x:row>
    <x:row r="144" ht="82.05000305175781" customHeight="1">
      <x:c r="A144" s="1" t="s">
        <x:v>401</x:v>
      </x:c>
      <x:c r="B144" s="1" t="s">
        <x:v>606</x:v>
      </x:c>
      <x:c r="C144" s="1" t="s">
        <x:v>629</x:v>
      </x:c>
      <x:c r="D144" s="1" t="s">
        <x:v>374</x:v>
      </x:c>
      <x:c r="E144" s="1" t="s">
        <x:v>451</x:v>
      </x:c>
      <x:c r="F144" s="1"/>
      <x:c r="G144" s="1"/>
      <x:c r="H144" s="1" t="s">
        <x:v>428</x:v>
      </x:c>
      <x:c r="I144" s="8" t="s">
        <x:v>435</x:v>
      </x:c>
      <x:c r="J144" s="1"/>
      <x:c r="K144" s="1" t="s">
        <x:v>503</x:v>
      </x:c>
    </x:row>
  </x:sheetData>
  <x:mergeCells>
    <x:mergeCell ref="A1:E1"/>
    <x:mergeCell ref="A2:E2"/>
    <x:mergeCell ref="A3:E3"/>
  </x:mergeCells>
  <x:pageMargins left="0.7" right="0.7" top="0.75" bottom="0.75" header="0.3" footer="0.3"/>
  <x:tableParts count="1">
    <x:tablePart xmlns:r="http://schemas.openxmlformats.org/officeDocument/2006/relationships" r:id="R2162b4205f254af1"/>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4.399999618530273"/>
  <x:cols>
    <x:col min="1" max="1" width="40" customWidth="1"/>
    <x:col min="2" max="2" width="65" customWidth="1"/>
    <x:col min="3" max="3" width="110" customWidth="1"/>
  </x:cols>
  <x:sheetData>
    <x:row r="1" ht="37.95000076293945" customHeight="1">
      <x:c r="A1" s="9" t="s">
        <x:v>630</x:v>
      </x:c>
      <x:c r="B1" s="10"/>
      <x:c r="C1" s="10"/>
    </x:row>
    <x:row r="2" ht="55.04999923706055" customHeight="1">
      <x:c r="A2" s="11" t="s">
        <x:v>631</x:v>
      </x:c>
      <x:c r="B2" s="11"/>
      <x:c r="C2" s="11"/>
    </x:row>
    <x:row r="3" ht="40.04999923706055" customHeight="1">
      <x:c r="A3" s="11" t="s">
        <x:v>2</x:v>
      </x:c>
      <x:c r="B3" s="11"/>
      <x:c r="C3" s="11"/>
    </x:row>
    <x:row r="4" ht="12" customHeight="1">
      <x:c r="A4" s="1"/>
      <x:c r="B4" s="1"/>
      <x:c r="C4" s="1"/>
    </x:row>
    <x:row r="5" ht="34.95000076293945" customHeight="1">
      <x:c r="A5" s="3" t="s">
        <x:v>632</x:v>
      </x:c>
      <x:c r="B5" s="3" t="s">
        <x:v>633</x:v>
      </x:c>
      <x:c r="C5" s="3" t="s">
        <x:v>634</x:v>
      </x:c>
    </x:row>
    <x:row r="6" ht="124.94999694824219" customHeight="1">
      <x:c r="A6" s="1" t="s">
        <x:v>635</x:v>
      </x:c>
      <x:c r="B6" s="1" t="s">
        <x:v>636</x:v>
      </x:c>
      <x:c r="C6" s="1" t="s">
        <x:v>637</x:v>
      </x:c>
    </x:row>
    <x:row r="7" ht="124.94999694824219" customHeight="1">
      <x:c r="A7" s="1" t="s">
        <x:v>638</x:v>
      </x:c>
      <x:c r="B7" s="1" t="s">
        <x:v>639</x:v>
      </x:c>
      <x:c r="C7" s="1" t="s">
        <x:v>640</x:v>
      </x:c>
    </x:row>
    <x:row r="8" ht="124.94999694824219" customHeight="1">
      <x:c r="A8" s="1" t="s">
        <x:v>641</x:v>
      </x:c>
      <x:c r="B8" s="1" t="s">
        <x:v>642</x:v>
      </x:c>
      <x:c r="C8" s="1" t="s">
        <x:v>643</x:v>
      </x:c>
    </x:row>
    <x:row r="9" ht="124.94999694824219" customHeight="1">
      <x:c r="A9" s="1" t="s">
        <x:v>644</x:v>
      </x:c>
      <x:c r="B9" s="1" t="s">
        <x:v>645</x:v>
      </x:c>
      <x:c r="C9" s="1" t="s">
        <x:v>646</x:v>
      </x:c>
    </x:row>
    <x:row r="10" ht="124.94999694824219" customHeight="1">
      <x:c r="A10" s="1" t="s">
        <x:v>647</x:v>
      </x:c>
      <x:c r="B10" s="1" t="s">
        <x:v>648</x:v>
      </x:c>
      <x:c r="C10" s="1" t="s">
        <x:v>649</x:v>
      </x:c>
    </x:row>
    <x:row r="11" ht="124.94999694824219" customHeight="1">
      <x:c r="A11" s="1" t="s">
        <x:v>650</x:v>
      </x:c>
      <x:c r="B11" s="1" t="s">
        <x:v>651</x:v>
      </x:c>
      <x:c r="C11" s="1" t="s">
        <x:v>652</x:v>
      </x:c>
    </x:row>
    <x:row r="12" ht="124.94999694824219" customHeight="1">
      <x:c r="A12" s="1" t="s">
        <x:v>653</x:v>
      </x:c>
      <x:c r="B12" s="1" t="s">
        <x:v>654</x:v>
      </x:c>
      <x:c r="C12" s="1" t="s">
        <x:v>655</x:v>
      </x:c>
    </x:row>
    <x:row r="13" ht="124.94999694824219" customHeight="1">
      <x:c r="A13" s="1" t="s">
        <x:v>656</x:v>
      </x:c>
      <x:c r="B13" s="1" t="s">
        <x:v>657</x:v>
      </x:c>
      <x:c r="C13" s="1" t="s">
        <x:v>658</x:v>
      </x:c>
    </x:row>
    <x:row r="14" ht="124.94999694824219" customHeight="1">
      <x:c r="A14" s="1" t="s">
        <x:v>659</x:v>
      </x:c>
      <x:c r="B14" s="1" t="s">
        <x:v>660</x:v>
      </x:c>
      <x:c r="C14" s="1" t="s">
        <x:v>661</x:v>
      </x:c>
    </x:row>
    <x:row r="15" ht="124.94999694824219" customHeight="1">
      <x:c r="A15" s="1" t="s">
        <x:v>662</x:v>
      </x:c>
      <x:c r="B15" s="1" t="s">
        <x:v>663</x:v>
      </x:c>
      <x:c r="C15" s="1" t="s">
        <x:v>664</x:v>
      </x:c>
    </x:row>
    <x:row r="16" ht="124.94999694824219" customHeight="1">
      <x:c r="A16" s="1" t="s">
        <x:v>665</x:v>
      </x:c>
      <x:c r="B16" s="1" t="s">
        <x:v>666</x:v>
      </x:c>
      <x:c r="C16" s="1" t="s">
        <x:v>667</x:v>
      </x:c>
    </x:row>
  </x:sheetData>
  <x:mergeCells>
    <x:mergeCell ref="A1:C1"/>
    <x:mergeCell ref="A2:C2"/>
    <x:mergeCell ref="A3:C3"/>
  </x:mergeCells>
  <x:pageMargins left="0.7" right="0.7" top="0.75" bottom="0.75" header="0.3" footer="0.3"/>
  <x:tableParts count="1">
    <x:tablePart xmlns:r="http://schemas.openxmlformats.org/officeDocument/2006/relationships" r:id="R27543bb861f74716"/>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4.399999618530273"/>
  <x:cols>
    <x:col min="1" max="1" width="14" customWidth="1"/>
    <x:col min="2" max="2" width="60" customWidth="1"/>
    <x:col min="3" max="3" width="18" customWidth="1"/>
    <x:col min="4" max="4" width="14" customWidth="1"/>
    <x:col min="5" max="6" width="20" customWidth="1"/>
    <x:col min="7" max="7" width="12" customWidth="1"/>
    <x:col min="8" max="8" width="18" customWidth="1"/>
    <x:col min="9" max="9" width="85" customWidth="1"/>
    <x:col min="10" max="10" width="55" customWidth="1"/>
  </x:cols>
  <x:sheetData>
    <x:row r="1" ht="37.95000076293945" customHeight="1">
      <x:c r="A1" s="9" t="s">
        <x:v>668</x:v>
      </x:c>
      <x:c r="B1" s="10"/>
      <x:c r="C1" s="10"/>
      <x:c r="D1" s="10"/>
      <x:c r="E1" s="10"/>
      <x:c r="F1" s="2"/>
      <x:c r="G1" s="2"/>
      <x:c r="H1" s="2"/>
      <x:c r="I1" s="2"/>
      <x:c r="J1" s="2"/>
    </x:row>
    <x:row r="2" ht="55.04999923706055" customHeight="1">
      <x:c r="A2" s="11" t="s">
        <x:v>669</x:v>
      </x:c>
      <x:c r="B2" s="11"/>
      <x:c r="C2" s="11"/>
      <x:c r="D2" s="11"/>
      <x:c r="E2" s="11"/>
      <x:c r="F2" s="1"/>
      <x:c r="G2" s="1"/>
      <x:c r="H2" s="1"/>
      <x:c r="I2" s="1"/>
      <x:c r="J2" s="1"/>
    </x:row>
    <x:row r="3" ht="40.04999923706055" customHeight="1">
      <x:c r="A3" s="11" t="s">
        <x:v>2</x:v>
      </x:c>
      <x:c r="B3" s="11"/>
      <x:c r="C3" s="11"/>
      <x:c r="D3" s="11"/>
      <x:c r="E3" s="11"/>
      <x:c r="F3" s="1"/>
      <x:c r="G3" s="1"/>
      <x:c r="H3" s="1"/>
      <x:c r="I3" s="1"/>
      <x:c r="J3" s="1"/>
    </x:row>
    <x:row r="4" ht="12" customHeight="1">
      <x:c r="A4" s="1"/>
      <x:c r="B4" s="1"/>
      <x:c r="C4" s="1"/>
      <x:c r="D4" s="1"/>
      <x:c r="E4" s="1"/>
      <x:c r="F4" s="1"/>
      <x:c r="G4" s="1"/>
      <x:c r="H4" s="1"/>
      <x:c r="I4" s="1"/>
      <x:c r="J4" s="1"/>
    </x:row>
    <x:row r="5" ht="34.95000076293945" customHeight="1">
      <x:c r="A5" s="3" t="s">
        <x:v>670</x:v>
      </x:c>
      <x:c r="B5" s="3" t="s">
        <x:v>671</x:v>
      </x:c>
      <x:c r="C5" s="3" t="s">
        <x:v>9</x:v>
      </x:c>
      <x:c r="D5" s="3" t="s">
        <x:v>410</x:v>
      </x:c>
      <x:c r="E5" s="3" t="s">
        <x:v>672</x:v>
      </x:c>
      <x:c r="F5" s="3" t="s">
        <x:v>673</x:v>
      </x:c>
      <x:c r="G5" s="3" t="s">
        <x:v>674</x:v>
      </x:c>
      <x:c r="H5" s="3" t="s">
        <x:v>675</x:v>
      </x:c>
      <x:c r="I5" s="3" t="s">
        <x:v>676</x:v>
      </x:c>
      <x:c r="J5" s="3" t="s">
        <x:v>16</x:v>
      </x:c>
    </x:row>
    <x:row r="6" ht="145.0500030517578" customHeight="1">
      <x:c r="A6" s="1" t="s">
        <x:v>70</x:v>
      </x:c>
      <x:c r="B6" s="1" t="s">
        <x:v>71</x:v>
      </x:c>
      <x:c r="C6" s="1" t="s">
        <x:v>23</x:v>
      </x:c>
      <x:c r="D6" s="1" t="s">
        <x:v>523</x:v>
      </x:c>
      <x:c r="E6" s="1" t="s">
        <x:v>677</x:v>
      </x:c>
      <x:c r="F6" s="1" t="s">
        <x:v>678</x:v>
      </x:c>
      <x:c r="G6" s="1">
        <x:v>3</x:v>
      </x:c>
      <x:c r="H6" s="5">
        <x:v>432</x:v>
      </x:c>
      <x:c r="I6" s="1" t="s">
        <x:v>679</x:v>
      </x:c>
      <x:c r="J6" s="1" t="s">
        <x:v>75</x:v>
      </x:c>
    </x:row>
    <x:row r="7" ht="145.0500030517578" customHeight="1">
      <x:c r="A7" s="1" t="s">
        <x:v>680</x:v>
      </x:c>
      <x:c r="B7" s="1" t="s">
        <x:v>681</x:v>
      </x:c>
      <x:c r="C7" s="1" t="s">
        <x:v>23</x:v>
      </x:c>
      <x:c r="D7" s="1" t="s">
        <x:v>682</x:v>
      </x:c>
      <x:c r="E7" s="1" t="s">
        <x:v>683</x:v>
      </x:c>
      <x:c r="F7" s="1" t="s">
        <x:v>684</x:v>
      </x:c>
      <x:c r="G7" s="1">
        <x:v>5</x:v>
      </x:c>
      <x:c r="H7" s="5">
        <x:v>510</x:v>
      </x:c>
      <x:c r="I7" s="1" t="s">
        <x:v>685</x:v>
      </x:c>
      <x:c r="J7" s="1" t="s">
        <x:v>686</x:v>
      </x:c>
    </x:row>
    <x:row r="8" ht="145.0500030517578" customHeight="1">
      <x:c r="A8" s="1" t="s">
        <x:v>49</x:v>
      </x:c>
      <x:c r="B8" s="1" t="s">
        <x:v>50</x:v>
      </x:c>
      <x:c r="C8" s="1" t="s">
        <x:v>23</x:v>
      </x:c>
      <x:c r="D8" s="1" t="s">
        <x:v>440</x:v>
      </x:c>
      <x:c r="E8" s="1" t="s">
        <x:v>683</x:v>
      </x:c>
      <x:c r="F8" s="1" t="s">
        <x:v>684</x:v>
      </x:c>
      <x:c r="G8" s="1">
        <x:v>1</x:v>
      </x:c>
      <x:c r="H8" s="5">
        <x:v>695</x:v>
      </x:c>
      <x:c r="I8" s="1" t="s">
        <x:v>685</x:v>
      </x:c>
      <x:c r="J8" s="1" t="s">
        <x:v>54</x:v>
      </x:c>
    </x:row>
    <x:row r="9" ht="145.0500030517578" customHeight="1">
      <x:c r="A9" s="1" t="s">
        <x:v>21</x:v>
      </x:c>
      <x:c r="B9" s="1" t="s">
        <x:v>22</x:v>
      </x:c>
      <x:c r="C9" s="1" t="s">
        <x:v>23</x:v>
      </x:c>
      <x:c r="D9" s="1" t="s">
        <x:v>419</x:v>
      </x:c>
      <x:c r="E9" s="1" t="s">
        <x:v>683</x:v>
      </x:c>
      <x:c r="F9" s="1" t="s">
        <x:v>684</x:v>
      </x:c>
      <x:c r="G9" s="1">
        <x:v>2</x:v>
      </x:c>
      <x:c r="H9" s="5">
        <x:v>719</x:v>
      </x:c>
      <x:c r="I9" s="1" t="s">
        <x:v>685</x:v>
      </x:c>
      <x:c r="J9" s="1" t="s">
        <x:v>28</x:v>
      </x:c>
    </x:row>
    <x:row r="10" ht="145.0500030517578" customHeight="1">
      <x:c r="A10" s="1" t="s">
        <x:v>687</x:v>
      </x:c>
      <x:c r="B10" s="1" t="s">
        <x:v>688</x:v>
      </x:c>
      <x:c r="C10" s="1" t="s">
        <x:v>689</x:v>
      </x:c>
      <x:c r="D10" s="1" t="s">
        <x:v>682</x:v>
      </x:c>
      <x:c r="E10" s="1" t="s">
        <x:v>683</x:v>
      </x:c>
      <x:c r="F10" s="1" t="s">
        <x:v>684</x:v>
      </x:c>
      <x:c r="G10" s="1">
        <x:v>3</x:v>
      </x:c>
      <x:c r="H10" s="5">
        <x:v>488</x:v>
      </x:c>
      <x:c r="I10" s="1" t="s">
        <x:v>685</x:v>
      </x:c>
      <x:c r="J10" s="1" t="s">
        <x:v>690</x:v>
      </x:c>
    </x:row>
    <x:row r="11" ht="145.0500030517578" customHeight="1">
      <x:c r="A11" s="1" t="s">
        <x:v>691</x:v>
      </x:c>
      <x:c r="B11" s="1" t="s">
        <x:v>692</x:v>
      </x:c>
      <x:c r="C11" s="1" t="s">
        <x:v>689</x:v>
      </x:c>
      <x:c r="D11" s="1" t="s">
        <x:v>440</x:v>
      </x:c>
      <x:c r="E11" s="1" t="s">
        <x:v>683</x:v>
      </x:c>
      <x:c r="F11" s="1" t="s">
        <x:v>684</x:v>
      </x:c>
      <x:c r="G11" s="1">
        <x:v>5</x:v>
      </x:c>
      <x:c r="H11" s="5">
        <x:v>673</x:v>
      </x:c>
      <x:c r="I11" s="1" t="s">
        <x:v>685</x:v>
      </x:c>
      <x:c r="J11" s="1" t="s">
        <x:v>693</x:v>
      </x:c>
    </x:row>
    <x:row r="12" ht="145.0500030517578" customHeight="1">
      <x:c r="A12" s="1" t="s">
        <x:v>694</x:v>
      </x:c>
      <x:c r="B12" s="1" t="s">
        <x:v>695</x:v>
      </x:c>
      <x:c r="C12" s="1" t="s">
        <x:v>23</x:v>
      </x:c>
      <x:c r="D12" s="1" t="s">
        <x:v>440</x:v>
      </x:c>
      <x:c r="E12" s="1" t="s">
        <x:v>683</x:v>
      </x:c>
      <x:c r="F12" s="1" t="s">
        <x:v>696</x:v>
      </x:c>
      <x:c r="G12" s="1">
        <x:v>5</x:v>
      </x:c>
      <x:c r="H12" s="5">
        <x:v>543</x:v>
      </x:c>
      <x:c r="I12" s="1" t="s">
        <x:v>697</x:v>
      </x:c>
      <x:c r="J12" s="1" t="s">
        <x:v>698</x:v>
      </x:c>
    </x:row>
    <x:row r="13" ht="145.0500030517578" customHeight="1">
      <x:c r="A13" s="1" t="s">
        <x:v>24</x:v>
      </x:c>
      <x:c r="B13" s="1" t="s">
        <x:v>699</x:v>
      </x:c>
      <x:c r="C13" s="1" t="s">
        <x:v>23</x:v>
      </x:c>
      <x:c r="D13" s="1" t="s">
        <x:v>419</x:v>
      </x:c>
      <x:c r="E13" s="1" t="s">
        <x:v>683</x:v>
      </x:c>
      <x:c r="F13" s="1" t="s">
        <x:v>696</x:v>
      </x:c>
      <x:c r="G13" s="1">
        <x:v>1</x:v>
      </x:c>
      <x:c r="H13" s="5">
        <x:v>584</x:v>
      </x:c>
      <x:c r="I13" s="1" t="s">
        <x:v>700</x:v>
      </x:c>
      <x:c r="J13" s="1" t="s">
        <x:v>701</x:v>
      </x:c>
    </x:row>
    <x:row r="14" ht="145.0500030517578" customHeight="1">
      <x:c r="A14" s="1" t="s">
        <x:v>702</x:v>
      </x:c>
      <x:c r="B14" s="1" t="s">
        <x:v>703</x:v>
      </x:c>
      <x:c r="C14" s="1" t="s">
        <x:v>689</x:v>
      </x:c>
      <x:c r="D14" s="1" t="s">
        <x:v>440</x:v>
      </x:c>
      <x:c r="E14" s="1" t="s">
        <x:v>683</x:v>
      </x:c>
      <x:c r="F14" s="1" t="s">
        <x:v>696</x:v>
      </x:c>
      <x:c r="G14" s="1">
        <x:v>3</x:v>
      </x:c>
      <x:c r="H14" s="5">
        <x:v>519</x:v>
      </x:c>
      <x:c r="I14" s="1" t="s">
        <x:v>704</x:v>
      </x:c>
      <x:c r="J14" s="1" t="s">
        <x:v>705</x:v>
      </x:c>
    </x:row>
    <x:row r="15" ht="145.0500030517578" customHeight="1">
      <x:c r="A15" s="1" t="s">
        <x:v>706</x:v>
      </x:c>
      <x:c r="B15" s="1" t="s">
        <x:v>707</x:v>
      </x:c>
      <x:c r="C15" s="1" t="s">
        <x:v>708</x:v>
      </x:c>
      <x:c r="D15" s="1" t="s">
        <x:v>440</x:v>
      </x:c>
      <x:c r="E15" s="1">
        <x:v>63</x:v>
      </x:c>
      <x:c r="F15" s="1" t="s">
        <x:v>696</x:v>
      </x:c>
      <x:c r="G15" s="1">
        <x:v>20</x:v>
      </x:c>
      <x:c r="H15" s="5">
        <x:v>45</x:v>
      </x:c>
      <x:c r="I15" s="1" t="s">
        <x:v>709</x:v>
      </x:c>
      <x:c r="J15" s="1" t="s">
        <x:v>710</x:v>
      </x:c>
    </x:row>
    <x:row r="16" ht="145.0500030517578" customHeight="1">
      <x:c r="A16" s="1" t="s">
        <x:v>289</x:v>
      </x:c>
      <x:c r="B16" s="1" t="s">
        <x:v>290</x:v>
      </x:c>
      <x:c r="C16" s="1" t="s">
        <x:v>23</x:v>
      </x:c>
      <x:c r="D16" s="1" t="s">
        <x:v>523</x:v>
      </x:c>
      <x:c r="E16" s="1" t="s">
        <x:v>683</x:v>
      </x:c>
      <x:c r="F16" s="1" t="s">
        <x:v>696</x:v>
      </x:c>
      <x:c r="G16" s="7">
        <x:v>0</x:v>
      </x:c>
      <x:c r="H16" s="5">
        <x:v>129</x:v>
      </x:c>
      <x:c r="I16" s="1" t="s">
        <x:v>711</x:v>
      </x:c>
      <x:c r="J16" s="1" t="s">
        <x:v>293</x:v>
      </x:c>
    </x:row>
    <x:row r="17" ht="145.0500030517578" customHeight="1">
      <x:c r="A17" s="1" t="s">
        <x:v>712</x:v>
      </x:c>
      <x:c r="B17" s="1" t="s">
        <x:v>713</x:v>
      </x:c>
      <x:c r="C17" s="1" t="s">
        <x:v>708</x:v>
      </x:c>
      <x:c r="D17" s="1" t="s">
        <x:v>682</x:v>
      </x:c>
      <x:c r="E17" s="1" t="s">
        <x:v>696</x:v>
      </x:c>
      <x:c r="F17" s="1" t="s">
        <x:v>696</x:v>
      </x:c>
      <x:c r="G17" s="1">
        <x:v>1</x:v>
      </x:c>
      <x:c r="H17" s="5">
        <x:v>61</x:v>
      </x:c>
      <x:c r="I17" s="1"/>
      <x:c r="J17" s="1" t="s">
        <x:v>714</x:v>
      </x:c>
    </x:row>
    <x:row r="18" ht="145.0500030517578" customHeight="1">
      <x:c r="A18" s="1" t="s">
        <x:v>715</x:v>
      </x:c>
      <x:c r="B18" s="1" t="s">
        <x:v>716</x:v>
      </x:c>
      <x:c r="C18" s="1" t="s">
        <x:v>708</x:v>
      </x:c>
      <x:c r="D18" s="1" t="s">
        <x:v>440</x:v>
      </x:c>
      <x:c r="E18" s="1" t="s">
        <x:v>696</x:v>
      </x:c>
      <x:c r="F18" s="1" t="s">
        <x:v>696</x:v>
      </x:c>
      <x:c r="G18" s="1">
        <x:v>7</x:v>
      </x:c>
      <x:c r="H18" s="5">
        <x:v>79</x:v>
      </x:c>
      <x:c r="I18" s="1"/>
      <x:c r="J18" s="1" t="s">
        <x:v>717</x:v>
      </x:c>
    </x:row>
    <x:row r="19" ht="145.0500030517578" customHeight="1">
      <x:c r="A19" s="1" t="s">
        <x:v>718</x:v>
      </x:c>
      <x:c r="B19" s="1" t="s">
        <x:v>719</x:v>
      </x:c>
      <x:c r="C19" s="1" t="s">
        <x:v>708</x:v>
      </x:c>
      <x:c r="D19" s="1" t="s">
        <x:v>419</x:v>
      </x:c>
      <x:c r="E19" s="1" t="s">
        <x:v>696</x:v>
      </x:c>
      <x:c r="F19" s="1" t="s">
        <x:v>696</x:v>
      </x:c>
      <x:c r="G19" s="1">
        <x:v>2</x:v>
      </x:c>
      <x:c r="H19" s="5">
        <x:v>107</x:v>
      </x:c>
      <x:c r="I19" s="1"/>
      <x:c r="J19" s="1" t="s">
        <x:v>720</x:v>
      </x:c>
    </x:row>
    <x:row r="20" ht="145.0500030517578" customHeight="1">
      <x:c r="A20" s="1" t="s">
        <x:v>721</x:v>
      </x:c>
      <x:c r="B20" s="1" t="s">
        <x:v>722</x:v>
      </x:c>
      <x:c r="C20" s="1" t="s">
        <x:v>708</x:v>
      </x:c>
      <x:c r="D20" s="1" t="s">
        <x:v>682</x:v>
      </x:c>
      <x:c r="E20" s="1" t="s">
        <x:v>696</x:v>
      </x:c>
      <x:c r="F20" s="1" t="s">
        <x:v>696</x:v>
      </x:c>
      <x:c r="G20" s="1">
        <x:v>4</x:v>
      </x:c>
      <x:c r="H20" s="5">
        <x:v>92</x:v>
      </x:c>
      <x:c r="I20" s="1" t="s">
        <x:v>723</x:v>
      </x:c>
      <x:c r="J20" s="1" t="s">
        <x:v>724</x:v>
      </x:c>
    </x:row>
    <x:row r="21" ht="145.0500030517578" customHeight="1">
      <x:c r="A21" s="1" t="s">
        <x:v>725</x:v>
      </x:c>
      <x:c r="B21" s="1" t="s">
        <x:v>726</x:v>
      </x:c>
      <x:c r="C21" s="1" t="s">
        <x:v>708</x:v>
      </x:c>
      <x:c r="D21" s="1" t="s">
        <x:v>440</x:v>
      </x:c>
      <x:c r="E21" s="1" t="s">
        <x:v>696</x:v>
      </x:c>
      <x:c r="F21" s="1" t="s">
        <x:v>696</x:v>
      </x:c>
      <x:c r="G21" s="1">
        <x:v>9</x:v>
      </x:c>
      <x:c r="H21" s="5">
        <x:v>101</x:v>
      </x:c>
      <x:c r="I21" s="1" t="s">
        <x:v>723</x:v>
      </x:c>
      <x:c r="J21" s="1" t="s">
        <x:v>727</x:v>
      </x:c>
    </x:row>
  </x:sheetData>
  <x:mergeCells>
    <x:mergeCell ref="A1:E1"/>
    <x:mergeCell ref="A2:E2"/>
    <x:mergeCell ref="A3:E3"/>
  </x:mergeCells>
  <x:pageMargins left="0.7" right="0.7" top="0.75" bottom="0.75" header="0.3" footer="0.3"/>
  <x:tableParts count="1">
    <x:tablePart xmlns:r="http://schemas.openxmlformats.org/officeDocument/2006/relationships" r:id="R5ebefbe492cc4f5c"/>
  </x:tableParts>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48" hidden="0" customWidth="1"/>
    <x:col min="2" max="2" width="14" hidden="0" customWidth="1"/>
    <x:col min="3" max="3" width="56" hidden="0" customWidth="1"/>
    <x:col min="4" max="4" width="14" hidden="0" customWidth="1"/>
    <x:col min="5" max="5" width="15" hidden="0" customWidth="1"/>
    <x:col min="6" max="6" width="65" hidden="0" customWidth="1"/>
    <x:col min="7" max="7" width="37" hidden="0" customWidth="1"/>
  </x:cols>
  <x:sheetData>
    <x:row r="1" ht="58" customHeight="1">
      <x:c r="A1" s="16" t="str">
        <x:v>ACASA · Necesar și stoc Tongou</x:v>
      </x:c>
      <x:c r="B1" s="15"/>
      <x:c r="C1" s="15"/>
      <x:c r="D1" s="15"/>
      <x:c r="E1" s="15"/>
      <x:c r="F1" s="15"/>
      <x:c r="G1" s="15"/>
    </x:row>
    <x:row r="2" ht="58" customHeight="1">
      <x:c r="A2" s="14" t="str">
        <x:v>2026.10.08 · Stoc din catalogul arhivat. Cantitățile sunt observații din fotografii, fără confirmarea eventualelor dubluri.</x:v>
      </x:c>
      <x:c r="B2" s="14"/>
      <x:c r="C2" s="14"/>
      <x:c r="D2" s="14"/>
      <x:c r="E2" s="14"/>
      <x:c r="F2" s="14"/>
      <x:c r="G2" s="14"/>
    </x:row>
    <x:row r="3" ht="58" customHeight="1">
      <x:c r="A3" s="14" t="str">
        <x:v>Necesarul de mai jos este un scenariu provizoriu: numai marcaje de curent citite clar + ceasul programator. Piesele ilizibile nu sunt transformate în necesar Tongou.</x:v>
      </x:c>
      <x:c r="B3" s="14"/>
      <x:c r="C3" s="14"/>
      <x:c r="D3" s="14"/>
      <x:c r="E3" s="14"/>
      <x:c r="F3" s="14"/>
      <x:c r="G3" s="14"/>
    </x:row>
    <x:row r="4" ht="58" customHeight="1">
      <x:c r="A4" s="14" t="str">
        <x:v>✓ albastru = candidat condiționat, NU înlocuitor validat. Stoc comun pe SKU: nu se însumează stocul repetat din primul tabel.</x:v>
      </x:c>
      <x:c r="B4" s="14"/>
      <x:c r="C4" s="14"/>
      <x:c r="D4" s="14"/>
      <x:c r="E4" s="14"/>
      <x:c r="F4" s="14"/>
      <x:c r="G4" s="14"/>
    </x:row>
    <x:row r="5" ht="12" customHeight="1">
      <x:c r="A5" s="14"/>
      <x:c r="B5" s="14"/>
      <x:c r="C5" s="14"/>
      <x:c r="D5" s="14"/>
      <x:c r="E5" s="14"/>
      <x:c r="F5" s="14"/>
      <x:c r="G5" s="14"/>
    </x:row>
    <x:row r="6" ht="38" customHeight="1">
      <x:c r="A6" s="17" t="str">
        <x:v>Ce am identificat</x:v>
      </x:c>
      <x:c r="B6" s="17" t="str">
        <x:v>Bucăți observate</x:v>
      </x:c>
      <x:c r="C6" s="17" t="str">
        <x:v>Echivalent utilizabil / candidat</x:v>
      </x:c>
      <x:c r="D6" s="17" t="str">
        <x:v>Stoc SKU</x:v>
      </x:c>
      <x:c r="E6" s="17" t="str">
        <x:v>SKU Tongou</x:v>
      </x:c>
      <x:c r="F6" s="17" t="str">
        <x:v>Observații</x:v>
      </x:c>
      <x:c r="G6" s="17" t="str">
        <x:v>Repere foto</x:v>
      </x:c>
    </x:row>
    <x:row r="7" ht="58" customHeight="1">
      <x:c r="A7" s="14" t="str">
        <x:v>Disjunctor MCB · 4P · Ilizibil</x:v>
      </x:c>
      <x:c r="B7" s="14" t="n">
        <x:f>SUM('Inventar foto'!E6)</x:f>
        <x:v>1</x:v>
      </x:c>
      <x:c r="C7" s="18" t="str">
        <x:v>De identificat / fără echivalent verificat</x:v>
      </x:c>
      <x:c r="D7" s="14" t="str">
        <x:v>—</x:v>
      </x:c>
      <x:c r="E7" s="14" t="str"/>
      <x:c r="F7" s="14" t="str">
        <x:v>Fără echivalent validat / identificare incompletă. Se selectează separat; nu intră în necesarul de SKU.</x:v>
      </x:c>
      <x:c r="G7" s="14" t="str">
        <x:v>F1-01</x:v>
      </x:c>
    </x:row>
    <x:row r="8" ht="58" customHeight="1">
      <x:c r="A8" s="19" t="str">
        <x:v>Aparat modular văzut din spate · 3P aparent</x:v>
      </x:c>
      <x:c r="B8" s="19" t="n">
        <x:f>SUM('Inventar foto'!E7)</x:f>
        <x:v>1</x:v>
      </x:c>
      <x:c r="C8" s="18" t="str">
        <x:v>De identificat / fără echivalent verificat</x:v>
      </x:c>
      <x:c r="D8" s="14" t="str">
        <x:v>—</x:v>
      </x:c>
      <x:c r="E8" s="14" t="str"/>
      <x:c r="F8" s="14" t="str">
        <x:v>Fără echivalent validat / identificare incompletă. Se selectează separat; nu intră în necesarul de SKU.</x:v>
      </x:c>
      <x:c r="G8" s="14" t="str">
        <x:v>F1-02</x:v>
      </x:c>
    </x:row>
    <x:row r="9" ht="58" customHeight="1">
      <x:c r="A9" s="14" t="str">
        <x:v>Disjunctor MCB · 1P · C50</x:v>
      </x:c>
      <x:c r="B9" s="14" t="n">
        <x:f>SUM('Inventar foto'!E8,'Inventar foto'!E9,'Inventar foto'!E10)</x:f>
        <x:v>3</x:v>
      </x:c>
      <x:c r="C9" s="18" t="str">
        <x:v>De identificat / fără echivalent verificat</x:v>
      </x:c>
      <x:c r="D9" s="14" t="str">
        <x:v>—</x:v>
      </x:c>
      <x:c r="E9" s="14" t="str"/>
      <x:c r="F9" s="14" t="str">
        <x:v>Fără echivalent validat / identificare incompletă. Se selectează separat; nu intră în necesarul de SKU.</x:v>
      </x:c>
      <x:c r="G9" s="14" t="str">
        <x:v>F1-03, F1-04, F1-05</x:v>
      </x:c>
    </x:row>
    <x:row r="10" ht="58" customHeight="1">
      <x:c r="A10" s="19" t="str">
        <x:v>Disjunctor MCB · 3P · C20</x:v>
      </x:c>
      <x:c r="B10" s="19" t="n">
        <x:f>SUM('Inventar foto'!E11)</x:f>
        <x:v>1</x:v>
      </x:c>
      <x:c r="C10" s="20" t="str">
        <x:v>DISJUNCTOR SMART RCBO 3P 1-63A 30-500mA CU POWER METER ZIGBEE TOQCB2L TONGOU</x:v>
      </x:c>
      <x:c r="D10" s="14" t="n">
        <x:f>'Produse candidate'!G8</x:f>
        <x:v>1</x:v>
      </x:c>
      <x:c r="E10" s="14" t="str">
        <x:v>43080</x:v>
      </x:c>
      <x:c r="F10" s="14" t="str">
        <x:v>✓ Utilizabil numai după verificarea nominalului, curbei, Icn și tipului RCD; vezi Echivalente propuse.</x:v>
      </x:c>
      <x:c r="G10" s="14" t="str">
        <x:v>F1-06</x:v>
      </x:c>
    </x:row>
    <x:row r="11" ht="58" customHeight="1">
      <x:c r="A11" s="14" t="str">
        <x:v>Disjunctor MCB · 3P aparent · C16</x:v>
      </x:c>
      <x:c r="B11" s="14" t="n">
        <x:f>SUM('Inventar foto'!E12)</x:f>
        <x:v>1</x:v>
      </x:c>
      <x:c r="C11" s="18" t="str">
        <x:v>De identificat / fără echivalent verificat</x:v>
      </x:c>
      <x:c r="D11" s="14" t="str">
        <x:v>—</x:v>
      </x:c>
      <x:c r="E11" s="14" t="str"/>
      <x:c r="F11" s="14" t="str">
        <x:v>Fără echivalent validat / identificare incompletă. Se selectează separat; nu intră în necesarul de SKU.</x:v>
      </x:c>
      <x:c r="G11" s="14" t="str">
        <x:v>F1-07</x:v>
      </x:c>
    </x:row>
    <x:row r="12" ht="58" customHeight="1">
      <x:c r="A12" s="19" t="str">
        <x:v>Disjunctor MCB · 3P aparent · C10</x:v>
      </x:c>
      <x:c r="B12" s="19" t="n">
        <x:f>SUM('Inventar foto'!E13)</x:f>
        <x:v>1</x:v>
      </x:c>
      <x:c r="C12" s="18" t="str">
        <x:v>De identificat / fără echivalent verificat</x:v>
      </x:c>
      <x:c r="D12" s="14" t="str">
        <x:v>—</x:v>
      </x:c>
      <x:c r="E12" s="14" t="str"/>
      <x:c r="F12" s="14" t="str">
        <x:v>Fără echivalent validat / identificare incompletă. Se selectează separat; nu intră în necesarul de SKU.</x:v>
      </x:c>
      <x:c r="G12" s="14" t="str">
        <x:v>F1-08</x:v>
      </x:c>
    </x:row>
    <x:row r="13" ht="58" customHeight="1">
      <x:c r="A13" s="14" t="str">
        <x:v>Aparate modulare acoperite</x:v>
      </x:c>
      <x:c r="B13" s="14" t="str">
        <x:v>Necunoscut</x:v>
      </x:c>
      <x:c r="C13" s="18" t="str">
        <x:v>De identificat / fără echivalent verificat</x:v>
      </x:c>
      <x:c r="D13" s="14" t="str">
        <x:v>—</x:v>
      </x:c>
      <x:c r="E13" s="14" t="str"/>
      <x:c r="F13" s="14" t="str">
        <x:v>Cantitate de măsurat / numărat fizic. Fără echivalent validat / identificare incompletă. Se selectează separat; nu intră în necesarul de SKU.</x:v>
      </x:c>
      <x:c r="G13" s="14" t="str">
        <x:v>F1-09</x:v>
      </x:c>
    </x:row>
    <x:row r="14" ht="58" customHeight="1">
      <x:c r="A14" s="19" t="str">
        <x:v>Disjunctor MCB · 1P+N probabil · C20 aparent</x:v>
      </x:c>
      <x:c r="B14" s="19" t="n">
        <x:f>SUM('Inventar foto'!E15,'Inventar foto'!E16,'Inventar foto'!E17,'Inventar foto'!E18,'Inventar foto'!E19,'Inventar foto'!E20)</x:f>
        <x:v>6</x:v>
      </x:c>
      <x:c r="C14" s="18" t="str">
        <x:v>De identificat / fără echivalent verificat</x:v>
      </x:c>
      <x:c r="D14" s="14" t="str">
        <x:v>—</x:v>
      </x:c>
      <x:c r="E14" s="14" t="str"/>
      <x:c r="F14" s="14" t="str">
        <x:v>Fără echivalent validat / identificare incompletă. Se selectează separat; nu intră în necesarul de SKU.</x:v>
      </x:c>
      <x:c r="G14" s="14" t="str">
        <x:v>F1-10, F1-11, F1-12, F1-13, F1-14, F1-15</x:v>
      </x:c>
    </x:row>
    <x:row r="15" ht="58" customHeight="1">
      <x:c r="A15" s="14" t="str">
        <x:v>Disjunctor MCB · 1P+N probabil · Ilizibil</x:v>
      </x:c>
      <x:c r="B15" s="14" t="n">
        <x:f>SUM('Inventar foto'!E21,'Inventar foto'!E22,'Inventar foto'!E23,'Inventar foto'!E27,'Inventar foto'!E28,'Inventar foto'!E29,'Inventar foto'!E33,'Inventar foto'!E34,'Inventar foto'!E39,'Inventar foto'!E40,'Inventar foto'!E46,'Inventar foto'!E47,'Inventar foto'!E48,'Inventar foto'!E49,'Inventar foto'!E50,'Inventar foto'!E51,'Inventar foto'!E52,'Inventar foto'!E53)</x:f>
        <x:v>11</x:v>
      </x:c>
      <x:c r="C15" s="18" t="str">
        <x:v>De identificat / fără echivalent verificat</x:v>
      </x:c>
      <x:c r="D15" s="14" t="str">
        <x:v>—</x:v>
      </x:c>
      <x:c r="E15" s="14" t="str"/>
      <x:c r="F15" s="14" t="str">
        <x:v>Fără echivalent validat / identificare incompletă. Se selectează separat; nu intră în necesarul de SKU.</x:v>
      </x:c>
      <x:c r="G15" s="14" t="str">
        <x:v>F1-16, F1-17, F1-18, F1-22, F1-23, F1-24, F1-28, F1-29, F1-34, F1-35, F1-41, F1-42, F1-43, F1-44, F1-45, F1-46, F1-47, F1-48</x:v>
      </x:c>
    </x:row>
    <x:row r="16" ht="58" customHeight="1">
      <x:c r="A16" s="19" t="str">
        <x:v>Disjunctor MCB · 1P+N probabil · C16</x:v>
      </x:c>
      <x:c r="B16" s="19" t="n">
        <x:f>SUM('Inventar foto'!E24,'Inventar foto'!E25,'Inventar foto'!E26,'Inventar foto'!E30)</x:f>
        <x:v>4</x:v>
      </x:c>
      <x:c r="C16" s="20" t="str">
        <x:v>DISJUNCTOR RCBO SMART 1P+N 1...40A 10...100mA ZIGBEE TOSMR1 TONGOU</x:v>
      </x:c>
      <x:c r="D16" s="14" t="n">
        <x:f>'Produse candidate'!G6</x:f>
        <x:v>3</x:v>
      </x:c>
      <x:c r="E16" s="14" t="str">
        <x:v>43082</x:v>
      </x:c>
      <x:c r="F16" s="14" t="str">
        <x:v>✓ Utilizabil numai după verificarea nominalului, curbei, Icn și tipului RCD; vezi Echivalente propuse.</x:v>
      </x:c>
      <x:c r="G16" s="14" t="str">
        <x:v>F1-19, F1-20, F1-21, F1-25</x:v>
      </x:c>
    </x:row>
    <x:row r="17" ht="58" customHeight="1">
      <x:c r="A17" s="14" t="str">
        <x:v>Disjunctor MCB · 1P+N probabil · C10</x:v>
      </x:c>
      <x:c r="B17" s="14" t="n">
        <x:f>SUM('Inventar foto'!E31,'Inventar foto'!E32,'Inventar foto'!E35,'Inventar foto'!E36,'Inventar foto'!E37,'Inventar foto'!E38)</x:f>
        <x:v>6</x:v>
      </x:c>
      <x:c r="C17" s="20" t="str">
        <x:v>DISJUNCTOR RCBO SMART 1P+N 1...40A 10...100mA ZIGBEE TOSMR1 TONGOU</x:v>
      </x:c>
      <x:c r="D17" s="14" t="n">
        <x:f>'Produse candidate'!G6</x:f>
        <x:v>3</x:v>
      </x:c>
      <x:c r="E17" s="14" t="str">
        <x:v>43082</x:v>
      </x:c>
      <x:c r="F17" s="14" t="str">
        <x:v>✓ Utilizabil numai după verificarea nominalului, curbei, Icn și tipului RCD; vezi Echivalente propuse.</x:v>
      </x:c>
      <x:c r="G17" s="14" t="str">
        <x:v>F1-26, F1-27, F1-30, F1-31, F1-32, F1-33</x:v>
      </x:c>
    </x:row>
    <x:row r="18" ht="58" customHeight="1">
      <x:c r="A18" s="19" t="str">
        <x:v>Disjunctor MCB · 1P+N probabil · C6</x:v>
      </x:c>
      <x:c r="B18" s="19" t="n">
        <x:f>SUM('Inventar foto'!E41,'Inventar foto'!E42,'Inventar foto'!E43,'Inventar foto'!E44,'Inventar foto'!E45)</x:f>
        <x:v>5</x:v>
      </x:c>
      <x:c r="C18" s="20" t="str">
        <x:v>DISJUNCTOR RCBO SMART 1P+N 1...40A 10...100mA ZIGBEE TOSMR1 TONGOU</x:v>
      </x:c>
      <x:c r="D18" s="14" t="n">
        <x:f>'Produse candidate'!G6</x:f>
        <x:v>3</x:v>
      </x:c>
      <x:c r="E18" s="14" t="str">
        <x:v>43082</x:v>
      </x:c>
      <x:c r="F18" s="14" t="str">
        <x:v>✓ Utilizabil numai după verificarea nominalului, curbei, Icn și tipului RCD; vezi Echivalente propuse.</x:v>
      </x:c>
      <x:c r="G18" s="14" t="str">
        <x:v>F1-36, F1-37, F1-38, F1-39, F1-40</x:v>
      </x:c>
    </x:row>
    <x:row r="19" ht="58" customHeight="1">
      <x:c r="A19" s="14" t="str">
        <x:v>Priză modulară DIN cu contact de protecție</x:v>
      </x:c>
      <x:c r="B19" s="14" t="n">
        <x:f>SUM('Inventar foto'!E54)</x:f>
        <x:v>2</x:v>
      </x:c>
      <x:c r="C19" s="18" t="str">
        <x:v>De identificat / fără echivalent verificat</x:v>
      </x:c>
      <x:c r="D19" s="14" t="str">
        <x:v>—</x:v>
      </x:c>
      <x:c r="E19" s="14" t="str"/>
      <x:c r="F19" s="14" t="str">
        <x:v>Fără echivalent validat / identificare incompletă. Se selectează separat; nu intră în necesarul de SKU.</x:v>
      </x:c>
      <x:c r="G19" s="14" t="str">
        <x:v>F1-49</x:v>
      </x:c>
    </x:row>
    <x:row r="20" ht="58" customHeight="1">
      <x:c r="A20" s="19" t="str">
        <x:v>Contactor de putere · 3P aparent</x:v>
      </x:c>
      <x:c r="B20" s="19" t="n">
        <x:f>SUM('Inventar foto'!E55)</x:f>
        <x:v>1</x:v>
      </x:c>
      <x:c r="C20" s="18" t="str">
        <x:v>De identificat / fără echivalent verificat</x:v>
      </x:c>
      <x:c r="D20" s="14" t="str">
        <x:v>—</x:v>
      </x:c>
      <x:c r="E20" s="14" t="str"/>
      <x:c r="F20" s="14" t="str">
        <x:v>Fără echivalent validat / identificare incompletă. Se selectează separat; nu intră în necesarul de SKU.</x:v>
      </x:c>
      <x:c r="G20" s="14" t="str">
        <x:v>F1-50</x:v>
      </x:c>
    </x:row>
    <x:row r="21" ht="58" customHeight="1">
      <x:c r="A21" s="14" t="str">
        <x:v>Contactor/releu auxiliar</x:v>
      </x:c>
      <x:c r="B21" s="14" t="n">
        <x:f>SUM('Inventar foto'!E56)</x:f>
        <x:v>1</x:v>
      </x:c>
      <x:c r="C21" s="18" t="str">
        <x:v>De identificat / fără echivalent verificat</x:v>
      </x:c>
      <x:c r="D21" s="14" t="str">
        <x:v>—</x:v>
      </x:c>
      <x:c r="E21" s="14" t="str"/>
      <x:c r="F21" s="14" t="str">
        <x:v>Fără echivalent validat / identificare incompletă. Se selectează separat; nu intră în necesarul de SKU.</x:v>
      </x:c>
      <x:c r="G21" s="14" t="str">
        <x:v>F1-51</x:v>
      </x:c>
    </x:row>
    <x:row r="22" ht="58" customHeight="1">
      <x:c r="A22" s="19" t="str">
        <x:v>Disjunctor MCB · 3P · Ilizibil</x:v>
      </x:c>
      <x:c r="B22" s="19" t="n">
        <x:f>SUM('Inventar foto'!E57,'Inventar foto'!E68,'Inventar foto'!E70,'Inventar foto'!E71)</x:f>
        <x:v>4</x:v>
      </x:c>
      <x:c r="C22" s="18" t="str">
        <x:v>De identificat / fără echivalent verificat</x:v>
      </x:c>
      <x:c r="D22" s="14" t="str">
        <x:v>—</x:v>
      </x:c>
      <x:c r="E22" s="14" t="str"/>
      <x:c r="F22" s="14" t="str">
        <x:v>Fără echivalent validat / identificare incompletă. Se selectează separat; nu intră în necesarul de SKU.</x:v>
      </x:c>
      <x:c r="G22" s="14" t="str">
        <x:v>F1-52, F3-04, F3-06, F3-07</x:v>
      </x:c>
    </x:row>
    <x:row r="23" ht="58" customHeight="1">
      <x:c r="A23" s="14" t="str">
        <x:v>Bloc de distribuție cu capac</x:v>
      </x:c>
      <x:c r="B23" s="14" t="n">
        <x:f>SUM('Inventar foto'!E58)</x:f>
        <x:v>1</x:v>
      </x:c>
      <x:c r="C23" s="18" t="str">
        <x:v>De identificat / fără echivalent verificat</x:v>
      </x:c>
      <x:c r="D23" s="14" t="str">
        <x:v>—</x:v>
      </x:c>
      <x:c r="E23" s="14" t="str"/>
      <x:c r="F23" s="14" t="str">
        <x:v>Fără echivalent validat / identificare incompletă. Se selectează separat; nu intră în necesarul de SKU.</x:v>
      </x:c>
      <x:c r="G23" s="14" t="str">
        <x:v>F1-53</x:v>
      </x:c>
    </x:row>
    <x:row r="24" ht="58" customHeight="1">
      <x:c r="A24" s="19" t="str">
        <x:v>Contactor de putere · 3P · 3RT1054-1…6</x:v>
      </x:c>
      <x:c r="B24" s="19" t="n">
        <x:f>SUM('Inventar foto'!E59)</x:f>
        <x:v>1</x:v>
      </x:c>
      <x:c r="C24" s="18" t="str">
        <x:v>De identificat / fără echivalent verificat</x:v>
      </x:c>
      <x:c r="D24" s="14" t="str">
        <x:v>—</x:v>
      </x:c>
      <x:c r="E24" s="14" t="str"/>
      <x:c r="F24" s="14" t="str">
        <x:v>Fără echivalent validat / identificare incompletă. Se selectează separat; nu intră în necesarul de SKU.</x:v>
      </x:c>
      <x:c r="G24" s="14" t="str">
        <x:v>F2-01</x:v>
      </x:c>
    </x:row>
    <x:row r="25" ht="58" customHeight="1">
      <x:c r="A25" s="14" t="str">
        <x:v>Bloc auxiliar atașat</x:v>
      </x:c>
      <x:c r="B25" s="14" t="n">
        <x:f>SUM('Inventar foto'!E60)</x:f>
        <x:v>1</x:v>
      </x:c>
      <x:c r="C25" s="18" t="str">
        <x:v>De identificat / fără echivalent verificat</x:v>
      </x:c>
      <x:c r="D25" s="14" t="str">
        <x:v>—</x:v>
      </x:c>
      <x:c r="E25" s="14" t="str"/>
      <x:c r="F25" s="14" t="str">
        <x:v>Fără echivalent validat / identificare incompletă. Se selectează separat; nu intră în necesarul de SKU.</x:v>
      </x:c>
      <x:c r="G25" s="14" t="str">
        <x:v>F2-02</x:v>
      </x:c>
    </x:row>
    <x:row r="26" ht="58" customHeight="1">
      <x:c r="A26" s="19" t="str">
        <x:v>Disjunctor MCB · 1P+N · C16</x:v>
      </x:c>
      <x:c r="B26" s="19" t="n">
        <x:f>SUM('Inventar foto'!E61,'Inventar foto'!E122,'Inventar foto'!E123,'Inventar foto'!E124,'Inventar foto'!E125,'Inventar foto'!E126)</x:f>
        <x:v>6</x:v>
      </x:c>
      <x:c r="C26" s="20" t="str">
        <x:v>DISJUNCTOR RCBO SMART 1P+N 1...40A 10...100mA ZIGBEE TOSMR1 TONGOU</x:v>
      </x:c>
      <x:c r="D26" s="14" t="n">
        <x:f>'Produse candidate'!G6</x:f>
        <x:v>3</x:v>
      </x:c>
      <x:c r="E26" s="14" t="str">
        <x:v>43082</x:v>
      </x:c>
      <x:c r="F26" s="14" t="str">
        <x:v>✓ Utilizabil numai după verificarea nominalului, curbei, Icn și tipului RCD; vezi Echivalente propuse.</x:v>
      </x:c>
      <x:c r="G26" s="14" t="str">
        <x:v>F2-03, F7-09, F7-10, F7-11, F7-12, F7-13</x:v>
      </x:c>
    </x:row>
    <x:row r="27" ht="58" customHeight="1">
      <x:c r="A27" s="14" t="str">
        <x:v>Disjunctor MCB · 1P+N · C6 aparent</x:v>
      </x:c>
      <x:c r="B27" s="14" t="n">
        <x:f>SUM('Inventar foto'!E62)</x:f>
        <x:v>1</x:v>
      </x:c>
      <x:c r="C27" s="18" t="str">
        <x:v>De identificat / fără echivalent verificat</x:v>
      </x:c>
      <x:c r="D27" s="14" t="str">
        <x:v>—</x:v>
      </x:c>
      <x:c r="E27" s="14" t="str"/>
      <x:c r="F27" s="14" t="str">
        <x:v>Fără echivalent validat / identificare incompletă. Se selectează separat; nu intră în necesarul de SKU.</x:v>
      </x:c>
      <x:c r="G27" s="14" t="str">
        <x:v>F2-04</x:v>
      </x:c>
    </x:row>
    <x:row r="28" ht="58" customHeight="1">
      <x:c r="A28" s="19" t="str">
        <x:v>Disjunctor MCB · 3P · C80</x:v>
      </x:c>
      <x:c r="B28" s="19" t="n">
        <x:f>SUM('Inventar foto'!E63)</x:f>
        <x:v>1</x:v>
      </x:c>
      <x:c r="C28" s="18" t="str">
        <x:v>De identificat / fără echivalent verificat</x:v>
      </x:c>
      <x:c r="D28" s="14" t="str">
        <x:v>—</x:v>
      </x:c>
      <x:c r="E28" s="14" t="str"/>
      <x:c r="F28" s="14" t="str">
        <x:v>Fără echivalent validat / identificare incompletă. Se selectează separat; nu intră în necesarul de SKU.</x:v>
      </x:c>
      <x:c r="G28" s="14" t="str">
        <x:v>F2-05</x:v>
      </x:c>
    </x:row>
    <x:row r="29" ht="58" customHeight="1">
      <x:c r="A29" s="14" t="str">
        <x:v>Disjunctor MCB · 4P · C40</x:v>
      </x:c>
      <x:c r="B29" s="14" t="n">
        <x:f>SUM('Inventar foto'!E64)</x:f>
        <x:v>1</x:v>
      </x:c>
      <x:c r="C29" s="20" t="str">
        <x:v>DISJUNCTOR SMART RCBO 4P 1-63A 30-500mA CU POWER METER ZIGBEE TOQCB2L TONGOU</x:v>
      </x:c>
      <x:c r="D29" s="14" t="n">
        <x:f>'Produse candidate'!G9</x:f>
        <x:v>2</x:v>
      </x:c>
      <x:c r="E29" s="14" t="str">
        <x:v>43081</x:v>
      </x:c>
      <x:c r="F29" s="14" t="str">
        <x:v>✓ Utilizabil numai după verificarea nominalului, curbei, Icn și tipului RCD; vezi Echivalente propuse.</x:v>
      </x:c>
      <x:c r="G29" s="14" t="str">
        <x:v>F2-06</x:v>
      </x:c>
    </x:row>
    <x:row r="30" ht="58" customHeight="1">
      <x:c r="A30" s="19" t="str">
        <x:v>Contactor de putere · 3P · 3RT10…</x:v>
      </x:c>
      <x:c r="B30" s="19" t="n">
        <x:f>SUM('Inventar foto'!E65,'Inventar foto'!E66)</x:f>
        <x:v>2</x:v>
      </x:c>
      <x:c r="C30" s="18" t="str">
        <x:v>De identificat / fără echivalent verificat</x:v>
      </x:c>
      <x:c r="D30" s="14" t="str">
        <x:v>—</x:v>
      </x:c>
      <x:c r="E30" s="14" t="str"/>
      <x:c r="F30" s="14" t="str">
        <x:v>Fără echivalent validat / identificare incompletă. Se selectează separat; nu intră în necesarul de SKU.</x:v>
      </x:c>
      <x:c r="G30" s="14" t="str">
        <x:v>F3-01, F3-02</x:v>
      </x:c>
    </x:row>
    <x:row r="31" ht="58" customHeight="1">
      <x:c r="A31" s="14" t="str">
        <x:v>Disjunctoare parțial vizibile · Nedeterminat · Ilizibil</x:v>
      </x:c>
      <x:c r="B31" s="14" t="n">
        <x:f>SUM('Inventar foto'!E67)</x:f>
        <x:v>2</x:v>
      </x:c>
      <x:c r="C31" s="18" t="str">
        <x:v>De identificat / fără echivalent verificat</x:v>
      </x:c>
      <x:c r="D31" s="14" t="str">
        <x:v>—</x:v>
      </x:c>
      <x:c r="E31" s="14" t="str"/>
      <x:c r="F31" s="14" t="str">
        <x:v>Fără echivalent validat / identificare incompletă. Se selectează separat; nu intră în necesarul de SKU.</x:v>
      </x:c>
      <x:c r="G31" s="14" t="str">
        <x:v>F3-03</x:v>
      </x:c>
    </x:row>
    <x:row r="32" ht="58" customHeight="1">
      <x:c r="A32" s="19" t="str">
        <x:v>Disjunctor MCB · 4P aparent · Ilizibil</x:v>
      </x:c>
      <x:c r="B32" s="19" t="n">
        <x:f>SUM('Inventar foto'!E69)</x:f>
        <x:v>1</x:v>
      </x:c>
      <x:c r="C32" s="18" t="str">
        <x:v>De identificat / fără echivalent verificat</x:v>
      </x:c>
      <x:c r="D32" s="14" t="str">
        <x:v>—</x:v>
      </x:c>
      <x:c r="E32" s="14" t="str"/>
      <x:c r="F32" s="14" t="str">
        <x:v>Fără echivalent validat / identificare incompletă. Se selectează separat; nu intră în necesarul de SKU.</x:v>
      </x:c>
      <x:c r="G32" s="14" t="str">
        <x:v>F3-05</x:v>
      </x:c>
    </x:row>
    <x:row r="33" ht="58" customHeight="1">
      <x:c r="A33" s="14" t="str">
        <x:v>Ecran izolant transparent</x:v>
      </x:c>
      <x:c r="B33" s="14" t="n">
        <x:f>SUM('Inventar foto'!E72)</x:f>
        <x:v>1</x:v>
      </x:c>
      <x:c r="C33" s="18" t="str">
        <x:v>De identificat / fără echivalent verificat</x:v>
      </x:c>
      <x:c r="D33" s="14" t="str">
        <x:v>—</x:v>
      </x:c>
      <x:c r="E33" s="14" t="str"/>
      <x:c r="F33" s="14" t="str">
        <x:v>Fără echivalent validat / identificare incompletă. Se selectează separat; nu intră în necesarul de SKU.</x:v>
      </x:c>
      <x:c r="G33" s="14" t="str">
        <x:v>F3-08</x:v>
      </x:c>
    </x:row>
    <x:row r="34" ht="58" customHeight="1">
      <x:c r="A34" s="19" t="str">
        <x:v>Conectori / blocuri de conexiune</x:v>
      </x:c>
      <x:c r="B34" s="19" t="str">
        <x:v>Necunoscut</x:v>
      </x:c>
      <x:c r="C34" s="18" t="str">
        <x:v>De identificat / fără echivalent verificat</x:v>
      </x:c>
      <x:c r="D34" s="14" t="str">
        <x:v>—</x:v>
      </x:c>
      <x:c r="E34" s="14" t="str"/>
      <x:c r="F34" s="14" t="str">
        <x:v>Cantitate de măsurat / numărat fizic. Fără echivalent validat / identificare incompletă. Se selectează separat; nu intră în necesarul de SKU.</x:v>
      </x:c>
      <x:c r="G34" s="14" t="str">
        <x:v>F3-09</x:v>
      </x:c>
    </x:row>
    <x:row r="35" ht="58" customHeight="1">
      <x:c r="A35" s="14" t="str">
        <x:v>Disjunctor MCB · 3P · C40</x:v>
      </x:c>
      <x:c r="B35" s="14" t="n">
        <x:f>SUM('Inventar foto'!E74,'Inventar foto'!E75,'Inventar foto'!E105)</x:f>
        <x:v>3</x:v>
      </x:c>
      <x:c r="C35" s="20" t="str">
        <x:v>DISJUNCTOR SMART RCBO 3P 1-63A 30-500mA CU POWER METER ZIGBEE TOQCB2L TONGOU</x:v>
      </x:c>
      <x:c r="D35" s="14" t="n">
        <x:f>'Produse candidate'!G8</x:f>
        <x:v>1</x:v>
      </x:c>
      <x:c r="E35" s="14" t="str">
        <x:v>43080</x:v>
      </x:c>
      <x:c r="F35" s="14" t="str">
        <x:v>✓ Utilizabil numai după verificarea nominalului, curbei, Icn și tipului RCD; vezi Echivalente propuse.</x:v>
      </x:c>
      <x:c r="G35" s="14" t="str">
        <x:v>F4-01, F4-02, F6-04</x:v>
      </x:c>
    </x:row>
    <x:row r="36" ht="58" customHeight="1">
      <x:c r="A36" s="19" t="str">
        <x:v>Disjunctor MCB · 3P · C16</x:v>
      </x:c>
      <x:c r="B36" s="19" t="n">
        <x:f>SUM('Inventar foto'!E76,'Inventar foto'!E102,'Inventar foto'!E103,'Inventar foto'!E106,'Inventar foto'!E107,'Inventar foto'!E108,'Inventar foto'!E115)</x:f>
        <x:v>7</x:v>
      </x:c>
      <x:c r="C36" s="20" t="str">
        <x:v>DISJUNCTOR SMART RCBO 3P 1-63A 30-500mA CU POWER METER ZIGBEE TOQCB2L TONGOU</x:v>
      </x:c>
      <x:c r="D36" s="14" t="n">
        <x:f>'Produse candidate'!G8</x:f>
        <x:v>1</x:v>
      </x:c>
      <x:c r="E36" s="14" t="str">
        <x:v>43080</x:v>
      </x:c>
      <x:c r="F36" s="14" t="str">
        <x:v>✓ Utilizabil numai după verificarea nominalului, curbei, Icn și tipului RCD; vezi Echivalente propuse.</x:v>
      </x:c>
      <x:c r="G36" s="14" t="str">
        <x:v>F4-03, F6-01, F6-02, F6-05, F6-06, F6-07, F7-02</x:v>
      </x:c>
    </x:row>
    <x:row r="37" ht="58" customHeight="1">
      <x:c r="A37" s="14" t="str">
        <x:v>Disjunctor MCB · 3P · C6</x:v>
      </x:c>
      <x:c r="B37" s="14" t="n">
        <x:f>SUM('Inventar foto'!E77,'Inventar foto'!E121)</x:f>
        <x:v>2</x:v>
      </x:c>
      <x:c r="C37" s="20" t="str">
        <x:v>DISJUNCTOR SMART RCBO 3P 1-63A 30-500mA CU POWER METER ZIGBEE TOQCB2L TONGOU</x:v>
      </x:c>
      <x:c r="D37" s="14" t="n">
        <x:f>'Produse candidate'!G8</x:f>
        <x:v>1</x:v>
      </x:c>
      <x:c r="E37" s="14" t="str">
        <x:v>43080</x:v>
      </x:c>
      <x:c r="F37" s="14" t="str">
        <x:v>✓ Utilizabil numai după verificarea nominalului, curbei, Icn și tipului RCD; vezi Echivalente propuse.</x:v>
      </x:c>
      <x:c r="G37" s="14" t="str">
        <x:v>F4-04, F7-08</x:v>
      </x:c>
    </x:row>
    <x:row r="38" ht="58" customHeight="1">
      <x:c r="A38" s="19" t="str">
        <x:v>Disjunctor MCB · 1P+N · C20</x:v>
      </x:c>
      <x:c r="B38" s="19" t="n">
        <x:f>SUM('Inventar foto'!E78,'Inventar foto'!E79,'Inventar foto'!E80)</x:f>
        <x:v>3</x:v>
      </x:c>
      <x:c r="C38" s="20" t="str">
        <x:v>DISJUNCTOR RCBO SMART 1P+N 1...40A 10...100mA ZIGBEE TOSMR1 TONGOU</x:v>
      </x:c>
      <x:c r="D38" s="14" t="n">
        <x:f>'Produse candidate'!G6</x:f>
        <x:v>3</x:v>
      </x:c>
      <x:c r="E38" s="14" t="str">
        <x:v>43082</x:v>
      </x:c>
      <x:c r="F38" s="14" t="str">
        <x:v>✓ Utilizabil numai după verificarea nominalului, curbei, Icn și tipului RCD; vezi Echivalente propuse.</x:v>
      </x:c>
      <x:c r="G38" s="14" t="str">
        <x:v>F4-05, F4-06, F4-07</x:v>
      </x:c>
    </x:row>
    <x:row r="39" ht="58" customHeight="1">
      <x:c r="A39" s="14" t="str">
        <x:v>Disjunctor MCB · 1P+N · C10</x:v>
      </x:c>
      <x:c r="B39" s="14" t="n">
        <x:f>SUM('Inventar foto'!E81,'Inventar foto'!E109,'Inventar foto'!E117,'Inventar foto'!E118,'Inventar foto'!E119)</x:f>
        <x:v>5</x:v>
      </x:c>
      <x:c r="C39" s="20" t="str">
        <x:v>DISJUNCTOR RCBO SMART 1P+N 1...40A 10...100mA ZIGBEE TOSMR1 TONGOU</x:v>
      </x:c>
      <x:c r="D39" s="14" t="n">
        <x:f>'Produse candidate'!G6</x:f>
        <x:v>3</x:v>
      </x:c>
      <x:c r="E39" s="14" t="str">
        <x:v>43082</x:v>
      </x:c>
      <x:c r="F39" s="14" t="str">
        <x:v>✓ Utilizabil numai după verificarea nominalului, curbei, Icn și tipului RCD; vezi Echivalente propuse.</x:v>
      </x:c>
      <x:c r="G39" s="14" t="str">
        <x:v>F4-08, F6-08, F7-04, F7-05, F7-06</x:v>
      </x:c>
    </x:row>
    <x:row r="40" ht="58" customHeight="1">
      <x:c r="A40" s="19" t="str">
        <x:v>Disjunctor MCB · 1P+N · C6</x:v>
      </x:c>
      <x:c r="B40" s="19" t="n">
        <x:f>SUM('Inventar foto'!E82,'Inventar foto'!E83,'Inventar foto'!E84,'Inventar foto'!E85,'Inventar foto'!E86,'Inventar foto'!E87,'Inventar foto'!E88,'Inventar foto'!E89,'Inventar foto'!E90,'Inventar foto'!E110)</x:f>
        <x:v>10</x:v>
      </x:c>
      <x:c r="C40" s="20" t="str">
        <x:v>DISJUNCTOR RCBO SMART 1P+N 1...40A 10...100mA ZIGBEE TOSMR1 TONGOU</x:v>
      </x:c>
      <x:c r="D40" s="14" t="n">
        <x:f>'Produse candidate'!G6</x:f>
        <x:v>3</x:v>
      </x:c>
      <x:c r="E40" s="14" t="str">
        <x:v>43082</x:v>
      </x:c>
      <x:c r="F40" s="14" t="str">
        <x:v>✓ Utilizabil numai după verificarea nominalului, curbei, Icn și tipului RCD; vezi Echivalente propuse.</x:v>
      </x:c>
      <x:c r="G40" s="14" t="str">
        <x:v>F4-09, F4-10, F4-11, F4-12, F4-13, F4-14, F4-15, F4-16, F4-17, F6-09</x:v>
      </x:c>
    </x:row>
    <x:row r="41" ht="58" customHeight="1">
      <x:c r="A41" s="14" t="str">
        <x:v>Contactor compact · 3P + auxiliar aparent</x:v>
      </x:c>
      <x:c r="B41" s="14" t="n">
        <x:f>SUM('Inventar foto'!E91,'Inventar foto'!E92,'Inventar foto'!E93,'Inventar foto'!E94,'Inventar foto'!E95,'Inventar foto'!E96,'Inventar foto'!E97,'Inventar foto'!E127)</x:f>
        <x:v>8</x:v>
      </x:c>
      <x:c r="C41" s="18" t="str">
        <x:v>De identificat / fără echivalent verificat</x:v>
      </x:c>
      <x:c r="D41" s="14" t="str">
        <x:v>—</x:v>
      </x:c>
      <x:c r="E41" s="14" t="str"/>
      <x:c r="F41" s="14" t="str">
        <x:v>Fără echivalent validat / identificare incompletă. Se selectează separat; nu intră în necesarul de SKU.</x:v>
      </x:c>
      <x:c r="G41" s="14" t="str">
        <x:v>F4-18, F4-19, F4-20, F4-21, F4-22, F4-23, F4-24, F7-14</x:v>
      </x:c>
    </x:row>
    <x:row r="42" ht="58" customHeight="1">
      <x:c r="A42" s="19" t="str">
        <x:v>Ceas programator analogic DIN</x:v>
      </x:c>
      <x:c r="B42" s="19" t="n">
        <x:f>SUM('Inventar foto'!E98)</x:f>
        <x:v>1</x:v>
      </x:c>
      <x:c r="C42" s="20" t="str">
        <x:v>INTRERUPATOR SMART PROTECTII SUPRA/SUBTENSIUNE ZIGBEE TONGOU</x:v>
      </x:c>
      <x:c r="D42" s="14" t="n">
        <x:f>'Produse candidate'!G16</x:f>
        <x:v>0</x:v>
      </x:c>
      <x:c r="E42" s="14" t="str">
        <x:v>43074</x:v>
      </x:c>
      <x:c r="F42" s="14" t="str">
        <x:v>✓ Numai funcție de temporizare, după verificarea ieșirii și sarcinii. Stoc epuizat.</x:v>
      </x:c>
      <x:c r="G42" s="14" t="str">
        <x:v>F4-25</x:v>
      </x:c>
    </x:row>
    <x:row r="43" ht="58" customHeight="1">
      <x:c r="A43" s="14" t="str">
        <x:v>Disjunctor MCB · 3P · C100</x:v>
      </x:c>
      <x:c r="B43" s="14" t="n">
        <x:f>SUM('Inventar foto'!E99,'Inventar foto'!E100)</x:f>
        <x:v>2</x:v>
      </x:c>
      <x:c r="C43" s="18" t="str">
        <x:v>De identificat / fără echivalent verificat</x:v>
      </x:c>
      <x:c r="D43" s="14" t="str">
        <x:v>—</x:v>
      </x:c>
      <x:c r="E43" s="14" t="str"/>
      <x:c r="F43" s="14" t="str">
        <x:v>Fără echivalent validat / identificare incompletă. Se selectează separat; nu intră în necesarul de SKU.</x:v>
      </x:c>
      <x:c r="G43" s="14" t="str">
        <x:v>F5-01, F5-02</x:v>
      </x:c>
    </x:row>
    <x:row r="44" ht="58" customHeight="1">
      <x:c r="A44" s="19" t="str">
        <x:v>Disjunctor MCB · 3P · C63</x:v>
      </x:c>
      <x:c r="B44" s="19" t="n">
        <x:f>SUM('Inventar foto'!E101)</x:f>
        <x:v>1</x:v>
      </x:c>
      <x:c r="C44" s="20" t="str">
        <x:v>DISJUNCTOR SMART RCBO 3P 1-63A 30-500mA CU POWER METER ZIGBEE TOQCB2L TONGOU</x:v>
      </x:c>
      <x:c r="D44" s="14" t="n">
        <x:f>'Produse candidate'!G8</x:f>
        <x:v>1</x:v>
      </x:c>
      <x:c r="E44" s="14" t="str">
        <x:v>43080</x:v>
      </x:c>
      <x:c r="F44" s="14" t="str">
        <x:v>✓ Utilizabil numai după verificarea nominalului, curbei, Icn și tipului RCD; vezi Echivalente propuse.</x:v>
      </x:c>
      <x:c r="G44" s="14" t="str">
        <x:v>F5-03</x:v>
      </x:c>
    </x:row>
    <x:row r="45" ht="58" customHeight="1">
      <x:c r="A45" s="14" t="str">
        <x:v>Disjunctor MCB · 3P · C10</x:v>
      </x:c>
      <x:c r="B45" s="14" t="n">
        <x:f>SUM('Inventar foto'!E104)</x:f>
        <x:v>1</x:v>
      </x:c>
      <x:c r="C45" s="20" t="str">
        <x:v>DISJUNCTOR SMART RCBO 3P 1-63A 30-500mA CU POWER METER ZIGBEE TOQCB2L TONGOU</x:v>
      </x:c>
      <x:c r="D45" s="14" t="n">
        <x:f>'Produse candidate'!G8</x:f>
        <x:v>1</x:v>
      </x:c>
      <x:c r="E45" s="14" t="str">
        <x:v>43080</x:v>
      </x:c>
      <x:c r="F45" s="14" t="str">
        <x:v>✓ Utilizabil numai după verificarea nominalului, curbei, Icn și tipului RCD; vezi Echivalente propuse.</x:v>
      </x:c>
      <x:c r="G45" s="14" t="str">
        <x:v>F6-03</x:v>
      </x:c>
    </x:row>
    <x:row r="46" ht="58" customHeight="1">
      <x:c r="A46" s="19" t="str">
        <x:v>Transformator de curent · METSECT…</x:v>
      </x:c>
      <x:c r="B46" s="19" t="n">
        <x:f>SUM('Inventar foto'!E111)</x:f>
        <x:v>3</x:v>
      </x:c>
      <x:c r="C46" s="18" t="str">
        <x:v>De identificat / fără echivalent verificat</x:v>
      </x:c>
      <x:c r="D46" s="14" t="str">
        <x:v>—</x:v>
      </x:c>
      <x:c r="E46" s="14" t="str"/>
      <x:c r="F46" s="14" t="str">
        <x:v>Fără echivalent validat / identificare incompletă. Se selectează separat; nu intră în necesarul de SKU.</x:v>
      </x:c>
      <x:c r="G46" s="14" t="str">
        <x:v>F6-10</x:v>
      </x:c>
    </x:row>
    <x:row r="47" ht="58" customHeight="1">
      <x:c r="A47" s="14" t="str">
        <x:v>Bară pieptene trifazată · 3P · A9XPH357; 100 A / 40 °C aparent</x:v>
      </x:c>
      <x:c r="B47" s="14" t="n">
        <x:f>SUM('Inventar foto'!E112)</x:f>
        <x:v>1</x:v>
      </x:c>
      <x:c r="C47" s="18" t="str">
        <x:v>De identificat / fără echivalent verificat</x:v>
      </x:c>
      <x:c r="D47" s="14" t="str">
        <x:v>—</x:v>
      </x:c>
      <x:c r="E47" s="14" t="str"/>
      <x:c r="F47" s="14" t="str">
        <x:v>Fără echivalent validat / identificare incompletă. Se selectează separat; nu intră în necesarul de SKU.</x:v>
      </x:c>
      <x:c r="G47" s="14" t="str">
        <x:v>F6-11</x:v>
      </x:c>
    </x:row>
    <x:row r="48" ht="58" customHeight="1">
      <x:c r="A48" s="19" t="str">
        <x:v>Aparat modular parțial vizibil</x:v>
      </x:c>
      <x:c r="B48" s="19" t="n">
        <x:f>SUM('Inventar foto'!E113)</x:f>
        <x:v>1</x:v>
      </x:c>
      <x:c r="C48" s="18" t="str">
        <x:v>De identificat / fără echivalent verificat</x:v>
      </x:c>
      <x:c r="D48" s="14" t="str">
        <x:v>—</x:v>
      </x:c>
      <x:c r="E48" s="14" t="str"/>
      <x:c r="F48" s="14" t="str">
        <x:v>Fără echivalent validat / identificare incompletă. Se selectează separat; nu intră în necesarul de SKU.</x:v>
      </x:c>
      <x:c r="G48" s="14" t="str">
        <x:v>F6-12</x:v>
      </x:c>
    </x:row>
    <x:row r="49" ht="58" customHeight="1">
      <x:c r="A49" s="14" t="str">
        <x:v>Disjunctor MCB · 3P · C32</x:v>
      </x:c>
      <x:c r="B49" s="14" t="n">
        <x:f>SUM('Inventar foto'!E114,'Inventar foto'!E116)</x:f>
        <x:v>2</x:v>
      </x:c>
      <x:c r="C49" s="20" t="str">
        <x:v>DISJUNCTOR SMART RCBO 3P 1-63A 30-500mA CU POWER METER ZIGBEE TOQCB2L TONGOU</x:v>
      </x:c>
      <x:c r="D49" s="14" t="n">
        <x:f>'Produse candidate'!G8</x:f>
        <x:v>1</x:v>
      </x:c>
      <x:c r="E49" s="14" t="str">
        <x:v>43080</x:v>
      </x:c>
      <x:c r="F49" s="14" t="str">
        <x:v>✓ Utilizabil numai după verificarea nominalului, curbei, Icn și tipului RCD; vezi Echivalente propuse.</x:v>
      </x:c>
      <x:c r="G49" s="14" t="str">
        <x:v>F7-01, F7-03</x:v>
      </x:c>
    </x:row>
    <x:row r="50" ht="58" customHeight="1">
      <x:c r="A50" s="19" t="str">
        <x:v>Disjunctor MCB · 1P+N · C25</x:v>
      </x:c>
      <x:c r="B50" s="19" t="n">
        <x:f>SUM('Inventar foto'!E120)</x:f>
        <x:v>1</x:v>
      </x:c>
      <x:c r="C50" s="20" t="str">
        <x:v>DISJUNCTOR RCBO SMART 1P+N 1...40A 10...100mA ZIGBEE TOSMR1 TONGOU</x:v>
      </x:c>
      <x:c r="D50" s="14" t="n">
        <x:f>'Produse candidate'!G6</x:f>
        <x:v>3</x:v>
      </x:c>
      <x:c r="E50" s="14" t="str">
        <x:v>43082</x:v>
      </x:c>
      <x:c r="F50" s="14" t="str">
        <x:v>✓ Utilizabil numai după verificarea nominalului, curbei, Icn și tipului RCD; vezi Echivalente propuse.</x:v>
      </x:c>
      <x:c r="G50" s="14" t="str">
        <x:v>F7-07</x:v>
      </x:c>
    </x:row>
    <x:row r="51" ht="58" customHeight="1">
      <x:c r="A51" s="14" t="str">
        <x:v>Borne PE / N / trecere și suporturi</x:v>
      </x:c>
      <x:c r="B51" s="14" t="str">
        <x:v>Necunoscut</x:v>
      </x:c>
      <x:c r="C51" s="18" t="str">
        <x:v>De identificat / fără echivalent verificat</x:v>
      </x:c>
      <x:c r="D51" s="14" t="str">
        <x:v>—</x:v>
      </x:c>
      <x:c r="E51" s="14" t="str"/>
      <x:c r="F51" s="14" t="str">
        <x:v>Cantitate de măsurat / numărat fizic. Fără echivalent validat / identificare incompletă. Se selectează separat; nu intră în necesarul de SKU.</x:v>
      </x:c>
      <x:c r="G51" s="14" t="str">
        <x:v>F1-54, F2-07, F3-10, F4-26, F5-04, F6-13, F7-15</x:v>
      </x:c>
    </x:row>
    <x:row r="52" ht="58" customHeight="1">
      <x:c r="A52" s="19" t="str">
        <x:v>Șine DIN, cabluri, papuci / ferule și carcasă</x:v>
      </x:c>
      <x:c r="B52" s="19" t="str">
        <x:v>Necunoscut</x:v>
      </x:c>
      <x:c r="C52" s="18" t="str">
        <x:v>De identificat / fără echivalent verificat</x:v>
      </x:c>
      <x:c r="D52" s="14" t="str">
        <x:v>—</x:v>
      </x:c>
      <x:c r="E52" s="14" t="str"/>
      <x:c r="F52" s="14" t="str">
        <x:v>Cantitate de măsurat / numărat fizic. Fără echivalent validat / identificare incompletă. Se selectează separat; nu intră în necesarul de SKU.</x:v>
      </x:c>
      <x:c r="G52" s="14" t="str">
        <x:v>F1-55, F2-08, F3-11, F4-27, F5-05, F6-14, F7-16</x:v>
      </x:c>
    </x:row>
    <x:row r="53" ht="58" customHeight="1">
      <x:c r="A53" s="14" t="str">
        <x:v>Canale de cablu / capace</x:v>
      </x:c>
      <x:c r="B53" s="14" t="str">
        <x:v>Necunoscut</x:v>
      </x:c>
      <x:c r="C53" s="18" t="str">
        <x:v>De identificat / fără echivalent verificat</x:v>
      </x:c>
      <x:c r="D53" s="14" t="str">
        <x:v>—</x:v>
      </x:c>
      <x:c r="E53" s="14" t="str"/>
      <x:c r="F53" s="14" t="str">
        <x:v>Cantitate de măsurat / numărat fizic. Fără echivalent validat / identificare incompletă. Se selectează separat; nu intră în necesarul de SKU.</x:v>
      </x:c>
      <x:c r="G53" s="14" t="str">
        <x:v>F1-56, F4-28, F7-17</x:v>
      </x:c>
    </x:row>
    <x:row r="54" ht="58" customHeight="1">
      <x:c r="A54" s="14"/>
      <x:c r="B54" s="14"/>
      <x:c r="C54" s="14"/>
      <x:c r="D54" s="14"/>
      <x:c r="E54" s="14"/>
      <x:c r="F54" s="14"/>
      <x:c r="G54" s="14"/>
    </x:row>
    <x:row r="55" ht="58" customHeight="1">
      <x:c r="A55" s="14"/>
      <x:c r="B55" s="14"/>
      <x:c r="C55" s="14"/>
      <x:c r="D55" s="14"/>
      <x:c r="E55" s="14"/>
      <x:c r="F55" s="14"/>
      <x:c r="G55" s="14"/>
    </x:row>
    <x:row r="56" ht="58" customHeight="1">
      <x:c r="A56" s="14" t="str">
        <x:v>CENTRALIZATOR MODULE TONGOU · Necesar provizoriu, după validarea tehnică</x:v>
      </x:c>
      <x:c r="B56" s="14"/>
      <x:c r="C56" s="14"/>
      <x:c r="D56" s="14"/>
      <x:c r="E56" s="14"/>
      <x:c r="F56" s="14"/>
      <x:c r="G56" s="14"/>
    </x:row>
    <x:row r="57" ht="38" customHeight="1">
      <x:c r="A57" s="17" t="str">
        <x:v>Modul Tongou</x:v>
      </x:c>
      <x:c r="B57" s="17" t="str">
        <x:v>Stoc</x:v>
      </x:c>
      <x:c r="C57" s="17" t="str">
        <x:v>Necesar</x:v>
      </x:c>
      <x:c r="D57" s="17" t="str">
        <x:v>Diferență stoc − necesar</x:v>
      </x:c>
      <x:c r="E57" s="17" t="str">
        <x:v>Din stoc*</x:v>
      </x:c>
      <x:c r="F57" s="17" t="str">
        <x:v>De comandat ulterior*</x:v>
      </x:c>
      <x:c r="G57" s="17" t="str">
        <x:v>Statut</x:v>
      </x:c>
    </x:row>
    <x:row r="58" ht="86" customHeight="1">
      <x:c r="A58" s="14" t="str">
        <x:v>43080
DISJUNCTOR SMART RCBO 3P 1-63A 30-500mA CU POWER METER ZIGBEE TOQCB2L TONGOU</x:v>
      </x:c>
      <x:c r="B58" s="14" t="n">
        <x:f>'Produse candidate'!G8</x:f>
        <x:v>1</x:v>
      </x:c>
      <x:c r="C58" s="14" t="n">
        <x:f>SUMIF(E7:E53,"43080",B7:B53)</x:f>
        <x:v>17</x:v>
      </x:c>
      <x:c r="D58" s="21" t="n">
        <x:f>B58-C58</x:f>
        <x:v>-16</x:v>
      </x:c>
      <x:c r="E58" s="14" t="n">
        <x:f>MIN(B58,C58)</x:f>
        <x:v>1</x:v>
      </x:c>
      <x:c r="F58" s="22" t="n">
        <x:f>MAX(0,C58-B58)</x:f>
        <x:v>16</x:v>
      </x:c>
      <x:c r="G58" s="14" t="str">
        <x:f>IF(B58=0,"Epuizat — după validare",IF(F58&gt;0,"Parțial disponibil — după validare","Acoperit de stoc — după validare"))</x:f>
        <x:v>Parțial disponibil — după validare</x:v>
      </x:c>
    </x:row>
    <x:row r="59" ht="86" customHeight="1">
      <x:c r="A59" s="14" t="str">
        <x:v>43082
DISJUNCTOR RCBO SMART 1P+N 1...40A 10...100mA ZIGBEE TOSMR1 TONGOU</x:v>
      </x:c>
      <x:c r="B59" s="14" t="n">
        <x:f>'Produse candidate'!G6</x:f>
        <x:v>3</x:v>
      </x:c>
      <x:c r="C59" s="14" t="n">
        <x:f>SUMIF(E7:E53,"43082",B7:B53)</x:f>
        <x:v>40</x:v>
      </x:c>
      <x:c r="D59" s="21" t="n">
        <x:f>B59-C59</x:f>
        <x:v>-37</x:v>
      </x:c>
      <x:c r="E59" s="14" t="n">
        <x:f>MIN(B59,C59)</x:f>
        <x:v>3</x:v>
      </x:c>
      <x:c r="F59" s="22" t="n">
        <x:f>MAX(0,C59-B59)</x:f>
        <x:v>37</x:v>
      </x:c>
      <x:c r="G59" s="14" t="str">
        <x:f>IF(B59=0,"Epuizat — după validare",IF(F59&gt;0,"Parțial disponibil — după validare","Acoperit de stoc — după validare"))</x:f>
        <x:v>Parțial disponibil — după validare</x:v>
      </x:c>
    </x:row>
    <x:row r="60" ht="86" customHeight="1">
      <x:c r="A60" s="14" t="str">
        <x:v>43081
DISJUNCTOR SMART RCBO 4P 1-63A 30-500mA CU POWER METER ZIGBEE TOQCB2L TONGOU</x:v>
      </x:c>
      <x:c r="B60" s="14" t="n">
        <x:f>'Produse candidate'!G9</x:f>
        <x:v>2</x:v>
      </x:c>
      <x:c r="C60" s="14" t="n">
        <x:f>SUMIF(E7:E53,"43081",B7:B53)</x:f>
        <x:v>1</x:v>
      </x:c>
      <x:c r="D60" s="21" t="n">
        <x:f>B60-C60</x:f>
        <x:v>1</x:v>
      </x:c>
      <x:c r="E60" s="14" t="n">
        <x:f>MIN(B60,C60)</x:f>
        <x:v>1</x:v>
      </x:c>
      <x:c r="F60" s="14" t="n">
        <x:f>MAX(0,C60-B60)</x:f>
        <x:v>0</x:v>
      </x:c>
      <x:c r="G60" s="14" t="str">
        <x:f>IF(B60=0,"Epuizat — după validare",IF(F60&gt;0,"Parțial disponibil — după validare","Acoperit de stoc — după validare"))</x:f>
        <x:v>Acoperit de stoc — după validare</x:v>
      </x:c>
    </x:row>
    <x:row r="61" ht="86" customHeight="1">
      <x:c r="A61" s="14" t="str">
        <x:v>43074
INTRERUPATOR SMART PROTECTII SUPRA/SUBTENSIUNE ZIGBEE TONGOU</x:v>
      </x:c>
      <x:c r="B61" s="14" t="n">
        <x:f>'Produse candidate'!G16</x:f>
        <x:v>0</x:v>
      </x:c>
      <x:c r="C61" s="14" t="n">
        <x:f>SUMIF(E7:E53,"43074",B7:B53)</x:f>
        <x:v>1</x:v>
      </x:c>
      <x:c r="D61" s="21" t="n">
        <x:f>B61-C61</x:f>
        <x:v>-1</x:v>
      </x:c>
      <x:c r="E61" s="14" t="n">
        <x:f>MIN(B61,C61)</x:f>
        <x:v>0</x:v>
      </x:c>
      <x:c r="F61" s="22" t="n">
        <x:f>MAX(0,C61-B61)</x:f>
        <x:v>1</x:v>
      </x:c>
      <x:c r="G61" s="14" t="str">
        <x:f>IF(B61=0,"Epuizat — după validare",IF(F61&gt;0,"Parțial disponibil — după validare","Acoperit de stoc — după validare"))</x:f>
        <x:v>Epuizat — după validare</x:v>
      </x:c>
    </x:row>
    <x:row r="62" ht="38" customHeight="1">
      <x:c r="A62" s="17" t="str">
        <x:v>TOTAL SCENARIU</x:v>
      </x:c>
      <x:c r="B62" s="17" t="n">
        <x:f>SUM(B58:B61)</x:f>
        <x:v>6</x:v>
      </x:c>
      <x:c r="C62" s="17" t="n">
        <x:f>SUM(C58:C61)</x:f>
        <x:v>59</x:v>
      </x:c>
      <x:c r="D62" s="17" t="n">
        <x:f>SUM(D58:D61)</x:f>
        <x:v>-53</x:v>
      </x:c>
      <x:c r="E62" s="17" t="n">
        <x:f>SUM(E58:E61)</x:f>
        <x:v>5</x:v>
      </x:c>
      <x:c r="F62" s="17" t="n">
        <x:f>SUM(F58:F61)</x:f>
        <x:v>54</x:v>
      </x:c>
      <x:c r="G62" s="17" t="str"/>
    </x:row>
    <x:row r="63" ht="58" customHeight="1">
      <x:c r="A63" s="14"/>
      <x:c r="B63" s="14"/>
      <x:c r="C63" s="14"/>
      <x:c r="D63" s="14"/>
      <x:c r="E63" s="14"/>
      <x:c r="F63" s="14"/>
      <x:c r="G63" s="14"/>
    </x:row>
    <x:row r="64" ht="58" customHeight="1">
      <x:c r="A64" s="14" t="str">
        <x:v>* „Din stoc” și „De comandat ulterior” arată disponibilitatea calculată, nu o comandă aprobată. Pentru toate SKU-urile propuse, echivalența tehnică rămâne de verificat.</x:v>
      </x:c>
      <x:c r="B64" s="14"/>
      <x:c r="C64" s="14"/>
      <x:c r="D64" s="14"/>
      <x:c r="E64" s="14"/>
      <x:c r="F64" s="14"/>
      <x:c r="G64" s="14"/>
    </x:row>
    <x:row r="65" ht="58" customHeight="1">
      <x:c r="A65" s="14" t="str">
        <x:v>Accesoriile, C80/C100, contactoarele, CT-urile, pozițiile neclare și protecțiile suplimentare SPD/AFDD nu sunt omise: sunt în primul tabel ori în fila Protecție, dar fără cantități de cumpărat inventate.</x:v>
      </x:c>
      <x:c r="B65" s="14"/>
      <x:c r="C65" s="14"/>
      <x:c r="D65" s="14"/>
      <x:c r="E65" s="14"/>
      <x:c r="F65" s="14"/>
      <x:c r="G65" s="14"/>
    </x:row>
    <x:row r="66" ht="58" customHeight="1">
      <x:c r="A66" s="14" t="str">
        <x:v>Fișe și manuale: deschide „2026.10.08 Documentatie Tongou.html” din dosarul Acasa/Documentatie Tongou.</x:v>
      </x:c>
      <x:c r="B66" s="14"/>
      <x:c r="C66" s="14"/>
      <x:c r="D66" s="14"/>
      <x:c r="E66" s="14"/>
      <x:c r="F66" s="14"/>
      <x:c r="G66" s="14"/>
    </x:row>
    <x:row r="67" ht="58" customHeight="1">
      <x:c r="A67" s="14"/>
      <x:c r="B67" s="14"/>
      <x:c r="C67" s="14"/>
      <x:c r="D67" s="14"/>
      <x:c r="E67" s="14"/>
      <x:c r="F67" s="14"/>
      <x:c r="G67" s="14"/>
    </x:row>
    <x:row r="68" ht="58" customHeight="1">
      <x:c r="A68" s="14"/>
      <x:c r="B68" s="14"/>
      <x:c r="C68" s="14"/>
      <x:c r="D68" s="14"/>
      <x:c r="E68" s="14"/>
      <x:c r="F68" s="14"/>
      <x:c r="G68" s="14"/>
    </x:row>
    <x:row r="69" ht="58" customHeight="1">
      <x:c r="A69" s="14"/>
      <x:c r="B69" s="14"/>
      <x:c r="C69" s="14"/>
      <x:c r="D69" s="14"/>
      <x:c r="E69" s="14"/>
      <x:c r="F69" s="14"/>
      <x:c r="G69" s="14"/>
    </x:row>
    <x:row r="70" ht="58" customHeight="1">
      <x:c r="A70" s="14"/>
      <x:c r="B70" s="14"/>
      <x:c r="C70" s="14"/>
      <x:c r="D70" s="14"/>
      <x:c r="E70" s="14"/>
      <x:c r="F70" s="14"/>
      <x:c r="G70" s="14"/>
    </x:row>
  </x:sheetData>
  <x:mergeCells>
    <x:mergeCell ref="A1:G1"/>
    <x:mergeCell ref="A2:G2"/>
    <x:mergeCell ref="A3:G3"/>
    <x:mergeCell ref="A4:G4"/>
    <x:mergeCell ref="A56:G56"/>
    <x:mergeCell ref="A64:G64"/>
    <x:mergeCell ref="A65:G65"/>
    <x:mergeCell ref="A66:G66"/>
  </x:mergeCells>
  <x:pageMargins left="0.7" right="0.7" top="0.75" bottom="0.75" header="0.3" footer="0.3"/>
</x:worksheet>
</file>