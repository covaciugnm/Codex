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00. Downloads\Apartamente Viena\00. Cladire 1 Schallergasse 35, 1120 Wien (Meidling)\04. Firme + Executie\2026.10.12 Comparatie servicii structura\"/>
    </mc:Choice>
  </mc:AlternateContent>
  <xr:revisionPtr revIDLastSave="0" documentId="13_ncr:1_{5B438CF8-6D4E-4D06-AC15-DDADE25B2775}" xr6:coauthVersionLast="47" xr6:coauthVersionMax="47" xr10:uidLastSave="{00000000-0000-0000-0000-000000000000}"/>
  <bookViews>
    <workbookView xWindow="41172" yWindow="-108" windowWidth="41496" windowHeight="16776" xr2:uid="{00000000-000D-0000-FFFF-FFFF00000000}"/>
  </bookViews>
  <sheets>
    <sheet name="1 Servicii" sheetId="1" r:id="rId1"/>
    <sheet name="2 Pretur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2" l="1"/>
  <c r="C20" i="2"/>
  <c r="E17" i="2"/>
  <c r="D17" i="2"/>
  <c r="C17" i="2"/>
  <c r="C18" i="2" s="1"/>
  <c r="C19" i="2" s="1"/>
  <c r="E18" i="2" l="1"/>
  <c r="E19" i="2"/>
  <c r="D18" i="2"/>
  <c r="D1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58" authorId="0" shapeId="0" xr:uid="{00000000-0006-0000-0000-000001000000}">
      <text>
        <r>
          <rPr>
            <sz val="11"/>
            <rFont val="Carlito"/>
          </rPr>
          <t>Sursa originală: D:\00. Downloads\Apartamente Viena\00. Cladire 1 Schallergasse 35, 1120 Wien (Meidling)\04. Firme + Executie\01. Verificator (Pruefingenieur)\TOMS\2026.10.02 Contract v4.1 - data actualizata\2026.10.02 Werkvertrag TOMS - Entwurf AG v4.1.pdf
Data lizibilă: 2026.10.02
ID Eva-Mail: 64c91100-89c3-4206-8e7e-988e575385b8</t>
        </r>
      </text>
    </comment>
    <comment ref="G59" authorId="0" shapeId="0" xr:uid="{00000000-0006-0000-0000-000002000000}">
      <text>
        <r>
          <rPr>
            <sz val="11"/>
            <rFont val="Carlito"/>
          </rPr>
          <t>Sursa originală: D:\00. Downloads\Apartamente Viena\00. Cladire 1 Schallergasse 35, 1120 Wien (Meidling)\04. Firme + Executie\01. Verificator (Pruefingenieur)\TOMS\2026.10.02 Contract v4.1 - data actualizata\Beilagen\2026.10.02 ANG 855_Schallergasse 35, 1120 Wien_TWP.PDF
Data lizibilă: 2026.09.03</t>
        </r>
      </text>
    </comment>
    <comment ref="G60" authorId="0" shapeId="0" xr:uid="{00000000-0006-0000-0000-000003000000}">
      <text>
        <r>
          <rPr>
            <sz val="11"/>
            <rFont val="Carlito"/>
          </rPr>
          <t>Sursa originală: D:\00. Downloads\Apartamente Viena\00. Cladire 1 Schallergasse 35, 1120 Wien (Meidling)\04. Firme + Executie\01. Verificator (Pruefingenieur)\TOMS\2026.10.02 Contract v4.1 - data actualizata\Beilagen\2026.10.02 ANG 839_Schallergasse 35, 1120 Wien_PI.PDF
Data lizibilă: 2026.08.20</t>
        </r>
      </text>
    </comment>
    <comment ref="G61" authorId="0" shapeId="0" xr:uid="{00000000-0006-0000-0000-000004000000}">
      <text>
        <r>
          <rPr>
            <sz val="11"/>
            <rFont val="Carlito"/>
          </rPr>
          <t>Sursa originală: D:\00. Downloads\Apartamente Viena\00. Cladire 1 Schallergasse 35, 1120 Wien (Meidling)\04. Firme + Executie\01. Verificator (Pruefingenieur)\TOMS\2026.10.02 Contract v4.1 - data actualizata\Beilagen\2026.10.02 2026-09-23 ANG 891 Bauwerksbuch (3.400 EUR netto).PDF
Data lizibilă: 2026.09.23</t>
        </r>
      </text>
    </comment>
    <comment ref="G62" authorId="0" shapeId="0" xr:uid="{00000000-0006-0000-0000-000005000000}">
      <text>
        <r>
          <rPr>
            <sz val="11"/>
            <rFont val="Carlito"/>
          </rPr>
          <t>Sursa originală: D:\00. Downloads\Apartamente Viena\00. Cladire 1 Schallergasse 35, 1120 Wien (Meidling)\04. Firme + Executie\01. Verificator (Pruefingenieur)\TOMS\2026.10.02 Contract v4.1 - data actualizata\Beilagen\2026.10.02 2026-09-28 Fragekatalog 2 - unterzeichnet von TOMS.pdf
Data lizibilă: 2026.09.28</t>
        </r>
      </text>
    </comment>
    <comment ref="G63" authorId="0" shapeId="0" xr:uid="{00000000-0006-0000-0000-000006000000}">
      <text>
        <r>
          <rPr>
            <sz val="11"/>
            <rFont val="Carlito"/>
          </rPr>
          <t>Sursa originală: D:\00. Downloads\Apartamente Viena\00. Cladire 1 Schallergasse 35, 1120 Wien (Meidling)\04. Firme + Executie\01. Verificator (Pruefingenieur)\TOMS\2026.10.02 Contract v4.1 - data actualizata\Beilagen\2026.10.01 PRIMIT TOMS 838c8bcd.txt
Data lizibilă: 2026.10.01
ID Eva-Mail: 838c8bcd-4e2d-4e90-bc25-25355ea6da60</t>
        </r>
      </text>
    </comment>
    <comment ref="G64" authorId="0" shapeId="0" xr:uid="{00000000-0006-0000-0000-000007000000}">
      <text>
        <r>
          <rPr>
            <sz val="11"/>
            <rFont val="Carlito"/>
          </rPr>
          <t>Sursa originală: D:\00. Downloads\Apartamente Viena\00. Cladire 1 Schallergasse 35, 1120 Wien (Meidling)\08. Corespondenta\2026.10.11 Verificare zilnica\2026.10.11 PRIMIT TOMS cdd301b0.txt
Data lizibilă: 2026.10.08
ID Eva-Mail: cdd301b0-457e-4452-a394-6eea21256e61</t>
        </r>
      </text>
    </comment>
    <comment ref="G65" authorId="0" shapeId="0" xr:uid="{00000000-0006-0000-0000-000008000000}">
      <text>
        <r>
          <rPr>
            <sz val="11"/>
            <rFont val="Carlito"/>
          </rPr>
          <t>Sursa originală: D:\00. Downloads\Apartamente Viena\00. Cladire 1 Schallergasse 35, 1120 Wien (Meidling)\04. Firme + Executie\01. Verificator (Pruefingenieur)\TOMS\2026.10.02 Contract v4.1 - data actualizata\2026.10.05 Status trimitere verificat.txt
Data lizibilă: 2026.10.05
ID Eva-Mail: 64c91100-89c3-4206-8e7e-988e575385b8</t>
        </r>
      </text>
    </comment>
    <comment ref="G66" authorId="0" shapeId="0" xr:uid="{00000000-0006-0000-0000-000009000000}">
      <text>
        <r>
          <rPr>
            <sz val="11"/>
            <rFont val="Carlito"/>
          </rPr>
          <t>Sursa originală: D:\00. Downloads\Apartamente Viena\00. Cladire 1 Schallergasse 35, 1120 Wien (Meidling)\04. Firme + Executie\02. Protectia Muncii (BauKG-Koordinator)\TOMS\ANG 840_Schallergasse 35, 1120 Wien_BauKG.PDF
Data lizibilă: 2026.08.20</t>
        </r>
      </text>
    </comment>
    <comment ref="G67" authorId="0" shapeId="0" xr:uid="{00000000-0006-0000-0000-00000A000000}">
      <text>
        <r>
          <rPr>
            <sz val="11"/>
            <rFont val="Carlito"/>
          </rPr>
          <t>Sursa originală: D:\00. Downloads\Apartamente Viena\00. Cladire 1 Schallergasse 35, 1120 Wien (Meidling)\04. Firme + Executie\01. Verificator (Pruefingenieur)\TOMS\2026.10.02 Contract v4.1 - data actualizata\Beilagen\2026.10.02 2026-09-23 Anlage 5 - Fragenkatalog (digitale Reinschrift) korrigiert + signiert von TOMS.pdf
Data lizibilă: 2026.09.23</t>
        </r>
      </text>
    </comment>
    <comment ref="G68" authorId="0" shapeId="0" xr:uid="{00000000-0006-0000-0000-00000B000000}">
      <text>
        <r>
          <rPr>
            <sz val="11"/>
            <rFont val="Carlito"/>
          </rPr>
          <t>Sursa originală: D:\00. Downloads\Apartamente Viena\00. Cladire 1 Schallergasse 35, 1120 Wien (Meidling)\00.Proiect\09. Vertraege\bmberger.at\2026.08.17\2026_08_17_Anbot_Statik_Detail.pdf
Data lizibilă: 2026.08.17
ID Eva-Mail: ce6905cb-0c93-4e6b-8cde-7e300dfc874c</t>
        </r>
      </text>
    </comment>
    <comment ref="G69" authorId="0" shapeId="0" xr:uid="{00000000-0006-0000-0000-00000C000000}">
      <text>
        <r>
          <rPr>
            <sz val="11"/>
            <rFont val="Carlito"/>
          </rPr>
          <t>Sursa originală: D:\00. Downloads\Apartamente Viena\00. Cladire 1 Schallergasse 35, 1120 Wien (Meidling)\03. Proiectare\Statik\Angebot 2026-470-AN01 2026-09-17.pdf
Data lizibilă: 2026.09.17
ID Eva-Mail: 63cd2bcb-2160-4027-b6c8-25bb42d9ae50</t>
        </r>
      </text>
    </comment>
    <comment ref="G70" authorId="0" shapeId="0" xr:uid="{00000000-0006-0000-0000-00000D000000}">
      <text>
        <r>
          <rPr>
            <sz val="11"/>
            <rFont val="Carlito"/>
          </rPr>
          <t>Sursa originală: D:\00. Downloads\Apartamente Viena\00. Cladire 1 Schallergasse 35, 1120 Wien (Meidling)\00.Proiect\07. Kosten + Ausschreibung\03. Angebote (Oferte)\Angebot REALIG Gschirtz.pdf
Data lizibilă: 2026.03.26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35" authorId="0" shapeId="0" xr:uid="{00000000-0006-0000-0100-000001000000}">
      <text>
        <r>
          <rPr>
            <sz val="11"/>
            <rFont val="Carlito"/>
          </rPr>
          <t>Sursa originală: D:\00. Downloads\Apartamente Viena\00. Cladire 1 Schallergasse 35, 1120 Wien (Meidling)\04. Firme + Executie\01. Verificator (Pruefingenieur)\TOMS\2026.10.02 Contract v4.1 - data actualizata\2026.10.02 Werkvertrag TOMS - Entwurf AG v4.1.pdf
Data lizibilă: 2026.10.02
ID Eva-Mail: 64c91100-89c3-4206-8e7e-988e575385b8</t>
        </r>
      </text>
    </comment>
    <comment ref="G36" authorId="0" shapeId="0" xr:uid="{00000000-0006-0000-0100-000002000000}">
      <text>
        <r>
          <rPr>
            <sz val="11"/>
            <rFont val="Carlito"/>
          </rPr>
          <t>Sursa originală: D:\00. Downloads\Apartamente Viena\00. Cladire 1 Schallergasse 35, 1120 Wien (Meidling)\04. Firme + Executie\01. Verificator (Pruefingenieur)\TOMS\2026.10.02 Contract v4.1 - data actualizata\Beilagen\2026.10.02 ANG 855_Schallergasse 35, 1120 Wien_TWP.PDF
Data lizibilă: 2026.09.03</t>
        </r>
      </text>
    </comment>
    <comment ref="G37" authorId="0" shapeId="0" xr:uid="{00000000-0006-0000-0100-000003000000}">
      <text>
        <r>
          <rPr>
            <sz val="11"/>
            <rFont val="Carlito"/>
          </rPr>
          <t>Sursa originală: D:\00. Downloads\Apartamente Viena\00. Cladire 1 Schallergasse 35, 1120 Wien (Meidling)\04. Firme + Executie\01. Verificator (Pruefingenieur)\TOMS\2026.10.02 Contract v4.1 - data actualizata\Beilagen\2026.10.02 ANG 839_Schallergasse 35, 1120 Wien_PI.PDF
Data lizibilă: 2026.08.20</t>
        </r>
      </text>
    </comment>
    <comment ref="G38" authorId="0" shapeId="0" xr:uid="{00000000-0006-0000-0100-000004000000}">
      <text>
        <r>
          <rPr>
            <sz val="11"/>
            <rFont val="Carlito"/>
          </rPr>
          <t>Sursa originală: D:\00. Downloads\Apartamente Viena\00. Cladire 1 Schallergasse 35, 1120 Wien (Meidling)\04. Firme + Executie\01. Verificator (Pruefingenieur)\TOMS\2026.10.02 Contract v4.1 - data actualizata\Beilagen\2026.10.02 2026-09-23 ANG 891 Bauwerksbuch (3.400 EUR netto).PDF
Data lizibilă: 2026.09.23</t>
        </r>
      </text>
    </comment>
    <comment ref="G39" authorId="0" shapeId="0" xr:uid="{00000000-0006-0000-0100-000005000000}">
      <text>
        <r>
          <rPr>
            <sz val="11"/>
            <rFont val="Carlito"/>
          </rPr>
          <t>Sursa originală: D:\00. Downloads\Apartamente Viena\00. Cladire 1 Schallergasse 35, 1120 Wien (Meidling)\04. Firme + Executie\01. Verificator (Pruefingenieur)\TOMS\2026.10.02 Contract v4.1 - data actualizata\Beilagen\2026.10.02 2026-09-28 Fragekatalog 2 - unterzeichnet von TOMS.pdf
Data lizibilă: 2026.09.28</t>
        </r>
      </text>
    </comment>
    <comment ref="G40" authorId="0" shapeId="0" xr:uid="{00000000-0006-0000-0100-000006000000}">
      <text>
        <r>
          <rPr>
            <sz val="11"/>
            <rFont val="Carlito"/>
          </rPr>
          <t>Sursa originală: D:\00. Downloads\Apartamente Viena\00. Cladire 1 Schallergasse 35, 1120 Wien (Meidling)\04. Firme + Executie\01. Verificator (Pruefingenieur)\TOMS\2026.10.02 Contract v4.1 - data actualizata\Beilagen\2026.10.01 PRIMIT TOMS 838c8bcd.txt
Data lizibilă: 2026.10.01
ID Eva-Mail: 838c8bcd-4e2d-4e90-bc25-25355ea6da60</t>
        </r>
      </text>
    </comment>
    <comment ref="G41" authorId="0" shapeId="0" xr:uid="{00000000-0006-0000-0100-000007000000}">
      <text>
        <r>
          <rPr>
            <sz val="11"/>
            <rFont val="Carlito"/>
          </rPr>
          <t>Sursa originală: D:\00. Downloads\Apartamente Viena\00. Cladire 1 Schallergasse 35, 1120 Wien (Meidling)\08. Corespondenta\2026.10.11 Verificare zilnica\2026.10.11 PRIMIT TOMS cdd301b0.txt
Data lizibilă: 2026.10.08
ID Eva-Mail: cdd301b0-457e-4452-a394-6eea21256e61</t>
        </r>
      </text>
    </comment>
    <comment ref="G42" authorId="0" shapeId="0" xr:uid="{00000000-0006-0000-0100-000008000000}">
      <text>
        <r>
          <rPr>
            <sz val="11"/>
            <rFont val="Carlito"/>
          </rPr>
          <t>Sursa originală: D:\00. Downloads\Apartamente Viena\00. Cladire 1 Schallergasse 35, 1120 Wien (Meidling)\04. Firme + Executie\01. Verificator (Pruefingenieur)\TOMS\2026.10.02 Contract v4.1 - data actualizata\2026.10.05 Status trimitere verificat.txt
Data lizibilă: 2026.10.05
ID Eva-Mail: 64c91100-89c3-4206-8e7e-988e575385b8</t>
        </r>
      </text>
    </comment>
    <comment ref="G43" authorId="0" shapeId="0" xr:uid="{00000000-0006-0000-0100-000009000000}">
      <text>
        <r>
          <rPr>
            <sz val="11"/>
            <rFont val="Carlito"/>
          </rPr>
          <t>Sursa originală: D:\00. Downloads\Apartamente Viena\00. Cladire 1 Schallergasse 35, 1120 Wien (Meidling)\04. Firme + Executie\02. Protectia Muncii (BauKG-Koordinator)\TOMS\ANG 840_Schallergasse 35, 1120 Wien_BauKG.PDF
Data lizibilă: 2026.08.20</t>
        </r>
      </text>
    </comment>
    <comment ref="G44" authorId="0" shapeId="0" xr:uid="{00000000-0006-0000-0100-00000A000000}">
      <text>
        <r>
          <rPr>
            <sz val="11"/>
            <rFont val="Carlito"/>
          </rPr>
          <t>Sursa originală: D:\00. Downloads\Apartamente Viena\00. Cladire 1 Schallergasse 35, 1120 Wien (Meidling)\04. Firme + Executie\01. Verificator (Pruefingenieur)\TOMS\2026.10.02 Contract v4.1 - data actualizata\Beilagen\2026.10.02 2026-09-23 Anlage 5 - Fragenkatalog (digitale Reinschrift) korrigiert + signiert von TOMS.pdf
Data lizibilă: 2026.09.23</t>
        </r>
      </text>
    </comment>
    <comment ref="G45" authorId="0" shapeId="0" xr:uid="{00000000-0006-0000-0100-00000B000000}">
      <text>
        <r>
          <rPr>
            <sz val="11"/>
            <rFont val="Carlito"/>
          </rPr>
          <t>Sursa originală: D:\00. Downloads\Apartamente Viena\00. Cladire 1 Schallergasse 35, 1120 Wien (Meidling)\00.Proiect\09. Vertraege\bmberger.at\2026.08.17\2026_08_17_Anbot_Statik_Detail.pdf
Data lizibilă: 2026.08.17
ID Eva-Mail: ce6905cb-0c93-4e6b-8cde-7e300dfc874c</t>
        </r>
      </text>
    </comment>
    <comment ref="G46" authorId="0" shapeId="0" xr:uid="{00000000-0006-0000-0100-00000C000000}">
      <text>
        <r>
          <rPr>
            <sz val="11"/>
            <rFont val="Carlito"/>
          </rPr>
          <t>Sursa originală: D:\00. Downloads\Apartamente Viena\00. Cladire 1 Schallergasse 35, 1120 Wien (Meidling)\03. Proiectare\Statik\Angebot 2026-470-AN01 2026-09-17.pdf
Data lizibilă: 2026.09.17
ID Eva-Mail: 63cd2bcb-2160-4027-b6c8-25bb42d9ae50</t>
        </r>
      </text>
    </comment>
    <comment ref="G47" authorId="0" shapeId="0" xr:uid="{00000000-0006-0000-0100-00000D000000}">
      <text>
        <r>
          <rPr>
            <sz val="11"/>
            <rFont val="Carlito"/>
          </rPr>
          <t>Sursa originală: D:\00. Downloads\Apartamente Viena\00. Cladire 1 Schallergasse 35, 1120 Wien (Meidling)\00.Proiect\07. Kosten + Ausschreibung\03. Angebote (Oferte)\Angebot REALIG Gschirtz.pdf
Data lizibilă: 2026.03.26</t>
        </r>
      </text>
    </comment>
  </commentList>
</comments>
</file>

<file path=xl/sharedStrings.xml><?xml version="1.0" encoding="utf-8"?>
<sst xmlns="http://schemas.openxmlformats.org/spreadsheetml/2006/main" count="625" uniqueCount="452">
  <si>
    <t>Schallergasse 35 — servicii și discuții, 2026.10.12</t>
  </si>
  <si>
    <t>Reper: propunerea TOMS v4.1 trimisă la 2026.10.02. Cererile AG se disting de confirmările ofertantului.</t>
  </si>
  <si>
    <t>TOMS a refuzat preluarea în prezent la 2026.10.08. Întinderea față de v4.1 este de clarificat. Nu există acceptare confirmată.</t>
  </si>
  <si>
    <t>AG = beneficiar. PI = Prüfingenieur. LB = descrierea serviciilor. Confirmarea unui punct nu dovedește acceptarea întregului contract.</t>
  </si>
  <si>
    <t>Capitol / discuție</t>
  </si>
  <si>
    <t>Serviciu sau condiție</t>
  </si>
  <si>
    <t>Propunere de contract TOMS v4.1 trimisă</t>
  </si>
  <si>
    <t>TOMS: ofertă și răspunsuri</t>
  </si>
  <si>
    <t>Markus BERGER</t>
  </si>
  <si>
    <t>Dr. PECH</t>
  </si>
  <si>
    <t>Surse</t>
  </si>
  <si>
    <t>Discuții</t>
  </si>
  <si>
    <t>2026.09.23: oferte și clarificări</t>
  </si>
  <si>
    <t>Reia ANG 839, ANG 855 și ANG 891. Validitate indicată până la 2026.12.31.</t>
  </si>
  <si>
    <t>25.000 structură + 1.500 asistență + 8.000 PI + 3.400 Bauwerksbuch, EUR net. Confirmările punctuale rămân distincte de acceptarea v4.1.</t>
  </si>
  <si>
    <t>Ofertă 2026.08.17. Acceptarea beneficiarului nedemonstrată.</t>
  </si>
  <si>
    <t>Ofertă 2026.09.17, 2026-470/AN01. Formular de comandă nesemnat.</t>
  </si>
  <si>
    <t>T1 §11,15; T2–T4; B1 p1–4; P1 p1–3</t>
  </si>
  <si>
    <t>2026.09.28 și 2026.10.01: reducerea detaliilor</t>
  </si>
  <si>
    <t>V4.1 elimină detaliile refuzate sau cu supliment. Păstrează proiectarea de conducere și verificarea documentelor terților.</t>
  </si>
  <si>
    <t>Q2 semnat: Aufpreis / nein pentru mai multe detalii. Emailul 2026.10.01 menține delimitarea față de atelier și responsabilitatea executantului.</t>
  </si>
  <si>
    <t>Nu există clarificări echivalente pe fiecare punct.</t>
  </si>
  <si>
    <t>Referință generică la descrierea AG, fără identificarea versiunii.</t>
  </si>
  <si>
    <t>T1 §1–3,6,9; T5 A/C; T6; B1; P1 p2</t>
  </si>
  <si>
    <t>2026.10.02: ultimul contract transmis</t>
  </si>
  <si>
    <t>V4.1 TRIMIS. D1 la 3 săptămâni după semnarea ambelor părți. Restul termenelor prin acord.</t>
  </si>
  <si>
    <t>Trimiterea este confirmată. Acceptarea, semnarea și începerea nu sunt confirmate.</t>
  </si>
  <si>
    <t>Nu a fost transmis același contract pentru acceptare, în sursele verificate.</t>
  </si>
  <si>
    <t>T1 §8; T8; B1; P1</t>
  </si>
  <si>
    <t>2026.10.08: ultimul răspuns TOMS</t>
  </si>
  <si>
    <t>Nu există acceptare ulterioară documentată.</t>
  </si>
  <si>
    <t>Refuză în prezent comanda amplă din lipsă de resurse. Răspunde firului v3. Întinderea exactă față de v4.1 trebuie clarificată.</t>
  </si>
  <si>
    <t>Disponibilitatea actuală nu este confirmată.</t>
  </si>
  <si>
    <t>Disponibilitatea și calendarul actual nu sunt confirmate.</t>
  </si>
  <si>
    <t>T7; B1 p1,3; P1 p4</t>
  </si>
  <si>
    <t>§1</t>
  </si>
  <si>
    <t>Obiect și anexe contractuale</t>
  </si>
  <si>
    <t>V4.1 și anexele identificate. Răspunsurile specifice Aufpreis/nein prevalează față de formulări generale.</t>
  </si>
  <si>
    <t>Confirmări tehnice parțiale în chestionare. Întregul contract v4.1 nu este acceptat.</t>
  </si>
  <si>
    <t>Extindere, transformare, mansardă și modificări constructive, generic.</t>
  </si>
  <si>
    <t>Toate cele 6 poziții trimit la Leistungsbeschreibung AG. Data și versiunea acesteia trebuie fixate.</t>
  </si>
  <si>
    <t>T1 §1; T5; B1 p1; P1 p2</t>
  </si>
  <si>
    <t>§2</t>
  </si>
  <si>
    <t>Calcule de execuție și preluarea predimensionării</t>
  </si>
  <si>
    <t>Calcule verificabile pentru întregul obiect. Preluarea pe răspundere proprie a predimensionării 2022 și a datelor de bază.</t>
  </si>
  <si>
    <t>Q1 F3 confirmă un calcul nou pe planul actual și preluarea pe răspundere proprie, în pachetul ANG 855. Întregul v4.1 rămâne neacceptat.</t>
  </si>
  <si>
    <t>Calcule detaliate. 13.000 EUR condiționat de păstrarea conceptului predimensionării.</t>
  </si>
  <si>
    <t>Pos01 Ausführungsstatik, 42.000 EUR. Detaliile prin descrierea AG neidentificată.</t>
  </si>
  <si>
    <t>T1 §2; T2 pos1.2.1; T10 F3; B1 p2; P1 pos01</t>
  </si>
  <si>
    <t>Fundații și placa de 30 cm</t>
  </si>
  <si>
    <t>Calcul, armare și racord la fundațiile existente.</t>
  </si>
  <si>
    <t>Confirmat în Q1 F1/F12: placă de 30 cm și racord la fundațiile existente. Fără preț separat pe element. V4.1 nu este acceptat integral.</t>
  </si>
  <si>
    <t>Elemente portante generic. Fundația și probele nu sunt inventariate separat. Săpăturile/probele sunt excluse.</t>
  </si>
  <si>
    <t>Confirmare detaliată necesară în Pos01 prin descrierea AG.</t>
  </si>
  <si>
    <t>T1 §2.1; T2; T10 F1,F12; B1 p1–3; P1 pos01</t>
  </si>
  <si>
    <t>Puț lift, groapă și fundare</t>
  </si>
  <si>
    <t>Întregul puț și fundarea, cu verificarea încărcărilor fabricantului.</t>
  </si>
  <si>
    <t>Confirmat în Q1 F1/F6: liftul și preluarea sarcinilor furnizate de fabricant. TOMS le verifică static; nu generează aceste sarcini.</t>
  </si>
  <si>
    <t>Liftul apare în obiect și calculul onorariului. Interfețele nu sunt descrise separat.</t>
  </si>
  <si>
    <t>Prin descrierea AG la Pos01. Liftul nu este numit separat în PDF-ul ofertei.</t>
  </si>
  <si>
    <t>T1 §2.2,6; T10 F1,F6; B1 p1; P1 pos01</t>
  </si>
  <si>
    <t>Planșee existente, ziduri, goluri și buiandrugi</t>
  </si>
  <si>
    <t>Consolidarea planșeelor din lemn, reazeme, goluri și elementele portante afectate.</t>
  </si>
  <si>
    <t>Confirmat Q1 F1 pentru planșee, pereți, buiandrugi și goluri. Fără preț separat pe element/gol.</t>
  </si>
  <si>
    <t>Transformarea și elementele portante, generic. Golurile nu au poziție/preț separat.</t>
  </si>
  <si>
    <t>Pos02 Durchbruchsplanung Bestand: 6.000 EUR. Restul detaliilor prin Pos01/LB.</t>
  </si>
  <si>
    <t>T1 §2.3–4; T2; T10 F1; B1 p1–2; P1 pos01–02</t>
  </si>
  <si>
    <t>Mansardă, acoperiș, lucarne și terase</t>
  </si>
  <si>
    <t>Calcule și Führungsplanung lemn/oțel pentru mansarda pe două niveluri, inclusiv racorduri structurale.</t>
  </si>
  <si>
    <t>Führungsplanung confirmată în Q1 F1 și ANG 855. Detaliile de atelier și dimensionările de noduri sunt excluse.</t>
  </si>
  <si>
    <t>Mansarda în obiect. Planuri de oțel numite; planurile pentru lemn nu sunt numite explicit.</t>
  </si>
  <si>
    <t>Prin Pos01 și descrierea AG. Livrabilele pe lemn/oțel trebuie confirmate.</t>
  </si>
  <si>
    <t>T1 §2.5,3,6; T2; T10 F1; B1 p1–2; P1 pos01</t>
  </si>
  <si>
    <t>Contravântuire și traseul încărcărilor</t>
  </si>
  <si>
    <t>Calculul stabilității, diafragmelor, acțiunii vântului și transmiterii sarcinilor în existent.</t>
  </si>
  <si>
    <t>Principiul structural confirmat Q1. Detaliile conexiunilor de contravântuire sunt excluse Q2 A10.</t>
  </si>
  <si>
    <t>Calcule ale elementelor portante generic. Detaliile nu sunt enumerate.</t>
  </si>
  <si>
    <t>Prin Pos01/LB. Confirmare explicită necesară pentru fiecare subsistem.</t>
  </si>
  <si>
    <t>T1 §2.6,6; T10 F1; T5 A10; B1 p2; P1 pos01</t>
  </si>
  <si>
    <t>Balcoane în curte și transmiterea sarcinilor</t>
  </si>
  <si>
    <t>Calculul balconului și traseului încărcărilor în zidăria existentă. Dimensionarea ancorelor separat, la terți.</t>
  </si>
  <si>
    <t>Sistemul și transferul sarcinilor sunt confirmate în principiu în Q1. Ancorele/diblurile detaliate: Aufpreis Q2 A5, excluse v4.1.</t>
  </si>
  <si>
    <t>Nu sunt numite separat; includerea și ancorele trebuie clarificate.</t>
  </si>
  <si>
    <t>Nu sunt numite separat în oferta PDF; verificare prin LB necesară.</t>
  </si>
  <si>
    <t>T1 §2.7,6; T10 F1; T5 A5; B1; P1 pos01</t>
  </si>
  <si>
    <t>Scări, pereți antifoc, vecini și coșuri</t>
  </si>
  <si>
    <t>Elementele structurale afectate și racordurile de principiu, în limitele contractului.</t>
  </si>
  <si>
    <t>Confirmate structural în Q1 F1. Dimensionarea la foc pe clase R nu este inclusă.</t>
  </si>
  <si>
    <t>Elemente portante generic; nu sunt enumerate individual.</t>
  </si>
  <si>
    <t>Prin Pos01/LB. Confirmare detaliată necesară.</t>
  </si>
  <si>
    <t>T1 §2.8–9,6; T10 F1; B1 p2; P1 pos01</t>
  </si>
  <si>
    <t>Subzidiri etapizate</t>
  </si>
  <si>
    <t>Calcule și desen de principiu pentru geometrie, armare, lungimi și succesiune.</t>
  </si>
  <si>
    <t>Q1 F6 confirmă calculul și desenul de principiu pentru subzidiri. Proiectul sprijinirii excavării rămâne distinct, la terți.</t>
  </si>
  <si>
    <t>Baugrubensicherung și zidurile de sprijin sunt excluse. Subzidirile nu sunt confirmate distinct.</t>
  </si>
  <si>
    <t>Pos03 Baugrubensicherung 5.000 EUR. Exacta acoperire a subzidirilor trebuie confirmată.</t>
  </si>
  <si>
    <t>T1 §2.10,6; T10 F6; B1 p2; P1 pos03</t>
  </si>
  <si>
    <t>§2–3</t>
  </si>
  <si>
    <t>Planuri de poziții, cofraj și armare</t>
  </si>
  <si>
    <t>Planuri pe niveluri și planuri de conducere 1:50, coerente cu calculul.</t>
  </si>
  <si>
    <t>ANG 855 include toate planurile cofraj/armare. Q1 F2 confirmă planurile de poziții/sarcini. Detalierea completă de atelier este exclusă.</t>
  </si>
  <si>
    <t>Konstruktionspläne, cofraj/armare și/sau oțel: 20.000 EUR separat de calcul.</t>
  </si>
  <si>
    <t>Nu există poziție separată de planuri. Livrabilele de execuție se clarifică în Pos01/LB.</t>
  </si>
  <si>
    <t>T1 §2.11,3,9; T2; T10 F2; B1 p2; P1 pos01</t>
  </si>
  <si>
    <t>Liste de armare și liste de piese</t>
  </si>
  <si>
    <t>Liste de armare/fasonare. Nu cere liste complete de conectori și piese în planuri.</t>
  </si>
  <si>
    <t>Q1 F2 confirmă listele armare/fasonare. Q2 exclude Excel/CSV separat și liste de piese direct în plan.</t>
  </si>
  <si>
    <t>Stücklisten incluse generic în planurile constructive; tipurile exacte de liste nu sunt enumerate.</t>
  </si>
  <si>
    <t>Nu sunt numite separat; clarificare prin Pos01/LB.</t>
  </si>
  <si>
    <t>T1 §2.12,6,9; T10 F2; T5 A8,C; B1 p2; P1 pos01</t>
  </si>
  <si>
    <t>Planuri de atelier și documente ale executantului</t>
  </si>
  <si>
    <t>Întocmire la executant. Verificarea și aprobarea planurilor terților sunt incluse în cererea v4.1.</t>
  </si>
  <si>
    <t>Q1 F2 confirmă REVIZUIREA planurilor atelier și documentelor furnizorilor. Întocmirea Werkstätten-/Abbundpläne este exclusă.</t>
  </si>
  <si>
    <t>Întocmirea exclusă. Executantul le întocmește și sunt aprobate ulterior.</t>
  </si>
  <si>
    <t>Întocmirea și aprobarea nu sunt numite separat; trebuie confirmate.</t>
  </si>
  <si>
    <t>T1 §2.13,3,6; T10 F2; T5 A12; T6; B1 p2; P1</t>
  </si>
  <si>
    <t>Încărcări ale furnizorilor și verificarea sprijinirilor</t>
  </si>
  <si>
    <t>Verifică încărcările și documentele terților. Nu generează încărcările MEP/lift și nu întocmește toate proiectele temporare.</t>
  </si>
  <si>
    <t>Q1 F6 confirmă revizuirea documentelor terților și sarcinilor. Proiectele de sprijinire și generarea sarcinilor sunt la terți.</t>
  </si>
  <si>
    <t>Dă încărcările clădirii proprii. Proiectul excavării și specialiștii externi sunt excluși.</t>
  </si>
  <si>
    <t>Excavarea are Pos03. Încărcările furnizorilor și verificarea proiectelor temporare nu sunt explicit detaliate.</t>
  </si>
  <si>
    <t>T1 §2.14,6; T10 F6; B1 p2–3; P1 pos03</t>
  </si>
  <si>
    <t>Revizii, corecții și întrebări tehnice</t>
  </si>
  <si>
    <t>Cel puțin 2 cicluri de corecții per plan și răspunsuri tehnice la întrebări de ofertare.</t>
  </si>
  <si>
    <t>Q1 F2 confirmă două cicluri de corecții și răspunsuri tehnice ofertanților. Evaluarea comercială și negocierile de atribuire sunt excluse.</t>
  </si>
  <si>
    <t>Coordonare generică. Ciclurile și termenele nu sunt fixate; suplimente în regie.</t>
  </si>
  <si>
    <t>Modificările peste uzual din sfera AG/partenerilor pot fi în regie. Ciclurile nu sunt fixate.</t>
  </si>
  <si>
    <t>T1 §2,3,4; T10 F2; B1 p2–3; P1 p3–4</t>
  </si>
  <si>
    <t>§3,6</t>
  </si>
  <si>
    <t>Noduri lemn/oțel, ancore și îmbinări</t>
  </si>
  <si>
    <t>EXCLUS: dimensionări de noduri/conectori, ancore, dibluri, suduri și detalii de îmbinare. Necesar prestator/executant terț.</t>
  </si>
  <si>
    <t>Q2: mai multe puncte Aufpreis fără sumă sau nein. V4.1 nu le include în 25.000 EUR.</t>
  </si>
  <si>
    <t>Detaliile necesare execuției sunt generic menționate; calculele de noduri/ancore nu sunt confirmate individual.</t>
  </si>
  <si>
    <t>Nu sunt detaliate separat; confirmarea LB și prețul pentru detalii sunt necesare.</t>
  </si>
  <si>
    <t>T1 §3,6; T5 A1,A2,A3–A6; T6; B1 p2; P1 pos01</t>
  </si>
  <si>
    <t>§3</t>
  </si>
  <si>
    <t>Forțe de reazem și detalii de rezemare</t>
  </si>
  <si>
    <t>Forțele în calcul, fără înscriere obligatorie pe plan. Plăci de reazem/paturi de mortar/lungimi de rezemare în limitele v4.1.</t>
  </si>
  <si>
    <t>Q2 A7: «in Statik enthalten», nu pe plan. A9: detaliile de rezemare incluse.</t>
  </si>
  <si>
    <t>Date necesare execuției generic. Forțele și detaliile pe plan nu sunt enumerate.</t>
  </si>
  <si>
    <t>Prin Pos01/LB. Confirmare a modului de predare necesară.</t>
  </si>
  <si>
    <t>T1 §3; T5 A7,A9; B1 p2; P1 pos01</t>
  </si>
  <si>
    <t>§4</t>
  </si>
  <si>
    <t>Asistență statică și vizite de șantier</t>
  </si>
  <si>
    <t>Ședință de început + 6 vizite critice. Protocoale în 3 zile și răspunsuri în 2 zile, cerute de AG.</t>
  </si>
  <si>
    <t>ANG 855: 1.500 EUR, fără număr de vizite. Q1 F5 confirmă 6 faze + început + după nevoie, răspunsuri în 2 zile și deplasare. Protocolul în 3 zile este cerință AG.</t>
  </si>
  <si>
    <t>2.000 EUR pentru asistență, maximum 8 vizite. Separat de activitatea Prüfingenieur.</t>
  </si>
  <si>
    <t>14.000 EUR Pos05 Baubegleitung, cu 12 recepții. Nu confirmă distinct toate vizitele ori rolul PI.</t>
  </si>
  <si>
    <t>T1 §4; T2 pos1.2.2; T10 F5; B1 p2–3; P1 pos05</t>
  </si>
  <si>
    <t>Durată, prelungire și vizite suplimentare</t>
  </si>
  <si>
    <t>Circa 12 luni. Cerere de prelungire până la 15 luni fără supliment dacă nu depășește 3 vizite în plus; apoi 300 EUR net/vizită.</t>
  </si>
  <si>
    <t>Q1 F5 confirmă prelungirea condiționată la 15 luni și 300 EUR net/vizită suplimentară cu deplasare. Pragul numeric de peste 3 vizite este completare AG neacceptată.</t>
  </si>
  <si>
    <t>Circa 12 luni. Vizitele peste limită fără tarif separat, suplimente în regie.</t>
  </si>
  <si>
    <t>Calendar prin acord. Fiecare recepție suplimentară: 450 EUR net.</t>
  </si>
  <si>
    <t>T1 §4; T10 F5; B1 p1–3; P1 pos05,p4</t>
  </si>
  <si>
    <t>§5</t>
  </si>
  <si>
    <t>Prüfingenieur §127 / verificare pe șantier</t>
  </si>
  <si>
    <t>15 vizite, verificări critice, recepții armare/teren, Rohbaubeschau și final. Disponibilitate 24 h, cerută de AG.</t>
  </si>
  <si>
    <t>ANG 839: 8.000 EUR, ipoteză 15 vizite. Q1 F7 confirmă 24 h și o singură Rohbaubeschau. Aceste confirmări nu sunt acceptarea întregului v4.1.</t>
  </si>
  <si>
    <t>10.000 EUR: verificări §127 până la Rohbaubeschau și anexă §128. Numărul tuturor vizitelor PI nu este dat.</t>
  </si>
  <si>
    <t>Prüfingenieur nu este numit explicit. 12 Abnahmen nu dovedesc numirea în acest rol.</t>
  </si>
  <si>
    <t>T1 §5; T3; T10 F7; B1 p3; P1 pos04–06</t>
  </si>
  <si>
    <t>Certificat §128 și relația MA37</t>
  </si>
  <si>
    <t>Certificat ZT, colectare dovezi materiale/protocoale, coordonare cu arhitect/Bauführer și răspunsuri structurale MA37.</t>
  </si>
  <si>
    <t>Q1 F8/F10 confirmă certificatul final, documentele și colaborarea cu autoritatea. As-built la arhitect. Nu este acceptare integrală v4.1.</t>
  </si>
  <si>
    <t>Anexă §128 explicită, condiționată de confirmări Bauführer și ÖBA/Bauwerber.</t>
  </si>
  <si>
    <t>Pos06 Schlussunterlagen: 1.500 EUR. Certificatul §128 și rolul PI nu sunt exprimate explicit.</t>
  </si>
  <si>
    <t>T1 §5; T3; T10 F8,F10; B1 p3; P1 pos06</t>
  </si>
  <si>
    <t>Control intern și costuri de verificare externe</t>
  </si>
  <si>
    <t>Control cu 4 ochi, coerență plan/calcul, plauzibilitate baze și coordonare verificări terțe dacă sunt cerute.</t>
  </si>
  <si>
    <t>Q1 F7/F10 confirmă controlul, coordonarea verificării externe dacă o cere MA37 și declarația fără alte costuri de verificare. Nu este ofertă separată de elaborare Prüfstatik extern.</t>
  </si>
  <si>
    <t>Nu sunt descrise distinct; costul/externalizarea trebuie clarificate.</t>
  </si>
  <si>
    <t>T1 §5; T3; T10 F7,F10; B1; P1</t>
  </si>
  <si>
    <t>§6</t>
  </si>
  <si>
    <t>Sprijiniri de excavare și susțineri temporare</t>
  </si>
  <si>
    <t>Proiecte/calcul ale excavării și susținerilor temporare la terți. TOMS verifică documentele în limitele cererii.</t>
  </si>
  <si>
    <t>EXCLUS întocmirea în v4.1. Nu echivalează cu subzidirea de principiu cerută separat.</t>
  </si>
  <si>
    <t>Baugrubensicherung, ziduri de sprijin și exterior excluse.</t>
  </si>
  <si>
    <t>Baugrubensicherung inclusă explicit, 5.000 EUR. Susținerile planșeelor/fațadei și etapizarea se clarifică.</t>
  </si>
  <si>
    <t>T1 §2.10,6; B1 p2; P1 pos03</t>
  </si>
  <si>
    <t>Foc, protecții speciale și verificare seismică</t>
  </si>
  <si>
    <t>Calcul la foc pe clase R și protecții speciale anticoroziune/lemn excluse. Verificarea seismică existentă nu este livrabil nou.</t>
  </si>
  <si>
    <t>Excluderi menținute în v4.1 conform răspunsurilor specifice.</t>
  </si>
  <si>
    <t>Neenumerate separat. Nu se deduce includerea din calculele generice.</t>
  </si>
  <si>
    <t>Neenumerate separat. Nu se deduce includerea fără LB identificată.</t>
  </si>
  <si>
    <t>T1 §6; T10 F1,F3; T5 A11; B1; P1</t>
  </si>
  <si>
    <t>Cantități, devize și evaluarea ofertelor</t>
  </si>
  <si>
    <t>EXCLUS: extrase de cantități, liste de interfețe, ședințe de atribuire și evaluare comercială.</t>
  </si>
  <si>
    <t>Nu sunt în pachetul structural v4.1. Răspunsurile tehnice la ofertare sunt distincte.</t>
  </si>
  <si>
    <t>Nu sunt ofertate expres; listele de piese nu sunt deviz de cantități.</t>
  </si>
  <si>
    <t>Nu sunt ofertate expres.</t>
  </si>
  <si>
    <t>T1 §2,6; B1 p2; P1</t>
  </si>
  <si>
    <t>ÖBA, Bauführung, demolare și As-built</t>
  </si>
  <si>
    <t>EXCLUS: ÖBA/Bauführung, plan demolare/organizare și planuri structurale As-built, la arhitect.</t>
  </si>
  <si>
    <t>Servicii la alte părți. Nu există supraveghere continuă inclusă.</t>
  </si>
  <si>
    <t>PI separat de confirmările ÖBA/Bauführer; nu sunt ofertate ÖBA sau Bauführung.</t>
  </si>
  <si>
    <t>Baubegleitung nu se echivalează cu ÖBA/Bauführung. Acoperirea exactă se clarifică.</t>
  </si>
  <si>
    <t>T1 §6; B1 p3; P1 pos05–06</t>
  </si>
  <si>
    <t>Probe, investigații și starea vecinilor</t>
  </si>
  <si>
    <t>Investigații suplimentare terțe doar cu acord scris AG. Recomandare constatare vecini; executarea acesteia este exclusă.</t>
  </si>
  <si>
    <t>Nu există includere integrală de geotehnică sau probe executate de TOMS.</t>
  </si>
  <si>
    <t>Geotehnician, geometru, săpături pentru fundații și deschideri de probe excluse.</t>
  </si>
  <si>
    <t>Untergrundbeschau 800 EUR. Refacerea după probe rămâne la AG dacă nu se comandă separat.</t>
  </si>
  <si>
    <t>T1 §2,6; B1 p3; P1 pos04,p4</t>
  </si>
  <si>
    <t>§7</t>
  </si>
  <si>
    <t>Bauwerksbuch: existent și intervenții noi</t>
  </si>
  <si>
    <t>3.400 EUR net. Evaluare inițială, cartea clădirii și înregistrare MA37 pentru întregul obiect.</t>
  </si>
  <si>
    <t>ANG 891 explicit, 3.400 EUR. Q2 E1–E7 și E10–E12 incluse; întregul contract rămâne neacceptat.</t>
  </si>
  <si>
    <t>Nespecificat. Nu se adaugă zero la total.</t>
  </si>
  <si>
    <t>Nespecificat. Schlussunterlagen nu dovedește Bauwerksbuch.</t>
  </si>
  <si>
    <t>T1 §7; T4; T5 E; B1; P1 pos06</t>
  </si>
  <si>
    <t>Bauwerksbuch: fotografii, fisuri și catalog extins</t>
  </si>
  <si>
    <t>Fotografii/comparație înainte-după și catalog extins excluse. Conținutul obligatoriu prevăzut în contract rămâne cerut.</t>
  </si>
  <si>
    <t>Q2 E8 și E9: nein. Nu sunt servicii incluse fără supliment.</t>
  </si>
  <si>
    <t>Nespecificat.</t>
  </si>
  <si>
    <t>T1 §7; T5 E8–E9; B1; P1</t>
  </si>
  <si>
    <t>§7–8</t>
  </si>
  <si>
    <t>Predări și termene ale dosarelor</t>
  </si>
  <si>
    <t>D1 în 3 săptămâni de la semnare. D2–D5 prin acord. Bauwerksbuch: draft/versiune finală înainte de notificarea finalizării.</t>
  </si>
  <si>
    <t>Termene cerute în v4.1. Calendarul nu a început fără semnare confirmată.</t>
  </si>
  <si>
    <t>Început prin acord, circa 12 luni. Nu există date distincte de predare.</t>
  </si>
  <si>
    <t>Calendar prin acord, începe după comandă scrisă și documentație. Nu există date distincte.</t>
  </si>
  <si>
    <t>T1 §7–8; T8; B1 p1,3; P1 p4</t>
  </si>
  <si>
    <t>§9</t>
  </si>
  <si>
    <t>PDF, DWG, DXF, IFC și revizii</t>
  </si>
  <si>
    <t>PDF semnat, DWG AutoCAD 2018 sau mai vechi, DXF, IFC 2x3/4, listă planuri și istoric revizii.</t>
  </si>
  <si>
    <t>Q2 C confirmă formatele, reviziile, lista și accesul/download. Specificațiile contractuale complete cer acceptare.</t>
  </si>
  <si>
    <t>Predare pe hârtie o dată și electronic. Formatele editabile nu sunt precizate.</t>
  </si>
  <si>
    <t>Formatele nu sunt enumerate. Trebuie anexată exacta descriere AG.</t>
  </si>
  <si>
    <t>T1 §9; T5 C; B1 p3; P1 p2</t>
  </si>
  <si>
    <t>Model nativ, CSV/Excel, fișiere utilaj și layere</t>
  </si>
  <si>
    <t>EXCLUS: model nativ calcul, liste suplimentare CSV/Excel, BTL/BVX, NC/DSTV, layere speciale și poziții complete.</t>
  </si>
  <si>
    <t>Q2 C: nein pentru aceste livrabile. Nu se tratează ca incluse în 25.000 EUR.</t>
  </si>
  <si>
    <t>Nespecificat. Predare electronică generică nu le confirmă.</t>
  </si>
  <si>
    <t>Nespecificat. Referința LB nu le confirmă individual.</t>
  </si>
  <si>
    <t>T1 §9; T5 C; B1 p3; P1</t>
  </si>
  <si>
    <t>Drepturi de utilizare, modificare și terți</t>
  </si>
  <si>
    <t>AG cere utilizare nelimitată, modificare și transmitere către terți, inclusiv predare intermediară/finală.</t>
  </si>
  <si>
    <t>Q1 F17 confirmă principiul utilizării nelimitate, accesului terților și predării. Întregul contract v4.1 nu este acceptat.</t>
  </si>
  <si>
    <t>Licența pentru modificare/terți nu este precizată.</t>
  </si>
  <si>
    <t>AGB păstrează drepturile la PECH inclusiv pentru execuție/modificare/reproducere de terți, chiar după plată. Necesită negociere.</t>
  </si>
  <si>
    <t>T1 §9; T10 F17; B1; P1 p4</t>
  </si>
  <si>
    <t>§10</t>
  </si>
  <si>
    <t>Recepția livrabilelor și corectarea erorilor</t>
  </si>
  <si>
    <t>Control completitudine în 10 zile lucrătoare, completări în 5 zile. Aprobarea AG nu transferă răspunderea tehnică.</t>
  </si>
  <si>
    <t>Clauze AG. Nu există acceptare contractuală documentată.</t>
  </si>
  <si>
    <t>Aprobarea planurilor de cofraj de către AG/proiectant prevăzută; termenele nu sunt similare explicit.</t>
  </si>
  <si>
    <t>Termenele de recepție a dosarelor nu sunt similare explicit. AGB reglementează separat obiecțiile la facturi.</t>
  </si>
  <si>
    <t>T1 §3,10; B1 p2; P1 p4</t>
  </si>
  <si>
    <t>§11</t>
  </si>
  <si>
    <t>Preț, modificări și cheltuieli</t>
  </si>
  <si>
    <t>37.900 EUR net. Preț fix cerut, deplasări incluse, suplimente doar după aprobare scrisă.</t>
  </si>
  <si>
    <t>Ofertele prevăd convenire separată/recalcul la efort crescut peste 10%. Q1 F18 limitează la schimbări AG și acord prealabil; erorile proprii nu sunt supliment.</t>
  </si>
  <si>
    <t>45.000 EUR net. Suplimente în regie; reducerea pentru calcul este condiționată de concept neschimbat.</t>
  </si>
  <si>
    <t>69.300 EUR net. AGB prevede ZT-Index și schimbări în regie; nu confirmă preț fix.</t>
  </si>
  <si>
    <t>T1 §11; T2–T4; T10 F18; B1 p2–3; P1 p1–4</t>
  </si>
  <si>
    <t>Plăți și rețineri</t>
  </si>
  <si>
    <t>Plată pe dosare predate/recepționate, fără avans, la 30 zile. D1–D5 sunt repartizări AG, nu prețuri ofertate separat.</t>
  </si>
  <si>
    <t>30 zile în ofertele originale. Q1 F18: după progres, plan de plăți de propus de TOMS. Repartizările AG și plata fără avans nu sunt acceptate automat.</t>
  </si>
  <si>
    <t>Facturi parțiale după progres, 14 zile fără deduceri. Atribuirea parțială cere acord.</t>
  </si>
  <si>
    <t>Facturi parțiale lunare, 14 zile fără deduceri. Kein Haftrücklass: fără reținere de garanție.</t>
  </si>
  <si>
    <t>T1 §11; T2–T4; T10 F18; B1 p3; P1 p1,4</t>
  </si>
  <si>
    <t>§12–13</t>
  </si>
  <si>
    <t>Responsabil, echipă, asigurare și independență</t>
  </si>
  <si>
    <t>DI Ferdinand Toms, echipă/înlocuitor și dovezi profesionale. Confirmarea continuității poliței și a independenței este cerută.</t>
  </si>
  <si>
    <t>Documente Generali în anexe. Echipa și unele confirmări rămân de completat înainte de semnare.</t>
  </si>
  <si>
    <t>Markus Berger semnează oferta prestatorului. Confirmările comparabile trebuie cerute separat.</t>
  </si>
  <si>
    <t>Persoană de contact Bernhard Ployer. Confirmările comparabile trebuie cerute separat.</t>
  </si>
  <si>
    <t>T1 §12–13,Anl6–7; B1 p4; P1 p1</t>
  </si>
  <si>
    <t>§14</t>
  </si>
  <si>
    <t>Planwechsel și cerințe MA37</t>
  </si>
  <si>
    <t>Un pachet combinat de adaptare în conceptul existent; contribuție structurală. Arhitectul depune. Corectarea erorilor proprii nu este modificare plătită.</t>
  </si>
  <si>
    <t>Q1 F11/F13 confirmă colaborarea structurală. Încadrarea Planwechsel/nouă depunere și bucla exactă v4.1 rămân de clarificat.</t>
  </si>
  <si>
    <t>Planwechsel inclus nu este precizat. Confirmarea PI presupune lipsa modificărilor care ar necesita Planwechsel.</t>
  </si>
  <si>
    <t>Nu este cotat separat. Modificările peste uzual pot fi în regie.</t>
  </si>
  <si>
    <t>T1 §14; T10 F11,F13; B1 p2–3; P1 p3–4</t>
  </si>
  <si>
    <t>§15</t>
  </si>
  <si>
    <t>Valabilitatea ofertelor</t>
  </si>
  <si>
    <t>ANG 839/855 și ANG 891: până la 2026.12.31 potrivit anexelor.</t>
  </si>
  <si>
    <t>Valabilitatea istorică a prețului nu dovedește disponibilitate actuală după refuzul 2026.10.08.</t>
  </si>
  <si>
    <t>8 săptămâni de la 2026.08.17. Expirare calculată: 2026.10.12. Fără prelungire confirmată.</t>
  </si>
  <si>
    <t>90 zile de la 2026.09.17. Expirare calculată: 2026.12.16. Disponibilitatea nu este confirmată.</t>
  </si>
  <si>
    <t>T1 §15; T7; B1 p3; P1 p1</t>
  </si>
  <si>
    <t>§16</t>
  </si>
  <si>
    <t>Încheiere și reziliere contract</t>
  </si>
  <si>
    <t>Încheiere după predare completă și înregistrarea Bauwerksbuch. Reguli AG pentru încetare și modificări scrise.</t>
  </si>
  <si>
    <t>Proiect de contract transmis; nu contract bilateral acceptat.</t>
  </si>
  <si>
    <t>Oferta nu conține o procedură comparabilă de încetare.</t>
  </si>
  <si>
    <t>AGB proprii aplicabile în ofertă. Nu există clauze identice acceptate cu v4.1.</t>
  </si>
  <si>
    <t>T1 §16; T8; B1; P1 p4</t>
  </si>
  <si>
    <t>În afara v4.1</t>
  </si>
  <si>
    <t>BauKG / coordonare securitate</t>
  </si>
  <si>
    <t>Nu intră în pachetul v4.1 de 37.900 EUR.</t>
  </si>
  <si>
    <t>ANG 840: 11.040 EUR net, ofertă istorică separată. Nu se adaugă la totalul v4.1.</t>
  </si>
  <si>
    <t>Nu este ofertat explicit în oferta analizată.</t>
  </si>
  <si>
    <t>T1 §11; T9; B1; P1</t>
  </si>
  <si>
    <t>Ofertă istorică</t>
  </si>
  <si>
    <t>REALIG / Christian Gschirtz</t>
  </si>
  <si>
    <t>Nu este ofertă structurală acceptată în v4.1.</t>
  </si>
  <si>
    <t>Nu se compară drept componentă TOMS.</t>
  </si>
  <si>
    <t>REALIG separat de BERGER: 24.000 EUR net, sumă presupusă într-un pachet general de proiectare.</t>
  </si>
  <si>
    <t>REALIG separat de PECH: nu există defalcare fermă pentru aceleași servicii.</t>
  </si>
  <si>
    <t>R1 p2, Sonstige Planungen (Summen angenommen)</t>
  </si>
  <si>
    <t>Decizie</t>
  </si>
  <si>
    <t>Ce trebuie cerut înainte de alegere</t>
  </si>
  <si>
    <t>Confirmați exact serviciile cerute, excluderile și prestatorul detaliilor de îmbinare/ancore/atelier.</t>
  </si>
  <si>
    <t>Clarificarea refuzului față de v4.1, disponibilitatea și acceptarea scrisă. Fără pornire D1 dedusă.</t>
  </si>
  <si>
    <t>Prelungire ofertă, calendar, lemn/ancore, Bauwerksbuch, formate și Planwechsel. PI separat de 8 vizite de asistență.</t>
  </si>
  <si>
    <t>LB exactă, planuri, PI/§128, Bauwerksbuch, drepturi de utilizare, indexare și calendar.</t>
  </si>
  <si>
    <t>Sinteză T1–T8; B1; P1</t>
  </si>
  <si>
    <t>Surse și originale</t>
  </si>
  <si>
    <t>T1</t>
  </si>
  <si>
    <t>TOMS v4.1, propunere AG transmisă</t>
  </si>
  <si>
    <t>Original în arhivă</t>
  </si>
  <si>
    <t>ID Eva-Mail</t>
  </si>
  <si>
    <t>64c91100-89c3-4206-8e7e-988e575385b8</t>
  </si>
  <si>
    <t>Calea în nota celulei</t>
  </si>
  <si>
    <t>T2</t>
  </si>
  <si>
    <t>TOMS ANG 855, structură și asistență</t>
  </si>
  <si>
    <t>Document anexat</t>
  </si>
  <si>
    <t>T3</t>
  </si>
  <si>
    <t>TOMS ANG 839, Prüfingenieur</t>
  </si>
  <si>
    <t>T4</t>
  </si>
  <si>
    <t>TOMS ANG 891, Bauwerksbuch</t>
  </si>
  <si>
    <t>T5</t>
  </si>
  <si>
    <t>TOMS Q2, chestionar semnat</t>
  </si>
  <si>
    <t>T6</t>
  </si>
  <si>
    <t>TOMS, răspuns privind delimitarea serviciilor</t>
  </si>
  <si>
    <t>838c8bcd-4e2d-4e90-bc25-25355ea6da60</t>
  </si>
  <si>
    <t>T7</t>
  </si>
  <si>
    <t>TOMS, refuz de preluare din lipsă de resurse</t>
  </si>
  <si>
    <t>cdd301b0-457e-4452-a394-6eea21256e61</t>
  </si>
  <si>
    <t>T8</t>
  </si>
  <si>
    <t>Dovada trimiterii v4.1 în Eva-Mail</t>
  </si>
  <si>
    <t>T9</t>
  </si>
  <si>
    <t>TOMS ANG 840, BauKG istoric separat</t>
  </si>
  <si>
    <t>T10</t>
  </si>
  <si>
    <t>TOMS Q1, versiune corectată și semnată</t>
  </si>
  <si>
    <t>B1</t>
  </si>
  <si>
    <t>Markus BERGER, ofertă detaliată, 4 pagini</t>
  </si>
  <si>
    <t>ce6905cb-0c93-4e6b-8cde-7e300dfc874c</t>
  </si>
  <si>
    <t>P1</t>
  </si>
  <si>
    <t>Dr. PECH, ofertă 2026-470/AN01, 4 pagini</t>
  </si>
  <si>
    <t>63cd2bcb-2160-4027-b6c8-25bb42d9ae50</t>
  </si>
  <si>
    <t>R1</t>
  </si>
  <si>
    <t>REALIG, ofertă generală cu sumă presupusă</t>
  </si>
  <si>
    <t>Schallergasse 35 — prețuri pe servicii, 2026.10.12</t>
  </si>
  <si>
    <t>TVA</t>
  </si>
  <si>
    <t>Toate prețurile sunt în EUR. Totalurile au domenii diferite.</t>
  </si>
  <si>
    <t>„Nespecificat”, „Exclus” și „Inclus în pachet” nu reprezintă zero. Suplimentele și pozițiile istorice nu intră în total.</t>
  </si>
  <si>
    <t>Categorie</t>
  </si>
  <si>
    <t>Serviciu / unitate</t>
  </si>
  <si>
    <t>TOMS EUR net</t>
  </si>
  <si>
    <t>BERGER EUR net</t>
  </si>
  <si>
    <t>PECH EUR net</t>
  </si>
  <si>
    <t>Delimitare și condiții</t>
  </si>
  <si>
    <t>Pachet</t>
  </si>
  <si>
    <t>Calcul de structură / Ausführungsstatik</t>
  </si>
  <si>
    <t>TOMS: include și planurile cofraj/armare, Führungsplanung lemn/oțel. BERGER: condiționat de conceptul static neschimbat. PECH: Pos01, livrabile prin LB de identificat.</t>
  </si>
  <si>
    <t>T2 pos1.2.1; B1 p2; P1 pos01</t>
  </si>
  <si>
    <t>Planuri constructive / cofraj / armare</t>
  </si>
  <si>
    <t>Inclus în 25.000</t>
  </si>
  <si>
    <t>Nespecificat separat</t>
  </si>
  <si>
    <t>TOMS nu defalcă acest preț. BERGER include Stücklisten și planuri de oțel, exclude atelier. La PECH exacta acoperire prin Pos01/LB trebuie confirmată.</t>
  </si>
  <si>
    <t>T2; B1 p2; P1 pos01</t>
  </si>
  <si>
    <t>Goluri în existent / Durchbruchsplanung</t>
  </si>
  <si>
    <t>Confirmat în pachet</t>
  </si>
  <si>
    <t>PECH Pos02. La TOMS confirmat în Q1 și cerut în v4.1; fără preț separat. BERGER numai obiect general de transformare.</t>
  </si>
  <si>
    <t>T1 §2.4; T10 F1; B1 p1–2; P1 pos02</t>
  </si>
  <si>
    <t>Sprijinirea excavării / Baugrubensicherung</t>
  </si>
  <si>
    <t>Exclus întocmire</t>
  </si>
  <si>
    <t>Exclus</t>
  </si>
  <si>
    <t>PECH Pos03. Exacta acoperire a subzidirilor/susținerilor temporare trebuie fixată. TOMS cere subzidiri de principiu, distinct de proiectul excavării.</t>
  </si>
  <si>
    <t>Inspecție teren / Untergrundbeschau</t>
  </si>
  <si>
    <t>Cerut în PI</t>
  </si>
  <si>
    <t>PECH Pos04. Nu echivalează cu întregul studiu geotehnic ori cu lucrările de probe.</t>
  </si>
  <si>
    <t>T1 §5; T3; B1 p3; P1 pos04</t>
  </si>
  <si>
    <t>Asistență statică / Baubegleitung</t>
  </si>
  <si>
    <t>TOMS: Q1 F5, început + 6 faze critice + după nevoie. BERGER: maximum 8 vizite asistență. PECH: 12 Abnahmen, fără numire PI explicită.</t>
  </si>
  <si>
    <t>T1 §4; T2 pos1.2.2; T10 F5; B1 p2; P1 pos05</t>
  </si>
  <si>
    <t>Prüfingenieur / §127 și §128</t>
  </si>
  <si>
    <t>Neconfirmat explicit</t>
  </si>
  <si>
    <t>TOMS ANG 839. BERGER PI până la Rohbaubeschau și anexă §128. Nu echivalați 12 recepții PECH cu PI.</t>
  </si>
  <si>
    <t>T3; B1 p3; P1 pos05–06</t>
  </si>
  <si>
    <t>Bauwerksbuch și înregistrare</t>
  </si>
  <si>
    <t>Nespecificat</t>
  </si>
  <si>
    <t>TOMS ANG 891. La ceilalți nu există preț sau includere explicită. Fotografiile/fisurile și catalogul extins TOMS sunt excluse.</t>
  </si>
  <si>
    <t>T4; T5 E8–E9; B1; P1</t>
  </si>
  <si>
    <t>Documente finale / Schlussunterlagen</t>
  </si>
  <si>
    <t>Cerut în PI/BWB</t>
  </si>
  <si>
    <t>Anexa §128 în PI</t>
  </si>
  <si>
    <t>PECH Pos06. Nu dovedește includerea Bauwerksbuch ori numirea PI. Nu se dublează prețurile TOMS/BERGER.</t>
  </si>
  <si>
    <t>T1 §5,7,9; B1 p3; P1 pos06</t>
  </si>
  <si>
    <t>Total</t>
  </si>
  <si>
    <t>TOTAL PACHET, NET</t>
  </si>
  <si>
    <t>Totalurile ofertelor au domenii diferite. Nu includ prețuri lipsă, suplimente sau costul completării serviciilor excluse.</t>
  </si>
  <si>
    <t>T1 §11; B1 p1; P1 p1</t>
  </si>
  <si>
    <t>20% potrivit ofertelor. Calcul pe totalul net.</t>
  </si>
  <si>
    <t>T2–T4; B1 p1; P1 p1</t>
  </si>
  <si>
    <t>TOTAL PACHET, CU TVA</t>
  </si>
  <si>
    <t>Comparați numai după alinierea serviciilor și confirmarea disponibilității.</t>
  </si>
  <si>
    <t>Calcul din pozițiile de mai sus</t>
  </si>
  <si>
    <t>Subtotal</t>
  </si>
  <si>
    <t>Structură + asistență, fără PI/Bauwerksbuch</t>
  </si>
  <si>
    <t>Nu este separat confirmat</t>
  </si>
  <si>
    <t>TOMS: 25.000+1.500. BERGER: 13.000+20.000+2.000, subtotal matematic; atribuirea parțială cere acord. PECH nu are o componentă PI separată identificată.</t>
  </si>
  <si>
    <t>T1 §11; T2; B1 p2–3; P1</t>
  </si>
  <si>
    <t>Supliment</t>
  </si>
  <si>
    <t>Vizită / recepție suplimentară, EUR per unitate</t>
  </si>
  <si>
    <t>Nespecificat per vizită</t>
  </si>
  <si>
    <t>TOMS 300: confirmat Q1 F5 cu deplasare. Pragul de peste 3 vizite este completare AG neacceptată. PECH 450: fiecare recepție suplimentară. Nu se adaugă automat la pachet.</t>
  </si>
  <si>
    <t>T1 §4; T10 F5; B1 p3; P1 pos05</t>
  </si>
  <si>
    <t>ZT / Baumeister, EUR/oră</t>
  </si>
  <si>
    <t>Nespecificat aici</t>
  </si>
  <si>
    <t>Tarife net în regie, numai pentru lucrări suplimentare. Nu includ un număr de ore.</t>
  </si>
  <si>
    <t>B1 p3; P1 p1–4</t>
  </si>
  <si>
    <t>Tehnician calificat / Projektleiter, EUR/oră</t>
  </si>
  <si>
    <t>Categorii profesionale diferite; denumirile originale sunt păstrate. Nu reprezintă servicii identice automat.</t>
  </si>
  <si>
    <t>Techniker, EUR/oră</t>
  </si>
  <si>
    <t>Regie net. Cantitatea de ore nu este stabilită.</t>
  </si>
  <si>
    <t>Secretariat BERGER / desenator PECH, EUR/oră</t>
  </si>
  <si>
    <t>Categorii diferite: Sekretärin la BERGER și Technischer Zeichner la PECH.</t>
  </si>
  <si>
    <t>Prüfingenieur, tarif orar original</t>
  </si>
  <si>
    <t>Nespecificat PI</t>
  </si>
  <si>
    <t>Rol PI neconfirmat</t>
  </si>
  <si>
    <t>TOMS ANG 839: 155 EUR net/oră. Tarif specific PI; nu se aplică automat întregii proiectări TWP și nu este un supliment comandat.</t>
  </si>
  <si>
    <t>T3 p1</t>
  </si>
  <si>
    <t>Noduri, ancore și detalii cu Aufpreis</t>
  </si>
  <si>
    <t>Fără sumă</t>
  </si>
  <si>
    <t>De clarificat</t>
  </si>
  <si>
    <t>Nu există preț separat ferm verificat pentru completarea întregului set de detalii. Nu se estimează o valoare și nu se însumează zero.</t>
  </si>
  <si>
    <t>T5 A1–A6; T1 §6; B1; P1</t>
  </si>
  <si>
    <t>Istoric</t>
  </si>
  <si>
    <t>BauKG TOMS ANG 840, separat de v4.1</t>
  </si>
  <si>
    <t>ANG 840 separat: 1.200 EUR planificare + 9.840 EUR șantier, ipoteză 12 luni. Total 11.040 EXCLUS din v4.1. Oferta originală: 125 EUR/oră suplimente; fără disponibilitate confirmată.</t>
  </si>
  <si>
    <t>T9; T1 §11; T7</t>
  </si>
  <si>
    <t>Condiții</t>
  </si>
  <si>
    <t>Valabilitate, dată calculată/confirmată</t>
  </si>
  <si>
    <t>TOMS: prelungire istorică. BERGER: 8săptămâni. PECH: 90zile. Datele nu reprezintă o confirmare de resurse ori acceptare.</t>
  </si>
  <si>
    <t>T1 §15; B1 p3; P1 p1</t>
  </si>
  <si>
    <t>Termen de plată și indexare</t>
  </si>
  <si>
    <t>30 zile</t>
  </si>
  <si>
    <t>14 zile</t>
  </si>
  <si>
    <t>14 zile, ZT-Index</t>
  </si>
  <si>
    <t>TOMS: 30 zile în ofertele originale, planul de plăți AG neacceptat; recalcul efort &gt;10% cu acord, limitat Q1 F18 la modificări AG. BERGER după progres. PECH facturi lunare, ZT-Index, fără Haftrücklass.</t>
  </si>
  <si>
    <t>Status comercial la 2026.10.12</t>
  </si>
  <si>
    <t>V4.1 trimis, neacceptat</t>
  </si>
  <si>
    <t>Acceptarea A&amp;C neconfirmată</t>
  </si>
  <si>
    <t>TOMS: refuz 2026.10.08 din lipsă resurse, întindere față de v4.1 de clarificat. Acceptarea A&amp;C a ofertelor BERGER/PECH nu este demonstrată.</t>
  </si>
  <si>
    <t>T7–T8; B1 p4; P1 p3</t>
  </si>
  <si>
    <t>REALIG: 24.000 EUR net pentru statică și verificări armare, sumă presupusă în oferta generală 2026.03.26 (R1 p2).</t>
  </si>
  <si>
    <t>Nu este ofertă fermă separată pentru același pachet. Neid/Avunduk: refuzuri de capacitate în arhivă, fără preț comparabil confirmat.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</si>
</sst>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\(#,##0.00\);0.00"/>
    <numFmt numFmtId="165" formatCode="yyyy\.mm\.dd"/>
  </numFmts>
  <fonts count="11" x14ac:knownFonts="1">
    <font>
      <sz val="11"/>
      <name val="Carlito"/>
    </font>
    <font>
      <sz val="11"/>
      <color rgb="FF172333"/>
      <name val="Arial"/>
    </font>
    <font>
      <b/>
      <sz val="16"/>
      <color rgb="FF24344B"/>
      <name val="Arial"/>
    </font>
    <font>
      <b/>
      <sz val="11"/>
      <color rgb="FFFFFFFF"/>
      <name val="Arial"/>
    </font>
    <font>
      <b/>
      <sz val="11"/>
      <color rgb="FF5F6B79"/>
      <name val="Arial"/>
    </font>
    <font>
      <sz val="11"/>
      <color rgb="FF5F6B79"/>
      <name val="Arial"/>
    </font>
    <font>
      <b/>
      <sz val="11"/>
      <color rgb="FF9C2C26"/>
      <name val="Arial"/>
    </font>
    <font>
      <sz val="11"/>
      <color rgb="FF1767A6"/>
      <name val="Arial"/>
    </font>
    <font>
      <b/>
      <sz val="11"/>
      <color rgb="FF172333"/>
      <name val="Arial"/>
    </font>
    <font>
      <b/>
      <sz val="11"/>
      <color rgb="FF24344B"/>
      <name val="Arial"/>
    </font>
    <font>
      <b/>
      <sz val="14"/>
      <color rgb="FF24344B"/>
      <name val="Arial"/>
    </font>
  </fonts>
  <fills count="6">
    <fill>
      <patternFill patternType="none"/>
    </fill>
    <fill>
      <patternFill patternType="gray125"/>
    </fill>
    <fill>
      <patternFill patternType="solid">
        <fgColor rgb="FF24344B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EEF2F7"/>
      </patternFill>
    </fill>
  </fills>
  <borders count="7">
    <border>
      <left/>
      <right/>
      <top/>
      <bottom/>
      <diagonal/>
    </border>
    <border>
      <left/>
      <right/>
      <top/>
      <bottom style="thin">
        <color rgb="FF24344B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CBD2DC"/>
      </top>
      <bottom/>
      <diagonal/>
    </border>
    <border>
      <left/>
      <right/>
      <top style="medium">
        <color rgb="FF24344B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9" fontId="7" fillId="0" borderId="0" xfId="0" applyNumberFormat="1" applyFont="1" applyAlignment="1">
      <alignment vertical="center"/>
    </xf>
    <xf numFmtId="164" fontId="7" fillId="3" borderId="5" xfId="0" applyNumberFormat="1" applyFont="1" applyFill="1" applyBorder="1" applyAlignment="1">
      <alignment horizontal="right" vertical="top" wrapText="1"/>
    </xf>
    <xf numFmtId="164" fontId="7" fillId="4" borderId="0" xfId="0" applyNumberFormat="1" applyFont="1" applyFill="1" applyAlignment="1">
      <alignment horizontal="right" vertical="top" wrapText="1"/>
    </xf>
    <xf numFmtId="164" fontId="7" fillId="3" borderId="0" xfId="0" applyNumberFormat="1" applyFont="1" applyFill="1" applyAlignment="1">
      <alignment horizontal="right" vertical="top" wrapText="1"/>
    </xf>
    <xf numFmtId="164" fontId="7" fillId="4" borderId="5" xfId="0" applyNumberFormat="1" applyFont="1" applyFill="1" applyBorder="1" applyAlignment="1">
      <alignment horizontal="right" vertical="top" wrapText="1"/>
    </xf>
    <xf numFmtId="164" fontId="8" fillId="3" borderId="5" xfId="0" applyNumberFormat="1" applyFont="1" applyFill="1" applyBorder="1" applyAlignment="1">
      <alignment horizontal="right" vertical="top" wrapText="1"/>
    </xf>
    <xf numFmtId="0" fontId="4" fillId="5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164" fontId="8" fillId="5" borderId="0" xfId="0" applyNumberFormat="1" applyFont="1" applyFill="1" applyAlignment="1">
      <alignment horizontal="right" vertical="top" wrapText="1"/>
    </xf>
    <xf numFmtId="0" fontId="4" fillId="5" borderId="6" xfId="0" applyFont="1" applyFill="1" applyBorder="1" applyAlignment="1">
      <alignment vertical="top" wrapText="1"/>
    </xf>
    <xf numFmtId="0" fontId="1" fillId="5" borderId="6" xfId="0" applyFont="1" applyFill="1" applyBorder="1" applyAlignment="1">
      <alignment vertical="top" wrapText="1"/>
    </xf>
    <xf numFmtId="164" fontId="8" fillId="5" borderId="6" xfId="0" applyNumberFormat="1" applyFont="1" applyFill="1" applyBorder="1" applyAlignment="1">
      <alignment horizontal="right" vertical="top" wrapText="1"/>
    </xf>
    <xf numFmtId="0" fontId="9" fillId="5" borderId="0" xfId="0" applyFont="1" applyFill="1" applyAlignment="1">
      <alignment vertical="top" wrapText="1"/>
    </xf>
    <xf numFmtId="164" fontId="9" fillId="5" borderId="0" xfId="0" applyNumberFormat="1" applyFont="1" applyFill="1" applyAlignment="1">
      <alignment horizontal="right" vertical="top" wrapText="1"/>
    </xf>
    <xf numFmtId="165" fontId="7" fillId="4" borderId="5" xfId="0" applyNumberFormat="1" applyFont="1" applyFill="1" applyBorder="1" applyAlignment="1">
      <alignment horizontal="right" vertical="top" wrapText="1"/>
    </xf>
    <xf numFmtId="0" fontId="10" fillId="0" borderId="0" xfId="0" applyFont="1"/>
    <xf numFmtId="0" fontId="5" fillId="0" borderId="0" xfId="0" applyFont="1"/>
    <xf numFmtId="0" fontId="5" fillId="0" borderId="0" xfId="0" applyFont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3"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ont>
        <color rgb="FF9C2C2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1836420</xdr:colOff>
      <xdr:row>15</xdr:row>
      <xdr:rowOff>487680</xdr:rowOff>
    </xdr:to>
    <xdr:sp macro="" textlink="">
      <xdr:nvSpPr>
        <xdr:cNvPr id="1038" name="Text Box 14" hidden="1">
          <a:extLst>
            <a:ext uri="{FF2B5EF4-FFF2-40B4-BE49-F238E27FC236}">
              <a16:creationId xmlns:a16="http://schemas.microsoft.com/office/drawing/2014/main" id="{0AA4CC77-6182-C13F-19C8-FC0FF772F14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1836420</xdr:colOff>
      <xdr:row>16</xdr:row>
      <xdr:rowOff>15240</xdr:rowOff>
    </xdr:to>
    <xdr:sp macro="" textlink="">
      <xdr:nvSpPr>
        <xdr:cNvPr id="2062" name="Text Box 14" hidden="1">
          <a:extLst>
            <a:ext uri="{FF2B5EF4-FFF2-40B4-BE49-F238E27FC236}">
              <a16:creationId xmlns:a16="http://schemas.microsoft.com/office/drawing/2014/main" id="{CA50861B-518C-A7FD-62DA-BCD32BC1AAE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aratieServicii" displayName="ComparatieServicii" ref="A7:G54" totalsRowShown="0">
  <autoFilter ref="A7:G54" xr:uid="{00000000-0009-0000-0100-000001000000}"/>
  <tableColumns count="7">
    <tableColumn id="1" xr3:uid="{00000000-0010-0000-0000-000001000000}" name="Capitol / discuție"/>
    <tableColumn id="2" xr3:uid="{00000000-0010-0000-0000-000002000000}" name="Serviciu sau condiție"/>
    <tableColumn id="3" xr3:uid="{00000000-0010-0000-0000-000003000000}" name="Propunere de contract TOMS v4.1 trimisă"/>
    <tableColumn id="4" xr3:uid="{00000000-0010-0000-0000-000004000000}" name="TOMS: ofertă și răspunsuri"/>
    <tableColumn id="5" xr3:uid="{00000000-0010-0000-0000-000005000000}" name="Markus BERGER"/>
    <tableColumn id="6" xr3:uid="{00000000-0010-0000-0000-000006000000}" name="Dr. PECH"/>
    <tableColumn id="7" xr3:uid="{00000000-0010-0000-0000-000007000000}" name="Sur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paratiePreturi" displayName="ComparatiePreturi" ref="A7:G31" totalsRowShown="0">
  <autoFilter ref="A7:G31" xr:uid="{00000000-0009-0000-0100-000002000000}"/>
  <tableColumns count="7">
    <tableColumn id="1" xr3:uid="{00000000-0010-0000-0100-000001000000}" name="Categorie"/>
    <tableColumn id="2" xr3:uid="{00000000-0010-0000-0100-000002000000}" name="Serviciu / unitate"/>
    <tableColumn id="3" xr3:uid="{00000000-0010-0000-0100-000003000000}" name="TOMS EUR net"/>
    <tableColumn id="4" xr3:uid="{00000000-0010-0000-0100-000004000000}" name="BERGER EUR net"/>
    <tableColumn id="5" xr3:uid="{00000000-0010-0000-0100-000005000000}" name="PECH EUR net"/>
    <tableColumn id="6" xr3:uid="{00000000-0010-0000-0100-000006000000}" name="Delimitare și condiții"/>
    <tableColumn id="7" xr3:uid="{00000000-0010-0000-0100-000007000000}" name="Sur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44B"/>
  </sheetPr>
  <dimension ref="A1:G70"/>
  <sheetViews>
    <sheetView showGridLines="0" tabSelected="1" zoomScale="85" zoomScaleNormal="85" workbookViewId="0">
      <pane xSplit="2" ySplit="7" topLeftCell="C8" activePane="bottomRight" state="frozen"/>
      <selection pane="topRight"/>
      <selection pane="bottomLeft"/>
      <selection pane="bottomRight" activeCell="E9" sqref="E9"/>
    </sheetView>
  </sheetViews>
  <sheetFormatPr defaultRowHeight="14.4" x14ac:dyDescent="0.3"/>
  <cols>
    <col min="1" max="1" width="15" customWidth="1"/>
    <col min="2" max="2" width="26.88671875" customWidth="1"/>
    <col min="3" max="4" width="42.44140625" customWidth="1"/>
    <col min="5" max="5" width="36.21875" customWidth="1"/>
    <col min="6" max="6" width="41.88671875" customWidth="1"/>
    <col min="7" max="7" width="21.88671875" customWidth="1"/>
  </cols>
  <sheetData>
    <row r="1" spans="1:7" ht="9" customHeight="1" x14ac:dyDescent="0.3">
      <c r="A1" s="1"/>
      <c r="B1" s="1"/>
      <c r="C1" s="1"/>
      <c r="D1" s="1"/>
      <c r="E1" s="1"/>
      <c r="F1" s="1"/>
      <c r="G1" s="1"/>
    </row>
    <row r="2" spans="1:7" ht="23.25" customHeight="1" x14ac:dyDescent="0.3">
      <c r="A2" s="2" t="s">
        <v>0</v>
      </c>
      <c r="B2" s="1"/>
      <c r="C2" s="1"/>
      <c r="D2" s="1"/>
      <c r="E2" s="1"/>
      <c r="F2" s="1"/>
      <c r="G2" s="1"/>
    </row>
    <row r="3" spans="1:7" ht="4.5" customHeight="1" x14ac:dyDescent="0.3">
      <c r="A3" s="3"/>
      <c r="B3" s="3"/>
      <c r="C3" s="3"/>
      <c r="D3" s="3"/>
      <c r="E3" s="3"/>
      <c r="F3" s="3"/>
      <c r="G3" s="3"/>
    </row>
    <row r="4" spans="1:7" ht="18.75" customHeight="1" x14ac:dyDescent="0.3">
      <c r="A4" s="1" t="s">
        <v>1</v>
      </c>
      <c r="B4" s="1"/>
      <c r="C4" s="1"/>
      <c r="D4" s="1"/>
      <c r="E4" s="1"/>
      <c r="F4" s="1"/>
      <c r="G4" s="1"/>
    </row>
    <row r="5" spans="1:7" ht="18.75" customHeight="1" x14ac:dyDescent="0.3">
      <c r="A5" s="16" t="s">
        <v>2</v>
      </c>
      <c r="B5" s="1"/>
      <c r="C5" s="1"/>
      <c r="D5" s="1"/>
      <c r="E5" s="1"/>
      <c r="F5" s="1"/>
      <c r="G5" s="1"/>
    </row>
    <row r="6" spans="1:7" x14ac:dyDescent="0.3">
      <c r="A6" s="15" t="s">
        <v>3</v>
      </c>
      <c r="B6" s="1"/>
      <c r="C6" s="1"/>
      <c r="D6" s="1"/>
      <c r="E6" s="1"/>
      <c r="F6" s="1"/>
      <c r="G6" s="1"/>
    </row>
    <row r="7" spans="1:7" ht="36" customHeight="1" x14ac:dyDescent="0.3">
      <c r="A7" s="4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6" t="s">
        <v>10</v>
      </c>
    </row>
    <row r="8" spans="1:7" ht="50.25" customHeight="1" x14ac:dyDescent="0.3">
      <c r="A8" s="9" t="s">
        <v>11</v>
      </c>
      <c r="B8" s="10" t="s">
        <v>12</v>
      </c>
      <c r="C8" s="10" t="s">
        <v>13</v>
      </c>
      <c r="D8" s="10" t="s">
        <v>14</v>
      </c>
      <c r="E8" s="10" t="s">
        <v>15</v>
      </c>
      <c r="F8" s="10" t="s">
        <v>16</v>
      </c>
      <c r="G8" s="10" t="s">
        <v>17</v>
      </c>
    </row>
    <row r="9" spans="1:7" ht="63" customHeight="1" x14ac:dyDescent="0.3">
      <c r="A9" s="12" t="s">
        <v>11</v>
      </c>
      <c r="B9" s="11" t="s">
        <v>18</v>
      </c>
      <c r="C9" s="11" t="s">
        <v>19</v>
      </c>
      <c r="D9" s="11" t="s">
        <v>20</v>
      </c>
      <c r="E9" s="11" t="s">
        <v>21</v>
      </c>
      <c r="F9" s="11" t="s">
        <v>22</v>
      </c>
      <c r="G9" s="11" t="s">
        <v>23</v>
      </c>
    </row>
    <row r="10" spans="1:7" ht="50.25" customHeight="1" x14ac:dyDescent="0.3">
      <c r="A10" s="8" t="s">
        <v>11</v>
      </c>
      <c r="B10" s="7" t="s">
        <v>24</v>
      </c>
      <c r="C10" s="7" t="s">
        <v>25</v>
      </c>
      <c r="D10" s="7" t="s">
        <v>26</v>
      </c>
      <c r="E10" s="7" t="s">
        <v>27</v>
      </c>
      <c r="F10" s="7" t="s">
        <v>27</v>
      </c>
      <c r="G10" s="7" t="s">
        <v>28</v>
      </c>
    </row>
    <row r="11" spans="1:7" ht="50.25" customHeight="1" x14ac:dyDescent="0.3">
      <c r="A11" s="12" t="s">
        <v>11</v>
      </c>
      <c r="B11" s="11" t="s">
        <v>29</v>
      </c>
      <c r="C11" s="11" t="s">
        <v>30</v>
      </c>
      <c r="D11" s="11" t="s">
        <v>31</v>
      </c>
      <c r="E11" s="11" t="s">
        <v>32</v>
      </c>
      <c r="F11" s="11" t="s">
        <v>33</v>
      </c>
      <c r="G11" s="11" t="s">
        <v>34</v>
      </c>
    </row>
    <row r="12" spans="1:7" ht="50.25" customHeight="1" x14ac:dyDescent="0.3">
      <c r="A12" s="9" t="s">
        <v>35</v>
      </c>
      <c r="B12" s="10" t="s">
        <v>36</v>
      </c>
      <c r="C12" s="10" t="s">
        <v>37</v>
      </c>
      <c r="D12" s="10" t="s">
        <v>38</v>
      </c>
      <c r="E12" s="10" t="s">
        <v>39</v>
      </c>
      <c r="F12" s="10" t="s">
        <v>40</v>
      </c>
      <c r="G12" s="10" t="s">
        <v>41</v>
      </c>
    </row>
    <row r="13" spans="1:7" ht="63" customHeight="1" x14ac:dyDescent="0.3">
      <c r="A13" s="13" t="s">
        <v>42</v>
      </c>
      <c r="B13" s="14" t="s">
        <v>43</v>
      </c>
      <c r="C13" s="14" t="s">
        <v>44</v>
      </c>
      <c r="D13" s="14" t="s">
        <v>45</v>
      </c>
      <c r="E13" s="14" t="s">
        <v>46</v>
      </c>
      <c r="F13" s="14" t="s">
        <v>47</v>
      </c>
      <c r="G13" s="14" t="s">
        <v>48</v>
      </c>
    </row>
    <row r="14" spans="1:7" ht="63" customHeight="1" x14ac:dyDescent="0.3">
      <c r="A14" s="8" t="s">
        <v>42</v>
      </c>
      <c r="B14" s="7" t="s">
        <v>49</v>
      </c>
      <c r="C14" s="7" t="s">
        <v>50</v>
      </c>
      <c r="D14" s="7" t="s">
        <v>51</v>
      </c>
      <c r="E14" s="7" t="s">
        <v>52</v>
      </c>
      <c r="F14" s="7" t="s">
        <v>53</v>
      </c>
      <c r="G14" s="7" t="s">
        <v>54</v>
      </c>
    </row>
    <row r="15" spans="1:7" ht="50.25" customHeight="1" x14ac:dyDescent="0.3">
      <c r="A15" s="12" t="s">
        <v>42</v>
      </c>
      <c r="B15" s="11" t="s">
        <v>55</v>
      </c>
      <c r="C15" s="11" t="s">
        <v>56</v>
      </c>
      <c r="D15" s="11" t="s">
        <v>57</v>
      </c>
      <c r="E15" s="11" t="s">
        <v>58</v>
      </c>
      <c r="F15" s="11" t="s">
        <v>59</v>
      </c>
      <c r="G15" s="11" t="s">
        <v>60</v>
      </c>
    </row>
    <row r="16" spans="1:7" ht="50.25" customHeight="1" x14ac:dyDescent="0.3">
      <c r="A16" s="8" t="s">
        <v>42</v>
      </c>
      <c r="B16" s="7" t="s">
        <v>61</v>
      </c>
      <c r="C16" s="7" t="s">
        <v>62</v>
      </c>
      <c r="D16" s="7" t="s">
        <v>63</v>
      </c>
      <c r="E16" s="7" t="s">
        <v>64</v>
      </c>
      <c r="F16" s="7" t="s">
        <v>65</v>
      </c>
      <c r="G16" s="7" t="s">
        <v>66</v>
      </c>
    </row>
    <row r="17" spans="1:7" ht="50.25" customHeight="1" x14ac:dyDescent="0.3">
      <c r="A17" s="12" t="s">
        <v>42</v>
      </c>
      <c r="B17" s="11" t="s">
        <v>67</v>
      </c>
      <c r="C17" s="11" t="s">
        <v>68</v>
      </c>
      <c r="D17" s="11" t="s">
        <v>69</v>
      </c>
      <c r="E17" s="11" t="s">
        <v>70</v>
      </c>
      <c r="F17" s="11" t="s">
        <v>71</v>
      </c>
      <c r="G17" s="11" t="s">
        <v>72</v>
      </c>
    </row>
    <row r="18" spans="1:7" ht="50.25" customHeight="1" x14ac:dyDescent="0.3">
      <c r="A18" s="8" t="s">
        <v>42</v>
      </c>
      <c r="B18" s="7" t="s">
        <v>73</v>
      </c>
      <c r="C18" s="7" t="s">
        <v>74</v>
      </c>
      <c r="D18" s="7" t="s">
        <v>75</v>
      </c>
      <c r="E18" s="7" t="s">
        <v>76</v>
      </c>
      <c r="F18" s="7" t="s">
        <v>77</v>
      </c>
      <c r="G18" s="7" t="s">
        <v>78</v>
      </c>
    </row>
    <row r="19" spans="1:7" ht="63" customHeight="1" x14ac:dyDescent="0.3">
      <c r="A19" s="12" t="s">
        <v>42</v>
      </c>
      <c r="B19" s="11" t="s">
        <v>79</v>
      </c>
      <c r="C19" s="11" t="s">
        <v>80</v>
      </c>
      <c r="D19" s="11" t="s">
        <v>81</v>
      </c>
      <c r="E19" s="11" t="s">
        <v>82</v>
      </c>
      <c r="F19" s="11" t="s">
        <v>83</v>
      </c>
      <c r="G19" s="11" t="s">
        <v>84</v>
      </c>
    </row>
    <row r="20" spans="1:7" ht="50.25" customHeight="1" x14ac:dyDescent="0.3">
      <c r="A20" s="8" t="s">
        <v>42</v>
      </c>
      <c r="B20" s="7" t="s">
        <v>85</v>
      </c>
      <c r="C20" s="7" t="s">
        <v>86</v>
      </c>
      <c r="D20" s="7" t="s">
        <v>87</v>
      </c>
      <c r="E20" s="7" t="s">
        <v>88</v>
      </c>
      <c r="F20" s="7" t="s">
        <v>89</v>
      </c>
      <c r="G20" s="7" t="s">
        <v>90</v>
      </c>
    </row>
    <row r="21" spans="1:7" ht="63" customHeight="1" x14ac:dyDescent="0.3">
      <c r="A21" s="12" t="s">
        <v>42</v>
      </c>
      <c r="B21" s="11" t="s">
        <v>91</v>
      </c>
      <c r="C21" s="11" t="s">
        <v>92</v>
      </c>
      <c r="D21" s="11" t="s">
        <v>93</v>
      </c>
      <c r="E21" s="11" t="s">
        <v>94</v>
      </c>
      <c r="F21" s="11" t="s">
        <v>95</v>
      </c>
      <c r="G21" s="11" t="s">
        <v>96</v>
      </c>
    </row>
    <row r="22" spans="1:7" ht="63" customHeight="1" x14ac:dyDescent="0.3">
      <c r="A22" s="9" t="s">
        <v>97</v>
      </c>
      <c r="B22" s="10" t="s">
        <v>98</v>
      </c>
      <c r="C22" s="10" t="s">
        <v>99</v>
      </c>
      <c r="D22" s="10" t="s">
        <v>100</v>
      </c>
      <c r="E22" s="10" t="s">
        <v>101</v>
      </c>
      <c r="F22" s="10" t="s">
        <v>102</v>
      </c>
      <c r="G22" s="10" t="s">
        <v>103</v>
      </c>
    </row>
    <row r="23" spans="1:7" ht="50.25" customHeight="1" x14ac:dyDescent="0.3">
      <c r="A23" s="12" t="s">
        <v>97</v>
      </c>
      <c r="B23" s="11" t="s">
        <v>104</v>
      </c>
      <c r="C23" s="11" t="s">
        <v>105</v>
      </c>
      <c r="D23" s="11" t="s">
        <v>106</v>
      </c>
      <c r="E23" s="11" t="s">
        <v>107</v>
      </c>
      <c r="F23" s="11" t="s">
        <v>108</v>
      </c>
      <c r="G23" s="11" t="s">
        <v>109</v>
      </c>
    </row>
    <row r="24" spans="1:7" ht="50.25" customHeight="1" x14ac:dyDescent="0.3">
      <c r="A24" s="8" t="s">
        <v>97</v>
      </c>
      <c r="B24" s="7" t="s">
        <v>110</v>
      </c>
      <c r="C24" s="7" t="s">
        <v>111</v>
      </c>
      <c r="D24" s="7" t="s">
        <v>112</v>
      </c>
      <c r="E24" s="7" t="s">
        <v>113</v>
      </c>
      <c r="F24" s="7" t="s">
        <v>114</v>
      </c>
      <c r="G24" s="7" t="s">
        <v>115</v>
      </c>
    </row>
    <row r="25" spans="1:7" ht="63" customHeight="1" x14ac:dyDescent="0.3">
      <c r="A25" s="12" t="s">
        <v>97</v>
      </c>
      <c r="B25" s="11" t="s">
        <v>116</v>
      </c>
      <c r="C25" s="11" t="s">
        <v>117</v>
      </c>
      <c r="D25" s="11" t="s">
        <v>118</v>
      </c>
      <c r="E25" s="11" t="s">
        <v>119</v>
      </c>
      <c r="F25" s="11" t="s">
        <v>120</v>
      </c>
      <c r="G25" s="11" t="s">
        <v>121</v>
      </c>
    </row>
    <row r="26" spans="1:7" ht="63" customHeight="1" x14ac:dyDescent="0.3">
      <c r="A26" s="9" t="s">
        <v>42</v>
      </c>
      <c r="B26" s="10" t="s">
        <v>122</v>
      </c>
      <c r="C26" s="10" t="s">
        <v>123</v>
      </c>
      <c r="D26" s="10" t="s">
        <v>124</v>
      </c>
      <c r="E26" s="10" t="s">
        <v>125</v>
      </c>
      <c r="F26" s="10" t="s">
        <v>126</v>
      </c>
      <c r="G26" s="10" t="s">
        <v>127</v>
      </c>
    </row>
    <row r="27" spans="1:7" ht="63" customHeight="1" x14ac:dyDescent="0.3">
      <c r="A27" s="13" t="s">
        <v>128</v>
      </c>
      <c r="B27" s="14" t="s">
        <v>129</v>
      </c>
      <c r="C27" s="14" t="s">
        <v>130</v>
      </c>
      <c r="D27" s="14" t="s">
        <v>131</v>
      </c>
      <c r="E27" s="14" t="s">
        <v>132</v>
      </c>
      <c r="F27" s="14" t="s">
        <v>133</v>
      </c>
      <c r="G27" s="14" t="s">
        <v>134</v>
      </c>
    </row>
    <row r="28" spans="1:7" ht="50.25" customHeight="1" x14ac:dyDescent="0.3">
      <c r="A28" s="9" t="s">
        <v>135</v>
      </c>
      <c r="B28" s="10" t="s">
        <v>136</v>
      </c>
      <c r="C28" s="10" t="s">
        <v>137</v>
      </c>
      <c r="D28" s="10" t="s">
        <v>138</v>
      </c>
      <c r="E28" s="10" t="s">
        <v>139</v>
      </c>
      <c r="F28" s="10" t="s">
        <v>140</v>
      </c>
      <c r="G28" s="10" t="s">
        <v>141</v>
      </c>
    </row>
    <row r="29" spans="1:7" ht="63" customHeight="1" x14ac:dyDescent="0.3">
      <c r="A29" s="13" t="s">
        <v>142</v>
      </c>
      <c r="B29" s="14" t="s">
        <v>143</v>
      </c>
      <c r="C29" s="14" t="s">
        <v>144</v>
      </c>
      <c r="D29" s="14" t="s">
        <v>145</v>
      </c>
      <c r="E29" s="14" t="s">
        <v>146</v>
      </c>
      <c r="F29" s="14" t="s">
        <v>147</v>
      </c>
      <c r="G29" s="14" t="s">
        <v>148</v>
      </c>
    </row>
    <row r="30" spans="1:7" ht="63" customHeight="1" x14ac:dyDescent="0.3">
      <c r="A30" s="8" t="s">
        <v>142</v>
      </c>
      <c r="B30" s="7" t="s">
        <v>149</v>
      </c>
      <c r="C30" s="7" t="s">
        <v>150</v>
      </c>
      <c r="D30" s="7" t="s">
        <v>151</v>
      </c>
      <c r="E30" s="7" t="s">
        <v>152</v>
      </c>
      <c r="F30" s="7" t="s">
        <v>153</v>
      </c>
      <c r="G30" s="7" t="s">
        <v>154</v>
      </c>
    </row>
    <row r="31" spans="1:7" ht="63" customHeight="1" x14ac:dyDescent="0.3">
      <c r="A31" s="13" t="s">
        <v>155</v>
      </c>
      <c r="B31" s="14" t="s">
        <v>156</v>
      </c>
      <c r="C31" s="14" t="s">
        <v>157</v>
      </c>
      <c r="D31" s="14" t="s">
        <v>158</v>
      </c>
      <c r="E31" s="14" t="s">
        <v>159</v>
      </c>
      <c r="F31" s="14" t="s">
        <v>160</v>
      </c>
      <c r="G31" s="14" t="s">
        <v>161</v>
      </c>
    </row>
    <row r="32" spans="1:7" ht="63" customHeight="1" x14ac:dyDescent="0.3">
      <c r="A32" s="8" t="s">
        <v>155</v>
      </c>
      <c r="B32" s="7" t="s">
        <v>162</v>
      </c>
      <c r="C32" s="7" t="s">
        <v>163</v>
      </c>
      <c r="D32" s="7" t="s">
        <v>164</v>
      </c>
      <c r="E32" s="7" t="s">
        <v>165</v>
      </c>
      <c r="F32" s="7" t="s">
        <v>166</v>
      </c>
      <c r="G32" s="7" t="s">
        <v>167</v>
      </c>
    </row>
    <row r="33" spans="1:7" ht="75.75" customHeight="1" x14ac:dyDescent="0.3">
      <c r="A33" s="12" t="s">
        <v>155</v>
      </c>
      <c r="B33" s="11" t="s">
        <v>168</v>
      </c>
      <c r="C33" s="11" t="s">
        <v>169</v>
      </c>
      <c r="D33" s="11" t="s">
        <v>170</v>
      </c>
      <c r="E33" s="11" t="s">
        <v>171</v>
      </c>
      <c r="F33" s="11" t="s">
        <v>171</v>
      </c>
      <c r="G33" s="11" t="s">
        <v>172</v>
      </c>
    </row>
    <row r="34" spans="1:7" ht="50.25" customHeight="1" x14ac:dyDescent="0.3">
      <c r="A34" s="9" t="s">
        <v>173</v>
      </c>
      <c r="B34" s="10" t="s">
        <v>174</v>
      </c>
      <c r="C34" s="10" t="s">
        <v>175</v>
      </c>
      <c r="D34" s="10" t="s">
        <v>176</v>
      </c>
      <c r="E34" s="10" t="s">
        <v>177</v>
      </c>
      <c r="F34" s="10" t="s">
        <v>178</v>
      </c>
      <c r="G34" s="10" t="s">
        <v>179</v>
      </c>
    </row>
    <row r="35" spans="1:7" ht="63" customHeight="1" x14ac:dyDescent="0.3">
      <c r="A35" s="12" t="s">
        <v>173</v>
      </c>
      <c r="B35" s="11" t="s">
        <v>180</v>
      </c>
      <c r="C35" s="11" t="s">
        <v>181</v>
      </c>
      <c r="D35" s="11" t="s">
        <v>182</v>
      </c>
      <c r="E35" s="11" t="s">
        <v>183</v>
      </c>
      <c r="F35" s="11" t="s">
        <v>184</v>
      </c>
      <c r="G35" s="11" t="s">
        <v>185</v>
      </c>
    </row>
    <row r="36" spans="1:7" ht="50.25" customHeight="1" x14ac:dyDescent="0.3">
      <c r="A36" s="8" t="s">
        <v>173</v>
      </c>
      <c r="B36" s="7" t="s">
        <v>186</v>
      </c>
      <c r="C36" s="7" t="s">
        <v>187</v>
      </c>
      <c r="D36" s="7" t="s">
        <v>188</v>
      </c>
      <c r="E36" s="7" t="s">
        <v>189</v>
      </c>
      <c r="F36" s="7" t="s">
        <v>190</v>
      </c>
      <c r="G36" s="7" t="s">
        <v>191</v>
      </c>
    </row>
    <row r="37" spans="1:7" ht="50.25" customHeight="1" x14ac:dyDescent="0.3">
      <c r="A37" s="12" t="s">
        <v>173</v>
      </c>
      <c r="B37" s="11" t="s">
        <v>192</v>
      </c>
      <c r="C37" s="11" t="s">
        <v>193</v>
      </c>
      <c r="D37" s="11" t="s">
        <v>194</v>
      </c>
      <c r="E37" s="11" t="s">
        <v>195</v>
      </c>
      <c r="F37" s="11" t="s">
        <v>196</v>
      </c>
      <c r="G37" s="11" t="s">
        <v>197</v>
      </c>
    </row>
    <row r="38" spans="1:7" ht="50.25" customHeight="1" x14ac:dyDescent="0.3">
      <c r="A38" s="8" t="s">
        <v>173</v>
      </c>
      <c r="B38" s="7" t="s">
        <v>198</v>
      </c>
      <c r="C38" s="7" t="s">
        <v>199</v>
      </c>
      <c r="D38" s="7" t="s">
        <v>200</v>
      </c>
      <c r="E38" s="7" t="s">
        <v>201</v>
      </c>
      <c r="F38" s="7" t="s">
        <v>202</v>
      </c>
      <c r="G38" s="7" t="s">
        <v>203</v>
      </c>
    </row>
    <row r="39" spans="1:7" ht="50.25" customHeight="1" x14ac:dyDescent="0.3">
      <c r="A39" s="13" t="s">
        <v>204</v>
      </c>
      <c r="B39" s="14" t="s">
        <v>205</v>
      </c>
      <c r="C39" s="14" t="s">
        <v>206</v>
      </c>
      <c r="D39" s="14" t="s">
        <v>207</v>
      </c>
      <c r="E39" s="14" t="s">
        <v>208</v>
      </c>
      <c r="F39" s="14" t="s">
        <v>209</v>
      </c>
      <c r="G39" s="14" t="s">
        <v>210</v>
      </c>
    </row>
    <row r="40" spans="1:7" ht="50.25" customHeight="1" x14ac:dyDescent="0.3">
      <c r="A40" s="8" t="s">
        <v>204</v>
      </c>
      <c r="B40" s="7" t="s">
        <v>211</v>
      </c>
      <c r="C40" s="7" t="s">
        <v>212</v>
      </c>
      <c r="D40" s="7" t="s">
        <v>213</v>
      </c>
      <c r="E40" s="7" t="s">
        <v>214</v>
      </c>
      <c r="F40" s="7" t="s">
        <v>214</v>
      </c>
      <c r="G40" s="7" t="s">
        <v>215</v>
      </c>
    </row>
    <row r="41" spans="1:7" ht="50.25" customHeight="1" x14ac:dyDescent="0.3">
      <c r="A41" s="13" t="s">
        <v>216</v>
      </c>
      <c r="B41" s="14" t="s">
        <v>217</v>
      </c>
      <c r="C41" s="14" t="s">
        <v>218</v>
      </c>
      <c r="D41" s="14" t="s">
        <v>219</v>
      </c>
      <c r="E41" s="14" t="s">
        <v>220</v>
      </c>
      <c r="F41" s="14" t="s">
        <v>221</v>
      </c>
      <c r="G41" s="14" t="s">
        <v>222</v>
      </c>
    </row>
    <row r="42" spans="1:7" ht="50.25" customHeight="1" x14ac:dyDescent="0.3">
      <c r="A42" s="9" t="s">
        <v>223</v>
      </c>
      <c r="B42" s="10" t="s">
        <v>224</v>
      </c>
      <c r="C42" s="10" t="s">
        <v>225</v>
      </c>
      <c r="D42" s="10" t="s">
        <v>226</v>
      </c>
      <c r="E42" s="10" t="s">
        <v>227</v>
      </c>
      <c r="F42" s="10" t="s">
        <v>228</v>
      </c>
      <c r="G42" s="10" t="s">
        <v>229</v>
      </c>
    </row>
    <row r="43" spans="1:7" ht="50.25" customHeight="1" x14ac:dyDescent="0.3">
      <c r="A43" s="12" t="s">
        <v>223</v>
      </c>
      <c r="B43" s="11" t="s">
        <v>230</v>
      </c>
      <c r="C43" s="11" t="s">
        <v>231</v>
      </c>
      <c r="D43" s="11" t="s">
        <v>232</v>
      </c>
      <c r="E43" s="11" t="s">
        <v>233</v>
      </c>
      <c r="F43" s="11" t="s">
        <v>234</v>
      </c>
      <c r="G43" s="11" t="s">
        <v>235</v>
      </c>
    </row>
    <row r="44" spans="1:7" ht="50.25" customHeight="1" x14ac:dyDescent="0.3">
      <c r="A44" s="8" t="s">
        <v>223</v>
      </c>
      <c r="B44" s="7" t="s">
        <v>236</v>
      </c>
      <c r="C44" s="7" t="s">
        <v>237</v>
      </c>
      <c r="D44" s="7" t="s">
        <v>238</v>
      </c>
      <c r="E44" s="7" t="s">
        <v>239</v>
      </c>
      <c r="F44" s="7" t="s">
        <v>240</v>
      </c>
      <c r="G44" s="7" t="s">
        <v>241</v>
      </c>
    </row>
    <row r="45" spans="1:7" ht="50.25" customHeight="1" x14ac:dyDescent="0.3">
      <c r="A45" s="13" t="s">
        <v>242</v>
      </c>
      <c r="B45" s="14" t="s">
        <v>243</v>
      </c>
      <c r="C45" s="14" t="s">
        <v>244</v>
      </c>
      <c r="D45" s="14" t="s">
        <v>245</v>
      </c>
      <c r="E45" s="14" t="s">
        <v>246</v>
      </c>
      <c r="F45" s="14" t="s">
        <v>247</v>
      </c>
      <c r="G45" s="14" t="s">
        <v>248</v>
      </c>
    </row>
    <row r="46" spans="1:7" ht="63" customHeight="1" x14ac:dyDescent="0.3">
      <c r="A46" s="9" t="s">
        <v>249</v>
      </c>
      <c r="B46" s="10" t="s">
        <v>250</v>
      </c>
      <c r="C46" s="10" t="s">
        <v>251</v>
      </c>
      <c r="D46" s="10" t="s">
        <v>252</v>
      </c>
      <c r="E46" s="10" t="s">
        <v>253</v>
      </c>
      <c r="F46" s="10" t="s">
        <v>254</v>
      </c>
      <c r="G46" s="10" t="s">
        <v>255</v>
      </c>
    </row>
    <row r="47" spans="1:7" ht="63" customHeight="1" x14ac:dyDescent="0.3">
      <c r="A47" s="12" t="s">
        <v>249</v>
      </c>
      <c r="B47" s="11" t="s">
        <v>256</v>
      </c>
      <c r="C47" s="11" t="s">
        <v>257</v>
      </c>
      <c r="D47" s="11" t="s">
        <v>258</v>
      </c>
      <c r="E47" s="11" t="s">
        <v>259</v>
      </c>
      <c r="F47" s="11" t="s">
        <v>260</v>
      </c>
      <c r="G47" s="11" t="s">
        <v>261</v>
      </c>
    </row>
    <row r="48" spans="1:7" ht="50.25" customHeight="1" x14ac:dyDescent="0.3">
      <c r="A48" s="9" t="s">
        <v>262</v>
      </c>
      <c r="B48" s="10" t="s">
        <v>263</v>
      </c>
      <c r="C48" s="10" t="s">
        <v>264</v>
      </c>
      <c r="D48" s="10" t="s">
        <v>265</v>
      </c>
      <c r="E48" s="10" t="s">
        <v>266</v>
      </c>
      <c r="F48" s="10" t="s">
        <v>267</v>
      </c>
      <c r="G48" s="10" t="s">
        <v>268</v>
      </c>
    </row>
    <row r="49" spans="1:7" ht="63" customHeight="1" x14ac:dyDescent="0.3">
      <c r="A49" s="13" t="s">
        <v>269</v>
      </c>
      <c r="B49" s="14" t="s">
        <v>270</v>
      </c>
      <c r="C49" s="14" t="s">
        <v>271</v>
      </c>
      <c r="D49" s="14" t="s">
        <v>272</v>
      </c>
      <c r="E49" s="14" t="s">
        <v>273</v>
      </c>
      <c r="F49" s="14" t="s">
        <v>274</v>
      </c>
      <c r="G49" s="14" t="s">
        <v>275</v>
      </c>
    </row>
    <row r="50" spans="1:7" ht="50.25" customHeight="1" x14ac:dyDescent="0.3">
      <c r="A50" s="9" t="s">
        <v>276</v>
      </c>
      <c r="B50" s="10" t="s">
        <v>277</v>
      </c>
      <c r="C50" s="10" t="s">
        <v>278</v>
      </c>
      <c r="D50" s="10" t="s">
        <v>279</v>
      </c>
      <c r="E50" s="10" t="s">
        <v>280</v>
      </c>
      <c r="F50" s="10" t="s">
        <v>281</v>
      </c>
      <c r="G50" s="10" t="s">
        <v>282</v>
      </c>
    </row>
    <row r="51" spans="1:7" ht="50.25" customHeight="1" x14ac:dyDescent="0.3">
      <c r="A51" s="13" t="s">
        <v>283</v>
      </c>
      <c r="B51" s="14" t="s">
        <v>284</v>
      </c>
      <c r="C51" s="14" t="s">
        <v>285</v>
      </c>
      <c r="D51" s="14" t="s">
        <v>286</v>
      </c>
      <c r="E51" s="14" t="s">
        <v>287</v>
      </c>
      <c r="F51" s="14" t="s">
        <v>288</v>
      </c>
      <c r="G51" s="14" t="s">
        <v>289</v>
      </c>
    </row>
    <row r="52" spans="1:7" ht="37.5" customHeight="1" x14ac:dyDescent="0.3">
      <c r="A52" s="9" t="s">
        <v>290</v>
      </c>
      <c r="B52" s="10" t="s">
        <v>291</v>
      </c>
      <c r="C52" s="10" t="s">
        <v>292</v>
      </c>
      <c r="D52" s="10" t="s">
        <v>293</v>
      </c>
      <c r="E52" s="10" t="s">
        <v>294</v>
      </c>
      <c r="F52" s="10" t="s">
        <v>294</v>
      </c>
      <c r="G52" s="10" t="s">
        <v>295</v>
      </c>
    </row>
    <row r="53" spans="1:7" ht="50.25" customHeight="1" x14ac:dyDescent="0.3">
      <c r="A53" s="13" t="s">
        <v>296</v>
      </c>
      <c r="B53" s="14" t="s">
        <v>297</v>
      </c>
      <c r="C53" s="14" t="s">
        <v>298</v>
      </c>
      <c r="D53" s="14" t="s">
        <v>299</v>
      </c>
      <c r="E53" s="14" t="s">
        <v>300</v>
      </c>
      <c r="F53" s="14" t="s">
        <v>301</v>
      </c>
      <c r="G53" s="14" t="s">
        <v>302</v>
      </c>
    </row>
    <row r="54" spans="1:7" ht="63" customHeight="1" x14ac:dyDescent="0.3">
      <c r="A54" s="9" t="s">
        <v>303</v>
      </c>
      <c r="B54" s="10" t="s">
        <v>304</v>
      </c>
      <c r="C54" s="10" t="s">
        <v>305</v>
      </c>
      <c r="D54" s="10" t="s">
        <v>306</v>
      </c>
      <c r="E54" s="10" t="s">
        <v>307</v>
      </c>
      <c r="F54" s="10" t="s">
        <v>308</v>
      </c>
      <c r="G54" s="10" t="s">
        <v>309</v>
      </c>
    </row>
    <row r="57" spans="1:7" ht="22.5" customHeight="1" x14ac:dyDescent="0.3">
      <c r="A57" s="32" t="s">
        <v>310</v>
      </c>
    </row>
    <row r="58" spans="1:7" ht="43.5" customHeight="1" x14ac:dyDescent="0.3">
      <c r="A58" s="34" t="s">
        <v>311</v>
      </c>
      <c r="B58" s="34" t="s">
        <v>312</v>
      </c>
      <c r="C58" s="35">
        <v>46297</v>
      </c>
      <c r="D58" s="34" t="s">
        <v>313</v>
      </c>
      <c r="E58" s="34" t="s">
        <v>314</v>
      </c>
      <c r="F58" s="34" t="s">
        <v>315</v>
      </c>
      <c r="G58" s="36" t="s">
        <v>316</v>
      </c>
    </row>
    <row r="59" spans="1:7" ht="43.5" customHeight="1" x14ac:dyDescent="0.3">
      <c r="A59" s="34" t="s">
        <v>317</v>
      </c>
      <c r="B59" s="34" t="s">
        <v>318</v>
      </c>
      <c r="C59" s="35">
        <v>46268</v>
      </c>
      <c r="D59" s="34" t="s">
        <v>313</v>
      </c>
      <c r="E59" s="34" t="s">
        <v>319</v>
      </c>
      <c r="F59" s="34"/>
      <c r="G59" s="36" t="s">
        <v>316</v>
      </c>
    </row>
    <row r="60" spans="1:7" ht="43.5" customHeight="1" x14ac:dyDescent="0.3">
      <c r="A60" s="34" t="s">
        <v>320</v>
      </c>
      <c r="B60" s="34" t="s">
        <v>321</v>
      </c>
      <c r="C60" s="35">
        <v>46254</v>
      </c>
      <c r="D60" s="34" t="s">
        <v>313</v>
      </c>
      <c r="E60" s="34" t="s">
        <v>319</v>
      </c>
      <c r="F60" s="34"/>
      <c r="G60" s="36" t="s">
        <v>316</v>
      </c>
    </row>
    <row r="61" spans="1:7" ht="43.5" customHeight="1" x14ac:dyDescent="0.3">
      <c r="A61" s="34" t="s">
        <v>322</v>
      </c>
      <c r="B61" s="34" t="s">
        <v>323</v>
      </c>
      <c r="C61" s="35">
        <v>46288</v>
      </c>
      <c r="D61" s="34" t="s">
        <v>313</v>
      </c>
      <c r="E61" s="34" t="s">
        <v>319</v>
      </c>
      <c r="F61" s="34"/>
      <c r="G61" s="36" t="s">
        <v>316</v>
      </c>
    </row>
    <row r="62" spans="1:7" ht="43.5" customHeight="1" x14ac:dyDescent="0.3">
      <c r="A62" s="34" t="s">
        <v>324</v>
      </c>
      <c r="B62" s="34" t="s">
        <v>325</v>
      </c>
      <c r="C62" s="35">
        <v>46293</v>
      </c>
      <c r="D62" s="34" t="s">
        <v>313</v>
      </c>
      <c r="E62" s="34" t="s">
        <v>319</v>
      </c>
      <c r="F62" s="34"/>
      <c r="G62" s="36" t="s">
        <v>316</v>
      </c>
    </row>
    <row r="63" spans="1:7" ht="43.5" customHeight="1" x14ac:dyDescent="0.3">
      <c r="A63" s="34" t="s">
        <v>326</v>
      </c>
      <c r="B63" s="34" t="s">
        <v>327</v>
      </c>
      <c r="C63" s="35">
        <v>46296</v>
      </c>
      <c r="D63" s="34" t="s">
        <v>313</v>
      </c>
      <c r="E63" s="34" t="s">
        <v>314</v>
      </c>
      <c r="F63" s="34" t="s">
        <v>328</v>
      </c>
      <c r="G63" s="36" t="s">
        <v>316</v>
      </c>
    </row>
    <row r="64" spans="1:7" ht="43.5" customHeight="1" x14ac:dyDescent="0.3">
      <c r="A64" s="34" t="s">
        <v>329</v>
      </c>
      <c r="B64" s="34" t="s">
        <v>330</v>
      </c>
      <c r="C64" s="35">
        <v>46303</v>
      </c>
      <c r="D64" s="34" t="s">
        <v>313</v>
      </c>
      <c r="E64" s="34" t="s">
        <v>314</v>
      </c>
      <c r="F64" s="34" t="s">
        <v>331</v>
      </c>
      <c r="G64" s="36" t="s">
        <v>316</v>
      </c>
    </row>
    <row r="65" spans="1:7" ht="43.5" customHeight="1" x14ac:dyDescent="0.3">
      <c r="A65" s="34" t="s">
        <v>332</v>
      </c>
      <c r="B65" s="34" t="s">
        <v>333</v>
      </c>
      <c r="C65" s="35">
        <v>46300</v>
      </c>
      <c r="D65" s="34" t="s">
        <v>313</v>
      </c>
      <c r="E65" s="34" t="s">
        <v>314</v>
      </c>
      <c r="F65" s="34" t="s">
        <v>315</v>
      </c>
      <c r="G65" s="36" t="s">
        <v>316</v>
      </c>
    </row>
    <row r="66" spans="1:7" ht="43.5" customHeight="1" x14ac:dyDescent="0.3">
      <c r="A66" s="34" t="s">
        <v>334</v>
      </c>
      <c r="B66" s="34" t="s">
        <v>335</v>
      </c>
      <c r="C66" s="35">
        <v>46254</v>
      </c>
      <c r="D66" s="34" t="s">
        <v>313</v>
      </c>
      <c r="E66" s="34" t="s">
        <v>319</v>
      </c>
      <c r="F66" s="34"/>
      <c r="G66" s="36" t="s">
        <v>316</v>
      </c>
    </row>
    <row r="67" spans="1:7" ht="43.5" customHeight="1" x14ac:dyDescent="0.3">
      <c r="A67" s="34" t="s">
        <v>336</v>
      </c>
      <c r="B67" s="34" t="s">
        <v>337</v>
      </c>
      <c r="C67" s="35">
        <v>46288</v>
      </c>
      <c r="D67" s="34" t="s">
        <v>313</v>
      </c>
      <c r="E67" s="34" t="s">
        <v>319</v>
      </c>
      <c r="F67" s="34"/>
      <c r="G67" s="36" t="s">
        <v>316</v>
      </c>
    </row>
    <row r="68" spans="1:7" ht="43.5" customHeight="1" x14ac:dyDescent="0.3">
      <c r="A68" s="34" t="s">
        <v>338</v>
      </c>
      <c r="B68" s="34" t="s">
        <v>339</v>
      </c>
      <c r="C68" s="35">
        <v>46251</v>
      </c>
      <c r="D68" s="34" t="s">
        <v>313</v>
      </c>
      <c r="E68" s="34" t="s">
        <v>314</v>
      </c>
      <c r="F68" s="34" t="s">
        <v>340</v>
      </c>
      <c r="G68" s="36" t="s">
        <v>316</v>
      </c>
    </row>
    <row r="69" spans="1:7" ht="43.5" customHeight="1" x14ac:dyDescent="0.3">
      <c r="A69" s="34" t="s">
        <v>341</v>
      </c>
      <c r="B69" s="34" t="s">
        <v>342</v>
      </c>
      <c r="C69" s="35">
        <v>46282</v>
      </c>
      <c r="D69" s="34" t="s">
        <v>313</v>
      </c>
      <c r="E69" s="34" t="s">
        <v>314</v>
      </c>
      <c r="F69" s="34" t="s">
        <v>343</v>
      </c>
      <c r="G69" s="36" t="s">
        <v>316</v>
      </c>
    </row>
    <row r="70" spans="1:7" ht="43.5" customHeight="1" x14ac:dyDescent="0.3">
      <c r="A70" s="34" t="s">
        <v>344</v>
      </c>
      <c r="B70" s="34" t="s">
        <v>345</v>
      </c>
      <c r="C70" s="35">
        <v>46107</v>
      </c>
      <c r="D70" s="34" t="s">
        <v>313</v>
      </c>
      <c r="E70" s="34" t="s">
        <v>319</v>
      </c>
      <c r="F70" s="34"/>
      <c r="G70" s="36" t="s">
        <v>316</v>
      </c>
    </row>
  </sheetData>
  <conditionalFormatting sqref="C8:F54">
    <cfRule type="containsText" dxfId="2" priority="1" operator="containsText" text="EXCLUS"/>
    <cfRule type="containsText" dxfId="1" priority="2" operator="containsText" text="Nespecificat"/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344B"/>
  </sheetPr>
  <dimension ref="A1:G5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C8" sqref="C8"/>
    </sheetView>
  </sheetViews>
  <sheetFormatPr defaultRowHeight="14.4" x14ac:dyDescent="0.3"/>
  <cols>
    <col min="1" max="1" width="15" customWidth="1"/>
    <col min="2" max="2" width="26.88671875" customWidth="1"/>
    <col min="3" max="4" width="42.44140625" customWidth="1"/>
    <col min="5" max="5" width="36.21875" customWidth="1"/>
    <col min="6" max="6" width="41.88671875" customWidth="1"/>
    <col min="7" max="7" width="21.88671875" customWidth="1"/>
  </cols>
  <sheetData>
    <row r="1" spans="1:7" ht="9" customHeight="1" x14ac:dyDescent="0.3">
      <c r="A1" s="1"/>
      <c r="B1" s="1"/>
      <c r="C1" s="1"/>
      <c r="D1" s="1"/>
      <c r="E1" s="1"/>
      <c r="F1" s="1"/>
      <c r="G1" s="1"/>
    </row>
    <row r="2" spans="1:7" ht="23.25" customHeight="1" x14ac:dyDescent="0.3">
      <c r="A2" s="2" t="s">
        <v>346</v>
      </c>
      <c r="B2" s="1"/>
      <c r="C2" s="1"/>
      <c r="D2" s="1"/>
      <c r="E2" s="1"/>
      <c r="F2" s="1"/>
      <c r="G2" s="1"/>
    </row>
    <row r="3" spans="1:7" ht="4.5" customHeight="1" x14ac:dyDescent="0.3">
      <c r="A3" s="3"/>
      <c r="B3" s="3"/>
      <c r="C3" s="3"/>
      <c r="D3" s="3"/>
      <c r="E3" s="3"/>
      <c r="F3" s="3"/>
      <c r="G3" s="3"/>
    </row>
    <row r="4" spans="1:7" ht="18.75" customHeight="1" x14ac:dyDescent="0.3">
      <c r="A4" s="1" t="s">
        <v>347</v>
      </c>
      <c r="B4" s="1"/>
      <c r="C4" s="17">
        <v>0.2</v>
      </c>
      <c r="D4" s="1" t="s">
        <v>348</v>
      </c>
      <c r="E4" s="1"/>
      <c r="F4" s="1"/>
      <c r="G4" s="1"/>
    </row>
    <row r="5" spans="1:7" ht="18.75" customHeight="1" x14ac:dyDescent="0.3">
      <c r="A5" s="1" t="s">
        <v>349</v>
      </c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ht="36" customHeight="1" x14ac:dyDescent="0.3">
      <c r="A7" s="4" t="s">
        <v>350</v>
      </c>
      <c r="B7" s="5" t="s">
        <v>351</v>
      </c>
      <c r="C7" s="5" t="s">
        <v>352</v>
      </c>
      <c r="D7" s="5" t="s">
        <v>353</v>
      </c>
      <c r="E7" s="5" t="s">
        <v>354</v>
      </c>
      <c r="F7" s="5" t="s">
        <v>355</v>
      </c>
      <c r="G7" s="6" t="s">
        <v>10</v>
      </c>
    </row>
    <row r="8" spans="1:7" ht="63" customHeight="1" x14ac:dyDescent="0.3">
      <c r="A8" s="9" t="s">
        <v>356</v>
      </c>
      <c r="B8" s="10" t="s">
        <v>357</v>
      </c>
      <c r="C8" s="18">
        <v>25000</v>
      </c>
      <c r="D8" s="18">
        <v>13000</v>
      </c>
      <c r="E8" s="18">
        <v>42000</v>
      </c>
      <c r="F8" s="10" t="s">
        <v>358</v>
      </c>
      <c r="G8" s="10" t="s">
        <v>359</v>
      </c>
    </row>
    <row r="9" spans="1:7" ht="63" customHeight="1" x14ac:dyDescent="0.3">
      <c r="A9" s="12" t="s">
        <v>356</v>
      </c>
      <c r="B9" s="11" t="s">
        <v>360</v>
      </c>
      <c r="C9" s="19" t="s">
        <v>361</v>
      </c>
      <c r="D9" s="19">
        <v>20000</v>
      </c>
      <c r="E9" s="19" t="s">
        <v>362</v>
      </c>
      <c r="F9" s="11" t="s">
        <v>363</v>
      </c>
      <c r="G9" s="11" t="s">
        <v>364</v>
      </c>
    </row>
    <row r="10" spans="1:7" ht="50.25" customHeight="1" x14ac:dyDescent="0.3">
      <c r="A10" s="8" t="s">
        <v>356</v>
      </c>
      <c r="B10" s="7" t="s">
        <v>365</v>
      </c>
      <c r="C10" s="20" t="s">
        <v>366</v>
      </c>
      <c r="D10" s="20" t="s">
        <v>362</v>
      </c>
      <c r="E10" s="20">
        <v>6000</v>
      </c>
      <c r="F10" s="7" t="s">
        <v>367</v>
      </c>
      <c r="G10" s="7" t="s">
        <v>368</v>
      </c>
    </row>
    <row r="11" spans="1:7" ht="63" customHeight="1" x14ac:dyDescent="0.3">
      <c r="A11" s="12" t="s">
        <v>356</v>
      </c>
      <c r="B11" s="11" t="s">
        <v>369</v>
      </c>
      <c r="C11" s="19" t="s">
        <v>370</v>
      </c>
      <c r="D11" s="19" t="s">
        <v>371</v>
      </c>
      <c r="E11" s="19">
        <v>5000</v>
      </c>
      <c r="F11" s="11" t="s">
        <v>372</v>
      </c>
      <c r="G11" s="11" t="s">
        <v>179</v>
      </c>
    </row>
    <row r="12" spans="1:7" ht="37.5" customHeight="1" x14ac:dyDescent="0.3">
      <c r="A12" s="8" t="s">
        <v>356</v>
      </c>
      <c r="B12" s="7" t="s">
        <v>373</v>
      </c>
      <c r="C12" s="20" t="s">
        <v>374</v>
      </c>
      <c r="D12" s="20" t="s">
        <v>362</v>
      </c>
      <c r="E12" s="20">
        <v>800</v>
      </c>
      <c r="F12" s="7" t="s">
        <v>375</v>
      </c>
      <c r="G12" s="7" t="s">
        <v>376</v>
      </c>
    </row>
    <row r="13" spans="1:7" ht="50.25" customHeight="1" x14ac:dyDescent="0.3">
      <c r="A13" s="12" t="s">
        <v>356</v>
      </c>
      <c r="B13" s="11" t="s">
        <v>377</v>
      </c>
      <c r="C13" s="19">
        <v>1500</v>
      </c>
      <c r="D13" s="19">
        <v>2000</v>
      </c>
      <c r="E13" s="19">
        <v>14000</v>
      </c>
      <c r="F13" s="11" t="s">
        <v>378</v>
      </c>
      <c r="G13" s="11" t="s">
        <v>379</v>
      </c>
    </row>
    <row r="14" spans="1:7" ht="50.25" customHeight="1" x14ac:dyDescent="0.3">
      <c r="A14" s="8" t="s">
        <v>356</v>
      </c>
      <c r="B14" s="7" t="s">
        <v>380</v>
      </c>
      <c r="C14" s="20">
        <v>8000</v>
      </c>
      <c r="D14" s="20">
        <v>10000</v>
      </c>
      <c r="E14" s="20" t="s">
        <v>381</v>
      </c>
      <c r="F14" s="7" t="s">
        <v>382</v>
      </c>
      <c r="G14" s="7" t="s">
        <v>383</v>
      </c>
    </row>
    <row r="15" spans="1:7" ht="50.25" customHeight="1" x14ac:dyDescent="0.3">
      <c r="A15" s="12" t="s">
        <v>356</v>
      </c>
      <c r="B15" s="11" t="s">
        <v>384</v>
      </c>
      <c r="C15" s="19">
        <v>3400</v>
      </c>
      <c r="D15" s="19" t="s">
        <v>385</v>
      </c>
      <c r="E15" s="19" t="s">
        <v>385</v>
      </c>
      <c r="F15" s="11" t="s">
        <v>386</v>
      </c>
      <c r="G15" s="11" t="s">
        <v>387</v>
      </c>
    </row>
    <row r="16" spans="1:7" ht="50.25" customHeight="1" x14ac:dyDescent="0.3">
      <c r="A16" s="8" t="s">
        <v>356</v>
      </c>
      <c r="B16" s="7" t="s">
        <v>388</v>
      </c>
      <c r="C16" s="20" t="s">
        <v>389</v>
      </c>
      <c r="D16" s="20" t="s">
        <v>390</v>
      </c>
      <c r="E16" s="20">
        <v>1500</v>
      </c>
      <c r="F16" s="7" t="s">
        <v>391</v>
      </c>
      <c r="G16" s="7" t="s">
        <v>392</v>
      </c>
    </row>
    <row r="17" spans="1:7" ht="50.25" customHeight="1" x14ac:dyDescent="0.3">
      <c r="A17" s="26" t="s">
        <v>393</v>
      </c>
      <c r="B17" s="27" t="s">
        <v>394</v>
      </c>
      <c r="C17" s="28">
        <f>SUM(C8:C16)</f>
        <v>37900</v>
      </c>
      <c r="D17" s="28">
        <f>SUM(D8:D16)</f>
        <v>45000</v>
      </c>
      <c r="E17" s="28">
        <f>SUM(E8:E16)</f>
        <v>69300</v>
      </c>
      <c r="F17" s="27" t="s">
        <v>395</v>
      </c>
      <c r="G17" s="27" t="s">
        <v>396</v>
      </c>
    </row>
    <row r="18" spans="1:7" ht="37.5" customHeight="1" x14ac:dyDescent="0.3">
      <c r="A18" s="23" t="s">
        <v>393</v>
      </c>
      <c r="B18" s="24" t="s">
        <v>347</v>
      </c>
      <c r="C18" s="25">
        <f>C17*$C$4</f>
        <v>7580</v>
      </c>
      <c r="D18" s="25">
        <f>D17*$C$4</f>
        <v>9000</v>
      </c>
      <c r="E18" s="25">
        <f>E17*$C$4</f>
        <v>13860</v>
      </c>
      <c r="F18" s="24" t="s">
        <v>397</v>
      </c>
      <c r="G18" s="24" t="s">
        <v>398</v>
      </c>
    </row>
    <row r="19" spans="1:7" ht="37.5" customHeight="1" x14ac:dyDescent="0.3">
      <c r="A19" s="29" t="s">
        <v>393</v>
      </c>
      <c r="B19" s="29" t="s">
        <v>399</v>
      </c>
      <c r="C19" s="30">
        <f>SUM(C17:C18)</f>
        <v>45480</v>
      </c>
      <c r="D19" s="30">
        <f>SUM(D17:D18)</f>
        <v>54000</v>
      </c>
      <c r="E19" s="30">
        <f>SUM(E17:E18)</f>
        <v>83160</v>
      </c>
      <c r="F19" s="29" t="s">
        <v>400</v>
      </c>
      <c r="G19" s="29" t="s">
        <v>401</v>
      </c>
    </row>
    <row r="20" spans="1:7" ht="63" customHeight="1" x14ac:dyDescent="0.3">
      <c r="A20" s="9" t="s">
        <v>402</v>
      </c>
      <c r="B20" s="10" t="s">
        <v>403</v>
      </c>
      <c r="C20" s="22">
        <f>SUM(C8:C9,C13)</f>
        <v>26500</v>
      </c>
      <c r="D20" s="22">
        <f>SUM(D8:D9,D13)</f>
        <v>35000</v>
      </c>
      <c r="E20" s="22" t="s">
        <v>404</v>
      </c>
      <c r="F20" s="10" t="s">
        <v>405</v>
      </c>
      <c r="G20" s="10" t="s">
        <v>406</v>
      </c>
    </row>
    <row r="21" spans="1:7" ht="63" customHeight="1" x14ac:dyDescent="0.3">
      <c r="A21" s="13" t="s">
        <v>407</v>
      </c>
      <c r="B21" s="14" t="s">
        <v>408</v>
      </c>
      <c r="C21" s="21">
        <v>300</v>
      </c>
      <c r="D21" s="21" t="s">
        <v>409</v>
      </c>
      <c r="E21" s="21">
        <v>450</v>
      </c>
      <c r="F21" s="14" t="s">
        <v>410</v>
      </c>
      <c r="G21" s="14" t="s">
        <v>411</v>
      </c>
    </row>
    <row r="22" spans="1:7" ht="37.5" customHeight="1" x14ac:dyDescent="0.3">
      <c r="A22" s="8" t="s">
        <v>407</v>
      </c>
      <c r="B22" s="7" t="s">
        <v>412</v>
      </c>
      <c r="C22" s="20" t="s">
        <v>413</v>
      </c>
      <c r="D22" s="20">
        <v>150</v>
      </c>
      <c r="E22" s="20">
        <v>195</v>
      </c>
      <c r="F22" s="7" t="s">
        <v>414</v>
      </c>
      <c r="G22" s="7" t="s">
        <v>415</v>
      </c>
    </row>
    <row r="23" spans="1:7" ht="50.25" customHeight="1" x14ac:dyDescent="0.3">
      <c r="A23" s="12" t="s">
        <v>407</v>
      </c>
      <c r="B23" s="11" t="s">
        <v>416</v>
      </c>
      <c r="C23" s="19" t="s">
        <v>413</v>
      </c>
      <c r="D23" s="19">
        <v>135</v>
      </c>
      <c r="E23" s="19">
        <v>145</v>
      </c>
      <c r="F23" s="11" t="s">
        <v>417</v>
      </c>
      <c r="G23" s="11" t="s">
        <v>415</v>
      </c>
    </row>
    <row r="24" spans="1:7" ht="37.5" customHeight="1" x14ac:dyDescent="0.3">
      <c r="A24" s="8" t="s">
        <v>407</v>
      </c>
      <c r="B24" s="7" t="s">
        <v>418</v>
      </c>
      <c r="C24" s="20" t="s">
        <v>413</v>
      </c>
      <c r="D24" s="20">
        <v>95</v>
      </c>
      <c r="E24" s="20">
        <v>125</v>
      </c>
      <c r="F24" s="7" t="s">
        <v>419</v>
      </c>
      <c r="G24" s="7" t="s">
        <v>415</v>
      </c>
    </row>
    <row r="25" spans="1:7" ht="37.5" customHeight="1" x14ac:dyDescent="0.3">
      <c r="A25" s="12" t="s">
        <v>407</v>
      </c>
      <c r="B25" s="11" t="s">
        <v>420</v>
      </c>
      <c r="C25" s="19" t="s">
        <v>413</v>
      </c>
      <c r="D25" s="19">
        <v>75</v>
      </c>
      <c r="E25" s="19">
        <v>95</v>
      </c>
      <c r="F25" s="11" t="s">
        <v>421</v>
      </c>
      <c r="G25" s="11" t="s">
        <v>415</v>
      </c>
    </row>
    <row r="26" spans="1:7" ht="50.25" customHeight="1" x14ac:dyDescent="0.3">
      <c r="A26" s="8" t="s">
        <v>407</v>
      </c>
      <c r="B26" s="7" t="s">
        <v>422</v>
      </c>
      <c r="C26" s="20">
        <v>155</v>
      </c>
      <c r="D26" s="20" t="s">
        <v>423</v>
      </c>
      <c r="E26" s="20" t="s">
        <v>424</v>
      </c>
      <c r="F26" s="7" t="s">
        <v>425</v>
      </c>
      <c r="G26" s="7" t="s">
        <v>426</v>
      </c>
    </row>
    <row r="27" spans="1:7" ht="50.25" customHeight="1" x14ac:dyDescent="0.3">
      <c r="A27" s="12" t="s">
        <v>407</v>
      </c>
      <c r="B27" s="11" t="s">
        <v>427</v>
      </c>
      <c r="C27" s="19" t="s">
        <v>428</v>
      </c>
      <c r="D27" s="19" t="s">
        <v>429</v>
      </c>
      <c r="E27" s="19" t="s">
        <v>429</v>
      </c>
      <c r="F27" s="11" t="s">
        <v>430</v>
      </c>
      <c r="G27" s="11" t="s">
        <v>431</v>
      </c>
    </row>
    <row r="28" spans="1:7" ht="75.75" customHeight="1" x14ac:dyDescent="0.3">
      <c r="A28" s="9" t="s">
        <v>432</v>
      </c>
      <c r="B28" s="10" t="s">
        <v>433</v>
      </c>
      <c r="C28" s="18">
        <v>11040</v>
      </c>
      <c r="D28" s="18" t="s">
        <v>385</v>
      </c>
      <c r="E28" s="18" t="s">
        <v>385</v>
      </c>
      <c r="F28" s="10" t="s">
        <v>434</v>
      </c>
      <c r="G28" s="10" t="s">
        <v>435</v>
      </c>
    </row>
    <row r="29" spans="1:7" ht="50.25" customHeight="1" x14ac:dyDescent="0.3">
      <c r="A29" s="13" t="s">
        <v>436</v>
      </c>
      <c r="B29" s="14" t="s">
        <v>437</v>
      </c>
      <c r="C29" s="31">
        <v>46387</v>
      </c>
      <c r="D29" s="31">
        <v>46307</v>
      </c>
      <c r="E29" s="31">
        <v>46372</v>
      </c>
      <c r="F29" s="14" t="s">
        <v>438</v>
      </c>
      <c r="G29" s="14" t="s">
        <v>439</v>
      </c>
    </row>
    <row r="30" spans="1:7" ht="75.75" customHeight="1" x14ac:dyDescent="0.3">
      <c r="A30" s="8" t="s">
        <v>436</v>
      </c>
      <c r="B30" s="7" t="s">
        <v>440</v>
      </c>
      <c r="C30" s="20" t="s">
        <v>441</v>
      </c>
      <c r="D30" s="20" t="s">
        <v>442</v>
      </c>
      <c r="E30" s="20" t="s">
        <v>443</v>
      </c>
      <c r="F30" s="7" t="s">
        <v>444</v>
      </c>
      <c r="G30" s="7" t="s">
        <v>261</v>
      </c>
    </row>
    <row r="31" spans="1:7" ht="63" customHeight="1" x14ac:dyDescent="0.3">
      <c r="A31" s="12" t="s">
        <v>436</v>
      </c>
      <c r="B31" s="11" t="s">
        <v>445</v>
      </c>
      <c r="C31" s="19" t="s">
        <v>446</v>
      </c>
      <c r="D31" s="19" t="s">
        <v>447</v>
      </c>
      <c r="E31" s="19" t="s">
        <v>447</v>
      </c>
      <c r="F31" s="11" t="s">
        <v>448</v>
      </c>
      <c r="G31" s="11" t="s">
        <v>449</v>
      </c>
    </row>
    <row r="34" spans="1:7" ht="22.5" customHeight="1" x14ac:dyDescent="0.3">
      <c r="A34" s="32" t="s">
        <v>310</v>
      </c>
    </row>
    <row r="35" spans="1:7" ht="43.5" customHeight="1" x14ac:dyDescent="0.3">
      <c r="A35" s="34" t="s">
        <v>311</v>
      </c>
      <c r="B35" s="34" t="s">
        <v>312</v>
      </c>
      <c r="C35" s="35">
        <v>46297</v>
      </c>
      <c r="D35" s="34" t="s">
        <v>313</v>
      </c>
      <c r="E35" s="34" t="s">
        <v>314</v>
      </c>
      <c r="F35" s="34" t="s">
        <v>315</v>
      </c>
      <c r="G35" s="36" t="s">
        <v>316</v>
      </c>
    </row>
    <row r="36" spans="1:7" ht="43.5" customHeight="1" x14ac:dyDescent="0.3">
      <c r="A36" s="34" t="s">
        <v>317</v>
      </c>
      <c r="B36" s="34" t="s">
        <v>318</v>
      </c>
      <c r="C36" s="35">
        <v>46268</v>
      </c>
      <c r="D36" s="34" t="s">
        <v>313</v>
      </c>
      <c r="E36" s="34" t="s">
        <v>319</v>
      </c>
      <c r="F36" s="34"/>
      <c r="G36" s="36" t="s">
        <v>316</v>
      </c>
    </row>
    <row r="37" spans="1:7" ht="43.5" customHeight="1" x14ac:dyDescent="0.3">
      <c r="A37" s="34" t="s">
        <v>320</v>
      </c>
      <c r="B37" s="34" t="s">
        <v>321</v>
      </c>
      <c r="C37" s="35">
        <v>46254</v>
      </c>
      <c r="D37" s="34" t="s">
        <v>313</v>
      </c>
      <c r="E37" s="34" t="s">
        <v>319</v>
      </c>
      <c r="F37" s="34"/>
      <c r="G37" s="36" t="s">
        <v>316</v>
      </c>
    </row>
    <row r="38" spans="1:7" ht="43.5" customHeight="1" x14ac:dyDescent="0.3">
      <c r="A38" s="34" t="s">
        <v>322</v>
      </c>
      <c r="B38" s="34" t="s">
        <v>323</v>
      </c>
      <c r="C38" s="35">
        <v>46288</v>
      </c>
      <c r="D38" s="34" t="s">
        <v>313</v>
      </c>
      <c r="E38" s="34" t="s">
        <v>319</v>
      </c>
      <c r="F38" s="34"/>
      <c r="G38" s="36" t="s">
        <v>316</v>
      </c>
    </row>
    <row r="39" spans="1:7" ht="43.5" customHeight="1" x14ac:dyDescent="0.3">
      <c r="A39" s="34" t="s">
        <v>324</v>
      </c>
      <c r="B39" s="34" t="s">
        <v>325</v>
      </c>
      <c r="C39" s="35">
        <v>46293</v>
      </c>
      <c r="D39" s="34" t="s">
        <v>313</v>
      </c>
      <c r="E39" s="34" t="s">
        <v>319</v>
      </c>
      <c r="F39" s="34"/>
      <c r="G39" s="36" t="s">
        <v>316</v>
      </c>
    </row>
    <row r="40" spans="1:7" ht="43.5" customHeight="1" x14ac:dyDescent="0.3">
      <c r="A40" s="34" t="s">
        <v>326</v>
      </c>
      <c r="B40" s="34" t="s">
        <v>327</v>
      </c>
      <c r="C40" s="35">
        <v>46296</v>
      </c>
      <c r="D40" s="34" t="s">
        <v>313</v>
      </c>
      <c r="E40" s="34" t="s">
        <v>314</v>
      </c>
      <c r="F40" s="34" t="s">
        <v>328</v>
      </c>
      <c r="G40" s="36" t="s">
        <v>316</v>
      </c>
    </row>
    <row r="41" spans="1:7" ht="43.5" customHeight="1" x14ac:dyDescent="0.3">
      <c r="A41" s="34" t="s">
        <v>329</v>
      </c>
      <c r="B41" s="34" t="s">
        <v>330</v>
      </c>
      <c r="C41" s="35">
        <v>46303</v>
      </c>
      <c r="D41" s="34" t="s">
        <v>313</v>
      </c>
      <c r="E41" s="34" t="s">
        <v>314</v>
      </c>
      <c r="F41" s="34" t="s">
        <v>331</v>
      </c>
      <c r="G41" s="36" t="s">
        <v>316</v>
      </c>
    </row>
    <row r="42" spans="1:7" ht="43.5" customHeight="1" x14ac:dyDescent="0.3">
      <c r="A42" s="34" t="s">
        <v>332</v>
      </c>
      <c r="B42" s="34" t="s">
        <v>333</v>
      </c>
      <c r="C42" s="35">
        <v>46300</v>
      </c>
      <c r="D42" s="34" t="s">
        <v>313</v>
      </c>
      <c r="E42" s="34" t="s">
        <v>314</v>
      </c>
      <c r="F42" s="34" t="s">
        <v>315</v>
      </c>
      <c r="G42" s="36" t="s">
        <v>316</v>
      </c>
    </row>
    <row r="43" spans="1:7" ht="43.5" customHeight="1" x14ac:dyDescent="0.3">
      <c r="A43" s="34" t="s">
        <v>334</v>
      </c>
      <c r="B43" s="34" t="s">
        <v>335</v>
      </c>
      <c r="C43" s="35">
        <v>46254</v>
      </c>
      <c r="D43" s="34" t="s">
        <v>313</v>
      </c>
      <c r="E43" s="34" t="s">
        <v>319</v>
      </c>
      <c r="F43" s="34"/>
      <c r="G43" s="36" t="s">
        <v>316</v>
      </c>
    </row>
    <row r="44" spans="1:7" ht="43.5" customHeight="1" x14ac:dyDescent="0.3">
      <c r="A44" s="34" t="s">
        <v>336</v>
      </c>
      <c r="B44" s="34" t="s">
        <v>337</v>
      </c>
      <c r="C44" s="35">
        <v>46288</v>
      </c>
      <c r="D44" s="34" t="s">
        <v>313</v>
      </c>
      <c r="E44" s="34" t="s">
        <v>319</v>
      </c>
      <c r="F44" s="34"/>
      <c r="G44" s="36" t="s">
        <v>316</v>
      </c>
    </row>
    <row r="45" spans="1:7" ht="43.5" customHeight="1" x14ac:dyDescent="0.3">
      <c r="A45" s="34" t="s">
        <v>338</v>
      </c>
      <c r="B45" s="34" t="s">
        <v>339</v>
      </c>
      <c r="C45" s="35">
        <v>46251</v>
      </c>
      <c r="D45" s="34" t="s">
        <v>313</v>
      </c>
      <c r="E45" s="34" t="s">
        <v>314</v>
      </c>
      <c r="F45" s="34" t="s">
        <v>340</v>
      </c>
      <c r="G45" s="36" t="s">
        <v>316</v>
      </c>
    </row>
    <row r="46" spans="1:7" ht="43.5" customHeight="1" x14ac:dyDescent="0.3">
      <c r="A46" s="34" t="s">
        <v>341</v>
      </c>
      <c r="B46" s="34" t="s">
        <v>342</v>
      </c>
      <c r="C46" s="35">
        <v>46282</v>
      </c>
      <c r="D46" s="34" t="s">
        <v>313</v>
      </c>
      <c r="E46" s="34" t="s">
        <v>314</v>
      </c>
      <c r="F46" s="34" t="s">
        <v>343</v>
      </c>
      <c r="G46" s="36" t="s">
        <v>316</v>
      </c>
    </row>
    <row r="47" spans="1:7" ht="43.5" customHeight="1" x14ac:dyDescent="0.3">
      <c r="A47" s="34" t="s">
        <v>344</v>
      </c>
      <c r="B47" s="34" t="s">
        <v>345</v>
      </c>
      <c r="C47" s="35">
        <v>46107</v>
      </c>
      <c r="D47" s="34" t="s">
        <v>313</v>
      </c>
      <c r="E47" s="34" t="s">
        <v>319</v>
      </c>
      <c r="F47" s="34"/>
      <c r="G47" s="36" t="s">
        <v>316</v>
      </c>
    </row>
    <row r="49" spans="1:7" ht="21" customHeight="1" x14ac:dyDescent="0.3">
      <c r="A49" s="33" t="s">
        <v>450</v>
      </c>
      <c r="B49" s="33"/>
      <c r="C49" s="33"/>
      <c r="D49" s="33"/>
      <c r="E49" s="33"/>
      <c r="F49" s="33"/>
      <c r="G49" s="33"/>
    </row>
    <row r="50" spans="1:7" ht="21" customHeight="1" x14ac:dyDescent="0.3">
      <c r="A50" s="33" t="s">
        <v>451</v>
      </c>
      <c r="B50" s="33"/>
      <c r="C50" s="33"/>
      <c r="D50" s="33"/>
      <c r="E50" s="33"/>
      <c r="F50" s="33"/>
      <c r="G50" s="33"/>
    </row>
  </sheetData>
  <conditionalFormatting sqref="C8:E31">
    <cfRule type="containsText" dxfId="0" priority="1" operator="containsText" text="Nespecificat"/>
  </conditionalFormatting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1 Servicii</vt:lpstr>
      <vt:lpstr>2 Preturi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F2034</cp:lastModifiedBy>
  <dcterms:modified xsi:type="dcterms:W3CDTF">2026-10-14T12:30:40Z</dcterms:modified>
</cp:coreProperties>
</file>