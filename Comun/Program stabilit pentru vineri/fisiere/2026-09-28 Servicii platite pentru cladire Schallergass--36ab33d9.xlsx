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ii clad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E8E8E8"/>
      </patternFill>
    </fill>
    <fill>
      <patternFill patternType="solid">
        <fgColor rgb="00F3EFE4"/>
      </patternFill>
    </fill>
    <fill>
      <patternFill patternType="solid">
        <fgColor rgb="00E3F2E1"/>
      </patternFill>
    </fill>
    <fill>
      <patternFill patternType="solid">
        <fgColor rgb="00FFF4D6"/>
      </patternFill>
    </fill>
    <fill>
      <patternFill patternType="solid">
        <fgColor rgb="00FBE3E1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4" fontId="2" fillId="3" borderId="1" applyAlignment="1" pivotButton="0" quotePrefix="0" xfId="0">
      <alignment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4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0" borderId="0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4" fontId="2" fillId="0" borderId="1" pivotButton="0" quotePrefix="0" xfId="0"/>
    <xf numFmtId="4" fontId="0" fillId="0" borderId="0" pivotButton="0" quotePrefix="0" xfId="0"/>
    <xf numFmtId="0" fontId="2" fillId="2" borderId="1" pivotButton="0" quotePrefix="0" xfId="0"/>
    <xf numFmtId="0" fontId="2" fillId="2" borderId="0" applyAlignment="1" pivotButton="0" quotePrefix="0" xfId="0">
      <alignment vertical="top" wrapText="1"/>
    </xf>
    <xf numFmtId="4" fontId="2" fillId="2" borderId="0" pivotButton="0" quotePrefix="0" xfId="0"/>
    <xf numFmtId="0" fontId="3" fillId="0" borderId="1" applyAlignment="1" pivotButton="0" quotePrefix="0" xfId="0">
      <alignment vertical="top" wrapText="1"/>
    </xf>
    <xf numFmtId="4" fontId="3" fillId="0" borderId="1" pivotButton="0" quotePrefix="0" xfId="0"/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30" customWidth="1" min="3" max="3"/>
    <col width="28" customWidth="1" min="4" max="4"/>
    <col width="40" customWidth="1" min="5" max="5"/>
    <col width="20" customWidth="1" min="6" max="6"/>
    <col width="13" customWidth="1" min="7" max="7"/>
    <col width="14" customWidth="1" min="8" max="8"/>
    <col width="12" customWidth="1" min="9" max="9"/>
    <col width="13" customWidth="1" min="10" max="10"/>
    <col width="13" customWidth="1" min="11" max="11"/>
    <col width="18" customWidth="1" min="12" max="12"/>
    <col width="32" customWidth="1" min="13" max="13"/>
    <col width="18" customWidth="1" min="14" max="14"/>
    <col width="40" customWidth="1" min="15" max="15"/>
  </cols>
  <sheetData>
    <row r="1">
      <c r="A1" s="1" t="inlineStr">
        <is>
          <t>Servicii pentru clădirea Schallergasse 35, 1120 Wien – A&amp;C Wohnart Immobilien GmbH – achitate și neachitate (stare 28.09.2026)</t>
        </is>
      </c>
    </row>
    <row r="3">
      <c r="A3" s="2" t="inlineStr">
        <is>
          <t>A. Servicii directe pentru clădire (întreținere, utilități, asigurare, taxe, autorități, proiectare)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3" t="inlineStr">
        <is>
          <t>Nr</t>
        </is>
      </c>
      <c r="B4" s="3" t="inlineStr">
        <is>
          <t>Data factură</t>
        </is>
      </c>
      <c r="C4" s="4" t="inlineStr">
        <is>
          <t>Factură / document</t>
        </is>
      </c>
      <c r="D4" s="4" t="inlineStr">
        <is>
          <t>Firmă</t>
        </is>
      </c>
      <c r="E4" s="4" t="inlineStr">
        <is>
          <t>Denumire serviciu</t>
        </is>
      </c>
      <c r="F4" s="4" t="inlineStr">
        <is>
          <t>Perioadă serviciu</t>
        </is>
      </c>
      <c r="G4" s="5" t="inlineStr">
        <is>
          <t>Valoare factură (EUR)</t>
        </is>
      </c>
      <c r="H4" s="3" t="inlineStr">
        <is>
          <t>Achitat</t>
        </is>
      </c>
      <c r="I4" s="3" t="inlineStr">
        <is>
          <t>Data achitării</t>
        </is>
      </c>
      <c r="J4" s="5" t="inlineStr">
        <is>
          <t>Suma achitată (EUR)</t>
        </is>
      </c>
      <c r="K4" s="5" t="inlineStr">
        <is>
          <t>Rest de plată (EUR)</t>
        </is>
      </c>
      <c r="L4" s="4" t="inlineStr">
        <is>
          <t>Scadență</t>
        </is>
      </c>
      <c r="M4" s="4" t="inlineStr">
        <is>
          <t>Plătit din cont / IBAN plată</t>
        </is>
      </c>
      <c r="N4" s="3" t="inlineStr">
        <is>
          <t>Categorie</t>
        </is>
      </c>
      <c r="O4" s="4" t="inlineStr">
        <is>
          <t>Observații</t>
        </is>
      </c>
    </row>
    <row r="5">
      <c r="A5" s="6" t="n">
        <v>1</v>
      </c>
      <c r="B5" s="6" t="inlineStr">
        <is>
          <t>—</t>
        </is>
      </c>
      <c r="C5" s="7" t="inlineStr">
        <is>
          <t>Rechnung SHOP2026000439</t>
        </is>
      </c>
      <c r="D5" s="7" t="inlineStr">
        <is>
          <t>Stadt Wien – MA 29 (wien.at-Shop)</t>
        </is>
      </c>
      <c r="E5" s="7" t="inlineStr">
        <is>
          <t>Profil de foraj (Bohrprofil) – date geotehnice</t>
        </is>
      </c>
      <c r="F5" s="7" t="inlineStr">
        <is>
          <t>—</t>
        </is>
      </c>
      <c r="G5" s="8" t="n">
        <v>21.6</v>
      </c>
      <c r="H5" s="9" t="inlineStr">
        <is>
          <t>DA</t>
        </is>
      </c>
      <c r="I5" s="6" t="inlineStr">
        <is>
          <t>09.07.2026</t>
        </is>
      </c>
      <c r="J5" s="8" t="n">
        <v>21.6</v>
      </c>
      <c r="K5" s="8">
        <f>IF(H5="CONTESTAT",0,G5-J5)</f>
        <v/>
      </c>
      <c r="L5" s="7" t="inlineStr">
        <is>
          <t>—</t>
        </is>
      </c>
      <c r="M5" s="7" t="inlineStr">
        <is>
          <t>Alt cont (card online)</t>
        </is>
      </c>
      <c r="N5" s="6" t="inlineStr">
        <is>
          <t>Autorități / proiectare</t>
        </is>
      </c>
      <c r="O5" s="7" t="inlineStr">
        <is>
          <t>Nu apare în extrasele RLB</t>
        </is>
      </c>
    </row>
    <row r="6">
      <c r="A6" s="6" t="n">
        <v>2</v>
      </c>
      <c r="B6" s="6" t="inlineStr">
        <is>
          <t>—</t>
        </is>
      </c>
      <c r="C6" s="7" t="inlineStr">
        <is>
          <t>Grundbesitzabgaben 05/2026 (ref. 889970805056)</t>
        </is>
      </c>
      <c r="D6" s="7" t="inlineStr">
        <is>
          <t>Stadt Wien – MA 6 BA 9</t>
        </is>
      </c>
      <c r="E6" s="7" t="inlineStr">
        <is>
          <t>Impozit pe clădire 20,99 + colectare gunoi 72,24</t>
        </is>
      </c>
      <c r="F6" s="7" t="inlineStr">
        <is>
          <t>trim. 05/2026</t>
        </is>
      </c>
      <c r="G6" s="8" t="n">
        <v>93.23</v>
      </c>
      <c r="H6" s="9" t="inlineStr">
        <is>
          <t>DA</t>
        </is>
      </c>
      <c r="I6" s="6" t="inlineStr">
        <is>
          <t>27.07.2026</t>
        </is>
      </c>
      <c r="J6" s="8" t="n">
        <v>93.23</v>
      </c>
      <c r="K6" s="8">
        <f>IF(H6="CONTESTAT",0,G6-J6)</f>
        <v/>
      </c>
      <c r="L6" s="7" t="inlineStr">
        <is>
          <t>15.05.2026</t>
        </is>
      </c>
      <c r="M6" s="7" t="inlineStr">
        <is>
          <t>Cosmin AT13</t>
        </is>
      </c>
      <c r="N6" s="6" t="inlineStr">
        <is>
          <t>Taxe locale / utilități</t>
        </is>
      </c>
      <c r="O6" s="7" t="inlineStr">
        <is>
          <t>Aviz încă pe fostul proprietar</t>
        </is>
      </c>
    </row>
    <row r="7">
      <c r="A7" s="6" t="n">
        <v>3</v>
      </c>
      <c r="B7" s="6" t="inlineStr">
        <is>
          <t>—</t>
        </is>
      </c>
      <c r="C7" s="7" t="inlineStr">
        <is>
          <t>Grundbesitzabgaben 08/2026 – FĂRĂ DOCUMENT</t>
        </is>
      </c>
      <c r="D7" s="7" t="inlineStr">
        <is>
          <t>Stadt Wien – MA 6 BA 9</t>
        </is>
      </c>
      <c r="E7" s="7" t="inlineStr">
        <is>
          <t>Impozit pe clădire + colectare gunoi (sumă estimată)</t>
        </is>
      </c>
      <c r="F7" s="7" t="inlineStr">
        <is>
          <t>trim. 08/2026</t>
        </is>
      </c>
      <c r="G7" s="8" t="n">
        <v>93.23</v>
      </c>
      <c r="H7" s="10" t="inlineStr">
        <is>
          <t>NU (de verificat)</t>
        </is>
      </c>
      <c r="I7" t="inlineStr"/>
      <c r="J7" s="8" t="n">
        <v>0</v>
      </c>
      <c r="K7" s="8">
        <f>IF(H7="CONTESTAT",0,G7-J7)</f>
        <v/>
      </c>
      <c r="L7" s="7" t="inlineStr">
        <is>
          <t>15.08.2026</t>
        </is>
      </c>
      <c r="M7" s="7" t="inlineStr">
        <is>
          <t>AT08 1200 0006 9625 0703</t>
        </is>
      </c>
      <c r="N7" s="6" t="inlineStr">
        <is>
          <t>Taxe locale / utilități</t>
        </is>
      </c>
      <c r="O7" s="7" t="inlineStr">
        <is>
          <t>Aviz de cerut de la MA 6; urmează 15.11.2026</t>
        </is>
      </c>
    </row>
    <row r="8">
      <c r="A8" s="6" t="n">
        <v>4</v>
      </c>
      <c r="B8" s="6" t="inlineStr">
        <is>
          <t>12.06.2026</t>
        </is>
      </c>
      <c r="C8" s="7" t="inlineStr">
        <is>
          <t>Rg. 10009911168</t>
        </is>
      </c>
      <c r="D8" s="7" t="inlineStr">
        <is>
          <t>Stadt Wien – MA 6 BA 9</t>
        </is>
      </c>
      <c r="E8" s="7" t="inlineStr">
        <is>
          <t>Apă + canalizare (Wasser/Abwasser)</t>
        </is>
      </c>
      <c r="F8" s="7" t="inlineStr">
        <is>
          <t>07/2026</t>
        </is>
      </c>
      <c r="G8" s="8" t="n">
        <v>15.18</v>
      </c>
      <c r="H8" s="11" t="inlineStr">
        <is>
          <t>NU</t>
        </is>
      </c>
      <c r="I8" t="inlineStr"/>
      <c r="J8" s="8" t="n">
        <v>0</v>
      </c>
      <c r="K8" s="8">
        <f>IF(H8="CONTESTAT",0,G8-J8)</f>
        <v/>
      </c>
      <c r="L8" s="7" t="inlineStr">
        <is>
          <t>15.07.2026</t>
        </is>
      </c>
      <c r="M8" s="7" t="inlineStr">
        <is>
          <t>AT96 1200 0514 2801 0666 / ref. 010009911168</t>
        </is>
      </c>
      <c r="N8" s="6" t="inlineStr">
        <is>
          <t>Utilități</t>
        </is>
      </c>
      <c r="O8" s="7" t="inlineStr">
        <is>
          <t>+ Mahnung 12.08.2026 (7,59; ref. 070000622528); aviz pe fostul proprietar</t>
        </is>
      </c>
    </row>
    <row r="9">
      <c r="A9" s="6" t="n">
        <v>5</v>
      </c>
      <c r="B9" s="6" t="inlineStr">
        <is>
          <t>18.05.2026</t>
        </is>
      </c>
      <c r="C9" s="7" t="inlineStr">
        <is>
          <t>Endabrechnung 29700/10/2026</t>
        </is>
      </c>
      <c r="D9" s="7" t="inlineStr">
        <is>
          <t>STURM ENERGIE GmbH</t>
        </is>
      </c>
      <c r="E9" s="7" t="inlineStr">
        <is>
          <t>Gaz – factură finală Top 15</t>
        </is>
      </c>
      <c r="F9" s="7" t="inlineStr">
        <is>
          <t>11.06.2025 – 08.03.2026</t>
        </is>
      </c>
      <c r="G9" s="8" t="n">
        <v>115.36</v>
      </c>
      <c r="H9" s="9" t="inlineStr">
        <is>
          <t>DA</t>
        </is>
      </c>
      <c r="I9" s="6" t="inlineStr">
        <is>
          <t>06.08.2026</t>
        </is>
      </c>
      <c r="J9" s="8" t="n">
        <v>115.36</v>
      </c>
      <c r="K9" s="8">
        <f>IF(H9="CONTESTAT",0,G9-J9)</f>
        <v/>
      </c>
      <c r="L9" s="7" t="inlineStr">
        <is>
          <t>02.06.2026</t>
        </is>
      </c>
      <c r="M9" s="7" t="inlineStr">
        <is>
          <t>Cosmin AT13</t>
        </is>
      </c>
      <c r="N9" s="6" t="inlineStr">
        <is>
          <t>Utilități</t>
        </is>
      </c>
      <c r="O9" s="7" t="inlineStr">
        <is>
          <t>Perioadă în mare parte a fostului proprietar</t>
        </is>
      </c>
    </row>
    <row r="10">
      <c r="A10" s="6" t="n">
        <v>6</v>
      </c>
      <c r="B10" s="6" t="inlineStr">
        <is>
          <t>18.05.2026</t>
        </is>
      </c>
      <c r="C10" s="7" t="inlineStr">
        <is>
          <t>Endabrechnung 29701/10/2026</t>
        </is>
      </c>
      <c r="D10" s="7" t="inlineStr">
        <is>
          <t>STURM ENERGIE GmbH</t>
        </is>
      </c>
      <c r="E10" s="7" t="inlineStr">
        <is>
          <t>Gaz – factură finală Top 10</t>
        </is>
      </c>
      <c r="F10" s="7" t="inlineStr">
        <is>
          <t>11.06.2025 – 08.03.2026</t>
        </is>
      </c>
      <c r="G10" s="8" t="n">
        <v>109.99</v>
      </c>
      <c r="H10" s="11" t="inlineStr">
        <is>
          <t>NU</t>
        </is>
      </c>
      <c r="I10" t="inlineStr"/>
      <c r="J10" s="8" t="n">
        <v>0</v>
      </c>
      <c r="K10" s="8">
        <f>IF(H10="CONTESTAT",0,G10-J10)</f>
        <v/>
      </c>
      <c r="L10" s="7" t="inlineStr">
        <is>
          <t>02.06.2026</t>
        </is>
      </c>
      <c r="M10" s="7" t="inlineStr">
        <is>
          <t>AT88 3200 0001 1211 7792 / ref. 400011831611</t>
        </is>
      </c>
      <c r="N10" s="6" t="inlineStr">
        <is>
          <t>Utilități</t>
        </is>
      </c>
      <c r="O10" s="7" t="inlineStr">
        <is>
          <t>Somație 13.07; de cerut compensare cu creditul Strom 29707 (846,92)</t>
        </is>
      </c>
    </row>
    <row r="11">
      <c r="A11" s="6" t="n">
        <v>7</v>
      </c>
      <c r="B11" s="6" t="inlineStr">
        <is>
          <t>18.05.2026</t>
        </is>
      </c>
      <c r="C11" s="7" t="inlineStr">
        <is>
          <t>Endabrechnung 29702/10/2026</t>
        </is>
      </c>
      <c r="D11" s="7" t="inlineStr">
        <is>
          <t>STURM ENERGIE GmbH</t>
        </is>
      </c>
      <c r="E11" s="7" t="inlineStr">
        <is>
          <t>Gaz – factură finală Top 3</t>
        </is>
      </c>
      <c r="F11" s="7" t="inlineStr">
        <is>
          <t>11.06.2025 – 08.03.2026</t>
        </is>
      </c>
      <c r="G11" s="8" t="n">
        <v>109.99</v>
      </c>
      <c r="H11" s="11" t="inlineStr">
        <is>
          <t>NU</t>
        </is>
      </c>
      <c r="I11" t="inlineStr"/>
      <c r="J11" s="8" t="n">
        <v>0</v>
      </c>
      <c r="K11" s="8">
        <f>IF(H11="CONTESTAT",0,G11-J11)</f>
        <v/>
      </c>
      <c r="L11" s="7" t="inlineStr">
        <is>
          <t>02.06.2026</t>
        </is>
      </c>
      <c r="M11" s="7" t="inlineStr">
        <is>
          <t>AT88 3200 0001 1211 7792 / ref. 400011831811</t>
        </is>
      </c>
      <c r="N11" s="6" t="inlineStr">
        <is>
          <t>Utilități</t>
        </is>
      </c>
      <c r="O11" s="7" t="inlineStr">
        <is>
          <t>idem</t>
        </is>
      </c>
    </row>
    <row r="12">
      <c r="A12" s="6" t="n">
        <v>8</v>
      </c>
      <c r="B12" s="6" t="inlineStr">
        <is>
          <t>18.05.2026</t>
        </is>
      </c>
      <c r="C12" s="7" t="inlineStr">
        <is>
          <t>Endabrechnung 29703/10/2026</t>
        </is>
      </c>
      <c r="D12" s="7" t="inlineStr">
        <is>
          <t>STURM ENERGIE GmbH</t>
        </is>
      </c>
      <c r="E12" s="7" t="inlineStr">
        <is>
          <t>Gaz – factură finală Top 13-14</t>
        </is>
      </c>
      <c r="F12" s="7" t="inlineStr">
        <is>
          <t>11.06.2025 – 08.03.2026</t>
        </is>
      </c>
      <c r="G12" s="8" t="n">
        <v>109.99</v>
      </c>
      <c r="H12" s="11" t="inlineStr">
        <is>
          <t>NU</t>
        </is>
      </c>
      <c r="I12" t="inlineStr"/>
      <c r="J12" s="8" t="n">
        <v>0</v>
      </c>
      <c r="K12" s="8">
        <f>IF(H12="CONTESTAT",0,G12-J12)</f>
        <v/>
      </c>
      <c r="L12" s="7" t="inlineStr">
        <is>
          <t>02.06.2026</t>
        </is>
      </c>
      <c r="M12" s="7" t="inlineStr">
        <is>
          <t>AT88 3200 0001 1211 7792 / ref. 400011834111</t>
        </is>
      </c>
      <c r="N12" s="6" t="inlineStr">
        <is>
          <t>Utilități</t>
        </is>
      </c>
      <c r="O12" s="7" t="inlineStr">
        <is>
          <t>idem</t>
        </is>
      </c>
    </row>
    <row r="13">
      <c r="A13" s="6" t="n">
        <v>9</v>
      </c>
      <c r="B13" s="6" t="inlineStr">
        <is>
          <t>18.05.2026</t>
        </is>
      </c>
      <c r="C13" s="7" t="inlineStr">
        <is>
          <t>Endabrechnung 29704/10/2026</t>
        </is>
      </c>
      <c r="D13" s="7" t="inlineStr">
        <is>
          <t>STURM ENERGIE GmbH</t>
        </is>
      </c>
      <c r="E13" s="7" t="inlineStr">
        <is>
          <t>Gaz – factură finală Top 4</t>
        </is>
      </c>
      <c r="F13" s="7" t="inlineStr">
        <is>
          <t>11.06.2025 – 08.03.2026</t>
        </is>
      </c>
      <c r="G13" s="8" t="n">
        <v>114.05</v>
      </c>
      <c r="H13" s="11" t="inlineStr">
        <is>
          <t>NU</t>
        </is>
      </c>
      <c r="I13" t="inlineStr"/>
      <c r="J13" s="8" t="n">
        <v>0</v>
      </c>
      <c r="K13" s="8">
        <f>IF(H13="CONTESTAT",0,G13-J13)</f>
        <v/>
      </c>
      <c r="L13" s="7" t="inlineStr">
        <is>
          <t>02.06.2026</t>
        </is>
      </c>
      <c r="M13" s="7" t="inlineStr">
        <is>
          <t>AT88 3200 0001 1211 7792 / ref. 400011850011</t>
        </is>
      </c>
      <c r="N13" s="6" t="inlineStr">
        <is>
          <t>Utilități</t>
        </is>
      </c>
      <c r="O13" s="7" t="inlineStr">
        <is>
          <t>idem</t>
        </is>
      </c>
    </row>
    <row r="14">
      <c r="A14" s="6" t="n">
        <v>10</v>
      </c>
      <c r="B14" s="6" t="inlineStr">
        <is>
          <t>18.05.2026</t>
        </is>
      </c>
      <c r="C14" s="7" t="inlineStr">
        <is>
          <t>Endabrechnung 29705/10/2026</t>
        </is>
      </c>
      <c r="D14" s="7" t="inlineStr">
        <is>
          <t>STURM ENERGIE GmbH</t>
        </is>
      </c>
      <c r="E14" s="7" t="inlineStr">
        <is>
          <t>Gaz – factură finală Top 12</t>
        </is>
      </c>
      <c r="F14" s="7" t="inlineStr">
        <is>
          <t>11.06.2025 – 08.03.2026</t>
        </is>
      </c>
      <c r="G14" s="8" t="n">
        <v>109.99</v>
      </c>
      <c r="H14" s="11" t="inlineStr">
        <is>
          <t>NU</t>
        </is>
      </c>
      <c r="I14" t="inlineStr"/>
      <c r="J14" s="8" t="n">
        <v>0</v>
      </c>
      <c r="K14" s="8">
        <f>IF(H14="CONTESTAT",0,G14-J14)</f>
        <v/>
      </c>
      <c r="L14" s="7" t="inlineStr">
        <is>
          <t>02.06.2026</t>
        </is>
      </c>
      <c r="M14" s="7" t="inlineStr">
        <is>
          <t>AT88 3200 0001 1211 7792 / ref. 400011850111</t>
        </is>
      </c>
      <c r="N14" s="6" t="inlineStr">
        <is>
          <t>Utilități</t>
        </is>
      </c>
      <c r="O14" s="7" t="inlineStr">
        <is>
          <t>idem</t>
        </is>
      </c>
    </row>
    <row r="15">
      <c r="A15" s="6" t="n">
        <v>11</v>
      </c>
      <c r="B15" s="6" t="inlineStr">
        <is>
          <t>18.05.2026</t>
        </is>
      </c>
      <c r="C15" s="7" t="inlineStr">
        <is>
          <t>Endabrechnung 29706/10/2026</t>
        </is>
      </c>
      <c r="D15" s="7" t="inlineStr">
        <is>
          <t>STURM ENERGIE GmbH</t>
        </is>
      </c>
      <c r="E15" s="7" t="inlineStr">
        <is>
          <t>Gaz – factură finală Top 8</t>
        </is>
      </c>
      <c r="F15" s="7" t="inlineStr">
        <is>
          <t>11.06.2025 – 08.03.2026</t>
        </is>
      </c>
      <c r="G15" s="8" t="n">
        <v>109.99</v>
      </c>
      <c r="H15" s="11" t="inlineStr">
        <is>
          <t>NU</t>
        </is>
      </c>
      <c r="I15" t="inlineStr"/>
      <c r="J15" s="8" t="n">
        <v>0</v>
      </c>
      <c r="K15" s="8">
        <f>IF(H15="CONTESTAT",0,G15-J15)</f>
        <v/>
      </c>
      <c r="L15" s="7" t="inlineStr">
        <is>
          <t>02.06.2026</t>
        </is>
      </c>
      <c r="M15" s="7" t="inlineStr">
        <is>
          <t>AT88 3200 0001 1211 7792 / ref. 400011850211</t>
        </is>
      </c>
      <c r="N15" s="6" t="inlineStr">
        <is>
          <t>Utilități</t>
        </is>
      </c>
      <c r="O15" s="7" t="inlineStr">
        <is>
          <t>idem</t>
        </is>
      </c>
    </row>
    <row r="16">
      <c r="A16" s="6" t="n">
        <v>12</v>
      </c>
      <c r="B16" s="6" t="inlineStr">
        <is>
          <t>18.05.2026</t>
        </is>
      </c>
      <c r="C16" s="7" t="inlineStr">
        <is>
          <t>Endabrechnung 29708/10/2026</t>
        </is>
      </c>
      <c r="D16" s="7" t="inlineStr">
        <is>
          <t>STURM ENERGIE GmbH</t>
        </is>
      </c>
      <c r="E16" s="7" t="inlineStr">
        <is>
          <t>Gaz – factură finală Top 17</t>
        </is>
      </c>
      <c r="F16" s="7" t="inlineStr">
        <is>
          <t>11.06.2025 – 08.03.2026</t>
        </is>
      </c>
      <c r="G16" s="8" t="n">
        <v>109.99</v>
      </c>
      <c r="H16" s="11" t="inlineStr">
        <is>
          <t>NU</t>
        </is>
      </c>
      <c r="I16" t="inlineStr"/>
      <c r="J16" s="8" t="n">
        <v>0</v>
      </c>
      <c r="K16" s="8">
        <f>IF(H16="CONTESTAT",0,G16-J16)</f>
        <v/>
      </c>
      <c r="L16" s="7" t="inlineStr">
        <is>
          <t>02.06.2026</t>
        </is>
      </c>
      <c r="M16" s="7" t="inlineStr">
        <is>
          <t>AT88 3200 0001 1211 7792 / ref. 400012685811</t>
        </is>
      </c>
      <c r="N16" s="6" t="inlineStr">
        <is>
          <t>Utilități</t>
        </is>
      </c>
      <c r="O16" s="7" t="inlineStr">
        <is>
          <t>idem</t>
        </is>
      </c>
    </row>
    <row r="17">
      <c r="A17" s="6" t="n">
        <v>13</v>
      </c>
      <c r="B17" s="6" t="inlineStr">
        <is>
          <t>18.05.2026</t>
        </is>
      </c>
      <c r="C17" s="7" t="inlineStr">
        <is>
          <t>Endabrechnung 29721/10/2026</t>
        </is>
      </c>
      <c r="D17" s="7" t="inlineStr">
        <is>
          <t>STURM ENERGIE GmbH</t>
        </is>
      </c>
      <c r="E17" s="7" t="inlineStr">
        <is>
          <t>Gaz – factură finală Top 5</t>
        </is>
      </c>
      <c r="F17" s="7" t="inlineStr">
        <is>
          <t>11.06.2025 – 08.03.2026</t>
        </is>
      </c>
      <c r="G17" s="8" t="n">
        <v>109.99</v>
      </c>
      <c r="H17" s="11" t="inlineStr">
        <is>
          <t>NU</t>
        </is>
      </c>
      <c r="I17" t="inlineStr"/>
      <c r="J17" s="8" t="n">
        <v>0</v>
      </c>
      <c r="K17" s="8">
        <f>IF(H17="CONTESTAT",0,G17-J17)</f>
        <v/>
      </c>
      <c r="L17" s="7" t="inlineStr">
        <is>
          <t>02.06.2026</t>
        </is>
      </c>
      <c r="M17" s="7" t="inlineStr">
        <is>
          <t>AT88 3200 0001 1211 7792 / ref. 400012438711</t>
        </is>
      </c>
      <c r="N17" s="6" t="inlineStr">
        <is>
          <t>Utilități</t>
        </is>
      </c>
      <c r="O17" s="7" t="inlineStr">
        <is>
          <t>idem</t>
        </is>
      </c>
    </row>
    <row r="18">
      <c r="A18" s="6" t="n">
        <v>14</v>
      </c>
      <c r="B18" s="6" t="inlineStr">
        <is>
          <t>10.07.2026</t>
        </is>
      </c>
      <c r="C18" s="7" t="inlineStr">
        <is>
          <t>Jahresabrechnung 5147075005</t>
        </is>
      </c>
      <c r="D18" s="7" t="inlineStr">
        <is>
          <t>Wien Energie Vertrieb GmbH &amp; Co KG</t>
        </is>
      </c>
      <c r="E18" s="7" t="inlineStr">
        <is>
          <t>Gaz Top 16 (doar costuri fixe, 0 kWh)</t>
        </is>
      </c>
      <c r="F18" s="7" t="inlineStr">
        <is>
          <t>11.06.2025 – 01.06.2026</t>
        </is>
      </c>
      <c r="G18" s="8" t="n">
        <v>109.02</v>
      </c>
      <c r="H18" s="11" t="inlineStr">
        <is>
          <t>NU</t>
        </is>
      </c>
      <c r="I18" t="inlineStr"/>
      <c r="J18" s="8" t="n">
        <v>0</v>
      </c>
      <c r="K18" s="8">
        <f>IF(H18="CONTESTAT",0,G18-J18)</f>
        <v/>
      </c>
      <c r="L18" s="7" t="inlineStr">
        <is>
          <t>27.07.2026</t>
        </is>
      </c>
      <c r="M18" s="7" t="inlineStr">
        <is>
          <t>AT39 1200 0006 9621 6001 / ref. 260005332090</t>
        </is>
      </c>
      <c r="N18" s="6" t="inlineStr">
        <is>
          <t>Utilități</t>
        </is>
      </c>
      <c r="O18" s="7" t="inlineStr">
        <is>
          <t>Somație 04.08 (termen 18.08); majoritar perioada fostului proprietar</t>
        </is>
      </c>
    </row>
    <row r="19">
      <c r="A19" s="6" t="n">
        <v>15</v>
      </c>
      <c r="B19" s="6" t="inlineStr">
        <is>
          <t>09.09.2026</t>
        </is>
      </c>
      <c r="C19" s="7" t="inlineStr">
        <is>
          <t>Polizze 2044001194 – somație Inkasso Az. 2616052</t>
        </is>
      </c>
      <c r="D19" s="7" t="inlineStr">
        <is>
          <t>DONAU Versicherung AG (prin Commerz-Inkasso / Dr. Maritczak)</t>
        </is>
      </c>
      <c r="E19" s="7" t="inlineStr">
        <is>
          <t>Asigurare clădire – 2 prime trimestriale + accesorii 550,72</t>
        </is>
      </c>
      <c r="F19" s="7" t="inlineStr">
        <is>
          <t>Q2 + Q3 2026</t>
        </is>
      </c>
      <c r="G19" s="8" t="n">
        <v>3734.34</v>
      </c>
      <c r="H19" s="11" t="inlineStr">
        <is>
          <t>NU</t>
        </is>
      </c>
      <c r="I19" t="inlineStr"/>
      <c r="J19" s="8" t="n">
        <v>0</v>
      </c>
      <c r="K19" s="8">
        <f>IF(H19="CONTESTAT",0,G19-J19)</f>
        <v/>
      </c>
      <c r="L19" s="7" t="inlineStr">
        <is>
          <t>21.09.2026 (DEPĂȘIT)</t>
        </is>
      </c>
      <c r="M19" s="7" t="inlineStr">
        <is>
          <t>AT11 3500 0000 0310 7703 / ref. 2616052</t>
        </is>
      </c>
      <c r="N19" s="6" t="inlineStr">
        <is>
          <t>Asigurări</t>
        </is>
      </c>
      <c r="O19" s="7" t="inlineStr">
        <is>
          <t>Prime datorate; accesoriile Inkasso (550,72) contestabile</t>
        </is>
      </c>
    </row>
    <row r="20">
      <c r="A20" s="6" t="n">
        <v>16</v>
      </c>
      <c r="B20" s="6" t="inlineStr">
        <is>
          <t>—</t>
        </is>
      </c>
      <c r="C20" s="7" t="inlineStr">
        <is>
          <t>Polizze 2044001194 – primă Q4</t>
        </is>
      </c>
      <c r="D20" s="7" t="inlineStr">
        <is>
          <t>DONAU Versicherung AG</t>
        </is>
      </c>
      <c r="E20" s="7" t="inlineStr">
        <is>
          <t>Asigurare clădire – primă trimestrială</t>
        </is>
      </c>
      <c r="F20" s="7" t="inlineStr">
        <is>
          <t>Q4 2026</t>
        </is>
      </c>
      <c r="G20" s="8" t="n">
        <v>1591.81</v>
      </c>
      <c r="H20" s="11" t="inlineStr">
        <is>
          <t>NU</t>
        </is>
      </c>
      <c r="I20" t="inlineStr"/>
      <c r="J20" s="8" t="n">
        <v>0</v>
      </c>
      <c r="K20" s="8">
        <f>IF(H20="CONTESTAT",0,G20-J20)</f>
        <v/>
      </c>
      <c r="L20" s="7" t="inlineStr">
        <is>
          <t>01.10.2026</t>
        </is>
      </c>
      <c r="M20" s="7" t="inlineStr">
        <is>
          <t>AT67 2011 1403 1004 1414 / ref. 002044001194</t>
        </is>
      </c>
      <c r="N20" s="6" t="inlineStr">
        <is>
          <t>Asigurări</t>
        </is>
      </c>
      <c r="O20" s="12" t="inlineStr"/>
    </row>
    <row r="21">
      <c r="A21" s="6" t="n">
        <v>17</v>
      </c>
      <c r="B21" s="6" t="inlineStr">
        <is>
          <t>03.09.2026</t>
        </is>
      </c>
      <c r="C21" s="7" t="inlineStr">
        <is>
          <t>Rechnung 34648/1088117</t>
        </is>
      </c>
      <c r="D21" s="7" t="inlineStr">
        <is>
          <t>Hausbetreuung Attensam GmbH</t>
        </is>
      </c>
      <c r="E21" s="7" t="inlineStr">
        <is>
          <t>Control periodic șobolani (Rattennachschau) – obligatoriu, Rattenverordnung Wien</t>
        </is>
      </c>
      <c r="F21" s="7" t="inlineStr">
        <is>
          <t>07/2026 – 06/2027</t>
        </is>
      </c>
      <c r="G21" s="8" t="n">
        <v>156.53</v>
      </c>
      <c r="H21" s="9" t="inlineStr">
        <is>
          <t>DA</t>
        </is>
      </c>
      <c r="I21" s="6" t="inlineStr">
        <is>
          <t>09.09.2026</t>
        </is>
      </c>
      <c r="J21" s="8" t="n">
        <v>156.53</v>
      </c>
      <c r="K21" s="8">
        <f>IF(H21="CONTESTAT",0,G21-J21)</f>
        <v/>
      </c>
      <c r="L21" s="7" t="inlineStr">
        <is>
          <t>—</t>
        </is>
      </c>
      <c r="M21" s="7" t="inlineStr">
        <is>
          <t>Cosmin AT13</t>
        </is>
      </c>
      <c r="N21" s="6" t="inlineStr">
        <is>
          <t>Întreținere clădire</t>
        </is>
      </c>
      <c r="O21" s="7" t="inlineStr">
        <is>
          <t>Attensam a semnalat pe 16.09 că nu a văzut plata – de trimis dovada</t>
        </is>
      </c>
    </row>
    <row r="22">
      <c r="A22" s="6" t="n">
        <v>18</v>
      </c>
      <c r="B22" s="6" t="inlineStr">
        <is>
          <t>03.09.2026</t>
        </is>
      </c>
      <c r="C22" s="7" t="inlineStr">
        <is>
          <t>Rechnung 34642/1088117 (Buchung 1471264511)</t>
        </is>
      </c>
      <c r="D22" s="7" t="inlineStr">
        <is>
          <t>Hausbetreuung Attensam GmbH</t>
        </is>
      </c>
      <c r="E22" s="7" t="inlineStr">
        <is>
          <t>Deszăpezire trotuar + nișă poartă + control dezgheț (Winterservice, § 93 StVO)</t>
        </is>
      </c>
      <c r="F22" s="7" t="inlineStr">
        <is>
          <t>01.11.2026 – 15.04.2027</t>
        </is>
      </c>
      <c r="G22" s="8" t="n">
        <v>653.12</v>
      </c>
      <c r="H22" s="9" t="inlineStr">
        <is>
          <t>DA (cu Skonto)</t>
        </is>
      </c>
      <c r="I22" s="6" t="inlineStr">
        <is>
          <t>28.09.2026</t>
        </is>
      </c>
      <c r="J22" s="8" t="n">
        <v>640.0599999999999</v>
      </c>
      <c r="K22" s="8">
        <f>IF(H22="CONTESTAT",0,G22-J22)</f>
        <v/>
      </c>
      <c r="L22" s="7" t="inlineStr">
        <is>
          <t>30.09.2026 cu Skonto / 15.10.2026</t>
        </is>
      </c>
      <c r="M22" s="7" t="inlineStr">
        <is>
          <t>A&amp;C AT22</t>
        </is>
      </c>
      <c r="N22" s="6" t="inlineStr">
        <is>
          <t>Întreținere clădire</t>
        </is>
      </c>
      <c r="O22" s="7" t="inlineStr">
        <is>
          <t>Reducere 2 % Skonto = 13,06 EUR</t>
        </is>
      </c>
    </row>
    <row r="23">
      <c r="A23" s="6" t="n">
        <v>19</v>
      </c>
      <c r="B23" s="6" t="inlineStr">
        <is>
          <t>—</t>
        </is>
      </c>
      <c r="C23" s="7" t="inlineStr">
        <is>
          <t>Auftrag 2019635130 / Rechnung 9789934508</t>
        </is>
      </c>
      <c r="D23" s="7" t="inlineStr">
        <is>
          <t>Conrad Electronic GmbH &amp; Co KG</t>
        </is>
      </c>
      <c r="E23" s="7" t="inlineStr">
        <is>
          <t>Materiale / echipament electronic (Vorauskasse)</t>
        </is>
      </c>
      <c r="F23" s="7" t="inlineStr">
        <is>
          <t>—</t>
        </is>
      </c>
      <c r="G23" s="8" t="n">
        <v>44.99</v>
      </c>
      <c r="H23" s="9" t="inlineStr">
        <is>
          <t>DA</t>
        </is>
      </c>
      <c r="I23" s="6" t="inlineStr">
        <is>
          <t>14.09.2026</t>
        </is>
      </c>
      <c r="J23" s="8" t="n">
        <v>44.99</v>
      </c>
      <c r="K23" s="8">
        <f>IF(H23="CONTESTAT",0,G23-J23)</f>
        <v/>
      </c>
      <c r="L23" s="7" t="inlineStr">
        <is>
          <t>—</t>
        </is>
      </c>
      <c r="M23" s="7" t="inlineStr">
        <is>
          <t>A&amp;C AT22</t>
        </is>
      </c>
      <c r="N23" s="6" t="inlineStr">
        <is>
          <t>Materiale</t>
        </is>
      </c>
      <c r="O23" s="7" t="inlineStr">
        <is>
          <t>Bun, nu serviciu – de verificat destinația</t>
        </is>
      </c>
    </row>
    <row r="24">
      <c r="A24" s="6" t="n">
        <v>20</v>
      </c>
      <c r="B24" s="6" t="inlineStr">
        <is>
          <t>25.09.2026</t>
        </is>
      </c>
      <c r="C24" s="7" t="inlineStr">
        <is>
          <t>Zahlungsanweisung 000235125033, GZ MA 37-1303993-2026-3</t>
        </is>
      </c>
      <c r="D24" s="7" t="inlineStr">
        <is>
          <t>Stadt Wien – MA 37 Baupolizei</t>
        </is>
      </c>
      <c r="E24" s="7" t="inlineStr">
        <is>
          <t>Taxă consultare planuri (Planeinsicht) Planarchiv GG West</t>
        </is>
      </c>
      <c r="F24" s="7" t="inlineStr">
        <is>
          <t>25.09.2026</t>
        </is>
      </c>
      <c r="G24" s="8" t="n">
        <v>39</v>
      </c>
      <c r="H24" s="9" t="inlineStr">
        <is>
          <t>DA</t>
        </is>
      </c>
      <c r="I24" s="6" t="inlineStr">
        <is>
          <t>28.09.2026</t>
        </is>
      </c>
      <c r="J24" s="8" t="n">
        <v>39</v>
      </c>
      <c r="K24" s="8">
        <f>IF(H24="CONTESTAT",0,G24-J24)</f>
        <v/>
      </c>
      <c r="L24" s="7" t="inlineStr">
        <is>
          <t>30.10.2026</t>
        </is>
      </c>
      <c r="M24" s="7" t="inlineStr">
        <is>
          <t>A&amp;C AT22</t>
        </is>
      </c>
      <c r="N24" s="6" t="inlineStr">
        <is>
          <t>Autorități / proiectare</t>
        </is>
      </c>
      <c r="O24" s="12" t="inlineStr"/>
    </row>
    <row r="25">
      <c r="A25" s="6" t="n">
        <v>21</v>
      </c>
      <c r="B25" s="6" t="inlineStr">
        <is>
          <t>12.01.2026</t>
        </is>
      </c>
      <c r="C25" s="7" t="inlineStr">
        <is>
          <t>Honorarnote RE26_0001 (KSV Inkasso 20260504299)</t>
        </is>
      </c>
      <c r="D25" s="7" t="inlineStr">
        <is>
          <t>E3 Architekten ZT GmbH (einfach3)</t>
        </is>
      </c>
      <c r="E25" s="7" t="inlineStr">
        <is>
          <t>Prelucrare fișiere DWG (3 h)</t>
        </is>
      </c>
      <c r="F25" s="7" t="inlineStr">
        <is>
          <t>ianuarie 2026</t>
        </is>
      </c>
      <c r="G25" s="8" t="n">
        <v>597.6</v>
      </c>
      <c r="H25" s="10" t="inlineStr">
        <is>
          <t>CONTESTAT</t>
        </is>
      </c>
      <c r="I25" t="inlineStr"/>
      <c r="J25" s="8" t="n">
        <v>0</v>
      </c>
      <c r="K25" s="8">
        <f>IF(H25="CONTESTAT",0,G25-J25)</f>
        <v/>
      </c>
      <c r="L25" s="7" t="inlineStr">
        <is>
          <t>—</t>
        </is>
      </c>
      <c r="M25" s="7" t="inlineStr">
        <is>
          <t>(nu plăti)</t>
        </is>
      </c>
      <c r="N25" s="6" t="inlineStr">
        <is>
          <t>Proiectare</t>
        </is>
      </c>
      <c r="O25" s="7" t="inlineStr">
        <is>
          <t>Contestat 15.06/23.06; KSV cere 879,34; urmărirea oprită 05.07.2026</t>
        </is>
      </c>
    </row>
    <row r="26">
      <c r="A26" t="inlineStr"/>
      <c r="B26" t="inlineStr"/>
      <c r="C26" s="12" t="inlineStr"/>
      <c r="D26" s="12" t="inlineStr"/>
      <c r="E26" s="12" t="inlineStr"/>
      <c r="F26" s="13" t="inlineStr">
        <is>
          <t>Subtotal</t>
        </is>
      </c>
      <c r="G26" s="14">
        <f>SUM(G5:G25)</f>
        <v/>
      </c>
      <c r="H26" t="inlineStr"/>
      <c r="I26" t="inlineStr"/>
      <c r="J26" s="14">
        <f>SUM(J5:J25)</f>
        <v/>
      </c>
      <c r="K26" s="14">
        <f>SUM(K5:K25)</f>
        <v/>
      </c>
      <c r="L26" s="12" t="n"/>
      <c r="M26" s="12" t="n"/>
      <c r="O26" s="12" t="n"/>
    </row>
    <row r="27">
      <c r="C27" s="12" t="n"/>
      <c r="D27" s="12" t="n"/>
      <c r="E27" s="12" t="n"/>
      <c r="F27" s="12" t="n"/>
      <c r="G27" s="15" t="n"/>
      <c r="J27" s="15" t="n"/>
      <c r="K27" s="15" t="n"/>
      <c r="L27" s="12" t="n"/>
      <c r="M27" s="12" t="n"/>
      <c r="O27" s="12" t="n"/>
    </row>
    <row r="28">
      <c r="A28" s="16" t="inlineStr">
        <is>
          <t>B. Servicii legate de achiziția clădirii (avocat, notar, broker)</t>
        </is>
      </c>
      <c r="B28" s="2" t="n"/>
      <c r="C28" s="17" t="n"/>
      <c r="D28" s="17" t="n"/>
      <c r="E28" s="17" t="n"/>
      <c r="F28" s="17" t="n"/>
      <c r="G28" s="18" t="n"/>
      <c r="H28" s="2" t="n"/>
      <c r="I28" s="2" t="n"/>
      <c r="J28" s="18" t="n"/>
      <c r="K28" s="18" t="n"/>
      <c r="L28" s="17" t="n"/>
      <c r="M28" s="17" t="n"/>
      <c r="N28" s="2" t="n"/>
      <c r="O28" s="17" t="n"/>
    </row>
    <row r="29">
      <c r="A29" s="3" t="inlineStr">
        <is>
          <t>Nr</t>
        </is>
      </c>
      <c r="B29" s="3" t="inlineStr">
        <is>
          <t>Data factură</t>
        </is>
      </c>
      <c r="C29" s="4" t="inlineStr">
        <is>
          <t>Factură / document</t>
        </is>
      </c>
      <c r="D29" s="4" t="inlineStr">
        <is>
          <t>Firmă</t>
        </is>
      </c>
      <c r="E29" s="4" t="inlineStr">
        <is>
          <t>Denumire serviciu</t>
        </is>
      </c>
      <c r="F29" s="4" t="inlineStr">
        <is>
          <t>Perioadă serviciu</t>
        </is>
      </c>
      <c r="G29" s="5" t="inlineStr">
        <is>
          <t>Valoare factură (EUR)</t>
        </is>
      </c>
      <c r="H29" s="3" t="inlineStr">
        <is>
          <t>Achitat</t>
        </is>
      </c>
      <c r="I29" s="3" t="inlineStr">
        <is>
          <t>Data achitării</t>
        </is>
      </c>
      <c r="J29" s="5" t="inlineStr">
        <is>
          <t>Suma achitată (EUR)</t>
        </is>
      </c>
      <c r="K29" s="5" t="inlineStr">
        <is>
          <t>Rest de plată (EUR)</t>
        </is>
      </c>
      <c r="L29" s="4" t="inlineStr">
        <is>
          <t>Scadență</t>
        </is>
      </c>
      <c r="M29" s="4" t="inlineStr">
        <is>
          <t>Plătit din cont / IBAN plată</t>
        </is>
      </c>
      <c r="N29" s="3" t="inlineStr">
        <is>
          <t>Categorie</t>
        </is>
      </c>
      <c r="O29" s="4" t="inlineStr">
        <is>
          <t>Observații</t>
        </is>
      </c>
    </row>
    <row r="30">
      <c r="A30" s="6" t="n">
        <v>22</v>
      </c>
      <c r="B30" s="6" t="inlineStr">
        <is>
          <t>—</t>
        </is>
      </c>
      <c r="C30" s="7" t="inlineStr">
        <is>
          <t>Honorarnote 25/31404</t>
        </is>
      </c>
      <c r="D30" s="7" t="inlineStr">
        <is>
          <t>CERHA HEMPEL Rechtsanwälte GmbH</t>
        </is>
      </c>
      <c r="E30" s="7" t="inlineStr">
        <is>
          <t>Asistență juridică achiziție imobil (due diligence, contract)</t>
        </is>
      </c>
      <c r="F30" s="7" t="inlineStr">
        <is>
          <t>01.11.2025 – 12.01.2026</t>
        </is>
      </c>
      <c r="G30" s="8" t="n">
        <v>6147.7</v>
      </c>
      <c r="H30" s="9" t="inlineStr">
        <is>
          <t>DA</t>
        </is>
      </c>
      <c r="I30" s="6" t="inlineStr">
        <is>
          <t>16.02.2026</t>
        </is>
      </c>
      <c r="J30" s="8" t="n">
        <v>6147.7</v>
      </c>
      <c r="K30" s="8">
        <f>IF(H30="CONTESTAT",0,G30-J30)</f>
        <v/>
      </c>
      <c r="L30" s="7" t="inlineStr">
        <is>
          <t>—</t>
        </is>
      </c>
      <c r="M30" s="7" t="inlineStr">
        <is>
          <t>A&amp;C AT22</t>
        </is>
      </c>
      <c r="N30" s="6" t="inlineStr">
        <is>
          <t>Achiziție – juridic</t>
        </is>
      </c>
      <c r="O30" s="12" t="inlineStr"/>
    </row>
    <row r="31">
      <c r="A31" s="6" t="n">
        <v>23</v>
      </c>
      <c r="B31" s="6" t="inlineStr">
        <is>
          <t>—</t>
        </is>
      </c>
      <c r="C31" s="7" t="inlineStr">
        <is>
          <t>Re.Nr. 242/2026</t>
        </is>
      </c>
      <c r="D31" s="7" t="inlineStr">
        <is>
          <t>Notar Dr. Markus Benn-Ibler</t>
        </is>
      </c>
      <c r="E31" s="7" t="inlineStr">
        <is>
          <t>Legalizare contract de vânzare-cumpărare EZ 2235 KG Meidling</t>
        </is>
      </c>
      <c r="F31" s="7" t="inlineStr">
        <is>
          <t>februarie 2026</t>
        </is>
      </c>
      <c r="G31" s="8" t="n">
        <v>933</v>
      </c>
      <c r="H31" s="9" t="inlineStr">
        <is>
          <t>DA</t>
        </is>
      </c>
      <c r="I31" s="6" t="inlineStr">
        <is>
          <t>26.02.2026</t>
        </is>
      </c>
      <c r="J31" s="8" t="n">
        <v>933</v>
      </c>
      <c r="K31" s="8">
        <f>IF(H31="CONTESTAT",0,G31-J31)</f>
        <v/>
      </c>
      <c r="L31" s="7" t="inlineStr">
        <is>
          <t>—</t>
        </is>
      </c>
      <c r="M31" s="7" t="inlineStr">
        <is>
          <t>Cosmin AT13</t>
        </is>
      </c>
      <c r="N31" s="6" t="inlineStr">
        <is>
          <t>Achiziție – notar</t>
        </is>
      </c>
      <c r="O31" s="7" t="inlineStr">
        <is>
          <t>Factura pe A&amp;C, plătită din contul personal</t>
        </is>
      </c>
    </row>
    <row r="32">
      <c r="A32" s="6" t="n">
        <v>24</v>
      </c>
      <c r="B32" s="6" t="inlineStr">
        <is>
          <t>—</t>
        </is>
      </c>
      <c r="C32" s="7" t="inlineStr">
        <is>
          <t>Rechnung 20260301</t>
        </is>
      </c>
      <c r="D32" s="7" t="inlineStr">
        <is>
          <t>ARESCO Immobilien GmbH</t>
        </is>
      </c>
      <c r="E32" s="7" t="inlineStr">
        <is>
          <t>Comision intermediere imobiliară (49.500 + 20 % TVA)</t>
        </is>
      </c>
      <c r="F32" s="7" t="inlineStr">
        <is>
          <t>11/2025 – 02/2026</t>
        </is>
      </c>
      <c r="G32" s="8" t="n">
        <v>59400</v>
      </c>
      <c r="H32" s="9" t="inlineStr">
        <is>
          <t>DA</t>
        </is>
      </c>
      <c r="I32" s="6" t="inlineStr">
        <is>
          <t>06.03.2026</t>
        </is>
      </c>
      <c r="J32" s="8" t="n">
        <v>59400</v>
      </c>
      <c r="K32" s="8">
        <f>IF(H32="CONTESTAT",0,G32-J32)</f>
        <v/>
      </c>
      <c r="L32" s="7" t="inlineStr">
        <is>
          <t>—</t>
        </is>
      </c>
      <c r="M32" s="7" t="inlineStr">
        <is>
          <t>A&amp;C AT22</t>
        </is>
      </c>
      <c r="N32" s="6" t="inlineStr">
        <is>
          <t>Achiziție – broker</t>
        </is>
      </c>
      <c r="O32" s="12" t="inlineStr"/>
    </row>
    <row r="33">
      <c r="A33" s="6" t="n">
        <v>25</v>
      </c>
      <c r="B33" s="6" t="inlineStr">
        <is>
          <t>—</t>
        </is>
      </c>
      <c r="C33" s="7" t="inlineStr">
        <is>
          <t>Honorarnote 26/30186</t>
        </is>
      </c>
      <c r="D33" s="7" t="inlineStr">
        <is>
          <t>CERHA HEMPEL Rechtsanwälte GmbH</t>
        </is>
      </c>
      <c r="E33" s="7" t="inlineStr">
        <is>
          <t>Onorariu paușal tranzacție (contract, Treuhand, carte funciară)</t>
        </is>
      </c>
      <c r="F33" s="7" t="inlineStr">
        <is>
          <t>—</t>
        </is>
      </c>
      <c r="G33" s="8" t="n">
        <v>24116</v>
      </c>
      <c r="H33" s="9" t="inlineStr">
        <is>
          <t>DA</t>
        </is>
      </c>
      <c r="I33" s="6" t="inlineStr">
        <is>
          <t>31.03.2026</t>
        </is>
      </c>
      <c r="J33" s="8" t="n">
        <v>24116</v>
      </c>
      <c r="K33" s="8">
        <f>IF(H33="CONTESTAT",0,G33-J33)</f>
        <v/>
      </c>
      <c r="L33" s="7" t="inlineStr">
        <is>
          <t>—</t>
        </is>
      </c>
      <c r="M33" s="7" t="inlineStr">
        <is>
          <t>A&amp;C AT22</t>
        </is>
      </c>
      <c r="N33" s="6" t="inlineStr">
        <is>
          <t>Achiziție – juridic</t>
        </is>
      </c>
      <c r="O33" s="12" t="inlineStr"/>
    </row>
    <row r="34">
      <c r="A34" s="6" t="n">
        <v>26</v>
      </c>
      <c r="B34" s="6" t="inlineStr">
        <is>
          <t>21.04.2026</t>
        </is>
      </c>
      <c r="C34" s="7" t="inlineStr">
        <is>
          <t>Honorarnote 26/30363</t>
        </is>
      </c>
      <c r="D34" s="7" t="inlineStr">
        <is>
          <t>CERHA HEMPEL Rechtsanwälte GmbH</t>
        </is>
      </c>
      <c r="E34" s="7" t="inlineStr">
        <is>
          <t>Consultanță juridică</t>
        </is>
      </c>
      <c r="F34" s="7" t="inlineStr">
        <is>
          <t>16.03.2026 – 31.03.2026</t>
        </is>
      </c>
      <c r="G34" s="8" t="n">
        <v>2640.22</v>
      </c>
      <c r="H34" s="11" t="inlineStr">
        <is>
          <t>NU</t>
        </is>
      </c>
      <c r="I34" t="inlineStr"/>
      <c r="J34" s="8" t="n">
        <v>0</v>
      </c>
      <c r="K34" s="8">
        <f>IF(H34="CONTESTAT",0,G34-J34)</f>
        <v/>
      </c>
      <c r="L34" s="7" t="inlineStr">
        <is>
          <t>la primire (restant din aprilie)</t>
        </is>
      </c>
      <c r="M34" s="7" t="inlineStr">
        <is>
          <t>AT63 2011 1288 6782 0703 / ref. HN 26/30363</t>
        </is>
      </c>
      <c r="N34" s="6" t="inlineStr">
        <is>
          <t>Achiziție – juridic</t>
        </is>
      </c>
      <c r="O34" s="12" t="inlineStr"/>
    </row>
    <row r="35">
      <c r="A35" t="inlineStr"/>
      <c r="B35" t="inlineStr"/>
      <c r="C35" s="12" t="inlineStr"/>
      <c r="D35" s="12" t="inlineStr"/>
      <c r="E35" s="12" t="inlineStr"/>
      <c r="F35" s="13" t="inlineStr">
        <is>
          <t>Subtotal</t>
        </is>
      </c>
      <c r="G35" s="14">
        <f>SUM(G30:G34)</f>
        <v/>
      </c>
      <c r="H35" t="inlineStr"/>
      <c r="I35" t="inlineStr"/>
      <c r="J35" s="14">
        <f>SUM(J30:J34)</f>
        <v/>
      </c>
      <c r="K35" s="14">
        <f>SUM(K30:K34)</f>
        <v/>
      </c>
      <c r="L35" s="12" t="n"/>
      <c r="M35" s="12" t="n"/>
      <c r="O35" s="12" t="n"/>
    </row>
    <row r="36">
      <c r="C36" s="12" t="n"/>
      <c r="D36" s="12" t="n"/>
      <c r="E36" s="12" t="n"/>
      <c r="F36" s="12" t="n"/>
      <c r="G36" s="15" t="n"/>
      <c r="J36" s="15" t="n"/>
      <c r="K36" s="15" t="n"/>
      <c r="L36" s="12" t="n"/>
      <c r="M36" s="12" t="n"/>
      <c r="O36" s="12" t="n"/>
    </row>
    <row r="37">
      <c r="A37" t="inlineStr"/>
      <c r="B37" t="inlineStr"/>
      <c r="C37" s="12" t="inlineStr"/>
      <c r="D37" s="12" t="inlineStr"/>
      <c r="E37" s="12" t="inlineStr"/>
      <c r="F37" s="19" t="inlineStr">
        <is>
          <t>TOTAL A + B</t>
        </is>
      </c>
      <c r="G37" s="20">
        <f>G26+G35</f>
        <v/>
      </c>
      <c r="H37" t="inlineStr"/>
      <c r="I37" t="inlineStr"/>
      <c r="J37" s="20">
        <f>J26+J35</f>
        <v/>
      </c>
      <c r="K37" s="20">
        <f>K26+K35</f>
        <v/>
      </c>
      <c r="L37" s="12" t="n"/>
      <c r="M37" s="12" t="n"/>
      <c r="O37" s="12" t="n"/>
    </row>
    <row r="38">
      <c r="C38" s="12" t="n"/>
      <c r="D38" s="12" t="n"/>
      <c r="E38" s="12" t="n"/>
      <c r="F38" s="12" t="n"/>
      <c r="G38" s="15" t="n"/>
      <c r="J38" s="15" t="n"/>
      <c r="K38" s="15" t="n"/>
      <c r="L38" s="12" t="n"/>
      <c r="M38" s="12" t="n"/>
      <c r="O38" s="12" t="n"/>
    </row>
    <row r="39" ht="34" customHeight="1">
      <c r="A39" s="21" t="inlineStr">
        <is>
          <t>„Rest de plată” = valoare factură – suma achitată (la Attensam 34642 restul de 13,06 € e reducerea Skonto, nu datorie). Facturile CONTESTATE au rest 0.</t>
        </is>
      </c>
      <c r="C39" s="12" t="n"/>
      <c r="D39" s="12" t="n"/>
      <c r="E39" s="12" t="n"/>
      <c r="F39" s="12" t="n"/>
      <c r="G39" s="15" t="n"/>
      <c r="J39" s="15" t="n"/>
      <c r="K39" s="15" t="n"/>
      <c r="L39" s="12" t="n"/>
      <c r="M39" s="12" t="n"/>
      <c r="O39" s="12" t="n"/>
    </row>
    <row r="40" ht="34" customHeight="1">
      <c r="A40" s="21" t="inlineStr">
        <is>
          <t>Neincluse (nu sunt servicii pentru clădire): preț cumpărare 1.650.000 € și taxe transfer 75.900 € (Treuhand CERHA), impozit pe profit Finanzamt (186 € plătit, 93 € KöSt 07-09 neplătit), contabilitate ARTUS (378,08 + 240 € plătite, HN 1264971 144 € neplătită), notar înființare GmbH 1.362 €, amenzi Land Burgenland, zboruri, comisioane bancare. Toms Consult 77260142 (540 €) nu se datorează; WÖHR 285 € încă nedatorat.</t>
        </is>
      </c>
      <c r="C40" s="12" t="n"/>
      <c r="D40" s="12" t="n"/>
      <c r="E40" s="12" t="n"/>
      <c r="F40" s="12" t="n"/>
      <c r="G40" s="15" t="n"/>
      <c r="J40" s="15" t="n"/>
      <c r="K40" s="15" t="n"/>
      <c r="L40" s="12" t="n"/>
      <c r="M40" s="12" t="n"/>
      <c r="O40" s="12" t="n"/>
    </row>
    <row r="41" ht="34" customHeight="1">
      <c r="A41" s="22" t="inlineStr">
        <is>
          <t>Sturm: factura finală de curent 29707 are un CREDIT de 846,92 € – de cerut compensarea cu cele 8 facturi de gaz neachitate.</t>
        </is>
      </c>
      <c r="C41" s="12" t="n"/>
      <c r="D41" s="12" t="n"/>
      <c r="E41" s="12" t="n"/>
      <c r="F41" s="12" t="n"/>
      <c r="G41" s="15" t="n"/>
      <c r="J41" s="15" t="n"/>
      <c r="K41" s="15" t="n"/>
      <c r="L41" s="12" t="n"/>
      <c r="M41" s="12" t="n"/>
      <c r="O41" s="12" t="n"/>
    </row>
    <row r="42" ht="34" customHeight="1">
      <c r="A42" s="21" t="inlineStr">
        <is>
          <t>Sursă: raportul „2026-09-28 Reconciliere facturi - extrase (Cosmin + A&amp;C Wohnart)”, extrasele RLB 01.01.2025–28.09.2026 și dovada de plată Attensam 34642.</t>
        </is>
      </c>
      <c r="C42" s="12" t="n"/>
      <c r="D42" s="12" t="n"/>
      <c r="E42" s="12" t="n"/>
      <c r="F42" s="12" t="n"/>
      <c r="G42" s="15" t="n"/>
      <c r="J42" s="15" t="n"/>
      <c r="K42" s="15" t="n"/>
      <c r="L42" s="12" t="n"/>
      <c r="M42" s="12" t="n"/>
      <c r="O42" s="12" t="n"/>
    </row>
  </sheetData>
  <mergeCells count="4">
    <mergeCell ref="A40:O40"/>
    <mergeCell ref="A42:O42"/>
    <mergeCell ref="A41:O41"/>
    <mergeCell ref="A39:O39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2026-09-28T14:37:28Z</dcterms:created>
  <dcterms:modified xmlns:dcterms="http://purl.org/dc/terms/" xmlns:xsi="http://www.w3.org/2001/XMLSchema-instance" xsi:type="dcterms:W3CDTF">2026-09-28T14:37:28Z</dcterms:modified>
</cp:coreProperties>
</file>