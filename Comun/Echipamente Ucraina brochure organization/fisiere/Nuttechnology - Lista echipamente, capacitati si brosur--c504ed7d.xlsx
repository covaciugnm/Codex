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hipamente" sheetId="1" state="visible" r:id="rId1"/>
    <sheet xmlns:r="http://schemas.openxmlformats.org/officeDocument/2006/relationships" name="Linie ideala" sheetId="2" state="visible" r:id="rId2"/>
    <sheet xmlns:r="http://schemas.openxmlformats.org/officeDocument/2006/relationships" name="Preturi linie" sheetId="3" state="visible" r:id="rId3"/>
    <sheet xmlns:r="http://schemas.openxmlformats.org/officeDocument/2006/relationships" name="Linie 3 spargatoare" sheetId="4" state="visible" r:id="rId4"/>
    <sheet xmlns:r="http://schemas.openxmlformats.org/officeDocument/2006/relationships" name="Brosuri unice" sheetId="5" state="visible" r:id="rId5"/>
  </sheets>
  <definedNames>
    <definedName name="_xlnm._FilterDatabase" localSheetId="0" hidden="1">'Echipamente'!$A$4:$T$52</definedName>
  </definedNames>
  <calcPr calcId="124519" fullCalcOnLoad="1"/>
</workbook>
</file>

<file path=xl/styles.xml><?xml version="1.0" encoding="utf-8"?>
<styleSheet xmlns="http://schemas.openxmlformats.org/spreadsheetml/2006/main">
  <numFmts count="4">
    <numFmt numFmtId="164" formatCode="#,##0.0"/>
    <numFmt numFmtId="165" formatCode="#,##0.##"/>
    <numFmt numFmtId="166" formatCode="#,##0.#"/>
    <numFmt numFmtId="167" formatCode="#,##0 €"/>
  </numFmts>
  <fonts count="12">
    <font>
      <name val="Calibri"/>
      <family val="2"/>
      <color theme="1"/>
      <sz val="11"/>
      <scheme val="minor"/>
    </font>
    <font>
      <b val="1"/>
      <sz val="13"/>
    </font>
    <font>
      <i val="1"/>
      <color rgb="00555555"/>
    </font>
    <font>
      <b val="1"/>
      <color rgb="00FFFFFF"/>
    </font>
    <font>
      <b val="1"/>
    </font>
    <font>
      <color rgb="000563C1"/>
      <u val="single"/>
    </font>
    <font>
      <color rgb="00C00000"/>
    </font>
    <font>
      <b val="1"/>
      <sz val="12"/>
    </font>
    <font>
      <b val="1"/>
      <color rgb="005B3A1E"/>
      <sz val="13"/>
    </font>
    <font>
      <i val="1"/>
      <color rgb="00888888"/>
    </font>
    <font>
      <color rgb="00888888"/>
    </font>
    <font>
      <i val="1"/>
      <color rgb="00C00000"/>
    </font>
  </fonts>
  <fills count="6">
    <fill>
      <patternFill/>
    </fill>
    <fill>
      <patternFill patternType="gray125"/>
    </fill>
    <fill>
      <patternFill patternType="solid">
        <fgColor rgb="005B3A1E"/>
      </patternFill>
    </fill>
    <fill>
      <patternFill patternType="solid">
        <fgColor rgb="00F6EFE6"/>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164" fontId="4" fillId="4" borderId="1" applyAlignment="1" pivotButton="0" quotePrefix="0" xfId="0">
      <alignment vertical="top" wrapText="1"/>
    </xf>
    <xf numFmtId="3" fontId="0" fillId="4" borderId="1" applyAlignment="1" pivotButton="0" quotePrefix="0" xfId="0">
      <alignment vertical="top" wrapText="1"/>
    </xf>
    <xf numFmtId="164" fontId="0" fillId="4" borderId="1" applyAlignment="1" pivotButton="0" quotePrefix="0" xfId="0">
      <alignment vertical="top" wrapText="1"/>
    </xf>
    <xf numFmtId="0" fontId="5" fillId="3"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8" fillId="0" borderId="0" pivotButton="0" quotePrefix="0" xfId="0"/>
    <xf numFmtId="0" fontId="2" fillId="0" borderId="0" applyAlignment="1" pivotButton="0" quotePrefix="0" xfId="0">
      <alignment vertical="top" wrapText="1"/>
    </xf>
    <xf numFmtId="0" fontId="7" fillId="0" borderId="0" pivotButton="0" quotePrefix="0" xfId="0"/>
    <xf numFmtId="0" fontId="4" fillId="4" borderId="0" pivotButton="0" quotePrefix="0" xfId="0"/>
    <xf numFmtId="9" fontId="4" fillId="4" borderId="0" pivotButton="0" quotePrefix="0" xfId="0"/>
    <xf numFmtId="3" fontId="4" fillId="4" borderId="0" pivotButton="0" quotePrefix="0" xfId="0"/>
    <xf numFmtId="3" fontId="4" fillId="5" borderId="0" pivotButton="0" quotePrefix="0" xfId="0"/>
    <xf numFmtId="165" fontId="0" fillId="0" borderId="1" applyAlignment="1" pivotButton="0" quotePrefix="0" xfId="0">
      <alignment vertical="top" wrapText="1"/>
    </xf>
    <xf numFmtId="0" fontId="7" fillId="0" borderId="1" applyAlignment="1" pivotButton="0" quotePrefix="0" xfId="0">
      <alignment vertical="top" wrapText="1"/>
    </xf>
    <xf numFmtId="9" fontId="0" fillId="0" borderId="1" applyAlignment="1" pivotButton="0" quotePrefix="0" xfId="0">
      <alignment vertical="top" wrapText="1"/>
    </xf>
    <xf numFmtId="0" fontId="4" fillId="0" borderId="0" pivotButton="0" quotePrefix="0" xfId="0"/>
    <xf numFmtId="165" fontId="4" fillId="0" borderId="0" pivotButton="0" quotePrefix="0" xfId="0"/>
    <xf numFmtId="166" fontId="4" fillId="0" borderId="0" pivotButton="0" quotePrefix="0" xfId="0"/>
    <xf numFmtId="0" fontId="3" fillId="2" borderId="0" pivotButton="0" quotePrefix="0" xfId="0"/>
    <xf numFmtId="0" fontId="5" fillId="0" borderId="0" pivotButton="0" quotePrefix="0" xfId="0"/>
    <xf numFmtId="0" fontId="9" fillId="0" borderId="1" applyAlignment="1" pivotButton="0" quotePrefix="0" xfId="0">
      <alignment vertical="top" wrapText="1"/>
    </xf>
    <xf numFmtId="167" fontId="10" fillId="0" borderId="1" applyAlignment="1" pivotButton="0" quotePrefix="0" xfId="0">
      <alignment vertical="top" wrapText="1"/>
    </xf>
    <xf numFmtId="167" fontId="0" fillId="0" borderId="1" applyAlignment="1" pivotButton="0" quotePrefix="0" xfId="0">
      <alignment vertical="top" wrapText="1"/>
    </xf>
    <xf numFmtId="167" fontId="4" fillId="0" borderId="1" applyAlignment="1" pivotButton="0" quotePrefix="0" xfId="0">
      <alignment vertical="top" wrapText="1"/>
    </xf>
    <xf numFmtId="167" fontId="11" fillId="0" borderId="1" applyAlignment="1" pivotButton="0" quotePrefix="0" xfId="0">
      <alignment vertical="top" wrapText="1"/>
    </xf>
    <xf numFmtId="0" fontId="0" fillId="4" borderId="0" pivotButton="0" quotePrefix="0" xfId="0"/>
    <xf numFmtId="0" fontId="11" fillId="4" borderId="0" pivotButton="0" quotePrefix="0" xfId="0"/>
    <xf numFmtId="167" fontId="7" fillId="4" borderId="0" pivotButton="0" quotePrefix="0" xfId="0"/>
    <xf numFmtId="0" fontId="6" fillId="0" borderId="0" applyAlignment="1" pivotButton="0" quotePrefix="0" xfId="0">
      <alignment vertical="top" wrapText="1"/>
    </xf>
    <xf numFmtId="1" fontId="7" fillId="4" borderId="0" pivotButton="0" quotePrefix="0" xfId="0"/>
    <xf numFmtId="3" fontId="0" fillId="0" borderId="1"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uttechnology.com/ro/produs/agitator-de-pomi-fructiferi/" TargetMode="External" Id="rId1"/><Relationship Type="http://schemas.openxmlformats.org/officeDocument/2006/relationships/hyperlink" Target="https://nuttechnology.com/product/fruit-tree-shaker/" TargetMode="External" Id="rId2"/><Relationship Type="http://schemas.openxmlformats.org/officeDocument/2006/relationships/hyperlink" Target="https://nuttechnology.com/wp-content/uploads/FRUIT-TREE-SHAKER_compressed.pdf" TargetMode="External" Id="rId3"/><Relationship Type="http://schemas.openxmlformats.org/officeDocument/2006/relationships/hyperlink" Target="Z:\00. Proiecte 2025\AFIR FotoVoltaic 1\50. Fabrica Nuci\nuttechnology.com\Brosuri echipamente\01. Recoltare\01. Scutur&#259;tor pentru pomi fructiferi.pdf" TargetMode="External" Id="rId4"/><Relationship Type="http://schemas.openxmlformats.org/officeDocument/2006/relationships/hyperlink" Target="https://nuttechnology.com/ro/produs/ma-in-de-cur-at-i-decojit-nuci-verzi-100-kg-h/" TargetMode="External" Id="rId5"/><Relationship Type="http://schemas.openxmlformats.org/officeDocument/2006/relationships/hyperlink" Target="https://nuttechnology.com/product/green-walnut-peeling-and-cleaning-machine-100-kg-h/" TargetMode="External" Id="rId6"/><Relationship Type="http://schemas.openxmlformats.org/officeDocument/2006/relationships/hyperlink" Target="https://nuttechnology.com/wp-content/uploads/Green-walnut-peeling-and-cleaning-100-kg_h.pdf" TargetMode="External" Id="rId7"/><Relationship Type="http://schemas.openxmlformats.org/officeDocument/2006/relationships/hyperlink" Target="Z:\00. Proiecte 2025\AFIR FotoVoltaic 1\50. Fabrica Nuci\nuttechnology.com\Brosuri echipamente\02. Decojire coaja verde si spalare\01. Ma&#537;in&#259; de decojire &#537;i cur&#259;&#539;are a nucilor verzi 100 kg-h.pdf" TargetMode="External" Id="rId8"/><Relationship Type="http://schemas.openxmlformats.org/officeDocument/2006/relationships/hyperlink" Target="https://nuttechnology.com/ro/produs/ma-in-de-cur-at-i-decojit-nuci-verzi-300-kg-h/" TargetMode="External" Id="rId9"/><Relationship Type="http://schemas.openxmlformats.org/officeDocument/2006/relationships/hyperlink" Target="https://nuttechnology.com/product/green-walnut-peeling-and-cleaning-machine-300-kg-h/" TargetMode="External" Id="rId10"/><Relationship Type="http://schemas.openxmlformats.org/officeDocument/2006/relationships/hyperlink" Target="https://nuttechnology.com/wp-content/uploads/Green-walnut-peeling-and-cleaning-300-kg_h.pdf" TargetMode="External" Id="rId11"/><Relationship Type="http://schemas.openxmlformats.org/officeDocument/2006/relationships/hyperlink" Target="Z:\00. Proiecte 2025\AFIR FotoVoltaic 1\50. Fabrica Nuci\nuttechnology.com\Brosuri echipamente\02. Decojire coaja verde si spalare\02. Ma&#537;in&#259; pentru decojirea &#537;i cur&#259;&#539;area nucilor verzi 300 kg-h.pdf" TargetMode="External" Id="rId12"/><Relationship Type="http://schemas.openxmlformats.org/officeDocument/2006/relationships/hyperlink" Target="https://nuttechnology.com/ro/produs/ma-in-de-cur-at-i-decojit-nuci-verzi-700-kg-h/" TargetMode="External" Id="rId13"/><Relationship Type="http://schemas.openxmlformats.org/officeDocument/2006/relationships/hyperlink" Target="https://nuttechnology.com/product/green-walnut-peeling-and-cleaning-machine-700-kg-h/" TargetMode="External" Id="rId14"/><Relationship Type="http://schemas.openxmlformats.org/officeDocument/2006/relationships/hyperlink" Target="https://nuttechnology.com/wp-content/uploads/Green-walnut-peeling-and-cleaning-700-kg_h.pdf" TargetMode="External" Id="rId15"/><Relationship Type="http://schemas.openxmlformats.org/officeDocument/2006/relationships/hyperlink" Target="Z:\00. Proiecte 2025\AFIR FotoVoltaic 1\50. Fabrica Nuci\nuttechnology.com\Brosuri echipamente\02. Decojire coaja verde si spalare\03. Ma&#537;in&#259; de decojire &#537;i cur&#259;&#539;are a nucilor verzi 700 kg-h.pdf" TargetMode="External" Id="rId16"/><Relationship Type="http://schemas.openxmlformats.org/officeDocument/2006/relationships/hyperlink" Target="https://nuttechnology.com/ro/produs/ma-in-industrial-de-cur-are-i-sp-lare-1-t-h/" TargetMode="External" Id="rId17"/><Relationship Type="http://schemas.openxmlformats.org/officeDocument/2006/relationships/hyperlink" Target="https://nuttechnology.com/product/industrial-peeling-and-washing-machine-1-t-h/" TargetMode="External" Id="rId18"/><Relationship Type="http://schemas.openxmlformats.org/officeDocument/2006/relationships/hyperlink" Target="https://nuttechnology.com/wp-content/uploads/Industrial-peeling-and-washing-machine-1-th.pdf" TargetMode="External" Id="rId19"/><Relationship Type="http://schemas.openxmlformats.org/officeDocument/2006/relationships/hyperlink" Target="Z:\00. Proiecte 2025\AFIR FotoVoltaic 1\50. Fabrica Nuci\nuttechnology.com\Brosuri echipamente\02. Decojire coaja verde si spalare\04. Ma&#537;in&#259; industrial&#259; de decojire &#537;i sp&#259;lare (1 t-h).pdf" TargetMode="External" Id="rId20"/><Relationship Type="http://schemas.openxmlformats.org/officeDocument/2006/relationships/hyperlink" Target="https://nuttechnology.com/ro/produs/ma-in-de-cur-at-coaja-verde-de-alune/" TargetMode="External" Id="rId21"/><Relationship Type="http://schemas.openxmlformats.org/officeDocument/2006/relationships/hyperlink" Target="https://nuttechnology.com/product/hazelnut-green-husk-remover-machine/" TargetMode="External" Id="rId22"/><Relationship Type="http://schemas.openxmlformats.org/officeDocument/2006/relationships/hyperlink" Target="https://nuttechnology.com/wp-content/uploads/Hazelnut-green-husk-remover-machine_.pdf" TargetMode="External" Id="rId23"/><Relationship Type="http://schemas.openxmlformats.org/officeDocument/2006/relationships/hyperlink" Target="Z:\00. Proiecte 2025\AFIR FotoVoltaic 1\50. Fabrica Nuci\nuttechnology.com\Brosuri echipamente\02. Decojire coaja verde si spalare\05. Ma&#537;in&#259; pentru &#238;ndep&#259;rtarea cojii verzi a alunelor.pdf" TargetMode="External" Id="rId24"/><Relationship Type="http://schemas.openxmlformats.org/officeDocument/2006/relationships/hyperlink" Target="https://nuttechnology.com/ro/produs/usc-tor-pentru-nuci-nep-jite-alune-migdale-capacitate-p-n-la-1-ton-24-ore/" TargetMode="External" Id="rId25"/><Relationship Type="http://schemas.openxmlformats.org/officeDocument/2006/relationships/hyperlink" Target="https://nuttechnology.com/product/dryer-for-inshell-walnuts-hazelnuts-almonds-up-to-1-ton-24-hours/" TargetMode="External" Id="rId26"/><Relationship Type="http://schemas.openxmlformats.org/officeDocument/2006/relationships/hyperlink" Target="https://nuttechnology.com/wp-content/uploads/Dryer-for-walnuts-hazelnuts-almonds-1-ton_.pdf" TargetMode="External" Id="rId27"/><Relationship Type="http://schemas.openxmlformats.org/officeDocument/2006/relationships/hyperlink" Target="Z:\00. Proiecte 2025\AFIR FotoVoltaic 1\50. Fabrica Nuci\nuttechnology.com\Brosuri echipamente\03. Uscare si incarcare uscator\01. Usc&#259;tor pentru nuci, alune &#537;i migdale &#238;n coaj&#259; (p&#226;n&#259; la 1 ton&#259;-24 ore).pdf" TargetMode="External" Id="rId28"/><Relationship Type="http://schemas.openxmlformats.org/officeDocument/2006/relationships/hyperlink" Target="https://nuttechnology.com/ro/produs/usc-tor-pentru-nuci-decojite-alune-migdale-capacitate-p-n-la-2-tone-pe-24-de-ore/" TargetMode="External" Id="rId29"/><Relationship Type="http://schemas.openxmlformats.org/officeDocument/2006/relationships/hyperlink" Target="https://nuttechnology.com/product/dryer-for-inshell-walnuts-hazelnuts-almonds-up-to-2-ton-24-hours/" TargetMode="External" Id="rId30"/><Relationship Type="http://schemas.openxmlformats.org/officeDocument/2006/relationships/hyperlink" Target="https://nuttechnology.com/wp-content/uploads/Dryer-for-walnuts-hazelnuts-almonds-1-ton_.pdf" TargetMode="External" Id="rId31"/><Relationship Type="http://schemas.openxmlformats.org/officeDocument/2006/relationships/hyperlink" Target="Z:\00. Proiecte 2025\AFIR FotoVoltaic 1\50. Fabrica Nuci\nuttechnology.com\Brosuri echipamente\03. Uscare si incarcare uscator\02. Usc&#259;tor pentru nuci, alune &#537;i migdale &#238;n coaj&#259; (p&#226;n&#259; la 2 tone-24 ore).pdf" TargetMode="External" Id="rId32"/><Relationship Type="http://schemas.openxmlformats.org/officeDocument/2006/relationships/hyperlink" Target="https://nuttechnology.com/ro/produs/usc-tor-pentru-nuci-alune-i-migdale-n-coaj/" TargetMode="External" Id="rId33"/><Relationship Type="http://schemas.openxmlformats.org/officeDocument/2006/relationships/hyperlink" Target="https://nuttechnology.com/product/dryer-for-walnuts-hazelnuts-and-almonds-in-shell/" TargetMode="External" Id="rId34"/><Relationship Type="http://schemas.openxmlformats.org/officeDocument/2006/relationships/hyperlink" Target="https://nuttechnology.com/wp-content/uploads/DRYER-FOR-INSHELL-WALNUTS.pdf" TargetMode="External" Id="rId35"/><Relationship Type="http://schemas.openxmlformats.org/officeDocument/2006/relationships/hyperlink" Target="Z:\00. Proiecte 2025\AFIR FotoVoltaic 1\50. Fabrica Nuci\nuttechnology.com\Brosuri echipamente\03. Uscare si incarcare uscator\03. Usc&#259;tor pentru nuci, alune &#537;i migdale &#238;n coaj&#259; (2 tone-zi).pdf" TargetMode="External" Id="rId36"/><Relationship Type="http://schemas.openxmlformats.org/officeDocument/2006/relationships/hyperlink" Target="https://nuttechnology.com/ro/produs/usc-tor-pentru-nuci-alune-i-migdale-n-coaj-2/" TargetMode="External" Id="rId37"/><Relationship Type="http://schemas.openxmlformats.org/officeDocument/2006/relationships/hyperlink" Target="https://nuttechnology.com/product/dryer-for-walnuts-hazelnuts-and-almonds-in-shell-2/" TargetMode="External" Id="rId38"/><Relationship Type="http://schemas.openxmlformats.org/officeDocument/2006/relationships/hyperlink" Target="https://nuttechnology.com/wp-content/uploads/DRYER-FOR-INSHELL-WALNUTS-4-tons.pdf" TargetMode="External" Id="rId39"/><Relationship Type="http://schemas.openxmlformats.org/officeDocument/2006/relationships/hyperlink" Target="Z:\00. Proiecte 2025\AFIR FotoVoltaic 1\50. Fabrica Nuci\nuttechnology.com\Brosuri echipamente\03. Uscare si incarcare uscator\04. Usc&#259;tor pentru nuci, alune &#537;i migdale &#238;n coaj&#259; (4 tone-zi).pdf" TargetMode="External" Id="rId40"/><Relationship Type="http://schemas.openxmlformats.org/officeDocument/2006/relationships/hyperlink" Target="https://nuttechnology.com/ro/produs/band-de-alimentare-usc-tor/" TargetMode="External" Id="rId41"/><Relationship Type="http://schemas.openxmlformats.org/officeDocument/2006/relationships/hyperlink" Target="https://nuttechnology.com/product/dryer-feed-conveyor/" TargetMode="External" Id="rId42"/><Relationship Type="http://schemas.openxmlformats.org/officeDocument/2006/relationships/hyperlink" Target="https://nuttechnology.com/wp-content/uploads/Loading-conveyor.pdf" TargetMode="External" Id="rId43"/><Relationship Type="http://schemas.openxmlformats.org/officeDocument/2006/relationships/hyperlink" Target="Z:\00. Proiecte 2025\AFIR FotoVoltaic 1\50. Fabrica Nuci\nuttechnology.com\Brosuri echipamente\03. Uscare si incarcare uscator\05. Conveyor de alimentare pentru usc&#259;tor 2 t-zi.pdf" TargetMode="External" Id="rId44"/><Relationship Type="http://schemas.openxmlformats.org/officeDocument/2006/relationships/hyperlink" Target="https://nuttechnology.com/ro/produs/band-transportoare-de-alimentare-pentru-usc-tor-4-t-h/" TargetMode="External" Id="rId45"/><Relationship Type="http://schemas.openxmlformats.org/officeDocument/2006/relationships/hyperlink" Target="https://nuttechnology.com/product/dryer-feed-conveyor-for-dryer-4-t-h/" TargetMode="External" Id="rId46"/><Relationship Type="http://schemas.openxmlformats.org/officeDocument/2006/relationships/hyperlink" Target="https://nuttechnology.com/wp-content/uploads/Loading-conveyor.pdf" TargetMode="External" Id="rId47"/><Relationship Type="http://schemas.openxmlformats.org/officeDocument/2006/relationships/hyperlink" Target="Z:\00. Proiecte 2025\AFIR FotoVoltaic 1\50. Fabrica Nuci\nuttechnology.com\Brosuri echipamente\03. Uscare si incarcare uscator\06. Conveyor de alimentare pentru usc&#259;tor 4 t-h.pdf" TargetMode="External" Id="rId48"/><Relationship Type="http://schemas.openxmlformats.org/officeDocument/2006/relationships/hyperlink" Target="https://nuttechnology.com/ro/produs/elevator-noria-pentru-nc-rcare-desc-rcare-de-2-tone-pe-or/" TargetMode="External" Id="rId49"/><Relationship Type="http://schemas.openxmlformats.org/officeDocument/2006/relationships/hyperlink" Target="https://nuttechnology.com/product/noria-load-unload-elevator-2-tons-per-hour/" TargetMode="External" Id="rId50"/><Relationship Type="http://schemas.openxmlformats.org/officeDocument/2006/relationships/hyperlink" Target="https://nuttechnology.com/wp-content/uploads/Loading-conveyor.pdf" TargetMode="External" Id="rId51"/><Relationship Type="http://schemas.openxmlformats.org/officeDocument/2006/relationships/hyperlink" Target="Z:\00. Proiecte 2025\AFIR FotoVoltaic 1\50. Fabrica Nuci\nuttechnology.com\Brosuri echipamente\03. Uscare si incarcare uscator\07. Elevator cu &#238;nc&#259;rcare-desc&#259;rcare Noria 2 tone pe or&#259;.pdf" TargetMode="External" Id="rId52"/><Relationship Type="http://schemas.openxmlformats.org/officeDocument/2006/relationships/hyperlink" Target="https://nuttechnology.com/ro/produs/norie-de-nc-rcare-desc-rcare-elevator-4-tone-pe-or/" TargetMode="External" Id="rId53"/><Relationship Type="http://schemas.openxmlformats.org/officeDocument/2006/relationships/hyperlink" Target="https://nuttechnology.com/product/noria-load-unload-elevator-4-tons-per-hour/" TargetMode="External" Id="rId54"/><Relationship Type="http://schemas.openxmlformats.org/officeDocument/2006/relationships/hyperlink" Target="https://nuttechnology.com/wp-content/uploads/Loading-conveyor.pdf" TargetMode="External" Id="rId55"/><Relationship Type="http://schemas.openxmlformats.org/officeDocument/2006/relationships/hyperlink" Target="Z:\00. Proiecte 2025\AFIR FotoVoltaic 1\50. Fabrica Nuci\nuttechnology.com\Brosuri echipamente\03. Uscare si incarcare uscator\08. Elevator cu &#238;nc&#259;rcare-desc&#259;rcare Noria 4 tone pe or&#259;.pdf" TargetMode="External" Id="rId56"/><Relationship Type="http://schemas.openxmlformats.org/officeDocument/2006/relationships/hyperlink" Target="https://nuttechnology.com/ro/produs/calibrator-de-linie-pentru-toate-tipurile-de-piuli-e/" TargetMode="External" Id="rId57"/><Relationship Type="http://schemas.openxmlformats.org/officeDocument/2006/relationships/hyperlink" Target="https://nuttechnology.com/product/line-calibrator-for-all-sorts-of-nuts/" TargetMode="External" Id="rId58"/><Relationship Type="http://schemas.openxmlformats.org/officeDocument/2006/relationships/hyperlink" Target="https://nuttechnology.com/wp-content/uploads/Line-calibrator-for-all-sorts-of-nuts.pdf" TargetMode="External" Id="rId59"/><Relationship Type="http://schemas.openxmlformats.org/officeDocument/2006/relationships/hyperlink" Target="Z:\00. Proiecte 2025\AFIR FotoVoltaic 1\50. Fabrica Nuci\nuttechnology.com\Brosuri echipamente\04. Calibrare si sortare in coaja\01. Calibrator liniar pentru toate tipurile de nuci.pdf" TargetMode="External" Id="rId60"/><Relationship Type="http://schemas.openxmlformats.org/officeDocument/2006/relationships/hyperlink" Target="https://nuttechnology.com/ro/produs/ma-in-de-calibrare-nuci/" TargetMode="External" Id="rId61"/><Relationship Type="http://schemas.openxmlformats.org/officeDocument/2006/relationships/hyperlink" Target="https://nuttechnology.com/product/walnut-calibrating-machine/" TargetMode="External" Id="rId62"/><Relationship Type="http://schemas.openxmlformats.org/officeDocument/2006/relationships/hyperlink" Target="https://nuttechnology.com/wp-content/uploads/WALNUT-CALIBRATING-MACHINE-4-fractions.pdf" TargetMode="External" Id="rId63"/><Relationship Type="http://schemas.openxmlformats.org/officeDocument/2006/relationships/hyperlink" Target="Z:\00. Proiecte 2025\AFIR FotoVoltaic 1\50. Fabrica Nuci\nuttechnology.com\Brosuri echipamente\04. Calibrare si sortare in coaja\02. Ma&#537;in&#259; de calibrare a nucilor &#238;n 4 frac&#539;ii.pdf" TargetMode="External" Id="rId64"/><Relationship Type="http://schemas.openxmlformats.org/officeDocument/2006/relationships/hyperlink" Target="https://nuttechnology.com/ro/produs/ma-in-de-calibrat-nuci-8-frac-iuni/" TargetMode="External" Id="rId65"/><Relationship Type="http://schemas.openxmlformats.org/officeDocument/2006/relationships/hyperlink" Target="https://nuttechnology.com/product/walnut-calibrating-machine-8-fractions/" TargetMode="External" Id="rId66"/><Relationship Type="http://schemas.openxmlformats.org/officeDocument/2006/relationships/hyperlink" Target="https://nuttechnology.com/wp-content/uploads/WALNUT-CALIBRATING-MACHINE-8-fractions.pdf" TargetMode="External" Id="rId67"/><Relationship Type="http://schemas.openxmlformats.org/officeDocument/2006/relationships/hyperlink" Target="Z:\00. Proiecte 2025\AFIR FotoVoltaic 1\50. Fabrica Nuci\nuttechnology.com\Brosuri echipamente\04. Calibrare si sortare in coaja\03. Ma&#537;in&#259; de calibrare a nucilor &#238;n 8 frac&#539;ii.pdf" TargetMode="External" Id="rId68"/><Relationship Type="http://schemas.openxmlformats.org/officeDocument/2006/relationships/hyperlink" Target="https://nuttechnology.com/ro/produs/ma-in-de-sortat-nuci-goale-n-coaj/" TargetMode="External" Id="rId69"/><Relationship Type="http://schemas.openxmlformats.org/officeDocument/2006/relationships/hyperlink" Target="https://nuttechnology.com/product/machine-for-sorting-empty-walnut-in-shell/" TargetMode="External" Id="rId70"/><Relationship Type="http://schemas.openxmlformats.org/officeDocument/2006/relationships/hyperlink" Target="https://nuttechnology.com/wp-content/uploads/MACHINE-FOR-SORTING-EMPTY-WALNUT-IN-SHELL.pdf" TargetMode="External" Id="rId71"/><Relationship Type="http://schemas.openxmlformats.org/officeDocument/2006/relationships/hyperlink" Target="Z:\00. Proiecte 2025\AFIR FotoVoltaic 1\50. Fabrica Nuci\nuttechnology.com\Brosuri echipamente\04. Calibrare si sortare in coaja\04. Ma&#537;in&#259; pentru sortarea nucilor goale &#238;n coaj&#259;.pdf" TargetMode="External" Id="rId72"/><Relationship Type="http://schemas.openxmlformats.org/officeDocument/2006/relationships/hyperlink" Target="https://nuttechnology.com/ro/produs/ma-in-de-calibrare-alune/" TargetMode="External" Id="rId73"/><Relationship Type="http://schemas.openxmlformats.org/officeDocument/2006/relationships/hyperlink" Target="https://nuttechnology.com/product/hazelnut-calibrating-machine/" TargetMode="External" Id="rId74"/><Relationship Type="http://schemas.openxmlformats.org/officeDocument/2006/relationships/hyperlink" Target="https://nuttechnology.com/wp-content/uploads/Hazelnut-Calibrating-Machine.pdf" TargetMode="External" Id="rId75"/><Relationship Type="http://schemas.openxmlformats.org/officeDocument/2006/relationships/hyperlink" Target="Z:\00. Proiecte 2025\AFIR FotoVoltaic 1\50. Fabrica Nuci\nuttechnology.com\Brosuri echipamente\04. Calibrare si sortare in coaja\05. Ma&#537;in&#259; de calibrare a alunelor.pdf" TargetMode="External" Id="rId76"/><Relationship Type="http://schemas.openxmlformats.org/officeDocument/2006/relationships/hyperlink" Target="https://nuttechnology.com/ro/produs/ma-in-de-calibrare-alune-3-frac-iuni/" TargetMode="External" Id="rId77"/><Relationship Type="http://schemas.openxmlformats.org/officeDocument/2006/relationships/hyperlink" Target="https://nuttechnology.com/product/hazelnut-calibrating-machine-3-fractions/" TargetMode="External" Id="rId78"/><Relationship Type="http://schemas.openxmlformats.org/officeDocument/2006/relationships/hyperlink" Target="https://nuttechnology.com/wp-content/uploads/HAZELNUT-CALIBRATING-MACHINE-8-fractions.pdf" TargetMode="External" Id="rId79"/><Relationship Type="http://schemas.openxmlformats.org/officeDocument/2006/relationships/hyperlink" Target="Z:\00. Proiecte 2025\AFIR FotoVoltaic 1\50. Fabrica Nuci\nuttechnology.com\Brosuri echipamente\04. Calibrare si sortare in coaja\06. Ma&#537;in&#259; de calibrare a alunelor &#238;n 3 frac&#539;ii.pdf" TargetMode="External" Id="rId80"/><Relationship Type="http://schemas.openxmlformats.org/officeDocument/2006/relationships/hyperlink" Target="https://nuttechnology.com/ro/produs/ma-in-de-calibrat-alune-8-frac-iuni/" TargetMode="External" Id="rId81"/><Relationship Type="http://schemas.openxmlformats.org/officeDocument/2006/relationships/hyperlink" Target="https://nuttechnology.com/product/hazelnut-calibrating-machine-8-fractions/" TargetMode="External" Id="rId82"/><Relationship Type="http://schemas.openxmlformats.org/officeDocument/2006/relationships/hyperlink" Target="https://nuttechnology.com/wp-content/uploads/HAZELNUT-CALIBRATING-MACHINE-8-fractions.pdf" TargetMode="External" Id="rId83"/><Relationship Type="http://schemas.openxmlformats.org/officeDocument/2006/relationships/hyperlink" Target="Z:\00. Proiecte 2025\AFIR FotoVoltaic 1\50. Fabrica Nuci\nuttechnology.com\Brosuri echipamente\04. Calibrare si sortare in coaja\07. Ma&#537;in&#259; de calibrare a alunelor &#238;n 8 frac&#539;ii.pdf" TargetMode="External" Id="rId84"/><Relationship Type="http://schemas.openxmlformats.org/officeDocument/2006/relationships/hyperlink" Target="https://nuttechnology.com/ro/produs/utilaj-spargere-nuci-50-kg-h/" TargetMode="External" Id="rId85"/><Relationship Type="http://schemas.openxmlformats.org/officeDocument/2006/relationships/hyperlink" Target="https://nuttechnology.com/product/walnut-cracking-machine-50-kg-h/" TargetMode="External" Id="rId86"/><Relationship Type="http://schemas.openxmlformats.org/officeDocument/2006/relationships/hyperlink" Target="https://nuttechnology.com/wp-content/uploads/Walnut-cracking-machine-50-kg_h.pdf" TargetMode="External" Id="rId87"/><Relationship Type="http://schemas.openxmlformats.org/officeDocument/2006/relationships/hyperlink" Target="Z:\00. Proiecte 2025\AFIR FotoVoltaic 1\50. Fabrica Nuci\nuttechnology.com\Brosuri echipamente\05. Spargere\01. Ma&#537;in&#259; de spart nuci 50 kg-h.pdf" TargetMode="External" Id="rId88"/><Relationship Type="http://schemas.openxmlformats.org/officeDocument/2006/relationships/hyperlink" Target="https://nuttechnology.com/ro/produs/ma-in-de-spart-nuci-100-kg-h/" TargetMode="External" Id="rId89"/><Relationship Type="http://schemas.openxmlformats.org/officeDocument/2006/relationships/hyperlink" Target="https://nuttechnology.com/product/walnut-cracking-machine-100-kg-h/" TargetMode="External" Id="rId90"/><Relationship Type="http://schemas.openxmlformats.org/officeDocument/2006/relationships/hyperlink" Target="https://nuttechnology.com/wp-content/uploads/Walnut-cracking-machine-100-kg_h.pdf" TargetMode="External" Id="rId91"/><Relationship Type="http://schemas.openxmlformats.org/officeDocument/2006/relationships/hyperlink" Target="Z:\00. Proiecte 2025\AFIR FotoVoltaic 1\50. Fabrica Nuci\nuttechnology.com\Brosuri echipamente\05. Spargere\02. Ma&#537;in&#259; de spart nuci 100 kg-h.pdf" TargetMode="External" Id="rId92"/><Relationship Type="http://schemas.openxmlformats.org/officeDocument/2006/relationships/hyperlink" Target="https://nuttechnology.com/ro/produs/ma-in-de-spart-nuci-200-kg-h/" TargetMode="External" Id="rId93"/><Relationship Type="http://schemas.openxmlformats.org/officeDocument/2006/relationships/hyperlink" Target="https://nuttechnology.com/product/walnut-cracking-machine-200-kg-h/" TargetMode="External" Id="rId94"/><Relationship Type="http://schemas.openxmlformats.org/officeDocument/2006/relationships/hyperlink" Target="https://nuttechnology.com/wp-content/uploads/Walnut-cracking-machine-200-kg_h.pdf" TargetMode="External" Id="rId95"/><Relationship Type="http://schemas.openxmlformats.org/officeDocument/2006/relationships/hyperlink" Target="Z:\00. Proiecte 2025\AFIR FotoVoltaic 1\50. Fabrica Nuci\nuttechnology.com\Brosuri echipamente\05. Spargere\03. Ma&#537;in&#259; de spart nuci 200 kg-h.pdf" TargetMode="External" Id="rId96"/><Relationship Type="http://schemas.openxmlformats.org/officeDocument/2006/relationships/hyperlink" Target="https://nuttechnology.com/ro/produs/sp-rg-tor-de-nuci-industrial-din-lemn-de-nuc-cu-coloan-de-aspira-ie-ncorporat-200-kg-h/" TargetMode="External" Id="rId97"/><Relationship Type="http://schemas.openxmlformats.org/officeDocument/2006/relationships/hyperlink" Target="https://nuttechnology.com/product/industrial-walnut-nutcracker-with-built-in-aspiration-column-200-kg-h/" TargetMode="External" Id="rId98"/><Relationship Type="http://schemas.openxmlformats.org/officeDocument/2006/relationships/hyperlink" Target="https://nuttechnology.com/wp-content/uploads/INDUSTRIAL-WALNUT-NUTCRACKER-WITH-BUILT-IN-ASPIRATION-COLUMN-200-KG_H_compressed.pdf" TargetMode="External" Id="rId99"/><Relationship Type="http://schemas.openxmlformats.org/officeDocument/2006/relationships/hyperlink" Target="Z:\00. Proiecte 2025\AFIR FotoVoltaic 1\50. Fabrica Nuci\nuttechnology.com\Brosuri echipamente\05. Spargere\04. Ma&#537;in&#259; industrial&#259; de spart nuci cu coloan&#259; de aspira&#539;ie integrat&#259; (200 kg-h).pdf" TargetMode="External" Id="rId100"/><Relationship Type="http://schemas.openxmlformats.org/officeDocument/2006/relationships/hyperlink" Target="https://nuttechnology.com/ro/produs/sp-rg-tor-de-nuci-dup-ma-ina-de-spart/" TargetMode="External" Id="rId101"/><Relationship Type="http://schemas.openxmlformats.org/officeDocument/2006/relationships/hyperlink" Target="https://nuttechnology.com/product/walnut-breaker-after-cracking-machine/" TargetMode="External" Id="rId102"/><Relationship Type="http://schemas.openxmlformats.org/officeDocument/2006/relationships/hyperlink" Target="https://nuttechnology.com/wp-content/uploads/Walnut-breaker-after-cracking-machine_.pdf" TargetMode="External" Id="rId103"/><Relationship Type="http://schemas.openxmlformats.org/officeDocument/2006/relationships/hyperlink" Target="Z:\00. Proiecte 2025\AFIR FotoVoltaic 1\50. Fabrica Nuci\nuttechnology.com\Brosuri echipamente\05. Spargere\05. Sp&#259;rg&#259;tor de nuci pentru etapa post-sp&#259;rgere.pdf" TargetMode="External" Id="rId104"/><Relationship Type="http://schemas.openxmlformats.org/officeDocument/2006/relationships/hyperlink" Target="https://nuttechnology.com/ro/produs/fructier-pentru-nuci-alune-i-migdale/" TargetMode="External" Id="rId105"/><Relationship Type="http://schemas.openxmlformats.org/officeDocument/2006/relationships/hyperlink" Target="https://nuttechnology.com/product/drum-nutcracker-for-hazelnuts-and-almonds/" TargetMode="External" Id="rId106"/><Relationship Type="http://schemas.openxmlformats.org/officeDocument/2006/relationships/hyperlink" Target="https://nuttechnology.com/wp-content/uploads/DRUM-NUTCRACKER-FOR-HAZELNUTS-AND-ALMONDS_.pdf" TargetMode="External" Id="rId107"/><Relationship Type="http://schemas.openxmlformats.org/officeDocument/2006/relationships/hyperlink" Target="Z:\00. Proiecte 2025\AFIR FotoVoltaic 1\50. Fabrica Nuci\nuttechnology.com\Brosuri echipamente\05. Spargere\06. Sp&#259;rg&#259;tor cu tambur pentru alune &#537;i migdale.pdf" TargetMode="External" Id="rId108"/><Relationship Type="http://schemas.openxmlformats.org/officeDocument/2006/relationships/hyperlink" Target="https://nuttechnology.com/ro/produs/sp-rg-tor-de-alune-cu-aspira-ie-200-kg-h/" TargetMode="External" Id="rId109"/><Relationship Type="http://schemas.openxmlformats.org/officeDocument/2006/relationships/hyperlink" Target="https://nuttechnology.com/product/hazelnuts-nutcracker-with-aspiration-200-kg-h/" TargetMode="External" Id="rId110"/><Relationship Type="http://schemas.openxmlformats.org/officeDocument/2006/relationships/hyperlink" Target="https://nuttechnology.com/wp-content/uploads/DRUM-NUTCRACKER-FOR-HAZELNUTS-AND-ALMONDS_.pdf" TargetMode="External" Id="rId111"/><Relationship Type="http://schemas.openxmlformats.org/officeDocument/2006/relationships/hyperlink" Target="Z:\00. Proiecte 2025\AFIR FotoVoltaic 1\50. Fabrica Nuci\nuttechnology.com\Brosuri echipamente\05. Spargere\07. Sp&#259;rg&#259;tor de alune cu aspira&#539;ie (200 kg-h).pdf" TargetMode="External" Id="rId112"/><Relationship Type="http://schemas.openxmlformats.org/officeDocument/2006/relationships/hyperlink" Target="https://nuttechnology.com/ro/produs/ma-in-de-separat-miezul-de-coaj-100-kg-h/" TargetMode="External" Id="rId113"/><Relationship Type="http://schemas.openxmlformats.org/officeDocument/2006/relationships/hyperlink" Target="https://nuttechnology.com/product/machine-for-separating-kernel-from-the-shell-100-kg-h/" TargetMode="External" Id="rId114"/><Relationship Type="http://schemas.openxmlformats.org/officeDocument/2006/relationships/hyperlink" Target="https://nuttechnology.com/wp-content/uploads/Machine-for-separating-kernel-from-the-shell-100-kg_h.pdf" TargetMode="External" Id="rId115"/><Relationship Type="http://schemas.openxmlformats.org/officeDocument/2006/relationships/hyperlink" Target="Z:\00. Proiecte 2025\AFIR FotoVoltaic 1\50. Fabrica Nuci\nuttechnology.com\Brosuri echipamente\06. Separare miez si sortare\01. Ma&#537;in&#259; pentru separarea miezului de coaj&#259; (100 kg-h).pdf" TargetMode="External" Id="rId116"/><Relationship Type="http://schemas.openxmlformats.org/officeDocument/2006/relationships/hyperlink" Target="https://nuttechnology.com/ro/produs/ma-in-pentru-separarea-miezului-de-coaj-300-kg-h/" TargetMode="External" Id="rId117"/><Relationship Type="http://schemas.openxmlformats.org/officeDocument/2006/relationships/hyperlink" Target="https://nuttechnology.com/product/machine-for-separating-kernel-from-the-shell-300-kg-h/" TargetMode="External" Id="rId118"/><Relationship Type="http://schemas.openxmlformats.org/officeDocument/2006/relationships/hyperlink" Target="https://nuttechnology.com/wp-content/uploads/Machine-for-separating-kernel-from-the-shell-300-kg_h.pdf" TargetMode="External" Id="rId119"/><Relationship Type="http://schemas.openxmlformats.org/officeDocument/2006/relationships/hyperlink" Target="Z:\00. Proiecte 2025\AFIR FotoVoltaic 1\50. Fabrica Nuci\nuttechnology.com\Brosuri echipamente\06. Separare miez si sortare\02. Ma&#537;in&#259; pentru separarea miezului de coaj&#259; (300 kg-h).pdf" TargetMode="External" Id="rId120"/><Relationship Type="http://schemas.openxmlformats.org/officeDocument/2006/relationships/hyperlink" Target="https://nuttechnology.com/ro/produs/ma-in-de-separat-miez-de-nuc-200-kg-h/" TargetMode="External" Id="rId121"/><Relationship Type="http://schemas.openxmlformats.org/officeDocument/2006/relationships/hyperlink" Target="https://nuttechnology.com/product/walnut-kernel-separating-machine-200-kg-h/" TargetMode="External" Id="rId122"/><Relationship Type="http://schemas.openxmlformats.org/officeDocument/2006/relationships/hyperlink" Target="https://nuttechnology.com/wp-content/uploads/Walnut-kernel-separating-machine-200-kg_h.pdf" TargetMode="External" Id="rId123"/><Relationship Type="http://schemas.openxmlformats.org/officeDocument/2006/relationships/hyperlink" Target="Z:\00. Proiecte 2025\AFIR FotoVoltaic 1\50. Fabrica Nuci\nuttechnology.com\Brosuri echipamente\06. Separare miez si sortare\03. Ma&#537;in&#259; pentru separarea miezului de nuc&#259; (200 kg-h).pdf" TargetMode="External" Id="rId124"/><Relationship Type="http://schemas.openxmlformats.org/officeDocument/2006/relationships/hyperlink" Target="https://nuttechnology.com/ro/produs/sita-vibratoare-cu-aspiratie-pentru-sortat-nuci-200-kg-h/" TargetMode="External" Id="rId125"/><Relationship Type="http://schemas.openxmlformats.org/officeDocument/2006/relationships/hyperlink" Target="https://nuttechnology.com/product/vibrating-sieve-with-aspiration-for-sorting-walnuts-200-kg-h/" TargetMode="External" Id="rId126"/><Relationship Type="http://schemas.openxmlformats.org/officeDocument/2006/relationships/hyperlink" Target="https://nuttechnology.com/wp-content/uploads/Vibrating-sieve-with-aspiration-for-sorting-walnut-kernels-200-kg-h.pdf" TargetMode="External" Id="rId127"/><Relationship Type="http://schemas.openxmlformats.org/officeDocument/2006/relationships/hyperlink" Target="Z:\00. Proiecte 2025\AFIR FotoVoltaic 1\50. Fabrica Nuci\nuttechnology.com\Brosuri echipamente\06. Separare miez si sortare\04. Sit vibratoare cu aspira&#539;ie pentru sortarea nucilor (200 kg-h).pdf" TargetMode="External" Id="rId128"/><Relationship Type="http://schemas.openxmlformats.org/officeDocument/2006/relationships/hyperlink" Target="https://nuttechnology.com/ro/produs/sit-vibrant-cu-aspira-ie-pentru-sortat-nuci-300-kg-h/" TargetMode="External" Id="rId129"/><Relationship Type="http://schemas.openxmlformats.org/officeDocument/2006/relationships/hyperlink" Target="https://nuttechnology.com/product/vibrating-sieve-with-aspiration-for-sorting-walnuts-300-kg-h/" TargetMode="External" Id="rId130"/><Relationship Type="http://schemas.openxmlformats.org/officeDocument/2006/relationships/hyperlink" Target="https://nuttechnology.com/wp-content/uploads/Vibrating-sieve-with-aspiration-for-sorting-walnut-kernels-300-kg_h.pdf" TargetMode="External" Id="rId131"/><Relationship Type="http://schemas.openxmlformats.org/officeDocument/2006/relationships/hyperlink" Target="Z:\00. Proiecte 2025\AFIR FotoVoltaic 1\50. Fabrica Nuci\nuttechnology.com\Brosuri echipamente\06. Separare miez si sortare\05. Sit vibratoare cu aspira&#539;ie pentru sortarea nucilor (300 kg-h).pdf" TargetMode="External" Id="rId132"/><Relationship Type="http://schemas.openxmlformats.org/officeDocument/2006/relationships/hyperlink" Target="https://nuttechnology.com/ro/produs/transportor-liftant-pentru-nuci/" TargetMode="External" Id="rId133"/><Relationship Type="http://schemas.openxmlformats.org/officeDocument/2006/relationships/hyperlink" Target="https://nuttechnology.com/product/lifting-conveyor-for-walnut/" TargetMode="External" Id="rId134"/><Relationship Type="http://schemas.openxmlformats.org/officeDocument/2006/relationships/hyperlink" Target="https://nuttechnology.com/wp-content/uploads/Lifting-conveyor-for-walnut.pdf" TargetMode="External" Id="rId135"/><Relationship Type="http://schemas.openxmlformats.org/officeDocument/2006/relationships/hyperlink" Target="Z:\00. Proiecte 2025\AFIR FotoVoltaic 1\50. Fabrica Nuci\nuttechnology.com\Brosuri echipamente\06. Separare miez si sortare\06. Transportor elevatoare pentru nuci.pdf" TargetMode="External" Id="rId136"/><Relationship Type="http://schemas.openxmlformats.org/officeDocument/2006/relationships/hyperlink" Target="https://nuttechnology.com/ro/produs/masa-de-inspec-ie-a-curelelor/" TargetMode="External" Id="rId137"/><Relationship Type="http://schemas.openxmlformats.org/officeDocument/2006/relationships/hyperlink" Target="https://nuttechnology.com/product/belt-inspection-table/" TargetMode="External" Id="rId138"/><Relationship Type="http://schemas.openxmlformats.org/officeDocument/2006/relationships/hyperlink" Target="https://nuttechnology.com/wp-content/uploads/Belt-inspection-table_compressed.pdf" TargetMode="External" Id="rId139"/><Relationship Type="http://schemas.openxmlformats.org/officeDocument/2006/relationships/hyperlink" Target="Z:\00. Proiecte 2025\AFIR FotoVoltaic 1\50. Fabrica Nuci\nuttechnology.com\Brosuri echipamente\06. Separare miez si sortare\07. Mas&#259; de inspec&#539;ie cu band&#259;.pdf" TargetMode="External" Id="rId140"/><Relationship Type="http://schemas.openxmlformats.org/officeDocument/2006/relationships/hyperlink" Target="https://nuttechnology.com/ro/produs/mas-de-inspec-ie-cu-band-cu-dou-niveluri/" TargetMode="External" Id="rId141"/><Relationship Type="http://schemas.openxmlformats.org/officeDocument/2006/relationships/hyperlink" Target="https://nuttechnology.com/product/two-level-belt-inspection-table/" TargetMode="External" Id="rId142"/><Relationship Type="http://schemas.openxmlformats.org/officeDocument/2006/relationships/hyperlink" Target="https://nuttechnology.com/wp-content/uploads/Two-level-belt-inspection-table.pdf" TargetMode="External" Id="rId143"/><Relationship Type="http://schemas.openxmlformats.org/officeDocument/2006/relationships/hyperlink" Target="Z:\00. Proiecte 2025\AFIR FotoVoltaic 1\50. Fabrica Nuci\nuttechnology.com\Brosuri echipamente\06. Separare miez si sortare\08. Mas&#259; de inspec&#539;ie cu band&#259; pe dou&#259; niveluri.pdf" TargetMode="External" Id="rId144"/><Relationship Type="http://schemas.openxmlformats.org/officeDocument/2006/relationships/hyperlink" Target="https://nuttechnology.com/ro/produs/sortator-de-culori-ir-63/" TargetMode="External" Id="rId145"/><Relationship Type="http://schemas.openxmlformats.org/officeDocument/2006/relationships/hyperlink" Target="https://nuttechnology.com/product/color-sorter-ir-63/" TargetMode="External" Id="rId146"/><Relationship Type="http://schemas.openxmlformats.org/officeDocument/2006/relationships/hyperlink" Target="https://nuttechnology.com/ro/produs/color-sorter-3s/" TargetMode="External" Id="rId147"/><Relationship Type="http://schemas.openxmlformats.org/officeDocument/2006/relationships/hyperlink" Target="https://nuttechnology.com/product/color-sorter-3s/" TargetMode="External" Id="rId148"/><Relationship Type="http://schemas.openxmlformats.org/officeDocument/2006/relationships/hyperlink" Target="https://nuttechnology.com/wp-content/uploads/36.png" TargetMode="External" Id="rId149"/><Relationship Type="http://schemas.openxmlformats.org/officeDocument/2006/relationships/hyperlink" Target="Z:\00. Proiecte 2025\AFIR FotoVoltaic 1\50. Fabrica Nuci\nuttechnology.com\Brosuri echipamente\07. Sortatoare optice\02. Sortator optic 3S - imagine (fara brosura).png" TargetMode="External" Id="rId150"/><Relationship Type="http://schemas.openxmlformats.org/officeDocument/2006/relationships/hyperlink" Target="https://nuttechnology.com/ro/produs/belt-color-sorter-m600/" TargetMode="External" Id="rId151"/><Relationship Type="http://schemas.openxmlformats.org/officeDocument/2006/relationships/hyperlink" Target="https://nuttechnology.com/product/belt-color-sorter-m600/" TargetMode="External" Id="rId152"/><Relationship Type="http://schemas.openxmlformats.org/officeDocument/2006/relationships/hyperlink" Target="https://nuttechnology.com/wp-content/uploads/m300.jpg" TargetMode="External" Id="rId153"/><Relationship Type="http://schemas.openxmlformats.org/officeDocument/2006/relationships/hyperlink" Target="Z:\00. Proiecte 2025\AFIR FotoVoltaic 1\50. Fabrica Nuci\nuttechnology.com\Brosuri echipamente\07. Sortatoare optice\03. Sortator optic cu band&#259; M600 - imagine (fara brosura).jpg" TargetMode="External" Id="rId154"/><Relationship Type="http://schemas.openxmlformats.org/officeDocument/2006/relationships/hyperlink" Target="https://nuttechnology.com/ro/produs/linie-de-sp-lare-i-uscare-nuci-500-kg-h/" TargetMode="External" Id="rId155"/><Relationship Type="http://schemas.openxmlformats.org/officeDocument/2006/relationships/hyperlink" Target="https://nuttechnology.com/product/walnut-washing-and-drying-line-500-kg-h/" TargetMode="External" Id="rId156"/><Relationship Type="http://schemas.openxmlformats.org/officeDocument/2006/relationships/hyperlink" Target="https://nuttechnology.com/wp-content/uploads/Walnut-cleaning-and-drying-line.pdf" TargetMode="External" Id="rId157"/><Relationship Type="http://schemas.openxmlformats.org/officeDocument/2006/relationships/hyperlink" Target="Z:\00. Proiecte 2025\AFIR FotoVoltaic 1\50. Fabrica Nuci\nuttechnology.com\Brosuri echipamente\08. Linii complete de procesare\01. Linie de sp&#259;lare &#537;i uscare a nucilor (500 kg-h).pdf" TargetMode="External" Id="rId158"/><Relationship Type="http://schemas.openxmlformats.org/officeDocument/2006/relationships/hyperlink" Target="https://nuttechnology.com/ro/produs/linie-industrial-pentru-prelucrarea-nucilor-100-kg-h/" TargetMode="External" Id="rId159"/><Relationship Type="http://schemas.openxmlformats.org/officeDocument/2006/relationships/hyperlink" Target="https://nuttechnology.com/product/industrial-line-for-processing-walnuts-100-kg-h/" TargetMode="External" Id="rId160"/><Relationship Type="http://schemas.openxmlformats.org/officeDocument/2006/relationships/hyperlink" Target="https://nuttechnology.com/wp-content/uploads/Industrial-line-for-processing-walnuts-100-kg-h.pdf" TargetMode="External" Id="rId161"/><Relationship Type="http://schemas.openxmlformats.org/officeDocument/2006/relationships/hyperlink" Target="Z:\00. Proiecte 2025\AFIR FotoVoltaic 1\50. Fabrica Nuci\nuttechnology.com\Brosuri echipamente\08. Linii complete de procesare\02. Linie industrial&#259; pentru procesarea nucilor (100 kg-h).pdf" TargetMode="External" Id="rId162"/><Relationship Type="http://schemas.openxmlformats.org/officeDocument/2006/relationships/hyperlink" Target="https://nuttechnology.com/ro/produs/linie-industrial-de-procesare-nuci-200-kg-h/" TargetMode="External" Id="rId163"/><Relationship Type="http://schemas.openxmlformats.org/officeDocument/2006/relationships/hyperlink" Target="https://nuttechnology.com/product/industrial-line-for-processing-walnuts-200-kg-h/" TargetMode="External" Id="rId164"/><Relationship Type="http://schemas.openxmlformats.org/officeDocument/2006/relationships/hyperlink" Target="https://nuttechnology.com/wp-content/uploads/Industrial-line-for-processing-walnuts-200-kg_h.pdf" TargetMode="External" Id="rId165"/><Relationship Type="http://schemas.openxmlformats.org/officeDocument/2006/relationships/hyperlink" Target="Z:\00. Proiecte 2025\AFIR FotoVoltaic 1\50. Fabrica Nuci\nuttechnology.com\Brosuri echipamente\08. Linii complete de procesare\03. Linie industrial&#259; pentru procesarea nucilor (200 kg-h).pdf" TargetMode="External" Id="rId166"/><Relationship Type="http://schemas.openxmlformats.org/officeDocument/2006/relationships/hyperlink" Target="https://nuttechnology.com/ro/produs/linie-automat-industrial-de-procesare-nuci-200-kg-h/" TargetMode="External" Id="rId167"/><Relationship Type="http://schemas.openxmlformats.org/officeDocument/2006/relationships/hyperlink" Target="https://nuttechnology.com/product/automated-industrial-walnut-processing-line-200-kg-h/" TargetMode="External" Id="rId168"/><Relationship Type="http://schemas.openxmlformats.org/officeDocument/2006/relationships/hyperlink" Target="https://nuttechnology.com/wp-content/uploads/AUTOMATED-INDUSTRIAL-WALNUT-PROCESSING-LINE-200-KG_H.pdf" TargetMode="External" Id="rId169"/><Relationship Type="http://schemas.openxmlformats.org/officeDocument/2006/relationships/hyperlink" Target="Z:\00. Proiecte 2025\AFIR FotoVoltaic 1\50. Fabrica Nuci\nuttechnology.com\Brosuri echipamente\08. Linii complete de procesare\04. Linie industrial&#259; automatizat&#259; pentru procesarea nucilor (200 kg-h).pdf" TargetMode="External" Id="rId170"/><Relationship Type="http://schemas.openxmlformats.org/officeDocument/2006/relationships/hyperlink" Target="https://nuttechnology.com/ro/produs/industrial-automated-walnut-processing-line-with-a-capacity-of-up-to-400-kg-h/" TargetMode="External" Id="rId171"/><Relationship Type="http://schemas.openxmlformats.org/officeDocument/2006/relationships/hyperlink" Target="https://nuttechnology.com/product/industrial-automated-walnut-processing-line-with-a-capacity-of-up-to-400-kg-h/" TargetMode="External" Id="rId172"/><Relationship Type="http://schemas.openxmlformats.org/officeDocument/2006/relationships/hyperlink" Target="https://nuttechnology.com/wp-content/uploads/AUTOMATED-INDUSTRIAL-WALNUT-PROCESSING-LINE-400.pdf" TargetMode="External" Id="rId173"/><Relationship Type="http://schemas.openxmlformats.org/officeDocument/2006/relationships/hyperlink" Target="Z:\00. Proiecte 2025\AFIR FotoVoltaic 1\50. Fabrica Nuci\nuttechnology.com\Brosuri echipamente\08. Linii complete de procesare\05. Linie industrial&#259; automatizat&#259; de procesare a nucilor, p&#226;n&#259; la 400 kg-h.pdf" TargetMode="External" Id="rId174"/><Relationship Type="http://schemas.openxmlformats.org/officeDocument/2006/relationships/hyperlink" Target="https://nuttechnology.com/ro/produs/linie-industrial-pentru-procesarea-alunelor-200-kg-h/" TargetMode="External" Id="rId175"/><Relationship Type="http://schemas.openxmlformats.org/officeDocument/2006/relationships/hyperlink" Target="https://nuttechnology.com/product/industrial-line-for-processing-hazelnuts-200-kg-h/" TargetMode="External" Id="rId176"/><Relationship Type="http://schemas.openxmlformats.org/officeDocument/2006/relationships/hyperlink" Target="https://nuttechnology.com/wp-content/uploads/Industrial-line-for-processing-hazelnuts-200-kg-h-1.pdf" TargetMode="External" Id="rId177"/><Relationship Type="http://schemas.openxmlformats.org/officeDocument/2006/relationships/hyperlink" Target="Z:\00. Proiecte 2025\AFIR FotoVoltaic 1\50. Fabrica Nuci\nuttechnology.com\Brosuri echipamente\08. Linii complete de procesare\06. Linie industrial&#259; pentru procesarea alunelor (200 kg-h).pdf" TargetMode="External" Id="rId178"/><Relationship Type="http://schemas.openxmlformats.org/officeDocument/2006/relationships/hyperlink" Target="https://nuttechnology.com/ro/produs/complex-industrial-pentru-procesarea-alunelor-200-kg-h/" TargetMode="External" Id="rId179"/><Relationship Type="http://schemas.openxmlformats.org/officeDocument/2006/relationships/hyperlink" Target="https://nuttechnology.com/product/industrial-complex-for-processing-hazelnuts-200-kg-h/" TargetMode="External" Id="rId180"/><Relationship Type="http://schemas.openxmlformats.org/officeDocument/2006/relationships/hyperlink" Target="https://nuttechnology.com/wp-content/uploads/Industrial-line-for-processing-hazelnuts-200-kg-h.pdf" TargetMode="External" Id="rId181"/><Relationship Type="http://schemas.openxmlformats.org/officeDocument/2006/relationships/hyperlink" Target="Z:\00. Proiecte 2025\AFIR FotoVoltaic 1\50. Fabrica Nuci\nuttechnology.com\Brosuri echipamente\08. Linii complete de procesare\07. Complex industrial pentru procesarea alunelor (200 kg-h).pdf" TargetMode="External" Id="rId182"/><Relationship Type="http://schemas.openxmlformats.org/officeDocument/2006/relationships/hyperlink" Target="https://nuttechnology.com/ro/produs/linie-industrial-pentru-procesarea-migdalelor-200-kg-h/" TargetMode="External" Id="rId183"/><Relationship Type="http://schemas.openxmlformats.org/officeDocument/2006/relationships/hyperlink" Target="https://nuttechnology.com/product/industrial-line-for-processing-almonds-200-kg-h/" TargetMode="External" Id="rId184"/><Relationship Type="http://schemas.openxmlformats.org/officeDocument/2006/relationships/hyperlink" Target="https://nuttechnology.com/wp-content/uploads/Industrial-line-for-processing-almonds-200-kg-h.pdf" TargetMode="External" Id="rId185"/><Relationship Type="http://schemas.openxmlformats.org/officeDocument/2006/relationships/hyperlink" Target="Z:\00. Proiecte 2025\AFIR FotoVoltaic 1\50. Fabrica Nuci\nuttechnology.com\Brosuri echipamente\08. Linii complete de procesare\08. Linie industrial&#259; pentru procesarea migdalelor (200 kg-h).pdf" TargetMode="External" Id="rId186"/><Relationship Type="http://schemas.openxmlformats.org/officeDocument/2006/relationships/hyperlink" Target="https://nuttechnology.com/ro/produs/complex-industrial-pentru-procesarea-migdalelor-200-kg-h-2/" TargetMode="External" Id="rId187"/><Relationship Type="http://schemas.openxmlformats.org/officeDocument/2006/relationships/hyperlink" Target="https://nuttechnology.com/product/industrial-complex-for-processing-almonds-200-kg-h-2/" TargetMode="External" Id="rId188"/><Relationship Type="http://schemas.openxmlformats.org/officeDocument/2006/relationships/hyperlink" Target="https://nuttechnology.com/wp-content/uploads/Industrial-line-for-processing-almonds-200-kg-h.pdf" TargetMode="External" Id="rId189"/><Relationship Type="http://schemas.openxmlformats.org/officeDocument/2006/relationships/hyperlink" Target="Z:\00. Proiecte 2025\AFIR FotoVoltaic 1\50. Fabrica Nuci\nuttechnology.com\Brosuri echipamente\08. Linii complete de procesare\09. Complex industrial pentru procesarea migdalelor (200 kg-h).pdf" TargetMode="External" Id="rId190"/></Relationships>
</file>

<file path=xl/worksheets/_rels/sheet2.xml.rels><Relationships xmlns="http://schemas.openxmlformats.org/package/2006/relationships"><Relationship Type="http://schemas.openxmlformats.org/officeDocument/2006/relationships/hyperlink" Target="Z:\00. Proiecte 2025\AFIR FotoVoltaic 1\50. Fabrica Nuci\nuttechnology.com\Brosuri echipamente\02. Decojire coaja verde si spalare\04. Ma&#537;in&#259; industrial&#259; de decojire &#537;i sp&#259;lare (1 t-h).pdf" TargetMode="External" Id="rId1"/><Relationship Type="http://schemas.openxmlformats.org/officeDocument/2006/relationships/hyperlink" Target="Z:\00. Proiecte 2025\AFIR FotoVoltaic 1\50. Fabrica Nuci\nuttechnology.com\Brosuri echipamente\03. Uscare si incarcare uscator\04. Usc&#259;tor pentru nuci, alune &#537;i migdale &#238;n coaj&#259; (4 tone-zi).pdf" TargetMode="External" Id="rId2"/><Relationship Type="http://schemas.openxmlformats.org/officeDocument/2006/relationships/hyperlink" Target="Z:\00. Proiecte 2025\AFIR FotoVoltaic 1\50. Fabrica Nuci\nuttechnology.com\Brosuri echipamente\03. Uscare si incarcare uscator\06. Conveyor de alimentare pentru usc&#259;tor 4 t-h.pdf" TargetMode="External" Id="rId3"/><Relationship Type="http://schemas.openxmlformats.org/officeDocument/2006/relationships/hyperlink" Target="Z:\00. Proiecte 2025\AFIR FotoVoltaic 1\50. Fabrica Nuci\nuttechnology.com\Brosuri echipamente\04. Calibrare si sortare in coaja\03. Ma&#537;in&#259; de calibrare a nucilor &#238;n 8 frac&#539;ii.pdf" TargetMode="External" Id="rId4"/><Relationship Type="http://schemas.openxmlformats.org/officeDocument/2006/relationships/hyperlink" Target="Z:\00. Proiecte 2025\AFIR FotoVoltaic 1\50. Fabrica Nuci\nuttechnology.com\Brosuri echipamente\04. Calibrare si sortare in coaja\04. Ma&#537;in&#259; pentru sortarea nucilor goale &#238;n coaj&#259;.pdf" TargetMode="External" Id="rId5"/><Relationship Type="http://schemas.openxmlformats.org/officeDocument/2006/relationships/hyperlink" Target="Z:\00. Proiecte 2025\AFIR FotoVoltaic 1\50. Fabrica Nuci\nuttechnology.com\Brosuri echipamente\05. Spargere\04. Ma&#537;in&#259; industrial&#259; de spart nuci cu coloan&#259; de aspira&#539;ie integrat&#259; (200 kg-h).pdf" TargetMode="External" Id="rId6"/><Relationship Type="http://schemas.openxmlformats.org/officeDocument/2006/relationships/hyperlink" Target="Z:\00. Proiecte 2025\AFIR FotoVoltaic 1\50. Fabrica Nuci\nuttechnology.com\Brosuri echipamente\05. Spargere\05. Sp&#259;rg&#259;tor de nuci pentru etapa post-sp&#259;rgere.pdf" TargetMode="External" Id="rId7"/><Relationship Type="http://schemas.openxmlformats.org/officeDocument/2006/relationships/hyperlink" Target="Z:\00. Proiecte 2025\AFIR FotoVoltaic 1\50. Fabrica Nuci\nuttechnology.com\Brosuri echipamente\06. Separare miez si sortare\05. Sit vibratoare cu aspira&#539;ie pentru sortarea nucilor (300 kg-h).pdf" TargetMode="External" Id="rId8"/><Relationship Type="http://schemas.openxmlformats.org/officeDocument/2006/relationships/hyperlink" Target="Z:\00. Proiecte 2025\AFIR FotoVoltaic 1\50. Fabrica Nuci\nuttechnology.com\Brosuri echipamente\06. Separare miez si sortare\02. Ma&#537;in&#259; pentru separarea miezului de coaj&#259; (300 kg-h).pdf" TargetMode="External" Id="rId9"/><Relationship Type="http://schemas.openxmlformats.org/officeDocument/2006/relationships/hyperlink" Target="Z:\00. Proiecte 2025\AFIR FotoVoltaic 1\50. Fabrica Nuci\nuttechnology.com\Brosuri echipamente\07. Sortatoare optice\03. Sortator optic cu band&#259; M600 - imagine (fara brosura).jpg" TargetMode="External" Id="rId10"/><Relationship Type="http://schemas.openxmlformats.org/officeDocument/2006/relationships/hyperlink" Target="Z:\00. Proiecte 2025\AFIR FotoVoltaic 1\50. Fabrica Nuci\nuttechnology.com\Brosuri echipamente\06. Separare miez si sortare\08. Mas&#259; de inspec&#539;ie cu band&#259; pe dou&#259; niveluri.pdf" TargetMode="External" Id="rId11"/><Relationship Type="http://schemas.openxmlformats.org/officeDocument/2006/relationships/hyperlink" Target="Z:\00. Proiecte 2025\AFIR FotoVoltaic 1\50. Fabrica Nuci\nuttechnology.com\Brosuri echipamente\06. Separare miez si sortare\06. Transportor elevatoare pentru nuci.pdf" TargetMode="External" Id="rId12"/></Relationships>
</file>

<file path=xl/worksheets/_rels/sheet4.xml.rels><Relationships xmlns="http://schemas.openxmlformats.org/package/2006/relationships"><Relationship Type="http://schemas.openxmlformats.org/officeDocument/2006/relationships/hyperlink" Target="Z:\00. Proiecte 2025\AFIR FotoVoltaic 1\50. Fabrica Nuci\nuttechnology.com\Brosuri echipamente\02. Decojire coaja verde si spalare\04. Ma&#537;in&#259; industrial&#259; de decojire &#537;i sp&#259;lare (1 t-h).pdf" TargetMode="External" Id="rId1"/><Relationship Type="http://schemas.openxmlformats.org/officeDocument/2006/relationships/hyperlink" Target="Z:\00. Proiecte 2025\AFIR FotoVoltaic 1\50. Fabrica Nuci\nuttechnology.com\Brosuri echipamente\03. Uscare si incarcare uscator\06. Conveyor de alimentare pentru usc&#259;tor 4 t-h.pdf" TargetMode="External" Id="rId2"/><Relationship Type="http://schemas.openxmlformats.org/officeDocument/2006/relationships/hyperlink" Target="Z:\00. Proiecte 2025\AFIR FotoVoltaic 1\50. Fabrica Nuci\nuttechnology.com\Brosuri echipamente\03. Uscare si incarcare uscator\08. Elevator cu &#238;nc&#259;rcare-desc&#259;rcare Noria 4 tone pe or&#259;.pdf" TargetMode="External" Id="rId3"/><Relationship Type="http://schemas.openxmlformats.org/officeDocument/2006/relationships/hyperlink" Target="Z:\00. Proiecte 2025\AFIR FotoVoltaic 1\50. Fabrica Nuci\nuttechnology.com\Brosuri echipamente\03. Uscare si incarcare uscator\04. Usc&#259;tor pentru nuci, alune &#537;i migdale &#238;n coaj&#259; (4 tone-zi).pdf" TargetMode="External" Id="rId4"/><Relationship Type="http://schemas.openxmlformats.org/officeDocument/2006/relationships/hyperlink" Target="Z:\00. Proiecte 2025\AFIR FotoVoltaic 1\50. Fabrica Nuci\nuttechnology.com\Brosuri echipamente\04. Calibrare si sortare in coaja\03. Ma&#537;in&#259; de calibrare a nucilor &#238;n 8 frac&#539;ii.pdf" TargetMode="External" Id="rId5"/><Relationship Type="http://schemas.openxmlformats.org/officeDocument/2006/relationships/hyperlink" Target="Z:\00. Proiecte 2025\AFIR FotoVoltaic 1\50. Fabrica Nuci\nuttechnology.com\Brosuri echipamente\08. Linii complete de procesare\05. Linie industrial&#259; automatizat&#259; de procesare a nucilor, p&#226;n&#259; la 400 kg-h.pdf" TargetMode="External" Id="rId6"/><Relationship Type="http://schemas.openxmlformats.org/officeDocument/2006/relationships/hyperlink" Target="Z:\00. Proiecte 2025\AFIR FotoVoltaic 1\50. Fabrica Nuci\nuttechnology.com\Brosuri echipamente\05. Spargere\04. Ma&#537;in&#259; industrial&#259; de spart nuci cu coloan&#259; de aspira&#539;ie integrat&#259; (200 kg-h).pdf" TargetMode="External" Id="rId7"/><Relationship Type="http://schemas.openxmlformats.org/officeDocument/2006/relationships/hyperlink" Target="Z:\00. Proiecte 2025\AFIR FotoVoltaic 1\50. Fabrica Nuci\nuttechnology.com\Brosuri echipamente\06. Separare miez si sortare\06. Transportor elevatoare pentru nuci.pdf" TargetMode="External" Id="rId8"/><Relationship Type="http://schemas.openxmlformats.org/officeDocument/2006/relationships/hyperlink" Target="Z:\00. Proiecte 2025\AFIR FotoVoltaic 1\50. Fabrica Nuci\nuttechnology.com\Brosuri echipamente\07. Sortatoare optice\03. Sortator optic cu band&#259; M600 - imagine (fara brosura).jpg" TargetMode="External" Id="rId9"/><Relationship Type="http://schemas.openxmlformats.org/officeDocument/2006/relationships/hyperlink" Target="Z:\00. Proiecte 2025\AFIR FotoVoltaic 1\50. Fabrica Nuci\nuttechnology.com\Brosuri echipamente\06. Separare miez si sortare\08. Mas&#259; de inspec&#539;ie cu band&#259; pe dou&#259; niveluri.pdf" TargetMode="External" Id="rId10"/></Relationships>
</file>

<file path=xl/worksheets/_rels/sheet5.xml.rels><Relationships xmlns="http://schemas.openxmlformats.org/package/2006/relationships"><Relationship Type="http://schemas.openxmlformats.org/officeDocument/2006/relationships/hyperlink" Target="https://nuttechnology.com/wp-content/uploads/36.png" TargetMode="External" Id="rId1"/><Relationship Type="http://schemas.openxmlformats.org/officeDocument/2006/relationships/hyperlink" Target="https://nuttechnology.com/wp-content/uploads/AUTOMATED-INDUSTRIAL-WALNUT-PROCESSING-LINE-200-KG_H.pdf" TargetMode="External" Id="rId2"/><Relationship Type="http://schemas.openxmlformats.org/officeDocument/2006/relationships/hyperlink" Target="https://nuttechnology.com/wp-content/uploads/AUTOMATED-INDUSTRIAL-WALNUT-PROCESSING-LINE-400.pdf" TargetMode="External" Id="rId3"/><Relationship Type="http://schemas.openxmlformats.org/officeDocument/2006/relationships/hyperlink" Target="https://nuttechnology.com/wp-content/uploads/Belt-inspection-table_compressed.pdf" TargetMode="External" Id="rId4"/><Relationship Type="http://schemas.openxmlformats.org/officeDocument/2006/relationships/hyperlink" Target="https://nuttechnology.com/wp-content/uploads/DRUM-NUTCRACKER-FOR-HAZELNUTS-AND-ALMONDS_.pdf" TargetMode="External" Id="rId5"/><Relationship Type="http://schemas.openxmlformats.org/officeDocument/2006/relationships/hyperlink" Target="https://nuttechnology.com/wp-content/uploads/DRYER-FOR-INSHELL-WALNUTS-4-tons.pdf" TargetMode="External" Id="rId6"/><Relationship Type="http://schemas.openxmlformats.org/officeDocument/2006/relationships/hyperlink" Target="https://nuttechnology.com/wp-content/uploads/DRYER-FOR-INSHELL-WALNUTS.pdf" TargetMode="External" Id="rId7"/><Relationship Type="http://schemas.openxmlformats.org/officeDocument/2006/relationships/hyperlink" Target="https://nuttechnology.com/wp-content/uploads/Dryer-for-walnuts-hazelnuts-almonds-1-ton_.pdf" TargetMode="External" Id="rId8"/><Relationship Type="http://schemas.openxmlformats.org/officeDocument/2006/relationships/hyperlink" Target="https://nuttechnology.com/wp-content/uploads/FRUIT-TREE-SHAKER_compressed.pdf" TargetMode="External" Id="rId9"/><Relationship Type="http://schemas.openxmlformats.org/officeDocument/2006/relationships/hyperlink" Target="https://nuttechnology.com/wp-content/uploads/Green-walnut-peeling-and-cleaning-100-kg_h.pdf" TargetMode="External" Id="rId10"/><Relationship Type="http://schemas.openxmlformats.org/officeDocument/2006/relationships/hyperlink" Target="https://nuttechnology.com/wp-content/uploads/Green-walnut-peeling-and-cleaning-300-kg_h.pdf" TargetMode="External" Id="rId11"/><Relationship Type="http://schemas.openxmlformats.org/officeDocument/2006/relationships/hyperlink" Target="https://nuttechnology.com/wp-content/uploads/Green-walnut-peeling-and-cleaning-700-kg_h.pdf" TargetMode="External" Id="rId12"/><Relationship Type="http://schemas.openxmlformats.org/officeDocument/2006/relationships/hyperlink" Target="https://nuttechnology.com/wp-content/uploads/HAZELNUT-CALIBRATING-MACHINE-8-fractions.pdf" TargetMode="External" Id="rId13"/><Relationship Type="http://schemas.openxmlformats.org/officeDocument/2006/relationships/hyperlink" Target="https://nuttechnology.com/wp-content/uploads/Hazelnut-Calibrating-Machine.pdf" TargetMode="External" Id="rId14"/><Relationship Type="http://schemas.openxmlformats.org/officeDocument/2006/relationships/hyperlink" Target="https://nuttechnology.com/wp-content/uploads/Hazelnut-green-husk-remover-machine_.pdf" TargetMode="External" Id="rId15"/><Relationship Type="http://schemas.openxmlformats.org/officeDocument/2006/relationships/hyperlink" Target="https://nuttechnology.com/wp-content/uploads/INDUSTRIAL-WALNUT-NUTCRACKER-WITH-BUILT-IN-ASPIRATION-COLUMN-200-KG_H_compressed.pdf" TargetMode="External" Id="rId16"/><Relationship Type="http://schemas.openxmlformats.org/officeDocument/2006/relationships/hyperlink" Target="https://nuttechnology.com/wp-content/uploads/Industrial-line-for-processing-almonds-200-kg-h.pdf" TargetMode="External" Id="rId17"/><Relationship Type="http://schemas.openxmlformats.org/officeDocument/2006/relationships/hyperlink" Target="https://nuttechnology.com/wp-content/uploads/Industrial-line-for-processing-hazelnuts-200-kg-h-1.pdf" TargetMode="External" Id="rId18"/><Relationship Type="http://schemas.openxmlformats.org/officeDocument/2006/relationships/hyperlink" Target="https://nuttechnology.com/wp-content/uploads/Industrial-line-for-processing-hazelnuts-200-kg-h.pdf" TargetMode="External" Id="rId19"/><Relationship Type="http://schemas.openxmlformats.org/officeDocument/2006/relationships/hyperlink" Target="https://nuttechnology.com/wp-content/uploads/Industrial-line-for-processing-walnuts-100-kg-h.pdf" TargetMode="External" Id="rId20"/><Relationship Type="http://schemas.openxmlformats.org/officeDocument/2006/relationships/hyperlink" Target="https://nuttechnology.com/wp-content/uploads/Industrial-line-for-processing-walnuts-200-kg_h.pdf" TargetMode="External" Id="rId21"/><Relationship Type="http://schemas.openxmlformats.org/officeDocument/2006/relationships/hyperlink" Target="https://nuttechnology.com/wp-content/uploads/Industrial-peeling-and-washing-machine-1-th.pdf" TargetMode="External" Id="rId22"/><Relationship Type="http://schemas.openxmlformats.org/officeDocument/2006/relationships/hyperlink" Target="https://nuttechnology.com/wp-content/uploads/Lifting-conveyor-for-walnut.pdf" TargetMode="External" Id="rId23"/><Relationship Type="http://schemas.openxmlformats.org/officeDocument/2006/relationships/hyperlink" Target="https://nuttechnology.com/wp-content/uploads/Line-calibrator-for-all-sorts-of-nuts.pdf" TargetMode="External" Id="rId24"/><Relationship Type="http://schemas.openxmlformats.org/officeDocument/2006/relationships/hyperlink" Target="https://nuttechnology.com/wp-content/uploads/Loading-conveyor.pdf" TargetMode="External" Id="rId25"/><Relationship Type="http://schemas.openxmlformats.org/officeDocument/2006/relationships/hyperlink" Target="https://nuttechnology.com/wp-content/uploads/MACHINE-FOR-SORTING-EMPTY-WALNUT-IN-SHELL.pdf" TargetMode="External" Id="rId26"/><Relationship Type="http://schemas.openxmlformats.org/officeDocument/2006/relationships/hyperlink" Target="https://nuttechnology.com/wp-content/uploads/Machine-for-separating-kernel-from-the-shell-100-kg_h.pdf" TargetMode="External" Id="rId27"/><Relationship Type="http://schemas.openxmlformats.org/officeDocument/2006/relationships/hyperlink" Target="https://nuttechnology.com/wp-content/uploads/Machine-for-separating-kernel-from-the-shell-300-kg_h.pdf" TargetMode="External" Id="rId28"/><Relationship Type="http://schemas.openxmlformats.org/officeDocument/2006/relationships/hyperlink" Target="https://nuttechnology.com/wp-content/uploads/Two-level-belt-inspection-table.pdf" TargetMode="External" Id="rId29"/><Relationship Type="http://schemas.openxmlformats.org/officeDocument/2006/relationships/hyperlink" Target="https://nuttechnology.com/wp-content/uploads/Vibrating-sieve-with-aspiration-for-sorting-walnut-kernels-200-kg-h.pdf" TargetMode="External" Id="rId30"/><Relationship Type="http://schemas.openxmlformats.org/officeDocument/2006/relationships/hyperlink" Target="https://nuttechnology.com/wp-content/uploads/Vibrating-sieve-with-aspiration-for-sorting-walnut-kernels-300-kg_h.pdf" TargetMode="External" Id="rId31"/><Relationship Type="http://schemas.openxmlformats.org/officeDocument/2006/relationships/hyperlink" Target="https://nuttechnology.com/wp-content/uploads/WALNUT-CALIBRATING-MACHINE-4-fractions.pdf" TargetMode="External" Id="rId32"/><Relationship Type="http://schemas.openxmlformats.org/officeDocument/2006/relationships/hyperlink" Target="https://nuttechnology.com/wp-content/uploads/WALNUT-CALIBRATING-MACHINE-8-fractions.pdf" TargetMode="External" Id="rId33"/><Relationship Type="http://schemas.openxmlformats.org/officeDocument/2006/relationships/hyperlink" Target="https://nuttechnology.com/wp-content/uploads/Walnut-breaker-after-cracking-machine_.pdf" TargetMode="External" Id="rId34"/><Relationship Type="http://schemas.openxmlformats.org/officeDocument/2006/relationships/hyperlink" Target="https://nuttechnology.com/wp-content/uploads/Walnut-cleaning-and-drying-line.pdf" TargetMode="External" Id="rId35"/><Relationship Type="http://schemas.openxmlformats.org/officeDocument/2006/relationships/hyperlink" Target="https://nuttechnology.com/wp-content/uploads/Walnut-cracking-machine-100-kg_h.pdf" TargetMode="External" Id="rId36"/><Relationship Type="http://schemas.openxmlformats.org/officeDocument/2006/relationships/hyperlink" Target="https://nuttechnology.com/wp-content/uploads/Walnut-cracking-machine-200-kg_h.pdf" TargetMode="External" Id="rId37"/><Relationship Type="http://schemas.openxmlformats.org/officeDocument/2006/relationships/hyperlink" Target="https://nuttechnology.com/wp-content/uploads/Walnut-cracking-machine-50-kg_h.pdf" TargetMode="External" Id="rId38"/><Relationship Type="http://schemas.openxmlformats.org/officeDocument/2006/relationships/hyperlink" Target="https://nuttechnology.com/wp-content/uploads/Walnut-kernel-separating-machine-200-kg_h.pdf" TargetMode="External" Id="rId39"/><Relationship Type="http://schemas.openxmlformats.org/officeDocument/2006/relationships/hyperlink" Target="https://nuttechnology.com/wp-content/uploads/m300.jpg" TargetMode="External" Id="rId40"/></Relationships>
</file>

<file path=xl/worksheets/sheet1.xml><?xml version="1.0" encoding="utf-8"?>
<worksheet xmlns="http://schemas.openxmlformats.org/spreadsheetml/2006/main">
  <sheetPr>
    <outlinePr summaryBelow="1" summaryRight="1"/>
    <pageSetUpPr/>
  </sheetPr>
  <dimension ref="A1:T52"/>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40" customWidth="1" min="3" max="3"/>
    <col width="40" customWidth="1" min="4" max="4"/>
    <col width="18" customWidth="1" min="5" max="5"/>
    <col width="12" customWidth="1" min="6" max="6"/>
    <col width="17" customWidth="1" min="7" max="7"/>
    <col width="12" customWidth="1" min="8" max="8"/>
    <col width="11" customWidth="1" min="9" max="9"/>
    <col width="11" customWidth="1" min="10" max="10"/>
    <col width="11" customWidth="1" min="11" max="11"/>
    <col width="12" customWidth="1" min="12" max="12"/>
    <col width="11" customWidth="1" min="13" max="13"/>
    <col width="22" customWidth="1" min="14" max="14"/>
    <col width="70" customWidth="1" min="15" max="15"/>
    <col width="40" customWidth="1" min="16" max="16"/>
    <col width="40" customWidth="1" min="17" max="17"/>
    <col width="40" customWidth="1" min="18" max="18"/>
    <col width="50" customWidth="1" min="19" max="19"/>
    <col width="50" customWidth="1" min="20" max="20"/>
  </cols>
  <sheetData>
    <row r="1">
      <c r="A1" s="1" t="inlineStr">
        <is>
          <t>Nut Technology (Ucraina) – echipamente procesare nuci, alune, migdale – broșuri, capacități și caracteristici (sursa: nuttechnology.com/brochure-download, extras 28.09.2026)</t>
        </is>
      </c>
    </row>
    <row r="2">
      <c r="A2" s="2" t="inlineStr">
        <is>
          <t>Producție kg/zi și t/an se calculează automat din parametrii din foaia „Linie ideala” (ore/zi, zile/an). Uscătoarele lucrează în șarje de 24h; utilajele de sezon (decojire/uscare) folosesc zilele de sezon.</t>
        </is>
      </c>
    </row>
    <row r="4">
      <c r="A4" s="3" t="inlineStr">
        <is>
          <t>Nr.</t>
        </is>
      </c>
      <c r="B4" s="3" t="inlineStr">
        <is>
          <t>Etapa proces</t>
        </is>
      </c>
      <c r="C4" s="3" t="inlineStr">
        <is>
          <t>Denumire echipament (RO)</t>
        </is>
      </c>
      <c r="D4" s="3" t="inlineStr">
        <is>
          <t>Denumire originală (EN)</t>
        </is>
      </c>
      <c r="E4" s="3" t="inlineStr">
        <is>
          <t>Capacitate (declarată pe site)</t>
        </is>
      </c>
      <c r="F4" s="3" t="inlineStr">
        <is>
          <t>Capacitate kg/h (calcul)</t>
        </is>
      </c>
      <c r="G4" s="3" t="inlineStr">
        <is>
          <t>Regim funcționare</t>
        </is>
      </c>
      <c r="H4" s="3" t="inlineStr">
        <is>
          <t>Producție kg/zi</t>
        </is>
      </c>
      <c r="I4" s="3" t="inlineStr">
        <is>
          <t>Producție t/an</t>
        </is>
      </c>
      <c r="J4" s="3" t="inlineStr">
        <is>
          <t>% miez întreg</t>
        </is>
      </c>
      <c r="K4" s="3" t="inlineStr">
        <is>
          <t>Putere motor</t>
        </is>
      </c>
      <c r="L4" s="3" t="inlineStr">
        <is>
          <t>Tensiune</t>
        </is>
      </c>
      <c r="M4" s="3" t="inlineStr">
        <is>
          <t>Material</t>
        </is>
      </c>
      <c r="N4" s="3" t="inlineStr">
        <is>
          <t>Potrivit pentru</t>
        </is>
      </c>
      <c r="O4" s="3" t="inlineStr">
        <is>
          <t>Descriere (site producător)</t>
        </is>
      </c>
      <c r="P4" s="3" t="inlineStr">
        <is>
          <t>Pagina produs (RO)</t>
        </is>
      </c>
      <c r="Q4" s="3" t="inlineStr">
        <is>
          <t>Pagina produs (EN)</t>
        </is>
      </c>
      <c r="R4" s="3" t="inlineStr">
        <is>
          <t>Link broșură pe site</t>
        </is>
      </c>
      <c r="S4" s="3" t="inlineStr">
        <is>
          <t>Fișier salvat local</t>
        </is>
      </c>
      <c r="T4" s="3" t="inlineStr">
        <is>
          <t>Observații</t>
        </is>
      </c>
    </row>
    <row r="5">
      <c r="A5" s="4" t="n">
        <v>1</v>
      </c>
      <c r="B5" s="4" t="inlineStr">
        <is>
          <t>Recoltare</t>
        </is>
      </c>
      <c r="C5" s="4" t="inlineStr">
        <is>
          <t>Scuturător pentru pomi fructiferi</t>
        </is>
      </c>
      <c r="D5" s="4" t="inlineStr">
        <is>
          <t>Fruit tree shaker</t>
        </is>
      </c>
      <c r="E5" s="5" t="inlineStr"/>
      <c r="F5" s="6" t="inlineStr"/>
      <c r="G5" s="5" t="inlineStr">
        <is>
          <t>—</t>
        </is>
      </c>
      <c r="H5" s="7" t="inlineStr"/>
      <c r="I5" s="8" t="inlineStr"/>
      <c r="J5" s="4" t="inlineStr"/>
      <c r="K5" s="4" t="inlineStr"/>
      <c r="L5" s="4" t="inlineStr"/>
      <c r="M5" s="4" t="inlineStr">
        <is>
          <t>oțel</t>
        </is>
      </c>
      <c r="N5" s="4" t="inlineStr">
        <is>
          <t>nuci, alune, migdale, mere, pruni și alți pomi fructiferi</t>
        </is>
      </c>
      <c r="O5" s="4" t="inlineStr">
        <is>
          <t>Scuturătorul pentru pomi fructiferi este un echipament special pentru scuturarea rapidă a fructelor coapte din copaci. Acesta facilitează procesul de recoltare de la orice tip de pomi, economisește energie, reduce semnificativ timpul necesar pentru efectuarea acestei lucrări dificile și previne ruperea ramurilor.</t>
        </is>
      </c>
      <c r="P5" s="9" t="inlineStr">
        <is>
          <t>https://nuttechnology.com/ro/produs/agitator-de-pomi-fructiferi/</t>
        </is>
      </c>
      <c r="Q5" s="9" t="inlineStr">
        <is>
          <t>https://nuttechnology.com/product/fruit-tree-shaker/</t>
        </is>
      </c>
      <c r="R5" s="9" t="inlineStr">
        <is>
          <t>https://nuttechnology.com/wp-content/uploads/FRUIT-TREE-SHAKER_compressed.pdf</t>
        </is>
      </c>
      <c r="S5" s="9" t="inlineStr">
        <is>
          <t>Z:\00. Proiecte 2025\AFIR FotoVoltaic 1\50. Fabrica Nuci\nuttechnology.com\Brosuri echipamente\01. Recoltare\01. Scuturător pentru pomi fructiferi.pdf</t>
        </is>
      </c>
      <c r="T5" s="4" t="inlineStr"/>
    </row>
    <row r="6">
      <c r="A6" s="10" t="n">
        <v>2</v>
      </c>
      <c r="B6" s="10" t="inlineStr">
        <is>
          <t>Decojire coaja verde si spalare</t>
        </is>
      </c>
      <c r="C6" s="10" t="inlineStr">
        <is>
          <t>Mașină de decojire și curățare a nucilor verzi 100 kg/h</t>
        </is>
      </c>
      <c r="D6" s="10" t="inlineStr">
        <is>
          <t>Green walnut peeling and cleaning machine 100 kg/h</t>
        </is>
      </c>
      <c r="E6" s="5" t="inlineStr">
        <is>
          <t>până la 100 kg/h</t>
        </is>
      </c>
      <c r="F6" s="6" t="n">
        <v>100</v>
      </c>
      <c r="G6" s="5" t="inlineStr">
        <is>
          <t>continuu – sezon</t>
        </is>
      </c>
      <c r="H6" s="7">
        <f>F6*'Linie ideala'!$C$6</f>
        <v/>
      </c>
      <c r="I6" s="8">
        <f>H6*'Linie ideala'!$C$8/1000</f>
        <v/>
      </c>
      <c r="J6" s="10" t="inlineStr"/>
      <c r="K6" s="10" t="inlineStr">
        <is>
          <t>0.75 kW</t>
        </is>
      </c>
      <c r="L6" s="10" t="inlineStr">
        <is>
          <t>220 V</t>
        </is>
      </c>
      <c r="M6" s="10" t="inlineStr">
        <is>
          <t>oțel</t>
        </is>
      </c>
      <c r="N6" s="10" t="inlineStr">
        <is>
          <t>nuci, alune, migdale</t>
        </is>
      </c>
      <c r="O6" s="10" t="inlineStr">
        <is>
          <t>Mașina de decojire și curățare a nucilor verzi 100 kg/h este un echipament pentru decojirea de înaltă calitate a nucilor de pericarpul verde. Aceasta îndepărtează cu ușurință coaja verde de pe nucile tinere și coapte, lăsând coaja intactă.</t>
        </is>
      </c>
      <c r="P6" s="11" t="inlineStr">
        <is>
          <t>https://nuttechnology.com/ro/produs/ma-in-de-cur-at-i-decojit-nuci-verzi-100-kg-h/</t>
        </is>
      </c>
      <c r="Q6" s="11" t="inlineStr">
        <is>
          <t>https://nuttechnology.com/product/green-walnut-peeling-and-cleaning-machine-100-kg-h/</t>
        </is>
      </c>
      <c r="R6" s="11" t="inlineStr">
        <is>
          <t>https://nuttechnology.com/wp-content/uploads/Green-walnut-peeling-and-cleaning-100-kg_h.pdf</t>
        </is>
      </c>
      <c r="S6" s="11" t="inlineStr">
        <is>
          <t>Z:\00. Proiecte 2025\AFIR FotoVoltaic 1\50. Fabrica Nuci\nuttechnology.com\Brosuri echipamente\02. Decojire coaja verde si spalare\01. Mașină de decojire și curățare a nucilor verzi 100 kg-h.pdf</t>
        </is>
      </c>
      <c r="T6" s="10" t="inlineStr"/>
    </row>
    <row r="7">
      <c r="A7" s="10" t="n">
        <v>3</v>
      </c>
      <c r="B7" s="10" t="inlineStr">
        <is>
          <t>Decojire coaja verde si spalare</t>
        </is>
      </c>
      <c r="C7" s="10" t="inlineStr">
        <is>
          <t>Mașină pentru decojirea și curățarea nucilor verzi 300 kg/h</t>
        </is>
      </c>
      <c r="D7" s="10" t="inlineStr">
        <is>
          <t>Green walnut peeling and cleaning machine 300 kg/h</t>
        </is>
      </c>
      <c r="E7" s="5" t="inlineStr">
        <is>
          <t>până la 300 kg/h</t>
        </is>
      </c>
      <c r="F7" s="6" t="n">
        <v>300</v>
      </c>
      <c r="G7" s="5" t="inlineStr">
        <is>
          <t>continuu – sezon</t>
        </is>
      </c>
      <c r="H7" s="7">
        <f>F7*'Linie ideala'!$C$6</f>
        <v/>
      </c>
      <c r="I7" s="8">
        <f>H7*'Linie ideala'!$C$8/1000</f>
        <v/>
      </c>
      <c r="J7" s="10" t="inlineStr"/>
      <c r="K7" s="10" t="inlineStr">
        <is>
          <t>1.1 kW</t>
        </is>
      </c>
      <c r="L7" s="10" t="inlineStr">
        <is>
          <t>220 V</t>
        </is>
      </c>
      <c r="M7" s="10" t="inlineStr">
        <is>
          <t>oțel</t>
        </is>
      </c>
      <c r="N7" s="10" t="inlineStr">
        <is>
          <t>nuci, alune, migdale</t>
        </is>
      </c>
      <c r="O7" s="10" t="inlineStr">
        <is>
          <t>Mașina de decojire a nucilor verzi este un utilaj special pentru curățarea nucilor de pericarpul verde. Aceasta îndepărtează coaja verde atât de pe nucile tinere abia coapte, cât și de pe cele a căror coajă s-a desprins deja. Datorită mașinii de decojire, coaja nucilor rămâne intactă, fără ciobituri sau deteriorări, fiind pregătită pentru o procesare ulterioară de înaltă calitate.</t>
        </is>
      </c>
      <c r="P7" s="11" t="inlineStr">
        <is>
          <t>https://nuttechnology.com/ro/produs/ma-in-de-cur-at-i-decojit-nuci-verzi-300-kg-h/</t>
        </is>
      </c>
      <c r="Q7" s="11" t="inlineStr">
        <is>
          <t>https://nuttechnology.com/product/green-walnut-peeling-and-cleaning-machine-300-kg-h/</t>
        </is>
      </c>
      <c r="R7" s="11" t="inlineStr">
        <is>
          <t>https://nuttechnology.com/wp-content/uploads/Green-walnut-peeling-and-cleaning-300-kg_h.pdf</t>
        </is>
      </c>
      <c r="S7" s="11" t="inlineStr">
        <is>
          <t>Z:\00. Proiecte 2025\AFIR FotoVoltaic 1\50. Fabrica Nuci\nuttechnology.com\Brosuri echipamente\02. Decojire coaja verde si spalare\02. Mașină pentru decojirea și curățarea nucilor verzi 300 kg-h.pdf</t>
        </is>
      </c>
      <c r="T7" s="10" t="inlineStr"/>
    </row>
    <row r="8">
      <c r="A8" s="10" t="n">
        <v>4</v>
      </c>
      <c r="B8" s="10" t="inlineStr">
        <is>
          <t>Decojire coaja verde si spalare</t>
        </is>
      </c>
      <c r="C8" s="10" t="inlineStr">
        <is>
          <t>Mașină de decojire și curățare a nucilor verzi 700 kg/h</t>
        </is>
      </c>
      <c r="D8" s="10" t="inlineStr">
        <is>
          <t>Green walnut peeling and cleaning machine 700 kg/h</t>
        </is>
      </c>
      <c r="E8" s="5" t="inlineStr">
        <is>
          <t>până la 700 kg/h</t>
        </is>
      </c>
      <c r="F8" s="6" t="n">
        <v>700</v>
      </c>
      <c r="G8" s="5" t="inlineStr">
        <is>
          <t>continuu – sezon</t>
        </is>
      </c>
      <c r="H8" s="7">
        <f>F8*'Linie ideala'!$C$6</f>
        <v/>
      </c>
      <c r="I8" s="8">
        <f>H8*'Linie ideala'!$C$8/1000</f>
        <v/>
      </c>
      <c r="J8" s="10" t="inlineStr"/>
      <c r="K8" s="10" t="inlineStr">
        <is>
          <t>2.2 kW</t>
        </is>
      </c>
      <c r="L8" s="10" t="inlineStr">
        <is>
          <t>220 V</t>
        </is>
      </c>
      <c r="M8" s="10" t="inlineStr">
        <is>
          <t>oțel</t>
        </is>
      </c>
      <c r="N8" s="10" t="inlineStr">
        <is>
          <t>nuci, alune, migdale</t>
        </is>
      </c>
      <c r="O8" s="10" t="inlineStr">
        <is>
          <t>Echipamentul este utilizat în livezi industriale. Datorită formei conice a buncărului și dinților ascuțiți din oțel, utilajul curăță rapid volume mari de nuci (până la 700 kg pe oră) de pericarpul verde.</t>
        </is>
      </c>
      <c r="P8" s="11" t="inlineStr">
        <is>
          <t>https://nuttechnology.com/ro/produs/ma-in-de-cur-at-i-decojit-nuci-verzi-700-kg-h/</t>
        </is>
      </c>
      <c r="Q8" s="11" t="inlineStr">
        <is>
          <t>https://nuttechnology.com/product/green-walnut-peeling-and-cleaning-machine-700-kg-h/</t>
        </is>
      </c>
      <c r="R8" s="11" t="inlineStr">
        <is>
          <t>https://nuttechnology.com/wp-content/uploads/Green-walnut-peeling-and-cleaning-700-kg_h.pdf</t>
        </is>
      </c>
      <c r="S8" s="11" t="inlineStr">
        <is>
          <t>Z:\00. Proiecte 2025\AFIR FotoVoltaic 1\50. Fabrica Nuci\nuttechnology.com\Brosuri echipamente\02. Decojire coaja verde si spalare\03. Mașină de decojire și curățare a nucilor verzi 700 kg-h.pdf</t>
        </is>
      </c>
      <c r="T8" s="10" t="inlineStr"/>
    </row>
    <row r="9">
      <c r="A9" s="10" t="n">
        <v>5</v>
      </c>
      <c r="B9" s="10" t="inlineStr">
        <is>
          <t>Decojire coaja verde si spalare</t>
        </is>
      </c>
      <c r="C9" s="10" t="inlineStr">
        <is>
          <t>Mașină industrială de decojire și spălare (1 t/h)</t>
        </is>
      </c>
      <c r="D9" s="10" t="inlineStr">
        <is>
          <t>Industrial peeling and washing machine (1 t/h)</t>
        </is>
      </c>
      <c r="E9" s="5" t="inlineStr">
        <is>
          <t>până la 1 t/h</t>
        </is>
      </c>
      <c r="F9" s="6" t="n">
        <v>1000</v>
      </c>
      <c r="G9" s="5" t="inlineStr">
        <is>
          <t>continuu – sezon</t>
        </is>
      </c>
      <c r="H9" s="7">
        <f>F9*'Linie ideala'!$C$6</f>
        <v/>
      </c>
      <c r="I9" s="8">
        <f>H9*'Linie ideala'!$C$8/1000</f>
        <v/>
      </c>
      <c r="J9" s="10" t="inlineStr"/>
      <c r="K9" s="10" t="inlineStr">
        <is>
          <t>3.7 kW</t>
        </is>
      </c>
      <c r="L9" s="10" t="inlineStr">
        <is>
          <t>220 V</t>
        </is>
      </c>
      <c r="M9" s="10" t="inlineStr">
        <is>
          <t>oțel</t>
        </is>
      </c>
      <c r="N9" s="10" t="inlineStr">
        <is>
          <t>nuci, alune, migdale</t>
        </is>
      </c>
      <c r="O9" s="10" t="inlineStr">
        <is>
          <t>Spălătorul industrial cu tambur pentru decojirea și spălarea nucilor de pericarpul verde este cel mai rapid și versatil dintre echipamentele noastre de decojire. Îndepărtează coaja verde de pe nucile tinere, proaspăt coapte, precum și de pe nucile la care pericarpul se desprinde singur. După spălare, coaja nucii rămâne intactă, iar nucile sunt trimise la uscare.</t>
        </is>
      </c>
      <c r="P9" s="11" t="inlineStr">
        <is>
          <t>https://nuttechnology.com/ro/produs/ma-in-industrial-de-cur-are-i-sp-lare-1-t-h/</t>
        </is>
      </c>
      <c r="Q9" s="11" t="inlineStr">
        <is>
          <t>https://nuttechnology.com/product/industrial-peeling-and-washing-machine-1-t-h/</t>
        </is>
      </c>
      <c r="R9" s="11" t="inlineStr">
        <is>
          <t>https://nuttechnology.com/wp-content/uploads/Industrial-peeling-and-washing-machine-1-th.pdf</t>
        </is>
      </c>
      <c r="S9" s="11" t="inlineStr">
        <is>
          <t>Z:\00. Proiecte 2025\AFIR FotoVoltaic 1\50. Fabrica Nuci\nuttechnology.com\Brosuri echipamente\02. Decojire coaja verde si spalare\04. Mașină industrială de decojire și spălare (1 t-h).pdf</t>
        </is>
      </c>
      <c r="T9" s="10" t="inlineStr"/>
    </row>
    <row r="10">
      <c r="A10" s="10" t="n">
        <v>6</v>
      </c>
      <c r="B10" s="10" t="inlineStr">
        <is>
          <t>Decojire coaja verde si spalare</t>
        </is>
      </c>
      <c r="C10" s="10" t="inlineStr">
        <is>
          <t>Mașină pentru îndepărtarea cojii verzi a alunelor</t>
        </is>
      </c>
      <c r="D10" s="10" t="inlineStr">
        <is>
          <t>Hazelnut green husk remover machine</t>
        </is>
      </c>
      <c r="E10" s="5" t="inlineStr">
        <is>
          <t>până la 300 kg/h</t>
        </is>
      </c>
      <c r="F10" s="6" t="n">
        <v>300</v>
      </c>
      <c r="G10" s="5" t="inlineStr">
        <is>
          <t>continuu – sezon</t>
        </is>
      </c>
      <c r="H10" s="7">
        <f>F10*'Linie ideala'!$C$6</f>
        <v/>
      </c>
      <c r="I10" s="8">
        <f>H10*'Linie ideala'!$C$8/1000</f>
        <v/>
      </c>
      <c r="J10" s="10" t="inlineStr"/>
      <c r="K10" s="10" t="inlineStr">
        <is>
          <t>2.2 kW</t>
        </is>
      </c>
      <c r="L10" s="10" t="inlineStr">
        <is>
          <t>220 V</t>
        </is>
      </c>
      <c r="M10" s="10" t="inlineStr">
        <is>
          <t>oțel</t>
        </is>
      </c>
      <c r="N10" s="10" t="inlineStr">
        <is>
          <t>nuci, alune, migdale</t>
        </is>
      </c>
      <c r="O10" s="10" t="inlineStr">
        <is>
          <t>Echipamentele optimizează procesarea alunelor și asigură pregătirea acestora pentru diverse utilizări, cum ar fi vânzarea sau prelucrarea ulterioară.</t>
        </is>
      </c>
      <c r="P10" s="11" t="inlineStr">
        <is>
          <t>https://nuttechnology.com/ro/produs/ma-in-de-cur-at-coaja-verde-de-alune/</t>
        </is>
      </c>
      <c r="Q10" s="11" t="inlineStr">
        <is>
          <t>https://nuttechnology.com/product/hazelnut-green-husk-remover-machine/</t>
        </is>
      </c>
      <c r="R10" s="11" t="inlineStr">
        <is>
          <t>https://nuttechnology.com/wp-content/uploads/Hazelnut-green-husk-remover-machine_.pdf</t>
        </is>
      </c>
      <c r="S10" s="11" t="inlineStr">
        <is>
          <t>Z:\00. Proiecte 2025\AFIR FotoVoltaic 1\50. Fabrica Nuci\nuttechnology.com\Brosuri echipamente\02. Decojire coaja verde si spalare\05. Mașină pentru îndepărtarea cojii verzi a alunelor.pdf</t>
        </is>
      </c>
      <c r="T10" s="10" t="inlineStr"/>
    </row>
    <row r="11">
      <c r="A11" s="4" t="n">
        <v>7</v>
      </c>
      <c r="B11" s="4" t="inlineStr">
        <is>
          <t>Uscare si incarcare uscator</t>
        </is>
      </c>
      <c r="C11" s="4" t="inlineStr">
        <is>
          <t>Uscător pentru nuci, alune și migdale în coajă (până la 1 tonă/24 ore)</t>
        </is>
      </c>
      <c r="D11" s="4" t="inlineStr">
        <is>
          <t>Dryer for inshell walnuts, hazelnuts, almonds (up to 1 ton/24 hours)</t>
        </is>
      </c>
      <c r="E11" s="5" t="inlineStr">
        <is>
          <t>până la 1 t/zi</t>
        </is>
      </c>
      <c r="F11" s="6" t="n">
        <v>41.7</v>
      </c>
      <c r="G11" s="5" t="inlineStr">
        <is>
          <t>șarjă 24h – sezon</t>
        </is>
      </c>
      <c r="H11" s="7">
        <f>F11*24</f>
        <v/>
      </c>
      <c r="I11" s="8">
        <f>H11*'Linie ideala'!$C$8/1000</f>
        <v/>
      </c>
      <c r="J11" s="4" t="inlineStr"/>
      <c r="K11" s="4" t="inlineStr">
        <is>
          <t>12 kW</t>
        </is>
      </c>
      <c r="L11" s="4" t="inlineStr">
        <is>
          <t>380 V</t>
        </is>
      </c>
      <c r="M11" s="4" t="inlineStr">
        <is>
          <t>oțel</t>
        </is>
      </c>
      <c r="N11" s="4" t="inlineStr">
        <is>
          <t>nuci, alune, migdale</t>
        </is>
      </c>
      <c r="O11" s="4" t="inlineStr">
        <is>
          <t>Uscătorul este un echipament indispensabil pentru proprietarii de livezi industriale, întreprinderi de achiziții și unități de procesare. Acesta este utilizat pentru uscarea nucilor, alunelor, migdalelor și a altor tipuri de nuci.</t>
        </is>
      </c>
      <c r="P11" s="9" t="inlineStr">
        <is>
          <t>https://nuttechnology.com/ro/produs/usc-tor-pentru-nuci-nep-jite-alune-migdale-capacitate-p-n-la-1-ton-24-ore/</t>
        </is>
      </c>
      <c r="Q11" s="9" t="inlineStr">
        <is>
          <t>https://nuttechnology.com/product/dryer-for-inshell-walnuts-hazelnuts-almonds-up-to-1-ton-24-hours/</t>
        </is>
      </c>
      <c r="R11" s="9" t="inlineStr">
        <is>
          <t>https://nuttechnology.com/wp-content/uploads/Dryer-for-walnuts-hazelnuts-almonds-1-ton_.pdf</t>
        </is>
      </c>
      <c r="S11" s="9" t="inlineStr">
        <is>
          <t>Z:\00. Proiecte 2025\AFIR FotoVoltaic 1\50. Fabrica Nuci\nuttechnology.com\Brosuri echipamente\03. Uscare si incarcare uscator\01. Uscător pentru nuci, alune și migdale în coajă (până la 1 tonă-24 ore).pdf</t>
        </is>
      </c>
      <c r="T11" s="4" t="inlineStr"/>
    </row>
    <row r="12">
      <c r="A12" s="4" t="n">
        <v>8</v>
      </c>
      <c r="B12" s="4" t="inlineStr">
        <is>
          <t>Uscare si incarcare uscator</t>
        </is>
      </c>
      <c r="C12" s="4" t="inlineStr">
        <is>
          <t>Uscător pentru nuci, alune și migdale în coajă (până la 2 tone/24 ore)</t>
        </is>
      </c>
      <c r="D12" s="4" t="inlineStr">
        <is>
          <t>Dryer for inshell walnuts, hazelnuts, almonds (up to 2 ton/24 hours)</t>
        </is>
      </c>
      <c r="E12" s="5" t="inlineStr">
        <is>
          <t>până la 2 t/24h (titlu); site: 1 t/zi</t>
        </is>
      </c>
      <c r="F12" s="6" t="n">
        <v>83.3</v>
      </c>
      <c r="G12" s="5" t="inlineStr">
        <is>
          <t>șarjă 24h – sezon</t>
        </is>
      </c>
      <c r="H12" s="7">
        <f>F12*24</f>
        <v/>
      </c>
      <c r="I12" s="8">
        <f>H12*'Linie ideala'!$C$8/1000</f>
        <v/>
      </c>
      <c r="J12" s="4" t="inlineStr"/>
      <c r="K12" s="4" t="inlineStr">
        <is>
          <t>12 kW</t>
        </is>
      </c>
      <c r="L12" s="4" t="inlineStr">
        <is>
          <t>380 V</t>
        </is>
      </c>
      <c r="M12" s="4" t="inlineStr">
        <is>
          <t>oțel</t>
        </is>
      </c>
      <c r="N12" s="4" t="inlineStr">
        <is>
          <t>nuci, alune, migdale</t>
        </is>
      </c>
      <c r="O12" s="4" t="inlineStr">
        <is>
          <t>Uscătorul este un echipament indispensabil pentru proprietarii de livezi industriale, întreprinderi de achiziții și unități de procesare. Acesta este utilizat pentru uscarea nucilor, alunelor, migdalelor și a altor tipuri de nuci.</t>
        </is>
      </c>
      <c r="P12" s="9" t="inlineStr">
        <is>
          <t>https://nuttechnology.com/ro/produs/usc-tor-pentru-nuci-decojite-alune-migdale-capacitate-p-n-la-2-tone-pe-24-de-ore/</t>
        </is>
      </c>
      <c r="Q12" s="9" t="inlineStr">
        <is>
          <t>https://nuttechnology.com/product/dryer-for-inshell-walnuts-hazelnuts-almonds-up-to-2-ton-24-hours/</t>
        </is>
      </c>
      <c r="R12" s="9" t="inlineStr">
        <is>
          <t>https://nuttechnology.com/wp-content/uploads/Dryer-for-walnuts-hazelnuts-almonds-1-ton_.pdf</t>
        </is>
      </c>
      <c r="S12" s="9" t="inlineStr">
        <is>
          <t>Z:\00. Proiecte 2025\AFIR FotoVoltaic 1\50. Fabrica Nuci\nuttechnology.com\Brosuri echipamente\03. Uscare si incarcare uscator\02. Uscător pentru nuci, alune și migdale în coajă (până la 2 tone-24 ore).pdf</t>
        </is>
      </c>
      <c r="T12" s="12" t="inlineStr">
        <is>
          <t>Pe site, broșura atașată este cea a uscătorului de 1 t/24h (nu există broșură separată pt. 2 t). Specificația de pe site indică tot „până la 1 t/zi” – de clarificat cu producătorul.</t>
        </is>
      </c>
    </row>
    <row r="13">
      <c r="A13" s="4" t="n">
        <v>9</v>
      </c>
      <c r="B13" s="4" t="inlineStr">
        <is>
          <t>Uscare si incarcare uscator</t>
        </is>
      </c>
      <c r="C13" s="4" t="inlineStr">
        <is>
          <t>Uscător pentru nuci, alune și migdale în coajă (2 tone/zi)</t>
        </is>
      </c>
      <c r="D13" s="4" t="inlineStr">
        <is>
          <t>Dryer for walnuts, hazelnuts, and almonds in shell (2 tons/day)</t>
        </is>
      </c>
      <c r="E13" s="5" t="inlineStr">
        <is>
          <t>până la 2 t/zi</t>
        </is>
      </c>
      <c r="F13" s="6" t="n">
        <v>83.3</v>
      </c>
      <c r="G13" s="5" t="inlineStr">
        <is>
          <t>șarjă 24h – sezon</t>
        </is>
      </c>
      <c r="H13" s="7">
        <f>F13*24</f>
        <v/>
      </c>
      <c r="I13" s="8">
        <f>H13*'Linie ideala'!$C$8/1000</f>
        <v/>
      </c>
      <c r="J13" s="4" t="inlineStr"/>
      <c r="K13" s="4" t="inlineStr">
        <is>
          <t>14 kW</t>
        </is>
      </c>
      <c r="L13" s="4" t="inlineStr">
        <is>
          <t>380 V</t>
        </is>
      </c>
      <c r="M13" s="4" t="inlineStr">
        <is>
          <t>oțel</t>
        </is>
      </c>
      <c r="N13" s="4" t="inlineStr">
        <is>
          <t>nuci, alune, migdale</t>
        </is>
      </c>
      <c r="O13" s="4" t="inlineStr">
        <is>
          <t>Uscătorul este un echipament indispensabil pentru proprietarii de livezi industriale, întreprinderi de achiziții și unități de procesare a nucilor. Acesta este utilizat pentru uscarea nucilor, alunelor, migdalelor și a altor tipuri de nuci.</t>
        </is>
      </c>
      <c r="P13" s="9" t="inlineStr">
        <is>
          <t>https://nuttechnology.com/ro/produs/usc-tor-pentru-nuci-alune-i-migdale-n-coaj/</t>
        </is>
      </c>
      <c r="Q13" s="9" t="inlineStr">
        <is>
          <t>https://nuttechnology.com/product/dryer-for-walnuts-hazelnuts-and-almonds-in-shell/</t>
        </is>
      </c>
      <c r="R13" s="9" t="inlineStr">
        <is>
          <t>https://nuttechnology.com/wp-content/uploads/DRYER-FOR-INSHELL-WALNUTS.pdf</t>
        </is>
      </c>
      <c r="S13" s="9" t="inlineStr">
        <is>
          <t>Z:\00. Proiecte 2025\AFIR FotoVoltaic 1\50. Fabrica Nuci\nuttechnology.com\Brosuri echipamente\03. Uscare si incarcare uscator\03. Uscător pentru nuci, alune și migdale în coajă (2 tone-zi).pdf</t>
        </is>
      </c>
      <c r="T13" s="4" t="inlineStr"/>
    </row>
    <row r="14">
      <c r="A14" s="4" t="n">
        <v>10</v>
      </c>
      <c r="B14" s="4" t="inlineStr">
        <is>
          <t>Uscare si incarcare uscator</t>
        </is>
      </c>
      <c r="C14" s="4" t="inlineStr">
        <is>
          <t>Uscător pentru nuci, alune și migdale în coajă (4 tone/zi)</t>
        </is>
      </c>
      <c r="D14" s="4" t="inlineStr">
        <is>
          <t>Dryer for walnuts, hazelnuts, and almonds in shell (4 tons/day)</t>
        </is>
      </c>
      <c r="E14" s="5" t="inlineStr">
        <is>
          <t>până la 4 t/zi</t>
        </is>
      </c>
      <c r="F14" s="6" t="n">
        <v>166.7</v>
      </c>
      <c r="G14" s="5" t="inlineStr">
        <is>
          <t>șarjă 24h – sezon</t>
        </is>
      </c>
      <c r="H14" s="7">
        <f>F14*24</f>
        <v/>
      </c>
      <c r="I14" s="8">
        <f>H14*'Linie ideala'!$C$8/1000</f>
        <v/>
      </c>
      <c r="J14" s="4" t="inlineStr"/>
      <c r="K14" s="4" t="inlineStr">
        <is>
          <t>14 kW</t>
        </is>
      </c>
      <c r="L14" s="4" t="inlineStr">
        <is>
          <t>380 V</t>
        </is>
      </c>
      <c r="M14" s="4" t="inlineStr">
        <is>
          <t>oțel</t>
        </is>
      </c>
      <c r="N14" s="4" t="inlineStr">
        <is>
          <t>nuci, alune, migdale</t>
        </is>
      </c>
      <c r="O14" s="4" t="inlineStr">
        <is>
          <t>Uscătorul este un echipament indispensabil pentru proprietarii de livezi industriale, întreprinderi de achiziții și unități de procesare a nucilor. Acesta este utilizat pentru uscarea nucilor, alunelor, migdalelor și a altor tipuri de nuci.</t>
        </is>
      </c>
      <c r="P14" s="9" t="inlineStr">
        <is>
          <t>https://nuttechnology.com/ro/produs/usc-tor-pentru-nuci-alune-i-migdale-n-coaj-2/</t>
        </is>
      </c>
      <c r="Q14" s="9" t="inlineStr">
        <is>
          <t>https://nuttechnology.com/product/dryer-for-walnuts-hazelnuts-and-almonds-in-shell-2/</t>
        </is>
      </c>
      <c r="R14" s="9" t="inlineStr">
        <is>
          <t>https://nuttechnology.com/wp-content/uploads/DRYER-FOR-INSHELL-WALNUTS-4-tons.pdf</t>
        </is>
      </c>
      <c r="S14" s="9" t="inlineStr">
        <is>
          <t>Z:\00. Proiecte 2025\AFIR FotoVoltaic 1\50. Fabrica Nuci\nuttechnology.com\Brosuri echipamente\03. Uscare si incarcare uscator\04. Uscător pentru nuci, alune și migdale în coajă (4 tone-zi).pdf</t>
        </is>
      </c>
      <c r="T14" s="12" t="inlineStr">
        <is>
          <t>Pe site câmpul „Material” este completat greșit („Ukraine”); corect: oțel.</t>
        </is>
      </c>
    </row>
    <row r="15">
      <c r="A15" s="4" t="n">
        <v>11</v>
      </c>
      <c r="B15" s="4" t="inlineStr">
        <is>
          <t>Uscare si incarcare uscator</t>
        </is>
      </c>
      <c r="C15" s="4" t="inlineStr">
        <is>
          <t>Conveyor de alimentare pentru uscător 2 t/zi</t>
        </is>
      </c>
      <c r="D15" s="4" t="inlineStr">
        <is>
          <t>Dryer feed conveyor for dryer 2 t/day</t>
        </is>
      </c>
      <c r="E15" s="5" t="inlineStr"/>
      <c r="F15" s="6" t="inlineStr"/>
      <c r="G15" s="5" t="inlineStr">
        <is>
          <t>transport/încărcare</t>
        </is>
      </c>
      <c r="H15" s="7" t="inlineStr"/>
      <c r="I15" s="8" t="inlineStr"/>
      <c r="J15" s="4" t="inlineStr"/>
      <c r="K15" s="4" t="inlineStr">
        <is>
          <t>0.55 kW</t>
        </is>
      </c>
      <c r="L15" s="4" t="inlineStr">
        <is>
          <t>220 / 380 V</t>
        </is>
      </c>
      <c r="M15" s="4" t="inlineStr">
        <is>
          <t>oțel, PVC</t>
        </is>
      </c>
      <c r="N15" s="4" t="inlineStr">
        <is>
          <t>nuci, alune, migdale</t>
        </is>
      </c>
      <c r="O15" s="4" t="inlineStr">
        <is>
          <t>Acest conveyor este utilizat pentru încărcarea nucilor în uscător. Asigură o alimentare simplă și rapidă a nucilor, cu efort minim.</t>
        </is>
      </c>
      <c r="P15" s="9" t="inlineStr">
        <is>
          <t>https://nuttechnology.com/ro/produs/band-de-alimentare-usc-tor/</t>
        </is>
      </c>
      <c r="Q15" s="9" t="inlineStr">
        <is>
          <t>https://nuttechnology.com/product/dryer-feed-conveyor/</t>
        </is>
      </c>
      <c r="R15" s="9" t="inlineStr">
        <is>
          <t>https://nuttechnology.com/wp-content/uploads/Loading-conveyor.pdf</t>
        </is>
      </c>
      <c r="S15" s="9" t="inlineStr">
        <is>
          <t>Z:\00. Proiecte 2025\AFIR FotoVoltaic 1\50. Fabrica Nuci\nuttechnology.com\Brosuri echipamente\03. Uscare si incarcare uscator\05. Conveyor de alimentare pentru uscător 2 t-zi.pdf</t>
        </is>
      </c>
      <c r="T15" s="12" t="inlineStr">
        <is>
          <t>Broșură comună cu banda pentru uscătorul 4 t/h.</t>
        </is>
      </c>
    </row>
    <row r="16">
      <c r="A16" s="4" t="n">
        <v>12</v>
      </c>
      <c r="B16" s="4" t="inlineStr">
        <is>
          <t>Uscare si incarcare uscator</t>
        </is>
      </c>
      <c r="C16" s="4" t="inlineStr">
        <is>
          <t>Conveyor de alimentare pentru uscător 4 t/h</t>
        </is>
      </c>
      <c r="D16" s="4" t="inlineStr">
        <is>
          <t>Dryer feed conveyor for dryer 4 t/h</t>
        </is>
      </c>
      <c r="E16" s="5" t="inlineStr">
        <is>
          <t>4 t/h (din denumire)</t>
        </is>
      </c>
      <c r="F16" s="6" t="n">
        <v>4000</v>
      </c>
      <c r="G16" s="5" t="inlineStr">
        <is>
          <t>transport/încărcare</t>
        </is>
      </c>
      <c r="H16" s="7" t="inlineStr">
        <is>
          <t>—</t>
        </is>
      </c>
      <c r="I16" s="8" t="inlineStr">
        <is>
          <t>—</t>
        </is>
      </c>
      <c r="J16" s="4" t="inlineStr"/>
      <c r="K16" s="4" t="inlineStr">
        <is>
          <t>0.55 kW</t>
        </is>
      </c>
      <c r="L16" s="4" t="inlineStr">
        <is>
          <t>220 / 380 V</t>
        </is>
      </c>
      <c r="M16" s="4" t="inlineStr">
        <is>
          <t>oțel, PVC</t>
        </is>
      </c>
      <c r="N16" s="4" t="inlineStr">
        <is>
          <t>nuci, alune, migdale</t>
        </is>
      </c>
      <c r="O16" s="4" t="inlineStr">
        <is>
          <t>Acest conveyor este utilizat pentru încărcarea nucilor în uscător. Asigură o alimentare simplă și rapidă a nucilor, cu efort minim.</t>
        </is>
      </c>
      <c r="P16" s="9" t="inlineStr">
        <is>
          <t>https://nuttechnology.com/ro/produs/band-transportoare-de-alimentare-pentru-usc-tor-4-t-h/</t>
        </is>
      </c>
      <c r="Q16" s="9" t="inlineStr">
        <is>
          <t>https://nuttechnology.com/product/dryer-feed-conveyor-for-dryer-4-t-h/</t>
        </is>
      </c>
      <c r="R16" s="9" t="inlineStr">
        <is>
          <t>https://nuttechnology.com/wp-content/uploads/Loading-conveyor.pdf</t>
        </is>
      </c>
      <c r="S16" s="9" t="inlineStr">
        <is>
          <t>Z:\00. Proiecte 2025\AFIR FotoVoltaic 1\50. Fabrica Nuci\nuttechnology.com\Brosuri echipamente\03. Uscare si incarcare uscator\06. Conveyor de alimentare pentru uscător 4 t-h.pdf</t>
        </is>
      </c>
      <c r="T16" s="12" t="inlineStr">
        <is>
          <t>Broșură comună cu banda pentru uscătorul 2 t/zi.</t>
        </is>
      </c>
    </row>
    <row r="17">
      <c r="A17" s="4" t="n">
        <v>13</v>
      </c>
      <c r="B17" s="4" t="inlineStr">
        <is>
          <t>Uscare si incarcare uscator</t>
        </is>
      </c>
      <c r="C17" s="4" t="inlineStr">
        <is>
          <t>Elevator cu încărcare/descărcare Noria 2 tone pe oră</t>
        </is>
      </c>
      <c r="D17" s="4" t="inlineStr">
        <is>
          <t>Noria Load/Unload Elevator 2 tons per hour</t>
        </is>
      </c>
      <c r="E17" s="5" t="inlineStr">
        <is>
          <t>2 t/h (din denumire)</t>
        </is>
      </c>
      <c r="F17" s="6" t="n">
        <v>2000</v>
      </c>
      <c r="G17" s="5" t="inlineStr">
        <is>
          <t>transport/încărcare</t>
        </is>
      </c>
      <c r="H17" s="7" t="inlineStr">
        <is>
          <t>—</t>
        </is>
      </c>
      <c r="I17" s="8" t="inlineStr">
        <is>
          <t>—</t>
        </is>
      </c>
      <c r="J17" s="4" t="inlineStr"/>
      <c r="K17" s="4" t="inlineStr"/>
      <c r="L17" s="4" t="inlineStr">
        <is>
          <t>220 / 380 V</t>
        </is>
      </c>
      <c r="M17" s="4" t="inlineStr">
        <is>
          <t>oțel</t>
        </is>
      </c>
      <c r="N17" s="4" t="inlineStr">
        <is>
          <t>nuci, alune, migdale</t>
        </is>
      </c>
      <c r="O17" s="4" t="inlineStr">
        <is>
          <t>Elevatorul industrial este proiectat pentru transport vertical eficient al produselor vrac și de dimensiuni mici, cum ar fi nuci, cereale, fructe de pădure, peleți și materiale similare. Echipat cu funcție de mișcare reversibilă, permite atât operațiuni de încărcare, cât și de descărcare în cadrul procesului tehnologic, asigurând versatilitate și integrare ușoară în liniile de producție.</t>
        </is>
      </c>
      <c r="P17" s="9" t="inlineStr">
        <is>
          <t>https://nuttechnology.com/ro/produs/elevator-noria-pentru-nc-rcare-desc-rcare-de-2-tone-pe-or/</t>
        </is>
      </c>
      <c r="Q17" s="9" t="inlineStr">
        <is>
          <t>https://nuttechnology.com/product/noria-load-unload-elevator-2-tons-per-hour/</t>
        </is>
      </c>
      <c r="R17" s="9" t="inlineStr">
        <is>
          <t>https://nuttechnology.com/wp-content/uploads/Loading-conveyor.pdf</t>
        </is>
      </c>
      <c r="S17" s="9" t="inlineStr">
        <is>
          <t>Z:\00. Proiecte 2025\AFIR FotoVoltaic 1\50. Fabrica Nuci\nuttechnology.com\Brosuri echipamente\03. Uscare si incarcare uscator\07. Elevator cu încărcare-descărcare Noria 2 tone pe oră.pdf</t>
        </is>
      </c>
      <c r="T17" s="12" t="inlineStr">
        <is>
          <t>Site-ul trimite la broșura „Loading conveyor” (bandă de alimentare uscător) – nu există broșură dedicată pentru elevatorul Noria.</t>
        </is>
      </c>
    </row>
    <row r="18">
      <c r="A18" s="4" t="n">
        <v>14</v>
      </c>
      <c r="B18" s="4" t="inlineStr">
        <is>
          <t>Uscare si incarcare uscator</t>
        </is>
      </c>
      <c r="C18" s="4" t="inlineStr">
        <is>
          <t>Elevator cu încărcare/descărcare Noria 4 tone pe oră</t>
        </is>
      </c>
      <c r="D18" s="4" t="inlineStr">
        <is>
          <t>Noria Load/Unload Elevator 4 tons per hour</t>
        </is>
      </c>
      <c r="E18" s="5" t="inlineStr">
        <is>
          <t>4 t/h (din denumire)</t>
        </is>
      </c>
      <c r="F18" s="6" t="n">
        <v>4000</v>
      </c>
      <c r="G18" s="5" t="inlineStr">
        <is>
          <t>transport/încărcare</t>
        </is>
      </c>
      <c r="H18" s="7" t="inlineStr">
        <is>
          <t>—</t>
        </is>
      </c>
      <c r="I18" s="8" t="inlineStr">
        <is>
          <t>—</t>
        </is>
      </c>
      <c r="J18" s="4" t="inlineStr"/>
      <c r="K18" s="4" t="inlineStr"/>
      <c r="L18" s="4" t="inlineStr">
        <is>
          <t>220 / 380 V</t>
        </is>
      </c>
      <c r="M18" s="4" t="inlineStr">
        <is>
          <t>oțel</t>
        </is>
      </c>
      <c r="N18" s="4" t="inlineStr">
        <is>
          <t>nuci, alune, migdale</t>
        </is>
      </c>
      <c r="O18" s="4" t="inlineStr">
        <is>
          <t>Elevatorul industrial este proiectat pentru transport vertical eficient al produselor vrac și de dimensiuni mici, cum ar fi nuci, cereale, fructe de pădure, peleți și materiale similare. Echipat cu funcție de mișcare reversibilă, permite atât operațiuni de încărcare, cât și de descărcare în cadrul procesului tehnologic, asigurând versatilitate și integrare ușoară în liniile de producție.</t>
        </is>
      </c>
      <c r="P18" s="9" t="inlineStr">
        <is>
          <t>https://nuttechnology.com/ro/produs/norie-de-nc-rcare-desc-rcare-elevator-4-tone-pe-or/</t>
        </is>
      </c>
      <c r="Q18" s="9" t="inlineStr">
        <is>
          <t>https://nuttechnology.com/product/noria-load-unload-elevator-4-tons-per-hour/</t>
        </is>
      </c>
      <c r="R18" s="9" t="inlineStr">
        <is>
          <t>https://nuttechnology.com/wp-content/uploads/Loading-conveyor.pdf</t>
        </is>
      </c>
      <c r="S18" s="9" t="inlineStr">
        <is>
          <t>Z:\00. Proiecte 2025\AFIR FotoVoltaic 1\50. Fabrica Nuci\nuttechnology.com\Brosuri echipamente\03. Uscare si incarcare uscator\08. Elevator cu încărcare-descărcare Noria 4 tone pe oră.pdf</t>
        </is>
      </c>
      <c r="T18" s="12" t="inlineStr">
        <is>
          <t>Site-ul trimite la broșura „Loading conveyor” (bandă de alimentare uscător) – nu există broșură dedicată pentru elevatorul Noria.</t>
        </is>
      </c>
    </row>
    <row r="19">
      <c r="A19" s="10" t="n">
        <v>15</v>
      </c>
      <c r="B19" s="10" t="inlineStr">
        <is>
          <t>Calibrare si sortare in coaja</t>
        </is>
      </c>
      <c r="C19" s="10" t="inlineStr">
        <is>
          <t>Calibrator liniar pentru toate tipurile de nuci</t>
        </is>
      </c>
      <c r="D19" s="10" t="inlineStr">
        <is>
          <t>Line calibrator for all sorts of nuts</t>
        </is>
      </c>
      <c r="E19" s="5" t="inlineStr">
        <is>
          <t>până la 100 kg/h</t>
        </is>
      </c>
      <c r="F19" s="6" t="n">
        <v>100</v>
      </c>
      <c r="G19" s="5" t="inlineStr">
        <is>
          <t>continuu – tot anul</t>
        </is>
      </c>
      <c r="H19" s="7">
        <f>F19*'Linie ideala'!$C$5</f>
        <v/>
      </c>
      <c r="I19" s="8">
        <f>H19*'Linie ideala'!$C$7/1000</f>
        <v/>
      </c>
      <c r="J19" s="10" t="inlineStr"/>
      <c r="K19" s="10" t="inlineStr">
        <is>
          <t>0.55 kW</t>
        </is>
      </c>
      <c r="L19" s="10" t="inlineStr">
        <is>
          <t>220 / 380 V</t>
        </is>
      </c>
      <c r="M19" s="10" t="inlineStr">
        <is>
          <t>oțel</t>
        </is>
      </c>
      <c r="N19" s="10" t="inlineStr">
        <is>
          <t>nuci, migdale</t>
        </is>
      </c>
      <c r="O19" s="10" t="inlineStr">
        <is>
          <t>Calibratorul este un echipament destinat sortării rapide a nucilor în coajă după dimensiune; datorită setărilor flexibile, este ideal pentru calibrarea nucilor, alunelor, migdalelor și chiar a melcilor, iar calibrarea este esențială în întreprinderile medii și mari pentru procesarea de înaltă calitate a nucilor cu ajutorul mașinilor industriale de spart nuci.</t>
        </is>
      </c>
      <c r="P19" s="11" t="inlineStr">
        <is>
          <t>https://nuttechnology.com/ro/produs/calibrator-de-linie-pentru-toate-tipurile-de-piuli-e/</t>
        </is>
      </c>
      <c r="Q19" s="11" t="inlineStr">
        <is>
          <t>https://nuttechnology.com/product/line-calibrator-for-all-sorts-of-nuts/</t>
        </is>
      </c>
      <c r="R19" s="11" t="inlineStr">
        <is>
          <t>https://nuttechnology.com/wp-content/uploads/Line-calibrator-for-all-sorts-of-nuts.pdf</t>
        </is>
      </c>
      <c r="S19" s="11" t="inlineStr">
        <is>
          <t>Z:\00. Proiecte 2025\AFIR FotoVoltaic 1\50. Fabrica Nuci\nuttechnology.com\Brosuri echipamente\04. Calibrare si sortare in coaja\01. Calibrator liniar pentru toate tipurile de nuci.pdf</t>
        </is>
      </c>
      <c r="T19" s="10" t="inlineStr"/>
    </row>
    <row r="20">
      <c r="A20" s="10" t="n">
        <v>16</v>
      </c>
      <c r="B20" s="10" t="inlineStr">
        <is>
          <t>Calibrare si sortare in coaja</t>
        </is>
      </c>
      <c r="C20" s="10" t="inlineStr">
        <is>
          <t>Mașină de calibrare a nucilor în 4 fracții</t>
        </is>
      </c>
      <c r="D20" s="10" t="inlineStr">
        <is>
          <t>Walnut calibrating machine 4 fractions</t>
        </is>
      </c>
      <c r="E20" s="5" t="inlineStr">
        <is>
          <t>până la 300 kg/h</t>
        </is>
      </c>
      <c r="F20" s="6" t="n">
        <v>300</v>
      </c>
      <c r="G20" s="5" t="inlineStr">
        <is>
          <t>continuu – tot anul</t>
        </is>
      </c>
      <c r="H20" s="7">
        <f>F20*'Linie ideala'!$C$5</f>
        <v/>
      </c>
      <c r="I20" s="8">
        <f>H20*'Linie ideala'!$C$7/1000</f>
        <v/>
      </c>
      <c r="J20" s="10" t="inlineStr"/>
      <c r="K20" s="10" t="inlineStr">
        <is>
          <t>0.55 kW</t>
        </is>
      </c>
      <c r="L20" s="10" t="inlineStr">
        <is>
          <t>220 V</t>
        </is>
      </c>
      <c r="M20" s="10" t="inlineStr">
        <is>
          <t>oțel</t>
        </is>
      </c>
      <c r="N20" s="10" t="inlineStr">
        <is>
          <t>nuci</t>
        </is>
      </c>
      <c r="O20" s="10" t="inlineStr">
        <is>
          <t>Mașina de calibrare a nucilor este utilizată în livezile de nuci și în fabricile de procesare; calibratorul este o parte necesară a liniei de producție, facilitând procesarea ulterioară și crescând randamentul miezului întreg.</t>
        </is>
      </c>
      <c r="P20" s="11" t="inlineStr">
        <is>
          <t>https://nuttechnology.com/ro/produs/ma-in-de-calibrare-nuci/</t>
        </is>
      </c>
      <c r="Q20" s="11" t="inlineStr">
        <is>
          <t>https://nuttechnology.com/product/walnut-calibrating-machine/</t>
        </is>
      </c>
      <c r="R20" s="11" t="inlineStr">
        <is>
          <t>https://nuttechnology.com/wp-content/uploads/WALNUT-CALIBRATING-MACHINE-4-fractions.pdf</t>
        </is>
      </c>
      <c r="S20" s="11" t="inlineStr">
        <is>
          <t>Z:\00. Proiecte 2025\AFIR FotoVoltaic 1\50. Fabrica Nuci\nuttechnology.com\Brosuri echipamente\04. Calibrare si sortare in coaja\02. Mașină de calibrare a nucilor în 4 fracții.pdf</t>
        </is>
      </c>
      <c r="T20" s="10" t="inlineStr"/>
    </row>
    <row r="21">
      <c r="A21" s="10" t="n">
        <v>17</v>
      </c>
      <c r="B21" s="10" t="inlineStr">
        <is>
          <t>Calibrare si sortare in coaja</t>
        </is>
      </c>
      <c r="C21" s="10" t="inlineStr">
        <is>
          <t>Mașină de calibrare a nucilor în 8 fracții</t>
        </is>
      </c>
      <c r="D21" s="10" t="inlineStr">
        <is>
          <t>Walnut calibrating machine 8 fractions</t>
        </is>
      </c>
      <c r="E21" s="5" t="inlineStr">
        <is>
          <t>până la 500 kg/h</t>
        </is>
      </c>
      <c r="F21" s="6" t="n">
        <v>500</v>
      </c>
      <c r="G21" s="5" t="inlineStr">
        <is>
          <t>continuu – tot anul</t>
        </is>
      </c>
      <c r="H21" s="7">
        <f>F21*'Linie ideala'!$C$5</f>
        <v/>
      </c>
      <c r="I21" s="8">
        <f>H21*'Linie ideala'!$C$7/1000</f>
        <v/>
      </c>
      <c r="J21" s="10" t="inlineStr"/>
      <c r="K21" s="10" t="inlineStr">
        <is>
          <t>2.95 kW</t>
        </is>
      </c>
      <c r="L21" s="10" t="inlineStr">
        <is>
          <t>380 V</t>
        </is>
      </c>
      <c r="M21" s="10" t="inlineStr">
        <is>
          <t>oțel</t>
        </is>
      </c>
      <c r="N21" s="10" t="inlineStr">
        <is>
          <t>nuci</t>
        </is>
      </c>
      <c r="O21" s="10" t="inlineStr">
        <is>
          <t>Mașina de calibrare a nucilor este un instrument esențial atât pentru livezile de nuci, cât și pentru unitățile de procesare; prin sortarea nucilor în 8 fracții distincte, acest calibrator optimizează etapele ulterioare de procesare și crește randamentul miezului întreg, devenind un element indispensabil al liniei de producție.</t>
        </is>
      </c>
      <c r="P21" s="11" t="inlineStr">
        <is>
          <t>https://nuttechnology.com/ro/produs/ma-in-de-calibrat-nuci-8-frac-iuni/</t>
        </is>
      </c>
      <c r="Q21" s="11" t="inlineStr">
        <is>
          <t>https://nuttechnology.com/product/walnut-calibrating-machine-8-fractions/</t>
        </is>
      </c>
      <c r="R21" s="11" t="inlineStr">
        <is>
          <t>https://nuttechnology.com/wp-content/uploads/WALNUT-CALIBRATING-MACHINE-8-fractions.pdf</t>
        </is>
      </c>
      <c r="S21" s="11" t="inlineStr">
        <is>
          <t>Z:\00. Proiecte 2025\AFIR FotoVoltaic 1\50. Fabrica Nuci\nuttechnology.com\Brosuri echipamente\04. Calibrare si sortare in coaja\03. Mașină de calibrare a nucilor în 8 fracții.pdf</t>
        </is>
      </c>
      <c r="T21" s="10" t="inlineStr"/>
    </row>
    <row r="22">
      <c r="A22" s="10" t="n">
        <v>18</v>
      </c>
      <c r="B22" s="10" t="inlineStr">
        <is>
          <t>Calibrare si sortare in coaja</t>
        </is>
      </c>
      <c r="C22" s="10" t="inlineStr">
        <is>
          <t>Mașină pentru sortarea nucilor goale în coajă</t>
        </is>
      </c>
      <c r="D22" s="10" t="inlineStr">
        <is>
          <t>Machine for sorting empty walnut in shell</t>
        </is>
      </c>
      <c r="E22" s="5" t="inlineStr">
        <is>
          <t>până la 300 kg/h</t>
        </is>
      </c>
      <c r="F22" s="6" t="n">
        <v>300</v>
      </c>
      <c r="G22" s="5" t="inlineStr">
        <is>
          <t>continuu – tot anul</t>
        </is>
      </c>
      <c r="H22" s="7">
        <f>F22*'Linie ideala'!$C$5</f>
        <v/>
      </c>
      <c r="I22" s="8">
        <f>H22*'Linie ideala'!$C$7/1000</f>
        <v/>
      </c>
      <c r="J22" s="10" t="inlineStr"/>
      <c r="K22" s="10" t="inlineStr">
        <is>
          <t>4.5 kW</t>
        </is>
      </c>
      <c r="L22" s="10" t="inlineStr">
        <is>
          <t>380 V</t>
        </is>
      </c>
      <c r="M22" s="10" t="inlineStr">
        <is>
          <t>oțel</t>
        </is>
      </c>
      <c r="N22" s="10" t="inlineStr">
        <is>
          <t>nuci, alune, migdale</t>
        </is>
      </c>
      <c r="O22" s="10" t="inlineStr">
        <is>
          <t>Această mașină de sortare abordează eficient problema respingerii produselor, crește productivitatea și eficiența procesului de producție, reduce costurile de muncă și minimizează pierderile, devenind astfel un activ valoros pentru întreprinderile de procesare a nucilor și asigurând rezultate optime și operațiuni eficiente.</t>
        </is>
      </c>
      <c r="P22" s="11" t="inlineStr">
        <is>
          <t>https://nuttechnology.com/ro/produs/ma-in-de-sortat-nuci-goale-n-coaj/</t>
        </is>
      </c>
      <c r="Q22" s="11" t="inlineStr">
        <is>
          <t>https://nuttechnology.com/product/machine-for-sorting-empty-walnut-in-shell/</t>
        </is>
      </c>
      <c r="R22" s="11" t="inlineStr">
        <is>
          <t>https://nuttechnology.com/wp-content/uploads/MACHINE-FOR-SORTING-EMPTY-WALNUT-IN-SHELL.pdf</t>
        </is>
      </c>
      <c r="S22" s="11" t="inlineStr">
        <is>
          <t>Z:\00. Proiecte 2025\AFIR FotoVoltaic 1\50. Fabrica Nuci\nuttechnology.com\Brosuri echipamente\04. Calibrare si sortare in coaja\04. Mașină pentru sortarea nucilor goale în coajă.pdf</t>
        </is>
      </c>
      <c r="T22" s="10" t="inlineStr"/>
    </row>
    <row r="23">
      <c r="A23" s="10" t="n">
        <v>19</v>
      </c>
      <c r="B23" s="10" t="inlineStr">
        <is>
          <t>Calibrare si sortare in coaja</t>
        </is>
      </c>
      <c r="C23" s="10" t="inlineStr">
        <is>
          <t>Mașină de calibrare a alunelor</t>
        </is>
      </c>
      <c r="D23" s="10" t="inlineStr">
        <is>
          <t>Hazelnut calibrating machine</t>
        </is>
      </c>
      <c r="E23" s="5" t="inlineStr">
        <is>
          <t>până la 200 kg/h</t>
        </is>
      </c>
      <c r="F23" s="6" t="n">
        <v>200</v>
      </c>
      <c r="G23" s="5" t="inlineStr">
        <is>
          <t>continuu – tot anul</t>
        </is>
      </c>
      <c r="H23" s="7">
        <f>F23*'Linie ideala'!$C$5</f>
        <v/>
      </c>
      <c r="I23" s="8">
        <f>H23*'Linie ideala'!$C$7/1000</f>
        <v/>
      </c>
      <c r="J23" s="10" t="inlineStr"/>
      <c r="K23" s="10" t="inlineStr">
        <is>
          <t>1.1 kW</t>
        </is>
      </c>
      <c r="L23" s="10" t="inlineStr">
        <is>
          <t>220 V</t>
        </is>
      </c>
      <c r="M23" s="10" t="inlineStr">
        <is>
          <t>oțel</t>
        </is>
      </c>
      <c r="N23" s="10" t="inlineStr">
        <is>
          <t>nuci, alune, migdale</t>
        </is>
      </c>
      <c r="O23" s="10" t="inlineStr">
        <is>
          <t>Mașina de calibrare a alunelor este utilizată în livezile de alune și în fabricile de procesare. Calibratorul reprezintă o parte necesară a liniei de producție, facilitând procesarea ulterioară și crescând randamentul miezului întreg.</t>
        </is>
      </c>
      <c r="P23" s="11" t="inlineStr">
        <is>
          <t>https://nuttechnology.com/ro/produs/ma-in-de-calibrare-alune/</t>
        </is>
      </c>
      <c r="Q23" s="11" t="inlineStr">
        <is>
          <t>https://nuttechnology.com/product/hazelnut-calibrating-machine/</t>
        </is>
      </c>
      <c r="R23" s="11" t="inlineStr">
        <is>
          <t>https://nuttechnology.com/wp-content/uploads/Hazelnut-Calibrating-Machine.pdf</t>
        </is>
      </c>
      <c r="S23" s="11" t="inlineStr">
        <is>
          <t>Z:\00. Proiecte 2025\AFIR FotoVoltaic 1\50. Fabrica Nuci\nuttechnology.com\Brosuri echipamente\04. Calibrare si sortare in coaja\05. Mașină de calibrare a alunelor.pdf</t>
        </is>
      </c>
      <c r="T23" s="10" t="inlineStr"/>
    </row>
    <row r="24">
      <c r="A24" s="10" t="n">
        <v>20</v>
      </c>
      <c r="B24" s="10" t="inlineStr">
        <is>
          <t>Calibrare si sortare in coaja</t>
        </is>
      </c>
      <c r="C24" s="10" t="inlineStr">
        <is>
          <t>Mașină de calibrare a alunelor în 3 fracții</t>
        </is>
      </c>
      <c r="D24" s="10" t="inlineStr">
        <is>
          <t>Hazelnut calibrating machine 3 fractions</t>
        </is>
      </c>
      <c r="E24" s="5" t="inlineStr">
        <is>
          <t>până la 200 kg/h</t>
        </is>
      </c>
      <c r="F24" s="6" t="n">
        <v>200</v>
      </c>
      <c r="G24" s="5" t="inlineStr">
        <is>
          <t>continuu – tot anul</t>
        </is>
      </c>
      <c r="H24" s="7">
        <f>F24*'Linie ideala'!$C$5</f>
        <v/>
      </c>
      <c r="I24" s="8">
        <f>H24*'Linie ideala'!$C$7/1000</f>
        <v/>
      </c>
      <c r="J24" s="10" t="inlineStr"/>
      <c r="K24" s="10" t="inlineStr">
        <is>
          <t>0.75 kW</t>
        </is>
      </c>
      <c r="L24" s="10" t="inlineStr">
        <is>
          <t>380 V</t>
        </is>
      </c>
      <c r="M24" s="10" t="inlineStr">
        <is>
          <t>oțel</t>
        </is>
      </c>
      <c r="N24" s="10" t="inlineStr">
        <is>
          <t>alune</t>
        </is>
      </c>
      <c r="O24" s="10" t="inlineStr">
        <is>
          <t>Mașina de calibrare a alunelor este un instrument esențial atât pentru livezile de alune, cât și pentru unitățile de procesare. Prin sortarea alunelor în 2 fracții distincte, acest calibrator optimizează etapele ulterioare de procesare și crește randamentul miezului întreg, devenind un element indispensabil al liniei de producție.</t>
        </is>
      </c>
      <c r="P24" s="11" t="inlineStr">
        <is>
          <t>https://nuttechnology.com/ro/produs/ma-in-de-calibrare-alune-3-frac-iuni/</t>
        </is>
      </c>
      <c r="Q24" s="11" t="inlineStr">
        <is>
          <t>https://nuttechnology.com/product/hazelnut-calibrating-machine-3-fractions/</t>
        </is>
      </c>
      <c r="R24" s="11" t="inlineStr">
        <is>
          <t>https://nuttechnology.com/wp-content/uploads/HAZELNUT-CALIBRATING-MACHINE-8-fractions.pdf</t>
        </is>
      </c>
      <c r="S24" s="11" t="inlineStr">
        <is>
          <t>Z:\00. Proiecte 2025\AFIR FotoVoltaic 1\50. Fabrica Nuci\nuttechnology.com\Brosuri echipamente\04. Calibrare si sortare in coaja\06. Mașină de calibrare a alunelor în 3 fracții.pdf</t>
        </is>
      </c>
      <c r="T24" s="13" t="inlineStr">
        <is>
          <t>Site-ul trimite la broșura calibratorului de alune 8 fracții (nu există broșură separată pt. 3 fracții).</t>
        </is>
      </c>
    </row>
    <row r="25">
      <c r="A25" s="10" t="n">
        <v>21</v>
      </c>
      <c r="B25" s="10" t="inlineStr">
        <is>
          <t>Calibrare si sortare in coaja</t>
        </is>
      </c>
      <c r="C25" s="10" t="inlineStr">
        <is>
          <t>Mașină de calibrare a alunelor în 8 fracții</t>
        </is>
      </c>
      <c r="D25" s="10" t="inlineStr">
        <is>
          <t>Hazelnut calibrating machine 8 fractions</t>
        </is>
      </c>
      <c r="E25" s="5" t="inlineStr">
        <is>
          <t>până la 500 kg/h</t>
        </is>
      </c>
      <c r="F25" s="6" t="n">
        <v>500</v>
      </c>
      <c r="G25" s="5" t="inlineStr">
        <is>
          <t>continuu – tot anul</t>
        </is>
      </c>
      <c r="H25" s="7">
        <f>F25*'Linie ideala'!$C$5</f>
        <v/>
      </c>
      <c r="I25" s="8">
        <f>H25*'Linie ideala'!$C$7/1000</f>
        <v/>
      </c>
      <c r="J25" s="10" t="inlineStr"/>
      <c r="K25" s="10" t="inlineStr">
        <is>
          <t>2.95 kW</t>
        </is>
      </c>
      <c r="L25" s="10" t="inlineStr">
        <is>
          <t>380 V</t>
        </is>
      </c>
      <c r="M25" s="10" t="inlineStr">
        <is>
          <t>oțel</t>
        </is>
      </c>
      <c r="N25" s="10" t="inlineStr">
        <is>
          <t>alune</t>
        </is>
      </c>
      <c r="O25" s="10" t="inlineStr">
        <is>
          <t>Mașina de calibrare a alunelor este un instrument esențial atât pentru livezile de alune, cât și pentru unitățile de procesare. Prin sortarea alunelor în 8 fracții distincte, acest calibrator optimizează etapele ulterioare de procesare și crește randamentul miezului întreg, devenind un element indispensabil al liniei de producție.</t>
        </is>
      </c>
      <c r="P25" s="11" t="inlineStr">
        <is>
          <t>https://nuttechnology.com/ro/produs/ma-in-de-calibrat-alune-8-frac-iuni/</t>
        </is>
      </c>
      <c r="Q25" s="11" t="inlineStr">
        <is>
          <t>https://nuttechnology.com/product/hazelnut-calibrating-machine-8-fractions/</t>
        </is>
      </c>
      <c r="R25" s="11" t="inlineStr">
        <is>
          <t>https://nuttechnology.com/wp-content/uploads/HAZELNUT-CALIBRATING-MACHINE-8-fractions.pdf</t>
        </is>
      </c>
      <c r="S25" s="11" t="inlineStr">
        <is>
          <t>Z:\00. Proiecte 2025\AFIR FotoVoltaic 1\50. Fabrica Nuci\nuttechnology.com\Brosuri echipamente\04. Calibrare si sortare in coaja\07. Mașină de calibrare a alunelor în 8 fracții.pdf</t>
        </is>
      </c>
      <c r="T25" s="13" t="inlineStr">
        <is>
          <t>Broșură comună cu calibratorul de alune 3 fracții.</t>
        </is>
      </c>
    </row>
    <row r="26">
      <c r="A26" s="4" t="n">
        <v>22</v>
      </c>
      <c r="B26" s="4" t="inlineStr">
        <is>
          <t>Spargere</t>
        </is>
      </c>
      <c r="C26" s="4" t="inlineStr">
        <is>
          <t>Mașină de spart nuci 50 kg/h</t>
        </is>
      </c>
      <c r="D26" s="4" t="inlineStr">
        <is>
          <t>Walnut cracking machine 50 kg/h</t>
        </is>
      </c>
      <c r="E26" s="5" t="inlineStr">
        <is>
          <t>până la 50 kg/h</t>
        </is>
      </c>
      <c r="F26" s="6" t="n">
        <v>50</v>
      </c>
      <c r="G26" s="5" t="inlineStr">
        <is>
          <t>continuu – tot anul</t>
        </is>
      </c>
      <c r="H26" s="7">
        <f>F26*'Linie ideala'!$C$5</f>
        <v/>
      </c>
      <c r="I26" s="8">
        <f>H26*'Linie ideala'!$C$7/1000</f>
        <v/>
      </c>
      <c r="J26" s="4" t="inlineStr">
        <is>
          <t>până la 90%</t>
        </is>
      </c>
      <c r="K26" s="4" t="inlineStr">
        <is>
          <t>0.55 kW</t>
        </is>
      </c>
      <c r="L26" s="4" t="inlineStr">
        <is>
          <t>220 V</t>
        </is>
      </c>
      <c r="M26" s="4" t="inlineStr"/>
      <c r="N26" s="4" t="inlineStr">
        <is>
          <t>nuci</t>
        </is>
      </c>
      <c r="O26" s="4" t="inlineStr">
        <is>
          <t>Mașina de spart nuci cu o capacitate de 50 kg/h este o soluție compactă pentru procesarea nucilor în întreprinderi mici. Se bazează pe principiul spargerii conice și nu necesită calibrarea nucilor. Sparge coaja cu grijă și asigură un randament de până la 80% miezuri întregi.</t>
        </is>
      </c>
      <c r="P26" s="9" t="inlineStr">
        <is>
          <t>https://nuttechnology.com/ro/produs/utilaj-spargere-nuci-50-kg-h/</t>
        </is>
      </c>
      <c r="Q26" s="9" t="inlineStr">
        <is>
          <t>https://nuttechnology.com/product/walnut-cracking-machine-50-kg-h/</t>
        </is>
      </c>
      <c r="R26" s="9" t="inlineStr">
        <is>
          <t>https://nuttechnology.com/wp-content/uploads/Walnut-cracking-machine-50-kg_h.pdf</t>
        </is>
      </c>
      <c r="S26" s="9" t="inlineStr">
        <is>
          <t>Z:\00. Proiecte 2025\AFIR FotoVoltaic 1\50. Fabrica Nuci\nuttechnology.com\Brosuri echipamente\05. Spargere\01. Mașină de spart nuci 50 kg-h.pdf</t>
        </is>
      </c>
      <c r="T26" s="4" t="inlineStr"/>
    </row>
    <row r="27">
      <c r="A27" s="4" t="n">
        <v>23</v>
      </c>
      <c r="B27" s="4" t="inlineStr">
        <is>
          <t>Spargere</t>
        </is>
      </c>
      <c r="C27" s="4" t="inlineStr">
        <is>
          <t>Mașină de spart nuci 100 kg/h</t>
        </is>
      </c>
      <c r="D27" s="4" t="inlineStr">
        <is>
          <t>Walnut cracking machine 100 kg/h</t>
        </is>
      </c>
      <c r="E27" s="5" t="inlineStr">
        <is>
          <t>până la 100 kg/h</t>
        </is>
      </c>
      <c r="F27" s="6" t="n">
        <v>100</v>
      </c>
      <c r="G27" s="5" t="inlineStr">
        <is>
          <t>continuu – tot anul</t>
        </is>
      </c>
      <c r="H27" s="7">
        <f>F27*'Linie ideala'!$C$5</f>
        <v/>
      </c>
      <c r="I27" s="8">
        <f>H27*'Linie ideala'!$C$7/1000</f>
        <v/>
      </c>
      <c r="J27" s="4" t="inlineStr">
        <is>
          <t>până la 80%</t>
        </is>
      </c>
      <c r="K27" s="4" t="inlineStr">
        <is>
          <t>0.55 kW</t>
        </is>
      </c>
      <c r="L27" s="4" t="inlineStr">
        <is>
          <t>220 V</t>
        </is>
      </c>
      <c r="M27" s="4" t="inlineStr"/>
      <c r="N27" s="4" t="inlineStr">
        <is>
          <t>nuci</t>
        </is>
      </c>
      <c r="O27" s="4" t="inlineStr">
        <is>
          <t>Mașina de spart nuci 100 kg/h este un echipament indispensabil pentru procesarea de înaltă calitate a nucilor la scară industrială. Spărgătorul asigură spargerea delicată a cojii cu un randament maxim de miez întreg și este potrivit pentru procesarea nucilor de orice dimensiune.</t>
        </is>
      </c>
      <c r="P27" s="9" t="inlineStr">
        <is>
          <t>https://nuttechnology.com/ro/produs/ma-in-de-spart-nuci-100-kg-h/</t>
        </is>
      </c>
      <c r="Q27" s="9" t="inlineStr">
        <is>
          <t>https://nuttechnology.com/product/walnut-cracking-machine-100-kg-h/</t>
        </is>
      </c>
      <c r="R27" s="9" t="inlineStr">
        <is>
          <t>https://nuttechnology.com/wp-content/uploads/Walnut-cracking-machine-100-kg_h.pdf</t>
        </is>
      </c>
      <c r="S27" s="9" t="inlineStr">
        <is>
          <t>Z:\00. Proiecte 2025\AFIR FotoVoltaic 1\50. Fabrica Nuci\nuttechnology.com\Brosuri echipamente\05. Spargere\02. Mașină de spart nuci 100 kg-h.pdf</t>
        </is>
      </c>
      <c r="T27" s="4" t="inlineStr"/>
    </row>
    <row r="28">
      <c r="A28" s="4" t="n">
        <v>24</v>
      </c>
      <c r="B28" s="4" t="inlineStr">
        <is>
          <t>Spargere</t>
        </is>
      </c>
      <c r="C28" s="4" t="inlineStr">
        <is>
          <t>Mașină de spart nuci 200 kg/h</t>
        </is>
      </c>
      <c r="D28" s="4" t="inlineStr">
        <is>
          <t>Walnut cracking machine 200 kg/h</t>
        </is>
      </c>
      <c r="E28" s="5" t="inlineStr">
        <is>
          <t>până la 200 kg/h</t>
        </is>
      </c>
      <c r="F28" s="6" t="n">
        <v>200</v>
      </c>
      <c r="G28" s="5" t="inlineStr">
        <is>
          <t>continuu – tot anul</t>
        </is>
      </c>
      <c r="H28" s="7">
        <f>F28*'Linie ideala'!$C$5</f>
        <v/>
      </c>
      <c r="I28" s="8">
        <f>H28*'Linie ideala'!$C$7/1000</f>
        <v/>
      </c>
      <c r="J28" s="4" t="inlineStr">
        <is>
          <t>până la 80%</t>
        </is>
      </c>
      <c r="K28" s="4" t="inlineStr">
        <is>
          <t>1.5 kW</t>
        </is>
      </c>
      <c r="L28" s="4" t="inlineStr">
        <is>
          <t>380 V</t>
        </is>
      </c>
      <c r="M28" s="4" t="inlineStr"/>
      <c r="N28" s="4" t="inlineStr">
        <is>
          <t>nuci</t>
        </is>
      </c>
      <c r="O28" s="4" t="inlineStr">
        <is>
          <t>Mașină de spart nuci – echipament pentru spargerea rapidă și productivă a nucilor, utilizat în întreprinderi mari și medii. Se deosebește de alte spărgătoare industriale prin productivitatea maximă. Acest model este echipat cu un mecanism de spargere de tip conic, prin care randamentul miezului întreg ajunge până la 80%.</t>
        </is>
      </c>
      <c r="P28" s="9" t="inlineStr">
        <is>
          <t>https://nuttechnology.com/ro/produs/ma-in-de-spart-nuci-200-kg-h/</t>
        </is>
      </c>
      <c r="Q28" s="9" t="inlineStr">
        <is>
          <t>https://nuttechnology.com/product/walnut-cracking-machine-200-kg-h/</t>
        </is>
      </c>
      <c r="R28" s="9" t="inlineStr">
        <is>
          <t>https://nuttechnology.com/wp-content/uploads/Walnut-cracking-machine-200-kg_h.pdf</t>
        </is>
      </c>
      <c r="S28" s="9" t="inlineStr">
        <is>
          <t>Z:\00. Proiecte 2025\AFIR FotoVoltaic 1\50. Fabrica Nuci\nuttechnology.com\Brosuri echipamente\05. Spargere\03. Mașină de spart nuci 200 kg-h.pdf</t>
        </is>
      </c>
      <c r="T28" s="4" t="inlineStr"/>
    </row>
    <row r="29">
      <c r="A29" s="4" t="n">
        <v>25</v>
      </c>
      <c r="B29" s="4" t="inlineStr">
        <is>
          <t>Spargere</t>
        </is>
      </c>
      <c r="C29" s="4" t="inlineStr">
        <is>
          <t>Mașină industrială de spart nuci cu coloană de aspirație integrată (200 kg/h)</t>
        </is>
      </c>
      <c r="D29" s="4" t="inlineStr">
        <is>
          <t>Industrial Walnut Nutcracker with Built-in Aspiration Column (200 kg/h)</t>
        </is>
      </c>
      <c r="E29" s="5" t="inlineStr">
        <is>
          <t>până la 200 kg/h</t>
        </is>
      </c>
      <c r="F29" s="6" t="n">
        <v>200</v>
      </c>
      <c r="G29" s="5" t="inlineStr">
        <is>
          <t>continuu – tot anul</t>
        </is>
      </c>
      <c r="H29" s="7">
        <f>F29*'Linie ideala'!$C$5</f>
        <v/>
      </c>
      <c r="I29" s="8">
        <f>H29*'Linie ideala'!$C$7/1000</f>
        <v/>
      </c>
      <c r="J29" s="4" t="inlineStr">
        <is>
          <t>până la 80%</t>
        </is>
      </c>
      <c r="K29" s="4" t="inlineStr">
        <is>
          <t>2.05 kW</t>
        </is>
      </c>
      <c r="L29" s="4" t="inlineStr">
        <is>
          <t>380 V</t>
        </is>
      </c>
      <c r="M29" s="4" t="inlineStr"/>
      <c r="N29" s="4" t="inlineStr">
        <is>
          <t>nuci</t>
        </is>
      </c>
      <c r="O29" s="4" t="inlineStr">
        <is>
          <t>Mașină de spart nuci cu coloană de aspirație integrată – echipament pentru spargerea rapidă și productivă a nucilor, utilizat în întreprinderi mari și medii. Se deosebește de alte spărgătoare industriale prin productivitatea maximă. Acest model este echipat cu un mecanism de spargere de tip conic, prin care randamentul miezului întreg ajunge până la 80%, precum și cu aspirație integrată, care realizează separarea primară a cojii și a membranelor de miez. Toate acestea facilitează ulterior sortarea nucilor pe sită vibrantă cu aspirație sau sortarea manuală.</t>
        </is>
      </c>
      <c r="P29" s="9" t="inlineStr">
        <is>
          <t>https://nuttechnology.com/ro/produs/sp-rg-tor-de-nuci-industrial-din-lemn-de-nuc-cu-coloan-de-aspira-ie-ncorporat-200-kg-h/</t>
        </is>
      </c>
      <c r="Q29" s="9" t="inlineStr">
        <is>
          <t>https://nuttechnology.com/product/industrial-walnut-nutcracker-with-built-in-aspiration-column-200-kg-h/</t>
        </is>
      </c>
      <c r="R29" s="9" t="inlineStr">
        <is>
          <t>https://nuttechnology.com/wp-content/uploads/INDUSTRIAL-WALNUT-NUTCRACKER-WITH-BUILT-IN-ASPIRATION-COLUMN-200-KG_H_compressed.pdf</t>
        </is>
      </c>
      <c r="S29" s="9" t="inlineStr">
        <is>
          <t>Z:\00. Proiecte 2025\AFIR FotoVoltaic 1\50. Fabrica Nuci\nuttechnology.com\Brosuri echipamente\05. Spargere\04. Mașină industrială de spart nuci cu coloană de aspirație integrată (200 kg-h).pdf</t>
        </is>
      </c>
      <c r="T29" s="4" t="inlineStr"/>
    </row>
    <row r="30">
      <c r="A30" s="4" t="n">
        <v>26</v>
      </c>
      <c r="B30" s="4" t="inlineStr">
        <is>
          <t>Spargere</t>
        </is>
      </c>
      <c r="C30" s="4" t="inlineStr">
        <is>
          <t>Spărgător de nuci pentru etapa post-spărgere</t>
        </is>
      </c>
      <c r="D30" s="4" t="inlineStr">
        <is>
          <t>Walnut breaker after cracking machine</t>
        </is>
      </c>
      <c r="E30" s="5" t="inlineStr">
        <is>
          <t>până la 200 kg/h</t>
        </is>
      </c>
      <c r="F30" s="6" t="n">
        <v>200</v>
      </c>
      <c r="G30" s="5" t="inlineStr">
        <is>
          <t>continuu – tot anul</t>
        </is>
      </c>
      <c r="H30" s="7">
        <f>F30*'Linie ideala'!$C$5</f>
        <v/>
      </c>
      <c r="I30" s="8">
        <f>H30*'Linie ideala'!$C$7/1000</f>
        <v/>
      </c>
      <c r="J30" s="4" t="inlineStr"/>
      <c r="K30" s="4" t="inlineStr">
        <is>
          <t>1.1 kW</t>
        </is>
      </c>
      <c r="L30" s="4" t="inlineStr">
        <is>
          <t>380 V</t>
        </is>
      </c>
      <c r="M30" s="4" t="inlineStr"/>
      <c r="N30" s="4" t="inlineStr">
        <is>
          <t>nuci, alune, migdale</t>
        </is>
      </c>
      <c r="O30" s="4" t="inlineStr">
        <is>
          <t>Spărgătorul de nuci este utilizat pentru a reduce munca manuală și a accelera procesul de procesare. Acesta este ideal atât pentru spargerea nucilor cu coajă groasă, cât și a nucilor umede.</t>
        </is>
      </c>
      <c r="P30" s="9" t="inlineStr">
        <is>
          <t>https://nuttechnology.com/ro/produs/sp-rg-tor-de-nuci-dup-ma-ina-de-spart/</t>
        </is>
      </c>
      <c r="Q30" s="9" t="inlineStr">
        <is>
          <t>https://nuttechnology.com/product/walnut-breaker-after-cracking-machine/</t>
        </is>
      </c>
      <c r="R30" s="9" t="inlineStr">
        <is>
          <t>https://nuttechnology.com/wp-content/uploads/Walnut-breaker-after-cracking-machine_.pdf</t>
        </is>
      </c>
      <c r="S30" s="9" t="inlineStr">
        <is>
          <t>Z:\00. Proiecte 2025\AFIR FotoVoltaic 1\50. Fabrica Nuci\nuttechnology.com\Brosuri echipamente\05. Spargere\05. Spărgător de nuci pentru etapa post-spărgere.pdf</t>
        </is>
      </c>
      <c r="T30" s="4" t="inlineStr"/>
    </row>
    <row r="31">
      <c r="A31" s="4" t="n">
        <v>27</v>
      </c>
      <c r="B31" s="4" t="inlineStr">
        <is>
          <t>Spargere</t>
        </is>
      </c>
      <c r="C31" s="4" t="inlineStr">
        <is>
          <t>Spărgător cu tambur pentru alune și migdale</t>
        </is>
      </c>
      <c r="D31" s="4" t="inlineStr">
        <is>
          <t>Drum nutcracker for hazelnuts and almonds</t>
        </is>
      </c>
      <c r="E31" s="5" t="inlineStr">
        <is>
          <t>până la 200 kg/h</t>
        </is>
      </c>
      <c r="F31" s="6" t="n">
        <v>200</v>
      </c>
      <c r="G31" s="5" t="inlineStr">
        <is>
          <t>continuu – tot anul</t>
        </is>
      </c>
      <c r="H31" s="7">
        <f>F31*'Linie ideala'!$C$5</f>
        <v/>
      </c>
      <c r="I31" s="8">
        <f>H31*'Linie ideala'!$C$7/1000</f>
        <v/>
      </c>
      <c r="J31" s="4" t="inlineStr">
        <is>
          <t>până la 90%</t>
        </is>
      </c>
      <c r="K31" s="4" t="inlineStr">
        <is>
          <t>1.1 kW</t>
        </is>
      </c>
      <c r="L31" s="4" t="inlineStr">
        <is>
          <t>380 V</t>
        </is>
      </c>
      <c r="M31" s="4" t="inlineStr"/>
      <c r="N31" s="4" t="inlineStr">
        <is>
          <t>alune, migdale</t>
        </is>
      </c>
      <c r="O31" s="4" t="inlineStr">
        <is>
          <t>Un spărgător de nuci este utilizat pentru a minimiza munca manuală și a accelera procesul de prelucrare. Spărgătorul cu tambur este excelent pentru spargerea alunelor și migdalelor la scară industrială, oferind un randament ridicat de miezuri întregi.</t>
        </is>
      </c>
      <c r="P31" s="9" t="inlineStr">
        <is>
          <t>https://nuttechnology.com/ro/produs/fructier-pentru-nuci-alune-i-migdale/</t>
        </is>
      </c>
      <c r="Q31" s="9" t="inlineStr">
        <is>
          <t>https://nuttechnology.com/product/drum-nutcracker-for-hazelnuts-and-almonds/</t>
        </is>
      </c>
      <c r="R31" s="9" t="inlineStr">
        <is>
          <t>https://nuttechnology.com/wp-content/uploads/DRUM-NUTCRACKER-FOR-HAZELNUTS-AND-ALMONDS_.pdf</t>
        </is>
      </c>
      <c r="S31" s="9" t="inlineStr">
        <is>
          <t>Z:\00. Proiecte 2025\AFIR FotoVoltaic 1\50. Fabrica Nuci\nuttechnology.com\Brosuri echipamente\05. Spargere\06. Spărgător cu tambur pentru alune și migdale.pdf</t>
        </is>
      </c>
      <c r="T31" s="12" t="inlineStr">
        <is>
          <t>Pe site mai apare o intrare duplicat (ID 6138) cu pagină inexistentă.</t>
        </is>
      </c>
    </row>
    <row r="32">
      <c r="A32" s="4" t="n">
        <v>28</v>
      </c>
      <c r="B32" s="4" t="inlineStr">
        <is>
          <t>Spargere</t>
        </is>
      </c>
      <c r="C32" s="4" t="inlineStr">
        <is>
          <t>Spărgător de alune cu aspirație (200 kg/h)</t>
        </is>
      </c>
      <c r="D32" s="4" t="inlineStr">
        <is>
          <t>Hazelnuts Nutcracker with Aspiration (200 kg/h)</t>
        </is>
      </c>
      <c r="E32" s="5" t="inlineStr">
        <is>
          <t>până la 200 kg/h</t>
        </is>
      </c>
      <c r="F32" s="6" t="n">
        <v>200</v>
      </c>
      <c r="G32" s="5" t="inlineStr">
        <is>
          <t>continuu – tot anul</t>
        </is>
      </c>
      <c r="H32" s="7">
        <f>F32*'Linie ideala'!$C$5</f>
        <v/>
      </c>
      <c r="I32" s="8">
        <f>H32*'Linie ideala'!$C$7/1000</f>
        <v/>
      </c>
      <c r="J32" s="4" t="inlineStr">
        <is>
          <t>până la 90%</t>
        </is>
      </c>
      <c r="K32" s="4" t="inlineStr">
        <is>
          <t>1.1 kW</t>
        </is>
      </c>
      <c r="L32" s="4" t="inlineStr">
        <is>
          <t>380 V</t>
        </is>
      </c>
      <c r="M32" s="4" t="inlineStr"/>
      <c r="N32" s="4" t="inlineStr">
        <is>
          <t>alune, migdale</t>
        </is>
      </c>
      <c r="O32" s="4" t="inlineStr">
        <is>
          <t>Mașină combinată care sparge alunele și curăță instant miezul cu un flux puternic de aer. Mecanismul cu tambur asigură o spargere delicată, iar aspirația integrată elimină peste 90% din coji și praf. Alimentarea prin vibrații asigură o funcționare stabilă, fără intervenție constantă. Rezultat: miez curat, procesare rapidă, efort minim.</t>
        </is>
      </c>
      <c r="P32" s="9" t="inlineStr">
        <is>
          <t>https://nuttechnology.com/ro/produs/sp-rg-tor-de-alune-cu-aspira-ie-200-kg-h/</t>
        </is>
      </c>
      <c r="Q32" s="9" t="inlineStr">
        <is>
          <t>https://nuttechnology.com/product/hazelnuts-nutcracker-with-aspiration-200-kg-h/</t>
        </is>
      </c>
      <c r="R32" s="9" t="inlineStr">
        <is>
          <t>https://nuttechnology.com/wp-content/uploads/DRUM-NUTCRACKER-FOR-HAZELNUTS-AND-ALMONDS_.pdf</t>
        </is>
      </c>
      <c r="S32" s="9" t="inlineStr">
        <is>
          <t>Z:\00. Proiecte 2025\AFIR FotoVoltaic 1\50. Fabrica Nuci\nuttechnology.com\Brosuri echipamente\05. Spargere\07. Spărgător de alune cu aspirație (200 kg-h).pdf</t>
        </is>
      </c>
      <c r="T32" s="12" t="inlineStr">
        <is>
          <t>Broșură comună cu spărgătorul cu tambur pentru alune și migdale (fără coloană de aspirație).</t>
        </is>
      </c>
    </row>
    <row r="33">
      <c r="A33" s="10" t="n">
        <v>29</v>
      </c>
      <c r="B33" s="10" t="inlineStr">
        <is>
          <t>Separare miez si sortare</t>
        </is>
      </c>
      <c r="C33" s="10" t="inlineStr">
        <is>
          <t>Mașină pentru separarea miezului de coajă (100 kg/h)</t>
        </is>
      </c>
      <c r="D33" s="10" t="inlineStr">
        <is>
          <t>Machine for separating kernel from the shell (100 kg/h)</t>
        </is>
      </c>
      <c r="E33" s="5" t="inlineStr">
        <is>
          <t>până la 100 kg/h</t>
        </is>
      </c>
      <c r="F33" s="6" t="n">
        <v>100</v>
      </c>
      <c r="G33" s="5" t="inlineStr">
        <is>
          <t>continuu – tot anul</t>
        </is>
      </c>
      <c r="H33" s="7">
        <f>F33*'Linie ideala'!$C$5</f>
        <v/>
      </c>
      <c r="I33" s="8">
        <f>H33*'Linie ideala'!$C$7/1000</f>
        <v/>
      </c>
      <c r="J33" s="10" t="inlineStr"/>
      <c r="K33" s="10" t="inlineStr">
        <is>
          <t>0.55 kW</t>
        </is>
      </c>
      <c r="L33" s="10" t="inlineStr">
        <is>
          <t>220 V</t>
        </is>
      </c>
      <c r="M33" s="10" t="inlineStr">
        <is>
          <t>oțel</t>
        </is>
      </c>
      <c r="N33" s="10" t="inlineStr">
        <is>
          <t>nuci, alune, migdale</t>
        </is>
      </c>
      <c r="O33" s="10" t="inlineStr">
        <is>
          <t>Mașina pentru separarea miezului de coajă este un echipament destinat separării cojilor, membranelor, prafului și reziduurilor din miezul de nucă. Cu ajutorul unei coloane de aspirație, procesarea nucilor este accelerată semnificativ, iar calitatea randamentului de miez crește (miezul nu conține praf, fragmente de membrane sau coajă).</t>
        </is>
      </c>
      <c r="P33" s="11" t="inlineStr">
        <is>
          <t>https://nuttechnology.com/ro/produs/ma-in-de-separat-miezul-de-coaj-100-kg-h/</t>
        </is>
      </c>
      <c r="Q33" s="11" t="inlineStr">
        <is>
          <t>https://nuttechnology.com/product/machine-for-separating-kernel-from-the-shell-100-kg-h/</t>
        </is>
      </c>
      <c r="R33" s="11" t="inlineStr">
        <is>
          <t>https://nuttechnology.com/wp-content/uploads/Machine-for-separating-kernel-from-the-shell-100-kg_h.pdf</t>
        </is>
      </c>
      <c r="S33" s="11" t="inlineStr">
        <is>
          <t>Z:\00. Proiecte 2025\AFIR FotoVoltaic 1\50. Fabrica Nuci\nuttechnology.com\Brosuri echipamente\06. Separare miez si sortare\01. Mașină pentru separarea miezului de coajă (100 kg-h).pdf</t>
        </is>
      </c>
      <c r="T33" s="10" t="inlineStr"/>
    </row>
    <row r="34">
      <c r="A34" s="10" t="n">
        <v>30</v>
      </c>
      <c r="B34" s="10" t="inlineStr">
        <is>
          <t>Separare miez si sortare</t>
        </is>
      </c>
      <c r="C34" s="10" t="inlineStr">
        <is>
          <t>Mașină pentru separarea miezului de coajă (300 kg/h)</t>
        </is>
      </c>
      <c r="D34" s="10" t="inlineStr">
        <is>
          <t>Machine for separating kernel from the shell (300 kg/h)</t>
        </is>
      </c>
      <c r="E34" s="5" t="inlineStr">
        <is>
          <t>până la 300 kg/h</t>
        </is>
      </c>
      <c r="F34" s="6" t="n">
        <v>300</v>
      </c>
      <c r="G34" s="5" t="inlineStr">
        <is>
          <t>continuu – tot anul</t>
        </is>
      </c>
      <c r="H34" s="7">
        <f>F34*'Linie ideala'!$C$5</f>
        <v/>
      </c>
      <c r="I34" s="8">
        <f>H34*'Linie ideala'!$C$7/1000</f>
        <v/>
      </c>
      <c r="J34" s="10" t="inlineStr"/>
      <c r="K34" s="10" t="inlineStr">
        <is>
          <t>1.5 kW</t>
        </is>
      </c>
      <c r="L34" s="10" t="inlineStr">
        <is>
          <t>220 / 380 V</t>
        </is>
      </c>
      <c r="M34" s="10" t="inlineStr">
        <is>
          <t>oțel</t>
        </is>
      </c>
      <c r="N34" s="10" t="inlineStr">
        <is>
          <t>nuci, alune, migdale</t>
        </is>
      </c>
      <c r="O34" s="10" t="inlineStr">
        <is>
          <t>Mașina pentru separarea miezului de coajă este un echipament destinat separării cojilor, membranelor, prafului și reziduurilor din miezul de nucă. Cu ajutorul unei coloane de aspirație, procesarea nucilor este accelerată semnificativ, iar calitatea randamentului de miez crește (miezul nu conține praf, fragmente de membrane sau coajă).</t>
        </is>
      </c>
      <c r="P34" s="11" t="inlineStr">
        <is>
          <t>https://nuttechnology.com/ro/produs/ma-in-pentru-separarea-miezului-de-coaj-300-kg-h/</t>
        </is>
      </c>
      <c r="Q34" s="11" t="inlineStr">
        <is>
          <t>https://nuttechnology.com/product/machine-for-separating-kernel-from-the-shell-300-kg-h/</t>
        </is>
      </c>
      <c r="R34" s="11" t="inlineStr">
        <is>
          <t>https://nuttechnology.com/wp-content/uploads/Machine-for-separating-kernel-from-the-shell-300-kg_h.pdf</t>
        </is>
      </c>
      <c r="S34" s="11" t="inlineStr">
        <is>
          <t>Z:\00. Proiecte 2025\AFIR FotoVoltaic 1\50. Fabrica Nuci\nuttechnology.com\Brosuri echipamente\06. Separare miez si sortare\02. Mașină pentru separarea miezului de coajă (300 kg-h).pdf</t>
        </is>
      </c>
      <c r="T34" s="10" t="inlineStr"/>
    </row>
    <row r="35">
      <c r="A35" s="10" t="n">
        <v>31</v>
      </c>
      <c r="B35" s="10" t="inlineStr">
        <is>
          <t>Separare miez si sortare</t>
        </is>
      </c>
      <c r="C35" s="10" t="inlineStr">
        <is>
          <t>Mașină pentru separarea miezului de nucă (200 kg/h)</t>
        </is>
      </c>
      <c r="D35" s="10" t="inlineStr">
        <is>
          <t>Walnut kernel separating machine (200 kg/h)</t>
        </is>
      </c>
      <c r="E35" s="5" t="inlineStr">
        <is>
          <t>până la 200 kg/h</t>
        </is>
      </c>
      <c r="F35" s="6" t="n">
        <v>200</v>
      </c>
      <c r="G35" s="5" t="inlineStr">
        <is>
          <t>continuu – tot anul</t>
        </is>
      </c>
      <c r="H35" s="7">
        <f>F35*'Linie ideala'!$C$5</f>
        <v/>
      </c>
      <c r="I35" s="8">
        <f>H35*'Linie ideala'!$C$7/1000</f>
        <v/>
      </c>
      <c r="J35" s="10" t="inlineStr"/>
      <c r="K35" s="10" t="inlineStr">
        <is>
          <t>0.55 kW</t>
        </is>
      </c>
      <c r="L35" s="10" t="inlineStr">
        <is>
          <t>220 / 380 V</t>
        </is>
      </c>
      <c r="M35" s="10" t="inlineStr">
        <is>
          <t>oțel</t>
        </is>
      </c>
      <c r="N35" s="10" t="inlineStr">
        <is>
          <t>nuci, alune, migdale</t>
        </is>
      </c>
      <c r="O35" s="10" t="inlineStr">
        <is>
          <t>Sita vibrantă accelerează și facilitează procesul de sortare a miezului după dimensiune. Mașina este indispensabilă în întreprinderile industriale pentru procesarea nucilor.</t>
        </is>
      </c>
      <c r="P35" s="11" t="inlineStr">
        <is>
          <t>https://nuttechnology.com/ro/produs/ma-in-de-separat-miez-de-nuc-200-kg-h/</t>
        </is>
      </c>
      <c r="Q35" s="11" t="inlineStr">
        <is>
          <t>https://nuttechnology.com/product/walnut-kernel-separating-machine-200-kg-h/</t>
        </is>
      </c>
      <c r="R35" s="11" t="inlineStr">
        <is>
          <t>https://nuttechnology.com/wp-content/uploads/Walnut-kernel-separating-machine-200-kg_h.pdf</t>
        </is>
      </c>
      <c r="S35" s="11" t="inlineStr">
        <is>
          <t>Z:\00. Proiecte 2025\AFIR FotoVoltaic 1\50. Fabrica Nuci\nuttechnology.com\Brosuri echipamente\06. Separare miez si sortare\03. Mașină pentru separarea miezului de nucă (200 kg-h).pdf</t>
        </is>
      </c>
      <c r="T35" s="10" t="inlineStr"/>
    </row>
    <row r="36">
      <c r="A36" s="10" t="n">
        <v>32</v>
      </c>
      <c r="B36" s="10" t="inlineStr">
        <is>
          <t>Separare miez si sortare</t>
        </is>
      </c>
      <c r="C36" s="10" t="inlineStr">
        <is>
          <t>Sit vibratoare cu aspirație pentru sortarea nucilor (200 kg/h)</t>
        </is>
      </c>
      <c r="D36" s="10" t="inlineStr">
        <is>
          <t>Vibrating sieve with aspiration for sorting walnuts (200 kg/h)</t>
        </is>
      </c>
      <c r="E36" s="5" t="inlineStr">
        <is>
          <t>până la 200 kg/h</t>
        </is>
      </c>
      <c r="F36" s="6" t="n">
        <v>200</v>
      </c>
      <c r="G36" s="5" t="inlineStr">
        <is>
          <t>continuu – tot anul</t>
        </is>
      </c>
      <c r="H36" s="7">
        <f>F36*'Linie ideala'!$C$5</f>
        <v/>
      </c>
      <c r="I36" s="8">
        <f>H36*'Linie ideala'!$C$7/1000</f>
        <v/>
      </c>
      <c r="J36" s="10" t="inlineStr"/>
      <c r="K36" s="10" t="inlineStr">
        <is>
          <t>1.9 kW</t>
        </is>
      </c>
      <c r="L36" s="10" t="inlineStr">
        <is>
          <t>380 V</t>
        </is>
      </c>
      <c r="M36" s="10" t="inlineStr">
        <is>
          <t>oțel</t>
        </is>
      </c>
      <c r="N36" s="10" t="inlineStr">
        <is>
          <t>nuci, alune, migdale</t>
        </is>
      </c>
      <c r="O36" s="10" t="inlineStr">
        <is>
          <t>Sita vibrantă cu aspirație accelerează și facilitează procesul de sortare a miezului după dimensiune și separarea miezului de coajă. Instalația este indispensabilă în întreprinderile industriale pentru procesarea nucilor.</t>
        </is>
      </c>
      <c r="P36" s="11" t="inlineStr">
        <is>
          <t>https://nuttechnology.com/ro/produs/sita-vibratoare-cu-aspiratie-pentru-sortat-nuci-200-kg-h/</t>
        </is>
      </c>
      <c r="Q36" s="11" t="inlineStr">
        <is>
          <t>https://nuttechnology.com/product/vibrating-sieve-with-aspiration-for-sorting-walnuts-200-kg-h/</t>
        </is>
      </c>
      <c r="R36" s="11" t="inlineStr">
        <is>
          <t>https://nuttechnology.com/wp-content/uploads/Vibrating-sieve-with-aspiration-for-sorting-walnut-kernels-200-kg-h.pdf</t>
        </is>
      </c>
      <c r="S36" s="11" t="inlineStr">
        <is>
          <t>Z:\00. Proiecte 2025\AFIR FotoVoltaic 1\50. Fabrica Nuci\nuttechnology.com\Brosuri echipamente\06. Separare miez si sortare\04. Sit vibratoare cu aspirație pentru sortarea nucilor (200 kg-h).pdf</t>
        </is>
      </c>
      <c r="T36" s="10" t="inlineStr"/>
    </row>
    <row r="37">
      <c r="A37" s="10" t="n">
        <v>33</v>
      </c>
      <c r="B37" s="10" t="inlineStr">
        <is>
          <t>Separare miez si sortare</t>
        </is>
      </c>
      <c r="C37" s="10" t="inlineStr">
        <is>
          <t>Sit vibratoare cu aspirație pentru sortarea nucilor (300 kg/h)</t>
        </is>
      </c>
      <c r="D37" s="10" t="inlineStr">
        <is>
          <t>Vibrating sieve with aspiration for sorting walnuts (300 kg/h)</t>
        </is>
      </c>
      <c r="E37" s="5" t="inlineStr">
        <is>
          <t>până la 300 kg/h</t>
        </is>
      </c>
      <c r="F37" s="6" t="n">
        <v>300</v>
      </c>
      <c r="G37" s="5" t="inlineStr">
        <is>
          <t>continuu – tot anul</t>
        </is>
      </c>
      <c r="H37" s="7">
        <f>F37*'Linie ideala'!$C$5</f>
        <v/>
      </c>
      <c r="I37" s="8">
        <f>H37*'Linie ideala'!$C$7/1000</f>
        <v/>
      </c>
      <c r="J37" s="10" t="inlineStr"/>
      <c r="K37" s="10" t="inlineStr">
        <is>
          <t>3 kW</t>
        </is>
      </c>
      <c r="L37" s="10" t="inlineStr">
        <is>
          <t>380 V</t>
        </is>
      </c>
      <c r="M37" s="10" t="inlineStr">
        <is>
          <t>oțel</t>
        </is>
      </c>
      <c r="N37" s="10" t="inlineStr">
        <is>
          <t>nuci, alune, migdale</t>
        </is>
      </c>
      <c r="O37" s="10" t="inlineStr">
        <is>
          <t>Când vine vorba de producția de nuci, utilizarea unei site vibrante cu sistem de aspirație este esențială; acest echipament automatizat simplifică procesul de sortare, crește eficiența și asigură funcționarea neîntreruptă.</t>
        </is>
      </c>
      <c r="P37" s="11" t="inlineStr">
        <is>
          <t>https://nuttechnology.com/ro/produs/sit-vibrant-cu-aspira-ie-pentru-sortat-nuci-300-kg-h/</t>
        </is>
      </c>
      <c r="Q37" s="11" t="inlineStr">
        <is>
          <t>https://nuttechnology.com/product/vibrating-sieve-with-aspiration-for-sorting-walnuts-300-kg-h/</t>
        </is>
      </c>
      <c r="R37" s="11" t="inlineStr">
        <is>
          <t>https://nuttechnology.com/wp-content/uploads/Vibrating-sieve-with-aspiration-for-sorting-walnut-kernels-300-kg_h.pdf</t>
        </is>
      </c>
      <c r="S37" s="11" t="inlineStr">
        <is>
          <t>Z:\00. Proiecte 2025\AFIR FotoVoltaic 1\50. Fabrica Nuci\nuttechnology.com\Brosuri echipamente\06. Separare miez si sortare\05. Sit vibratoare cu aspirație pentru sortarea nucilor (300 kg-h).pdf</t>
        </is>
      </c>
      <c r="T37" s="10" t="inlineStr"/>
    </row>
    <row r="38">
      <c r="A38" s="10" t="n">
        <v>34</v>
      </c>
      <c r="B38" s="10" t="inlineStr">
        <is>
          <t>Separare miez si sortare</t>
        </is>
      </c>
      <c r="C38" s="10" t="inlineStr">
        <is>
          <t>Transportor elevatoare pentru nuci</t>
        </is>
      </c>
      <c r="D38" s="10" t="inlineStr">
        <is>
          <t>Lifting conveyor for walnut</t>
        </is>
      </c>
      <c r="E38" s="5" t="inlineStr"/>
      <c r="F38" s="6" t="inlineStr"/>
      <c r="G38" s="5" t="inlineStr">
        <is>
          <t>—</t>
        </is>
      </c>
      <c r="H38" s="7" t="inlineStr"/>
      <c r="I38" s="8" t="inlineStr"/>
      <c r="J38" s="10" t="inlineStr"/>
      <c r="K38" s="10" t="inlineStr">
        <is>
          <t>0.55 kW</t>
        </is>
      </c>
      <c r="L38" s="10" t="inlineStr">
        <is>
          <t>220 / 380 V</t>
        </is>
      </c>
      <c r="M38" s="10" t="inlineStr">
        <is>
          <t>oțel, PVC</t>
        </is>
      </c>
      <c r="N38" s="10" t="inlineStr">
        <is>
          <t>nuci, alune, migdale</t>
        </is>
      </c>
      <c r="O38" s="10" t="inlineStr">
        <is>
          <t>Automatizarea producției este imposibilă fără un transportor; acesta reduce numărul de angajați, accelerează și facilitează procesul de producție.</t>
        </is>
      </c>
      <c r="P38" s="11" t="inlineStr">
        <is>
          <t>https://nuttechnology.com/ro/produs/transportor-liftant-pentru-nuci/</t>
        </is>
      </c>
      <c r="Q38" s="11" t="inlineStr">
        <is>
          <t>https://nuttechnology.com/product/lifting-conveyor-for-walnut/</t>
        </is>
      </c>
      <c r="R38" s="11" t="inlineStr">
        <is>
          <t>https://nuttechnology.com/wp-content/uploads/Lifting-conveyor-for-walnut.pdf</t>
        </is>
      </c>
      <c r="S38" s="11" t="inlineStr">
        <is>
          <t>Z:\00. Proiecte 2025\AFIR FotoVoltaic 1\50. Fabrica Nuci\nuttechnology.com\Brosuri echipamente\06. Separare miez si sortare\06. Transportor elevatoare pentru nuci.pdf</t>
        </is>
      </c>
      <c r="T38" s="10" t="inlineStr"/>
    </row>
    <row r="39">
      <c r="A39" s="10" t="n">
        <v>35</v>
      </c>
      <c r="B39" s="10" t="inlineStr">
        <is>
          <t>Separare miez si sortare</t>
        </is>
      </c>
      <c r="C39" s="10" t="inlineStr">
        <is>
          <t>Masă de inspecție cu bandă</t>
        </is>
      </c>
      <c r="D39" s="10" t="inlineStr">
        <is>
          <t>Belt inspection table</t>
        </is>
      </c>
      <c r="E39" s="5" t="inlineStr"/>
      <c r="F39" s="6" t="inlineStr"/>
      <c r="G39" s="5" t="inlineStr">
        <is>
          <t>—</t>
        </is>
      </c>
      <c r="H39" s="7" t="inlineStr"/>
      <c r="I39" s="8" t="inlineStr"/>
      <c r="J39" s="10" t="inlineStr"/>
      <c r="K39" s="10" t="inlineStr">
        <is>
          <t>0.55 kW</t>
        </is>
      </c>
      <c r="L39" s="10" t="inlineStr">
        <is>
          <t>220 / 380 V</t>
        </is>
      </c>
      <c r="M39" s="10" t="inlineStr">
        <is>
          <t>oțel, PVC</t>
        </is>
      </c>
      <c r="N39" s="10" t="inlineStr">
        <is>
          <t>nuci, alune, migdale</t>
        </is>
      </c>
      <c r="O39" s="10" t="inlineStr">
        <is>
          <t>Masa de inspecție este utilizată pentru controlul vizual al calității produsului finit; acesta este un pas important și final al procesării înainte de ambalare.</t>
        </is>
      </c>
      <c r="P39" s="11" t="inlineStr">
        <is>
          <t>https://nuttechnology.com/ro/produs/masa-de-inspec-ie-a-curelelor/</t>
        </is>
      </c>
      <c r="Q39" s="11" t="inlineStr">
        <is>
          <t>https://nuttechnology.com/product/belt-inspection-table/</t>
        </is>
      </c>
      <c r="R39" s="11" t="inlineStr">
        <is>
          <t>https://nuttechnology.com/wp-content/uploads/Belt-inspection-table_compressed.pdf</t>
        </is>
      </c>
      <c r="S39" s="11" t="inlineStr">
        <is>
          <t>Z:\00. Proiecte 2025\AFIR FotoVoltaic 1\50. Fabrica Nuci\nuttechnology.com\Brosuri echipamente\06. Separare miez si sortare\07. Masă de inspecție cu bandă.pdf</t>
        </is>
      </c>
      <c r="T39" s="10" t="inlineStr"/>
    </row>
    <row r="40">
      <c r="A40" s="10" t="n">
        <v>36</v>
      </c>
      <c r="B40" s="10" t="inlineStr">
        <is>
          <t>Separare miez si sortare</t>
        </is>
      </c>
      <c r="C40" s="10" t="inlineStr">
        <is>
          <t>Masă de inspecție cu bandă pe două niveluri</t>
        </is>
      </c>
      <c r="D40" s="10" t="inlineStr">
        <is>
          <t>Two-level belt inspection table</t>
        </is>
      </c>
      <c r="E40" s="5" t="inlineStr"/>
      <c r="F40" s="6" t="inlineStr"/>
      <c r="G40" s="5" t="inlineStr">
        <is>
          <t>—</t>
        </is>
      </c>
      <c r="H40" s="7" t="inlineStr"/>
      <c r="I40" s="8" t="inlineStr"/>
      <c r="J40" s="10" t="inlineStr"/>
      <c r="K40" s="10" t="inlineStr">
        <is>
          <t>1.1 kW</t>
        </is>
      </c>
      <c r="L40" s="10" t="inlineStr">
        <is>
          <t>220/380 V</t>
        </is>
      </c>
      <c r="M40" s="10" t="inlineStr">
        <is>
          <t>oțel, PVC</t>
        </is>
      </c>
      <c r="N40" s="10" t="inlineStr">
        <is>
          <t>nuci</t>
        </is>
      </c>
      <c r="O40" s="10" t="inlineStr">
        <is>
          <t>Masa de inspecție este utilizată pentru controlul vizual al calității produsului finit; acesta este un pas important și final al procesării înainte de ambalare.</t>
        </is>
      </c>
      <c r="P40" s="11" t="inlineStr">
        <is>
          <t>https://nuttechnology.com/ro/produs/mas-de-inspec-ie-cu-band-cu-dou-niveluri/</t>
        </is>
      </c>
      <c r="Q40" s="11" t="inlineStr">
        <is>
          <t>https://nuttechnology.com/product/two-level-belt-inspection-table/</t>
        </is>
      </c>
      <c r="R40" s="11" t="inlineStr">
        <is>
          <t>https://nuttechnology.com/wp-content/uploads/Two-level-belt-inspection-table.pdf</t>
        </is>
      </c>
      <c r="S40" s="11" t="inlineStr">
        <is>
          <t>Z:\00. Proiecte 2025\AFIR FotoVoltaic 1\50. Fabrica Nuci\nuttechnology.com\Brosuri echipamente\06. Separare miez si sortare\08. Masă de inspecție cu bandă pe două niveluri.pdf</t>
        </is>
      </c>
      <c r="T40" s="10" t="inlineStr"/>
    </row>
    <row r="41">
      <c r="A41" s="4" t="n">
        <v>37</v>
      </c>
      <c r="B41" s="4" t="inlineStr">
        <is>
          <t>Sortatoare optice</t>
        </is>
      </c>
      <c r="C41" s="4" t="inlineStr">
        <is>
          <t>Sortator optic IR-63</t>
        </is>
      </c>
      <c r="D41" s="4" t="inlineStr">
        <is>
          <t>Color Sorter IR-63</t>
        </is>
      </c>
      <c r="E41" s="5" t="inlineStr">
        <is>
          <t>până la 200 kg/h</t>
        </is>
      </c>
      <c r="F41" s="6" t="n">
        <v>200</v>
      </c>
      <c r="G41" s="5" t="inlineStr">
        <is>
          <t>continuu – tot anul</t>
        </is>
      </c>
      <c r="H41" s="7">
        <f>F41*'Linie ideala'!$C$5</f>
        <v/>
      </c>
      <c r="I41" s="8">
        <f>H41*'Linie ideala'!$C$7/1000</f>
        <v/>
      </c>
      <c r="J41" s="4" t="inlineStr">
        <is>
          <t>până la 99,5%</t>
        </is>
      </c>
      <c r="K41" s="4" t="inlineStr">
        <is>
          <t>1.1 kW</t>
        </is>
      </c>
      <c r="L41" s="4" t="inlineStr">
        <is>
          <t>220 V</t>
        </is>
      </c>
      <c r="M41" s="4" t="inlineStr"/>
      <c r="N41" s="4" t="inlineStr">
        <is>
          <t>nuci, alune, migdale</t>
        </is>
      </c>
      <c r="O41" s="4" t="inlineStr">
        <is>
          <t>Sortator optic pentru separarea cojilor de nuci și sortarea miezului după culoare; mașina de sortare cu infraroșu este o soluție avansată pentru separarea cu înaltă precizie și eficiență a cojii de miez, iar datorită inteligenței artificiale integrate oferă o acuratețe impresionantă de până la 99,9%, fiind ideală pentru nuci, alune, arahide, fasole, mazăre și alte leguminoase, semințe de floarea-soarelui, semințe de dovleac, fructe uscate, porumb și alte produse vrac.</t>
        </is>
      </c>
      <c r="P41" s="9" t="inlineStr">
        <is>
          <t>https://nuttechnology.com/ro/produs/sortator-de-culori-ir-63/</t>
        </is>
      </c>
      <c r="Q41" s="9" t="inlineStr">
        <is>
          <t>https://nuttechnology.com/product/color-sorter-ir-63/</t>
        </is>
      </c>
      <c r="R41" s="4" t="inlineStr">
        <is>
          <t>— (link greșit pe site)</t>
        </is>
      </c>
      <c r="S41" s="4" t="inlineStr"/>
      <c r="T41" s="12" t="inlineStr">
        <is>
          <t>Site-ul trimite GREȘIT la broșura spărgătorului cu tambur pt. alune/migdale – nu există broșură PDF pentru acest sortator; de cerut de la producător.</t>
        </is>
      </c>
    </row>
    <row r="42">
      <c r="A42" s="4" t="n">
        <v>38</v>
      </c>
      <c r="B42" s="4" t="inlineStr">
        <is>
          <t>Sortatoare optice</t>
        </is>
      </c>
      <c r="C42" s="4" t="inlineStr">
        <is>
          <t>Sortator optic 3S</t>
        </is>
      </c>
      <c r="D42" s="4" t="inlineStr">
        <is>
          <t>Color Sorter 3S</t>
        </is>
      </c>
      <c r="E42" s="5" t="inlineStr">
        <is>
          <t>până la 400 kg/h</t>
        </is>
      </c>
      <c r="F42" s="6" t="n">
        <v>400</v>
      </c>
      <c r="G42" s="5" t="inlineStr">
        <is>
          <t>continuu – tot anul</t>
        </is>
      </c>
      <c r="H42" s="7">
        <f>F42*'Linie ideala'!$C$5</f>
        <v/>
      </c>
      <c r="I42" s="8">
        <f>H42*'Linie ideala'!$C$7/1000</f>
        <v/>
      </c>
      <c r="J42" s="4" t="inlineStr">
        <is>
          <t>până la 99,5%</t>
        </is>
      </c>
      <c r="K42" s="4" t="inlineStr">
        <is>
          <t>2 kW</t>
        </is>
      </c>
      <c r="L42" s="4" t="inlineStr">
        <is>
          <t>220 V</t>
        </is>
      </c>
      <c r="M42" s="4" t="inlineStr"/>
      <c r="N42" s="4" t="inlineStr">
        <is>
          <t>nuci, alune, migdale</t>
        </is>
      </c>
      <c r="O42" s="4" t="inlineStr">
        <is>
          <t>Sortator optic pentru separarea cojilor de nuci și sortarea miezului după culoare; mașina de sortare cu infraroșu este o soluție avansată pentru separarea cu înaltă precizie și eficiență a cojii de miez, iar datorită inteligenței artificiale integrate oferă o acuratețe impresionantă de până la 99,9%, fiind ideală pentru nuci, alune, arahide, fasole, mazăre și alte leguminoase, semințe de floarea-soarelui, semințe de dovleac, fructe uscate, porumb și alte produse vrac.</t>
        </is>
      </c>
      <c r="P42" s="9" t="inlineStr">
        <is>
          <t>https://nuttechnology.com/ro/produs/color-sorter-3s/</t>
        </is>
      </c>
      <c r="Q42" s="9" t="inlineStr">
        <is>
          <t>https://nuttechnology.com/product/color-sorter-3s/</t>
        </is>
      </c>
      <c r="R42" s="9" t="inlineStr">
        <is>
          <t>https://nuttechnology.com/wp-content/uploads/36.png</t>
        </is>
      </c>
      <c r="S42" s="9" t="inlineStr">
        <is>
          <t>Z:\00. Proiecte 2025\AFIR FotoVoltaic 1\50. Fabrica Nuci\nuttechnology.com\Brosuri echipamente\07. Sortatoare optice\02. Sortator optic 3S - imagine (fara brosura).png</t>
        </is>
      </c>
      <c r="T42" s="12" t="inlineStr">
        <is>
          <t>Nu există broșură PDF – pe site este atașată doar o imagine (salvată în folder).</t>
        </is>
      </c>
    </row>
    <row r="43">
      <c r="A43" s="4" t="n">
        <v>39</v>
      </c>
      <c r="B43" s="4" t="inlineStr">
        <is>
          <t>Sortatoare optice</t>
        </is>
      </c>
      <c r="C43" s="4" t="inlineStr">
        <is>
          <t>Sortator optic cu bandă M600</t>
        </is>
      </c>
      <c r="D43" s="4" t="inlineStr">
        <is>
          <t>Belt Color Sorter M600</t>
        </is>
      </c>
      <c r="E43" s="5" t="inlineStr">
        <is>
          <t>până la 600 kg/h</t>
        </is>
      </c>
      <c r="F43" s="6" t="n">
        <v>600</v>
      </c>
      <c r="G43" s="5" t="inlineStr">
        <is>
          <t>continuu – tot anul</t>
        </is>
      </c>
      <c r="H43" s="7">
        <f>F43*'Linie ideala'!$C$5</f>
        <v/>
      </c>
      <c r="I43" s="8">
        <f>H43*'Linie ideala'!$C$7/1000</f>
        <v/>
      </c>
      <c r="J43" s="4" t="inlineStr">
        <is>
          <t>până la 99,5%</t>
        </is>
      </c>
      <c r="K43" s="4" t="inlineStr">
        <is>
          <t>1.1 kW</t>
        </is>
      </c>
      <c r="L43" s="4" t="inlineStr">
        <is>
          <t>220 V</t>
        </is>
      </c>
      <c r="M43" s="4" t="inlineStr"/>
      <c r="N43" s="4" t="inlineStr">
        <is>
          <t>nuci, alune, migdale</t>
        </is>
      </c>
      <c r="O43" s="4" t="inlineStr">
        <is>
          <t>Sortator optic pentru separarea cojilor de nuci și sortarea miezului după culoare; mașina de sortare cu infraroșu este o soluție avansată pentru separarea cu înaltă precizie și eficiență a cojii de miez, iar datorită inteligenței artificiale integrate oferă o acuratețe impresionantă de până la 99,9%, fiind ideală pentru nuci, alune, arahide, fasole, mazăre și alte leguminoase, semințe de floarea-soarelui, semințe de dovleac, fructe uscate, porumb și alte produse vrac.</t>
        </is>
      </c>
      <c r="P43" s="9" t="inlineStr">
        <is>
          <t>https://nuttechnology.com/ro/produs/belt-color-sorter-m600/</t>
        </is>
      </c>
      <c r="Q43" s="9" t="inlineStr">
        <is>
          <t>https://nuttechnology.com/product/belt-color-sorter-m600/</t>
        </is>
      </c>
      <c r="R43" s="9" t="inlineStr">
        <is>
          <t>https://nuttechnology.com/wp-content/uploads/m300.jpg</t>
        </is>
      </c>
      <c r="S43" s="9" t="inlineStr">
        <is>
          <t>Z:\00. Proiecte 2025\AFIR FotoVoltaic 1\50. Fabrica Nuci\nuttechnology.com\Brosuri echipamente\07. Sortatoare optice\03. Sortator optic cu bandă M600 - imagine (fara brosura).jpg</t>
        </is>
      </c>
      <c r="T43" s="12" t="inlineStr">
        <is>
          <t>Nu există broșură PDF – pe site este atașată doar o imagine (salvată în folder).</t>
        </is>
      </c>
    </row>
    <row r="44">
      <c r="A44" s="10" t="n">
        <v>40</v>
      </c>
      <c r="B44" s="10" t="inlineStr">
        <is>
          <t>Linii complete de procesare</t>
        </is>
      </c>
      <c r="C44" s="10" t="inlineStr">
        <is>
          <t>Linie de spălare și uscare a nucilor (500 kg/h)</t>
        </is>
      </c>
      <c r="D44" s="10" t="inlineStr">
        <is>
          <t>Walnut washing and drying line (500 kg/h)</t>
        </is>
      </c>
      <c r="E44" s="5" t="inlineStr">
        <is>
          <t>până la 500 kg/h</t>
        </is>
      </c>
      <c r="F44" s="6" t="n">
        <v>500</v>
      </c>
      <c r="G44" s="5" t="inlineStr">
        <is>
          <t>continuu – sezon</t>
        </is>
      </c>
      <c r="H44" s="7">
        <f>F44*'Linie ideala'!$C$6</f>
        <v/>
      </c>
      <c r="I44" s="8">
        <f>H44*'Linie ideala'!$C$8/1000</f>
        <v/>
      </c>
      <c r="J44" s="10" t="inlineStr"/>
      <c r="K44" s="10" t="inlineStr"/>
      <c r="L44" s="10" t="inlineStr">
        <is>
          <t>220 / 380 V</t>
        </is>
      </c>
      <c r="M44" s="10" t="inlineStr">
        <is>
          <t>oțel</t>
        </is>
      </c>
      <c r="N44" s="10" t="inlineStr">
        <is>
          <t>nuci</t>
        </is>
      </c>
      <c r="O44" s="10" t="inlineStr">
        <is>
          <t>Linia de spălare și uscare permite procesarea unor volume mari de nuci într-un timp scurt și oferă posibilitatea de a începe vânzarea sau procesarea nucilor înaintea concurenților.</t>
        </is>
      </c>
      <c r="P44" s="11" t="inlineStr">
        <is>
          <t>https://nuttechnology.com/ro/produs/linie-de-sp-lare-i-uscare-nuci-500-kg-h/</t>
        </is>
      </c>
      <c r="Q44" s="11" t="inlineStr">
        <is>
          <t>https://nuttechnology.com/product/walnut-washing-and-drying-line-500-kg-h/</t>
        </is>
      </c>
      <c r="R44" s="11" t="inlineStr">
        <is>
          <t>https://nuttechnology.com/wp-content/uploads/Walnut-cleaning-and-drying-line.pdf</t>
        </is>
      </c>
      <c r="S44" s="11" t="inlineStr">
        <is>
          <t>Z:\00. Proiecte 2025\AFIR FotoVoltaic 1\50. Fabrica Nuci\nuttechnology.com\Brosuri echipamente\08. Linii complete de procesare\01. Linie de spălare și uscare a nucilor (500 kg-h).pdf</t>
        </is>
      </c>
      <c r="T44" s="10" t="inlineStr"/>
    </row>
    <row r="45">
      <c r="A45" s="10" t="n">
        <v>41</v>
      </c>
      <c r="B45" s="10" t="inlineStr">
        <is>
          <t>Linii complete de procesare</t>
        </is>
      </c>
      <c r="C45" s="10" t="inlineStr">
        <is>
          <t>Linie industrială pentru procesarea nucilor (100 kg/h)</t>
        </is>
      </c>
      <c r="D45" s="10" t="inlineStr">
        <is>
          <t>Industrial line for processing walnuts (100 kg/h)</t>
        </is>
      </c>
      <c r="E45" s="5" t="inlineStr">
        <is>
          <t>până la 100 kg/h</t>
        </is>
      </c>
      <c r="F45" s="6" t="n">
        <v>100</v>
      </c>
      <c r="G45" s="5" t="inlineStr">
        <is>
          <t>continuu – tot anul</t>
        </is>
      </c>
      <c r="H45" s="7">
        <f>F45*'Linie ideala'!$C$5</f>
        <v/>
      </c>
      <c r="I45" s="8">
        <f>H45*'Linie ideala'!$C$7/1000</f>
        <v/>
      </c>
      <c r="J45" s="10" t="inlineStr"/>
      <c r="K45" s="10" t="inlineStr"/>
      <c r="L45" s="10" t="inlineStr">
        <is>
          <t>220 / 380 V</t>
        </is>
      </c>
      <c r="M45" s="10" t="inlineStr">
        <is>
          <t>oțel</t>
        </is>
      </c>
      <c r="N45" s="10" t="inlineStr">
        <is>
          <t>nuci</t>
        </is>
      </c>
      <c r="O45" s="10" t="inlineStr">
        <is>
          <t>Linia este capabilă să proceseze până la 100 kg de nuci pe oră, optimizează și accelerează procesul de procesare cât mai mult posibil și oferă un randament ridicat de miez întreg.</t>
        </is>
      </c>
      <c r="P45" s="11" t="inlineStr">
        <is>
          <t>https://nuttechnology.com/ro/produs/linie-industrial-pentru-prelucrarea-nucilor-100-kg-h/</t>
        </is>
      </c>
      <c r="Q45" s="11" t="inlineStr">
        <is>
          <t>https://nuttechnology.com/product/industrial-line-for-processing-walnuts-100-kg-h/</t>
        </is>
      </c>
      <c r="R45" s="11" t="inlineStr">
        <is>
          <t>https://nuttechnology.com/wp-content/uploads/Industrial-line-for-processing-walnuts-100-kg-h.pdf</t>
        </is>
      </c>
      <c r="S45" s="11" t="inlineStr">
        <is>
          <t>Z:\00. Proiecte 2025\AFIR FotoVoltaic 1\50. Fabrica Nuci\nuttechnology.com\Brosuri echipamente\08. Linii complete de procesare\02. Linie industrială pentru procesarea nucilor (100 kg-h).pdf</t>
        </is>
      </c>
      <c r="T45" s="10" t="inlineStr"/>
    </row>
    <row r="46">
      <c r="A46" s="10" t="n">
        <v>42</v>
      </c>
      <c r="B46" s="10" t="inlineStr">
        <is>
          <t>Linii complete de procesare</t>
        </is>
      </c>
      <c r="C46" s="10" t="inlineStr">
        <is>
          <t>Linie industrială pentru procesarea nucilor (200 kg/h)</t>
        </is>
      </c>
      <c r="D46" s="10" t="inlineStr">
        <is>
          <t>Industrial line for processing walnuts (200 kg/h)</t>
        </is>
      </c>
      <c r="E46" s="5" t="inlineStr">
        <is>
          <t>până la 200 kg/h</t>
        </is>
      </c>
      <c r="F46" s="6" t="n">
        <v>200</v>
      </c>
      <c r="G46" s="5" t="inlineStr">
        <is>
          <t>continuu – tot anul</t>
        </is>
      </c>
      <c r="H46" s="7">
        <f>F46*'Linie ideala'!$C$5</f>
        <v/>
      </c>
      <c r="I46" s="8">
        <f>H46*'Linie ideala'!$C$7/1000</f>
        <v/>
      </c>
      <c r="J46" s="10" t="inlineStr"/>
      <c r="K46" s="10" t="inlineStr"/>
      <c r="L46" s="10" t="inlineStr">
        <is>
          <t>380 V</t>
        </is>
      </c>
      <c r="M46" s="10" t="inlineStr">
        <is>
          <t>oțel</t>
        </is>
      </c>
      <c r="N46" s="10" t="inlineStr">
        <is>
          <t>nuci</t>
        </is>
      </c>
      <c r="O46" s="10" t="inlineStr">
        <is>
          <t>Complexul de echipamente este destinat automatizării maxime a procesării nucilor și are o productivitate ridicată și o spargere delicată, ceea ce permite utilizarea liniei în întreprinderi mari orientate spre obținerea miezului întreg.</t>
        </is>
      </c>
      <c r="P46" s="11" t="inlineStr">
        <is>
          <t>https://nuttechnology.com/ro/produs/linie-industrial-de-procesare-nuci-200-kg-h/</t>
        </is>
      </c>
      <c r="Q46" s="11" t="inlineStr">
        <is>
          <t>https://nuttechnology.com/product/industrial-line-for-processing-walnuts-200-kg-h/</t>
        </is>
      </c>
      <c r="R46" s="11" t="inlineStr">
        <is>
          <t>https://nuttechnology.com/wp-content/uploads/Industrial-line-for-processing-walnuts-200-kg_h.pdf</t>
        </is>
      </c>
      <c r="S46" s="11" t="inlineStr">
        <is>
          <t>Z:\00. Proiecte 2025\AFIR FotoVoltaic 1\50. Fabrica Nuci\nuttechnology.com\Brosuri echipamente\08. Linii complete de procesare\03. Linie industrială pentru procesarea nucilor (200 kg-h).pdf</t>
        </is>
      </c>
      <c r="T46" s="10" t="inlineStr"/>
    </row>
    <row r="47">
      <c r="A47" s="10" t="n">
        <v>43</v>
      </c>
      <c r="B47" s="10" t="inlineStr">
        <is>
          <t>Linii complete de procesare</t>
        </is>
      </c>
      <c r="C47" s="10" t="inlineStr">
        <is>
          <t>Linie industrială automatizată pentru procesarea nucilor (200 kg/h)</t>
        </is>
      </c>
      <c r="D47" s="10" t="inlineStr">
        <is>
          <t>Automated industrial walnut processing line (200 kg/h)</t>
        </is>
      </c>
      <c r="E47" s="5" t="inlineStr">
        <is>
          <t>până la 200 kg/h</t>
        </is>
      </c>
      <c r="F47" s="6" t="n">
        <v>200</v>
      </c>
      <c r="G47" s="5" t="inlineStr">
        <is>
          <t>continuu – tot anul</t>
        </is>
      </c>
      <c r="H47" s="7">
        <f>F47*'Linie ideala'!$C$5</f>
        <v/>
      </c>
      <c r="I47" s="8">
        <f>H47*'Linie ideala'!$C$7/1000</f>
        <v/>
      </c>
      <c r="J47" s="10" t="inlineStr"/>
      <c r="K47" s="10" t="inlineStr"/>
      <c r="L47" s="10" t="inlineStr">
        <is>
          <t>380 V</t>
        </is>
      </c>
      <c r="M47" s="10" t="inlineStr">
        <is>
          <t>oțel</t>
        </is>
      </c>
      <c r="N47" s="10" t="inlineStr">
        <is>
          <t>nuci</t>
        </is>
      </c>
      <c r="O47" s="10" t="inlineStr">
        <is>
          <t>Linia este capabilă să proceseze până la 200 kg de nuci pe oră. Optimizează și accelerează procesul de procesare cât mai mult posibil și oferă un randament ridicat de miez întreg</t>
        </is>
      </c>
      <c r="P47" s="11" t="inlineStr">
        <is>
          <t>https://nuttechnology.com/ro/produs/linie-automat-industrial-de-procesare-nuci-200-kg-h/</t>
        </is>
      </c>
      <c r="Q47" s="11" t="inlineStr">
        <is>
          <t>https://nuttechnology.com/product/automated-industrial-walnut-processing-line-200-kg-h/</t>
        </is>
      </c>
      <c r="R47" s="11" t="inlineStr">
        <is>
          <t>https://nuttechnology.com/wp-content/uploads/AUTOMATED-INDUSTRIAL-WALNUT-PROCESSING-LINE-200-KG_H.pdf</t>
        </is>
      </c>
      <c r="S47" s="11" t="inlineStr">
        <is>
          <t>Z:\00. Proiecte 2025\AFIR FotoVoltaic 1\50. Fabrica Nuci\nuttechnology.com\Brosuri echipamente\08. Linii complete de procesare\04. Linie industrială automatizată pentru procesarea nucilor (200 kg-h).pdf</t>
        </is>
      </c>
      <c r="T47" s="10" t="inlineStr"/>
    </row>
    <row r="48">
      <c r="A48" s="10" t="n">
        <v>44</v>
      </c>
      <c r="B48" s="10" t="inlineStr">
        <is>
          <t>Linii complete de procesare</t>
        </is>
      </c>
      <c r="C48" s="10" t="inlineStr">
        <is>
          <t>Linie industrială automatizată de procesare a nucilor, până la 400 kg/h</t>
        </is>
      </c>
      <c r="D48" s="10" t="inlineStr">
        <is>
          <t>Industrial automated walnut processing line with a capacity of up to 400 kg/h</t>
        </is>
      </c>
      <c r="E48" s="5" t="inlineStr">
        <is>
          <t>până la 400 kg/h</t>
        </is>
      </c>
      <c r="F48" s="6" t="n">
        <v>400</v>
      </c>
      <c r="G48" s="5" t="inlineStr">
        <is>
          <t>continuu – tot anul</t>
        </is>
      </c>
      <c r="H48" s="7">
        <f>F48*'Linie ideala'!$C$5</f>
        <v/>
      </c>
      <c r="I48" s="8">
        <f>H48*'Linie ideala'!$C$7/1000</f>
        <v/>
      </c>
      <c r="J48" s="10" t="inlineStr"/>
      <c r="K48" s="10" t="inlineStr"/>
      <c r="L48" s="10" t="inlineStr">
        <is>
          <t>380 V</t>
        </is>
      </c>
      <c r="M48" s="10" t="inlineStr">
        <is>
          <t>oțel</t>
        </is>
      </c>
      <c r="N48" s="10" t="inlineStr">
        <is>
          <t>nuci</t>
        </is>
      </c>
      <c r="O48" s="10" t="inlineStr">
        <is>
          <t>Linie automatizată de înaltă performanță pentru procesarea completă nucă în coajă → miez, proiectată pentru funcționare continuă în condiții industriale; automatizare maximă, performanță stabilă și randament ridicat de miez întreg.</t>
        </is>
      </c>
      <c r="P48" s="11" t="inlineStr">
        <is>
          <t>https://nuttechnology.com/ro/produs/industrial-automated-walnut-processing-line-with-a-capacity-of-up-to-400-kg-h/</t>
        </is>
      </c>
      <c r="Q48" s="11" t="inlineStr">
        <is>
          <t>https://nuttechnology.com/product/industrial-automated-walnut-processing-line-with-a-capacity-of-up-to-400-kg-h/</t>
        </is>
      </c>
      <c r="R48" s="11" t="inlineStr">
        <is>
          <t>https://nuttechnology.com/wp-content/uploads/AUTOMATED-INDUSTRIAL-WALNUT-PROCESSING-LINE-400.pdf</t>
        </is>
      </c>
      <c r="S48" s="11" t="inlineStr">
        <is>
          <t>Z:\00. Proiecte 2025\AFIR FotoVoltaic 1\50. Fabrica Nuci\nuttechnology.com\Brosuri echipamente\08. Linii complete de procesare\05. Linie industrială automatizată de procesare a nucilor, până la 400 kg-h.pdf</t>
        </is>
      </c>
      <c r="T48" s="13" t="inlineStr">
        <is>
          <t>Pagina RO a produsului nu este tradusă (doar EN).</t>
        </is>
      </c>
    </row>
    <row r="49">
      <c r="A49" s="10" t="n">
        <v>45</v>
      </c>
      <c r="B49" s="10" t="inlineStr">
        <is>
          <t>Linii complete de procesare</t>
        </is>
      </c>
      <c r="C49" s="10" t="inlineStr">
        <is>
          <t>Linie industrială pentru procesarea alunelor (200 kg/h)</t>
        </is>
      </c>
      <c r="D49" s="10" t="inlineStr">
        <is>
          <t>Industrial line for processing hazelnuts (200 kg/h)</t>
        </is>
      </c>
      <c r="E49" s="5" t="inlineStr">
        <is>
          <t>până la 200 kg/h</t>
        </is>
      </c>
      <c r="F49" s="6" t="n">
        <v>200</v>
      </c>
      <c r="G49" s="5" t="inlineStr">
        <is>
          <t>continuu – tot anul</t>
        </is>
      </c>
      <c r="H49" s="7">
        <f>F49*'Linie ideala'!$C$5</f>
        <v/>
      </c>
      <c r="I49" s="8">
        <f>H49*'Linie ideala'!$C$7/1000</f>
        <v/>
      </c>
      <c r="J49" s="10" t="inlineStr"/>
      <c r="K49" s="10" t="inlineStr"/>
      <c r="L49" s="10" t="inlineStr">
        <is>
          <t>380 V</t>
        </is>
      </c>
      <c r="M49" s="10" t="inlineStr">
        <is>
          <t>oțel</t>
        </is>
      </c>
      <c r="N49" s="10" t="inlineStr">
        <is>
          <t>alune</t>
        </is>
      </c>
      <c r="O49" s="10" t="inlineStr">
        <is>
          <t>Linia este capabilă să proceseze până la 200 kg de alune pe oră. Optimizează și accelerează procesul de procesare cât mai mult posibil și oferă un randament ridicat de miez întreg</t>
        </is>
      </c>
      <c r="P49" s="11" t="inlineStr">
        <is>
          <t>https://nuttechnology.com/ro/produs/linie-industrial-pentru-procesarea-alunelor-200-kg-h/</t>
        </is>
      </c>
      <c r="Q49" s="11" t="inlineStr">
        <is>
          <t>https://nuttechnology.com/product/industrial-line-for-processing-hazelnuts-200-kg-h/</t>
        </is>
      </c>
      <c r="R49" s="11" t="inlineStr">
        <is>
          <t>https://nuttechnology.com/wp-content/uploads/Industrial-line-for-processing-hazelnuts-200-kg-h-1.pdf</t>
        </is>
      </c>
      <c r="S49" s="11" t="inlineStr">
        <is>
          <t>Z:\00. Proiecte 2025\AFIR FotoVoltaic 1\50. Fabrica Nuci\nuttechnology.com\Brosuri echipamente\08. Linii complete de procesare\06. Linie industrială pentru procesarea alunelor (200 kg-h).pdf</t>
        </is>
      </c>
      <c r="T49" s="10" t="inlineStr"/>
    </row>
    <row r="50">
      <c r="A50" s="10" t="n">
        <v>46</v>
      </c>
      <c r="B50" s="10" t="inlineStr">
        <is>
          <t>Linii complete de procesare</t>
        </is>
      </c>
      <c r="C50" s="10" t="inlineStr">
        <is>
          <t>Complex industrial pentru procesarea alunelor (200 kg/h)</t>
        </is>
      </c>
      <c r="D50" s="10" t="inlineStr">
        <is>
          <t>Industrial complex for processing hazelnuts (200 kg/h)</t>
        </is>
      </c>
      <c r="E50" s="5" t="inlineStr">
        <is>
          <t>până la 200 kg/h</t>
        </is>
      </c>
      <c r="F50" s="6" t="n">
        <v>200</v>
      </c>
      <c r="G50" s="5" t="inlineStr">
        <is>
          <t>continuu – tot anul</t>
        </is>
      </c>
      <c r="H50" s="7">
        <f>F50*'Linie ideala'!$C$5</f>
        <v/>
      </c>
      <c r="I50" s="8">
        <f>H50*'Linie ideala'!$C$7/1000</f>
        <v/>
      </c>
      <c r="J50" s="10" t="inlineStr"/>
      <c r="K50" s="10" t="inlineStr"/>
      <c r="L50" s="10" t="inlineStr">
        <is>
          <t>380 V</t>
        </is>
      </c>
      <c r="M50" s="10" t="inlineStr">
        <is>
          <t>oțel</t>
        </is>
      </c>
      <c r="N50" s="10" t="inlineStr">
        <is>
          <t>alune</t>
        </is>
      </c>
      <c r="O50" s="10" t="inlineStr">
        <is>
          <t>Linia este capabilă să proceseze până la 200 kg de alune pe oră. Optimizează și accelerează procesul de procesare cât mai mult posibil și oferă un randament ridicat de miez întreg</t>
        </is>
      </c>
      <c r="P50" s="11" t="inlineStr">
        <is>
          <t>https://nuttechnology.com/ro/produs/complex-industrial-pentru-procesarea-alunelor-200-kg-h/</t>
        </is>
      </c>
      <c r="Q50" s="11" t="inlineStr">
        <is>
          <t>https://nuttechnology.com/product/industrial-complex-for-processing-hazelnuts-200-kg-h/</t>
        </is>
      </c>
      <c r="R50" s="11" t="inlineStr">
        <is>
          <t>https://nuttechnology.com/wp-content/uploads/Industrial-line-for-processing-hazelnuts-200-kg-h.pdf</t>
        </is>
      </c>
      <c r="S50" s="11" t="inlineStr">
        <is>
          <t>Z:\00. Proiecte 2025\AFIR FotoVoltaic 1\50. Fabrica Nuci\nuttechnology.com\Brosuri echipamente\08. Linii complete de procesare\07. Complex industrial pentru procesarea alunelor (200 kg-h).pdf</t>
        </is>
      </c>
      <c r="T50" s="10" t="inlineStr"/>
    </row>
    <row r="51">
      <c r="A51" s="10" t="n">
        <v>47</v>
      </c>
      <c r="B51" s="10" t="inlineStr">
        <is>
          <t>Linii complete de procesare</t>
        </is>
      </c>
      <c r="C51" s="10" t="inlineStr">
        <is>
          <t>Linie industrială pentru procesarea migdalelor (200 kg/h)</t>
        </is>
      </c>
      <c r="D51" s="10" t="inlineStr">
        <is>
          <t>Industrial line for processing almonds (200 kg/h)</t>
        </is>
      </c>
      <c r="E51" s="5" t="inlineStr">
        <is>
          <t>până la 200 kg/h</t>
        </is>
      </c>
      <c r="F51" s="6" t="n">
        <v>200</v>
      </c>
      <c r="G51" s="5" t="inlineStr">
        <is>
          <t>continuu – tot anul</t>
        </is>
      </c>
      <c r="H51" s="7">
        <f>F51*'Linie ideala'!$C$5</f>
        <v/>
      </c>
      <c r="I51" s="8">
        <f>H51*'Linie ideala'!$C$7/1000</f>
        <v/>
      </c>
      <c r="J51" s="10" t="inlineStr"/>
      <c r="K51" s="10" t="inlineStr"/>
      <c r="L51" s="10" t="inlineStr">
        <is>
          <t>380 V</t>
        </is>
      </c>
      <c r="M51" s="10" t="inlineStr">
        <is>
          <t>oțel</t>
        </is>
      </c>
      <c r="N51" s="10" t="inlineStr">
        <is>
          <t>migdale</t>
        </is>
      </c>
      <c r="O51" s="10" t="inlineStr">
        <is>
          <t>Linia este capabilă să proceseze până la 200 kg de migdale pe oră. Optimizează și accelerează procesul de procesare cât mai mult posibil și oferă un randament ridicat de miez întreg</t>
        </is>
      </c>
      <c r="P51" s="11" t="inlineStr">
        <is>
          <t>https://nuttechnology.com/ro/produs/linie-industrial-pentru-procesarea-migdalelor-200-kg-h/</t>
        </is>
      </c>
      <c r="Q51" s="11" t="inlineStr">
        <is>
          <t>https://nuttechnology.com/product/industrial-line-for-processing-almonds-200-kg-h/</t>
        </is>
      </c>
      <c r="R51" s="11" t="inlineStr">
        <is>
          <t>https://nuttechnology.com/wp-content/uploads/Industrial-line-for-processing-almonds-200-kg-h.pdf</t>
        </is>
      </c>
      <c r="S51" s="11" t="inlineStr">
        <is>
          <t>Z:\00. Proiecte 2025\AFIR FotoVoltaic 1\50. Fabrica Nuci\nuttechnology.com\Brosuri echipamente\08. Linii complete de procesare\08. Linie industrială pentru procesarea migdalelor (200 kg-h).pdf</t>
        </is>
      </c>
      <c r="T51" s="10" t="inlineStr"/>
    </row>
    <row r="52">
      <c r="A52" s="10" t="n">
        <v>48</v>
      </c>
      <c r="B52" s="10" t="inlineStr">
        <is>
          <t>Linii complete de procesare</t>
        </is>
      </c>
      <c r="C52" s="10" t="inlineStr">
        <is>
          <t>Complex industrial pentru procesarea migdalelor (200 kg/h)</t>
        </is>
      </c>
      <c r="D52" s="10" t="inlineStr">
        <is>
          <t>Industrial complex for processing almonds (200 kg/h)</t>
        </is>
      </c>
      <c r="E52" s="5" t="inlineStr">
        <is>
          <t>până la 200 kg/h</t>
        </is>
      </c>
      <c r="F52" s="6" t="n">
        <v>200</v>
      </c>
      <c r="G52" s="5" t="inlineStr">
        <is>
          <t>continuu – tot anul</t>
        </is>
      </c>
      <c r="H52" s="7">
        <f>F52*'Linie ideala'!$C$5</f>
        <v/>
      </c>
      <c r="I52" s="8">
        <f>H52*'Linie ideala'!$C$7/1000</f>
        <v/>
      </c>
      <c r="J52" s="10" t="inlineStr"/>
      <c r="K52" s="10" t="inlineStr"/>
      <c r="L52" s="10" t="inlineStr">
        <is>
          <t>380 V</t>
        </is>
      </c>
      <c r="M52" s="10" t="inlineStr">
        <is>
          <t>oțel</t>
        </is>
      </c>
      <c r="N52" s="10" t="inlineStr">
        <is>
          <t>migdale</t>
        </is>
      </c>
      <c r="O52" s="10" t="inlineStr">
        <is>
          <t>Linia este capabilă să proceseze până la 200 kg de migdale pe oră. Optimizează și accelerează procesul de procesare cât mai mult posibil și oferă un randament ridicat de miez întreg</t>
        </is>
      </c>
      <c r="P52" s="11" t="inlineStr">
        <is>
          <t>https://nuttechnology.com/ro/produs/complex-industrial-pentru-procesarea-migdalelor-200-kg-h-2/</t>
        </is>
      </c>
      <c r="Q52" s="11" t="inlineStr">
        <is>
          <t>https://nuttechnology.com/product/industrial-complex-for-processing-almonds-200-kg-h-2/</t>
        </is>
      </c>
      <c r="R52" s="11" t="inlineStr">
        <is>
          <t>https://nuttechnology.com/wp-content/uploads/Industrial-line-for-processing-almonds-200-kg-h.pdf</t>
        </is>
      </c>
      <c r="S52" s="11" t="inlineStr">
        <is>
          <t>Z:\00. Proiecte 2025\AFIR FotoVoltaic 1\50. Fabrica Nuci\nuttechnology.com\Brosuri echipamente\08. Linii complete de procesare\09. Complex industrial pentru procesarea migdalelor (200 kg-h).pdf</t>
        </is>
      </c>
      <c r="T52" s="10" t="inlineStr"/>
    </row>
  </sheetData>
  <autoFilter ref="A4:T52"/>
  <hyperlinks>
    <hyperlink xmlns:r="http://schemas.openxmlformats.org/officeDocument/2006/relationships" ref="P5" r:id="rId1"/>
    <hyperlink xmlns:r="http://schemas.openxmlformats.org/officeDocument/2006/relationships" ref="Q5" r:id="rId2"/>
    <hyperlink xmlns:r="http://schemas.openxmlformats.org/officeDocument/2006/relationships" ref="R5" r:id="rId3"/>
    <hyperlink xmlns:r="http://schemas.openxmlformats.org/officeDocument/2006/relationships" ref="S5" r:id="rId4"/>
    <hyperlink xmlns:r="http://schemas.openxmlformats.org/officeDocument/2006/relationships" ref="P6" r:id="rId5"/>
    <hyperlink xmlns:r="http://schemas.openxmlformats.org/officeDocument/2006/relationships" ref="Q6" r:id="rId6"/>
    <hyperlink xmlns:r="http://schemas.openxmlformats.org/officeDocument/2006/relationships" ref="R6" r:id="rId7"/>
    <hyperlink xmlns:r="http://schemas.openxmlformats.org/officeDocument/2006/relationships" ref="S6" r:id="rId8"/>
    <hyperlink xmlns:r="http://schemas.openxmlformats.org/officeDocument/2006/relationships" ref="P7" r:id="rId9"/>
    <hyperlink xmlns:r="http://schemas.openxmlformats.org/officeDocument/2006/relationships" ref="Q7" r:id="rId10"/>
    <hyperlink xmlns:r="http://schemas.openxmlformats.org/officeDocument/2006/relationships" ref="R7" r:id="rId11"/>
    <hyperlink xmlns:r="http://schemas.openxmlformats.org/officeDocument/2006/relationships" ref="S7" r:id="rId12"/>
    <hyperlink xmlns:r="http://schemas.openxmlformats.org/officeDocument/2006/relationships" ref="P8" r:id="rId13"/>
    <hyperlink xmlns:r="http://schemas.openxmlformats.org/officeDocument/2006/relationships" ref="Q8" r:id="rId14"/>
    <hyperlink xmlns:r="http://schemas.openxmlformats.org/officeDocument/2006/relationships" ref="R8" r:id="rId15"/>
    <hyperlink xmlns:r="http://schemas.openxmlformats.org/officeDocument/2006/relationships" ref="S8" r:id="rId16"/>
    <hyperlink xmlns:r="http://schemas.openxmlformats.org/officeDocument/2006/relationships" ref="P9" r:id="rId17"/>
    <hyperlink xmlns:r="http://schemas.openxmlformats.org/officeDocument/2006/relationships" ref="Q9" r:id="rId18"/>
    <hyperlink xmlns:r="http://schemas.openxmlformats.org/officeDocument/2006/relationships" ref="R9" r:id="rId19"/>
    <hyperlink xmlns:r="http://schemas.openxmlformats.org/officeDocument/2006/relationships" ref="S9" r:id="rId20"/>
    <hyperlink xmlns:r="http://schemas.openxmlformats.org/officeDocument/2006/relationships" ref="P10" r:id="rId21"/>
    <hyperlink xmlns:r="http://schemas.openxmlformats.org/officeDocument/2006/relationships" ref="Q10" r:id="rId22"/>
    <hyperlink xmlns:r="http://schemas.openxmlformats.org/officeDocument/2006/relationships" ref="R10" r:id="rId23"/>
    <hyperlink xmlns:r="http://schemas.openxmlformats.org/officeDocument/2006/relationships" ref="S10" r:id="rId24"/>
    <hyperlink xmlns:r="http://schemas.openxmlformats.org/officeDocument/2006/relationships" ref="P11" r:id="rId25"/>
    <hyperlink xmlns:r="http://schemas.openxmlformats.org/officeDocument/2006/relationships" ref="Q11" r:id="rId26"/>
    <hyperlink xmlns:r="http://schemas.openxmlformats.org/officeDocument/2006/relationships" ref="R11" r:id="rId27"/>
    <hyperlink xmlns:r="http://schemas.openxmlformats.org/officeDocument/2006/relationships" ref="S11" r:id="rId28"/>
    <hyperlink xmlns:r="http://schemas.openxmlformats.org/officeDocument/2006/relationships" ref="P12" r:id="rId29"/>
    <hyperlink xmlns:r="http://schemas.openxmlformats.org/officeDocument/2006/relationships" ref="Q12" r:id="rId30"/>
    <hyperlink xmlns:r="http://schemas.openxmlformats.org/officeDocument/2006/relationships" ref="R12" r:id="rId31"/>
    <hyperlink xmlns:r="http://schemas.openxmlformats.org/officeDocument/2006/relationships" ref="S12" r:id="rId32"/>
    <hyperlink xmlns:r="http://schemas.openxmlformats.org/officeDocument/2006/relationships" ref="P13" r:id="rId33"/>
    <hyperlink xmlns:r="http://schemas.openxmlformats.org/officeDocument/2006/relationships" ref="Q13" r:id="rId34"/>
    <hyperlink xmlns:r="http://schemas.openxmlformats.org/officeDocument/2006/relationships" ref="R13" r:id="rId35"/>
    <hyperlink xmlns:r="http://schemas.openxmlformats.org/officeDocument/2006/relationships" ref="S13" r:id="rId36"/>
    <hyperlink xmlns:r="http://schemas.openxmlformats.org/officeDocument/2006/relationships" ref="P14" r:id="rId37"/>
    <hyperlink xmlns:r="http://schemas.openxmlformats.org/officeDocument/2006/relationships" ref="Q14" r:id="rId38"/>
    <hyperlink xmlns:r="http://schemas.openxmlformats.org/officeDocument/2006/relationships" ref="R14" r:id="rId39"/>
    <hyperlink xmlns:r="http://schemas.openxmlformats.org/officeDocument/2006/relationships" ref="S14" r:id="rId40"/>
    <hyperlink xmlns:r="http://schemas.openxmlformats.org/officeDocument/2006/relationships" ref="P15" r:id="rId41"/>
    <hyperlink xmlns:r="http://schemas.openxmlformats.org/officeDocument/2006/relationships" ref="Q15" r:id="rId42"/>
    <hyperlink xmlns:r="http://schemas.openxmlformats.org/officeDocument/2006/relationships" ref="R15" r:id="rId43"/>
    <hyperlink xmlns:r="http://schemas.openxmlformats.org/officeDocument/2006/relationships" ref="S15" r:id="rId44"/>
    <hyperlink xmlns:r="http://schemas.openxmlformats.org/officeDocument/2006/relationships" ref="P16" r:id="rId45"/>
    <hyperlink xmlns:r="http://schemas.openxmlformats.org/officeDocument/2006/relationships" ref="Q16" r:id="rId46"/>
    <hyperlink xmlns:r="http://schemas.openxmlformats.org/officeDocument/2006/relationships" ref="R16" r:id="rId47"/>
    <hyperlink xmlns:r="http://schemas.openxmlformats.org/officeDocument/2006/relationships" ref="S16" r:id="rId48"/>
    <hyperlink xmlns:r="http://schemas.openxmlformats.org/officeDocument/2006/relationships" ref="P17" r:id="rId49"/>
    <hyperlink xmlns:r="http://schemas.openxmlformats.org/officeDocument/2006/relationships" ref="Q17" r:id="rId50"/>
    <hyperlink xmlns:r="http://schemas.openxmlformats.org/officeDocument/2006/relationships" ref="R17" r:id="rId51"/>
    <hyperlink xmlns:r="http://schemas.openxmlformats.org/officeDocument/2006/relationships" ref="S17" r:id="rId52"/>
    <hyperlink xmlns:r="http://schemas.openxmlformats.org/officeDocument/2006/relationships" ref="P18" r:id="rId53"/>
    <hyperlink xmlns:r="http://schemas.openxmlformats.org/officeDocument/2006/relationships" ref="Q18" r:id="rId54"/>
    <hyperlink xmlns:r="http://schemas.openxmlformats.org/officeDocument/2006/relationships" ref="R18" r:id="rId55"/>
    <hyperlink xmlns:r="http://schemas.openxmlformats.org/officeDocument/2006/relationships" ref="S18" r:id="rId56"/>
    <hyperlink xmlns:r="http://schemas.openxmlformats.org/officeDocument/2006/relationships" ref="P19" r:id="rId57"/>
    <hyperlink xmlns:r="http://schemas.openxmlformats.org/officeDocument/2006/relationships" ref="Q19" r:id="rId58"/>
    <hyperlink xmlns:r="http://schemas.openxmlformats.org/officeDocument/2006/relationships" ref="R19" r:id="rId59"/>
    <hyperlink xmlns:r="http://schemas.openxmlformats.org/officeDocument/2006/relationships" ref="S19" r:id="rId60"/>
    <hyperlink xmlns:r="http://schemas.openxmlformats.org/officeDocument/2006/relationships" ref="P20" r:id="rId61"/>
    <hyperlink xmlns:r="http://schemas.openxmlformats.org/officeDocument/2006/relationships" ref="Q20" r:id="rId62"/>
    <hyperlink xmlns:r="http://schemas.openxmlformats.org/officeDocument/2006/relationships" ref="R20" r:id="rId63"/>
    <hyperlink xmlns:r="http://schemas.openxmlformats.org/officeDocument/2006/relationships" ref="S20" r:id="rId64"/>
    <hyperlink xmlns:r="http://schemas.openxmlformats.org/officeDocument/2006/relationships" ref="P21" r:id="rId65"/>
    <hyperlink xmlns:r="http://schemas.openxmlformats.org/officeDocument/2006/relationships" ref="Q21" r:id="rId66"/>
    <hyperlink xmlns:r="http://schemas.openxmlformats.org/officeDocument/2006/relationships" ref="R21" r:id="rId67"/>
    <hyperlink xmlns:r="http://schemas.openxmlformats.org/officeDocument/2006/relationships" ref="S21" r:id="rId68"/>
    <hyperlink xmlns:r="http://schemas.openxmlformats.org/officeDocument/2006/relationships" ref="P22" r:id="rId69"/>
    <hyperlink xmlns:r="http://schemas.openxmlformats.org/officeDocument/2006/relationships" ref="Q22" r:id="rId70"/>
    <hyperlink xmlns:r="http://schemas.openxmlformats.org/officeDocument/2006/relationships" ref="R22" r:id="rId71"/>
    <hyperlink xmlns:r="http://schemas.openxmlformats.org/officeDocument/2006/relationships" ref="S22" r:id="rId72"/>
    <hyperlink xmlns:r="http://schemas.openxmlformats.org/officeDocument/2006/relationships" ref="P23" r:id="rId73"/>
    <hyperlink xmlns:r="http://schemas.openxmlformats.org/officeDocument/2006/relationships" ref="Q23" r:id="rId74"/>
    <hyperlink xmlns:r="http://schemas.openxmlformats.org/officeDocument/2006/relationships" ref="R23" r:id="rId75"/>
    <hyperlink xmlns:r="http://schemas.openxmlformats.org/officeDocument/2006/relationships" ref="S23" r:id="rId76"/>
    <hyperlink xmlns:r="http://schemas.openxmlformats.org/officeDocument/2006/relationships" ref="P24" r:id="rId77"/>
    <hyperlink xmlns:r="http://schemas.openxmlformats.org/officeDocument/2006/relationships" ref="Q24" r:id="rId78"/>
    <hyperlink xmlns:r="http://schemas.openxmlformats.org/officeDocument/2006/relationships" ref="R24" r:id="rId79"/>
    <hyperlink xmlns:r="http://schemas.openxmlformats.org/officeDocument/2006/relationships" ref="S24" r:id="rId80"/>
    <hyperlink xmlns:r="http://schemas.openxmlformats.org/officeDocument/2006/relationships" ref="P25" r:id="rId81"/>
    <hyperlink xmlns:r="http://schemas.openxmlformats.org/officeDocument/2006/relationships" ref="Q25" r:id="rId82"/>
    <hyperlink xmlns:r="http://schemas.openxmlformats.org/officeDocument/2006/relationships" ref="R25" r:id="rId83"/>
    <hyperlink xmlns:r="http://schemas.openxmlformats.org/officeDocument/2006/relationships" ref="S25" r:id="rId84"/>
    <hyperlink xmlns:r="http://schemas.openxmlformats.org/officeDocument/2006/relationships" ref="P26" r:id="rId85"/>
    <hyperlink xmlns:r="http://schemas.openxmlformats.org/officeDocument/2006/relationships" ref="Q26" r:id="rId86"/>
    <hyperlink xmlns:r="http://schemas.openxmlformats.org/officeDocument/2006/relationships" ref="R26" r:id="rId87"/>
    <hyperlink xmlns:r="http://schemas.openxmlformats.org/officeDocument/2006/relationships" ref="S26" r:id="rId88"/>
    <hyperlink xmlns:r="http://schemas.openxmlformats.org/officeDocument/2006/relationships" ref="P27" r:id="rId89"/>
    <hyperlink xmlns:r="http://schemas.openxmlformats.org/officeDocument/2006/relationships" ref="Q27" r:id="rId90"/>
    <hyperlink xmlns:r="http://schemas.openxmlformats.org/officeDocument/2006/relationships" ref="R27" r:id="rId91"/>
    <hyperlink xmlns:r="http://schemas.openxmlformats.org/officeDocument/2006/relationships" ref="S27" r:id="rId92"/>
    <hyperlink xmlns:r="http://schemas.openxmlformats.org/officeDocument/2006/relationships" ref="P28" r:id="rId93"/>
    <hyperlink xmlns:r="http://schemas.openxmlformats.org/officeDocument/2006/relationships" ref="Q28" r:id="rId94"/>
    <hyperlink xmlns:r="http://schemas.openxmlformats.org/officeDocument/2006/relationships" ref="R28" r:id="rId95"/>
    <hyperlink xmlns:r="http://schemas.openxmlformats.org/officeDocument/2006/relationships" ref="S28" r:id="rId96"/>
    <hyperlink xmlns:r="http://schemas.openxmlformats.org/officeDocument/2006/relationships" ref="P29" r:id="rId97"/>
    <hyperlink xmlns:r="http://schemas.openxmlformats.org/officeDocument/2006/relationships" ref="Q29" r:id="rId98"/>
    <hyperlink xmlns:r="http://schemas.openxmlformats.org/officeDocument/2006/relationships" ref="R29" r:id="rId99"/>
    <hyperlink xmlns:r="http://schemas.openxmlformats.org/officeDocument/2006/relationships" ref="S29" r:id="rId100"/>
    <hyperlink xmlns:r="http://schemas.openxmlformats.org/officeDocument/2006/relationships" ref="P30" r:id="rId101"/>
    <hyperlink xmlns:r="http://schemas.openxmlformats.org/officeDocument/2006/relationships" ref="Q30" r:id="rId102"/>
    <hyperlink xmlns:r="http://schemas.openxmlformats.org/officeDocument/2006/relationships" ref="R30" r:id="rId103"/>
    <hyperlink xmlns:r="http://schemas.openxmlformats.org/officeDocument/2006/relationships" ref="S30" r:id="rId104"/>
    <hyperlink xmlns:r="http://schemas.openxmlformats.org/officeDocument/2006/relationships" ref="P31" r:id="rId105"/>
    <hyperlink xmlns:r="http://schemas.openxmlformats.org/officeDocument/2006/relationships" ref="Q31" r:id="rId106"/>
    <hyperlink xmlns:r="http://schemas.openxmlformats.org/officeDocument/2006/relationships" ref="R31" r:id="rId107"/>
    <hyperlink xmlns:r="http://schemas.openxmlformats.org/officeDocument/2006/relationships" ref="S31" r:id="rId108"/>
    <hyperlink xmlns:r="http://schemas.openxmlformats.org/officeDocument/2006/relationships" ref="P32" r:id="rId109"/>
    <hyperlink xmlns:r="http://schemas.openxmlformats.org/officeDocument/2006/relationships" ref="Q32" r:id="rId110"/>
    <hyperlink xmlns:r="http://schemas.openxmlformats.org/officeDocument/2006/relationships" ref="R32" r:id="rId111"/>
    <hyperlink xmlns:r="http://schemas.openxmlformats.org/officeDocument/2006/relationships" ref="S32" r:id="rId112"/>
    <hyperlink xmlns:r="http://schemas.openxmlformats.org/officeDocument/2006/relationships" ref="P33" r:id="rId113"/>
    <hyperlink xmlns:r="http://schemas.openxmlformats.org/officeDocument/2006/relationships" ref="Q33" r:id="rId114"/>
    <hyperlink xmlns:r="http://schemas.openxmlformats.org/officeDocument/2006/relationships" ref="R33" r:id="rId115"/>
    <hyperlink xmlns:r="http://schemas.openxmlformats.org/officeDocument/2006/relationships" ref="S33" r:id="rId116"/>
    <hyperlink xmlns:r="http://schemas.openxmlformats.org/officeDocument/2006/relationships" ref="P34" r:id="rId117"/>
    <hyperlink xmlns:r="http://schemas.openxmlformats.org/officeDocument/2006/relationships" ref="Q34" r:id="rId118"/>
    <hyperlink xmlns:r="http://schemas.openxmlformats.org/officeDocument/2006/relationships" ref="R34" r:id="rId119"/>
    <hyperlink xmlns:r="http://schemas.openxmlformats.org/officeDocument/2006/relationships" ref="S34" r:id="rId120"/>
    <hyperlink xmlns:r="http://schemas.openxmlformats.org/officeDocument/2006/relationships" ref="P35" r:id="rId121"/>
    <hyperlink xmlns:r="http://schemas.openxmlformats.org/officeDocument/2006/relationships" ref="Q35" r:id="rId122"/>
    <hyperlink xmlns:r="http://schemas.openxmlformats.org/officeDocument/2006/relationships" ref="R35" r:id="rId123"/>
    <hyperlink xmlns:r="http://schemas.openxmlformats.org/officeDocument/2006/relationships" ref="S35" r:id="rId124"/>
    <hyperlink xmlns:r="http://schemas.openxmlformats.org/officeDocument/2006/relationships" ref="P36" r:id="rId125"/>
    <hyperlink xmlns:r="http://schemas.openxmlformats.org/officeDocument/2006/relationships" ref="Q36" r:id="rId126"/>
    <hyperlink xmlns:r="http://schemas.openxmlformats.org/officeDocument/2006/relationships" ref="R36" r:id="rId127"/>
    <hyperlink xmlns:r="http://schemas.openxmlformats.org/officeDocument/2006/relationships" ref="S36" r:id="rId128"/>
    <hyperlink xmlns:r="http://schemas.openxmlformats.org/officeDocument/2006/relationships" ref="P37" r:id="rId129"/>
    <hyperlink xmlns:r="http://schemas.openxmlformats.org/officeDocument/2006/relationships" ref="Q37" r:id="rId130"/>
    <hyperlink xmlns:r="http://schemas.openxmlformats.org/officeDocument/2006/relationships" ref="R37" r:id="rId131"/>
    <hyperlink xmlns:r="http://schemas.openxmlformats.org/officeDocument/2006/relationships" ref="S37" r:id="rId132"/>
    <hyperlink xmlns:r="http://schemas.openxmlformats.org/officeDocument/2006/relationships" ref="P38" r:id="rId133"/>
    <hyperlink xmlns:r="http://schemas.openxmlformats.org/officeDocument/2006/relationships" ref="Q38" r:id="rId134"/>
    <hyperlink xmlns:r="http://schemas.openxmlformats.org/officeDocument/2006/relationships" ref="R38" r:id="rId135"/>
    <hyperlink xmlns:r="http://schemas.openxmlformats.org/officeDocument/2006/relationships" ref="S38" r:id="rId136"/>
    <hyperlink xmlns:r="http://schemas.openxmlformats.org/officeDocument/2006/relationships" ref="P39" r:id="rId137"/>
    <hyperlink xmlns:r="http://schemas.openxmlformats.org/officeDocument/2006/relationships" ref="Q39" r:id="rId138"/>
    <hyperlink xmlns:r="http://schemas.openxmlformats.org/officeDocument/2006/relationships" ref="R39" r:id="rId139"/>
    <hyperlink xmlns:r="http://schemas.openxmlformats.org/officeDocument/2006/relationships" ref="S39" r:id="rId140"/>
    <hyperlink xmlns:r="http://schemas.openxmlformats.org/officeDocument/2006/relationships" ref="P40" r:id="rId141"/>
    <hyperlink xmlns:r="http://schemas.openxmlformats.org/officeDocument/2006/relationships" ref="Q40" r:id="rId142"/>
    <hyperlink xmlns:r="http://schemas.openxmlformats.org/officeDocument/2006/relationships" ref="R40" r:id="rId143"/>
    <hyperlink xmlns:r="http://schemas.openxmlformats.org/officeDocument/2006/relationships" ref="S40" r:id="rId144"/>
    <hyperlink xmlns:r="http://schemas.openxmlformats.org/officeDocument/2006/relationships" ref="P41" r:id="rId145"/>
    <hyperlink xmlns:r="http://schemas.openxmlformats.org/officeDocument/2006/relationships" ref="Q41" r:id="rId146"/>
    <hyperlink xmlns:r="http://schemas.openxmlformats.org/officeDocument/2006/relationships" ref="P42" r:id="rId147"/>
    <hyperlink xmlns:r="http://schemas.openxmlformats.org/officeDocument/2006/relationships" ref="Q42" r:id="rId148"/>
    <hyperlink xmlns:r="http://schemas.openxmlformats.org/officeDocument/2006/relationships" ref="R42" r:id="rId149"/>
    <hyperlink xmlns:r="http://schemas.openxmlformats.org/officeDocument/2006/relationships" ref="S42" r:id="rId150"/>
    <hyperlink xmlns:r="http://schemas.openxmlformats.org/officeDocument/2006/relationships" ref="P43" r:id="rId151"/>
    <hyperlink xmlns:r="http://schemas.openxmlformats.org/officeDocument/2006/relationships" ref="Q43" r:id="rId152"/>
    <hyperlink xmlns:r="http://schemas.openxmlformats.org/officeDocument/2006/relationships" ref="R43" r:id="rId153"/>
    <hyperlink xmlns:r="http://schemas.openxmlformats.org/officeDocument/2006/relationships" ref="S43" r:id="rId154"/>
    <hyperlink xmlns:r="http://schemas.openxmlformats.org/officeDocument/2006/relationships" ref="P44" r:id="rId155"/>
    <hyperlink xmlns:r="http://schemas.openxmlformats.org/officeDocument/2006/relationships" ref="Q44" r:id="rId156"/>
    <hyperlink xmlns:r="http://schemas.openxmlformats.org/officeDocument/2006/relationships" ref="R44" r:id="rId157"/>
    <hyperlink xmlns:r="http://schemas.openxmlformats.org/officeDocument/2006/relationships" ref="S44" r:id="rId158"/>
    <hyperlink xmlns:r="http://schemas.openxmlformats.org/officeDocument/2006/relationships" ref="P45" r:id="rId159"/>
    <hyperlink xmlns:r="http://schemas.openxmlformats.org/officeDocument/2006/relationships" ref="Q45" r:id="rId160"/>
    <hyperlink xmlns:r="http://schemas.openxmlformats.org/officeDocument/2006/relationships" ref="R45" r:id="rId161"/>
    <hyperlink xmlns:r="http://schemas.openxmlformats.org/officeDocument/2006/relationships" ref="S45" r:id="rId162"/>
    <hyperlink xmlns:r="http://schemas.openxmlformats.org/officeDocument/2006/relationships" ref="P46" r:id="rId163"/>
    <hyperlink xmlns:r="http://schemas.openxmlformats.org/officeDocument/2006/relationships" ref="Q46" r:id="rId164"/>
    <hyperlink xmlns:r="http://schemas.openxmlformats.org/officeDocument/2006/relationships" ref="R46" r:id="rId165"/>
    <hyperlink xmlns:r="http://schemas.openxmlformats.org/officeDocument/2006/relationships" ref="S46" r:id="rId166"/>
    <hyperlink xmlns:r="http://schemas.openxmlformats.org/officeDocument/2006/relationships" ref="P47" r:id="rId167"/>
    <hyperlink xmlns:r="http://schemas.openxmlformats.org/officeDocument/2006/relationships" ref="Q47" r:id="rId168"/>
    <hyperlink xmlns:r="http://schemas.openxmlformats.org/officeDocument/2006/relationships" ref="R47" r:id="rId169"/>
    <hyperlink xmlns:r="http://schemas.openxmlformats.org/officeDocument/2006/relationships" ref="S47" r:id="rId170"/>
    <hyperlink xmlns:r="http://schemas.openxmlformats.org/officeDocument/2006/relationships" ref="P48" r:id="rId171"/>
    <hyperlink xmlns:r="http://schemas.openxmlformats.org/officeDocument/2006/relationships" ref="Q48" r:id="rId172"/>
    <hyperlink xmlns:r="http://schemas.openxmlformats.org/officeDocument/2006/relationships" ref="R48" r:id="rId173"/>
    <hyperlink xmlns:r="http://schemas.openxmlformats.org/officeDocument/2006/relationships" ref="S48" r:id="rId174"/>
    <hyperlink xmlns:r="http://schemas.openxmlformats.org/officeDocument/2006/relationships" ref="P49" r:id="rId175"/>
    <hyperlink xmlns:r="http://schemas.openxmlformats.org/officeDocument/2006/relationships" ref="Q49" r:id="rId176"/>
    <hyperlink xmlns:r="http://schemas.openxmlformats.org/officeDocument/2006/relationships" ref="R49" r:id="rId177"/>
    <hyperlink xmlns:r="http://schemas.openxmlformats.org/officeDocument/2006/relationships" ref="S49" r:id="rId178"/>
    <hyperlink xmlns:r="http://schemas.openxmlformats.org/officeDocument/2006/relationships" ref="P50" r:id="rId179"/>
    <hyperlink xmlns:r="http://schemas.openxmlformats.org/officeDocument/2006/relationships" ref="Q50" r:id="rId180"/>
    <hyperlink xmlns:r="http://schemas.openxmlformats.org/officeDocument/2006/relationships" ref="R50" r:id="rId181"/>
    <hyperlink xmlns:r="http://schemas.openxmlformats.org/officeDocument/2006/relationships" ref="S50" r:id="rId182"/>
    <hyperlink xmlns:r="http://schemas.openxmlformats.org/officeDocument/2006/relationships" ref="P51" r:id="rId183"/>
    <hyperlink xmlns:r="http://schemas.openxmlformats.org/officeDocument/2006/relationships" ref="Q51" r:id="rId184"/>
    <hyperlink xmlns:r="http://schemas.openxmlformats.org/officeDocument/2006/relationships" ref="R51" r:id="rId185"/>
    <hyperlink xmlns:r="http://schemas.openxmlformats.org/officeDocument/2006/relationships" ref="S51" r:id="rId186"/>
    <hyperlink xmlns:r="http://schemas.openxmlformats.org/officeDocument/2006/relationships" ref="P52" r:id="rId187"/>
    <hyperlink xmlns:r="http://schemas.openxmlformats.org/officeDocument/2006/relationships" ref="Q52" r:id="rId188"/>
    <hyperlink xmlns:r="http://schemas.openxmlformats.org/officeDocument/2006/relationships" ref="R52" r:id="rId189"/>
    <hyperlink xmlns:r="http://schemas.openxmlformats.org/officeDocument/2006/relationships" ref="S52" r:id="rId1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30" customWidth="1" min="2" max="2"/>
    <col width="44" customWidth="1" min="3" max="3"/>
    <col width="32" customWidth="1" min="4" max="4"/>
    <col width="12" customWidth="1" min="5" max="5"/>
    <col width="26" customWidth="1" min="6" max="6"/>
    <col width="10" customWidth="1" min="7" max="7"/>
    <col width="12" customWidth="1" min="8" max="8"/>
    <col width="10" customWidth="1" min="9" max="9"/>
    <col width="10" customWidth="1" min="10" max="10"/>
    <col width="10" customWidth="1" min="11" max="11"/>
    <col width="10" customWidth="1" min="12" max="12"/>
    <col width="11" customWidth="1" min="13" max="13"/>
    <col width="8" customWidth="1" min="14" max="14"/>
    <col width="12" customWidth="1" min="15" max="15"/>
    <col width="18" customWidth="1" min="16" max="16"/>
    <col width="60" customWidth="1" min="17" max="17"/>
  </cols>
  <sheetData>
    <row r="1">
      <c r="A1" s="14" t="inlineStr">
        <is>
          <t>Linie ideală MAXIMĂ de procesare nuci (nucă verde → miez sortat) – echipamente Nut Technology cu cea mai mare capacitate pe fiecare etapă</t>
        </is>
      </c>
    </row>
    <row r="2" ht="32" customHeight="1">
      <c r="A2" s="15" t="inlineStr">
        <is>
          <t>Debitul țintă al liniei = capacitatea celui mai mare utilaj ales (mașina industrială de decojire și spălare, 1 t/h). Celelalte etape sunt multiplicate astfel încât niciuna să nu devină gâtuire. Celulele galbene sunt parametri – se pot modifica, totul se recalculează.</t>
        </is>
      </c>
    </row>
    <row r="4">
      <c r="A4" s="16" t="inlineStr">
        <is>
          <t>PARAMETRI</t>
        </is>
      </c>
    </row>
    <row r="5">
      <c r="A5" t="inlineStr">
        <is>
          <t>Ore de lucru pe zi – procesare (calibrare → sortare miez)</t>
        </is>
      </c>
      <c r="C5" s="17" t="n">
        <v>8</v>
      </c>
      <c r="D5" t="inlineStr">
        <is>
          <t>ore/zi</t>
        </is>
      </c>
      <c r="E5" t="inlineStr">
        <is>
          <t>Presupus 8 h/zi (1 schimb). Pentru 2 schimburi = 16, non-stop = 24.</t>
        </is>
      </c>
    </row>
    <row r="6">
      <c r="A6" t="inlineStr">
        <is>
          <t>Ore de lucru pe zi – în sezon (decojire coajă verde)</t>
        </is>
      </c>
      <c r="C6" s="17">
        <f>C5</f>
        <v/>
      </c>
      <c r="D6" t="inlineStr">
        <is>
          <t>ore/zi</t>
        </is>
      </c>
      <c r="E6" t="inlineStr">
        <is>
          <t>Implicit egal cu programul de procesare.</t>
        </is>
      </c>
    </row>
    <row r="7">
      <c r="A7" t="inlineStr">
        <is>
          <t>Zile de procesare pe an</t>
        </is>
      </c>
      <c r="C7" s="17" t="n">
        <v>250</v>
      </c>
      <c r="D7" t="inlineStr">
        <is>
          <t>zile/an</t>
        </is>
      </c>
      <c r="E7" t="inlineStr">
        <is>
          <t>Nuca uscată se poate depozita și procesa tot anul.</t>
        </is>
      </c>
    </row>
    <row r="8">
      <c r="A8" t="inlineStr">
        <is>
          <t>Zile sezon recoltare (decojire + uscare)</t>
        </is>
      </c>
      <c r="C8" s="17" t="n">
        <v>45</v>
      </c>
      <c r="D8" t="inlineStr">
        <is>
          <t>zile/an</t>
        </is>
      </c>
      <c r="E8" t="inlineStr">
        <is>
          <t>Sept.–oct.; toată nuca anului trebuie decojită și uscată în această perioadă.</t>
        </is>
      </c>
    </row>
    <row r="9">
      <c r="A9" t="inlineStr">
        <is>
          <t>Randament miez din nucă uscată în coajă</t>
        </is>
      </c>
      <c r="C9" s="18" t="n">
        <v>0.45</v>
      </c>
      <c r="D9" t="inlineStr">
        <is>
          <t>%</t>
        </is>
      </c>
      <c r="E9" t="inlineStr">
        <is>
          <t>Nuci: tipic 40–50%; de ajustat după soi.</t>
        </is>
      </c>
    </row>
    <row r="10">
      <c r="A10" t="inlineStr">
        <is>
          <t>Debit țintă linie (nucă uscată în coajă)</t>
        </is>
      </c>
      <c r="C10" s="19">
        <f>MAX(E16,E17,E19:E25)</f>
        <v/>
      </c>
      <c r="D10" t="inlineStr">
        <is>
          <t>kg/h</t>
        </is>
      </c>
      <c r="E10">
        <f> cea mai mare capacitate unitară din linie (utilajele de transport excluse). Se poate suprascrie cu o valoare fixă.</f>
        <v/>
      </c>
    </row>
    <row r="11">
      <c r="A11" t="inlineStr">
        <is>
          <t>Volum anual nucă uscată în coajă</t>
        </is>
      </c>
      <c r="C11" s="20">
        <f>C10*C5*C7/1000</f>
        <v/>
      </c>
      <c r="D11" t="inlineStr">
        <is>
          <t>t/an</t>
        </is>
      </c>
      <c r="E11">
        <f> debit × ore/zi × zile procesare</f>
        <v/>
      </c>
    </row>
    <row r="14">
      <c r="A14" s="16" t="inlineStr">
        <is>
          <t>CONFIGURAȚIA LINIEI</t>
        </is>
      </c>
    </row>
    <row r="15">
      <c r="A15" s="3" t="inlineStr">
        <is>
          <t>Nr.</t>
        </is>
      </c>
      <c r="B15" s="3" t="inlineStr">
        <is>
          <t>Etapa</t>
        </is>
      </c>
      <c r="C15" s="3" t="inlineStr">
        <is>
          <t>Echipament ales (cel mai mare de pe etapă)</t>
        </is>
      </c>
      <c r="D15" s="3" t="inlineStr">
        <is>
          <t>Alternative mai mici (neselectate)</t>
        </is>
      </c>
      <c r="E15" s="3" t="inlineStr">
        <is>
          <t>Capacitate unitară kg/h</t>
        </is>
      </c>
      <c r="F15" s="3" t="inlineStr">
        <is>
          <t>Regulă dimensionare</t>
        </is>
      </c>
      <c r="G15" s="3" t="inlineStr">
        <is>
          <t>Nr. bucăți necesare</t>
        </is>
      </c>
      <c r="H15" s="3" t="inlineStr">
        <is>
          <t>Capacitate instalată kg/h</t>
        </is>
      </c>
      <c r="I15" s="3" t="inlineStr">
        <is>
          <t>Grad încărcare</t>
        </is>
      </c>
      <c r="J15" s="3" t="inlineStr">
        <is>
          <t>Putere unitară kW</t>
        </is>
      </c>
      <c r="K15" s="3" t="inlineStr">
        <is>
          <t>Putere totală kW</t>
        </is>
      </c>
      <c r="L15" s="3" t="inlineStr">
        <is>
          <t>Ore funcționare/zi</t>
        </is>
      </c>
      <c r="M15" s="3" t="inlineStr">
        <is>
          <t>Consum kWh/zi</t>
        </is>
      </c>
      <c r="N15" s="3" t="inlineStr">
        <is>
          <t>Zile/an</t>
        </is>
      </c>
      <c r="O15" s="3" t="inlineStr">
        <is>
          <t>Consum kWh/an</t>
        </is>
      </c>
      <c r="P15" s="3" t="inlineStr">
        <is>
          <t>Broșură (fișier local)</t>
        </is>
      </c>
      <c r="Q15" s="3" t="inlineStr">
        <is>
          <t>Observații</t>
        </is>
      </c>
    </row>
    <row r="16">
      <c r="A16" s="10" t="n">
        <v>1</v>
      </c>
      <c r="B16" s="10" t="inlineStr">
        <is>
          <t>Decojire coajă verde + spălare</t>
        </is>
      </c>
      <c r="C16" s="10" t="inlineStr">
        <is>
          <t>Mașină industrială de decojire și spălare (1 t/h)</t>
        </is>
      </c>
      <c r="D16" s="10" t="inlineStr">
        <is>
          <t>Decojire nuci verzi 700 / 300 / 100 kg/h</t>
        </is>
      </c>
      <c r="E16" s="21" t="n">
        <v>1000</v>
      </c>
      <c r="F16" s="10" t="inlineStr">
        <is>
          <t>Volum anual ÷ (zile sezon × ore sezon)</t>
        </is>
      </c>
      <c r="G16" s="22">
        <f>ROUNDUP($C$11*1000/($C$8*$C$6)/E16,0)</f>
        <v/>
      </c>
      <c r="H16" s="21">
        <f>G16*E16</f>
        <v/>
      </c>
      <c r="I16" s="23">
        <f>$C$11*1000/($C$8*$C$6)/H16</f>
        <v/>
      </c>
      <c r="J16" s="10" t="n">
        <v>3.7</v>
      </c>
      <c r="K16" s="21">
        <f>G16*J16</f>
        <v/>
      </c>
      <c r="L16" s="10">
        <f>$C$6</f>
        <v/>
      </c>
      <c r="M16" s="21">
        <f>K16*L16</f>
        <v/>
      </c>
      <c r="N16" s="10">
        <f>$C$8</f>
        <v/>
      </c>
      <c r="O16" s="21">
        <f>M16*N16</f>
        <v/>
      </c>
      <c r="P16" s="11" t="inlineStr">
        <is>
          <t>deschide broșura</t>
        </is>
      </c>
      <c r="Q16" s="10" t="inlineStr">
        <is>
          <t>Tot volumul anului trebuie decojit în sezon. Capacitatea e considerată raportată la nuca decojită – de confirmat cu producătorul.</t>
        </is>
      </c>
    </row>
    <row r="17">
      <c r="A17" s="10" t="n">
        <v>2</v>
      </c>
      <c r="B17" s="10" t="inlineStr">
        <is>
          <t>Uscare nucă în coajă</t>
        </is>
      </c>
      <c r="C17" s="10" t="inlineStr">
        <is>
          <t>Uscător pentru nuci, alune și migdale în coajă (4 tone/zi)</t>
        </is>
      </c>
      <c r="D17" s="10" t="inlineStr">
        <is>
          <t>Uscătoare 2 t/zi și 1 t/zi</t>
        </is>
      </c>
      <c r="E17" s="21" t="n">
        <v>166.67</v>
      </c>
      <c r="F17" s="10" t="inlineStr">
        <is>
          <t>Volum anual ÷ (zile sezon × 4 t/zi)</t>
        </is>
      </c>
      <c r="G17" s="22">
        <f>ROUNDUP($C$11*1000/$C$8/(E17*24),0)</f>
        <v/>
      </c>
      <c r="H17" s="21">
        <f>G17*E17</f>
        <v/>
      </c>
      <c r="I17" s="23">
        <f>$C$11*1000/$C$8/24/H17</f>
        <v/>
      </c>
      <c r="J17" s="10" t="n">
        <v>14</v>
      </c>
      <c r="K17" s="21">
        <f>G17*J17</f>
        <v/>
      </c>
      <c r="L17" s="10" t="n">
        <v>24</v>
      </c>
      <c r="M17" s="21">
        <f>K17*L17</f>
        <v/>
      </c>
      <c r="N17" s="10">
        <f>$C$8</f>
        <v/>
      </c>
      <c r="O17" s="21">
        <f>M17*N17</f>
        <v/>
      </c>
      <c r="P17" s="11" t="inlineStr">
        <is>
          <t>deschide broșura</t>
        </is>
      </c>
      <c r="Q17" s="10" t="inlineStr">
        <is>
          <t>Șarjă 24h, 4 t/zi/uscător, încălzire ELECTRICĂ 14 kW – principalul consumator pentru sistemul fotovoltaic. Dimensionat: volum anual ÷ zile sezon.</t>
        </is>
      </c>
    </row>
    <row r="18">
      <c r="A18" s="10" t="n">
        <v>3</v>
      </c>
      <c r="B18" s="10" t="inlineStr">
        <is>
          <t>Încărcare uscătoare</t>
        </is>
      </c>
      <c r="C18" s="10" t="inlineStr">
        <is>
          <t>Conveyor de alimentare pentru uscător 4 t/h</t>
        </is>
      </c>
      <c r="D18" s="10" t="inlineStr">
        <is>
          <t>Bandă pentru uscător 2 t/zi; elevator Noria 4 t/h (alternativă)</t>
        </is>
      </c>
      <c r="E18" s="21" t="n">
        <v>4000</v>
      </c>
      <c r="F18" s="10" t="inlineStr">
        <is>
          <t>1 buc. / uscător</t>
        </is>
      </c>
      <c r="G18" s="22">
        <f>G17</f>
        <v/>
      </c>
      <c r="H18" s="21">
        <f>G18*E18</f>
        <v/>
      </c>
      <c r="I18" s="23" t="inlineStr">
        <is>
          <t>—</t>
        </is>
      </c>
      <c r="J18" s="10" t="n">
        <v>0.55</v>
      </c>
      <c r="K18" s="21">
        <f>G18*J18</f>
        <v/>
      </c>
      <c r="L18" s="10" t="n">
        <v>1</v>
      </c>
      <c r="M18" s="21">
        <f>K18*L18</f>
        <v/>
      </c>
      <c r="N18" s="10">
        <f>$C$8</f>
        <v/>
      </c>
      <c r="O18" s="21">
        <f>M18*N18</f>
        <v/>
      </c>
      <c r="P18" s="11" t="inlineStr">
        <is>
          <t>deschide broșura</t>
        </is>
      </c>
      <c r="Q18" s="10" t="inlineStr">
        <is>
          <t>1 bandă de alimentare per uscător (recomandarea producătorului). Estimat 1 h funcționare/zi.</t>
        </is>
      </c>
    </row>
    <row r="19">
      <c r="A19" s="10" t="n">
        <v>4</v>
      </c>
      <c r="B19" s="10" t="inlineStr">
        <is>
          <t>Calibrare nucă în coajă</t>
        </is>
      </c>
      <c r="C19" s="10" t="inlineStr">
        <is>
          <t>Mașină de calibrare a nucilor în 8 fracții</t>
        </is>
      </c>
      <c r="D19" s="10" t="inlineStr">
        <is>
          <t>Calibrator 4 fracții 300 kg/h; calibrator liniar 100 kg/h</t>
        </is>
      </c>
      <c r="E19" s="21" t="n">
        <v>500</v>
      </c>
      <c r="F19" s="10" t="inlineStr">
        <is>
          <t>Debit țintă ÷ capacitate unitară</t>
        </is>
      </c>
      <c r="G19" s="22">
        <f>ROUNDUP($C$10/E19,0)</f>
        <v/>
      </c>
      <c r="H19" s="21">
        <f>G19*E19</f>
        <v/>
      </c>
      <c r="I19" s="23">
        <f>$C$10/H19</f>
        <v/>
      </c>
      <c r="J19" s="10" t="n">
        <v>2.95</v>
      </c>
      <c r="K19" s="21">
        <f>G19*J19</f>
        <v/>
      </c>
      <c r="L19" s="10">
        <f>$C$5</f>
        <v/>
      </c>
      <c r="M19" s="21">
        <f>K19*L19</f>
        <v/>
      </c>
      <c r="N19" s="10">
        <f>$C$7</f>
        <v/>
      </c>
      <c r="O19" s="21">
        <f>M19*N19</f>
        <v/>
      </c>
      <c r="P19" s="11" t="inlineStr">
        <is>
          <t>deschide broșura</t>
        </is>
      </c>
      <c r="Q19" s="10" t="inlineStr">
        <is>
          <t>8 fracții – crește randamentul de miez întreg la spargere.</t>
        </is>
      </c>
    </row>
    <row r="20">
      <c r="A20" s="10" t="n">
        <v>5</v>
      </c>
      <c r="B20" s="10" t="inlineStr">
        <is>
          <t>Eliminare nuci goale</t>
        </is>
      </c>
      <c r="C20" s="10" t="inlineStr">
        <is>
          <t>Mașină pentru sortarea nucilor goale în coajă</t>
        </is>
      </c>
      <c r="D20" s="10" t="inlineStr">
        <is>
          <t>—</t>
        </is>
      </c>
      <c r="E20" s="21" t="n">
        <v>300</v>
      </c>
      <c r="F20" s="10" t="inlineStr">
        <is>
          <t>Debit țintă ÷ capacitate unitară</t>
        </is>
      </c>
      <c r="G20" s="22">
        <f>ROUNDUP($C$10/E20,0)</f>
        <v/>
      </c>
      <c r="H20" s="21">
        <f>G20*E20</f>
        <v/>
      </c>
      <c r="I20" s="23">
        <f>$C$10/H20</f>
        <v/>
      </c>
      <c r="J20" s="10" t="n">
        <v>4.5</v>
      </c>
      <c r="K20" s="21">
        <f>G20*J20</f>
        <v/>
      </c>
      <c r="L20" s="10">
        <f>$C$5</f>
        <v/>
      </c>
      <c r="M20" s="21">
        <f>K20*L20</f>
        <v/>
      </c>
      <c r="N20" s="10">
        <f>$C$7</f>
        <v/>
      </c>
      <c r="O20" s="21">
        <f>M20*N20</f>
        <v/>
      </c>
      <c r="P20" s="11" t="inlineStr">
        <is>
          <t>deschide broșura</t>
        </is>
      </c>
      <c r="Q20" s="10" t="inlineStr"/>
    </row>
    <row r="21">
      <c r="A21" s="10" t="n">
        <v>6</v>
      </c>
      <c r="B21" s="10" t="inlineStr">
        <is>
          <t>Spargere</t>
        </is>
      </c>
      <c r="C21" s="10" t="inlineStr">
        <is>
          <t>Mașină industrială de spart nuci cu coloană de aspirație integrată (200 kg/h)</t>
        </is>
      </c>
      <c r="D21" s="10" t="inlineStr">
        <is>
          <t>Spărgător 200 kg/h fără aspirație; 100 / 50 kg/h</t>
        </is>
      </c>
      <c r="E21" s="21" t="n">
        <v>200</v>
      </c>
      <c r="F21" s="10" t="inlineStr">
        <is>
          <t>Debit țintă ÷ capacitate unitară</t>
        </is>
      </c>
      <c r="G21" s="22">
        <f>ROUNDUP($C$10/E21,0)</f>
        <v/>
      </c>
      <c r="H21" s="21">
        <f>G21*E21</f>
        <v/>
      </c>
      <c r="I21" s="23">
        <f>$C$10/H21</f>
        <v/>
      </c>
      <c r="J21" s="10" t="n">
        <v>2.05</v>
      </c>
      <c r="K21" s="21">
        <f>G21*J21</f>
        <v/>
      </c>
      <c r="L21" s="10">
        <f>$C$5</f>
        <v/>
      </c>
      <c r="M21" s="21">
        <f>K21*L21</f>
        <v/>
      </c>
      <c r="N21" s="10">
        <f>$C$7</f>
        <v/>
      </c>
      <c r="O21" s="21">
        <f>M21*N21</f>
        <v/>
      </c>
      <c r="P21" s="11" t="inlineStr">
        <is>
          <t>deschide broșura</t>
        </is>
      </c>
      <c r="Q21" s="10" t="inlineStr">
        <is>
          <t>Etapa limitativă: cel mai mare spărgător are doar 200 kg/h → se multiplică.</t>
        </is>
      </c>
    </row>
    <row r="22">
      <c r="A22" s="10" t="n">
        <v>7</v>
      </c>
      <c r="B22" s="10" t="inlineStr">
        <is>
          <t>Spargere secundară (post-spărgere)</t>
        </is>
      </c>
      <c r="C22" s="10" t="inlineStr">
        <is>
          <t>Spărgător de nuci pentru etapa post-spărgere</t>
        </is>
      </c>
      <c r="D22" s="10" t="inlineStr">
        <is>
          <t>—</t>
        </is>
      </c>
      <c r="E22" s="21" t="n">
        <v>200</v>
      </c>
      <c r="F22" s="10" t="inlineStr">
        <is>
          <t>Debit țintă ÷ capacitate unitară</t>
        </is>
      </c>
      <c r="G22" s="22">
        <f>ROUNDUP($C$10/E22,0)</f>
        <v/>
      </c>
      <c r="H22" s="21">
        <f>G22*E22</f>
        <v/>
      </c>
      <c r="I22" s="23">
        <f>$C$10/H22</f>
        <v/>
      </c>
      <c r="J22" s="10" t="n">
        <v>1.1</v>
      </c>
      <c r="K22" s="21">
        <f>G22*J22</f>
        <v/>
      </c>
      <c r="L22" s="10">
        <f>$C$5</f>
        <v/>
      </c>
      <c r="M22" s="21">
        <f>K22*L22</f>
        <v/>
      </c>
      <c r="N22" s="10">
        <f>$C$7</f>
        <v/>
      </c>
      <c r="O22" s="21">
        <f>M22*N22</f>
        <v/>
      </c>
      <c r="P22" s="11" t="inlineStr">
        <is>
          <t>deschide broșura</t>
        </is>
      </c>
      <c r="Q22" s="10" t="inlineStr"/>
    </row>
    <row r="23">
      <c r="A23" s="10" t="n">
        <v>8</v>
      </c>
      <c r="B23" s="10" t="inlineStr">
        <is>
          <t>Sortare pe sită vibrantă cu aspirație</t>
        </is>
      </c>
      <c r="C23" s="10" t="inlineStr">
        <is>
          <t>Sit vibratoare cu aspirație pentru sortarea nucilor (300 kg/h)</t>
        </is>
      </c>
      <c r="D23" s="10" t="inlineStr">
        <is>
          <t>Sită 200 kg/h; separator miez 200 kg/h</t>
        </is>
      </c>
      <c r="E23" s="21" t="n">
        <v>300</v>
      </c>
      <c r="F23" s="10" t="inlineStr">
        <is>
          <t>Debit țintă ÷ capacitate unitară</t>
        </is>
      </c>
      <c r="G23" s="22">
        <f>ROUNDUP($C$10/E23,0)</f>
        <v/>
      </c>
      <c r="H23" s="21">
        <f>G23*E23</f>
        <v/>
      </c>
      <c r="I23" s="23">
        <f>$C$10/H23</f>
        <v/>
      </c>
      <c r="J23" s="10" t="n">
        <v>3</v>
      </c>
      <c r="K23" s="21">
        <f>G23*J23</f>
        <v/>
      </c>
      <c r="L23" s="10">
        <f>$C$5</f>
        <v/>
      </c>
      <c r="M23" s="21">
        <f>K23*L23</f>
        <v/>
      </c>
      <c r="N23" s="10">
        <f>$C$7</f>
        <v/>
      </c>
      <c r="O23" s="21">
        <f>M23*N23</f>
        <v/>
      </c>
      <c r="P23" s="11" t="inlineStr">
        <is>
          <t>deschide broșura</t>
        </is>
      </c>
      <c r="Q23" s="10" t="inlineStr"/>
    </row>
    <row r="24">
      <c r="A24" s="10" t="n">
        <v>9</v>
      </c>
      <c r="B24" s="10" t="inlineStr">
        <is>
          <t>Separare miez de coajă (coloană aspirație)</t>
        </is>
      </c>
      <c r="C24" s="10" t="inlineStr">
        <is>
          <t>Mașină pentru separarea miezului de coajă (300 kg/h)</t>
        </is>
      </c>
      <c r="D24" s="10" t="inlineStr">
        <is>
          <t>Separator 100 kg/h</t>
        </is>
      </c>
      <c r="E24" s="21" t="n">
        <v>300</v>
      </c>
      <c r="F24" s="10" t="inlineStr">
        <is>
          <t>Debit țintă ÷ capacitate unitară</t>
        </is>
      </c>
      <c r="G24" s="22">
        <f>ROUNDUP($C$10/E24,0)</f>
        <v/>
      </c>
      <c r="H24" s="21">
        <f>G24*E24</f>
        <v/>
      </c>
      <c r="I24" s="23">
        <f>$C$10/H24</f>
        <v/>
      </c>
      <c r="J24" s="10" t="n">
        <v>1.5</v>
      </c>
      <c r="K24" s="21">
        <f>G24*J24</f>
        <v/>
      </c>
      <c r="L24" s="10">
        <f>$C$5</f>
        <v/>
      </c>
      <c r="M24" s="21">
        <f>K24*L24</f>
        <v/>
      </c>
      <c r="N24" s="10">
        <f>$C$7</f>
        <v/>
      </c>
      <c r="O24" s="21">
        <f>M24*N24</f>
        <v/>
      </c>
      <c r="P24" s="11" t="inlineStr">
        <is>
          <t>deschide broșura</t>
        </is>
      </c>
      <c r="Q24" s="10" t="inlineStr"/>
    </row>
    <row r="25">
      <c r="A25" s="10" t="n">
        <v>10</v>
      </c>
      <c r="B25" s="10" t="inlineStr">
        <is>
          <t>Sortare optică miez</t>
        </is>
      </c>
      <c r="C25" s="10" t="inlineStr">
        <is>
          <t>Sortator optic cu bandă M600</t>
        </is>
      </c>
      <c r="D25" s="10" t="inlineStr">
        <is>
          <t>Sortator optic 3S 400 kg/h; IR-63 200 kg/h</t>
        </is>
      </c>
      <c r="E25" s="21" t="n">
        <v>600</v>
      </c>
      <c r="F25" s="10" t="inlineStr">
        <is>
          <t>Debit țintă ÷ capacitate unitară</t>
        </is>
      </c>
      <c r="G25" s="22">
        <f>ROUNDUP($C$10/E25,0)</f>
        <v/>
      </c>
      <c r="H25" s="21">
        <f>G25*E25</f>
        <v/>
      </c>
      <c r="I25" s="23">
        <f>$C$10/H25</f>
        <v/>
      </c>
      <c r="J25" s="10" t="n">
        <v>1.1</v>
      </c>
      <c r="K25" s="21">
        <f>G25*J25</f>
        <v/>
      </c>
      <c r="L25" s="10">
        <f>$C$5</f>
        <v/>
      </c>
      <c r="M25" s="21">
        <f>K25*L25</f>
        <v/>
      </c>
      <c r="N25" s="10">
        <f>$C$7</f>
        <v/>
      </c>
      <c r="O25" s="21">
        <f>M25*N25</f>
        <v/>
      </c>
      <c r="P25" s="11" t="inlineStr">
        <is>
          <t>deschide broșura</t>
        </is>
      </c>
      <c r="Q25" s="10" t="inlineStr">
        <is>
          <t>Precizie până la 99,5%. Broșura PDF lipsește pe site – de cerut.</t>
        </is>
      </c>
    </row>
    <row r="26">
      <c r="A26" s="10" t="n">
        <v>11</v>
      </c>
      <c r="B26" s="10" t="inlineStr">
        <is>
          <t>Masă de inspecție finală</t>
        </is>
      </c>
      <c r="C26" s="10" t="inlineStr">
        <is>
          <t>Masă de inspecție cu bandă pe două niveluri</t>
        </is>
      </c>
      <c r="D26" s="10" t="inlineStr">
        <is>
          <t>Masă de inspecție simplă</t>
        </is>
      </c>
      <c r="E26" s="21" t="inlineStr">
        <is>
          <t>n/d</t>
        </is>
      </c>
      <c r="F26" s="10" t="inlineStr">
        <is>
          <t>Estimare</t>
        </is>
      </c>
      <c r="G26" s="22">
        <f>ROUNDUP($C$10/500,0)</f>
        <v/>
      </c>
      <c r="H26" s="21" t="inlineStr">
        <is>
          <t>—</t>
        </is>
      </c>
      <c r="I26" s="23" t="inlineStr">
        <is>
          <t>—</t>
        </is>
      </c>
      <c r="J26" s="10" t="n">
        <v>1.1</v>
      </c>
      <c r="K26" s="21">
        <f>G26*J26</f>
        <v/>
      </c>
      <c r="L26" s="10">
        <f>$C$5</f>
        <v/>
      </c>
      <c r="M26" s="21">
        <f>K26*L26</f>
        <v/>
      </c>
      <c r="N26" s="10">
        <f>$C$7</f>
        <v/>
      </c>
      <c r="O26" s="21">
        <f>M26*N26</f>
        <v/>
      </c>
      <c r="P26" s="11" t="inlineStr">
        <is>
          <t>deschide broșura</t>
        </is>
      </c>
      <c r="Q26" s="10" t="inlineStr">
        <is>
          <t>Capacitate nedeclarată de producător – estimat 1 masă la 500 kg/h; de confirmat.</t>
        </is>
      </c>
    </row>
    <row r="27">
      <c r="A27" s="10" t="n">
        <v>12</v>
      </c>
      <c r="B27" s="10" t="inlineStr">
        <is>
          <t>Transportoare elevatoare între utilaje</t>
        </is>
      </c>
      <c r="C27" s="10" t="inlineStr">
        <is>
          <t>Transportor elevatoare pentru nuci</t>
        </is>
      </c>
      <c r="D27" s="10" t="inlineStr">
        <is>
          <t>—</t>
        </is>
      </c>
      <c r="E27" s="21" t="inlineStr">
        <is>
          <t>n/d</t>
        </is>
      </c>
      <c r="F27" s="10" t="inlineStr">
        <is>
          <t>Estimare</t>
        </is>
      </c>
      <c r="G27" s="22" t="n">
        <v>4</v>
      </c>
      <c r="H27" s="21" t="inlineStr">
        <is>
          <t>—</t>
        </is>
      </c>
      <c r="I27" s="23" t="inlineStr">
        <is>
          <t>—</t>
        </is>
      </c>
      <c r="J27" s="10" t="n">
        <v>0.55</v>
      </c>
      <c r="K27" s="21">
        <f>G27*J27</f>
        <v/>
      </c>
      <c r="L27" s="10">
        <f>$C$5</f>
        <v/>
      </c>
      <c r="M27" s="21">
        <f>K27*L27</f>
        <v/>
      </c>
      <c r="N27" s="10">
        <f>$C$7</f>
        <v/>
      </c>
      <c r="O27" s="21">
        <f>M27*N27</f>
        <v/>
      </c>
      <c r="P27" s="11" t="inlineStr">
        <is>
          <t>deschide broșura</t>
        </is>
      </c>
      <c r="Q27" s="10" t="inlineStr">
        <is>
          <t>Capacitate nedeclarată – estimat 4 buc. (calibrare→spargere→sită→separator→sortare); de confirmat la proiectare.</t>
        </is>
      </c>
    </row>
    <row r="28">
      <c r="B28" s="24" t="inlineStr">
        <is>
          <t>TOTAL LINIE</t>
        </is>
      </c>
      <c r="G28" s="25">
        <f>SUM(G16:G27)</f>
        <v/>
      </c>
      <c r="K28" s="25">
        <f>SUM(K16:K27)</f>
        <v/>
      </c>
      <c r="O28" s="25">
        <f>SUM(O16:O27)</f>
        <v/>
      </c>
    </row>
    <row r="30">
      <c r="A30" s="16" t="inlineStr">
        <is>
          <t>REZULTATE</t>
        </is>
      </c>
    </row>
    <row r="31">
      <c r="A31" t="inlineStr">
        <is>
          <t>Debit linie – nucă uscată în coajă</t>
        </is>
      </c>
      <c r="C31" s="26">
        <f>C10</f>
        <v/>
      </c>
      <c r="D31" t="inlineStr">
        <is>
          <t>kg/h</t>
        </is>
      </c>
    </row>
    <row r="32">
      <c r="A32" t="inlineStr">
        <is>
          <t>Nucă procesată pe zi</t>
        </is>
      </c>
      <c r="C32" s="26">
        <f>C10*C5</f>
        <v/>
      </c>
      <c r="D32" t="inlineStr">
        <is>
          <t>kg/zi</t>
        </is>
      </c>
    </row>
    <row r="33">
      <c r="A33" t="inlineStr">
        <is>
          <t>Miez obținut pe oră</t>
        </is>
      </c>
      <c r="C33" s="26">
        <f>C10*C9</f>
        <v/>
      </c>
      <c r="D33" t="inlineStr">
        <is>
          <t>kg/h</t>
        </is>
      </c>
    </row>
    <row r="34">
      <c r="A34" t="inlineStr">
        <is>
          <t>Miez obținut pe zi</t>
        </is>
      </c>
      <c r="C34" s="26">
        <f>C10*C5*C9</f>
        <v/>
      </c>
      <c r="D34" t="inlineStr">
        <is>
          <t>kg/zi</t>
        </is>
      </c>
    </row>
    <row r="35">
      <c r="A35" t="inlineStr">
        <is>
          <t>Nucă procesată pe an</t>
        </is>
      </c>
      <c r="C35" s="26">
        <f>C11</f>
        <v/>
      </c>
      <c r="D35" t="inlineStr">
        <is>
          <t>t/an</t>
        </is>
      </c>
    </row>
    <row r="36">
      <c r="A36" t="inlineStr">
        <is>
          <t>Miez obținut pe an</t>
        </is>
      </c>
      <c r="C36" s="26">
        <f>C11*C9</f>
        <v/>
      </c>
      <c r="D36" t="inlineStr">
        <is>
          <t>t/an</t>
        </is>
      </c>
    </row>
    <row r="37">
      <c r="A37" t="inlineStr">
        <is>
          <t>Nucă de decojit și uscat pe zi în sezon</t>
        </is>
      </c>
      <c r="C37" s="26">
        <f>C11/C8</f>
        <v/>
      </c>
      <c r="D37" t="inlineStr">
        <is>
          <t>t/zi</t>
        </is>
      </c>
    </row>
    <row r="38">
      <c r="A38" t="inlineStr">
        <is>
          <t>Număr total utilaje</t>
        </is>
      </c>
      <c r="C38" s="26">
        <f>G28</f>
        <v/>
      </c>
      <c r="D38" t="inlineStr">
        <is>
          <t>buc.</t>
        </is>
      </c>
    </row>
    <row r="39">
      <c r="A39" t="inlineStr">
        <is>
          <t>Putere instalată totală</t>
        </is>
      </c>
      <c r="C39" s="26">
        <f>K28</f>
        <v/>
      </c>
      <c r="D39" t="inlineStr">
        <is>
          <t>kW</t>
        </is>
      </c>
    </row>
    <row r="40">
      <c r="A40" t="inlineStr">
        <is>
          <t>Consum energie electrică estimat (100% sarcină)</t>
        </is>
      </c>
      <c r="C40" s="26">
        <f>O28</f>
        <v/>
      </c>
      <c r="D40" t="inlineStr">
        <is>
          <t>kWh/an</t>
        </is>
      </c>
    </row>
    <row r="41">
      <c r="A41" t="inlineStr">
        <is>
          <t xml:space="preserve">   din care uscare (sezon)</t>
        </is>
      </c>
      <c r="C41" s="26">
        <f>O17</f>
        <v/>
      </c>
      <c r="D41" t="inlineStr">
        <is>
          <t>kWh/an</t>
        </is>
      </c>
    </row>
    <row r="42">
      <c r="A42" t="inlineStr">
        <is>
          <t>Debit maxim dacă se cumpără câte 1 buc./etapă</t>
        </is>
      </c>
      <c r="C42" s="26">
        <f>MIN(E19:E25)</f>
        <v/>
      </c>
      <c r="D42" t="inlineStr">
        <is>
          <t>kg/h (limitat de spargere – 200 kg/h)</t>
        </is>
      </c>
    </row>
    <row r="43">
      <c r="A43" t="inlineStr">
        <is>
          <t>Comparație: cea mai mare linie completă a producătorului</t>
        </is>
      </c>
      <c r="C43" s="26" t="n">
        <v>400</v>
      </c>
      <c r="D43" t="inlineStr">
        <is>
          <t>kg/h – „08. Linii complete de procesare\05...”</t>
        </is>
      </c>
    </row>
  </sheetData>
  <mergeCells count="1">
    <mergeCell ref="A2:Q2"/>
  </mergeCells>
  <hyperlinks>
    <hyperlink xmlns:r="http://schemas.openxmlformats.org/officeDocument/2006/relationships" ref="P16" r:id="rId1"/>
    <hyperlink xmlns:r="http://schemas.openxmlformats.org/officeDocument/2006/relationships" ref="P17" r:id="rId2"/>
    <hyperlink xmlns:r="http://schemas.openxmlformats.org/officeDocument/2006/relationships" ref="P18" r:id="rId3"/>
    <hyperlink xmlns:r="http://schemas.openxmlformats.org/officeDocument/2006/relationships" ref="P19" r:id="rId4"/>
    <hyperlink xmlns:r="http://schemas.openxmlformats.org/officeDocument/2006/relationships" ref="P20" r:id="rId5"/>
    <hyperlink xmlns:r="http://schemas.openxmlformats.org/officeDocument/2006/relationships" ref="P21" r:id="rId6"/>
    <hyperlink xmlns:r="http://schemas.openxmlformats.org/officeDocument/2006/relationships" ref="P22" r:id="rId7"/>
    <hyperlink xmlns:r="http://schemas.openxmlformats.org/officeDocument/2006/relationships" ref="P23" r:id="rId8"/>
    <hyperlink xmlns:r="http://schemas.openxmlformats.org/officeDocument/2006/relationships" ref="P24" r:id="rId9"/>
    <hyperlink xmlns:r="http://schemas.openxmlformats.org/officeDocument/2006/relationships" ref="P25" r:id="rId10"/>
    <hyperlink xmlns:r="http://schemas.openxmlformats.org/officeDocument/2006/relationships" ref="P26" r:id="rId11"/>
    <hyperlink xmlns:r="http://schemas.openxmlformats.org/officeDocument/2006/relationships" ref="P2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6" customWidth="1" min="2" max="2"/>
    <col width="10" customWidth="1" min="3" max="3"/>
    <col width="18" customWidth="1" min="4" max="4"/>
    <col width="14" customWidth="1" min="5" max="5"/>
    <col width="48" customWidth="1" min="6" max="6"/>
    <col width="14" customWidth="1" min="7" max="7"/>
    <col width="14" customWidth="1" min="8" max="8"/>
    <col width="15" customWidth="1" min="9" max="9"/>
    <col width="60" customWidth="1" min="10" max="10"/>
  </cols>
  <sheetData>
    <row r="1">
      <c r="A1" s="14" t="inlineStr">
        <is>
          <t>Linia ideală maximă – prețuri: magazin online Nut Technology vs. distribuitor România (TEHNO MSS SRL, Iași)</t>
        </is>
      </c>
    </row>
    <row r="2" ht="58" customHeight="1">
      <c r="A2" s="15" t="inlineStr">
        <is>
          <t>Prețuri în EUR fără TVA. TEHNO MSS: ofertele nr. 82/16.04.2026 (200 kg/h și „400 kg/h”), valabile 60 de zile, deci expirate – de reconfirmat. Magazinul online shop.nuttechnology.com vinde doar spărgătoare casnice și unelte de recoltare (35–1.099 €), NU vinde utilaje industriale – pentru acestea producătorul dă preț doar la cerere (butonul „Request price”). Cantitățile sunt legate de foaia „Linie ideala” și se recalculează automat.</t>
        </is>
      </c>
    </row>
    <row r="4">
      <c r="A4" s="3" t="inlineStr">
        <is>
          <t>Nr.</t>
        </is>
      </c>
      <c r="B4" s="3" t="inlineStr">
        <is>
          <t>Etapa / echipament din linia ideală</t>
        </is>
      </c>
      <c r="C4" s="3" t="inlineStr">
        <is>
          <t>Buc. linie ideală</t>
        </is>
      </c>
      <c r="D4" s="3" t="inlineStr">
        <is>
          <t>Magazin online – preț unitar</t>
        </is>
      </c>
      <c r="E4" s="3" t="inlineStr">
        <is>
          <t>Magazin online – total</t>
        </is>
      </c>
      <c r="F4" s="3" t="inlineStr">
        <is>
          <t>Echipament ofertat de TEHNO MSS</t>
        </is>
      </c>
      <c r="G4" s="3" t="inlineStr">
        <is>
          <t>Buc. necesare (varianta TEHNO MSS)</t>
        </is>
      </c>
      <c r="H4" s="3" t="inlineStr">
        <is>
          <t>TEHNO MSS – preț unitar</t>
        </is>
      </c>
      <c r="I4" s="3" t="inlineStr">
        <is>
          <t>TEHNO MSS – total</t>
        </is>
      </c>
      <c r="J4" s="3" t="inlineStr">
        <is>
          <t>Observații</t>
        </is>
      </c>
    </row>
    <row r="5">
      <c r="A5" s="10" t="n">
        <v>1</v>
      </c>
      <c r="B5" s="10" t="inlineStr">
        <is>
          <t>Decojire coajă verde + spălare 1 t/h</t>
        </is>
      </c>
      <c r="C5" s="10">
        <f>'Linie ideala'!G16</f>
        <v/>
      </c>
      <c r="D5" s="29" t="inlineStr">
        <is>
          <t>nu se vinde online</t>
        </is>
      </c>
      <c r="E5" s="30" t="n">
        <v>0</v>
      </c>
      <c r="F5" s="10" t="inlineStr">
        <is>
          <t>Mașină industrială de curățat și spălat nuci 1 t/h</t>
        </is>
      </c>
      <c r="G5" s="10">
        <f>'Linie ideala'!G16</f>
        <v/>
      </c>
      <c r="H5" s="31" t="n">
        <v>29000</v>
      </c>
      <c r="I5" s="32">
        <f>G5*H5</f>
        <v/>
      </c>
      <c r="J5" s="10" t="inlineStr"/>
    </row>
    <row r="6">
      <c r="A6" s="10" t="n">
        <v>2</v>
      </c>
      <c r="B6" s="10" t="inlineStr">
        <is>
          <t>Uscător nuci în coajă 4 t/zi</t>
        </is>
      </c>
      <c r="C6" s="10">
        <f>'Linie ideala'!G17</f>
        <v/>
      </c>
      <c r="D6" s="29" t="inlineStr">
        <is>
          <t>nu se vinde online</t>
        </is>
      </c>
      <c r="E6" s="30" t="n">
        <v>0</v>
      </c>
      <c r="F6" s="10" t="inlineStr">
        <is>
          <t>Uscător pentru nuci, alune, migdale 4 t/zi</t>
        </is>
      </c>
      <c r="G6" s="10">
        <f>'Linie ideala'!G17</f>
        <v/>
      </c>
      <c r="H6" s="31" t="n">
        <v>19200</v>
      </c>
      <c r="I6" s="32">
        <f>G6*H6</f>
        <v/>
      </c>
      <c r="J6" s="10" t="inlineStr">
        <is>
          <t>Ofertat „fără transportor”. Vezi analiza din 24.09: 14 kW pare insuficient pentru 4 t/șarjă.</t>
        </is>
      </c>
    </row>
    <row r="7">
      <c r="A7" s="10" t="n">
        <v>3</v>
      </c>
      <c r="B7" s="10" t="inlineStr">
        <is>
          <t>Încărcare uscătoare (bandă 4 t/h)</t>
        </is>
      </c>
      <c r="C7" s="10">
        <f>'Linie ideala'!G18</f>
        <v/>
      </c>
      <c r="D7" s="29" t="inlineStr">
        <is>
          <t>nu se vinde online</t>
        </is>
      </c>
      <c r="E7" s="30" t="n">
        <v>0</v>
      </c>
      <c r="F7" s="10" t="inlineStr">
        <is>
          <t>Elevator Noria încărcare/descărcare 4 t/h (substitut)</t>
        </is>
      </c>
      <c r="G7" s="10">
        <f>'Linie ideala'!G18</f>
        <v/>
      </c>
      <c r="H7" s="31" t="n">
        <v>8600</v>
      </c>
      <c r="I7" s="32">
        <f>G7*H7</f>
        <v/>
      </c>
      <c r="J7" s="10" t="inlineStr">
        <is>
          <t>TEHNO MSS nu ofertează banda de alimentare; s-a luat elevatorul Noria. Un elevator ar putea deservi mai multe uscătoare – cantitate de optimizat.</t>
        </is>
      </c>
    </row>
    <row r="8">
      <c r="A8" s="10" t="n">
        <v>4</v>
      </c>
      <c r="B8" s="10" t="inlineStr">
        <is>
          <t>Calibrator nuci 8 fracții 500 kg/h</t>
        </is>
      </c>
      <c r="C8" s="10">
        <f>'Linie ideala'!G19</f>
        <v/>
      </c>
      <c r="D8" s="29" t="inlineStr">
        <is>
          <t>nu se vinde online</t>
        </is>
      </c>
      <c r="E8" s="30" t="n">
        <v>0</v>
      </c>
      <c r="F8" s="10" t="inlineStr">
        <is>
          <t>Calibrator rotativ 4 fracții 300 kg/h</t>
        </is>
      </c>
      <c r="G8" s="10">
        <f>ROUNDUP('Linie ideala'!$C$10/300,0)</f>
        <v/>
      </c>
      <c r="H8" s="31" t="n">
        <v>8600</v>
      </c>
      <c r="I8" s="32">
        <f>G8*H8</f>
        <v/>
      </c>
      <c r="J8" s="10" t="inlineStr">
        <is>
          <t>Model mai mic ofertat (300 kg/h) → sunt necesare mai multe bucăți.</t>
        </is>
      </c>
    </row>
    <row r="9">
      <c r="A9" s="10" t="n">
        <v>5</v>
      </c>
      <c r="B9" s="10" t="inlineStr">
        <is>
          <t>Mașină de eliminat nuci goale 300 kg/h</t>
        </is>
      </c>
      <c r="C9" s="10">
        <f>'Linie ideala'!G20</f>
        <v/>
      </c>
      <c r="D9" s="29" t="inlineStr">
        <is>
          <t>nu se vinde online</t>
        </is>
      </c>
      <c r="E9" s="30" t="n">
        <v>0</v>
      </c>
      <c r="F9" s="10" t="inlineStr">
        <is>
          <t>—</t>
        </is>
      </c>
      <c r="G9" s="10" t="n">
        <v>0</v>
      </c>
      <c r="H9" s="33" t="inlineStr">
        <is>
          <t>neofertat</t>
        </is>
      </c>
      <c r="I9" s="32" t="n">
        <v>0</v>
      </c>
      <c r="J9" s="10" t="inlineStr">
        <is>
          <t>Neofertat – preț de cerut.</t>
        </is>
      </c>
    </row>
    <row r="10">
      <c r="A10" s="10" t="n">
        <v>6</v>
      </c>
      <c r="B10" s="10" t="inlineStr">
        <is>
          <t>Spărgător cu aspirație 200 kg/h</t>
        </is>
      </c>
      <c r="C10" s="10">
        <f>'Linie ideala'!G21</f>
        <v/>
      </c>
      <c r="D10" s="29" t="inlineStr">
        <is>
          <t>nu se vinde online</t>
        </is>
      </c>
      <c r="E10" s="30" t="n">
        <v>0</v>
      </c>
      <c r="F10" s="10" t="inlineStr">
        <is>
          <t>Linie completă procesare nuci 200 kg/h (spărgător conic 200 kg/h + bandă + sită vibrantă cu aspirație + decorticator)</t>
        </is>
      </c>
      <c r="G10" s="10">
        <f>ROUNDUP('Linie ideala'!$C$10/200,0)</f>
        <v/>
      </c>
      <c r="H10" s="31" t="n">
        <v>28600</v>
      </c>
      <c r="I10" s="32">
        <f>G10*H10</f>
        <v/>
      </c>
      <c r="J10" s="10" t="inlineStr">
        <is>
          <t>Pachetul acoperă pozițiile 6, 7 și 8. Varianta combinată (nuci+alune+migdale) costă 32.900 €/linie.</t>
        </is>
      </c>
    </row>
    <row r="11">
      <c r="A11" s="10" t="n">
        <v>7</v>
      </c>
      <c r="B11" s="10" t="inlineStr">
        <is>
          <t>Spargere secundară 200 kg/h</t>
        </is>
      </c>
      <c r="C11" s="10">
        <f>'Linie ideala'!G22</f>
        <v/>
      </c>
      <c r="D11" s="29" t="inlineStr">
        <is>
          <t>nu se vinde online</t>
        </is>
      </c>
      <c r="E11" s="30" t="n">
        <v>0</v>
      </c>
      <c r="F11" s="10" t="inlineStr">
        <is>
          <t>inclus în linia completă (poz. 6)</t>
        </is>
      </c>
      <c r="G11" s="10" t="n">
        <v>0</v>
      </c>
      <c r="H11" s="33" t="inlineStr">
        <is>
          <t>neofertat</t>
        </is>
      </c>
      <c r="I11" s="32" t="n">
        <v>0</v>
      </c>
      <c r="J11" s="10" t="inlineStr"/>
    </row>
    <row r="12">
      <c r="A12" s="10" t="n">
        <v>8</v>
      </c>
      <c r="B12" s="10" t="inlineStr">
        <is>
          <t>Sită vibrantă cu aspirație 300 kg/h</t>
        </is>
      </c>
      <c r="C12" s="10">
        <f>'Linie ideala'!G23</f>
        <v/>
      </c>
      <c r="D12" s="29" t="inlineStr">
        <is>
          <t>nu se vinde online</t>
        </is>
      </c>
      <c r="E12" s="30" t="n">
        <v>0</v>
      </c>
      <c r="F12" s="10" t="inlineStr">
        <is>
          <t>inclus în linia completă (poz. 6), 200 kg/h</t>
        </is>
      </c>
      <c r="G12" s="10" t="n">
        <v>0</v>
      </c>
      <c r="H12" s="33" t="inlineStr">
        <is>
          <t>neofertat</t>
        </is>
      </c>
      <c r="I12" s="32" t="n">
        <v>0</v>
      </c>
      <c r="J12" s="10" t="inlineStr"/>
    </row>
    <row r="13">
      <c r="A13" s="10" t="n">
        <v>9</v>
      </c>
      <c r="B13" s="10" t="inlineStr">
        <is>
          <t>Separator miez de coajă 300 kg/h</t>
        </is>
      </c>
      <c r="C13" s="10">
        <f>'Linie ideala'!G24</f>
        <v/>
      </c>
      <c r="D13" s="29" t="inlineStr">
        <is>
          <t>nu se vinde online</t>
        </is>
      </c>
      <c r="E13" s="30" t="n">
        <v>0</v>
      </c>
      <c r="F13" s="10" t="inlineStr">
        <is>
          <t>—</t>
        </is>
      </c>
      <c r="G13" s="10" t="n">
        <v>0</v>
      </c>
      <c r="H13" s="33" t="inlineStr">
        <is>
          <t>neofertat</t>
        </is>
      </c>
      <c r="I13" s="32" t="n">
        <v>0</v>
      </c>
      <c r="J13" s="10" t="inlineStr">
        <is>
          <t>Neofertat.</t>
        </is>
      </c>
    </row>
    <row r="14">
      <c r="A14" s="10" t="n">
        <v>10</v>
      </c>
      <c r="B14" s="10" t="inlineStr">
        <is>
          <t>Sortator optic miez M600</t>
        </is>
      </c>
      <c r="C14" s="10">
        <f>'Linie ideala'!G25</f>
        <v/>
      </c>
      <c r="D14" s="29" t="inlineStr">
        <is>
          <t>nu se vinde online</t>
        </is>
      </c>
      <c r="E14" s="30" t="n">
        <v>0</v>
      </c>
      <c r="F14" s="10" t="inlineStr">
        <is>
          <t>—</t>
        </is>
      </c>
      <c r="G14" s="10" t="n">
        <v>0</v>
      </c>
      <c r="H14" s="33" t="inlineStr">
        <is>
          <t>neofertat</t>
        </is>
      </c>
      <c r="I14" s="32" t="n">
        <v>0</v>
      </c>
      <c r="J14" s="10" t="inlineStr">
        <is>
          <t>Neofertat. Estimare din analiza internă 24.09.2026: 35.000–60.000 €/buc.</t>
        </is>
      </c>
    </row>
    <row r="15">
      <c r="A15" s="10" t="n">
        <v>11</v>
      </c>
      <c r="B15" s="10" t="inlineStr">
        <is>
          <t>Masă de inspecție finală</t>
        </is>
      </c>
      <c r="C15" s="10">
        <f>'Linie ideala'!G26</f>
        <v/>
      </c>
      <c r="D15" s="29" t="inlineStr">
        <is>
          <t>nu se vinde online</t>
        </is>
      </c>
      <c r="E15" s="30" t="n">
        <v>0</v>
      </c>
      <c r="F15" s="10" t="inlineStr">
        <is>
          <t>—</t>
        </is>
      </c>
      <c r="G15" s="10" t="n">
        <v>0</v>
      </c>
      <c r="H15" s="33" t="inlineStr">
        <is>
          <t>neofertat</t>
        </is>
      </c>
      <c r="I15" s="32" t="n">
        <v>0</v>
      </c>
      <c r="J15" s="10" t="inlineStr">
        <is>
          <t>Neofertată. Estimare analiză internă: 3.000–6.000 €/buc.</t>
        </is>
      </c>
    </row>
    <row r="16">
      <c r="A16" s="10" t="n">
        <v>12</v>
      </c>
      <c r="B16" s="10" t="inlineStr">
        <is>
          <t>Transportoare elevatoare</t>
        </is>
      </c>
      <c r="C16" s="10">
        <f>'Linie ideala'!G27</f>
        <v/>
      </c>
      <c r="D16" s="29" t="inlineStr">
        <is>
          <t>nu se vinde online</t>
        </is>
      </c>
      <c r="E16" s="30" t="n">
        <v>0</v>
      </c>
      <c r="F16" s="10" t="inlineStr">
        <is>
          <t>parțial incluse (1 bandă în fiecare linie completă)</t>
        </is>
      </c>
      <c r="G16" s="10" t="n">
        <v>0</v>
      </c>
      <c r="H16" s="33" t="inlineStr">
        <is>
          <t>neofertat</t>
        </is>
      </c>
      <c r="I16" s="32" t="n">
        <v>0</v>
      </c>
      <c r="J16" s="10" t="inlineStr"/>
    </row>
    <row r="17">
      <c r="B17" s="17" t="inlineStr">
        <is>
          <t>TOTAL echipamente fără TVA</t>
        </is>
      </c>
      <c r="C17" s="34" t="n"/>
      <c r="D17" s="35" t="inlineStr">
        <is>
          <t>n/a – fără prețuri industriale online</t>
        </is>
      </c>
      <c r="E17" s="36">
        <f>SUM(E5:E16)</f>
        <v/>
      </c>
      <c r="F17" s="34" t="n"/>
      <c r="G17" s="34" t="n"/>
      <c r="H17" s="34" t="n"/>
      <c r="I17" s="36">
        <f>SUM(I5:I16)</f>
        <v/>
      </c>
      <c r="J17" s="37" t="inlineStr">
        <is>
          <t>Totalul TEHNO MSS acoperă doar pozițiile ofertate. Lipsesc: eliminare nuci goale, separator miez, sortator optic, mese de inspecție, tablou electric/PLC, montaj.</t>
        </is>
      </c>
    </row>
    <row r="18">
      <c r="B18" s="17" t="inlineStr">
        <is>
          <t>TVA 21%</t>
        </is>
      </c>
      <c r="C18" s="34" t="n"/>
      <c r="D18" s="34" t="n"/>
      <c r="E18" s="36">
        <f>E17*0.21</f>
        <v/>
      </c>
      <c r="F18" s="34" t="n"/>
      <c r="G18" s="34" t="n"/>
      <c r="H18" s="34" t="n"/>
      <c r="I18" s="36">
        <f>I17*0.21</f>
        <v/>
      </c>
    </row>
    <row r="19">
      <c r="B19" s="17" t="inlineStr">
        <is>
          <t>TOTAL cu TVA</t>
        </is>
      </c>
      <c r="C19" s="34" t="n"/>
      <c r="D19" s="34" t="n"/>
      <c r="E19" s="36">
        <f>E17+E18</f>
        <v/>
      </c>
      <c r="F19" s="34" t="n"/>
      <c r="G19" s="34" t="n"/>
      <c r="H19" s="34" t="n"/>
      <c r="I19" s="36">
        <f>I17+I18</f>
        <v/>
      </c>
    </row>
    <row r="20">
      <c r="B20" s="17" t="inlineStr">
        <is>
          <t>Număr utilaje</t>
        </is>
      </c>
      <c r="C20" s="34" t="n"/>
      <c r="D20" s="34" t="n"/>
      <c r="E20" s="38">
        <f>SUM(C5:C16)</f>
        <v/>
      </c>
      <c r="F20" s="34" t="n"/>
      <c r="G20" s="34" t="n"/>
      <c r="H20" s="34" t="n"/>
      <c r="I20" s="38">
        <f>SUM(G5:G16)</f>
        <v/>
      </c>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30" customWidth="1" min="2" max="2"/>
    <col width="44" customWidth="1" min="3" max="3"/>
    <col width="6" customWidth="1" min="4" max="4"/>
    <col width="12" customWidth="1" min="5" max="5"/>
    <col width="11" customWidth="1" min="6" max="6"/>
    <col width="10" customWidth="1" min="7" max="7"/>
    <col width="10" customWidth="1" min="8" max="8"/>
    <col width="11" customWidth="1" min="9" max="9"/>
    <col width="11" customWidth="1" min="10" max="10"/>
    <col width="20" customWidth="1" min="11" max="11"/>
    <col width="10" customWidth="1" min="12" max="12"/>
    <col width="70" customWidth="1" min="13" max="13"/>
  </cols>
  <sheetData>
    <row r="1">
      <c r="A1" s="14" t="inlineStr">
        <is>
          <t>Linie cu 3 spărgătoare (2 în linia automatizată + 1 separat) – capacitate maximă cu număr minim de utilaje (Nut Technology)</t>
        </is>
      </c>
    </row>
    <row r="2" ht="44" customHeight="1">
      <c r="A2" s="15" t="inlineStr">
        <is>
          <t>Principiu: pe fiecare etapă se alege cel mai mare utilaj din gama producătorului, astfel încât o singură bucată să acopere debitul liniei. Spargere: 3 × 200 = 600 kg/h; gâtuirea devine sita vibrantă a liniei și calibratorul (500 kg/h) → debit real 500 kg/h. Prețuri în EUR fără TVA: cele marcate „Tehno MSS” sunt din oferta 82/16.04.2026, restul sunt estimări orientative, de confirmat prin ofertă.</t>
        </is>
      </c>
    </row>
    <row r="4">
      <c r="A4" t="inlineStr">
        <is>
          <t>Ore de lucru pe zi</t>
        </is>
      </c>
      <c r="C4" s="17" t="n">
        <v>8</v>
      </c>
    </row>
    <row r="5">
      <c r="A5" t="inlineStr">
        <is>
          <t>Zile de procesare pe an</t>
        </is>
      </c>
      <c r="C5" s="17" t="n">
        <v>250</v>
      </c>
    </row>
    <row r="6">
      <c r="A6" t="inlineStr">
        <is>
          <t>Randament miez</t>
        </is>
      </c>
      <c r="C6" s="18" t="n">
        <v>0.45</v>
      </c>
    </row>
    <row r="8">
      <c r="A8" s="3" t="inlineStr">
        <is>
          <t>Nr.</t>
        </is>
      </c>
      <c r="B8" s="3" t="inlineStr">
        <is>
          <t>Etapa</t>
        </is>
      </c>
      <c r="C8" s="3" t="inlineStr">
        <is>
          <t>Utilaj ales</t>
        </is>
      </c>
      <c r="D8" s="3" t="inlineStr">
        <is>
          <t>Buc.</t>
        </is>
      </c>
      <c r="E8" s="3" t="inlineStr">
        <is>
          <t>Capacitate / buc.</t>
        </is>
      </c>
      <c r="F8" s="3" t="inlineStr">
        <is>
          <t>Grad încărcare la 500 kg/h</t>
        </is>
      </c>
      <c r="G8" s="3" t="inlineStr">
        <is>
          <t>Putere kW / buc.</t>
        </is>
      </c>
      <c r="H8" s="3" t="inlineStr">
        <is>
          <t>Putere totală kW</t>
        </is>
      </c>
      <c r="I8" s="3" t="inlineStr">
        <is>
          <t>Preț min (€)</t>
        </is>
      </c>
      <c r="J8" s="3" t="inlineStr">
        <is>
          <t>Preț max (€)</t>
        </is>
      </c>
      <c r="K8" s="3" t="inlineStr">
        <is>
          <t>Sursa preț</t>
        </is>
      </c>
      <c r="L8" s="3" t="inlineStr">
        <is>
          <t>Broșura</t>
        </is>
      </c>
      <c r="M8" s="3" t="inlineStr">
        <is>
          <t>De ce e suficient 1 buc. / observații</t>
        </is>
      </c>
    </row>
    <row r="9">
      <c r="A9" s="10" t="n">
        <v>1</v>
      </c>
      <c r="B9" s="10" t="inlineStr">
        <is>
          <t>Spălare + decojire coajă verde</t>
        </is>
      </c>
      <c r="C9" s="10" t="inlineStr">
        <is>
          <t>Mașină industrială de decojire și spălare 1 t/h</t>
        </is>
      </c>
      <c r="D9" s="22" t="n">
        <v>1</v>
      </c>
      <c r="E9" s="10" t="inlineStr">
        <is>
          <t>1.000 kg/h</t>
        </is>
      </c>
      <c r="F9" s="23" t="inlineStr">
        <is>
          <t>sezon</t>
        </is>
      </c>
      <c r="G9" s="10" t="n">
        <v>3.7</v>
      </c>
      <c r="H9" s="10">
        <f>D9*G9</f>
        <v/>
      </c>
      <c r="I9" s="39">
        <f>D9*29000</f>
        <v/>
      </c>
      <c r="J9" s="39">
        <f>D9*29000</f>
        <v/>
      </c>
      <c r="K9" s="10" t="inlineStr">
        <is>
          <t>Tehno MSS</t>
        </is>
      </c>
      <c r="L9" s="11" t="inlineStr">
        <is>
          <t>deschide</t>
        </is>
      </c>
      <c r="M9" s="10" t="inlineStr">
        <is>
          <t>1 t/h &gt; 500 kg/h. Doar în sezon.</t>
        </is>
      </c>
    </row>
    <row r="10">
      <c r="A10" s="10" t="n">
        <v>2</v>
      </c>
      <c r="B10" s="10" t="inlineStr">
        <is>
          <t>Alimentare mașină de spălat</t>
        </is>
      </c>
      <c r="C10" s="10" t="inlineStr">
        <is>
          <t>Bandă transportoare de alimentare 4 t/h</t>
        </is>
      </c>
      <c r="D10" s="22" t="n">
        <v>1</v>
      </c>
      <c r="E10" s="10" t="inlineStr">
        <is>
          <t>4 t/h</t>
        </is>
      </c>
      <c r="F10" s="23" t="inlineStr">
        <is>
          <t>—</t>
        </is>
      </c>
      <c r="G10" s="10" t="n">
        <v>0.55</v>
      </c>
      <c r="H10" s="10">
        <f>D10*G10</f>
        <v/>
      </c>
      <c r="I10" s="39">
        <f>D10*2500</f>
        <v/>
      </c>
      <c r="J10" s="39">
        <f>D10*4500</f>
        <v/>
      </c>
      <c r="K10" s="10" t="inlineStr">
        <is>
          <t>estimare</t>
        </is>
      </c>
      <c r="L10" s="11" t="inlineStr">
        <is>
          <t>deschide</t>
        </is>
      </c>
      <c r="M10" s="10" t="inlineStr">
        <is>
          <t>Cerută în „Customer request”.</t>
        </is>
      </c>
    </row>
    <row r="11">
      <c r="A11" s="10" t="n">
        <v>3</v>
      </c>
      <c r="B11" s="10" t="inlineStr">
        <is>
          <t>Încărcare/descărcare uscătoare</t>
        </is>
      </c>
      <c r="C11" s="10" t="inlineStr">
        <is>
          <t>Elevator Noria 4 t/h</t>
        </is>
      </c>
      <c r="D11" s="22" t="n">
        <v>1</v>
      </c>
      <c r="E11" s="10" t="inlineStr">
        <is>
          <t>4 t/h</t>
        </is>
      </c>
      <c r="F11" s="23" t="inlineStr">
        <is>
          <t>—</t>
        </is>
      </c>
      <c r="G11" s="10" t="n">
        <v>1.5</v>
      </c>
      <c r="H11" s="10">
        <f>D11*G11</f>
        <v/>
      </c>
      <c r="I11" s="39">
        <f>D11*8600</f>
        <v/>
      </c>
      <c r="J11" s="39">
        <f>D11*8600</f>
        <v/>
      </c>
      <c r="K11" s="10" t="inlineStr">
        <is>
          <t>Tehno MSS</t>
        </is>
      </c>
      <c r="L11" s="11" t="inlineStr">
        <is>
          <t>deschide</t>
        </is>
      </c>
      <c r="M11" s="10" t="inlineStr">
        <is>
          <t>Un elevator încarcă o șarjă de 4 t în circa 1 h – deservește ambele uscătoare. Putere nedeclarată (estimat 1,5 kW).</t>
        </is>
      </c>
    </row>
    <row r="12">
      <c r="A12" s="10" t="n">
        <v>4</v>
      </c>
      <c r="B12" s="10" t="inlineStr">
        <is>
          <t>Uscare</t>
        </is>
      </c>
      <c r="C12" s="10" t="inlineStr">
        <is>
          <t>Uscător nuci în coajă 4 t/24 h</t>
        </is>
      </c>
      <c r="D12" s="22" t="n">
        <v>2</v>
      </c>
      <c r="E12" s="10" t="inlineStr">
        <is>
          <t>4 t/zi</t>
        </is>
      </c>
      <c r="F12" s="23" t="inlineStr">
        <is>
          <t>sezon</t>
        </is>
      </c>
      <c r="G12" s="10" t="n">
        <v>14</v>
      </c>
      <c r="H12" s="10">
        <f>D12*G12</f>
        <v/>
      </c>
      <c r="I12" s="39">
        <f>D12*19200</f>
        <v/>
      </c>
      <c r="J12" s="39">
        <f>D12*19200</f>
        <v/>
      </c>
      <c r="K12" s="10" t="inlineStr">
        <is>
          <t>Tehno MSS</t>
        </is>
      </c>
      <c r="L12" s="11" t="inlineStr">
        <is>
          <t>deschide</t>
        </is>
      </c>
      <c r="M12" s="10" t="inlineStr">
        <is>
          <t>2 buc. = 360 t/sezon (45 zile). Restul de circa 640 t/an se cumpără uscat. Pentru uscarea integrală a 1.000 t/an: 6 buc. Bilanțul termic (14 kW) trebuie confirmat.</t>
        </is>
      </c>
    </row>
    <row r="13">
      <c r="A13" s="10" t="n">
        <v>5</v>
      </c>
      <c r="B13" s="10" t="inlineStr">
        <is>
          <t>Calibrare</t>
        </is>
      </c>
      <c r="C13" s="10" t="inlineStr">
        <is>
          <t>Calibrator nuci 8 fracții 500 kg/h (cu bandă de alimentare inclusă)</t>
        </is>
      </c>
      <c r="D13" s="22" t="n">
        <v>1</v>
      </c>
      <c r="E13" s="10" t="inlineStr">
        <is>
          <t>500 kg/h</t>
        </is>
      </c>
      <c r="F13" s="23">
        <f>500/500</f>
        <v/>
      </c>
      <c r="G13" s="10" t="n">
        <v>2.95</v>
      </c>
      <c r="H13" s="10">
        <f>D13*G13</f>
        <v/>
      </c>
      <c r="I13" s="39">
        <f>D13*12000</f>
        <v/>
      </c>
      <c r="J13" s="39">
        <f>D13*18000</f>
        <v/>
      </c>
      <c r="K13" s="10" t="inlineStr">
        <is>
          <t>estimare</t>
        </is>
      </c>
      <c r="L13" s="11" t="inlineStr">
        <is>
          <t>deschide</t>
        </is>
      </c>
      <c r="M13" s="10" t="inlineStr">
        <is>
          <t>Înlocuiește cele 2 calibratoare de 300 kg/h din ofertă. Are banda de alimentare integrată (0,75 kW).</t>
        </is>
      </c>
    </row>
    <row r="14">
      <c r="A14" s="10" t="n">
        <v>6</v>
      </c>
      <c r="B14" s="10" t="inlineStr">
        <is>
          <t>Spargere + aspirație + transport + respargere + sită</t>
        </is>
      </c>
      <c r="C14" s="10" t="inlineStr">
        <is>
          <t>Linie automatizată de procesare nuci 400 kg/h (2 spărgătoare conice Etalon, decorticator mărit, sită vibrantă cu aspirație 500 kg/h, panou unic)</t>
        </is>
      </c>
      <c r="D14" s="22" t="n">
        <v>1</v>
      </c>
      <c r="E14" s="10" t="inlineStr">
        <is>
          <t>400 kg/h spargere / 500 kg/h sită</t>
        </is>
      </c>
      <c r="F14" s="23">
        <f>500/500</f>
        <v/>
      </c>
      <c r="G14" s="10" t="n">
        <v>12</v>
      </c>
      <c r="H14" s="10">
        <f>D14*G14</f>
        <v/>
      </c>
      <c r="I14" s="39">
        <f>D14*50000</f>
        <v/>
      </c>
      <c r="J14" s="39">
        <f>D14*65000</f>
        <v/>
      </c>
      <c r="K14" s="10" t="inlineStr">
        <is>
          <t>estimare (2 × linia de 200 kg/h Tehno MSS = 57.200)</t>
        </is>
      </c>
      <c r="L14" s="11" t="inlineStr">
        <is>
          <t>deschide</t>
        </is>
      </c>
      <c r="M14" s="10" t="inlineStr">
        <is>
          <t>UN SINGUR utilaj înlocuiește 2 linii de 200 kg/h. Aspirație pe fiecare fracție la sită → separatorul de miez separat nu mai e necesar. Putere nedeclarată (estimat 12 kW).</t>
        </is>
      </c>
    </row>
    <row r="15">
      <c r="A15" s="10" t="n">
        <v>7</v>
      </c>
      <c r="B15" s="10" t="inlineStr">
        <is>
          <t>Spargere – al 3-lea spărgător</t>
        </is>
      </c>
      <c r="C15" s="10" t="inlineStr">
        <is>
          <t>Spărgător industrial de nuci cu coloană de aspirație integrată 200 kg/h</t>
        </is>
      </c>
      <c r="D15" s="22" t="n">
        <v>1</v>
      </c>
      <c r="E15" s="10" t="inlineStr">
        <is>
          <t>200 kg/h</t>
        </is>
      </c>
      <c r="F15" s="23">
        <f>100/200</f>
        <v/>
      </c>
      <c r="G15" s="10" t="n">
        <v>2.05</v>
      </c>
      <c r="H15" s="10">
        <f>D15*G15</f>
        <v/>
      </c>
      <c r="I15" s="39">
        <f>D15*0</f>
        <v/>
      </c>
      <c r="J15" s="39">
        <f>D15*0</f>
        <v/>
      </c>
      <c r="K15" s="10" t="inlineStr">
        <is>
          <t>de cerut</t>
        </is>
      </c>
      <c r="L15" s="11" t="inlineStr">
        <is>
          <t>deschide</t>
        </is>
      </c>
      <c r="M15" s="10" t="inlineStr">
        <is>
          <t>Lucrează în paralel cu cele 2 spărgătoare din linie și descarcă în decorticatorul/sita liniei. Spargere totală 600 kg/h; la 500 kg/h debit real e încărcat circa 50% – rezervă și redundanță la defectarea unui spărgător.</t>
        </is>
      </c>
    </row>
    <row r="16">
      <c r="A16" s="10" t="n">
        <v>8</v>
      </c>
      <c r="B16" s="10" t="inlineStr">
        <is>
          <t>Transport între etape</t>
        </is>
      </c>
      <c r="C16" s="10" t="inlineStr">
        <is>
          <t>Transportor elevator pentru nuci</t>
        </is>
      </c>
      <c r="D16" s="22" t="n">
        <v>2</v>
      </c>
      <c r="E16" s="10" t="inlineStr">
        <is>
          <t>—</t>
        </is>
      </c>
      <c r="F16" s="23" t="inlineStr">
        <is>
          <t>—</t>
        </is>
      </c>
      <c r="G16" s="10" t="n">
        <v>0.55</v>
      </c>
      <c r="H16" s="10">
        <f>D16*G16</f>
        <v/>
      </c>
      <c r="I16" s="39">
        <f>D16*1500</f>
        <v/>
      </c>
      <c r="J16" s="39">
        <f>D16*3000</f>
        <v/>
      </c>
      <c r="K16" s="10" t="inlineStr">
        <is>
          <t>estimare</t>
        </is>
      </c>
      <c r="L16" s="11" t="inlineStr">
        <is>
          <t>deschide</t>
        </is>
      </c>
      <c r="M16" s="10" t="inlineStr">
        <is>
          <t>Calibrator → buncăr linie; linie → sortator optic.</t>
        </is>
      </c>
    </row>
    <row r="17">
      <c r="A17" s="10" t="n">
        <v>9</v>
      </c>
      <c r="B17" s="10" t="inlineStr">
        <is>
          <t>Sortare optică miez</t>
        </is>
      </c>
      <c r="C17" s="10" t="inlineStr">
        <is>
          <t>Sortator optic cu bandă M600</t>
        </is>
      </c>
      <c r="D17" s="22" t="n">
        <v>1</v>
      </c>
      <c r="E17" s="10" t="inlineStr">
        <is>
          <t>600 kg/h</t>
        </is>
      </c>
      <c r="F17" s="23">
        <f>500/600</f>
        <v/>
      </c>
      <c r="G17" s="10" t="n">
        <v>1.1</v>
      </c>
      <c r="H17" s="10">
        <f>D17*G17</f>
        <v/>
      </c>
      <c r="I17" s="39">
        <f>D17*40000</f>
        <v/>
      </c>
      <c r="J17" s="39">
        <f>D17*70000</f>
        <v/>
      </c>
      <c r="K17" s="10" t="inlineStr">
        <is>
          <t>estimare</t>
        </is>
      </c>
      <c r="L17" s="11" t="inlineStr">
        <is>
          <t>deschide</t>
        </is>
      </c>
      <c r="M17" s="10" t="inlineStr">
        <is>
          <t>600 kg/h – rezervă de 50%. Scoate resturile de coajă și miezul închis la culoare; reduce sortarea manuală. Alternativă mai ieftină: 3S (400 kg/h, 100% încărcat). Broșura PDF – de cerut.</t>
        </is>
      </c>
    </row>
    <row r="18">
      <c r="A18" s="10" t="n">
        <v>10</v>
      </c>
      <c r="B18" s="10" t="inlineStr">
        <is>
          <t>Inspecție finală</t>
        </is>
      </c>
      <c r="C18" s="10" t="inlineStr">
        <is>
          <t>Masă de inspecție cu bandă pe două niveluri</t>
        </is>
      </c>
      <c r="D18" s="22" t="n">
        <v>1</v>
      </c>
      <c r="E18" s="10" t="inlineStr">
        <is>
          <t>—</t>
        </is>
      </c>
      <c r="F18" s="23" t="inlineStr">
        <is>
          <t>—</t>
        </is>
      </c>
      <c r="G18" s="10" t="n">
        <v>1.1</v>
      </c>
      <c r="H18" s="10">
        <f>D18*G18</f>
        <v/>
      </c>
      <c r="I18" s="39">
        <f>D18*3000</f>
        <v/>
      </c>
      <c r="J18" s="39">
        <f>D18*6000</f>
        <v/>
      </c>
      <c r="K18" s="10" t="inlineStr">
        <is>
          <t>estimare</t>
        </is>
      </c>
      <c r="L18" s="11" t="inlineStr">
        <is>
          <t>deschide</t>
        </is>
      </c>
      <c r="M18" s="10" t="inlineStr">
        <is>
          <t>Două niveluri = două fluxuri pe aceeași masă.</t>
        </is>
      </c>
    </row>
    <row r="19">
      <c r="B19" s="17" t="inlineStr">
        <is>
          <t>TOTAL utilaje și investiție (fără TVA)</t>
        </is>
      </c>
      <c r="C19" s="34" t="n"/>
      <c r="D19" s="17">
        <f>SUM(D9:D18)</f>
        <v/>
      </c>
      <c r="E19" s="34" t="n"/>
      <c r="F19" s="34" t="n"/>
      <c r="G19" s="34" t="n"/>
      <c r="H19" s="17">
        <f>SUM(H9:H18)</f>
        <v/>
      </c>
      <c r="I19" s="19">
        <f>SUM(I9:I18)</f>
        <v/>
      </c>
      <c r="J19" s="19">
        <f>SUM(J9:J18)</f>
        <v/>
      </c>
    </row>
    <row r="20">
      <c r="B20" s="17" t="inlineStr">
        <is>
          <t>TOTAL fără sortator optic</t>
        </is>
      </c>
      <c r="C20" s="34" t="n"/>
      <c r="D20" s="17">
        <f>D19-1</f>
        <v/>
      </c>
      <c r="E20" s="34" t="n"/>
      <c r="F20" s="34" t="n"/>
      <c r="G20" s="34" t="n"/>
      <c r="H20" s="17">
        <f>H19-1.1</f>
        <v/>
      </c>
      <c r="I20" s="19">
        <f>I19-I17</f>
        <v/>
      </c>
      <c r="J20" s="19">
        <f>J19-J17</f>
        <v/>
      </c>
    </row>
    <row r="21">
      <c r="B21" s="17" t="inlineStr">
        <is>
          <t>TOTAL cu TVA 21%</t>
        </is>
      </c>
      <c r="C21" s="34" t="n"/>
      <c r="D21" s="34" t="n"/>
      <c r="E21" s="34" t="n"/>
      <c r="F21" s="34" t="n"/>
      <c r="G21" s="34" t="n"/>
      <c r="H21" s="34" t="n"/>
      <c r="I21" s="19">
        <f>I19*1.21</f>
        <v/>
      </c>
      <c r="J21" s="19">
        <f>J19*1.21</f>
        <v/>
      </c>
    </row>
    <row r="23">
      <c r="A23" s="16" t="inlineStr">
        <is>
          <t>PRODUCȚIE</t>
        </is>
      </c>
    </row>
    <row r="24">
      <c r="A24" t="inlineStr">
        <is>
          <t>Debit linie (gâtuire: sita liniei și calibratorul, 500 kg/h)</t>
        </is>
      </c>
      <c r="C24" s="40" t="n">
        <v>500</v>
      </c>
      <c r="D24" t="inlineStr">
        <is>
          <t>kg/h</t>
        </is>
      </c>
    </row>
    <row r="25">
      <c r="A25" t="inlineStr">
        <is>
          <t>Nucă procesată pe zi</t>
        </is>
      </c>
      <c r="C25" s="40">
        <f>500*C4</f>
        <v/>
      </c>
      <c r="D25" t="inlineStr">
        <is>
          <t>kg/zi</t>
        </is>
      </c>
    </row>
    <row r="26">
      <c r="A26" t="inlineStr">
        <is>
          <t>Miez pe zi</t>
        </is>
      </c>
      <c r="C26" s="40">
        <f>500*C4*C6</f>
        <v/>
      </c>
      <c r="D26" t="inlineStr">
        <is>
          <t>kg/zi</t>
        </is>
      </c>
    </row>
    <row r="27">
      <c r="A27" t="inlineStr">
        <is>
          <t>Nucă procesată pe an</t>
        </is>
      </c>
      <c r="C27" s="40">
        <f>500*C4*C5/1000</f>
        <v/>
      </c>
      <c r="D27" t="inlineStr">
        <is>
          <t>t/an</t>
        </is>
      </c>
    </row>
    <row r="28">
      <c r="A28" t="inlineStr">
        <is>
          <t>Miez pe an</t>
        </is>
      </c>
      <c r="C28" s="40">
        <f>500*C4*C5*C6/1000</f>
        <v/>
      </c>
      <c r="D28" t="inlineStr">
        <is>
          <t>t/an</t>
        </is>
      </c>
    </row>
    <row r="29">
      <c r="A29" t="inlineStr">
        <is>
          <t>Nucă uscată în sezon cu 2 uscătoare</t>
        </is>
      </c>
      <c r="C29" s="40">
        <f>2*4*45</f>
        <v/>
      </c>
      <c r="D29" t="inlineStr">
        <is>
          <t>t/sezon</t>
        </is>
      </c>
    </row>
    <row r="30">
      <c r="A30" t="inlineStr">
        <is>
          <t>Nucă de cumpărat deja uscată</t>
        </is>
      </c>
      <c r="C30" s="40">
        <f>MAX(0,500*C4*C5/1000-2*4*45)</f>
        <v/>
      </c>
      <c r="D30" t="inlineStr">
        <is>
          <t>t/an</t>
        </is>
      </c>
    </row>
    <row r="32">
      <c r="A32" s="16" t="inlineStr">
        <is>
          <t>CE S-A ELIMINAT FAȚĂ DE VARIANTA TEHNO MSS + EXTINDERE LA 400 kg/h (22 utilaje → 12)</t>
        </is>
      </c>
    </row>
    <row r="33">
      <c r="A33" t="inlineStr">
        <is>
          <t>• 2 linii de 200 kg/h → 1 linie automatizată de 400 kg/h (un singur panou de comandă, un singur operator).</t>
        </is>
      </c>
    </row>
    <row r="34">
      <c r="A34" t="inlineStr">
        <is>
          <t>• 2 calibratoare 4 fracții de 300 kg/h → 1 calibrator 8 fracții de 500 kg/h, cu bandă de alimentare integrată (8 fracții = spargere mai bună, mai mult miez întreg).</t>
        </is>
      </c>
    </row>
    <row r="35">
      <c r="A35" t="inlineStr">
        <is>
          <t>• 2 separatoare de miez → 0: sita de 500 kg/h din linia de 400 are coloană de aspirație pe fiecare fracție, iar sortatorul optic scoate resturile de coajă.</t>
        </is>
      </c>
    </row>
    <row r="36">
      <c r="A36" t="inlineStr">
        <is>
          <t>• 2 mașini de sortat nuci goale → 0 (opțional): nucile goale sunt eliminate de aspirația de după spargere și de sortatorul optic. Se recomandă doar dacă se cumpără nucă de la mulți furnizori – atunci 2 buc. × 300 kg/h (+4,5 kW fiecare).</t>
        </is>
      </c>
    </row>
    <row r="37">
      <c r="A37" t="inlineStr">
        <is>
          <t>• 2 mese de inspecție → 1 masă pe două niveluri; transportoare 4 → 2; benzi uscător 3 → 1 elevator Noria pentru ambele uscătoare.</t>
        </is>
      </c>
    </row>
    <row r="38">
      <c r="A38" t="inlineStr">
        <is>
          <t>• Decojitorul de alune din ofertă nu e inclus – se adaugă doar dacă se procesează și alune (4.300 €).</t>
        </is>
      </c>
    </row>
  </sheetData>
  <mergeCells count="7">
    <mergeCell ref="A36:M36"/>
    <mergeCell ref="A37:M37"/>
    <mergeCell ref="A34:M34"/>
    <mergeCell ref="A35:M35"/>
    <mergeCell ref="A2:M2"/>
    <mergeCell ref="A38:M38"/>
    <mergeCell ref="A33:M33"/>
  </mergeCells>
  <hyperlinks>
    <hyperlink xmlns:r="http://schemas.openxmlformats.org/officeDocument/2006/relationships" ref="L9" r:id="rId1"/>
    <hyperlink xmlns:r="http://schemas.openxmlformats.org/officeDocument/2006/relationships" ref="L10" r:id="rId2"/>
    <hyperlink xmlns:r="http://schemas.openxmlformats.org/officeDocument/2006/relationships" ref="L11" r:id="rId3"/>
    <hyperlink xmlns:r="http://schemas.openxmlformats.org/officeDocument/2006/relationships" ref="L12" r:id="rId4"/>
    <hyperlink xmlns:r="http://schemas.openxmlformats.org/officeDocument/2006/relationships" ref="L13" r:id="rId5"/>
    <hyperlink xmlns:r="http://schemas.openxmlformats.org/officeDocument/2006/relationships" ref="L14" r:id="rId6"/>
    <hyperlink xmlns:r="http://schemas.openxmlformats.org/officeDocument/2006/relationships" ref="L15" r:id="rId7"/>
    <hyperlink xmlns:r="http://schemas.openxmlformats.org/officeDocument/2006/relationships" ref="L16" r:id="rId8"/>
    <hyperlink xmlns:r="http://schemas.openxmlformats.org/officeDocument/2006/relationships" ref="L17" r:id="rId9"/>
    <hyperlink xmlns:r="http://schemas.openxmlformats.org/officeDocument/2006/relationships" ref="L18"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70" customWidth="1" min="1" max="1"/>
    <col width="90" customWidth="1" min="2" max="2"/>
    <col width="110" customWidth="1" min="3" max="3"/>
  </cols>
  <sheetData>
    <row r="1">
      <c r="A1" s="27" t="inlineStr">
        <is>
          <t>Fișier broșură pe site</t>
        </is>
      </c>
      <c r="B1" s="27" t="inlineStr">
        <is>
          <t>Link direct</t>
        </is>
      </c>
      <c r="C1" s="27" t="inlineStr">
        <is>
          <t>Folosit pentru (echipamente)</t>
        </is>
      </c>
    </row>
    <row r="2">
      <c r="A2" t="inlineStr">
        <is>
          <t>36.png</t>
        </is>
      </c>
      <c r="B2" s="28" t="inlineStr">
        <is>
          <t>https://nuttechnology.com/wp-content/uploads/36.png</t>
        </is>
      </c>
      <c r="C2" t="inlineStr">
        <is>
          <t>Sortator optic 3S</t>
        </is>
      </c>
    </row>
    <row r="3">
      <c r="A3" t="inlineStr">
        <is>
          <t>AUTOMATED-INDUSTRIAL-WALNUT-PROCESSING-LINE-200-KG_H.pdf</t>
        </is>
      </c>
      <c r="B3" s="28" t="inlineStr">
        <is>
          <t>https://nuttechnology.com/wp-content/uploads/AUTOMATED-INDUSTRIAL-WALNUT-PROCESSING-LINE-200-KG_H.pdf</t>
        </is>
      </c>
      <c r="C3" t="inlineStr">
        <is>
          <t>Linie industrială automatizată pentru procesarea nucilor (200 kg/h)</t>
        </is>
      </c>
    </row>
    <row r="4">
      <c r="A4" t="inlineStr">
        <is>
          <t>AUTOMATED-INDUSTRIAL-WALNUT-PROCESSING-LINE-400.pdf</t>
        </is>
      </c>
      <c r="B4" s="28" t="inlineStr">
        <is>
          <t>https://nuttechnology.com/wp-content/uploads/AUTOMATED-INDUSTRIAL-WALNUT-PROCESSING-LINE-400.pdf</t>
        </is>
      </c>
      <c r="C4" t="inlineStr">
        <is>
          <t>Linie industrială automatizată de procesare a nucilor, până la 400 kg/h</t>
        </is>
      </c>
    </row>
    <row r="5">
      <c r="A5" t="inlineStr">
        <is>
          <t>Belt-inspection-table_compressed.pdf</t>
        </is>
      </c>
      <c r="B5" s="28" t="inlineStr">
        <is>
          <t>https://nuttechnology.com/wp-content/uploads/Belt-inspection-table_compressed.pdf</t>
        </is>
      </c>
      <c r="C5" t="inlineStr">
        <is>
          <t>Masă de inspecție cu bandă</t>
        </is>
      </c>
    </row>
    <row r="6">
      <c r="A6" t="inlineStr">
        <is>
          <t>DRUM-NUTCRACKER-FOR-HAZELNUTS-AND-ALMONDS_.pdf</t>
        </is>
      </c>
      <c r="B6" s="28" t="inlineStr">
        <is>
          <t>https://nuttechnology.com/wp-content/uploads/DRUM-NUTCRACKER-FOR-HAZELNUTS-AND-ALMONDS_.pdf</t>
        </is>
      </c>
      <c r="C6" t="inlineStr">
        <is>
          <t>Spărgător cu tambur pentru alune și migdale; Spărgător de alune cu aspirație (200 kg/h)</t>
        </is>
      </c>
    </row>
    <row r="7">
      <c r="A7" t="inlineStr">
        <is>
          <t>DRYER-FOR-INSHELL-WALNUTS-4-tons.pdf</t>
        </is>
      </c>
      <c r="B7" s="28" t="inlineStr">
        <is>
          <t>https://nuttechnology.com/wp-content/uploads/DRYER-FOR-INSHELL-WALNUTS-4-tons.pdf</t>
        </is>
      </c>
      <c r="C7" t="inlineStr">
        <is>
          <t>Uscător pentru nuci, alune și migdale în coajă (4 tone/zi)</t>
        </is>
      </c>
    </row>
    <row r="8">
      <c r="A8" t="inlineStr">
        <is>
          <t>DRYER-FOR-INSHELL-WALNUTS.pdf</t>
        </is>
      </c>
      <c r="B8" s="28" t="inlineStr">
        <is>
          <t>https://nuttechnology.com/wp-content/uploads/DRYER-FOR-INSHELL-WALNUTS.pdf</t>
        </is>
      </c>
      <c r="C8" t="inlineStr">
        <is>
          <t>Uscător pentru nuci, alune și migdale în coajă (2 tone/zi)</t>
        </is>
      </c>
    </row>
    <row r="9">
      <c r="A9" t="inlineStr">
        <is>
          <t>Dryer-for-walnuts-hazelnuts-almonds-1-ton_.pdf</t>
        </is>
      </c>
      <c r="B9" s="28" t="inlineStr">
        <is>
          <t>https://nuttechnology.com/wp-content/uploads/Dryer-for-walnuts-hazelnuts-almonds-1-ton_.pdf</t>
        </is>
      </c>
      <c r="C9" t="inlineStr">
        <is>
          <t>Uscător pentru nuci, alune și migdale în coajă (până la 1 tonă/24 ore); Uscător pentru nuci, alune și migdale în coajă (până la 2 tone/24 ore)</t>
        </is>
      </c>
    </row>
    <row r="10">
      <c r="A10" t="inlineStr">
        <is>
          <t>FRUIT-TREE-SHAKER_compressed.pdf</t>
        </is>
      </c>
      <c r="B10" s="28" t="inlineStr">
        <is>
          <t>https://nuttechnology.com/wp-content/uploads/FRUIT-TREE-SHAKER_compressed.pdf</t>
        </is>
      </c>
      <c r="C10" t="inlineStr">
        <is>
          <t>Scuturător pentru pomi fructiferi</t>
        </is>
      </c>
    </row>
    <row r="11">
      <c r="A11" t="inlineStr">
        <is>
          <t>Green-walnut-peeling-and-cleaning-100-kg_h.pdf</t>
        </is>
      </c>
      <c r="B11" s="28" t="inlineStr">
        <is>
          <t>https://nuttechnology.com/wp-content/uploads/Green-walnut-peeling-and-cleaning-100-kg_h.pdf</t>
        </is>
      </c>
      <c r="C11" t="inlineStr">
        <is>
          <t>Mașină de decojire și curățare a nucilor verzi 100 kg/h</t>
        </is>
      </c>
    </row>
    <row r="12">
      <c r="A12" t="inlineStr">
        <is>
          <t>Green-walnut-peeling-and-cleaning-300-kg_h.pdf</t>
        </is>
      </c>
      <c r="B12" s="28" t="inlineStr">
        <is>
          <t>https://nuttechnology.com/wp-content/uploads/Green-walnut-peeling-and-cleaning-300-kg_h.pdf</t>
        </is>
      </c>
      <c r="C12" t="inlineStr">
        <is>
          <t>Mașină pentru decojirea și curățarea nucilor verzi 300 kg/h</t>
        </is>
      </c>
    </row>
    <row r="13">
      <c r="A13" t="inlineStr">
        <is>
          <t>Green-walnut-peeling-and-cleaning-700-kg_h.pdf</t>
        </is>
      </c>
      <c r="B13" s="28" t="inlineStr">
        <is>
          <t>https://nuttechnology.com/wp-content/uploads/Green-walnut-peeling-and-cleaning-700-kg_h.pdf</t>
        </is>
      </c>
      <c r="C13" t="inlineStr">
        <is>
          <t>Mașină de decojire și curățare a nucilor verzi 700 kg/h</t>
        </is>
      </c>
    </row>
    <row r="14">
      <c r="A14" t="inlineStr">
        <is>
          <t>HAZELNUT-CALIBRATING-MACHINE-8-fractions.pdf</t>
        </is>
      </c>
      <c r="B14" s="28" t="inlineStr">
        <is>
          <t>https://nuttechnology.com/wp-content/uploads/HAZELNUT-CALIBRATING-MACHINE-8-fractions.pdf</t>
        </is>
      </c>
      <c r="C14" t="inlineStr">
        <is>
          <t>Mașină de calibrare a alunelor în 3 fracții; Mașină de calibrare a alunelor în 8 fracții</t>
        </is>
      </c>
    </row>
    <row r="15">
      <c r="A15" t="inlineStr">
        <is>
          <t>Hazelnut-Calibrating-Machine.pdf</t>
        </is>
      </c>
      <c r="B15" s="28" t="inlineStr">
        <is>
          <t>https://nuttechnology.com/wp-content/uploads/Hazelnut-Calibrating-Machine.pdf</t>
        </is>
      </c>
      <c r="C15" t="inlineStr">
        <is>
          <t>Mașină de calibrare a alunelor</t>
        </is>
      </c>
    </row>
    <row r="16">
      <c r="A16" t="inlineStr">
        <is>
          <t>Hazelnut-green-husk-remover-machine_.pdf</t>
        </is>
      </c>
      <c r="B16" s="28" t="inlineStr">
        <is>
          <t>https://nuttechnology.com/wp-content/uploads/Hazelnut-green-husk-remover-machine_.pdf</t>
        </is>
      </c>
      <c r="C16" t="inlineStr">
        <is>
          <t>Mașină pentru îndepărtarea cojii verzi a alunelor</t>
        </is>
      </c>
    </row>
    <row r="17">
      <c r="A17" t="inlineStr">
        <is>
          <t>INDUSTRIAL-WALNUT-NUTCRACKER-WITH-BUILT-IN-ASPIRATION-COLUMN-200-KG_H_compressed.pdf</t>
        </is>
      </c>
      <c r="B17" s="28" t="inlineStr">
        <is>
          <t>https://nuttechnology.com/wp-content/uploads/INDUSTRIAL-WALNUT-NUTCRACKER-WITH-BUILT-IN-ASPIRATION-COLUMN-200-KG_H_compressed.pdf</t>
        </is>
      </c>
      <c r="C17" t="inlineStr">
        <is>
          <t>Mașină industrială de spart nuci cu coloană de aspirație integrată (200 kg/h)</t>
        </is>
      </c>
    </row>
    <row r="18">
      <c r="A18" t="inlineStr">
        <is>
          <t>Industrial-line-for-processing-almonds-200-kg-h.pdf</t>
        </is>
      </c>
      <c r="B18" s="28" t="inlineStr">
        <is>
          <t>https://nuttechnology.com/wp-content/uploads/Industrial-line-for-processing-almonds-200-kg-h.pdf</t>
        </is>
      </c>
      <c r="C18" t="inlineStr">
        <is>
          <t>Linie industrială pentru procesarea migdalelor (200 kg/h); Complex industrial pentru procesarea migdalelor (200 kg/h)</t>
        </is>
      </c>
    </row>
    <row r="19">
      <c r="A19" t="inlineStr">
        <is>
          <t>Industrial-line-for-processing-hazelnuts-200-kg-h-1.pdf</t>
        </is>
      </c>
      <c r="B19" s="28" t="inlineStr">
        <is>
          <t>https://nuttechnology.com/wp-content/uploads/Industrial-line-for-processing-hazelnuts-200-kg-h-1.pdf</t>
        </is>
      </c>
      <c r="C19" t="inlineStr">
        <is>
          <t>Linie industrială pentru procesarea alunelor (200 kg/h)</t>
        </is>
      </c>
    </row>
    <row r="20">
      <c r="A20" t="inlineStr">
        <is>
          <t>Industrial-line-for-processing-hazelnuts-200-kg-h.pdf</t>
        </is>
      </c>
      <c r="B20" s="28" t="inlineStr">
        <is>
          <t>https://nuttechnology.com/wp-content/uploads/Industrial-line-for-processing-hazelnuts-200-kg-h.pdf</t>
        </is>
      </c>
      <c r="C20" t="inlineStr">
        <is>
          <t>Complex industrial pentru procesarea alunelor (200 kg/h)</t>
        </is>
      </c>
    </row>
    <row r="21">
      <c r="A21" t="inlineStr">
        <is>
          <t>Industrial-line-for-processing-walnuts-100-kg-h.pdf</t>
        </is>
      </c>
      <c r="B21" s="28" t="inlineStr">
        <is>
          <t>https://nuttechnology.com/wp-content/uploads/Industrial-line-for-processing-walnuts-100-kg-h.pdf</t>
        </is>
      </c>
      <c r="C21" t="inlineStr">
        <is>
          <t>Linie industrială pentru procesarea nucilor (100 kg/h)</t>
        </is>
      </c>
    </row>
    <row r="22">
      <c r="A22" t="inlineStr">
        <is>
          <t>Industrial-line-for-processing-walnuts-200-kg_h.pdf</t>
        </is>
      </c>
      <c r="B22" s="28" t="inlineStr">
        <is>
          <t>https://nuttechnology.com/wp-content/uploads/Industrial-line-for-processing-walnuts-200-kg_h.pdf</t>
        </is>
      </c>
      <c r="C22" t="inlineStr">
        <is>
          <t>Linie industrială pentru procesarea nucilor (200 kg/h)</t>
        </is>
      </c>
    </row>
    <row r="23">
      <c r="A23" t="inlineStr">
        <is>
          <t>Industrial-peeling-and-washing-machine-1-th.pdf</t>
        </is>
      </c>
      <c r="B23" s="28" t="inlineStr">
        <is>
          <t>https://nuttechnology.com/wp-content/uploads/Industrial-peeling-and-washing-machine-1-th.pdf</t>
        </is>
      </c>
      <c r="C23" t="inlineStr">
        <is>
          <t>Mașină industrială de decojire și spălare (1 t/h)</t>
        </is>
      </c>
    </row>
    <row r="24">
      <c r="A24" t="inlineStr">
        <is>
          <t>Lifting-conveyor-for-walnut.pdf</t>
        </is>
      </c>
      <c r="B24" s="28" t="inlineStr">
        <is>
          <t>https://nuttechnology.com/wp-content/uploads/Lifting-conveyor-for-walnut.pdf</t>
        </is>
      </c>
      <c r="C24" t="inlineStr">
        <is>
          <t>Transportor elevatoare pentru nuci</t>
        </is>
      </c>
    </row>
    <row r="25">
      <c r="A25" t="inlineStr">
        <is>
          <t>Line-calibrator-for-all-sorts-of-nuts.pdf</t>
        </is>
      </c>
      <c r="B25" s="28" t="inlineStr">
        <is>
          <t>https://nuttechnology.com/wp-content/uploads/Line-calibrator-for-all-sorts-of-nuts.pdf</t>
        </is>
      </c>
      <c r="C25" t="inlineStr">
        <is>
          <t>Calibrator liniar pentru toate tipurile de nuci</t>
        </is>
      </c>
    </row>
    <row r="26">
      <c r="A26" t="inlineStr">
        <is>
          <t>Loading-conveyor.pdf</t>
        </is>
      </c>
      <c r="B26" s="28" t="inlineStr">
        <is>
          <t>https://nuttechnology.com/wp-content/uploads/Loading-conveyor.pdf</t>
        </is>
      </c>
      <c r="C26" t="inlineStr">
        <is>
          <t>Conveyor de alimentare pentru uscător 2 t/zi; Conveyor de alimentare pentru uscător 4 t/h; Elevator cu încărcare/descărcare Noria 2 tone pe oră; Elevator cu încărcare/descărcare Noria 4 tone pe oră</t>
        </is>
      </c>
    </row>
    <row r="27">
      <c r="A27" t="inlineStr">
        <is>
          <t>MACHINE-FOR-SORTING-EMPTY-WALNUT-IN-SHELL.pdf</t>
        </is>
      </c>
      <c r="B27" s="28" t="inlineStr">
        <is>
          <t>https://nuttechnology.com/wp-content/uploads/MACHINE-FOR-SORTING-EMPTY-WALNUT-IN-SHELL.pdf</t>
        </is>
      </c>
      <c r="C27" t="inlineStr">
        <is>
          <t>Mașină pentru sortarea nucilor goale în coajă</t>
        </is>
      </c>
    </row>
    <row r="28">
      <c r="A28" t="inlineStr">
        <is>
          <t>Machine-for-separating-kernel-from-the-shell-100-kg_h.pdf</t>
        </is>
      </c>
      <c r="B28" s="28" t="inlineStr">
        <is>
          <t>https://nuttechnology.com/wp-content/uploads/Machine-for-separating-kernel-from-the-shell-100-kg_h.pdf</t>
        </is>
      </c>
      <c r="C28" t="inlineStr">
        <is>
          <t>Mașină pentru separarea miezului de coajă (100 kg/h)</t>
        </is>
      </c>
    </row>
    <row r="29">
      <c r="A29" t="inlineStr">
        <is>
          <t>Machine-for-separating-kernel-from-the-shell-300-kg_h.pdf</t>
        </is>
      </c>
      <c r="B29" s="28" t="inlineStr">
        <is>
          <t>https://nuttechnology.com/wp-content/uploads/Machine-for-separating-kernel-from-the-shell-300-kg_h.pdf</t>
        </is>
      </c>
      <c r="C29" t="inlineStr">
        <is>
          <t>Mașină pentru separarea miezului de coajă (300 kg/h)</t>
        </is>
      </c>
    </row>
    <row r="30">
      <c r="A30" t="inlineStr">
        <is>
          <t>Two-level-belt-inspection-table.pdf</t>
        </is>
      </c>
      <c r="B30" s="28" t="inlineStr">
        <is>
          <t>https://nuttechnology.com/wp-content/uploads/Two-level-belt-inspection-table.pdf</t>
        </is>
      </c>
      <c r="C30" t="inlineStr">
        <is>
          <t>Masă de inspecție cu bandă pe două niveluri</t>
        </is>
      </c>
    </row>
    <row r="31">
      <c r="A31" t="inlineStr">
        <is>
          <t>Vibrating-sieve-with-aspiration-for-sorting-walnut-kernels-200-kg-h.pdf</t>
        </is>
      </c>
      <c r="B31" s="28" t="inlineStr">
        <is>
          <t>https://nuttechnology.com/wp-content/uploads/Vibrating-sieve-with-aspiration-for-sorting-walnut-kernels-200-kg-h.pdf</t>
        </is>
      </c>
      <c r="C31" t="inlineStr">
        <is>
          <t>Sit vibratoare cu aspirație pentru sortarea nucilor (200 kg/h)</t>
        </is>
      </c>
    </row>
    <row r="32">
      <c r="A32" t="inlineStr">
        <is>
          <t>Vibrating-sieve-with-aspiration-for-sorting-walnut-kernels-300-kg_h.pdf</t>
        </is>
      </c>
      <c r="B32" s="28" t="inlineStr">
        <is>
          <t>https://nuttechnology.com/wp-content/uploads/Vibrating-sieve-with-aspiration-for-sorting-walnut-kernels-300-kg_h.pdf</t>
        </is>
      </c>
      <c r="C32" t="inlineStr">
        <is>
          <t>Sit vibratoare cu aspirație pentru sortarea nucilor (300 kg/h)</t>
        </is>
      </c>
    </row>
    <row r="33">
      <c r="A33" t="inlineStr">
        <is>
          <t>WALNUT-CALIBRATING-MACHINE-4-fractions.pdf</t>
        </is>
      </c>
      <c r="B33" s="28" t="inlineStr">
        <is>
          <t>https://nuttechnology.com/wp-content/uploads/WALNUT-CALIBRATING-MACHINE-4-fractions.pdf</t>
        </is>
      </c>
      <c r="C33" t="inlineStr">
        <is>
          <t>Mașină de calibrare a nucilor în 4 fracții</t>
        </is>
      </c>
    </row>
    <row r="34">
      <c r="A34" t="inlineStr">
        <is>
          <t>WALNUT-CALIBRATING-MACHINE-8-fractions.pdf</t>
        </is>
      </c>
      <c r="B34" s="28" t="inlineStr">
        <is>
          <t>https://nuttechnology.com/wp-content/uploads/WALNUT-CALIBRATING-MACHINE-8-fractions.pdf</t>
        </is>
      </c>
      <c r="C34" t="inlineStr">
        <is>
          <t>Mașină de calibrare a nucilor în 8 fracții</t>
        </is>
      </c>
    </row>
    <row r="35">
      <c r="A35" t="inlineStr">
        <is>
          <t>Walnut-breaker-after-cracking-machine_.pdf</t>
        </is>
      </c>
      <c r="B35" s="28" t="inlineStr">
        <is>
          <t>https://nuttechnology.com/wp-content/uploads/Walnut-breaker-after-cracking-machine_.pdf</t>
        </is>
      </c>
      <c r="C35" t="inlineStr">
        <is>
          <t>Spărgător de nuci pentru etapa post-spărgere</t>
        </is>
      </c>
    </row>
    <row r="36">
      <c r="A36" t="inlineStr">
        <is>
          <t>Walnut-cleaning-and-drying-line.pdf</t>
        </is>
      </c>
      <c r="B36" s="28" t="inlineStr">
        <is>
          <t>https://nuttechnology.com/wp-content/uploads/Walnut-cleaning-and-drying-line.pdf</t>
        </is>
      </c>
      <c r="C36" t="inlineStr">
        <is>
          <t>Linie de spălare și uscare a nucilor (500 kg/h)</t>
        </is>
      </c>
    </row>
    <row r="37">
      <c r="A37" t="inlineStr">
        <is>
          <t>Walnut-cracking-machine-100-kg_h.pdf</t>
        </is>
      </c>
      <c r="B37" s="28" t="inlineStr">
        <is>
          <t>https://nuttechnology.com/wp-content/uploads/Walnut-cracking-machine-100-kg_h.pdf</t>
        </is>
      </c>
      <c r="C37" t="inlineStr">
        <is>
          <t>Mașină de spart nuci 100 kg/h</t>
        </is>
      </c>
    </row>
    <row r="38">
      <c r="A38" t="inlineStr">
        <is>
          <t>Walnut-cracking-machine-200-kg_h.pdf</t>
        </is>
      </c>
      <c r="B38" s="28" t="inlineStr">
        <is>
          <t>https://nuttechnology.com/wp-content/uploads/Walnut-cracking-machine-200-kg_h.pdf</t>
        </is>
      </c>
      <c r="C38" t="inlineStr">
        <is>
          <t>Mașină de spart nuci 200 kg/h</t>
        </is>
      </c>
    </row>
    <row r="39">
      <c r="A39" t="inlineStr">
        <is>
          <t>Walnut-cracking-machine-50-kg_h.pdf</t>
        </is>
      </c>
      <c r="B39" s="28" t="inlineStr">
        <is>
          <t>https://nuttechnology.com/wp-content/uploads/Walnut-cracking-machine-50-kg_h.pdf</t>
        </is>
      </c>
      <c r="C39" t="inlineStr">
        <is>
          <t>Mașină de spart nuci 50 kg/h</t>
        </is>
      </c>
    </row>
    <row r="40">
      <c r="A40" t="inlineStr">
        <is>
          <t>Walnut-kernel-separating-machine-200-kg_h.pdf</t>
        </is>
      </c>
      <c r="B40" s="28" t="inlineStr">
        <is>
          <t>https://nuttechnology.com/wp-content/uploads/Walnut-kernel-separating-machine-200-kg_h.pdf</t>
        </is>
      </c>
      <c r="C40" t="inlineStr">
        <is>
          <t>Mașină pentru separarea miezului de nucă (200 kg/h)</t>
        </is>
      </c>
    </row>
    <row r="41">
      <c r="A41" t="inlineStr">
        <is>
          <t>m300.jpg</t>
        </is>
      </c>
      <c r="B41" s="28" t="inlineStr">
        <is>
          <t>https://nuttechnology.com/wp-content/uploads/m300.jpg</t>
        </is>
      </c>
      <c r="C41" t="inlineStr">
        <is>
          <t>Sortator optic cu bandă M600</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2026-09-28T15:58:01Z</dcterms:created>
  <dcterms:modified xmlns:dcterms="http://purl.org/dc/terms/" xmlns:xsi="http://www.w3.org/2001/XMLSchema-instance" xsi:type="dcterms:W3CDTF">2026-09-28T15:58:14Z</dcterms:modified>
</cp:coreProperties>
</file>