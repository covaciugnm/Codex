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poteze" sheetId="2" state="visible" r:id="rId2"/>
    <sheet xmlns:r="http://schemas.openxmlformats.org/officeDocument/2006/relationships" name="Buget_eligibil" sheetId="3" state="visible" r:id="rId3"/>
    <sheet xmlns:r="http://schemas.openxmlformats.org/officeDocument/2006/relationships" name="Echipamente_unificate" sheetId="4" state="visible" r:id="rId4"/>
    <sheet xmlns:r="http://schemas.openxmlformats.org/officeDocument/2006/relationships" name="Echipa" sheetId="5" state="visible" r:id="rId5"/>
    <sheet xmlns:r="http://schemas.openxmlformats.org/officeDocument/2006/relationships" name="Cofinantare_credit" sheetId="6" state="visible" r:id="rId6"/>
    <sheet xmlns:r="http://schemas.openxmlformats.org/officeDocument/2006/relationships" name="Proiectii_financi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color rgb="00222222"/>
      <sz val="9"/>
    </font>
    <font>
      <name val="Calibri"/>
      <b val="1"/>
      <color rgb="00595959"/>
      <sz val="9"/>
    </font>
    <font>
      <name val="Calibri"/>
      <color rgb="00595959"/>
      <sz val="9"/>
    </font>
    <font>
      <name val="Calibri"/>
      <b val="1"/>
      <color rgb="00222222"/>
      <sz val="11"/>
    </font>
    <font>
      <name val="Calibri"/>
      <b val="1"/>
      <color rgb="00222222"/>
      <sz val="10"/>
    </font>
    <font>
      <name val="Calibri"/>
      <b val="1"/>
      <color rgb="001F3864"/>
      <sz val="10"/>
    </font>
    <font>
      <name val="Calibri"/>
      <b val="1"/>
      <color rgb="001E5B1E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7" fillId="4" borderId="1" pivotButton="0" quotePrefix="0" xfId="0"/>
    <xf numFmtId="0" fontId="3" fillId="0" borderId="0" pivotButton="0" quotePrefix="0" xfId="0"/>
    <xf numFmtId="3" fontId="8" fillId="0" borderId="0" pivotButton="0" quotePrefix="0" xfId="0"/>
    <xf numFmtId="0" fontId="6" fillId="0" borderId="0" pivotButton="0" quotePrefix="0" xfId="0"/>
    <xf numFmtId="164" fontId="8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3" fontId="8" fillId="4" borderId="0" pivotButton="0" quotePrefix="0" xfId="0"/>
    <xf numFmtId="0" fontId="10" fillId="0" borderId="0" pivotButton="0" quotePrefix="0" xfId="0"/>
    <xf numFmtId="3" fontId="8" fillId="5" borderId="0" pivotButton="0" quotePrefix="0" xfId="0"/>
    <xf numFmtId="3" fontId="8" fillId="6" borderId="0" pivotButton="0" quotePrefix="0" xfId="0"/>
    <xf numFmtId="0" fontId="3" fillId="0" borderId="1" applyAlignment="1" pivotButton="0" quotePrefix="0" xfId="0">
      <alignment horizontal="center" vertical="center" wrapText="1"/>
    </xf>
    <xf numFmtId="3" fontId="7" fillId="4" borderId="0" pivotButton="0" quotePrefix="0" xfId="0"/>
    <xf numFmtId="0" fontId="8" fillId="0" borderId="1" pivotButton="0" quotePrefix="0" xfId="0"/>
    <xf numFmtId="0" fontId="0" fillId="0" borderId="1" pivotButton="0" quotePrefix="0" xfId="0"/>
    <xf numFmtId="3" fontId="8" fillId="0" borderId="1" pivotButton="0" quotePrefix="0" xfId="0"/>
    <xf numFmtId="9" fontId="8" fillId="0" borderId="1" pivotButton="0" quotePrefix="0" xfId="0"/>
    <xf numFmtId="1" fontId="8" fillId="0" borderId="1" pivotButton="0" quotePrefix="0" xfId="0"/>
    <xf numFmtId="3" fontId="0" fillId="0" borderId="0" pivotButton="0" quotePrefix="0" xfId="0"/>
    <xf numFmtId="3" fontId="3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16" customWidth="1" min="4" max="4"/>
  </cols>
  <sheetData>
    <row r="1">
      <c r="A1" s="1" t="inlineStr">
        <is>
          <t>DASHBOARD – Buget FINAL EVA · SCENARIUL A (tot hardware pe ajutor regional, valoare integrală)</t>
        </is>
      </c>
    </row>
    <row r="3">
      <c r="A3" s="2" t="inlineStr">
        <is>
          <t>Indicator</t>
        </is>
      </c>
      <c r="B3" s="2" t="inlineStr">
        <is>
          <t>Valoare</t>
        </is>
      </c>
      <c r="C3" s="2" t="inlineStr">
        <is>
          <t>Țintă/limită</t>
        </is>
      </c>
      <c r="D3" s="2" t="inlineStr">
        <is>
          <t>Status</t>
        </is>
      </c>
    </row>
    <row r="4">
      <c r="A4" s="3" t="inlineStr">
        <is>
          <t>Grant nerambursabil (MAXIM)</t>
        </is>
      </c>
      <c r="B4" s="4" t="n">
        <v>3000000</v>
      </c>
      <c r="C4" s="5">
        <f> 3.000.000</f>
        <v/>
      </c>
      <c r="D4" s="6" t="inlineStr">
        <is>
          <t>OK</t>
        </is>
      </c>
    </row>
    <row r="5">
      <c r="A5" s="7" t="inlineStr">
        <is>
          <t>Cost eligibil total</t>
        </is>
      </c>
      <c r="B5" s="8" t="n">
        <v>4060857</v>
      </c>
      <c r="C5" s="9" t="inlineStr">
        <is>
          <t>model</t>
        </is>
      </c>
      <c r="D5" s="10" t="inlineStr"/>
    </row>
    <row r="6">
      <c r="A6" s="3" t="inlineStr">
        <is>
          <t>COFINANȚARE (credit 10 ani) – minim REALIST</t>
        </is>
      </c>
      <c r="B6" s="4" t="n">
        <v>1060857</v>
      </c>
      <c r="C6" s="5" t="inlineStr">
        <is>
          <t>fără risc amortizare</t>
        </is>
      </c>
      <c r="D6" s="6" t="inlineStr"/>
    </row>
    <row r="7">
      <c r="A7" s="7" t="inlineStr">
        <is>
          <t>Rată anuală credit</t>
        </is>
      </c>
      <c r="B7" s="8" t="n">
        <v>158099</v>
      </c>
      <c r="C7" s="9" t="inlineStr">
        <is>
          <t>acoperită de flux</t>
        </is>
      </c>
      <c r="D7" s="10" t="inlineStr">
        <is>
          <t>OK</t>
        </is>
      </c>
    </row>
    <row r="8">
      <c r="A8" s="3" t="inlineStr">
        <is>
          <t>Pondere activitate de bază (act. 3+4+5)</t>
        </is>
      </c>
      <c r="B8" s="11" t="n">
        <v>0.9399999999999999</v>
      </c>
      <c r="C8" s="5" t="inlineStr">
        <is>
          <t>≥80%</t>
        </is>
      </c>
      <c r="D8" s="6" t="inlineStr">
        <is>
          <t>OK</t>
        </is>
      </c>
    </row>
    <row r="9">
      <c r="A9" s="7" t="inlineStr">
        <is>
          <t>Personal propriu / bază</t>
        </is>
      </c>
      <c r="B9" s="12" t="n">
        <v>0.211063829787234</v>
      </c>
      <c r="C9" s="9" t="inlineStr">
        <is>
          <t>≥20% (marjă 1,1pp)</t>
        </is>
      </c>
      <c r="D9" s="10" t="inlineStr">
        <is>
          <t>OK</t>
        </is>
      </c>
    </row>
    <row r="10">
      <c r="A10" s="3" t="inlineStr">
        <is>
          <t>Minimis total</t>
        </is>
      </c>
      <c r="B10" s="4" t="n">
        <v>300000</v>
      </c>
      <c r="C10" s="5" t="inlineStr">
        <is>
          <t>≤300.000</t>
        </is>
      </c>
      <c r="D10" s="6" t="inlineStr">
        <is>
          <t>OK</t>
        </is>
      </c>
    </row>
    <row r="11">
      <c r="A11" s="7" t="inlineStr">
        <is>
          <t>Grant echipamente REGIONAL (din care producție ≥1,5M)</t>
        </is>
      </c>
      <c r="B11" s="8" t="n">
        <v>2062800</v>
      </c>
      <c r="C11" s="9" t="inlineStr">
        <is>
          <t>valoare integrală 70%</t>
        </is>
      </c>
      <c r="D11" s="10" t="inlineStr">
        <is>
          <t>OK</t>
        </is>
      </c>
    </row>
    <row r="12">
      <c r="A12" s="3" t="inlineStr">
        <is>
          <t>Grant CDI echipamente (amortizare)</t>
        </is>
      </c>
      <c r="B12" s="4" t="n">
        <v>0</v>
      </c>
      <c r="C12" s="5" t="inlineStr">
        <is>
          <t>0 → risc eliminat</t>
        </is>
      </c>
      <c r="D12" s="6" t="inlineStr">
        <is>
          <t>OK</t>
        </is>
      </c>
    </row>
    <row r="13">
      <c r="A13" s="7" t="inlineStr">
        <is>
          <t>Teste laborator acreditat (cost)</t>
        </is>
      </c>
      <c r="B13" s="8" t="n">
        <v>70000</v>
      </c>
      <c r="C13" s="9" t="inlineStr">
        <is>
          <t>obligatorii CE</t>
        </is>
      </c>
      <c r="D13" s="10" t="inlineStr">
        <is>
          <t>OK</t>
        </is>
      </c>
    </row>
    <row r="14">
      <c r="A14" s="3" t="inlineStr">
        <is>
          <t>RI – rentabilitatea investiției</t>
        </is>
      </c>
      <c r="B14" s="11" t="n">
        <v>0.2298365427133567</v>
      </c>
      <c r="C14" s="5" t="inlineStr">
        <is>
          <t>&gt;2%</t>
        </is>
      </c>
      <c r="D14" s="6" t="inlineStr">
        <is>
          <t>OK</t>
        </is>
      </c>
    </row>
    <row r="15">
      <c r="A15" s="7" t="inlineStr">
        <is>
          <t>PI_D – performanța investiției</t>
        </is>
      </c>
      <c r="B15" s="13" t="n">
        <v>0.8162245620335769</v>
      </c>
      <c r="C15" s="9" t="inlineStr">
        <is>
          <t>&gt;0,5</t>
        </is>
      </c>
      <c r="D15" s="10" t="inlineStr">
        <is>
          <t>OK</t>
        </is>
      </c>
    </row>
    <row r="16">
      <c r="A16" s="3" t="inlineStr">
        <is>
          <t>Cheltuieli neeligibile (amortizare)</t>
        </is>
      </c>
      <c r="B16" s="4" t="n">
        <v>0</v>
      </c>
      <c r="C16" s="5" t="inlineStr">
        <is>
          <t>0</t>
        </is>
      </c>
      <c r="D16" s="6" t="inlineStr">
        <is>
          <t>OK</t>
        </is>
      </c>
    </row>
    <row r="18">
      <c r="A18" s="14" t="inlineStr">
        <is>
          <t>SCENARIUL A v2: toate echipamentele pe ajutor regional (valoare integrală, 70%) → risc de corecție MINIM. CDI = personal propriu (cerc. ind. 80%) + servicii de testare și validare la laborator acreditat (dezv. exp. 60%), obligatorii pentru marcajul CE și expres permise de ghid (cap. 5.2.2: contractare de la terți). Baza = activitățile 3+4+5 (CD + introducere în producție + introducere în piață) = 94%. ATENȚIE: personal propriu/bază = 21,1% — marjă de doar 1,1pp peste pragul de 20%; orice serviciu contractat suplimentar sparge pragul.</t>
        </is>
      </c>
    </row>
    <row r="19"/>
  </sheetData>
  <mergeCells count="2">
    <mergeCell ref="A1:D1"/>
    <mergeCell ref="A18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8" customWidth="1" min="3" max="3"/>
    <col width="58" customWidth="1" min="4" max="4"/>
  </cols>
  <sheetData>
    <row r="1">
      <c r="A1" s="1" t="inlineStr">
        <is>
          <t>IPOTEZE – Scenariul A</t>
        </is>
      </c>
    </row>
    <row r="3">
      <c r="A3" s="2" t="inlineStr">
        <is>
          <t>Parametru</t>
        </is>
      </c>
      <c r="B3" s="2" t="inlineStr">
        <is>
          <t>Valoare</t>
        </is>
      </c>
      <c r="C3" s="2" t="inlineStr">
        <is>
          <t>Unit.</t>
        </is>
      </c>
      <c r="D3" s="2" t="inlineStr">
        <is>
          <t>Comentariu</t>
        </is>
      </c>
    </row>
    <row r="4">
      <c r="A4" s="3" t="inlineStr">
        <is>
          <t>Curs InforEuro</t>
        </is>
      </c>
      <c r="B4" s="15" t="n">
        <v>5.0981</v>
      </c>
      <c r="C4" s="6" t="inlineStr">
        <is>
          <t>RON/EUR</t>
        </is>
      </c>
      <c r="D4" s="16" t="inlineStr">
        <is>
          <t>Ghid mai 2026</t>
        </is>
      </c>
    </row>
    <row r="5">
      <c r="A5" s="3" t="inlineStr">
        <is>
          <t>Grant țintă</t>
        </is>
      </c>
      <c r="B5" s="6" t="n">
        <v>3000000</v>
      </c>
      <c r="C5" s="6" t="inlineStr">
        <is>
          <t>EUR</t>
        </is>
      </c>
      <c r="D5" s="16" t="inlineStr">
        <is>
          <t>Maxim hardware</t>
        </is>
      </c>
    </row>
    <row r="6">
      <c r="A6" s="3" t="inlineStr">
        <is>
          <t>Intensitate ajutor regional (Alba)</t>
        </is>
      </c>
      <c r="B6" s="17" t="n">
        <v>0.7</v>
      </c>
      <c r="C6" s="6" t="inlineStr">
        <is>
          <t>%</t>
        </is>
      </c>
      <c r="D6" s="16" t="inlineStr">
        <is>
          <t>Valoare integrală active noi</t>
        </is>
      </c>
    </row>
    <row r="7">
      <c r="A7" s="3" t="inlineStr">
        <is>
          <t>Intensitate CDI personal (cerc.ind.)</t>
        </is>
      </c>
      <c r="B7" s="17" t="n">
        <v>0.8</v>
      </c>
      <c r="C7" s="6" t="inlineStr">
        <is>
          <t>%</t>
        </is>
      </c>
      <c r="D7" s="16" t="inlineStr">
        <is>
          <t>cu diseminare</t>
        </is>
      </c>
    </row>
    <row r="8">
      <c r="A8" s="3" t="inlineStr">
        <is>
          <t>Intensitate minimis</t>
        </is>
      </c>
      <c r="B8" s="17" t="n">
        <v>1</v>
      </c>
      <c r="C8" s="6" t="inlineStr">
        <is>
          <t>%</t>
        </is>
      </c>
      <c r="D8" s="16" t="inlineStr">
        <is>
          <t>plafon 300.000</t>
        </is>
      </c>
    </row>
    <row r="9">
      <c r="A9" s="3" t="inlineStr">
        <is>
          <t>Dobândă credit</t>
        </is>
      </c>
      <c r="B9" s="6" t="n">
        <v>0.08</v>
      </c>
      <c r="C9" s="6" t="inlineStr">
        <is>
          <t>%</t>
        </is>
      </c>
      <c r="D9" s="16" t="inlineStr">
        <is>
          <t>10 ani</t>
        </is>
      </c>
    </row>
    <row r="10">
      <c r="A10" s="3" t="inlineStr">
        <is>
          <t>Durată credit</t>
        </is>
      </c>
      <c r="B10" s="6" t="n">
        <v>10</v>
      </c>
      <c r="C10" s="6" t="inlineStr">
        <is>
          <t>ani</t>
        </is>
      </c>
      <c r="D10" s="16" t="inlineStr"/>
    </row>
    <row r="11">
      <c r="A11" s="3" t="inlineStr">
        <is>
          <t>Pondere cheltuieli funcționare</t>
        </is>
      </c>
      <c r="B11" s="17" t="n">
        <v>0.5</v>
      </c>
      <c r="C11" s="6" t="inlineStr">
        <is>
          <t>%</t>
        </is>
      </c>
      <c r="D11" s="16" t="inlineStr">
        <is>
          <t>din venituri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BUGET ELIGIBIL – SCENARIUL A (tot hardware regional, valoare integrală)</t>
        </is>
      </c>
    </row>
    <row r="3">
      <c r="A3" s="2" t="inlineStr">
        <is>
          <t>Categorie</t>
        </is>
      </c>
      <c r="B3" s="2" t="inlineStr">
        <is>
          <t>Tip ajutor</t>
        </is>
      </c>
      <c r="C3" s="2" t="inlineStr">
        <is>
          <t>Cost eligibil €</t>
        </is>
      </c>
      <c r="D3" s="2" t="inlineStr">
        <is>
          <t>Intensit.</t>
        </is>
      </c>
      <c r="E3" s="2" t="inlineStr">
        <is>
          <t>Grant €</t>
        </is>
      </c>
      <c r="F3" s="2" t="inlineStr">
        <is>
          <t>Cofinanțare €</t>
        </is>
      </c>
    </row>
    <row r="4">
      <c r="A4" s="3" t="inlineStr">
        <is>
          <t>Echipamente (producție + HPC + laborator + metrologie) – valoare integrală</t>
        </is>
      </c>
      <c r="B4" s="3" t="inlineStr">
        <is>
          <t>Ajutor regional 70%</t>
        </is>
      </c>
      <c r="C4" s="18" t="n">
        <v>2946857</v>
      </c>
      <c r="D4" s="19" t="n">
        <v>0.7</v>
      </c>
      <c r="E4" s="18" t="n">
        <v>2062800</v>
      </c>
      <c r="F4" s="18" t="n">
        <v>884057</v>
      </c>
    </row>
    <row r="5">
      <c r="A5" s="3" t="inlineStr">
        <is>
          <t>Personal tehnic propriu CDI (coord + experți)</t>
        </is>
      </c>
      <c r="B5" s="3" t="inlineStr">
        <is>
          <t>CDI cerc.ind. 80%</t>
        </is>
      </c>
      <c r="C5" s="18" t="n">
        <v>744000</v>
      </c>
      <c r="D5" s="19" t="n">
        <v>0.8</v>
      </c>
      <c r="E5" s="18" t="n">
        <v>595200</v>
      </c>
      <c r="F5" s="18" t="n">
        <v>148800</v>
      </c>
    </row>
    <row r="6">
      <c r="A6" s="3" t="inlineStr">
        <is>
          <t>Servicii de testare și validare – laborator acreditat (EMC, siguranță electrică, radio) – OBLIGATORII pentru marcaj CE</t>
        </is>
      </c>
      <c r="B6" s="3" t="inlineStr">
        <is>
          <t>CDI dezv. exp. 60%</t>
        </is>
      </c>
      <c r="C6" s="18" t="n">
        <v>70000</v>
      </c>
      <c r="D6" s="19" t="n">
        <v>0.6</v>
      </c>
      <c r="E6" s="18" t="n">
        <v>42000</v>
      </c>
      <c r="F6" s="18" t="n">
        <v>28000</v>
      </c>
    </row>
    <row r="7">
      <c r="A7" s="3" t="inlineStr">
        <is>
          <t>Promovare / go-to-market</t>
        </is>
      </c>
      <c r="B7" s="3" t="inlineStr">
        <is>
          <t>Minimis</t>
        </is>
      </c>
      <c r="C7" s="18" t="n">
        <v>120000</v>
      </c>
      <c r="D7" s="19" t="n">
        <v>1</v>
      </c>
      <c r="E7" s="18" t="n">
        <v>120000</v>
      </c>
      <c r="F7" s="18" t="n">
        <v>0</v>
      </c>
    </row>
    <row r="8">
      <c r="A8" s="3" t="inlineStr">
        <is>
          <t>Informare și publicitate</t>
        </is>
      </c>
      <c r="B8" s="3" t="inlineStr">
        <is>
          <t>Minimis</t>
        </is>
      </c>
      <c r="C8" s="18" t="n">
        <v>30000</v>
      </c>
      <c r="D8" s="19" t="n">
        <v>1</v>
      </c>
      <c r="E8" s="18" t="n">
        <v>30000</v>
      </c>
      <c r="F8" s="18" t="n">
        <v>0</v>
      </c>
    </row>
    <row r="9">
      <c r="A9" s="3" t="inlineStr">
        <is>
          <t>Management de proiect</t>
        </is>
      </c>
      <c r="B9" s="3" t="inlineStr">
        <is>
          <t>Minimis</t>
        </is>
      </c>
      <c r="C9" s="18" t="n">
        <v>90000</v>
      </c>
      <c r="D9" s="19" t="n">
        <v>1</v>
      </c>
      <c r="E9" s="18" t="n">
        <v>90000</v>
      </c>
      <c r="F9" s="18" t="n">
        <v>0</v>
      </c>
    </row>
    <row r="10">
      <c r="A10" s="3" t="inlineStr">
        <is>
          <t>Audit tehnic</t>
        </is>
      </c>
      <c r="B10" s="3" t="inlineStr">
        <is>
          <t>Minimis</t>
        </is>
      </c>
      <c r="C10" s="18" t="n">
        <v>60000</v>
      </c>
      <c r="D10" s="19" t="n">
        <v>1</v>
      </c>
      <c r="E10" s="18" t="n">
        <v>60000</v>
      </c>
      <c r="F10" s="18" t="n">
        <v>0</v>
      </c>
    </row>
    <row r="11">
      <c r="A11" s="20" t="inlineStr">
        <is>
          <t>TOTAL</t>
        </is>
      </c>
      <c r="C11" s="21">
        <f>SUM(C4:C10)</f>
        <v/>
      </c>
      <c r="E11" s="21">
        <f>SUM(E4:E10)</f>
        <v/>
      </c>
      <c r="F11" s="21">
        <f>SUM(F4:F10)</f>
        <v/>
      </c>
    </row>
    <row r="13">
      <c r="A13" s="22" t="inlineStr">
        <is>
          <t>Grant total</t>
        </is>
      </c>
      <c r="C13" s="23" t="n">
        <v>3000000</v>
      </c>
      <c r="E13" s="24">
        <f> 3.000.000</f>
        <v/>
      </c>
    </row>
    <row r="14">
      <c r="A14" s="22" t="inlineStr">
        <is>
          <t>Grant activitate de bază (regional+CDI personal)</t>
        </is>
      </c>
      <c r="C14" s="23" t="n">
        <v>2820000</v>
      </c>
      <c r="E14" s="24" t="inlineStr"/>
    </row>
    <row r="15">
      <c r="A15" s="22" t="inlineStr">
        <is>
          <t>Pondere activitate de bază</t>
        </is>
      </c>
      <c r="C15" s="25" t="n">
        <v>0.9399999999999999</v>
      </c>
      <c r="E15" s="24" t="inlineStr">
        <is>
          <t>≥80%</t>
        </is>
      </c>
    </row>
    <row r="16">
      <c r="A16" s="22" t="inlineStr">
        <is>
          <t>Personal propriu / bază</t>
        </is>
      </c>
      <c r="C16" s="25" t="n">
        <v>0.211063829787234</v>
      </c>
      <c r="E16" s="24" t="inlineStr">
        <is>
          <t>≥20%</t>
        </is>
      </c>
    </row>
    <row r="17">
      <c r="A17" s="22" t="inlineStr">
        <is>
          <t>Minimis total</t>
        </is>
      </c>
      <c r="C17" s="23" t="n">
        <v>300000</v>
      </c>
      <c r="E17" s="24" t="inlineStr">
        <is>
          <t>≤300.000</t>
        </is>
      </c>
    </row>
    <row r="18">
      <c r="A18" s="22" t="inlineStr">
        <is>
          <t>COFINANȚARE (credit 10 ani)</t>
        </is>
      </c>
      <c r="C18" s="23" t="n">
        <v>1060857</v>
      </c>
      <c r="E18" s="24" t="inlineStr">
        <is>
          <t>minim realist, fără risc amortizare</t>
        </is>
      </c>
    </row>
    <row r="19">
      <c r="A19" s="22" t="inlineStr">
        <is>
          <t>Cheltuieli neeligibile</t>
        </is>
      </c>
      <c r="C19" s="23" t="n">
        <v>0</v>
      </c>
      <c r="E19" s="24" t="inlineStr">
        <is>
          <t>0 (valoare integrală eligibilă)</t>
        </is>
      </c>
    </row>
  </sheetData>
  <mergeCells count="8">
    <mergeCell ref="E16:F16"/>
    <mergeCell ref="E15:F15"/>
    <mergeCell ref="A1:F1"/>
    <mergeCell ref="E19:F19"/>
    <mergeCell ref="E13:F13"/>
    <mergeCell ref="E14:F14"/>
    <mergeCell ref="E17:F17"/>
    <mergeCell ref="E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4" customWidth="1" min="4" max="4"/>
    <col width="26" customWidth="1" min="5" max="5"/>
  </cols>
  <sheetData>
    <row r="1">
      <c r="A1" s="1" t="inlineStr">
        <is>
          <t>ECHIPAMENTE – toate pe AJUTOR REGIONAL (valoare integrală 70%)</t>
        </is>
      </c>
    </row>
    <row r="3">
      <c r="A3" s="2" t="inlineStr">
        <is>
          <t>Grupă</t>
        </is>
      </c>
      <c r="B3" s="2" t="inlineStr">
        <is>
          <t>Valoare € (universul)</t>
        </is>
      </c>
      <c r="C3" s="2" t="inlineStr">
        <is>
          <t>Eligibil în proiect €</t>
        </is>
      </c>
      <c r="D3" s="2" t="inlineStr">
        <is>
          <t>Finanțare</t>
        </is>
      </c>
      <c r="E3" s="2" t="inlineStr">
        <is>
          <t>Notă</t>
        </is>
      </c>
    </row>
    <row r="4">
      <c r="A4" s="3" t="inlineStr">
        <is>
          <t>Prelucrări metalice</t>
        </is>
      </c>
      <c r="B4" s="4" t="n">
        <v>1045000</v>
      </c>
      <c r="C4" s="6" t="n"/>
      <c r="D4" s="26" t="inlineStr">
        <is>
          <t>Regional 70%</t>
        </is>
      </c>
      <c r="E4" s="27" t="n"/>
    </row>
    <row r="5">
      <c r="A5" s="3" t="inlineStr">
        <is>
          <t>Printare 3D metal + tratament</t>
        </is>
      </c>
      <c r="B5" s="4" t="n">
        <v>1275000</v>
      </c>
      <c r="C5" s="6" t="n"/>
      <c r="D5" s="26" t="inlineStr">
        <is>
          <t>Regional 70%</t>
        </is>
      </c>
      <c r="E5" s="27" t="n"/>
    </row>
    <row r="6">
      <c r="A6" s="3" t="inlineStr">
        <is>
          <t>Metrologie</t>
        </is>
      </c>
      <c r="B6" s="4" t="n">
        <v>180000</v>
      </c>
      <c r="C6" s="6" t="n"/>
      <c r="D6" s="26" t="inlineStr">
        <is>
          <t>Regional 70%</t>
        </is>
      </c>
      <c r="E6" s="27" t="n"/>
    </row>
    <row r="7">
      <c r="A7" s="3" t="inlineStr">
        <is>
          <t>Cluster HPC/GPU</t>
        </is>
      </c>
      <c r="B7" s="4" t="n">
        <v>506850</v>
      </c>
      <c r="C7" s="6" t="n"/>
      <c r="D7" s="26" t="inlineStr">
        <is>
          <t>Regional 70%</t>
        </is>
      </c>
      <c r="E7" s="27" t="n"/>
    </row>
    <row r="8">
      <c r="A8" s="3" t="inlineStr">
        <is>
          <t>Laborator testare/validare</t>
        </is>
      </c>
      <c r="B8" s="4" t="n">
        <v>470000</v>
      </c>
      <c r="C8" s="6" t="n"/>
      <c r="D8" s="26" t="inlineStr">
        <is>
          <t>Regional 70%</t>
        </is>
      </c>
      <c r="E8" s="27" t="n"/>
    </row>
    <row r="9">
      <c r="A9" s="3" t="inlineStr">
        <is>
          <t>Laptopuri / stații mobile</t>
        </is>
      </c>
      <c r="B9" s="4" t="n">
        <v>30000</v>
      </c>
      <c r="C9" s="6" t="n"/>
      <c r="D9" s="26" t="inlineStr">
        <is>
          <t>Regional 70%</t>
        </is>
      </c>
      <c r="E9" s="27" t="n"/>
    </row>
    <row r="10">
      <c r="A10" s="28" t="inlineStr">
        <is>
          <t>Universul echipamentelor</t>
        </is>
      </c>
      <c r="B10" s="29" t="n">
        <v>3506850</v>
      </c>
    </row>
    <row r="11">
      <c r="A11" s="30" t="inlineStr">
        <is>
          <t>ELIGIBIL în proiect (plafonat la grant 3M)</t>
        </is>
      </c>
      <c r="C11" s="31" t="n">
        <v>2946857</v>
      </c>
    </row>
    <row r="12">
      <c r="A12" s="28" t="inlineStr">
        <is>
          <t>Fază 2 (surse proprii, în afara proiectului)</t>
        </is>
      </c>
      <c r="C12" s="32" t="n">
        <v>559993</v>
      </c>
    </row>
    <row r="14">
      <c r="A14" s="24" t="inlineStr">
        <is>
          <t>Producția (prelucrări+printare 3D+metrologie ≈2,5 mil.) → grant ~1,75 mil. ≥ 1,5 mil. → justifică plafonul de 3 mil. hardware. Eligibilul a scăzut cu 60.000 față de versiunea anterioară pentru a face loc testelor de laborator; diferența trece în Faza 2.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0" customWidth="1" min="4" max="4"/>
    <col width="7" customWidth="1" min="5" max="5"/>
    <col width="12" customWidth="1" min="6" max="6"/>
  </cols>
  <sheetData>
    <row r="1">
      <c r="A1" s="1" t="inlineStr">
        <is>
          <t>ECHIPĂ – experți nominalizați (CDI, 80%)</t>
        </is>
      </c>
    </row>
    <row r="3">
      <c r="A3" s="2" t="inlineStr">
        <is>
          <t>Rol</t>
        </is>
      </c>
      <c r="B3" s="2" t="inlineStr">
        <is>
          <t>Persoană</t>
        </is>
      </c>
      <c r="C3" s="2" t="inlineStr">
        <is>
          <t>Cat. Anexa 9</t>
        </is>
      </c>
      <c r="D3" s="2" t="inlineStr">
        <is>
          <t>€/lună</t>
        </is>
      </c>
      <c r="E3" s="2" t="inlineStr">
        <is>
          <t>Luni</t>
        </is>
      </c>
      <c r="F3" s="2" t="inlineStr">
        <is>
          <t>Cost €</t>
        </is>
      </c>
    </row>
    <row r="4">
      <c r="A4" s="3" t="inlineStr">
        <is>
          <t>Coordonator tehnic robotică-AI</t>
        </is>
      </c>
      <c r="B4" s="3" t="inlineStr">
        <is>
          <t>Dr. Mihai Jalobeanu</t>
        </is>
      </c>
      <c r="C4" s="3" t="inlineStr">
        <is>
          <t>Cat.1</t>
        </is>
      </c>
      <c r="D4" s="18" t="n">
        <v>8500</v>
      </c>
      <c r="E4" s="33" t="n">
        <v>24</v>
      </c>
      <c r="F4" s="18" t="n">
        <v>204000</v>
      </c>
    </row>
    <row r="5">
      <c r="A5" s="3" t="inlineStr">
        <is>
          <t>Expert AI/ML &amp; software</t>
        </is>
      </c>
      <c r="B5" s="3" t="inlineStr">
        <is>
          <t>Adrian Potra</t>
        </is>
      </c>
      <c r="C5" s="3" t="inlineStr">
        <is>
          <t>Cat.1</t>
        </is>
      </c>
      <c r="D5" s="18" t="n">
        <v>7500</v>
      </c>
      <c r="E5" s="33" t="n">
        <v>24</v>
      </c>
      <c r="F5" s="18" t="n">
        <v>180000</v>
      </c>
    </row>
    <row r="6">
      <c r="A6" s="3" t="inlineStr">
        <is>
          <t>Expert cloud/sisteme + sănătate</t>
        </is>
      </c>
      <c r="B6" s="3" t="inlineStr">
        <is>
          <t>Cristina Potra</t>
        </is>
      </c>
      <c r="C6" s="3" t="inlineStr">
        <is>
          <t>Cat.1</t>
        </is>
      </c>
      <c r="D6" s="18" t="n">
        <v>7500</v>
      </c>
      <c r="E6" s="33" t="n">
        <v>24</v>
      </c>
      <c r="F6" s="18" t="n">
        <v>180000</v>
      </c>
    </row>
    <row r="7">
      <c r="A7" s="3" t="inlineStr">
        <is>
          <t>Expert business/BD (sectorial)</t>
        </is>
      </c>
      <c r="B7" s="3" t="inlineStr">
        <is>
          <t>Bogdan Pintea</t>
        </is>
      </c>
      <c r="C7" s="3" t="inlineStr">
        <is>
          <t>Cat.1</t>
        </is>
      </c>
      <c r="D7" s="18" t="n">
        <v>5000</v>
      </c>
      <c r="E7" s="33" t="n">
        <v>24</v>
      </c>
      <c r="F7" s="18" t="n">
        <v>120000</v>
      </c>
    </row>
    <row r="8">
      <c r="A8" s="3" t="inlineStr">
        <is>
          <t>QA/Security engineer</t>
        </is>
      </c>
      <c r="B8" s="3" t="inlineStr">
        <is>
          <t>[de nominalizat]</t>
        </is>
      </c>
      <c r="C8" s="3" t="inlineStr">
        <is>
          <t>Cat.2</t>
        </is>
      </c>
      <c r="D8" s="18" t="n">
        <v>2500</v>
      </c>
      <c r="E8" s="33" t="n">
        <v>24</v>
      </c>
      <c r="F8" s="18" t="n">
        <v>60000</v>
      </c>
    </row>
    <row r="9">
      <c r="A9" s="20" t="inlineStr">
        <is>
          <t>TOTAL personal tehnic propriu</t>
        </is>
      </c>
      <c r="F9" s="34">
        <f>SUM(F4:F8)</f>
        <v/>
      </c>
    </row>
    <row r="11">
      <c r="A11" s="24" t="inlineStr">
        <is>
          <t>+ Manager proiect + Responsabil financiar (management, minimis) = 90.000 €. 4.1 nivel 15 puncte îndeplinit.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3" max="3"/>
  </cols>
  <sheetData>
    <row r="1">
      <c r="A1" s="1" t="inlineStr">
        <is>
          <t>COFINANȚARE PRIN CREDIT BANCAR (10 ani)</t>
        </is>
      </c>
    </row>
    <row r="3">
      <c r="A3" s="35" t="inlineStr">
        <is>
          <t>Sumă credit (=cofinanțare)</t>
        </is>
      </c>
      <c r="B3" s="36" t="n"/>
      <c r="C3" s="37" t="n">
        <v>1060857</v>
      </c>
    </row>
    <row r="4">
      <c r="A4" s="35" t="inlineStr">
        <is>
          <t>Dobândă anuală</t>
        </is>
      </c>
      <c r="B4" s="36" t="n"/>
      <c r="C4" s="38" t="n">
        <v>0.08</v>
      </c>
    </row>
    <row r="5">
      <c r="A5" s="35" t="inlineStr">
        <is>
          <t>Durată (ani)</t>
        </is>
      </c>
      <c r="B5" s="36" t="n"/>
      <c r="C5" s="39" t="n">
        <v>10</v>
      </c>
    </row>
    <row r="6">
      <c r="A6" s="35" t="inlineStr">
        <is>
          <t>Rată anuală (anuitate)</t>
        </is>
      </c>
      <c r="B6" s="36" t="n"/>
      <c r="C6" s="37" t="n">
        <v>158099</v>
      </c>
    </row>
    <row r="7">
      <c r="A7" s="35" t="inlineStr">
        <is>
          <t>Total dobândă (10 ani)</t>
        </is>
      </c>
      <c r="B7" s="36" t="n"/>
      <c r="C7" s="37" t="n">
        <v>520133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PROIECȚII FINANCIARE – Scenariul A (funcționare 50%, credit 10 ani)</t>
        </is>
      </c>
    </row>
    <row r="3">
      <c r="A3" s="2" t="inlineStr">
        <is>
          <t>Linie</t>
        </is>
      </c>
      <c r="B3" s="2" t="inlineStr">
        <is>
          <t>Impl.An1</t>
        </is>
      </c>
      <c r="C3" s="2" t="inlineStr">
        <is>
          <t>Impl.An2</t>
        </is>
      </c>
      <c r="D3" s="2" t="inlineStr">
        <is>
          <t>Durab.An1</t>
        </is>
      </c>
      <c r="E3" s="2" t="inlineStr">
        <is>
          <t>Durab.An2</t>
        </is>
      </c>
      <c r="F3" s="2" t="inlineStr">
        <is>
          <t>Durab.An3</t>
        </is>
      </c>
      <c r="G3" s="2" t="inlineStr">
        <is>
          <t>Obs</t>
        </is>
      </c>
    </row>
    <row r="4">
      <c r="A4" s="22" t="inlineStr">
        <is>
          <t>Venituri din proiect</t>
        </is>
      </c>
      <c r="B4" s="40" t="n">
        <v>0</v>
      </c>
      <c r="C4" s="40" t="n">
        <v>150000</v>
      </c>
      <c r="D4" s="40" t="n">
        <v>1200000</v>
      </c>
      <c r="E4" s="40" t="n">
        <v>1800000</v>
      </c>
      <c r="F4" s="40" t="n">
        <v>2600000</v>
      </c>
    </row>
    <row r="5">
      <c r="A5" s="22" t="inlineStr">
        <is>
          <t>Cheltuieli funcționare (50%)</t>
        </is>
      </c>
      <c r="B5" s="41">
        <f>B4*0.5</f>
        <v/>
      </c>
      <c r="C5" s="41">
        <f>C4*0.5</f>
        <v/>
      </c>
      <c r="D5" s="41">
        <f>D4*0.5</f>
        <v/>
      </c>
      <c r="E5" s="41">
        <f>E4*0.5</f>
        <v/>
      </c>
      <c r="F5" s="41">
        <f>F4*0.5</f>
        <v/>
      </c>
    </row>
    <row r="6">
      <c r="A6" s="28" t="inlineStr">
        <is>
          <t>Profit exploatare (proiect)</t>
        </is>
      </c>
      <c r="B6" s="23">
        <f>B4-B5</f>
        <v/>
      </c>
      <c r="C6" s="23">
        <f>C4-C5</f>
        <v/>
      </c>
      <c r="D6" s="23">
        <f>D4-D5</f>
        <v/>
      </c>
      <c r="E6" s="23">
        <f>E4-E5</f>
        <v/>
      </c>
      <c r="F6" s="23">
        <f>F4-F5</f>
        <v/>
      </c>
    </row>
    <row r="7">
      <c r="A7" s="22" t="inlineStr">
        <is>
          <t>Profit exploatare INCREMENTAL</t>
        </is>
      </c>
      <c r="B7" s="41">
        <f>B6</f>
        <v/>
      </c>
      <c r="C7" s="41">
        <f>C6</f>
        <v/>
      </c>
      <c r="D7" s="41">
        <f>D6</f>
        <v/>
      </c>
      <c r="E7" s="41">
        <f>E6</f>
        <v/>
      </c>
      <c r="F7" s="41">
        <f>F6</f>
        <v/>
      </c>
    </row>
    <row r="9">
      <c r="A9" s="42" t="inlineStr">
        <is>
          <t>Trezorerie (cu serviciul creditului)</t>
        </is>
      </c>
    </row>
    <row r="10">
      <c r="A10" s="22" t="inlineStr">
        <is>
          <t>Serviciu credit (rată)</t>
        </is>
      </c>
      <c r="B10" s="41">
        <f>-158099</f>
        <v/>
      </c>
      <c r="C10" s="41">
        <f>-158099</f>
        <v/>
      </c>
      <c r="D10" s="41">
        <f>-158099</f>
        <v/>
      </c>
      <c r="E10" s="41">
        <f>-158099</f>
        <v/>
      </c>
      <c r="F10" s="41">
        <f>-158099</f>
        <v/>
      </c>
    </row>
    <row r="11">
      <c r="A11" s="28" t="inlineStr">
        <is>
          <t>Flux net durabilitate</t>
        </is>
      </c>
      <c r="B11" s="23" t="inlineStr">
        <is>
          <t>0</t>
        </is>
      </c>
      <c r="C11" s="23" t="inlineStr">
        <is>
          <t>0</t>
        </is>
      </c>
      <c r="D11" s="23">
        <f>D6-158099</f>
        <v/>
      </c>
      <c r="E11" s="23">
        <f>E6-158099</f>
        <v/>
      </c>
      <c r="F11" s="23">
        <f>F6-158099</f>
        <v/>
      </c>
    </row>
    <row r="12">
      <c r="A12" s="28" t="inlineStr">
        <is>
          <t>Flux cumulat durabilitate</t>
        </is>
      </c>
      <c r="B12" s="23" t="inlineStr">
        <is>
          <t>0</t>
        </is>
      </c>
      <c r="C12" s="23" t="inlineStr">
        <is>
          <t>0</t>
        </is>
      </c>
      <c r="D12" s="23">
        <f>D11</f>
        <v/>
      </c>
      <c r="E12" s="23">
        <f>D12+E11</f>
        <v/>
      </c>
      <c r="F12" s="23">
        <f>E12+F11</f>
        <v/>
      </c>
    </row>
    <row r="14">
      <c r="A14" s="30" t="inlineStr">
        <is>
          <t>RI = 23.0% (&gt;2%)  ·  PI_D = 0.82 (&gt;0.5)  ·  flux cumulat durabilitate pozitiv (rată credit 158.099/an acoperită)</t>
        </is>
      </c>
    </row>
  </sheetData>
  <mergeCells count="3">
    <mergeCell ref="A14:G14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2026-07-16T12:19:37Z</dcterms:created>
  <dcterms:modified xmlns:dcterms="http://purl.org/dc/terms/" xmlns:xsi="http://www.w3.org/2001/XMLSchema-instance" xsi:type="dcterms:W3CDTF">2026-07-16T12:19:37Z</dcterms:modified>
</cp:coreProperties>
</file>