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a16 Corelare" sheetId="1" state="visible" r:id="rId1"/>
    <sheet xmlns:r="http://schemas.openxmlformats.org/officeDocument/2006/relationships" name="Anexa6 Buget defalc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color rgb="00595959"/>
      <sz val="10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222222"/>
      <sz val="11"/>
    </font>
    <font>
      <name val="Calibri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3" borderId="1" pivotButton="0" quotePrefix="0" xfId="0"/>
    <xf numFmtId="9" fontId="4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0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1" t="inlineStr">
        <is>
          <t>ANEXA 16 – CORELARE BUGET–ACTIVITĂȚI · EVA · SCENARIUL A · fără TVA, €</t>
        </is>
      </c>
    </row>
    <row r="2">
      <c r="A2" s="2" t="inlineStr">
        <is>
          <t>Grant 3.000.000 · Cost eligibil 4.060.857 · Cofinanțare 1.060.857 (credit 10 ani. rată 158.099/an). Tot hardware pe ajutor regional (valoare integrală). Include testele de laborator acreditat. obligatorii pentru marcajul CE.</t>
        </is>
      </c>
    </row>
    <row r="4">
      <c r="A4" s="3" t="inlineStr">
        <is>
          <t>Cod</t>
        </is>
      </c>
      <c r="B4" s="3" t="inlineStr">
        <is>
          <t>Activitate</t>
        </is>
      </c>
      <c r="C4" s="3" t="inlineStr">
        <is>
          <t>Tip activitate</t>
        </is>
      </c>
      <c r="D4" s="3" t="inlineStr">
        <is>
          <t>Luni</t>
        </is>
      </c>
      <c r="E4" s="3" t="inlineStr">
        <is>
          <t>Tip ajutor</t>
        </is>
      </c>
      <c r="F4" s="3" t="inlineStr">
        <is>
          <t>Cost eligibil €</t>
        </is>
      </c>
      <c r="G4" s="3" t="inlineStr">
        <is>
          <t>Grant €</t>
        </is>
      </c>
      <c r="H4" s="3" t="inlineStr">
        <is>
          <t>Cofinanțare €</t>
        </is>
      </c>
    </row>
    <row r="5">
      <c r="A5" s="4" t="inlineStr">
        <is>
          <t>A1</t>
        </is>
      </c>
      <c r="B5" s="5" t="inlineStr">
        <is>
          <t>Cercetare-dezvoltare – personal tehnic propriu</t>
        </is>
      </c>
      <c r="C5" s="5" t="inlineStr">
        <is>
          <t>Activitate de bază CDI</t>
        </is>
      </c>
      <c r="D5" s="4" t="inlineStr">
        <is>
          <t>L1-L20</t>
        </is>
      </c>
      <c r="E5" s="5" t="inlineStr">
        <is>
          <t>CDI 80%</t>
        </is>
      </c>
      <c r="F5" s="6" t="n">
        <v>744000</v>
      </c>
      <c r="G5" s="6" t="n">
        <v>595200</v>
      </c>
      <c r="H5" s="6" t="n">
        <v>148800</v>
      </c>
    </row>
    <row r="6">
      <c r="A6" s="4" t="inlineStr">
        <is>
          <t>A2</t>
        </is>
      </c>
      <c r="B6" s="5" t="inlineStr">
        <is>
          <t>Introducere în producție – echipamente (producție+HPC+laborator+metrologie), valoare integrală</t>
        </is>
      </c>
      <c r="C6" s="5" t="inlineStr">
        <is>
          <t>Activitate de bază</t>
        </is>
      </c>
      <c r="D6" s="4" t="inlineStr">
        <is>
          <t>L1-L22</t>
        </is>
      </c>
      <c r="E6" s="5" t="inlineStr">
        <is>
          <t>Regional 70%</t>
        </is>
      </c>
      <c r="F6" s="6" t="n">
        <v>2946857</v>
      </c>
      <c r="G6" s="6" t="n">
        <v>2062800</v>
      </c>
      <c r="H6" s="6" t="n">
        <v>884057</v>
      </c>
    </row>
    <row r="7">
      <c r="A7" s="4" t="inlineStr">
        <is>
          <t>A2b</t>
        </is>
      </c>
      <c r="B7" s="5" t="inlineStr">
        <is>
          <t>Servicii de testare și validare – laborator acreditat (EMC, siguranță electrică, radio) → marcaj CE</t>
        </is>
      </c>
      <c r="C7" s="5" t="inlineStr">
        <is>
          <t>Activitate de bază CDI</t>
        </is>
      </c>
      <c r="D7" s="4" t="inlineStr">
        <is>
          <t>L18-L22</t>
        </is>
      </c>
      <c r="E7" s="5" t="inlineStr">
        <is>
          <t>CDI dezv.exp. 60%</t>
        </is>
      </c>
      <c r="F7" s="6" t="n">
        <v>70000</v>
      </c>
      <c r="G7" s="6" t="n">
        <v>42000</v>
      </c>
      <c r="H7" s="6" t="n">
        <v>28000</v>
      </c>
    </row>
    <row r="8">
      <c r="A8" s="4" t="inlineStr">
        <is>
          <t>A3</t>
        </is>
      </c>
      <c r="B8" s="5" t="inlineStr">
        <is>
          <t>Introducere în piață – promovare/go-to-market</t>
        </is>
      </c>
      <c r="C8" s="5" t="inlineStr">
        <is>
          <t>Activitate de bază</t>
        </is>
      </c>
      <c r="D8" s="4" t="inlineStr">
        <is>
          <t>L18-L24</t>
        </is>
      </c>
      <c r="E8" s="5" t="inlineStr">
        <is>
          <t>Minimis</t>
        </is>
      </c>
      <c r="F8" s="6" t="n">
        <v>120000</v>
      </c>
      <c r="G8" s="6" t="n">
        <v>120000</v>
      </c>
      <c r="H8" s="6" t="n">
        <v>0</v>
      </c>
    </row>
    <row r="9">
      <c r="A9" s="4" t="inlineStr">
        <is>
          <t>A4</t>
        </is>
      </c>
      <c r="B9" s="5" t="inlineStr">
        <is>
          <t>Informare și publicitate</t>
        </is>
      </c>
      <c r="C9" s="5" t="inlineStr">
        <is>
          <t>Conexă</t>
        </is>
      </c>
      <c r="D9" s="4" t="inlineStr">
        <is>
          <t>L1-L24</t>
        </is>
      </c>
      <c r="E9" s="5" t="inlineStr">
        <is>
          <t>Minimis</t>
        </is>
      </c>
      <c r="F9" s="6" t="n">
        <v>30000</v>
      </c>
      <c r="G9" s="6" t="n">
        <v>30000</v>
      </c>
      <c r="H9" s="6" t="n">
        <v>0</v>
      </c>
    </row>
    <row r="10">
      <c r="A10" s="4" t="inlineStr">
        <is>
          <t>A5</t>
        </is>
      </c>
      <c r="B10" s="5" t="inlineStr">
        <is>
          <t>Management de proiect</t>
        </is>
      </c>
      <c r="C10" s="5" t="inlineStr">
        <is>
          <t>Conexă</t>
        </is>
      </c>
      <c r="D10" s="4" t="inlineStr">
        <is>
          <t>L1-L24</t>
        </is>
      </c>
      <c r="E10" s="5" t="inlineStr">
        <is>
          <t>Minimis</t>
        </is>
      </c>
      <c r="F10" s="6" t="n">
        <v>90000</v>
      </c>
      <c r="G10" s="6" t="n">
        <v>90000</v>
      </c>
      <c r="H10" s="6" t="n">
        <v>0</v>
      </c>
    </row>
    <row r="11">
      <c r="A11" s="4" t="inlineStr">
        <is>
          <t>A6</t>
        </is>
      </c>
      <c r="B11" s="5" t="inlineStr">
        <is>
          <t>Audit tehnic</t>
        </is>
      </c>
      <c r="C11" s="5" t="inlineStr">
        <is>
          <t>Conexă</t>
        </is>
      </c>
      <c r="D11" s="4" t="inlineStr">
        <is>
          <t>L22-L24</t>
        </is>
      </c>
      <c r="E11" s="5" t="inlineStr">
        <is>
          <t>Minimis</t>
        </is>
      </c>
      <c r="F11" s="6" t="n">
        <v>60000</v>
      </c>
      <c r="G11" s="6" t="n">
        <v>60000</v>
      </c>
      <c r="H11" s="6" t="n">
        <v>0</v>
      </c>
    </row>
    <row r="12">
      <c r="B12" s="7" t="inlineStr">
        <is>
          <t>TOTAL</t>
        </is>
      </c>
      <c r="F12" s="8">
        <f>SUM(F5:F11)</f>
        <v/>
      </c>
      <c r="G12" s="8">
        <f>SUM(G5:G11)</f>
        <v/>
      </c>
      <c r="H12" s="8">
        <f>SUM(H5:H11)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1" customWidth="1" min="4" max="4"/>
    <col width="14" customWidth="1" min="5" max="5"/>
    <col width="14" customWidth="1" min="6" max="6"/>
  </cols>
  <sheetData>
    <row r="1">
      <c r="A1" s="1" t="inlineStr">
        <is>
          <t>ANEXA 6 – BUGET DEFALCAT · SCENARIUL A (fără TVA, €)</t>
        </is>
      </c>
    </row>
    <row r="3">
      <c r="A3" s="3" t="inlineStr">
        <is>
          <t>Categorie</t>
        </is>
      </c>
      <c r="B3" s="3" t="inlineStr">
        <is>
          <t>Tip ajutor</t>
        </is>
      </c>
      <c r="C3" s="3" t="inlineStr">
        <is>
          <t>Cost eligibil €</t>
        </is>
      </c>
      <c r="D3" s="3" t="inlineStr">
        <is>
          <t>Intensitate</t>
        </is>
      </c>
      <c r="E3" s="3" t="inlineStr">
        <is>
          <t>Grant €</t>
        </is>
      </c>
      <c r="F3" s="3" t="inlineStr">
        <is>
          <t>Cofinanțare €</t>
        </is>
      </c>
    </row>
    <row r="4">
      <c r="A4" s="5" t="inlineStr">
        <is>
          <t>1. Personal tehnic propriu CDI</t>
        </is>
      </c>
      <c r="B4" s="5" t="inlineStr">
        <is>
          <t>CDI cerc.ind.</t>
        </is>
      </c>
      <c r="C4" s="6" t="n">
        <v>744000</v>
      </c>
      <c r="D4" s="9" t="n">
        <v>0.8</v>
      </c>
      <c r="E4" s="6" t="n">
        <v>595200</v>
      </c>
      <c r="F4" s="6" t="n">
        <v>148800</v>
      </c>
    </row>
    <row r="5">
      <c r="A5" s="5" t="inlineStr">
        <is>
          <t>2. Echipamente (producție+HPC+laborator+metrologie) – valoare integrală</t>
        </is>
      </c>
      <c r="B5" s="5" t="inlineStr">
        <is>
          <t>Ajutor regional</t>
        </is>
      </c>
      <c r="C5" s="6" t="n">
        <v>2946857</v>
      </c>
      <c r="D5" s="9" t="n">
        <v>0.7</v>
      </c>
      <c r="E5" s="6" t="n">
        <v>2062800</v>
      </c>
      <c r="F5" s="6" t="n">
        <v>884057</v>
      </c>
    </row>
    <row r="6">
      <c r="A6" s="5" t="inlineStr">
        <is>
          <t>2b. Servicii de testare și validare – laborator acreditat (EMC, siguranță, radio)</t>
        </is>
      </c>
      <c r="B6" s="5" t="inlineStr">
        <is>
          <t>CDI dezv. exp.</t>
        </is>
      </c>
      <c r="C6" s="6" t="n">
        <v>70000</v>
      </c>
      <c r="D6" s="9" t="n">
        <v>0.6</v>
      </c>
      <c r="E6" s="6" t="n">
        <v>42000</v>
      </c>
      <c r="F6" s="6" t="n">
        <v>28000</v>
      </c>
    </row>
    <row r="7">
      <c r="A7" s="5" t="inlineStr">
        <is>
          <t>3. Promovare / go-to-market</t>
        </is>
      </c>
      <c r="B7" s="5" t="inlineStr">
        <is>
          <t>Minimis</t>
        </is>
      </c>
      <c r="C7" s="6" t="n">
        <v>120000</v>
      </c>
      <c r="D7" s="9" t="n">
        <v>1</v>
      </c>
      <c r="E7" s="6" t="n">
        <v>120000</v>
      </c>
      <c r="F7" s="6" t="n">
        <v>0</v>
      </c>
    </row>
    <row r="8">
      <c r="A8" s="5" t="inlineStr">
        <is>
          <t>4. Informare și publicitate</t>
        </is>
      </c>
      <c r="B8" s="5" t="inlineStr">
        <is>
          <t>Minimis</t>
        </is>
      </c>
      <c r="C8" s="6" t="n">
        <v>30000</v>
      </c>
      <c r="D8" s="9" t="n">
        <v>1</v>
      </c>
      <c r="E8" s="6" t="n">
        <v>30000</v>
      </c>
      <c r="F8" s="6" t="n">
        <v>0</v>
      </c>
    </row>
    <row r="9">
      <c r="A9" s="5" t="inlineStr">
        <is>
          <t>5. Management de proiect</t>
        </is>
      </c>
      <c r="B9" s="5" t="inlineStr">
        <is>
          <t>Minimis</t>
        </is>
      </c>
      <c r="C9" s="6" t="n">
        <v>90000</v>
      </c>
      <c r="D9" s="9" t="n">
        <v>1</v>
      </c>
      <c r="E9" s="6" t="n">
        <v>90000</v>
      </c>
      <c r="F9" s="6" t="n">
        <v>0</v>
      </c>
    </row>
    <row r="10">
      <c r="A10" s="5" t="inlineStr">
        <is>
          <t>6. Audit tehnic</t>
        </is>
      </c>
      <c r="B10" s="5" t="inlineStr">
        <is>
          <t>Minimis</t>
        </is>
      </c>
      <c r="C10" s="6" t="n">
        <v>60000</v>
      </c>
      <c r="D10" s="9" t="n">
        <v>1</v>
      </c>
      <c r="E10" s="6" t="n">
        <v>60000</v>
      </c>
      <c r="F10" s="6" t="n">
        <v>0</v>
      </c>
    </row>
    <row r="11">
      <c r="A11" s="7" t="inlineStr">
        <is>
          <t>TOTAL</t>
        </is>
      </c>
      <c r="C11" s="8">
        <f>SUM(C4:C10)</f>
        <v/>
      </c>
      <c r="E11" s="8">
        <f>SUM(E4:E10)</f>
        <v/>
      </c>
      <c r="F11" s="8">
        <f>SUM(F4:F10)</f>
        <v/>
      </c>
    </row>
    <row r="13">
      <c r="A13" s="10" t="inlineStr">
        <is>
          <t>Notă: echipamente pe ajutor regional la VALOARE INTEGRALĂ (active noi, investiție inițială) → fără risc de amortizare. 2 oferte/echipament (Anexa 7). Fază 2 (surse proprii) ~ universul − eligibil.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2026-07-16T12:19:37Z</dcterms:created>
  <dcterms:modified xmlns:dcterms="http://purl.org/dc/terms/" xmlns:xsi="http://www.w3.org/2001/XMLSchema-instance" xsi:type="dcterms:W3CDTF">2026-07-16T12:19:37Z</dcterms:modified>
</cp:coreProperties>
</file>