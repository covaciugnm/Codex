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talog_100" sheetId="2" state="visible" r:id="rId2"/>
    <sheet xmlns:r="http://schemas.openxmlformats.org/officeDocument/2006/relationships" name="Audit_17" sheetId="3" state="visible" r:id="rId3"/>
    <sheet xmlns:r="http://schemas.openxmlformats.org/officeDocument/2006/relationships" name="Saga_12" sheetId="4" state="visible" r:id="rId4"/>
    <sheet xmlns:r="http://schemas.openxmlformats.org/officeDocument/2006/relationships" name="Editii_300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Capacitate" sheetId="7" state="visible" r:id="rId7"/>
    <sheet xmlns:r="http://schemas.openxmlformats.org/officeDocument/2006/relationships" name="Buget" sheetId="8" state="visible" r:id="rId8"/>
    <sheet xmlns:r="http://schemas.openxmlformats.org/officeDocument/2006/relationships" name="Scenarii" sheetId="9" state="visible" r:id="rId9"/>
    <sheet xmlns:r="http://schemas.openxmlformats.org/officeDocument/2006/relationships" name="KPI" sheetId="10" state="visible" r:id="rId10"/>
    <sheet xmlns:r="http://schemas.openxmlformats.org/officeDocument/2006/relationships" name="Surse" sheetId="11" state="visible" r:id="rId11"/>
  </sheets>
  <definedNames>
    <definedName name="_xlnm.Print_Titles" localSheetId="1">'Catalog_100'!$1:$1</definedName>
    <definedName name="_xlnm.Print_Titles" localSheetId="2">'Audit_17'!$1:$1</definedName>
    <definedName name="_xlnm.Print_Titles" localSheetId="3">'Saga_12'!$1:$1</definedName>
    <definedName name="_xlnm.Print_Titles" localSheetId="4">'Editii_300'!$1:$1</definedName>
    <definedName name="_xlnm.Print_Titles" localSheetId="5">'Calendar'!$1:$1</definedName>
    <definedName name="_xlnm.Print_Titles" localSheetId="6">'Capacitate'!$1:$1</definedName>
    <definedName name="_xlnm.Print_Titles" localSheetId="7">'Buget'!$1:$1</definedName>
    <definedName name="_xlnm.Print_Titles" localSheetId="9">'KPI'!$1:$1</definedName>
    <definedName name="_xlnm.Print_Titles" localSheetId="10">'Surse'!$1:$1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00"/>
    <numFmt numFmtId="167" formatCode="#,##0.0"/>
  </numFmts>
  <fonts count="9">
    <font>
      <name val="Calibri"/>
      <family val="2"/>
      <color theme="1"/>
      <sz val="11"/>
      <scheme val="minor"/>
    </font>
    <font>
      <name val="Calibri"/>
      <color rgb="00202635"/>
      <sz val="11"/>
    </font>
    <font>
      <name val="Calibri"/>
      <b val="1"/>
      <color rgb="00681E35"/>
      <sz val="15"/>
    </font>
    <font>
      <name val="Calibri"/>
      <b val="1"/>
      <color rgb="00FFFFFF"/>
      <sz val="10"/>
    </font>
    <font>
      <name val="Calibri"/>
      <color rgb="00202635"/>
      <sz val="10"/>
    </font>
    <font>
      <name val="Calibri"/>
      <color rgb="001565A7"/>
      <sz val="10"/>
    </font>
    <font>
      <name val="Calibri"/>
      <family val="2"/>
      <color theme="10"/>
      <sz val="12"/>
      <scheme val="minor"/>
    </font>
    <font>
      <name val="Calibri"/>
      <b val="1"/>
      <color rgb="00681E35"/>
    </font>
    <font>
      <name val="Calibri"/>
      <b val="1"/>
      <color rgb="00681E35"/>
      <sz val="14"/>
    </font>
  </fonts>
  <fills count="4">
    <fill>
      <patternFill/>
    </fill>
    <fill>
      <patternFill patternType="gray125"/>
    </fill>
    <fill>
      <patternFill patternType="solid">
        <fgColor rgb="00681E35"/>
      </patternFill>
    </fill>
    <fill>
      <patternFill patternType="solid">
        <fgColor rgb="00EAF3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3" fontId="8" fillId="0" borderId="0" applyAlignment="1" pivotButton="0" quotePrefix="0" xfId="0">
      <alignment vertical="top" wrapText="1"/>
    </xf>
    <xf numFmtId="4" fontId="8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3" fontId="5" fillId="3" borderId="0" applyAlignment="1" pivotButton="0" quotePrefix="0" xfId="0">
      <alignment vertical="top" wrapText="1"/>
    </xf>
    <xf numFmtId="165" fontId="5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pivotButton="0" quotePrefix="0" xfId="1"/>
    <xf numFmtId="165" fontId="4" fillId="0" borderId="0" applyAlignment="1" pivotButton="0" quotePrefix="0" xfId="0">
      <alignment vertical="top" wrapText="1"/>
    </xf>
    <xf numFmtId="166" fontId="5" fillId="3" borderId="0" applyAlignment="1" pivotButton="0" quotePrefix="0" xfId="0">
      <alignment vertical="top" wrapText="1"/>
    </xf>
    <xf numFmtId="167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wrapText="1"/>
    </xf>
    <xf numFmtId="4" fontId="4" fillId="0" borderId="0" applyAlignment="1" pivotButton="0" quotePrefix="0" xfId="0">
      <alignment vertical="top" wrapText="1"/>
    </xf>
    <xf numFmtId="4" fontId="7" fillId="0" borderId="0" pivotButton="0" quotePrefix="0" xfId="0"/>
    <xf numFmtId="9" fontId="5" fillId="3" borderId="0" pivotButton="0" quotePrefix="0" xfId="0"/>
    <xf numFmtId="0" fontId="0" fillId="0" borderId="0" applyAlignment="1" pivotButton="0" quotePrefix="0" xfId="0">
      <alignment vertical="top" wrapText="1"/>
    </xf>
    <xf numFmtId="9" fontId="5" fillId="3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Titluri pe saga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'Saga_12'!E1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'Saga_12'!$B$2:$B$13</f>
            </numRef>
          </cat>
          <val>
            <numRef>
              <f>'Saga_12'!$E$2:$E$13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Saga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Titluri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90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atalog_100" displayName="T_Catalog_100" ref="A1:T101" headerRowCount="1">
  <autoFilter ref="A1:T101"/>
  <tableColumns count="20">
    <tableColumn id="1" name="WorkID"/>
    <tableColumn id="2" name="Colecție"/>
    <tableColumn id="3" name="Saga"/>
    <tableColumn id="4" name="Volum"/>
    <tableColumn id="5" name="Titlu de lucru / existent"/>
    <tableColumn id="6" name="Bază"/>
    <tableColumn id="7" name="Sursă"/>
    <tableColumn id="8" name="Stare inițială"/>
    <tableColumn id="9" name="Țintă cuvinte"/>
    <tableColumn id="10" name="Master EN țintă"/>
    <tableColumn id="11" name="Traduceri țintă"/>
    <tableColumn id="12" name="QA țintă"/>
    <tableColumn id="13" name="Lansare trilingvă țintă"/>
    <tableColumn id="14" name="Lot"/>
    <tableColumn id="15" name="Responsabil"/>
    <tableColumn id="16" name="Gen / format"/>
    <tableColumn id="17" name="Premisă de lucru"/>
    <tableColumn id="18" name="Observații"/>
    <tableColumn id="19" name="Ediții verificate"/>
    <tableColumn id="20" name="Titlu trilingv realizat"/>
  </tableColumns>
  <tableStyleInfo name="TableStyleMedium2" showRowStripes="1"/>
</table>
</file>

<file path=xl/tables/table2.xml><?xml version="1.0" encoding="utf-8"?>
<table xmlns="http://schemas.openxmlformats.org/spreadsheetml/2006/main" id="2" name="T_Audit_17" displayName="T_Audit_17" ref="A1:M18" headerRowCount="1">
  <autoFilter ref="A1:M18"/>
  <tableColumns count="13">
    <tableColumn id="1" name="WorkID"/>
    <tableColumn id="2" name="Colecție"/>
    <tableColumn id="3" name="Saga"/>
    <tableColumn id="4" name="Titlu"/>
    <tableColumn id="5" name="Limbă sursă"/>
    <tableColumn id="6" name="Versiuni"/>
    <tableColumn id="7" name="Cuvinte brute"/>
    <tableColumn id="8" name="Țintă editată"/>
    <tableColumn id="9" name="Stare de audit"/>
    <tableColumn id="10" name="Corecția necesară"/>
    <tableColumn id="11" name="Master candidat — cale"/>
    <tableColumn id="12" name="SHA256 sursă"/>
    <tableColumn id="13" name="Publicare dovedită"/>
  </tableColumns>
  <tableStyleInfo name="TableStyleMedium2" showRowStripes="1"/>
</table>
</file>

<file path=xl/tables/table3.xml><?xml version="1.0" encoding="utf-8"?>
<table xmlns="http://schemas.openxmlformats.org/spreadsheetml/2006/main" id="3" name="T_Saga_12" displayName="T_Saga_12" ref="A1:G13" headerRowCount="1">
  <autoFilter ref="A1:G13"/>
  <tableColumns count="7">
    <tableColumn id="1" name="Colecție"/>
    <tableColumn id="2" name="Saga"/>
    <tableColumn id="3" name="Fond candidat"/>
    <tableColumn id="4" name="Noi"/>
    <tableColumn id="5" name="Total titluri"/>
    <tableColumn id="6" name="Total ediții"/>
    <tableColumn id="7" name="Cuvinte master"/>
  </tableColumns>
  <tableStyleInfo name="TableStyleMedium2" showRowStripes="1"/>
</table>
</file>

<file path=xl/tables/table4.xml><?xml version="1.0" encoding="utf-8"?>
<table xmlns="http://schemas.openxmlformats.org/spreadsheetml/2006/main" id="4" name="T_Editii_300" displayName="T_Editii_300" ref="A1:X301" headerRowCount="1">
  <autoFilter ref="A1:X301"/>
  <tableColumns count="24">
    <tableColumn id="1" name="EditionID"/>
    <tableColumn id="2" name="WorkID"/>
    <tableColumn id="3" name="Colecție"/>
    <tableColumn id="4" name="Saga"/>
    <tableColumn id="5" name="Volum"/>
    <tableColumn id="6" name="Titlu de lucru"/>
    <tableColumn id="7" name="Limbă ediție"/>
    <tableColumn id="8" name="Limbă sursă"/>
    <tableColumn id="9" name="Operațiune"/>
    <tableColumn id="10" name="Stare"/>
    <tableColumn id="11" name="Responsabil"/>
    <tableColumn id="12" name="Cuvinte sursă țintă"/>
    <tableColumn id="13" name="Master blocat țintă"/>
    <tableColumn id="14" name="Traduceri țintă"/>
    <tableColumn id="15" name="QA țintă"/>
    <tableColumn id="16" name="Publicare țintă"/>
    <tableColumn id="17" name="Aprobator editorial"/>
    <tableColumn id="18" name="Data publicării reale"/>
    <tableColumn id="19" name="URL dovadă acces/livrare"/>
    <tableColumn id="20" name="ISBN / ID extern, dacă e cazul"/>
    <tableColumn id="21" name="Checksum master final"/>
    <tableColumn id="22" name="Drepturi"/>
    <tableColumn id="23" name="Observații"/>
    <tableColumn id="24" name="Publicare verificată"/>
  </tableColumns>
  <tableStyleInfo name="TableStyleMedium2" showRowStripes="1"/>
</table>
</file>

<file path=xl/tables/table5.xml><?xml version="1.0" encoding="utf-8"?>
<table xmlns="http://schemas.openxmlformats.org/spreadsheetml/2006/main" id="5" name="T_Calendar" displayName="T_Calendar" ref="A1:H12" headerRowCount="1">
  <autoFilter ref="A1:H12"/>
  <tableColumns count="8">
    <tableColumn id="1" name="Interval"/>
    <tableColumn id="2" name="Livrabil"/>
    <tableColumn id="3" name="Mastere EN cumulative"/>
    <tableColumn id="4" name="Titluri trilingve cumulative"/>
    <tableColumn id="5" name="Deadline"/>
    <tableColumn id="6" name="Realizat — de completat"/>
    <tableColumn id="7" name="Responsabil"/>
    <tableColumn id="8" name="Observații"/>
  </tableColumns>
  <tableStyleInfo name="TableStyleMedium2" showRowStripes="1"/>
</table>
</file>

<file path=xl/tables/table6.xml><?xml version="1.0" encoding="utf-8"?>
<table xmlns="http://schemas.openxmlformats.org/spreadsheetml/2006/main" id="6" name="T_Capacitate" displayName="T_Capacitate" ref="A1:H9" headerRowCount="1">
  <autoFilter ref="A1:H9"/>
  <tableColumns count="8">
    <tableColumn id="1" name="Activitate"/>
    <tableColumn id="2" name="Volum"/>
    <tableColumn id="3" name="Unitate"/>
    <tableColumn id="4" name="Unități acceptate / oră"/>
    <tableColumn id="5" name="Zile productive / persoană"/>
    <tableColumn id="6" name="Ore productive / zi"/>
    <tableColumn id="7" name="Ore necesare"/>
    <tableColumn id="8" name="Echiv. persoane"/>
  </tableColumns>
  <tableStyleInfo name="TableStyleMedium2" showRowStripes="1"/>
</table>
</file>

<file path=xl/tables/table7.xml><?xml version="1.0" encoding="utf-8"?>
<table xmlns="http://schemas.openxmlformats.org/spreadsheetml/2006/main" id="7" name="T_Buget" displayName="T_Buget" ref="A1:I14" headerRowCount="1">
  <autoFilter ref="A1:I14"/>
  <tableColumns count="9">
    <tableColumn id="1" name="Activitate"/>
    <tableColumn id="2" name="Cantitate"/>
    <tableColumn id="3" name="Tarif jos EUR"/>
    <tableColumn id="4" name="Tarif bază EUR"/>
    <tableColumn id="5" name="Tarif ridicat EUR"/>
    <tableColumn id="6" name="Cost jos EUR"/>
    <tableColumn id="7" name="Cost bază EUR"/>
    <tableColumn id="8" name="Cost ridicat EUR"/>
    <tableColumn id="9" name="Observație"/>
  </tableColumns>
  <tableStyleInfo name="TableStyleMedium2" showRowStripes="1"/>
</table>
</file>

<file path=xl/tables/table8.xml><?xml version="1.0" encoding="utf-8"?>
<table xmlns="http://schemas.openxmlformats.org/spreadsheetml/2006/main" id="8" name="T_KPI" displayName="T_KPI" ref="A1:E7" headerRowCount="1">
  <autoFilter ref="A1:E7"/>
  <tableColumns count="5">
    <tableColumn id="1" name="Indicator"/>
    <tableColumn id="2" name="Definiție"/>
    <tableColumn id="3" name="Ipoteză / prag"/>
    <tableColumn id="4" name="Interpretare"/>
    <tableColumn id="5" name="Realizat"/>
  </tableColumns>
  <tableStyleInfo name="TableStyleMedium2" showRowStripes="1"/>
</table>
</file>

<file path=xl/tables/table9.xml><?xml version="1.0" encoding="utf-8"?>
<table xmlns="http://schemas.openxmlformats.org/spreadsheetml/2006/main" id="9" name="T_Surse" displayName="T_Surse" ref="A1:D19" headerRowCount="1">
  <autoFilter ref="A1:D19"/>
  <tableColumns count="4">
    <tableColumn id="1" name="ID"/>
    <tableColumn id="2" name="Sursă"/>
    <tableColumn id="3" name="URL"/>
    <tableColumn id="4" name="Utilizare / limit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D:\00. Downloads\Dracula Book\NOIR SERIES\Umbra Trandafirului Negru Devin.ai\Versiunea 5\MANUSCRIS_COMPLET V5.docx" TargetMode="External" Id="rId1"/><Relationship Type="http://schemas.openxmlformats.org/officeDocument/2006/relationships/hyperlink" Target="D:\00. Downloads\Dracula Book\NOIR SERIES\Marienburg Sigiliul Fecioarei\Versiunea 5\MARIENBURG-SIGILIUL-FECIOAREI-Draft5-Clean.docx" TargetMode="External" Id="rId2"/><Relationship Type="http://schemas.openxmlformats.org/officeDocument/2006/relationships/hyperlink" Target="D:\00. Downloads\Dracula Book\NOIR SERIES\S&#226;nge &#537;i Sare la Sch&#228;&#223;burg\Versiunea 1\CIVITAS_SEX_LEGAMANTUL_DE_SARE.docx" TargetMode="External" Id="rId3"/><Relationship Type="http://schemas.openxmlformats.org/officeDocument/2006/relationships/hyperlink" Target="D:\00. Downloads\Dracula Book\AMORIS SERIES\BENEATH THE SKIN OF THE SEA\Versiunea 1\BENEATH_THE_SKIN_OF_THE_SEA_Complete_Novel.docx" TargetMode="External" Id="rId4"/><Relationship Type="http://schemas.openxmlformats.org/officeDocument/2006/relationships/hyperlink" Target="D:\00. Downloads\Dracula Book\AMORIS SERIES\Shadows in the Port\Versiunea 1\Shadows in the Port V1.docx" TargetMode="External" Id="rId5"/><Relationship Type="http://schemas.openxmlformats.org/officeDocument/2006/relationships/hyperlink" Target="D:\00. Downloads\Dracula Book\AMORIS SERIES\Hotelul din Rue des &#194;mes\Versiunea 2\Hotelul_din_Rue_des_Ames_FINAL_v2.docx" TargetMode="External" Id="rId6"/><Relationship Type="http://schemas.openxmlformats.org/officeDocument/2006/relationships/hyperlink" Target="D:\00. Downloads\Dracula Book\MYTHICA SERIES\Saga Celor Zece Coroane\Cartea 1 The_Northern_Crown\Versiunea 3\Book-1-The-Northern-Crown-EDITED-FINAL.docx" TargetMode="External" Id="rId7"/><Relationship Type="http://schemas.openxmlformats.org/officeDocument/2006/relationships/hyperlink" Target="D:\00. Downloads\Dracula Book\DRACULA AURORA\Book 1\Versiunea 2\AURORA_Book1_DEVIN_FINAL.docx" TargetMode="External" Id="rId8"/><Relationship Type="http://schemas.openxmlformats.org/officeDocument/2006/relationships/hyperlink" Target="D:\00. Downloads\Dracula Book\DRACULA AURORA\Book 2\Versiunea 2\we_meet_at_sunrise_FINAL_LOCAL_LLM.docx" TargetMode="External" Id="rId9"/><Relationship Type="http://schemas.openxmlformats.org/officeDocument/2006/relationships/hyperlink" Target="D:\00. Downloads\Dracula Book\DRACULA AURORA\Book 3\Versiunea 1\Aurora Book3 The Atlas of Tomorrow.docx" TargetMode="External" Id="rId10"/><Relationship Type="http://schemas.openxmlformats.org/officeDocument/2006/relationships/hyperlink" Target="D:\00. Downloads\Dracula Book\DRACULA AURORA\Book 4\Versiunea 1\BetweenTwoAddresses_Complete.docx" TargetMode="External" Id="rId11"/><Relationship Type="http://schemas.openxmlformats.org/officeDocument/2006/relationships/hyperlink" Target="D:\00. Downloads\Dracula Book\DRACULA AURORA\Book 5\Versiunea 1\DAWN_OF_COURAGE_COMPLETE_20251014_110553.docx" TargetMode="External" Id="rId12"/><Relationship Type="http://schemas.openxmlformats.org/officeDocument/2006/relationships/hyperlink" Target="D:\00. Downloads\Dracula Book\DRACULA AURORA\Book 6\Versiunea 1\AURORA_VERDE_Complete_Novel.docx" TargetMode="External" Id="rId13"/><Relationship Type="http://schemas.openxmlformats.org/officeDocument/2006/relationships/hyperlink" Target="D:\00. Downloads\Dracula Book\DRACULA AURORA\Book 7\Versiunea 1\WE_AFTER_THE_FEED_Book7_Complete.docx" TargetMode="External" Id="rId14"/><Relationship Type="http://schemas.openxmlformats.org/officeDocument/2006/relationships/hyperlink" Target="D:\00. Downloads\Dracula Book\DRACULA AURORA\Book 8\Versiunea 1\AuroraAdmit_Book8_Complete_Manuscript.docx" TargetMode="External" Id="rId15"/><Relationship Type="http://schemas.openxmlformats.org/officeDocument/2006/relationships/hyperlink" Target="D:\00. Downloads\Dracula Book\DRACULA AURORA\Book 9\Versiunea 1\AURORA_SIGNAL_Complete_Manuscript.docx" TargetMode="External" Id="rId16"/><Relationship Type="http://schemas.openxmlformats.org/officeDocument/2006/relationships/hyperlink" Target="D:\00. Downloads\Dracula Book\DRACULA AURORA\Book 10\Versiunea 1\Aurora_Compass_Complete_Novel.docx" TargetMode="External" Id="rId17"/><Relationship Type="http://schemas.openxmlformats.org/officeDocument/2006/relationships/table" Target="/xl/tables/table2.xml" Id="rId18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publishers.org/news/aap-statshot-annual-report-publishing-revenues-totaled-33-4-billion-for-calendar-year-2025/" TargetMode="External" Id="rId1"/><Relationship Type="http://schemas.openxmlformats.org/officeDocument/2006/relationships/hyperlink" Target="https://www.boersenverein.de/presse/pressemitteilungen/detailseite/lesekompetenz-sinkt-handlungsbedarf-waechst-junge-menschen-kaufen-weniger-buecher/" TargetMode="External" Id="rId2"/><Relationship Type="http://schemas.openxmlformats.org/officeDocument/2006/relationships/hyperlink" Target="https://www.circana.com/post/another-year-of-romance-with-a-dark-twist-circana-bookscan-reports" TargetMode="External" Id="rId3"/><Relationship Type="http://schemas.openxmlformats.org/officeDocument/2006/relationships/hyperlink" Target="https://www.publishers.org.uk/publications/publishing-in-2025/" TargetMode="External" Id="rId4"/><Relationship Type="http://schemas.openxmlformats.org/officeDocument/2006/relationships/hyperlink" Target="https://www.forbes.ro/exclusiv-top-101-edituri-din-romania-cu-bilanturile-financiare-in-anul-2025-508709" TargetMode="External" Id="rId5"/><Relationship Type="http://schemas.openxmlformats.org/officeDocument/2006/relationships/hyperlink" Target="https://ec.europa.eu/eurostat/web/products-eurostat-news/w/ddn-20240809-2" TargetMode="External" Id="rId6"/><Relationship Type="http://schemas.openxmlformats.org/officeDocument/2006/relationships/hyperlink" Target="https://www.freidamcfadden.com/books/the-housemaid-series/" TargetMode="External" Id="rId7"/><Relationship Type="http://schemas.openxmlformats.org/officeDocument/2006/relationships/hyperlink" Target="https://www.penguinrandomhouse.com/books/704945/funny-story-by-emily-henry/" TargetMode="External" Id="rId8"/><Relationship Type="http://schemas.openxmlformats.org/officeDocument/2006/relationships/hyperlink" Target="https://www.panmacmillan.com/series/crowns-of-nyaxia/panmac84652" TargetMode="External" Id="rId9"/><Relationship Type="http://schemas.openxmlformats.org/officeDocument/2006/relationships/hyperlink" Target="https://kdp.amazon.com/en_US/help/topic/G200672390" TargetMode="External" Id="rId10"/><Relationship Type="http://schemas.openxmlformats.org/officeDocument/2006/relationships/hyperlink" Target="https://kdp.amazon.com/en_US/help/topic/G202172740" TargetMode="External" Id="rId11"/><Relationship Type="http://schemas.openxmlformats.org/officeDocument/2006/relationships/hyperlink" Target="https://draft2digital.com/content-guidelines/" TargetMode="External" Id="rId12"/><Relationship Type="http://schemas.openxmlformats.org/officeDocument/2006/relationships/hyperlink" Target="https://kdp.amazon.com/en_US/help/topic/G200673300" TargetMode="External" Id="rId13"/><Relationship Type="http://schemas.openxmlformats.org/officeDocument/2006/relationships/hyperlink" Target="https://www.gesetze-im-internet.de/buchprg/__3.html" TargetMode="External" Id="rId14"/><Relationship Type="http://schemas.openxmlformats.org/officeDocument/2006/relationships/hyperlink" Target="https://kdp.amazon.com/en_US/help/topic/G200798990" TargetMode="External" Id="rId15"/><Relationship Type="http://schemas.openxmlformats.org/officeDocument/2006/relationships/hyperlink" Target="https://bibnat.ro/centrul-national-isbn-issn-ismn-cip/" TargetMode="External" Id="rId16"/><Relationship Type="http://schemas.openxmlformats.org/officeDocument/2006/relationships/hyperlink" Target="https://partnernet.amazon.de/promotion/kindleunlimited" TargetMode="External" Id="rId17"/><Relationship Type="http://schemas.openxmlformats.org/officeDocument/2006/relationships/hyperlink" Target="https://support.skoobe.de/hc/de/articles/360015307380-Wie-viel-kostet-ein-Skoobe-Abo" TargetMode="External" Id="rId18"/><Relationship Type="http://schemas.openxmlformats.org/officeDocument/2006/relationships/table" Target="/xl/tables/table9.xml" Id="rId19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25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3" customWidth="1" min="1" max="1"/>
    <ns0:col width="24" customWidth="1" min="2" max="2"/>
    <ns0:col width="82" customWidth="1" min="3" max="3"/>
  </ns0:cols>
  <ns0:sheetData>
    <ns0:row r="1">
      <ns0:c r="A1" s="1" t="inlineStr">
        <ns0:is>
          <ns0:t>DRACULA BOOK — 100 TITLURI / 300 EDIȚII</ns0:t>
        </ns0:is>
      </ns0:c>
      <ns0:c r="B1" s="2" t="n"/>
      <ns0:c r="C1" s="2" t="n"/>
    </ns0:row>
    <ns0:row r="2" ht="32" customHeight="1">
      <ns0:c r="A2" s="2" t="inlineStr">
        <ns0:is>
          <ns0:t>Actualizat la</ns0:t>
        </ns0:is>
      </ns0:c>
      <ns0:c r="B2" s="3" t="n">
        <ns0:v>46288</ns0:v>
      </ns0:c>
      <ns0:c r="C2" s="2" t="inlineStr">
        <ns0:is>
          <ns0:t>Plan condiționat de capacitate și buget; nu dovadă de publicare.</ns0:t>
        </ns0:is>
      </ns0:c>
    </ns0:row>
    <ns0:row r="3" ht="32" customHeight="1">
      <ns0:c r="A3" s="2" t="inlineStr">
        <ns0:is>
          <ns0:t>Titluri distincte planificate</ns0:t>
        </ns0:is>
      </ns0:c>
      <ns0:c r="B3" s="4">
        <ns0:f>COUNTA(Catalog_100!A2:A101)</ns0:f>
        <ns0:v>100</ns0:v>
      </ns0:c>
      <ns0:c r="C3" s="2" t="inlineStr">
        <ns0:is>
          <ns0:t>17 proiecte existente + 83 concepte noi.</ns0:t>
        </ns0:is>
      </ns0:c>
    </ns0:row>
    <ns0:row r="4" ht="32" customHeight="1">
      <ns0:c r="A4" s="2" t="inlineStr">
        <ns0:is>
          <ns0:t>Manuscrise candidate existente</ns0:t>
        </ns0:is>
      </ns0:c>
      <ns0:c r="B4" s="4">
        <ns0:f>COUNTIF(Catalog_100!F2:F101,"Fond")</ns0:f>
        <ns0:v>17</ns0:v>
      </ns0:c>
      <ns0:c r="C4" s="2" t="inlineStr">
        <ns0:is>
          <ns0:t>14 EN + 3 RO; Signal incomplet.</ns0:t>
        </ns0:is>
      </ns0:c>
    </ns0:row>
    <ns0:row r="5" ht="32" customHeight="1">
      <ns0:c r="A5" s="2" t="inlineStr">
        <ns0:is>
          <ns0:t>Titluri noi de scris</ns0:t>
        </ns0:is>
      </ns0:c>
      <ns0:c r="B5" s="4">
        <ns0:f>COUNTIF(Catalog_100!F2:F101,"Nou")</ns0:f>
        <ns0:v>83</ns0:v>
      </ns0:c>
      <ns0:c r="C5" s="2" t="inlineStr">
        <ns0:is>
          <ns0:t>Titlurile și premisele sunt propuse, nu manuscrise finalizate.</ns0:t>
        </ns0:is>
      </ns0:c>
    </ns0:row>
    <ns0:row r="6" ht="32" customHeight="1">
      <ns0:c r="A6" s="2" t="inlineStr">
        <ns0:is>
          <ns0:t>Ediții lingvistice planificate</ns0:t>
        </ns0:is>
      </ns0:c>
      <ns0:c r="B6" s="4">
        <ns0:f>COUNTA(Editii_300!A2:A301)</ns0:f>
        <ns0:v>300</ns0:v>
      </ns0:c>
      <ns0:c r="C6" s="2" t="inlineStr">
        <ns0:is>
          <ns0:t>100 EN + 100 RO + 100 DE.</ns0:t>
        </ns0:is>
      </ns0:c>
    </ns0:row>
    <ns0:row r="7" ht="32" customHeight="1">
      <ns0:c r="A7" s="2" t="inlineStr">
        <ns0:is>
          <ns0:t>Ediții publicate cu dovezi complete</ns0:t>
        </ns0:is>
      </ns0:c>
      <ns0:c r="B7" s="4">
        <ns0:f>SUM(Editii_300!X2:X301)</ns0:f>
        <ns0:v>0</ns0:v>
      </ns0:c>
      <ns0:c r="C7" s="2" t="inlineStr">
        <ns0:is>
          <ns0:t>Stare Publicat + aprobator + dată + URL + checksum + drepturi confirmate.</ns0:t>
        </ns0:is>
      </ns0:c>
    </ns0:row>
    <ns0:row r="8" ht="32" customHeight="1">
      <ns0:c r="A8" s="2" t="inlineStr">
        <ns0:is>
          <ns0:t>Titluri încheiate în toate 3 limbile</ns0:t>
        </ns0:is>
      </ns0:c>
      <ns0:c r="B8" s="4">
        <ns0:f>SUM(Catalog_100!T2:T101)</ns0:f>
        <ns0:v>0</ns0:v>
      </ns0:c>
      <ns0:c r="C8" s="2" t="inlineStr">
        <ns0:is>
          <ns0:t>Niciun titlu nu este marcat final doar pentru existența unui fișier.</ns0:t>
        </ns0:is>
      </ns0:c>
    </ns0:row>
    <ns0:row r="9" ht="32" customHeight="1">
      <ns0:c r="A9" s="2" t="inlineStr">
        <ns0:is>
          <ns0:t>Cuvinte master planificate</ns0:t>
        </ns0:is>
      </ns0:c>
      <ns0:c r="B9" s="4">
        <ns0:f>SUM(Catalog_100!I2:I101)</ns0:f>
        <ns0:v>5419000</ns0:v>
      </ns0:c>
      <ns0:c r="C9" s="2" t="inlineStr">
        <ns0:is>
          <ns0:t>Lungimi de lucru; nu cuvinte deja aprobate.</ns0:t>
        </ns0:is>
      </ns0:c>
    </ns0:row>
    <ns0:row r="10" ht="32" customHeight="1">
      <ns0:c r="A10" s="2" t="inlineStr">
        <ns0:is>
          <ns0:t>Echivalent cuvinte de tradus</ns0:t>
        </ns0:is>
      </ns0:c>
      <ns0:c r="B10" s="4">
        <ns0:f>B9*2</ns0:f>
        <ns0:v>10838000</ns0:v>
      </ns0:c>
      <ns0:c r="C10" s="2" t="inlineStr">
        <ns0:is>
          <ns0:t>200 operațiuni; 3 RO→EN, 97 EN→RO, 100 spre DE.</ns0:t>
        </ns0:is>
      </ns0:c>
    </ns0:row>
    <ns0:row r="11" ht="32" customHeight="1">
      <ns0:c r="A11" s="2" t="inlineStr">
        <ns0:is>
          <ns0:t>Buget bază cu rezervă EUR</ns0:t>
        </ns0:is>
      </ns0:c>
      <ns0:c r="B11" s="5">
        <ns0:f>Buget!G18</ns0:f>
        <ns0:v>1532203.2</ns0:v>
      </ns0:c>
      <ns0:c r="C11" s="2" t="inlineStr">
        <ns0:is>
          <ns0:t>Ipoteze de externalizare, nu ofertă; exclude taxele aplicabile.</ns0:t>
        </ns0:is>
      </ns0:c>
    </ns0:row>
    <ns0:row r="12" ht="32" customHeight="1">
      <ns0:c r="A12" s="2" t="inlineStr">
        <ns0:is>
          <ns0:t>Necesar echivalent execuție</ns0:t>
        </ns0:is>
      </ns0:c>
      <ns0:c r="B12" s="4">
        <ns0:f>Capacitate!H11</ns0:f>
        <ns0:v>203</ns0:v>
      </ns0:c>
      <ns0:c r="C12" s="2" t="inlineStr">
        <ns0:is>
          <ns0:t>Adăugați coordonare/design; nu este personal existent.</ns0:t>
        </ns0:is>
      </ns0:c>
    </ns0:row>
    <ns0:row r="13" ht="32" customHeight="1">
      <ns0:c r="A13" s="2" t="n"/>
      <ns0:c r="B13" s="2" t="n"/>
      <ns0:c r="C13" s="2" t="n"/>
    </ns0:row>
    <ns0:row r="14" ht="32" customHeight="1">
      <ns0:c r="A14" s="1" t="inlineStr">
        <ns0:is>
          <ns0:t>CUM SE FOLOSEȘTE</ns0:t>
        </ns0:is>
      </ns0:c>
      <ns0:c r="B14" s="2" t="n"/>
      <ns0:c r="C14" s="2" t="n"/>
    </ns0:row>
    <ns0:row r="15" ht="32" customHeight="1">
      <ns0:c r="A15" s="2" t="inlineStr">
        <ns0:is>
          <ns0:t>1. Audit_17</ns0:t>
        </ns0:is>
      </ns0:c>
      <ns0:c r="B15" s="2" t="inlineStr">
        <ns0:is>
          <ns0:t>Verificare</ns0:t>
        </ns0:is>
      </ns0:c>
      <ns0:c r="C15" s="2" t="inlineStr">
        <ns0:is>
          <ns0:t>Confirmați masterul, autorul, titlul, limba, drepturile și distinctivitatea.</ns0:t>
        </ns0:is>
      </ns0:c>
    </ns0:row>
    <ns0:row r="16" ht="32" customHeight="1">
      <ns0:c r="A16" s="2" t="inlineStr">
        <ns0:is>
          <ns0:t>2. Catalog_100</ns0:t>
        </ns0:is>
      </ns0:c>
      <ns0:c r="B16" s="2" t="inlineStr">
        <ns0:is>
          <ns0:t>Plan editorial</ns0:t>
        </ns0:is>
      </ns0:c>
      <ns0:c r="C16" s="2" t="inlineStr">
        <ns0:is>
          <ns0:t>Desemnați autor/editor; detaliați fiecare premisă într-un brief de 2–4 pagini.</ns0:t>
        </ns0:is>
      </ns0:c>
    </ns0:row>
    <ns0:row r="17" ht="32" customHeight="1">
      <ns0:c r="A17" s="2" t="inlineStr">
        <ns0:is>
          <ns0:t>3. Editii_300</ns0:t>
        </ns0:is>
      </ns0:c>
      <ns0:c r="B17" s="2" t="inlineStr">
        <ns0:is>
          <ns0:t>Progres real</ns0:t>
        </ns0:is>
      </ns0:c>
      <ns0:c r="C17" s="2" t="inlineStr">
        <ns0:is>
          <ns0:t>Actualizați starea și aprobările. Publicat fără probe nu crește indicatorul verificat.</ns0:t>
        </ns0:is>
      </ns0:c>
    </ns0:row>
    <ns0:row r="18" ht="32" customHeight="1">
      <ns0:c r="A18" s="2" t="inlineStr">
        <ns0:is>
          <ns0:t>4. Capacitate / Buget</ns0:t>
        </ns0:is>
      </ns0:c>
      <ns0:c r="B18" s="2" t="inlineStr">
        <ns0:is>
          <ns0:t>Ipoteze editabile</ns0:t>
        </ns0:is>
      </ns0:c>
      <ns0:c r="C18" s="2" t="inlineStr">
        <ns0:is>
          <ns0:t>Celulele albastre sunt ipoteze; înlocuiți cu timpi și oferte măsurate.</ns0:t>
        </ns0:is>
      </ns0:c>
    </ns0:row>
    <ns0:row r="19" ht="32" customHeight="1">
      <ns0:c r="A19" s="2" t="inlineStr">
        <ns0:is>
          <ns0:t>5. Scenarii</ns0:t>
        </ns0:is>
      </ns0:c>
      <ns0:c r="B19" s="2" t="inlineStr">
        <ns0:is>
          <ns0:t>Nu prognoze</ns0:t>
        </ns0:is>
      </ns0:c>
      <ns0:c r="C19" s="2" t="inlineStr">
        <ns0:is>
          <ns0:t>Modelul de abonament este context comercial, nu modificare a site-ului.</ns0:t>
        </ns0:is>
      </ns0:c>
    </ns0:row>
    <ns0:row r="20" ht="32" customHeight="1">
      <ns0:c r="A20" s="2" t="inlineStr">
        <ns0:is>
          <ns0:t>6. Surse</ns0:t>
        </ns0:is>
      </ns0:c>
      <ns0:c r="B20" s="2" t="inlineStr">
        <ns0:is>
          <ns0:t>Trasabilitate</ns0:t>
        </ns0:is>
      </ns0:c>
      <ns0:c r="C20" s="2" t="inlineStr">
        <ns0:is>
          <ns0:t>Anii datelor diferă; nu adunați piețe cu metodologii diferite.</ns0:t>
        </ns0:is>
      </ns0:c>
    </ns0:row>
    <ns0:row r="21" ht="32" customHeight="1">
      <ns0:c r="A21" s="2" t="inlineStr">
        <ns0:is>
          <ns0:t>7. Calendar</ns0:t>
        </ns0:is>
      </ns0:c>
      <ns0:c r="B21" s="2" t="inlineStr">
        <ns0:is>
          <ns0:t>Scenariu accelerat</ns0:t>
        </ns0:is>
      </ns0:c>
      <ns0:c r="C21" s="2" t="inlineStr">
        <ns0:is>
          <ns0:t>Comparați săptămânal țintele cu realizatul; nu schimbați starea pentru a bifa data.</ns0:t>
        </ns0:is>
      </ns0:c>
    </ns0:row>
    <ns0:row r="22" ht="32" customHeight="1">
      <ns0:c r="A22" s="2" t="n"/>
      <ns0:c r="B22" s="2" t="n"/>
      <ns0:c r="C22" s="2" t="n"/>
    </ns0:row>
    <ns0:row r="23" ht="32" customHeight="1">
      <ns0:c r="A23" s="2" t="inlineStr">
        <ns0:is>
          <ns0:t>LIMITĂ DE AUDIT</ns0:t>
        </ns0:is>
      </ns0:c>
      <ns0:c r="B23" s="2" t="inlineStr">
        <ns0:is>
          <ns0:t>Important</ns0:t>
        </ns0:is>
      </ns0:c>
      <ns0:c r="C23" s="2" t="inlineStr">
        <ns0:is>
          <ns0:t>Inventar și structură plus eșantioane, nu lectură literară integrală a 17 manuscrise.</ns0:t>
        </ns0:is>
      </ns0:c>
    </ns0:row>
    <ns0:row r="24" ht="32" customHeight="1">
      <ns0:c r="A24" s="2" t="inlineStr">
        <ns0:is>
          <ns0:t>FIȘIERE ORIGINALE</ns0:t>
        </ns0:is>
      </ns0:c>
      <ns0:c r="B24" s="2" t="inlineStr">
        <ns0:is>
          <ns0:t>Nemodificate</ns0:t>
        </ns0:is>
      </ns0:c>
      <ns0:c r="C24" s="2" t="inlineStr">
        <ns0:is>
          <ns0:t>Acest registru nu mută și nu rescrie cărțile și nu modifică site-ul.</ns0:t>
        </ns0:is>
      </ns0:c>
    </ns0:row>
    <ns0:row r="25" ht="32" customHeight="1">
      <ns0:c r="A25" s="2" t="inlineStr">
        <ns0:is>
          <ns0:t>INFORMAȚII LIPSĂ</ns0:t>
        </ns0:is>
      </ns0:c>
      <ns0:c r="B25" s="2" t="inlineStr">
        <ns0:is>
          <ns0:t>De furnizat</ns0:t>
        </ns0:is>
      </ns0:c>
      <ns0:c r="C25" s="2" t="inlineStr">
        <ns0:is>
          <ns0:t>Buget aprobat, echipă disponibilă, vânzări actuale, dovezi ISBN/ASIN/linkuri și drepturi.</ns0:t>
        </ns0:is>
      </ns0:c>
    </ns0:row>
  </ns0:sheetData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T101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3" customWidth="1" min="1" max="1"/>
    <ns0:col width="14" customWidth="1" min="2" max="2"/>
    <ns0:col width="30" customWidth="1" min="3" max="3"/>
    <ns0:col width="8" customWidth="1" min="4" max="4"/>
    <ns0:col width="38" customWidth="1" min="5" max="5"/>
    <ns0:col width="10" customWidth="1" min="6" max="6"/>
    <ns0:col width="10" customWidth="1" min="7" max="7"/>
    <ns0:col width="32" customWidth="1" min="8" max="8"/>
    <ns0:col width="15" customWidth="1" min="9" max="9"/>
    <ns0:col width="17" customWidth="1" min="10" max="10"/>
    <ns0:col width="17" customWidth="1" min="11" max="11"/>
    <ns0:col width="17" customWidth="1" min="12" max="12"/>
    <ns0:col width="21" customWidth="1" min="13" max="13"/>
    <ns0:col width="18" customWidth="1" min="14" max="14"/>
    <ns0:col width="28" customWidth="1" min="15" max="15"/>
    <ns0:col width="30" customWidth="1" min="16" max="16"/>
    <ns0:col width="70" customWidth="1" min="17" max="17"/>
    <ns0:col width="70" customWidth="1" min="18" max="18"/>
    <ns0:col width="16" customWidth="1" min="19" max="19"/>
    <ns0:col width="20" customWidth="1" min="20" max="20"/>
  </ns0:cols>
  <ns0:sheetData>
    <ns0:row r="1" ht="36" customHeight="1">
      <ns0:c r="A1" s="6" t="inlineStr">
        <ns0:is>
          <ns0:t>WorkID</ns0:t>
        </ns0:is>
      </ns0:c>
      <ns0:c r="B1" s="6" t="inlineStr">
        <ns0:is>
          <ns0:t>Colecție</ns0:t>
        </ns0:is>
      </ns0:c>
      <ns0:c r="C1" s="6" t="inlineStr">
        <ns0:is>
          <ns0:t>Saga</ns0:t>
        </ns0:is>
      </ns0:c>
      <ns0:c r="D1" s="6" t="inlineStr">
        <ns0:is>
          <ns0:t>Volum</ns0:t>
        </ns0:is>
      </ns0:c>
      <ns0:c r="E1" s="6" t="inlineStr">
        <ns0:is>
          <ns0:t>Titlu de lucru / existent</ns0:t>
        </ns0:is>
      </ns0:c>
      <ns0:c r="F1" s="6" t="inlineStr">
        <ns0:is>
          <ns0:t>Bază</ns0:t>
        </ns0:is>
      </ns0:c>
      <ns0:c r="G1" s="6" t="inlineStr">
        <ns0:is>
          <ns0:t>Sursă</ns0:t>
        </ns0:is>
      </ns0:c>
      <ns0:c r="H1" s="6" t="inlineStr">
        <ns0:is>
          <ns0:t>Stare inițială</ns0:t>
        </ns0:is>
      </ns0:c>
      <ns0:c r="I1" s="6" t="inlineStr">
        <ns0:is>
          <ns0:t>Țintă cuvinte</ns0:t>
        </ns0:is>
      </ns0:c>
      <ns0:c r="J1" s="6" t="inlineStr">
        <ns0:is>
          <ns0:t>Master EN țintă</ns0:t>
        </ns0:is>
      </ns0:c>
      <ns0:c r="K1" s="6" t="inlineStr">
        <ns0:is>
          <ns0:t>Traduceri țintă</ns0:t>
        </ns0:is>
      </ns0:c>
      <ns0:c r="L1" s="6" t="inlineStr">
        <ns0:is>
          <ns0:t>QA țintă</ns0:t>
        </ns0:is>
      </ns0:c>
      <ns0:c r="M1" s="6" t="inlineStr">
        <ns0:is>
          <ns0:t>Lansare trilingvă țintă</ns0:t>
        </ns0:is>
      </ns0:c>
      <ns0:c r="N1" s="6" t="inlineStr">
        <ns0:is>
          <ns0:t>Lot</ns0:t>
        </ns0:is>
      </ns0:c>
      <ns0:c r="O1" s="6" t="inlineStr">
        <ns0:is>
          <ns0:t>Responsabil</ns0:t>
        </ns0:is>
      </ns0:c>
      <ns0:c r="P1" s="6" t="inlineStr">
        <ns0:is>
          <ns0:t>Gen / format</ns0:t>
        </ns0:is>
      </ns0:c>
      <ns0:c r="Q1" s="6" t="inlineStr">
        <ns0:is>
          <ns0:t>Premisă de lucru</ns0:t>
        </ns0:is>
      </ns0:c>
      <ns0:c r="R1" s="6" t="inlineStr">
        <ns0:is>
          <ns0:t>Observații</ns0:t>
        </ns0:is>
      </ns0:c>
      <ns0:c r="S1" s="6" t="inlineStr">
        <ns0:is>
          <ns0:t>Ediții verificate</ns0:t>
        </ns0:is>
      </ns0:c>
      <ns0:c r="T1" s="6" t="inlineStr">
        <ns0:is>
          <ns0:t>Titlu trilingv realizat</ns0:t>
        </ns0:is>
      </ns0:c>
    </ns0:row>
    <ns0:row r="2" ht="65" customHeight="1">
      <ns0:c r="A2" s="7" t="inlineStr">
        <ns0:is>
          <ns0:t>DB-001</ns0:t>
        </ns0:is>
      </ns0:c>
      <ns0:c r="B2" s="7" t="inlineStr">
        <ns0:is>
          <ns0:t>NOIR</ns0:t>
        </ns0:is>
      </ns0:c>
      <ns0:c r="C2" s="7" t="inlineStr">
        <ns0:is>
          <ns0:t>Cronicile Transilvaniei</ns0:t>
        </ns0:is>
      </ns0:c>
      <ns0:c r="D2" s="8" t="n">
        <ns0:v>1</ns0:v>
      </ns0:c>
      <ns0:c r="E2" s="7" t="inlineStr">
        <ns0:is>
          <ns0:t>Umbra Trandafirului Negru</ns0:t>
        </ns0:is>
      </ns0:c>
      <ns0:c r="F2" s="7" t="inlineStr">
        <ns0:is>
          <ns0:t>Fond</ns0:t>
        </ns0:is>
      </ns0:c>
      <ns0:c r="G2" s="7" t="inlineStr">
        <ns0:is>
          <ns0:t>RO</ns0:t>
        </ns0:is>
      </ns0:c>
      <ns0:c r="H2" s="7" t="inlineStr">
        <ns0:is>
          <ns0:t>Manuscris candidat — nevalidat editorial</ns0:t>
        </ns0:is>
      </ns0:c>
      <ns0:c r="I2" s="9" t="n">
        <ns0:v>60000</ns0:v>
      </ns0:c>
      <ns0:c r="J2" s="10" t="n">
        <ns0:v>46298</ns0:v>
      </ns0:c>
      <ns0:c r="K2" s="10" t="n">
        <ns0:v>46301</ns0:v>
      </ns0:c>
      <ns0:c r="L2" s="10" t="n">
        <ns0:v>46303</ns0:v>
      </ns0:c>
      <ns0:c r="M2" s="10" t="n">
        <ns0:v>46305</ns0:v>
      </ns0:c>
      <ns0:c r="N2" s="7" t="inlineStr">
        <ns0:is>
          <ns0:t>PILOT</ns0:t>
        </ns0:is>
      </ns0:c>
      <ns0:c r="O2" s="11" t="inlineStr">
        <ns0:is>
          <ns0:t>De contractat / desemnat</ns0:t>
        </ns0:is>
      </ns0:c>
      <ns0:c r="P2" s="7" t="inlineStr">
        <ns0:is>
          <ns0:t>Roman istoric-gotic</ns0:t>
        </ns0:is>
      </ns0:c>
      <ns0:c r="Q2" s="7" t="inlineStr">
        <ns0:is>
          <ns0:t>Vlad, Bran și o conspirație; de stabilit cronologia istoric-fantastică.</ns0:t>
        </ns0:is>
      </ns0:c>
      <ns0:c r="R2" s="7" t="inlineStr">
        <ns0:is>
          <ns0:t>Materiale de lucru și profiluri înaintea romanului; cronologie de corelat cu site-ul.</ns0:t>
        </ns0:is>
      </ns0:c>
      <ns0:c r="S2" s="7">
        <ns0:f>COUNTIFS(Editii_300!$B$2:$B$301,A2,Editii_300!$X$2:$X$301,1)</ns0:f>
        <ns0:v>0</ns0:v>
      </ns0:c>
      <ns0:c r="T2" s="7">
        <ns0:f>IF(S2=3,1,0)</ns0:f>
        <ns0:v>0</ns0:v>
      </ns0:c>
    </ns0:row>
    <ns0:row r="3" ht="65" customHeight="1">
      <ns0:c r="A3" s="7" t="inlineStr">
        <ns0:is>
          <ns0:t>DB-002</ns0:t>
        </ns0:is>
      </ns0:c>
      <ns0:c r="B3" s="7" t="inlineStr">
        <ns0:is>
          <ns0:t>NOIR</ns0:t>
        </ns0:is>
      </ns0:c>
      <ns0:c r="C3" s="7" t="inlineStr">
        <ns0:is>
          <ns0:t>Cronicile Transilvaniei</ns0:t>
        </ns0:is>
      </ns0:c>
      <ns0:c r="D3" s="8" t="n">
        <ns0:v>2</ns0:v>
      </ns0:c>
      <ns0:c r="E3" s="7" t="inlineStr">
        <ns0:is>
          <ns0:t>Marienburg: Sigiliul Fecioarei</ns0:t>
        </ns0:is>
      </ns0:c>
      <ns0:c r="F3" s="7" t="inlineStr">
        <ns0:is>
          <ns0:t>Fond</ns0:t>
        </ns0:is>
      </ns0:c>
      <ns0:c r="G3" s="7" t="inlineStr">
        <ns0:is>
          <ns0:t>RO</ns0:t>
        </ns0:is>
      </ns0:c>
      <ns0:c r="H3" s="7" t="inlineStr">
        <ns0:is>
          <ns0:t>Manuscris candidat — nevalidat editorial</ns0:t>
        </ns0:is>
      </ns0:c>
      <ns0:c r="I3" s="9" t="n">
        <ns0:v>70000</ns0:v>
      </ns0:c>
      <ns0:c r="J3" s="10" t="n">
        <ns0:v>46305</ns0:v>
      </ns0:c>
      <ns0:c r="K3" s="10" t="n">
        <ns0:v>46315</ns0:v>
      </ns0:c>
      <ns0:c r="L3" s="10" t="n">
        <ns0:v>46317</ns0:v>
      </ns0:c>
      <ns0:c r="M3" s="10" t="n">
        <ns0:v>46319</ns0:v>
      </ns0:c>
      <ns0:c r="N3" s="7" t="inlineStr">
        <ns0:is>
          <ns0:t>FOND EXISTENT</ns0:t>
        </ns0:is>
      </ns0:c>
      <ns0:c r="O3" s="11" t="inlineStr">
        <ns0:is>
          <ns0:t>De contractat / desemnat</ns0:t>
        </ns0:is>
      </ns0:c>
      <ns0:c r="P3" s="7" t="inlineStr">
        <ns0:is>
          <ns0:t>Roman istoric-gotic</ns0:t>
        </ns0:is>
      </ns0:c>
      <ns0:c r="Q3" s="7" t="inlineStr">
        <ns0:is>
          <ns0:t>Anchetă la Feldioara; legătura dintre două epoci.</ns0:t>
        </ns0:is>
      </ns0:c>
      <ns0:c r="R3" s="7" t="inlineStr">
        <ns0:is>
          <ns0:t>Circa 76,8k cuvinte brute, nu 85–95k confirmate; marcaje și epoci de verificat.</ns0:t>
        </ns0:is>
      </ns0:c>
      <ns0:c r="S3" s="7">
        <ns0:f>COUNTIFS(Editii_300!$B$2:$B$301,A3,Editii_300!$X$2:$X$301,1)</ns0:f>
        <ns0:v>0</ns0:v>
      </ns0:c>
      <ns0:c r="T3" s="7">
        <ns0:f>IF(S3=3,1,0)</ns0:f>
        <ns0:v>0</ns0:v>
      </ns0:c>
    </ns0:row>
    <ns0:row r="4" ht="65" customHeight="1">
      <ns0:c r="A4" s="7" t="inlineStr">
        <ns0:is>
          <ns0:t>DB-003</ns0:t>
        </ns0:is>
      </ns0:c>
      <ns0:c r="B4" s="7" t="inlineStr">
        <ns0:is>
          <ns0:t>NOIR</ns0:t>
        </ns0:is>
      </ns0:c>
      <ns0:c r="C4" s="7" t="inlineStr">
        <ns0:is>
          <ns0:t>Cronicile Transilvaniei</ns0:t>
        </ns0:is>
      </ns0:c>
      <ns0:c r="D4" s="8" t="n">
        <ns0:v>3</ns0:v>
      </ns0:c>
      <ns0:c r="E4" s="7" t="inlineStr">
        <ns0:is>
          <ns0:t>Sânge și Sare la Schäßburg</ns0:t>
        </ns0:is>
      </ns0:c>
      <ns0:c r="F4" s="7" t="inlineStr">
        <ns0:is>
          <ns0:t>Fond</ns0:t>
        </ns0:is>
      </ns0:c>
      <ns0:c r="G4" s="7" t="inlineStr">
        <ns0:is>
          <ns0:t>RO</ns0:t>
        </ns0:is>
      </ns0:c>
      <ns0:c r="H4" s="7" t="inlineStr">
        <ns0:is>
          <ns0:t>Manuscris candidat — nevalidat editorial</ns0:t>
        </ns0:is>
      </ns0:c>
      <ns0:c r="I4" s="9" t="n">
        <ns0:v>80000</ns0:v>
      </ns0:c>
      <ns0:c r="J4" s="10" t="n">
        <ns0:v>46305</ns0:v>
      </ns0:c>
      <ns0:c r="K4" s="10" t="n">
        <ns0:v>46315</ns0:v>
      </ns0:c>
      <ns0:c r="L4" s="10" t="n">
        <ns0:v>46317</ns0:v>
      </ns0:c>
      <ns0:c r="M4" s="10" t="n">
        <ns0:v>46319</ns0:v>
      </ns0:c>
      <ns0:c r="N4" s="7" t="inlineStr">
        <ns0:is>
          <ns0:t>FOND EXISTENT</ns0:t>
        </ns0:is>
      </ns0:c>
      <ns0:c r="O4" s="11" t="inlineStr">
        <ns0:is>
          <ns0:t>De contractat / desemnat</ns0:t>
        </ns0:is>
      </ns0:c>
      <ns0:c r="P4" s="7" t="inlineStr">
        <ns0:is>
          <ns0:t>Roman istoric-gotic</ns0:t>
        </ns0:is>
      </ns0:c>
      <ns0:c r="Q4" s="7" t="inlineStr">
        <ns0:is>
          <ns0:t>Titlu de reconciliat cu CIVITAS SEX – Legământul de Sare.</ns0:t>
        </ns0:is>
      </ns0:c>
      <ns0:c r="R4" s="7" t="inlineStr">
        <ns0:is>
          <ns0:t>Titlul interior diferă de copertă/site; prefată de proces AI și note de eliminat.</ns0:t>
        </ns0:is>
      </ns0:c>
      <ns0:c r="S4" s="7">
        <ns0:f>COUNTIFS(Editii_300!$B$2:$B$301,A4,Editii_300!$X$2:$X$301,1)</ns0:f>
        <ns0:v>0</ns0:v>
      </ns0:c>
      <ns0:c r="T4" s="7">
        <ns0:f>IF(S4=3,1,0)</ns0:f>
        <ns0:v>0</ns0:v>
      </ns0:c>
    </ns0:row>
    <ns0:row r="5" ht="65" customHeight="1">
      <ns0:c r="A5" s="7" t="inlineStr">
        <ns0:is>
          <ns0:t>DB-004</ns0:t>
        </ns0:is>
      </ns0:c>
      <ns0:c r="B5" s="7" t="inlineStr">
        <ns0:is>
          <ns0:t>NOIR</ns0:t>
        </ns0:is>
      </ns0:c>
      <ns0:c r="C5" s="7" t="inlineStr">
        <ns0:is>
          <ns0:t>Cronicile Transilvaniei</ns0:t>
        </ns0:is>
      </ns0:c>
      <ns0:c r="D5" s="8" t="n">
        <ns0:v>4</ns0:v>
      </ns0:c>
      <ns0:c r="E5" s="7" t="inlineStr">
        <ns0:is>
          <ns0:t>The Bellmaker of Brașov</ns0:t>
        </ns0:is>
      </ns0:c>
      <ns0:c r="F5" s="7" t="inlineStr">
        <ns0:is>
          <ns0:t>Nou</ns0:t>
        </ns0:is>
      </ns0:c>
      <ns0:c r="G5" s="7" t="inlineStr">
        <ns0:is>
          <ns0:t>EN</ns0:t>
        </ns0:is>
      </ns0:c>
      <ns0:c r="H5" s="7" t="inlineStr">
        <ns0:is>
          <ns0:t>Concept propus; nescris</ns0:t>
        </ns0:is>
      </ns0:c>
      <ns0:c r="I5" s="9" t="n">
        <ns0:v>60000</ns0:v>
      </ns0:c>
      <ns0:c r="J5" s="10" t="n">
        <ns0:v>46318</ns0:v>
      </ns0:c>
      <ns0:c r="K5" s="10" t="n">
        <ns0:v>46336</ns0:v>
      </ns0:c>
      <ns0:c r="L5" s="10" t="n">
        <ns0:v>46338</ns0:v>
      </ns0:c>
      <ns0:c r="M5" s="10" t="n">
        <ns0:v>46340</ns0:v>
      </ns0:c>
      <ns0:c r="N5" s="7" t="inlineStr">
        <ns0:is>
          <ns0:t>LOT C</ns0:t>
        </ns0:is>
      </ns0:c>
      <ns0:c r="O5" s="11" t="inlineStr">
        <ns0:is>
          <ns0:t>De contractat / desemnat</ns0:t>
        </ns0:is>
      </ns0:c>
      <ns0:c r="P5" s="7" t="inlineStr">
        <ns0:is>
          <ns0:t>Roman istoric-gotic</ns0:t>
        </ns0:is>
      </ns0:c>
      <ns0:c r="Q5" s="7" t="inlineStr">
        <ns0:is>
          <ns0:t>Un clopot nou anunță crime înainte să fie comise.</ns0:t>
        </ns0:is>
      </ns0:c>
      <ns0:c r="R5" s="7" t="inlineStr"/>
      <ns0:c r="S5" s="7">
        <ns0:f>COUNTIFS(Editii_300!$B$2:$B$301,A5,Editii_300!$X$2:$X$301,1)</ns0:f>
        <ns0:v>0</ns0:v>
      </ns0:c>
      <ns0:c r="T5" s="7">
        <ns0:f>IF(S5=3,1,0)</ns0:f>
        <ns0:v>0</ns0:v>
      </ns0:c>
    </ns0:row>
    <ns0:row r="6" ht="65" customHeight="1">
      <ns0:c r="A6" s="7" t="inlineStr">
        <ns0:is>
          <ns0:t>DB-005</ns0:t>
        </ns0:is>
      </ns0:c>
      <ns0:c r="B6" s="7" t="inlineStr">
        <ns0:is>
          <ns0:t>NOIR</ns0:t>
        </ns0:is>
      </ns0:c>
      <ns0:c r="C6" s="7" t="inlineStr">
        <ns0:is>
          <ns0:t>Cronicile Transilvaniei</ns0:t>
        </ns0:is>
      </ns0:c>
      <ns0:c r="D6" s="8" t="n">
        <ns0:v>5</ns0:v>
      </ns0:c>
      <ns0:c r="E6" s="7" t="inlineStr">
        <ns0:is>
          <ns0:t>The Sibiu Testament</ns0:t>
        </ns0:is>
      </ns0:c>
      <ns0:c r="F6" s="7" t="inlineStr">
        <ns0:is>
          <ns0:t>Nou</ns0:t>
        </ns0:is>
      </ns0:c>
      <ns0:c r="G6" s="7" t="inlineStr">
        <ns0:is>
          <ns0:t>EN</ns0:t>
        </ns0:is>
      </ns0:c>
      <ns0:c r="H6" s="7" t="inlineStr">
        <ns0:is>
          <ns0:t>Concept propus; nescris</ns0:t>
        </ns0:is>
      </ns0:c>
      <ns0:c r="I6" s="9" t="n">
        <ns0:v>60000</ns0:v>
      </ns0:c>
      <ns0:c r="J6" s="10" t="n">
        <ns0:v>46318</ns0:v>
      </ns0:c>
      <ns0:c r="K6" s="10" t="n">
        <ns0:v>46336</ns0:v>
      </ns0:c>
      <ns0:c r="L6" s="10" t="n">
        <ns0:v>46338</ns0:v>
      </ns0:c>
      <ns0:c r="M6" s="10" t="n">
        <ns0:v>46340</ns0:v>
      </ns0:c>
      <ns0:c r="N6" s="7" t="inlineStr">
        <ns0:is>
          <ns0:t>LOT C</ns0:t>
        </ns0:is>
      </ns0:c>
      <ns0:c r="O6" s="11" t="inlineStr">
        <ns0:is>
          <ns0:t>De contractat / desemnat</ns0:t>
        </ns0:is>
      </ns0:c>
      <ns0:c r="P6" s="7" t="inlineStr">
        <ns0:is>
          <ns0:t>Roman istoric-gotic</ns0:t>
        </ns0:is>
      </ns0:c>
      <ns0:c r="Q6" s="7" t="inlineStr">
        <ns0:is>
          <ns0:t>O moștenire schimbă mâinile de fiecare dată când moare un martor.</ns0:t>
        </ns0:is>
      </ns0:c>
      <ns0:c r="R6" s="7" t="inlineStr"/>
      <ns0:c r="S6" s="7">
        <ns0:f>COUNTIFS(Editii_300!$B$2:$B$301,A6,Editii_300!$X$2:$X$301,1)</ns0:f>
        <ns0:v>0</ns0:v>
      </ns0:c>
      <ns0:c r="T6" s="7">
        <ns0:f>IF(S6=3,1,0)</ns0:f>
        <ns0:v>0</ns0:v>
      </ns0:c>
    </ns0:row>
    <ns0:row r="7" ht="65" customHeight="1">
      <ns0:c r="A7" s="7" t="inlineStr">
        <ns0:is>
          <ns0:t>DB-006</ns0:t>
        </ns0:is>
      </ns0:c>
      <ns0:c r="B7" s="7" t="inlineStr">
        <ns0:is>
          <ns0:t>NOIR</ns0:t>
        </ns0:is>
      </ns0:c>
      <ns0:c r="C7" s="7" t="inlineStr">
        <ns0:is>
          <ns0:t>Cronicile Transilvaniei</ns0:t>
        </ns0:is>
      </ns0:c>
      <ns0:c r="D7" s="8" t="n">
        <ns0:v>6</ns0:v>
      </ns0:c>
      <ns0:c r="E7" s="7" t="inlineStr">
        <ns0:is>
          <ns0:t>The Bistrița Bride</ns0:t>
        </ns0:is>
      </ns0:c>
      <ns0:c r="F7" s="7" t="inlineStr">
        <ns0:is>
          <ns0:t>Nou</ns0:t>
        </ns0:is>
      </ns0:c>
      <ns0:c r="G7" s="7" t="inlineStr">
        <ns0:is>
          <ns0:t>EN</ns0:t>
        </ns0:is>
      </ns0:c>
      <ns0:c r="H7" s="7" t="inlineStr">
        <ns0:is>
          <ns0:t>Concept propus; nescris</ns0:t>
        </ns0:is>
      </ns0:c>
      <ns0:c r="I7" s="9" t="n">
        <ns0:v>60000</ns0:v>
      </ns0:c>
      <ns0:c r="J7" s="10" t="n">
        <ns0:v>46318</ns0:v>
      </ns0:c>
      <ns0:c r="K7" s="10" t="n">
        <ns0:v>46336</ns0:v>
      </ns0:c>
      <ns0:c r="L7" s="10" t="n">
        <ns0:v>46338</ns0:v>
      </ns0:c>
      <ns0:c r="M7" s="10" t="n">
        <ns0:v>46340</ns0:v>
      </ns0:c>
      <ns0:c r="N7" s="7" t="inlineStr">
        <ns0:is>
          <ns0:t>LOT C</ns0:t>
        </ns0:is>
      </ns0:c>
      <ns0:c r="O7" s="11" t="inlineStr">
        <ns0:is>
          <ns0:t>De contractat / desemnat</ns0:t>
        </ns0:is>
      </ns0:c>
      <ns0:c r="P7" s="7" t="inlineStr">
        <ns0:is>
          <ns0:t>Roman istoric-gotic</ns0:t>
        </ns0:is>
      </ns0:c>
      <ns0:c r="Q7" s="7" t="inlineStr">
        <ns0:is>
          <ns0:t>O nuntă politică ascunde dispariția miresei din registrul parohial.</ns0:t>
        </ns0:is>
      </ns0:c>
      <ns0:c r="R7" s="7" t="inlineStr"/>
      <ns0:c r="S7" s="7">
        <ns0:f>COUNTIFS(Editii_300!$B$2:$B$301,A7,Editii_300!$X$2:$X$301,1)</ns0:f>
        <ns0:v>0</ns0:v>
      </ns0:c>
      <ns0:c r="T7" s="7">
        <ns0:f>IF(S7=3,1,0)</ns0:f>
        <ns0:v>0</ns0:v>
      </ns0:c>
    </ns0:row>
    <ns0:row r="8" ht="65" customHeight="1">
      <ns0:c r="A8" s="7" t="inlineStr">
        <ns0:is>
          <ns0:t>DB-007</ns0:t>
        </ns0:is>
      </ns0:c>
      <ns0:c r="B8" s="7" t="inlineStr">
        <ns0:is>
          <ns0:t>NOIR</ns0:t>
        </ns0:is>
      </ns0:c>
      <ns0:c r="C8" s="7" t="inlineStr">
        <ns0:is>
          <ns0:t>Cronicile Transilvaniei</ns0:t>
        </ns0:is>
      </ns0:c>
      <ns0:c r="D8" s="8" t="n">
        <ns0:v>7</ns0:v>
      </ns0:c>
      <ns0:c r="E8" s="7" t="inlineStr">
        <ns0:is>
          <ns0:t>The Locksmith of Sighișoara</ns0:t>
        </ns0:is>
      </ns0:c>
      <ns0:c r="F8" s="7" t="inlineStr">
        <ns0:is>
          <ns0:t>Nou</ns0:t>
        </ns0:is>
      </ns0:c>
      <ns0:c r="G8" s="7" t="inlineStr">
        <ns0:is>
          <ns0:t>EN</ns0:t>
        </ns0:is>
      </ns0:c>
      <ns0:c r="H8" s="7" t="inlineStr">
        <ns0:is>
          <ns0:t>Concept propus; nescris</ns0:t>
        </ns0:is>
      </ns0:c>
      <ns0:c r="I8" s="9" t="n">
        <ns0:v>60000</ns0:v>
      </ns0:c>
      <ns0:c r="J8" s="10" t="n">
        <ns0:v>46318</ns0:v>
      </ns0:c>
      <ns0:c r="K8" s="10" t="n">
        <ns0:v>46336</ns0:v>
      </ns0:c>
      <ns0:c r="L8" s="10" t="n">
        <ns0:v>46338</ns0:v>
      </ns0:c>
      <ns0:c r="M8" s="10" t="n">
        <ns0:v>46340</ns0:v>
      </ns0:c>
      <ns0:c r="N8" s="7" t="inlineStr">
        <ns0:is>
          <ns0:t>LOT C</ns0:t>
        </ns0:is>
      </ns0:c>
      <ns0:c r="O8" s="11" t="inlineStr">
        <ns0:is>
          <ns0:t>De contractat / desemnat</ns0:t>
        </ns0:is>
      </ns0:c>
      <ns0:c r="P8" s="7" t="inlineStr">
        <ns0:is>
          <ns0:t>Roman istoric-gotic</ns0:t>
        </ns0:is>
      </ns0:c>
      <ns0:c r="Q8" s="7" t="inlineStr">
        <ns0:is>
          <ns0:t>Un meșter recunoaște propria cheie într-o cameră sigilată.</ns0:t>
        </ns0:is>
      </ns0:c>
      <ns0:c r="R8" s="7" t="inlineStr"/>
      <ns0:c r="S8" s="7">
        <ns0:f>COUNTIFS(Editii_300!$B$2:$B$301,A8,Editii_300!$X$2:$X$301,1)</ns0:f>
        <ns0:v>0</ns0:v>
      </ns0:c>
      <ns0:c r="T8" s="7">
        <ns0:f>IF(S8=3,1,0)</ns0:f>
        <ns0:v>0</ns0:v>
      </ns0:c>
    </ns0:row>
    <ns0:row r="9" ht="65" customHeight="1">
      <ns0:c r="A9" s="7" t="inlineStr">
        <ns0:is>
          <ns0:t>DB-008</ns0:t>
        </ns0:is>
      </ns0:c>
      <ns0:c r="B9" s="7" t="inlineStr">
        <ns0:is>
          <ns0:t>NOIR</ns0:t>
        </ns0:is>
      </ns0:c>
      <ns0:c r="C9" s="7" t="inlineStr">
        <ns0:is>
          <ns0:t>Cronicile Transilvaniei</ns0:t>
        </ns0:is>
      </ns0:c>
      <ns0:c r="D9" s="8" t="n">
        <ns0:v>8</ns0:v>
      </ns0:c>
      <ns0:c r="E9" s="7" t="inlineStr">
        <ns0:is>
          <ns0:t>The Alba Iulia Cipher</ns0:t>
        </ns0:is>
      </ns0:c>
      <ns0:c r="F9" s="7" t="inlineStr">
        <ns0:is>
          <ns0:t>Nou</ns0:t>
        </ns0:is>
      </ns0:c>
      <ns0:c r="G9" s="7" t="inlineStr">
        <ns0:is>
          <ns0:t>EN</ns0:t>
        </ns0:is>
      </ns0:c>
      <ns0:c r="H9" s="7" t="inlineStr">
        <ns0:is>
          <ns0:t>Concept propus; nescris</ns0:t>
        </ns0:is>
      </ns0:c>
      <ns0:c r="I9" s="9" t="n">
        <ns0:v>60000</ns0:v>
      </ns0:c>
      <ns0:c r="J9" s="10" t="n">
        <ns0:v>46318</ns0:v>
      </ns0:c>
      <ns0:c r="K9" s="10" t="n">
        <ns0:v>46336</ns0:v>
      </ns0:c>
      <ns0:c r="L9" s="10" t="n">
        <ns0:v>46338</ns0:v>
      </ns0:c>
      <ns0:c r="M9" s="10" t="n">
        <ns0:v>46340</ns0:v>
      </ns0:c>
      <ns0:c r="N9" s="7" t="inlineStr">
        <ns0:is>
          <ns0:t>LOT C</ns0:t>
        </ns0:is>
      </ns0:c>
      <ns0:c r="O9" s="11" t="inlineStr">
        <ns0:is>
          <ns0:t>De contractat / desemnat</ns0:t>
        </ns0:is>
      </ns0:c>
      <ns0:c r="P9" s="7" t="inlineStr">
        <ns0:is>
          <ns0:t>Roman istoric-gotic</ns0:t>
        </ns0:is>
      </ns0:c>
      <ns0:c r="Q9" s="7" t="inlineStr">
        <ns0:is>
          <ns0:t>O traducătoare descoperă un verdict ascuns într-o cronică.</ns0:t>
        </ns0:is>
      </ns0:c>
      <ns0:c r="R9" s="7" t="inlineStr"/>
      <ns0:c r="S9" s="7">
        <ns0:f>COUNTIFS(Editii_300!$B$2:$B$301,A9,Editii_300!$X$2:$X$301,1)</ns0:f>
        <ns0:v>0</ns0:v>
      </ns0:c>
      <ns0:c r="T9" s="7">
        <ns0:f>IF(S9=3,1,0)</ns0:f>
        <ns0:v>0</ns0:v>
      </ns0:c>
    </ns0:row>
    <ns0:row r="10" ht="65" customHeight="1">
      <ns0:c r="A10" s="7" t="inlineStr">
        <ns0:is>
          <ns0:t>DB-009</ns0:t>
        </ns0:is>
      </ns0:c>
      <ns0:c r="B10" s="7" t="inlineStr">
        <ns0:is>
          <ns0:t>NOIR</ns0:t>
        </ns0:is>
      </ns0:c>
      <ns0:c r="C10" s="7" t="inlineStr">
        <ns0:is>
          <ns0:t>Cronicile Transilvaniei</ns0:t>
        </ns0:is>
      </ns0:c>
      <ns0:c r="D10" s="8" t="n">
        <ns0:v>9</ns0:v>
      </ns0:c>
      <ns0:c r="E10" s="7" t="inlineStr">
        <ns0:is>
          <ns0:t>The Winter Court of Bran</ns0:t>
        </ns0:is>
      </ns0:c>
      <ns0:c r="F10" s="7" t="inlineStr">
        <ns0:is>
          <ns0:t>Nou</ns0:t>
        </ns0:is>
      </ns0:c>
      <ns0:c r="G10" s="7" t="inlineStr">
        <ns0:is>
          <ns0:t>EN</ns0:t>
        </ns0:is>
      </ns0:c>
      <ns0:c r="H10" s="7" t="inlineStr">
        <ns0:is>
          <ns0:t>Concept propus; nescris</ns0:t>
        </ns0:is>
      </ns0:c>
      <ns0:c r="I10" s="9" t="n">
        <ns0:v>60000</ns0:v>
      </ns0:c>
      <ns0:c r="J10" s="10" t="n">
        <ns0:v>46318</ns0:v>
      </ns0:c>
      <ns0:c r="K10" s="10" t="n">
        <ns0:v>46336</ns0:v>
      </ns0:c>
      <ns0:c r="L10" s="10" t="n">
        <ns0:v>46338</ns0:v>
      </ns0:c>
      <ns0:c r="M10" s="10" t="n">
        <ns0:v>46340</ns0:v>
      </ns0:c>
      <ns0:c r="N10" s="7" t="inlineStr">
        <ns0:is>
          <ns0:t>LOT C</ns0:t>
        </ns0:is>
      </ns0:c>
      <ns0:c r="O10" s="11" t="inlineStr">
        <ns0:is>
          <ns0:t>De contractat / desemnat</ns0:t>
        </ns0:is>
      </ns0:c>
      <ns0:c r="P10" s="7" t="inlineStr">
        <ns0:is>
          <ns0:t>Roman istoric-gotic</ns0:t>
        </ns0:is>
      </ns0:c>
      <ns0:c r="Q10" s="7" t="inlineStr">
        <ns0:is>
          <ns0:t>Un asediu de iarnă transformă aliații în suspecți.</ns0:t>
        </ns0:is>
      </ns0:c>
      <ns0:c r="R10" s="7" t="inlineStr"/>
      <ns0:c r="S10" s="7">
        <ns0:f>COUNTIFS(Editii_300!$B$2:$B$301,A10,Editii_300!$X$2:$X$301,1)</ns0:f>
        <ns0:v>0</ns0:v>
      </ns0:c>
      <ns0:c r="T10" s="7">
        <ns0:f>IF(S10=3,1,0)</ns0:f>
        <ns0:v>0</ns0:v>
      </ns0:c>
    </ns0:row>
    <ns0:row r="11" ht="65" customHeight="1">
      <ns0:c r="A11" s="7" t="inlineStr">
        <ns0:is>
          <ns0:t>DB-010</ns0:t>
        </ns0:is>
      </ns0:c>
      <ns0:c r="B11" s="7" t="inlineStr">
        <ns0:is>
          <ns0:t>NOIR</ns0:t>
        </ns0:is>
      </ns0:c>
      <ns0:c r="C11" s="7" t="inlineStr">
        <ns0:is>
          <ns0:t>Cronicile Transilvaniei</ns0:t>
        </ns0:is>
      </ns0:c>
      <ns0:c r="D11" s="8" t="n">
        <ns0:v>10</ns0:v>
      </ns0:c>
      <ns0:c r="E11" s="7" t="inlineStr">
        <ns0:is>
          <ns0:t>The Last Black Rose</ns0:t>
        </ns0:is>
      </ns0:c>
      <ns0:c r="F11" s="7" t="inlineStr">
        <ns0:is>
          <ns0:t>Nou</ns0:t>
        </ns0:is>
      </ns0:c>
      <ns0:c r="G11" s="7" t="inlineStr">
        <ns0:is>
          <ns0:t>EN</ns0:t>
        </ns0:is>
      </ns0:c>
      <ns0:c r="H11" s="7" t="inlineStr">
        <ns0:is>
          <ns0:t>Concept propus; nescris</ns0:t>
        </ns0:is>
      </ns0:c>
      <ns0:c r="I11" s="9" t="n">
        <ns0:v>60000</ns0:v>
      </ns0:c>
      <ns0:c r="J11" s="10" t="n">
        <ns0:v>46318</ns0:v>
      </ns0:c>
      <ns0:c r="K11" s="10" t="n">
        <ns0:v>46336</ns0:v>
      </ns0:c>
      <ns0:c r="L11" s="10" t="n">
        <ns0:v>46338</ns0:v>
      </ns0:c>
      <ns0:c r="M11" s="10" t="n">
        <ns0:v>46340</ns0:v>
      </ns0:c>
      <ns0:c r="N11" s="7" t="inlineStr">
        <ns0:is>
          <ns0:t>LOT C</ns0:t>
        </ns0:is>
      </ns0:c>
      <ns0:c r="O11" s="11" t="inlineStr">
        <ns0:is>
          <ns0:t>De contractat / desemnat</ns0:t>
        </ns0:is>
      </ns0:c>
      <ns0:c r="P11" s="7" t="inlineStr">
        <ns0:is>
          <ns0:t>Roman istoric-gotic</ns0:t>
        </ns0:is>
      </ns0:c>
      <ns0:c r="Q11" s="7" t="inlineStr">
        <ns0:is>
          <ns0:t>Ultimul caz închide arcul conspirației fără a repeta primul volum.</ns0:t>
        </ns0:is>
      </ns0:c>
      <ns0:c r="R11" s="7" t="inlineStr"/>
      <ns0:c r="S11" s="7">
        <ns0:f>COUNTIFS(Editii_300!$B$2:$B$301,A11,Editii_300!$X$2:$X$301,1)</ns0:f>
        <ns0:v>0</ns0:v>
      </ns0:c>
      <ns0:c r="T11" s="7">
        <ns0:f>IF(S11=3,1,0)</ns0:f>
        <ns0:v>0</ns0:v>
      </ns0:c>
    </ns0:row>
    <ns0:row r="12" ht="65" customHeight="1">
      <ns0:c r="A12" s="7" t="inlineStr">
        <ns0:is>
          <ns0:t>DB-011</ns0:t>
        </ns0:is>
      </ns0:c>
      <ns0:c r="B12" s="7" t="inlineStr">
        <ns0:is>
          <ns0:t>NOIR</ns0:t>
        </ns0:is>
      </ns0:c>
      <ns0:c r="C12" s="7" t="inlineStr">
        <ns0:is>
          <ns0:t>Carpathian Cold Cases</ns0:t>
        </ns0:is>
      </ns0:c>
      <ns0:c r="D12" s="8" t="n">
        <ns0:v>1</ns0:v>
      </ns0:c>
      <ns0:c r="E12" s="7" t="inlineStr">
        <ns0:is>
          <ns0:t>The Witness Beneath the Ice</ns0:t>
        </ns0:is>
      </ns0:c>
      <ns0:c r="F12" s="7" t="inlineStr">
        <ns0:is>
          <ns0:t>Nou</ns0:t>
        </ns0:is>
      </ns0:c>
      <ns0:c r="G12" s="7" t="inlineStr">
        <ns0:is>
          <ns0:t>EN</ns0:t>
        </ns0:is>
      </ns0:c>
      <ns0:c r="H12" s="7" t="inlineStr">
        <ns0:is>
          <ns0:t>Concept propus; nescris</ns0:t>
        </ns0:is>
      </ns0:c>
      <ns0:c r="I12" s="9" t="n">
        <ns0:v>55000</ns0:v>
      </ns0:c>
      <ns0:c r="J12" s="10" t="n">
        <ns0:v>46311</ns0:v>
      </ns0:c>
      <ns0:c r="K12" s="10" t="n">
        <ns0:v>46329</ns0:v>
      </ns0:c>
      <ns0:c r="L12" s="10" t="n">
        <ns0:v>46331</ns0:v>
      </ns0:c>
      <ns0:c r="M12" s="10" t="n">
        <ns0:v>46333</ns0:v>
      </ns0:c>
      <ns0:c r="N12" s="7" t="inlineStr">
        <ns0:is>
          <ns0:t>LOT B</ns0:t>
        </ns0:is>
      </ns0:c>
      <ns0:c r="O12" s="11" t="inlineStr">
        <ns0:is>
          <ns0:t>De contractat / desemnat</ns0:t>
        </ns0:is>
      </ns0:c>
      <ns0:c r="P12" s="7" t="inlineStr">
        <ns0:is>
          <ns0:t>Thriller contemporan</ns0:t>
        </ns0:is>
      </ns0:c>
      <ns0:c r="Q12" s="7" t="inlineStr">
        <ns0:is>
          <ns0:t>Topirea unui lac readuce o dispariție și un martor mincinos.</ns0:t>
        </ns0:is>
      </ns0:c>
      <ns0:c r="R12" s="7" t="inlineStr"/>
      <ns0:c r="S12" s="7">
        <ns0:f>COUNTIFS(Editii_300!$B$2:$B$301,A12,Editii_300!$X$2:$X$301,1)</ns0:f>
        <ns0:v>0</ns0:v>
      </ns0:c>
      <ns0:c r="T12" s="7">
        <ns0:f>IF(S12=3,1,0)</ns0:f>
        <ns0:v>0</ns0:v>
      </ns0:c>
    </ns0:row>
    <ns0:row r="13" ht="65" customHeight="1">
      <ns0:c r="A13" s="7" t="inlineStr">
        <ns0:is>
          <ns0:t>DB-012</ns0:t>
        </ns0:is>
      </ns0:c>
      <ns0:c r="B13" s="7" t="inlineStr">
        <ns0:is>
          <ns0:t>NOIR</ns0:t>
        </ns0:is>
      </ns0:c>
      <ns0:c r="C13" s="7" t="inlineStr">
        <ns0:is>
          <ns0:t>Carpathian Cold Cases</ns0:t>
        </ns0:is>
      </ns0:c>
      <ns0:c r="D13" s="8" t="n">
        <ns0:v>2</ns0:v>
      </ns0:c>
      <ns0:c r="E13" s="7" t="inlineStr">
        <ns0:is>
          <ns0:t>The Missing Carriage</ns0:t>
        </ns0:is>
      </ns0:c>
      <ns0:c r="F13" s="7" t="inlineStr">
        <ns0:is>
          <ns0:t>Nou</ns0:t>
        </ns0:is>
      </ns0:c>
      <ns0:c r="G13" s="7" t="inlineStr">
        <ns0:is>
          <ns0:t>EN</ns0:t>
        </ns0:is>
      </ns0:c>
      <ns0:c r="H13" s="7" t="inlineStr">
        <ns0:is>
          <ns0:t>Concept propus; nescris</ns0:t>
        </ns0:is>
      </ns0:c>
      <ns0:c r="I13" s="9" t="n">
        <ns0:v>55000</ns0:v>
      </ns0:c>
      <ns0:c r="J13" s="10" t="n">
        <ns0:v>46311</ns0:v>
      </ns0:c>
      <ns0:c r="K13" s="10" t="n">
        <ns0:v>46329</ns0:v>
      </ns0:c>
      <ns0:c r="L13" s="10" t="n">
        <ns0:v>46331</ns0:v>
      </ns0:c>
      <ns0:c r="M13" s="10" t="n">
        <ns0:v>46333</ns0:v>
      </ns0:c>
      <ns0:c r="N13" s="7" t="inlineStr">
        <ns0:is>
          <ns0:t>LOT B</ns0:t>
        </ns0:is>
      </ns0:c>
      <ns0:c r="O13" s="11" t="inlineStr">
        <ns0:is>
          <ns0:t>De contractat / desemnat</ns0:t>
        </ns0:is>
      </ns0:c>
      <ns0:c r="P13" s="7" t="inlineStr">
        <ns0:is>
          <ns0:t>Thriller contemporan</ns0:t>
        </ns0:is>
      </ns0:c>
      <ns0:c r="Q13" s="7" t="inlineStr">
        <ns0:is>
          <ns0:t>O înregistrare feroviară dovedește existența unui vagon dispărut.</ns0:t>
        </ns0:is>
      </ns0:c>
      <ns0:c r="R13" s="7" t="inlineStr"/>
      <ns0:c r="S13" s="7">
        <ns0:f>COUNTIFS(Editii_300!$B$2:$B$301,A13,Editii_300!$X$2:$X$301,1)</ns0:f>
        <ns0:v>0</ns0:v>
      </ns0:c>
      <ns0:c r="T13" s="7">
        <ns0:f>IF(S13=3,1,0)</ns0:f>
        <ns0:v>0</ns0:v>
      </ns0:c>
    </ns0:row>
    <ns0:row r="14" ht="65" customHeight="1">
      <ns0:c r="A14" s="7" t="inlineStr">
        <ns0:is>
          <ns0:t>DB-013</ns0:t>
        </ns0:is>
      </ns0:c>
      <ns0:c r="B14" s="7" t="inlineStr">
        <ns0:is>
          <ns0:t>NOIR</ns0:t>
        </ns0:is>
      </ns0:c>
      <ns0:c r="C14" s="7" t="inlineStr">
        <ns0:is>
          <ns0:t>Carpathian Cold Cases</ns0:t>
        </ns0:is>
      </ns0:c>
      <ns0:c r="D14" s="8" t="n">
        <ns0:v>3</ns0:v>
      </ns0:c>
      <ns0:c r="E14" s="7" t="inlineStr">
        <ns0:is>
          <ns0:t>The Village That Forgot Her</ns0:t>
        </ns0:is>
      </ns0:c>
      <ns0:c r="F14" s="7" t="inlineStr">
        <ns0:is>
          <ns0:t>Nou</ns0:t>
        </ns0:is>
      </ns0:c>
      <ns0:c r="G14" s="7" t="inlineStr">
        <ns0:is>
          <ns0:t>EN</ns0:t>
        </ns0:is>
      </ns0:c>
      <ns0:c r="H14" s="7" t="inlineStr">
        <ns0:is>
          <ns0:t>Concept propus; nescris</ns0:t>
        </ns0:is>
      </ns0:c>
      <ns0:c r="I14" s="9" t="n">
        <ns0:v>55000</ns0:v>
      </ns0:c>
      <ns0:c r="J14" s="10" t="n">
        <ns0:v>46311</ns0:v>
      </ns0:c>
      <ns0:c r="K14" s="10" t="n">
        <ns0:v>46329</ns0:v>
      </ns0:c>
      <ns0:c r="L14" s="10" t="n">
        <ns0:v>46331</ns0:v>
      </ns0:c>
      <ns0:c r="M14" s="10" t="n">
        <ns0:v>46333</ns0:v>
      </ns0:c>
      <ns0:c r="N14" s="7" t="inlineStr">
        <ns0:is>
          <ns0:t>LOT B</ns0:t>
        </ns0:is>
      </ns0:c>
      <ns0:c r="O14" s="11" t="inlineStr">
        <ns0:is>
          <ns0:t>De contractat / desemnat</ns0:t>
        </ns0:is>
      </ns0:c>
      <ns0:c r="P14" s="7" t="inlineStr">
        <ns0:is>
          <ns0:t>Thriller contemporan</ns0:t>
        </ns0:is>
      </ns0:c>
      <ns0:c r="Q14" s="7" t="inlineStr">
        <ns0:is>
          <ns0:t>O arhivistă găsește aceeași femeie ștearsă din toate fotografiile.</ns0:t>
        </ns0:is>
      </ns0:c>
      <ns0:c r="R14" s="7" t="inlineStr"/>
      <ns0:c r="S14" s="7">
        <ns0:f>COUNTIFS(Editii_300!$B$2:$B$301,A14,Editii_300!$X$2:$X$301,1)</ns0:f>
        <ns0:v>0</ns0:v>
      </ns0:c>
      <ns0:c r="T14" s="7">
        <ns0:f>IF(S14=3,1,0)</ns0:f>
        <ns0:v>0</ns0:v>
      </ns0:c>
    </ns0:row>
    <ns0:row r="15" ht="65" customHeight="1">
      <ns0:c r="A15" s="7" t="inlineStr">
        <ns0:is>
          <ns0:t>DB-014</ns0:t>
        </ns0:is>
      </ns0:c>
      <ns0:c r="B15" s="7" t="inlineStr">
        <ns0:is>
          <ns0:t>NOIR</ns0:t>
        </ns0:is>
      </ns0:c>
      <ns0:c r="C15" s="7" t="inlineStr">
        <ns0:is>
          <ns0:t>Carpathian Cold Cases</ns0:t>
        </ns0:is>
      </ns0:c>
      <ns0:c r="D15" s="8" t="n">
        <ns0:v>4</ns0:v>
      </ns0:c>
      <ns0:c r="E15" s="7" t="inlineStr">
        <ns0:is>
          <ns0:t>The Funeral Guest</ns0:t>
        </ns0:is>
      </ns0:c>
      <ns0:c r="F15" s="7" t="inlineStr">
        <ns0:is>
          <ns0:t>Nou</ns0:t>
        </ns0:is>
      </ns0:c>
      <ns0:c r="G15" s="7" t="inlineStr">
        <ns0:is>
          <ns0:t>EN</ns0:t>
        </ns0:is>
      </ns0:c>
      <ns0:c r="H15" s="7" t="inlineStr">
        <ns0:is>
          <ns0:t>Concept propus; nescris</ns0:t>
        </ns0:is>
      </ns0:c>
      <ns0:c r="I15" s="9" t="n">
        <ns0:v>55000</ns0:v>
      </ns0:c>
      <ns0:c r="J15" s="10" t="n">
        <ns0:v>46311</ns0:v>
      </ns0:c>
      <ns0:c r="K15" s="10" t="n">
        <ns0:v>46329</ns0:v>
      </ns0:c>
      <ns0:c r="L15" s="10" t="n">
        <ns0:v>46331</ns0:v>
      </ns0:c>
      <ns0:c r="M15" s="10" t="n">
        <ns0:v>46333</ns0:v>
      </ns0:c>
      <ns0:c r="N15" s="7" t="inlineStr">
        <ns0:is>
          <ns0:t>LOT B</ns0:t>
        </ns0:is>
      </ns0:c>
      <ns0:c r="O15" s="11" t="inlineStr">
        <ns0:is>
          <ns0:t>De contractat / desemnat</ns0:t>
        </ns0:is>
      </ns0:c>
      <ns0:c r="P15" s="7" t="inlineStr">
        <ns0:is>
          <ns0:t>Thriller contemporan</ns0:t>
        </ns0:is>
      </ns0:c>
      <ns0:c r="Q15" s="7" t="inlineStr">
        <ns0:is>
          <ns0:t>Un necunoscut lasă o probă la înmormântarea unei anchetatoare.</ns0:t>
        </ns0:is>
      </ns0:c>
      <ns0:c r="R15" s="7" t="inlineStr"/>
      <ns0:c r="S15" s="7">
        <ns0:f>COUNTIFS(Editii_300!$B$2:$B$301,A15,Editii_300!$X$2:$X$301,1)</ns0:f>
        <ns0:v>0</ns0:v>
      </ns0:c>
      <ns0:c r="T15" s="7">
        <ns0:f>IF(S15=3,1,0)</ns0:f>
        <ns0:v>0</ns0:v>
      </ns0:c>
    </ns0:row>
    <ns0:row r="16" ht="65" customHeight="1">
      <ns0:c r="A16" s="7" t="inlineStr">
        <ns0:is>
          <ns0:t>DB-015</ns0:t>
        </ns0:is>
      </ns0:c>
      <ns0:c r="B16" s="7" t="inlineStr">
        <ns0:is>
          <ns0:t>NOIR</ns0:t>
        </ns0:is>
      </ns0:c>
      <ns0:c r="C16" s="7" t="inlineStr">
        <ns0:is>
          <ns0:t>Carpathian Cold Cases</ns0:t>
        </ns0:is>
      </ns0:c>
      <ns0:c r="D16" s="8" t="n">
        <ns0:v>5</ns0:v>
      </ns0:c>
      <ns0:c r="E16" s="7" t="inlineStr">
        <ns0:is>
          <ns0:t>The Quarry Silence</ns0:t>
        </ns0:is>
      </ns0:c>
      <ns0:c r="F16" s="7" t="inlineStr">
        <ns0:is>
          <ns0:t>Nou</ns0:t>
        </ns0:is>
      </ns0:c>
      <ns0:c r="G16" s="7" t="inlineStr">
        <ns0:is>
          <ns0:t>EN</ns0:t>
        </ns0:is>
      </ns0:c>
      <ns0:c r="H16" s="7" t="inlineStr">
        <ns0:is>
          <ns0:t>Concept propus; nescris</ns0:t>
        </ns0:is>
      </ns0:c>
      <ns0:c r="I16" s="9" t="n">
        <ns0:v>55000</ns0:v>
      </ns0:c>
      <ns0:c r="J16" s="10" t="n">
        <ns0:v>46311</ns0:v>
      </ns0:c>
      <ns0:c r="K16" s="10" t="n">
        <ns0:v>46329</ns0:v>
      </ns0:c>
      <ns0:c r="L16" s="10" t="n">
        <ns0:v>46331</ns0:v>
      </ns0:c>
      <ns0:c r="M16" s="10" t="n">
        <ns0:v>46333</ns0:v>
      </ns0:c>
      <ns0:c r="N16" s="7" t="inlineStr">
        <ns0:is>
          <ns0:t>LOT B</ns0:t>
        </ns0:is>
      </ns0:c>
      <ns0:c r="O16" s="11" t="inlineStr">
        <ns0:is>
          <ns0:t>De contractat / desemnat</ns0:t>
        </ns0:is>
      </ns0:c>
      <ns0:c r="P16" s="7" t="inlineStr">
        <ns0:is>
          <ns0:t>Thriller contemporan</ns0:t>
        </ns0:is>
      </ns0:c>
      <ns0:c r="Q16" s="7" t="inlineStr">
        <ns0:is>
          <ns0:t>O carieră dezafectată amenință pactul unui oraș prosper.</ns0:t>
        </ns0:is>
      </ns0:c>
      <ns0:c r="R16" s="7" t="inlineStr"/>
      <ns0:c r="S16" s="7">
        <ns0:f>COUNTIFS(Editii_300!$B$2:$B$301,A16,Editii_300!$X$2:$X$301,1)</ns0:f>
        <ns0:v>0</ns0:v>
      </ns0:c>
      <ns0:c r="T16" s="7">
        <ns0:f>IF(S16=3,1,0)</ns0:f>
        <ns0:v>0</ns0:v>
      </ns0:c>
    </ns0:row>
    <ns0:row r="17" ht="65" customHeight="1">
      <ns0:c r="A17" s="7" t="inlineStr">
        <ns0:is>
          <ns0:t>DB-016</ns0:t>
        </ns0:is>
      </ns0:c>
      <ns0:c r="B17" s="7" t="inlineStr">
        <ns0:is>
          <ns0:t>NOIR</ns0:t>
        </ns0:is>
      </ns0:c>
      <ns0:c r="C17" s="7" t="inlineStr">
        <ns0:is>
          <ns0:t>Carpathian Cold Cases</ns0:t>
        </ns0:is>
      </ns0:c>
      <ns0:c r="D17" s="8" t="n">
        <ns0:v>6</ns0:v>
      </ns0:c>
      <ns0:c r="E17" s="7" t="inlineStr">
        <ns0:is>
          <ns0:t>The Last Night at the Observatory</ns0:t>
        </ns0:is>
      </ns0:c>
      <ns0:c r="F17" s="7" t="inlineStr">
        <ns0:is>
          <ns0:t>Nou</ns0:t>
        </ns0:is>
      </ns0:c>
      <ns0:c r="G17" s="7" t="inlineStr">
        <ns0:is>
          <ns0:t>EN</ns0:t>
        </ns0:is>
      </ns0:c>
      <ns0:c r="H17" s="7" t="inlineStr">
        <ns0:is>
          <ns0:t>Concept propus; nescris</ns0:t>
        </ns0:is>
      </ns0:c>
      <ns0:c r="I17" s="9" t="n">
        <ns0:v>55000</ns0:v>
      </ns0:c>
      <ns0:c r="J17" s="10" t="n">
        <ns0:v>46311</ns0:v>
      </ns0:c>
      <ns0:c r="K17" s="10" t="n">
        <ns0:v>46329</ns0:v>
      </ns0:c>
      <ns0:c r="L17" s="10" t="n">
        <ns0:v>46331</ns0:v>
      </ns0:c>
      <ns0:c r="M17" s="10" t="n">
        <ns0:v>46333</ns0:v>
      </ns0:c>
      <ns0:c r="N17" s="7" t="inlineStr">
        <ns0:is>
          <ns0:t>LOT B</ns0:t>
        </ns0:is>
      </ns0:c>
      <ns0:c r="O17" s="11" t="inlineStr">
        <ns0:is>
          <ns0:t>De contractat / desemnat</ns0:t>
        </ns0:is>
      </ns0:c>
      <ns0:c r="P17" s="7" t="inlineStr">
        <ns0:is>
          <ns0:t>Thriller contemporan</ns0:t>
        </ns0:is>
      </ns0:c>
      <ns0:c r="Q17" s="7" t="inlineStr">
        <ns0:is>
          <ns0:t>Un semnal astronomic servește drept alibi pentru o crimă.</ns0:t>
        </ns0:is>
      </ns0:c>
      <ns0:c r="R17" s="7" t="inlineStr"/>
      <ns0:c r="S17" s="7">
        <ns0:f>COUNTIFS(Editii_300!$B$2:$B$301,A17,Editii_300!$X$2:$X$301,1)</ns0:f>
        <ns0:v>0</ns0:v>
      </ns0:c>
      <ns0:c r="T17" s="7">
        <ns0:f>IF(S17=3,1,0)</ns0:f>
        <ns0:v>0</ns0:v>
      </ns0:c>
    </ns0:row>
    <ns0:row r="18" ht="65" customHeight="1">
      <ns0:c r="A18" s="7" t="inlineStr">
        <ns0:is>
          <ns0:t>DB-017</ns0:t>
        </ns0:is>
      </ns0:c>
      <ns0:c r="B18" s="7" t="inlineStr">
        <ns0:is>
          <ns0:t>NOIR</ns0:t>
        </ns0:is>
      </ns0:c>
      <ns0:c r="C18" s="7" t="inlineStr">
        <ns0:is>
          <ns0:t>Carpathian Cold Cases</ns0:t>
        </ns0:is>
      </ns0:c>
      <ns0:c r="D18" s="8" t="n">
        <ns0:v>7</ns0:v>
      </ns0:c>
      <ns0:c r="E18" s="7" t="inlineStr">
        <ns0:is>
          <ns0:t>The Borrowed Identity</ns0:t>
        </ns0:is>
      </ns0:c>
      <ns0:c r="F18" s="7" t="inlineStr">
        <ns0:is>
          <ns0:t>Nou</ns0:t>
        </ns0:is>
      </ns0:c>
      <ns0:c r="G18" s="7" t="inlineStr">
        <ns0:is>
          <ns0:t>EN</ns0:t>
        </ns0:is>
      </ns0:c>
      <ns0:c r="H18" s="7" t="inlineStr">
        <ns0:is>
          <ns0:t>Concept propus; nescris</ns0:t>
        </ns0:is>
      </ns0:c>
      <ns0:c r="I18" s="9" t="n">
        <ns0:v>55000</ns0:v>
      </ns0:c>
      <ns0:c r="J18" s="10" t="n">
        <ns0:v>46311</ns0:v>
      </ns0:c>
      <ns0:c r="K18" s="10" t="n">
        <ns0:v>46329</ns0:v>
      </ns0:c>
      <ns0:c r="L18" s="10" t="n">
        <ns0:v>46331</ns0:v>
      </ns0:c>
      <ns0:c r="M18" s="10" t="n">
        <ns0:v>46333</ns0:v>
      </ns0:c>
      <ns0:c r="N18" s="7" t="inlineStr">
        <ns0:is>
          <ns0:t>LOT B</ns0:t>
        </ns0:is>
      </ns0:c>
      <ns0:c r="O18" s="11" t="inlineStr">
        <ns0:is>
          <ns0:t>De contractat / desemnat</ns0:t>
        </ns0:is>
      </ns0:c>
      <ns0:c r="P18" s="7" t="inlineStr">
        <ns0:is>
          <ns0:t>Thriller contemporan</ns0:t>
        </ns0:is>
      </ns0:c>
      <ns0:c r="Q18" s="7" t="inlineStr">
        <ns0:is>
          <ns0:t>Un pașaport apare la două persoane care nu s-au întâlnit.</ns0:t>
        </ns0:is>
      </ns0:c>
      <ns0:c r="R18" s="7" t="inlineStr"/>
      <ns0:c r="S18" s="7">
        <ns0:f>COUNTIFS(Editii_300!$B$2:$B$301,A18,Editii_300!$X$2:$X$301,1)</ns0:f>
        <ns0:v>0</ns0:v>
      </ns0:c>
      <ns0:c r="T18" s="7">
        <ns0:f>IF(S18=3,1,0)</ns0:f>
        <ns0:v>0</ns0:v>
      </ns0:c>
    </ns0:row>
    <ns0:row r="19" ht="65" customHeight="1">
      <ns0:c r="A19" s="7" t="inlineStr">
        <ns0:is>
          <ns0:t>DB-018</ns0:t>
        </ns0:is>
      </ns0:c>
      <ns0:c r="B19" s="7" t="inlineStr">
        <ns0:is>
          <ns0:t>NOIR</ns0:t>
        </ns0:is>
      </ns0:c>
      <ns0:c r="C19" s="7" t="inlineStr">
        <ns0:is>
          <ns0:t>Carpathian Cold Cases</ns0:t>
        </ns0:is>
      </ns0:c>
      <ns0:c r="D19" s="8" t="n">
        <ns0:v>8</ns0:v>
      </ns0:c>
      <ns0:c r="E19" s="7" t="inlineStr">
        <ns0:is>
          <ns0:t>The Lake House Ledger</ns0:t>
        </ns0:is>
      </ns0:c>
      <ns0:c r="F19" s="7" t="inlineStr">
        <ns0:is>
          <ns0:t>Nou</ns0:t>
        </ns0:is>
      </ns0:c>
      <ns0:c r="G19" s="7" t="inlineStr">
        <ns0:is>
          <ns0:t>EN</ns0:t>
        </ns0:is>
      </ns0:c>
      <ns0:c r="H19" s="7" t="inlineStr">
        <ns0:is>
          <ns0:t>Concept propus; nescris</ns0:t>
        </ns0:is>
      </ns0:c>
      <ns0:c r="I19" s="9" t="n">
        <ns0:v>55000</ns0:v>
      </ns0:c>
      <ns0:c r="J19" s="10" t="n">
        <ns0:v>46311</ns0:v>
      </ns0:c>
      <ns0:c r="K19" s="10" t="n">
        <ns0:v>46329</ns0:v>
      </ns0:c>
      <ns0:c r="L19" s="10" t="n">
        <ns0:v>46331</ns0:v>
      </ns0:c>
      <ns0:c r="M19" s="10" t="n">
        <ns0:v>46333</ns0:v>
      </ns0:c>
      <ns0:c r="N19" s="7" t="inlineStr">
        <ns0:is>
          <ns0:t>LOT B</ns0:t>
        </ns0:is>
      </ns0:c>
      <ns0:c r="O19" s="11" t="inlineStr">
        <ns0:is>
          <ns0:t>De contractat / desemnat</ns0:t>
        </ns0:is>
      </ns0:c>
      <ns0:c r="P19" s="7" t="inlineStr">
        <ns0:is>
          <ns0:t>Thriller contemporan</ns0:t>
        </ns0:is>
      </ns0:c>
      <ns0:c r="Q19" s="7" t="inlineStr">
        <ns0:is>
          <ns0:t>O contabilă descifrează plățile unui șantaj vechi.</ns0:t>
        </ns0:is>
      </ns0:c>
      <ns0:c r="R19" s="7" t="inlineStr"/>
      <ns0:c r="S19" s="7">
        <ns0:f>COUNTIFS(Editii_300!$B$2:$B$301,A19,Editii_300!$X$2:$X$301,1)</ns0:f>
        <ns0:v>0</ns0:v>
      </ns0:c>
      <ns0:c r="T19" s="7">
        <ns0:f>IF(S19=3,1,0)</ns0:f>
        <ns0:v>0</ns0:v>
      </ns0:c>
    </ns0:row>
    <ns0:row r="20" ht="65" customHeight="1">
      <ns0:c r="A20" s="7" t="inlineStr">
        <ns0:is>
          <ns0:t>DB-019</ns0:t>
        </ns0:is>
      </ns0:c>
      <ns0:c r="B20" s="7" t="inlineStr">
        <ns0:is>
          <ns0:t>NOIR</ns0:t>
        </ns0:is>
      </ns0:c>
      <ns0:c r="C20" s="7" t="inlineStr">
        <ns0:is>
          <ns0:t>Carpathian Cold Cases</ns0:t>
        </ns0:is>
      </ns0:c>
      <ns0:c r="D20" s="8" t="n">
        <ns0:v>9</ns0:v>
      </ns0:c>
      <ns0:c r="E20" s="7" t="inlineStr">
        <ns0:is>
          <ns0:t>The Unsent Testimony</ns0:t>
        </ns0:is>
      </ns0:c>
      <ns0:c r="F20" s="7" t="inlineStr">
        <ns0:is>
          <ns0:t>Nou</ns0:t>
        </ns0:is>
      </ns0:c>
      <ns0:c r="G20" s="7" t="inlineStr">
        <ns0:is>
          <ns0:t>EN</ns0:t>
        </ns0:is>
      </ns0:c>
      <ns0:c r="H20" s="7" t="inlineStr">
        <ns0:is>
          <ns0:t>Concept propus; nescris</ns0:t>
        </ns0:is>
      </ns0:c>
      <ns0:c r="I20" s="9" t="n">
        <ns0:v>55000</ns0:v>
      </ns0:c>
      <ns0:c r="J20" s="10" t="n">
        <ns0:v>46311</ns0:v>
      </ns0:c>
      <ns0:c r="K20" s="10" t="n">
        <ns0:v>46329</ns0:v>
      </ns0:c>
      <ns0:c r="L20" s="10" t="n">
        <ns0:v>46331</ns0:v>
      </ns0:c>
      <ns0:c r="M20" s="10" t="n">
        <ns0:v>46333</ns0:v>
      </ns0:c>
      <ns0:c r="N20" s="7" t="inlineStr">
        <ns0:is>
          <ns0:t>LOT B</ns0:t>
        </ns0:is>
      </ns0:c>
      <ns0:c r="O20" s="11" t="inlineStr">
        <ns0:is>
          <ns0:t>De contractat / desemnat</ns0:t>
        </ns0:is>
      </ns0:c>
      <ns0:c r="P20" s="7" t="inlineStr">
        <ns0:is>
          <ns0:t>Thriller contemporan</ns0:t>
        </ns0:is>
      </ns0:c>
      <ns0:c r="Q20" s="7" t="inlineStr">
        <ns0:is>
          <ns0:t>Un mesaj programat ajunge după dispariția expeditorului.</ns0:t>
        </ns0:is>
      </ns0:c>
      <ns0:c r="R20" s="7" t="inlineStr"/>
      <ns0:c r="S20" s="7">
        <ns0:f>COUNTIFS(Editii_300!$B$2:$B$301,A20,Editii_300!$X$2:$X$301,1)</ns0:f>
        <ns0:v>0</ns0:v>
      </ns0:c>
      <ns0:c r="T20" s="7">
        <ns0:f>IF(S20=3,1,0)</ns0:f>
        <ns0:v>0</ns0:v>
      </ns0:c>
    </ns0:row>
    <ns0:row r="21" ht="65" customHeight="1">
      <ns0:c r="A21" s="7" t="inlineStr">
        <ns0:is>
          <ns0:t>DB-020</ns0:t>
        </ns0:is>
      </ns0:c>
      <ns0:c r="B21" s="7" t="inlineStr">
        <ns0:is>
          <ns0:t>NOIR</ns0:t>
        </ns0:is>
      </ns0:c>
      <ns0:c r="C21" s="7" t="inlineStr">
        <ns0:is>
          <ns0:t>Carpathian Cold Cases</ns0:t>
        </ns0:is>
      </ns0:c>
      <ns0:c r="D21" s="8" t="n">
        <ns0:v>10</ns0:v>
      </ns0:c>
      <ns0:c r="E21" s="7" t="inlineStr">
        <ns0:is>
          <ns0:t>The Mountain Keeps the Names</ns0:t>
        </ns0:is>
      </ns0:c>
      <ns0:c r="F21" s="7" t="inlineStr">
        <ns0:is>
          <ns0:t>Nou</ns0:t>
        </ns0:is>
      </ns0:c>
      <ns0:c r="G21" s="7" t="inlineStr">
        <ns0:is>
          <ns0:t>EN</ns0:t>
        </ns0:is>
      </ns0:c>
      <ns0:c r="H21" s="7" t="inlineStr">
        <ns0:is>
          <ns0:t>Concept propus; nescris</ns0:t>
        </ns0:is>
      </ns0:c>
      <ns0:c r="I21" s="9" t="n">
        <ns0:v>55000</ns0:v>
      </ns0:c>
      <ns0:c r="J21" s="10" t="n">
        <ns0:v>46311</ns0:v>
      </ns0:c>
      <ns0:c r="K21" s="10" t="n">
        <ns0:v>46329</ns0:v>
      </ns0:c>
      <ns0:c r="L21" s="10" t="n">
        <ns0:v>46331</ns0:v>
      </ns0:c>
      <ns0:c r="M21" s="10" t="n">
        <ns0:v>46333</ns0:v>
      </ns0:c>
      <ns0:c r="N21" s="7" t="inlineStr">
        <ns0:is>
          <ns0:t>LOT B</ns0:t>
        </ns0:is>
      </ns0:c>
      <ns0:c r="O21" s="11" t="inlineStr">
        <ns0:is>
          <ns0:t>De contractat / desemnat</ns0:t>
        </ns0:is>
      </ns0:c>
      <ns0:c r="P21" s="7" t="inlineStr">
        <ns0:is>
          <ns0:t>Thriller contemporan</ns0:t>
        </ns0:is>
      </ns0:c>
      <ns0:c r="Q21" s="7" t="inlineStr">
        <ns0:is>
          <ns0:t>Cazul final leagă dosarele printr-o victimă comună.</ns0:t>
        </ns0:is>
      </ns0:c>
      <ns0:c r="R21" s="7" t="inlineStr"/>
      <ns0:c r="S21" s="7">
        <ns0:f>COUNTIFS(Editii_300!$B$2:$B$301,A21,Editii_300!$X$2:$X$301,1)</ns0:f>
        <ns0:v>0</ns0:v>
      </ns0:c>
      <ns0:c r="T21" s="7">
        <ns0:f>IF(S21=3,1,0)</ns0:f>
        <ns0:v>0</ns0:v>
      </ns0:c>
    </ns0:row>
    <ns0:row r="22" ht="65" customHeight="1">
      <ns0:c r="A22" s="7" t="inlineStr">
        <ns0:is>
          <ns0:t>DB-021</ns0:t>
        </ns0:is>
      </ns0:c>
      <ns0:c r="B22" s="7" t="inlineStr">
        <ns0:is>
          <ns0:t>NOIR</ns0:t>
        </ns0:is>
      </ns0:c>
      <ns0:c r="C22" s="7" t="inlineStr">
        <ns0:is>
          <ns0:t>The Black Archive</ns0:t>
        </ns0:is>
      </ns0:c>
      <ns0:c r="D22" s="8" t="n">
        <ns0:v>1</ns0:v>
      </ns0:c>
      <ns0:c r="E22" s="7" t="inlineStr">
        <ns0:is>
          <ns0:t>The Ink That Remembers</ns0:t>
        </ns0:is>
      </ns0:c>
      <ns0:c r="F22" s="7" t="inlineStr">
        <ns0:is>
          <ns0:t>Nou</ns0:t>
        </ns0:is>
      </ns0:c>
      <ns0:c r="G22" s="7" t="inlineStr">
        <ns0:is>
          <ns0:t>EN</ns0:t>
        </ns0:is>
      </ns0:c>
      <ns0:c r="H22" s="7" t="inlineStr">
        <ns0:is>
          <ns0:t>Concept propus; nescris</ns0:t>
        </ns0:is>
      </ns0:c>
      <ns0:c r="I22" s="9" t="n">
        <ns0:v>35000</ns0:v>
      </ns0:c>
      <ns0:c r="J22" s="10" t="n">
        <ns0:v>46304</ns0:v>
      </ns0:c>
      <ns0:c r="K22" s="10" t="n">
        <ns0:v>46322</ns0:v>
      </ns0:c>
      <ns0:c r="L22" s="10" t="n">
        <ns0:v>46324</ns0:v>
      </ns0:c>
      <ns0:c r="M22" s="10" t="n">
        <ns0:v>46326</ns0:v>
      </ns0:c>
      <ns0:c r="N22" s="7" t="inlineStr">
        <ns0:is>
          <ns0:t>LOT A</ns0:t>
        </ns0:is>
      </ns0:c>
      <ns0:c r="O22" s="11" t="inlineStr">
        <ns0:is>
          <ns0:t>De contractat / desemnat</ns0:t>
        </ns0:is>
      </ns0:c>
      <ns0:c r="P22" s="7" t="inlineStr">
        <ns0:is>
          <ns0:t>Roman scurt gotic</ns0:t>
        </ns0:is>
      </ns0:c>
      <ns0:c r="Q22" s="7" t="inlineStr">
        <ns0:is>
          <ns0:t>O restauratoare citește ultimele amintiri ascunse într-o cerneală.</ns0:t>
        </ns0:is>
      </ns0:c>
      <ns0:c r="R22" s="7" t="inlineStr"/>
      <ns0:c r="S22" s="7">
        <ns0:f>COUNTIFS(Editii_300!$B$2:$B$301,A22,Editii_300!$X$2:$X$301,1)</ns0:f>
        <ns0:v>0</ns0:v>
      </ns0:c>
      <ns0:c r="T22" s="7">
        <ns0:f>IF(S22=3,1,0)</ns0:f>
        <ns0:v>0</ns0:v>
      </ns0:c>
    </ns0:row>
    <ns0:row r="23" ht="65" customHeight="1">
      <ns0:c r="A23" s="7" t="inlineStr">
        <ns0:is>
          <ns0:t>DB-022</ns0:t>
        </ns0:is>
      </ns0:c>
      <ns0:c r="B23" s="7" t="inlineStr">
        <ns0:is>
          <ns0:t>NOIR</ns0:t>
        </ns0:is>
      </ns0:c>
      <ns0:c r="C23" s="7" t="inlineStr">
        <ns0:is>
          <ns0:t>The Black Archive</ns0:t>
        </ns0:is>
      </ns0:c>
      <ns0:c r="D23" s="8" t="n">
        <ns0:v>2</ns0:v>
      </ns0:c>
      <ns0:c r="E23" s="7" t="inlineStr">
        <ns0:is>
          <ns0:t>The Chapel of Unkept Promises</ns0:t>
        </ns0:is>
      </ns0:c>
      <ns0:c r="F23" s="7" t="inlineStr">
        <ns0:is>
          <ns0:t>Nou</ns0:t>
        </ns0:is>
      </ns0:c>
      <ns0:c r="G23" s="7" t="inlineStr">
        <ns0:is>
          <ns0:t>EN</ns0:t>
        </ns0:is>
      </ns0:c>
      <ns0:c r="H23" s="7" t="inlineStr">
        <ns0:is>
          <ns0:t>Concept propus; nescris</ns0:t>
        </ns0:is>
      </ns0:c>
      <ns0:c r="I23" s="9" t="n">
        <ns0:v>35000</ns0:v>
      </ns0:c>
      <ns0:c r="J23" s="10" t="n">
        <ns0:v>46304</ns0:v>
      </ns0:c>
      <ns0:c r="K23" s="10" t="n">
        <ns0:v>46322</ns0:v>
      </ns0:c>
      <ns0:c r="L23" s="10" t="n">
        <ns0:v>46324</ns0:v>
      </ns0:c>
      <ns0:c r="M23" s="10" t="n">
        <ns0:v>46326</ns0:v>
      </ns0:c>
      <ns0:c r="N23" s="7" t="inlineStr">
        <ns0:is>
          <ns0:t>LOT A</ns0:t>
        </ns0:is>
      </ns0:c>
      <ns0:c r="O23" s="11" t="inlineStr">
        <ns0:is>
          <ns0:t>De contractat / desemnat</ns0:t>
        </ns0:is>
      </ns0:c>
      <ns0:c r="P23" s="7" t="inlineStr">
        <ns0:is>
          <ns0:t>Roman scurt gotic</ns0:t>
        </ns0:is>
      </ns0:c>
      <ns0:c r="Q23" s="7" t="inlineStr">
        <ns0:is>
          <ns0:t>Un jurământ încălcat pune în pericol o comunitate izolată.</ns0:t>
        </ns0:is>
      </ns0:c>
      <ns0:c r="R23" s="7" t="inlineStr"/>
      <ns0:c r="S23" s="7">
        <ns0:f>COUNTIFS(Editii_300!$B$2:$B$301,A23,Editii_300!$X$2:$X$301,1)</ns0:f>
        <ns0:v>0</ns0:v>
      </ns0:c>
      <ns0:c r="T23" s="7">
        <ns0:f>IF(S23=3,1,0)</ns0:f>
        <ns0:v>0</ns0:v>
      </ns0:c>
    </ns0:row>
    <ns0:row r="24" ht="65" customHeight="1">
      <ns0:c r="A24" s="7" t="inlineStr">
        <ns0:is>
          <ns0:t>DB-023</ns0:t>
        </ns0:is>
      </ns0:c>
      <ns0:c r="B24" s="7" t="inlineStr">
        <ns0:is>
          <ns0:t>NOIR</ns0:t>
        </ns0:is>
      </ns0:c>
      <ns0:c r="C24" s="7" t="inlineStr">
        <ns0:is>
          <ns0:t>The Black Archive</ns0:t>
        </ns0:is>
      </ns0:c>
      <ns0:c r="D24" s="8" t="n">
        <ns0:v>3</ns0:v>
      </ns0:c>
      <ns0:c r="E24" s="7" t="inlineStr">
        <ns0:is>
          <ns0:t>The Portrait Without Eyes</ns0:t>
        </ns0:is>
      </ns0:c>
      <ns0:c r="F24" s="7" t="inlineStr">
        <ns0:is>
          <ns0:t>Nou</ns0:t>
        </ns0:is>
      </ns0:c>
      <ns0:c r="G24" s="7" t="inlineStr">
        <ns0:is>
          <ns0:t>EN</ns0:t>
        </ns0:is>
      </ns0:c>
      <ns0:c r="H24" s="7" t="inlineStr">
        <ns0:is>
          <ns0:t>Concept propus; nescris</ns0:t>
        </ns0:is>
      </ns0:c>
      <ns0:c r="I24" s="9" t="n">
        <ns0:v>35000</ns0:v>
      </ns0:c>
      <ns0:c r="J24" s="10" t="n">
        <ns0:v>46304</ns0:v>
      </ns0:c>
      <ns0:c r="K24" s="10" t="n">
        <ns0:v>46322</ns0:v>
      </ns0:c>
      <ns0:c r="L24" s="10" t="n">
        <ns0:v>46324</ns0:v>
      </ns0:c>
      <ns0:c r="M24" s="10" t="n">
        <ns0:v>46326</ns0:v>
      </ns0:c>
      <ns0:c r="N24" s="7" t="inlineStr">
        <ns0:is>
          <ns0:t>LOT A</ns0:t>
        </ns0:is>
      </ns0:c>
      <ns0:c r="O24" s="11" t="inlineStr">
        <ns0:is>
          <ns0:t>De contractat / desemnat</ns0:t>
        </ns0:is>
      </ns0:c>
      <ns0:c r="P24" s="7" t="inlineStr">
        <ns0:is>
          <ns0:t>Roman scurt gotic</ns0:t>
        </ns0:is>
      </ns0:c>
      <ns0:c r="Q24" s="7" t="inlineStr">
        <ns0:is>
          <ns0:t>O portretistă caută modelul care lipsește din propriul tablou.</ns0:t>
        </ns0:is>
      </ns0:c>
      <ns0:c r="R24" s="7" t="inlineStr"/>
      <ns0:c r="S24" s="7">
        <ns0:f>COUNTIFS(Editii_300!$B$2:$B$301,A24,Editii_300!$X$2:$X$301,1)</ns0:f>
        <ns0:v>0</ns0:v>
      </ns0:c>
      <ns0:c r="T24" s="7">
        <ns0:f>IF(S24=3,1,0)</ns0:f>
        <ns0:v>0</ns0:v>
      </ns0:c>
    </ns0:row>
    <ns0:row r="25" ht="65" customHeight="1">
      <ns0:c r="A25" s="7" t="inlineStr">
        <ns0:is>
          <ns0:t>DB-024</ns0:t>
        </ns0:is>
      </ns0:c>
      <ns0:c r="B25" s="7" t="inlineStr">
        <ns0:is>
          <ns0:t>NOIR</ns0:t>
        </ns0:is>
      </ns0:c>
      <ns0:c r="C25" s="7" t="inlineStr">
        <ns0:is>
          <ns0:t>The Black Archive</ns0:t>
        </ns0:is>
      </ns0:c>
      <ns0:c r="D25" s="8" t="n">
        <ns0:v>4</ns0:v>
      </ns0:c>
      <ns0:c r="E25" s="7" t="inlineStr">
        <ns0:is>
          <ns0:t>The House of Borrowed Winters</ns0:t>
        </ns0:is>
      </ns0:c>
      <ns0:c r="F25" s="7" t="inlineStr">
        <ns0:is>
          <ns0:t>Nou</ns0:t>
        </ns0:is>
      </ns0:c>
      <ns0:c r="G25" s="7" t="inlineStr">
        <ns0:is>
          <ns0:t>EN</ns0:t>
        </ns0:is>
      </ns0:c>
      <ns0:c r="H25" s="7" t="inlineStr">
        <ns0:is>
          <ns0:t>Concept propus; nescris</ns0:t>
        </ns0:is>
      </ns0:c>
      <ns0:c r="I25" s="9" t="n">
        <ns0:v>35000</ns0:v>
      </ns0:c>
      <ns0:c r="J25" s="10" t="n">
        <ns0:v>46304</ns0:v>
      </ns0:c>
      <ns0:c r="K25" s="10" t="n">
        <ns0:v>46322</ns0:v>
      </ns0:c>
      <ns0:c r="L25" s="10" t="n">
        <ns0:v>46324</ns0:v>
      </ns0:c>
      <ns0:c r="M25" s="10" t="n">
        <ns0:v>46326</ns0:v>
      </ns0:c>
      <ns0:c r="N25" s="7" t="inlineStr">
        <ns0:is>
          <ns0:t>LOT A</ns0:t>
        </ns0:is>
      </ns0:c>
      <ns0:c r="O25" s="11" t="inlineStr">
        <ns0:is>
          <ns0:t>De contractat / desemnat</ns0:t>
        </ns0:is>
      </ns0:c>
      <ns0:c r="P25" s="7" t="inlineStr">
        <ns0:is>
          <ns0:t>Roman scurt gotic</ns0:t>
        </ns0:is>
      </ns0:c>
      <ns0:c r="Q25" s="7" t="inlineStr">
        <ns0:is>
          <ns0:t>O casă cere locatarilor o amintire pentru fiecare noapte.</ns0:t>
        </ns0:is>
      </ns0:c>
      <ns0:c r="R25" s="7" t="inlineStr"/>
      <ns0:c r="S25" s="7">
        <ns0:f>COUNTIFS(Editii_300!$B$2:$B$301,A25,Editii_300!$X$2:$X$301,1)</ns0:f>
        <ns0:v>0</ns0:v>
      </ns0:c>
      <ns0:c r="T25" s="7">
        <ns0:f>IF(S25=3,1,0)</ns0:f>
        <ns0:v>0</ns0:v>
      </ns0:c>
    </ns0:row>
    <ns0:row r="26" ht="65" customHeight="1">
      <ns0:c r="A26" s="7" t="inlineStr">
        <ns0:is>
          <ns0:t>DB-025</ns0:t>
        </ns0:is>
      </ns0:c>
      <ns0:c r="B26" s="7" t="inlineStr">
        <ns0:is>
          <ns0:t>NOIR</ns0:t>
        </ns0:is>
      </ns0:c>
      <ns0:c r="C26" s="7" t="inlineStr">
        <ns0:is>
          <ns0:t>The Black Archive</ns0:t>
        </ns0:is>
      </ns0:c>
      <ns0:c r="D26" s="8" t="n">
        <ns0:v>5</ns0:v>
      </ns0:c>
      <ns0:c r="E26" s="7" t="inlineStr">
        <ns0:is>
          <ns0:t>The Salt Mirror</ns0:t>
        </ns0:is>
      </ns0:c>
      <ns0:c r="F26" s="7" t="inlineStr">
        <ns0:is>
          <ns0:t>Nou</ns0:t>
        </ns0:is>
      </ns0:c>
      <ns0:c r="G26" s="7" t="inlineStr">
        <ns0:is>
          <ns0:t>EN</ns0:t>
        </ns0:is>
      </ns0:c>
      <ns0:c r="H26" s="7" t="inlineStr">
        <ns0:is>
          <ns0:t>Concept propus; nescris</ns0:t>
        </ns0:is>
      </ns0:c>
      <ns0:c r="I26" s="9" t="n">
        <ns0:v>35000</ns0:v>
      </ns0:c>
      <ns0:c r="J26" s="10" t="n">
        <ns0:v>46304</ns0:v>
      </ns0:c>
      <ns0:c r="K26" s="10" t="n">
        <ns0:v>46322</ns0:v>
      </ns0:c>
      <ns0:c r="L26" s="10" t="n">
        <ns0:v>46324</ns0:v>
      </ns0:c>
      <ns0:c r="M26" s="10" t="n">
        <ns0:v>46326</ns0:v>
      </ns0:c>
      <ns0:c r="N26" s="7" t="inlineStr">
        <ns0:is>
          <ns0:t>LOT A</ns0:t>
        </ns0:is>
      </ns0:c>
      <ns0:c r="O26" s="11" t="inlineStr">
        <ns0:is>
          <ns0:t>De contractat / desemnat</ns0:t>
        </ns0:is>
      </ns0:c>
      <ns0:c r="P26" s="7" t="inlineStr">
        <ns0:is>
          <ns0:t>Roman scurt gotic</ns0:t>
        </ns0:is>
      </ns0:c>
      <ns0:c r="Q26" s="7" t="inlineStr">
        <ns0:is>
          <ns0:t>O oglindă de sare arată o alegere viitoare și costul ei.</ns0:t>
        </ns0:is>
      </ns0:c>
      <ns0:c r="R26" s="7" t="inlineStr"/>
      <ns0:c r="S26" s="7">
        <ns0:f>COUNTIFS(Editii_300!$B$2:$B$301,A26,Editii_300!$X$2:$X$301,1)</ns0:f>
        <ns0:v>0</ns0:v>
      </ns0:c>
      <ns0:c r="T26" s="7">
        <ns0:f>IF(S26=3,1,0)</ns0:f>
        <ns0:v>0</ns0:v>
      </ns0:c>
    </ns0:row>
    <ns0:row r="27" ht="65" customHeight="1">
      <ns0:c r="A27" s="7" t="inlineStr">
        <ns0:is>
          <ns0:t>DB-026</ns0:t>
        </ns0:is>
      </ns0:c>
      <ns0:c r="B27" s="7" t="inlineStr">
        <ns0:is>
          <ns0:t>NOIR</ns0:t>
        </ns0:is>
      </ns0:c>
      <ns0:c r="C27" s="7" t="inlineStr">
        <ns0:is>
          <ns0:t>The Black Archive</ns0:t>
        </ns0:is>
      </ns0:c>
      <ns0:c r="D27" s="8" t="n">
        <ns0:v>6</ns0:v>
      </ns0:c>
      <ns0:c r="E27" s="7" t="inlineStr">
        <ns0:is>
          <ns0:t>The Orchard of Silent Bells</ns0:t>
        </ns0:is>
      </ns0:c>
      <ns0:c r="F27" s="7" t="inlineStr">
        <ns0:is>
          <ns0:t>Nou</ns0:t>
        </ns0:is>
      </ns0:c>
      <ns0:c r="G27" s="7" t="inlineStr">
        <ns0:is>
          <ns0:t>EN</ns0:t>
        </ns0:is>
      </ns0:c>
      <ns0:c r="H27" s="7" t="inlineStr">
        <ns0:is>
          <ns0:t>Concept propus; nescris</ns0:t>
        </ns0:is>
      </ns0:c>
      <ns0:c r="I27" s="9" t="n">
        <ns0:v>35000</ns0:v>
      </ns0:c>
      <ns0:c r="J27" s="10" t="n">
        <ns0:v>46304</ns0:v>
      </ns0:c>
      <ns0:c r="K27" s="10" t="n">
        <ns0:v>46322</ns0:v>
      </ns0:c>
      <ns0:c r="L27" s="10" t="n">
        <ns0:v>46324</ns0:v>
      </ns0:c>
      <ns0:c r="M27" s="10" t="n">
        <ns0:v>46326</ns0:v>
      </ns0:c>
      <ns0:c r="N27" s="7" t="inlineStr">
        <ns0:is>
          <ns0:t>LOT A</ns0:t>
        </ns0:is>
      </ns0:c>
      <ns0:c r="O27" s="11" t="inlineStr">
        <ns0:is>
          <ns0:t>De contractat / desemnat</ns0:t>
        </ns0:is>
      </ns0:c>
      <ns0:c r="P27" s="7" t="inlineStr">
        <ns0:is>
          <ns0:t>Roman scurt gotic</ns0:t>
        </ns0:is>
      </ns0:c>
      <ns0:c r="Q27" s="7" t="inlineStr">
        <ns0:is>
          <ns0:t>Moștenirea unei livezi reactivează un contract de familie.</ns0:t>
        </ns0:is>
      </ns0:c>
      <ns0:c r="R27" s="7" t="inlineStr"/>
      <ns0:c r="S27" s="7">
        <ns0:f>COUNTIFS(Editii_300!$B$2:$B$301,A27,Editii_300!$X$2:$X$301,1)</ns0:f>
        <ns0:v>0</ns0:v>
      </ns0:c>
      <ns0:c r="T27" s="7">
        <ns0:f>IF(S27=3,1,0)</ns0:f>
        <ns0:v>0</ns0:v>
      </ns0:c>
    </ns0:row>
    <ns0:row r="28" ht="65" customHeight="1">
      <ns0:c r="A28" s="7" t="inlineStr">
        <ns0:is>
          <ns0:t>DB-027</ns0:t>
        </ns0:is>
      </ns0:c>
      <ns0:c r="B28" s="7" t="inlineStr">
        <ns0:is>
          <ns0:t>NOIR</ns0:t>
        </ns0:is>
      </ns0:c>
      <ns0:c r="C28" s="7" t="inlineStr">
        <ns0:is>
          <ns0:t>The Black Archive</ns0:t>
        </ns0:is>
      </ns0:c>
      <ns0:c r="D28" s="8" t="n">
        <ns0:v>7</ns0:v>
      </ns0:c>
      <ns0:c r="E28" s="7" t="inlineStr">
        <ns0:is>
          <ns0:t>The Cartographer's Last Room</ns0:t>
        </ns0:is>
      </ns0:c>
      <ns0:c r="F28" s="7" t="inlineStr">
        <ns0:is>
          <ns0:t>Nou</ns0:t>
        </ns0:is>
      </ns0:c>
      <ns0:c r="G28" s="7" t="inlineStr">
        <ns0:is>
          <ns0:t>EN</ns0:t>
        </ns0:is>
      </ns0:c>
      <ns0:c r="H28" s="7" t="inlineStr">
        <ns0:is>
          <ns0:t>Concept propus; nescris</ns0:t>
        </ns0:is>
      </ns0:c>
      <ns0:c r="I28" s="9" t="n">
        <ns0:v>35000</ns0:v>
      </ns0:c>
      <ns0:c r="J28" s="10" t="n">
        <ns0:v>46304</ns0:v>
      </ns0:c>
      <ns0:c r="K28" s="10" t="n">
        <ns0:v>46322</ns0:v>
      </ns0:c>
      <ns0:c r="L28" s="10" t="n">
        <ns0:v>46324</ns0:v>
      </ns0:c>
      <ns0:c r="M28" s="10" t="n">
        <ns0:v>46326</ns0:v>
      </ns0:c>
      <ns0:c r="N28" s="7" t="inlineStr">
        <ns0:is>
          <ns0:t>LOT A</ns0:t>
        </ns0:is>
      </ns0:c>
      <ns0:c r="O28" s="11" t="inlineStr">
        <ns0:is>
          <ns0:t>De contractat / desemnat</ns0:t>
        </ns0:is>
      </ns0:c>
      <ns0:c r="P28" s="7" t="inlineStr">
        <ns0:is>
          <ns0:t>Roman scurt gotic</ns0:t>
        </ns0:is>
      </ns0:c>
      <ns0:c r="Q28" s="7" t="inlineStr">
        <ns0:is>
          <ns0:t>Ultima cameră a unei hărți schimbă clădirea reală.</ns0:t>
        </ns0:is>
      </ns0:c>
      <ns0:c r="R28" s="7" t="inlineStr"/>
      <ns0:c r="S28" s="7">
        <ns0:f>COUNTIFS(Editii_300!$B$2:$B$301,A28,Editii_300!$X$2:$X$301,1)</ns0:f>
        <ns0:v>0</ns0:v>
      </ns0:c>
      <ns0:c r="T28" s="7">
        <ns0:f>IF(S28=3,1,0)</ns0:f>
        <ns0:v>0</ns0:v>
      </ns0:c>
    </ns0:row>
    <ns0:row r="29" ht="65" customHeight="1">
      <ns0:c r="A29" s="7" t="inlineStr">
        <ns0:is>
          <ns0:t>DB-028</ns0:t>
        </ns0:is>
      </ns0:c>
      <ns0:c r="B29" s="7" t="inlineStr">
        <ns0:is>
          <ns0:t>NOIR</ns0:t>
        </ns0:is>
      </ns0:c>
      <ns0:c r="C29" s="7" t="inlineStr">
        <ns0:is>
          <ns0:t>The Black Archive</ns0:t>
        </ns0:is>
      </ns0:c>
      <ns0:c r="D29" s="8" t="n">
        <ns0:v>8</ns0:v>
      </ns0:c>
      <ns0:c r="E29" s="7" t="inlineStr">
        <ns0:is>
          <ns0:t>The Seamstress of Midnight</ns0:t>
        </ns0:is>
      </ns0:c>
      <ns0:c r="F29" s="7" t="inlineStr">
        <ns0:is>
          <ns0:t>Nou</ns0:t>
        </ns0:is>
      </ns0:c>
      <ns0:c r="G29" s="7" t="inlineStr">
        <ns0:is>
          <ns0:t>EN</ns0:t>
        </ns0:is>
      </ns0:c>
      <ns0:c r="H29" s="7" t="inlineStr">
        <ns0:is>
          <ns0:t>Concept propus; nescris</ns0:t>
        </ns0:is>
      </ns0:c>
      <ns0:c r="I29" s="9" t="n">
        <ns0:v>35000</ns0:v>
      </ns0:c>
      <ns0:c r="J29" s="10" t="n">
        <ns0:v>46304</ns0:v>
      </ns0:c>
      <ns0:c r="K29" s="10" t="n">
        <ns0:v>46322</ns0:v>
      </ns0:c>
      <ns0:c r="L29" s="10" t="n">
        <ns0:v>46324</ns0:v>
      </ns0:c>
      <ns0:c r="M29" s="10" t="n">
        <ns0:v>46326</ns0:v>
      </ns0:c>
      <ns0:c r="N29" s="7" t="inlineStr">
        <ns0:is>
          <ns0:t>LOT A</ns0:t>
        </ns0:is>
      </ns0:c>
      <ns0:c r="O29" s="11" t="inlineStr">
        <ns0:is>
          <ns0:t>De contractat / desemnat</ns0:t>
        </ns0:is>
      </ns0:c>
      <ns0:c r="P29" s="7" t="inlineStr">
        <ns0:is>
          <ns0:t>Roman scurt gotic</ns0:t>
        </ns0:is>
      </ns0:c>
      <ns0:c r="Q29" s="7" t="inlineStr">
        <ns0:is>
          <ns0:t>O croitoreasă descoperă o mărturisire cusută în rochii.</ns0:t>
        </ns0:is>
      </ns0:c>
      <ns0:c r="R29" s="7" t="inlineStr"/>
      <ns0:c r="S29" s="7">
        <ns0:f>COUNTIFS(Editii_300!$B$2:$B$301,A29,Editii_300!$X$2:$X$301,1)</ns0:f>
        <ns0:v>0</ns0:v>
      </ns0:c>
      <ns0:c r="T29" s="7">
        <ns0:f>IF(S29=3,1,0)</ns0:f>
        <ns0:v>0</ns0:v>
      </ns0:c>
    </ns0:row>
    <ns0:row r="30" ht="65" customHeight="1">
      <ns0:c r="A30" s="7" t="inlineStr">
        <ns0:is>
          <ns0:t>DB-029</ns0:t>
        </ns0:is>
      </ns0:c>
      <ns0:c r="B30" s="7" t="inlineStr">
        <ns0:is>
          <ns0:t>NOIR</ns0:t>
        </ns0:is>
      </ns0:c>
      <ns0:c r="C30" s="7" t="inlineStr">
        <ns0:is>
          <ns0:t>The Black Archive</ns0:t>
        </ns0:is>
      </ns0:c>
      <ns0:c r="D30" s="8" t="n">
        <ns0:v>9</ns0:v>
      </ns0:c>
      <ns0:c r="E30" s="7" t="inlineStr">
        <ns0:is>
          <ns0:t>The Clock Beneath the Crypt</ns0:t>
        </ns0:is>
      </ns0:c>
      <ns0:c r="F30" s="7" t="inlineStr">
        <ns0:is>
          <ns0:t>Nou</ns0:t>
        </ns0:is>
      </ns0:c>
      <ns0:c r="G30" s="7" t="inlineStr">
        <ns0:is>
          <ns0:t>EN</ns0:t>
        </ns0:is>
      </ns0:c>
      <ns0:c r="H30" s="7" t="inlineStr">
        <ns0:is>
          <ns0:t>Concept propus; nescris</ns0:t>
        </ns0:is>
      </ns0:c>
      <ns0:c r="I30" s="9" t="n">
        <ns0:v>35000</ns0:v>
      </ns0:c>
      <ns0:c r="J30" s="10" t="n">
        <ns0:v>46304</ns0:v>
      </ns0:c>
      <ns0:c r="K30" s="10" t="n">
        <ns0:v>46322</ns0:v>
      </ns0:c>
      <ns0:c r="L30" s="10" t="n">
        <ns0:v>46324</ns0:v>
      </ns0:c>
      <ns0:c r="M30" s="10" t="n">
        <ns0:v>46326</ns0:v>
      </ns0:c>
      <ns0:c r="N30" s="7" t="inlineStr">
        <ns0:is>
          <ns0:t>LOT A</ns0:t>
        </ns0:is>
      </ns0:c>
      <ns0:c r="O30" s="11" t="inlineStr">
        <ns0:is>
          <ns0:t>De contractat / desemnat</ns0:t>
        </ns0:is>
      </ns0:c>
      <ns0:c r="P30" s="7" t="inlineStr">
        <ns0:is>
          <ns0:t>Roman scurt gotic</ns0:t>
        </ns0:is>
      </ns0:c>
      <ns0:c r="Q30" s="7" t="inlineStr">
        <ns0:is>
          <ns0:t>Un ceas oprit oferă un alibi imposibil.</ns0:t>
        </ns0:is>
      </ns0:c>
      <ns0:c r="R30" s="7" t="inlineStr"/>
      <ns0:c r="S30" s="7">
        <ns0:f>COUNTIFS(Editii_300!$B$2:$B$301,A30,Editii_300!$X$2:$X$301,1)</ns0:f>
        <ns0:v>0</ns0:v>
      </ns0:c>
      <ns0:c r="T30" s="7">
        <ns0:f>IF(S30=3,1,0)</ns0:f>
        <ns0:v>0</ns0:v>
      </ns0:c>
    </ns0:row>
    <ns0:row r="31" ht="65" customHeight="1">
      <ns0:c r="A31" s="7" t="inlineStr">
        <ns0:is>
          <ns0:t>DB-030</ns0:t>
        </ns0:is>
      </ns0:c>
      <ns0:c r="B31" s="7" t="inlineStr">
        <ns0:is>
          <ns0:t>NOIR</ns0:t>
        </ns0:is>
      </ns0:c>
      <ns0:c r="C31" s="7" t="inlineStr">
        <ns0:is>
          <ns0:t>The Black Archive</ns0:t>
        </ns0:is>
      </ns0:c>
      <ns0:c r="D31" s="8" t="n">
        <ns0:v>10</ns0:v>
      </ns0:c>
      <ns0:c r="E31" s="7" t="inlineStr">
        <ns0:is>
          <ns0:t>The Keeper of the Final Page</ns0:t>
        </ns0:is>
      </ns0:c>
      <ns0:c r="F31" s="7" t="inlineStr">
        <ns0:is>
          <ns0:t>Nou</ns0:t>
        </ns0:is>
      </ns0:c>
      <ns0:c r="G31" s="7" t="inlineStr">
        <ns0:is>
          <ns0:t>EN</ns0:t>
        </ns0:is>
      </ns0:c>
      <ns0:c r="H31" s="7" t="inlineStr">
        <ns0:is>
          <ns0:t>Concept propus; nescris</ns0:t>
        </ns0:is>
      </ns0:c>
      <ns0:c r="I31" s="9" t="n">
        <ns0:v>35000</ns0:v>
      </ns0:c>
      <ns0:c r="J31" s="10" t="n">
        <ns0:v>46304</ns0:v>
      </ns0:c>
      <ns0:c r="K31" s="10" t="n">
        <ns0:v>46322</ns0:v>
      </ns0:c>
      <ns0:c r="L31" s="10" t="n">
        <ns0:v>46324</ns0:v>
      </ns0:c>
      <ns0:c r="M31" s="10" t="n">
        <ns0:v>46326</ns0:v>
      </ns0:c>
      <ns0:c r="N31" s="7" t="inlineStr">
        <ns0:is>
          <ns0:t>LOT A</ns0:t>
        </ns0:is>
      </ns0:c>
      <ns0:c r="O31" s="11" t="inlineStr">
        <ns0:is>
          <ns0:t>De contractat / desemnat</ns0:t>
        </ns0:is>
      </ns0:c>
      <ns0:c r="P31" s="7" t="inlineStr">
        <ns0:is>
          <ns0:t>Roman scurt gotic</ns0:t>
        </ns0:is>
      </ns0:c>
      <ns0:c r="Q31" s="7" t="inlineStr">
        <ns0:is>
          <ns0:t>O bibliotecară trebuie să închidă povestea pe care o păzește.</ns0:t>
        </ns0:is>
      </ns0:c>
      <ns0:c r="R31" s="7" t="inlineStr"/>
      <ns0:c r="S31" s="7">
        <ns0:f>COUNTIFS(Editii_300!$B$2:$B$301,A31,Editii_300!$X$2:$X$301,1)</ns0:f>
        <ns0:v>0</ns0:v>
      </ns0:c>
      <ns0:c r="T31" s="7">
        <ns0:f>IF(S31=3,1,0)</ns0:f>
        <ns0:v>0</ns0:v>
      </ns0:c>
    </ns0:row>
    <ns0:row r="32" ht="65" customHeight="1">
      <ns0:c r="A32" s="7" t="inlineStr">
        <ns0:is>
          <ns0:t>DB-031</ns0:t>
        </ns0:is>
      </ns0:c>
      <ns0:c r="B32" s="7" t="inlineStr">
        <ns0:is>
          <ns0:t>NOIR</ns0:t>
        </ns0:is>
      </ns0:c>
      <ns0:c r="C32" s="7" t="inlineStr">
        <ns0:is>
          <ns0:t>The Borderland Files</ns0:t>
        </ns0:is>
      </ns0:c>
      <ns0:c r="D32" s="8" t="n">
        <ns0:v>1</ns0:v>
      </ns0:c>
      <ns0:c r="E32" s="7" t="inlineStr">
        <ns0:is>
          <ns0:t>The Border Inn</ns0:t>
        </ns0:is>
      </ns0:c>
      <ns0:c r="F32" s="7" t="inlineStr">
        <ns0:is>
          <ns0:t>Nou</ns0:t>
        </ns0:is>
      </ns0:c>
      <ns0:c r="G32" s="7" t="inlineStr">
        <ns0:is>
          <ns0:t>EN</ns0:t>
        </ns0:is>
      </ns0:c>
      <ns0:c r="H32" s="7" t="inlineStr">
        <ns0:is>
          <ns0:t>Concept propus; nescris</ns0:t>
        </ns0:is>
      </ns0:c>
      <ns0:c r="I32" s="9" t="n">
        <ns0:v>35000</ns0:v>
      </ns0:c>
      <ns0:c r="J32" s="10" t="n">
        <ns0:v>46304</ns0:v>
      </ns0:c>
      <ns0:c r="K32" s="10" t="n">
        <ns0:v>46322</ns0:v>
      </ns0:c>
      <ns0:c r="L32" s="10" t="n">
        <ns0:v>46324</ns0:v>
      </ns0:c>
      <ns0:c r="M32" s="10" t="n">
        <ns0:v>46326</ns0:v>
      </ns0:c>
      <ns0:c r="N32" s="7" t="inlineStr">
        <ns0:is>
          <ns0:t>LOT A</ns0:t>
        </ns0:is>
      </ns0:c>
      <ns0:c r="O32" s="11" t="inlineStr">
        <ns0:is>
          <ns0:t>De contractat / desemnat</ns0:t>
        </ns0:is>
      </ns0:c>
      <ns0:c r="P32" s="7" t="inlineStr">
        <ns0:is>
          <ns0:t>Roman scurt de mister</ns0:t>
        </ns0:is>
      </ns0:c>
      <ns0:c r="Q32" s="7" t="inlineStr">
        <ns0:is>
          <ns0:t>Un han de frontieră adăpostește un martor cu două nume.</ns0:t>
        </ns0:is>
      </ns0:c>
      <ns0:c r="R32" s="7" t="inlineStr"/>
      <ns0:c r="S32" s="7">
        <ns0:f>COUNTIFS(Editii_300!$B$2:$B$301,A32,Editii_300!$X$2:$X$301,1)</ns0:f>
        <ns0:v>0</ns0:v>
      </ns0:c>
      <ns0:c r="T32" s="7">
        <ns0:f>IF(S32=3,1,0)</ns0:f>
        <ns0:v>0</ns0:v>
      </ns0:c>
    </ns0:row>
    <ns0:row r="33" ht="65" customHeight="1">
      <ns0:c r="A33" s="7" t="inlineStr">
        <ns0:is>
          <ns0:t>DB-032</ns0:t>
        </ns0:is>
      </ns0:c>
      <ns0:c r="B33" s="7" t="inlineStr">
        <ns0:is>
          <ns0:t>NOIR</ns0:t>
        </ns0:is>
      </ns0:c>
      <ns0:c r="C33" s="7" t="inlineStr">
        <ns0:is>
          <ns0:t>The Borderland Files</ns0:t>
        </ns0:is>
      </ns0:c>
      <ns0:c r="D33" s="8" t="n">
        <ns0:v>2</ns0:v>
      </ns0:c>
      <ns0:c r="E33" s="7" t="inlineStr">
        <ns0:is>
          <ns0:t>The Ferryman's Receipt</ns0:t>
        </ns0:is>
      </ns0:c>
      <ns0:c r="F33" s="7" t="inlineStr">
        <ns0:is>
          <ns0:t>Nou</ns0:t>
        </ns0:is>
      </ns0:c>
      <ns0:c r="G33" s="7" t="inlineStr">
        <ns0:is>
          <ns0:t>EN</ns0:t>
        </ns0:is>
      </ns0:c>
      <ns0:c r="H33" s="7" t="inlineStr">
        <ns0:is>
          <ns0:t>Concept propus; nescris</ns0:t>
        </ns0:is>
      </ns0:c>
      <ns0:c r="I33" s="9" t="n">
        <ns0:v>35000</ns0:v>
      </ns0:c>
      <ns0:c r="J33" s="10" t="n">
        <ns0:v>46304</ns0:v>
      </ns0:c>
      <ns0:c r="K33" s="10" t="n">
        <ns0:v>46322</ns0:v>
      </ns0:c>
      <ns0:c r="L33" s="10" t="n">
        <ns0:v>46324</ns0:v>
      </ns0:c>
      <ns0:c r="M33" s="10" t="n">
        <ns0:v>46326</ns0:v>
      </ns0:c>
      <ns0:c r="N33" s="7" t="inlineStr">
        <ns0:is>
          <ns0:t>LOT A</ns0:t>
        </ns0:is>
      </ns0:c>
      <ns0:c r="O33" s="11" t="inlineStr">
        <ns0:is>
          <ns0:t>De contractat / desemnat</ns0:t>
        </ns0:is>
      </ns0:c>
      <ns0:c r="P33" s="7" t="inlineStr">
        <ns0:is>
          <ns0:t>Roman scurt de mister</ns0:t>
        </ns0:is>
      </ns0:c>
      <ns0:c r="Q33" s="7" t="inlineStr">
        <ns0:is>
          <ns0:t>O chitanță dovedește o traversare pe care nimeni nu o recunoaște.</ns0:t>
        </ns0:is>
      </ns0:c>
      <ns0:c r="R33" s="7" t="inlineStr"/>
      <ns0:c r="S33" s="7">
        <ns0:f>COUNTIFS(Editii_300!$B$2:$B$301,A33,Editii_300!$X$2:$X$301,1)</ns0:f>
        <ns0:v>0</ns0:v>
      </ns0:c>
      <ns0:c r="T33" s="7">
        <ns0:f>IF(S33=3,1,0)</ns0:f>
        <ns0:v>0</ns0:v>
      </ns0:c>
    </ns0:row>
    <ns0:row r="34" ht="65" customHeight="1">
      <ns0:c r="A34" s="7" t="inlineStr">
        <ns0:is>
          <ns0:t>DB-033</ns0:t>
        </ns0:is>
      </ns0:c>
      <ns0:c r="B34" s="7" t="inlineStr">
        <ns0:is>
          <ns0:t>NOIR</ns0:t>
        </ns0:is>
      </ns0:c>
      <ns0:c r="C34" s="7" t="inlineStr">
        <ns0:is>
          <ns0:t>The Borderland Files</ns0:t>
        </ns0:is>
      </ns0:c>
      <ns0:c r="D34" s="8" t="n">
        <ns0:v>3</ns0:v>
      </ns0:c>
      <ns0:c r="E34" s="7" t="inlineStr">
        <ns0:is>
          <ns0:t>The Last Customs Seal</ns0:t>
        </ns0:is>
      </ns0:c>
      <ns0:c r="F34" s="7" t="inlineStr">
        <ns0:is>
          <ns0:t>Nou</ns0:t>
        </ns0:is>
      </ns0:c>
      <ns0:c r="G34" s="7" t="inlineStr">
        <ns0:is>
          <ns0:t>EN</ns0:t>
        </ns0:is>
      </ns0:c>
      <ns0:c r="H34" s="7" t="inlineStr">
        <ns0:is>
          <ns0:t>Concept propus; nescris</ns0:t>
        </ns0:is>
      </ns0:c>
      <ns0:c r="I34" s="9" t="n">
        <ns0:v>35000</ns0:v>
      </ns0:c>
      <ns0:c r="J34" s="10" t="n">
        <ns0:v>46304</ns0:v>
      </ns0:c>
      <ns0:c r="K34" s="10" t="n">
        <ns0:v>46322</ns0:v>
      </ns0:c>
      <ns0:c r="L34" s="10" t="n">
        <ns0:v>46324</ns0:v>
      </ns0:c>
      <ns0:c r="M34" s="10" t="n">
        <ns0:v>46326</ns0:v>
      </ns0:c>
      <ns0:c r="N34" s="7" t="inlineStr">
        <ns0:is>
          <ns0:t>LOT A</ns0:t>
        </ns0:is>
      </ns0:c>
      <ns0:c r="O34" s="11" t="inlineStr">
        <ns0:is>
          <ns0:t>De contractat / desemnat</ns0:t>
        </ns0:is>
      </ns0:c>
      <ns0:c r="P34" s="7" t="inlineStr">
        <ns0:is>
          <ns0:t>Roman scurt de mister</ns0:t>
        </ns0:is>
      </ns0:c>
      <ns0:c r="Q34" s="7" t="inlineStr">
        <ns0:is>
          <ns0:t>Un sigiliu lipsă amenință pacea dintre două târguri.</ns0:t>
        </ns0:is>
      </ns0:c>
      <ns0:c r="R34" s="7" t="inlineStr"/>
      <ns0:c r="S34" s="7">
        <ns0:f>COUNTIFS(Editii_300!$B$2:$B$301,A34,Editii_300!$X$2:$X$301,1)</ns0:f>
        <ns0:v>0</ns0:v>
      </ns0:c>
      <ns0:c r="T34" s="7">
        <ns0:f>IF(S34=3,1,0)</ns0:f>
        <ns0:v>0</ns0:v>
      </ns0:c>
    </ns0:row>
    <ns0:row r="35" ht="65" customHeight="1">
      <ns0:c r="A35" s="7" t="inlineStr">
        <ns0:is>
          <ns0:t>DB-034</ns0:t>
        </ns0:is>
      </ns0:c>
      <ns0:c r="B35" s="7" t="inlineStr">
        <ns0:is>
          <ns0:t>NOIR</ns0:t>
        </ns0:is>
      </ns0:c>
      <ns0:c r="C35" s="7" t="inlineStr">
        <ns0:is>
          <ns0:t>The Borderland Files</ns0:t>
        </ns0:is>
      </ns0:c>
      <ns0:c r="D35" s="8" t="n">
        <ns0:v>4</ns0:v>
      </ns0:c>
      <ns0:c r="E35" s="7" t="inlineStr">
        <ns0:is>
          <ns0:t>The Smuggler's Daughter</ns0:t>
        </ns0:is>
      </ns0:c>
      <ns0:c r="F35" s="7" t="inlineStr">
        <ns0:is>
          <ns0:t>Nou</ns0:t>
        </ns0:is>
      </ns0:c>
      <ns0:c r="G35" s="7" t="inlineStr">
        <ns0:is>
          <ns0:t>EN</ns0:t>
        </ns0:is>
      </ns0:c>
      <ns0:c r="H35" s="7" t="inlineStr">
        <ns0:is>
          <ns0:t>Concept propus; nescris</ns0:t>
        </ns0:is>
      </ns0:c>
      <ns0:c r="I35" s="9" t="n">
        <ns0:v>35000</ns0:v>
      </ns0:c>
      <ns0:c r="J35" s="10" t="n">
        <ns0:v>46304</ns0:v>
      </ns0:c>
      <ns0:c r="K35" s="10" t="n">
        <ns0:v>46322</ns0:v>
      </ns0:c>
      <ns0:c r="L35" s="10" t="n">
        <ns0:v>46324</ns0:v>
      </ns0:c>
      <ns0:c r="M35" s="10" t="n">
        <ns0:v>46326</ns0:v>
      </ns0:c>
      <ns0:c r="N35" s="7" t="inlineStr">
        <ns0:is>
          <ns0:t>LOT A</ns0:t>
        </ns0:is>
      </ns0:c>
      <ns0:c r="O35" s="11" t="inlineStr">
        <ns0:is>
          <ns0:t>De contractat / desemnat</ns0:t>
        </ns0:is>
      </ns0:c>
      <ns0:c r="P35" s="7" t="inlineStr">
        <ns0:is>
          <ns0:t>Roman scurt de mister</ns0:t>
        </ns0:is>
      </ns0:c>
      <ns0:c r="Q35" s="7" t="inlineStr">
        <ns0:is>
          <ns0:t>Fiica unui contrabandist trebuie să aleagă ce adevăr livrează.</ns0:t>
        </ns0:is>
      </ns0:c>
      <ns0:c r="R35" s="7" t="inlineStr"/>
      <ns0:c r="S35" s="7">
        <ns0:f>COUNTIFS(Editii_300!$B$2:$B$301,A35,Editii_300!$X$2:$X$301,1)</ns0:f>
        <ns0:v>0</ns0:v>
      </ns0:c>
      <ns0:c r="T35" s="7">
        <ns0:f>IF(S35=3,1,0)</ns0:f>
        <ns0:v>0</ns0:v>
      </ns0:c>
    </ns0:row>
    <ns0:row r="36" ht="65" customHeight="1">
      <ns0:c r="A36" s="7" t="inlineStr">
        <ns0:is>
          <ns0:t>DB-035</ns0:t>
        </ns0:is>
      </ns0:c>
      <ns0:c r="B36" s="7" t="inlineStr">
        <ns0:is>
          <ns0:t>NOIR</ns0:t>
        </ns0:is>
      </ns0:c>
      <ns0:c r="C36" s="7" t="inlineStr">
        <ns0:is>
          <ns0:t>The Borderland Files</ns0:t>
        </ns0:is>
      </ns0:c>
      <ns0:c r="D36" s="8" t="n">
        <ns0:v>5</ns0:v>
      </ns0:c>
      <ns0:c r="E36" s="7" t="inlineStr">
        <ns0:is>
          <ns0:t>The Bridge at First Snow</ns0:t>
        </ns0:is>
      </ns0:c>
      <ns0:c r="F36" s="7" t="inlineStr">
        <ns0:is>
          <ns0:t>Nou</ns0:t>
        </ns0:is>
      </ns0:c>
      <ns0:c r="G36" s="7" t="inlineStr">
        <ns0:is>
          <ns0:t>EN</ns0:t>
        </ns0:is>
      </ns0:c>
      <ns0:c r="H36" s="7" t="inlineStr">
        <ns0:is>
          <ns0:t>Concept propus; nescris</ns0:t>
        </ns0:is>
      </ns0:c>
      <ns0:c r="I36" s="9" t="n">
        <ns0:v>35000</ns0:v>
      </ns0:c>
      <ns0:c r="J36" s="10" t="n">
        <ns0:v>46304</ns0:v>
      </ns0:c>
      <ns0:c r="K36" s="10" t="n">
        <ns0:v>46322</ns0:v>
      </ns0:c>
      <ns0:c r="L36" s="10" t="n">
        <ns0:v>46324</ns0:v>
      </ns0:c>
      <ns0:c r="M36" s="10" t="n">
        <ns0:v>46326</ns0:v>
      </ns0:c>
      <ns0:c r="N36" s="7" t="inlineStr">
        <ns0:is>
          <ns0:t>LOT A</ns0:t>
        </ns0:is>
      </ns0:c>
      <ns0:c r="O36" s="11" t="inlineStr">
        <ns0:is>
          <ns0:t>De contractat / desemnat</ns0:t>
        </ns0:is>
      </ns0:c>
      <ns0:c r="P36" s="7" t="inlineStr">
        <ns0:is>
          <ns0:t>Roman scurt de mister</ns0:t>
        </ns0:is>
      </ns0:c>
      <ns0:c r="Q36" s="7" t="inlineStr">
        <ns0:is>
          <ns0:t>O punte izolată adună trei versiuni incompatibile ale aceleiași nopți.</ns0:t>
        </ns0:is>
      </ns0:c>
      <ns0:c r="R36" s="7" t="inlineStr"/>
      <ns0:c r="S36" s="7">
        <ns0:f>COUNTIFS(Editii_300!$B$2:$B$301,A36,Editii_300!$X$2:$X$301,1)</ns0:f>
        <ns0:v>0</ns0:v>
      </ns0:c>
      <ns0:c r="T36" s="7">
        <ns0:f>IF(S36=3,1,0)</ns0:f>
        <ns0:v>0</ns0:v>
      </ns0:c>
    </ns0:row>
    <ns0:row r="37" ht="65" customHeight="1">
      <ns0:c r="A37" s="7" t="inlineStr">
        <ns0:is>
          <ns0:t>DB-036</ns0:t>
        </ns0:is>
      </ns0:c>
      <ns0:c r="B37" s="7" t="inlineStr">
        <ns0:is>
          <ns0:t>AMORIS</ns0:t>
        </ns0:is>
      </ns0:c>
      <ns0:c r="C37" s="7" t="inlineStr">
        <ns0:is>
          <ns0:t>Alex Damian</ns0:t>
        </ns0:is>
      </ns0:c>
      <ns0:c r="D37" s="8" t="n">
        <ns0:v>1</ns0:v>
      </ns0:c>
      <ns0:c r="E37" s="7" t="inlineStr">
        <ns0:is>
          <ns0:t>Beneath the Skin of the Sea</ns0:t>
        </ns0:is>
      </ns0:c>
      <ns0:c r="F37" s="7" t="inlineStr">
        <ns0:is>
          <ns0:t>Fond</ns0:t>
        </ns0:is>
      </ns0:c>
      <ns0:c r="G37" s="7" t="inlineStr">
        <ns0:is>
          <ns0:t>EN</ns0:t>
        </ns0:is>
      </ns0:c>
      <ns0:c r="H37" s="7" t="inlineStr">
        <ns0:is>
          <ns0:t>Manuscris candidat — nevalidat editorial</ns0:t>
        </ns0:is>
      </ns0:c>
      <ns0:c r="I37" s="9" t="n">
        <ns0:v>80000</ns0:v>
      </ns0:c>
      <ns0:c r="J37" s="10" t="n">
        <ns0:v>46298</ns0:v>
      </ns0:c>
      <ns0:c r="K37" s="10" t="n">
        <ns0:v>46301</ns0:v>
      </ns0:c>
      <ns0:c r="L37" s="10" t="n">
        <ns0:v>46303</ns0:v>
      </ns0:c>
      <ns0:c r="M37" s="10" t="n">
        <ns0:v>46305</ns0:v>
      </ns0:c>
      <ns0:c r="N37" s="7" t="inlineStr">
        <ns0:is>
          <ns0:t>PILOT</ns0:t>
        </ns0:is>
      </ns0:c>
      <ns0:c r="O37" s="11" t="inlineStr">
        <ns0:is>
          <ns0:t>De contractat / desemnat</ns0:t>
        </ns0:is>
      </ns0:c>
      <ns0:c r="P37" s="7" t="inlineStr">
        <ns0:is>
          <ns0:t>Romance de aventură</ns0:t>
        </ns0:is>
      </ns0:c>
      <ns0:c r="Q37" s="7" t="inlineStr">
        <ns0:is>
          <ns0:t>Alex și Elena; epavă grecească, vulnerabilitate și reconstrucție.</ns0:t>
        </ns0:is>
      </ns0:c>
      <ns0:c r="R37" s="7" t="inlineStr">
        <ns0:is>
          <ns0:t>Raportul intern de 9,87/10 nu dovedește recenzie independentă sau publicare.</ns0:t>
        </ns0:is>
      </ns0:c>
      <ns0:c r="S37" s="7">
        <ns0:f>COUNTIFS(Editii_300!$B$2:$B$301,A37,Editii_300!$X$2:$X$301,1)</ns0:f>
        <ns0:v>0</ns0:v>
      </ns0:c>
      <ns0:c r="T37" s="7">
        <ns0:f>IF(S37=3,1,0)</ns0:f>
        <ns0:v>0</ns0:v>
      </ns0:c>
    </ns0:row>
    <ns0:row r="38" ht="65" customHeight="1">
      <ns0:c r="A38" s="7" t="inlineStr">
        <ns0:is>
          <ns0:t>DB-037</ns0:t>
        </ns0:is>
      </ns0:c>
      <ns0:c r="B38" s="7" t="inlineStr">
        <ns0:is>
          <ns0:t>AMORIS</ns0:t>
        </ns0:is>
      </ns0:c>
      <ns0:c r="C38" s="7" t="inlineStr">
        <ns0:is>
          <ns0:t>Alex Damian</ns0:t>
        </ns0:is>
      </ns0:c>
      <ns0:c r="D38" s="8" t="n">
        <ns0:v>2</ns0:v>
      </ns0:c>
      <ns0:c r="E38" s="7" t="inlineStr">
        <ns0:is>
          <ns0:t>Shadows in the Port</ns0:t>
        </ns0:is>
      </ns0:c>
      <ns0:c r="F38" s="7" t="inlineStr">
        <ns0:is>
          <ns0:t>Fond</ns0:t>
        </ns0:is>
      </ns0:c>
      <ns0:c r="G38" s="7" t="inlineStr">
        <ns0:is>
          <ns0:t>EN</ns0:t>
        </ns0:is>
      </ns0:c>
      <ns0:c r="H38" s="7" t="inlineStr">
        <ns0:is>
          <ns0:t>Manuscris candidat — nevalidat editorial</ns0:t>
        </ns0:is>
      </ns0:c>
      <ns0:c r="I38" s="9" t="n">
        <ns0:v>90000</ns0:v>
      </ns0:c>
      <ns0:c r="J38" s="10" t="n">
        <ns0:v>46305</ns0:v>
      </ns0:c>
      <ns0:c r="K38" s="10" t="n">
        <ns0:v>46315</ns0:v>
      </ns0:c>
      <ns0:c r="L38" s="10" t="n">
        <ns0:v>46317</ns0:v>
      </ns0:c>
      <ns0:c r="M38" s="10" t="n">
        <ns0:v>46319</ns0:v>
      </ns0:c>
      <ns0:c r="N38" s="7" t="inlineStr">
        <ns0:is>
          <ns0:t>FOND EXISTENT</ns0:t>
        </ns0:is>
      </ns0:c>
      <ns0:c r="O38" s="11" t="inlineStr">
        <ns0:is>
          <ns0:t>De contractat / desemnat</ns0:t>
        </ns0:is>
      </ns0:c>
      <ns0:c r="P38" s="7" t="inlineStr">
        <ns0:is>
          <ns0:t>Romance de aventură</ns0:t>
        </ns0:is>
      </ns0:c>
      <ns0:c r="Q38" s="7" t="inlineStr">
        <ns0:is>
          <ns0:t>De verificat distinctivitatea față de Beneath; rescris ca sequel dacă este variantă.</ns0:t>
        </ns0:is>
      </ns0:c>
      <ns0:c r="R38" s="7" t="inlineStr">
        <ns0:is>
          <ns0:t>Alex/Elena și început apropiat de Beneath; verificare sequel vs rescriere; heading 5 neidentificat.</ns0:t>
        </ns0:is>
      </ns0:c>
      <ns0:c r="S38" s="7">
        <ns0:f>COUNTIFS(Editii_300!$B$2:$B$301,A38,Editii_300!$X$2:$X$301,1)</ns0:f>
        <ns0:v>0</ns0:v>
      </ns0:c>
      <ns0:c r="T38" s="7">
        <ns0:f>IF(S38=3,1,0)</ns0:f>
        <ns0:v>0</ns0:v>
      </ns0:c>
    </ns0:row>
    <ns0:row r="39" ht="65" customHeight="1">
      <ns0:c r="A39" s="7" t="inlineStr">
        <ns0:is>
          <ns0:t>DB-038</ns0:t>
        </ns0:is>
      </ns0:c>
      <ns0:c r="B39" s="7" t="inlineStr">
        <ns0:is>
          <ns0:t>AMORIS</ns0:t>
        </ns0:is>
      </ns0:c>
      <ns0:c r="C39" s="7" t="inlineStr">
        <ns0:is>
          <ns0:t>Alex Damian</ns0:t>
        </ns0:is>
      </ns0:c>
      <ns0:c r="D39" s="8" t="n">
        <ns0:v>3</ns0:v>
      </ns0:c>
      <ns0:c r="E39" s="7" t="inlineStr">
        <ns0:is>
          <ns0:t>The Last Sunset in Santorini</ns0:t>
        </ns0:is>
      </ns0:c>
      <ns0:c r="F39" s="7" t="inlineStr">
        <ns0:is>
          <ns0:t>Nou</ns0:t>
        </ns0:is>
      </ns0:c>
      <ns0:c r="G39" s="7" t="inlineStr">
        <ns0:is>
          <ns0:t>EN</ns0:t>
        </ns0:is>
      </ns0:c>
      <ns0:c r="H39" s="7" t="inlineStr">
        <ns0:is>
          <ns0:t>Concept propus; nescris</ns0:t>
        </ns0:is>
      </ns0:c>
      <ns0:c r="I39" s="9" t="n">
        <ns0:v>60000</ns0:v>
      </ns0:c>
      <ns0:c r="J39" s="10" t="n">
        <ns0:v>46318</ns0:v>
      </ns0:c>
      <ns0:c r="K39" s="10" t="n">
        <ns0:v>46336</ns0:v>
      </ns0:c>
      <ns0:c r="L39" s="10" t="n">
        <ns0:v>46338</ns0:v>
      </ns0:c>
      <ns0:c r="M39" s="10" t="n">
        <ns0:v>46340</ns0:v>
      </ns0:c>
      <ns0:c r="N39" s="7" t="inlineStr">
        <ns0:is>
          <ns0:t>LOT C</ns0:t>
        </ns0:is>
      </ns0:c>
      <ns0:c r="O39" s="11" t="inlineStr">
        <ns0:is>
          <ns0:t>De contractat / desemnat</ns0:t>
        </ns0:is>
      </ns0:c>
      <ns0:c r="P39" s="7" t="inlineStr">
        <ns0:is>
          <ns0:t>Romance de aventură</ns0:t>
        </ns0:is>
      </ns0:c>
      <ns0:c r="Q39" s="7" t="inlineStr">
        <ns0:is>
          <ns0:t>Un proiect de salvare amenință promisiunea făcută pe uscat.</ns0:t>
        </ns0:is>
      </ns0:c>
      <ns0:c r="R39" s="7" t="inlineStr"/>
      <ns0:c r="S39" s="7">
        <ns0:f>COUNTIFS(Editii_300!$B$2:$B$301,A39,Editii_300!$X$2:$X$301,1)</ns0:f>
        <ns0:v>0</ns0:v>
      </ns0:c>
      <ns0:c r="T39" s="7">
        <ns0:f>IF(S39=3,1,0)</ns0:f>
        <ns0:v>0</ns0:v>
      </ns0:c>
    </ns0:row>
    <ns0:row r="40" ht="65" customHeight="1">
      <ns0:c r="A40" s="7" t="inlineStr">
        <ns0:is>
          <ns0:t>DB-039</ns0:t>
        </ns0:is>
      </ns0:c>
      <ns0:c r="B40" s="7" t="inlineStr">
        <ns0:is>
          <ns0:t>AMORIS</ns0:t>
        </ns0:is>
      </ns0:c>
      <ns0:c r="C40" s="7" t="inlineStr">
        <ns0:is>
          <ns0:t>Alex Damian</ns0:t>
        </ns0:is>
      </ns0:c>
      <ns0:c r="D40" s="8" t="n">
        <ns0:v>4</ns0:v>
      </ns0:c>
      <ns0:c r="E40" s="7" t="inlineStr">
        <ns0:is>
          <ns0:t>Breath of the Deep</ns0:t>
        </ns0:is>
      </ns0:c>
      <ns0:c r="F40" s="7" t="inlineStr">
        <ns0:is>
          <ns0:t>Nou</ns0:t>
        </ns0:is>
      </ns0:c>
      <ns0:c r="G40" s="7" t="inlineStr">
        <ns0:is>
          <ns0:t>EN</ns0:t>
        </ns0:is>
      </ns0:c>
      <ns0:c r="H40" s="7" t="inlineStr">
        <ns0:is>
          <ns0:t>Concept propus; nescris</ns0:t>
        </ns0:is>
      </ns0:c>
      <ns0:c r="I40" s="9" t="n">
        <ns0:v>60000</ns0:v>
      </ns0:c>
      <ns0:c r="J40" s="10" t="n">
        <ns0:v>46318</ns0:v>
      </ns0:c>
      <ns0:c r="K40" s="10" t="n">
        <ns0:v>46336</ns0:v>
      </ns0:c>
      <ns0:c r="L40" s="10" t="n">
        <ns0:v>46338</ns0:v>
      </ns0:c>
      <ns0:c r="M40" s="10" t="n">
        <ns0:v>46340</ns0:v>
      </ns0:c>
      <ns0:c r="N40" s="7" t="inlineStr">
        <ns0:is>
          <ns0:t>LOT C</ns0:t>
        </ns0:is>
      </ns0:c>
      <ns0:c r="O40" s="11" t="inlineStr">
        <ns0:is>
          <ns0:t>De contractat / desemnat</ns0:t>
        </ns0:is>
      </ns0:c>
      <ns0:c r="P40" s="7" t="inlineStr">
        <ns0:is>
          <ns0:t>Romance de aventură</ns0:t>
        </ns0:is>
      </ns0:c>
      <ns0:c r="Q40" s="7" t="inlineStr">
        <ns0:is>
          <ns0:t>O epavă readuce o datorie din trecutul naval.</ns0:t>
        </ns0:is>
      </ns0:c>
      <ns0:c r="R40" s="7" t="inlineStr"/>
      <ns0:c r="S40" s="7">
        <ns0:f>COUNTIFS(Editii_300!$B$2:$B$301,A40,Editii_300!$X$2:$X$301,1)</ns0:f>
        <ns0:v>0</ns0:v>
      </ns0:c>
      <ns0:c r="T40" s="7">
        <ns0:f>IF(S40=3,1,0)</ns0:f>
        <ns0:v>0</ns0:v>
      </ns0:c>
    </ns0:row>
    <ns0:row r="41" ht="65" customHeight="1">
      <ns0:c r="A41" s="7" t="inlineStr">
        <ns0:is>
          <ns0:t>DB-040</ns0:t>
        </ns0:is>
      </ns0:c>
      <ns0:c r="B41" s="7" t="inlineStr">
        <ns0:is>
          <ns0:t>AMORIS</ns0:t>
        </ns0:is>
      </ns0:c>
      <ns0:c r="C41" s="7" t="inlineStr">
        <ns0:is>
          <ns0:t>Alex Damian</ns0:t>
        </ns0:is>
      </ns0:c>
      <ns0:c r="D41" s="8" t="n">
        <ns0:v>5</ns0:v>
      </ns0:c>
      <ns0:c r="E41" s="7" t="inlineStr">
        <ns0:is>
          <ns0:t>The Woman in the Blue Light</ns0:t>
        </ns0:is>
      </ns0:c>
      <ns0:c r="F41" s="7" t="inlineStr">
        <ns0:is>
          <ns0:t>Nou</ns0:t>
        </ns0:is>
      </ns0:c>
      <ns0:c r="G41" s="7" t="inlineStr">
        <ns0:is>
          <ns0:t>EN</ns0:t>
        </ns0:is>
      </ns0:c>
      <ns0:c r="H41" s="7" t="inlineStr">
        <ns0:is>
          <ns0:t>Concept propus; nescris</ns0:t>
        </ns0:is>
      </ns0:c>
      <ns0:c r="I41" s="9" t="n">
        <ns0:v>60000</ns0:v>
      </ns0:c>
      <ns0:c r="J41" s="10" t="n">
        <ns0:v>46318</ns0:v>
      </ns0:c>
      <ns0:c r="K41" s="10" t="n">
        <ns0:v>46336</ns0:v>
      </ns0:c>
      <ns0:c r="L41" s="10" t="n">
        <ns0:v>46338</ns0:v>
      </ns0:c>
      <ns0:c r="M41" s="10" t="n">
        <ns0:v>46340</ns0:v>
      </ns0:c>
      <ns0:c r="N41" s="7" t="inlineStr">
        <ns0:is>
          <ns0:t>LOT C</ns0:t>
        </ns0:is>
      </ns0:c>
      <ns0:c r="O41" s="11" t="inlineStr">
        <ns0:is>
          <ns0:t>De contractat / desemnat</ns0:t>
        </ns0:is>
      </ns0:c>
      <ns0:c r="P41" s="7" t="inlineStr">
        <ns0:is>
          <ns0:t>Romance de aventură</ns0:t>
        </ns0:is>
      </ns0:c>
      <ns0:c r="Q41" s="7" t="inlineStr">
        <ns0:is>
          <ns0:t>O dispariție obligă o jurnalistă și un scafandru să coopereze.</ns0:t>
        </ns0:is>
      </ns0:c>
      <ns0:c r="R41" s="7" t="inlineStr"/>
      <ns0:c r="S41" s="7">
        <ns0:f>COUNTIFS(Editii_300!$B$2:$B$301,A41,Editii_300!$X$2:$X$301,1)</ns0:f>
        <ns0:v>0</ns0:v>
      </ns0:c>
      <ns0:c r="T41" s="7">
        <ns0:f>IF(S41=3,1,0)</ns0:f>
        <ns0:v>0</ns0:v>
      </ns0:c>
    </ns0:row>
    <ns0:row r="42" ht="65" customHeight="1">
      <ns0:c r="A42" s="7" t="inlineStr">
        <ns0:is>
          <ns0:t>DB-041</ns0:t>
        </ns0:is>
      </ns0:c>
      <ns0:c r="B42" s="7" t="inlineStr">
        <ns0:is>
          <ns0:t>AMORIS</ns0:t>
        </ns0:is>
      </ns0:c>
      <ns0:c r="C42" s="7" t="inlineStr">
        <ns0:is>
          <ns0:t>Alex Damian</ns0:t>
        </ns0:is>
      </ns0:c>
      <ns0:c r="D42" s="8" t="n">
        <ns0:v>6</ns0:v>
      </ns0:c>
      <ns0:c r="E42" s="7" t="inlineStr">
        <ns0:is>
          <ns0:t>The Island Without Names</ns0:t>
        </ns0:is>
      </ns0:c>
      <ns0:c r="F42" s="7" t="inlineStr">
        <ns0:is>
          <ns0:t>Nou</ns0:t>
        </ns0:is>
      </ns0:c>
      <ns0:c r="G42" s="7" t="inlineStr">
        <ns0:is>
          <ns0:t>EN</ns0:t>
        </ns0:is>
      </ns0:c>
      <ns0:c r="H42" s="7" t="inlineStr">
        <ns0:is>
          <ns0:t>Concept propus; nescris</ns0:t>
        </ns0:is>
      </ns0:c>
      <ns0:c r="I42" s="9" t="n">
        <ns0:v>60000</ns0:v>
      </ns0:c>
      <ns0:c r="J42" s="10" t="n">
        <ns0:v>46318</ns0:v>
      </ns0:c>
      <ns0:c r="K42" s="10" t="n">
        <ns0:v>46336</ns0:v>
      </ns0:c>
      <ns0:c r="L42" s="10" t="n">
        <ns0:v>46338</ns0:v>
      </ns0:c>
      <ns0:c r="M42" s="10" t="n">
        <ns0:v>46340</ns0:v>
      </ns0:c>
      <ns0:c r="N42" s="7" t="inlineStr">
        <ns0:is>
          <ns0:t>LOT C</ns0:t>
        </ns0:is>
      </ns0:c>
      <ns0:c r="O42" s="11" t="inlineStr">
        <ns0:is>
          <ns0:t>De contractat / desemnat</ns0:t>
        </ns0:is>
      </ns0:c>
      <ns0:c r="P42" s="7" t="inlineStr">
        <ns0:is>
          <ns0:t>Romance de aventură</ns0:t>
        </ns0:is>
      </ns0:c>
      <ns0:c r="Q42" s="7" t="inlineStr">
        <ns0:is>
          <ns0:t>O furtună testează încrederea unei echipe izolate.</ns0:t>
        </ns0:is>
      </ns0:c>
      <ns0:c r="R42" s="7" t="inlineStr"/>
      <ns0:c r="S42" s="7">
        <ns0:f>COUNTIFS(Editii_300!$B$2:$B$301,A42,Editii_300!$X$2:$X$301,1)</ns0:f>
        <ns0:v>0</ns0:v>
      </ns0:c>
      <ns0:c r="T42" s="7">
        <ns0:f>IF(S42=3,1,0)</ns0:f>
        <ns0:v>0</ns0:v>
      </ns0:c>
    </ns0:row>
    <ns0:row r="43" ht="65" customHeight="1">
      <ns0:c r="A43" s="7" t="inlineStr">
        <ns0:is>
          <ns0:t>DB-042</ns0:t>
        </ns0:is>
      </ns0:c>
      <ns0:c r="B43" s="7" t="inlineStr">
        <ns0:is>
          <ns0:t>AMORIS</ns0:t>
        </ns0:is>
      </ns0:c>
      <ns0:c r="C43" s="7" t="inlineStr">
        <ns0:is>
          <ns0:t>Alex Damian</ns0:t>
        </ns0:is>
      </ns0:c>
      <ns0:c r="D43" s="8" t="n">
        <ns0:v>7</ns0:v>
      </ns0:c>
      <ns0:c r="E43" s="7" t="inlineStr">
        <ns0:is>
          <ns0:t>Coral Hearts</ns0:t>
        </ns0:is>
      </ns0:c>
      <ns0:c r="F43" s="7" t="inlineStr">
        <ns0:is>
          <ns0:t>Nou</ns0:t>
        </ns0:is>
      </ns0:c>
      <ns0:c r="G43" s="7" t="inlineStr">
        <ns0:is>
          <ns0:t>EN</ns0:t>
        </ns0:is>
      </ns0:c>
      <ns0:c r="H43" s="7" t="inlineStr">
        <ns0:is>
          <ns0:t>Concept propus; nescris</ns0:t>
        </ns0:is>
      </ns0:c>
      <ns0:c r="I43" s="9" t="n">
        <ns0:v>60000</ns0:v>
      </ns0:c>
      <ns0:c r="J43" s="10" t="n">
        <ns0:v>46318</ns0:v>
      </ns0:c>
      <ns0:c r="K43" s="10" t="n">
        <ns0:v>46336</ns0:v>
      </ns0:c>
      <ns0:c r="L43" s="10" t="n">
        <ns0:v>46338</ns0:v>
      </ns0:c>
      <ns0:c r="M43" s="10" t="n">
        <ns0:v>46340</ns0:v>
      </ns0:c>
      <ns0:c r="N43" s="7" t="inlineStr">
        <ns0:is>
          <ns0:t>LOT C</ns0:t>
        </ns0:is>
      </ns0:c>
      <ns0:c r="O43" s="11" t="inlineStr">
        <ns0:is>
          <ns0:t>De contractat / desemnat</ns0:t>
        </ns0:is>
      </ns0:c>
      <ns0:c r="P43" s="7" t="inlineStr">
        <ns0:is>
          <ns0:t>Romance de aventură</ns0:t>
        </ns0:is>
      </ns0:c>
      <ns0:c r="Q43" s="7" t="inlineStr">
        <ns0:is>
          <ns0:t>O expediție ecologică pune iubirea și ambiția în conflict.</ns0:t>
        </ns0:is>
      </ns0:c>
      <ns0:c r="R43" s="7" t="inlineStr"/>
      <ns0:c r="S43" s="7">
        <ns0:f>COUNTIFS(Editii_300!$B$2:$B$301,A43,Editii_300!$X$2:$X$301,1)</ns0:f>
        <ns0:v>0</ns0:v>
      </ns0:c>
      <ns0:c r="T43" s="7">
        <ns0:f>IF(S43=3,1,0)</ns0:f>
        <ns0:v>0</ns0:v>
      </ns0:c>
    </ns0:row>
    <ns0:row r="44" ht="65" customHeight="1">
      <ns0:c r="A44" s="7" t="inlineStr">
        <ns0:is>
          <ns0:t>DB-043</ns0:t>
        </ns0:is>
      </ns0:c>
      <ns0:c r="B44" s="7" t="inlineStr">
        <ns0:is>
          <ns0:t>AMORIS</ns0:t>
        </ns0:is>
      </ns0:c>
      <ns0:c r="C44" s="7" t="inlineStr">
        <ns0:is>
          <ns0:t>Alex Damian</ns0:t>
        </ns0:is>
      </ns0:c>
      <ns0:c r="D44" s="8" t="n">
        <ns0:v>8</ns0:v>
      </ns0:c>
      <ns0:c r="E44" s="7" t="inlineStr">
        <ns0:is>
          <ns0:t>Beneath the Salt Stars</ns0:t>
        </ns0:is>
      </ns0:c>
      <ns0:c r="F44" s="7" t="inlineStr">
        <ns0:is>
          <ns0:t>Nou</ns0:t>
        </ns0:is>
      </ns0:c>
      <ns0:c r="G44" s="7" t="inlineStr">
        <ns0:is>
          <ns0:t>EN</ns0:t>
        </ns0:is>
      </ns0:c>
      <ns0:c r="H44" s="7" t="inlineStr">
        <ns0:is>
          <ns0:t>Concept propus; nescris</ns0:t>
        </ns0:is>
      </ns0:c>
      <ns0:c r="I44" s="9" t="n">
        <ns0:v>60000</ns0:v>
      </ns0:c>
      <ns0:c r="J44" s="10" t="n">
        <ns0:v>46318</ns0:v>
      </ns0:c>
      <ns0:c r="K44" s="10" t="n">
        <ns0:v>46336</ns0:v>
      </ns0:c>
      <ns0:c r="L44" s="10" t="n">
        <ns0:v>46338</ns0:v>
      </ns0:c>
      <ns0:c r="M44" s="10" t="n">
        <ns0:v>46340</ns0:v>
      </ns0:c>
      <ns0:c r="N44" s="7" t="inlineStr">
        <ns0:is>
          <ns0:t>LOT C</ns0:t>
        </ns0:is>
      </ns0:c>
      <ns0:c r="O44" s="11" t="inlineStr">
        <ns0:is>
          <ns0:t>De contractat / desemnat</ns0:t>
        </ns0:is>
      </ns0:c>
      <ns0:c r="P44" s="7" t="inlineStr">
        <ns0:is>
          <ns0:t>Romance de aventură</ns0:t>
        </ns0:is>
      </ns0:c>
      <ns0:c r="Q44" s="7" t="inlineStr">
        <ns0:is>
          <ns0:t>O iubire veche cere un adevăr pe care nimeni nu l-a spus.</ns0:t>
        </ns0:is>
      </ns0:c>
      <ns0:c r="R44" s="7" t="inlineStr"/>
      <ns0:c r="S44" s="7">
        <ns0:f>COUNTIFS(Editii_300!$B$2:$B$301,A44,Editii_300!$X$2:$X$301,1)</ns0:f>
        <ns0:v>0</ns0:v>
      </ns0:c>
      <ns0:c r="T44" s="7">
        <ns0:f>IF(S44=3,1,0)</ns0:f>
        <ns0:v>0</ns0:v>
      </ns0:c>
    </ns0:row>
    <ns0:row r="45" ht="65" customHeight="1">
      <ns0:c r="A45" s="7" t="inlineStr">
        <ns0:is>
          <ns0:t>DB-044</ns0:t>
        </ns0:is>
      </ns0:c>
      <ns0:c r="B45" s="7" t="inlineStr">
        <ns0:is>
          <ns0:t>AMORIS</ns0:t>
        </ns0:is>
      </ns0:c>
      <ns0:c r="C45" s="7" t="inlineStr">
        <ns0:is>
          <ns0:t>Alex Damian</ns0:t>
        </ns0:is>
      </ns0:c>
      <ns0:c r="D45" s="8" t="n">
        <ns0:v>9</ns0:v>
      </ns0:c>
      <ns0:c r="E45" s="7" t="inlineStr">
        <ns0:is>
          <ns0:t>Tidebound</ns0:t>
        </ns0:is>
      </ns0:c>
      <ns0:c r="F45" s="7" t="inlineStr">
        <ns0:is>
          <ns0:t>Nou</ns0:t>
        </ns0:is>
      </ns0:c>
      <ns0:c r="G45" s="7" t="inlineStr">
        <ns0:is>
          <ns0:t>EN</ns0:t>
        </ns0:is>
      </ns0:c>
      <ns0:c r="H45" s="7" t="inlineStr">
        <ns0:is>
          <ns0:t>Concept propus; nescris</ns0:t>
        </ns0:is>
      </ns0:c>
      <ns0:c r="I45" s="9" t="n">
        <ns0:v>60000</ns0:v>
      </ns0:c>
      <ns0:c r="J45" s="10" t="n">
        <ns0:v>46318</ns0:v>
      </ns0:c>
      <ns0:c r="K45" s="10" t="n">
        <ns0:v>46336</ns0:v>
      </ns0:c>
      <ns0:c r="L45" s="10" t="n">
        <ns0:v>46338</ns0:v>
      </ns0:c>
      <ns0:c r="M45" s="10" t="n">
        <ns0:v>46340</ns0:v>
      </ns0:c>
      <ns0:c r="N45" s="7" t="inlineStr">
        <ns0:is>
          <ns0:t>LOT C</ns0:t>
        </ns0:is>
      </ns0:c>
      <ns0:c r="O45" s="11" t="inlineStr">
        <ns0:is>
          <ns0:t>De contractat / desemnat</ns0:t>
        </ns0:is>
      </ns0:c>
      <ns0:c r="P45" s="7" t="inlineStr">
        <ns0:is>
          <ns0:t>Romance de aventură</ns0:t>
        </ns0:is>
      </ns0:c>
      <ns0:c r="Q45" s="7" t="inlineStr">
        <ns0:is>
          <ns0:t>Salvarea unui vas schimbă planul unei vieți împreună.</ns0:t>
        </ns0:is>
      </ns0:c>
      <ns0:c r="R45" s="7" t="inlineStr"/>
      <ns0:c r="S45" s="7">
        <ns0:f>COUNTIFS(Editii_300!$B$2:$B$301,A45,Editii_300!$X$2:$X$301,1)</ns0:f>
        <ns0:v>0</ns0:v>
      </ns0:c>
      <ns0:c r="T45" s="7">
        <ns0:f>IF(S45=3,1,0)</ns0:f>
        <ns0:v>0</ns0:v>
      </ns0:c>
    </ns0:row>
    <ns0:row r="46" ht="65" customHeight="1">
      <ns0:c r="A46" s="7" t="inlineStr">
        <ns0:is>
          <ns0:t>DB-045</ns0:t>
        </ns0:is>
      </ns0:c>
      <ns0:c r="B46" s="7" t="inlineStr">
        <ns0:is>
          <ns0:t>AMORIS</ns0:t>
        </ns0:is>
      </ns0:c>
      <ns0:c r="C46" s="7" t="inlineStr">
        <ns0:is>
          <ns0:t>Alex Damian</ns0:t>
        </ns0:is>
      </ns0:c>
      <ns0:c r="D46" s="8" t="n">
        <ns0:v>10</ns0:v>
      </ns0:c>
      <ns0:c r="E46" s="7" t="inlineStr">
        <ns0:is>
          <ns0:t>The Echo Below</ns0:t>
        </ns0:is>
      </ns0:c>
      <ns0:c r="F46" s="7" t="inlineStr">
        <ns0:is>
          <ns0:t>Nou</ns0:t>
        </ns0:is>
      </ns0:c>
      <ns0:c r="G46" s="7" t="inlineStr">
        <ns0:is>
          <ns0:t>EN</ns0:t>
        </ns0:is>
      </ns0:c>
      <ns0:c r="H46" s="7" t="inlineStr">
        <ns0:is>
          <ns0:t>Concept propus; nescris</ns0:t>
        </ns0:is>
      </ns0:c>
      <ns0:c r="I46" s="9" t="n">
        <ns0:v>60000</ns0:v>
      </ns0:c>
      <ns0:c r="J46" s="10" t="n">
        <ns0:v>46318</ns0:v>
      </ns0:c>
      <ns0:c r="K46" s="10" t="n">
        <ns0:v>46336</ns0:v>
      </ns0:c>
      <ns0:c r="L46" s="10" t="n">
        <ns0:v>46338</ns0:v>
      </ns0:c>
      <ns0:c r="M46" s="10" t="n">
        <ns0:v>46340</ns0:v>
      </ns0:c>
      <ns0:c r="N46" s="7" t="inlineStr">
        <ns0:is>
          <ns0:t>LOT C</ns0:t>
        </ns0:is>
      </ns0:c>
      <ns0:c r="O46" s="11" t="inlineStr">
        <ns0:is>
          <ns0:t>De contractat / desemnat</ns0:t>
        </ns0:is>
      </ns0:c>
      <ns0:c r="P46" s="7" t="inlineStr">
        <ns0:is>
          <ns0:t>Romance de aventură</ns0:t>
        </ns0:is>
      </ns0:c>
      <ns0:c r="Q46" s="7" t="inlineStr">
        <ns0:is>
          <ns0:t>Un secret de familie încheie arcul lui Alex printr-o alegere ireversibilă.</ns0:t>
        </ns0:is>
      </ns0:c>
      <ns0:c r="R46" s="7" t="inlineStr"/>
      <ns0:c r="S46" s="7">
        <ns0:f>COUNTIFS(Editii_300!$B$2:$B$301,A46,Editii_300!$X$2:$X$301,1)</ns0:f>
        <ns0:v>0</ns0:v>
      </ns0:c>
      <ns0:c r="T46" s="7">
        <ns0:f>IF(S46=3,1,0)</ns0:f>
        <ns0:v>0</ns0:v>
      </ns0:c>
    </ns0:row>
    <ns0:row r="47" ht="65" customHeight="1">
      <ns0:c r="A47" s="7" t="inlineStr">
        <ns0:is>
          <ns0:t>DB-046</ns0:t>
        </ns0:is>
      </ns0:c>
      <ns0:c r="B47" s="7" t="inlineStr">
        <ns0:is>
          <ns0:t>AMORIS</ns0:t>
        </ns0:is>
      </ns0:c>
      <ns0:c r="C47" s="7" t="inlineStr">
        <ns0:is>
          <ns0:t>Isabella Morgan / Rue des Âmes</ns0:t>
        </ns0:is>
      </ns0:c>
      <ns0:c r="D47" s="8" t="n">
        <ns0:v>1</ns0:v>
      </ns0:c>
      <ns0:c r="E47" s="7" t="inlineStr">
        <ns0:is>
          <ns0:t>Hotelul din Rue des Âmes</ns0:t>
        </ns0:is>
      </ns0:c>
      <ns0:c r="F47" s="7" t="inlineStr">
        <ns0:is>
          <ns0:t>Fond</ns0:t>
        </ns0:is>
      </ns0:c>
      <ns0:c r="G47" s="7" t="inlineStr">
        <ns0:is>
          <ns0:t>EN</ns0:t>
        </ns0:is>
      </ns0:c>
      <ns0:c r="H47" s="7" t="inlineStr">
        <ns0:is>
          <ns0:t>Manuscris candidat — nevalidat editorial</ns0:t>
        </ns0:is>
      </ns0:c>
      <ns0:c r="I47" s="9" t="n">
        <ns0:v>85000</ns0:v>
      </ns0:c>
      <ns0:c r="J47" s="10" t="n">
        <ns0:v>46298</ns0:v>
      </ns0:c>
      <ns0:c r="K47" s="10" t="n">
        <ns0:v>46301</ns0:v>
      </ns0:c>
      <ns0:c r="L47" s="10" t="n">
        <ns0:v>46303</ns0:v>
      </ns0:c>
      <ns0:c r="M47" s="10" t="n">
        <ns0:v>46305</ns0:v>
      </ns0:c>
      <ns0:c r="N47" s="7" t="inlineStr">
        <ns0:is>
          <ns0:t>PILOT</ns0:t>
        </ns0:is>
      </ns0:c>
      <ns0:c r="O47" s="11" t="inlineStr">
        <ns0:is>
          <ns0:t>De contractat / desemnat</ns0:t>
        </ns0:is>
      </ns0:c>
      <ns0:c r="P47" s="7" t="inlineStr">
        <ns0:is>
          <ns0:t>Romance contemporan</ns0:t>
        </ns0:is>
      </ns0:c>
      <ns0:c r="Q47" s="7" t="inlineStr">
        <ns0:is>
          <ns0:t>Manuscris EN; Isabella și scrisorile unui hotel din Paris.</ns0:t>
        </ns0:is>
      </ns0:c>
      <ns0:c r="R47" s="7" t="inlineStr">
        <ns0:is>
          <ns0:t>Folderul V1 conține copie identică a Aurora 1; heading CHAPTER 11 neidentificat; nu se deduce automat lipsa prozei.</ns0:t>
        </ns0:is>
      </ns0:c>
      <ns0:c r="S47" s="7">
        <ns0:f>COUNTIFS(Editii_300!$B$2:$B$301,A47,Editii_300!$X$2:$X$301,1)</ns0:f>
        <ns0:v>0</ns0:v>
      </ns0:c>
      <ns0:c r="T47" s="7">
        <ns0:f>IF(S47=3,1,0)</ns0:f>
        <ns0:v>0</ns0:v>
      </ns0:c>
    </ns0:row>
    <ns0:row r="48" ht="65" customHeight="1">
      <ns0:c r="A48" s="7" t="inlineStr">
        <ns0:is>
          <ns0:t>DB-047</ns0:t>
        </ns0:is>
      </ns0:c>
      <ns0:c r="B48" s="7" t="inlineStr">
        <ns0:is>
          <ns0:t>AMORIS</ns0:t>
        </ns0:is>
      </ns0:c>
      <ns0:c r="C48" s="7" t="inlineStr">
        <ns0:is>
          <ns0:t>Isabella Morgan / Rue des Âmes</ns0:t>
        </ns0:is>
      </ns0:c>
      <ns0:c r="D48" s="8" t="n">
        <ns0:v>2</ns0:v>
      </ns0:c>
      <ns0:c r="E48" s="7" t="inlineStr">
        <ns0:is>
          <ns0:t>The Magenta Letters</ns0:t>
        </ns0:is>
      </ns0:c>
      <ns0:c r="F48" s="7" t="inlineStr">
        <ns0:is>
          <ns0:t>Nou</ns0:t>
        </ns0:is>
      </ns0:c>
      <ns0:c r="G48" s="7" t="inlineStr">
        <ns0:is>
          <ns0:t>EN</ns0:t>
        </ns0:is>
      </ns0:c>
      <ns0:c r="H48" s="7" t="inlineStr">
        <ns0:is>
          <ns0:t>Concept propus; nescris</ns0:t>
        </ns0:is>
      </ns0:c>
      <ns0:c r="I48" s="9" t="n">
        <ns0:v>60000</ns0:v>
      </ns0:c>
      <ns0:c r="J48" s="10" t="n">
        <ns0:v>46325</ns0:v>
      </ns0:c>
      <ns0:c r="K48" s="10" t="n">
        <ns0:v>46343</ns0:v>
      </ns0:c>
      <ns0:c r="L48" s="10" t="n">
        <ns0:v>46345</ns0:v>
      </ns0:c>
      <ns0:c r="M48" s="10" t="n">
        <ns0:v>46347</ns0:v>
      </ns0:c>
      <ns0:c r="N48" s="7" t="inlineStr">
        <ns0:is>
          <ns0:t>LOT D</ns0:t>
        </ns0:is>
      </ns0:c>
      <ns0:c r="O48" s="11" t="inlineStr">
        <ns0:is>
          <ns0:t>De contractat / desemnat</ns0:t>
        </ns0:is>
      </ns0:c>
      <ns0:c r="P48" s="7" t="inlineStr">
        <ns0:is>
          <ns0:t>Romance contemporan</ns0:t>
        </ns0:is>
      </ns0:c>
      <ns0:c r="Q48" s="7" t="inlineStr">
        <ns0:is>
          <ns0:t>Promisiunea din finalul existent: povestea lui Margaux, în universul comun.</ns0:t>
        </ns0:is>
      </ns0:c>
      <ns0:c r="R48" s="7" t="inlineStr"/>
      <ns0:c r="S48" s="7">
        <ns0:f>COUNTIFS(Editii_300!$B$2:$B$301,A48,Editii_300!$X$2:$X$301,1)</ns0:f>
        <ns0:v>0</ns0:v>
      </ns0:c>
      <ns0:c r="T48" s="7">
        <ns0:f>IF(S48=3,1,0)</ns0:f>
        <ns0:v>0</ns0:v>
      </ns0:c>
    </ns0:row>
    <ns0:row r="49" ht="65" customHeight="1">
      <ns0:c r="A49" s="7" t="inlineStr">
        <ns0:is>
          <ns0:t>DB-048</ns0:t>
        </ns0:is>
      </ns0:c>
      <ns0:c r="B49" s="7" t="inlineStr">
        <ns0:is>
          <ns0:t>AMORIS</ns0:t>
        </ns0:is>
      </ns0:c>
      <ns0:c r="C49" s="7" t="inlineStr">
        <ns0:is>
          <ns0:t>Isabella Morgan / Rue des Âmes</ns0:t>
        </ns0:is>
      </ns0:c>
      <ns0:c r="D49" s="8" t="n">
        <ns0:v>3</ns0:v>
      </ns0:c>
      <ns0:c r="E49" s="7" t="inlineStr">
        <ns0:is>
          <ns0:t>Coffee at the Edge of the World</ns0:t>
        </ns0:is>
      </ns0:c>
      <ns0:c r="F49" s="7" t="inlineStr">
        <ns0:is>
          <ns0:t>Nou</ns0:t>
        </ns0:is>
      </ns0:c>
      <ns0:c r="G49" s="7" t="inlineStr">
        <ns0:is>
          <ns0:t>EN</ns0:t>
        </ns0:is>
      </ns0:c>
      <ns0:c r="H49" s="7" t="inlineStr">
        <ns0:is>
          <ns0:t>Concept propus; nescris</ns0:t>
        </ns0:is>
      </ns0:c>
      <ns0:c r="I49" s="9" t="n">
        <ns0:v>60000</ns0:v>
      </ns0:c>
      <ns0:c r="J49" s="10" t="n">
        <ns0:v>46325</ns0:v>
      </ns0:c>
      <ns0:c r="K49" s="10" t="n">
        <ns0:v>46343</ns0:v>
      </ns0:c>
      <ns0:c r="L49" s="10" t="n">
        <ns0:v>46345</ns0:v>
      </ns0:c>
      <ns0:c r="M49" s="10" t="n">
        <ns0:v>46347</ns0:v>
      </ns0:c>
      <ns0:c r="N49" s="7" t="inlineStr">
        <ns0:is>
          <ns0:t>LOT D</ns0:t>
        </ns0:is>
      </ns0:c>
      <ns0:c r="O49" s="11" t="inlineStr">
        <ns0:is>
          <ns0:t>De contractat / desemnat</ns0:t>
        </ns0:is>
      </ns0:c>
      <ns0:c r="P49" s="7" t="inlineStr">
        <ns0:is>
          <ns0:t>Romance contemporan</ns0:t>
        </ns0:is>
      </ns0:c>
      <ns0:c r="Q49" s="7" t="inlineStr">
        <ns0:is>
          <ns0:t>Lisabona; o întâlnire schimbă definiția succesului.</ns0:t>
        </ns0:is>
      </ns0:c>
      <ns0:c r="R49" s="7" t="inlineStr"/>
      <ns0:c r="S49" s="7">
        <ns0:f>COUNTIFS(Editii_300!$B$2:$B$301,A49,Editii_300!$X$2:$X$301,1)</ns0:f>
        <ns0:v>0</ns0:v>
      </ns0:c>
      <ns0:c r="T49" s="7">
        <ns0:f>IF(S49=3,1,0)</ns0:f>
        <ns0:v>0</ns0:v>
      </ns0:c>
    </ns0:row>
    <ns0:row r="50" ht="65" customHeight="1">
      <ns0:c r="A50" s="7" t="inlineStr">
        <ns0:is>
          <ns0:t>DB-049</ns0:t>
        </ns0:is>
      </ns0:c>
      <ns0:c r="B50" s="7" t="inlineStr">
        <ns0:is>
          <ns0:t>AMORIS</ns0:t>
        </ns0:is>
      </ns0:c>
      <ns0:c r="C50" s="7" t="inlineStr">
        <ns0:is>
          <ns0:t>Isabella Morgan / Rue des Âmes</ns0:t>
        </ns0:is>
      </ns0:c>
      <ns0:c r="D50" s="8" t="n">
        <ns0:v>4</ns0:v>
      </ns0:c>
      <ns0:c r="E50" s="7" t="inlineStr">
        <ns0:is>
          <ns0:t>Under the Tokyo Sky</ns0:t>
        </ns0:is>
      </ns0:c>
      <ns0:c r="F50" s="7" t="inlineStr">
        <ns0:is>
          <ns0:t>Nou</ns0:t>
        </ns0:is>
      </ns0:c>
      <ns0:c r="G50" s="7" t="inlineStr">
        <ns0:is>
          <ns0:t>EN</ns0:t>
        </ns0:is>
      </ns0:c>
      <ns0:c r="H50" s="7" t="inlineStr">
        <ns0:is>
          <ns0:t>Concept propus; nescris</ns0:t>
        </ns0:is>
      </ns0:c>
      <ns0:c r="I50" s="9" t="n">
        <ns0:v>60000</ns0:v>
      </ns0:c>
      <ns0:c r="J50" s="10" t="n">
        <ns0:v>46325</ns0:v>
      </ns0:c>
      <ns0:c r="K50" s="10" t="n">
        <ns0:v>46343</ns0:v>
      </ns0:c>
      <ns0:c r="L50" s="10" t="n">
        <ns0:v>46345</ns0:v>
      </ns0:c>
      <ns0:c r="M50" s="10" t="n">
        <ns0:v>46347</ns0:v>
      </ns0:c>
      <ns0:c r="N50" s="7" t="inlineStr">
        <ns0:is>
          <ns0:t>LOT D</ns0:t>
        </ns0:is>
      </ns0:c>
      <ns0:c r="O50" s="11" t="inlineStr">
        <ns0:is>
          <ns0:t>De contractat / desemnat</ns0:t>
        </ns0:is>
      </ns0:c>
      <ns0:c r="P50" s="7" t="inlineStr">
        <ns0:is>
          <ns0:t>Romance contemporan</ns0:t>
        </ns0:is>
      </ns0:c>
      <ns0:c r="Q50" s="7" t="inlineStr">
        <ns0:is>
          <ns0:t>Doi profesioniști aleg între reputație și o relație imposibil de ascuns.</ns0:t>
        </ns0:is>
      </ns0:c>
      <ns0:c r="R50" s="7" t="inlineStr"/>
      <ns0:c r="S50" s="7">
        <ns0:f>COUNTIFS(Editii_300!$B$2:$B$301,A50,Editii_300!$X$2:$X$301,1)</ns0:f>
        <ns0:v>0</ns0:v>
      </ns0:c>
      <ns0:c r="T50" s="7">
        <ns0:f>IF(S50=3,1,0)</ns0:f>
        <ns0:v>0</ns0:v>
      </ns0:c>
    </ns0:row>
    <ns0:row r="51" ht="65" customHeight="1">
      <ns0:c r="A51" s="7" t="inlineStr">
        <ns0:is>
          <ns0:t>DB-050</ns0:t>
        </ns0:is>
      </ns0:c>
      <ns0:c r="B51" s="7" t="inlineStr">
        <ns0:is>
          <ns0:t>AMORIS</ns0:t>
        </ns0:is>
      </ns0:c>
      <ns0:c r="C51" s="7" t="inlineStr">
        <ns0:is>
          <ns0:t>Isabella Morgan / Rue des Âmes</ns0:t>
        </ns0:is>
      </ns0:c>
      <ns0:c r="D51" s="8" t="n">
        <ns0:v>5</ns0:v>
      </ns0:c>
      <ns0:c r="E51" s="7" t="inlineStr">
        <ns0:is>
          <ns0:t>Vienna After Hours</ns0:t>
        </ns0:is>
      </ns0:c>
      <ns0:c r="F51" s="7" t="inlineStr">
        <ns0:is>
          <ns0:t>Nou</ns0:t>
        </ns0:is>
      </ns0:c>
      <ns0:c r="G51" s="7" t="inlineStr">
        <ns0:is>
          <ns0:t>EN</ns0:t>
        </ns0:is>
      </ns0:c>
      <ns0:c r="H51" s="7" t="inlineStr">
        <ns0:is>
          <ns0:t>Concept propus; nescris</ns0:t>
        </ns0:is>
      </ns0:c>
      <ns0:c r="I51" s="9" t="n">
        <ns0:v>60000</ns0:v>
      </ns0:c>
      <ns0:c r="J51" s="10" t="n">
        <ns0:v>46325</ns0:v>
      </ns0:c>
      <ns0:c r="K51" s="10" t="n">
        <ns0:v>46343</ns0:v>
      </ns0:c>
      <ns0:c r="L51" s="10" t="n">
        <ns0:v>46345</ns0:v>
      </ns0:c>
      <ns0:c r="M51" s="10" t="n">
        <ns0:v>46347</ns0:v>
      </ns0:c>
      <ns0:c r="N51" s="7" t="inlineStr">
        <ns0:is>
          <ns0:t>LOT D</ns0:t>
        </ns0:is>
      </ns0:c>
      <ns0:c r="O51" s="11" t="inlineStr">
        <ns0:is>
          <ns0:t>De contractat / desemnat</ns0:t>
        </ns0:is>
      </ns0:c>
      <ns0:c r="P51" s="7" t="inlineStr">
        <ns0:is>
          <ns0:t>Romance contemporan</ns0:t>
        </ns0:is>
      </ns0:c>
      <ns0:c r="Q51" s="7" t="inlineStr">
        <ns0:is>
          <ns0:t>Un concert ratat deschide o a doua șansă.</ns0:t>
        </ns0:is>
      </ns0:c>
      <ns0:c r="R51" s="7" t="inlineStr"/>
      <ns0:c r="S51" s="7">
        <ns0:f>COUNTIFS(Editii_300!$B$2:$B$301,A51,Editii_300!$X$2:$X$301,1)</ns0:f>
        <ns0:v>0</ns0:v>
      </ns0:c>
      <ns0:c r="T51" s="7">
        <ns0:f>IF(S51=3,1,0)</ns0:f>
        <ns0:v>0</ns0:v>
      </ns0:c>
    </ns0:row>
    <ns0:row r="52" ht="65" customHeight="1">
      <ns0:c r="A52" s="7" t="inlineStr">
        <ns0:is>
          <ns0:t>DB-051</ns0:t>
        </ns0:is>
      </ns0:c>
      <ns0:c r="B52" s="7" t="inlineStr">
        <ns0:is>
          <ns0:t>AMORIS</ns0:t>
        </ns0:is>
      </ns0:c>
      <ns0:c r="C52" s="7" t="inlineStr">
        <ns0:is>
          <ns0:t>Isabella Morgan / Rue des Âmes</ns0:t>
        </ns0:is>
      </ns0:c>
      <ns0:c r="D52" s="8" t="n">
        <ns0:v>6</ns0:v>
      </ns0:c>
      <ns0:c r="E52" s="7" t="inlineStr">
        <ns0:is>
          <ns0:t>The Woman on Charles Bridge</ns0:t>
        </ns0:is>
      </ns0:c>
      <ns0:c r="F52" s="7" t="inlineStr">
        <ns0:is>
          <ns0:t>Nou</ns0:t>
        </ns0:is>
      </ns0:c>
      <ns0:c r="G52" s="7" t="inlineStr">
        <ns0:is>
          <ns0:t>EN</ns0:t>
        </ns0:is>
      </ns0:c>
      <ns0:c r="H52" s="7" t="inlineStr">
        <ns0:is>
          <ns0:t>Concept propus; nescris</ns0:t>
        </ns0:is>
      </ns0:c>
      <ns0:c r="I52" s="9" t="n">
        <ns0:v>60000</ns0:v>
      </ns0:c>
      <ns0:c r="J52" s="10" t="n">
        <ns0:v>46325</ns0:v>
      </ns0:c>
      <ns0:c r="K52" s="10" t="n">
        <ns0:v>46343</ns0:v>
      </ns0:c>
      <ns0:c r="L52" s="10" t="n">
        <ns0:v>46345</ns0:v>
      </ns0:c>
      <ns0:c r="M52" s="10" t="n">
        <ns0:v>46347</ns0:v>
      </ns0:c>
      <ns0:c r="N52" s="7" t="inlineStr">
        <ns0:is>
          <ns0:t>LOT D</ns0:t>
        </ns0:is>
      </ns0:c>
      <ns0:c r="O52" s="11" t="inlineStr">
        <ns0:is>
          <ns0:t>De contractat / desemnat</ns0:t>
        </ns0:is>
      </ns0:c>
      <ns0:c r="P52" s="7" t="inlineStr">
        <ns0:is>
          <ns0:t>Romance contemporan</ns0:t>
        </ns0:is>
      </ns0:c>
      <ns0:c r="Q52" s="7" t="inlineStr">
        <ns0:is>
          <ns0:t>O conferință din Praga readuce un secret de familie.</ns0:t>
        </ns0:is>
      </ns0:c>
      <ns0:c r="R52" s="7" t="inlineStr"/>
      <ns0:c r="S52" s="7">
        <ns0:f>COUNTIFS(Editii_300!$B$2:$B$301,A52,Editii_300!$X$2:$X$301,1)</ns0:f>
        <ns0:v>0</ns0:v>
      </ns0:c>
      <ns0:c r="T52" s="7">
        <ns0:f>IF(S52=3,1,0)</ns0:f>
        <ns0:v>0</ns0:v>
      </ns0:c>
    </ns0:row>
    <ns0:row r="53" ht="65" customHeight="1">
      <ns0:c r="A53" s="7" t="inlineStr">
        <ns0:is>
          <ns0:t>DB-052</ns0:t>
        </ns0:is>
      </ns0:c>
      <ns0:c r="B53" s="7" t="inlineStr">
        <ns0:is>
          <ns0:t>AMORIS</ns0:t>
        </ns0:is>
      </ns0:c>
      <ns0:c r="C53" s="7" t="inlineStr">
        <ns0:is>
          <ns0:t>Isabella Morgan / Rue des Âmes</ns0:t>
        </ns0:is>
      </ns0:c>
      <ns0:c r="D53" s="8" t="n">
        <ns0:v>7</ns0:v>
      </ns0:c>
      <ns0:c r="E53" s="7" t="inlineStr">
        <ns0:is>
          <ns0:t>The Marrakech Letter</ns0:t>
        </ns0:is>
      </ns0:c>
      <ns0:c r="F53" s="7" t="inlineStr">
        <ns0:is>
          <ns0:t>Nou</ns0:t>
        </ns0:is>
      </ns0:c>
      <ns0:c r="G53" s="7" t="inlineStr">
        <ns0:is>
          <ns0:t>EN</ns0:t>
        </ns0:is>
      </ns0:c>
      <ns0:c r="H53" s="7" t="inlineStr">
        <ns0:is>
          <ns0:t>Concept propus; nescris</ns0:t>
        </ns0:is>
      </ns0:c>
      <ns0:c r="I53" s="9" t="n">
        <ns0:v>60000</ns0:v>
      </ns0:c>
      <ns0:c r="J53" s="10" t="n">
        <ns0:v>46325</ns0:v>
      </ns0:c>
      <ns0:c r="K53" s="10" t="n">
        <ns0:v>46343</ns0:v>
      </ns0:c>
      <ns0:c r="L53" s="10" t="n">
        <ns0:v>46345</ns0:v>
      </ns0:c>
      <ns0:c r="M53" s="10" t="n">
        <ns0:v>46347</ns0:v>
      </ns0:c>
      <ns0:c r="N53" s="7" t="inlineStr">
        <ns0:is>
          <ns0:t>LOT D</ns0:t>
        </ns0:is>
      </ns0:c>
      <ns0:c r="O53" s="11" t="inlineStr">
        <ns0:is>
          <ns0:t>De contractat / desemnat</ns0:t>
        </ns0:is>
      </ns0:c>
      <ns0:c r="P53" s="7" t="inlineStr">
        <ns0:is>
          <ns0:t>Romance contemporan</ns0:t>
        </ns0:is>
      </ns0:c>
      <ns0:c r="Q53" s="7" t="inlineStr">
        <ns0:is>
          <ns0:t>O scrisoare schimbă cine are dreptul să spună o poveste.</ns0:t>
        </ns0:is>
      </ns0:c>
      <ns0:c r="R53" s="7" t="inlineStr"/>
      <ns0:c r="S53" s="7">
        <ns0:f>COUNTIFS(Editii_300!$B$2:$B$301,A53,Editii_300!$X$2:$X$301,1)</ns0:f>
        <ns0:v>0</ns0:v>
      </ns0:c>
      <ns0:c r="T53" s="7">
        <ns0:f>IF(S53=3,1,0)</ns0:f>
        <ns0:v>0</ns0:v>
      </ns0:c>
    </ns0:row>
    <ns0:row r="54" ht="65" customHeight="1">
      <ns0:c r="A54" s="7" t="inlineStr">
        <ns0:is>
          <ns0:t>DB-053</ns0:t>
        </ns0:is>
      </ns0:c>
      <ns0:c r="B54" s="7" t="inlineStr">
        <ns0:is>
          <ns0:t>AMORIS</ns0:t>
        </ns0:is>
      </ns0:c>
      <ns0:c r="C54" s="7" t="inlineStr">
        <ns0:is>
          <ns0:t>Isabella Morgan / Rue des Âmes</ns0:t>
        </ns0:is>
      </ns0:c>
      <ns0:c r="D54" s="8" t="n">
        <ns0:v>8</ns0:v>
      </ns0:c>
      <ns0:c r="E54" s="7" t="inlineStr">
        <ns0:is>
          <ns0:t>Flight Over Rome</ns0:t>
        </ns0:is>
      </ns0:c>
      <ns0:c r="F54" s="7" t="inlineStr">
        <ns0:is>
          <ns0:t>Nou</ns0:t>
        </ns0:is>
      </ns0:c>
      <ns0:c r="G54" s="7" t="inlineStr">
        <ns0:is>
          <ns0:t>EN</ns0:t>
        </ns0:is>
      </ns0:c>
      <ns0:c r="H54" s="7" t="inlineStr">
        <ns0:is>
          <ns0:t>Concept propus; nescris</ns0:t>
        </ns0:is>
      </ns0:c>
      <ns0:c r="I54" s="9" t="n">
        <ns0:v>60000</ns0:v>
      </ns0:c>
      <ns0:c r="J54" s="10" t="n">
        <ns0:v>46325</ns0:v>
      </ns0:c>
      <ns0:c r="K54" s="10" t="n">
        <ns0:v>46343</ns0:v>
      </ns0:c>
      <ns0:c r="L54" s="10" t="n">
        <ns0:v>46345</ns0:v>
      </ns0:c>
      <ns0:c r="M54" s="10" t="n">
        <ns0:v>46347</ns0:v>
      </ns0:c>
      <ns0:c r="N54" s="7" t="inlineStr">
        <ns0:is>
          <ns0:t>LOT D</ns0:t>
        </ns0:is>
      </ns0:c>
      <ns0:c r="O54" s="11" t="inlineStr">
        <ns0:is>
          <ns0:t>De contractat / desemnat</ns0:t>
        </ns0:is>
      </ns0:c>
      <ns0:c r="P54" s="7" t="inlineStr">
        <ns0:is>
          <ns0:t>Romance contemporan</ns0:t>
        </ns0:is>
      </ns0:c>
      <ns0:c r="Q54" s="7" t="inlineStr">
        <ns0:is>
          <ns0:t>Un zbor anulat obligă doi rivali să împartă o călătorie.</ns0:t>
        </ns0:is>
      </ns0:c>
      <ns0:c r="R54" s="7" t="inlineStr"/>
      <ns0:c r="S54" s="7">
        <ns0:f>COUNTIFS(Editii_300!$B$2:$B$301,A54,Editii_300!$X$2:$X$301,1)</ns0:f>
        <ns0:v>0</ns0:v>
      </ns0:c>
      <ns0:c r="T54" s="7">
        <ns0:f>IF(S54=3,1,0)</ns0:f>
        <ns0:v>0</ns0:v>
      </ns0:c>
    </ns0:row>
    <ns0:row r="55" ht="65" customHeight="1">
      <ns0:c r="A55" s="7" t="inlineStr">
        <ns0:is>
          <ns0:t>DB-054</ns0:t>
        </ns0:is>
      </ns0:c>
      <ns0:c r="B55" s="7" t="inlineStr">
        <ns0:is>
          <ns0:t>AMORIS</ns0:t>
        </ns0:is>
      </ns0:c>
      <ns0:c r="C55" s="7" t="inlineStr">
        <ns0:is>
          <ns0:t>Isabella Morgan / Rue des Âmes</ns0:t>
        </ns0:is>
      </ns0:c>
      <ns0:c r="D55" s="8" t="n">
        <ns0:v>9</ns0:v>
      </ns0:c>
      <ns0:c r="E55" s="7" t="inlineStr">
        <ns0:is>
          <ns0:t>Shadows of Buenos Aires</ns0:t>
        </ns0:is>
      </ns0:c>
      <ns0:c r="F55" s="7" t="inlineStr">
        <ns0:is>
          <ns0:t>Nou</ns0:t>
        </ns0:is>
      </ns0:c>
      <ns0:c r="G55" s="7" t="inlineStr">
        <ns0:is>
          <ns0:t>EN</ns0:t>
        </ns0:is>
      </ns0:c>
      <ns0:c r="H55" s="7" t="inlineStr">
        <ns0:is>
          <ns0:t>Concept propus; nescris</ns0:t>
        </ns0:is>
      </ns0:c>
      <ns0:c r="I55" s="9" t="n">
        <ns0:v>60000</ns0:v>
      </ns0:c>
      <ns0:c r="J55" s="10" t="n">
        <ns0:v>46325</ns0:v>
      </ns0:c>
      <ns0:c r="K55" s="10" t="n">
        <ns0:v>46343</ns0:v>
      </ns0:c>
      <ns0:c r="L55" s="10" t="n">
        <ns0:v>46345</ns0:v>
      </ns0:c>
      <ns0:c r="M55" s="10" t="n">
        <ns0:v>46347</ns0:v>
      </ns0:c>
      <ns0:c r="N55" s="7" t="inlineStr">
        <ns0:is>
          <ns0:t>LOT D</ns0:t>
        </ns0:is>
      </ns0:c>
      <ns0:c r="O55" s="11" t="inlineStr">
        <ns0:is>
          <ns0:t>De contractat / desemnat</ns0:t>
        </ns0:is>
      </ns0:c>
      <ns0:c r="P55" s="7" t="inlineStr">
        <ns0:is>
          <ns0:t>Romance contemporan</ns0:t>
        </ns0:is>
      </ns0:c>
      <ns0:c r="Q55" s="7" t="inlineStr">
        <ns0:is>
          <ns0:t>Dans, încredere și o alegere între plecare și apartenență.</ns0:t>
        </ns0:is>
      </ns0:c>
      <ns0:c r="R55" s="7" t="inlineStr"/>
      <ns0:c r="S55" s="7">
        <ns0:f>COUNTIFS(Editii_300!$B$2:$B$301,A55,Editii_300!$X$2:$X$301,1)</ns0:f>
        <ns0:v>0</ns0:v>
      </ns0:c>
      <ns0:c r="T55" s="7">
        <ns0:f>IF(S55=3,1,0)</ns0:f>
        <ns0:v>0</ns0:v>
      </ns0:c>
    </ns0:row>
    <ns0:row r="56" ht="65" customHeight="1">
      <ns0:c r="A56" s="7" t="inlineStr">
        <ns0:is>
          <ns0:t>DB-055</ns0:t>
        </ns0:is>
      </ns0:c>
      <ns0:c r="B56" s="7" t="inlineStr">
        <ns0:is>
          <ns0:t>AMORIS</ns0:t>
        </ns0:is>
      </ns0:c>
      <ns0:c r="C56" s="7" t="inlineStr">
        <ns0:is>
          <ns0:t>Isabella Morgan / Rue des Âmes</ns0:t>
        </ns0:is>
      </ns0:c>
      <ns0:c r="D56" s="8" t="n">
        <ns0:v>10</ns0:v>
      </ns0:c>
      <ns0:c r="E56" s="7" t="inlineStr">
        <ns0:is>
          <ns0:t>The Singapore Window</ns0:t>
        </ns0:is>
      </ns0:c>
      <ns0:c r="F56" s="7" t="inlineStr">
        <ns0:is>
          <ns0:t>Nou</ns0:t>
        </ns0:is>
      </ns0:c>
      <ns0:c r="G56" s="7" t="inlineStr">
        <ns0:is>
          <ns0:t>EN</ns0:t>
        </ns0:is>
      </ns0:c>
      <ns0:c r="H56" s="7" t="inlineStr">
        <ns0:is>
          <ns0:t>Concept propus; nescris</ns0:t>
        </ns0:is>
      </ns0:c>
      <ns0:c r="I56" s="9" t="n">
        <ns0:v>60000</ns0:v>
      </ns0:c>
      <ns0:c r="J56" s="10" t="n">
        <ns0:v>46325</ns0:v>
      </ns0:c>
      <ns0:c r="K56" s="10" t="n">
        <ns0:v>46343</ns0:v>
      </ns0:c>
      <ns0:c r="L56" s="10" t="n">
        <ns0:v>46345</ns0:v>
      </ns0:c>
      <ns0:c r="M56" s="10" t="n">
        <ns0:v>46347</ns0:v>
      </ns0:c>
      <ns0:c r="N56" s="7" t="inlineStr">
        <ns0:is>
          <ns0:t>LOT D</ns0:t>
        </ns0:is>
      </ns0:c>
      <ns0:c r="O56" s="11" t="inlineStr">
        <ns0:is>
          <ns0:t>De contractat / desemnat</ns0:t>
        </ns0:is>
      </ns0:c>
      <ns0:c r="P56" s="7" t="inlineStr">
        <ns0:is>
          <ns0:t>Romance contemporan</ns0:t>
        </ns0:is>
      </ns0:c>
      <ns0:c r="Q56" s="7" t="inlineStr">
        <ns0:is>
          <ns0:t>O decizie profesională deschide ultima etapă a arcului emoțional.</ns0:t>
        </ns0:is>
      </ns0:c>
      <ns0:c r="R56" s="7" t="inlineStr"/>
      <ns0:c r="S56" s="7">
        <ns0:f>COUNTIFS(Editii_300!$B$2:$B$301,A56,Editii_300!$X$2:$X$301,1)</ns0:f>
        <ns0:v>0</ns0:v>
      </ns0:c>
      <ns0:c r="T56" s="7">
        <ns0:f>IF(S56=3,1,0)</ns0:f>
        <ns0:v>0</ns0:v>
      </ns0:c>
    </ns0:row>
    <ns0:row r="57" ht="65" customHeight="1">
      <ns0:c r="A57" s="7" t="inlineStr">
        <ns0:is>
          <ns0:t>DB-056</ns0:t>
        </ns0:is>
      </ns0:c>
      <ns0:c r="B57" s="7" t="inlineStr">
        <ns0:is>
          <ns0:t>AMORIS</ns0:t>
        </ns0:is>
      </ns0:c>
      <ns0:c r="C57" s="7" t="inlineStr">
        <ns0:is>
          <ns0:t>Aegean Second Chances</ns0:t>
        </ns0:is>
      </ns0:c>
      <ns0:c r="D57" s="8" t="n">
        <ns0:v>1</ns0:v>
      </ns0:c>
      <ns0:c r="E57" s="7" t="inlineStr">
        <ns0:is>
          <ns0:t>The Bookshop by the Harbour</ns0:t>
        </ns0:is>
      </ns0:c>
      <ns0:c r="F57" s="7" t="inlineStr">
        <ns0:is>
          <ns0:t>Nou</ns0:t>
        </ns0:is>
      </ns0:c>
      <ns0:c r="G57" s="7" t="inlineStr">
        <ns0:is>
          <ns0:t>EN</ns0:t>
        </ns0:is>
      </ns0:c>
      <ns0:c r="H57" s="7" t="inlineStr">
        <ns0:is>
          <ns0:t>Concept propus; nescris</ns0:t>
        </ns0:is>
      </ns0:c>
      <ns0:c r="I57" s="9" t="n">
        <ns0:v>55000</ns0:v>
      </ns0:c>
      <ns0:c r="J57" s="10" t="n">
        <ns0:v>46311</ns0:v>
      </ns0:c>
      <ns0:c r="K57" s="10" t="n">
        <ns0:v>46329</ns0:v>
      </ns0:c>
      <ns0:c r="L57" s="10" t="n">
        <ns0:v>46331</ns0:v>
      </ns0:c>
      <ns0:c r="M57" s="10" t="n">
        <ns0:v>46333</ns0:v>
      </ns0:c>
      <ns0:c r="N57" s="7" t="inlineStr">
        <ns0:is>
          <ns0:t>LOT B</ns0:t>
        </ns0:is>
      </ns0:c>
      <ns0:c r="O57" s="11" t="inlineStr">
        <ns0:is>
          <ns0:t>De contractat / desemnat</ns0:t>
        </ns0:is>
      </ns0:c>
      <ns0:c r="P57" s="7" t="inlineStr">
        <ns0:is>
          <ns0:t>Romance independent conectat</ns0:t>
        </ns0:is>
      </ns0:c>
      <ns0:c r="Q57" s="7" t="inlineStr">
        <ns0:is>
          <ns0:t>O librară și un restaurator trebuie să salveze același spațiu.</ns0:t>
        </ns0:is>
      </ns0:c>
      <ns0:c r="R57" s="7" t="inlineStr"/>
      <ns0:c r="S57" s="7">
        <ns0:f>COUNTIFS(Editii_300!$B$2:$B$301,A57,Editii_300!$X$2:$X$301,1)</ns0:f>
        <ns0:v>0</ns0:v>
      </ns0:c>
      <ns0:c r="T57" s="7">
        <ns0:f>IF(S57=3,1,0)</ns0:f>
        <ns0:v>0</ns0:v>
      </ns0:c>
    </ns0:row>
    <ns0:row r="58" ht="65" customHeight="1">
      <ns0:c r="A58" s="7" t="inlineStr">
        <ns0:is>
          <ns0:t>DB-057</ns0:t>
        </ns0:is>
      </ns0:c>
      <ns0:c r="B58" s="7" t="inlineStr">
        <ns0:is>
          <ns0:t>AMORIS</ns0:t>
        </ns0:is>
      </ns0:c>
      <ns0:c r="C58" s="7" t="inlineStr">
        <ns0:is>
          <ns0:t>Aegean Second Chances</ns0:t>
        </ns0:is>
      </ns0:c>
      <ns0:c r="D58" s="8" t="n">
        <ns0:v>2</ns0:v>
      </ns0:c>
      <ns0:c r="E58" s="7" t="inlineStr">
        <ns0:is>
          <ns0:t>The Olive Harvest</ns0:t>
        </ns0:is>
      </ns0:c>
      <ns0:c r="F58" s="7" t="inlineStr">
        <ns0:is>
          <ns0:t>Nou</ns0:t>
        </ns0:is>
      </ns0:c>
      <ns0:c r="G58" s="7" t="inlineStr">
        <ns0:is>
          <ns0:t>EN</ns0:t>
        </ns0:is>
      </ns0:c>
      <ns0:c r="H58" s="7" t="inlineStr">
        <ns0:is>
          <ns0:t>Concept propus; nescris</ns0:t>
        </ns0:is>
      </ns0:c>
      <ns0:c r="I58" s="9" t="n">
        <ns0:v>55000</ns0:v>
      </ns0:c>
      <ns0:c r="J58" s="10" t="n">
        <ns0:v>46311</ns0:v>
      </ns0:c>
      <ns0:c r="K58" s="10" t="n">
        <ns0:v>46329</ns0:v>
      </ns0:c>
      <ns0:c r="L58" s="10" t="n">
        <ns0:v>46331</ns0:v>
      </ns0:c>
      <ns0:c r="M58" s="10" t="n">
        <ns0:v>46333</ns0:v>
      </ns0:c>
      <ns0:c r="N58" s="7" t="inlineStr">
        <ns0:is>
          <ns0:t>LOT B</ns0:t>
        </ns0:is>
      </ns0:c>
      <ns0:c r="O58" s="11" t="inlineStr">
        <ns0:is>
          <ns0:t>De contractat / desemnat</ns0:t>
        </ns0:is>
      </ns0:c>
      <ns0:c r="P58" s="7" t="inlineStr">
        <ns0:is>
          <ns0:t>Romance independent conectat</ns0:t>
        </ns0:is>
      </ns0:c>
      <ns0:c r="Q58" s="7" t="inlineStr">
        <ns0:is>
          <ns0:t>Foști rivali împart o recoltă și o datorie de familie.</ns0:t>
        </ns0:is>
      </ns0:c>
      <ns0:c r="R58" s="7" t="inlineStr"/>
      <ns0:c r="S58" s="7">
        <ns0:f>COUNTIFS(Editii_300!$B$2:$B$301,A58,Editii_300!$X$2:$X$301,1)</ns0:f>
        <ns0:v>0</ns0:v>
      </ns0:c>
      <ns0:c r="T58" s="7">
        <ns0:f>IF(S58=3,1,0)</ns0:f>
        <ns0:v>0</ns0:v>
      </ns0:c>
    </ns0:row>
    <ns0:row r="59" ht="65" customHeight="1">
      <ns0:c r="A59" s="7" t="inlineStr">
        <ns0:is>
          <ns0:t>DB-058</ns0:t>
        </ns0:is>
      </ns0:c>
      <ns0:c r="B59" s="7" t="inlineStr">
        <ns0:is>
          <ns0:t>AMORIS</ns0:t>
        </ns0:is>
      </ns0:c>
      <ns0:c r="C59" s="7" t="inlineStr">
        <ns0:is>
          <ns0:t>Aegean Second Chances</ns0:t>
        </ns0:is>
      </ns0:c>
      <ns0:c r="D59" s="8" t="n">
        <ns0:v>3</ns0:v>
      </ns0:c>
      <ns0:c r="E59" s="7" t="inlineStr">
        <ns0:is>
          <ns0:t>One Summer, Two Keys</ns0:t>
        </ns0:is>
      </ns0:c>
      <ns0:c r="F59" s="7" t="inlineStr">
        <ns0:is>
          <ns0:t>Nou</ns0:t>
        </ns0:is>
      </ns0:c>
      <ns0:c r="G59" s="7" t="inlineStr">
        <ns0:is>
          <ns0:t>EN</ns0:t>
        </ns0:is>
      </ns0:c>
      <ns0:c r="H59" s="7" t="inlineStr">
        <ns0:is>
          <ns0:t>Concept propus; nescris</ns0:t>
        </ns0:is>
      </ns0:c>
      <ns0:c r="I59" s="9" t="n">
        <ns0:v>55000</ns0:v>
      </ns0:c>
      <ns0:c r="J59" s="10" t="n">
        <ns0:v>46311</ns0:v>
      </ns0:c>
      <ns0:c r="K59" s="10" t="n">
        <ns0:v>46329</ns0:v>
      </ns0:c>
      <ns0:c r="L59" s="10" t="n">
        <ns0:v>46331</ns0:v>
      </ns0:c>
      <ns0:c r="M59" s="10" t="n">
        <ns0:v>46333</ns0:v>
      </ns0:c>
      <ns0:c r="N59" s="7" t="inlineStr">
        <ns0:is>
          <ns0:t>LOT B</ns0:t>
        </ns0:is>
      </ns0:c>
      <ns0:c r="O59" s="11" t="inlineStr">
        <ns0:is>
          <ns0:t>De contractat / desemnat</ns0:t>
        </ns0:is>
      </ns0:c>
      <ns0:c r="P59" s="7" t="inlineStr">
        <ns0:is>
          <ns0:t>Romance independent conectat</ns0:t>
        </ns0:is>
      </ns0:c>
      <ns0:c r="Q59" s="7" t="inlineStr">
        <ns0:is>
          <ns0:t>Doi moștenitori primesc cheia aceleiași case.</ns0:t>
        </ns0:is>
      </ns0:c>
      <ns0:c r="R59" s="7" t="inlineStr"/>
      <ns0:c r="S59" s="7">
        <ns0:f>COUNTIFS(Editii_300!$B$2:$B$301,A59,Editii_300!$X$2:$X$301,1)</ns0:f>
        <ns0:v>0</ns0:v>
      </ns0:c>
      <ns0:c r="T59" s="7">
        <ns0:f>IF(S59=3,1,0)</ns0:f>
        <ns0:v>0</ns0:v>
      </ns0:c>
    </ns0:row>
    <ns0:row r="60" ht="65" customHeight="1">
      <ns0:c r="A60" s="7" t="inlineStr">
        <ns0:is>
          <ns0:t>DB-059</ns0:t>
        </ns0:is>
      </ns0:c>
      <ns0:c r="B60" s="7" t="inlineStr">
        <ns0:is>
          <ns0:t>AMORIS</ns0:t>
        </ns0:is>
      </ns0:c>
      <ns0:c r="C60" s="7" t="inlineStr">
        <ns0:is>
          <ns0:t>Aegean Second Chances</ns0:t>
        </ns0:is>
      </ns0:c>
      <ns0:c r="D60" s="8" t="n">
        <ns0:v>4</ns0:v>
      </ns0:c>
      <ns0:c r="E60" s="7" t="inlineStr">
        <ns0:is>
          <ns0:t>The Wedding We Cancelled</ns0:t>
        </ns0:is>
      </ns0:c>
      <ns0:c r="F60" s="7" t="inlineStr">
        <ns0:is>
          <ns0:t>Nou</ns0:t>
        </ns0:is>
      </ns0:c>
      <ns0:c r="G60" s="7" t="inlineStr">
        <ns0:is>
          <ns0:t>EN</ns0:t>
        </ns0:is>
      </ns0:c>
      <ns0:c r="H60" s="7" t="inlineStr">
        <ns0:is>
          <ns0:t>Concept propus; nescris</ns0:t>
        </ns0:is>
      </ns0:c>
      <ns0:c r="I60" s="9" t="n">
        <ns0:v>55000</ns0:v>
      </ns0:c>
      <ns0:c r="J60" s="10" t="n">
        <ns0:v>46311</ns0:v>
      </ns0:c>
      <ns0:c r="K60" s="10" t="n">
        <ns0:v>46329</ns0:v>
      </ns0:c>
      <ns0:c r="L60" s="10" t="n">
        <ns0:v>46331</ns0:v>
      </ns0:c>
      <ns0:c r="M60" s="10" t="n">
        <ns0:v>46333</ns0:v>
      </ns0:c>
      <ns0:c r="N60" s="7" t="inlineStr">
        <ns0:is>
          <ns0:t>LOT B</ns0:t>
        </ns0:is>
      </ns0:c>
      <ns0:c r="O60" s="11" t="inlineStr">
        <ns0:is>
          <ns0:t>De contractat / desemnat</ns0:t>
        </ns0:is>
      </ns0:c>
      <ns0:c r="P60" s="7" t="inlineStr">
        <ns0:is>
          <ns0:t>Romance independent conectat</ns0:t>
        </ns0:is>
      </ns0:c>
      <ns0:c r="Q60" s="7" t="inlineStr">
        <ns0:is>
          <ns0:t>Furnizorii unei nunți anulate pornesc o afacere împreună.</ns0:t>
        </ns0:is>
      </ns0:c>
      <ns0:c r="R60" s="7" t="inlineStr"/>
      <ns0:c r="S60" s="7">
        <ns0:f>COUNTIFS(Editii_300!$B$2:$B$301,A60,Editii_300!$X$2:$X$301,1)</ns0:f>
        <ns0:v>0</ns0:v>
      </ns0:c>
      <ns0:c r="T60" s="7">
        <ns0:f>IF(S60=3,1,0)</ns0:f>
        <ns0:v>0</ns0:v>
      </ns0:c>
    </ns0:row>
    <ns0:row r="61" ht="65" customHeight="1">
      <ns0:c r="A61" s="7" t="inlineStr">
        <ns0:is>
          <ns0:t>DB-060</ns0:t>
        </ns0:is>
      </ns0:c>
      <ns0:c r="B61" s="7" t="inlineStr">
        <ns0:is>
          <ns0:t>AMORIS</ns0:t>
        </ns0:is>
      </ns0:c>
      <ns0:c r="C61" s="7" t="inlineStr">
        <ns0:is>
          <ns0:t>Aegean Second Chances</ns0:t>
        </ns0:is>
      </ns0:c>
      <ns0:c r="D61" s="8" t="n">
        <ns0:v>5</ns0:v>
      </ns0:c>
      <ns0:c r="E61" s="7" t="inlineStr">
        <ns0:is>
          <ns0:t>A Room for the Returning</ns0:t>
        </ns0:is>
      </ns0:c>
      <ns0:c r="F61" s="7" t="inlineStr">
        <ns0:is>
          <ns0:t>Nou</ns0:t>
        </ns0:is>
      </ns0:c>
      <ns0:c r="G61" s="7" t="inlineStr">
        <ns0:is>
          <ns0:t>EN</ns0:t>
        </ns0:is>
      </ns0:c>
      <ns0:c r="H61" s="7" t="inlineStr">
        <ns0:is>
          <ns0:t>Concept propus; nescris</ns0:t>
        </ns0:is>
      </ns0:c>
      <ns0:c r="I61" s="9" t="n">
        <ns0:v>55000</ns0:v>
      </ns0:c>
      <ns0:c r="J61" s="10" t="n">
        <ns0:v>46311</ns0:v>
      </ns0:c>
      <ns0:c r="K61" s="10" t="n">
        <ns0:v>46329</ns0:v>
      </ns0:c>
      <ns0:c r="L61" s="10" t="n">
        <ns0:v>46331</ns0:v>
      </ns0:c>
      <ns0:c r="M61" s="10" t="n">
        <ns0:v>46333</ns0:v>
      </ns0:c>
      <ns0:c r="N61" s="7" t="inlineStr">
        <ns0:is>
          <ns0:t>LOT B</ns0:t>
        </ns0:is>
      </ns0:c>
      <ns0:c r="O61" s="11" t="inlineStr">
        <ns0:is>
          <ns0:t>De contractat / desemnat</ns0:t>
        </ns0:is>
      </ns0:c>
      <ns0:c r="P61" s="7" t="inlineStr">
        <ns0:is>
          <ns0:t>Romance independent conectat</ns0:t>
        </ns0:is>
      </ns0:c>
      <ns0:c r="Q61" s="7" t="inlineStr">
        <ns0:is>
          <ns0:t>Un mic hotel le oferă foștilor parteneri motive diferite să rămână.</ns0:t>
        </ns0:is>
      </ns0:c>
      <ns0:c r="R61" s="7" t="inlineStr"/>
      <ns0:c r="S61" s="7">
        <ns0:f>COUNTIFS(Editii_300!$B$2:$B$301,A61,Editii_300!$X$2:$X$301,1)</ns0:f>
        <ns0:v>0</ns0:v>
      </ns0:c>
      <ns0:c r="T61" s="7">
        <ns0:f>IF(S61=3,1,0)</ns0:f>
        <ns0:v>0</ns0:v>
      </ns0:c>
    </ns0:row>
    <ns0:row r="62" ht="65" customHeight="1">
      <ns0:c r="A62" s="7" t="inlineStr">
        <ns0:is>
          <ns0:t>DB-061</ns0:t>
        </ns0:is>
      </ns0:c>
      <ns0:c r="B62" s="7" t="inlineStr">
        <ns0:is>
          <ns0:t>AMORIS</ns0:t>
        </ns0:is>
      </ns0:c>
      <ns0:c r="C62" s="7" t="inlineStr">
        <ns0:is>
          <ns0:t>Aegean Second Chances</ns0:t>
        </ns0:is>
      </ns0:c>
      <ns0:c r="D62" s="8" t="n">
        <ns0:v>6</ns0:v>
      </ns0:c>
      <ns0:c r="E62" s="7" t="inlineStr">
        <ns0:is>
          <ns0:t>The Boatbuilder's Promise</ns0:t>
        </ns0:is>
      </ns0:c>
      <ns0:c r="F62" s="7" t="inlineStr">
        <ns0:is>
          <ns0:t>Nou</ns0:t>
        </ns0:is>
      </ns0:c>
      <ns0:c r="G62" s="7" t="inlineStr">
        <ns0:is>
          <ns0:t>EN</ns0:t>
        </ns0:is>
      </ns0:c>
      <ns0:c r="H62" s="7" t="inlineStr">
        <ns0:is>
          <ns0:t>Concept propus; nescris</ns0:t>
        </ns0:is>
      </ns0:c>
      <ns0:c r="I62" s="9" t="n">
        <ns0:v>55000</ns0:v>
      </ns0:c>
      <ns0:c r="J62" s="10" t="n">
        <ns0:v>46318</ns0:v>
      </ns0:c>
      <ns0:c r="K62" s="10" t="n">
        <ns0:v>46336</ns0:v>
      </ns0:c>
      <ns0:c r="L62" s="10" t="n">
        <ns0:v>46338</ns0:v>
      </ns0:c>
      <ns0:c r="M62" s="10" t="n">
        <ns0:v>46340</ns0:v>
      </ns0:c>
      <ns0:c r="N62" s="7" t="inlineStr">
        <ns0:is>
          <ns0:t>LOT C</ns0:t>
        </ns0:is>
      </ns0:c>
      <ns0:c r="O62" s="11" t="inlineStr">
        <ns0:is>
          <ns0:t>De contractat / desemnat</ns0:t>
        </ns0:is>
      </ns0:c>
      <ns0:c r="P62" s="7" t="inlineStr">
        <ns0:is>
          <ns0:t>Romance independent conectat</ns0:t>
        </ns0:is>
      </ns0:c>
      <ns0:c r="Q62" s="7" t="inlineStr">
        <ns0:is>
          <ns0:t>O barcă neterminată păstrează promisiunea unui cuplu.</ns0:t>
        </ns0:is>
      </ns0:c>
      <ns0:c r="R62" s="7" t="inlineStr"/>
      <ns0:c r="S62" s="7">
        <ns0:f>COUNTIFS(Editii_300!$B$2:$B$301,A62,Editii_300!$X$2:$X$301,1)</ns0:f>
        <ns0:v>0</ns0:v>
      </ns0:c>
      <ns0:c r="T62" s="7">
        <ns0:f>IF(S62=3,1,0)</ns0:f>
        <ns0:v>0</ns0:v>
      </ns0:c>
    </ns0:row>
    <ns0:row r="63" ht="65" customHeight="1">
      <ns0:c r="A63" s="7" t="inlineStr">
        <ns0:is>
          <ns0:t>DB-062</ns0:t>
        </ns0:is>
      </ns0:c>
      <ns0:c r="B63" s="7" t="inlineStr">
        <ns0:is>
          <ns0:t>AMORIS</ns0:t>
        </ns0:is>
      </ns0:c>
      <ns0:c r="C63" s="7" t="inlineStr">
        <ns0:is>
          <ns0:t>Aegean Second Chances</ns0:t>
        </ns0:is>
      </ns0:c>
      <ns0:c r="D63" s="8" t="n">
        <ns0:v>7</ns0:v>
      </ns0:c>
      <ns0:c r="E63" s="7" t="inlineStr">
        <ns0:is>
          <ns0:t>The Baker of Naxos</ns0:t>
        </ns0:is>
      </ns0:c>
      <ns0:c r="F63" s="7" t="inlineStr">
        <ns0:is>
          <ns0:t>Nou</ns0:t>
        </ns0:is>
      </ns0:c>
      <ns0:c r="G63" s="7" t="inlineStr">
        <ns0:is>
          <ns0:t>EN</ns0:t>
        </ns0:is>
      </ns0:c>
      <ns0:c r="H63" s="7" t="inlineStr">
        <ns0:is>
          <ns0:t>Concept propus; nescris</ns0:t>
        </ns0:is>
      </ns0:c>
      <ns0:c r="I63" s="9" t="n">
        <ns0:v>55000</ns0:v>
      </ns0:c>
      <ns0:c r="J63" s="10" t="n">
        <ns0:v>46318</ns0:v>
      </ns0:c>
      <ns0:c r="K63" s="10" t="n">
        <ns0:v>46336</ns0:v>
      </ns0:c>
      <ns0:c r="L63" s="10" t="n">
        <ns0:v>46338</ns0:v>
      </ns0:c>
      <ns0:c r="M63" s="10" t="n">
        <ns0:v>46340</ns0:v>
      </ns0:c>
      <ns0:c r="N63" s="7" t="inlineStr">
        <ns0:is>
          <ns0:t>LOT C</ns0:t>
        </ns0:is>
      </ns0:c>
      <ns0:c r="O63" s="11" t="inlineStr">
        <ns0:is>
          <ns0:t>De contractat / desemnat</ns0:t>
        </ns0:is>
      </ns0:c>
      <ns0:c r="P63" s="7" t="inlineStr">
        <ns0:is>
          <ns0:t>Romance independent conectat</ns0:t>
        </ns0:is>
      </ns0:c>
      <ns0:c r="Q63" s="7" t="inlineStr">
        <ns0:is>
          <ns0:t>Un concurs local pune o prietenie veche sub presiune.</ns0:t>
        </ns0:is>
      </ns0:c>
      <ns0:c r="R63" s="7" t="inlineStr"/>
      <ns0:c r="S63" s="7">
        <ns0:f>COUNTIFS(Editii_300!$B$2:$B$301,A63,Editii_300!$X$2:$X$301,1)</ns0:f>
        <ns0:v>0</ns0:v>
      </ns0:c>
      <ns0:c r="T63" s="7">
        <ns0:f>IF(S63=3,1,0)</ns0:f>
        <ns0:v>0</ns0:v>
      </ns0:c>
    </ns0:row>
    <ns0:row r="64" ht="65" customHeight="1">
      <ns0:c r="A64" s="7" t="inlineStr">
        <ns0:is>
          <ns0:t>DB-063</ns0:t>
        </ns0:is>
      </ns0:c>
      <ns0:c r="B64" s="7" t="inlineStr">
        <ns0:is>
          <ns0:t>AMORIS</ns0:t>
        </ns0:is>
      </ns0:c>
      <ns0:c r="C64" s="7" t="inlineStr">
        <ns0:is>
          <ns0:t>Aegean Second Chances</ns0:t>
        </ns0:is>
      </ns0:c>
      <ns0:c r="D64" s="8" t="n">
        <ns0:v>8</ns0:v>
      </ns0:c>
      <ns0:c r="E64" s="7" t="inlineStr">
        <ns0:is>
          <ns0:t>Letters from the Blue House</ns0:t>
        </ns0:is>
      </ns0:c>
      <ns0:c r="F64" s="7" t="inlineStr">
        <ns0:is>
          <ns0:t>Nou</ns0:t>
        </ns0:is>
      </ns0:c>
      <ns0:c r="G64" s="7" t="inlineStr">
        <ns0:is>
          <ns0:t>EN</ns0:t>
        </ns0:is>
      </ns0:c>
      <ns0:c r="H64" s="7" t="inlineStr">
        <ns0:is>
          <ns0:t>Concept propus; nescris</ns0:t>
        </ns0:is>
      </ns0:c>
      <ns0:c r="I64" s="9" t="n">
        <ns0:v>55000</ns0:v>
      </ns0:c>
      <ns0:c r="J64" s="10" t="n">
        <ns0:v>46318</ns0:v>
      </ns0:c>
      <ns0:c r="K64" s="10" t="n">
        <ns0:v>46336</ns0:v>
      </ns0:c>
      <ns0:c r="L64" s="10" t="n">
        <ns0:v>46338</ns0:v>
      </ns0:c>
      <ns0:c r="M64" s="10" t="n">
        <ns0:v>46340</ns0:v>
      </ns0:c>
      <ns0:c r="N64" s="7" t="inlineStr">
        <ns0:is>
          <ns0:t>LOT C</ns0:t>
        </ns0:is>
      </ns0:c>
      <ns0:c r="O64" s="11" t="inlineStr">
        <ns0:is>
          <ns0:t>De contractat / desemnat</ns0:t>
        </ns0:is>
      </ns0:c>
      <ns0:c r="P64" s="7" t="inlineStr">
        <ns0:is>
          <ns0:t>Romance independent conectat</ns0:t>
        </ns0:is>
      </ns0:c>
      <ns0:c r="Q64" s="7" t="inlineStr">
        <ns0:is>
          <ns0:t>Doi vecini comunică prin scrisori înainte să se întâlnească.</ns0:t>
        </ns0:is>
      </ns0:c>
      <ns0:c r="R64" s="7" t="inlineStr"/>
      <ns0:c r="S64" s="7">
        <ns0:f>COUNTIFS(Editii_300!$B$2:$B$301,A64,Editii_300!$X$2:$X$301,1)</ns0:f>
        <ns0:v>0</ns0:v>
      </ns0:c>
      <ns0:c r="T64" s="7">
        <ns0:f>IF(S64=3,1,0)</ns0:f>
        <ns0:v>0</ns0:v>
      </ns0:c>
    </ns0:row>
    <ns0:row r="65" ht="65" customHeight="1">
      <ns0:c r="A65" s="7" t="inlineStr">
        <ns0:is>
          <ns0:t>DB-064</ns0:t>
        </ns0:is>
      </ns0:c>
      <ns0:c r="B65" s="7" t="inlineStr">
        <ns0:is>
          <ns0:t>AMORIS</ns0:t>
        </ns0:is>
      </ns0:c>
      <ns0:c r="C65" s="7" t="inlineStr">
        <ns0:is>
          <ns0:t>Aegean Second Chances</ns0:t>
        </ns0:is>
      </ns0:c>
      <ns0:c r="D65" s="8" t="n">
        <ns0:v>9</ns0:v>
      </ns0:c>
      <ns0:c r="E65" s="7" t="inlineStr">
        <ns0:is>
          <ns0:t>The Lighthouse Table</ns0:t>
        </ns0:is>
      </ns0:c>
      <ns0:c r="F65" s="7" t="inlineStr">
        <ns0:is>
          <ns0:t>Nou</ns0:t>
        </ns0:is>
      </ns0:c>
      <ns0:c r="G65" s="7" t="inlineStr">
        <ns0:is>
          <ns0:t>EN</ns0:t>
        </ns0:is>
      </ns0:c>
      <ns0:c r="H65" s="7" t="inlineStr">
        <ns0:is>
          <ns0:t>Concept propus; nescris</ns0:t>
        </ns0:is>
      </ns0:c>
      <ns0:c r="I65" s="9" t="n">
        <ns0:v>55000</ns0:v>
      </ns0:c>
      <ns0:c r="J65" s="10" t="n">
        <ns0:v>46318</ns0:v>
      </ns0:c>
      <ns0:c r="K65" s="10" t="n">
        <ns0:v>46336</ns0:v>
      </ns0:c>
      <ns0:c r="L65" s="10" t="n">
        <ns0:v>46338</ns0:v>
      </ns0:c>
      <ns0:c r="M65" s="10" t="n">
        <ns0:v>46340</ns0:v>
      </ns0:c>
      <ns0:c r="N65" s="7" t="inlineStr">
        <ns0:is>
          <ns0:t>LOT C</ns0:t>
        </ns0:is>
      </ns0:c>
      <ns0:c r="O65" s="11" t="inlineStr">
        <ns0:is>
          <ns0:t>De contractat / desemnat</ns0:t>
        </ns0:is>
      </ns0:c>
      <ns0:c r="P65" s="7" t="inlineStr">
        <ns0:is>
          <ns0:t>Romance independent conectat</ns0:t>
        </ns0:is>
      </ns0:c>
      <ns0:c r="Q65" s="7" t="inlineStr">
        <ns0:is>
          <ns0:t>O cină săptămânală reunește oameni care și-au pierdut locul.</ns0:t>
        </ns0:is>
      </ns0:c>
      <ns0:c r="R65" s="7" t="inlineStr"/>
      <ns0:c r="S65" s="7">
        <ns0:f>COUNTIFS(Editii_300!$B$2:$B$301,A65,Editii_300!$X$2:$X$301,1)</ns0:f>
        <ns0:v>0</ns0:v>
      </ns0:c>
      <ns0:c r="T65" s="7">
        <ns0:f>IF(S65=3,1,0)</ns0:f>
        <ns0:v>0</ns0:v>
      </ns0:c>
    </ns0:row>
    <ns0:row r="66" ht="65" customHeight="1">
      <ns0:c r="A66" s="7" t="inlineStr">
        <ns0:is>
          <ns0:t>DB-065</ns0:t>
        </ns0:is>
      </ns0:c>
      <ns0:c r="B66" s="7" t="inlineStr">
        <ns0:is>
          <ns0:t>AMORIS</ns0:t>
        </ns0:is>
      </ns0:c>
      <ns0:c r="C66" s="7" t="inlineStr">
        <ns0:is>
          <ns0:t>Aegean Second Chances</ns0:t>
        </ns0:is>
      </ns0:c>
      <ns0:c r="D66" s="8" t="n">
        <ns0:v>10</ns0:v>
      </ns0:c>
      <ns0:c r="E66" s="7" t="inlineStr">
        <ns0:is>
          <ns0:t>The Last Ferry Home</ns0:t>
        </ns0:is>
      </ns0:c>
      <ns0:c r="F66" s="7" t="inlineStr">
        <ns0:is>
          <ns0:t>Nou</ns0:t>
        </ns0:is>
      </ns0:c>
      <ns0:c r="G66" s="7" t="inlineStr">
        <ns0:is>
          <ns0:t>EN</ns0:t>
        </ns0:is>
      </ns0:c>
      <ns0:c r="H66" s="7" t="inlineStr">
        <ns0:is>
          <ns0:t>Concept propus; nescris</ns0:t>
        </ns0:is>
      </ns0:c>
      <ns0:c r="I66" s="9" t="n">
        <ns0:v>55000</ns0:v>
      </ns0:c>
      <ns0:c r="J66" s="10" t="n">
        <ns0:v>46318</ns0:v>
      </ns0:c>
      <ns0:c r="K66" s="10" t="n">
        <ns0:v>46336</ns0:v>
      </ns0:c>
      <ns0:c r="L66" s="10" t="n">
        <ns0:v>46338</ns0:v>
      </ns0:c>
      <ns0:c r="M66" s="10" t="n">
        <ns0:v>46340</ns0:v>
      </ns0:c>
      <ns0:c r="N66" s="7" t="inlineStr">
        <ns0:is>
          <ns0:t>LOT C</ns0:t>
        </ns0:is>
      </ns0:c>
      <ns0:c r="O66" s="11" t="inlineStr">
        <ns0:is>
          <ns0:t>De contractat / desemnat</ns0:t>
        </ns0:is>
      </ns0:c>
      <ns0:c r="P66" s="7" t="inlineStr">
        <ns0:is>
          <ns0:t>Romance independent conectat</ns0:t>
        </ns0:is>
      </ns0:c>
      <ns0:c r="Q66" s="7" t="inlineStr">
        <ns0:is>
          <ns0:t>Ultimul cuplu alege ce lasă în urmă și ce construiește.</ns0:t>
        </ns0:is>
      </ns0:c>
      <ns0:c r="R66" s="7" t="inlineStr"/>
      <ns0:c r="S66" s="7">
        <ns0:f>COUNTIFS(Editii_300!$B$2:$B$301,A66,Editii_300!$X$2:$X$301,1)</ns0:f>
        <ns0:v>0</ns0:v>
      </ns0:c>
      <ns0:c r="T66" s="7">
        <ns0:f>IF(S66=3,1,0)</ns0:f>
        <ns0:v>0</ns0:v>
      </ns0:c>
    </ns0:row>
    <ns0:row r="67" ht="65" customHeight="1">
      <ns0:c r="A67" s="7" t="inlineStr">
        <ns0:is>
          <ns0:t>DB-066</ns0:t>
        </ns0:is>
      </ns0:c>
      <ns0:c r="B67" s="7" t="inlineStr">
        <ns0:is>
          <ns0:t>AMORIS</ns0:t>
        </ns0:is>
      </ns0:c>
      <ns0:c r="C67" s="7" t="inlineStr">
        <ns0:is>
          <ns0:t>Midnight Letters</ns0:t>
        </ns0:is>
      </ns0:c>
      <ns0:c r="D67" s="8" t="n">
        <ns0:v>1</ns0:v>
      </ns0:c>
      <ns0:c r="E67" s="7" t="inlineStr">
        <ns0:is>
          <ns0:t>The December Postmark</ns0:t>
        </ns0:is>
      </ns0:c>
      <ns0:c r="F67" s="7" t="inlineStr">
        <ns0:is>
          <ns0:t>Nou</ns0:t>
        </ns0:is>
      </ns0:c>
      <ns0:c r="G67" s="7" t="inlineStr">
        <ns0:is>
          <ns0:t>EN</ns0:t>
        </ns0:is>
      </ns0:c>
      <ns0:c r="H67" s="7" t="inlineStr">
        <ns0:is>
          <ns0:t>Concept propus; nescris</ns0:t>
        </ns0:is>
      </ns0:c>
      <ns0:c r="I67" s="9" t="n">
        <ns0:v>35000</ns0:v>
      </ns0:c>
      <ns0:c r="J67" s="10" t="n">
        <ns0:v>46304</ns0:v>
      </ns0:c>
      <ns0:c r="K67" s="10" t="n">
        <ns0:v>46322</ns0:v>
      </ns0:c>
      <ns0:c r="L67" s="10" t="n">
        <ns0:v>46324</ns0:v>
      </ns0:c>
      <ns0:c r="M67" s="10" t="n">
        <ns0:v>46326</ns0:v>
      </ns0:c>
      <ns0:c r="N67" s="7" t="inlineStr">
        <ns0:is>
          <ns0:t>LOT A</ns0:t>
        </ns0:is>
      </ns0:c>
      <ns0:c r="O67" s="11" t="inlineStr">
        <ns0:is>
          <ns0:t>De contractat / desemnat</ns0:t>
        </ns0:is>
      </ns0:c>
      <ns0:c r="P67" s="7" t="inlineStr">
        <ns0:is>
          <ns0:t>Roman scurt romantic</ns0:t>
        </ns0:is>
      </ns0:c>
      <ns0:c r="Q67" s="7" t="inlineStr">
        <ns0:is>
          <ns0:t>O scrisoare întârziată oferă o a doua șansă înainte de sărbători.</ns0:t>
        </ns0:is>
      </ns0:c>
      <ns0:c r="R67" s="7" t="inlineStr"/>
      <ns0:c r="S67" s="7">
        <ns0:f>COUNTIFS(Editii_300!$B$2:$B$301,A67,Editii_300!$X$2:$X$301,1)</ns0:f>
        <ns0:v>0</ns0:v>
      </ns0:c>
      <ns0:c r="T67" s="7">
        <ns0:f>IF(S67=3,1,0)</ns0:f>
        <ns0:v>0</ns0:v>
      </ns0:c>
    </ns0:row>
    <ns0:row r="68" ht="65" customHeight="1">
      <ns0:c r="A68" s="7" t="inlineStr">
        <ns0:is>
          <ns0:t>DB-067</ns0:t>
        </ns0:is>
      </ns0:c>
      <ns0:c r="B68" s="7" t="inlineStr">
        <ns0:is>
          <ns0:t>AMORIS</ns0:t>
        </ns0:is>
      </ns0:c>
      <ns0:c r="C68" s="7" t="inlineStr">
        <ns0:is>
          <ns0:t>Midnight Letters</ns0:t>
        </ns0:is>
      </ns0:c>
      <ns0:c r="D68" s="8" t="n">
        <ns0:v>2</ns0:v>
      </ns0:c>
      <ns0:c r="E68" s="7" t="inlineStr">
        <ns0:is>
          <ns0:t>The Wrong Invitation</ns0:t>
        </ns0:is>
      </ns0:c>
      <ns0:c r="F68" s="7" t="inlineStr">
        <ns0:is>
          <ns0:t>Nou</ns0:t>
        </ns0:is>
      </ns0:c>
      <ns0:c r="G68" s="7" t="inlineStr">
        <ns0:is>
          <ns0:t>EN</ns0:t>
        </ns0:is>
      </ns0:c>
      <ns0:c r="H68" s="7" t="inlineStr">
        <ns0:is>
          <ns0:t>Concept propus; nescris</ns0:t>
        </ns0:is>
      </ns0:c>
      <ns0:c r="I68" s="9" t="n">
        <ns0:v>35000</ns0:v>
      </ns0:c>
      <ns0:c r="J68" s="10" t="n">
        <ns0:v>46304</ns0:v>
      </ns0:c>
      <ns0:c r="K68" s="10" t="n">
        <ns0:v>46322</ns0:v>
      </ns0:c>
      <ns0:c r="L68" s="10" t="n">
        <ns0:v>46324</ns0:v>
      </ns0:c>
      <ns0:c r="M68" s="10" t="n">
        <ns0:v>46326</ns0:v>
      </ns0:c>
      <ns0:c r="N68" s="7" t="inlineStr">
        <ns0:is>
          <ns0:t>LOT A</ns0:t>
        </ns0:is>
      </ns0:c>
      <ns0:c r="O68" s="11" t="inlineStr">
        <ns0:is>
          <ns0:t>De contractat / desemnat</ns0:t>
        </ns0:is>
      </ns0:c>
      <ns0:c r="P68" s="7" t="inlineStr">
        <ns0:is>
          <ns0:t>Roman scurt romantic</ns0:t>
        </ns0:is>
      </ns0:c>
      <ns0:c r="Q68" s="7" t="inlineStr">
        <ns0:is>
          <ns0:t>O invitație greșită îi apropie pe doi necunoscuți.</ns0:t>
        </ns0:is>
      </ns0:c>
      <ns0:c r="R68" s="7" t="inlineStr"/>
      <ns0:c r="S68" s="7">
        <ns0:f>COUNTIFS(Editii_300!$B$2:$B$301,A68,Editii_300!$X$2:$X$301,1)</ns0:f>
        <ns0:v>0</ns0:v>
      </ns0:c>
      <ns0:c r="T68" s="7">
        <ns0:f>IF(S68=3,1,0)</ns0:f>
        <ns0:v>0</ns0:v>
      </ns0:c>
    </ns0:row>
    <ns0:row r="69" ht="65" customHeight="1">
      <ns0:c r="A69" s="7" t="inlineStr">
        <ns0:is>
          <ns0:t>DB-068</ns0:t>
        </ns0:is>
      </ns0:c>
      <ns0:c r="B69" s="7" t="inlineStr">
        <ns0:is>
          <ns0:t>AMORIS</ns0:t>
        </ns0:is>
      </ns0:c>
      <ns0:c r="C69" s="7" t="inlineStr">
        <ns0:is>
          <ns0:t>Midnight Letters</ns0:t>
        </ns0:is>
      </ns0:c>
      <ns0:c r="D69" s="8" t="n">
        <ns0:v>3</ns0:v>
      </ns0:c>
      <ns0:c r="E69" s="7" t="inlineStr">
        <ns0:is>
          <ns0:t>The Night Train Promise</ns0:t>
        </ns0:is>
      </ns0:c>
      <ns0:c r="F69" s="7" t="inlineStr">
        <ns0:is>
          <ns0:t>Nou</ns0:t>
        </ns0:is>
      </ns0:c>
      <ns0:c r="G69" s="7" t="inlineStr">
        <ns0:is>
          <ns0:t>EN</ns0:t>
        </ns0:is>
      </ns0:c>
      <ns0:c r="H69" s="7" t="inlineStr">
        <ns0:is>
          <ns0:t>Concept propus; nescris</ns0:t>
        </ns0:is>
      </ns0:c>
      <ns0:c r="I69" s="9" t="n">
        <ns0:v>35000</ns0:v>
      </ns0:c>
      <ns0:c r="J69" s="10" t="n">
        <ns0:v>46304</ns0:v>
      </ns0:c>
      <ns0:c r="K69" s="10" t="n">
        <ns0:v>46322</ns0:v>
      </ns0:c>
      <ns0:c r="L69" s="10" t="n">
        <ns0:v>46324</ns0:v>
      </ns0:c>
      <ns0:c r="M69" s="10" t="n">
        <ns0:v>46326</ns0:v>
      </ns0:c>
      <ns0:c r="N69" s="7" t="inlineStr">
        <ns0:is>
          <ns0:t>LOT A</ns0:t>
        </ns0:is>
      </ns0:c>
      <ns0:c r="O69" s="11" t="inlineStr">
        <ns0:is>
          <ns0:t>De contractat / desemnat</ns0:t>
        </ns0:is>
      </ns0:c>
      <ns0:c r="P69" s="7" t="inlineStr">
        <ns0:is>
          <ns0:t>Roman scurt romantic</ns0:t>
        </ns0:is>
      </ns0:c>
      <ns0:c r="Q69" s="7" t="inlineStr">
        <ns0:is>
          <ns0:t>O călătorie nocturnă pune la încercare o promisiune.</ns0:t>
        </ns0:is>
      </ns0:c>
      <ns0:c r="R69" s="7" t="inlineStr"/>
      <ns0:c r="S69" s="7">
        <ns0:f>COUNTIFS(Editii_300!$B$2:$B$301,A69,Editii_300!$X$2:$X$301,1)</ns0:f>
        <ns0:v>0</ns0:v>
      </ns0:c>
      <ns0:c r="T69" s="7">
        <ns0:f>IF(S69=3,1,0)</ns0:f>
        <ns0:v>0</ns0:v>
      </ns0:c>
    </ns0:row>
    <ns0:row r="70" ht="65" customHeight="1">
      <ns0:c r="A70" s="7" t="inlineStr">
        <ns0:is>
          <ns0:t>DB-069</ns0:t>
        </ns0:is>
      </ns0:c>
      <ns0:c r="B70" s="7" t="inlineStr">
        <ns0:is>
          <ns0:t>AMORIS</ns0:t>
        </ns0:is>
      </ns0:c>
      <ns0:c r="C70" s="7" t="inlineStr">
        <ns0:is>
          <ns0:t>Midnight Letters</ns0:t>
        </ns0:is>
      </ns0:c>
      <ns0:c r="D70" s="8" t="n">
        <ns0:v>4</ns0:v>
      </ns0:c>
      <ns0:c r="E70" s="7" t="inlineStr">
        <ns0:is>
          <ns0:t>The Letter We Never Sent</ns0:t>
        </ns0:is>
      </ns0:c>
      <ns0:c r="F70" s="7" t="inlineStr">
        <ns0:is>
          <ns0:t>Nou</ns0:t>
        </ns0:is>
      </ns0:c>
      <ns0:c r="G70" s="7" t="inlineStr">
        <ns0:is>
          <ns0:t>EN</ns0:t>
        </ns0:is>
      </ns0:c>
      <ns0:c r="H70" s="7" t="inlineStr">
        <ns0:is>
          <ns0:t>Concept propus; nescris</ns0:t>
        </ns0:is>
      </ns0:c>
      <ns0:c r="I70" s="9" t="n">
        <ns0:v>35000</ns0:v>
      </ns0:c>
      <ns0:c r="J70" s="10" t="n">
        <ns0:v>46304</ns0:v>
      </ns0:c>
      <ns0:c r="K70" s="10" t="n">
        <ns0:v>46322</ns0:v>
      </ns0:c>
      <ns0:c r="L70" s="10" t="n">
        <ns0:v>46324</ns0:v>
      </ns0:c>
      <ns0:c r="M70" s="10" t="n">
        <ns0:v>46326</ns0:v>
      </ns0:c>
      <ns0:c r="N70" s="7" t="inlineStr">
        <ns0:is>
          <ns0:t>LOT A</ns0:t>
        </ns0:is>
      </ns0:c>
      <ns0:c r="O70" s="11" t="inlineStr">
        <ns0:is>
          <ns0:t>De contractat / desemnat</ns0:t>
        </ns0:is>
      </ns0:c>
      <ns0:c r="P70" s="7" t="inlineStr">
        <ns0:is>
          <ns0:t>Roman scurt romantic</ns0:t>
        </ns0:is>
      </ns0:c>
      <ns0:c r="Q70" s="7" t="inlineStr">
        <ns0:is>
          <ns0:t>Foști parteneri schimbă scrisorile pe care le-au ascuns.</ns0:t>
        </ns0:is>
      </ns0:c>
      <ns0:c r="R70" s="7" t="inlineStr"/>
      <ns0:c r="S70" s="7">
        <ns0:f>COUNTIFS(Editii_300!$B$2:$B$301,A70,Editii_300!$X$2:$X$301,1)</ns0:f>
        <ns0:v>0</ns0:v>
      </ns0:c>
      <ns0:c r="T70" s="7">
        <ns0:f>IF(S70=3,1,0)</ns0:f>
        <ns0:v>0</ns0:v>
      </ns0:c>
    </ns0:row>
    <ns0:row r="71" ht="65" customHeight="1">
      <ns0:c r="A71" s="7" t="inlineStr">
        <ns0:is>
          <ns0:t>DB-070</ns0:t>
        </ns0:is>
      </ns0:c>
      <ns0:c r="B71" s="7" t="inlineStr">
        <ns0:is>
          <ns0:t>AMORIS</ns0:t>
        </ns0:is>
      </ns0:c>
      <ns0:c r="C71" s="7" t="inlineStr">
        <ns0:is>
          <ns0:t>Midnight Letters</ns0:t>
        </ns0:is>
      </ns0:c>
      <ns0:c r="D71" s="8" t="n">
        <ns0:v>5</ns0:v>
      </ns0:c>
      <ns0:c r="E71" s="7" t="inlineStr">
        <ns0:is>
          <ns0:t>Home Before the Snow</ns0:t>
        </ns0:is>
      </ns0:c>
      <ns0:c r="F71" s="7" t="inlineStr">
        <ns0:is>
          <ns0:t>Nou</ns0:t>
        </ns0:is>
      </ns0:c>
      <ns0:c r="G71" s="7" t="inlineStr">
        <ns0:is>
          <ns0:t>EN</ns0:t>
        </ns0:is>
      </ns0:c>
      <ns0:c r="H71" s="7" t="inlineStr">
        <ns0:is>
          <ns0:t>Concept propus; nescris</ns0:t>
        </ns0:is>
      </ns0:c>
      <ns0:c r="I71" s="9" t="n">
        <ns0:v>35000</ns0:v>
      </ns0:c>
      <ns0:c r="J71" s="10" t="n">
        <ns0:v>46304</ns0:v>
      </ns0:c>
      <ns0:c r="K71" s="10" t="n">
        <ns0:v>46322</ns0:v>
      </ns0:c>
      <ns0:c r="L71" s="10" t="n">
        <ns0:v>46324</ns0:v>
      </ns0:c>
      <ns0:c r="M71" s="10" t="n">
        <ns0:v>46326</ns0:v>
      </ns0:c>
      <ns0:c r="N71" s="7" t="inlineStr">
        <ns0:is>
          <ns0:t>LOT A</ns0:t>
        </ns0:is>
      </ns0:c>
      <ns0:c r="O71" s="11" t="inlineStr">
        <ns0:is>
          <ns0:t>De contractat / desemnat</ns0:t>
        </ns0:is>
      </ns0:c>
      <ns0:c r="P71" s="7" t="inlineStr">
        <ns0:is>
          <ns0:t>Roman scurt romantic</ns0:t>
        </ns0:is>
      </ns0:c>
      <ns0:c r="Q71" s="7" t="inlineStr">
        <ns0:is>
          <ns0:t>O întoarcere forțată redeschide o relație și un atelier.</ns0:t>
        </ns0:is>
      </ns0:c>
      <ns0:c r="R71" s="7" t="inlineStr"/>
      <ns0:c r="S71" s="7">
        <ns0:f>COUNTIFS(Editii_300!$B$2:$B$301,A71,Editii_300!$X$2:$X$301,1)</ns0:f>
        <ns0:v>0</ns0:v>
      </ns0:c>
      <ns0:c r="T71" s="7">
        <ns0:f>IF(S71=3,1,0)</ns0:f>
        <ns0:v>0</ns0:v>
      </ns0:c>
    </ns0:row>
    <ns0:row r="72" ht="65" customHeight="1">
      <ns0:c r="A72" s="7" t="inlineStr">
        <ns0:is>
          <ns0:t>DB-071</ns0:t>
        </ns0:is>
      </ns0:c>
      <ns0:c r="B72" s="7" t="inlineStr">
        <ns0:is>
          <ns0:t>MYTHICA</ns0:t>
        </ns0:is>
      </ns0:c>
      <ns0:c r="C72" s="7" t="inlineStr">
        <ns0:is>
          <ns0:t>Saga Celor Zece Coroane</ns0:t>
        </ns0:is>
      </ns0:c>
      <ns0:c r="D72" s="8" t="n">
        <ns0:v>1</ns0:v>
      </ns0:c>
      <ns0:c r="E72" s="7" t="inlineStr">
        <ns0:is>
          <ns0:t>The Northern Crown</ns0:t>
        </ns0:is>
      </ns0:c>
      <ns0:c r="F72" s="7" t="inlineStr">
        <ns0:is>
          <ns0:t>Fond</ns0:t>
        </ns0:is>
      </ns0:c>
      <ns0:c r="G72" s="7" t="inlineStr">
        <ns0:is>
          <ns0:t>EN</ns0:t>
        </ns0:is>
      </ns0:c>
      <ns0:c r="H72" s="7" t="inlineStr">
        <ns0:is>
          <ns0:t>Manuscris candidat — nevalidat editorial</ns0:t>
        </ns0:is>
      </ns0:c>
      <ns0:c r="I72" s="9" t="n">
        <ns0:v>95000</ns0:v>
      </ns0:c>
      <ns0:c r="J72" s="10" t="n">
        <ns0:v>46305</ns0:v>
      </ns0:c>
      <ns0:c r="K72" s="10" t="n">
        <ns0:v>46315</ns0:v>
      </ns0:c>
      <ns0:c r="L72" s="10" t="n">
        <ns0:v>46317</ns0:v>
      </ns0:c>
      <ns0:c r="M72" s="10" t="n">
        <ns0:v>46319</ns0:v>
      </ns0:c>
      <ns0:c r="N72" s="7" t="inlineStr">
        <ns0:is>
          <ns0:t>FOND EXISTENT</ns0:t>
        </ns0:is>
      </ns0:c>
      <ns0:c r="O72" s="11" t="inlineStr">
        <ns0:is>
          <ns0:t>De contractat / desemnat</ns0:t>
        </ns0:is>
      </ns0:c>
      <ns0:c r="P72" s="7" t="inlineStr">
        <ns0:is>
          <ns0:t>Fantasy epic</ns0:t>
        </ns0:is>
      </ns0:c>
      <ns0:c r="Q72" s="7" t="inlineStr">
        <ns0:is>
          <ns0:t>Primul manuscris; de armonizat promisiunea volumului 2.</ns0:t>
        </ns0:is>
      </ns0:c>
      <ns0:c r="R72" s="7" t="inlineStr">
        <ns0:is>
          <ns0:t>Finalul anunță The Eastern Sands; planul arhivat numește vol.2 The Crown of Waters.</ns0:t>
        </ns0:is>
      </ns0:c>
      <ns0:c r="S72" s="7">
        <ns0:f>COUNTIFS(Editii_300!$B$2:$B$301,A72,Editii_300!$X$2:$X$301,1)</ns0:f>
        <ns0:v>0</ns0:v>
      </ns0:c>
      <ns0:c r="T72" s="7">
        <ns0:f>IF(S72=3,1,0)</ns0:f>
        <ns0:v>0</ns0:v>
      </ns0:c>
    </ns0:row>
    <ns0:row r="73" ht="65" customHeight="1">
      <ns0:c r="A73" s="7" t="inlineStr">
        <ns0:is>
          <ns0:t>DB-072</ns0:t>
        </ns0:is>
      </ns0:c>
      <ns0:c r="B73" s="7" t="inlineStr">
        <ns0:is>
          <ns0:t>MYTHICA</ns0:t>
        </ns0:is>
      </ns0:c>
      <ns0:c r="C73" s="7" t="inlineStr">
        <ns0:is>
          <ns0:t>Saga Celor Zece Coroane</ns0:t>
        </ns0:is>
      </ns0:c>
      <ns0:c r="D73" s="8" t="n">
        <ns0:v>2</ns0:v>
      </ns0:c>
      <ns0:c r="E73" s="7" t="inlineStr">
        <ns0:is>
          <ns0:t>The Crown of Waters</ns0:t>
        </ns0:is>
      </ns0:c>
      <ns0:c r="F73" s="7" t="inlineStr">
        <ns0:is>
          <ns0:t>Nou</ns0:t>
        </ns0:is>
      </ns0:c>
      <ns0:c r="G73" s="7" t="inlineStr">
        <ns0:is>
          <ns0:t>EN</ns0:t>
        </ns0:is>
      </ns0:c>
      <ns0:c r="H73" s="7" t="inlineStr">
        <ns0:is>
          <ns0:t>Concept propus; nescris</ns0:t>
        </ns0:is>
      </ns0:c>
      <ns0:c r="I73" s="9" t="n">
        <ns0:v>75000</ns0:v>
      </ns0:c>
      <ns0:c r="J73" s="10" t="n">
        <ns0:v>46325</ns0:v>
      </ns0:c>
      <ns0:c r="K73" s="10" t="n">
        <ns0:v>46343</ns0:v>
      </ns0:c>
      <ns0:c r="L73" s="10" t="n">
        <ns0:v>46345</ns0:v>
      </ns0:c>
      <ns0:c r="M73" s="10" t="n">
        <ns0:v>46347</ns0:v>
      </ns0:c>
      <ns0:c r="N73" s="7" t="inlineStr">
        <ns0:is>
          <ns0:t>LOT D</ns0:t>
        </ns0:is>
      </ns0:c>
      <ns0:c r="O73" s="11" t="inlineStr">
        <ns0:is>
          <ns0:t>De contractat / desemnat</ns0:t>
        </ns0:is>
      </ns0:c>
      <ns0:c r="P73" s="7" t="inlineStr">
        <ns0:is>
          <ns0:t>Fantasy epic</ns0:t>
        </ns0:is>
      </ns0:c>
      <ns0:c r="Q73" s="7" t="inlineStr">
        <ns0:is>
          <ns0:t>Titlu din planul existent; conflict între putere și alianțe maritime.</ns0:t>
        </ns0:is>
      </ns0:c>
      <ns0:c r="R73" s="7" t="inlineStr"/>
      <ns0:c r="S73" s="7">
        <ns0:f>COUNTIFS(Editii_300!$B$2:$B$301,A73,Editii_300!$X$2:$X$301,1)</ns0:f>
        <ns0:v>0</ns0:v>
      </ns0:c>
      <ns0:c r="T73" s="7">
        <ns0:f>IF(S73=3,1,0)</ns0:f>
        <ns0:v>0</ns0:v>
      </ns0:c>
    </ns0:row>
    <ns0:row r="74" ht="65" customHeight="1">
      <ns0:c r="A74" s="7" t="inlineStr">
        <ns0:is>
          <ns0:t>DB-073</ns0:t>
        </ns0:is>
      </ns0:c>
      <ns0:c r="B74" s="7" t="inlineStr">
        <ns0:is>
          <ns0:t>MYTHICA</ns0:t>
        </ns0:is>
      </ns0:c>
      <ns0:c r="C74" s="7" t="inlineStr">
        <ns0:is>
          <ns0:t>Saga Celor Zece Coroane</ns0:t>
        </ns0:is>
      </ns0:c>
      <ns0:c r="D74" s="8" t="n">
        <ns0:v>3</ns0:v>
      </ns0:c>
      <ns0:c r="E74" s="7" t="inlineStr">
        <ns0:is>
          <ns0:t>The Crown of the Sun</ns0:t>
        </ns0:is>
      </ns0:c>
      <ns0:c r="F74" s="7" t="inlineStr">
        <ns0:is>
          <ns0:t>Nou</ns0:t>
        </ns0:is>
      </ns0:c>
      <ns0:c r="G74" s="7" t="inlineStr">
        <ns0:is>
          <ns0:t>EN</ns0:t>
        </ns0:is>
      </ns0:c>
      <ns0:c r="H74" s="7" t="inlineStr">
        <ns0:is>
          <ns0:t>Concept propus; nescris</ns0:t>
        </ns0:is>
      </ns0:c>
      <ns0:c r="I74" s="9" t="n">
        <ns0:v>75000</ns0:v>
      </ns0:c>
      <ns0:c r="J74" s="10" t="n">
        <ns0:v>46325</ns0:v>
      </ns0:c>
      <ns0:c r="K74" s="10" t="n">
        <ns0:v>46350</ns0:v>
      </ns0:c>
      <ns0:c r="L74" s="10" t="n">
        <ns0:v>46352</ns0:v>
      </ns0:c>
      <ns0:c r="M74" s="10" t="n">
        <ns0:v>46354</ns0:v>
      </ns0:c>
      <ns0:c r="N74" s="7" t="inlineStr">
        <ns0:is>
          <ns0:t>LOT E</ns0:t>
        </ns0:is>
      </ns0:c>
      <ns0:c r="O74" s="11" t="inlineStr">
        <ns0:is>
          <ns0:t>De contractat / desemnat</ns0:t>
        </ns0:is>
      </ns0:c>
      <ns0:c r="P74" s="7" t="inlineStr">
        <ns0:is>
          <ns0:t>Fantasy epic</ns0:t>
        </ns0:is>
      </ns0:c>
      <ns0:c r="Q74" s="7" t="inlineStr">
        <ns0:is>
          <ns0:t>Titlu din plan; legitimarea puterii cere un sacrificiu public.</ns0:t>
        </ns0:is>
      </ns0:c>
      <ns0:c r="R74" s="7" t="inlineStr"/>
      <ns0:c r="S74" s="7">
        <ns0:f>COUNTIFS(Editii_300!$B$2:$B$301,A74,Editii_300!$X$2:$X$301,1)</ns0:f>
        <ns0:v>0</ns0:v>
      </ns0:c>
      <ns0:c r="T74" s="7">
        <ns0:f>IF(S74=3,1,0)</ns0:f>
        <ns0:v>0</ns0:v>
      </ns0:c>
    </ns0:row>
    <ns0:row r="75" ht="65" customHeight="1">
      <ns0:c r="A75" s="7" t="inlineStr">
        <ns0:is>
          <ns0:t>DB-074</ns0:t>
        </ns0:is>
      </ns0:c>
      <ns0:c r="B75" s="7" t="inlineStr">
        <ns0:is>
          <ns0:t>MYTHICA</ns0:t>
        </ns0:is>
      </ns0:c>
      <ns0:c r="C75" s="7" t="inlineStr">
        <ns0:is>
          <ns0:t>Saga Celor Zece Coroane</ns0:t>
        </ns0:is>
      </ns0:c>
      <ns0:c r="D75" s="8" t="n">
        <ns0:v>4</ns0:v>
      </ns0:c>
      <ns0:c r="E75" s="7" t="inlineStr">
        <ns0:is>
          <ns0:t>The Crown of Stone</ns0:t>
        </ns0:is>
      </ns0:c>
      <ns0:c r="F75" s="7" t="inlineStr">
        <ns0:is>
          <ns0:t>Nou</ns0:t>
        </ns0:is>
      </ns0:c>
      <ns0:c r="G75" s="7" t="inlineStr">
        <ns0:is>
          <ns0:t>EN</ns0:t>
        </ns0:is>
      </ns0:c>
      <ns0:c r="H75" s="7" t="inlineStr">
        <ns0:is>
          <ns0:t>Concept propus; nescris</ns0:t>
        </ns0:is>
      </ns0:c>
      <ns0:c r="I75" s="9" t="n">
        <ns0:v>75000</ns0:v>
      </ns0:c>
      <ns0:c r="J75" s="10" t="n">
        <ns0:v>46325</ns0:v>
      </ns0:c>
      <ns0:c r="K75" s="10" t="n">
        <ns0:v>46350</ns0:v>
      </ns0:c>
      <ns0:c r="L75" s="10" t="n">
        <ns0:v>46352</ns0:v>
      </ns0:c>
      <ns0:c r="M75" s="10" t="n">
        <ns0:v>46354</ns0:v>
      </ns0:c>
      <ns0:c r="N75" s="7" t="inlineStr">
        <ns0:is>
          <ns0:t>LOT E</ns0:t>
        </ns0:is>
      </ns0:c>
      <ns0:c r="O75" s="11" t="inlineStr">
        <ns0:is>
          <ns0:t>De contractat / desemnat</ns0:t>
        </ns0:is>
      </ns0:c>
      <ns0:c r="P75" s="7" t="inlineStr">
        <ns0:is>
          <ns0:t>Fantasy epic</ns0:t>
        </ns0:is>
      </ns0:c>
      <ns0:c r="Q75" s="7" t="inlineStr">
        <ns0:is>
          <ns0:t>Titlu din plan; un regat fortificat își negociază loialitatea.</ns0:t>
        </ns0:is>
      </ns0:c>
      <ns0:c r="R75" s="7" t="inlineStr"/>
      <ns0:c r="S75" s="7">
        <ns0:f>COUNTIFS(Editii_300!$B$2:$B$301,A75,Editii_300!$X$2:$X$301,1)</ns0:f>
        <ns0:v>0</ns0:v>
      </ns0:c>
      <ns0:c r="T75" s="7">
        <ns0:f>IF(S75=3,1,0)</ns0:f>
        <ns0:v>0</ns0:v>
      </ns0:c>
    </ns0:row>
    <ns0:row r="76" ht="65" customHeight="1">
      <ns0:c r="A76" s="7" t="inlineStr">
        <ns0:is>
          <ns0:t>DB-075</ns0:t>
        </ns0:is>
      </ns0:c>
      <ns0:c r="B76" s="7" t="inlineStr">
        <ns0:is>
          <ns0:t>MYTHICA</ns0:t>
        </ns0:is>
      </ns0:c>
      <ns0:c r="C76" s="7" t="inlineStr">
        <ns0:is>
          <ns0:t>Saga Celor Zece Coroane</ns0:t>
        </ns0:is>
      </ns0:c>
      <ns0:c r="D76" s="8" t="n">
        <ns0:v>5</ns0:v>
      </ns0:c>
      <ns0:c r="E76" s="7" t="inlineStr">
        <ns0:is>
          <ns0:t>The Crown of the Forest</ns0:t>
        </ns0:is>
      </ns0:c>
      <ns0:c r="F76" s="7" t="inlineStr">
        <ns0:is>
          <ns0:t>Nou</ns0:t>
        </ns0:is>
      </ns0:c>
      <ns0:c r="G76" s="7" t="inlineStr">
        <ns0:is>
          <ns0:t>EN</ns0:t>
        </ns0:is>
      </ns0:c>
      <ns0:c r="H76" s="7" t="inlineStr">
        <ns0:is>
          <ns0:t>Concept propus; nescris</ns0:t>
        </ns0:is>
      </ns0:c>
      <ns0:c r="I76" s="9" t="n">
        <ns0:v>75000</ns0:v>
      </ns0:c>
      <ns0:c r="J76" s="10" t="n">
        <ns0:v>46325</ns0:v>
      </ns0:c>
      <ns0:c r="K76" s="10" t="n">
        <ns0:v>46350</ns0:v>
      </ns0:c>
      <ns0:c r="L76" s="10" t="n">
        <ns0:v>46352</ns0:v>
      </ns0:c>
      <ns0:c r="M76" s="10" t="n">
        <ns0:v>46354</ns0:v>
      </ns0:c>
      <ns0:c r="N76" s="7" t="inlineStr">
        <ns0:is>
          <ns0:t>LOT E</ns0:t>
        </ns0:is>
      </ns0:c>
      <ns0:c r="O76" s="11" t="inlineStr">
        <ns0:is>
          <ns0:t>De contractat / desemnat</ns0:t>
        </ns0:is>
      </ns0:c>
      <ns0:c r="P76" s="7" t="inlineStr">
        <ns0:is>
          <ns0:t>Fantasy epic</ns0:t>
        </ns0:is>
      </ns0:c>
      <ns0:c r="Q76" s="7" t="inlineStr">
        <ns0:is>
          <ns0:t>Titlu din plan; expansiunea politică amenință echilibrul magic.</ns0:t>
        </ns0:is>
      </ns0:c>
      <ns0:c r="R76" s="7" t="inlineStr"/>
      <ns0:c r="S76" s="7">
        <ns0:f>COUNTIFS(Editii_300!$B$2:$B$301,A76,Editii_300!$X$2:$X$301,1)</ns0:f>
        <ns0:v>0</ns0:v>
      </ns0:c>
      <ns0:c r="T76" s="7">
        <ns0:f>IF(S76=3,1,0)</ns0:f>
        <ns0:v>0</ns0:v>
      </ns0:c>
    </ns0:row>
    <ns0:row r="77" ht="65" customHeight="1">
      <ns0:c r="A77" s="7" t="inlineStr">
        <ns0:is>
          <ns0:t>DB-076</ns0:t>
        </ns0:is>
      </ns0:c>
      <ns0:c r="B77" s="7" t="inlineStr">
        <ns0:is>
          <ns0:t>MYTHICA</ns0:t>
        </ns0:is>
      </ns0:c>
      <ns0:c r="C77" s="7" t="inlineStr">
        <ns0:is>
          <ns0:t>Saga Celor Zece Coroane</ns0:t>
        </ns0:is>
      </ns0:c>
      <ns0:c r="D77" s="8" t="n">
        <ns0:v>6</ns0:v>
      </ns0:c>
      <ns0:c r="E77" s="7" t="inlineStr">
        <ns0:is>
          <ns0:t>The Crown of Wisdom</ns0:t>
        </ns0:is>
      </ns0:c>
      <ns0:c r="F77" s="7" t="inlineStr">
        <ns0:is>
          <ns0:t>Nou</ns0:t>
        </ns0:is>
      </ns0:c>
      <ns0:c r="G77" s="7" t="inlineStr">
        <ns0:is>
          <ns0:t>EN</ns0:t>
        </ns0:is>
      </ns0:c>
      <ns0:c r="H77" s="7" t="inlineStr">
        <ns0:is>
          <ns0:t>Concept propus; nescris</ns0:t>
        </ns0:is>
      </ns0:c>
      <ns0:c r="I77" s="9" t="n">
        <ns0:v>75000</ns0:v>
      </ns0:c>
      <ns0:c r="J77" s="10" t="n">
        <ns0:v>46325</ns0:v>
      </ns0:c>
      <ns0:c r="K77" s="10" t="n">
        <ns0:v>46350</ns0:v>
      </ns0:c>
      <ns0:c r="L77" s="10" t="n">
        <ns0:v>46352</ns0:v>
      </ns0:c>
      <ns0:c r="M77" s="10" t="n">
        <ns0:v>46354</ns0:v>
      </ns0:c>
      <ns0:c r="N77" s="7" t="inlineStr">
        <ns0:is>
          <ns0:t>LOT E</ns0:t>
        </ns0:is>
      </ns0:c>
      <ns0:c r="O77" s="11" t="inlineStr">
        <ns0:is>
          <ns0:t>De contractat / desemnat</ns0:t>
        </ns0:is>
      </ns0:c>
      <ns0:c r="P77" s="7" t="inlineStr">
        <ns0:is>
          <ns0:t>Fantasy epic</ns0:t>
        </ns0:is>
      </ns0:c>
      <ns0:c r="Q77" s="7" t="inlineStr">
        <ns0:is>
          <ns0:t>Titlu din plan; cunoașterea devine moneda alianțelor.</ns0:t>
        </ns0:is>
      </ns0:c>
      <ns0:c r="R77" s="7" t="inlineStr"/>
      <ns0:c r="S77" s="7">
        <ns0:f>COUNTIFS(Editii_300!$B$2:$B$301,A77,Editii_300!$X$2:$X$301,1)</ns0:f>
        <ns0:v>0</ns0:v>
      </ns0:c>
      <ns0:c r="T77" s="7">
        <ns0:f>IF(S77=3,1,0)</ns0:f>
        <ns0:v>0</ns0:v>
      </ns0:c>
    </ns0:row>
    <ns0:row r="78" ht="65" customHeight="1">
      <ns0:c r="A78" s="7" t="inlineStr">
        <ns0:is>
          <ns0:t>DB-077</ns0:t>
        </ns0:is>
      </ns0:c>
      <ns0:c r="B78" s="7" t="inlineStr">
        <ns0:is>
          <ns0:t>MYTHICA</ns0:t>
        </ns0:is>
      </ns0:c>
      <ns0:c r="C78" s="7" t="inlineStr">
        <ns0:is>
          <ns0:t>Saga Celor Zece Coroane</ns0:t>
        </ns0:is>
      </ns0:c>
      <ns0:c r="D78" s="8" t="n">
        <ns0:v>7</ns0:v>
      </ns0:c>
      <ns0:c r="E78" s="7" t="inlineStr">
        <ns0:is>
          <ns0:t>The Dark Crown</ns0:t>
        </ns0:is>
      </ns0:c>
      <ns0:c r="F78" s="7" t="inlineStr">
        <ns0:is>
          <ns0:t>Nou</ns0:t>
        </ns0:is>
      </ns0:c>
      <ns0:c r="G78" s="7" t="inlineStr">
        <ns0:is>
          <ns0:t>EN</ns0:t>
        </ns0:is>
      </ns0:c>
      <ns0:c r="H78" s="7" t="inlineStr">
        <ns0:is>
          <ns0:t>Concept propus; nescris</ns0:t>
        </ns0:is>
      </ns0:c>
      <ns0:c r="I78" s="9" t="n">
        <ns0:v>75000</ns0:v>
      </ns0:c>
      <ns0:c r="J78" s="10" t="n">
        <ns0:v>46325</ns0:v>
      </ns0:c>
      <ns0:c r="K78" s="10" t="n">
        <ns0:v>46350</ns0:v>
      </ns0:c>
      <ns0:c r="L78" s="10" t="n">
        <ns0:v>46352</ns0:v>
      </ns0:c>
      <ns0:c r="M78" s="10" t="n">
        <ns0:v>46354</ns0:v>
      </ns0:c>
      <ns0:c r="N78" s="7" t="inlineStr">
        <ns0:is>
          <ns0:t>LOT E</ns0:t>
        </ns0:is>
      </ns0:c>
      <ns0:c r="O78" s="11" t="inlineStr">
        <ns0:is>
          <ns0:t>De contractat / desemnat</ns0:t>
        </ns0:is>
      </ns0:c>
      <ns0:c r="P78" s="7" t="inlineStr">
        <ns0:is>
          <ns0:t>Fantasy epic</ns0:t>
        </ns0:is>
      </ns0:c>
      <ns0:c r="Q78" s="7" t="inlineStr">
        <ns0:is>
          <ns0:t>Titlu din plan; antagonistul oferă o soluție moralmente imposibilă.</ns0:t>
        </ns0:is>
      </ns0:c>
      <ns0:c r="R78" s="7" t="inlineStr"/>
      <ns0:c r="S78" s="7">
        <ns0:f>COUNTIFS(Editii_300!$B$2:$B$301,A78,Editii_300!$X$2:$X$301,1)</ns0:f>
        <ns0:v>0</ns0:v>
      </ns0:c>
      <ns0:c r="T78" s="7">
        <ns0:f>IF(S78=3,1,0)</ns0:f>
        <ns0:v>0</ns0:v>
      </ns0:c>
    </ns0:row>
    <ns0:row r="79" ht="65" customHeight="1">
      <ns0:c r="A79" s="7" t="inlineStr">
        <ns0:is>
          <ns0:t>DB-078</ns0:t>
        </ns0:is>
      </ns0:c>
      <ns0:c r="B79" s="7" t="inlineStr">
        <ns0:is>
          <ns0:t>MYTHICA</ns0:t>
        </ns0:is>
      </ns0:c>
      <ns0:c r="C79" s="7" t="inlineStr">
        <ns0:is>
          <ns0:t>Saga Celor Zece Coroane</ns0:t>
        </ns0:is>
      </ns0:c>
      <ns0:c r="D79" s="8" t="n">
        <ns0:v>8</ns0:v>
      </ns0:c>
      <ns0:c r="E79" s="7" t="inlineStr">
        <ns0:is>
          <ns0:t>The Crown of Light</ns0:t>
        </ns0:is>
      </ns0:c>
      <ns0:c r="F79" s="7" t="inlineStr">
        <ns0:is>
          <ns0:t>Nou</ns0:t>
        </ns0:is>
      </ns0:c>
      <ns0:c r="G79" s="7" t="inlineStr">
        <ns0:is>
          <ns0:t>EN</ns0:t>
        </ns0:is>
      </ns0:c>
      <ns0:c r="H79" s="7" t="inlineStr">
        <ns0:is>
          <ns0:t>Concept propus; nescris</ns0:t>
        </ns0:is>
      </ns0:c>
      <ns0:c r="I79" s="9" t="n">
        <ns0:v>75000</ns0:v>
      </ns0:c>
      <ns0:c r="J79" s="10" t="n">
        <ns0:v>46325</ns0:v>
      </ns0:c>
      <ns0:c r="K79" s="10" t="n">
        <ns0:v>46350</ns0:v>
      </ns0:c>
      <ns0:c r="L79" s="10" t="n">
        <ns0:v>46352</ns0:v>
      </ns0:c>
      <ns0:c r="M79" s="10" t="n">
        <ns0:v>46354</ns0:v>
      </ns0:c>
      <ns0:c r="N79" s="7" t="inlineStr">
        <ns0:is>
          <ns0:t>LOT E</ns0:t>
        </ns0:is>
      </ns0:c>
      <ns0:c r="O79" s="11" t="inlineStr">
        <ns0:is>
          <ns0:t>De contractat / desemnat</ns0:t>
        </ns0:is>
      </ns0:c>
      <ns0:c r="P79" s="7" t="inlineStr">
        <ns0:is>
          <ns0:t>Fantasy epic</ns0:t>
        </ns0:is>
      </ns0:c>
      <ns0:c r="Q79" s="7" t="inlineStr">
        <ns0:is>
          <ns0:t>Titlu din plan; victoria aparentă dezvăluie costul unirii.</ns0:t>
        </ns0:is>
      </ns0:c>
      <ns0:c r="R79" s="7" t="inlineStr"/>
      <ns0:c r="S79" s="7">
        <ns0:f>COUNTIFS(Editii_300!$B$2:$B$301,A79,Editii_300!$X$2:$X$301,1)</ns0:f>
        <ns0:v>0</ns0:v>
      </ns0:c>
      <ns0:c r="T79" s="7">
        <ns0:f>IF(S79=3,1,0)</ns0:f>
        <ns0:v>0</ns0:v>
      </ns0:c>
    </ns0:row>
    <ns0:row r="80" ht="65" customHeight="1">
      <ns0:c r="A80" s="7" t="inlineStr">
        <ns0:is>
          <ns0:t>DB-079</ns0:t>
        </ns0:is>
      </ns0:c>
      <ns0:c r="B80" s="7" t="inlineStr">
        <ns0:is>
          <ns0:t>MYTHICA</ns0:t>
        </ns0:is>
      </ns0:c>
      <ns0:c r="C80" s="7" t="inlineStr">
        <ns0:is>
          <ns0:t>Saga Celor Zece Coroane</ns0:t>
        </ns0:is>
      </ns0:c>
      <ns0:c r="D80" s="8" t="n">
        <ns0:v>9</ns0:v>
      </ns0:c>
      <ns0:c r="E80" s="7" t="inlineStr">
        <ns0:is>
          <ns0:t>The Crown of Unity</ns0:t>
        </ns0:is>
      </ns0:c>
      <ns0:c r="F80" s="7" t="inlineStr">
        <ns0:is>
          <ns0:t>Nou</ns0:t>
        </ns0:is>
      </ns0:c>
      <ns0:c r="G80" s="7" t="inlineStr">
        <ns0:is>
          <ns0:t>EN</ns0:t>
        </ns0:is>
      </ns0:c>
      <ns0:c r="H80" s="7" t="inlineStr">
        <ns0:is>
          <ns0:t>Concept propus; nescris</ns0:t>
        </ns0:is>
      </ns0:c>
      <ns0:c r="I80" s="9" t="n">
        <ns0:v>75000</ns0:v>
      </ns0:c>
      <ns0:c r="J80" s="10" t="n">
        <ns0:v>46325</ns0:v>
      </ns0:c>
      <ns0:c r="K80" s="10" t="n">
        <ns0:v>46350</ns0:v>
      </ns0:c>
      <ns0:c r="L80" s="10" t="n">
        <ns0:v>46352</ns0:v>
      </ns0:c>
      <ns0:c r="M80" s="10" t="n">
        <ns0:v>46354</ns0:v>
      </ns0:c>
      <ns0:c r="N80" s="7" t="inlineStr">
        <ns0:is>
          <ns0:t>LOT E</ns0:t>
        </ns0:is>
      </ns0:c>
      <ns0:c r="O80" s="11" t="inlineStr">
        <ns0:is>
          <ns0:t>De contractat / desemnat</ns0:t>
        </ns0:is>
      </ns0:c>
      <ns0:c r="P80" s="7" t="inlineStr">
        <ns0:is>
          <ns0:t>Fantasy epic</ns0:t>
        </ns0:is>
      </ns0:c>
      <ns0:c r="Q80" s="7" t="inlineStr">
        <ns0:is>
          <ns0:t>Titlu din plan; alianța trebuie să supraviețuiască propriilor contradicții.</ns0:t>
        </ns0:is>
      </ns0:c>
      <ns0:c r="R80" s="7" t="inlineStr"/>
      <ns0:c r="S80" s="7">
        <ns0:f>COUNTIFS(Editii_300!$B$2:$B$301,A80,Editii_300!$X$2:$X$301,1)</ns0:f>
        <ns0:v>0</ns0:v>
      </ns0:c>
      <ns0:c r="T80" s="7">
        <ns0:f>IF(S80=3,1,0)</ns0:f>
        <ns0:v>0</ns0:v>
      </ns0:c>
    </ns0:row>
    <ns0:row r="81" ht="65" customHeight="1">
      <ns0:c r="A81" s="7" t="inlineStr">
        <ns0:is>
          <ns0:t>DB-080</ns0:t>
        </ns0:is>
      </ns0:c>
      <ns0:c r="B81" s="7" t="inlineStr">
        <ns0:is>
          <ns0:t>MYTHICA</ns0:t>
        </ns0:is>
      </ns0:c>
      <ns0:c r="C81" s="7" t="inlineStr">
        <ns0:is>
          <ns0:t>Saga Celor Zece Coroane</ns0:t>
        </ns0:is>
      </ns0:c>
      <ns0:c r="D81" s="8" t="n">
        <ns0:v>10</ns0:v>
      </ns0:c>
      <ns0:c r="E81" s="7" t="inlineStr">
        <ns0:is>
          <ns0:t>The Crown of Destiny</ns0:t>
        </ns0:is>
      </ns0:c>
      <ns0:c r="F81" s="7" t="inlineStr">
        <ns0:is>
          <ns0:t>Nou</ns0:t>
        </ns0:is>
      </ns0:c>
      <ns0:c r="G81" s="7" t="inlineStr">
        <ns0:is>
          <ns0:t>EN</ns0:t>
        </ns0:is>
      </ns0:c>
      <ns0:c r="H81" s="7" t="inlineStr">
        <ns0:is>
          <ns0:t>Concept propus; nescris</ns0:t>
        </ns0:is>
      </ns0:c>
      <ns0:c r="I81" s="9" t="n">
        <ns0:v>75000</ns0:v>
      </ns0:c>
      <ns0:c r="J81" s="10" t="n">
        <ns0:v>46325</ns0:v>
      </ns0:c>
      <ns0:c r="K81" s="10" t="n">
        <ns0:v>46350</ns0:v>
      </ns0:c>
      <ns0:c r="L81" s="10" t="n">
        <ns0:v>46352</ns0:v>
      </ns0:c>
      <ns0:c r="M81" s="10" t="n">
        <ns0:v>46354</ns0:v>
      </ns0:c>
      <ns0:c r="N81" s="7" t="inlineStr">
        <ns0:is>
          <ns0:t>LOT E</ns0:t>
        </ns0:is>
      </ns0:c>
      <ns0:c r="O81" s="11" t="inlineStr">
        <ns0:is>
          <ns0:t>De contractat / desemnat</ns0:t>
        </ns0:is>
      </ns0:c>
      <ns0:c r="P81" s="7" t="inlineStr">
        <ns0:is>
          <ns0:t>Fantasy epic</ns0:t>
        </ns0:is>
      </ns0:c>
      <ns0:c r="Q81" s="7" t="inlineStr">
        <ns0:is>
          <ns0:t>Titlu din plan; încheiere completă a arcului celor zece coroane.</ns0:t>
        </ns0:is>
      </ns0:c>
      <ns0:c r="R81" s="7" t="inlineStr"/>
      <ns0:c r="S81" s="7">
        <ns0:f>COUNTIFS(Editii_300!$B$2:$B$301,A81,Editii_300!$X$2:$X$301,1)</ns0:f>
        <ns0:v>0</ns0:v>
      </ns0:c>
      <ns0:c r="T81" s="7">
        <ns0:f>IF(S81=3,1,0)</ns0:f>
        <ns0:v>0</ns0:v>
      </ns0:c>
    </ns0:row>
    <ns0:row r="82" ht="65" customHeight="1">
      <ns0:c r="A82" s="7" t="inlineStr">
        <ns0:is>
          <ns0:t>DB-081</ns0:t>
        </ns0:is>
      </ns0:c>
      <ns0:c r="B82" s="7" t="inlineStr">
        <ns0:is>
          <ns0:t>MYTHICA</ns0:t>
        </ns0:is>
      </ns0:c>
      <ns0:c r="C82" s="7" t="inlineStr">
        <ns0:is>
          <ns0:t>The Thorn Covenant</ns0:t>
        </ns0:is>
      </ns0:c>
      <ns0:c r="D82" s="8" t="n">
        <ns0:v>1</ns0:v>
      </ns0:c>
      <ns0:c r="E82" s="7" t="inlineStr">
        <ns0:is>
          <ns0:t>The Thorn Cartographer</ns0:t>
        </ns0:is>
      </ns0:c>
      <ns0:c r="F82" s="7" t="inlineStr">
        <ns0:is>
          <ns0:t>Nou</ns0:t>
        </ns0:is>
      </ns0:c>
      <ns0:c r="G82" s="7" t="inlineStr">
        <ns0:is>
          <ns0:t>EN</ns0:t>
        </ns0:is>
      </ns0:c>
      <ns0:c r="H82" s="7" t="inlineStr">
        <ns0:is>
          <ns0:t>Concept propus; nescris</ns0:t>
        </ns0:is>
      </ns0:c>
      <ns0:c r="I82" s="9" t="n">
        <ns0:v>65000</ns0:v>
      </ns0:c>
      <ns0:c r="J82" s="10" t="n">
        <ns0:v>46325</ns0:v>
      </ns0:c>
      <ns0:c r="K82" s="10" t="n">
        <ns0:v>46343</ns0:v>
      </ns0:c>
      <ns0:c r="L82" s="10" t="n">
        <ns0:v>46345</ns0:v>
      </ns0:c>
      <ns0:c r="M82" s="10" t="n">
        <ns0:v>46347</ns0:v>
      </ns0:c>
      <ns0:c r="N82" s="7" t="inlineStr">
        <ns0:is>
          <ns0:t>LOT D</ns0:t>
        </ns0:is>
      </ns0:c>
      <ns0:c r="O82" s="11" t="inlineStr">
        <ns0:is>
          <ns0:t>De contractat / desemnat</ns0:t>
        </ns0:is>
      </ns0:c>
      <ns0:c r="P82" s="7" t="inlineStr">
        <ns0:is>
          <ns0:t>Romantasy pentru adulți</ns0:t>
        </ns0:is>
      </ns0:c>
      <ns0:c r="Q82" s="7" t="inlineStr">
        <ns0:is>
          <ns0:t>O cartografă poate șterge hotare doar renunțând la o amintire.</ns0:t>
        </ns0:is>
      </ns0:c>
      <ns0:c r="R82" s="7" t="inlineStr"/>
      <ns0:c r="S82" s="7">
        <ns0:f>COUNTIFS(Editii_300!$B$2:$B$301,A82,Editii_300!$X$2:$X$301,1)</ns0:f>
        <ns0:v>0</ns0:v>
      </ns0:c>
      <ns0:c r="T82" s="7">
        <ns0:f>IF(S82=3,1,0)</ns0:f>
        <ns0:v>0</ns0:v>
      </ns0:c>
    </ns0:row>
    <ns0:row r="83" ht="65" customHeight="1">
      <ns0:c r="A83" s="7" t="inlineStr">
        <ns0:is>
          <ns0:t>DB-082</ns0:t>
        </ns0:is>
      </ns0:c>
      <ns0:c r="B83" s="7" t="inlineStr">
        <ns0:is>
          <ns0:t>MYTHICA</ns0:t>
        </ns0:is>
      </ns0:c>
      <ns0:c r="C83" s="7" t="inlineStr">
        <ns0:is>
          <ns0:t>The Thorn Covenant</ns0:t>
        </ns0:is>
      </ns0:c>
      <ns0:c r="D83" s="8" t="n">
        <ns0:v>2</ns0:v>
      </ns0:c>
      <ns0:c r="E83" s="7" t="inlineStr">
        <ns0:is>
          <ns0:t>The Glasswood Pact</ns0:t>
        </ns0:is>
      </ns0:c>
      <ns0:c r="F83" s="7" t="inlineStr">
        <ns0:is>
          <ns0:t>Nou</ns0:t>
        </ns0:is>
      </ns0:c>
      <ns0:c r="G83" s="7" t="inlineStr">
        <ns0:is>
          <ns0:t>EN</ns0:t>
        </ns0:is>
      </ns0:c>
      <ns0:c r="H83" s="7" t="inlineStr">
        <ns0:is>
          <ns0:t>Concept propus; nescris</ns0:t>
        </ns0:is>
      </ns0:c>
      <ns0:c r="I83" s="9" t="n">
        <ns0:v>65000</ns0:v>
      </ns0:c>
      <ns0:c r="J83" s="10" t="n">
        <ns0:v>46325</ns0:v>
      </ns0:c>
      <ns0:c r="K83" s="10" t="n">
        <ns0:v>46343</ns0:v>
      </ns0:c>
      <ns0:c r="L83" s="10" t="n">
        <ns0:v>46345</ns0:v>
      </ns0:c>
      <ns0:c r="M83" s="10" t="n">
        <ns0:v>46347</ns0:v>
      </ns0:c>
      <ns0:c r="N83" s="7" t="inlineStr">
        <ns0:is>
          <ns0:t>LOT D</ns0:t>
        </ns0:is>
      </ns0:c>
      <ns0:c r="O83" s="11" t="inlineStr">
        <ns0:is>
          <ns0:t>De contractat / desemnat</ns0:t>
        </ns0:is>
      </ns0:c>
      <ns0:c r="P83" s="7" t="inlineStr">
        <ns0:is>
          <ns0:t>Romantasy pentru adulți</ns0:t>
        </ns0:is>
      </ns0:c>
      <ns0:c r="Q83" s="7" t="inlineStr">
        <ns0:is>
          <ns0:t>O alianță romantică este testată de un tratat care schimbă memoria.</ns0:t>
        </ns0:is>
      </ns0:c>
      <ns0:c r="R83" s="7" t="inlineStr"/>
      <ns0:c r="S83" s="7">
        <ns0:f>COUNTIFS(Editii_300!$B$2:$B$301,A83,Editii_300!$X$2:$X$301,1)</ns0:f>
        <ns0:v>0</ns0:v>
      </ns0:c>
      <ns0:c r="T83" s="7">
        <ns0:f>IF(S83=3,1,0)</ns0:f>
        <ns0:v>0</ns0:v>
      </ns0:c>
    </ns0:row>
    <ns0:row r="84" ht="65" customHeight="1">
      <ns0:c r="A84" s="7" t="inlineStr">
        <ns0:is>
          <ns0:t>DB-083</ns0:t>
        </ns0:is>
      </ns0:c>
      <ns0:c r="B84" s="7" t="inlineStr">
        <ns0:is>
          <ns0:t>MYTHICA</ns0:t>
        </ns0:is>
      </ns0:c>
      <ns0:c r="C84" s="7" t="inlineStr">
        <ns0:is>
          <ns0:t>The Thorn Covenant</ns0:t>
        </ns0:is>
      </ns0:c>
      <ns0:c r="D84" s="8" t="n">
        <ns0:v>3</ns0:v>
      </ns0:c>
      <ns0:c r="E84" s="7" t="inlineStr">
        <ns0:is>
          <ns0:t>The Orchard of Embers</ns0:t>
        </ns0:is>
      </ns0:c>
      <ns0:c r="F84" s="7" t="inlineStr">
        <ns0:is>
          <ns0:t>Nou</ns0:t>
        </ns0:is>
      </ns0:c>
      <ns0:c r="G84" s="7" t="inlineStr">
        <ns0:is>
          <ns0:t>EN</ns0:t>
        </ns0:is>
      </ns0:c>
      <ns0:c r="H84" s="7" t="inlineStr">
        <ns0:is>
          <ns0:t>Concept propus; nescris</ns0:t>
        </ns0:is>
      </ns0:c>
      <ns0:c r="I84" s="9" t="n">
        <ns0:v>65000</ns0:v>
      </ns0:c>
      <ns0:c r="J84" s="10" t="n">
        <ns0:v>46325</ns0:v>
      </ns0:c>
      <ns0:c r="K84" s="10" t="n">
        <ns0:v>46343</ns0:v>
      </ns0:c>
      <ns0:c r="L84" s="10" t="n">
        <ns0:v>46345</ns0:v>
      </ns0:c>
      <ns0:c r="M84" s="10" t="n">
        <ns0:v>46347</ns0:v>
      </ns0:c>
      <ns0:c r="N84" s="7" t="inlineStr">
        <ns0:is>
          <ns0:t>LOT D</ns0:t>
        </ns0:is>
      </ns0:c>
      <ns0:c r="O84" s="11" t="inlineStr">
        <ns0:is>
          <ns0:t>De contractat / desemnat</ns0:t>
        </ns0:is>
      </ns0:c>
      <ns0:c r="P84" s="7" t="inlineStr">
        <ns0:is>
          <ns0:t>Romantasy pentru adulți</ns0:t>
        </ns0:is>
      </ns0:c>
      <ns0:c r="Q84" s="7" t="inlineStr">
        <ns0:is>
          <ns0:t>Protagoniștii aleg între vindecarea unei țări și promisiunea lor.</ns0:t>
        </ns0:is>
      </ns0:c>
      <ns0:c r="R84" s="7" t="inlineStr"/>
      <ns0:c r="S84" s="7">
        <ns0:f>COUNTIFS(Editii_300!$B$2:$B$301,A84,Editii_300!$X$2:$X$301,1)</ns0:f>
        <ns0:v>0</ns0:v>
      </ns0:c>
      <ns0:c r="T84" s="7">
        <ns0:f>IF(S84=3,1,0)</ns0:f>
        <ns0:v>0</ns0:v>
      </ns0:c>
    </ns0:row>
    <ns0:row r="85" ht="65" customHeight="1">
      <ns0:c r="A85" s="7" t="inlineStr">
        <ns0:is>
          <ns0:t>DB-084</ns0:t>
        </ns0:is>
      </ns0:c>
      <ns0:c r="B85" s="7" t="inlineStr">
        <ns0:is>
          <ns0:t>MYTHICA</ns0:t>
        </ns0:is>
      </ns0:c>
      <ns0:c r="C85" s="7" t="inlineStr">
        <ns0:is>
          <ns0:t>The Thorn Covenant</ns0:t>
        </ns0:is>
      </ns0:c>
      <ns0:c r="D85" s="8" t="n">
        <ns0:v>4</ns0:v>
      </ns0:c>
      <ns0:c r="E85" s="7" t="inlineStr">
        <ns0:is>
          <ns0:t>The River of Unwritten Vows</ns0:t>
        </ns0:is>
      </ns0:c>
      <ns0:c r="F85" s="7" t="inlineStr">
        <ns0:is>
          <ns0:t>Nou</ns0:t>
        </ns0:is>
      </ns0:c>
      <ns0:c r="G85" s="7" t="inlineStr">
        <ns0:is>
          <ns0:t>EN</ns0:t>
        </ns0:is>
      </ns0:c>
      <ns0:c r="H85" s="7" t="inlineStr">
        <ns0:is>
          <ns0:t>Concept propus; nescris</ns0:t>
        </ns0:is>
      </ns0:c>
      <ns0:c r="I85" s="9" t="n">
        <ns0:v>65000</ns0:v>
      </ns0:c>
      <ns0:c r="J85" s="10" t="n">
        <ns0:v>46325</ns0:v>
      </ns0:c>
      <ns0:c r="K85" s="10" t="n">
        <ns0:v>46343</ns0:v>
      </ns0:c>
      <ns0:c r="L85" s="10" t="n">
        <ns0:v>46345</ns0:v>
      </ns0:c>
      <ns0:c r="M85" s="10" t="n">
        <ns0:v>46347</ns0:v>
      </ns0:c>
      <ns0:c r="N85" s="7" t="inlineStr">
        <ns0:is>
          <ns0:t>LOT D</ns0:t>
        </ns0:is>
      </ns0:c>
      <ns0:c r="O85" s="11" t="inlineStr">
        <ns0:is>
          <ns0:t>De contractat / desemnat</ns0:t>
        </ns0:is>
      </ns0:c>
      <ns0:c r="P85" s="7" t="inlineStr">
        <ns0:is>
          <ns0:t>Romantasy pentru adulți</ns0:t>
        </ns0:is>
      </ns0:c>
      <ns0:c r="Q85" s="7" t="inlineStr">
        <ns0:is>
          <ns0:t>Jurămintele uitate revin ca obstacole fizice.</ns0:t>
        </ns0:is>
      </ns0:c>
      <ns0:c r="R85" s="7" t="inlineStr"/>
      <ns0:c r="S85" s="7">
        <ns0:f>COUNTIFS(Editii_300!$B$2:$B$301,A85,Editii_300!$X$2:$X$301,1)</ns0:f>
        <ns0:v>0</ns0:v>
      </ns0:c>
      <ns0:c r="T85" s="7">
        <ns0:f>IF(S85=3,1,0)</ns0:f>
        <ns0:v>0</ns0:v>
      </ns0:c>
    </ns0:row>
    <ns0:row r="86" ht="65" customHeight="1">
      <ns0:c r="A86" s="7" t="inlineStr">
        <ns0:is>
          <ns0:t>DB-085</ns0:t>
        </ns0:is>
      </ns0:c>
      <ns0:c r="B86" s="7" t="inlineStr">
        <ns0:is>
          <ns0:t>MYTHICA</ns0:t>
        </ns0:is>
      </ns0:c>
      <ns0:c r="C86" s="7" t="inlineStr">
        <ns0:is>
          <ns0:t>The Thorn Covenant</ns0:t>
        </ns0:is>
      </ns0:c>
      <ns0:c r="D86" s="8" t="n">
        <ns0:v>5</ns0:v>
      </ns0:c>
      <ns0:c r="E86" s="7" t="inlineStr">
        <ns0:is>
          <ns0:t>The Crown We Refused</ns0:t>
        </ns0:is>
      </ns0:c>
      <ns0:c r="F86" s="7" t="inlineStr">
        <ns0:is>
          <ns0:t>Nou</ns0:t>
        </ns0:is>
      </ns0:c>
      <ns0:c r="G86" s="7" t="inlineStr">
        <ns0:is>
          <ns0:t>EN</ns0:t>
        </ns0:is>
      </ns0:c>
      <ns0:c r="H86" s="7" t="inlineStr">
        <ns0:is>
          <ns0:t>Concept propus; nescris</ns0:t>
        </ns0:is>
      </ns0:c>
      <ns0:c r="I86" s="9" t="n">
        <ns0:v>65000</ns0:v>
      </ns0:c>
      <ns0:c r="J86" s="10" t="n">
        <ns0:v>46325</ns0:v>
      </ns0:c>
      <ns0:c r="K86" s="10" t="n">
        <ns0:v>46343</ns0:v>
      </ns0:c>
      <ns0:c r="L86" s="10" t="n">
        <ns0:v>46345</ns0:v>
      </ns0:c>
      <ns0:c r="M86" s="10" t="n">
        <ns0:v>46347</ns0:v>
      </ns0:c>
      <ns0:c r="N86" s="7" t="inlineStr">
        <ns0:is>
          <ns0:t>LOT D</ns0:t>
        </ns0:is>
      </ns0:c>
      <ns0:c r="O86" s="11" t="inlineStr">
        <ns0:is>
          <ns0:t>De contractat / desemnat</ns0:t>
        </ns0:is>
      </ns0:c>
      <ns0:c r="P86" s="7" t="inlineStr">
        <ns0:is>
          <ns0:t>Romantasy pentru adulți</ns0:t>
        </ns0:is>
      </ns0:c>
      <ns0:c r="Q86" s="7" t="inlineStr">
        <ns0:is>
          <ns0:t>Finalul oferă iubire și putere fără a anula sacrificiile anterioare.</ns0:t>
        </ns0:is>
      </ns0:c>
      <ns0:c r="R86" s="7" t="inlineStr"/>
      <ns0:c r="S86" s="7">
        <ns0:f>COUNTIFS(Editii_300!$B$2:$B$301,A86,Editii_300!$X$2:$X$301,1)</ns0:f>
        <ns0:v>0</ns0:v>
      </ns0:c>
      <ns0:c r="T86" s="7">
        <ns0:f>IF(S86=3,1,0)</ns0:f>
        <ns0:v>0</ns0:v>
      </ns0:c>
    </ns0:row>
    <ns0:row r="87" ht="65" customHeight="1">
      <ns0:c r="A87" s="7" t="inlineStr">
        <ns0:is>
          <ns0:t>DB-086</ns0:t>
        </ns0:is>
      </ns0:c>
      <ns0:c r="B87" s="7" t="inlineStr">
        <ns0:is>
          <ns0:t>MYTHICA</ns0:t>
        </ns0:is>
      </ns0:c>
      <ns0:c r="C87" s="7" t="inlineStr">
        <ns0:is>
          <ns0:t>Tales of the Border Realms</ns0:t>
        </ns0:is>
      </ns0:c>
      <ns0:c r="D87" s="8" t="n">
        <ns0:v>1</ns0:v>
      </ns0:c>
      <ns0:c r="E87" s="7" t="inlineStr">
        <ns0:is>
          <ns0:t>The Lantern Keeper's Apprentice</ns0:t>
        </ns0:is>
      </ns0:c>
      <ns0:c r="F87" s="7" t="inlineStr">
        <ns0:is>
          <ns0:t>Nou</ns0:t>
        </ns0:is>
      </ns0:c>
      <ns0:c r="G87" s="7" t="inlineStr">
        <ns0:is>
          <ns0:t>EN</ns0:t>
        </ns0:is>
      </ns0:c>
      <ns0:c r="H87" s="7" t="inlineStr">
        <ns0:is>
          <ns0:t>Concept propus; nescris</ns0:t>
        </ns0:is>
      </ns0:c>
      <ns0:c r="I87" s="9" t="n">
        <ns0:v>40000</ns0:v>
      </ns0:c>
      <ns0:c r="J87" s="10" t="n">
        <ns0:v>46311</ns0:v>
      </ns0:c>
      <ns0:c r="K87" s="10" t="n">
        <ns0:v>46329</ns0:v>
      </ns0:c>
      <ns0:c r="L87" s="10" t="n">
        <ns0:v>46331</ns0:v>
      </ns0:c>
      <ns0:c r="M87" s="10" t="n">
        <ns0:v>46333</ns0:v>
      </ns0:c>
      <ns0:c r="N87" s="7" t="inlineStr">
        <ns0:is>
          <ns0:t>LOT B</ns0:t>
        </ns0:is>
      </ns0:c>
      <ns0:c r="O87" s="11" t="inlineStr">
        <ns0:is>
          <ns0:t>De contractat / desemnat</ns0:t>
        </ns0:is>
      </ns0:c>
      <ns0:c r="P87" s="7" t="inlineStr">
        <ns0:is>
          <ns0:t>Fantasy scurt independent</ns0:t>
        </ns0:is>
      </ns0:c>
      <ns0:c r="Q87" s="7" t="inlineStr">
        <ns0:is>
          <ns0:t>O ucenică trebuie să reaprindă farul care ține frontiera stabilă.</ns0:t>
        </ns0:is>
      </ns0:c>
      <ns0:c r="R87" s="7" t="inlineStr"/>
      <ns0:c r="S87" s="7">
        <ns0:f>COUNTIFS(Editii_300!$B$2:$B$301,A87,Editii_300!$X$2:$X$301,1)</ns0:f>
        <ns0:v>0</ns0:v>
      </ns0:c>
      <ns0:c r="T87" s="7">
        <ns0:f>IF(S87=3,1,0)</ns0:f>
        <ns0:v>0</ns0:v>
      </ns0:c>
    </ns0:row>
    <ns0:row r="88" ht="65" customHeight="1">
      <ns0:c r="A88" s="7" t="inlineStr">
        <ns0:is>
          <ns0:t>DB-087</ns0:t>
        </ns0:is>
      </ns0:c>
      <ns0:c r="B88" s="7" t="inlineStr">
        <ns0:is>
          <ns0:t>MYTHICA</ns0:t>
        </ns0:is>
      </ns0:c>
      <ns0:c r="C88" s="7" t="inlineStr">
        <ns0:is>
          <ns0:t>Tales of the Border Realms</ns0:t>
        </ns0:is>
      </ns0:c>
      <ns0:c r="D88" s="8" t="n">
        <ns0:v>2</ns0:v>
      </ns0:c>
      <ns0:c r="E88" s="7" t="inlineStr">
        <ns0:is>
          <ns0:t>The Smith of Borrowed Names</ns0:t>
        </ns0:is>
      </ns0:c>
      <ns0:c r="F88" s="7" t="inlineStr">
        <ns0:is>
          <ns0:t>Nou</ns0:t>
        </ns0:is>
      </ns0:c>
      <ns0:c r="G88" s="7" t="inlineStr">
        <ns0:is>
          <ns0:t>EN</ns0:t>
        </ns0:is>
      </ns0:c>
      <ns0:c r="H88" s="7" t="inlineStr">
        <ns0:is>
          <ns0:t>Concept propus; nescris</ns0:t>
        </ns0:is>
      </ns0:c>
      <ns0:c r="I88" s="9" t="n">
        <ns0:v>40000</ns0:v>
      </ns0:c>
      <ns0:c r="J88" s="10" t="n">
        <ns0:v>46311</ns0:v>
      </ns0:c>
      <ns0:c r="K88" s="10" t="n">
        <ns0:v>46329</ns0:v>
      </ns0:c>
      <ns0:c r="L88" s="10" t="n">
        <ns0:v>46331</ns0:v>
      </ns0:c>
      <ns0:c r="M88" s="10" t="n">
        <ns0:v>46333</ns0:v>
      </ns0:c>
      <ns0:c r="N88" s="7" t="inlineStr">
        <ns0:is>
          <ns0:t>LOT B</ns0:t>
        </ns0:is>
      </ns0:c>
      <ns0:c r="O88" s="11" t="inlineStr">
        <ns0:is>
          <ns0:t>De contractat / desemnat</ns0:t>
        </ns0:is>
      </ns0:c>
      <ns0:c r="P88" s="7" t="inlineStr">
        <ns0:is>
          <ns0:t>Fantasy scurt independent</ns0:t>
        </ns0:is>
      </ns0:c>
      <ns0:c r="Q88" s="7" t="inlineStr">
        <ns0:is>
          <ns0:t>Un fierar își salvează familia recuperând numele furate.</ns0:t>
        </ns0:is>
      </ns0:c>
      <ns0:c r="R88" s="7" t="inlineStr"/>
      <ns0:c r="S88" s="7">
        <ns0:f>COUNTIFS(Editii_300!$B$2:$B$301,A88,Editii_300!$X$2:$X$301,1)</ns0:f>
        <ns0:v>0</ns0:v>
      </ns0:c>
      <ns0:c r="T88" s="7">
        <ns0:f>IF(S88=3,1,0)</ns0:f>
        <ns0:v>0</ns0:v>
      </ns0:c>
    </ns0:row>
    <ns0:row r="89" ht="65" customHeight="1">
      <ns0:c r="A89" s="7" t="inlineStr">
        <ns0:is>
          <ns0:t>DB-088</ns0:t>
        </ns0:is>
      </ns0:c>
      <ns0:c r="B89" s="7" t="inlineStr">
        <ns0:is>
          <ns0:t>MYTHICA</ns0:t>
        </ns0:is>
      </ns0:c>
      <ns0:c r="C89" s="7" t="inlineStr">
        <ns0:is>
          <ns0:t>Tales of the Border Realms</ns0:t>
        </ns0:is>
      </ns0:c>
      <ns0:c r="D89" s="8" t="n">
        <ns0:v>3</ns0:v>
      </ns0:c>
      <ns0:c r="E89" s="7" t="inlineStr">
        <ns0:is>
          <ns0:t>The Orchard Beyond the Wall</ns0:t>
        </ns0:is>
      </ns0:c>
      <ns0:c r="F89" s="7" t="inlineStr">
        <ns0:is>
          <ns0:t>Nou</ns0:t>
        </ns0:is>
      </ns0:c>
      <ns0:c r="G89" s="7" t="inlineStr">
        <ns0:is>
          <ns0:t>EN</ns0:t>
        </ns0:is>
      </ns0:c>
      <ns0:c r="H89" s="7" t="inlineStr">
        <ns0:is>
          <ns0:t>Concept propus; nescris</ns0:t>
        </ns0:is>
      </ns0:c>
      <ns0:c r="I89" s="9" t="n">
        <ns0:v>40000</ns0:v>
      </ns0:c>
      <ns0:c r="J89" s="10" t="n">
        <ns0:v>46311</ns0:v>
      </ns0:c>
      <ns0:c r="K89" s="10" t="n">
        <ns0:v>46329</ns0:v>
      </ns0:c>
      <ns0:c r="L89" s="10" t="n">
        <ns0:v>46331</ns0:v>
      </ns0:c>
      <ns0:c r="M89" s="10" t="n">
        <ns0:v>46333</ns0:v>
      </ns0:c>
      <ns0:c r="N89" s="7" t="inlineStr">
        <ns0:is>
          <ns0:t>LOT B</ns0:t>
        </ns0:is>
      </ns0:c>
      <ns0:c r="O89" s="11" t="inlineStr">
        <ns0:is>
          <ns0:t>De contractat / desemnat</ns0:t>
        </ns0:is>
      </ns0:c>
      <ns0:c r="P89" s="7" t="inlineStr">
        <ns0:is>
          <ns0:t>Fantasy scurt independent</ns0:t>
        </ns0:is>
      </ns0:c>
      <ns0:c r="Q89" s="7" t="inlineStr">
        <ns0:is>
          <ns0:t>O cultivatoare descoperă prețul hranei dintr-un ținut interzis.</ns0:t>
        </ns0:is>
      </ns0:c>
      <ns0:c r="R89" s="7" t="inlineStr"/>
      <ns0:c r="S89" s="7">
        <ns0:f>COUNTIFS(Editii_300!$B$2:$B$301,A89,Editii_300!$X$2:$X$301,1)</ns0:f>
        <ns0:v>0</ns0:v>
      </ns0:c>
      <ns0:c r="T89" s="7">
        <ns0:f>IF(S89=3,1,0)</ns0:f>
        <ns0:v>0</ns0:v>
      </ns0:c>
    </ns0:row>
    <ns0:row r="90" ht="65" customHeight="1">
      <ns0:c r="A90" s="7" t="inlineStr">
        <ns0:is>
          <ns0:t>DB-089</ns0:t>
        </ns0:is>
      </ns0:c>
      <ns0:c r="B90" s="7" t="inlineStr">
        <ns0:is>
          <ns0:t>MYTHICA</ns0:t>
        </ns0:is>
      </ns0:c>
      <ns0:c r="C90" s="7" t="inlineStr">
        <ns0:is>
          <ns0:t>Tales of the Border Realms</ns0:t>
        </ns0:is>
      </ns0:c>
      <ns0:c r="D90" s="8" t="n">
        <ns0:v>4</ns0:v>
      </ns0:c>
      <ns0:c r="E90" s="7" t="inlineStr">
        <ns0:is>
          <ns0:t>The Last Winter Market</ns0:t>
        </ns0:is>
      </ns0:c>
      <ns0:c r="F90" s="7" t="inlineStr">
        <ns0:is>
          <ns0:t>Nou</ns0:t>
        </ns0:is>
      </ns0:c>
      <ns0:c r="G90" s="7" t="inlineStr">
        <ns0:is>
          <ns0:t>EN</ns0:t>
        </ns0:is>
      </ns0:c>
      <ns0:c r="H90" s="7" t="inlineStr">
        <ns0:is>
          <ns0:t>Concept propus; nescris</ns0:t>
        </ns0:is>
      </ns0:c>
      <ns0:c r="I90" s="9" t="n">
        <ns0:v>40000</ns0:v>
      </ns0:c>
      <ns0:c r="J90" s="10" t="n">
        <ns0:v>46311</ns0:v>
      </ns0:c>
      <ns0:c r="K90" s="10" t="n">
        <ns0:v>46329</ns0:v>
      </ns0:c>
      <ns0:c r="L90" s="10" t="n">
        <ns0:v>46331</ns0:v>
      </ns0:c>
      <ns0:c r="M90" s="10" t="n">
        <ns0:v>46333</ns0:v>
      </ns0:c>
      <ns0:c r="N90" s="7" t="inlineStr">
        <ns0:is>
          <ns0:t>LOT B</ns0:t>
        </ns0:is>
      </ns0:c>
      <ns0:c r="O90" s="11" t="inlineStr">
        <ns0:is>
          <ns0:t>De contractat / desemnat</ns0:t>
        </ns0:is>
      </ns0:c>
      <ns0:c r="P90" s="7" t="inlineStr">
        <ns0:is>
          <ns0:t>Fantasy scurt independent</ns0:t>
        </ns0:is>
      </ns0:c>
      <ns0:c r="Q90" s="7" t="inlineStr">
        <ns0:is>
          <ns0:t>Un negustor trebuie să închidă o datorie înainte de dezgheț.</ns0:t>
        </ns0:is>
      </ns0:c>
      <ns0:c r="R90" s="7" t="inlineStr"/>
      <ns0:c r="S90" s="7">
        <ns0:f>COUNTIFS(Editii_300!$B$2:$B$301,A90,Editii_300!$X$2:$X$301,1)</ns0:f>
        <ns0:v>0</ns0:v>
      </ns0:c>
      <ns0:c r="T90" s="7">
        <ns0:f>IF(S90=3,1,0)</ns0:f>
        <ns0:v>0</ns0:v>
      </ns0:c>
    </ns0:row>
    <ns0:row r="91" ht="65" customHeight="1">
      <ns0:c r="A91" s="7" t="inlineStr">
        <ns0:is>
          <ns0:t>DB-090</ns0:t>
        </ns0:is>
      </ns0:c>
      <ns0:c r="B91" s="7" t="inlineStr">
        <ns0:is>
          <ns0:t>MYTHICA</ns0:t>
        </ns0:is>
      </ns0:c>
      <ns0:c r="C91" s="7" t="inlineStr">
        <ns0:is>
          <ns0:t>Tales of the Border Realms</ns0:t>
        </ns0:is>
      </ns0:c>
      <ns0:c r="D91" s="8" t="n">
        <ns0:v>5</ns0:v>
      </ns0:c>
      <ns0:c r="E91" s="7" t="inlineStr">
        <ns0:is>
          <ns0:t>The Dragon Who Kept the Bridge</ns0:t>
        </ns0:is>
      </ns0:c>
      <ns0:c r="F91" s="7" t="inlineStr">
        <ns0:is>
          <ns0:t>Nou</ns0:t>
        </ns0:is>
      </ns0:c>
      <ns0:c r="G91" s="7" t="inlineStr">
        <ns0:is>
          <ns0:t>EN</ns0:t>
        </ns0:is>
      </ns0:c>
      <ns0:c r="H91" s="7" t="inlineStr">
        <ns0:is>
          <ns0:t>Concept propus; nescris</ns0:t>
        </ns0:is>
      </ns0:c>
      <ns0:c r="I91" s="9" t="n">
        <ns0:v>40000</ns0:v>
      </ns0:c>
      <ns0:c r="J91" s="10" t="n">
        <ns0:v>46311</ns0:v>
      </ns0:c>
      <ns0:c r="K91" s="10" t="n">
        <ns0:v>46329</ns0:v>
      </ns0:c>
      <ns0:c r="L91" s="10" t="n">
        <ns0:v>46331</ns0:v>
      </ns0:c>
      <ns0:c r="M91" s="10" t="n">
        <ns0:v>46333</ns0:v>
      </ns0:c>
      <ns0:c r="N91" s="7" t="inlineStr">
        <ns0:is>
          <ns0:t>LOT B</ns0:t>
        </ns0:is>
      </ns0:c>
      <ns0:c r="O91" s="11" t="inlineStr">
        <ns0:is>
          <ns0:t>De contractat / desemnat</ns0:t>
        </ns0:is>
      </ns0:c>
      <ns0:c r="P91" s="7" t="inlineStr">
        <ns0:is>
          <ns0:t>Fantasy scurt independent</ns0:t>
        </ns0:is>
      </ns0:c>
      <ns0:c r="Q91" s="7" t="inlineStr">
        <ns0:is>
          <ns0:t>Un paznic și un dragon negociază pacea printr-un caz concret.</ns0:t>
        </ns0:is>
      </ns0:c>
      <ns0:c r="R91" s="7" t="inlineStr"/>
      <ns0:c r="S91" s="7">
        <ns0:f>COUNTIFS(Editii_300!$B$2:$B$301,A91,Editii_300!$X$2:$X$301,1)</ns0:f>
        <ns0:v>0</ns0:v>
      </ns0:c>
      <ns0:c r="T91" s="7">
        <ns0:f>IF(S91=3,1,0)</ns0:f>
        <ns0:v>0</ns0:v>
      </ns0:c>
    </ns0:row>
    <ns0:row r="92" ht="65" customHeight="1">
      <ns0:c r="A92" s="7" t="inlineStr">
        <ns0:is>
          <ns0:t>DB-091</ns0:t>
        </ns0:is>
      </ns0:c>
      <ns0:c r="B92" s="7" t="inlineStr">
        <ns0:is>
          <ns0:t>AURORA</ns0:t>
        </ns0:is>
      </ns0:c>
      <ns0:c r="C92" s="7" t="inlineStr">
        <ns0:is>
          <ns0:t>Ciclul Aurora</ns0:t>
        </ns0:is>
      </ns0:c>
      <ns0:c r="D92" s="8" t="n">
        <ns0:v>1</ns0:v>
      </ns0:c>
      <ns0:c r="E92" s="7" t="inlineStr">
        <ns0:is>
          <ns0:t>The First Light</ns0:t>
        </ns0:is>
      </ns0:c>
      <ns0:c r="F92" s="7" t="inlineStr">
        <ns0:is>
          <ns0:t>Fond</ns0:t>
        </ns0:is>
      </ns0:c>
      <ns0:c r="G92" s="7" t="inlineStr">
        <ns0:is>
          <ns0:t>EN</ns0:t>
        </ns0:is>
      </ns0:c>
      <ns0:c r="H92" s="7" t="inlineStr">
        <ns0:is>
          <ns0:t>Manuscris candidat — nevalidat editorial</ns0:t>
        </ns0:is>
      </ns0:c>
      <ns0:c r="I92" s="9" t="n">
        <ns0:v>90000</ns0:v>
      </ns0:c>
      <ns0:c r="J92" s="10" t="n">
        <ns0:v>46305</ns0:v>
      </ns0:c>
      <ns0:c r="K92" s="10" t="n">
        <ns0:v>46315</ns0:v>
      </ns0:c>
      <ns0:c r="L92" s="10" t="n">
        <ns0:v>46317</ns0:v>
      </ns0:c>
      <ns0:c r="M92" s="10" t="n">
        <ns0:v>46319</ns0:v>
      </ns0:c>
      <ns0:c r="N92" s="7" t="inlineStr">
        <ns0:is>
          <ns0:t>FOND EXISTENT</ns0:t>
        </ns0:is>
      </ns0:c>
      <ns0:c r="O92" s="11" t="inlineStr">
        <ns0:is>
          <ns0:t>De contractat / desemnat</ns0:t>
        </ns0:is>
      </ns0:c>
      <ns0:c r="P92" s="7" t="inlineStr">
        <ns0:is>
          <ns0:t>Ficțiune YA / coming-of-age</ns0:t>
        </ns0:is>
      </ns0:c>
      <ns0:c r="Q92" s="7" t="inlineStr">
        <ns0:is>
          <ns0:t>Maya Carter; responsabilitate după un incident digital, arc de zece ani.</ns0:t>
        </ns0:is>
      </ns0:c>
      <ns0:c r="R92" s="7" t="inlineStr">
        <ns0:is>
          <ns0:t>V2 circa 193,8k brute; reducere țintită propusă; metanote de proces în text.</ns0:t>
        </ns0:is>
      </ns0:c>
      <ns0:c r="S92" s="7">
        <ns0:f>COUNTIFS(Editii_300!$B$2:$B$301,A92,Editii_300!$X$2:$X$301,1)</ns0:f>
        <ns0:v>0</ns0:v>
      </ns0:c>
      <ns0:c r="T92" s="7">
        <ns0:f>IF(S92=3,1,0)</ns0:f>
        <ns0:v>0</ns0:v>
      </ns0:c>
    </ns0:row>
    <ns0:row r="93" ht="65" customHeight="1">
      <ns0:c r="A93" s="7" t="inlineStr">
        <ns0:is>
          <ns0:t>DB-092</ns0:t>
        </ns0:is>
      </ns0:c>
      <ns0:c r="B93" s="7" t="inlineStr">
        <ns0:is>
          <ns0:t>AURORA</ns0:t>
        </ns0:is>
      </ns0:c>
      <ns0:c r="C93" s="7" t="inlineStr">
        <ns0:is>
          <ns0:t>Ciclul Aurora</ns0:t>
        </ns0:is>
      </ns0:c>
      <ns0:c r="D93" s="8" t="n">
        <ns0:v>2</ns0:v>
      </ns0:c>
      <ns0:c r="E93" s="7" t="inlineStr">
        <ns0:is>
          <ns0:t>We Meet at Sunrise</ns0:t>
        </ns0:is>
      </ns0:c>
      <ns0:c r="F93" s="7" t="inlineStr">
        <ns0:is>
          <ns0:t>Fond</ns0:t>
        </ns0:is>
      </ns0:c>
      <ns0:c r="G93" s="7" t="inlineStr">
        <ns0:is>
          <ns0:t>EN</ns0:t>
        </ns0:is>
      </ns0:c>
      <ns0:c r="H93" s="7" t="inlineStr">
        <ns0:is>
          <ns0:t>Manuscris candidat — nevalidat editorial</ns0:t>
        </ns0:is>
      </ns0:c>
      <ns0:c r="I93" s="9" t="n">
        <ns0:v>75000</ns0:v>
      </ns0:c>
      <ns0:c r="J93" s="10" t="n">
        <ns0:v>46305</ns0:v>
      </ns0:c>
      <ns0:c r="K93" s="10" t="n">
        <ns0:v>46315</ns0:v>
      </ns0:c>
      <ns0:c r="L93" s="10" t="n">
        <ns0:v>46317</ns0:v>
      </ns0:c>
      <ns0:c r="M93" s="10" t="n">
        <ns0:v>46319</ns0:v>
      </ns0:c>
      <ns0:c r="N93" s="7" t="inlineStr">
        <ns0:is>
          <ns0:t>FOND EXISTENT</ns0:t>
        </ns0:is>
      </ns0:c>
      <ns0:c r="O93" s="11" t="inlineStr">
        <ns0:is>
          <ns0:t>De contractat / desemnat</ns0:t>
        </ns0:is>
      </ns0:c>
      <ns0:c r="P93" s="7" t="inlineStr">
        <ns0:is>
          <ns0:t>Ficțiune YA / coming-of-age</ns0:t>
        </ns0:is>
      </ns0:c>
      <ns0:c r="Q93" s="7" t="inlineStr">
        <ns0:is>
          <ns0:t>Sarah; prietenie, alergare și reconstrucție personală.</ns0:t>
        </ns0:is>
      </ns0:c>
      <ns0:c r="R93" s="7" t="inlineStr">
        <ns0:is>
          <ns0:t>V1 circa 33,7k, V2 circa 86,5k; schimbare majoră, de ales master după lectură comparată.</ns0:t>
        </ns0:is>
      </ns0:c>
      <ns0:c r="S93" s="7">
        <ns0:f>COUNTIFS(Editii_300!$B$2:$B$301,A93,Editii_300!$X$2:$X$301,1)</ns0:f>
        <ns0:v>0</ns0:v>
      </ns0:c>
      <ns0:c r="T93" s="7">
        <ns0:f>IF(S93=3,1,0)</ns0:f>
        <ns0:v>0</ns0:v>
      </ns0:c>
    </ns0:row>
    <ns0:row r="94" ht="65" customHeight="1">
      <ns0:c r="A94" s="7" t="inlineStr">
        <ns0:is>
          <ns0:t>DB-093</ns0:t>
        </ns0:is>
      </ns0:c>
      <ns0:c r="B94" s="7" t="inlineStr">
        <ns0:is>
          <ns0:t>AURORA</ns0:t>
        </ns0:is>
      </ns0:c>
      <ns0:c r="C94" s="7" t="inlineStr">
        <ns0:is>
          <ns0:t>Ciclul Aurora</ns0:t>
        </ns0:is>
      </ns0:c>
      <ns0:c r="D94" s="8" t="n">
        <ns0:v>3</ns0:v>
      </ns0:c>
      <ns0:c r="E94" s="7" t="inlineStr">
        <ns0:is>
          <ns0:t>The Atlas of Tomorrow</ns0:t>
        </ns0:is>
      </ns0:c>
      <ns0:c r="F94" s="7" t="inlineStr">
        <ns0:is>
          <ns0:t>Fond</ns0:t>
        </ns0:is>
      </ns0:c>
      <ns0:c r="G94" s="7" t="inlineStr">
        <ns0:is>
          <ns0:t>EN</ns0:t>
        </ns0:is>
      </ns0:c>
      <ns0:c r="H94" s="7" t="inlineStr">
        <ns0:is>
          <ns0:t>Manuscris candidat — nevalidat editorial</ns0:t>
        </ns0:is>
      </ns0:c>
      <ns0:c r="I94" s="9" t="n">
        <ns0:v>30000</ns0:v>
      </ns0:c>
      <ns0:c r="J94" s="10" t="n">
        <ns0:v>46305</ns0:v>
      </ns0:c>
      <ns0:c r="K94" s="10" t="n">
        <ns0:v>46315</ns0:v>
      </ns0:c>
      <ns0:c r="L94" s="10" t="n">
        <ns0:v>46317</ns0:v>
      </ns0:c>
      <ns0:c r="M94" s="10" t="n">
        <ns0:v>46319</ns0:v>
      </ns0:c>
      <ns0:c r="N94" s="7" t="inlineStr">
        <ns0:is>
          <ns0:t>FOND EXISTENT</ns0:t>
        </ns0:is>
      </ns0:c>
      <ns0:c r="O94" s="11" t="inlineStr">
        <ns0:is>
          <ns0:t>De contractat / desemnat</ns0:t>
        </ns0:is>
      </ns0:c>
      <ns0:c r="P94" s="7" t="inlineStr">
        <ns0:is>
          <ns0:t>Ficțiune YA / coming-of-age</ns0:t>
        </ns0:is>
      </ns0:c>
      <ns0:c r="Q94" s="7" t="inlineStr">
        <ns0:is>
          <ns0:t>În interior: CV for a Dreamer; Lucas și anxietatea carierei.</ns0:t>
        </ns0:is>
      </ns0:c>
      <ns0:c r="R94" s="7" t="inlineStr">
        <ns0:is>
          <ns0:t>Circa 13k, 15 capitole; interior CV for a Dreamer; nu este roman lung.</ns0:t>
        </ns0:is>
      </ns0:c>
      <ns0:c r="S94" s="7">
        <ns0:f>COUNTIFS(Editii_300!$B$2:$B$301,A94,Editii_300!$X$2:$X$301,1)</ns0:f>
        <ns0:v>0</ns0:v>
      </ns0:c>
      <ns0:c r="T94" s="7">
        <ns0:f>IF(S94=3,1,0)</ns0:f>
        <ns0:v>0</ns0:v>
      </ns0:c>
    </ns0:row>
    <ns0:row r="95" ht="65" customHeight="1">
      <ns0:c r="A95" s="7" t="inlineStr">
        <ns0:is>
          <ns0:t>DB-094</ns0:t>
        </ns0:is>
      </ns0:c>
      <ns0:c r="B95" s="7" t="inlineStr">
        <ns0:is>
          <ns0:t>AURORA</ns0:t>
        </ns0:is>
      </ns0:c>
      <ns0:c r="C95" s="7" t="inlineStr">
        <ns0:is>
          <ns0:t>Ciclul Aurora</ns0:t>
        </ns0:is>
      </ns0:c>
      <ns0:c r="D95" s="8" t="n">
        <ns0:v>4</ns0:v>
      </ns0:c>
      <ns0:c r="E95" s="7" t="inlineStr">
        <ns0:is>
          <ns0:t>Between Two Addresses</ns0:t>
        </ns0:is>
      </ns0:c>
      <ns0:c r="F95" s="7" t="inlineStr">
        <ns0:is>
          <ns0:t>Fond</ns0:t>
        </ns0:is>
      </ns0:c>
      <ns0:c r="G95" s="7" t="inlineStr">
        <ns0:is>
          <ns0:t>EN</ns0:t>
        </ns0:is>
      </ns0:c>
      <ns0:c r="H95" s="7" t="inlineStr">
        <ns0:is>
          <ns0:t>Manuscris candidat — nevalidat editorial</ns0:t>
        </ns0:is>
      </ns0:c>
      <ns0:c r="I95" s="9" t="n">
        <ns0:v>28000</ns0:v>
      </ns0:c>
      <ns0:c r="J95" s="10" t="n">
        <ns0:v>46298</ns0:v>
      </ns0:c>
      <ns0:c r="K95" s="10" t="n">
        <ns0:v>46301</ns0:v>
      </ns0:c>
      <ns0:c r="L95" s="10" t="n">
        <ns0:v>46303</ns0:v>
      </ns0:c>
      <ns0:c r="M95" s="10" t="n">
        <ns0:v>46305</ns0:v>
      </ns0:c>
      <ns0:c r="N95" s="7" t="inlineStr">
        <ns0:is>
          <ns0:t>PILOT</ns0:t>
        </ns0:is>
      </ns0:c>
      <ns0:c r="O95" s="11" t="inlineStr">
        <ns0:is>
          <ns0:t>De contractat / desemnat</ns0:t>
        </ns0:is>
      </ns0:c>
      <ns0:c r="P95" s="7" t="inlineStr">
        <ns0:is>
          <ns0:t>Ficțiune YA / coming-of-age</ns0:t>
        </ns0:is>
      </ns0:c>
      <ns0:c r="Q95" s="7" t="inlineStr">
        <ns0:is>
          <ns0:t>Mara Anderson; locuire, comunitate și speranță.</ns0:t>
        </ns0:is>
      </ns0:c>
      <ns0:c r="R95" s="7" t="inlineStr">
        <ns0:is>
          <ns0:t>Text scurt; placeholder-uri în sursă; interiorul de publicare trebuie comparat.</ns0:t>
        </ns0:is>
      </ns0:c>
      <ns0:c r="S95" s="7">
        <ns0:f>COUNTIFS(Editii_300!$B$2:$B$301,A95,Editii_300!$X$2:$X$301,1)</ns0:f>
        <ns0:v>0</ns0:v>
      </ns0:c>
      <ns0:c r="T95" s="7">
        <ns0:f>IF(S95=3,1,0)</ns0:f>
        <ns0:v>0</ns0:v>
      </ns0:c>
    </ns0:row>
    <ns0:row r="96" ht="65" customHeight="1">
      <ns0:c r="A96" s="7" t="inlineStr">
        <ns0:is>
          <ns0:t>DB-095</ns0:t>
        </ns0:is>
      </ns0:c>
      <ns0:c r="B96" s="7" t="inlineStr">
        <ns0:is>
          <ns0:t>AURORA</ns0:t>
        </ns0:is>
      </ns0:c>
      <ns0:c r="C96" s="7" t="inlineStr">
        <ns0:is>
          <ns0:t>Ciclul Aurora</ns0:t>
        </ns0:is>
      </ns0:c>
      <ns0:c r="D96" s="8" t="n">
        <ns0:v>5</ns0:v>
      </ns0:c>
      <ns0:c r="E96" s="7" t="inlineStr">
        <ns0:is>
          <ns0:t>Dawn of Courage</ns0:t>
        </ns0:is>
      </ns0:c>
      <ns0:c r="F96" s="7" t="inlineStr">
        <ns0:is>
          <ns0:t>Fond</ns0:t>
        </ns0:is>
      </ns0:c>
      <ns0:c r="G96" s="7" t="inlineStr">
        <ns0:is>
          <ns0:t>EN</ns0:t>
        </ns0:is>
      </ns0:c>
      <ns0:c r="H96" s="7" t="inlineStr">
        <ns0:is>
          <ns0:t>Manuscris candidat — nevalidat editorial</ns0:t>
        </ns0:is>
      </ns0:c>
      <ns0:c r="I96" s="9" t="n">
        <ns0:v>36000</ns0:v>
      </ns0:c>
      <ns0:c r="J96" s="10" t="n">
        <ns0:v>46305</ns0:v>
      </ns0:c>
      <ns0:c r="K96" s="10" t="n">
        <ns0:v>46315</ns0:v>
      </ns0:c>
      <ns0:c r="L96" s="10" t="n">
        <ns0:v>46317</ns0:v>
      </ns0:c>
      <ns0:c r="M96" s="10" t="n">
        <ns0:v>46319</ns0:v>
      </ns0:c>
      <ns0:c r="N96" s="7" t="inlineStr">
        <ns0:is>
          <ns0:t>FOND EXISTENT</ns0:t>
        </ns0:is>
      </ns0:c>
      <ns0:c r="O96" s="11" t="inlineStr">
        <ns0:is>
          <ns0:t>De contractat / desemnat</ns0:t>
        </ns0:is>
      </ns0:c>
      <ns0:c r="P96" s="7" t="inlineStr">
        <ns0:is>
          <ns0:t>Ficțiune YA / coming-of-age</ns0:t>
        </ns0:is>
      </ns0:c>
      <ns0:c r="Q96" s="7" t="inlineStr">
        <ns0:is>
          <ns0:t>Aurora Bay; curaj și relații personale.</ns0:t>
        </ns0:is>
      </ns0:c>
      <ns0:c r="R96" s="7" t="inlineStr">
        <ns0:is>
          <ns0:t>Sursa indică Volume 1 deși este Book 5 în catalog; metanote AI.</ns0:t>
        </ns0:is>
      </ns0:c>
      <ns0:c r="S96" s="7">
        <ns0:f>COUNTIFS(Editii_300!$B$2:$B$301,A96,Editii_300!$X$2:$X$301,1)</ns0:f>
        <ns0:v>0</ns0:v>
      </ns0:c>
      <ns0:c r="T96" s="7">
        <ns0:f>IF(S96=3,1,0)</ns0:f>
        <ns0:v>0</ns0:v>
      </ns0:c>
    </ns0:row>
    <ns0:row r="97" ht="65" customHeight="1">
      <ns0:c r="A97" s="7" t="inlineStr">
        <ns0:is>
          <ns0:t>DB-096</ns0:t>
        </ns0:is>
      </ns0:c>
      <ns0:c r="B97" s="7" t="inlineStr">
        <ns0:is>
          <ns0:t>AURORA</ns0:t>
        </ns0:is>
      </ns0:c>
      <ns0:c r="C97" s="7" t="inlineStr">
        <ns0:is>
          <ns0:t>Ciclul Aurora</ns0:t>
        </ns0:is>
      </ns0:c>
      <ns0:c r="D97" s="8" t="n">
        <ns0:v>6</ns0:v>
      </ns0:c>
      <ns0:c r="E97" s="7" t="inlineStr">
        <ns0:is>
          <ns0:t>Aurora Verde</ns0:t>
        </ns0:is>
      </ns0:c>
      <ns0:c r="F97" s="7" t="inlineStr">
        <ns0:is>
          <ns0:t>Fond</ns0:t>
        </ns0:is>
      </ns0:c>
      <ns0:c r="G97" s="7" t="inlineStr">
        <ns0:is>
          <ns0:t>EN</ns0:t>
        </ns0:is>
      </ns0:c>
      <ns0:c r="H97" s="7" t="inlineStr">
        <ns0:is>
          <ns0:t>Manuscris candidat — nevalidat editorial</ns0:t>
        </ns0:is>
      </ns0:c>
      <ns0:c r="I97" s="9" t="n">
        <ns0:v>30000</ns0:v>
      </ns0:c>
      <ns0:c r="J97" s="10" t="n">
        <ns0:v>46305</ns0:v>
      </ns0:c>
      <ns0:c r="K97" s="10" t="n">
        <ns0:v>46315</ns0:v>
      </ns0:c>
      <ns0:c r="L97" s="10" t="n">
        <ns0:v>46317</ns0:v>
      </ns0:c>
      <ns0:c r="M97" s="10" t="n">
        <ns0:v>46319</ns0:v>
      </ns0:c>
      <ns0:c r="N97" s="7" t="inlineStr">
        <ns0:is>
          <ns0:t>FOND EXISTENT</ns0:t>
        </ns0:is>
      </ns0:c>
      <ns0:c r="O97" s="11" t="inlineStr">
        <ns0:is>
          <ns0:t>De contractat / desemnat</ns0:t>
        </ns0:is>
      </ns0:c>
      <ns0:c r="P97" s="7" t="inlineStr">
        <ns0:is>
          <ns0:t>Ficțiune YA / coming-of-age</ns0:t>
        </ns0:is>
      </ns0:c>
      <ns0:c r="Q97" s="7" t="inlineStr">
        <ns0:is>
          <ns0:t>Proiect comunitar, spațiu urban și implicare.</ns0:t>
        </ns0:is>
      </ns0:c>
      <ns0:c r="R97" s="7" t="inlineStr">
        <ns0:is>
          <ns0:t>Autorul din interior diferă de propunerea comercială; de separat anexele.</ns0:t>
        </ns0:is>
      </ns0:c>
      <ns0:c r="S97" s="7">
        <ns0:f>COUNTIFS(Editii_300!$B$2:$B$301,A97,Editii_300!$X$2:$X$301,1)</ns0:f>
        <ns0:v>0</ns0:v>
      </ns0:c>
      <ns0:c r="T97" s="7">
        <ns0:f>IF(S97=3,1,0)</ns0:f>
        <ns0:v>0</ns0:v>
      </ns0:c>
    </ns0:row>
    <ns0:row r="98" ht="65" customHeight="1">
      <ns0:c r="A98" s="7" t="inlineStr">
        <ns0:is>
          <ns0:t>DB-097</ns0:t>
        </ns0:is>
      </ns0:c>
      <ns0:c r="B98" s="7" t="inlineStr">
        <ns0:is>
          <ns0:t>AURORA</ns0:t>
        </ns0:is>
      </ns0:c>
      <ns0:c r="C98" s="7" t="inlineStr">
        <ns0:is>
          <ns0:t>Ciclul Aurora</ns0:t>
        </ns0:is>
      </ns0:c>
      <ns0:c r="D98" s="8" t="n">
        <ns0:v>7</ns0:v>
      </ns0:c>
      <ns0:c r="E98" s="7" t="inlineStr">
        <ns0:is>
          <ns0:t>We, After the Feed</ns0:t>
        </ns0:is>
      </ns0:c>
      <ns0:c r="F98" s="7" t="inlineStr">
        <ns0:is>
          <ns0:t>Fond</ns0:t>
        </ns0:is>
      </ns0:c>
      <ns0:c r="G98" s="7" t="inlineStr">
        <ns0:is>
          <ns0:t>EN</ns0:t>
        </ns0:is>
      </ns0:c>
      <ns0:c r="H98" s="7" t="inlineStr">
        <ns0:is>
          <ns0:t>Manuscris candidat — nevalidat editorial</ns0:t>
        </ns0:is>
      </ns0:c>
      <ns0:c r="I98" s="9" t="n">
        <ns0:v>25000</ns0:v>
      </ns0:c>
      <ns0:c r="J98" s="10" t="n">
        <ns0:v>46305</ns0:v>
      </ns0:c>
      <ns0:c r="K98" s="10" t="n">
        <ns0:v>46315</ns0:v>
      </ns0:c>
      <ns0:c r="L98" s="10" t="n">
        <ns0:v>46317</ns0:v>
      </ns0:c>
      <ns0:c r="M98" s="10" t="n">
        <ns0:v>46319</ns0:v>
      </ns0:c>
      <ns0:c r="N98" s="7" t="inlineStr">
        <ns0:is>
          <ns0:t>FOND EXISTENT</ns0:t>
        </ns0:is>
      </ns0:c>
      <ns0:c r="O98" s="11" t="inlineStr">
        <ns0:is>
          <ns0:t>De contractat / desemnat</ns0:t>
        </ns0:is>
      </ns0:c>
      <ns0:c r="P98" s="7" t="inlineStr">
        <ns0:is>
          <ns0:t>Ficțiune YA / coming-of-age</ns0:t>
        </ns0:is>
      </ns0:c>
      <ns0:c r="Q98" s="7" t="inlineStr">
        <ns0:is>
          <ns0:t>Mara Collins; viața dincolo de validarea digitală.</ns0:t>
        </ns0:is>
      </ns0:c>
      <ns0:c r="R98" s="7" t="inlineStr">
        <ns0:is>
          <ns0:t>Juliette Moreau în sursă versus Ava Peterson &amp; Blake Jacobs pe site; pseudonim de validat.</ns0:t>
        </ns0:is>
      </ns0:c>
      <ns0:c r="S98" s="7">
        <ns0:f>COUNTIFS(Editii_300!$B$2:$B$301,A98,Editii_300!$X$2:$X$301,1)</ns0:f>
        <ns0:v>0</ns0:v>
      </ns0:c>
      <ns0:c r="T98" s="7">
        <ns0:f>IF(S98=3,1,0)</ns0:f>
        <ns0:v>0</ns0:v>
      </ns0:c>
    </ns0:row>
    <ns0:row r="99" ht="65" customHeight="1">
      <ns0:c r="A99" s="7" t="inlineStr">
        <ns0:is>
          <ns0:t>DB-098</ns0:t>
        </ns0:is>
      </ns0:c>
      <ns0:c r="B99" s="7" t="inlineStr">
        <ns0:is>
          <ns0:t>AURORA</ns0:t>
        </ns0:is>
      </ns0:c>
      <ns0:c r="C99" s="7" t="inlineStr">
        <ns0:is>
          <ns0:t>Ciclul Aurora</ns0:t>
        </ns0:is>
      </ns0:c>
      <ns0:c r="D99" s="8" t="n">
        <ns0:v>8</ns0:v>
      </ns0:c>
      <ns0:c r="E99" s="7" t="inlineStr">
        <ns0:is>
          <ns0:t>Aurora Admit</ns0:t>
        </ns0:is>
      </ns0:c>
      <ns0:c r="F99" s="7" t="inlineStr">
        <ns0:is>
          <ns0:t>Fond</ns0:t>
        </ns0:is>
      </ns0:c>
      <ns0:c r="G99" s="7" t="inlineStr">
        <ns0:is>
          <ns0:t>EN</ns0:t>
        </ns0:is>
      </ns0:c>
      <ns0:c r="H99" s="7" t="inlineStr">
        <ns0:is>
          <ns0:t>Manuscris candidat — nevalidat editorial</ns0:t>
        </ns0:is>
      </ns0:c>
      <ns0:c r="I99" s="9" t="n">
        <ns0:v>30000</ns0:v>
      </ns0:c>
      <ns0:c r="J99" s="10" t="n">
        <ns0:v>46305</ns0:v>
      </ns0:c>
      <ns0:c r="K99" s="10" t="n">
        <ns0:v>46315</ns0:v>
      </ns0:c>
      <ns0:c r="L99" s="10" t="n">
        <ns0:v>46317</ns0:v>
      </ns0:c>
      <ns0:c r="M99" s="10" t="n">
        <ns0:v>46319</ns0:v>
      </ns0:c>
      <ns0:c r="N99" s="7" t="inlineStr">
        <ns0:is>
          <ns0:t>FOND EXISTENT</ns0:t>
        </ns0:is>
      </ns0:c>
      <ns0:c r="O99" s="11" t="inlineStr">
        <ns0:is>
          <ns0:t>De contractat / desemnat</ns0:t>
        </ns0:is>
      </ns0:c>
      <ns0:c r="P99" s="7" t="inlineStr">
        <ns0:is>
          <ns0:t>Ficțiune YA / coming-of-age</ns0:t>
        </ns0:is>
      </ns0:c>
      <ns0:c r="Q99" s="7" t="inlineStr">
        <ns0:is>
          <ns0:t>Acces la studii, costuri și alegeri de viitor.</ns0:t>
        </ns0:is>
      </ns0:c>
      <ns0:c r="R99" s="7" t="inlineStr">
        <ns0:is>
          <ns0:t>Fișierul include instrucțiuni pentru design și placeholder art director.</ns0:t>
        </ns0:is>
      </ns0:c>
      <ns0:c r="S99" s="7">
        <ns0:f>COUNTIFS(Editii_300!$B$2:$B$301,A99,Editii_300!$X$2:$X$301,1)</ns0:f>
        <ns0:v>0</ns0:v>
      </ns0:c>
      <ns0:c r="T99" s="7">
        <ns0:f>IF(S99=3,1,0)</ns0:f>
        <ns0:v>0</ns0:v>
      </ns0:c>
    </ns0:row>
    <ns0:row r="100" ht="65" customHeight="1">
      <ns0:c r="A100" s="7" t="inlineStr">
        <ns0:is>
          <ns0:t>DB-099</ns0:t>
        </ns0:is>
      </ns0:c>
      <ns0:c r="B100" s="7" t="inlineStr">
        <ns0:is>
          <ns0:t>AURORA</ns0:t>
        </ns0:is>
      </ns0:c>
      <ns0:c r="C100" s="7" t="inlineStr">
        <ns0:is>
          <ns0:t>Ciclul Aurora</ns0:t>
        </ns0:is>
      </ns0:c>
      <ns0:c r="D100" s="8" t="n">
        <ns0:v>9</ns0:v>
      </ns0:c>
      <ns0:c r="E100" s="7" t="inlineStr">
        <ns0:is>
          <ns0:t>Aurora Signal</ns0:t>
        </ns0:is>
      </ns0:c>
      <ns0:c r="F100" s="7" t="inlineStr">
        <ns0:is>
          <ns0:t>Fond</ns0:t>
        </ns0:is>
      </ns0:c>
      <ns0:c r="G100" s="7" t="inlineStr">
        <ns0:is>
          <ns0:t>EN</ns0:t>
        </ns0:is>
      </ns0:c>
      <ns0:c r="H100" s="7" t="inlineStr">
        <ns0:is>
          <ns0:t>Incomplet — de scris cap.7–20</ns0:t>
        </ns0:is>
      </ns0:c>
      <ns0:c r="I100" s="9" t="n">
        <ns0:v>45000</ns0:v>
      </ns0:c>
      <ns0:c r="J100" s="10" t="n">
        <ns0:v>46305</ns0:v>
      </ns0:c>
      <ns0:c r="K100" s="10" t="n">
        <ns0:v>46315</ns0:v>
      </ns0:c>
      <ns0:c r="L100" s="10" t="n">
        <ns0:v>46317</ns0:v>
      </ns0:c>
      <ns0:c r="M100" s="10" t="n">
        <ns0:v>46319</ns0:v>
      </ns0:c>
      <ns0:c r="N100" s="7" t="inlineStr">
        <ns0:is>
          <ns0:t>FOND EXISTENT</ns0:t>
        </ns0:is>
      </ns0:c>
      <ns0:c r="O100" s="11" t="inlineStr">
        <ns0:is>
          <ns0:t>De contractat / desemnat</ns0:t>
        </ns0:is>
      </ns0:c>
      <ns0:c r="P100" s="7" t="inlineStr">
        <ns0:is>
          <ns0:t>Ficțiune YA / coming-of-age</ns0:t>
        </ns0:is>
      </ns0:c>
      <ns0:c r="Q100" s="7" t="inlineStr">
        <ns0:is>
          <ns0:t>Jade Miller; deepfake și adevăr; capitolele 7–20 sunt sinopsis.</ns0:t>
        </ns0:is>
      </ns0:c>
      <ns0:c r="R100" s="7" t="inlineStr">
        <ns0:is>
          <ns0:t>36,3k brute includ plan/anexe; numai cap.1–6 proză, interior separat circa 21,8k.</ns0:t>
        </ns0:is>
      </ns0:c>
      <ns0:c r="S100" s="7">
        <ns0:f>COUNTIFS(Editii_300!$B$2:$B$301,A100,Editii_300!$X$2:$X$301,1)</ns0:f>
        <ns0:v>0</ns0:v>
      </ns0:c>
      <ns0:c r="T100" s="7">
        <ns0:f>IF(S100=3,1,0)</ns0:f>
        <ns0:v>0</ns0:v>
      </ns0:c>
    </ns0:row>
    <ns0:row r="101" ht="65" customHeight="1">
      <ns0:c r="A101" s="7" t="inlineStr">
        <ns0:is>
          <ns0:t>DB-100</ns0:t>
        </ns0:is>
      </ns0:c>
      <ns0:c r="B101" s="7" t="inlineStr">
        <ns0:is>
          <ns0:t>AURORA</ns0:t>
        </ns0:is>
      </ns0:c>
      <ns0:c r="C101" s="7" t="inlineStr">
        <ns0:is>
          <ns0:t>Ciclul Aurora</ns0:t>
        </ns0:is>
      </ns0:c>
      <ns0:c r="D101" s="8" t="n">
        <ns0:v>10</ns0:v>
      </ns0:c>
      <ns0:c r="E101" s="7" t="inlineStr">
        <ns0:is>
          <ns0:t>Aurora Compass</ns0:t>
        </ns0:is>
      </ns0:c>
      <ns0:c r="F101" s="7" t="inlineStr">
        <ns0:is>
          <ns0:t>Fond</ns0:t>
        </ns0:is>
      </ns0:c>
      <ns0:c r="G101" s="7" t="inlineStr">
        <ns0:is>
          <ns0:t>EN</ns0:t>
        </ns0:is>
      </ns0:c>
      <ns0:c r="H101" s="7" t="inlineStr">
        <ns0:is>
          <ns0:t>Manuscris candidat — nevalidat editorial</ns0:t>
        </ns0:is>
      </ns0:c>
      <ns0:c r="I101" s="9" t="n">
        <ns0:v>30000</ns0:v>
      </ns0:c>
      <ns0:c r="J101" s="10" t="n">
        <ns0:v>46305</ns0:v>
      </ns0:c>
      <ns0:c r="K101" s="10" t="n">
        <ns0:v>46315</ns0:v>
      </ns0:c>
      <ns0:c r="L101" s="10" t="n">
        <ns0:v>46317</ns0:v>
      </ns0:c>
      <ns0:c r="M101" s="10" t="n">
        <ns0:v>46319</ns0:v>
      </ns0:c>
      <ns0:c r="N101" s="7" t="inlineStr">
        <ns0:is>
          <ns0:t>FOND EXISTENT</ns0:t>
        </ns0:is>
      </ns0:c>
      <ns0:c r="O101" s="11" t="inlineStr">
        <ns0:is>
          <ns0:t>De contractat / desemnat</ns0:t>
        </ns0:is>
      </ns0:c>
      <ns0:c r="P101" s="7" t="inlineStr">
        <ns0:is>
          <ns0:t>Ficțiune YA / coming-of-age</ns0:t>
        </ns0:is>
      </ns0:c>
      <ns0:c r="Q101" s="7" t="inlineStr">
        <ns0:is>
          <ns0:t>Mia Okafor; Londra, patrimoniu, implicare și sens.</ns0:t>
        </ns0:is>
      </ns0:c>
      <ns0:c r="R101" s="7" t="inlineStr">
        <ns0:is>
          <ns0:t>Autor generic în sursă versus pseudonim comercial; metanote REVISED.</ns0:t>
        </ns0:is>
      </ns0:c>
      <ns0:c r="S101" s="7">
        <ns0:f>COUNTIFS(Editii_300!$B$2:$B$301,A101,Editii_300!$X$2:$X$301,1)</ns0:f>
        <ns0:v>0</ns0:v>
      </ns0:c>
      <ns0:c r="T101" s="7">
        <ns0:f>IF(S101=3,1,0)</ns0:f>
        <ns0:v>0</ns0:v>
      </ns0:c>
    </ns0:row>
  </ns0:sheetData>
  <ns0:conditionalFormatting sqref="S2:S101">
    <ns0:cfRule type="colorScale" priority="1">
      <ns0:colorScale>
        <ns0:cfvo type="num" val="0"/>
        <ns0:cfvo type="num" val="3"/>
        <ns0:color rgb="00FFF2CC"/>
        <ns0:color rgb="00C6EFCE"/>
      </ns0:colorScale>
    </ns0:cfRule>
  </ns0:conditionalFormatting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18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3" customWidth="1" min="1" max="1"/>
    <ns0:col width="13" customWidth="1" min="2" max="2"/>
    <ns0:col width="26" customWidth="1" min="3" max="3"/>
    <ns0:col width="38" customWidth="1" min="4" max="4"/>
    <ns0:col width="12" customWidth="1" min="5" max="5"/>
    <ns0:col width="22" customWidth="1" min="6" max="6"/>
    <ns0:col width="16" customWidth="1" min="7" max="7"/>
    <ns0:col width="16" customWidth="1" min="8" max="8"/>
    <ns0:col width="38" customWidth="1" min="9" max="9"/>
    <ns0:col width="85" customWidth="1" min="10" max="10"/>
    <ns0:col width="95" customWidth="1" min="11" max="11"/>
    <ns0:col width="72" customWidth="1" min="12" max="12"/>
    <ns0:col width="30" customWidth="1" min="13" max="13"/>
  </ns0:cols>
  <ns0:sheetData>
    <ns0:row r="1" ht="36" customHeight="1">
      <ns0:c r="A1" s="6" t="inlineStr">
        <ns0:is>
          <ns0:t>WorkID</ns0:t>
        </ns0:is>
      </ns0:c>
      <ns0:c r="B1" s="6" t="inlineStr">
        <ns0:is>
          <ns0:t>Colecție</ns0:t>
        </ns0:is>
      </ns0:c>
      <ns0:c r="C1" s="6" t="inlineStr">
        <ns0:is>
          <ns0:t>Saga</ns0:t>
        </ns0:is>
      </ns0:c>
      <ns0:c r="D1" s="6" t="inlineStr">
        <ns0:is>
          <ns0:t>Titlu</ns0:t>
        </ns0:is>
      </ns0:c>
      <ns0:c r="E1" s="6" t="inlineStr">
        <ns0:is>
          <ns0:t>Limbă sursă</ns0:t>
        </ns0:is>
      </ns0:c>
      <ns0:c r="F1" s="6" t="inlineStr">
        <ns0:is>
          <ns0:t>Versiuni</ns0:t>
        </ns0:is>
      </ns0:c>
      <ns0:c r="G1" s="6" t="inlineStr">
        <ns0:is>
          <ns0:t>Cuvinte brute</ns0:t>
        </ns0:is>
      </ns0:c>
      <ns0:c r="H1" s="6" t="inlineStr">
        <ns0:is>
          <ns0:t>Țintă editată</ns0:t>
        </ns0:is>
      </ns0:c>
      <ns0:c r="I1" s="6" t="inlineStr">
        <ns0:is>
          <ns0:t>Stare de audit</ns0:t>
        </ns0:is>
      </ns0:c>
      <ns0:c r="J1" s="6" t="inlineStr">
        <ns0:is>
          <ns0:t>Corecția necesară</ns0:t>
        </ns0:is>
      </ns0:c>
      <ns0:c r="K1" s="6" t="inlineStr">
        <ns0:is>
          <ns0:t>Master candidat — cale</ns0:t>
        </ns0:is>
      </ns0:c>
      <ns0:c r="L1" s="6" t="inlineStr">
        <ns0:is>
          <ns0:t>SHA256 sursă</ns0:t>
        </ns0:is>
      </ns0:c>
      <ns0:c r="M1" s="6" t="inlineStr">
        <ns0:is>
          <ns0:t>Publicare dovedită</ns0:t>
        </ns0:is>
      </ns0:c>
    </ns0:row>
    <ns0:row r="2" ht="80" customHeight="1">
      <ns0:c r="A2" s="7" t="inlineStr">
        <ns0:is>
          <ns0:t>DB-001</ns0:t>
        </ns0:is>
      </ns0:c>
      <ns0:c r="B2" s="7" t="inlineStr">
        <ns0:is>
          <ns0:t>NOIR</ns0:t>
        </ns0:is>
      </ns0:c>
      <ns0:c r="C2" s="7" t="inlineStr">
        <ns0:is>
          <ns0:t>Cronicile Transilvaniei</ns0:t>
        </ns0:is>
      </ns0:c>
      <ns0:c r="D2" s="7" t="inlineStr">
        <ns0:is>
          <ns0:t>Umbra Trandafirului Negru</ns0:t>
        </ns0:is>
      </ns0:c>
      <ns0:c r="E2" s="7" t="inlineStr">
        <ns0:is>
          <ns0:t>RO</ns0:t>
        </ns0:is>
      </ns0:c>
      <ns0:c r="F2" s="7" t="inlineStr">
        <ns0:is>
          <ns0:t>V1–V5</ns0:t>
        </ns0:is>
      </ns0:c>
      <ns0:c r="G2" s="8" t="n">
        <ns0:v>61721</ns0:v>
      </ns0:c>
      <ns0:c r="H2" s="8" t="n">
        <ns0:v>60000</ns0:v>
      </ns0:c>
      <ns0:c r="I2" s="7" t="inlineStr">
        <ns0:is>
          <ns0:t>Manuscris candidat — nevalidat editorial</ns0:t>
        </ns0:is>
      </ns0:c>
      <ns0:c r="J2" s="7" t="inlineStr">
        <ns0:is>
          <ns0:t>Materiale de lucru și profiluri înaintea romanului; cronologie de corelat cu site-ul.</ns0:t>
        </ns0:is>
      </ns0:c>
      <ns0:c r="K2" s="12" t="inlineStr">
        <ns0:is>
          <ns0:t>D:\00. Downloads\Dracula Book\NOIR SERIES\Umbra Trandafirului Negru Devin.ai\Versiunea 5\MANUSCRIS_COMPLET V5.docx</ns0:t>
        </ns0:is>
      </ns0:c>
      <ns0:c r="L2" s="7" t="inlineStr">
        <ns0:is>
          <ns0:t>0175226a7f5f95264bfe9525582c33ac2acc9e13a6cbf9cb513ab2a57a5ab7d7</ns0:t>
        </ns0:is>
      </ns0:c>
      <ns0:c r="M2" s="7" t="inlineStr">
        <ns0:is>
          <ns0:t>Nu în materialele verificate</ns0:t>
        </ns0:is>
      </ns0:c>
    </ns0:row>
    <ns0:row r="3" ht="80" customHeight="1">
      <ns0:c r="A3" s="7" t="inlineStr">
        <ns0:is>
          <ns0:t>DB-002</ns0:t>
        </ns0:is>
      </ns0:c>
      <ns0:c r="B3" s="7" t="inlineStr">
        <ns0:is>
          <ns0:t>NOIR</ns0:t>
        </ns0:is>
      </ns0:c>
      <ns0:c r="C3" s="7" t="inlineStr">
        <ns0:is>
          <ns0:t>Cronicile Transilvaniei</ns0:t>
        </ns0:is>
      </ns0:c>
      <ns0:c r="D3" s="7" t="inlineStr">
        <ns0:is>
          <ns0:t>Marienburg: Sigiliul Fecioarei</ns0:t>
        </ns0:is>
      </ns0:c>
      <ns0:c r="E3" s="7" t="inlineStr">
        <ns0:is>
          <ns0:t>RO</ns0:t>
        </ns0:is>
      </ns0:c>
      <ns0:c r="F3" s="7" t="inlineStr">
        <ns0:is>
          <ns0:t>V1–V5</ns0:t>
        </ns0:is>
      </ns0:c>
      <ns0:c r="G3" s="8" t="n">
        <ns0:v>76842</ns0:v>
      </ns0:c>
      <ns0:c r="H3" s="8" t="n">
        <ns0:v>70000</ns0:v>
      </ns0:c>
      <ns0:c r="I3" s="7" t="inlineStr">
        <ns0:is>
          <ns0:t>Manuscris candidat — nevalidat editorial</ns0:t>
        </ns0:is>
      </ns0:c>
      <ns0:c r="J3" s="7" t="inlineStr">
        <ns0:is>
          <ns0:t>Circa 76,8k cuvinte brute, nu 85–95k confirmate; marcaje și epoci de verificat.</ns0:t>
        </ns0:is>
      </ns0:c>
      <ns0:c r="K3" s="12" t="inlineStr">
        <ns0:is>
          <ns0:t>D:\00. Downloads\Dracula Book\NOIR SERIES\Marienburg Sigiliul Fecioarei\Versiunea 5\MARIENBURG-SIGILIUL-FECIOAREI-Draft5-Clean.docx</ns0:t>
        </ns0:is>
      </ns0:c>
      <ns0:c r="L3" s="7" t="inlineStr">
        <ns0:is>
          <ns0:t>84ecf1904fb16685c682131c7e526a27dab96526401908da60d4d36f4186ba80</ns0:t>
        </ns0:is>
      </ns0:c>
      <ns0:c r="M3" s="7" t="inlineStr">
        <ns0:is>
          <ns0:t>Nu în materialele verificate</ns0:t>
        </ns0:is>
      </ns0:c>
    </ns0:row>
    <ns0:row r="4" ht="80" customHeight="1">
      <ns0:c r="A4" s="7" t="inlineStr">
        <ns0:is>
          <ns0:t>DB-003</ns0:t>
        </ns0:is>
      </ns0:c>
      <ns0:c r="B4" s="7" t="inlineStr">
        <ns0:is>
          <ns0:t>NOIR</ns0:t>
        </ns0:is>
      </ns0:c>
      <ns0:c r="C4" s="7" t="inlineStr">
        <ns0:is>
          <ns0:t>Cronicile Transilvaniei</ns0:t>
        </ns0:is>
      </ns0:c>
      <ns0:c r="D4" s="7" t="inlineStr">
        <ns0:is>
          <ns0:t>Sânge și Sare la Schäßburg</ns0:t>
        </ns0:is>
      </ns0:c>
      <ns0:c r="E4" s="7" t="inlineStr">
        <ns0:is>
          <ns0:t>RO</ns0:t>
        </ns0:is>
      </ns0:c>
      <ns0:c r="F4" s="7" t="inlineStr">
        <ns0:is>
          <ns0:t>V1</ns0:t>
        </ns0:is>
      </ns0:c>
      <ns0:c r="G4" s="8" t="n">
        <ns0:v>95457</ns0:v>
      </ns0:c>
      <ns0:c r="H4" s="8" t="n">
        <ns0:v>80000</ns0:v>
      </ns0:c>
      <ns0:c r="I4" s="7" t="inlineStr">
        <ns0:is>
          <ns0:t>Manuscris candidat — nevalidat editorial</ns0:t>
        </ns0:is>
      </ns0:c>
      <ns0:c r="J4" s="7" t="inlineStr">
        <ns0:is>
          <ns0:t>Titlul interior diferă de copertă/site; prefată de proces AI și note de eliminat.</ns0:t>
        </ns0:is>
      </ns0:c>
      <ns0:c r="K4" s="12" t="inlineStr">
        <ns0:is>
          <ns0:t>D:\00. Downloads\Dracula Book\NOIR SERIES\Sânge și Sare la Schäßburg\Versiunea 1\CIVITAS_SEX_LEGAMANTUL_DE_SARE.docx</ns0:t>
        </ns0:is>
      </ns0:c>
      <ns0:c r="L4" s="7" t="inlineStr">
        <ns0:is>
          <ns0:t>46bba731100a53b08d5e358a8387aac78213609412b57560206734b8301b2137</ns0:t>
        </ns0:is>
      </ns0:c>
      <ns0:c r="M4" s="7" t="inlineStr">
        <ns0:is>
          <ns0:t>Nu în materialele verificate</ns0:t>
        </ns0:is>
      </ns0:c>
    </ns0:row>
    <ns0:row r="5" ht="80" customHeight="1">
      <ns0:c r="A5" s="7" t="inlineStr">
        <ns0:is>
          <ns0:t>DB-036</ns0:t>
        </ns0:is>
      </ns0:c>
      <ns0:c r="B5" s="7" t="inlineStr">
        <ns0:is>
          <ns0:t>AMORIS</ns0:t>
        </ns0:is>
      </ns0:c>
      <ns0:c r="C5" s="7" t="inlineStr">
        <ns0:is>
          <ns0:t>Alex Damian</ns0:t>
        </ns0:is>
      </ns0:c>
      <ns0:c r="D5" s="7" t="inlineStr">
        <ns0:is>
          <ns0:t>Beneath the Skin of the Sea</ns0:t>
        </ns0:is>
      </ns0:c>
      <ns0:c r="E5" s="7" t="inlineStr">
        <ns0:is>
          <ns0:t>EN</ns0:t>
        </ns0:is>
      </ns0:c>
      <ns0:c r="F5" s="7" t="inlineStr">
        <ns0:is>
          <ns0:t>V1</ns0:t>
        </ns0:is>
      </ns0:c>
      <ns0:c r="G5" s="8" t="n">
        <ns0:v>80329</ns0:v>
      </ns0:c>
      <ns0:c r="H5" s="8" t="n">
        <ns0:v>80000</ns0:v>
      </ns0:c>
      <ns0:c r="I5" s="7" t="inlineStr">
        <ns0:is>
          <ns0:t>Manuscris candidat — nevalidat editorial</ns0:t>
        </ns0:is>
      </ns0:c>
      <ns0:c r="J5" s="7" t="inlineStr">
        <ns0:is>
          <ns0:t>Raportul intern de 9,87/10 nu dovedește recenzie independentă sau publicare.</ns0:t>
        </ns0:is>
      </ns0:c>
      <ns0:c r="K5" s="12" t="inlineStr">
        <ns0:is>
          <ns0:t>D:\00. Downloads\Dracula Book\AMORIS SERIES\BENEATH THE SKIN OF THE SEA\Versiunea 1\BENEATH_THE_SKIN_OF_THE_SEA_Complete_Novel.docx</ns0:t>
        </ns0:is>
      </ns0:c>
      <ns0:c r="L5" s="7" t="inlineStr">
        <ns0:is>
          <ns0:t>4ebf04663fb5ee0ac9c0aa0ef26bd2d8c8222d95db93d16cbb372b7f8e7bf44c</ns0:t>
        </ns0:is>
      </ns0:c>
      <ns0:c r="M5" s="7" t="inlineStr">
        <ns0:is>
          <ns0:t>Nu în materialele verificate</ns0:t>
        </ns0:is>
      </ns0:c>
    </ns0:row>
    <ns0:row r="6" ht="80" customHeight="1">
      <ns0:c r="A6" s="7" t="inlineStr">
        <ns0:is>
          <ns0:t>DB-037</ns0:t>
        </ns0:is>
      </ns0:c>
      <ns0:c r="B6" s="7" t="inlineStr">
        <ns0:is>
          <ns0:t>AMORIS</ns0:t>
        </ns0:is>
      </ns0:c>
      <ns0:c r="C6" s="7" t="inlineStr">
        <ns0:is>
          <ns0:t>Alex Damian</ns0:t>
        </ns0:is>
      </ns0:c>
      <ns0:c r="D6" s="7" t="inlineStr">
        <ns0:is>
          <ns0:t>Shadows in the Port</ns0:t>
        </ns0:is>
      </ns0:c>
      <ns0:c r="E6" s="7" t="inlineStr">
        <ns0:is>
          <ns0:t>EN</ns0:t>
        </ns0:is>
      </ns0:c>
      <ns0:c r="F6" s="7" t="inlineStr">
        <ns0:is>
          <ns0:t>V1</ns0:t>
        </ns0:is>
      </ns0:c>
      <ns0:c r="G6" s="8" t="n">
        <ns0:v>109258</ns0:v>
      </ns0:c>
      <ns0:c r="H6" s="8" t="n">
        <ns0:v>90000</ns0:v>
      </ns0:c>
      <ns0:c r="I6" s="7" t="inlineStr">
        <ns0:is>
          <ns0:t>Manuscris candidat — nevalidat editorial</ns0:t>
        </ns0:is>
      </ns0:c>
      <ns0:c r="J6" s="7" t="inlineStr">
        <ns0:is>
          <ns0:t>Alex/Elena și început apropiat de Beneath; verificare sequel vs rescriere; heading 5 neidentificat.</ns0:t>
        </ns0:is>
      </ns0:c>
      <ns0:c r="K6" s="12" t="inlineStr">
        <ns0:is>
          <ns0:t>D:\00. Downloads\Dracula Book\AMORIS SERIES\Shadows in the Port\Versiunea 1\Shadows in the Port V1.docx</ns0:t>
        </ns0:is>
      </ns0:c>
      <ns0:c r="L6" s="7" t="inlineStr">
        <ns0:is>
          <ns0:t>3f5fc3d81f584d23e7d029e90ebe2d40f7b25c5a24dfa78a81f0c2ff58e11b47</ns0:t>
        </ns0:is>
      </ns0:c>
      <ns0:c r="M6" s="7" t="inlineStr">
        <ns0:is>
          <ns0:t>Nu în materialele verificate</ns0:t>
        </ns0:is>
      </ns0:c>
    </ns0:row>
    <ns0:row r="7" ht="80" customHeight="1">
      <ns0:c r="A7" s="7" t="inlineStr">
        <ns0:is>
          <ns0:t>DB-046</ns0:t>
        </ns0:is>
      </ns0:c>
      <ns0:c r="B7" s="7" t="inlineStr">
        <ns0:is>
          <ns0:t>AMORIS</ns0:t>
        </ns0:is>
      </ns0:c>
      <ns0:c r="C7" s="7" t="inlineStr">
        <ns0:is>
          <ns0:t>Isabella Morgan / Rue des Âmes</ns0:t>
        </ns0:is>
      </ns0:c>
      <ns0:c r="D7" s="7" t="inlineStr">
        <ns0:is>
          <ns0:t>Hotelul din Rue des Âmes</ns0:t>
        </ns0:is>
      </ns0:c>
      <ns0:c r="E7" s="7" t="inlineStr">
        <ns0:is>
          <ns0:t>EN</ns0:t>
        </ns0:is>
      </ns0:c>
      <ns0:c r="F7" s="7" t="inlineStr">
        <ns0:is>
          <ns0:t>V2 validă</ns0:t>
        </ns0:is>
      </ns0:c>
      <ns0:c r="G7" s="8" t="n">
        <ns0:v>96056</ns0:v>
      </ns0:c>
      <ns0:c r="H7" s="8" t="n">
        <ns0:v>85000</ns0:v>
      </ns0:c>
      <ns0:c r="I7" s="7" t="inlineStr">
        <ns0:is>
          <ns0:t>Manuscris candidat — nevalidat editorial</ns0:t>
        </ns0:is>
      </ns0:c>
      <ns0:c r="J7" s="7" t="inlineStr">
        <ns0:is>
          <ns0:t>Folderul V1 conține copie identică a Aurora 1; heading CHAPTER 11 neidentificat; nu se deduce automat lipsa prozei.</ns0:t>
        </ns0:is>
      </ns0:c>
      <ns0:c r="K7" s="12" t="inlineStr">
        <ns0:is>
          <ns0:t>D:\00. Downloads\Dracula Book\AMORIS SERIES\Hotelul din Rue des Âmes\Versiunea 2\Hotelul_din_Rue_des_Ames_FINAL_v2.docx</ns0:t>
        </ns0:is>
      </ns0:c>
      <ns0:c r="L7" s="7" t="inlineStr">
        <ns0:is>
          <ns0:t>a9940d5776380cb40b105429f6976219440f3ea74fb8ebc1d1b4481e9da068c3</ns0:t>
        </ns0:is>
      </ns0:c>
      <ns0:c r="M7" s="7" t="inlineStr">
        <ns0:is>
          <ns0:t>Nu în materialele verificate</ns0:t>
        </ns0:is>
      </ns0:c>
    </ns0:row>
    <ns0:row r="8" ht="80" customHeight="1">
      <ns0:c r="A8" s="7" t="inlineStr">
        <ns0:is>
          <ns0:t>DB-071</ns0:t>
        </ns0:is>
      </ns0:c>
      <ns0:c r="B8" s="7" t="inlineStr">
        <ns0:is>
          <ns0:t>MYTHICA</ns0:t>
        </ns0:is>
      </ns0:c>
      <ns0:c r="C8" s="7" t="inlineStr">
        <ns0:is>
          <ns0:t>Saga Celor Zece Coroane</ns0:t>
        </ns0:is>
      </ns0:c>
      <ns0:c r="D8" s="7" t="inlineStr">
        <ns0:is>
          <ns0:t>The Northern Crown</ns0:t>
        </ns0:is>
      </ns0:c>
      <ns0:c r="E8" s="7" t="inlineStr">
        <ns0:is>
          <ns0:t>EN</ns0:t>
        </ns0:is>
      </ns0:c>
      <ns0:c r="F8" s="7" t="inlineStr">
        <ns0:is>
          <ns0:t>V1–V3</ns0:t>
        </ns0:is>
      </ns0:c>
      <ns0:c r="G8" s="8" t="n">
        <ns0:v>106845</ns0:v>
      </ns0:c>
      <ns0:c r="H8" s="8" t="n">
        <ns0:v>95000</ns0:v>
      </ns0:c>
      <ns0:c r="I8" s="7" t="inlineStr">
        <ns0:is>
          <ns0:t>Manuscris candidat — nevalidat editorial</ns0:t>
        </ns0:is>
      </ns0:c>
      <ns0:c r="J8" s="7" t="inlineStr">
        <ns0:is>
          <ns0:t>Finalul anunță The Eastern Sands; planul arhivat numește vol.2 The Crown of Waters.</ns0:t>
        </ns0:is>
      </ns0:c>
      <ns0:c r="K8" s="12" t="inlineStr">
        <ns0:is>
          <ns0:t>D:\00. Downloads\Dracula Book\MYTHICA SERIES\Saga Celor Zece Coroane\Cartea 1 The_Northern_Crown\Versiunea 3\Book-1-The-Northern-Crown-EDITED-FINAL.docx</ns0:t>
        </ns0:is>
      </ns0:c>
      <ns0:c r="L8" s="7" t="inlineStr">
        <ns0:is>
          <ns0:t>c77846fdc094d5800735ab8bdc7a1a3f62248a313f5cf2ae6e757e8baef22039</ns0:t>
        </ns0:is>
      </ns0:c>
      <ns0:c r="M8" s="7" t="inlineStr">
        <ns0:is>
          <ns0:t>Nu în materialele verificate</ns0:t>
        </ns0:is>
      </ns0:c>
    </ns0:row>
    <ns0:row r="9" ht="80" customHeight="1">
      <ns0:c r="A9" s="7" t="inlineStr">
        <ns0:is>
          <ns0:t>DB-091</ns0:t>
        </ns0:is>
      </ns0:c>
      <ns0:c r="B9" s="7" t="inlineStr">
        <ns0:is>
          <ns0:t>AURORA</ns0:t>
        </ns0:is>
      </ns0:c>
      <ns0:c r="C9" s="7" t="inlineStr">
        <ns0:is>
          <ns0:t>Ciclul Aurora</ns0:t>
        </ns0:is>
      </ns0:c>
      <ns0:c r="D9" s="7" t="inlineStr">
        <ns0:is>
          <ns0:t>The First Light</ns0:t>
        </ns0:is>
      </ns0:c>
      <ns0:c r="E9" s="7" t="inlineStr">
        <ns0:is>
          <ns0:t>EN</ns0:t>
        </ns0:is>
      </ns0:c>
      <ns0:c r="F9" s="7" t="inlineStr">
        <ns0:is>
          <ns0:t>V1–V2</ns0:t>
        </ns0:is>
      </ns0:c>
      <ns0:c r="G9" s="8" t="n">
        <ns0:v>193758</ns0:v>
      </ns0:c>
      <ns0:c r="H9" s="8" t="n">
        <ns0:v>90000</ns0:v>
      </ns0:c>
      <ns0:c r="I9" s="7" t="inlineStr">
        <ns0:is>
          <ns0:t>Manuscris candidat — nevalidat editorial</ns0:t>
        </ns0:is>
      </ns0:c>
      <ns0:c r="J9" s="7" t="inlineStr">
        <ns0:is>
          <ns0:t>V2 circa 193,8k brute; reducere țintită propusă; metanote de proces în text.</ns0:t>
        </ns0:is>
      </ns0:c>
      <ns0:c r="K9" s="12" t="inlineStr">
        <ns0:is>
          <ns0:t>D:\00. Downloads\Dracula Book\DRACULA AURORA\Book 1\Versiunea 2\AURORA_Book1_DEVIN_FINAL.docx</ns0:t>
        </ns0:is>
      </ns0:c>
      <ns0:c r="L9" s="7" t="inlineStr">
        <ns0:is>
          <ns0:t>d187e77694194bec8887f6f7b816b27fe1938496ccf6307823205a0eb2f16eb7</ns0:t>
        </ns0:is>
      </ns0:c>
      <ns0:c r="M9" s="7" t="inlineStr">
        <ns0:is>
          <ns0:t>Nu în materialele verificate</ns0:t>
        </ns0:is>
      </ns0:c>
    </ns0:row>
    <ns0:row r="10" ht="80" customHeight="1">
      <ns0:c r="A10" s="7" t="inlineStr">
        <ns0:is>
          <ns0:t>DB-092</ns0:t>
        </ns0:is>
      </ns0:c>
      <ns0:c r="B10" s="7" t="inlineStr">
        <ns0:is>
          <ns0:t>AURORA</ns0:t>
        </ns0:is>
      </ns0:c>
      <ns0:c r="C10" s="7" t="inlineStr">
        <ns0:is>
          <ns0:t>Ciclul Aurora</ns0:t>
        </ns0:is>
      </ns0:c>
      <ns0:c r="D10" s="7" t="inlineStr">
        <ns0:is>
          <ns0:t>We Meet at Sunrise</ns0:t>
        </ns0:is>
      </ns0:c>
      <ns0:c r="E10" s="7" t="inlineStr">
        <ns0:is>
          <ns0:t>EN</ns0:t>
        </ns0:is>
      </ns0:c>
      <ns0:c r="F10" s="7" t="inlineStr">
        <ns0:is>
          <ns0:t>V1–V2</ns0:t>
        </ns0:is>
      </ns0:c>
      <ns0:c r="G10" s="8" t="n">
        <ns0:v>86474</ns0:v>
      </ns0:c>
      <ns0:c r="H10" s="8" t="n">
        <ns0:v>75000</ns0:v>
      </ns0:c>
      <ns0:c r="I10" s="7" t="inlineStr">
        <ns0:is>
          <ns0:t>Manuscris candidat — nevalidat editorial</ns0:t>
        </ns0:is>
      </ns0:c>
      <ns0:c r="J10" s="7" t="inlineStr">
        <ns0:is>
          <ns0:t>V1 circa 33,7k, V2 circa 86,5k; schimbare majoră, de ales master după lectură comparată.</ns0:t>
        </ns0:is>
      </ns0:c>
      <ns0:c r="K10" s="12" t="inlineStr">
        <ns0:is>
          <ns0:t>D:\00. Downloads\Dracula Book\DRACULA AURORA\Book 2\Versiunea 2\we_meet_at_sunrise_FINAL_LOCAL_LLM.docx</ns0:t>
        </ns0:is>
      </ns0:c>
      <ns0:c r="L10" s="7" t="inlineStr">
        <ns0:is>
          <ns0:t>8211280c2445d6096b700239b9a7391c943f22c47669b159a674b257f34cc85d</ns0:t>
        </ns0:is>
      </ns0:c>
      <ns0:c r="M10" s="7" t="inlineStr">
        <ns0:is>
          <ns0:t>Nu în materialele verificate</ns0:t>
        </ns0:is>
      </ns0:c>
    </ns0:row>
    <ns0:row r="11" ht="80" customHeight="1">
      <ns0:c r="A11" s="7" t="inlineStr">
        <ns0:is>
          <ns0:t>DB-093</ns0:t>
        </ns0:is>
      </ns0:c>
      <ns0:c r="B11" s="7" t="inlineStr">
        <ns0:is>
          <ns0:t>AURORA</ns0:t>
        </ns0:is>
      </ns0:c>
      <ns0:c r="C11" s="7" t="inlineStr">
        <ns0:is>
          <ns0:t>Ciclul Aurora</ns0:t>
        </ns0:is>
      </ns0:c>
      <ns0:c r="D11" s="7" t="inlineStr">
        <ns0:is>
          <ns0:t>The Atlas of Tomorrow</ns0:t>
        </ns0:is>
      </ns0:c>
      <ns0:c r="E11" s="7" t="inlineStr">
        <ns0:is>
          <ns0:t>EN</ns0:t>
        </ns0:is>
      </ns0:c>
      <ns0:c r="F11" s="7" t="inlineStr">
        <ns0:is>
          <ns0:t>V1</ns0:t>
        </ns0:is>
      </ns0:c>
      <ns0:c r="G11" s="8" t="n">
        <ns0:v>12994</ns0:v>
      </ns0:c>
      <ns0:c r="H11" s="8" t="n">
        <ns0:v>30000</ns0:v>
      </ns0:c>
      <ns0:c r="I11" s="7" t="inlineStr">
        <ns0:is>
          <ns0:t>Manuscris candidat — nevalidat editorial</ns0:t>
        </ns0:is>
      </ns0:c>
      <ns0:c r="J11" s="7" t="inlineStr">
        <ns0:is>
          <ns0:t>Circa 13k, 15 capitole; interior CV for a Dreamer; nu este roman lung.</ns0:t>
        </ns0:is>
      </ns0:c>
      <ns0:c r="K11" s="12" t="inlineStr">
        <ns0:is>
          <ns0:t>D:\00. Downloads\Dracula Book\DRACULA AURORA\Book 3\Versiunea 1\Aurora Book3 The Atlas of Tomorrow.docx</ns0:t>
        </ns0:is>
      </ns0:c>
      <ns0:c r="L11" s="7" t="inlineStr">
        <ns0:is>
          <ns0:t>d317c19d9fb4fe329d30e7a41e76baa9f92b5d3ce814b24d02cee07f19c80c58</ns0:t>
        </ns0:is>
      </ns0:c>
      <ns0:c r="M11" s="7" t="inlineStr">
        <ns0:is>
          <ns0:t>Nu în materialele verificate</ns0:t>
        </ns0:is>
      </ns0:c>
    </ns0:row>
    <ns0:row r="12" ht="80" customHeight="1">
      <ns0:c r="A12" s="7" t="inlineStr">
        <ns0:is>
          <ns0:t>DB-094</ns0:t>
        </ns0:is>
      </ns0:c>
      <ns0:c r="B12" s="7" t="inlineStr">
        <ns0:is>
          <ns0:t>AURORA</ns0:t>
        </ns0:is>
      </ns0:c>
      <ns0:c r="C12" s="7" t="inlineStr">
        <ns0:is>
          <ns0:t>Ciclul Aurora</ns0:t>
        </ns0:is>
      </ns0:c>
      <ns0:c r="D12" s="7" t="inlineStr">
        <ns0:is>
          <ns0:t>Between Two Addresses</ns0:t>
        </ns0:is>
      </ns0:c>
      <ns0:c r="E12" s="7" t="inlineStr">
        <ns0:is>
          <ns0:t>EN</ns0:t>
        </ns0:is>
      </ns0:c>
      <ns0:c r="F12" s="7" t="inlineStr">
        <ns0:is>
          <ns0:t>V1 + interior</ns0:t>
        </ns0:is>
      </ns0:c>
      <ns0:c r="G12" s="8" t="n">
        <ns0:v>25702</ns0:v>
      </ns0:c>
      <ns0:c r="H12" s="8" t="n">
        <ns0:v>28000</ns0:v>
      </ns0:c>
      <ns0:c r="I12" s="7" t="inlineStr">
        <ns0:is>
          <ns0:t>Manuscris candidat — nevalidat editorial</ns0:t>
        </ns0:is>
      </ns0:c>
      <ns0:c r="J12" s="7" t="inlineStr">
        <ns0:is>
          <ns0:t>Text scurt; placeholder-uri în sursă; interiorul de publicare trebuie comparat.</ns0:t>
        </ns0:is>
      </ns0:c>
      <ns0:c r="K12" s="12" t="inlineStr">
        <ns0:is>
          <ns0:t>D:\00. Downloads\Dracula Book\DRACULA AURORA\Book 4\Versiunea 1\BetweenTwoAddresses_Complete.docx</ns0:t>
        </ns0:is>
      </ns0:c>
      <ns0:c r="L12" s="7" t="inlineStr">
        <ns0:is>
          <ns0:t>407b05543d4c56093cd4bbc917cde2d4156c2052dbd8b4fd9960de7259e2627a</ns0:t>
        </ns0:is>
      </ns0:c>
      <ns0:c r="M12" s="7" t="inlineStr">
        <ns0:is>
          <ns0:t>Nu în materialele verificate</ns0:t>
        </ns0:is>
      </ns0:c>
    </ns0:row>
    <ns0:row r="13" ht="80" customHeight="1">
      <ns0:c r="A13" s="7" t="inlineStr">
        <ns0:is>
          <ns0:t>DB-095</ns0:t>
        </ns0:is>
      </ns0:c>
      <ns0:c r="B13" s="7" t="inlineStr">
        <ns0:is>
          <ns0:t>AURORA</ns0:t>
        </ns0:is>
      </ns0:c>
      <ns0:c r="C13" s="7" t="inlineStr">
        <ns0:is>
          <ns0:t>Ciclul Aurora</ns0:t>
        </ns0:is>
      </ns0:c>
      <ns0:c r="D13" s="7" t="inlineStr">
        <ns0:is>
          <ns0:t>Dawn of Courage</ns0:t>
        </ns0:is>
      </ns0:c>
      <ns0:c r="E13" s="7" t="inlineStr">
        <ns0:is>
          <ns0:t>EN</ns0:t>
        </ns0:is>
      </ns0:c>
      <ns0:c r="F13" s="7" t="inlineStr">
        <ns0:is>
          <ns0:t>V1 + interior</ns0:t>
        </ns0:is>
      </ns0:c>
      <ns0:c r="G13" s="8" t="n">
        <ns0:v>36148</ns0:v>
      </ns0:c>
      <ns0:c r="H13" s="8" t="n">
        <ns0:v>36000</ns0:v>
      </ns0:c>
      <ns0:c r="I13" s="7" t="inlineStr">
        <ns0:is>
          <ns0:t>Manuscris candidat — nevalidat editorial</ns0:t>
        </ns0:is>
      </ns0:c>
      <ns0:c r="J13" s="7" t="inlineStr">
        <ns0:is>
          <ns0:t>Sursa indică Volume 1 deși este Book 5 în catalog; metanote AI.</ns0:t>
        </ns0:is>
      </ns0:c>
      <ns0:c r="K13" s="12" t="inlineStr">
        <ns0:is>
          <ns0:t>D:\00. Downloads\Dracula Book\DRACULA AURORA\Book 5\Versiunea 1\DAWN_OF_COURAGE_COMPLETE_20251014_110553.docx</ns0:t>
        </ns0:is>
      </ns0:c>
      <ns0:c r="L13" s="7" t="inlineStr">
        <ns0:is>
          <ns0:t>77f284875201cfa8867353b78fe6ac4eec7c3e23b7220fed384228705f0136a9</ns0:t>
        </ns0:is>
      </ns0:c>
      <ns0:c r="M13" s="7" t="inlineStr">
        <ns0:is>
          <ns0:t>Nu în materialele verificate</ns0:t>
        </ns0:is>
      </ns0:c>
    </ns0:row>
    <ns0:row r="14" ht="80" customHeight="1">
      <ns0:c r="A14" s="7" t="inlineStr">
        <ns0:is>
          <ns0:t>DB-096</ns0:t>
        </ns0:is>
      </ns0:c>
      <ns0:c r="B14" s="7" t="inlineStr">
        <ns0:is>
          <ns0:t>AURORA</ns0:t>
        </ns0:is>
      </ns0:c>
      <ns0:c r="C14" s="7" t="inlineStr">
        <ns0:is>
          <ns0:t>Ciclul Aurora</ns0:t>
        </ns0:is>
      </ns0:c>
      <ns0:c r="D14" s="7" t="inlineStr">
        <ns0:is>
          <ns0:t>Aurora Verde</ns0:t>
        </ns0:is>
      </ns0:c>
      <ns0:c r="E14" s="7" t="inlineStr">
        <ns0:is>
          <ns0:t>EN</ns0:t>
        </ns0:is>
      </ns0:c>
      <ns0:c r="F14" s="7" t="inlineStr">
        <ns0:is>
          <ns0:t>V1 + interior</ns0:t>
        </ns0:is>
      </ns0:c>
      <ns0:c r="G14" s="8" t="n">
        <ns0:v>28663</ns0:v>
      </ns0:c>
      <ns0:c r="H14" s="8" t="n">
        <ns0:v>30000</ns0:v>
      </ns0:c>
      <ns0:c r="I14" s="7" t="inlineStr">
        <ns0:is>
          <ns0:t>Manuscris candidat — nevalidat editorial</ns0:t>
        </ns0:is>
      </ns0:c>
      <ns0:c r="J14" s="7" t="inlineStr">
        <ns0:is>
          <ns0:t>Autorul din interior diferă de propunerea comercială; de separat anexele.</ns0:t>
        </ns0:is>
      </ns0:c>
      <ns0:c r="K14" s="12" t="inlineStr">
        <ns0:is>
          <ns0:t>D:\00. Downloads\Dracula Book\DRACULA AURORA\Book 6\Versiunea 1\AURORA_VERDE_Complete_Novel.docx</ns0:t>
        </ns0:is>
      </ns0:c>
      <ns0:c r="L14" s="7" t="inlineStr">
        <ns0:is>
          <ns0:t>5fc7cff64793fd799828cba59c949ea6b7a0cd5125b52b7eed0710ba0ce8fd6c</ns0:t>
        </ns0:is>
      </ns0:c>
      <ns0:c r="M14" s="7" t="inlineStr">
        <ns0:is>
          <ns0:t>Nu în materialele verificate</ns0:t>
        </ns0:is>
      </ns0:c>
    </ns0:row>
    <ns0:row r="15" ht="80" customHeight="1">
      <ns0:c r="A15" s="7" t="inlineStr">
        <ns0:is>
          <ns0:t>DB-097</ns0:t>
        </ns0:is>
      </ns0:c>
      <ns0:c r="B15" s="7" t="inlineStr">
        <ns0:is>
          <ns0:t>AURORA</ns0:t>
        </ns0:is>
      </ns0:c>
      <ns0:c r="C15" s="7" t="inlineStr">
        <ns0:is>
          <ns0:t>Ciclul Aurora</ns0:t>
        </ns0:is>
      </ns0:c>
      <ns0:c r="D15" s="7" t="inlineStr">
        <ns0:is>
          <ns0:t>We, After the Feed</ns0:t>
        </ns0:is>
      </ns0:c>
      <ns0:c r="E15" s="7" t="inlineStr">
        <ns0:is>
          <ns0:t>EN</ns0:t>
        </ns0:is>
      </ns0:c>
      <ns0:c r="F15" s="7" t="inlineStr">
        <ns0:is>
          <ns0:t>V1 + interior</ns0:t>
        </ns0:is>
      </ns0:c>
      <ns0:c r="G15" s="8" t="n">
        <ns0:v>22447</ns0:v>
      </ns0:c>
      <ns0:c r="H15" s="8" t="n">
        <ns0:v>25000</ns0:v>
      </ns0:c>
      <ns0:c r="I15" s="7" t="inlineStr">
        <ns0:is>
          <ns0:t>Manuscris candidat — nevalidat editorial</ns0:t>
        </ns0:is>
      </ns0:c>
      <ns0:c r="J15" s="7" t="inlineStr">
        <ns0:is>
          <ns0:t>Juliette Moreau în sursă versus Ava Peterson &amp; Blake Jacobs pe site; pseudonim de validat.</ns0:t>
        </ns0:is>
      </ns0:c>
      <ns0:c r="K15" s="12" t="inlineStr">
        <ns0:is>
          <ns0:t>D:\00. Downloads\Dracula Book\DRACULA AURORA\Book 7\Versiunea 1\WE_AFTER_THE_FEED_Book7_Complete.docx</ns0:t>
        </ns0:is>
      </ns0:c>
      <ns0:c r="L15" s="7" t="inlineStr">
        <ns0:is>
          <ns0:t>dc652d8589209f411cf42c41dd0365962a03dcfaeb72643c8f08e7507b9dcfc5</ns0:t>
        </ns0:is>
      </ns0:c>
      <ns0:c r="M15" s="7" t="inlineStr">
        <ns0:is>
          <ns0:t>Nu în materialele verificate</ns0:t>
        </ns0:is>
      </ns0:c>
    </ns0:row>
    <ns0:row r="16" ht="80" customHeight="1">
      <ns0:c r="A16" s="7" t="inlineStr">
        <ns0:is>
          <ns0:t>DB-098</ns0:t>
        </ns0:is>
      </ns0:c>
      <ns0:c r="B16" s="7" t="inlineStr">
        <ns0:is>
          <ns0:t>AURORA</ns0:t>
        </ns0:is>
      </ns0:c>
      <ns0:c r="C16" s="7" t="inlineStr">
        <ns0:is>
          <ns0:t>Ciclul Aurora</ns0:t>
        </ns0:is>
      </ns0:c>
      <ns0:c r="D16" s="7" t="inlineStr">
        <ns0:is>
          <ns0:t>Aurora Admit</ns0:t>
        </ns0:is>
      </ns0:c>
      <ns0:c r="E16" s="7" t="inlineStr">
        <ns0:is>
          <ns0:t>EN</ns0:t>
        </ns0:is>
      </ns0:c>
      <ns0:c r="F16" s="7" t="inlineStr">
        <ns0:is>
          <ns0:t>V1 + interior</ns0:t>
        </ns0:is>
      </ns0:c>
      <ns0:c r="G16" s="8" t="n">
        <ns0:v>29773</ns0:v>
      </ns0:c>
      <ns0:c r="H16" s="8" t="n">
        <ns0:v>30000</ns0:v>
      </ns0:c>
      <ns0:c r="I16" s="7" t="inlineStr">
        <ns0:is>
          <ns0:t>Manuscris candidat — nevalidat editorial</ns0:t>
        </ns0:is>
      </ns0:c>
      <ns0:c r="J16" s="7" t="inlineStr">
        <ns0:is>
          <ns0:t>Fișierul include instrucțiuni pentru design și placeholder art director.</ns0:t>
        </ns0:is>
      </ns0:c>
      <ns0:c r="K16" s="12" t="inlineStr">
        <ns0:is>
          <ns0:t>D:\00. Downloads\Dracula Book\DRACULA AURORA\Book 8\Versiunea 1\AuroraAdmit_Book8_Complete_Manuscript.docx</ns0:t>
        </ns0:is>
      </ns0:c>
      <ns0:c r="L16" s="7" t="inlineStr">
        <ns0:is>
          <ns0:t>9f8c40c8bb3556c3c24468d2e22103bb209b01ff9d101ec77d3d79ba0f214638</ns0:t>
        </ns0:is>
      </ns0:c>
      <ns0:c r="M16" s="7" t="inlineStr">
        <ns0:is>
          <ns0:t>Nu în materialele verificate</ns0:t>
        </ns0:is>
      </ns0:c>
    </ns0:row>
    <ns0:row r="17" ht="80" customHeight="1">
      <ns0:c r="A17" s="7" t="inlineStr">
        <ns0:is>
          <ns0:t>DB-099</ns0:t>
        </ns0:is>
      </ns0:c>
      <ns0:c r="B17" s="7" t="inlineStr">
        <ns0:is>
          <ns0:t>AURORA</ns0:t>
        </ns0:is>
      </ns0:c>
      <ns0:c r="C17" s="7" t="inlineStr">
        <ns0:is>
          <ns0:t>Ciclul Aurora</ns0:t>
        </ns0:is>
      </ns0:c>
      <ns0:c r="D17" s="7" t="inlineStr">
        <ns0:is>
          <ns0:t>Aurora Signal</ns0:t>
        </ns0:is>
      </ns0:c>
      <ns0:c r="E17" s="7" t="inlineStr">
        <ns0:is>
          <ns0:t>EN</ns0:t>
        </ns0:is>
      </ns0:c>
      <ns0:c r="F17" s="7" t="inlineStr">
        <ns0:is>
          <ns0:t>V1 incompletă</ns0:t>
        </ns0:is>
      </ns0:c>
      <ns0:c r="G17" s="8" t="n">
        <ns0:v>36276</ns0:v>
      </ns0:c>
      <ns0:c r="H17" s="8" t="n">
        <ns0:v>45000</ns0:v>
      </ns0:c>
      <ns0:c r="I17" s="7" t="inlineStr">
        <ns0:is>
          <ns0:t>Incomplet — de scris cap.7–20</ns0:t>
        </ns0:is>
      </ns0:c>
      <ns0:c r="J17" s="7" t="inlineStr">
        <ns0:is>
          <ns0:t>36,3k brute includ plan/anexe; numai cap.1–6 proză, interior separat circa 21,8k.</ns0:t>
        </ns0:is>
      </ns0:c>
      <ns0:c r="K17" s="12" t="inlineStr">
        <ns0:is>
          <ns0:t>D:\00. Downloads\Dracula Book\DRACULA AURORA\Book 9\Versiunea 1\AURORA_SIGNAL_Complete_Manuscript.docx</ns0:t>
        </ns0:is>
      </ns0:c>
      <ns0:c r="L17" s="7" t="inlineStr">
        <ns0:is>
          <ns0:t>e11ab2fad06edd93f852da3cb7c063893bd88794cc53453689c14bc95484a28f</ns0:t>
        </ns0:is>
      </ns0:c>
      <ns0:c r="M17" s="7" t="inlineStr">
        <ns0:is>
          <ns0:t>Nu în materialele verificate</ns0:t>
        </ns0:is>
      </ns0:c>
    </ns0:row>
    <ns0:row r="18" ht="80" customHeight="1">
      <ns0:c r="A18" s="7" t="inlineStr">
        <ns0:is>
          <ns0:t>DB-100</ns0:t>
        </ns0:is>
      </ns0:c>
      <ns0:c r="B18" s="7" t="inlineStr">
        <ns0:is>
          <ns0:t>AURORA</ns0:t>
        </ns0:is>
      </ns0:c>
      <ns0:c r="C18" s="7" t="inlineStr">
        <ns0:is>
          <ns0:t>Ciclul Aurora</ns0:t>
        </ns0:is>
      </ns0:c>
      <ns0:c r="D18" s="7" t="inlineStr">
        <ns0:is>
          <ns0:t>Aurora Compass</ns0:t>
        </ns0:is>
      </ns0:c>
      <ns0:c r="E18" s="7" t="inlineStr">
        <ns0:is>
          <ns0:t>EN</ns0:t>
        </ns0:is>
      </ns0:c>
      <ns0:c r="F18" s="7" t="inlineStr">
        <ns0:is>
          <ns0:t>V1 + interior</ns0:t>
        </ns0:is>
      </ns0:c>
      <ns0:c r="G18" s="8" t="n">
        <ns0:v>27748</ns0:v>
      </ns0:c>
      <ns0:c r="H18" s="8" t="n">
        <ns0:v>30000</ns0:v>
      </ns0:c>
      <ns0:c r="I18" s="7" t="inlineStr">
        <ns0:is>
          <ns0:t>Manuscris candidat — nevalidat editorial</ns0:t>
        </ns0:is>
      </ns0:c>
      <ns0:c r="J18" s="7" t="inlineStr">
        <ns0:is>
          <ns0:t>Autor generic în sursă versus pseudonim comercial; metanote REVISED.</ns0:t>
        </ns0:is>
      </ns0:c>
      <ns0:c r="K18" s="12" t="inlineStr">
        <ns0:is>
          <ns0:t>D:\00. Downloads\Dracula Book\DRACULA AURORA\Book 10\Versiunea 1\Aurora_Compass_Complete_Novel.docx</ns0:t>
        </ns0:is>
      </ns0:c>
      <ns0:c r="L18" s="7" t="inlineStr">
        <ns0:is>
          <ns0:t>1880b16da36e2a3297f526b15b2fd582963c592eb9d2595a5c3cc620e4c6e428</ns0:t>
        </ns0:is>
      </ns0:c>
      <ns0:c r="M18" s="7" t="inlineStr">
        <ns0:is>
          <ns0:t>Nu în materialele verificate</ns0:t>
        </ns0:is>
      </ns0:c>
    </ns0:row>
  </ns0:sheetData>
  <ns0:hyperlinks>
    <ns0:hyperlink ref="K2" ns1:id="rId1"/>
    <ns0:hyperlink ref="K3" ns1:id="rId2"/>
    <ns0:hyperlink ref="K4" ns1:id="rId3"/>
    <ns0:hyperlink ref="K5" ns1:id="rId4"/>
    <ns0:hyperlink ref="K6" ns1:id="rId5"/>
    <ns0:hyperlink ref="K7" ns1:id="rId6"/>
    <ns0:hyperlink ref="K8" ns1:id="rId7"/>
    <ns0:hyperlink ref="K9" ns1:id="rId8"/>
    <ns0:hyperlink ref="K10" ns1:id="rId9"/>
    <ns0:hyperlink ref="K11" ns1:id="rId10"/>
    <ns0:hyperlink ref="K12" ns1:id="rId11"/>
    <ns0:hyperlink ref="K13" ns1:id="rId12"/>
    <ns0:hyperlink ref="K14" ns1:id="rId13"/>
    <ns0:hyperlink ref="K15" ns1:id="rId14"/>
    <ns0:hyperlink ref="K16" ns1:id="rId15"/>
    <ns0:hyperlink ref="K17" ns1:id="rId16"/>
    <ns0:hyperlink ref="K18" ns1:id="rId17"/>
  </ns0:hyperlink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8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G13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6" customWidth="1" min="1" max="1"/>
    <ns0:col width="42" customWidth="1" min="2" max="2"/>
    <ns0:col width="18" customWidth="1" min="3" max="3"/>
    <ns0:col width="12" customWidth="1" min="4" max="4"/>
    <ns0:col width="18" customWidth="1" min="5" max="5"/>
    <ns0:col width="18" customWidth="1" min="6" max="6"/>
    <ns0:col width="22" customWidth="1" min="7" max="7"/>
  </ns0:cols>
  <ns0:sheetData>
    <ns0:row r="1" ht="36" customHeight="1">
      <ns0:c r="A1" s="6" t="inlineStr">
        <ns0:is>
          <ns0:t>Colecție</ns0:t>
        </ns0:is>
      </ns0:c>
      <ns0:c r="B1" s="6" t="inlineStr">
        <ns0:is>
          <ns0:t>Saga</ns0:t>
        </ns0:is>
      </ns0:c>
      <ns0:c r="C1" s="6" t="inlineStr">
        <ns0:is>
          <ns0:t>Fond candidat</ns0:t>
        </ns0:is>
      </ns0:c>
      <ns0:c r="D1" s="6" t="inlineStr">
        <ns0:is>
          <ns0:t>Noi</ns0:t>
        </ns0:is>
      </ns0:c>
      <ns0:c r="E1" s="6" t="inlineStr">
        <ns0:is>
          <ns0:t>Total titluri</ns0:t>
        </ns0:is>
      </ns0:c>
      <ns0:c r="F1" s="6" t="inlineStr">
        <ns0:is>
          <ns0:t>Total ediții</ns0:t>
        </ns0:is>
      </ns0:c>
      <ns0:c r="G1" s="6" t="inlineStr">
        <ns0:is>
          <ns0:t>Cuvinte master</ns0:t>
        </ns0:is>
      </ns0:c>
    </ns0:row>
    <ns0:row r="2" ht="30" customHeight="1">
      <ns0:c r="A2" s="7" t="inlineStr">
        <ns0:is>
          <ns0:t>NOIR</ns0:t>
        </ns0:is>
      </ns0:c>
      <ns0:c r="B2" s="7" t="inlineStr">
        <ns0:is>
          <ns0:t>Cronicile Transilvaniei</ns0:t>
        </ns0:is>
      </ns0:c>
      <ns0:c r="C2" s="8" t="n">
        <ns0:v>3</ns0:v>
      </ns0:c>
      <ns0:c r="D2" s="8" t="n">
        <ns0:v>7</ns0:v>
      </ns0:c>
      <ns0:c r="E2" s="8" t="n">
        <ns0:v>10</ns0:v>
      </ns0:c>
      <ns0:c r="F2" s="8" t="n">
        <ns0:v>30</ns0:v>
      </ns0:c>
      <ns0:c r="G2" s="8" t="n">
        <ns0:v>630000</ns0:v>
      </ns0:c>
    </ns0:row>
    <ns0:row r="3" ht="30" customHeight="1">
      <ns0:c r="A3" s="7" t="inlineStr">
        <ns0:is>
          <ns0:t>NOIR</ns0:t>
        </ns0:is>
      </ns0:c>
      <ns0:c r="B3" s="7" t="inlineStr">
        <ns0:is>
          <ns0:t>Carpathian Cold Cases</ns0:t>
        </ns0:is>
      </ns0:c>
      <ns0:c r="C3" s="8" t="n">
        <ns0:v>0</ns0:v>
      </ns0:c>
      <ns0:c r="D3" s="8" t="n">
        <ns0:v>10</ns0:v>
      </ns0:c>
      <ns0:c r="E3" s="8" t="n">
        <ns0:v>10</ns0:v>
      </ns0:c>
      <ns0:c r="F3" s="8" t="n">
        <ns0:v>30</ns0:v>
      </ns0:c>
      <ns0:c r="G3" s="8" t="n">
        <ns0:v>550000</ns0:v>
      </ns0:c>
    </ns0:row>
    <ns0:row r="4" ht="30" customHeight="1">
      <ns0:c r="A4" s="7" t="inlineStr">
        <ns0:is>
          <ns0:t>NOIR</ns0:t>
        </ns0:is>
      </ns0:c>
      <ns0:c r="B4" s="7" t="inlineStr">
        <ns0:is>
          <ns0:t>The Black Archive</ns0:t>
        </ns0:is>
      </ns0:c>
      <ns0:c r="C4" s="8" t="n">
        <ns0:v>0</ns0:v>
      </ns0:c>
      <ns0:c r="D4" s="8" t="n">
        <ns0:v>10</ns0:v>
      </ns0:c>
      <ns0:c r="E4" s="8" t="n">
        <ns0:v>10</ns0:v>
      </ns0:c>
      <ns0:c r="F4" s="8" t="n">
        <ns0:v>30</ns0:v>
      </ns0:c>
      <ns0:c r="G4" s="8" t="n">
        <ns0:v>350000</ns0:v>
      </ns0:c>
    </ns0:row>
    <ns0:row r="5" ht="30" customHeight="1">
      <ns0:c r="A5" s="7" t="inlineStr">
        <ns0:is>
          <ns0:t>NOIR</ns0:t>
        </ns0:is>
      </ns0:c>
      <ns0:c r="B5" s="7" t="inlineStr">
        <ns0:is>
          <ns0:t>The Borderland Files</ns0:t>
        </ns0:is>
      </ns0:c>
      <ns0:c r="C5" s="8" t="n">
        <ns0:v>0</ns0:v>
      </ns0:c>
      <ns0:c r="D5" s="8" t="n">
        <ns0:v>5</ns0:v>
      </ns0:c>
      <ns0:c r="E5" s="8" t="n">
        <ns0:v>5</ns0:v>
      </ns0:c>
      <ns0:c r="F5" s="8" t="n">
        <ns0:v>15</ns0:v>
      </ns0:c>
      <ns0:c r="G5" s="8" t="n">
        <ns0:v>175000</ns0:v>
      </ns0:c>
    </ns0:row>
    <ns0:row r="6" ht="30" customHeight="1">
      <ns0:c r="A6" s="7" t="inlineStr">
        <ns0:is>
          <ns0:t>AMORIS</ns0:t>
        </ns0:is>
      </ns0:c>
      <ns0:c r="B6" s="7" t="inlineStr">
        <ns0:is>
          <ns0:t>Alex Damian</ns0:t>
        </ns0:is>
      </ns0:c>
      <ns0:c r="C6" s="8" t="n">
        <ns0:v>2</ns0:v>
      </ns0:c>
      <ns0:c r="D6" s="8" t="n">
        <ns0:v>8</ns0:v>
      </ns0:c>
      <ns0:c r="E6" s="8" t="n">
        <ns0:v>10</ns0:v>
      </ns0:c>
      <ns0:c r="F6" s="8" t="n">
        <ns0:v>30</ns0:v>
      </ns0:c>
      <ns0:c r="G6" s="8" t="n">
        <ns0:v>650000</ns0:v>
      </ns0:c>
    </ns0:row>
    <ns0:row r="7" ht="30" customHeight="1">
      <ns0:c r="A7" s="7" t="inlineStr">
        <ns0:is>
          <ns0:t>AMORIS</ns0:t>
        </ns0:is>
      </ns0:c>
      <ns0:c r="B7" s="7" t="inlineStr">
        <ns0:is>
          <ns0:t>Isabella Morgan / Rue des Âmes</ns0:t>
        </ns0:is>
      </ns0:c>
      <ns0:c r="C7" s="8" t="n">
        <ns0:v>1</ns0:v>
      </ns0:c>
      <ns0:c r="D7" s="8" t="n">
        <ns0:v>9</ns0:v>
      </ns0:c>
      <ns0:c r="E7" s="8" t="n">
        <ns0:v>10</ns0:v>
      </ns0:c>
      <ns0:c r="F7" s="8" t="n">
        <ns0:v>30</ns0:v>
      </ns0:c>
      <ns0:c r="G7" s="8" t="n">
        <ns0:v>625000</ns0:v>
      </ns0:c>
    </ns0:row>
    <ns0:row r="8" ht="30" customHeight="1">
      <ns0:c r="A8" s="7" t="inlineStr">
        <ns0:is>
          <ns0:t>AMORIS</ns0:t>
        </ns0:is>
      </ns0:c>
      <ns0:c r="B8" s="7" t="inlineStr">
        <ns0:is>
          <ns0:t>Aegean Second Chances</ns0:t>
        </ns0:is>
      </ns0:c>
      <ns0:c r="C8" s="8" t="n">
        <ns0:v>0</ns0:v>
      </ns0:c>
      <ns0:c r="D8" s="8" t="n">
        <ns0:v>10</ns0:v>
      </ns0:c>
      <ns0:c r="E8" s="8" t="n">
        <ns0:v>10</ns0:v>
      </ns0:c>
      <ns0:c r="F8" s="8" t="n">
        <ns0:v>30</ns0:v>
      </ns0:c>
      <ns0:c r="G8" s="8" t="n">
        <ns0:v>550000</ns0:v>
      </ns0:c>
    </ns0:row>
    <ns0:row r="9" ht="30" customHeight="1">
      <ns0:c r="A9" s="7" t="inlineStr">
        <ns0:is>
          <ns0:t>AMORIS</ns0:t>
        </ns0:is>
      </ns0:c>
      <ns0:c r="B9" s="7" t="inlineStr">
        <ns0:is>
          <ns0:t>Midnight Letters</ns0:t>
        </ns0:is>
      </ns0:c>
      <ns0:c r="C9" s="8" t="n">
        <ns0:v>0</ns0:v>
      </ns0:c>
      <ns0:c r="D9" s="8" t="n">
        <ns0:v>5</ns0:v>
      </ns0:c>
      <ns0:c r="E9" s="8" t="n">
        <ns0:v>5</ns0:v>
      </ns0:c>
      <ns0:c r="F9" s="8" t="n">
        <ns0:v>15</ns0:v>
      </ns0:c>
      <ns0:c r="G9" s="8" t="n">
        <ns0:v>175000</ns0:v>
      </ns0:c>
    </ns0:row>
    <ns0:row r="10" ht="30" customHeight="1">
      <ns0:c r="A10" s="7" t="inlineStr">
        <ns0:is>
          <ns0:t>MYTHICA</ns0:t>
        </ns0:is>
      </ns0:c>
      <ns0:c r="B10" s="7" t="inlineStr">
        <ns0:is>
          <ns0:t>Saga Celor Zece Coroane</ns0:t>
        </ns0:is>
      </ns0:c>
      <ns0:c r="C10" s="8" t="n">
        <ns0:v>1</ns0:v>
      </ns0:c>
      <ns0:c r="D10" s="8" t="n">
        <ns0:v>9</ns0:v>
      </ns0:c>
      <ns0:c r="E10" s="8" t="n">
        <ns0:v>10</ns0:v>
      </ns0:c>
      <ns0:c r="F10" s="8" t="n">
        <ns0:v>30</ns0:v>
      </ns0:c>
      <ns0:c r="G10" s="8" t="n">
        <ns0:v>770000</ns0:v>
      </ns0:c>
    </ns0:row>
    <ns0:row r="11" ht="30" customHeight="1">
      <ns0:c r="A11" s="7" t="inlineStr">
        <ns0:is>
          <ns0:t>MYTHICA</ns0:t>
        </ns0:is>
      </ns0:c>
      <ns0:c r="B11" s="7" t="inlineStr">
        <ns0:is>
          <ns0:t>The Thorn Covenant</ns0:t>
        </ns0:is>
      </ns0:c>
      <ns0:c r="C11" s="8" t="n">
        <ns0:v>0</ns0:v>
      </ns0:c>
      <ns0:c r="D11" s="8" t="n">
        <ns0:v>5</ns0:v>
      </ns0:c>
      <ns0:c r="E11" s="8" t="n">
        <ns0:v>5</ns0:v>
      </ns0:c>
      <ns0:c r="F11" s="8" t="n">
        <ns0:v>15</ns0:v>
      </ns0:c>
      <ns0:c r="G11" s="8" t="n">
        <ns0:v>325000</ns0:v>
      </ns0:c>
    </ns0:row>
    <ns0:row r="12" ht="30" customHeight="1">
      <ns0:c r="A12" s="7" t="inlineStr">
        <ns0:is>
          <ns0:t>MYTHICA</ns0:t>
        </ns0:is>
      </ns0:c>
      <ns0:c r="B12" s="7" t="inlineStr">
        <ns0:is>
          <ns0:t>Tales of the Border Realms</ns0:t>
        </ns0:is>
      </ns0:c>
      <ns0:c r="C12" s="8" t="n">
        <ns0:v>0</ns0:v>
      </ns0:c>
      <ns0:c r="D12" s="8" t="n">
        <ns0:v>5</ns0:v>
      </ns0:c>
      <ns0:c r="E12" s="8" t="n">
        <ns0:v>5</ns0:v>
      </ns0:c>
      <ns0:c r="F12" s="8" t="n">
        <ns0:v>15</ns0:v>
      </ns0:c>
      <ns0:c r="G12" s="8" t="n">
        <ns0:v>200000</ns0:v>
      </ns0:c>
    </ns0:row>
    <ns0:row r="13" ht="30" customHeight="1">
      <ns0:c r="A13" s="7" t="inlineStr">
        <ns0:is>
          <ns0:t>AURORA</ns0:t>
        </ns0:is>
      </ns0:c>
      <ns0:c r="B13" s="7" t="inlineStr">
        <ns0:is>
          <ns0:t>Ciclul Aurora</ns0:t>
        </ns0:is>
      </ns0:c>
      <ns0:c r="C13" s="8" t="n">
        <ns0:v>10</ns0:v>
      </ns0:c>
      <ns0:c r="D13" s="8" t="n">
        <ns0:v>0</ns0:v>
      </ns0:c>
      <ns0:c r="E13" s="8" t="n">
        <ns0:v>10</ns0:v>
      </ns0:c>
      <ns0:c r="F13" s="8" t="n">
        <ns0:v>30</ns0:v>
      </ns0:c>
      <ns0:c r="G13" s="8" t="n">
        <ns0:v>419000</ns0:v>
      </ns0:c>
    </ns0:row>
  </ns0:sheetData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drawing ns1:id="rId1"/>
  <ns0:tableParts count="1">
    <ns0:tablePart ns1:id="rId2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X301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4" customWidth="1" min="3" max="3"/>
    <ns0:col width="30" customWidth="1" min="4" max="4"/>
    <ns0:col width="9" customWidth="1" min="5" max="5"/>
    <ns0:col width="38" customWidth="1" min="6" max="6"/>
    <ns0:col width="12" customWidth="1" min="7" max="7"/>
    <ns0:col width="12" customWidth="1" min="8" max="8"/>
    <ns0:col width="24" customWidth="1" min="9" max="9"/>
    <ns0:col width="26" customWidth="1" min="10" max="10"/>
    <ns0:col width="25" customWidth="1" min="11" max="11"/>
    <ns0:col width="20" customWidth="1" min="12" max="12"/>
    <ns0:col width="20" customWidth="1" min="13" max="13"/>
    <ns0:col width="18" customWidth="1" min="14" max="14"/>
    <ns0:col width="18" customWidth="1" min="15" max="15"/>
    <ns0:col width="19" customWidth="1" min="16" max="16"/>
    <ns0:col width="26" customWidth="1" min="17" max="17"/>
    <ns0:col width="22" customWidth="1" min="18" max="18"/>
    <ns0:col width="60" customWidth="1" min="19" max="19"/>
    <ns0:col width="36" customWidth="1" min="20" max="20"/>
    <ns0:col width="70" customWidth="1" min="21" max="21"/>
    <ns0:col width="18" customWidth="1" min="22" max="22"/>
    <ns0:col width="70" customWidth="1" min="23" max="23"/>
    <ns0:col width="21" customWidth="1" min="24" max="24"/>
  </ns0:cols>
  <ns0:sheetData>
    <ns0:row r="1" ht="36" customHeight="1">
      <ns0:c r="A1" s="6" t="inlineStr">
        <ns0:is>
          <ns0:t>EditionID</ns0:t>
        </ns0:is>
      </ns0:c>
      <ns0:c r="B1" s="6" t="inlineStr">
        <ns0:is>
          <ns0:t>WorkID</ns0:t>
        </ns0:is>
      </ns0:c>
      <ns0:c r="C1" s="6" t="inlineStr">
        <ns0:is>
          <ns0:t>Colecție</ns0:t>
        </ns0:is>
      </ns0:c>
      <ns0:c r="D1" s="6" t="inlineStr">
        <ns0:is>
          <ns0:t>Saga</ns0:t>
        </ns0:is>
      </ns0:c>
      <ns0:c r="E1" s="6" t="inlineStr">
        <ns0:is>
          <ns0:t>Volum</ns0:t>
        </ns0:is>
      </ns0:c>
      <ns0:c r="F1" s="6" t="inlineStr">
        <ns0:is>
          <ns0:t>Titlu de lucru</ns0:t>
        </ns0:is>
      </ns0:c>
      <ns0:c r="G1" s="6" t="inlineStr">
        <ns0:is>
          <ns0:t>Limbă ediție</ns0:t>
        </ns0:is>
      </ns0:c>
      <ns0:c r="H1" s="6" t="inlineStr">
        <ns0:is>
          <ns0:t>Limbă sursă</ns0:t>
        </ns0:is>
      </ns0:c>
      <ns0:c r="I1" s="6" t="inlineStr">
        <ns0:is>
          <ns0:t>Operațiune</ns0:t>
        </ns0:is>
      </ns0:c>
      <ns0:c r="J1" s="6" t="inlineStr">
        <ns0:is>
          <ns0:t>Stare</ns0:t>
        </ns0:is>
      </ns0:c>
      <ns0:c r="K1" s="6" t="inlineStr">
        <ns0:is>
          <ns0:t>Responsabil</ns0:t>
        </ns0:is>
      </ns0:c>
      <ns0:c r="L1" s="6" t="inlineStr">
        <ns0:is>
          <ns0:t>Cuvinte sursă țintă</ns0:t>
        </ns0:is>
      </ns0:c>
      <ns0:c r="M1" s="6" t="inlineStr">
        <ns0:is>
          <ns0:t>Master blocat țintă</ns0:t>
        </ns0:is>
      </ns0:c>
      <ns0:c r="N1" s="6" t="inlineStr">
        <ns0:is>
          <ns0:t>Traduceri țintă</ns0:t>
        </ns0:is>
      </ns0:c>
      <ns0:c r="O1" s="6" t="inlineStr">
        <ns0:is>
          <ns0:t>QA țintă</ns0:t>
        </ns0:is>
      </ns0:c>
      <ns0:c r="P1" s="6" t="inlineStr">
        <ns0:is>
          <ns0:t>Publicare țintă</ns0:t>
        </ns0:is>
      </ns0:c>
      <ns0:c r="Q1" s="6" t="inlineStr">
        <ns0:is>
          <ns0:t>Aprobator editorial</ns0:t>
        </ns0:is>
      </ns0:c>
      <ns0:c r="R1" s="6" t="inlineStr">
        <ns0:is>
          <ns0:t>Data publicării reale</ns0:t>
        </ns0:is>
      </ns0:c>
      <ns0:c r="S1" s="6" t="inlineStr">
        <ns0:is>
          <ns0:t>URL dovadă acces/livrare</ns0:t>
        </ns0:is>
      </ns0:c>
      <ns0:c r="T1" s="6" t="inlineStr">
        <ns0:is>
          <ns0:t>ISBN / ID extern, dacă e cazul</ns0:t>
        </ns0:is>
      </ns0:c>
      <ns0:c r="U1" s="6" t="inlineStr">
        <ns0:is>
          <ns0:t>Checksum master final</ns0:t>
        </ns0:is>
      </ns0:c>
      <ns0:c r="V1" s="6" t="inlineStr">
        <ns0:is>
          <ns0:t>Drepturi</ns0:t>
        </ns0:is>
      </ns0:c>
      <ns0:c r="W1" s="6" t="inlineStr">
        <ns0:is>
          <ns0:t>Observații</ns0:t>
        </ns0:is>
      </ns0:c>
      <ns0:c r="X1" s="6" t="inlineStr">
        <ns0:is>
          <ns0:t>Publicare verificată</ns0:t>
        </ns0:is>
      </ns0:c>
    </ns0:row>
    <ns0:row r="2" ht="46" customHeight="1">
      <ns0:c r="A2" s="7" t="inlineStr">
        <ns0:is>
          <ns0:t>DB-001-EN</ns0:t>
        </ns0:is>
      </ns0:c>
      <ns0:c r="B2" s="7" t="inlineStr">
        <ns0:is>
          <ns0:t>DB-001</ns0:t>
        </ns0:is>
      </ns0:c>
      <ns0:c r="C2" s="7" t="inlineStr">
        <ns0:is>
          <ns0:t>NOIR</ns0:t>
        </ns0:is>
      </ns0:c>
      <ns0:c r="D2" s="7" t="inlineStr">
        <ns0:is>
          <ns0:t>Cronicile Transilvaniei</ns0:t>
        </ns0:is>
      </ns0:c>
      <ns0:c r="E2" s="8" t="n">
        <ns0:v>1</ns0:v>
      </ns0:c>
      <ns0:c r="F2" s="7" t="inlineStr">
        <ns0:is>
          <ns0:t>Umbra Trandafirului Negru</ns0:t>
        </ns0:is>
      </ns0:c>
      <ns0:c r="G2" s="7" t="inlineStr">
        <ns0:is>
          <ns0:t>EN</ns0:t>
        </ns0:is>
      </ns0:c>
      <ns0:c r="H2" s="7" t="inlineStr">
        <ns0:is>
          <ns0:t>RO</ns0:t>
        </ns0:is>
      </ns0:c>
      <ns0:c r="I2" s="7" t="inlineStr">
        <ns0:is>
          <ns0:t>Traducere RO→EN</ns0:t>
        </ns0:is>
      </ns0:c>
      <ns0:c r="J2" s="11" t="inlineStr">
        <ns0:is>
          <ns0:t>Planificat</ns0:t>
        </ns0:is>
      </ns0:c>
      <ns0:c r="K2" s="11" t="inlineStr">
        <ns0:is>
          <ns0:t>De desemnat</ns0:t>
        </ns0:is>
      </ns0:c>
      <ns0:c r="L2" s="8">
        <ns0:f>Catalog_100!I2</ns0:f>
        <ns0:v>60000</ns0:v>
      </ns0:c>
      <ns0:c r="M2" s="13">
        <ns0:f>Catalog_100!J2</ns0:f>
        <ns0:v>46298.0</ns0:v>
      </ns0:c>
      <ns0:c r="N2" s="13">
        <ns0:f>Catalog_100!K2</ns0:f>
        <ns0:v>46301.0</ns0:v>
      </ns0:c>
      <ns0:c r="O2" s="13">
        <ns0:f>Catalog_100!L2</ns0:f>
        <ns0:v>46303.0</ns0:v>
      </ns0:c>
      <ns0:c r="P2" s="13">
        <ns0:f>Catalog_100!M2</ns0:f>
        <ns0:v>46305.0</ns0:v>
      </ns0:c>
      <ns0:c r="Q2" s="11" t="inlineStr"/>
      <ns0:c r="R2" s="10" t="inlineStr"/>
      <ns0:c r="S2" s="11" t="inlineStr"/>
      <ns0:c r="T2" s="11" t="inlineStr"/>
      <ns0:c r="U2" s="11" t="inlineStr"/>
      <ns0:c r="V2" s="11" t="inlineStr">
        <ns0:is>
          <ns0:t>Neconfirmat</ns0:t>
        </ns0:is>
      </ns0:c>
      <ns0:c r="W2" s="11" t="inlineStr">
        <ns0:is>
          <ns0:t>Fără ediție finală confirmată</ns0:t>
        </ns0:is>
      </ns0:c>
      <ns0:c r="X2" s="7">
        <ns0:f>IF(AND(J2="Publicat",Q2&lt;&gt;"",ISNUMBER(R2),S2&lt;&gt;"",U2&lt;&gt;"",V2="Confirmat"),1,0)</ns0:f>
        <ns0:v>0</ns0:v>
      </ns0:c>
    </ns0:row>
    <ns0:row r="3" ht="46" customHeight="1">
      <ns0:c r="A3" s="7" t="inlineStr">
        <ns0:is>
          <ns0:t>DB-001-RO</ns0:t>
        </ns0:is>
      </ns0:c>
      <ns0:c r="B3" s="7" t="inlineStr">
        <ns0:is>
          <ns0:t>DB-001</ns0:t>
        </ns0:is>
      </ns0:c>
      <ns0:c r="C3" s="7" t="inlineStr">
        <ns0:is>
          <ns0:t>NOIR</ns0:t>
        </ns0:is>
      </ns0:c>
      <ns0:c r="D3" s="7" t="inlineStr">
        <ns0:is>
          <ns0:t>Cronicile Transilvaniei</ns0:t>
        </ns0:is>
      </ns0:c>
      <ns0:c r="E3" s="8" t="n">
        <ns0:v>1</ns0:v>
      </ns0:c>
      <ns0:c r="F3" s="7" t="inlineStr">
        <ns0:is>
          <ns0:t>Umbra Trandafirului Negru</ns0:t>
        </ns0:is>
      </ns0:c>
      <ns0:c r="G3" s="7" t="inlineStr">
        <ns0:is>
          <ns0:t>RO</ns0:t>
        </ns0:is>
      </ns0:c>
      <ns0:c r="H3" s="7" t="inlineStr">
        <ns0:is>
          <ns0:t>RO</ns0:t>
        </ns0:is>
      </ns0:c>
      <ns0:c r="I3" s="7" t="inlineStr">
        <ns0:is>
          <ns0:t>Editare fond</ns0:t>
        </ns0:is>
      </ns0:c>
      <ns0:c r="J3" s="11" t="inlineStr">
        <ns0:is>
          <ns0:t>Manuscris existent</ns0:t>
        </ns0:is>
      </ns0:c>
      <ns0:c r="K3" s="11" t="inlineStr">
        <ns0:is>
          <ns0:t>De desemnat</ns0:t>
        </ns0:is>
      </ns0:c>
      <ns0:c r="L3" s="8">
        <ns0:f>Catalog_100!I2</ns0:f>
        <ns0:v>60000</ns0:v>
      </ns0:c>
      <ns0:c r="M3" s="13">
        <ns0:f>Catalog_100!J2</ns0:f>
        <ns0:v>46298.0</ns0:v>
      </ns0:c>
      <ns0:c r="N3" s="13">
        <ns0:f>Catalog_100!K2</ns0:f>
        <ns0:v>46301.0</ns0:v>
      </ns0:c>
      <ns0:c r="O3" s="13">
        <ns0:f>Catalog_100!L2</ns0:f>
        <ns0:v>46303.0</ns0:v>
      </ns0:c>
      <ns0:c r="P3" s="13">
        <ns0:f>Catalog_100!M2</ns0:f>
        <ns0:v>46305.0</ns0:v>
      </ns0:c>
      <ns0:c r="Q3" s="11" t="inlineStr"/>
      <ns0:c r="R3" s="10" t="inlineStr"/>
      <ns0:c r="S3" s="11" t="inlineStr"/>
      <ns0:c r="T3" s="11" t="inlineStr"/>
      <ns0:c r="U3" s="11" t="inlineStr"/>
      <ns0:c r="V3" s="11" t="inlineStr">
        <ns0:is>
          <ns0:t>Neconfirmat</ns0:t>
        </ns0:is>
      </ns0:c>
      <ns0:c r="W3" s="11" t="inlineStr">
        <ns0:is>
          <ns0:t>Materiale de lucru și profiluri înaintea romanului; cronologie de corelat cu site-ul.</ns0:t>
        </ns0:is>
      </ns0:c>
      <ns0:c r="X3" s="7">
        <ns0:f>IF(AND(J3="Publicat",Q3&lt;&gt;"",ISNUMBER(R3),S3&lt;&gt;"",U3&lt;&gt;"",V3="Confirmat"),1,0)</ns0:f>
        <ns0:v>0</ns0:v>
      </ns0:c>
    </ns0:row>
    <ns0:row r="4" ht="46" customHeight="1">
      <ns0:c r="A4" s="7" t="inlineStr">
        <ns0:is>
          <ns0:t>DB-001-DE</ns0:t>
        </ns0:is>
      </ns0:c>
      <ns0:c r="B4" s="7" t="inlineStr">
        <ns0:is>
          <ns0:t>DB-001</ns0:t>
        </ns0:is>
      </ns0:c>
      <ns0:c r="C4" s="7" t="inlineStr">
        <ns0:is>
          <ns0:t>NOIR</ns0:t>
        </ns0:is>
      </ns0:c>
      <ns0:c r="D4" s="7" t="inlineStr">
        <ns0:is>
          <ns0:t>Cronicile Transilvaniei</ns0:t>
        </ns0:is>
      </ns0:c>
      <ns0:c r="E4" s="8" t="n">
        <ns0:v>1</ns0:v>
      </ns0:c>
      <ns0:c r="F4" s="7" t="inlineStr">
        <ns0:is>
          <ns0:t>Umbra Trandafirului Negru</ns0:t>
        </ns0:is>
      </ns0:c>
      <ns0:c r="G4" s="7" t="inlineStr">
        <ns0:is>
          <ns0:t>DE</ns0:t>
        </ns0:is>
      </ns0:c>
      <ns0:c r="H4" s="7" t="inlineStr">
        <ns0:is>
          <ns0:t>RO</ns0:t>
        </ns0:is>
      </ns0:c>
      <ns0:c r="I4" s="7" t="inlineStr">
        <ns0:is>
          <ns0:t>Traducere RO→DE</ns0:t>
        </ns0:is>
      </ns0:c>
      <ns0:c r="J4" s="11" t="inlineStr">
        <ns0:is>
          <ns0:t>Planificat</ns0:t>
        </ns0:is>
      </ns0:c>
      <ns0:c r="K4" s="11" t="inlineStr">
        <ns0:is>
          <ns0:t>De desemnat</ns0:t>
        </ns0:is>
      </ns0:c>
      <ns0:c r="L4" s="8">
        <ns0:f>Catalog_100!I2</ns0:f>
        <ns0:v>60000</ns0:v>
      </ns0:c>
      <ns0:c r="M4" s="13">
        <ns0:f>Catalog_100!J2</ns0:f>
        <ns0:v>46298.0</ns0:v>
      </ns0:c>
      <ns0:c r="N4" s="13">
        <ns0:f>Catalog_100!K2</ns0:f>
        <ns0:v>46301.0</ns0:v>
      </ns0:c>
      <ns0:c r="O4" s="13">
        <ns0:f>Catalog_100!L2</ns0:f>
        <ns0:v>46303.0</ns0:v>
      </ns0:c>
      <ns0:c r="P4" s="13">
        <ns0:f>Catalog_100!M2</ns0:f>
        <ns0:v>46305.0</ns0:v>
      </ns0:c>
      <ns0:c r="Q4" s="11" t="inlineStr"/>
      <ns0:c r="R4" s="10" t="inlineStr"/>
      <ns0:c r="S4" s="11" t="inlineStr"/>
      <ns0:c r="T4" s="11" t="inlineStr"/>
      <ns0:c r="U4" s="11" t="inlineStr"/>
      <ns0:c r="V4" s="11" t="inlineStr">
        <ns0:is>
          <ns0:t>Neconfirmat</ns0:t>
        </ns0:is>
      </ns0:c>
      <ns0:c r="W4" s="11" t="inlineStr">
        <ns0:is>
          <ns0:t>Fără ediție finală confirmată</ns0:t>
        </ns0:is>
      </ns0:c>
      <ns0:c r="X4" s="7">
        <ns0:f>IF(AND(J4="Publicat",Q4&lt;&gt;"",ISNUMBER(R4),S4&lt;&gt;"",U4&lt;&gt;"",V4="Confirmat"),1,0)</ns0:f>
        <ns0:v>0</ns0:v>
      </ns0:c>
    </ns0:row>
    <ns0:row r="5" ht="46" customHeight="1">
      <ns0:c r="A5" s="7" t="inlineStr">
        <ns0:is>
          <ns0:t>DB-002-EN</ns0:t>
        </ns0:is>
      </ns0:c>
      <ns0:c r="B5" s="7" t="inlineStr">
        <ns0:is>
          <ns0:t>DB-002</ns0:t>
        </ns0:is>
      </ns0:c>
      <ns0:c r="C5" s="7" t="inlineStr">
        <ns0:is>
          <ns0:t>NOIR</ns0:t>
        </ns0:is>
      </ns0:c>
      <ns0:c r="D5" s="7" t="inlineStr">
        <ns0:is>
          <ns0:t>Cronicile Transilvaniei</ns0:t>
        </ns0:is>
      </ns0:c>
      <ns0:c r="E5" s="8" t="n">
        <ns0:v>2</ns0:v>
      </ns0:c>
      <ns0:c r="F5" s="7" t="inlineStr">
        <ns0:is>
          <ns0:t>Marienburg: Sigiliul Fecioarei</ns0:t>
        </ns0:is>
      </ns0:c>
      <ns0:c r="G5" s="7" t="inlineStr">
        <ns0:is>
          <ns0:t>EN</ns0:t>
        </ns0:is>
      </ns0:c>
      <ns0:c r="H5" s="7" t="inlineStr">
        <ns0:is>
          <ns0:t>RO</ns0:t>
        </ns0:is>
      </ns0:c>
      <ns0:c r="I5" s="7" t="inlineStr">
        <ns0:is>
          <ns0:t>Traducere RO→EN</ns0:t>
        </ns0:is>
      </ns0:c>
      <ns0:c r="J5" s="11" t="inlineStr">
        <ns0:is>
          <ns0:t>Planificat</ns0:t>
        </ns0:is>
      </ns0:c>
      <ns0:c r="K5" s="11" t="inlineStr">
        <ns0:is>
          <ns0:t>De desemnat</ns0:t>
        </ns0:is>
      </ns0:c>
      <ns0:c r="L5" s="8">
        <ns0:f>Catalog_100!I3</ns0:f>
        <ns0:v>70000</ns0:v>
      </ns0:c>
      <ns0:c r="M5" s="13">
        <ns0:f>Catalog_100!J3</ns0:f>
        <ns0:v>46305.0</ns0:v>
      </ns0:c>
      <ns0:c r="N5" s="13">
        <ns0:f>Catalog_100!K3</ns0:f>
        <ns0:v>46315.0</ns0:v>
      </ns0:c>
      <ns0:c r="O5" s="13">
        <ns0:f>Catalog_100!L3</ns0:f>
        <ns0:v>46317.0</ns0:v>
      </ns0:c>
      <ns0:c r="P5" s="13">
        <ns0:f>Catalog_100!M3</ns0:f>
        <ns0:v>46319.0</ns0:v>
      </ns0:c>
      <ns0:c r="Q5" s="11" t="inlineStr"/>
      <ns0:c r="R5" s="10" t="inlineStr"/>
      <ns0:c r="S5" s="11" t="inlineStr"/>
      <ns0:c r="T5" s="11" t="inlineStr"/>
      <ns0:c r="U5" s="11" t="inlineStr"/>
      <ns0:c r="V5" s="11" t="inlineStr">
        <ns0:is>
          <ns0:t>Neconfirmat</ns0:t>
        </ns0:is>
      </ns0:c>
      <ns0:c r="W5" s="11" t="inlineStr">
        <ns0:is>
          <ns0:t>Fără ediție finală confirmată</ns0:t>
        </ns0:is>
      </ns0:c>
      <ns0:c r="X5" s="7">
        <ns0:f>IF(AND(J5="Publicat",Q5&lt;&gt;"",ISNUMBER(R5),S5&lt;&gt;"",U5&lt;&gt;"",V5="Confirmat"),1,0)</ns0:f>
        <ns0:v>0</ns0:v>
      </ns0:c>
    </ns0:row>
    <ns0:row r="6" ht="46" customHeight="1">
      <ns0:c r="A6" s="7" t="inlineStr">
        <ns0:is>
          <ns0:t>DB-002-RO</ns0:t>
        </ns0:is>
      </ns0:c>
      <ns0:c r="B6" s="7" t="inlineStr">
        <ns0:is>
          <ns0:t>DB-002</ns0:t>
        </ns0:is>
      </ns0:c>
      <ns0:c r="C6" s="7" t="inlineStr">
        <ns0:is>
          <ns0:t>NOIR</ns0:t>
        </ns0:is>
      </ns0:c>
      <ns0:c r="D6" s="7" t="inlineStr">
        <ns0:is>
          <ns0:t>Cronicile Transilvaniei</ns0:t>
        </ns0:is>
      </ns0:c>
      <ns0:c r="E6" s="8" t="n">
        <ns0:v>2</ns0:v>
      </ns0:c>
      <ns0:c r="F6" s="7" t="inlineStr">
        <ns0:is>
          <ns0:t>Marienburg: Sigiliul Fecioarei</ns0:t>
        </ns0:is>
      </ns0:c>
      <ns0:c r="G6" s="7" t="inlineStr">
        <ns0:is>
          <ns0:t>RO</ns0:t>
        </ns0:is>
      </ns0:c>
      <ns0:c r="H6" s="7" t="inlineStr">
        <ns0:is>
          <ns0:t>RO</ns0:t>
        </ns0:is>
      </ns0:c>
      <ns0:c r="I6" s="7" t="inlineStr">
        <ns0:is>
          <ns0:t>Editare fond</ns0:t>
        </ns0:is>
      </ns0:c>
      <ns0:c r="J6" s="11" t="inlineStr">
        <ns0:is>
          <ns0:t>Manuscris existent</ns0:t>
        </ns0:is>
      </ns0:c>
      <ns0:c r="K6" s="11" t="inlineStr">
        <ns0:is>
          <ns0:t>De desemnat</ns0:t>
        </ns0:is>
      </ns0:c>
      <ns0:c r="L6" s="8">
        <ns0:f>Catalog_100!I3</ns0:f>
        <ns0:v>70000</ns0:v>
      </ns0:c>
      <ns0:c r="M6" s="13">
        <ns0:f>Catalog_100!J3</ns0:f>
        <ns0:v>46305.0</ns0:v>
      </ns0:c>
      <ns0:c r="N6" s="13">
        <ns0:f>Catalog_100!K3</ns0:f>
        <ns0:v>46315.0</ns0:v>
      </ns0:c>
      <ns0:c r="O6" s="13">
        <ns0:f>Catalog_100!L3</ns0:f>
        <ns0:v>46317.0</ns0:v>
      </ns0:c>
      <ns0:c r="P6" s="13">
        <ns0:f>Catalog_100!M3</ns0:f>
        <ns0:v>46319.0</ns0:v>
      </ns0:c>
      <ns0:c r="Q6" s="11" t="inlineStr"/>
      <ns0:c r="R6" s="10" t="inlineStr"/>
      <ns0:c r="S6" s="11" t="inlineStr"/>
      <ns0:c r="T6" s="11" t="inlineStr"/>
      <ns0:c r="U6" s="11" t="inlineStr"/>
      <ns0:c r="V6" s="11" t="inlineStr">
        <ns0:is>
          <ns0:t>Neconfirmat</ns0:t>
        </ns0:is>
      </ns0:c>
      <ns0:c r="W6" s="11" t="inlineStr">
        <ns0:is>
          <ns0:t>Circa 76,8k cuvinte brute, nu 85–95k confirmate; marcaje și epoci de verificat.</ns0:t>
        </ns0:is>
      </ns0:c>
      <ns0:c r="X6" s="7">
        <ns0:f>IF(AND(J6="Publicat",Q6&lt;&gt;"",ISNUMBER(R6),S6&lt;&gt;"",U6&lt;&gt;"",V6="Confirmat"),1,0)</ns0:f>
        <ns0:v>0</ns0:v>
      </ns0:c>
    </ns0:row>
    <ns0:row r="7" ht="46" customHeight="1">
      <ns0:c r="A7" s="7" t="inlineStr">
        <ns0:is>
          <ns0:t>DB-002-DE</ns0:t>
        </ns0:is>
      </ns0:c>
      <ns0:c r="B7" s="7" t="inlineStr">
        <ns0:is>
          <ns0:t>DB-002</ns0:t>
        </ns0:is>
      </ns0:c>
      <ns0:c r="C7" s="7" t="inlineStr">
        <ns0:is>
          <ns0:t>NOIR</ns0:t>
        </ns0:is>
      </ns0:c>
      <ns0:c r="D7" s="7" t="inlineStr">
        <ns0:is>
          <ns0:t>Cronicile Transilvaniei</ns0:t>
        </ns0:is>
      </ns0:c>
      <ns0:c r="E7" s="8" t="n">
        <ns0:v>2</ns0:v>
      </ns0:c>
      <ns0:c r="F7" s="7" t="inlineStr">
        <ns0:is>
          <ns0:t>Marienburg: Sigiliul Fecioarei</ns0:t>
        </ns0:is>
      </ns0:c>
      <ns0:c r="G7" s="7" t="inlineStr">
        <ns0:is>
          <ns0:t>DE</ns0:t>
        </ns0:is>
      </ns0:c>
      <ns0:c r="H7" s="7" t="inlineStr">
        <ns0:is>
          <ns0:t>RO</ns0:t>
        </ns0:is>
      </ns0:c>
      <ns0:c r="I7" s="7" t="inlineStr">
        <ns0:is>
          <ns0:t>Traducere RO→DE</ns0:t>
        </ns0:is>
      </ns0:c>
      <ns0:c r="J7" s="11" t="inlineStr">
        <ns0:is>
          <ns0:t>Planificat</ns0:t>
        </ns0:is>
      </ns0:c>
      <ns0:c r="K7" s="11" t="inlineStr">
        <ns0:is>
          <ns0:t>De desemnat</ns0:t>
        </ns0:is>
      </ns0:c>
      <ns0:c r="L7" s="8">
        <ns0:f>Catalog_100!I3</ns0:f>
        <ns0:v>70000</ns0:v>
      </ns0:c>
      <ns0:c r="M7" s="13">
        <ns0:f>Catalog_100!J3</ns0:f>
        <ns0:v>46305.0</ns0:v>
      </ns0:c>
      <ns0:c r="N7" s="13">
        <ns0:f>Catalog_100!K3</ns0:f>
        <ns0:v>46315.0</ns0:v>
      </ns0:c>
      <ns0:c r="O7" s="13">
        <ns0:f>Catalog_100!L3</ns0:f>
        <ns0:v>46317.0</ns0:v>
      </ns0:c>
      <ns0:c r="P7" s="13">
        <ns0:f>Catalog_100!M3</ns0:f>
        <ns0:v>46319.0</ns0:v>
      </ns0:c>
      <ns0:c r="Q7" s="11" t="inlineStr"/>
      <ns0:c r="R7" s="10" t="inlineStr"/>
      <ns0:c r="S7" s="11" t="inlineStr"/>
      <ns0:c r="T7" s="11" t="inlineStr"/>
      <ns0:c r="U7" s="11" t="inlineStr"/>
      <ns0:c r="V7" s="11" t="inlineStr">
        <ns0:is>
          <ns0:t>Neconfirmat</ns0:t>
        </ns0:is>
      </ns0:c>
      <ns0:c r="W7" s="11" t="inlineStr">
        <ns0:is>
          <ns0:t>Fără ediție finală confirmată</ns0:t>
        </ns0:is>
      </ns0:c>
      <ns0:c r="X7" s="7">
        <ns0:f>IF(AND(J7="Publicat",Q7&lt;&gt;"",ISNUMBER(R7),S7&lt;&gt;"",U7&lt;&gt;"",V7="Confirmat"),1,0)</ns0:f>
        <ns0:v>0</ns0:v>
      </ns0:c>
    </ns0:row>
    <ns0:row r="8" ht="46" customHeight="1">
      <ns0:c r="A8" s="7" t="inlineStr">
        <ns0:is>
          <ns0:t>DB-003-EN</ns0:t>
        </ns0:is>
      </ns0:c>
      <ns0:c r="B8" s="7" t="inlineStr">
        <ns0:is>
          <ns0:t>DB-003</ns0:t>
        </ns0:is>
      </ns0:c>
      <ns0:c r="C8" s="7" t="inlineStr">
        <ns0:is>
          <ns0:t>NOIR</ns0:t>
        </ns0:is>
      </ns0:c>
      <ns0:c r="D8" s="7" t="inlineStr">
        <ns0:is>
          <ns0:t>Cronicile Transilvaniei</ns0:t>
        </ns0:is>
      </ns0:c>
      <ns0:c r="E8" s="8" t="n">
        <ns0:v>3</ns0:v>
      </ns0:c>
      <ns0:c r="F8" s="7" t="inlineStr">
        <ns0:is>
          <ns0:t>Sânge și Sare la Schäßburg</ns0:t>
        </ns0:is>
      </ns0:c>
      <ns0:c r="G8" s="7" t="inlineStr">
        <ns0:is>
          <ns0:t>EN</ns0:t>
        </ns0:is>
      </ns0:c>
      <ns0:c r="H8" s="7" t="inlineStr">
        <ns0:is>
          <ns0:t>RO</ns0:t>
        </ns0:is>
      </ns0:c>
      <ns0:c r="I8" s="7" t="inlineStr">
        <ns0:is>
          <ns0:t>Traducere RO→EN</ns0:t>
        </ns0:is>
      </ns0:c>
      <ns0:c r="J8" s="11" t="inlineStr">
        <ns0:is>
          <ns0:t>Planificat</ns0:t>
        </ns0:is>
      </ns0:c>
      <ns0:c r="K8" s="11" t="inlineStr">
        <ns0:is>
          <ns0:t>De desemnat</ns0:t>
        </ns0:is>
      </ns0:c>
      <ns0:c r="L8" s="8">
        <ns0:f>Catalog_100!I4</ns0:f>
        <ns0:v>80000</ns0:v>
      </ns0:c>
      <ns0:c r="M8" s="13">
        <ns0:f>Catalog_100!J4</ns0:f>
        <ns0:v>46305.0</ns0:v>
      </ns0:c>
      <ns0:c r="N8" s="13">
        <ns0:f>Catalog_100!K4</ns0:f>
        <ns0:v>46315.0</ns0:v>
      </ns0:c>
      <ns0:c r="O8" s="13">
        <ns0:f>Catalog_100!L4</ns0:f>
        <ns0:v>46317.0</ns0:v>
      </ns0:c>
      <ns0:c r="P8" s="13">
        <ns0:f>Catalog_100!M4</ns0:f>
        <ns0:v>46319.0</ns0:v>
      </ns0:c>
      <ns0:c r="Q8" s="11" t="inlineStr"/>
      <ns0:c r="R8" s="10" t="inlineStr"/>
      <ns0:c r="S8" s="11" t="inlineStr"/>
      <ns0:c r="T8" s="11" t="inlineStr"/>
      <ns0:c r="U8" s="11" t="inlineStr"/>
      <ns0:c r="V8" s="11" t="inlineStr">
        <ns0:is>
          <ns0:t>Neconfirmat</ns0:t>
        </ns0:is>
      </ns0:c>
      <ns0:c r="W8" s="11" t="inlineStr">
        <ns0:is>
          <ns0:t>Fără ediție finală confirmată</ns0:t>
        </ns0:is>
      </ns0:c>
      <ns0:c r="X8" s="7">
        <ns0:f>IF(AND(J8="Publicat",Q8&lt;&gt;"",ISNUMBER(R8),S8&lt;&gt;"",U8&lt;&gt;"",V8="Confirmat"),1,0)</ns0:f>
        <ns0:v>0</ns0:v>
      </ns0:c>
    </ns0:row>
    <ns0:row r="9" ht="46" customHeight="1">
      <ns0:c r="A9" s="7" t="inlineStr">
        <ns0:is>
          <ns0:t>DB-003-RO</ns0:t>
        </ns0:is>
      </ns0:c>
      <ns0:c r="B9" s="7" t="inlineStr">
        <ns0:is>
          <ns0:t>DB-003</ns0:t>
        </ns0:is>
      </ns0:c>
      <ns0:c r="C9" s="7" t="inlineStr">
        <ns0:is>
          <ns0:t>NOIR</ns0:t>
        </ns0:is>
      </ns0:c>
      <ns0:c r="D9" s="7" t="inlineStr">
        <ns0:is>
          <ns0:t>Cronicile Transilvaniei</ns0:t>
        </ns0:is>
      </ns0:c>
      <ns0:c r="E9" s="8" t="n">
        <ns0:v>3</ns0:v>
      </ns0:c>
      <ns0:c r="F9" s="7" t="inlineStr">
        <ns0:is>
          <ns0:t>Sânge și Sare la Schäßburg</ns0:t>
        </ns0:is>
      </ns0:c>
      <ns0:c r="G9" s="7" t="inlineStr">
        <ns0:is>
          <ns0:t>RO</ns0:t>
        </ns0:is>
      </ns0:c>
      <ns0:c r="H9" s="7" t="inlineStr">
        <ns0:is>
          <ns0:t>RO</ns0:t>
        </ns0:is>
      </ns0:c>
      <ns0:c r="I9" s="7" t="inlineStr">
        <ns0:is>
          <ns0:t>Editare fond</ns0:t>
        </ns0:is>
      </ns0:c>
      <ns0:c r="J9" s="11" t="inlineStr">
        <ns0:is>
          <ns0:t>Manuscris existent</ns0:t>
        </ns0:is>
      </ns0:c>
      <ns0:c r="K9" s="11" t="inlineStr">
        <ns0:is>
          <ns0:t>De desemnat</ns0:t>
        </ns0:is>
      </ns0:c>
      <ns0:c r="L9" s="8">
        <ns0:f>Catalog_100!I4</ns0:f>
        <ns0:v>80000</ns0:v>
      </ns0:c>
      <ns0:c r="M9" s="13">
        <ns0:f>Catalog_100!J4</ns0:f>
        <ns0:v>46305.0</ns0:v>
      </ns0:c>
      <ns0:c r="N9" s="13">
        <ns0:f>Catalog_100!K4</ns0:f>
        <ns0:v>46315.0</ns0:v>
      </ns0:c>
      <ns0:c r="O9" s="13">
        <ns0:f>Catalog_100!L4</ns0:f>
        <ns0:v>46317.0</ns0:v>
      </ns0:c>
      <ns0:c r="P9" s="13">
        <ns0:f>Catalog_100!M4</ns0:f>
        <ns0:v>46319.0</ns0:v>
      </ns0:c>
      <ns0:c r="Q9" s="11" t="inlineStr"/>
      <ns0:c r="R9" s="10" t="inlineStr"/>
      <ns0:c r="S9" s="11" t="inlineStr"/>
      <ns0:c r="T9" s="11" t="inlineStr"/>
      <ns0:c r="U9" s="11" t="inlineStr"/>
      <ns0:c r="V9" s="11" t="inlineStr">
        <ns0:is>
          <ns0:t>Neconfirmat</ns0:t>
        </ns0:is>
      </ns0:c>
      <ns0:c r="W9" s="11" t="inlineStr">
        <ns0:is>
          <ns0:t>Titlul interior diferă de copertă/site; prefată de proces AI și note de eliminat.</ns0:t>
        </ns0:is>
      </ns0:c>
      <ns0:c r="X9" s="7">
        <ns0:f>IF(AND(J9="Publicat",Q9&lt;&gt;"",ISNUMBER(R9),S9&lt;&gt;"",U9&lt;&gt;"",V9="Confirmat"),1,0)</ns0:f>
        <ns0:v>0</ns0:v>
      </ns0:c>
    </ns0:row>
    <ns0:row r="10" ht="46" customHeight="1">
      <ns0:c r="A10" s="7" t="inlineStr">
        <ns0:is>
          <ns0:t>DB-003-DE</ns0:t>
        </ns0:is>
      </ns0:c>
      <ns0:c r="B10" s="7" t="inlineStr">
        <ns0:is>
          <ns0:t>DB-003</ns0:t>
        </ns0:is>
      </ns0:c>
      <ns0:c r="C10" s="7" t="inlineStr">
        <ns0:is>
          <ns0:t>NOIR</ns0:t>
        </ns0:is>
      </ns0:c>
      <ns0:c r="D10" s="7" t="inlineStr">
        <ns0:is>
          <ns0:t>Cronicile Transilvaniei</ns0:t>
        </ns0:is>
      </ns0:c>
      <ns0:c r="E10" s="8" t="n">
        <ns0:v>3</ns0:v>
      </ns0:c>
      <ns0:c r="F10" s="7" t="inlineStr">
        <ns0:is>
          <ns0:t>Sânge și Sare la Schäßburg</ns0:t>
        </ns0:is>
      </ns0:c>
      <ns0:c r="G10" s="7" t="inlineStr">
        <ns0:is>
          <ns0:t>DE</ns0:t>
        </ns0:is>
      </ns0:c>
      <ns0:c r="H10" s="7" t="inlineStr">
        <ns0:is>
          <ns0:t>RO</ns0:t>
        </ns0:is>
      </ns0:c>
      <ns0:c r="I10" s="7" t="inlineStr">
        <ns0:is>
          <ns0:t>Traducere RO→DE</ns0:t>
        </ns0:is>
      </ns0:c>
      <ns0:c r="J10" s="11" t="inlineStr">
        <ns0:is>
          <ns0:t>Planificat</ns0:t>
        </ns0:is>
      </ns0:c>
      <ns0:c r="K10" s="11" t="inlineStr">
        <ns0:is>
          <ns0:t>De desemnat</ns0:t>
        </ns0:is>
      </ns0:c>
      <ns0:c r="L10" s="8">
        <ns0:f>Catalog_100!I4</ns0:f>
        <ns0:v>80000</ns0:v>
      </ns0:c>
      <ns0:c r="M10" s="13">
        <ns0:f>Catalog_100!J4</ns0:f>
        <ns0:v>46305.0</ns0:v>
      </ns0:c>
      <ns0:c r="N10" s="13">
        <ns0:f>Catalog_100!K4</ns0:f>
        <ns0:v>46315.0</ns0:v>
      </ns0:c>
      <ns0:c r="O10" s="13">
        <ns0:f>Catalog_100!L4</ns0:f>
        <ns0:v>46317.0</ns0:v>
      </ns0:c>
      <ns0:c r="P10" s="13">
        <ns0:f>Catalog_100!M4</ns0:f>
        <ns0:v>46319.0</ns0:v>
      </ns0:c>
      <ns0:c r="Q10" s="11" t="inlineStr"/>
      <ns0:c r="R10" s="10" t="inlineStr"/>
      <ns0:c r="S10" s="11" t="inlineStr"/>
      <ns0:c r="T10" s="11" t="inlineStr"/>
      <ns0:c r="U10" s="11" t="inlineStr"/>
      <ns0:c r="V10" s="11" t="inlineStr">
        <ns0:is>
          <ns0:t>Neconfirmat</ns0:t>
        </ns0:is>
      </ns0:c>
      <ns0:c r="W10" s="11" t="inlineStr">
        <ns0:is>
          <ns0:t>Fără ediție finală confirmată</ns0:t>
        </ns0:is>
      </ns0:c>
      <ns0:c r="X10" s="7">
        <ns0:f>IF(AND(J10="Publicat",Q10&lt;&gt;"",ISNUMBER(R10),S10&lt;&gt;"",U10&lt;&gt;"",V10="Confirmat"),1,0)</ns0:f>
        <ns0:v>0</ns0:v>
      </ns0:c>
    </ns0:row>
    <ns0:row r="11" ht="46" customHeight="1">
      <ns0:c r="A11" s="7" t="inlineStr">
        <ns0:is>
          <ns0:t>DB-004-EN</ns0:t>
        </ns0:is>
      </ns0:c>
      <ns0:c r="B11" s="7" t="inlineStr">
        <ns0:is>
          <ns0:t>DB-004</ns0:t>
        </ns0:is>
      </ns0:c>
      <ns0:c r="C11" s="7" t="inlineStr">
        <ns0:is>
          <ns0:t>NOIR</ns0:t>
        </ns0:is>
      </ns0:c>
      <ns0:c r="D11" s="7" t="inlineStr">
        <ns0:is>
          <ns0:t>Cronicile Transilvaniei</ns0:t>
        </ns0:is>
      </ns0:c>
      <ns0:c r="E11" s="8" t="n">
        <ns0:v>4</ns0:v>
      </ns0:c>
      <ns0:c r="F11" s="7" t="inlineStr">
        <ns0:is>
          <ns0:t>The Bellmaker of Brașov</ns0:t>
        </ns0:is>
      </ns0:c>
      <ns0:c r="G11" s="7" t="inlineStr">
        <ns0:is>
          <ns0:t>EN</ns0:t>
        </ns0:is>
      </ns0:c>
      <ns0:c r="H11" s="7" t="inlineStr">
        <ns0:is>
          <ns0:t>EN</ns0:t>
        </ns0:is>
      </ns0:c>
      <ns0:c r="I11" s="7" t="inlineStr">
        <ns0:is>
          <ns0:t>Scriere nouă</ns0:t>
        </ns0:is>
      </ns0:c>
      <ns0:c r="J11" s="11" t="inlineStr">
        <ns0:is>
          <ns0:t>Planificat</ns0:t>
        </ns0:is>
      </ns0:c>
      <ns0:c r="K11" s="11" t="inlineStr">
        <ns0:is>
          <ns0:t>De desemnat</ns0:t>
        </ns0:is>
      </ns0:c>
      <ns0:c r="L11" s="8">
        <ns0:f>Catalog_100!I5</ns0:f>
        <ns0:v>60000</ns0:v>
      </ns0:c>
      <ns0:c r="M11" s="13">
        <ns0:f>Catalog_100!J5</ns0:f>
        <ns0:v>46318.0</ns0:v>
      </ns0:c>
      <ns0:c r="N11" s="13">
        <ns0:f>Catalog_100!K5</ns0:f>
        <ns0:v>46336.0</ns0:v>
      </ns0:c>
      <ns0:c r="O11" s="13">
        <ns0:f>Catalog_100!L5</ns0:f>
        <ns0:v>46338.0</ns0:v>
      </ns0:c>
      <ns0:c r="P11" s="13">
        <ns0:f>Catalog_100!M5</ns0:f>
        <ns0:v>46340.0</ns0:v>
      </ns0:c>
      <ns0:c r="Q11" s="11" t="inlineStr"/>
      <ns0:c r="R11" s="10" t="inlineStr"/>
      <ns0:c r="S11" s="11" t="inlineStr"/>
      <ns0:c r="T11" s="11" t="inlineStr"/>
      <ns0:c r="U11" s="11" t="inlineStr"/>
      <ns0:c r="V11" s="11" t="inlineStr">
        <ns0:is>
          <ns0:t>Neconfirmat</ns0:t>
        </ns0:is>
      </ns0:c>
      <ns0:c r="W11" s="11" t="inlineStr">
        <ns0:is>
          <ns0:t>Fără ediție finală confirmată</ns0:t>
        </ns0:is>
      </ns0:c>
      <ns0:c r="X11" s="7">
        <ns0:f>IF(AND(J11="Publicat",Q11&lt;&gt;"",ISNUMBER(R11),S11&lt;&gt;"",U11&lt;&gt;"",V11="Confirmat"),1,0)</ns0:f>
        <ns0:v>0</ns0:v>
      </ns0:c>
    </ns0:row>
    <ns0:row r="12" ht="46" customHeight="1">
      <ns0:c r="A12" s="7" t="inlineStr">
        <ns0:is>
          <ns0:t>DB-004-RO</ns0:t>
        </ns0:is>
      </ns0:c>
      <ns0:c r="B12" s="7" t="inlineStr">
        <ns0:is>
          <ns0:t>DB-004</ns0:t>
        </ns0:is>
      </ns0:c>
      <ns0:c r="C12" s="7" t="inlineStr">
        <ns0:is>
          <ns0:t>NOIR</ns0:t>
        </ns0:is>
      </ns0:c>
      <ns0:c r="D12" s="7" t="inlineStr">
        <ns0:is>
          <ns0:t>Cronicile Transilvaniei</ns0:t>
        </ns0:is>
      </ns0:c>
      <ns0:c r="E12" s="8" t="n">
        <ns0:v>4</ns0:v>
      </ns0:c>
      <ns0:c r="F12" s="7" t="inlineStr">
        <ns0:is>
          <ns0:t>The Bellmaker of Brașov</ns0:t>
        </ns0:is>
      </ns0:c>
      <ns0:c r="G12" s="7" t="inlineStr">
        <ns0:is>
          <ns0:t>RO</ns0:t>
        </ns0:is>
      </ns0:c>
      <ns0:c r="H12" s="7" t="inlineStr">
        <ns0:is>
          <ns0:t>EN</ns0:t>
        </ns0:is>
      </ns0:c>
      <ns0:c r="I12" s="7" t="inlineStr">
        <ns0:is>
          <ns0:t>Traducere EN→RO</ns0:t>
        </ns0:is>
      </ns0:c>
      <ns0:c r="J12" s="11" t="inlineStr">
        <ns0:is>
          <ns0:t>Planificat</ns0:t>
        </ns0:is>
      </ns0:c>
      <ns0:c r="K12" s="11" t="inlineStr">
        <ns0:is>
          <ns0:t>De desemnat</ns0:t>
        </ns0:is>
      </ns0:c>
      <ns0:c r="L12" s="8">
        <ns0:f>Catalog_100!I5</ns0:f>
        <ns0:v>60000</ns0:v>
      </ns0:c>
      <ns0:c r="M12" s="13">
        <ns0:f>Catalog_100!J5</ns0:f>
        <ns0:v>46318.0</ns0:v>
      </ns0:c>
      <ns0:c r="N12" s="13">
        <ns0:f>Catalog_100!K5</ns0:f>
        <ns0:v>46336.0</ns0:v>
      </ns0:c>
      <ns0:c r="O12" s="13">
        <ns0:f>Catalog_100!L5</ns0:f>
        <ns0:v>46338.0</ns0:v>
      </ns0:c>
      <ns0:c r="P12" s="13">
        <ns0:f>Catalog_100!M5</ns0:f>
        <ns0:v>46340.0</ns0:v>
      </ns0:c>
      <ns0:c r="Q12" s="11" t="inlineStr"/>
      <ns0:c r="R12" s="10" t="inlineStr"/>
      <ns0:c r="S12" s="11" t="inlineStr"/>
      <ns0:c r="T12" s="11" t="inlineStr"/>
      <ns0:c r="U12" s="11" t="inlineStr"/>
      <ns0:c r="V12" s="11" t="inlineStr">
        <ns0:is>
          <ns0:t>Neconfirmat</ns0:t>
        </ns0:is>
      </ns0:c>
      <ns0:c r="W12" s="11" t="inlineStr">
        <ns0:is>
          <ns0:t>Fără ediție finală confirmată</ns0:t>
        </ns0:is>
      </ns0:c>
      <ns0:c r="X12" s="7">
        <ns0:f>IF(AND(J12="Publicat",Q12&lt;&gt;"",ISNUMBER(R12),S12&lt;&gt;"",U12&lt;&gt;"",V12="Confirmat"),1,0)</ns0:f>
        <ns0:v>0</ns0:v>
      </ns0:c>
    </ns0:row>
    <ns0:row r="13" ht="46" customHeight="1">
      <ns0:c r="A13" s="7" t="inlineStr">
        <ns0:is>
          <ns0:t>DB-004-DE</ns0:t>
        </ns0:is>
      </ns0:c>
      <ns0:c r="B13" s="7" t="inlineStr">
        <ns0:is>
          <ns0:t>DB-004</ns0:t>
        </ns0:is>
      </ns0:c>
      <ns0:c r="C13" s="7" t="inlineStr">
        <ns0:is>
          <ns0:t>NOIR</ns0:t>
        </ns0:is>
      </ns0:c>
      <ns0:c r="D13" s="7" t="inlineStr">
        <ns0:is>
          <ns0:t>Cronicile Transilvaniei</ns0:t>
        </ns0:is>
      </ns0:c>
      <ns0:c r="E13" s="8" t="n">
        <ns0:v>4</ns0:v>
      </ns0:c>
      <ns0:c r="F13" s="7" t="inlineStr">
        <ns0:is>
          <ns0:t>The Bellmaker of Brașov</ns0:t>
        </ns0:is>
      </ns0:c>
      <ns0:c r="G13" s="7" t="inlineStr">
        <ns0:is>
          <ns0:t>DE</ns0:t>
        </ns0:is>
      </ns0:c>
      <ns0:c r="H13" s="7" t="inlineStr">
        <ns0:is>
          <ns0:t>EN</ns0:t>
        </ns0:is>
      </ns0:c>
      <ns0:c r="I13" s="7" t="inlineStr">
        <ns0:is>
          <ns0:t>Traducere EN→DE</ns0:t>
        </ns0:is>
      </ns0:c>
      <ns0:c r="J13" s="11" t="inlineStr">
        <ns0:is>
          <ns0:t>Planificat</ns0:t>
        </ns0:is>
      </ns0:c>
      <ns0:c r="K13" s="11" t="inlineStr">
        <ns0:is>
          <ns0:t>De desemnat</ns0:t>
        </ns0:is>
      </ns0:c>
      <ns0:c r="L13" s="8">
        <ns0:f>Catalog_100!I5</ns0:f>
        <ns0:v>60000</ns0:v>
      </ns0:c>
      <ns0:c r="M13" s="13">
        <ns0:f>Catalog_100!J5</ns0:f>
        <ns0:v>46318.0</ns0:v>
      </ns0:c>
      <ns0:c r="N13" s="13">
        <ns0:f>Catalog_100!K5</ns0:f>
        <ns0:v>46336.0</ns0:v>
      </ns0:c>
      <ns0:c r="O13" s="13">
        <ns0:f>Catalog_100!L5</ns0:f>
        <ns0:v>46338.0</ns0:v>
      </ns0:c>
      <ns0:c r="P13" s="13">
        <ns0:f>Catalog_100!M5</ns0:f>
        <ns0:v>46340.0</ns0:v>
      </ns0:c>
      <ns0:c r="Q13" s="11" t="inlineStr"/>
      <ns0:c r="R13" s="10" t="inlineStr"/>
      <ns0:c r="S13" s="11" t="inlineStr"/>
      <ns0:c r="T13" s="11" t="inlineStr"/>
      <ns0:c r="U13" s="11" t="inlineStr"/>
      <ns0:c r="V13" s="11" t="inlineStr">
        <ns0:is>
          <ns0:t>Neconfirmat</ns0:t>
        </ns0:is>
      </ns0:c>
      <ns0:c r="W13" s="11" t="inlineStr">
        <ns0:is>
          <ns0:t>Fără ediție finală confirmată</ns0:t>
        </ns0:is>
      </ns0:c>
      <ns0:c r="X13" s="7">
        <ns0:f>IF(AND(J13="Publicat",Q13&lt;&gt;"",ISNUMBER(R13),S13&lt;&gt;"",U13&lt;&gt;"",V13="Confirmat"),1,0)</ns0:f>
        <ns0:v>0</ns0:v>
      </ns0:c>
    </ns0:row>
    <ns0:row r="14" ht="46" customHeight="1">
      <ns0:c r="A14" s="7" t="inlineStr">
        <ns0:is>
          <ns0:t>DB-005-EN</ns0:t>
        </ns0:is>
      </ns0:c>
      <ns0:c r="B14" s="7" t="inlineStr">
        <ns0:is>
          <ns0:t>DB-005</ns0:t>
        </ns0:is>
      </ns0:c>
      <ns0:c r="C14" s="7" t="inlineStr">
        <ns0:is>
          <ns0:t>NOIR</ns0:t>
        </ns0:is>
      </ns0:c>
      <ns0:c r="D14" s="7" t="inlineStr">
        <ns0:is>
          <ns0:t>Cronicile Transilvaniei</ns0:t>
        </ns0:is>
      </ns0:c>
      <ns0:c r="E14" s="8" t="n">
        <ns0:v>5</ns0:v>
      </ns0:c>
      <ns0:c r="F14" s="7" t="inlineStr">
        <ns0:is>
          <ns0:t>The Sibiu Testament</ns0:t>
        </ns0:is>
      </ns0:c>
      <ns0:c r="G14" s="7" t="inlineStr">
        <ns0:is>
          <ns0:t>EN</ns0:t>
        </ns0:is>
      </ns0:c>
      <ns0:c r="H14" s="7" t="inlineStr">
        <ns0:is>
          <ns0:t>EN</ns0:t>
        </ns0:is>
      </ns0:c>
      <ns0:c r="I14" s="7" t="inlineStr">
        <ns0:is>
          <ns0:t>Scriere nouă</ns0:t>
        </ns0:is>
      </ns0:c>
      <ns0:c r="J14" s="11" t="inlineStr">
        <ns0:is>
          <ns0:t>Planificat</ns0:t>
        </ns0:is>
      </ns0:c>
      <ns0:c r="K14" s="11" t="inlineStr">
        <ns0:is>
          <ns0:t>De desemnat</ns0:t>
        </ns0:is>
      </ns0:c>
      <ns0:c r="L14" s="8">
        <ns0:f>Catalog_100!I6</ns0:f>
        <ns0:v>60000</ns0:v>
      </ns0:c>
      <ns0:c r="M14" s="13">
        <ns0:f>Catalog_100!J6</ns0:f>
        <ns0:v>46318.0</ns0:v>
      </ns0:c>
      <ns0:c r="N14" s="13">
        <ns0:f>Catalog_100!K6</ns0:f>
        <ns0:v>46336.0</ns0:v>
      </ns0:c>
      <ns0:c r="O14" s="13">
        <ns0:f>Catalog_100!L6</ns0:f>
        <ns0:v>46338.0</ns0:v>
      </ns0:c>
      <ns0:c r="P14" s="13">
        <ns0:f>Catalog_100!M6</ns0:f>
        <ns0:v>46340.0</ns0:v>
      </ns0:c>
      <ns0:c r="Q14" s="11" t="inlineStr"/>
      <ns0:c r="R14" s="10" t="inlineStr"/>
      <ns0:c r="S14" s="11" t="inlineStr"/>
      <ns0:c r="T14" s="11" t="inlineStr"/>
      <ns0:c r="U14" s="11" t="inlineStr"/>
      <ns0:c r="V14" s="11" t="inlineStr">
        <ns0:is>
          <ns0:t>Neconfirmat</ns0:t>
        </ns0:is>
      </ns0:c>
      <ns0:c r="W14" s="11" t="inlineStr">
        <ns0:is>
          <ns0:t>Fără ediție finală confirmată</ns0:t>
        </ns0:is>
      </ns0:c>
      <ns0:c r="X14" s="7">
        <ns0:f>IF(AND(J14="Publicat",Q14&lt;&gt;"",ISNUMBER(R14),S14&lt;&gt;"",U14&lt;&gt;"",V14="Confirmat"),1,0)</ns0:f>
        <ns0:v>0</ns0:v>
      </ns0:c>
    </ns0:row>
    <ns0:row r="15" ht="46" customHeight="1">
      <ns0:c r="A15" s="7" t="inlineStr">
        <ns0:is>
          <ns0:t>DB-005-RO</ns0:t>
        </ns0:is>
      </ns0:c>
      <ns0:c r="B15" s="7" t="inlineStr">
        <ns0:is>
          <ns0:t>DB-005</ns0:t>
        </ns0:is>
      </ns0:c>
      <ns0:c r="C15" s="7" t="inlineStr">
        <ns0:is>
          <ns0:t>NOIR</ns0:t>
        </ns0:is>
      </ns0:c>
      <ns0:c r="D15" s="7" t="inlineStr">
        <ns0:is>
          <ns0:t>Cronicile Transilvaniei</ns0:t>
        </ns0:is>
      </ns0:c>
      <ns0:c r="E15" s="8" t="n">
        <ns0:v>5</ns0:v>
      </ns0:c>
      <ns0:c r="F15" s="7" t="inlineStr">
        <ns0:is>
          <ns0:t>The Sibiu Testament</ns0:t>
        </ns0:is>
      </ns0:c>
      <ns0:c r="G15" s="7" t="inlineStr">
        <ns0:is>
          <ns0:t>RO</ns0:t>
        </ns0:is>
      </ns0:c>
      <ns0:c r="H15" s="7" t="inlineStr">
        <ns0:is>
          <ns0:t>EN</ns0:t>
        </ns0:is>
      </ns0:c>
      <ns0:c r="I15" s="7" t="inlineStr">
        <ns0:is>
          <ns0:t>Traducere EN→RO</ns0:t>
        </ns0:is>
      </ns0:c>
      <ns0:c r="J15" s="11" t="inlineStr">
        <ns0:is>
          <ns0:t>Planificat</ns0:t>
        </ns0:is>
      </ns0:c>
      <ns0:c r="K15" s="11" t="inlineStr">
        <ns0:is>
          <ns0:t>De desemnat</ns0:t>
        </ns0:is>
      </ns0:c>
      <ns0:c r="L15" s="8">
        <ns0:f>Catalog_100!I6</ns0:f>
        <ns0:v>60000</ns0:v>
      </ns0:c>
      <ns0:c r="M15" s="13">
        <ns0:f>Catalog_100!J6</ns0:f>
        <ns0:v>46318.0</ns0:v>
      </ns0:c>
      <ns0:c r="N15" s="13">
        <ns0:f>Catalog_100!K6</ns0:f>
        <ns0:v>46336.0</ns0:v>
      </ns0:c>
      <ns0:c r="O15" s="13">
        <ns0:f>Catalog_100!L6</ns0:f>
        <ns0:v>46338.0</ns0:v>
      </ns0:c>
      <ns0:c r="P15" s="13">
        <ns0:f>Catalog_100!M6</ns0:f>
        <ns0:v>46340.0</ns0:v>
      </ns0:c>
      <ns0:c r="Q15" s="11" t="inlineStr"/>
      <ns0:c r="R15" s="10" t="inlineStr"/>
      <ns0:c r="S15" s="11" t="inlineStr"/>
      <ns0:c r="T15" s="11" t="inlineStr"/>
      <ns0:c r="U15" s="11" t="inlineStr"/>
      <ns0:c r="V15" s="11" t="inlineStr">
        <ns0:is>
          <ns0:t>Neconfirmat</ns0:t>
        </ns0:is>
      </ns0:c>
      <ns0:c r="W15" s="11" t="inlineStr">
        <ns0:is>
          <ns0:t>Fără ediție finală confirmată</ns0:t>
        </ns0:is>
      </ns0:c>
      <ns0:c r="X15" s="7">
        <ns0:f>IF(AND(J15="Publicat",Q15&lt;&gt;"",ISNUMBER(R15),S15&lt;&gt;"",U15&lt;&gt;"",V15="Confirmat"),1,0)</ns0:f>
        <ns0:v>0</ns0:v>
      </ns0:c>
    </ns0:row>
    <ns0:row r="16" ht="46" customHeight="1">
      <ns0:c r="A16" s="7" t="inlineStr">
        <ns0:is>
          <ns0:t>DB-005-DE</ns0:t>
        </ns0:is>
      </ns0:c>
      <ns0:c r="B16" s="7" t="inlineStr">
        <ns0:is>
          <ns0:t>DB-005</ns0:t>
        </ns0:is>
      </ns0:c>
      <ns0:c r="C16" s="7" t="inlineStr">
        <ns0:is>
          <ns0:t>NOIR</ns0:t>
        </ns0:is>
      </ns0:c>
      <ns0:c r="D16" s="7" t="inlineStr">
        <ns0:is>
          <ns0:t>Cronicile Transilvaniei</ns0:t>
        </ns0:is>
      </ns0:c>
      <ns0:c r="E16" s="8" t="n">
        <ns0:v>5</ns0:v>
      </ns0:c>
      <ns0:c r="F16" s="7" t="inlineStr">
        <ns0:is>
          <ns0:t>The Sibiu Testament</ns0:t>
        </ns0:is>
      </ns0:c>
      <ns0:c r="G16" s="7" t="inlineStr">
        <ns0:is>
          <ns0:t>DE</ns0:t>
        </ns0:is>
      </ns0:c>
      <ns0:c r="H16" s="7" t="inlineStr">
        <ns0:is>
          <ns0:t>EN</ns0:t>
        </ns0:is>
      </ns0:c>
      <ns0:c r="I16" s="7" t="inlineStr">
        <ns0:is>
          <ns0:t>Traducere EN→DE</ns0:t>
        </ns0:is>
      </ns0:c>
      <ns0:c r="J16" s="11" t="inlineStr">
        <ns0:is>
          <ns0:t>Planificat</ns0:t>
        </ns0:is>
      </ns0:c>
      <ns0:c r="K16" s="11" t="inlineStr">
        <ns0:is>
          <ns0:t>De desemnat</ns0:t>
        </ns0:is>
      </ns0:c>
      <ns0:c r="L16" s="8">
        <ns0:f>Catalog_100!I6</ns0:f>
        <ns0:v>60000</ns0:v>
      </ns0:c>
      <ns0:c r="M16" s="13">
        <ns0:f>Catalog_100!J6</ns0:f>
        <ns0:v>46318.0</ns0:v>
      </ns0:c>
      <ns0:c r="N16" s="13">
        <ns0:f>Catalog_100!K6</ns0:f>
        <ns0:v>46336.0</ns0:v>
      </ns0:c>
      <ns0:c r="O16" s="13">
        <ns0:f>Catalog_100!L6</ns0:f>
        <ns0:v>46338.0</ns0:v>
      </ns0:c>
      <ns0:c r="P16" s="13">
        <ns0:f>Catalog_100!M6</ns0:f>
        <ns0:v>46340.0</ns0:v>
      </ns0:c>
      <ns0:c r="Q16" s="11" t="inlineStr"/>
      <ns0:c r="R16" s="10" t="inlineStr"/>
      <ns0:c r="S16" s="11" t="inlineStr"/>
      <ns0:c r="T16" s="11" t="inlineStr"/>
      <ns0:c r="U16" s="11" t="inlineStr"/>
      <ns0:c r="V16" s="11" t="inlineStr">
        <ns0:is>
          <ns0:t>Neconfirmat</ns0:t>
        </ns0:is>
      </ns0:c>
      <ns0:c r="W16" s="11" t="inlineStr">
        <ns0:is>
          <ns0:t>Fără ediție finală confirmată</ns0:t>
        </ns0:is>
      </ns0:c>
      <ns0:c r="X16" s="7">
        <ns0:f>IF(AND(J16="Publicat",Q16&lt;&gt;"",ISNUMBER(R16),S16&lt;&gt;"",U16&lt;&gt;"",V16="Confirmat"),1,0)</ns0:f>
        <ns0:v>0</ns0:v>
      </ns0:c>
    </ns0:row>
    <ns0:row r="17" ht="46" customHeight="1">
      <ns0:c r="A17" s="7" t="inlineStr">
        <ns0:is>
          <ns0:t>DB-006-EN</ns0:t>
        </ns0:is>
      </ns0:c>
      <ns0:c r="B17" s="7" t="inlineStr">
        <ns0:is>
          <ns0:t>DB-006</ns0:t>
        </ns0:is>
      </ns0:c>
      <ns0:c r="C17" s="7" t="inlineStr">
        <ns0:is>
          <ns0:t>NOIR</ns0:t>
        </ns0:is>
      </ns0:c>
      <ns0:c r="D17" s="7" t="inlineStr">
        <ns0:is>
          <ns0:t>Cronicile Transilvaniei</ns0:t>
        </ns0:is>
      </ns0:c>
      <ns0:c r="E17" s="8" t="n">
        <ns0:v>6</ns0:v>
      </ns0:c>
      <ns0:c r="F17" s="7" t="inlineStr">
        <ns0:is>
          <ns0:t>The Bistrița Bride</ns0:t>
        </ns0:is>
      </ns0:c>
      <ns0:c r="G17" s="7" t="inlineStr">
        <ns0:is>
          <ns0:t>EN</ns0:t>
        </ns0:is>
      </ns0:c>
      <ns0:c r="H17" s="7" t="inlineStr">
        <ns0:is>
          <ns0:t>EN</ns0:t>
        </ns0:is>
      </ns0:c>
      <ns0:c r="I17" s="7" t="inlineStr">
        <ns0:is>
          <ns0:t>Scriere nouă</ns0:t>
        </ns0:is>
      </ns0:c>
      <ns0:c r="J17" s="11" t="inlineStr">
        <ns0:is>
          <ns0:t>Planificat</ns0:t>
        </ns0:is>
      </ns0:c>
      <ns0:c r="K17" s="11" t="inlineStr">
        <ns0:is>
          <ns0:t>De desemnat</ns0:t>
        </ns0:is>
      </ns0:c>
      <ns0:c r="L17" s="8">
        <ns0:f>Catalog_100!I7</ns0:f>
        <ns0:v>60000</ns0:v>
      </ns0:c>
      <ns0:c r="M17" s="13">
        <ns0:f>Catalog_100!J7</ns0:f>
        <ns0:v>46318.0</ns0:v>
      </ns0:c>
      <ns0:c r="N17" s="13">
        <ns0:f>Catalog_100!K7</ns0:f>
        <ns0:v>46336.0</ns0:v>
      </ns0:c>
      <ns0:c r="O17" s="13">
        <ns0:f>Catalog_100!L7</ns0:f>
        <ns0:v>46338.0</ns0:v>
      </ns0:c>
      <ns0:c r="P17" s="13">
        <ns0:f>Catalog_100!M7</ns0:f>
        <ns0:v>46340.0</ns0:v>
      </ns0:c>
      <ns0:c r="Q17" s="11" t="inlineStr"/>
      <ns0:c r="R17" s="10" t="inlineStr"/>
      <ns0:c r="S17" s="11" t="inlineStr"/>
      <ns0:c r="T17" s="11" t="inlineStr"/>
      <ns0:c r="U17" s="11" t="inlineStr"/>
      <ns0:c r="V17" s="11" t="inlineStr">
        <ns0:is>
          <ns0:t>Neconfirmat</ns0:t>
        </ns0:is>
      </ns0:c>
      <ns0:c r="W17" s="11" t="inlineStr">
        <ns0:is>
          <ns0:t>Fără ediție finală confirmată</ns0:t>
        </ns0:is>
      </ns0:c>
      <ns0:c r="X17" s="7">
        <ns0:f>IF(AND(J17="Publicat",Q17&lt;&gt;"",ISNUMBER(R17),S17&lt;&gt;"",U17&lt;&gt;"",V17="Confirmat"),1,0)</ns0:f>
        <ns0:v>0</ns0:v>
      </ns0:c>
    </ns0:row>
    <ns0:row r="18" ht="46" customHeight="1">
      <ns0:c r="A18" s="7" t="inlineStr">
        <ns0:is>
          <ns0:t>DB-006-RO</ns0:t>
        </ns0:is>
      </ns0:c>
      <ns0:c r="B18" s="7" t="inlineStr">
        <ns0:is>
          <ns0:t>DB-006</ns0:t>
        </ns0:is>
      </ns0:c>
      <ns0:c r="C18" s="7" t="inlineStr">
        <ns0:is>
          <ns0:t>NOIR</ns0:t>
        </ns0:is>
      </ns0:c>
      <ns0:c r="D18" s="7" t="inlineStr">
        <ns0:is>
          <ns0:t>Cronicile Transilvaniei</ns0:t>
        </ns0:is>
      </ns0:c>
      <ns0:c r="E18" s="8" t="n">
        <ns0:v>6</ns0:v>
      </ns0:c>
      <ns0:c r="F18" s="7" t="inlineStr">
        <ns0:is>
          <ns0:t>The Bistrița Bride</ns0:t>
        </ns0:is>
      </ns0:c>
      <ns0:c r="G18" s="7" t="inlineStr">
        <ns0:is>
          <ns0:t>RO</ns0:t>
        </ns0:is>
      </ns0:c>
      <ns0:c r="H18" s="7" t="inlineStr">
        <ns0:is>
          <ns0:t>EN</ns0:t>
        </ns0:is>
      </ns0:c>
      <ns0:c r="I18" s="7" t="inlineStr">
        <ns0:is>
          <ns0:t>Traducere EN→RO</ns0:t>
        </ns0:is>
      </ns0:c>
      <ns0:c r="J18" s="11" t="inlineStr">
        <ns0:is>
          <ns0:t>Planificat</ns0:t>
        </ns0:is>
      </ns0:c>
      <ns0:c r="K18" s="11" t="inlineStr">
        <ns0:is>
          <ns0:t>De desemnat</ns0:t>
        </ns0:is>
      </ns0:c>
      <ns0:c r="L18" s="8">
        <ns0:f>Catalog_100!I7</ns0:f>
        <ns0:v>60000</ns0:v>
      </ns0:c>
      <ns0:c r="M18" s="13">
        <ns0:f>Catalog_100!J7</ns0:f>
        <ns0:v>46318.0</ns0:v>
      </ns0:c>
      <ns0:c r="N18" s="13">
        <ns0:f>Catalog_100!K7</ns0:f>
        <ns0:v>46336.0</ns0:v>
      </ns0:c>
      <ns0:c r="O18" s="13">
        <ns0:f>Catalog_100!L7</ns0:f>
        <ns0:v>46338.0</ns0:v>
      </ns0:c>
      <ns0:c r="P18" s="13">
        <ns0:f>Catalog_100!M7</ns0:f>
        <ns0:v>46340.0</ns0:v>
      </ns0:c>
      <ns0:c r="Q18" s="11" t="inlineStr"/>
      <ns0:c r="R18" s="10" t="inlineStr"/>
      <ns0:c r="S18" s="11" t="inlineStr"/>
      <ns0:c r="T18" s="11" t="inlineStr"/>
      <ns0:c r="U18" s="11" t="inlineStr"/>
      <ns0:c r="V18" s="11" t="inlineStr">
        <ns0:is>
          <ns0:t>Neconfirmat</ns0:t>
        </ns0:is>
      </ns0:c>
      <ns0:c r="W18" s="11" t="inlineStr">
        <ns0:is>
          <ns0:t>Fără ediție finală confirmată</ns0:t>
        </ns0:is>
      </ns0:c>
      <ns0:c r="X18" s="7">
        <ns0:f>IF(AND(J18="Publicat",Q18&lt;&gt;"",ISNUMBER(R18),S18&lt;&gt;"",U18&lt;&gt;"",V18="Confirmat"),1,0)</ns0:f>
        <ns0:v>0</ns0:v>
      </ns0:c>
    </ns0:row>
    <ns0:row r="19" ht="46" customHeight="1">
      <ns0:c r="A19" s="7" t="inlineStr">
        <ns0:is>
          <ns0:t>DB-006-DE</ns0:t>
        </ns0:is>
      </ns0:c>
      <ns0:c r="B19" s="7" t="inlineStr">
        <ns0:is>
          <ns0:t>DB-006</ns0:t>
        </ns0:is>
      </ns0:c>
      <ns0:c r="C19" s="7" t="inlineStr">
        <ns0:is>
          <ns0:t>NOIR</ns0:t>
        </ns0:is>
      </ns0:c>
      <ns0:c r="D19" s="7" t="inlineStr">
        <ns0:is>
          <ns0:t>Cronicile Transilvaniei</ns0:t>
        </ns0:is>
      </ns0:c>
      <ns0:c r="E19" s="8" t="n">
        <ns0:v>6</ns0:v>
      </ns0:c>
      <ns0:c r="F19" s="7" t="inlineStr">
        <ns0:is>
          <ns0:t>The Bistrița Bride</ns0:t>
        </ns0:is>
      </ns0:c>
      <ns0:c r="G19" s="7" t="inlineStr">
        <ns0:is>
          <ns0:t>DE</ns0:t>
        </ns0:is>
      </ns0:c>
      <ns0:c r="H19" s="7" t="inlineStr">
        <ns0:is>
          <ns0:t>EN</ns0:t>
        </ns0:is>
      </ns0:c>
      <ns0:c r="I19" s="7" t="inlineStr">
        <ns0:is>
          <ns0:t>Traducere EN→DE</ns0:t>
        </ns0:is>
      </ns0:c>
      <ns0:c r="J19" s="11" t="inlineStr">
        <ns0:is>
          <ns0:t>Planificat</ns0:t>
        </ns0:is>
      </ns0:c>
      <ns0:c r="K19" s="11" t="inlineStr">
        <ns0:is>
          <ns0:t>De desemnat</ns0:t>
        </ns0:is>
      </ns0:c>
      <ns0:c r="L19" s="8">
        <ns0:f>Catalog_100!I7</ns0:f>
        <ns0:v>60000</ns0:v>
      </ns0:c>
      <ns0:c r="M19" s="13">
        <ns0:f>Catalog_100!J7</ns0:f>
        <ns0:v>46318.0</ns0:v>
      </ns0:c>
      <ns0:c r="N19" s="13">
        <ns0:f>Catalog_100!K7</ns0:f>
        <ns0:v>46336.0</ns0:v>
      </ns0:c>
      <ns0:c r="O19" s="13">
        <ns0:f>Catalog_100!L7</ns0:f>
        <ns0:v>46338.0</ns0:v>
      </ns0:c>
      <ns0:c r="P19" s="13">
        <ns0:f>Catalog_100!M7</ns0:f>
        <ns0:v>46340.0</ns0:v>
      </ns0:c>
      <ns0:c r="Q19" s="11" t="inlineStr"/>
      <ns0:c r="R19" s="10" t="inlineStr"/>
      <ns0:c r="S19" s="11" t="inlineStr"/>
      <ns0:c r="T19" s="11" t="inlineStr"/>
      <ns0:c r="U19" s="11" t="inlineStr"/>
      <ns0:c r="V19" s="11" t="inlineStr">
        <ns0:is>
          <ns0:t>Neconfirmat</ns0:t>
        </ns0:is>
      </ns0:c>
      <ns0:c r="W19" s="11" t="inlineStr">
        <ns0:is>
          <ns0:t>Fără ediție finală confirmată</ns0:t>
        </ns0:is>
      </ns0:c>
      <ns0:c r="X19" s="7">
        <ns0:f>IF(AND(J19="Publicat",Q19&lt;&gt;"",ISNUMBER(R19),S19&lt;&gt;"",U19&lt;&gt;"",V19="Confirmat"),1,0)</ns0:f>
        <ns0:v>0</ns0:v>
      </ns0:c>
    </ns0:row>
    <ns0:row r="20" ht="46" customHeight="1">
      <ns0:c r="A20" s="7" t="inlineStr">
        <ns0:is>
          <ns0:t>DB-007-EN</ns0:t>
        </ns0:is>
      </ns0:c>
      <ns0:c r="B20" s="7" t="inlineStr">
        <ns0:is>
          <ns0:t>DB-007</ns0:t>
        </ns0:is>
      </ns0:c>
      <ns0:c r="C20" s="7" t="inlineStr">
        <ns0:is>
          <ns0:t>NOIR</ns0:t>
        </ns0:is>
      </ns0:c>
      <ns0:c r="D20" s="7" t="inlineStr">
        <ns0:is>
          <ns0:t>Cronicile Transilvaniei</ns0:t>
        </ns0:is>
      </ns0:c>
      <ns0:c r="E20" s="8" t="n">
        <ns0:v>7</ns0:v>
      </ns0:c>
      <ns0:c r="F20" s="7" t="inlineStr">
        <ns0:is>
          <ns0:t>The Locksmith of Sighișoara</ns0:t>
        </ns0:is>
      </ns0:c>
      <ns0:c r="G20" s="7" t="inlineStr">
        <ns0:is>
          <ns0:t>EN</ns0:t>
        </ns0:is>
      </ns0:c>
      <ns0:c r="H20" s="7" t="inlineStr">
        <ns0:is>
          <ns0:t>EN</ns0:t>
        </ns0:is>
      </ns0:c>
      <ns0:c r="I20" s="7" t="inlineStr">
        <ns0:is>
          <ns0:t>Scriere nouă</ns0:t>
        </ns0:is>
      </ns0:c>
      <ns0:c r="J20" s="11" t="inlineStr">
        <ns0:is>
          <ns0:t>Planificat</ns0:t>
        </ns0:is>
      </ns0:c>
      <ns0:c r="K20" s="11" t="inlineStr">
        <ns0:is>
          <ns0:t>De desemnat</ns0:t>
        </ns0:is>
      </ns0:c>
      <ns0:c r="L20" s="8">
        <ns0:f>Catalog_100!I8</ns0:f>
        <ns0:v>60000</ns0:v>
      </ns0:c>
      <ns0:c r="M20" s="13">
        <ns0:f>Catalog_100!J8</ns0:f>
        <ns0:v>46318.0</ns0:v>
      </ns0:c>
      <ns0:c r="N20" s="13">
        <ns0:f>Catalog_100!K8</ns0:f>
        <ns0:v>46336.0</ns0:v>
      </ns0:c>
      <ns0:c r="O20" s="13">
        <ns0:f>Catalog_100!L8</ns0:f>
        <ns0:v>46338.0</ns0:v>
      </ns0:c>
      <ns0:c r="P20" s="13">
        <ns0:f>Catalog_100!M8</ns0:f>
        <ns0:v>46340.0</ns0:v>
      </ns0:c>
      <ns0:c r="Q20" s="11" t="inlineStr"/>
      <ns0:c r="R20" s="10" t="inlineStr"/>
      <ns0:c r="S20" s="11" t="inlineStr"/>
      <ns0:c r="T20" s="11" t="inlineStr"/>
      <ns0:c r="U20" s="11" t="inlineStr"/>
      <ns0:c r="V20" s="11" t="inlineStr">
        <ns0:is>
          <ns0:t>Neconfirmat</ns0:t>
        </ns0:is>
      </ns0:c>
      <ns0:c r="W20" s="11" t="inlineStr">
        <ns0:is>
          <ns0:t>Fără ediție finală confirmată</ns0:t>
        </ns0:is>
      </ns0:c>
      <ns0:c r="X20" s="7">
        <ns0:f>IF(AND(J20="Publicat",Q20&lt;&gt;"",ISNUMBER(R20),S20&lt;&gt;"",U20&lt;&gt;"",V20="Confirmat"),1,0)</ns0:f>
        <ns0:v>0</ns0:v>
      </ns0:c>
    </ns0:row>
    <ns0:row r="21" ht="46" customHeight="1">
      <ns0:c r="A21" s="7" t="inlineStr">
        <ns0:is>
          <ns0:t>DB-007-RO</ns0:t>
        </ns0:is>
      </ns0:c>
      <ns0:c r="B21" s="7" t="inlineStr">
        <ns0:is>
          <ns0:t>DB-007</ns0:t>
        </ns0:is>
      </ns0:c>
      <ns0:c r="C21" s="7" t="inlineStr">
        <ns0:is>
          <ns0:t>NOIR</ns0:t>
        </ns0:is>
      </ns0:c>
      <ns0:c r="D21" s="7" t="inlineStr">
        <ns0:is>
          <ns0:t>Cronicile Transilvaniei</ns0:t>
        </ns0:is>
      </ns0:c>
      <ns0:c r="E21" s="8" t="n">
        <ns0:v>7</ns0:v>
      </ns0:c>
      <ns0:c r="F21" s="7" t="inlineStr">
        <ns0:is>
          <ns0:t>The Locksmith of Sighișoara</ns0:t>
        </ns0:is>
      </ns0:c>
      <ns0:c r="G21" s="7" t="inlineStr">
        <ns0:is>
          <ns0:t>RO</ns0:t>
        </ns0:is>
      </ns0:c>
      <ns0:c r="H21" s="7" t="inlineStr">
        <ns0:is>
          <ns0:t>EN</ns0:t>
        </ns0:is>
      </ns0:c>
      <ns0:c r="I21" s="7" t="inlineStr">
        <ns0:is>
          <ns0:t>Traducere EN→RO</ns0:t>
        </ns0:is>
      </ns0:c>
      <ns0:c r="J21" s="11" t="inlineStr">
        <ns0:is>
          <ns0:t>Planificat</ns0:t>
        </ns0:is>
      </ns0:c>
      <ns0:c r="K21" s="11" t="inlineStr">
        <ns0:is>
          <ns0:t>De desemnat</ns0:t>
        </ns0:is>
      </ns0:c>
      <ns0:c r="L21" s="8">
        <ns0:f>Catalog_100!I8</ns0:f>
        <ns0:v>60000</ns0:v>
      </ns0:c>
      <ns0:c r="M21" s="13">
        <ns0:f>Catalog_100!J8</ns0:f>
        <ns0:v>46318.0</ns0:v>
      </ns0:c>
      <ns0:c r="N21" s="13">
        <ns0:f>Catalog_100!K8</ns0:f>
        <ns0:v>46336.0</ns0:v>
      </ns0:c>
      <ns0:c r="O21" s="13">
        <ns0:f>Catalog_100!L8</ns0:f>
        <ns0:v>46338.0</ns0:v>
      </ns0:c>
      <ns0:c r="P21" s="13">
        <ns0:f>Catalog_100!M8</ns0:f>
        <ns0:v>46340.0</ns0:v>
      </ns0:c>
      <ns0:c r="Q21" s="11" t="inlineStr"/>
      <ns0:c r="R21" s="10" t="inlineStr"/>
      <ns0:c r="S21" s="11" t="inlineStr"/>
      <ns0:c r="T21" s="11" t="inlineStr"/>
      <ns0:c r="U21" s="11" t="inlineStr"/>
      <ns0:c r="V21" s="11" t="inlineStr">
        <ns0:is>
          <ns0:t>Neconfirmat</ns0:t>
        </ns0:is>
      </ns0:c>
      <ns0:c r="W21" s="11" t="inlineStr">
        <ns0:is>
          <ns0:t>Fără ediție finală confirmată</ns0:t>
        </ns0:is>
      </ns0:c>
      <ns0:c r="X21" s="7">
        <ns0:f>IF(AND(J21="Publicat",Q21&lt;&gt;"",ISNUMBER(R21),S21&lt;&gt;"",U21&lt;&gt;"",V21="Confirmat"),1,0)</ns0:f>
        <ns0:v>0</ns0:v>
      </ns0:c>
    </ns0:row>
    <ns0:row r="22" ht="46" customHeight="1">
      <ns0:c r="A22" s="7" t="inlineStr">
        <ns0:is>
          <ns0:t>DB-007-DE</ns0:t>
        </ns0:is>
      </ns0:c>
      <ns0:c r="B22" s="7" t="inlineStr">
        <ns0:is>
          <ns0:t>DB-007</ns0:t>
        </ns0:is>
      </ns0:c>
      <ns0:c r="C22" s="7" t="inlineStr">
        <ns0:is>
          <ns0:t>NOIR</ns0:t>
        </ns0:is>
      </ns0:c>
      <ns0:c r="D22" s="7" t="inlineStr">
        <ns0:is>
          <ns0:t>Cronicile Transilvaniei</ns0:t>
        </ns0:is>
      </ns0:c>
      <ns0:c r="E22" s="8" t="n">
        <ns0:v>7</ns0:v>
      </ns0:c>
      <ns0:c r="F22" s="7" t="inlineStr">
        <ns0:is>
          <ns0:t>The Locksmith of Sighișoara</ns0:t>
        </ns0:is>
      </ns0:c>
      <ns0:c r="G22" s="7" t="inlineStr">
        <ns0:is>
          <ns0:t>DE</ns0:t>
        </ns0:is>
      </ns0:c>
      <ns0:c r="H22" s="7" t="inlineStr">
        <ns0:is>
          <ns0:t>EN</ns0:t>
        </ns0:is>
      </ns0:c>
      <ns0:c r="I22" s="7" t="inlineStr">
        <ns0:is>
          <ns0:t>Traducere EN→DE</ns0:t>
        </ns0:is>
      </ns0:c>
      <ns0:c r="J22" s="11" t="inlineStr">
        <ns0:is>
          <ns0:t>Planificat</ns0:t>
        </ns0:is>
      </ns0:c>
      <ns0:c r="K22" s="11" t="inlineStr">
        <ns0:is>
          <ns0:t>De desemnat</ns0:t>
        </ns0:is>
      </ns0:c>
      <ns0:c r="L22" s="8">
        <ns0:f>Catalog_100!I8</ns0:f>
        <ns0:v>60000</ns0:v>
      </ns0:c>
      <ns0:c r="M22" s="13">
        <ns0:f>Catalog_100!J8</ns0:f>
        <ns0:v>46318.0</ns0:v>
      </ns0:c>
      <ns0:c r="N22" s="13">
        <ns0:f>Catalog_100!K8</ns0:f>
        <ns0:v>46336.0</ns0:v>
      </ns0:c>
      <ns0:c r="O22" s="13">
        <ns0:f>Catalog_100!L8</ns0:f>
        <ns0:v>46338.0</ns0:v>
      </ns0:c>
      <ns0:c r="P22" s="13">
        <ns0:f>Catalog_100!M8</ns0:f>
        <ns0:v>46340.0</ns0:v>
      </ns0:c>
      <ns0:c r="Q22" s="11" t="inlineStr"/>
      <ns0:c r="R22" s="10" t="inlineStr"/>
      <ns0:c r="S22" s="11" t="inlineStr"/>
      <ns0:c r="T22" s="11" t="inlineStr"/>
      <ns0:c r="U22" s="11" t="inlineStr"/>
      <ns0:c r="V22" s="11" t="inlineStr">
        <ns0:is>
          <ns0:t>Neconfirmat</ns0:t>
        </ns0:is>
      </ns0:c>
      <ns0:c r="W22" s="11" t="inlineStr">
        <ns0:is>
          <ns0:t>Fără ediție finală confirmată</ns0:t>
        </ns0:is>
      </ns0:c>
      <ns0:c r="X22" s="7">
        <ns0:f>IF(AND(J22="Publicat",Q22&lt;&gt;"",ISNUMBER(R22),S22&lt;&gt;"",U22&lt;&gt;"",V22="Confirmat"),1,0)</ns0:f>
        <ns0:v>0</ns0:v>
      </ns0:c>
    </ns0:row>
    <ns0:row r="23" ht="46" customHeight="1">
      <ns0:c r="A23" s="7" t="inlineStr">
        <ns0:is>
          <ns0:t>DB-008-EN</ns0:t>
        </ns0:is>
      </ns0:c>
      <ns0:c r="B23" s="7" t="inlineStr">
        <ns0:is>
          <ns0:t>DB-008</ns0:t>
        </ns0:is>
      </ns0:c>
      <ns0:c r="C23" s="7" t="inlineStr">
        <ns0:is>
          <ns0:t>NOIR</ns0:t>
        </ns0:is>
      </ns0:c>
      <ns0:c r="D23" s="7" t="inlineStr">
        <ns0:is>
          <ns0:t>Cronicile Transilvaniei</ns0:t>
        </ns0:is>
      </ns0:c>
      <ns0:c r="E23" s="8" t="n">
        <ns0:v>8</ns0:v>
      </ns0:c>
      <ns0:c r="F23" s="7" t="inlineStr">
        <ns0:is>
          <ns0:t>The Alba Iulia Cipher</ns0:t>
        </ns0:is>
      </ns0:c>
      <ns0:c r="G23" s="7" t="inlineStr">
        <ns0:is>
          <ns0:t>EN</ns0:t>
        </ns0:is>
      </ns0:c>
      <ns0:c r="H23" s="7" t="inlineStr">
        <ns0:is>
          <ns0:t>EN</ns0:t>
        </ns0:is>
      </ns0:c>
      <ns0:c r="I23" s="7" t="inlineStr">
        <ns0:is>
          <ns0:t>Scriere nouă</ns0:t>
        </ns0:is>
      </ns0:c>
      <ns0:c r="J23" s="11" t="inlineStr">
        <ns0:is>
          <ns0:t>Planificat</ns0:t>
        </ns0:is>
      </ns0:c>
      <ns0:c r="K23" s="11" t="inlineStr">
        <ns0:is>
          <ns0:t>De desemnat</ns0:t>
        </ns0:is>
      </ns0:c>
      <ns0:c r="L23" s="8">
        <ns0:f>Catalog_100!I9</ns0:f>
        <ns0:v>60000</ns0:v>
      </ns0:c>
      <ns0:c r="M23" s="13">
        <ns0:f>Catalog_100!J9</ns0:f>
        <ns0:v>46318.0</ns0:v>
      </ns0:c>
      <ns0:c r="N23" s="13">
        <ns0:f>Catalog_100!K9</ns0:f>
        <ns0:v>46336.0</ns0:v>
      </ns0:c>
      <ns0:c r="O23" s="13">
        <ns0:f>Catalog_100!L9</ns0:f>
        <ns0:v>46338.0</ns0:v>
      </ns0:c>
      <ns0:c r="P23" s="13">
        <ns0:f>Catalog_100!M9</ns0:f>
        <ns0:v>46340.0</ns0:v>
      </ns0:c>
      <ns0:c r="Q23" s="11" t="inlineStr"/>
      <ns0:c r="R23" s="10" t="inlineStr"/>
      <ns0:c r="S23" s="11" t="inlineStr"/>
      <ns0:c r="T23" s="11" t="inlineStr"/>
      <ns0:c r="U23" s="11" t="inlineStr"/>
      <ns0:c r="V23" s="11" t="inlineStr">
        <ns0:is>
          <ns0:t>Neconfirmat</ns0:t>
        </ns0:is>
      </ns0:c>
      <ns0:c r="W23" s="11" t="inlineStr">
        <ns0:is>
          <ns0:t>Fără ediție finală confirmată</ns0:t>
        </ns0:is>
      </ns0:c>
      <ns0:c r="X23" s="7">
        <ns0:f>IF(AND(J23="Publicat",Q23&lt;&gt;"",ISNUMBER(R23),S23&lt;&gt;"",U23&lt;&gt;"",V23="Confirmat"),1,0)</ns0:f>
        <ns0:v>0</ns0:v>
      </ns0:c>
    </ns0:row>
    <ns0:row r="24" ht="46" customHeight="1">
      <ns0:c r="A24" s="7" t="inlineStr">
        <ns0:is>
          <ns0:t>DB-008-RO</ns0:t>
        </ns0:is>
      </ns0:c>
      <ns0:c r="B24" s="7" t="inlineStr">
        <ns0:is>
          <ns0:t>DB-008</ns0:t>
        </ns0:is>
      </ns0:c>
      <ns0:c r="C24" s="7" t="inlineStr">
        <ns0:is>
          <ns0:t>NOIR</ns0:t>
        </ns0:is>
      </ns0:c>
      <ns0:c r="D24" s="7" t="inlineStr">
        <ns0:is>
          <ns0:t>Cronicile Transilvaniei</ns0:t>
        </ns0:is>
      </ns0:c>
      <ns0:c r="E24" s="8" t="n">
        <ns0:v>8</ns0:v>
      </ns0:c>
      <ns0:c r="F24" s="7" t="inlineStr">
        <ns0:is>
          <ns0:t>The Alba Iulia Cipher</ns0:t>
        </ns0:is>
      </ns0:c>
      <ns0:c r="G24" s="7" t="inlineStr">
        <ns0:is>
          <ns0:t>RO</ns0:t>
        </ns0:is>
      </ns0:c>
      <ns0:c r="H24" s="7" t="inlineStr">
        <ns0:is>
          <ns0:t>EN</ns0:t>
        </ns0:is>
      </ns0:c>
      <ns0:c r="I24" s="7" t="inlineStr">
        <ns0:is>
          <ns0:t>Traducere EN→RO</ns0:t>
        </ns0:is>
      </ns0:c>
      <ns0:c r="J24" s="11" t="inlineStr">
        <ns0:is>
          <ns0:t>Planificat</ns0:t>
        </ns0:is>
      </ns0:c>
      <ns0:c r="K24" s="11" t="inlineStr">
        <ns0:is>
          <ns0:t>De desemnat</ns0:t>
        </ns0:is>
      </ns0:c>
      <ns0:c r="L24" s="8">
        <ns0:f>Catalog_100!I9</ns0:f>
        <ns0:v>60000</ns0:v>
      </ns0:c>
      <ns0:c r="M24" s="13">
        <ns0:f>Catalog_100!J9</ns0:f>
        <ns0:v>46318.0</ns0:v>
      </ns0:c>
      <ns0:c r="N24" s="13">
        <ns0:f>Catalog_100!K9</ns0:f>
        <ns0:v>46336.0</ns0:v>
      </ns0:c>
      <ns0:c r="O24" s="13">
        <ns0:f>Catalog_100!L9</ns0:f>
        <ns0:v>46338.0</ns0:v>
      </ns0:c>
      <ns0:c r="P24" s="13">
        <ns0:f>Catalog_100!M9</ns0:f>
        <ns0:v>46340.0</ns0:v>
      </ns0:c>
      <ns0:c r="Q24" s="11" t="inlineStr"/>
      <ns0:c r="R24" s="10" t="inlineStr"/>
      <ns0:c r="S24" s="11" t="inlineStr"/>
      <ns0:c r="T24" s="11" t="inlineStr"/>
      <ns0:c r="U24" s="11" t="inlineStr"/>
      <ns0:c r="V24" s="11" t="inlineStr">
        <ns0:is>
          <ns0:t>Neconfirmat</ns0:t>
        </ns0:is>
      </ns0:c>
      <ns0:c r="W24" s="11" t="inlineStr">
        <ns0:is>
          <ns0:t>Fără ediție finală confirmată</ns0:t>
        </ns0:is>
      </ns0:c>
      <ns0:c r="X24" s="7">
        <ns0:f>IF(AND(J24="Publicat",Q24&lt;&gt;"",ISNUMBER(R24),S24&lt;&gt;"",U24&lt;&gt;"",V24="Confirmat"),1,0)</ns0:f>
        <ns0:v>0</ns0:v>
      </ns0:c>
    </ns0:row>
    <ns0:row r="25" ht="46" customHeight="1">
      <ns0:c r="A25" s="7" t="inlineStr">
        <ns0:is>
          <ns0:t>DB-008-DE</ns0:t>
        </ns0:is>
      </ns0:c>
      <ns0:c r="B25" s="7" t="inlineStr">
        <ns0:is>
          <ns0:t>DB-008</ns0:t>
        </ns0:is>
      </ns0:c>
      <ns0:c r="C25" s="7" t="inlineStr">
        <ns0:is>
          <ns0:t>NOIR</ns0:t>
        </ns0:is>
      </ns0:c>
      <ns0:c r="D25" s="7" t="inlineStr">
        <ns0:is>
          <ns0:t>Cronicile Transilvaniei</ns0:t>
        </ns0:is>
      </ns0:c>
      <ns0:c r="E25" s="8" t="n">
        <ns0:v>8</ns0:v>
      </ns0:c>
      <ns0:c r="F25" s="7" t="inlineStr">
        <ns0:is>
          <ns0:t>The Alba Iulia Cipher</ns0:t>
        </ns0:is>
      </ns0:c>
      <ns0:c r="G25" s="7" t="inlineStr">
        <ns0:is>
          <ns0:t>DE</ns0:t>
        </ns0:is>
      </ns0:c>
      <ns0:c r="H25" s="7" t="inlineStr">
        <ns0:is>
          <ns0:t>EN</ns0:t>
        </ns0:is>
      </ns0:c>
      <ns0:c r="I25" s="7" t="inlineStr">
        <ns0:is>
          <ns0:t>Traducere EN→DE</ns0:t>
        </ns0:is>
      </ns0:c>
      <ns0:c r="J25" s="11" t="inlineStr">
        <ns0:is>
          <ns0:t>Planificat</ns0:t>
        </ns0:is>
      </ns0:c>
      <ns0:c r="K25" s="11" t="inlineStr">
        <ns0:is>
          <ns0:t>De desemnat</ns0:t>
        </ns0:is>
      </ns0:c>
      <ns0:c r="L25" s="8">
        <ns0:f>Catalog_100!I9</ns0:f>
        <ns0:v>60000</ns0:v>
      </ns0:c>
      <ns0:c r="M25" s="13">
        <ns0:f>Catalog_100!J9</ns0:f>
        <ns0:v>46318.0</ns0:v>
      </ns0:c>
      <ns0:c r="N25" s="13">
        <ns0:f>Catalog_100!K9</ns0:f>
        <ns0:v>46336.0</ns0:v>
      </ns0:c>
      <ns0:c r="O25" s="13">
        <ns0:f>Catalog_100!L9</ns0:f>
        <ns0:v>46338.0</ns0:v>
      </ns0:c>
      <ns0:c r="P25" s="13">
        <ns0:f>Catalog_100!M9</ns0:f>
        <ns0:v>46340.0</ns0:v>
      </ns0:c>
      <ns0:c r="Q25" s="11" t="inlineStr"/>
      <ns0:c r="R25" s="10" t="inlineStr"/>
      <ns0:c r="S25" s="11" t="inlineStr"/>
      <ns0:c r="T25" s="11" t="inlineStr"/>
      <ns0:c r="U25" s="11" t="inlineStr"/>
      <ns0:c r="V25" s="11" t="inlineStr">
        <ns0:is>
          <ns0:t>Neconfirmat</ns0:t>
        </ns0:is>
      </ns0:c>
      <ns0:c r="W25" s="11" t="inlineStr">
        <ns0:is>
          <ns0:t>Fără ediție finală confirmată</ns0:t>
        </ns0:is>
      </ns0:c>
      <ns0:c r="X25" s="7">
        <ns0:f>IF(AND(J25="Publicat",Q25&lt;&gt;"",ISNUMBER(R25),S25&lt;&gt;"",U25&lt;&gt;"",V25="Confirmat"),1,0)</ns0:f>
        <ns0:v>0</ns0:v>
      </ns0:c>
    </ns0:row>
    <ns0:row r="26" ht="46" customHeight="1">
      <ns0:c r="A26" s="7" t="inlineStr">
        <ns0:is>
          <ns0:t>DB-009-EN</ns0:t>
        </ns0:is>
      </ns0:c>
      <ns0:c r="B26" s="7" t="inlineStr">
        <ns0:is>
          <ns0:t>DB-009</ns0:t>
        </ns0:is>
      </ns0:c>
      <ns0:c r="C26" s="7" t="inlineStr">
        <ns0:is>
          <ns0:t>NOIR</ns0:t>
        </ns0:is>
      </ns0:c>
      <ns0:c r="D26" s="7" t="inlineStr">
        <ns0:is>
          <ns0:t>Cronicile Transilvaniei</ns0:t>
        </ns0:is>
      </ns0:c>
      <ns0:c r="E26" s="8" t="n">
        <ns0:v>9</ns0:v>
      </ns0:c>
      <ns0:c r="F26" s="7" t="inlineStr">
        <ns0:is>
          <ns0:t>The Winter Court of Bran</ns0:t>
        </ns0:is>
      </ns0:c>
      <ns0:c r="G26" s="7" t="inlineStr">
        <ns0:is>
          <ns0:t>EN</ns0:t>
        </ns0:is>
      </ns0:c>
      <ns0:c r="H26" s="7" t="inlineStr">
        <ns0:is>
          <ns0:t>EN</ns0:t>
        </ns0:is>
      </ns0:c>
      <ns0:c r="I26" s="7" t="inlineStr">
        <ns0:is>
          <ns0:t>Scriere nouă</ns0:t>
        </ns0:is>
      </ns0:c>
      <ns0:c r="J26" s="11" t="inlineStr">
        <ns0:is>
          <ns0:t>Planificat</ns0:t>
        </ns0:is>
      </ns0:c>
      <ns0:c r="K26" s="11" t="inlineStr">
        <ns0:is>
          <ns0:t>De desemnat</ns0:t>
        </ns0:is>
      </ns0:c>
      <ns0:c r="L26" s="8">
        <ns0:f>Catalog_100!I10</ns0:f>
        <ns0:v>60000</ns0:v>
      </ns0:c>
      <ns0:c r="M26" s="13">
        <ns0:f>Catalog_100!J10</ns0:f>
        <ns0:v>46318.0</ns0:v>
      </ns0:c>
      <ns0:c r="N26" s="13">
        <ns0:f>Catalog_100!K10</ns0:f>
        <ns0:v>46336.0</ns0:v>
      </ns0:c>
      <ns0:c r="O26" s="13">
        <ns0:f>Catalog_100!L10</ns0:f>
        <ns0:v>46338.0</ns0:v>
      </ns0:c>
      <ns0:c r="P26" s="13">
        <ns0:f>Catalog_100!M10</ns0:f>
        <ns0:v>46340.0</ns0:v>
      </ns0:c>
      <ns0:c r="Q26" s="11" t="inlineStr"/>
      <ns0:c r="R26" s="10" t="inlineStr"/>
      <ns0:c r="S26" s="11" t="inlineStr"/>
      <ns0:c r="T26" s="11" t="inlineStr"/>
      <ns0:c r="U26" s="11" t="inlineStr"/>
      <ns0:c r="V26" s="11" t="inlineStr">
        <ns0:is>
          <ns0:t>Neconfirmat</ns0:t>
        </ns0:is>
      </ns0:c>
      <ns0:c r="W26" s="11" t="inlineStr">
        <ns0:is>
          <ns0:t>Fără ediție finală confirmată</ns0:t>
        </ns0:is>
      </ns0:c>
      <ns0:c r="X26" s="7">
        <ns0:f>IF(AND(J26="Publicat",Q26&lt;&gt;"",ISNUMBER(R26),S26&lt;&gt;"",U26&lt;&gt;"",V26="Confirmat"),1,0)</ns0:f>
        <ns0:v>0</ns0:v>
      </ns0:c>
    </ns0:row>
    <ns0:row r="27" ht="46" customHeight="1">
      <ns0:c r="A27" s="7" t="inlineStr">
        <ns0:is>
          <ns0:t>DB-009-RO</ns0:t>
        </ns0:is>
      </ns0:c>
      <ns0:c r="B27" s="7" t="inlineStr">
        <ns0:is>
          <ns0:t>DB-009</ns0:t>
        </ns0:is>
      </ns0:c>
      <ns0:c r="C27" s="7" t="inlineStr">
        <ns0:is>
          <ns0:t>NOIR</ns0:t>
        </ns0:is>
      </ns0:c>
      <ns0:c r="D27" s="7" t="inlineStr">
        <ns0:is>
          <ns0:t>Cronicile Transilvaniei</ns0:t>
        </ns0:is>
      </ns0:c>
      <ns0:c r="E27" s="8" t="n">
        <ns0:v>9</ns0:v>
      </ns0:c>
      <ns0:c r="F27" s="7" t="inlineStr">
        <ns0:is>
          <ns0:t>The Winter Court of Bran</ns0:t>
        </ns0:is>
      </ns0:c>
      <ns0:c r="G27" s="7" t="inlineStr">
        <ns0:is>
          <ns0:t>RO</ns0:t>
        </ns0:is>
      </ns0:c>
      <ns0:c r="H27" s="7" t="inlineStr">
        <ns0:is>
          <ns0:t>EN</ns0:t>
        </ns0:is>
      </ns0:c>
      <ns0:c r="I27" s="7" t="inlineStr">
        <ns0:is>
          <ns0:t>Traducere EN→RO</ns0:t>
        </ns0:is>
      </ns0:c>
      <ns0:c r="J27" s="11" t="inlineStr">
        <ns0:is>
          <ns0:t>Planificat</ns0:t>
        </ns0:is>
      </ns0:c>
      <ns0:c r="K27" s="11" t="inlineStr">
        <ns0:is>
          <ns0:t>De desemnat</ns0:t>
        </ns0:is>
      </ns0:c>
      <ns0:c r="L27" s="8">
        <ns0:f>Catalog_100!I10</ns0:f>
        <ns0:v>60000</ns0:v>
      </ns0:c>
      <ns0:c r="M27" s="13">
        <ns0:f>Catalog_100!J10</ns0:f>
        <ns0:v>46318.0</ns0:v>
      </ns0:c>
      <ns0:c r="N27" s="13">
        <ns0:f>Catalog_100!K10</ns0:f>
        <ns0:v>46336.0</ns0:v>
      </ns0:c>
      <ns0:c r="O27" s="13">
        <ns0:f>Catalog_100!L10</ns0:f>
        <ns0:v>46338.0</ns0:v>
      </ns0:c>
      <ns0:c r="P27" s="13">
        <ns0:f>Catalog_100!M10</ns0:f>
        <ns0:v>46340.0</ns0:v>
      </ns0:c>
      <ns0:c r="Q27" s="11" t="inlineStr"/>
      <ns0:c r="R27" s="10" t="inlineStr"/>
      <ns0:c r="S27" s="11" t="inlineStr"/>
      <ns0:c r="T27" s="11" t="inlineStr"/>
      <ns0:c r="U27" s="11" t="inlineStr"/>
      <ns0:c r="V27" s="11" t="inlineStr">
        <ns0:is>
          <ns0:t>Neconfirmat</ns0:t>
        </ns0:is>
      </ns0:c>
      <ns0:c r="W27" s="11" t="inlineStr">
        <ns0:is>
          <ns0:t>Fără ediție finală confirmată</ns0:t>
        </ns0:is>
      </ns0:c>
      <ns0:c r="X27" s="7">
        <ns0:f>IF(AND(J27="Publicat",Q27&lt;&gt;"",ISNUMBER(R27),S27&lt;&gt;"",U27&lt;&gt;"",V27="Confirmat"),1,0)</ns0:f>
        <ns0:v>0</ns0:v>
      </ns0:c>
    </ns0:row>
    <ns0:row r="28" ht="46" customHeight="1">
      <ns0:c r="A28" s="7" t="inlineStr">
        <ns0:is>
          <ns0:t>DB-009-DE</ns0:t>
        </ns0:is>
      </ns0:c>
      <ns0:c r="B28" s="7" t="inlineStr">
        <ns0:is>
          <ns0:t>DB-009</ns0:t>
        </ns0:is>
      </ns0:c>
      <ns0:c r="C28" s="7" t="inlineStr">
        <ns0:is>
          <ns0:t>NOIR</ns0:t>
        </ns0:is>
      </ns0:c>
      <ns0:c r="D28" s="7" t="inlineStr">
        <ns0:is>
          <ns0:t>Cronicile Transilvaniei</ns0:t>
        </ns0:is>
      </ns0:c>
      <ns0:c r="E28" s="8" t="n">
        <ns0:v>9</ns0:v>
      </ns0:c>
      <ns0:c r="F28" s="7" t="inlineStr">
        <ns0:is>
          <ns0:t>The Winter Court of Bran</ns0:t>
        </ns0:is>
      </ns0:c>
      <ns0:c r="G28" s="7" t="inlineStr">
        <ns0:is>
          <ns0:t>DE</ns0:t>
        </ns0:is>
      </ns0:c>
      <ns0:c r="H28" s="7" t="inlineStr">
        <ns0:is>
          <ns0:t>EN</ns0:t>
        </ns0:is>
      </ns0:c>
      <ns0:c r="I28" s="7" t="inlineStr">
        <ns0:is>
          <ns0:t>Traducere EN→DE</ns0:t>
        </ns0:is>
      </ns0:c>
      <ns0:c r="J28" s="11" t="inlineStr">
        <ns0:is>
          <ns0:t>Planificat</ns0:t>
        </ns0:is>
      </ns0:c>
      <ns0:c r="K28" s="11" t="inlineStr">
        <ns0:is>
          <ns0:t>De desemnat</ns0:t>
        </ns0:is>
      </ns0:c>
      <ns0:c r="L28" s="8">
        <ns0:f>Catalog_100!I10</ns0:f>
        <ns0:v>60000</ns0:v>
      </ns0:c>
      <ns0:c r="M28" s="13">
        <ns0:f>Catalog_100!J10</ns0:f>
        <ns0:v>46318.0</ns0:v>
      </ns0:c>
      <ns0:c r="N28" s="13">
        <ns0:f>Catalog_100!K10</ns0:f>
        <ns0:v>46336.0</ns0:v>
      </ns0:c>
      <ns0:c r="O28" s="13">
        <ns0:f>Catalog_100!L10</ns0:f>
        <ns0:v>46338.0</ns0:v>
      </ns0:c>
      <ns0:c r="P28" s="13">
        <ns0:f>Catalog_100!M10</ns0:f>
        <ns0:v>46340.0</ns0:v>
      </ns0:c>
      <ns0:c r="Q28" s="11" t="inlineStr"/>
      <ns0:c r="R28" s="10" t="inlineStr"/>
      <ns0:c r="S28" s="11" t="inlineStr"/>
      <ns0:c r="T28" s="11" t="inlineStr"/>
      <ns0:c r="U28" s="11" t="inlineStr"/>
      <ns0:c r="V28" s="11" t="inlineStr">
        <ns0:is>
          <ns0:t>Neconfirmat</ns0:t>
        </ns0:is>
      </ns0:c>
      <ns0:c r="W28" s="11" t="inlineStr">
        <ns0:is>
          <ns0:t>Fără ediție finală confirmată</ns0:t>
        </ns0:is>
      </ns0:c>
      <ns0:c r="X28" s="7">
        <ns0:f>IF(AND(J28="Publicat",Q28&lt;&gt;"",ISNUMBER(R28),S28&lt;&gt;"",U28&lt;&gt;"",V28="Confirmat"),1,0)</ns0:f>
        <ns0:v>0</ns0:v>
      </ns0:c>
    </ns0:row>
    <ns0:row r="29" ht="46" customHeight="1">
      <ns0:c r="A29" s="7" t="inlineStr">
        <ns0:is>
          <ns0:t>DB-010-EN</ns0:t>
        </ns0:is>
      </ns0:c>
      <ns0:c r="B29" s="7" t="inlineStr">
        <ns0:is>
          <ns0:t>DB-010</ns0:t>
        </ns0:is>
      </ns0:c>
      <ns0:c r="C29" s="7" t="inlineStr">
        <ns0:is>
          <ns0:t>NOIR</ns0:t>
        </ns0:is>
      </ns0:c>
      <ns0:c r="D29" s="7" t="inlineStr">
        <ns0:is>
          <ns0:t>Cronicile Transilvaniei</ns0:t>
        </ns0:is>
      </ns0:c>
      <ns0:c r="E29" s="8" t="n">
        <ns0:v>10</ns0:v>
      </ns0:c>
      <ns0:c r="F29" s="7" t="inlineStr">
        <ns0:is>
          <ns0:t>The Last Black Rose</ns0:t>
        </ns0:is>
      </ns0:c>
      <ns0:c r="G29" s="7" t="inlineStr">
        <ns0:is>
          <ns0:t>EN</ns0:t>
        </ns0:is>
      </ns0:c>
      <ns0:c r="H29" s="7" t="inlineStr">
        <ns0:is>
          <ns0:t>EN</ns0:t>
        </ns0:is>
      </ns0:c>
      <ns0:c r="I29" s="7" t="inlineStr">
        <ns0:is>
          <ns0:t>Scriere nouă</ns0:t>
        </ns0:is>
      </ns0:c>
      <ns0:c r="J29" s="11" t="inlineStr">
        <ns0:is>
          <ns0:t>Planificat</ns0:t>
        </ns0:is>
      </ns0:c>
      <ns0:c r="K29" s="11" t="inlineStr">
        <ns0:is>
          <ns0:t>De desemnat</ns0:t>
        </ns0:is>
      </ns0:c>
      <ns0:c r="L29" s="8">
        <ns0:f>Catalog_100!I11</ns0:f>
        <ns0:v>60000</ns0:v>
      </ns0:c>
      <ns0:c r="M29" s="13">
        <ns0:f>Catalog_100!J11</ns0:f>
        <ns0:v>46318.0</ns0:v>
      </ns0:c>
      <ns0:c r="N29" s="13">
        <ns0:f>Catalog_100!K11</ns0:f>
        <ns0:v>46336.0</ns0:v>
      </ns0:c>
      <ns0:c r="O29" s="13">
        <ns0:f>Catalog_100!L11</ns0:f>
        <ns0:v>46338.0</ns0:v>
      </ns0:c>
      <ns0:c r="P29" s="13">
        <ns0:f>Catalog_100!M11</ns0:f>
        <ns0:v>46340.0</ns0:v>
      </ns0:c>
      <ns0:c r="Q29" s="11" t="inlineStr"/>
      <ns0:c r="R29" s="10" t="inlineStr"/>
      <ns0:c r="S29" s="11" t="inlineStr"/>
      <ns0:c r="T29" s="11" t="inlineStr"/>
      <ns0:c r="U29" s="11" t="inlineStr"/>
      <ns0:c r="V29" s="11" t="inlineStr">
        <ns0:is>
          <ns0:t>Neconfirmat</ns0:t>
        </ns0:is>
      </ns0:c>
      <ns0:c r="W29" s="11" t="inlineStr">
        <ns0:is>
          <ns0:t>Fără ediție finală confirmată</ns0:t>
        </ns0:is>
      </ns0:c>
      <ns0:c r="X29" s="7">
        <ns0:f>IF(AND(J29="Publicat",Q29&lt;&gt;"",ISNUMBER(R29),S29&lt;&gt;"",U29&lt;&gt;"",V29="Confirmat"),1,0)</ns0:f>
        <ns0:v>0</ns0:v>
      </ns0:c>
    </ns0:row>
    <ns0:row r="30" ht="46" customHeight="1">
      <ns0:c r="A30" s="7" t="inlineStr">
        <ns0:is>
          <ns0:t>DB-010-RO</ns0:t>
        </ns0:is>
      </ns0:c>
      <ns0:c r="B30" s="7" t="inlineStr">
        <ns0:is>
          <ns0:t>DB-010</ns0:t>
        </ns0:is>
      </ns0:c>
      <ns0:c r="C30" s="7" t="inlineStr">
        <ns0:is>
          <ns0:t>NOIR</ns0:t>
        </ns0:is>
      </ns0:c>
      <ns0:c r="D30" s="7" t="inlineStr">
        <ns0:is>
          <ns0:t>Cronicile Transilvaniei</ns0:t>
        </ns0:is>
      </ns0:c>
      <ns0:c r="E30" s="8" t="n">
        <ns0:v>10</ns0:v>
      </ns0:c>
      <ns0:c r="F30" s="7" t="inlineStr">
        <ns0:is>
          <ns0:t>The Last Black Rose</ns0:t>
        </ns0:is>
      </ns0:c>
      <ns0:c r="G30" s="7" t="inlineStr">
        <ns0:is>
          <ns0:t>RO</ns0:t>
        </ns0:is>
      </ns0:c>
      <ns0:c r="H30" s="7" t="inlineStr">
        <ns0:is>
          <ns0:t>EN</ns0:t>
        </ns0:is>
      </ns0:c>
      <ns0:c r="I30" s="7" t="inlineStr">
        <ns0:is>
          <ns0:t>Traducere EN→RO</ns0:t>
        </ns0:is>
      </ns0:c>
      <ns0:c r="J30" s="11" t="inlineStr">
        <ns0:is>
          <ns0:t>Planificat</ns0:t>
        </ns0:is>
      </ns0:c>
      <ns0:c r="K30" s="11" t="inlineStr">
        <ns0:is>
          <ns0:t>De desemnat</ns0:t>
        </ns0:is>
      </ns0:c>
      <ns0:c r="L30" s="8">
        <ns0:f>Catalog_100!I11</ns0:f>
        <ns0:v>60000</ns0:v>
      </ns0:c>
      <ns0:c r="M30" s="13">
        <ns0:f>Catalog_100!J11</ns0:f>
        <ns0:v>46318.0</ns0:v>
      </ns0:c>
      <ns0:c r="N30" s="13">
        <ns0:f>Catalog_100!K11</ns0:f>
        <ns0:v>46336.0</ns0:v>
      </ns0:c>
      <ns0:c r="O30" s="13">
        <ns0:f>Catalog_100!L11</ns0:f>
        <ns0:v>46338.0</ns0:v>
      </ns0:c>
      <ns0:c r="P30" s="13">
        <ns0:f>Catalog_100!M11</ns0:f>
        <ns0:v>46340.0</ns0:v>
      </ns0:c>
      <ns0:c r="Q30" s="11" t="inlineStr"/>
      <ns0:c r="R30" s="10" t="inlineStr"/>
      <ns0:c r="S30" s="11" t="inlineStr"/>
      <ns0:c r="T30" s="11" t="inlineStr"/>
      <ns0:c r="U30" s="11" t="inlineStr"/>
      <ns0:c r="V30" s="11" t="inlineStr">
        <ns0:is>
          <ns0:t>Neconfirmat</ns0:t>
        </ns0:is>
      </ns0:c>
      <ns0:c r="W30" s="11" t="inlineStr">
        <ns0:is>
          <ns0:t>Fără ediție finală confirmată</ns0:t>
        </ns0:is>
      </ns0:c>
      <ns0:c r="X30" s="7">
        <ns0:f>IF(AND(J30="Publicat",Q30&lt;&gt;"",ISNUMBER(R30),S30&lt;&gt;"",U30&lt;&gt;"",V30="Confirmat"),1,0)</ns0:f>
        <ns0:v>0</ns0:v>
      </ns0:c>
    </ns0:row>
    <ns0:row r="31" ht="46" customHeight="1">
      <ns0:c r="A31" s="7" t="inlineStr">
        <ns0:is>
          <ns0:t>DB-010-DE</ns0:t>
        </ns0:is>
      </ns0:c>
      <ns0:c r="B31" s="7" t="inlineStr">
        <ns0:is>
          <ns0:t>DB-010</ns0:t>
        </ns0:is>
      </ns0:c>
      <ns0:c r="C31" s="7" t="inlineStr">
        <ns0:is>
          <ns0:t>NOIR</ns0:t>
        </ns0:is>
      </ns0:c>
      <ns0:c r="D31" s="7" t="inlineStr">
        <ns0:is>
          <ns0:t>Cronicile Transilvaniei</ns0:t>
        </ns0:is>
      </ns0:c>
      <ns0:c r="E31" s="8" t="n">
        <ns0:v>10</ns0:v>
      </ns0:c>
      <ns0:c r="F31" s="7" t="inlineStr">
        <ns0:is>
          <ns0:t>The Last Black Rose</ns0:t>
        </ns0:is>
      </ns0:c>
      <ns0:c r="G31" s="7" t="inlineStr">
        <ns0:is>
          <ns0:t>DE</ns0:t>
        </ns0:is>
      </ns0:c>
      <ns0:c r="H31" s="7" t="inlineStr">
        <ns0:is>
          <ns0:t>EN</ns0:t>
        </ns0:is>
      </ns0:c>
      <ns0:c r="I31" s="7" t="inlineStr">
        <ns0:is>
          <ns0:t>Traducere EN→DE</ns0:t>
        </ns0:is>
      </ns0:c>
      <ns0:c r="J31" s="11" t="inlineStr">
        <ns0:is>
          <ns0:t>Planificat</ns0:t>
        </ns0:is>
      </ns0:c>
      <ns0:c r="K31" s="11" t="inlineStr">
        <ns0:is>
          <ns0:t>De desemnat</ns0:t>
        </ns0:is>
      </ns0:c>
      <ns0:c r="L31" s="8">
        <ns0:f>Catalog_100!I11</ns0:f>
        <ns0:v>60000</ns0:v>
      </ns0:c>
      <ns0:c r="M31" s="13">
        <ns0:f>Catalog_100!J11</ns0:f>
        <ns0:v>46318.0</ns0:v>
      </ns0:c>
      <ns0:c r="N31" s="13">
        <ns0:f>Catalog_100!K11</ns0:f>
        <ns0:v>46336.0</ns0:v>
      </ns0:c>
      <ns0:c r="O31" s="13">
        <ns0:f>Catalog_100!L11</ns0:f>
        <ns0:v>46338.0</ns0:v>
      </ns0:c>
      <ns0:c r="P31" s="13">
        <ns0:f>Catalog_100!M11</ns0:f>
        <ns0:v>46340.0</ns0:v>
      </ns0:c>
      <ns0:c r="Q31" s="11" t="inlineStr"/>
      <ns0:c r="R31" s="10" t="inlineStr"/>
      <ns0:c r="S31" s="11" t="inlineStr"/>
      <ns0:c r="T31" s="11" t="inlineStr"/>
      <ns0:c r="U31" s="11" t="inlineStr"/>
      <ns0:c r="V31" s="11" t="inlineStr">
        <ns0:is>
          <ns0:t>Neconfirmat</ns0:t>
        </ns0:is>
      </ns0:c>
      <ns0:c r="W31" s="11" t="inlineStr">
        <ns0:is>
          <ns0:t>Fără ediție finală confirmată</ns0:t>
        </ns0:is>
      </ns0:c>
      <ns0:c r="X31" s="7">
        <ns0:f>IF(AND(J31="Publicat",Q31&lt;&gt;"",ISNUMBER(R31),S31&lt;&gt;"",U31&lt;&gt;"",V31="Confirmat"),1,0)</ns0:f>
        <ns0:v>0</ns0:v>
      </ns0:c>
    </ns0:row>
    <ns0:row r="32" ht="46" customHeight="1">
      <ns0:c r="A32" s="7" t="inlineStr">
        <ns0:is>
          <ns0:t>DB-011-EN</ns0:t>
        </ns0:is>
      </ns0:c>
      <ns0:c r="B32" s="7" t="inlineStr">
        <ns0:is>
          <ns0:t>DB-011</ns0:t>
        </ns0:is>
      </ns0:c>
      <ns0:c r="C32" s="7" t="inlineStr">
        <ns0:is>
          <ns0:t>NOIR</ns0:t>
        </ns0:is>
      </ns0:c>
      <ns0:c r="D32" s="7" t="inlineStr">
        <ns0:is>
          <ns0:t>Carpathian Cold Cases</ns0:t>
        </ns0:is>
      </ns0:c>
      <ns0:c r="E32" s="8" t="n">
        <ns0:v>1</ns0:v>
      </ns0:c>
      <ns0:c r="F32" s="7" t="inlineStr">
        <ns0:is>
          <ns0:t>The Witness Beneath the Ice</ns0:t>
        </ns0:is>
      </ns0:c>
      <ns0:c r="G32" s="7" t="inlineStr">
        <ns0:is>
          <ns0:t>EN</ns0:t>
        </ns0:is>
      </ns0:c>
      <ns0:c r="H32" s="7" t="inlineStr">
        <ns0:is>
          <ns0:t>EN</ns0:t>
        </ns0:is>
      </ns0:c>
      <ns0:c r="I32" s="7" t="inlineStr">
        <ns0:is>
          <ns0:t>Scriere nouă</ns0:t>
        </ns0:is>
      </ns0:c>
      <ns0:c r="J32" s="11" t="inlineStr">
        <ns0:is>
          <ns0:t>Planificat</ns0:t>
        </ns0:is>
      </ns0:c>
      <ns0:c r="K32" s="11" t="inlineStr">
        <ns0:is>
          <ns0:t>De desemnat</ns0:t>
        </ns0:is>
      </ns0:c>
      <ns0:c r="L32" s="8">
        <ns0:f>Catalog_100!I12</ns0:f>
        <ns0:v>55000</ns0:v>
      </ns0:c>
      <ns0:c r="M32" s="13">
        <ns0:f>Catalog_100!J12</ns0:f>
        <ns0:v>46311.0</ns0:v>
      </ns0:c>
      <ns0:c r="N32" s="13">
        <ns0:f>Catalog_100!K12</ns0:f>
        <ns0:v>46329.0</ns0:v>
      </ns0:c>
      <ns0:c r="O32" s="13">
        <ns0:f>Catalog_100!L12</ns0:f>
        <ns0:v>46331.0</ns0:v>
      </ns0:c>
      <ns0:c r="P32" s="13">
        <ns0:f>Catalog_100!M12</ns0:f>
        <ns0:v>46333.0</ns0:v>
      </ns0:c>
      <ns0:c r="Q32" s="11" t="inlineStr"/>
      <ns0:c r="R32" s="10" t="inlineStr"/>
      <ns0:c r="S32" s="11" t="inlineStr"/>
      <ns0:c r="T32" s="11" t="inlineStr"/>
      <ns0:c r="U32" s="11" t="inlineStr"/>
      <ns0:c r="V32" s="11" t="inlineStr">
        <ns0:is>
          <ns0:t>Neconfirmat</ns0:t>
        </ns0:is>
      </ns0:c>
      <ns0:c r="W32" s="11" t="inlineStr">
        <ns0:is>
          <ns0:t>Fără ediție finală confirmată</ns0:t>
        </ns0:is>
      </ns0:c>
      <ns0:c r="X32" s="7">
        <ns0:f>IF(AND(J32="Publicat",Q32&lt;&gt;"",ISNUMBER(R32),S32&lt;&gt;"",U32&lt;&gt;"",V32="Confirmat"),1,0)</ns0:f>
        <ns0:v>0</ns0:v>
      </ns0:c>
    </ns0:row>
    <ns0:row r="33" ht="46" customHeight="1">
      <ns0:c r="A33" s="7" t="inlineStr">
        <ns0:is>
          <ns0:t>DB-011-RO</ns0:t>
        </ns0:is>
      </ns0:c>
      <ns0:c r="B33" s="7" t="inlineStr">
        <ns0:is>
          <ns0:t>DB-011</ns0:t>
        </ns0:is>
      </ns0:c>
      <ns0:c r="C33" s="7" t="inlineStr">
        <ns0:is>
          <ns0:t>NOIR</ns0:t>
        </ns0:is>
      </ns0:c>
      <ns0:c r="D33" s="7" t="inlineStr">
        <ns0:is>
          <ns0:t>Carpathian Cold Cases</ns0:t>
        </ns0:is>
      </ns0:c>
      <ns0:c r="E33" s="8" t="n">
        <ns0:v>1</ns0:v>
      </ns0:c>
      <ns0:c r="F33" s="7" t="inlineStr">
        <ns0:is>
          <ns0:t>The Witness Beneath the Ice</ns0:t>
        </ns0:is>
      </ns0:c>
      <ns0:c r="G33" s="7" t="inlineStr">
        <ns0:is>
          <ns0:t>RO</ns0:t>
        </ns0:is>
      </ns0:c>
      <ns0:c r="H33" s="7" t="inlineStr">
        <ns0:is>
          <ns0:t>EN</ns0:t>
        </ns0:is>
      </ns0:c>
      <ns0:c r="I33" s="7" t="inlineStr">
        <ns0:is>
          <ns0:t>Traducere EN→RO</ns0:t>
        </ns0:is>
      </ns0:c>
      <ns0:c r="J33" s="11" t="inlineStr">
        <ns0:is>
          <ns0:t>Planificat</ns0:t>
        </ns0:is>
      </ns0:c>
      <ns0:c r="K33" s="11" t="inlineStr">
        <ns0:is>
          <ns0:t>De desemnat</ns0:t>
        </ns0:is>
      </ns0:c>
      <ns0:c r="L33" s="8">
        <ns0:f>Catalog_100!I12</ns0:f>
        <ns0:v>55000</ns0:v>
      </ns0:c>
      <ns0:c r="M33" s="13">
        <ns0:f>Catalog_100!J12</ns0:f>
        <ns0:v>46311.0</ns0:v>
      </ns0:c>
      <ns0:c r="N33" s="13">
        <ns0:f>Catalog_100!K12</ns0:f>
        <ns0:v>46329.0</ns0:v>
      </ns0:c>
      <ns0:c r="O33" s="13">
        <ns0:f>Catalog_100!L12</ns0:f>
        <ns0:v>46331.0</ns0:v>
      </ns0:c>
      <ns0:c r="P33" s="13">
        <ns0:f>Catalog_100!M12</ns0:f>
        <ns0:v>46333.0</ns0:v>
      </ns0:c>
      <ns0:c r="Q33" s="11" t="inlineStr"/>
      <ns0:c r="R33" s="10" t="inlineStr"/>
      <ns0:c r="S33" s="11" t="inlineStr"/>
      <ns0:c r="T33" s="11" t="inlineStr"/>
      <ns0:c r="U33" s="11" t="inlineStr"/>
      <ns0:c r="V33" s="11" t="inlineStr">
        <ns0:is>
          <ns0:t>Neconfirmat</ns0:t>
        </ns0:is>
      </ns0:c>
      <ns0:c r="W33" s="11" t="inlineStr">
        <ns0:is>
          <ns0:t>Fără ediție finală confirmată</ns0:t>
        </ns0:is>
      </ns0:c>
      <ns0:c r="X33" s="7">
        <ns0:f>IF(AND(J33="Publicat",Q33&lt;&gt;"",ISNUMBER(R33),S33&lt;&gt;"",U33&lt;&gt;"",V33="Confirmat"),1,0)</ns0:f>
        <ns0:v>0</ns0:v>
      </ns0:c>
    </ns0:row>
    <ns0:row r="34" ht="46" customHeight="1">
      <ns0:c r="A34" s="7" t="inlineStr">
        <ns0:is>
          <ns0:t>DB-011-DE</ns0:t>
        </ns0:is>
      </ns0:c>
      <ns0:c r="B34" s="7" t="inlineStr">
        <ns0:is>
          <ns0:t>DB-011</ns0:t>
        </ns0:is>
      </ns0:c>
      <ns0:c r="C34" s="7" t="inlineStr">
        <ns0:is>
          <ns0:t>NOIR</ns0:t>
        </ns0:is>
      </ns0:c>
      <ns0:c r="D34" s="7" t="inlineStr">
        <ns0:is>
          <ns0:t>Carpathian Cold Cases</ns0:t>
        </ns0:is>
      </ns0:c>
      <ns0:c r="E34" s="8" t="n">
        <ns0:v>1</ns0:v>
      </ns0:c>
      <ns0:c r="F34" s="7" t="inlineStr">
        <ns0:is>
          <ns0:t>The Witness Beneath the Ice</ns0:t>
        </ns0:is>
      </ns0:c>
      <ns0:c r="G34" s="7" t="inlineStr">
        <ns0:is>
          <ns0:t>DE</ns0:t>
        </ns0:is>
      </ns0:c>
      <ns0:c r="H34" s="7" t="inlineStr">
        <ns0:is>
          <ns0:t>EN</ns0:t>
        </ns0:is>
      </ns0:c>
      <ns0:c r="I34" s="7" t="inlineStr">
        <ns0:is>
          <ns0:t>Traducere EN→DE</ns0:t>
        </ns0:is>
      </ns0:c>
      <ns0:c r="J34" s="11" t="inlineStr">
        <ns0:is>
          <ns0:t>Planificat</ns0:t>
        </ns0:is>
      </ns0:c>
      <ns0:c r="K34" s="11" t="inlineStr">
        <ns0:is>
          <ns0:t>De desemnat</ns0:t>
        </ns0:is>
      </ns0:c>
      <ns0:c r="L34" s="8">
        <ns0:f>Catalog_100!I12</ns0:f>
        <ns0:v>55000</ns0:v>
      </ns0:c>
      <ns0:c r="M34" s="13">
        <ns0:f>Catalog_100!J12</ns0:f>
        <ns0:v>46311.0</ns0:v>
      </ns0:c>
      <ns0:c r="N34" s="13">
        <ns0:f>Catalog_100!K12</ns0:f>
        <ns0:v>46329.0</ns0:v>
      </ns0:c>
      <ns0:c r="O34" s="13">
        <ns0:f>Catalog_100!L12</ns0:f>
        <ns0:v>46331.0</ns0:v>
      </ns0:c>
      <ns0:c r="P34" s="13">
        <ns0:f>Catalog_100!M12</ns0:f>
        <ns0:v>46333.0</ns0:v>
      </ns0:c>
      <ns0:c r="Q34" s="11" t="inlineStr"/>
      <ns0:c r="R34" s="10" t="inlineStr"/>
      <ns0:c r="S34" s="11" t="inlineStr"/>
      <ns0:c r="T34" s="11" t="inlineStr"/>
      <ns0:c r="U34" s="11" t="inlineStr"/>
      <ns0:c r="V34" s="11" t="inlineStr">
        <ns0:is>
          <ns0:t>Neconfirmat</ns0:t>
        </ns0:is>
      </ns0:c>
      <ns0:c r="W34" s="11" t="inlineStr">
        <ns0:is>
          <ns0:t>Fără ediție finală confirmată</ns0:t>
        </ns0:is>
      </ns0:c>
      <ns0:c r="X34" s="7">
        <ns0:f>IF(AND(J34="Publicat",Q34&lt;&gt;"",ISNUMBER(R34),S34&lt;&gt;"",U34&lt;&gt;"",V34="Confirmat"),1,0)</ns0:f>
        <ns0:v>0</ns0:v>
      </ns0:c>
    </ns0:row>
    <ns0:row r="35" ht="46" customHeight="1">
      <ns0:c r="A35" s="7" t="inlineStr">
        <ns0:is>
          <ns0:t>DB-012-EN</ns0:t>
        </ns0:is>
      </ns0:c>
      <ns0:c r="B35" s="7" t="inlineStr">
        <ns0:is>
          <ns0:t>DB-012</ns0:t>
        </ns0:is>
      </ns0:c>
      <ns0:c r="C35" s="7" t="inlineStr">
        <ns0:is>
          <ns0:t>NOIR</ns0:t>
        </ns0:is>
      </ns0:c>
      <ns0:c r="D35" s="7" t="inlineStr">
        <ns0:is>
          <ns0:t>Carpathian Cold Cases</ns0:t>
        </ns0:is>
      </ns0:c>
      <ns0:c r="E35" s="8" t="n">
        <ns0:v>2</ns0:v>
      </ns0:c>
      <ns0:c r="F35" s="7" t="inlineStr">
        <ns0:is>
          <ns0:t>The Missing Carriage</ns0:t>
        </ns0:is>
      </ns0:c>
      <ns0:c r="G35" s="7" t="inlineStr">
        <ns0:is>
          <ns0:t>EN</ns0:t>
        </ns0:is>
      </ns0:c>
      <ns0:c r="H35" s="7" t="inlineStr">
        <ns0:is>
          <ns0:t>EN</ns0:t>
        </ns0:is>
      </ns0:c>
      <ns0:c r="I35" s="7" t="inlineStr">
        <ns0:is>
          <ns0:t>Scriere nouă</ns0:t>
        </ns0:is>
      </ns0:c>
      <ns0:c r="J35" s="11" t="inlineStr">
        <ns0:is>
          <ns0:t>Planificat</ns0:t>
        </ns0:is>
      </ns0:c>
      <ns0:c r="K35" s="11" t="inlineStr">
        <ns0:is>
          <ns0:t>De desemnat</ns0:t>
        </ns0:is>
      </ns0:c>
      <ns0:c r="L35" s="8">
        <ns0:f>Catalog_100!I13</ns0:f>
        <ns0:v>55000</ns0:v>
      </ns0:c>
      <ns0:c r="M35" s="13">
        <ns0:f>Catalog_100!J13</ns0:f>
        <ns0:v>46311.0</ns0:v>
      </ns0:c>
      <ns0:c r="N35" s="13">
        <ns0:f>Catalog_100!K13</ns0:f>
        <ns0:v>46329.0</ns0:v>
      </ns0:c>
      <ns0:c r="O35" s="13">
        <ns0:f>Catalog_100!L13</ns0:f>
        <ns0:v>46331.0</ns0:v>
      </ns0:c>
      <ns0:c r="P35" s="13">
        <ns0:f>Catalog_100!M13</ns0:f>
        <ns0:v>46333.0</ns0:v>
      </ns0:c>
      <ns0:c r="Q35" s="11" t="inlineStr"/>
      <ns0:c r="R35" s="10" t="inlineStr"/>
      <ns0:c r="S35" s="11" t="inlineStr"/>
      <ns0:c r="T35" s="11" t="inlineStr"/>
      <ns0:c r="U35" s="11" t="inlineStr"/>
      <ns0:c r="V35" s="11" t="inlineStr">
        <ns0:is>
          <ns0:t>Neconfirmat</ns0:t>
        </ns0:is>
      </ns0:c>
      <ns0:c r="W35" s="11" t="inlineStr">
        <ns0:is>
          <ns0:t>Fără ediție finală confirmată</ns0:t>
        </ns0:is>
      </ns0:c>
      <ns0:c r="X35" s="7">
        <ns0:f>IF(AND(J35="Publicat",Q35&lt;&gt;"",ISNUMBER(R35),S35&lt;&gt;"",U35&lt;&gt;"",V35="Confirmat"),1,0)</ns0:f>
        <ns0:v>0</ns0:v>
      </ns0:c>
    </ns0:row>
    <ns0:row r="36" ht="46" customHeight="1">
      <ns0:c r="A36" s="7" t="inlineStr">
        <ns0:is>
          <ns0:t>DB-012-RO</ns0:t>
        </ns0:is>
      </ns0:c>
      <ns0:c r="B36" s="7" t="inlineStr">
        <ns0:is>
          <ns0:t>DB-012</ns0:t>
        </ns0:is>
      </ns0:c>
      <ns0:c r="C36" s="7" t="inlineStr">
        <ns0:is>
          <ns0:t>NOIR</ns0:t>
        </ns0:is>
      </ns0:c>
      <ns0:c r="D36" s="7" t="inlineStr">
        <ns0:is>
          <ns0:t>Carpathian Cold Cases</ns0:t>
        </ns0:is>
      </ns0:c>
      <ns0:c r="E36" s="8" t="n">
        <ns0:v>2</ns0:v>
      </ns0:c>
      <ns0:c r="F36" s="7" t="inlineStr">
        <ns0:is>
          <ns0:t>The Missing Carriage</ns0:t>
        </ns0:is>
      </ns0:c>
      <ns0:c r="G36" s="7" t="inlineStr">
        <ns0:is>
          <ns0:t>RO</ns0:t>
        </ns0:is>
      </ns0:c>
      <ns0:c r="H36" s="7" t="inlineStr">
        <ns0:is>
          <ns0:t>EN</ns0:t>
        </ns0:is>
      </ns0:c>
      <ns0:c r="I36" s="7" t="inlineStr">
        <ns0:is>
          <ns0:t>Traducere EN→RO</ns0:t>
        </ns0:is>
      </ns0:c>
      <ns0:c r="J36" s="11" t="inlineStr">
        <ns0:is>
          <ns0:t>Planificat</ns0:t>
        </ns0:is>
      </ns0:c>
      <ns0:c r="K36" s="11" t="inlineStr">
        <ns0:is>
          <ns0:t>De desemnat</ns0:t>
        </ns0:is>
      </ns0:c>
      <ns0:c r="L36" s="8">
        <ns0:f>Catalog_100!I13</ns0:f>
        <ns0:v>55000</ns0:v>
      </ns0:c>
      <ns0:c r="M36" s="13">
        <ns0:f>Catalog_100!J13</ns0:f>
        <ns0:v>46311.0</ns0:v>
      </ns0:c>
      <ns0:c r="N36" s="13">
        <ns0:f>Catalog_100!K13</ns0:f>
        <ns0:v>46329.0</ns0:v>
      </ns0:c>
      <ns0:c r="O36" s="13">
        <ns0:f>Catalog_100!L13</ns0:f>
        <ns0:v>46331.0</ns0:v>
      </ns0:c>
      <ns0:c r="P36" s="13">
        <ns0:f>Catalog_100!M13</ns0:f>
        <ns0:v>46333.0</ns0:v>
      </ns0:c>
      <ns0:c r="Q36" s="11" t="inlineStr"/>
      <ns0:c r="R36" s="10" t="inlineStr"/>
      <ns0:c r="S36" s="11" t="inlineStr"/>
      <ns0:c r="T36" s="11" t="inlineStr"/>
      <ns0:c r="U36" s="11" t="inlineStr"/>
      <ns0:c r="V36" s="11" t="inlineStr">
        <ns0:is>
          <ns0:t>Neconfirmat</ns0:t>
        </ns0:is>
      </ns0:c>
      <ns0:c r="W36" s="11" t="inlineStr">
        <ns0:is>
          <ns0:t>Fără ediție finală confirmată</ns0:t>
        </ns0:is>
      </ns0:c>
      <ns0:c r="X36" s="7">
        <ns0:f>IF(AND(J36="Publicat",Q36&lt;&gt;"",ISNUMBER(R36),S36&lt;&gt;"",U36&lt;&gt;"",V36="Confirmat"),1,0)</ns0:f>
        <ns0:v>0</ns0:v>
      </ns0:c>
    </ns0:row>
    <ns0:row r="37" ht="46" customHeight="1">
      <ns0:c r="A37" s="7" t="inlineStr">
        <ns0:is>
          <ns0:t>DB-012-DE</ns0:t>
        </ns0:is>
      </ns0:c>
      <ns0:c r="B37" s="7" t="inlineStr">
        <ns0:is>
          <ns0:t>DB-012</ns0:t>
        </ns0:is>
      </ns0:c>
      <ns0:c r="C37" s="7" t="inlineStr">
        <ns0:is>
          <ns0:t>NOIR</ns0:t>
        </ns0:is>
      </ns0:c>
      <ns0:c r="D37" s="7" t="inlineStr">
        <ns0:is>
          <ns0:t>Carpathian Cold Cases</ns0:t>
        </ns0:is>
      </ns0:c>
      <ns0:c r="E37" s="8" t="n">
        <ns0:v>2</ns0:v>
      </ns0:c>
      <ns0:c r="F37" s="7" t="inlineStr">
        <ns0:is>
          <ns0:t>The Missing Carriage</ns0:t>
        </ns0:is>
      </ns0:c>
      <ns0:c r="G37" s="7" t="inlineStr">
        <ns0:is>
          <ns0:t>DE</ns0:t>
        </ns0:is>
      </ns0:c>
      <ns0:c r="H37" s="7" t="inlineStr">
        <ns0:is>
          <ns0:t>EN</ns0:t>
        </ns0:is>
      </ns0:c>
      <ns0:c r="I37" s="7" t="inlineStr">
        <ns0:is>
          <ns0:t>Traducere EN→DE</ns0:t>
        </ns0:is>
      </ns0:c>
      <ns0:c r="J37" s="11" t="inlineStr">
        <ns0:is>
          <ns0:t>Planificat</ns0:t>
        </ns0:is>
      </ns0:c>
      <ns0:c r="K37" s="11" t="inlineStr">
        <ns0:is>
          <ns0:t>De desemnat</ns0:t>
        </ns0:is>
      </ns0:c>
      <ns0:c r="L37" s="8">
        <ns0:f>Catalog_100!I13</ns0:f>
        <ns0:v>55000</ns0:v>
      </ns0:c>
      <ns0:c r="M37" s="13">
        <ns0:f>Catalog_100!J13</ns0:f>
        <ns0:v>46311.0</ns0:v>
      </ns0:c>
      <ns0:c r="N37" s="13">
        <ns0:f>Catalog_100!K13</ns0:f>
        <ns0:v>46329.0</ns0:v>
      </ns0:c>
      <ns0:c r="O37" s="13">
        <ns0:f>Catalog_100!L13</ns0:f>
        <ns0:v>46331.0</ns0:v>
      </ns0:c>
      <ns0:c r="P37" s="13">
        <ns0:f>Catalog_100!M13</ns0:f>
        <ns0:v>46333.0</ns0:v>
      </ns0:c>
      <ns0:c r="Q37" s="11" t="inlineStr"/>
      <ns0:c r="R37" s="10" t="inlineStr"/>
      <ns0:c r="S37" s="11" t="inlineStr"/>
      <ns0:c r="T37" s="11" t="inlineStr"/>
      <ns0:c r="U37" s="11" t="inlineStr"/>
      <ns0:c r="V37" s="11" t="inlineStr">
        <ns0:is>
          <ns0:t>Neconfirmat</ns0:t>
        </ns0:is>
      </ns0:c>
      <ns0:c r="W37" s="11" t="inlineStr">
        <ns0:is>
          <ns0:t>Fără ediție finală confirmată</ns0:t>
        </ns0:is>
      </ns0:c>
      <ns0:c r="X37" s="7">
        <ns0:f>IF(AND(J37="Publicat",Q37&lt;&gt;"",ISNUMBER(R37),S37&lt;&gt;"",U37&lt;&gt;"",V37="Confirmat"),1,0)</ns0:f>
        <ns0:v>0</ns0:v>
      </ns0:c>
    </ns0:row>
    <ns0:row r="38" ht="46" customHeight="1">
      <ns0:c r="A38" s="7" t="inlineStr">
        <ns0:is>
          <ns0:t>DB-013-EN</ns0:t>
        </ns0:is>
      </ns0:c>
      <ns0:c r="B38" s="7" t="inlineStr">
        <ns0:is>
          <ns0:t>DB-013</ns0:t>
        </ns0:is>
      </ns0:c>
      <ns0:c r="C38" s="7" t="inlineStr">
        <ns0:is>
          <ns0:t>NOIR</ns0:t>
        </ns0:is>
      </ns0:c>
      <ns0:c r="D38" s="7" t="inlineStr">
        <ns0:is>
          <ns0:t>Carpathian Cold Cases</ns0:t>
        </ns0:is>
      </ns0:c>
      <ns0:c r="E38" s="8" t="n">
        <ns0:v>3</ns0:v>
      </ns0:c>
      <ns0:c r="F38" s="7" t="inlineStr">
        <ns0:is>
          <ns0:t>The Village That Forgot Her</ns0:t>
        </ns0:is>
      </ns0:c>
      <ns0:c r="G38" s="7" t="inlineStr">
        <ns0:is>
          <ns0:t>EN</ns0:t>
        </ns0:is>
      </ns0:c>
      <ns0:c r="H38" s="7" t="inlineStr">
        <ns0:is>
          <ns0:t>EN</ns0:t>
        </ns0:is>
      </ns0:c>
      <ns0:c r="I38" s="7" t="inlineStr">
        <ns0:is>
          <ns0:t>Scriere nouă</ns0:t>
        </ns0:is>
      </ns0:c>
      <ns0:c r="J38" s="11" t="inlineStr">
        <ns0:is>
          <ns0:t>Planificat</ns0:t>
        </ns0:is>
      </ns0:c>
      <ns0:c r="K38" s="11" t="inlineStr">
        <ns0:is>
          <ns0:t>De desemnat</ns0:t>
        </ns0:is>
      </ns0:c>
      <ns0:c r="L38" s="8">
        <ns0:f>Catalog_100!I14</ns0:f>
        <ns0:v>55000</ns0:v>
      </ns0:c>
      <ns0:c r="M38" s="13">
        <ns0:f>Catalog_100!J14</ns0:f>
        <ns0:v>46311.0</ns0:v>
      </ns0:c>
      <ns0:c r="N38" s="13">
        <ns0:f>Catalog_100!K14</ns0:f>
        <ns0:v>46329.0</ns0:v>
      </ns0:c>
      <ns0:c r="O38" s="13">
        <ns0:f>Catalog_100!L14</ns0:f>
        <ns0:v>46331.0</ns0:v>
      </ns0:c>
      <ns0:c r="P38" s="13">
        <ns0:f>Catalog_100!M14</ns0:f>
        <ns0:v>46333.0</ns0:v>
      </ns0:c>
      <ns0:c r="Q38" s="11" t="inlineStr"/>
      <ns0:c r="R38" s="10" t="inlineStr"/>
      <ns0:c r="S38" s="11" t="inlineStr"/>
      <ns0:c r="T38" s="11" t="inlineStr"/>
      <ns0:c r="U38" s="11" t="inlineStr"/>
      <ns0:c r="V38" s="11" t="inlineStr">
        <ns0:is>
          <ns0:t>Neconfirmat</ns0:t>
        </ns0:is>
      </ns0:c>
      <ns0:c r="W38" s="11" t="inlineStr">
        <ns0:is>
          <ns0:t>Fără ediție finală confirmată</ns0:t>
        </ns0:is>
      </ns0:c>
      <ns0:c r="X38" s="7">
        <ns0:f>IF(AND(J38="Publicat",Q38&lt;&gt;"",ISNUMBER(R38),S38&lt;&gt;"",U38&lt;&gt;"",V38="Confirmat"),1,0)</ns0:f>
        <ns0:v>0</ns0:v>
      </ns0:c>
    </ns0:row>
    <ns0:row r="39" ht="46" customHeight="1">
      <ns0:c r="A39" s="7" t="inlineStr">
        <ns0:is>
          <ns0:t>DB-013-RO</ns0:t>
        </ns0:is>
      </ns0:c>
      <ns0:c r="B39" s="7" t="inlineStr">
        <ns0:is>
          <ns0:t>DB-013</ns0:t>
        </ns0:is>
      </ns0:c>
      <ns0:c r="C39" s="7" t="inlineStr">
        <ns0:is>
          <ns0:t>NOIR</ns0:t>
        </ns0:is>
      </ns0:c>
      <ns0:c r="D39" s="7" t="inlineStr">
        <ns0:is>
          <ns0:t>Carpathian Cold Cases</ns0:t>
        </ns0:is>
      </ns0:c>
      <ns0:c r="E39" s="8" t="n">
        <ns0:v>3</ns0:v>
      </ns0:c>
      <ns0:c r="F39" s="7" t="inlineStr">
        <ns0:is>
          <ns0:t>The Village That Forgot Her</ns0:t>
        </ns0:is>
      </ns0:c>
      <ns0:c r="G39" s="7" t="inlineStr">
        <ns0:is>
          <ns0:t>RO</ns0:t>
        </ns0:is>
      </ns0:c>
      <ns0:c r="H39" s="7" t="inlineStr">
        <ns0:is>
          <ns0:t>EN</ns0:t>
        </ns0:is>
      </ns0:c>
      <ns0:c r="I39" s="7" t="inlineStr">
        <ns0:is>
          <ns0:t>Traducere EN→RO</ns0:t>
        </ns0:is>
      </ns0:c>
      <ns0:c r="J39" s="11" t="inlineStr">
        <ns0:is>
          <ns0:t>Planificat</ns0:t>
        </ns0:is>
      </ns0:c>
      <ns0:c r="K39" s="11" t="inlineStr">
        <ns0:is>
          <ns0:t>De desemnat</ns0:t>
        </ns0:is>
      </ns0:c>
      <ns0:c r="L39" s="8">
        <ns0:f>Catalog_100!I14</ns0:f>
        <ns0:v>55000</ns0:v>
      </ns0:c>
      <ns0:c r="M39" s="13">
        <ns0:f>Catalog_100!J14</ns0:f>
        <ns0:v>46311.0</ns0:v>
      </ns0:c>
      <ns0:c r="N39" s="13">
        <ns0:f>Catalog_100!K14</ns0:f>
        <ns0:v>46329.0</ns0:v>
      </ns0:c>
      <ns0:c r="O39" s="13">
        <ns0:f>Catalog_100!L14</ns0:f>
        <ns0:v>46331.0</ns0:v>
      </ns0:c>
      <ns0:c r="P39" s="13">
        <ns0:f>Catalog_100!M14</ns0:f>
        <ns0:v>46333.0</ns0:v>
      </ns0:c>
      <ns0:c r="Q39" s="11" t="inlineStr"/>
      <ns0:c r="R39" s="10" t="inlineStr"/>
      <ns0:c r="S39" s="11" t="inlineStr"/>
      <ns0:c r="T39" s="11" t="inlineStr"/>
      <ns0:c r="U39" s="11" t="inlineStr"/>
      <ns0:c r="V39" s="11" t="inlineStr">
        <ns0:is>
          <ns0:t>Neconfirmat</ns0:t>
        </ns0:is>
      </ns0:c>
      <ns0:c r="W39" s="11" t="inlineStr">
        <ns0:is>
          <ns0:t>Fără ediție finală confirmată</ns0:t>
        </ns0:is>
      </ns0:c>
      <ns0:c r="X39" s="7">
        <ns0:f>IF(AND(J39="Publicat",Q39&lt;&gt;"",ISNUMBER(R39),S39&lt;&gt;"",U39&lt;&gt;"",V39="Confirmat"),1,0)</ns0:f>
        <ns0:v>0</ns0:v>
      </ns0:c>
    </ns0:row>
    <ns0:row r="40" ht="46" customHeight="1">
      <ns0:c r="A40" s="7" t="inlineStr">
        <ns0:is>
          <ns0:t>DB-013-DE</ns0:t>
        </ns0:is>
      </ns0:c>
      <ns0:c r="B40" s="7" t="inlineStr">
        <ns0:is>
          <ns0:t>DB-013</ns0:t>
        </ns0:is>
      </ns0:c>
      <ns0:c r="C40" s="7" t="inlineStr">
        <ns0:is>
          <ns0:t>NOIR</ns0:t>
        </ns0:is>
      </ns0:c>
      <ns0:c r="D40" s="7" t="inlineStr">
        <ns0:is>
          <ns0:t>Carpathian Cold Cases</ns0:t>
        </ns0:is>
      </ns0:c>
      <ns0:c r="E40" s="8" t="n">
        <ns0:v>3</ns0:v>
      </ns0:c>
      <ns0:c r="F40" s="7" t="inlineStr">
        <ns0:is>
          <ns0:t>The Village That Forgot Her</ns0:t>
        </ns0:is>
      </ns0:c>
      <ns0:c r="G40" s="7" t="inlineStr">
        <ns0:is>
          <ns0:t>DE</ns0:t>
        </ns0:is>
      </ns0:c>
      <ns0:c r="H40" s="7" t="inlineStr">
        <ns0:is>
          <ns0:t>EN</ns0:t>
        </ns0:is>
      </ns0:c>
      <ns0:c r="I40" s="7" t="inlineStr">
        <ns0:is>
          <ns0:t>Traducere EN→DE</ns0:t>
        </ns0:is>
      </ns0:c>
      <ns0:c r="J40" s="11" t="inlineStr">
        <ns0:is>
          <ns0:t>Planificat</ns0:t>
        </ns0:is>
      </ns0:c>
      <ns0:c r="K40" s="11" t="inlineStr">
        <ns0:is>
          <ns0:t>De desemnat</ns0:t>
        </ns0:is>
      </ns0:c>
      <ns0:c r="L40" s="8">
        <ns0:f>Catalog_100!I14</ns0:f>
        <ns0:v>55000</ns0:v>
      </ns0:c>
      <ns0:c r="M40" s="13">
        <ns0:f>Catalog_100!J14</ns0:f>
        <ns0:v>46311.0</ns0:v>
      </ns0:c>
      <ns0:c r="N40" s="13">
        <ns0:f>Catalog_100!K14</ns0:f>
        <ns0:v>46329.0</ns0:v>
      </ns0:c>
      <ns0:c r="O40" s="13">
        <ns0:f>Catalog_100!L14</ns0:f>
        <ns0:v>46331.0</ns0:v>
      </ns0:c>
      <ns0:c r="P40" s="13">
        <ns0:f>Catalog_100!M14</ns0:f>
        <ns0:v>46333.0</ns0:v>
      </ns0:c>
      <ns0:c r="Q40" s="11" t="inlineStr"/>
      <ns0:c r="R40" s="10" t="inlineStr"/>
      <ns0:c r="S40" s="11" t="inlineStr"/>
      <ns0:c r="T40" s="11" t="inlineStr"/>
      <ns0:c r="U40" s="11" t="inlineStr"/>
      <ns0:c r="V40" s="11" t="inlineStr">
        <ns0:is>
          <ns0:t>Neconfirmat</ns0:t>
        </ns0:is>
      </ns0:c>
      <ns0:c r="W40" s="11" t="inlineStr">
        <ns0:is>
          <ns0:t>Fără ediție finală confirmată</ns0:t>
        </ns0:is>
      </ns0:c>
      <ns0:c r="X40" s="7">
        <ns0:f>IF(AND(J40="Publicat",Q40&lt;&gt;"",ISNUMBER(R40),S40&lt;&gt;"",U40&lt;&gt;"",V40="Confirmat"),1,0)</ns0:f>
        <ns0:v>0</ns0:v>
      </ns0:c>
    </ns0:row>
    <ns0:row r="41" ht="46" customHeight="1">
      <ns0:c r="A41" s="7" t="inlineStr">
        <ns0:is>
          <ns0:t>DB-014-EN</ns0:t>
        </ns0:is>
      </ns0:c>
      <ns0:c r="B41" s="7" t="inlineStr">
        <ns0:is>
          <ns0:t>DB-014</ns0:t>
        </ns0:is>
      </ns0:c>
      <ns0:c r="C41" s="7" t="inlineStr">
        <ns0:is>
          <ns0:t>NOIR</ns0:t>
        </ns0:is>
      </ns0:c>
      <ns0:c r="D41" s="7" t="inlineStr">
        <ns0:is>
          <ns0:t>Carpathian Cold Cases</ns0:t>
        </ns0:is>
      </ns0:c>
      <ns0:c r="E41" s="8" t="n">
        <ns0:v>4</ns0:v>
      </ns0:c>
      <ns0:c r="F41" s="7" t="inlineStr">
        <ns0:is>
          <ns0:t>The Funeral Guest</ns0:t>
        </ns0:is>
      </ns0:c>
      <ns0:c r="G41" s="7" t="inlineStr">
        <ns0:is>
          <ns0:t>EN</ns0:t>
        </ns0:is>
      </ns0:c>
      <ns0:c r="H41" s="7" t="inlineStr">
        <ns0:is>
          <ns0:t>EN</ns0:t>
        </ns0:is>
      </ns0:c>
      <ns0:c r="I41" s="7" t="inlineStr">
        <ns0:is>
          <ns0:t>Scriere nouă</ns0:t>
        </ns0:is>
      </ns0:c>
      <ns0:c r="J41" s="11" t="inlineStr">
        <ns0:is>
          <ns0:t>Planificat</ns0:t>
        </ns0:is>
      </ns0:c>
      <ns0:c r="K41" s="11" t="inlineStr">
        <ns0:is>
          <ns0:t>De desemnat</ns0:t>
        </ns0:is>
      </ns0:c>
      <ns0:c r="L41" s="8">
        <ns0:f>Catalog_100!I15</ns0:f>
        <ns0:v>55000</ns0:v>
      </ns0:c>
      <ns0:c r="M41" s="13">
        <ns0:f>Catalog_100!J15</ns0:f>
        <ns0:v>46311.0</ns0:v>
      </ns0:c>
      <ns0:c r="N41" s="13">
        <ns0:f>Catalog_100!K15</ns0:f>
        <ns0:v>46329.0</ns0:v>
      </ns0:c>
      <ns0:c r="O41" s="13">
        <ns0:f>Catalog_100!L15</ns0:f>
        <ns0:v>46331.0</ns0:v>
      </ns0:c>
      <ns0:c r="P41" s="13">
        <ns0:f>Catalog_100!M15</ns0:f>
        <ns0:v>46333.0</ns0:v>
      </ns0:c>
      <ns0:c r="Q41" s="11" t="inlineStr"/>
      <ns0:c r="R41" s="10" t="inlineStr"/>
      <ns0:c r="S41" s="11" t="inlineStr"/>
      <ns0:c r="T41" s="11" t="inlineStr"/>
      <ns0:c r="U41" s="11" t="inlineStr"/>
      <ns0:c r="V41" s="11" t="inlineStr">
        <ns0:is>
          <ns0:t>Neconfirmat</ns0:t>
        </ns0:is>
      </ns0:c>
      <ns0:c r="W41" s="11" t="inlineStr">
        <ns0:is>
          <ns0:t>Fără ediție finală confirmată</ns0:t>
        </ns0:is>
      </ns0:c>
      <ns0:c r="X41" s="7">
        <ns0:f>IF(AND(J41="Publicat",Q41&lt;&gt;"",ISNUMBER(R41),S41&lt;&gt;"",U41&lt;&gt;"",V41="Confirmat"),1,0)</ns0:f>
        <ns0:v>0</ns0:v>
      </ns0:c>
    </ns0:row>
    <ns0:row r="42" ht="46" customHeight="1">
      <ns0:c r="A42" s="7" t="inlineStr">
        <ns0:is>
          <ns0:t>DB-014-RO</ns0:t>
        </ns0:is>
      </ns0:c>
      <ns0:c r="B42" s="7" t="inlineStr">
        <ns0:is>
          <ns0:t>DB-014</ns0:t>
        </ns0:is>
      </ns0:c>
      <ns0:c r="C42" s="7" t="inlineStr">
        <ns0:is>
          <ns0:t>NOIR</ns0:t>
        </ns0:is>
      </ns0:c>
      <ns0:c r="D42" s="7" t="inlineStr">
        <ns0:is>
          <ns0:t>Carpathian Cold Cases</ns0:t>
        </ns0:is>
      </ns0:c>
      <ns0:c r="E42" s="8" t="n">
        <ns0:v>4</ns0:v>
      </ns0:c>
      <ns0:c r="F42" s="7" t="inlineStr">
        <ns0:is>
          <ns0:t>The Funeral Guest</ns0:t>
        </ns0:is>
      </ns0:c>
      <ns0:c r="G42" s="7" t="inlineStr">
        <ns0:is>
          <ns0:t>RO</ns0:t>
        </ns0:is>
      </ns0:c>
      <ns0:c r="H42" s="7" t="inlineStr">
        <ns0:is>
          <ns0:t>EN</ns0:t>
        </ns0:is>
      </ns0:c>
      <ns0:c r="I42" s="7" t="inlineStr">
        <ns0:is>
          <ns0:t>Traducere EN→RO</ns0:t>
        </ns0:is>
      </ns0:c>
      <ns0:c r="J42" s="11" t="inlineStr">
        <ns0:is>
          <ns0:t>Planificat</ns0:t>
        </ns0:is>
      </ns0:c>
      <ns0:c r="K42" s="11" t="inlineStr">
        <ns0:is>
          <ns0:t>De desemnat</ns0:t>
        </ns0:is>
      </ns0:c>
      <ns0:c r="L42" s="8">
        <ns0:f>Catalog_100!I15</ns0:f>
        <ns0:v>55000</ns0:v>
      </ns0:c>
      <ns0:c r="M42" s="13">
        <ns0:f>Catalog_100!J15</ns0:f>
        <ns0:v>46311.0</ns0:v>
      </ns0:c>
      <ns0:c r="N42" s="13">
        <ns0:f>Catalog_100!K15</ns0:f>
        <ns0:v>46329.0</ns0:v>
      </ns0:c>
      <ns0:c r="O42" s="13">
        <ns0:f>Catalog_100!L15</ns0:f>
        <ns0:v>46331.0</ns0:v>
      </ns0:c>
      <ns0:c r="P42" s="13">
        <ns0:f>Catalog_100!M15</ns0:f>
        <ns0:v>46333.0</ns0:v>
      </ns0:c>
      <ns0:c r="Q42" s="11" t="inlineStr"/>
      <ns0:c r="R42" s="10" t="inlineStr"/>
      <ns0:c r="S42" s="11" t="inlineStr"/>
      <ns0:c r="T42" s="11" t="inlineStr"/>
      <ns0:c r="U42" s="11" t="inlineStr"/>
      <ns0:c r="V42" s="11" t="inlineStr">
        <ns0:is>
          <ns0:t>Neconfirmat</ns0:t>
        </ns0:is>
      </ns0:c>
      <ns0:c r="W42" s="11" t="inlineStr">
        <ns0:is>
          <ns0:t>Fără ediție finală confirmată</ns0:t>
        </ns0:is>
      </ns0:c>
      <ns0:c r="X42" s="7">
        <ns0:f>IF(AND(J42="Publicat",Q42&lt;&gt;"",ISNUMBER(R42),S42&lt;&gt;"",U42&lt;&gt;"",V42="Confirmat"),1,0)</ns0:f>
        <ns0:v>0</ns0:v>
      </ns0:c>
    </ns0:row>
    <ns0:row r="43" ht="46" customHeight="1">
      <ns0:c r="A43" s="7" t="inlineStr">
        <ns0:is>
          <ns0:t>DB-014-DE</ns0:t>
        </ns0:is>
      </ns0:c>
      <ns0:c r="B43" s="7" t="inlineStr">
        <ns0:is>
          <ns0:t>DB-014</ns0:t>
        </ns0:is>
      </ns0:c>
      <ns0:c r="C43" s="7" t="inlineStr">
        <ns0:is>
          <ns0:t>NOIR</ns0:t>
        </ns0:is>
      </ns0:c>
      <ns0:c r="D43" s="7" t="inlineStr">
        <ns0:is>
          <ns0:t>Carpathian Cold Cases</ns0:t>
        </ns0:is>
      </ns0:c>
      <ns0:c r="E43" s="8" t="n">
        <ns0:v>4</ns0:v>
      </ns0:c>
      <ns0:c r="F43" s="7" t="inlineStr">
        <ns0:is>
          <ns0:t>The Funeral Guest</ns0:t>
        </ns0:is>
      </ns0:c>
      <ns0:c r="G43" s="7" t="inlineStr">
        <ns0:is>
          <ns0:t>DE</ns0:t>
        </ns0:is>
      </ns0:c>
      <ns0:c r="H43" s="7" t="inlineStr">
        <ns0:is>
          <ns0:t>EN</ns0:t>
        </ns0:is>
      </ns0:c>
      <ns0:c r="I43" s="7" t="inlineStr">
        <ns0:is>
          <ns0:t>Traducere EN→DE</ns0:t>
        </ns0:is>
      </ns0:c>
      <ns0:c r="J43" s="11" t="inlineStr">
        <ns0:is>
          <ns0:t>Planificat</ns0:t>
        </ns0:is>
      </ns0:c>
      <ns0:c r="K43" s="11" t="inlineStr">
        <ns0:is>
          <ns0:t>De desemnat</ns0:t>
        </ns0:is>
      </ns0:c>
      <ns0:c r="L43" s="8">
        <ns0:f>Catalog_100!I15</ns0:f>
        <ns0:v>55000</ns0:v>
      </ns0:c>
      <ns0:c r="M43" s="13">
        <ns0:f>Catalog_100!J15</ns0:f>
        <ns0:v>46311.0</ns0:v>
      </ns0:c>
      <ns0:c r="N43" s="13">
        <ns0:f>Catalog_100!K15</ns0:f>
        <ns0:v>46329.0</ns0:v>
      </ns0:c>
      <ns0:c r="O43" s="13">
        <ns0:f>Catalog_100!L15</ns0:f>
        <ns0:v>46331.0</ns0:v>
      </ns0:c>
      <ns0:c r="P43" s="13">
        <ns0:f>Catalog_100!M15</ns0:f>
        <ns0:v>46333.0</ns0:v>
      </ns0:c>
      <ns0:c r="Q43" s="11" t="inlineStr"/>
      <ns0:c r="R43" s="10" t="inlineStr"/>
      <ns0:c r="S43" s="11" t="inlineStr"/>
      <ns0:c r="T43" s="11" t="inlineStr"/>
      <ns0:c r="U43" s="11" t="inlineStr"/>
      <ns0:c r="V43" s="11" t="inlineStr">
        <ns0:is>
          <ns0:t>Neconfirmat</ns0:t>
        </ns0:is>
      </ns0:c>
      <ns0:c r="W43" s="11" t="inlineStr">
        <ns0:is>
          <ns0:t>Fără ediție finală confirmată</ns0:t>
        </ns0:is>
      </ns0:c>
      <ns0:c r="X43" s="7">
        <ns0:f>IF(AND(J43="Publicat",Q43&lt;&gt;"",ISNUMBER(R43),S43&lt;&gt;"",U43&lt;&gt;"",V43="Confirmat"),1,0)</ns0:f>
        <ns0:v>0</ns0:v>
      </ns0:c>
    </ns0:row>
    <ns0:row r="44" ht="46" customHeight="1">
      <ns0:c r="A44" s="7" t="inlineStr">
        <ns0:is>
          <ns0:t>DB-015-EN</ns0:t>
        </ns0:is>
      </ns0:c>
      <ns0:c r="B44" s="7" t="inlineStr">
        <ns0:is>
          <ns0:t>DB-015</ns0:t>
        </ns0:is>
      </ns0:c>
      <ns0:c r="C44" s="7" t="inlineStr">
        <ns0:is>
          <ns0:t>NOIR</ns0:t>
        </ns0:is>
      </ns0:c>
      <ns0:c r="D44" s="7" t="inlineStr">
        <ns0:is>
          <ns0:t>Carpathian Cold Cases</ns0:t>
        </ns0:is>
      </ns0:c>
      <ns0:c r="E44" s="8" t="n">
        <ns0:v>5</ns0:v>
      </ns0:c>
      <ns0:c r="F44" s="7" t="inlineStr">
        <ns0:is>
          <ns0:t>The Quarry Silence</ns0:t>
        </ns0:is>
      </ns0:c>
      <ns0:c r="G44" s="7" t="inlineStr">
        <ns0:is>
          <ns0:t>EN</ns0:t>
        </ns0:is>
      </ns0:c>
      <ns0:c r="H44" s="7" t="inlineStr">
        <ns0:is>
          <ns0:t>EN</ns0:t>
        </ns0:is>
      </ns0:c>
      <ns0:c r="I44" s="7" t="inlineStr">
        <ns0:is>
          <ns0:t>Scriere nouă</ns0:t>
        </ns0:is>
      </ns0:c>
      <ns0:c r="J44" s="11" t="inlineStr">
        <ns0:is>
          <ns0:t>Planificat</ns0:t>
        </ns0:is>
      </ns0:c>
      <ns0:c r="K44" s="11" t="inlineStr">
        <ns0:is>
          <ns0:t>De desemnat</ns0:t>
        </ns0:is>
      </ns0:c>
      <ns0:c r="L44" s="8">
        <ns0:f>Catalog_100!I16</ns0:f>
        <ns0:v>55000</ns0:v>
      </ns0:c>
      <ns0:c r="M44" s="13">
        <ns0:f>Catalog_100!J16</ns0:f>
        <ns0:v>46311.0</ns0:v>
      </ns0:c>
      <ns0:c r="N44" s="13">
        <ns0:f>Catalog_100!K16</ns0:f>
        <ns0:v>46329.0</ns0:v>
      </ns0:c>
      <ns0:c r="O44" s="13">
        <ns0:f>Catalog_100!L16</ns0:f>
        <ns0:v>46331.0</ns0:v>
      </ns0:c>
      <ns0:c r="P44" s="13">
        <ns0:f>Catalog_100!M16</ns0:f>
        <ns0:v>46333.0</ns0:v>
      </ns0:c>
      <ns0:c r="Q44" s="11" t="inlineStr"/>
      <ns0:c r="R44" s="10" t="inlineStr"/>
      <ns0:c r="S44" s="11" t="inlineStr"/>
      <ns0:c r="T44" s="11" t="inlineStr"/>
      <ns0:c r="U44" s="11" t="inlineStr"/>
      <ns0:c r="V44" s="11" t="inlineStr">
        <ns0:is>
          <ns0:t>Neconfirmat</ns0:t>
        </ns0:is>
      </ns0:c>
      <ns0:c r="W44" s="11" t="inlineStr">
        <ns0:is>
          <ns0:t>Fără ediție finală confirmată</ns0:t>
        </ns0:is>
      </ns0:c>
      <ns0:c r="X44" s="7">
        <ns0:f>IF(AND(J44="Publicat",Q44&lt;&gt;"",ISNUMBER(R44),S44&lt;&gt;"",U44&lt;&gt;"",V44="Confirmat"),1,0)</ns0:f>
        <ns0:v>0</ns0:v>
      </ns0:c>
    </ns0:row>
    <ns0:row r="45" ht="46" customHeight="1">
      <ns0:c r="A45" s="7" t="inlineStr">
        <ns0:is>
          <ns0:t>DB-015-RO</ns0:t>
        </ns0:is>
      </ns0:c>
      <ns0:c r="B45" s="7" t="inlineStr">
        <ns0:is>
          <ns0:t>DB-015</ns0:t>
        </ns0:is>
      </ns0:c>
      <ns0:c r="C45" s="7" t="inlineStr">
        <ns0:is>
          <ns0:t>NOIR</ns0:t>
        </ns0:is>
      </ns0:c>
      <ns0:c r="D45" s="7" t="inlineStr">
        <ns0:is>
          <ns0:t>Carpathian Cold Cases</ns0:t>
        </ns0:is>
      </ns0:c>
      <ns0:c r="E45" s="8" t="n">
        <ns0:v>5</ns0:v>
      </ns0:c>
      <ns0:c r="F45" s="7" t="inlineStr">
        <ns0:is>
          <ns0:t>The Quarry Silence</ns0:t>
        </ns0:is>
      </ns0:c>
      <ns0:c r="G45" s="7" t="inlineStr">
        <ns0:is>
          <ns0:t>RO</ns0:t>
        </ns0:is>
      </ns0:c>
      <ns0:c r="H45" s="7" t="inlineStr">
        <ns0:is>
          <ns0:t>EN</ns0:t>
        </ns0:is>
      </ns0:c>
      <ns0:c r="I45" s="7" t="inlineStr">
        <ns0:is>
          <ns0:t>Traducere EN→RO</ns0:t>
        </ns0:is>
      </ns0:c>
      <ns0:c r="J45" s="11" t="inlineStr">
        <ns0:is>
          <ns0:t>Planificat</ns0:t>
        </ns0:is>
      </ns0:c>
      <ns0:c r="K45" s="11" t="inlineStr">
        <ns0:is>
          <ns0:t>De desemnat</ns0:t>
        </ns0:is>
      </ns0:c>
      <ns0:c r="L45" s="8">
        <ns0:f>Catalog_100!I16</ns0:f>
        <ns0:v>55000</ns0:v>
      </ns0:c>
      <ns0:c r="M45" s="13">
        <ns0:f>Catalog_100!J16</ns0:f>
        <ns0:v>46311.0</ns0:v>
      </ns0:c>
      <ns0:c r="N45" s="13">
        <ns0:f>Catalog_100!K16</ns0:f>
        <ns0:v>46329.0</ns0:v>
      </ns0:c>
      <ns0:c r="O45" s="13">
        <ns0:f>Catalog_100!L16</ns0:f>
        <ns0:v>46331.0</ns0:v>
      </ns0:c>
      <ns0:c r="P45" s="13">
        <ns0:f>Catalog_100!M16</ns0:f>
        <ns0:v>46333.0</ns0:v>
      </ns0:c>
      <ns0:c r="Q45" s="11" t="inlineStr"/>
      <ns0:c r="R45" s="10" t="inlineStr"/>
      <ns0:c r="S45" s="11" t="inlineStr"/>
      <ns0:c r="T45" s="11" t="inlineStr"/>
      <ns0:c r="U45" s="11" t="inlineStr"/>
      <ns0:c r="V45" s="11" t="inlineStr">
        <ns0:is>
          <ns0:t>Neconfirmat</ns0:t>
        </ns0:is>
      </ns0:c>
      <ns0:c r="W45" s="11" t="inlineStr">
        <ns0:is>
          <ns0:t>Fără ediție finală confirmată</ns0:t>
        </ns0:is>
      </ns0:c>
      <ns0:c r="X45" s="7">
        <ns0:f>IF(AND(J45="Publicat",Q45&lt;&gt;"",ISNUMBER(R45),S45&lt;&gt;"",U45&lt;&gt;"",V45="Confirmat"),1,0)</ns0:f>
        <ns0:v>0</ns0:v>
      </ns0:c>
    </ns0:row>
    <ns0:row r="46" ht="46" customHeight="1">
      <ns0:c r="A46" s="7" t="inlineStr">
        <ns0:is>
          <ns0:t>DB-015-DE</ns0:t>
        </ns0:is>
      </ns0:c>
      <ns0:c r="B46" s="7" t="inlineStr">
        <ns0:is>
          <ns0:t>DB-015</ns0:t>
        </ns0:is>
      </ns0:c>
      <ns0:c r="C46" s="7" t="inlineStr">
        <ns0:is>
          <ns0:t>NOIR</ns0:t>
        </ns0:is>
      </ns0:c>
      <ns0:c r="D46" s="7" t="inlineStr">
        <ns0:is>
          <ns0:t>Carpathian Cold Cases</ns0:t>
        </ns0:is>
      </ns0:c>
      <ns0:c r="E46" s="8" t="n">
        <ns0:v>5</ns0:v>
      </ns0:c>
      <ns0:c r="F46" s="7" t="inlineStr">
        <ns0:is>
          <ns0:t>The Quarry Silence</ns0:t>
        </ns0:is>
      </ns0:c>
      <ns0:c r="G46" s="7" t="inlineStr">
        <ns0:is>
          <ns0:t>DE</ns0:t>
        </ns0:is>
      </ns0:c>
      <ns0:c r="H46" s="7" t="inlineStr">
        <ns0:is>
          <ns0:t>EN</ns0:t>
        </ns0:is>
      </ns0:c>
      <ns0:c r="I46" s="7" t="inlineStr">
        <ns0:is>
          <ns0:t>Traducere EN→DE</ns0:t>
        </ns0:is>
      </ns0:c>
      <ns0:c r="J46" s="11" t="inlineStr">
        <ns0:is>
          <ns0:t>Planificat</ns0:t>
        </ns0:is>
      </ns0:c>
      <ns0:c r="K46" s="11" t="inlineStr">
        <ns0:is>
          <ns0:t>De desemnat</ns0:t>
        </ns0:is>
      </ns0:c>
      <ns0:c r="L46" s="8">
        <ns0:f>Catalog_100!I16</ns0:f>
        <ns0:v>55000</ns0:v>
      </ns0:c>
      <ns0:c r="M46" s="13">
        <ns0:f>Catalog_100!J16</ns0:f>
        <ns0:v>46311.0</ns0:v>
      </ns0:c>
      <ns0:c r="N46" s="13">
        <ns0:f>Catalog_100!K16</ns0:f>
        <ns0:v>46329.0</ns0:v>
      </ns0:c>
      <ns0:c r="O46" s="13">
        <ns0:f>Catalog_100!L16</ns0:f>
        <ns0:v>46331.0</ns0:v>
      </ns0:c>
      <ns0:c r="P46" s="13">
        <ns0:f>Catalog_100!M16</ns0:f>
        <ns0:v>46333.0</ns0:v>
      </ns0:c>
      <ns0:c r="Q46" s="11" t="inlineStr"/>
      <ns0:c r="R46" s="10" t="inlineStr"/>
      <ns0:c r="S46" s="11" t="inlineStr"/>
      <ns0:c r="T46" s="11" t="inlineStr"/>
      <ns0:c r="U46" s="11" t="inlineStr"/>
      <ns0:c r="V46" s="11" t="inlineStr">
        <ns0:is>
          <ns0:t>Neconfirmat</ns0:t>
        </ns0:is>
      </ns0:c>
      <ns0:c r="W46" s="11" t="inlineStr">
        <ns0:is>
          <ns0:t>Fără ediție finală confirmată</ns0:t>
        </ns0:is>
      </ns0:c>
      <ns0:c r="X46" s="7">
        <ns0:f>IF(AND(J46="Publicat",Q46&lt;&gt;"",ISNUMBER(R46),S46&lt;&gt;"",U46&lt;&gt;"",V46="Confirmat"),1,0)</ns0:f>
        <ns0:v>0</ns0:v>
      </ns0:c>
    </ns0:row>
    <ns0:row r="47" ht="46" customHeight="1">
      <ns0:c r="A47" s="7" t="inlineStr">
        <ns0:is>
          <ns0:t>DB-016-EN</ns0:t>
        </ns0:is>
      </ns0:c>
      <ns0:c r="B47" s="7" t="inlineStr">
        <ns0:is>
          <ns0:t>DB-016</ns0:t>
        </ns0:is>
      </ns0:c>
      <ns0:c r="C47" s="7" t="inlineStr">
        <ns0:is>
          <ns0:t>NOIR</ns0:t>
        </ns0:is>
      </ns0:c>
      <ns0:c r="D47" s="7" t="inlineStr">
        <ns0:is>
          <ns0:t>Carpathian Cold Cases</ns0:t>
        </ns0:is>
      </ns0:c>
      <ns0:c r="E47" s="8" t="n">
        <ns0:v>6</ns0:v>
      </ns0:c>
      <ns0:c r="F47" s="7" t="inlineStr">
        <ns0:is>
          <ns0:t>The Last Night at the Observatory</ns0:t>
        </ns0:is>
      </ns0:c>
      <ns0:c r="G47" s="7" t="inlineStr">
        <ns0:is>
          <ns0:t>EN</ns0:t>
        </ns0:is>
      </ns0:c>
      <ns0:c r="H47" s="7" t="inlineStr">
        <ns0:is>
          <ns0:t>EN</ns0:t>
        </ns0:is>
      </ns0:c>
      <ns0:c r="I47" s="7" t="inlineStr">
        <ns0:is>
          <ns0:t>Scriere nouă</ns0:t>
        </ns0:is>
      </ns0:c>
      <ns0:c r="J47" s="11" t="inlineStr">
        <ns0:is>
          <ns0:t>Planificat</ns0:t>
        </ns0:is>
      </ns0:c>
      <ns0:c r="K47" s="11" t="inlineStr">
        <ns0:is>
          <ns0:t>De desemnat</ns0:t>
        </ns0:is>
      </ns0:c>
      <ns0:c r="L47" s="8">
        <ns0:f>Catalog_100!I17</ns0:f>
        <ns0:v>55000</ns0:v>
      </ns0:c>
      <ns0:c r="M47" s="13">
        <ns0:f>Catalog_100!J17</ns0:f>
        <ns0:v>46311.0</ns0:v>
      </ns0:c>
      <ns0:c r="N47" s="13">
        <ns0:f>Catalog_100!K17</ns0:f>
        <ns0:v>46329.0</ns0:v>
      </ns0:c>
      <ns0:c r="O47" s="13">
        <ns0:f>Catalog_100!L17</ns0:f>
        <ns0:v>46331.0</ns0:v>
      </ns0:c>
      <ns0:c r="P47" s="13">
        <ns0:f>Catalog_100!M17</ns0:f>
        <ns0:v>46333.0</ns0:v>
      </ns0:c>
      <ns0:c r="Q47" s="11" t="inlineStr"/>
      <ns0:c r="R47" s="10" t="inlineStr"/>
      <ns0:c r="S47" s="11" t="inlineStr"/>
      <ns0:c r="T47" s="11" t="inlineStr"/>
      <ns0:c r="U47" s="11" t="inlineStr"/>
      <ns0:c r="V47" s="11" t="inlineStr">
        <ns0:is>
          <ns0:t>Neconfirmat</ns0:t>
        </ns0:is>
      </ns0:c>
      <ns0:c r="W47" s="11" t="inlineStr">
        <ns0:is>
          <ns0:t>Fără ediție finală confirmată</ns0:t>
        </ns0:is>
      </ns0:c>
      <ns0:c r="X47" s="7">
        <ns0:f>IF(AND(J47="Publicat",Q47&lt;&gt;"",ISNUMBER(R47),S47&lt;&gt;"",U47&lt;&gt;"",V47="Confirmat"),1,0)</ns0:f>
        <ns0:v>0</ns0:v>
      </ns0:c>
    </ns0:row>
    <ns0:row r="48" ht="46" customHeight="1">
      <ns0:c r="A48" s="7" t="inlineStr">
        <ns0:is>
          <ns0:t>DB-016-RO</ns0:t>
        </ns0:is>
      </ns0:c>
      <ns0:c r="B48" s="7" t="inlineStr">
        <ns0:is>
          <ns0:t>DB-016</ns0:t>
        </ns0:is>
      </ns0:c>
      <ns0:c r="C48" s="7" t="inlineStr">
        <ns0:is>
          <ns0:t>NOIR</ns0:t>
        </ns0:is>
      </ns0:c>
      <ns0:c r="D48" s="7" t="inlineStr">
        <ns0:is>
          <ns0:t>Carpathian Cold Cases</ns0:t>
        </ns0:is>
      </ns0:c>
      <ns0:c r="E48" s="8" t="n">
        <ns0:v>6</ns0:v>
      </ns0:c>
      <ns0:c r="F48" s="7" t="inlineStr">
        <ns0:is>
          <ns0:t>The Last Night at the Observatory</ns0:t>
        </ns0:is>
      </ns0:c>
      <ns0:c r="G48" s="7" t="inlineStr">
        <ns0:is>
          <ns0:t>RO</ns0:t>
        </ns0:is>
      </ns0:c>
      <ns0:c r="H48" s="7" t="inlineStr">
        <ns0:is>
          <ns0:t>EN</ns0:t>
        </ns0:is>
      </ns0:c>
      <ns0:c r="I48" s="7" t="inlineStr">
        <ns0:is>
          <ns0:t>Traducere EN→RO</ns0:t>
        </ns0:is>
      </ns0:c>
      <ns0:c r="J48" s="11" t="inlineStr">
        <ns0:is>
          <ns0:t>Planificat</ns0:t>
        </ns0:is>
      </ns0:c>
      <ns0:c r="K48" s="11" t="inlineStr">
        <ns0:is>
          <ns0:t>De desemnat</ns0:t>
        </ns0:is>
      </ns0:c>
      <ns0:c r="L48" s="8">
        <ns0:f>Catalog_100!I17</ns0:f>
        <ns0:v>55000</ns0:v>
      </ns0:c>
      <ns0:c r="M48" s="13">
        <ns0:f>Catalog_100!J17</ns0:f>
        <ns0:v>46311.0</ns0:v>
      </ns0:c>
      <ns0:c r="N48" s="13">
        <ns0:f>Catalog_100!K17</ns0:f>
        <ns0:v>46329.0</ns0:v>
      </ns0:c>
      <ns0:c r="O48" s="13">
        <ns0:f>Catalog_100!L17</ns0:f>
        <ns0:v>46331.0</ns0:v>
      </ns0:c>
      <ns0:c r="P48" s="13">
        <ns0:f>Catalog_100!M17</ns0:f>
        <ns0:v>46333.0</ns0:v>
      </ns0:c>
      <ns0:c r="Q48" s="11" t="inlineStr"/>
      <ns0:c r="R48" s="10" t="inlineStr"/>
      <ns0:c r="S48" s="11" t="inlineStr"/>
      <ns0:c r="T48" s="11" t="inlineStr"/>
      <ns0:c r="U48" s="11" t="inlineStr"/>
      <ns0:c r="V48" s="11" t="inlineStr">
        <ns0:is>
          <ns0:t>Neconfirmat</ns0:t>
        </ns0:is>
      </ns0:c>
      <ns0:c r="W48" s="11" t="inlineStr">
        <ns0:is>
          <ns0:t>Fără ediție finală confirmată</ns0:t>
        </ns0:is>
      </ns0:c>
      <ns0:c r="X48" s="7">
        <ns0:f>IF(AND(J48="Publicat",Q48&lt;&gt;"",ISNUMBER(R48),S48&lt;&gt;"",U48&lt;&gt;"",V48="Confirmat"),1,0)</ns0:f>
        <ns0:v>0</ns0:v>
      </ns0:c>
    </ns0:row>
    <ns0:row r="49" ht="46" customHeight="1">
      <ns0:c r="A49" s="7" t="inlineStr">
        <ns0:is>
          <ns0:t>DB-016-DE</ns0:t>
        </ns0:is>
      </ns0:c>
      <ns0:c r="B49" s="7" t="inlineStr">
        <ns0:is>
          <ns0:t>DB-016</ns0:t>
        </ns0:is>
      </ns0:c>
      <ns0:c r="C49" s="7" t="inlineStr">
        <ns0:is>
          <ns0:t>NOIR</ns0:t>
        </ns0:is>
      </ns0:c>
      <ns0:c r="D49" s="7" t="inlineStr">
        <ns0:is>
          <ns0:t>Carpathian Cold Cases</ns0:t>
        </ns0:is>
      </ns0:c>
      <ns0:c r="E49" s="8" t="n">
        <ns0:v>6</ns0:v>
      </ns0:c>
      <ns0:c r="F49" s="7" t="inlineStr">
        <ns0:is>
          <ns0:t>The Last Night at the Observatory</ns0:t>
        </ns0:is>
      </ns0:c>
      <ns0:c r="G49" s="7" t="inlineStr">
        <ns0:is>
          <ns0:t>DE</ns0:t>
        </ns0:is>
      </ns0:c>
      <ns0:c r="H49" s="7" t="inlineStr">
        <ns0:is>
          <ns0:t>EN</ns0:t>
        </ns0:is>
      </ns0:c>
      <ns0:c r="I49" s="7" t="inlineStr">
        <ns0:is>
          <ns0:t>Traducere EN→DE</ns0:t>
        </ns0:is>
      </ns0:c>
      <ns0:c r="J49" s="11" t="inlineStr">
        <ns0:is>
          <ns0:t>Planificat</ns0:t>
        </ns0:is>
      </ns0:c>
      <ns0:c r="K49" s="11" t="inlineStr">
        <ns0:is>
          <ns0:t>De desemnat</ns0:t>
        </ns0:is>
      </ns0:c>
      <ns0:c r="L49" s="8">
        <ns0:f>Catalog_100!I17</ns0:f>
        <ns0:v>55000</ns0:v>
      </ns0:c>
      <ns0:c r="M49" s="13">
        <ns0:f>Catalog_100!J17</ns0:f>
        <ns0:v>46311.0</ns0:v>
      </ns0:c>
      <ns0:c r="N49" s="13">
        <ns0:f>Catalog_100!K17</ns0:f>
        <ns0:v>46329.0</ns0:v>
      </ns0:c>
      <ns0:c r="O49" s="13">
        <ns0:f>Catalog_100!L17</ns0:f>
        <ns0:v>46331.0</ns0:v>
      </ns0:c>
      <ns0:c r="P49" s="13">
        <ns0:f>Catalog_100!M17</ns0:f>
        <ns0:v>46333.0</ns0:v>
      </ns0:c>
      <ns0:c r="Q49" s="11" t="inlineStr"/>
      <ns0:c r="R49" s="10" t="inlineStr"/>
      <ns0:c r="S49" s="11" t="inlineStr"/>
      <ns0:c r="T49" s="11" t="inlineStr"/>
      <ns0:c r="U49" s="11" t="inlineStr"/>
      <ns0:c r="V49" s="11" t="inlineStr">
        <ns0:is>
          <ns0:t>Neconfirmat</ns0:t>
        </ns0:is>
      </ns0:c>
      <ns0:c r="W49" s="11" t="inlineStr">
        <ns0:is>
          <ns0:t>Fără ediție finală confirmată</ns0:t>
        </ns0:is>
      </ns0:c>
      <ns0:c r="X49" s="7">
        <ns0:f>IF(AND(J49="Publicat",Q49&lt;&gt;"",ISNUMBER(R49),S49&lt;&gt;"",U49&lt;&gt;"",V49="Confirmat"),1,0)</ns0:f>
        <ns0:v>0</ns0:v>
      </ns0:c>
    </ns0:row>
    <ns0:row r="50" ht="46" customHeight="1">
      <ns0:c r="A50" s="7" t="inlineStr">
        <ns0:is>
          <ns0:t>DB-017-EN</ns0:t>
        </ns0:is>
      </ns0:c>
      <ns0:c r="B50" s="7" t="inlineStr">
        <ns0:is>
          <ns0:t>DB-017</ns0:t>
        </ns0:is>
      </ns0:c>
      <ns0:c r="C50" s="7" t="inlineStr">
        <ns0:is>
          <ns0:t>NOIR</ns0:t>
        </ns0:is>
      </ns0:c>
      <ns0:c r="D50" s="7" t="inlineStr">
        <ns0:is>
          <ns0:t>Carpathian Cold Cases</ns0:t>
        </ns0:is>
      </ns0:c>
      <ns0:c r="E50" s="8" t="n">
        <ns0:v>7</ns0:v>
      </ns0:c>
      <ns0:c r="F50" s="7" t="inlineStr">
        <ns0:is>
          <ns0:t>The Borrowed Identity</ns0:t>
        </ns0:is>
      </ns0:c>
      <ns0:c r="G50" s="7" t="inlineStr">
        <ns0:is>
          <ns0:t>EN</ns0:t>
        </ns0:is>
      </ns0:c>
      <ns0:c r="H50" s="7" t="inlineStr">
        <ns0:is>
          <ns0:t>EN</ns0:t>
        </ns0:is>
      </ns0:c>
      <ns0:c r="I50" s="7" t="inlineStr">
        <ns0:is>
          <ns0:t>Scriere nouă</ns0:t>
        </ns0:is>
      </ns0:c>
      <ns0:c r="J50" s="11" t="inlineStr">
        <ns0:is>
          <ns0:t>Planificat</ns0:t>
        </ns0:is>
      </ns0:c>
      <ns0:c r="K50" s="11" t="inlineStr">
        <ns0:is>
          <ns0:t>De desemnat</ns0:t>
        </ns0:is>
      </ns0:c>
      <ns0:c r="L50" s="8">
        <ns0:f>Catalog_100!I18</ns0:f>
        <ns0:v>55000</ns0:v>
      </ns0:c>
      <ns0:c r="M50" s="13">
        <ns0:f>Catalog_100!J18</ns0:f>
        <ns0:v>46311.0</ns0:v>
      </ns0:c>
      <ns0:c r="N50" s="13">
        <ns0:f>Catalog_100!K18</ns0:f>
        <ns0:v>46329.0</ns0:v>
      </ns0:c>
      <ns0:c r="O50" s="13">
        <ns0:f>Catalog_100!L18</ns0:f>
        <ns0:v>46331.0</ns0:v>
      </ns0:c>
      <ns0:c r="P50" s="13">
        <ns0:f>Catalog_100!M18</ns0:f>
        <ns0:v>46333.0</ns0:v>
      </ns0:c>
      <ns0:c r="Q50" s="11" t="inlineStr"/>
      <ns0:c r="R50" s="10" t="inlineStr"/>
      <ns0:c r="S50" s="11" t="inlineStr"/>
      <ns0:c r="T50" s="11" t="inlineStr"/>
      <ns0:c r="U50" s="11" t="inlineStr"/>
      <ns0:c r="V50" s="11" t="inlineStr">
        <ns0:is>
          <ns0:t>Neconfirmat</ns0:t>
        </ns0:is>
      </ns0:c>
      <ns0:c r="W50" s="11" t="inlineStr">
        <ns0:is>
          <ns0:t>Fără ediție finală confirmată</ns0:t>
        </ns0:is>
      </ns0:c>
      <ns0:c r="X50" s="7">
        <ns0:f>IF(AND(J50="Publicat",Q50&lt;&gt;"",ISNUMBER(R50),S50&lt;&gt;"",U50&lt;&gt;"",V50="Confirmat"),1,0)</ns0:f>
        <ns0:v>0</ns0:v>
      </ns0:c>
    </ns0:row>
    <ns0:row r="51" ht="46" customHeight="1">
      <ns0:c r="A51" s="7" t="inlineStr">
        <ns0:is>
          <ns0:t>DB-017-RO</ns0:t>
        </ns0:is>
      </ns0:c>
      <ns0:c r="B51" s="7" t="inlineStr">
        <ns0:is>
          <ns0:t>DB-017</ns0:t>
        </ns0:is>
      </ns0:c>
      <ns0:c r="C51" s="7" t="inlineStr">
        <ns0:is>
          <ns0:t>NOIR</ns0:t>
        </ns0:is>
      </ns0:c>
      <ns0:c r="D51" s="7" t="inlineStr">
        <ns0:is>
          <ns0:t>Carpathian Cold Cases</ns0:t>
        </ns0:is>
      </ns0:c>
      <ns0:c r="E51" s="8" t="n">
        <ns0:v>7</ns0:v>
      </ns0:c>
      <ns0:c r="F51" s="7" t="inlineStr">
        <ns0:is>
          <ns0:t>The Borrowed Identity</ns0:t>
        </ns0:is>
      </ns0:c>
      <ns0:c r="G51" s="7" t="inlineStr">
        <ns0:is>
          <ns0:t>RO</ns0:t>
        </ns0:is>
      </ns0:c>
      <ns0:c r="H51" s="7" t="inlineStr">
        <ns0:is>
          <ns0:t>EN</ns0:t>
        </ns0:is>
      </ns0:c>
      <ns0:c r="I51" s="7" t="inlineStr">
        <ns0:is>
          <ns0:t>Traducere EN→RO</ns0:t>
        </ns0:is>
      </ns0:c>
      <ns0:c r="J51" s="11" t="inlineStr">
        <ns0:is>
          <ns0:t>Planificat</ns0:t>
        </ns0:is>
      </ns0:c>
      <ns0:c r="K51" s="11" t="inlineStr">
        <ns0:is>
          <ns0:t>De desemnat</ns0:t>
        </ns0:is>
      </ns0:c>
      <ns0:c r="L51" s="8">
        <ns0:f>Catalog_100!I18</ns0:f>
        <ns0:v>55000</ns0:v>
      </ns0:c>
      <ns0:c r="M51" s="13">
        <ns0:f>Catalog_100!J18</ns0:f>
        <ns0:v>46311.0</ns0:v>
      </ns0:c>
      <ns0:c r="N51" s="13">
        <ns0:f>Catalog_100!K18</ns0:f>
        <ns0:v>46329.0</ns0:v>
      </ns0:c>
      <ns0:c r="O51" s="13">
        <ns0:f>Catalog_100!L18</ns0:f>
        <ns0:v>46331.0</ns0:v>
      </ns0:c>
      <ns0:c r="P51" s="13">
        <ns0:f>Catalog_100!M18</ns0:f>
        <ns0:v>46333.0</ns0:v>
      </ns0:c>
      <ns0:c r="Q51" s="11" t="inlineStr"/>
      <ns0:c r="R51" s="10" t="inlineStr"/>
      <ns0:c r="S51" s="11" t="inlineStr"/>
      <ns0:c r="T51" s="11" t="inlineStr"/>
      <ns0:c r="U51" s="11" t="inlineStr"/>
      <ns0:c r="V51" s="11" t="inlineStr">
        <ns0:is>
          <ns0:t>Neconfirmat</ns0:t>
        </ns0:is>
      </ns0:c>
      <ns0:c r="W51" s="11" t="inlineStr">
        <ns0:is>
          <ns0:t>Fără ediție finală confirmată</ns0:t>
        </ns0:is>
      </ns0:c>
      <ns0:c r="X51" s="7">
        <ns0:f>IF(AND(J51="Publicat",Q51&lt;&gt;"",ISNUMBER(R51),S51&lt;&gt;"",U51&lt;&gt;"",V51="Confirmat"),1,0)</ns0:f>
        <ns0:v>0</ns0:v>
      </ns0:c>
    </ns0:row>
    <ns0:row r="52" ht="46" customHeight="1">
      <ns0:c r="A52" s="7" t="inlineStr">
        <ns0:is>
          <ns0:t>DB-017-DE</ns0:t>
        </ns0:is>
      </ns0:c>
      <ns0:c r="B52" s="7" t="inlineStr">
        <ns0:is>
          <ns0:t>DB-017</ns0:t>
        </ns0:is>
      </ns0:c>
      <ns0:c r="C52" s="7" t="inlineStr">
        <ns0:is>
          <ns0:t>NOIR</ns0:t>
        </ns0:is>
      </ns0:c>
      <ns0:c r="D52" s="7" t="inlineStr">
        <ns0:is>
          <ns0:t>Carpathian Cold Cases</ns0:t>
        </ns0:is>
      </ns0:c>
      <ns0:c r="E52" s="8" t="n">
        <ns0:v>7</ns0:v>
      </ns0:c>
      <ns0:c r="F52" s="7" t="inlineStr">
        <ns0:is>
          <ns0:t>The Borrowed Identity</ns0:t>
        </ns0:is>
      </ns0:c>
      <ns0:c r="G52" s="7" t="inlineStr">
        <ns0:is>
          <ns0:t>DE</ns0:t>
        </ns0:is>
      </ns0:c>
      <ns0:c r="H52" s="7" t="inlineStr">
        <ns0:is>
          <ns0:t>EN</ns0:t>
        </ns0:is>
      </ns0:c>
      <ns0:c r="I52" s="7" t="inlineStr">
        <ns0:is>
          <ns0:t>Traducere EN→DE</ns0:t>
        </ns0:is>
      </ns0:c>
      <ns0:c r="J52" s="11" t="inlineStr">
        <ns0:is>
          <ns0:t>Planificat</ns0:t>
        </ns0:is>
      </ns0:c>
      <ns0:c r="K52" s="11" t="inlineStr">
        <ns0:is>
          <ns0:t>De desemnat</ns0:t>
        </ns0:is>
      </ns0:c>
      <ns0:c r="L52" s="8">
        <ns0:f>Catalog_100!I18</ns0:f>
        <ns0:v>55000</ns0:v>
      </ns0:c>
      <ns0:c r="M52" s="13">
        <ns0:f>Catalog_100!J18</ns0:f>
        <ns0:v>46311.0</ns0:v>
      </ns0:c>
      <ns0:c r="N52" s="13">
        <ns0:f>Catalog_100!K18</ns0:f>
        <ns0:v>46329.0</ns0:v>
      </ns0:c>
      <ns0:c r="O52" s="13">
        <ns0:f>Catalog_100!L18</ns0:f>
        <ns0:v>46331.0</ns0:v>
      </ns0:c>
      <ns0:c r="P52" s="13">
        <ns0:f>Catalog_100!M18</ns0:f>
        <ns0:v>46333.0</ns0:v>
      </ns0:c>
      <ns0:c r="Q52" s="11" t="inlineStr"/>
      <ns0:c r="R52" s="10" t="inlineStr"/>
      <ns0:c r="S52" s="11" t="inlineStr"/>
      <ns0:c r="T52" s="11" t="inlineStr"/>
      <ns0:c r="U52" s="11" t="inlineStr"/>
      <ns0:c r="V52" s="11" t="inlineStr">
        <ns0:is>
          <ns0:t>Neconfirmat</ns0:t>
        </ns0:is>
      </ns0:c>
      <ns0:c r="W52" s="11" t="inlineStr">
        <ns0:is>
          <ns0:t>Fără ediție finală confirmată</ns0:t>
        </ns0:is>
      </ns0:c>
      <ns0:c r="X52" s="7">
        <ns0:f>IF(AND(J52="Publicat",Q52&lt;&gt;"",ISNUMBER(R52),S52&lt;&gt;"",U52&lt;&gt;"",V52="Confirmat"),1,0)</ns0:f>
        <ns0:v>0</ns0:v>
      </ns0:c>
    </ns0:row>
    <ns0:row r="53" ht="46" customHeight="1">
      <ns0:c r="A53" s="7" t="inlineStr">
        <ns0:is>
          <ns0:t>DB-018-EN</ns0:t>
        </ns0:is>
      </ns0:c>
      <ns0:c r="B53" s="7" t="inlineStr">
        <ns0:is>
          <ns0:t>DB-018</ns0:t>
        </ns0:is>
      </ns0:c>
      <ns0:c r="C53" s="7" t="inlineStr">
        <ns0:is>
          <ns0:t>NOIR</ns0:t>
        </ns0:is>
      </ns0:c>
      <ns0:c r="D53" s="7" t="inlineStr">
        <ns0:is>
          <ns0:t>Carpathian Cold Cases</ns0:t>
        </ns0:is>
      </ns0:c>
      <ns0:c r="E53" s="8" t="n">
        <ns0:v>8</ns0:v>
      </ns0:c>
      <ns0:c r="F53" s="7" t="inlineStr">
        <ns0:is>
          <ns0:t>The Lake House Ledger</ns0:t>
        </ns0:is>
      </ns0:c>
      <ns0:c r="G53" s="7" t="inlineStr">
        <ns0:is>
          <ns0:t>EN</ns0:t>
        </ns0:is>
      </ns0:c>
      <ns0:c r="H53" s="7" t="inlineStr">
        <ns0:is>
          <ns0:t>EN</ns0:t>
        </ns0:is>
      </ns0:c>
      <ns0:c r="I53" s="7" t="inlineStr">
        <ns0:is>
          <ns0:t>Scriere nouă</ns0:t>
        </ns0:is>
      </ns0:c>
      <ns0:c r="J53" s="11" t="inlineStr">
        <ns0:is>
          <ns0:t>Planificat</ns0:t>
        </ns0:is>
      </ns0:c>
      <ns0:c r="K53" s="11" t="inlineStr">
        <ns0:is>
          <ns0:t>De desemnat</ns0:t>
        </ns0:is>
      </ns0:c>
      <ns0:c r="L53" s="8">
        <ns0:f>Catalog_100!I19</ns0:f>
        <ns0:v>55000</ns0:v>
      </ns0:c>
      <ns0:c r="M53" s="13">
        <ns0:f>Catalog_100!J19</ns0:f>
        <ns0:v>46311.0</ns0:v>
      </ns0:c>
      <ns0:c r="N53" s="13">
        <ns0:f>Catalog_100!K19</ns0:f>
        <ns0:v>46329.0</ns0:v>
      </ns0:c>
      <ns0:c r="O53" s="13">
        <ns0:f>Catalog_100!L19</ns0:f>
        <ns0:v>46331.0</ns0:v>
      </ns0:c>
      <ns0:c r="P53" s="13">
        <ns0:f>Catalog_100!M19</ns0:f>
        <ns0:v>46333.0</ns0:v>
      </ns0:c>
      <ns0:c r="Q53" s="11" t="inlineStr"/>
      <ns0:c r="R53" s="10" t="inlineStr"/>
      <ns0:c r="S53" s="11" t="inlineStr"/>
      <ns0:c r="T53" s="11" t="inlineStr"/>
      <ns0:c r="U53" s="11" t="inlineStr"/>
      <ns0:c r="V53" s="11" t="inlineStr">
        <ns0:is>
          <ns0:t>Neconfirmat</ns0:t>
        </ns0:is>
      </ns0:c>
      <ns0:c r="W53" s="11" t="inlineStr">
        <ns0:is>
          <ns0:t>Fără ediție finală confirmată</ns0:t>
        </ns0:is>
      </ns0:c>
      <ns0:c r="X53" s="7">
        <ns0:f>IF(AND(J53="Publicat",Q53&lt;&gt;"",ISNUMBER(R53),S53&lt;&gt;"",U53&lt;&gt;"",V53="Confirmat"),1,0)</ns0:f>
        <ns0:v>0</ns0:v>
      </ns0:c>
    </ns0:row>
    <ns0:row r="54" ht="46" customHeight="1">
      <ns0:c r="A54" s="7" t="inlineStr">
        <ns0:is>
          <ns0:t>DB-018-RO</ns0:t>
        </ns0:is>
      </ns0:c>
      <ns0:c r="B54" s="7" t="inlineStr">
        <ns0:is>
          <ns0:t>DB-018</ns0:t>
        </ns0:is>
      </ns0:c>
      <ns0:c r="C54" s="7" t="inlineStr">
        <ns0:is>
          <ns0:t>NOIR</ns0:t>
        </ns0:is>
      </ns0:c>
      <ns0:c r="D54" s="7" t="inlineStr">
        <ns0:is>
          <ns0:t>Carpathian Cold Cases</ns0:t>
        </ns0:is>
      </ns0:c>
      <ns0:c r="E54" s="8" t="n">
        <ns0:v>8</ns0:v>
      </ns0:c>
      <ns0:c r="F54" s="7" t="inlineStr">
        <ns0:is>
          <ns0:t>The Lake House Ledger</ns0:t>
        </ns0:is>
      </ns0:c>
      <ns0:c r="G54" s="7" t="inlineStr">
        <ns0:is>
          <ns0:t>RO</ns0:t>
        </ns0:is>
      </ns0:c>
      <ns0:c r="H54" s="7" t="inlineStr">
        <ns0:is>
          <ns0:t>EN</ns0:t>
        </ns0:is>
      </ns0:c>
      <ns0:c r="I54" s="7" t="inlineStr">
        <ns0:is>
          <ns0:t>Traducere EN→RO</ns0:t>
        </ns0:is>
      </ns0:c>
      <ns0:c r="J54" s="11" t="inlineStr">
        <ns0:is>
          <ns0:t>Planificat</ns0:t>
        </ns0:is>
      </ns0:c>
      <ns0:c r="K54" s="11" t="inlineStr">
        <ns0:is>
          <ns0:t>De desemnat</ns0:t>
        </ns0:is>
      </ns0:c>
      <ns0:c r="L54" s="8">
        <ns0:f>Catalog_100!I19</ns0:f>
        <ns0:v>55000</ns0:v>
      </ns0:c>
      <ns0:c r="M54" s="13">
        <ns0:f>Catalog_100!J19</ns0:f>
        <ns0:v>46311.0</ns0:v>
      </ns0:c>
      <ns0:c r="N54" s="13">
        <ns0:f>Catalog_100!K19</ns0:f>
        <ns0:v>46329.0</ns0:v>
      </ns0:c>
      <ns0:c r="O54" s="13">
        <ns0:f>Catalog_100!L19</ns0:f>
        <ns0:v>46331.0</ns0:v>
      </ns0:c>
      <ns0:c r="P54" s="13">
        <ns0:f>Catalog_100!M19</ns0:f>
        <ns0:v>46333.0</ns0:v>
      </ns0:c>
      <ns0:c r="Q54" s="11" t="inlineStr"/>
      <ns0:c r="R54" s="10" t="inlineStr"/>
      <ns0:c r="S54" s="11" t="inlineStr"/>
      <ns0:c r="T54" s="11" t="inlineStr"/>
      <ns0:c r="U54" s="11" t="inlineStr"/>
      <ns0:c r="V54" s="11" t="inlineStr">
        <ns0:is>
          <ns0:t>Neconfirmat</ns0:t>
        </ns0:is>
      </ns0:c>
      <ns0:c r="W54" s="11" t="inlineStr">
        <ns0:is>
          <ns0:t>Fără ediție finală confirmată</ns0:t>
        </ns0:is>
      </ns0:c>
      <ns0:c r="X54" s="7">
        <ns0:f>IF(AND(J54="Publicat",Q54&lt;&gt;"",ISNUMBER(R54),S54&lt;&gt;"",U54&lt;&gt;"",V54="Confirmat"),1,0)</ns0:f>
        <ns0:v>0</ns0:v>
      </ns0:c>
    </ns0:row>
    <ns0:row r="55" ht="46" customHeight="1">
      <ns0:c r="A55" s="7" t="inlineStr">
        <ns0:is>
          <ns0:t>DB-018-DE</ns0:t>
        </ns0:is>
      </ns0:c>
      <ns0:c r="B55" s="7" t="inlineStr">
        <ns0:is>
          <ns0:t>DB-018</ns0:t>
        </ns0:is>
      </ns0:c>
      <ns0:c r="C55" s="7" t="inlineStr">
        <ns0:is>
          <ns0:t>NOIR</ns0:t>
        </ns0:is>
      </ns0:c>
      <ns0:c r="D55" s="7" t="inlineStr">
        <ns0:is>
          <ns0:t>Carpathian Cold Cases</ns0:t>
        </ns0:is>
      </ns0:c>
      <ns0:c r="E55" s="8" t="n">
        <ns0:v>8</ns0:v>
      </ns0:c>
      <ns0:c r="F55" s="7" t="inlineStr">
        <ns0:is>
          <ns0:t>The Lake House Ledger</ns0:t>
        </ns0:is>
      </ns0:c>
      <ns0:c r="G55" s="7" t="inlineStr">
        <ns0:is>
          <ns0:t>DE</ns0:t>
        </ns0:is>
      </ns0:c>
      <ns0:c r="H55" s="7" t="inlineStr">
        <ns0:is>
          <ns0:t>EN</ns0:t>
        </ns0:is>
      </ns0:c>
      <ns0:c r="I55" s="7" t="inlineStr">
        <ns0:is>
          <ns0:t>Traducere EN→DE</ns0:t>
        </ns0:is>
      </ns0:c>
      <ns0:c r="J55" s="11" t="inlineStr">
        <ns0:is>
          <ns0:t>Planificat</ns0:t>
        </ns0:is>
      </ns0:c>
      <ns0:c r="K55" s="11" t="inlineStr">
        <ns0:is>
          <ns0:t>De desemnat</ns0:t>
        </ns0:is>
      </ns0:c>
      <ns0:c r="L55" s="8">
        <ns0:f>Catalog_100!I19</ns0:f>
        <ns0:v>55000</ns0:v>
      </ns0:c>
      <ns0:c r="M55" s="13">
        <ns0:f>Catalog_100!J19</ns0:f>
        <ns0:v>46311.0</ns0:v>
      </ns0:c>
      <ns0:c r="N55" s="13">
        <ns0:f>Catalog_100!K19</ns0:f>
        <ns0:v>46329.0</ns0:v>
      </ns0:c>
      <ns0:c r="O55" s="13">
        <ns0:f>Catalog_100!L19</ns0:f>
        <ns0:v>46331.0</ns0:v>
      </ns0:c>
      <ns0:c r="P55" s="13">
        <ns0:f>Catalog_100!M19</ns0:f>
        <ns0:v>46333.0</ns0:v>
      </ns0:c>
      <ns0:c r="Q55" s="11" t="inlineStr"/>
      <ns0:c r="R55" s="10" t="inlineStr"/>
      <ns0:c r="S55" s="11" t="inlineStr"/>
      <ns0:c r="T55" s="11" t="inlineStr"/>
      <ns0:c r="U55" s="11" t="inlineStr"/>
      <ns0:c r="V55" s="11" t="inlineStr">
        <ns0:is>
          <ns0:t>Neconfirmat</ns0:t>
        </ns0:is>
      </ns0:c>
      <ns0:c r="W55" s="11" t="inlineStr">
        <ns0:is>
          <ns0:t>Fără ediție finală confirmată</ns0:t>
        </ns0:is>
      </ns0:c>
      <ns0:c r="X55" s="7">
        <ns0:f>IF(AND(J55="Publicat",Q55&lt;&gt;"",ISNUMBER(R55),S55&lt;&gt;"",U55&lt;&gt;"",V55="Confirmat"),1,0)</ns0:f>
        <ns0:v>0</ns0:v>
      </ns0:c>
    </ns0:row>
    <ns0:row r="56" ht="46" customHeight="1">
      <ns0:c r="A56" s="7" t="inlineStr">
        <ns0:is>
          <ns0:t>DB-019-EN</ns0:t>
        </ns0:is>
      </ns0:c>
      <ns0:c r="B56" s="7" t="inlineStr">
        <ns0:is>
          <ns0:t>DB-019</ns0:t>
        </ns0:is>
      </ns0:c>
      <ns0:c r="C56" s="7" t="inlineStr">
        <ns0:is>
          <ns0:t>NOIR</ns0:t>
        </ns0:is>
      </ns0:c>
      <ns0:c r="D56" s="7" t="inlineStr">
        <ns0:is>
          <ns0:t>Carpathian Cold Cases</ns0:t>
        </ns0:is>
      </ns0:c>
      <ns0:c r="E56" s="8" t="n">
        <ns0:v>9</ns0:v>
      </ns0:c>
      <ns0:c r="F56" s="7" t="inlineStr">
        <ns0:is>
          <ns0:t>The Unsent Testimony</ns0:t>
        </ns0:is>
      </ns0:c>
      <ns0:c r="G56" s="7" t="inlineStr">
        <ns0:is>
          <ns0:t>EN</ns0:t>
        </ns0:is>
      </ns0:c>
      <ns0:c r="H56" s="7" t="inlineStr">
        <ns0:is>
          <ns0:t>EN</ns0:t>
        </ns0:is>
      </ns0:c>
      <ns0:c r="I56" s="7" t="inlineStr">
        <ns0:is>
          <ns0:t>Scriere nouă</ns0:t>
        </ns0:is>
      </ns0:c>
      <ns0:c r="J56" s="11" t="inlineStr">
        <ns0:is>
          <ns0:t>Planificat</ns0:t>
        </ns0:is>
      </ns0:c>
      <ns0:c r="K56" s="11" t="inlineStr">
        <ns0:is>
          <ns0:t>De desemnat</ns0:t>
        </ns0:is>
      </ns0:c>
      <ns0:c r="L56" s="8">
        <ns0:f>Catalog_100!I20</ns0:f>
        <ns0:v>55000</ns0:v>
      </ns0:c>
      <ns0:c r="M56" s="13">
        <ns0:f>Catalog_100!J20</ns0:f>
        <ns0:v>46311.0</ns0:v>
      </ns0:c>
      <ns0:c r="N56" s="13">
        <ns0:f>Catalog_100!K20</ns0:f>
        <ns0:v>46329.0</ns0:v>
      </ns0:c>
      <ns0:c r="O56" s="13">
        <ns0:f>Catalog_100!L20</ns0:f>
        <ns0:v>46331.0</ns0:v>
      </ns0:c>
      <ns0:c r="P56" s="13">
        <ns0:f>Catalog_100!M20</ns0:f>
        <ns0:v>46333.0</ns0:v>
      </ns0:c>
      <ns0:c r="Q56" s="11" t="inlineStr"/>
      <ns0:c r="R56" s="10" t="inlineStr"/>
      <ns0:c r="S56" s="11" t="inlineStr"/>
      <ns0:c r="T56" s="11" t="inlineStr"/>
      <ns0:c r="U56" s="11" t="inlineStr"/>
      <ns0:c r="V56" s="11" t="inlineStr">
        <ns0:is>
          <ns0:t>Neconfirmat</ns0:t>
        </ns0:is>
      </ns0:c>
      <ns0:c r="W56" s="11" t="inlineStr">
        <ns0:is>
          <ns0:t>Fără ediție finală confirmată</ns0:t>
        </ns0:is>
      </ns0:c>
      <ns0:c r="X56" s="7">
        <ns0:f>IF(AND(J56="Publicat",Q56&lt;&gt;"",ISNUMBER(R56),S56&lt;&gt;"",U56&lt;&gt;"",V56="Confirmat"),1,0)</ns0:f>
        <ns0:v>0</ns0:v>
      </ns0:c>
    </ns0:row>
    <ns0:row r="57" ht="46" customHeight="1">
      <ns0:c r="A57" s="7" t="inlineStr">
        <ns0:is>
          <ns0:t>DB-019-RO</ns0:t>
        </ns0:is>
      </ns0:c>
      <ns0:c r="B57" s="7" t="inlineStr">
        <ns0:is>
          <ns0:t>DB-019</ns0:t>
        </ns0:is>
      </ns0:c>
      <ns0:c r="C57" s="7" t="inlineStr">
        <ns0:is>
          <ns0:t>NOIR</ns0:t>
        </ns0:is>
      </ns0:c>
      <ns0:c r="D57" s="7" t="inlineStr">
        <ns0:is>
          <ns0:t>Carpathian Cold Cases</ns0:t>
        </ns0:is>
      </ns0:c>
      <ns0:c r="E57" s="8" t="n">
        <ns0:v>9</ns0:v>
      </ns0:c>
      <ns0:c r="F57" s="7" t="inlineStr">
        <ns0:is>
          <ns0:t>The Unsent Testimony</ns0:t>
        </ns0:is>
      </ns0:c>
      <ns0:c r="G57" s="7" t="inlineStr">
        <ns0:is>
          <ns0:t>RO</ns0:t>
        </ns0:is>
      </ns0:c>
      <ns0:c r="H57" s="7" t="inlineStr">
        <ns0:is>
          <ns0:t>EN</ns0:t>
        </ns0:is>
      </ns0:c>
      <ns0:c r="I57" s="7" t="inlineStr">
        <ns0:is>
          <ns0:t>Traducere EN→RO</ns0:t>
        </ns0:is>
      </ns0:c>
      <ns0:c r="J57" s="11" t="inlineStr">
        <ns0:is>
          <ns0:t>Planificat</ns0:t>
        </ns0:is>
      </ns0:c>
      <ns0:c r="K57" s="11" t="inlineStr">
        <ns0:is>
          <ns0:t>De desemnat</ns0:t>
        </ns0:is>
      </ns0:c>
      <ns0:c r="L57" s="8">
        <ns0:f>Catalog_100!I20</ns0:f>
        <ns0:v>55000</ns0:v>
      </ns0:c>
      <ns0:c r="M57" s="13">
        <ns0:f>Catalog_100!J20</ns0:f>
        <ns0:v>46311.0</ns0:v>
      </ns0:c>
      <ns0:c r="N57" s="13">
        <ns0:f>Catalog_100!K20</ns0:f>
        <ns0:v>46329.0</ns0:v>
      </ns0:c>
      <ns0:c r="O57" s="13">
        <ns0:f>Catalog_100!L20</ns0:f>
        <ns0:v>46331.0</ns0:v>
      </ns0:c>
      <ns0:c r="P57" s="13">
        <ns0:f>Catalog_100!M20</ns0:f>
        <ns0:v>46333.0</ns0:v>
      </ns0:c>
      <ns0:c r="Q57" s="11" t="inlineStr"/>
      <ns0:c r="R57" s="10" t="inlineStr"/>
      <ns0:c r="S57" s="11" t="inlineStr"/>
      <ns0:c r="T57" s="11" t="inlineStr"/>
      <ns0:c r="U57" s="11" t="inlineStr"/>
      <ns0:c r="V57" s="11" t="inlineStr">
        <ns0:is>
          <ns0:t>Neconfirmat</ns0:t>
        </ns0:is>
      </ns0:c>
      <ns0:c r="W57" s="11" t="inlineStr">
        <ns0:is>
          <ns0:t>Fără ediție finală confirmată</ns0:t>
        </ns0:is>
      </ns0:c>
      <ns0:c r="X57" s="7">
        <ns0:f>IF(AND(J57="Publicat",Q57&lt;&gt;"",ISNUMBER(R57),S57&lt;&gt;"",U57&lt;&gt;"",V57="Confirmat"),1,0)</ns0:f>
        <ns0:v>0</ns0:v>
      </ns0:c>
    </ns0:row>
    <ns0:row r="58" ht="46" customHeight="1">
      <ns0:c r="A58" s="7" t="inlineStr">
        <ns0:is>
          <ns0:t>DB-019-DE</ns0:t>
        </ns0:is>
      </ns0:c>
      <ns0:c r="B58" s="7" t="inlineStr">
        <ns0:is>
          <ns0:t>DB-019</ns0:t>
        </ns0:is>
      </ns0:c>
      <ns0:c r="C58" s="7" t="inlineStr">
        <ns0:is>
          <ns0:t>NOIR</ns0:t>
        </ns0:is>
      </ns0:c>
      <ns0:c r="D58" s="7" t="inlineStr">
        <ns0:is>
          <ns0:t>Carpathian Cold Cases</ns0:t>
        </ns0:is>
      </ns0:c>
      <ns0:c r="E58" s="8" t="n">
        <ns0:v>9</ns0:v>
      </ns0:c>
      <ns0:c r="F58" s="7" t="inlineStr">
        <ns0:is>
          <ns0:t>The Unsent Testimony</ns0:t>
        </ns0:is>
      </ns0:c>
      <ns0:c r="G58" s="7" t="inlineStr">
        <ns0:is>
          <ns0:t>DE</ns0:t>
        </ns0:is>
      </ns0:c>
      <ns0:c r="H58" s="7" t="inlineStr">
        <ns0:is>
          <ns0:t>EN</ns0:t>
        </ns0:is>
      </ns0:c>
      <ns0:c r="I58" s="7" t="inlineStr">
        <ns0:is>
          <ns0:t>Traducere EN→DE</ns0:t>
        </ns0:is>
      </ns0:c>
      <ns0:c r="J58" s="11" t="inlineStr">
        <ns0:is>
          <ns0:t>Planificat</ns0:t>
        </ns0:is>
      </ns0:c>
      <ns0:c r="K58" s="11" t="inlineStr">
        <ns0:is>
          <ns0:t>De desemnat</ns0:t>
        </ns0:is>
      </ns0:c>
      <ns0:c r="L58" s="8">
        <ns0:f>Catalog_100!I20</ns0:f>
        <ns0:v>55000</ns0:v>
      </ns0:c>
      <ns0:c r="M58" s="13">
        <ns0:f>Catalog_100!J20</ns0:f>
        <ns0:v>46311.0</ns0:v>
      </ns0:c>
      <ns0:c r="N58" s="13">
        <ns0:f>Catalog_100!K20</ns0:f>
        <ns0:v>46329.0</ns0:v>
      </ns0:c>
      <ns0:c r="O58" s="13">
        <ns0:f>Catalog_100!L20</ns0:f>
        <ns0:v>46331.0</ns0:v>
      </ns0:c>
      <ns0:c r="P58" s="13">
        <ns0:f>Catalog_100!M20</ns0:f>
        <ns0:v>46333.0</ns0:v>
      </ns0:c>
      <ns0:c r="Q58" s="11" t="inlineStr"/>
      <ns0:c r="R58" s="10" t="inlineStr"/>
      <ns0:c r="S58" s="11" t="inlineStr"/>
      <ns0:c r="T58" s="11" t="inlineStr"/>
      <ns0:c r="U58" s="11" t="inlineStr"/>
      <ns0:c r="V58" s="11" t="inlineStr">
        <ns0:is>
          <ns0:t>Neconfirmat</ns0:t>
        </ns0:is>
      </ns0:c>
      <ns0:c r="W58" s="11" t="inlineStr">
        <ns0:is>
          <ns0:t>Fără ediție finală confirmată</ns0:t>
        </ns0:is>
      </ns0:c>
      <ns0:c r="X58" s="7">
        <ns0:f>IF(AND(J58="Publicat",Q58&lt;&gt;"",ISNUMBER(R58),S58&lt;&gt;"",U58&lt;&gt;"",V58="Confirmat"),1,0)</ns0:f>
        <ns0:v>0</ns0:v>
      </ns0:c>
    </ns0:row>
    <ns0:row r="59" ht="46" customHeight="1">
      <ns0:c r="A59" s="7" t="inlineStr">
        <ns0:is>
          <ns0:t>DB-020-EN</ns0:t>
        </ns0:is>
      </ns0:c>
      <ns0:c r="B59" s="7" t="inlineStr">
        <ns0:is>
          <ns0:t>DB-020</ns0:t>
        </ns0:is>
      </ns0:c>
      <ns0:c r="C59" s="7" t="inlineStr">
        <ns0:is>
          <ns0:t>NOIR</ns0:t>
        </ns0:is>
      </ns0:c>
      <ns0:c r="D59" s="7" t="inlineStr">
        <ns0:is>
          <ns0:t>Carpathian Cold Cases</ns0:t>
        </ns0:is>
      </ns0:c>
      <ns0:c r="E59" s="8" t="n">
        <ns0:v>10</ns0:v>
      </ns0:c>
      <ns0:c r="F59" s="7" t="inlineStr">
        <ns0:is>
          <ns0:t>The Mountain Keeps the Names</ns0:t>
        </ns0:is>
      </ns0:c>
      <ns0:c r="G59" s="7" t="inlineStr">
        <ns0:is>
          <ns0:t>EN</ns0:t>
        </ns0:is>
      </ns0:c>
      <ns0:c r="H59" s="7" t="inlineStr">
        <ns0:is>
          <ns0:t>EN</ns0:t>
        </ns0:is>
      </ns0:c>
      <ns0:c r="I59" s="7" t="inlineStr">
        <ns0:is>
          <ns0:t>Scriere nouă</ns0:t>
        </ns0:is>
      </ns0:c>
      <ns0:c r="J59" s="11" t="inlineStr">
        <ns0:is>
          <ns0:t>Planificat</ns0:t>
        </ns0:is>
      </ns0:c>
      <ns0:c r="K59" s="11" t="inlineStr">
        <ns0:is>
          <ns0:t>De desemnat</ns0:t>
        </ns0:is>
      </ns0:c>
      <ns0:c r="L59" s="8">
        <ns0:f>Catalog_100!I21</ns0:f>
        <ns0:v>55000</ns0:v>
      </ns0:c>
      <ns0:c r="M59" s="13">
        <ns0:f>Catalog_100!J21</ns0:f>
        <ns0:v>46311.0</ns0:v>
      </ns0:c>
      <ns0:c r="N59" s="13">
        <ns0:f>Catalog_100!K21</ns0:f>
        <ns0:v>46329.0</ns0:v>
      </ns0:c>
      <ns0:c r="O59" s="13">
        <ns0:f>Catalog_100!L21</ns0:f>
        <ns0:v>46331.0</ns0:v>
      </ns0:c>
      <ns0:c r="P59" s="13">
        <ns0:f>Catalog_100!M21</ns0:f>
        <ns0:v>46333.0</ns0:v>
      </ns0:c>
      <ns0:c r="Q59" s="11" t="inlineStr"/>
      <ns0:c r="R59" s="10" t="inlineStr"/>
      <ns0:c r="S59" s="11" t="inlineStr"/>
      <ns0:c r="T59" s="11" t="inlineStr"/>
      <ns0:c r="U59" s="11" t="inlineStr"/>
      <ns0:c r="V59" s="11" t="inlineStr">
        <ns0:is>
          <ns0:t>Neconfirmat</ns0:t>
        </ns0:is>
      </ns0:c>
      <ns0:c r="W59" s="11" t="inlineStr">
        <ns0:is>
          <ns0:t>Fără ediție finală confirmată</ns0:t>
        </ns0:is>
      </ns0:c>
      <ns0:c r="X59" s="7">
        <ns0:f>IF(AND(J59="Publicat",Q59&lt;&gt;"",ISNUMBER(R59),S59&lt;&gt;"",U59&lt;&gt;"",V59="Confirmat"),1,0)</ns0:f>
        <ns0:v>0</ns0:v>
      </ns0:c>
    </ns0:row>
    <ns0:row r="60" ht="46" customHeight="1">
      <ns0:c r="A60" s="7" t="inlineStr">
        <ns0:is>
          <ns0:t>DB-020-RO</ns0:t>
        </ns0:is>
      </ns0:c>
      <ns0:c r="B60" s="7" t="inlineStr">
        <ns0:is>
          <ns0:t>DB-020</ns0:t>
        </ns0:is>
      </ns0:c>
      <ns0:c r="C60" s="7" t="inlineStr">
        <ns0:is>
          <ns0:t>NOIR</ns0:t>
        </ns0:is>
      </ns0:c>
      <ns0:c r="D60" s="7" t="inlineStr">
        <ns0:is>
          <ns0:t>Carpathian Cold Cases</ns0:t>
        </ns0:is>
      </ns0:c>
      <ns0:c r="E60" s="8" t="n">
        <ns0:v>10</ns0:v>
      </ns0:c>
      <ns0:c r="F60" s="7" t="inlineStr">
        <ns0:is>
          <ns0:t>The Mountain Keeps the Names</ns0:t>
        </ns0:is>
      </ns0:c>
      <ns0:c r="G60" s="7" t="inlineStr">
        <ns0:is>
          <ns0:t>RO</ns0:t>
        </ns0:is>
      </ns0:c>
      <ns0:c r="H60" s="7" t="inlineStr">
        <ns0:is>
          <ns0:t>EN</ns0:t>
        </ns0:is>
      </ns0:c>
      <ns0:c r="I60" s="7" t="inlineStr">
        <ns0:is>
          <ns0:t>Traducere EN→RO</ns0:t>
        </ns0:is>
      </ns0:c>
      <ns0:c r="J60" s="11" t="inlineStr">
        <ns0:is>
          <ns0:t>Planificat</ns0:t>
        </ns0:is>
      </ns0:c>
      <ns0:c r="K60" s="11" t="inlineStr">
        <ns0:is>
          <ns0:t>De desemnat</ns0:t>
        </ns0:is>
      </ns0:c>
      <ns0:c r="L60" s="8">
        <ns0:f>Catalog_100!I21</ns0:f>
        <ns0:v>55000</ns0:v>
      </ns0:c>
      <ns0:c r="M60" s="13">
        <ns0:f>Catalog_100!J21</ns0:f>
        <ns0:v>46311.0</ns0:v>
      </ns0:c>
      <ns0:c r="N60" s="13">
        <ns0:f>Catalog_100!K21</ns0:f>
        <ns0:v>46329.0</ns0:v>
      </ns0:c>
      <ns0:c r="O60" s="13">
        <ns0:f>Catalog_100!L21</ns0:f>
        <ns0:v>46331.0</ns0:v>
      </ns0:c>
      <ns0:c r="P60" s="13">
        <ns0:f>Catalog_100!M21</ns0:f>
        <ns0:v>46333.0</ns0:v>
      </ns0:c>
      <ns0:c r="Q60" s="11" t="inlineStr"/>
      <ns0:c r="R60" s="10" t="inlineStr"/>
      <ns0:c r="S60" s="11" t="inlineStr"/>
      <ns0:c r="T60" s="11" t="inlineStr"/>
      <ns0:c r="U60" s="11" t="inlineStr"/>
      <ns0:c r="V60" s="11" t="inlineStr">
        <ns0:is>
          <ns0:t>Neconfirmat</ns0:t>
        </ns0:is>
      </ns0:c>
      <ns0:c r="W60" s="11" t="inlineStr">
        <ns0:is>
          <ns0:t>Fără ediție finală confirmată</ns0:t>
        </ns0:is>
      </ns0:c>
      <ns0:c r="X60" s="7">
        <ns0:f>IF(AND(J60="Publicat",Q60&lt;&gt;"",ISNUMBER(R60),S60&lt;&gt;"",U60&lt;&gt;"",V60="Confirmat"),1,0)</ns0:f>
        <ns0:v>0</ns0:v>
      </ns0:c>
    </ns0:row>
    <ns0:row r="61" ht="46" customHeight="1">
      <ns0:c r="A61" s="7" t="inlineStr">
        <ns0:is>
          <ns0:t>DB-020-DE</ns0:t>
        </ns0:is>
      </ns0:c>
      <ns0:c r="B61" s="7" t="inlineStr">
        <ns0:is>
          <ns0:t>DB-020</ns0:t>
        </ns0:is>
      </ns0:c>
      <ns0:c r="C61" s="7" t="inlineStr">
        <ns0:is>
          <ns0:t>NOIR</ns0:t>
        </ns0:is>
      </ns0:c>
      <ns0:c r="D61" s="7" t="inlineStr">
        <ns0:is>
          <ns0:t>Carpathian Cold Cases</ns0:t>
        </ns0:is>
      </ns0:c>
      <ns0:c r="E61" s="8" t="n">
        <ns0:v>10</ns0:v>
      </ns0:c>
      <ns0:c r="F61" s="7" t="inlineStr">
        <ns0:is>
          <ns0:t>The Mountain Keeps the Names</ns0:t>
        </ns0:is>
      </ns0:c>
      <ns0:c r="G61" s="7" t="inlineStr">
        <ns0:is>
          <ns0:t>DE</ns0:t>
        </ns0:is>
      </ns0:c>
      <ns0:c r="H61" s="7" t="inlineStr">
        <ns0:is>
          <ns0:t>EN</ns0:t>
        </ns0:is>
      </ns0:c>
      <ns0:c r="I61" s="7" t="inlineStr">
        <ns0:is>
          <ns0:t>Traducere EN→DE</ns0:t>
        </ns0:is>
      </ns0:c>
      <ns0:c r="J61" s="11" t="inlineStr">
        <ns0:is>
          <ns0:t>Planificat</ns0:t>
        </ns0:is>
      </ns0:c>
      <ns0:c r="K61" s="11" t="inlineStr">
        <ns0:is>
          <ns0:t>De desemnat</ns0:t>
        </ns0:is>
      </ns0:c>
      <ns0:c r="L61" s="8">
        <ns0:f>Catalog_100!I21</ns0:f>
        <ns0:v>55000</ns0:v>
      </ns0:c>
      <ns0:c r="M61" s="13">
        <ns0:f>Catalog_100!J21</ns0:f>
        <ns0:v>46311.0</ns0:v>
      </ns0:c>
      <ns0:c r="N61" s="13">
        <ns0:f>Catalog_100!K21</ns0:f>
        <ns0:v>46329.0</ns0:v>
      </ns0:c>
      <ns0:c r="O61" s="13">
        <ns0:f>Catalog_100!L21</ns0:f>
        <ns0:v>46331.0</ns0:v>
      </ns0:c>
      <ns0:c r="P61" s="13">
        <ns0:f>Catalog_100!M21</ns0:f>
        <ns0:v>46333.0</ns0:v>
      </ns0:c>
      <ns0:c r="Q61" s="11" t="inlineStr"/>
      <ns0:c r="R61" s="10" t="inlineStr"/>
      <ns0:c r="S61" s="11" t="inlineStr"/>
      <ns0:c r="T61" s="11" t="inlineStr"/>
      <ns0:c r="U61" s="11" t="inlineStr"/>
      <ns0:c r="V61" s="11" t="inlineStr">
        <ns0:is>
          <ns0:t>Neconfirmat</ns0:t>
        </ns0:is>
      </ns0:c>
      <ns0:c r="W61" s="11" t="inlineStr">
        <ns0:is>
          <ns0:t>Fără ediție finală confirmată</ns0:t>
        </ns0:is>
      </ns0:c>
      <ns0:c r="X61" s="7">
        <ns0:f>IF(AND(J61="Publicat",Q61&lt;&gt;"",ISNUMBER(R61),S61&lt;&gt;"",U61&lt;&gt;"",V61="Confirmat"),1,0)</ns0:f>
        <ns0:v>0</ns0:v>
      </ns0:c>
    </ns0:row>
    <ns0:row r="62" ht="46" customHeight="1">
      <ns0:c r="A62" s="7" t="inlineStr">
        <ns0:is>
          <ns0:t>DB-021-EN</ns0:t>
        </ns0:is>
      </ns0:c>
      <ns0:c r="B62" s="7" t="inlineStr">
        <ns0:is>
          <ns0:t>DB-021</ns0:t>
        </ns0:is>
      </ns0:c>
      <ns0:c r="C62" s="7" t="inlineStr">
        <ns0:is>
          <ns0:t>NOIR</ns0:t>
        </ns0:is>
      </ns0:c>
      <ns0:c r="D62" s="7" t="inlineStr">
        <ns0:is>
          <ns0:t>The Black Archive</ns0:t>
        </ns0:is>
      </ns0:c>
      <ns0:c r="E62" s="8" t="n">
        <ns0:v>1</ns0:v>
      </ns0:c>
      <ns0:c r="F62" s="7" t="inlineStr">
        <ns0:is>
          <ns0:t>The Ink That Remembers</ns0:t>
        </ns0:is>
      </ns0:c>
      <ns0:c r="G62" s="7" t="inlineStr">
        <ns0:is>
          <ns0:t>EN</ns0:t>
        </ns0:is>
      </ns0:c>
      <ns0:c r="H62" s="7" t="inlineStr">
        <ns0:is>
          <ns0:t>EN</ns0:t>
        </ns0:is>
      </ns0:c>
      <ns0:c r="I62" s="7" t="inlineStr">
        <ns0:is>
          <ns0:t>Scriere nouă</ns0:t>
        </ns0:is>
      </ns0:c>
      <ns0:c r="J62" s="11" t="inlineStr">
        <ns0:is>
          <ns0:t>Planificat</ns0:t>
        </ns0:is>
      </ns0:c>
      <ns0:c r="K62" s="11" t="inlineStr">
        <ns0:is>
          <ns0:t>De desemnat</ns0:t>
        </ns0:is>
      </ns0:c>
      <ns0:c r="L62" s="8">
        <ns0:f>Catalog_100!I22</ns0:f>
        <ns0:v>35000</ns0:v>
      </ns0:c>
      <ns0:c r="M62" s="13">
        <ns0:f>Catalog_100!J22</ns0:f>
        <ns0:v>46304.0</ns0:v>
      </ns0:c>
      <ns0:c r="N62" s="13">
        <ns0:f>Catalog_100!K22</ns0:f>
        <ns0:v>46322.0</ns0:v>
      </ns0:c>
      <ns0:c r="O62" s="13">
        <ns0:f>Catalog_100!L22</ns0:f>
        <ns0:v>46324.0</ns0:v>
      </ns0:c>
      <ns0:c r="P62" s="13">
        <ns0:f>Catalog_100!M22</ns0:f>
        <ns0:v>46326.0</ns0:v>
      </ns0:c>
      <ns0:c r="Q62" s="11" t="inlineStr"/>
      <ns0:c r="R62" s="10" t="inlineStr"/>
      <ns0:c r="S62" s="11" t="inlineStr"/>
      <ns0:c r="T62" s="11" t="inlineStr"/>
      <ns0:c r="U62" s="11" t="inlineStr"/>
      <ns0:c r="V62" s="11" t="inlineStr">
        <ns0:is>
          <ns0:t>Neconfirmat</ns0:t>
        </ns0:is>
      </ns0:c>
      <ns0:c r="W62" s="11" t="inlineStr">
        <ns0:is>
          <ns0:t>Fără ediție finală confirmată</ns0:t>
        </ns0:is>
      </ns0:c>
      <ns0:c r="X62" s="7">
        <ns0:f>IF(AND(J62="Publicat",Q62&lt;&gt;"",ISNUMBER(R62),S62&lt;&gt;"",U62&lt;&gt;"",V62="Confirmat"),1,0)</ns0:f>
        <ns0:v>0</ns0:v>
      </ns0:c>
    </ns0:row>
    <ns0:row r="63" ht="46" customHeight="1">
      <ns0:c r="A63" s="7" t="inlineStr">
        <ns0:is>
          <ns0:t>DB-021-RO</ns0:t>
        </ns0:is>
      </ns0:c>
      <ns0:c r="B63" s="7" t="inlineStr">
        <ns0:is>
          <ns0:t>DB-021</ns0:t>
        </ns0:is>
      </ns0:c>
      <ns0:c r="C63" s="7" t="inlineStr">
        <ns0:is>
          <ns0:t>NOIR</ns0:t>
        </ns0:is>
      </ns0:c>
      <ns0:c r="D63" s="7" t="inlineStr">
        <ns0:is>
          <ns0:t>The Black Archive</ns0:t>
        </ns0:is>
      </ns0:c>
      <ns0:c r="E63" s="8" t="n">
        <ns0:v>1</ns0:v>
      </ns0:c>
      <ns0:c r="F63" s="7" t="inlineStr">
        <ns0:is>
          <ns0:t>The Ink That Remembers</ns0:t>
        </ns0:is>
      </ns0:c>
      <ns0:c r="G63" s="7" t="inlineStr">
        <ns0:is>
          <ns0:t>RO</ns0:t>
        </ns0:is>
      </ns0:c>
      <ns0:c r="H63" s="7" t="inlineStr">
        <ns0:is>
          <ns0:t>EN</ns0:t>
        </ns0:is>
      </ns0:c>
      <ns0:c r="I63" s="7" t="inlineStr">
        <ns0:is>
          <ns0:t>Traducere EN→RO</ns0:t>
        </ns0:is>
      </ns0:c>
      <ns0:c r="J63" s="11" t="inlineStr">
        <ns0:is>
          <ns0:t>Planificat</ns0:t>
        </ns0:is>
      </ns0:c>
      <ns0:c r="K63" s="11" t="inlineStr">
        <ns0:is>
          <ns0:t>De desemnat</ns0:t>
        </ns0:is>
      </ns0:c>
      <ns0:c r="L63" s="8">
        <ns0:f>Catalog_100!I22</ns0:f>
        <ns0:v>35000</ns0:v>
      </ns0:c>
      <ns0:c r="M63" s="13">
        <ns0:f>Catalog_100!J22</ns0:f>
        <ns0:v>46304.0</ns0:v>
      </ns0:c>
      <ns0:c r="N63" s="13">
        <ns0:f>Catalog_100!K22</ns0:f>
        <ns0:v>46322.0</ns0:v>
      </ns0:c>
      <ns0:c r="O63" s="13">
        <ns0:f>Catalog_100!L22</ns0:f>
        <ns0:v>46324.0</ns0:v>
      </ns0:c>
      <ns0:c r="P63" s="13">
        <ns0:f>Catalog_100!M22</ns0:f>
        <ns0:v>46326.0</ns0:v>
      </ns0:c>
      <ns0:c r="Q63" s="11" t="inlineStr"/>
      <ns0:c r="R63" s="10" t="inlineStr"/>
      <ns0:c r="S63" s="11" t="inlineStr"/>
      <ns0:c r="T63" s="11" t="inlineStr"/>
      <ns0:c r="U63" s="11" t="inlineStr"/>
      <ns0:c r="V63" s="11" t="inlineStr">
        <ns0:is>
          <ns0:t>Neconfirmat</ns0:t>
        </ns0:is>
      </ns0:c>
      <ns0:c r="W63" s="11" t="inlineStr">
        <ns0:is>
          <ns0:t>Fără ediție finală confirmată</ns0:t>
        </ns0:is>
      </ns0:c>
      <ns0:c r="X63" s="7">
        <ns0:f>IF(AND(J63="Publicat",Q63&lt;&gt;"",ISNUMBER(R63),S63&lt;&gt;"",U63&lt;&gt;"",V63="Confirmat"),1,0)</ns0:f>
        <ns0:v>0</ns0:v>
      </ns0:c>
    </ns0:row>
    <ns0:row r="64" ht="46" customHeight="1">
      <ns0:c r="A64" s="7" t="inlineStr">
        <ns0:is>
          <ns0:t>DB-021-DE</ns0:t>
        </ns0:is>
      </ns0:c>
      <ns0:c r="B64" s="7" t="inlineStr">
        <ns0:is>
          <ns0:t>DB-021</ns0:t>
        </ns0:is>
      </ns0:c>
      <ns0:c r="C64" s="7" t="inlineStr">
        <ns0:is>
          <ns0:t>NOIR</ns0:t>
        </ns0:is>
      </ns0:c>
      <ns0:c r="D64" s="7" t="inlineStr">
        <ns0:is>
          <ns0:t>The Black Archive</ns0:t>
        </ns0:is>
      </ns0:c>
      <ns0:c r="E64" s="8" t="n">
        <ns0:v>1</ns0:v>
      </ns0:c>
      <ns0:c r="F64" s="7" t="inlineStr">
        <ns0:is>
          <ns0:t>The Ink That Remembers</ns0:t>
        </ns0:is>
      </ns0:c>
      <ns0:c r="G64" s="7" t="inlineStr">
        <ns0:is>
          <ns0:t>DE</ns0:t>
        </ns0:is>
      </ns0:c>
      <ns0:c r="H64" s="7" t="inlineStr">
        <ns0:is>
          <ns0:t>EN</ns0:t>
        </ns0:is>
      </ns0:c>
      <ns0:c r="I64" s="7" t="inlineStr">
        <ns0:is>
          <ns0:t>Traducere EN→DE</ns0:t>
        </ns0:is>
      </ns0:c>
      <ns0:c r="J64" s="11" t="inlineStr">
        <ns0:is>
          <ns0:t>Planificat</ns0:t>
        </ns0:is>
      </ns0:c>
      <ns0:c r="K64" s="11" t="inlineStr">
        <ns0:is>
          <ns0:t>De desemnat</ns0:t>
        </ns0:is>
      </ns0:c>
      <ns0:c r="L64" s="8">
        <ns0:f>Catalog_100!I22</ns0:f>
        <ns0:v>35000</ns0:v>
      </ns0:c>
      <ns0:c r="M64" s="13">
        <ns0:f>Catalog_100!J22</ns0:f>
        <ns0:v>46304.0</ns0:v>
      </ns0:c>
      <ns0:c r="N64" s="13">
        <ns0:f>Catalog_100!K22</ns0:f>
        <ns0:v>46322.0</ns0:v>
      </ns0:c>
      <ns0:c r="O64" s="13">
        <ns0:f>Catalog_100!L22</ns0:f>
        <ns0:v>46324.0</ns0:v>
      </ns0:c>
      <ns0:c r="P64" s="13">
        <ns0:f>Catalog_100!M22</ns0:f>
        <ns0:v>46326.0</ns0:v>
      </ns0:c>
      <ns0:c r="Q64" s="11" t="inlineStr"/>
      <ns0:c r="R64" s="10" t="inlineStr"/>
      <ns0:c r="S64" s="11" t="inlineStr"/>
      <ns0:c r="T64" s="11" t="inlineStr"/>
      <ns0:c r="U64" s="11" t="inlineStr"/>
      <ns0:c r="V64" s="11" t="inlineStr">
        <ns0:is>
          <ns0:t>Neconfirmat</ns0:t>
        </ns0:is>
      </ns0:c>
      <ns0:c r="W64" s="11" t="inlineStr">
        <ns0:is>
          <ns0:t>Fără ediție finală confirmată</ns0:t>
        </ns0:is>
      </ns0:c>
      <ns0:c r="X64" s="7">
        <ns0:f>IF(AND(J64="Publicat",Q64&lt;&gt;"",ISNUMBER(R64),S64&lt;&gt;"",U64&lt;&gt;"",V64="Confirmat"),1,0)</ns0:f>
        <ns0:v>0</ns0:v>
      </ns0:c>
    </ns0:row>
    <ns0:row r="65" ht="46" customHeight="1">
      <ns0:c r="A65" s="7" t="inlineStr">
        <ns0:is>
          <ns0:t>DB-022-EN</ns0:t>
        </ns0:is>
      </ns0:c>
      <ns0:c r="B65" s="7" t="inlineStr">
        <ns0:is>
          <ns0:t>DB-022</ns0:t>
        </ns0:is>
      </ns0:c>
      <ns0:c r="C65" s="7" t="inlineStr">
        <ns0:is>
          <ns0:t>NOIR</ns0:t>
        </ns0:is>
      </ns0:c>
      <ns0:c r="D65" s="7" t="inlineStr">
        <ns0:is>
          <ns0:t>The Black Archive</ns0:t>
        </ns0:is>
      </ns0:c>
      <ns0:c r="E65" s="8" t="n">
        <ns0:v>2</ns0:v>
      </ns0:c>
      <ns0:c r="F65" s="7" t="inlineStr">
        <ns0:is>
          <ns0:t>The Chapel of Unkept Promises</ns0:t>
        </ns0:is>
      </ns0:c>
      <ns0:c r="G65" s="7" t="inlineStr">
        <ns0:is>
          <ns0:t>EN</ns0:t>
        </ns0:is>
      </ns0:c>
      <ns0:c r="H65" s="7" t="inlineStr">
        <ns0:is>
          <ns0:t>EN</ns0:t>
        </ns0:is>
      </ns0:c>
      <ns0:c r="I65" s="7" t="inlineStr">
        <ns0:is>
          <ns0:t>Scriere nouă</ns0:t>
        </ns0:is>
      </ns0:c>
      <ns0:c r="J65" s="11" t="inlineStr">
        <ns0:is>
          <ns0:t>Planificat</ns0:t>
        </ns0:is>
      </ns0:c>
      <ns0:c r="K65" s="11" t="inlineStr">
        <ns0:is>
          <ns0:t>De desemnat</ns0:t>
        </ns0:is>
      </ns0:c>
      <ns0:c r="L65" s="8">
        <ns0:f>Catalog_100!I23</ns0:f>
        <ns0:v>35000</ns0:v>
      </ns0:c>
      <ns0:c r="M65" s="13">
        <ns0:f>Catalog_100!J23</ns0:f>
        <ns0:v>46304.0</ns0:v>
      </ns0:c>
      <ns0:c r="N65" s="13">
        <ns0:f>Catalog_100!K23</ns0:f>
        <ns0:v>46322.0</ns0:v>
      </ns0:c>
      <ns0:c r="O65" s="13">
        <ns0:f>Catalog_100!L23</ns0:f>
        <ns0:v>46324.0</ns0:v>
      </ns0:c>
      <ns0:c r="P65" s="13">
        <ns0:f>Catalog_100!M23</ns0:f>
        <ns0:v>46326.0</ns0:v>
      </ns0:c>
      <ns0:c r="Q65" s="11" t="inlineStr"/>
      <ns0:c r="R65" s="10" t="inlineStr"/>
      <ns0:c r="S65" s="11" t="inlineStr"/>
      <ns0:c r="T65" s="11" t="inlineStr"/>
      <ns0:c r="U65" s="11" t="inlineStr"/>
      <ns0:c r="V65" s="11" t="inlineStr">
        <ns0:is>
          <ns0:t>Neconfirmat</ns0:t>
        </ns0:is>
      </ns0:c>
      <ns0:c r="W65" s="11" t="inlineStr">
        <ns0:is>
          <ns0:t>Fără ediție finală confirmată</ns0:t>
        </ns0:is>
      </ns0:c>
      <ns0:c r="X65" s="7">
        <ns0:f>IF(AND(J65="Publicat",Q65&lt;&gt;"",ISNUMBER(R65),S65&lt;&gt;"",U65&lt;&gt;"",V65="Confirmat"),1,0)</ns0:f>
        <ns0:v>0</ns0:v>
      </ns0:c>
    </ns0:row>
    <ns0:row r="66" ht="46" customHeight="1">
      <ns0:c r="A66" s="7" t="inlineStr">
        <ns0:is>
          <ns0:t>DB-022-RO</ns0:t>
        </ns0:is>
      </ns0:c>
      <ns0:c r="B66" s="7" t="inlineStr">
        <ns0:is>
          <ns0:t>DB-022</ns0:t>
        </ns0:is>
      </ns0:c>
      <ns0:c r="C66" s="7" t="inlineStr">
        <ns0:is>
          <ns0:t>NOIR</ns0:t>
        </ns0:is>
      </ns0:c>
      <ns0:c r="D66" s="7" t="inlineStr">
        <ns0:is>
          <ns0:t>The Black Archive</ns0:t>
        </ns0:is>
      </ns0:c>
      <ns0:c r="E66" s="8" t="n">
        <ns0:v>2</ns0:v>
      </ns0:c>
      <ns0:c r="F66" s="7" t="inlineStr">
        <ns0:is>
          <ns0:t>The Chapel of Unkept Promises</ns0:t>
        </ns0:is>
      </ns0:c>
      <ns0:c r="G66" s="7" t="inlineStr">
        <ns0:is>
          <ns0:t>RO</ns0:t>
        </ns0:is>
      </ns0:c>
      <ns0:c r="H66" s="7" t="inlineStr">
        <ns0:is>
          <ns0:t>EN</ns0:t>
        </ns0:is>
      </ns0:c>
      <ns0:c r="I66" s="7" t="inlineStr">
        <ns0:is>
          <ns0:t>Traducere EN→RO</ns0:t>
        </ns0:is>
      </ns0:c>
      <ns0:c r="J66" s="11" t="inlineStr">
        <ns0:is>
          <ns0:t>Planificat</ns0:t>
        </ns0:is>
      </ns0:c>
      <ns0:c r="K66" s="11" t="inlineStr">
        <ns0:is>
          <ns0:t>De desemnat</ns0:t>
        </ns0:is>
      </ns0:c>
      <ns0:c r="L66" s="8">
        <ns0:f>Catalog_100!I23</ns0:f>
        <ns0:v>35000</ns0:v>
      </ns0:c>
      <ns0:c r="M66" s="13">
        <ns0:f>Catalog_100!J23</ns0:f>
        <ns0:v>46304.0</ns0:v>
      </ns0:c>
      <ns0:c r="N66" s="13">
        <ns0:f>Catalog_100!K23</ns0:f>
        <ns0:v>46322.0</ns0:v>
      </ns0:c>
      <ns0:c r="O66" s="13">
        <ns0:f>Catalog_100!L23</ns0:f>
        <ns0:v>46324.0</ns0:v>
      </ns0:c>
      <ns0:c r="P66" s="13">
        <ns0:f>Catalog_100!M23</ns0:f>
        <ns0:v>46326.0</ns0:v>
      </ns0:c>
      <ns0:c r="Q66" s="11" t="inlineStr"/>
      <ns0:c r="R66" s="10" t="inlineStr"/>
      <ns0:c r="S66" s="11" t="inlineStr"/>
      <ns0:c r="T66" s="11" t="inlineStr"/>
      <ns0:c r="U66" s="11" t="inlineStr"/>
      <ns0:c r="V66" s="11" t="inlineStr">
        <ns0:is>
          <ns0:t>Neconfirmat</ns0:t>
        </ns0:is>
      </ns0:c>
      <ns0:c r="W66" s="11" t="inlineStr">
        <ns0:is>
          <ns0:t>Fără ediție finală confirmată</ns0:t>
        </ns0:is>
      </ns0:c>
      <ns0:c r="X66" s="7">
        <ns0:f>IF(AND(J66="Publicat",Q66&lt;&gt;"",ISNUMBER(R66),S66&lt;&gt;"",U66&lt;&gt;"",V66="Confirmat"),1,0)</ns0:f>
        <ns0:v>0</ns0:v>
      </ns0:c>
    </ns0:row>
    <ns0:row r="67" ht="46" customHeight="1">
      <ns0:c r="A67" s="7" t="inlineStr">
        <ns0:is>
          <ns0:t>DB-022-DE</ns0:t>
        </ns0:is>
      </ns0:c>
      <ns0:c r="B67" s="7" t="inlineStr">
        <ns0:is>
          <ns0:t>DB-022</ns0:t>
        </ns0:is>
      </ns0:c>
      <ns0:c r="C67" s="7" t="inlineStr">
        <ns0:is>
          <ns0:t>NOIR</ns0:t>
        </ns0:is>
      </ns0:c>
      <ns0:c r="D67" s="7" t="inlineStr">
        <ns0:is>
          <ns0:t>The Black Archive</ns0:t>
        </ns0:is>
      </ns0:c>
      <ns0:c r="E67" s="8" t="n">
        <ns0:v>2</ns0:v>
      </ns0:c>
      <ns0:c r="F67" s="7" t="inlineStr">
        <ns0:is>
          <ns0:t>The Chapel of Unkept Promises</ns0:t>
        </ns0:is>
      </ns0:c>
      <ns0:c r="G67" s="7" t="inlineStr">
        <ns0:is>
          <ns0:t>DE</ns0:t>
        </ns0:is>
      </ns0:c>
      <ns0:c r="H67" s="7" t="inlineStr">
        <ns0:is>
          <ns0:t>EN</ns0:t>
        </ns0:is>
      </ns0:c>
      <ns0:c r="I67" s="7" t="inlineStr">
        <ns0:is>
          <ns0:t>Traducere EN→DE</ns0:t>
        </ns0:is>
      </ns0:c>
      <ns0:c r="J67" s="11" t="inlineStr">
        <ns0:is>
          <ns0:t>Planificat</ns0:t>
        </ns0:is>
      </ns0:c>
      <ns0:c r="K67" s="11" t="inlineStr">
        <ns0:is>
          <ns0:t>De desemnat</ns0:t>
        </ns0:is>
      </ns0:c>
      <ns0:c r="L67" s="8">
        <ns0:f>Catalog_100!I23</ns0:f>
        <ns0:v>35000</ns0:v>
      </ns0:c>
      <ns0:c r="M67" s="13">
        <ns0:f>Catalog_100!J23</ns0:f>
        <ns0:v>46304.0</ns0:v>
      </ns0:c>
      <ns0:c r="N67" s="13">
        <ns0:f>Catalog_100!K23</ns0:f>
        <ns0:v>46322.0</ns0:v>
      </ns0:c>
      <ns0:c r="O67" s="13">
        <ns0:f>Catalog_100!L23</ns0:f>
        <ns0:v>46324.0</ns0:v>
      </ns0:c>
      <ns0:c r="P67" s="13">
        <ns0:f>Catalog_100!M23</ns0:f>
        <ns0:v>46326.0</ns0:v>
      </ns0:c>
      <ns0:c r="Q67" s="11" t="inlineStr"/>
      <ns0:c r="R67" s="10" t="inlineStr"/>
      <ns0:c r="S67" s="11" t="inlineStr"/>
      <ns0:c r="T67" s="11" t="inlineStr"/>
      <ns0:c r="U67" s="11" t="inlineStr"/>
      <ns0:c r="V67" s="11" t="inlineStr">
        <ns0:is>
          <ns0:t>Neconfirmat</ns0:t>
        </ns0:is>
      </ns0:c>
      <ns0:c r="W67" s="11" t="inlineStr">
        <ns0:is>
          <ns0:t>Fără ediție finală confirmată</ns0:t>
        </ns0:is>
      </ns0:c>
      <ns0:c r="X67" s="7">
        <ns0:f>IF(AND(J67="Publicat",Q67&lt;&gt;"",ISNUMBER(R67),S67&lt;&gt;"",U67&lt;&gt;"",V67="Confirmat"),1,0)</ns0:f>
        <ns0:v>0</ns0:v>
      </ns0:c>
    </ns0:row>
    <ns0:row r="68" ht="46" customHeight="1">
      <ns0:c r="A68" s="7" t="inlineStr">
        <ns0:is>
          <ns0:t>DB-023-EN</ns0:t>
        </ns0:is>
      </ns0:c>
      <ns0:c r="B68" s="7" t="inlineStr">
        <ns0:is>
          <ns0:t>DB-023</ns0:t>
        </ns0:is>
      </ns0:c>
      <ns0:c r="C68" s="7" t="inlineStr">
        <ns0:is>
          <ns0:t>NOIR</ns0:t>
        </ns0:is>
      </ns0:c>
      <ns0:c r="D68" s="7" t="inlineStr">
        <ns0:is>
          <ns0:t>The Black Archive</ns0:t>
        </ns0:is>
      </ns0:c>
      <ns0:c r="E68" s="8" t="n">
        <ns0:v>3</ns0:v>
      </ns0:c>
      <ns0:c r="F68" s="7" t="inlineStr">
        <ns0:is>
          <ns0:t>The Portrait Without Eyes</ns0:t>
        </ns0:is>
      </ns0:c>
      <ns0:c r="G68" s="7" t="inlineStr">
        <ns0:is>
          <ns0:t>EN</ns0:t>
        </ns0:is>
      </ns0:c>
      <ns0:c r="H68" s="7" t="inlineStr">
        <ns0:is>
          <ns0:t>EN</ns0:t>
        </ns0:is>
      </ns0:c>
      <ns0:c r="I68" s="7" t="inlineStr">
        <ns0:is>
          <ns0:t>Scriere nouă</ns0:t>
        </ns0:is>
      </ns0:c>
      <ns0:c r="J68" s="11" t="inlineStr">
        <ns0:is>
          <ns0:t>Planificat</ns0:t>
        </ns0:is>
      </ns0:c>
      <ns0:c r="K68" s="11" t="inlineStr">
        <ns0:is>
          <ns0:t>De desemnat</ns0:t>
        </ns0:is>
      </ns0:c>
      <ns0:c r="L68" s="8">
        <ns0:f>Catalog_100!I24</ns0:f>
        <ns0:v>35000</ns0:v>
      </ns0:c>
      <ns0:c r="M68" s="13">
        <ns0:f>Catalog_100!J24</ns0:f>
        <ns0:v>46304.0</ns0:v>
      </ns0:c>
      <ns0:c r="N68" s="13">
        <ns0:f>Catalog_100!K24</ns0:f>
        <ns0:v>46322.0</ns0:v>
      </ns0:c>
      <ns0:c r="O68" s="13">
        <ns0:f>Catalog_100!L24</ns0:f>
        <ns0:v>46324.0</ns0:v>
      </ns0:c>
      <ns0:c r="P68" s="13">
        <ns0:f>Catalog_100!M24</ns0:f>
        <ns0:v>46326.0</ns0:v>
      </ns0:c>
      <ns0:c r="Q68" s="11" t="inlineStr"/>
      <ns0:c r="R68" s="10" t="inlineStr"/>
      <ns0:c r="S68" s="11" t="inlineStr"/>
      <ns0:c r="T68" s="11" t="inlineStr"/>
      <ns0:c r="U68" s="11" t="inlineStr"/>
      <ns0:c r="V68" s="11" t="inlineStr">
        <ns0:is>
          <ns0:t>Neconfirmat</ns0:t>
        </ns0:is>
      </ns0:c>
      <ns0:c r="W68" s="11" t="inlineStr">
        <ns0:is>
          <ns0:t>Fără ediție finală confirmată</ns0:t>
        </ns0:is>
      </ns0:c>
      <ns0:c r="X68" s="7">
        <ns0:f>IF(AND(J68="Publicat",Q68&lt;&gt;"",ISNUMBER(R68),S68&lt;&gt;"",U68&lt;&gt;"",V68="Confirmat"),1,0)</ns0:f>
        <ns0:v>0</ns0:v>
      </ns0:c>
    </ns0:row>
    <ns0:row r="69" ht="46" customHeight="1">
      <ns0:c r="A69" s="7" t="inlineStr">
        <ns0:is>
          <ns0:t>DB-023-RO</ns0:t>
        </ns0:is>
      </ns0:c>
      <ns0:c r="B69" s="7" t="inlineStr">
        <ns0:is>
          <ns0:t>DB-023</ns0:t>
        </ns0:is>
      </ns0:c>
      <ns0:c r="C69" s="7" t="inlineStr">
        <ns0:is>
          <ns0:t>NOIR</ns0:t>
        </ns0:is>
      </ns0:c>
      <ns0:c r="D69" s="7" t="inlineStr">
        <ns0:is>
          <ns0:t>The Black Archive</ns0:t>
        </ns0:is>
      </ns0:c>
      <ns0:c r="E69" s="8" t="n">
        <ns0:v>3</ns0:v>
      </ns0:c>
      <ns0:c r="F69" s="7" t="inlineStr">
        <ns0:is>
          <ns0:t>The Portrait Without Eyes</ns0:t>
        </ns0:is>
      </ns0:c>
      <ns0:c r="G69" s="7" t="inlineStr">
        <ns0:is>
          <ns0:t>RO</ns0:t>
        </ns0:is>
      </ns0:c>
      <ns0:c r="H69" s="7" t="inlineStr">
        <ns0:is>
          <ns0:t>EN</ns0:t>
        </ns0:is>
      </ns0:c>
      <ns0:c r="I69" s="7" t="inlineStr">
        <ns0:is>
          <ns0:t>Traducere EN→RO</ns0:t>
        </ns0:is>
      </ns0:c>
      <ns0:c r="J69" s="11" t="inlineStr">
        <ns0:is>
          <ns0:t>Planificat</ns0:t>
        </ns0:is>
      </ns0:c>
      <ns0:c r="K69" s="11" t="inlineStr">
        <ns0:is>
          <ns0:t>De desemnat</ns0:t>
        </ns0:is>
      </ns0:c>
      <ns0:c r="L69" s="8">
        <ns0:f>Catalog_100!I24</ns0:f>
        <ns0:v>35000</ns0:v>
      </ns0:c>
      <ns0:c r="M69" s="13">
        <ns0:f>Catalog_100!J24</ns0:f>
        <ns0:v>46304.0</ns0:v>
      </ns0:c>
      <ns0:c r="N69" s="13">
        <ns0:f>Catalog_100!K24</ns0:f>
        <ns0:v>46322.0</ns0:v>
      </ns0:c>
      <ns0:c r="O69" s="13">
        <ns0:f>Catalog_100!L24</ns0:f>
        <ns0:v>46324.0</ns0:v>
      </ns0:c>
      <ns0:c r="P69" s="13">
        <ns0:f>Catalog_100!M24</ns0:f>
        <ns0:v>46326.0</ns0:v>
      </ns0:c>
      <ns0:c r="Q69" s="11" t="inlineStr"/>
      <ns0:c r="R69" s="10" t="inlineStr"/>
      <ns0:c r="S69" s="11" t="inlineStr"/>
      <ns0:c r="T69" s="11" t="inlineStr"/>
      <ns0:c r="U69" s="11" t="inlineStr"/>
      <ns0:c r="V69" s="11" t="inlineStr">
        <ns0:is>
          <ns0:t>Neconfirmat</ns0:t>
        </ns0:is>
      </ns0:c>
      <ns0:c r="W69" s="11" t="inlineStr">
        <ns0:is>
          <ns0:t>Fără ediție finală confirmată</ns0:t>
        </ns0:is>
      </ns0:c>
      <ns0:c r="X69" s="7">
        <ns0:f>IF(AND(J69="Publicat",Q69&lt;&gt;"",ISNUMBER(R69),S69&lt;&gt;"",U69&lt;&gt;"",V69="Confirmat"),1,0)</ns0:f>
        <ns0:v>0</ns0:v>
      </ns0:c>
    </ns0:row>
    <ns0:row r="70" ht="46" customHeight="1">
      <ns0:c r="A70" s="7" t="inlineStr">
        <ns0:is>
          <ns0:t>DB-023-DE</ns0:t>
        </ns0:is>
      </ns0:c>
      <ns0:c r="B70" s="7" t="inlineStr">
        <ns0:is>
          <ns0:t>DB-023</ns0:t>
        </ns0:is>
      </ns0:c>
      <ns0:c r="C70" s="7" t="inlineStr">
        <ns0:is>
          <ns0:t>NOIR</ns0:t>
        </ns0:is>
      </ns0:c>
      <ns0:c r="D70" s="7" t="inlineStr">
        <ns0:is>
          <ns0:t>The Black Archive</ns0:t>
        </ns0:is>
      </ns0:c>
      <ns0:c r="E70" s="8" t="n">
        <ns0:v>3</ns0:v>
      </ns0:c>
      <ns0:c r="F70" s="7" t="inlineStr">
        <ns0:is>
          <ns0:t>The Portrait Without Eyes</ns0:t>
        </ns0:is>
      </ns0:c>
      <ns0:c r="G70" s="7" t="inlineStr">
        <ns0:is>
          <ns0:t>DE</ns0:t>
        </ns0:is>
      </ns0:c>
      <ns0:c r="H70" s="7" t="inlineStr">
        <ns0:is>
          <ns0:t>EN</ns0:t>
        </ns0:is>
      </ns0:c>
      <ns0:c r="I70" s="7" t="inlineStr">
        <ns0:is>
          <ns0:t>Traducere EN→DE</ns0:t>
        </ns0:is>
      </ns0:c>
      <ns0:c r="J70" s="11" t="inlineStr">
        <ns0:is>
          <ns0:t>Planificat</ns0:t>
        </ns0:is>
      </ns0:c>
      <ns0:c r="K70" s="11" t="inlineStr">
        <ns0:is>
          <ns0:t>De desemnat</ns0:t>
        </ns0:is>
      </ns0:c>
      <ns0:c r="L70" s="8">
        <ns0:f>Catalog_100!I24</ns0:f>
        <ns0:v>35000</ns0:v>
      </ns0:c>
      <ns0:c r="M70" s="13">
        <ns0:f>Catalog_100!J24</ns0:f>
        <ns0:v>46304.0</ns0:v>
      </ns0:c>
      <ns0:c r="N70" s="13">
        <ns0:f>Catalog_100!K24</ns0:f>
        <ns0:v>46322.0</ns0:v>
      </ns0:c>
      <ns0:c r="O70" s="13">
        <ns0:f>Catalog_100!L24</ns0:f>
        <ns0:v>46324.0</ns0:v>
      </ns0:c>
      <ns0:c r="P70" s="13">
        <ns0:f>Catalog_100!M24</ns0:f>
        <ns0:v>46326.0</ns0:v>
      </ns0:c>
      <ns0:c r="Q70" s="11" t="inlineStr"/>
      <ns0:c r="R70" s="10" t="inlineStr"/>
      <ns0:c r="S70" s="11" t="inlineStr"/>
      <ns0:c r="T70" s="11" t="inlineStr"/>
      <ns0:c r="U70" s="11" t="inlineStr"/>
      <ns0:c r="V70" s="11" t="inlineStr">
        <ns0:is>
          <ns0:t>Neconfirmat</ns0:t>
        </ns0:is>
      </ns0:c>
      <ns0:c r="W70" s="11" t="inlineStr">
        <ns0:is>
          <ns0:t>Fără ediție finală confirmată</ns0:t>
        </ns0:is>
      </ns0:c>
      <ns0:c r="X70" s="7">
        <ns0:f>IF(AND(J70="Publicat",Q70&lt;&gt;"",ISNUMBER(R70),S70&lt;&gt;"",U70&lt;&gt;"",V70="Confirmat"),1,0)</ns0:f>
        <ns0:v>0</ns0:v>
      </ns0:c>
    </ns0:row>
    <ns0:row r="71" ht="46" customHeight="1">
      <ns0:c r="A71" s="7" t="inlineStr">
        <ns0:is>
          <ns0:t>DB-024-EN</ns0:t>
        </ns0:is>
      </ns0:c>
      <ns0:c r="B71" s="7" t="inlineStr">
        <ns0:is>
          <ns0:t>DB-024</ns0:t>
        </ns0:is>
      </ns0:c>
      <ns0:c r="C71" s="7" t="inlineStr">
        <ns0:is>
          <ns0:t>NOIR</ns0:t>
        </ns0:is>
      </ns0:c>
      <ns0:c r="D71" s="7" t="inlineStr">
        <ns0:is>
          <ns0:t>The Black Archive</ns0:t>
        </ns0:is>
      </ns0:c>
      <ns0:c r="E71" s="8" t="n">
        <ns0:v>4</ns0:v>
      </ns0:c>
      <ns0:c r="F71" s="7" t="inlineStr">
        <ns0:is>
          <ns0:t>The House of Borrowed Winters</ns0:t>
        </ns0:is>
      </ns0:c>
      <ns0:c r="G71" s="7" t="inlineStr">
        <ns0:is>
          <ns0:t>EN</ns0:t>
        </ns0:is>
      </ns0:c>
      <ns0:c r="H71" s="7" t="inlineStr">
        <ns0:is>
          <ns0:t>EN</ns0:t>
        </ns0:is>
      </ns0:c>
      <ns0:c r="I71" s="7" t="inlineStr">
        <ns0:is>
          <ns0:t>Scriere nouă</ns0:t>
        </ns0:is>
      </ns0:c>
      <ns0:c r="J71" s="11" t="inlineStr">
        <ns0:is>
          <ns0:t>Planificat</ns0:t>
        </ns0:is>
      </ns0:c>
      <ns0:c r="K71" s="11" t="inlineStr">
        <ns0:is>
          <ns0:t>De desemnat</ns0:t>
        </ns0:is>
      </ns0:c>
      <ns0:c r="L71" s="8">
        <ns0:f>Catalog_100!I25</ns0:f>
        <ns0:v>35000</ns0:v>
      </ns0:c>
      <ns0:c r="M71" s="13">
        <ns0:f>Catalog_100!J25</ns0:f>
        <ns0:v>46304.0</ns0:v>
      </ns0:c>
      <ns0:c r="N71" s="13">
        <ns0:f>Catalog_100!K25</ns0:f>
        <ns0:v>46322.0</ns0:v>
      </ns0:c>
      <ns0:c r="O71" s="13">
        <ns0:f>Catalog_100!L25</ns0:f>
        <ns0:v>46324.0</ns0:v>
      </ns0:c>
      <ns0:c r="P71" s="13">
        <ns0:f>Catalog_100!M25</ns0:f>
        <ns0:v>46326.0</ns0:v>
      </ns0:c>
      <ns0:c r="Q71" s="11" t="inlineStr"/>
      <ns0:c r="R71" s="10" t="inlineStr"/>
      <ns0:c r="S71" s="11" t="inlineStr"/>
      <ns0:c r="T71" s="11" t="inlineStr"/>
      <ns0:c r="U71" s="11" t="inlineStr"/>
      <ns0:c r="V71" s="11" t="inlineStr">
        <ns0:is>
          <ns0:t>Neconfirmat</ns0:t>
        </ns0:is>
      </ns0:c>
      <ns0:c r="W71" s="11" t="inlineStr">
        <ns0:is>
          <ns0:t>Fără ediție finală confirmată</ns0:t>
        </ns0:is>
      </ns0:c>
      <ns0:c r="X71" s="7">
        <ns0:f>IF(AND(J71="Publicat",Q71&lt;&gt;"",ISNUMBER(R71),S71&lt;&gt;"",U71&lt;&gt;"",V71="Confirmat"),1,0)</ns0:f>
        <ns0:v>0</ns0:v>
      </ns0:c>
    </ns0:row>
    <ns0:row r="72" ht="46" customHeight="1">
      <ns0:c r="A72" s="7" t="inlineStr">
        <ns0:is>
          <ns0:t>DB-024-RO</ns0:t>
        </ns0:is>
      </ns0:c>
      <ns0:c r="B72" s="7" t="inlineStr">
        <ns0:is>
          <ns0:t>DB-024</ns0:t>
        </ns0:is>
      </ns0:c>
      <ns0:c r="C72" s="7" t="inlineStr">
        <ns0:is>
          <ns0:t>NOIR</ns0:t>
        </ns0:is>
      </ns0:c>
      <ns0:c r="D72" s="7" t="inlineStr">
        <ns0:is>
          <ns0:t>The Black Archive</ns0:t>
        </ns0:is>
      </ns0:c>
      <ns0:c r="E72" s="8" t="n">
        <ns0:v>4</ns0:v>
      </ns0:c>
      <ns0:c r="F72" s="7" t="inlineStr">
        <ns0:is>
          <ns0:t>The House of Borrowed Winters</ns0:t>
        </ns0:is>
      </ns0:c>
      <ns0:c r="G72" s="7" t="inlineStr">
        <ns0:is>
          <ns0:t>RO</ns0:t>
        </ns0:is>
      </ns0:c>
      <ns0:c r="H72" s="7" t="inlineStr">
        <ns0:is>
          <ns0:t>EN</ns0:t>
        </ns0:is>
      </ns0:c>
      <ns0:c r="I72" s="7" t="inlineStr">
        <ns0:is>
          <ns0:t>Traducere EN→RO</ns0:t>
        </ns0:is>
      </ns0:c>
      <ns0:c r="J72" s="11" t="inlineStr">
        <ns0:is>
          <ns0:t>Planificat</ns0:t>
        </ns0:is>
      </ns0:c>
      <ns0:c r="K72" s="11" t="inlineStr">
        <ns0:is>
          <ns0:t>De desemnat</ns0:t>
        </ns0:is>
      </ns0:c>
      <ns0:c r="L72" s="8">
        <ns0:f>Catalog_100!I25</ns0:f>
        <ns0:v>35000</ns0:v>
      </ns0:c>
      <ns0:c r="M72" s="13">
        <ns0:f>Catalog_100!J25</ns0:f>
        <ns0:v>46304.0</ns0:v>
      </ns0:c>
      <ns0:c r="N72" s="13">
        <ns0:f>Catalog_100!K25</ns0:f>
        <ns0:v>46322.0</ns0:v>
      </ns0:c>
      <ns0:c r="O72" s="13">
        <ns0:f>Catalog_100!L25</ns0:f>
        <ns0:v>46324.0</ns0:v>
      </ns0:c>
      <ns0:c r="P72" s="13">
        <ns0:f>Catalog_100!M25</ns0:f>
        <ns0:v>46326.0</ns0:v>
      </ns0:c>
      <ns0:c r="Q72" s="11" t="inlineStr"/>
      <ns0:c r="R72" s="10" t="inlineStr"/>
      <ns0:c r="S72" s="11" t="inlineStr"/>
      <ns0:c r="T72" s="11" t="inlineStr"/>
      <ns0:c r="U72" s="11" t="inlineStr"/>
      <ns0:c r="V72" s="11" t="inlineStr">
        <ns0:is>
          <ns0:t>Neconfirmat</ns0:t>
        </ns0:is>
      </ns0:c>
      <ns0:c r="W72" s="11" t="inlineStr">
        <ns0:is>
          <ns0:t>Fără ediție finală confirmată</ns0:t>
        </ns0:is>
      </ns0:c>
      <ns0:c r="X72" s="7">
        <ns0:f>IF(AND(J72="Publicat",Q72&lt;&gt;"",ISNUMBER(R72),S72&lt;&gt;"",U72&lt;&gt;"",V72="Confirmat"),1,0)</ns0:f>
        <ns0:v>0</ns0:v>
      </ns0:c>
    </ns0:row>
    <ns0:row r="73" ht="46" customHeight="1">
      <ns0:c r="A73" s="7" t="inlineStr">
        <ns0:is>
          <ns0:t>DB-024-DE</ns0:t>
        </ns0:is>
      </ns0:c>
      <ns0:c r="B73" s="7" t="inlineStr">
        <ns0:is>
          <ns0:t>DB-024</ns0:t>
        </ns0:is>
      </ns0:c>
      <ns0:c r="C73" s="7" t="inlineStr">
        <ns0:is>
          <ns0:t>NOIR</ns0:t>
        </ns0:is>
      </ns0:c>
      <ns0:c r="D73" s="7" t="inlineStr">
        <ns0:is>
          <ns0:t>The Black Archive</ns0:t>
        </ns0:is>
      </ns0:c>
      <ns0:c r="E73" s="8" t="n">
        <ns0:v>4</ns0:v>
      </ns0:c>
      <ns0:c r="F73" s="7" t="inlineStr">
        <ns0:is>
          <ns0:t>The House of Borrowed Winters</ns0:t>
        </ns0:is>
      </ns0:c>
      <ns0:c r="G73" s="7" t="inlineStr">
        <ns0:is>
          <ns0:t>DE</ns0:t>
        </ns0:is>
      </ns0:c>
      <ns0:c r="H73" s="7" t="inlineStr">
        <ns0:is>
          <ns0:t>EN</ns0:t>
        </ns0:is>
      </ns0:c>
      <ns0:c r="I73" s="7" t="inlineStr">
        <ns0:is>
          <ns0:t>Traducere EN→DE</ns0:t>
        </ns0:is>
      </ns0:c>
      <ns0:c r="J73" s="11" t="inlineStr">
        <ns0:is>
          <ns0:t>Planificat</ns0:t>
        </ns0:is>
      </ns0:c>
      <ns0:c r="K73" s="11" t="inlineStr">
        <ns0:is>
          <ns0:t>De desemnat</ns0:t>
        </ns0:is>
      </ns0:c>
      <ns0:c r="L73" s="8">
        <ns0:f>Catalog_100!I25</ns0:f>
        <ns0:v>35000</ns0:v>
      </ns0:c>
      <ns0:c r="M73" s="13">
        <ns0:f>Catalog_100!J25</ns0:f>
        <ns0:v>46304.0</ns0:v>
      </ns0:c>
      <ns0:c r="N73" s="13">
        <ns0:f>Catalog_100!K25</ns0:f>
        <ns0:v>46322.0</ns0:v>
      </ns0:c>
      <ns0:c r="O73" s="13">
        <ns0:f>Catalog_100!L25</ns0:f>
        <ns0:v>46324.0</ns0:v>
      </ns0:c>
      <ns0:c r="P73" s="13">
        <ns0:f>Catalog_100!M25</ns0:f>
        <ns0:v>46326.0</ns0:v>
      </ns0:c>
      <ns0:c r="Q73" s="11" t="inlineStr"/>
      <ns0:c r="R73" s="10" t="inlineStr"/>
      <ns0:c r="S73" s="11" t="inlineStr"/>
      <ns0:c r="T73" s="11" t="inlineStr"/>
      <ns0:c r="U73" s="11" t="inlineStr"/>
      <ns0:c r="V73" s="11" t="inlineStr">
        <ns0:is>
          <ns0:t>Neconfirmat</ns0:t>
        </ns0:is>
      </ns0:c>
      <ns0:c r="W73" s="11" t="inlineStr">
        <ns0:is>
          <ns0:t>Fără ediție finală confirmată</ns0:t>
        </ns0:is>
      </ns0:c>
      <ns0:c r="X73" s="7">
        <ns0:f>IF(AND(J73="Publicat",Q73&lt;&gt;"",ISNUMBER(R73),S73&lt;&gt;"",U73&lt;&gt;"",V73="Confirmat"),1,0)</ns0:f>
        <ns0:v>0</ns0:v>
      </ns0:c>
    </ns0:row>
    <ns0:row r="74" ht="46" customHeight="1">
      <ns0:c r="A74" s="7" t="inlineStr">
        <ns0:is>
          <ns0:t>DB-025-EN</ns0:t>
        </ns0:is>
      </ns0:c>
      <ns0:c r="B74" s="7" t="inlineStr">
        <ns0:is>
          <ns0:t>DB-025</ns0:t>
        </ns0:is>
      </ns0:c>
      <ns0:c r="C74" s="7" t="inlineStr">
        <ns0:is>
          <ns0:t>NOIR</ns0:t>
        </ns0:is>
      </ns0:c>
      <ns0:c r="D74" s="7" t="inlineStr">
        <ns0:is>
          <ns0:t>The Black Archive</ns0:t>
        </ns0:is>
      </ns0:c>
      <ns0:c r="E74" s="8" t="n">
        <ns0:v>5</ns0:v>
      </ns0:c>
      <ns0:c r="F74" s="7" t="inlineStr">
        <ns0:is>
          <ns0:t>The Salt Mirror</ns0:t>
        </ns0:is>
      </ns0:c>
      <ns0:c r="G74" s="7" t="inlineStr">
        <ns0:is>
          <ns0:t>EN</ns0:t>
        </ns0:is>
      </ns0:c>
      <ns0:c r="H74" s="7" t="inlineStr">
        <ns0:is>
          <ns0:t>EN</ns0:t>
        </ns0:is>
      </ns0:c>
      <ns0:c r="I74" s="7" t="inlineStr">
        <ns0:is>
          <ns0:t>Scriere nouă</ns0:t>
        </ns0:is>
      </ns0:c>
      <ns0:c r="J74" s="11" t="inlineStr">
        <ns0:is>
          <ns0:t>Planificat</ns0:t>
        </ns0:is>
      </ns0:c>
      <ns0:c r="K74" s="11" t="inlineStr">
        <ns0:is>
          <ns0:t>De desemnat</ns0:t>
        </ns0:is>
      </ns0:c>
      <ns0:c r="L74" s="8">
        <ns0:f>Catalog_100!I26</ns0:f>
        <ns0:v>35000</ns0:v>
      </ns0:c>
      <ns0:c r="M74" s="13">
        <ns0:f>Catalog_100!J26</ns0:f>
        <ns0:v>46304.0</ns0:v>
      </ns0:c>
      <ns0:c r="N74" s="13">
        <ns0:f>Catalog_100!K26</ns0:f>
        <ns0:v>46322.0</ns0:v>
      </ns0:c>
      <ns0:c r="O74" s="13">
        <ns0:f>Catalog_100!L26</ns0:f>
        <ns0:v>46324.0</ns0:v>
      </ns0:c>
      <ns0:c r="P74" s="13">
        <ns0:f>Catalog_100!M26</ns0:f>
        <ns0:v>46326.0</ns0:v>
      </ns0:c>
      <ns0:c r="Q74" s="11" t="inlineStr"/>
      <ns0:c r="R74" s="10" t="inlineStr"/>
      <ns0:c r="S74" s="11" t="inlineStr"/>
      <ns0:c r="T74" s="11" t="inlineStr"/>
      <ns0:c r="U74" s="11" t="inlineStr"/>
      <ns0:c r="V74" s="11" t="inlineStr">
        <ns0:is>
          <ns0:t>Neconfirmat</ns0:t>
        </ns0:is>
      </ns0:c>
      <ns0:c r="W74" s="11" t="inlineStr">
        <ns0:is>
          <ns0:t>Fără ediție finală confirmată</ns0:t>
        </ns0:is>
      </ns0:c>
      <ns0:c r="X74" s="7">
        <ns0:f>IF(AND(J74="Publicat",Q74&lt;&gt;"",ISNUMBER(R74),S74&lt;&gt;"",U74&lt;&gt;"",V74="Confirmat"),1,0)</ns0:f>
        <ns0:v>0</ns0:v>
      </ns0:c>
    </ns0:row>
    <ns0:row r="75" ht="46" customHeight="1">
      <ns0:c r="A75" s="7" t="inlineStr">
        <ns0:is>
          <ns0:t>DB-025-RO</ns0:t>
        </ns0:is>
      </ns0:c>
      <ns0:c r="B75" s="7" t="inlineStr">
        <ns0:is>
          <ns0:t>DB-025</ns0:t>
        </ns0:is>
      </ns0:c>
      <ns0:c r="C75" s="7" t="inlineStr">
        <ns0:is>
          <ns0:t>NOIR</ns0:t>
        </ns0:is>
      </ns0:c>
      <ns0:c r="D75" s="7" t="inlineStr">
        <ns0:is>
          <ns0:t>The Black Archive</ns0:t>
        </ns0:is>
      </ns0:c>
      <ns0:c r="E75" s="8" t="n">
        <ns0:v>5</ns0:v>
      </ns0:c>
      <ns0:c r="F75" s="7" t="inlineStr">
        <ns0:is>
          <ns0:t>The Salt Mirror</ns0:t>
        </ns0:is>
      </ns0:c>
      <ns0:c r="G75" s="7" t="inlineStr">
        <ns0:is>
          <ns0:t>RO</ns0:t>
        </ns0:is>
      </ns0:c>
      <ns0:c r="H75" s="7" t="inlineStr">
        <ns0:is>
          <ns0:t>EN</ns0:t>
        </ns0:is>
      </ns0:c>
      <ns0:c r="I75" s="7" t="inlineStr">
        <ns0:is>
          <ns0:t>Traducere EN→RO</ns0:t>
        </ns0:is>
      </ns0:c>
      <ns0:c r="J75" s="11" t="inlineStr">
        <ns0:is>
          <ns0:t>Planificat</ns0:t>
        </ns0:is>
      </ns0:c>
      <ns0:c r="K75" s="11" t="inlineStr">
        <ns0:is>
          <ns0:t>De desemnat</ns0:t>
        </ns0:is>
      </ns0:c>
      <ns0:c r="L75" s="8">
        <ns0:f>Catalog_100!I26</ns0:f>
        <ns0:v>35000</ns0:v>
      </ns0:c>
      <ns0:c r="M75" s="13">
        <ns0:f>Catalog_100!J26</ns0:f>
        <ns0:v>46304.0</ns0:v>
      </ns0:c>
      <ns0:c r="N75" s="13">
        <ns0:f>Catalog_100!K26</ns0:f>
        <ns0:v>46322.0</ns0:v>
      </ns0:c>
      <ns0:c r="O75" s="13">
        <ns0:f>Catalog_100!L26</ns0:f>
        <ns0:v>46324.0</ns0:v>
      </ns0:c>
      <ns0:c r="P75" s="13">
        <ns0:f>Catalog_100!M26</ns0:f>
        <ns0:v>46326.0</ns0:v>
      </ns0:c>
      <ns0:c r="Q75" s="11" t="inlineStr"/>
      <ns0:c r="R75" s="10" t="inlineStr"/>
      <ns0:c r="S75" s="11" t="inlineStr"/>
      <ns0:c r="T75" s="11" t="inlineStr"/>
      <ns0:c r="U75" s="11" t="inlineStr"/>
      <ns0:c r="V75" s="11" t="inlineStr">
        <ns0:is>
          <ns0:t>Neconfirmat</ns0:t>
        </ns0:is>
      </ns0:c>
      <ns0:c r="W75" s="11" t="inlineStr">
        <ns0:is>
          <ns0:t>Fără ediție finală confirmată</ns0:t>
        </ns0:is>
      </ns0:c>
      <ns0:c r="X75" s="7">
        <ns0:f>IF(AND(J75="Publicat",Q75&lt;&gt;"",ISNUMBER(R75),S75&lt;&gt;"",U75&lt;&gt;"",V75="Confirmat"),1,0)</ns0:f>
        <ns0:v>0</ns0:v>
      </ns0:c>
    </ns0:row>
    <ns0:row r="76" ht="46" customHeight="1">
      <ns0:c r="A76" s="7" t="inlineStr">
        <ns0:is>
          <ns0:t>DB-025-DE</ns0:t>
        </ns0:is>
      </ns0:c>
      <ns0:c r="B76" s="7" t="inlineStr">
        <ns0:is>
          <ns0:t>DB-025</ns0:t>
        </ns0:is>
      </ns0:c>
      <ns0:c r="C76" s="7" t="inlineStr">
        <ns0:is>
          <ns0:t>NOIR</ns0:t>
        </ns0:is>
      </ns0:c>
      <ns0:c r="D76" s="7" t="inlineStr">
        <ns0:is>
          <ns0:t>The Black Archive</ns0:t>
        </ns0:is>
      </ns0:c>
      <ns0:c r="E76" s="8" t="n">
        <ns0:v>5</ns0:v>
      </ns0:c>
      <ns0:c r="F76" s="7" t="inlineStr">
        <ns0:is>
          <ns0:t>The Salt Mirror</ns0:t>
        </ns0:is>
      </ns0:c>
      <ns0:c r="G76" s="7" t="inlineStr">
        <ns0:is>
          <ns0:t>DE</ns0:t>
        </ns0:is>
      </ns0:c>
      <ns0:c r="H76" s="7" t="inlineStr">
        <ns0:is>
          <ns0:t>EN</ns0:t>
        </ns0:is>
      </ns0:c>
      <ns0:c r="I76" s="7" t="inlineStr">
        <ns0:is>
          <ns0:t>Traducere EN→DE</ns0:t>
        </ns0:is>
      </ns0:c>
      <ns0:c r="J76" s="11" t="inlineStr">
        <ns0:is>
          <ns0:t>Planificat</ns0:t>
        </ns0:is>
      </ns0:c>
      <ns0:c r="K76" s="11" t="inlineStr">
        <ns0:is>
          <ns0:t>De desemnat</ns0:t>
        </ns0:is>
      </ns0:c>
      <ns0:c r="L76" s="8">
        <ns0:f>Catalog_100!I26</ns0:f>
        <ns0:v>35000</ns0:v>
      </ns0:c>
      <ns0:c r="M76" s="13">
        <ns0:f>Catalog_100!J26</ns0:f>
        <ns0:v>46304.0</ns0:v>
      </ns0:c>
      <ns0:c r="N76" s="13">
        <ns0:f>Catalog_100!K26</ns0:f>
        <ns0:v>46322.0</ns0:v>
      </ns0:c>
      <ns0:c r="O76" s="13">
        <ns0:f>Catalog_100!L26</ns0:f>
        <ns0:v>46324.0</ns0:v>
      </ns0:c>
      <ns0:c r="P76" s="13">
        <ns0:f>Catalog_100!M26</ns0:f>
        <ns0:v>46326.0</ns0:v>
      </ns0:c>
      <ns0:c r="Q76" s="11" t="inlineStr"/>
      <ns0:c r="R76" s="10" t="inlineStr"/>
      <ns0:c r="S76" s="11" t="inlineStr"/>
      <ns0:c r="T76" s="11" t="inlineStr"/>
      <ns0:c r="U76" s="11" t="inlineStr"/>
      <ns0:c r="V76" s="11" t="inlineStr">
        <ns0:is>
          <ns0:t>Neconfirmat</ns0:t>
        </ns0:is>
      </ns0:c>
      <ns0:c r="W76" s="11" t="inlineStr">
        <ns0:is>
          <ns0:t>Fără ediție finală confirmată</ns0:t>
        </ns0:is>
      </ns0:c>
      <ns0:c r="X76" s="7">
        <ns0:f>IF(AND(J76="Publicat",Q76&lt;&gt;"",ISNUMBER(R76),S76&lt;&gt;"",U76&lt;&gt;"",V76="Confirmat"),1,0)</ns0:f>
        <ns0:v>0</ns0:v>
      </ns0:c>
    </ns0:row>
    <ns0:row r="77" ht="46" customHeight="1">
      <ns0:c r="A77" s="7" t="inlineStr">
        <ns0:is>
          <ns0:t>DB-026-EN</ns0:t>
        </ns0:is>
      </ns0:c>
      <ns0:c r="B77" s="7" t="inlineStr">
        <ns0:is>
          <ns0:t>DB-026</ns0:t>
        </ns0:is>
      </ns0:c>
      <ns0:c r="C77" s="7" t="inlineStr">
        <ns0:is>
          <ns0:t>NOIR</ns0:t>
        </ns0:is>
      </ns0:c>
      <ns0:c r="D77" s="7" t="inlineStr">
        <ns0:is>
          <ns0:t>The Black Archive</ns0:t>
        </ns0:is>
      </ns0:c>
      <ns0:c r="E77" s="8" t="n">
        <ns0:v>6</ns0:v>
      </ns0:c>
      <ns0:c r="F77" s="7" t="inlineStr">
        <ns0:is>
          <ns0:t>The Orchard of Silent Bells</ns0:t>
        </ns0:is>
      </ns0:c>
      <ns0:c r="G77" s="7" t="inlineStr">
        <ns0:is>
          <ns0:t>EN</ns0:t>
        </ns0:is>
      </ns0:c>
      <ns0:c r="H77" s="7" t="inlineStr">
        <ns0:is>
          <ns0:t>EN</ns0:t>
        </ns0:is>
      </ns0:c>
      <ns0:c r="I77" s="7" t="inlineStr">
        <ns0:is>
          <ns0:t>Scriere nouă</ns0:t>
        </ns0:is>
      </ns0:c>
      <ns0:c r="J77" s="11" t="inlineStr">
        <ns0:is>
          <ns0:t>Planificat</ns0:t>
        </ns0:is>
      </ns0:c>
      <ns0:c r="K77" s="11" t="inlineStr">
        <ns0:is>
          <ns0:t>De desemnat</ns0:t>
        </ns0:is>
      </ns0:c>
      <ns0:c r="L77" s="8">
        <ns0:f>Catalog_100!I27</ns0:f>
        <ns0:v>35000</ns0:v>
      </ns0:c>
      <ns0:c r="M77" s="13">
        <ns0:f>Catalog_100!J27</ns0:f>
        <ns0:v>46304.0</ns0:v>
      </ns0:c>
      <ns0:c r="N77" s="13">
        <ns0:f>Catalog_100!K27</ns0:f>
        <ns0:v>46322.0</ns0:v>
      </ns0:c>
      <ns0:c r="O77" s="13">
        <ns0:f>Catalog_100!L27</ns0:f>
        <ns0:v>46324.0</ns0:v>
      </ns0:c>
      <ns0:c r="P77" s="13">
        <ns0:f>Catalog_100!M27</ns0:f>
        <ns0:v>46326.0</ns0:v>
      </ns0:c>
      <ns0:c r="Q77" s="11" t="inlineStr"/>
      <ns0:c r="R77" s="10" t="inlineStr"/>
      <ns0:c r="S77" s="11" t="inlineStr"/>
      <ns0:c r="T77" s="11" t="inlineStr"/>
      <ns0:c r="U77" s="11" t="inlineStr"/>
      <ns0:c r="V77" s="11" t="inlineStr">
        <ns0:is>
          <ns0:t>Neconfirmat</ns0:t>
        </ns0:is>
      </ns0:c>
      <ns0:c r="W77" s="11" t="inlineStr">
        <ns0:is>
          <ns0:t>Fără ediție finală confirmată</ns0:t>
        </ns0:is>
      </ns0:c>
      <ns0:c r="X77" s="7">
        <ns0:f>IF(AND(J77="Publicat",Q77&lt;&gt;"",ISNUMBER(R77),S77&lt;&gt;"",U77&lt;&gt;"",V77="Confirmat"),1,0)</ns0:f>
        <ns0:v>0</ns0:v>
      </ns0:c>
    </ns0:row>
    <ns0:row r="78" ht="46" customHeight="1">
      <ns0:c r="A78" s="7" t="inlineStr">
        <ns0:is>
          <ns0:t>DB-026-RO</ns0:t>
        </ns0:is>
      </ns0:c>
      <ns0:c r="B78" s="7" t="inlineStr">
        <ns0:is>
          <ns0:t>DB-026</ns0:t>
        </ns0:is>
      </ns0:c>
      <ns0:c r="C78" s="7" t="inlineStr">
        <ns0:is>
          <ns0:t>NOIR</ns0:t>
        </ns0:is>
      </ns0:c>
      <ns0:c r="D78" s="7" t="inlineStr">
        <ns0:is>
          <ns0:t>The Black Archive</ns0:t>
        </ns0:is>
      </ns0:c>
      <ns0:c r="E78" s="8" t="n">
        <ns0:v>6</ns0:v>
      </ns0:c>
      <ns0:c r="F78" s="7" t="inlineStr">
        <ns0:is>
          <ns0:t>The Orchard of Silent Bells</ns0:t>
        </ns0:is>
      </ns0:c>
      <ns0:c r="G78" s="7" t="inlineStr">
        <ns0:is>
          <ns0:t>RO</ns0:t>
        </ns0:is>
      </ns0:c>
      <ns0:c r="H78" s="7" t="inlineStr">
        <ns0:is>
          <ns0:t>EN</ns0:t>
        </ns0:is>
      </ns0:c>
      <ns0:c r="I78" s="7" t="inlineStr">
        <ns0:is>
          <ns0:t>Traducere EN→RO</ns0:t>
        </ns0:is>
      </ns0:c>
      <ns0:c r="J78" s="11" t="inlineStr">
        <ns0:is>
          <ns0:t>Planificat</ns0:t>
        </ns0:is>
      </ns0:c>
      <ns0:c r="K78" s="11" t="inlineStr">
        <ns0:is>
          <ns0:t>De desemnat</ns0:t>
        </ns0:is>
      </ns0:c>
      <ns0:c r="L78" s="8">
        <ns0:f>Catalog_100!I27</ns0:f>
        <ns0:v>35000</ns0:v>
      </ns0:c>
      <ns0:c r="M78" s="13">
        <ns0:f>Catalog_100!J27</ns0:f>
        <ns0:v>46304.0</ns0:v>
      </ns0:c>
      <ns0:c r="N78" s="13">
        <ns0:f>Catalog_100!K27</ns0:f>
        <ns0:v>46322.0</ns0:v>
      </ns0:c>
      <ns0:c r="O78" s="13">
        <ns0:f>Catalog_100!L27</ns0:f>
        <ns0:v>46324.0</ns0:v>
      </ns0:c>
      <ns0:c r="P78" s="13">
        <ns0:f>Catalog_100!M27</ns0:f>
        <ns0:v>46326.0</ns0:v>
      </ns0:c>
      <ns0:c r="Q78" s="11" t="inlineStr"/>
      <ns0:c r="R78" s="10" t="inlineStr"/>
      <ns0:c r="S78" s="11" t="inlineStr"/>
      <ns0:c r="T78" s="11" t="inlineStr"/>
      <ns0:c r="U78" s="11" t="inlineStr"/>
      <ns0:c r="V78" s="11" t="inlineStr">
        <ns0:is>
          <ns0:t>Neconfirmat</ns0:t>
        </ns0:is>
      </ns0:c>
      <ns0:c r="W78" s="11" t="inlineStr">
        <ns0:is>
          <ns0:t>Fără ediție finală confirmată</ns0:t>
        </ns0:is>
      </ns0:c>
      <ns0:c r="X78" s="7">
        <ns0:f>IF(AND(J78="Publicat",Q78&lt;&gt;"",ISNUMBER(R78),S78&lt;&gt;"",U78&lt;&gt;"",V78="Confirmat"),1,0)</ns0:f>
        <ns0:v>0</ns0:v>
      </ns0:c>
    </ns0:row>
    <ns0:row r="79" ht="46" customHeight="1">
      <ns0:c r="A79" s="7" t="inlineStr">
        <ns0:is>
          <ns0:t>DB-026-DE</ns0:t>
        </ns0:is>
      </ns0:c>
      <ns0:c r="B79" s="7" t="inlineStr">
        <ns0:is>
          <ns0:t>DB-026</ns0:t>
        </ns0:is>
      </ns0:c>
      <ns0:c r="C79" s="7" t="inlineStr">
        <ns0:is>
          <ns0:t>NOIR</ns0:t>
        </ns0:is>
      </ns0:c>
      <ns0:c r="D79" s="7" t="inlineStr">
        <ns0:is>
          <ns0:t>The Black Archive</ns0:t>
        </ns0:is>
      </ns0:c>
      <ns0:c r="E79" s="8" t="n">
        <ns0:v>6</ns0:v>
      </ns0:c>
      <ns0:c r="F79" s="7" t="inlineStr">
        <ns0:is>
          <ns0:t>The Orchard of Silent Bells</ns0:t>
        </ns0:is>
      </ns0:c>
      <ns0:c r="G79" s="7" t="inlineStr">
        <ns0:is>
          <ns0:t>DE</ns0:t>
        </ns0:is>
      </ns0:c>
      <ns0:c r="H79" s="7" t="inlineStr">
        <ns0:is>
          <ns0:t>EN</ns0:t>
        </ns0:is>
      </ns0:c>
      <ns0:c r="I79" s="7" t="inlineStr">
        <ns0:is>
          <ns0:t>Traducere EN→DE</ns0:t>
        </ns0:is>
      </ns0:c>
      <ns0:c r="J79" s="11" t="inlineStr">
        <ns0:is>
          <ns0:t>Planificat</ns0:t>
        </ns0:is>
      </ns0:c>
      <ns0:c r="K79" s="11" t="inlineStr">
        <ns0:is>
          <ns0:t>De desemnat</ns0:t>
        </ns0:is>
      </ns0:c>
      <ns0:c r="L79" s="8">
        <ns0:f>Catalog_100!I27</ns0:f>
        <ns0:v>35000</ns0:v>
      </ns0:c>
      <ns0:c r="M79" s="13">
        <ns0:f>Catalog_100!J27</ns0:f>
        <ns0:v>46304.0</ns0:v>
      </ns0:c>
      <ns0:c r="N79" s="13">
        <ns0:f>Catalog_100!K27</ns0:f>
        <ns0:v>46322.0</ns0:v>
      </ns0:c>
      <ns0:c r="O79" s="13">
        <ns0:f>Catalog_100!L27</ns0:f>
        <ns0:v>46324.0</ns0:v>
      </ns0:c>
      <ns0:c r="P79" s="13">
        <ns0:f>Catalog_100!M27</ns0:f>
        <ns0:v>46326.0</ns0:v>
      </ns0:c>
      <ns0:c r="Q79" s="11" t="inlineStr"/>
      <ns0:c r="R79" s="10" t="inlineStr"/>
      <ns0:c r="S79" s="11" t="inlineStr"/>
      <ns0:c r="T79" s="11" t="inlineStr"/>
      <ns0:c r="U79" s="11" t="inlineStr"/>
      <ns0:c r="V79" s="11" t="inlineStr">
        <ns0:is>
          <ns0:t>Neconfirmat</ns0:t>
        </ns0:is>
      </ns0:c>
      <ns0:c r="W79" s="11" t="inlineStr">
        <ns0:is>
          <ns0:t>Fără ediție finală confirmată</ns0:t>
        </ns0:is>
      </ns0:c>
      <ns0:c r="X79" s="7">
        <ns0:f>IF(AND(J79="Publicat",Q79&lt;&gt;"",ISNUMBER(R79),S79&lt;&gt;"",U79&lt;&gt;"",V79="Confirmat"),1,0)</ns0:f>
        <ns0:v>0</ns0:v>
      </ns0:c>
    </ns0:row>
    <ns0:row r="80" ht="46" customHeight="1">
      <ns0:c r="A80" s="7" t="inlineStr">
        <ns0:is>
          <ns0:t>DB-027-EN</ns0:t>
        </ns0:is>
      </ns0:c>
      <ns0:c r="B80" s="7" t="inlineStr">
        <ns0:is>
          <ns0:t>DB-027</ns0:t>
        </ns0:is>
      </ns0:c>
      <ns0:c r="C80" s="7" t="inlineStr">
        <ns0:is>
          <ns0:t>NOIR</ns0:t>
        </ns0:is>
      </ns0:c>
      <ns0:c r="D80" s="7" t="inlineStr">
        <ns0:is>
          <ns0:t>The Black Archive</ns0:t>
        </ns0:is>
      </ns0:c>
      <ns0:c r="E80" s="8" t="n">
        <ns0:v>7</ns0:v>
      </ns0:c>
      <ns0:c r="F80" s="7" t="inlineStr">
        <ns0:is>
          <ns0:t>The Cartographer's Last Room</ns0:t>
        </ns0:is>
      </ns0:c>
      <ns0:c r="G80" s="7" t="inlineStr">
        <ns0:is>
          <ns0:t>EN</ns0:t>
        </ns0:is>
      </ns0:c>
      <ns0:c r="H80" s="7" t="inlineStr">
        <ns0:is>
          <ns0:t>EN</ns0:t>
        </ns0:is>
      </ns0:c>
      <ns0:c r="I80" s="7" t="inlineStr">
        <ns0:is>
          <ns0:t>Scriere nouă</ns0:t>
        </ns0:is>
      </ns0:c>
      <ns0:c r="J80" s="11" t="inlineStr">
        <ns0:is>
          <ns0:t>Planificat</ns0:t>
        </ns0:is>
      </ns0:c>
      <ns0:c r="K80" s="11" t="inlineStr">
        <ns0:is>
          <ns0:t>De desemnat</ns0:t>
        </ns0:is>
      </ns0:c>
      <ns0:c r="L80" s="8">
        <ns0:f>Catalog_100!I28</ns0:f>
        <ns0:v>35000</ns0:v>
      </ns0:c>
      <ns0:c r="M80" s="13">
        <ns0:f>Catalog_100!J28</ns0:f>
        <ns0:v>46304.0</ns0:v>
      </ns0:c>
      <ns0:c r="N80" s="13">
        <ns0:f>Catalog_100!K28</ns0:f>
        <ns0:v>46322.0</ns0:v>
      </ns0:c>
      <ns0:c r="O80" s="13">
        <ns0:f>Catalog_100!L28</ns0:f>
        <ns0:v>46324.0</ns0:v>
      </ns0:c>
      <ns0:c r="P80" s="13">
        <ns0:f>Catalog_100!M28</ns0:f>
        <ns0:v>46326.0</ns0:v>
      </ns0:c>
      <ns0:c r="Q80" s="11" t="inlineStr"/>
      <ns0:c r="R80" s="10" t="inlineStr"/>
      <ns0:c r="S80" s="11" t="inlineStr"/>
      <ns0:c r="T80" s="11" t="inlineStr"/>
      <ns0:c r="U80" s="11" t="inlineStr"/>
      <ns0:c r="V80" s="11" t="inlineStr">
        <ns0:is>
          <ns0:t>Neconfirmat</ns0:t>
        </ns0:is>
      </ns0:c>
      <ns0:c r="W80" s="11" t="inlineStr">
        <ns0:is>
          <ns0:t>Fără ediție finală confirmată</ns0:t>
        </ns0:is>
      </ns0:c>
      <ns0:c r="X80" s="7">
        <ns0:f>IF(AND(J80="Publicat",Q80&lt;&gt;"",ISNUMBER(R80),S80&lt;&gt;"",U80&lt;&gt;"",V80="Confirmat"),1,0)</ns0:f>
        <ns0:v>0</ns0:v>
      </ns0:c>
    </ns0:row>
    <ns0:row r="81" ht="46" customHeight="1">
      <ns0:c r="A81" s="7" t="inlineStr">
        <ns0:is>
          <ns0:t>DB-027-RO</ns0:t>
        </ns0:is>
      </ns0:c>
      <ns0:c r="B81" s="7" t="inlineStr">
        <ns0:is>
          <ns0:t>DB-027</ns0:t>
        </ns0:is>
      </ns0:c>
      <ns0:c r="C81" s="7" t="inlineStr">
        <ns0:is>
          <ns0:t>NOIR</ns0:t>
        </ns0:is>
      </ns0:c>
      <ns0:c r="D81" s="7" t="inlineStr">
        <ns0:is>
          <ns0:t>The Black Archive</ns0:t>
        </ns0:is>
      </ns0:c>
      <ns0:c r="E81" s="8" t="n">
        <ns0:v>7</ns0:v>
      </ns0:c>
      <ns0:c r="F81" s="7" t="inlineStr">
        <ns0:is>
          <ns0:t>The Cartographer's Last Room</ns0:t>
        </ns0:is>
      </ns0:c>
      <ns0:c r="G81" s="7" t="inlineStr">
        <ns0:is>
          <ns0:t>RO</ns0:t>
        </ns0:is>
      </ns0:c>
      <ns0:c r="H81" s="7" t="inlineStr">
        <ns0:is>
          <ns0:t>EN</ns0:t>
        </ns0:is>
      </ns0:c>
      <ns0:c r="I81" s="7" t="inlineStr">
        <ns0:is>
          <ns0:t>Traducere EN→RO</ns0:t>
        </ns0:is>
      </ns0:c>
      <ns0:c r="J81" s="11" t="inlineStr">
        <ns0:is>
          <ns0:t>Planificat</ns0:t>
        </ns0:is>
      </ns0:c>
      <ns0:c r="K81" s="11" t="inlineStr">
        <ns0:is>
          <ns0:t>De desemnat</ns0:t>
        </ns0:is>
      </ns0:c>
      <ns0:c r="L81" s="8">
        <ns0:f>Catalog_100!I28</ns0:f>
        <ns0:v>35000</ns0:v>
      </ns0:c>
      <ns0:c r="M81" s="13">
        <ns0:f>Catalog_100!J28</ns0:f>
        <ns0:v>46304.0</ns0:v>
      </ns0:c>
      <ns0:c r="N81" s="13">
        <ns0:f>Catalog_100!K28</ns0:f>
        <ns0:v>46322.0</ns0:v>
      </ns0:c>
      <ns0:c r="O81" s="13">
        <ns0:f>Catalog_100!L28</ns0:f>
        <ns0:v>46324.0</ns0:v>
      </ns0:c>
      <ns0:c r="P81" s="13">
        <ns0:f>Catalog_100!M28</ns0:f>
        <ns0:v>46326.0</ns0:v>
      </ns0:c>
      <ns0:c r="Q81" s="11" t="inlineStr"/>
      <ns0:c r="R81" s="10" t="inlineStr"/>
      <ns0:c r="S81" s="11" t="inlineStr"/>
      <ns0:c r="T81" s="11" t="inlineStr"/>
      <ns0:c r="U81" s="11" t="inlineStr"/>
      <ns0:c r="V81" s="11" t="inlineStr">
        <ns0:is>
          <ns0:t>Neconfirmat</ns0:t>
        </ns0:is>
      </ns0:c>
      <ns0:c r="W81" s="11" t="inlineStr">
        <ns0:is>
          <ns0:t>Fără ediție finală confirmată</ns0:t>
        </ns0:is>
      </ns0:c>
      <ns0:c r="X81" s="7">
        <ns0:f>IF(AND(J81="Publicat",Q81&lt;&gt;"",ISNUMBER(R81),S81&lt;&gt;"",U81&lt;&gt;"",V81="Confirmat"),1,0)</ns0:f>
        <ns0:v>0</ns0:v>
      </ns0:c>
    </ns0:row>
    <ns0:row r="82" ht="46" customHeight="1">
      <ns0:c r="A82" s="7" t="inlineStr">
        <ns0:is>
          <ns0:t>DB-027-DE</ns0:t>
        </ns0:is>
      </ns0:c>
      <ns0:c r="B82" s="7" t="inlineStr">
        <ns0:is>
          <ns0:t>DB-027</ns0:t>
        </ns0:is>
      </ns0:c>
      <ns0:c r="C82" s="7" t="inlineStr">
        <ns0:is>
          <ns0:t>NOIR</ns0:t>
        </ns0:is>
      </ns0:c>
      <ns0:c r="D82" s="7" t="inlineStr">
        <ns0:is>
          <ns0:t>The Black Archive</ns0:t>
        </ns0:is>
      </ns0:c>
      <ns0:c r="E82" s="8" t="n">
        <ns0:v>7</ns0:v>
      </ns0:c>
      <ns0:c r="F82" s="7" t="inlineStr">
        <ns0:is>
          <ns0:t>The Cartographer's Last Room</ns0:t>
        </ns0:is>
      </ns0:c>
      <ns0:c r="G82" s="7" t="inlineStr">
        <ns0:is>
          <ns0:t>DE</ns0:t>
        </ns0:is>
      </ns0:c>
      <ns0:c r="H82" s="7" t="inlineStr">
        <ns0:is>
          <ns0:t>EN</ns0:t>
        </ns0:is>
      </ns0:c>
      <ns0:c r="I82" s="7" t="inlineStr">
        <ns0:is>
          <ns0:t>Traducere EN→DE</ns0:t>
        </ns0:is>
      </ns0:c>
      <ns0:c r="J82" s="11" t="inlineStr">
        <ns0:is>
          <ns0:t>Planificat</ns0:t>
        </ns0:is>
      </ns0:c>
      <ns0:c r="K82" s="11" t="inlineStr">
        <ns0:is>
          <ns0:t>De desemnat</ns0:t>
        </ns0:is>
      </ns0:c>
      <ns0:c r="L82" s="8">
        <ns0:f>Catalog_100!I28</ns0:f>
        <ns0:v>35000</ns0:v>
      </ns0:c>
      <ns0:c r="M82" s="13">
        <ns0:f>Catalog_100!J28</ns0:f>
        <ns0:v>46304.0</ns0:v>
      </ns0:c>
      <ns0:c r="N82" s="13">
        <ns0:f>Catalog_100!K28</ns0:f>
        <ns0:v>46322.0</ns0:v>
      </ns0:c>
      <ns0:c r="O82" s="13">
        <ns0:f>Catalog_100!L28</ns0:f>
        <ns0:v>46324.0</ns0:v>
      </ns0:c>
      <ns0:c r="P82" s="13">
        <ns0:f>Catalog_100!M28</ns0:f>
        <ns0:v>46326.0</ns0:v>
      </ns0:c>
      <ns0:c r="Q82" s="11" t="inlineStr"/>
      <ns0:c r="R82" s="10" t="inlineStr"/>
      <ns0:c r="S82" s="11" t="inlineStr"/>
      <ns0:c r="T82" s="11" t="inlineStr"/>
      <ns0:c r="U82" s="11" t="inlineStr"/>
      <ns0:c r="V82" s="11" t="inlineStr">
        <ns0:is>
          <ns0:t>Neconfirmat</ns0:t>
        </ns0:is>
      </ns0:c>
      <ns0:c r="W82" s="11" t="inlineStr">
        <ns0:is>
          <ns0:t>Fără ediție finală confirmată</ns0:t>
        </ns0:is>
      </ns0:c>
      <ns0:c r="X82" s="7">
        <ns0:f>IF(AND(J82="Publicat",Q82&lt;&gt;"",ISNUMBER(R82),S82&lt;&gt;"",U82&lt;&gt;"",V82="Confirmat"),1,0)</ns0:f>
        <ns0:v>0</ns0:v>
      </ns0:c>
    </ns0:row>
    <ns0:row r="83" ht="46" customHeight="1">
      <ns0:c r="A83" s="7" t="inlineStr">
        <ns0:is>
          <ns0:t>DB-028-EN</ns0:t>
        </ns0:is>
      </ns0:c>
      <ns0:c r="B83" s="7" t="inlineStr">
        <ns0:is>
          <ns0:t>DB-028</ns0:t>
        </ns0:is>
      </ns0:c>
      <ns0:c r="C83" s="7" t="inlineStr">
        <ns0:is>
          <ns0:t>NOIR</ns0:t>
        </ns0:is>
      </ns0:c>
      <ns0:c r="D83" s="7" t="inlineStr">
        <ns0:is>
          <ns0:t>The Black Archive</ns0:t>
        </ns0:is>
      </ns0:c>
      <ns0:c r="E83" s="8" t="n">
        <ns0:v>8</ns0:v>
      </ns0:c>
      <ns0:c r="F83" s="7" t="inlineStr">
        <ns0:is>
          <ns0:t>The Seamstress of Midnight</ns0:t>
        </ns0:is>
      </ns0:c>
      <ns0:c r="G83" s="7" t="inlineStr">
        <ns0:is>
          <ns0:t>EN</ns0:t>
        </ns0:is>
      </ns0:c>
      <ns0:c r="H83" s="7" t="inlineStr">
        <ns0:is>
          <ns0:t>EN</ns0:t>
        </ns0:is>
      </ns0:c>
      <ns0:c r="I83" s="7" t="inlineStr">
        <ns0:is>
          <ns0:t>Scriere nouă</ns0:t>
        </ns0:is>
      </ns0:c>
      <ns0:c r="J83" s="11" t="inlineStr">
        <ns0:is>
          <ns0:t>Planificat</ns0:t>
        </ns0:is>
      </ns0:c>
      <ns0:c r="K83" s="11" t="inlineStr">
        <ns0:is>
          <ns0:t>De desemnat</ns0:t>
        </ns0:is>
      </ns0:c>
      <ns0:c r="L83" s="8">
        <ns0:f>Catalog_100!I29</ns0:f>
        <ns0:v>35000</ns0:v>
      </ns0:c>
      <ns0:c r="M83" s="13">
        <ns0:f>Catalog_100!J29</ns0:f>
        <ns0:v>46304.0</ns0:v>
      </ns0:c>
      <ns0:c r="N83" s="13">
        <ns0:f>Catalog_100!K29</ns0:f>
        <ns0:v>46322.0</ns0:v>
      </ns0:c>
      <ns0:c r="O83" s="13">
        <ns0:f>Catalog_100!L29</ns0:f>
        <ns0:v>46324.0</ns0:v>
      </ns0:c>
      <ns0:c r="P83" s="13">
        <ns0:f>Catalog_100!M29</ns0:f>
        <ns0:v>46326.0</ns0:v>
      </ns0:c>
      <ns0:c r="Q83" s="11" t="inlineStr"/>
      <ns0:c r="R83" s="10" t="inlineStr"/>
      <ns0:c r="S83" s="11" t="inlineStr"/>
      <ns0:c r="T83" s="11" t="inlineStr"/>
      <ns0:c r="U83" s="11" t="inlineStr"/>
      <ns0:c r="V83" s="11" t="inlineStr">
        <ns0:is>
          <ns0:t>Neconfirmat</ns0:t>
        </ns0:is>
      </ns0:c>
      <ns0:c r="W83" s="11" t="inlineStr">
        <ns0:is>
          <ns0:t>Fără ediție finală confirmată</ns0:t>
        </ns0:is>
      </ns0:c>
      <ns0:c r="X83" s="7">
        <ns0:f>IF(AND(J83="Publicat",Q83&lt;&gt;"",ISNUMBER(R83),S83&lt;&gt;"",U83&lt;&gt;"",V83="Confirmat"),1,0)</ns0:f>
        <ns0:v>0</ns0:v>
      </ns0:c>
    </ns0:row>
    <ns0:row r="84" ht="46" customHeight="1">
      <ns0:c r="A84" s="7" t="inlineStr">
        <ns0:is>
          <ns0:t>DB-028-RO</ns0:t>
        </ns0:is>
      </ns0:c>
      <ns0:c r="B84" s="7" t="inlineStr">
        <ns0:is>
          <ns0:t>DB-028</ns0:t>
        </ns0:is>
      </ns0:c>
      <ns0:c r="C84" s="7" t="inlineStr">
        <ns0:is>
          <ns0:t>NOIR</ns0:t>
        </ns0:is>
      </ns0:c>
      <ns0:c r="D84" s="7" t="inlineStr">
        <ns0:is>
          <ns0:t>The Black Archive</ns0:t>
        </ns0:is>
      </ns0:c>
      <ns0:c r="E84" s="8" t="n">
        <ns0:v>8</ns0:v>
      </ns0:c>
      <ns0:c r="F84" s="7" t="inlineStr">
        <ns0:is>
          <ns0:t>The Seamstress of Midnight</ns0:t>
        </ns0:is>
      </ns0:c>
      <ns0:c r="G84" s="7" t="inlineStr">
        <ns0:is>
          <ns0:t>RO</ns0:t>
        </ns0:is>
      </ns0:c>
      <ns0:c r="H84" s="7" t="inlineStr">
        <ns0:is>
          <ns0:t>EN</ns0:t>
        </ns0:is>
      </ns0:c>
      <ns0:c r="I84" s="7" t="inlineStr">
        <ns0:is>
          <ns0:t>Traducere EN→RO</ns0:t>
        </ns0:is>
      </ns0:c>
      <ns0:c r="J84" s="11" t="inlineStr">
        <ns0:is>
          <ns0:t>Planificat</ns0:t>
        </ns0:is>
      </ns0:c>
      <ns0:c r="K84" s="11" t="inlineStr">
        <ns0:is>
          <ns0:t>De desemnat</ns0:t>
        </ns0:is>
      </ns0:c>
      <ns0:c r="L84" s="8">
        <ns0:f>Catalog_100!I29</ns0:f>
        <ns0:v>35000</ns0:v>
      </ns0:c>
      <ns0:c r="M84" s="13">
        <ns0:f>Catalog_100!J29</ns0:f>
        <ns0:v>46304.0</ns0:v>
      </ns0:c>
      <ns0:c r="N84" s="13">
        <ns0:f>Catalog_100!K29</ns0:f>
        <ns0:v>46322.0</ns0:v>
      </ns0:c>
      <ns0:c r="O84" s="13">
        <ns0:f>Catalog_100!L29</ns0:f>
        <ns0:v>46324.0</ns0:v>
      </ns0:c>
      <ns0:c r="P84" s="13">
        <ns0:f>Catalog_100!M29</ns0:f>
        <ns0:v>46326.0</ns0:v>
      </ns0:c>
      <ns0:c r="Q84" s="11" t="inlineStr"/>
      <ns0:c r="R84" s="10" t="inlineStr"/>
      <ns0:c r="S84" s="11" t="inlineStr"/>
      <ns0:c r="T84" s="11" t="inlineStr"/>
      <ns0:c r="U84" s="11" t="inlineStr"/>
      <ns0:c r="V84" s="11" t="inlineStr">
        <ns0:is>
          <ns0:t>Neconfirmat</ns0:t>
        </ns0:is>
      </ns0:c>
      <ns0:c r="W84" s="11" t="inlineStr">
        <ns0:is>
          <ns0:t>Fără ediție finală confirmată</ns0:t>
        </ns0:is>
      </ns0:c>
      <ns0:c r="X84" s="7">
        <ns0:f>IF(AND(J84="Publicat",Q84&lt;&gt;"",ISNUMBER(R84),S84&lt;&gt;"",U84&lt;&gt;"",V84="Confirmat"),1,0)</ns0:f>
        <ns0:v>0</ns0:v>
      </ns0:c>
    </ns0:row>
    <ns0:row r="85" ht="46" customHeight="1">
      <ns0:c r="A85" s="7" t="inlineStr">
        <ns0:is>
          <ns0:t>DB-028-DE</ns0:t>
        </ns0:is>
      </ns0:c>
      <ns0:c r="B85" s="7" t="inlineStr">
        <ns0:is>
          <ns0:t>DB-028</ns0:t>
        </ns0:is>
      </ns0:c>
      <ns0:c r="C85" s="7" t="inlineStr">
        <ns0:is>
          <ns0:t>NOIR</ns0:t>
        </ns0:is>
      </ns0:c>
      <ns0:c r="D85" s="7" t="inlineStr">
        <ns0:is>
          <ns0:t>The Black Archive</ns0:t>
        </ns0:is>
      </ns0:c>
      <ns0:c r="E85" s="8" t="n">
        <ns0:v>8</ns0:v>
      </ns0:c>
      <ns0:c r="F85" s="7" t="inlineStr">
        <ns0:is>
          <ns0:t>The Seamstress of Midnight</ns0:t>
        </ns0:is>
      </ns0:c>
      <ns0:c r="G85" s="7" t="inlineStr">
        <ns0:is>
          <ns0:t>DE</ns0:t>
        </ns0:is>
      </ns0:c>
      <ns0:c r="H85" s="7" t="inlineStr">
        <ns0:is>
          <ns0:t>EN</ns0:t>
        </ns0:is>
      </ns0:c>
      <ns0:c r="I85" s="7" t="inlineStr">
        <ns0:is>
          <ns0:t>Traducere EN→DE</ns0:t>
        </ns0:is>
      </ns0:c>
      <ns0:c r="J85" s="11" t="inlineStr">
        <ns0:is>
          <ns0:t>Planificat</ns0:t>
        </ns0:is>
      </ns0:c>
      <ns0:c r="K85" s="11" t="inlineStr">
        <ns0:is>
          <ns0:t>De desemnat</ns0:t>
        </ns0:is>
      </ns0:c>
      <ns0:c r="L85" s="8">
        <ns0:f>Catalog_100!I29</ns0:f>
        <ns0:v>35000</ns0:v>
      </ns0:c>
      <ns0:c r="M85" s="13">
        <ns0:f>Catalog_100!J29</ns0:f>
        <ns0:v>46304.0</ns0:v>
      </ns0:c>
      <ns0:c r="N85" s="13">
        <ns0:f>Catalog_100!K29</ns0:f>
        <ns0:v>46322.0</ns0:v>
      </ns0:c>
      <ns0:c r="O85" s="13">
        <ns0:f>Catalog_100!L29</ns0:f>
        <ns0:v>46324.0</ns0:v>
      </ns0:c>
      <ns0:c r="P85" s="13">
        <ns0:f>Catalog_100!M29</ns0:f>
        <ns0:v>46326.0</ns0:v>
      </ns0:c>
      <ns0:c r="Q85" s="11" t="inlineStr"/>
      <ns0:c r="R85" s="10" t="inlineStr"/>
      <ns0:c r="S85" s="11" t="inlineStr"/>
      <ns0:c r="T85" s="11" t="inlineStr"/>
      <ns0:c r="U85" s="11" t="inlineStr"/>
      <ns0:c r="V85" s="11" t="inlineStr">
        <ns0:is>
          <ns0:t>Neconfirmat</ns0:t>
        </ns0:is>
      </ns0:c>
      <ns0:c r="W85" s="11" t="inlineStr">
        <ns0:is>
          <ns0:t>Fără ediție finală confirmată</ns0:t>
        </ns0:is>
      </ns0:c>
      <ns0:c r="X85" s="7">
        <ns0:f>IF(AND(J85="Publicat",Q85&lt;&gt;"",ISNUMBER(R85),S85&lt;&gt;"",U85&lt;&gt;"",V85="Confirmat"),1,0)</ns0:f>
        <ns0:v>0</ns0:v>
      </ns0:c>
    </ns0:row>
    <ns0:row r="86" ht="46" customHeight="1">
      <ns0:c r="A86" s="7" t="inlineStr">
        <ns0:is>
          <ns0:t>DB-029-EN</ns0:t>
        </ns0:is>
      </ns0:c>
      <ns0:c r="B86" s="7" t="inlineStr">
        <ns0:is>
          <ns0:t>DB-029</ns0:t>
        </ns0:is>
      </ns0:c>
      <ns0:c r="C86" s="7" t="inlineStr">
        <ns0:is>
          <ns0:t>NOIR</ns0:t>
        </ns0:is>
      </ns0:c>
      <ns0:c r="D86" s="7" t="inlineStr">
        <ns0:is>
          <ns0:t>The Black Archive</ns0:t>
        </ns0:is>
      </ns0:c>
      <ns0:c r="E86" s="8" t="n">
        <ns0:v>9</ns0:v>
      </ns0:c>
      <ns0:c r="F86" s="7" t="inlineStr">
        <ns0:is>
          <ns0:t>The Clock Beneath the Crypt</ns0:t>
        </ns0:is>
      </ns0:c>
      <ns0:c r="G86" s="7" t="inlineStr">
        <ns0:is>
          <ns0:t>EN</ns0:t>
        </ns0:is>
      </ns0:c>
      <ns0:c r="H86" s="7" t="inlineStr">
        <ns0:is>
          <ns0:t>EN</ns0:t>
        </ns0:is>
      </ns0:c>
      <ns0:c r="I86" s="7" t="inlineStr">
        <ns0:is>
          <ns0:t>Scriere nouă</ns0:t>
        </ns0:is>
      </ns0:c>
      <ns0:c r="J86" s="11" t="inlineStr">
        <ns0:is>
          <ns0:t>Planificat</ns0:t>
        </ns0:is>
      </ns0:c>
      <ns0:c r="K86" s="11" t="inlineStr">
        <ns0:is>
          <ns0:t>De desemnat</ns0:t>
        </ns0:is>
      </ns0:c>
      <ns0:c r="L86" s="8">
        <ns0:f>Catalog_100!I30</ns0:f>
        <ns0:v>35000</ns0:v>
      </ns0:c>
      <ns0:c r="M86" s="13">
        <ns0:f>Catalog_100!J30</ns0:f>
        <ns0:v>46304.0</ns0:v>
      </ns0:c>
      <ns0:c r="N86" s="13">
        <ns0:f>Catalog_100!K30</ns0:f>
        <ns0:v>46322.0</ns0:v>
      </ns0:c>
      <ns0:c r="O86" s="13">
        <ns0:f>Catalog_100!L30</ns0:f>
        <ns0:v>46324.0</ns0:v>
      </ns0:c>
      <ns0:c r="P86" s="13">
        <ns0:f>Catalog_100!M30</ns0:f>
        <ns0:v>46326.0</ns0:v>
      </ns0:c>
      <ns0:c r="Q86" s="11" t="inlineStr"/>
      <ns0:c r="R86" s="10" t="inlineStr"/>
      <ns0:c r="S86" s="11" t="inlineStr"/>
      <ns0:c r="T86" s="11" t="inlineStr"/>
      <ns0:c r="U86" s="11" t="inlineStr"/>
      <ns0:c r="V86" s="11" t="inlineStr">
        <ns0:is>
          <ns0:t>Neconfirmat</ns0:t>
        </ns0:is>
      </ns0:c>
      <ns0:c r="W86" s="11" t="inlineStr">
        <ns0:is>
          <ns0:t>Fără ediție finală confirmată</ns0:t>
        </ns0:is>
      </ns0:c>
      <ns0:c r="X86" s="7">
        <ns0:f>IF(AND(J86="Publicat",Q86&lt;&gt;"",ISNUMBER(R86),S86&lt;&gt;"",U86&lt;&gt;"",V86="Confirmat"),1,0)</ns0:f>
        <ns0:v>0</ns0:v>
      </ns0:c>
    </ns0:row>
    <ns0:row r="87" ht="46" customHeight="1">
      <ns0:c r="A87" s="7" t="inlineStr">
        <ns0:is>
          <ns0:t>DB-029-RO</ns0:t>
        </ns0:is>
      </ns0:c>
      <ns0:c r="B87" s="7" t="inlineStr">
        <ns0:is>
          <ns0:t>DB-029</ns0:t>
        </ns0:is>
      </ns0:c>
      <ns0:c r="C87" s="7" t="inlineStr">
        <ns0:is>
          <ns0:t>NOIR</ns0:t>
        </ns0:is>
      </ns0:c>
      <ns0:c r="D87" s="7" t="inlineStr">
        <ns0:is>
          <ns0:t>The Black Archive</ns0:t>
        </ns0:is>
      </ns0:c>
      <ns0:c r="E87" s="8" t="n">
        <ns0:v>9</ns0:v>
      </ns0:c>
      <ns0:c r="F87" s="7" t="inlineStr">
        <ns0:is>
          <ns0:t>The Clock Beneath the Crypt</ns0:t>
        </ns0:is>
      </ns0:c>
      <ns0:c r="G87" s="7" t="inlineStr">
        <ns0:is>
          <ns0:t>RO</ns0:t>
        </ns0:is>
      </ns0:c>
      <ns0:c r="H87" s="7" t="inlineStr">
        <ns0:is>
          <ns0:t>EN</ns0:t>
        </ns0:is>
      </ns0:c>
      <ns0:c r="I87" s="7" t="inlineStr">
        <ns0:is>
          <ns0:t>Traducere EN→RO</ns0:t>
        </ns0:is>
      </ns0:c>
      <ns0:c r="J87" s="11" t="inlineStr">
        <ns0:is>
          <ns0:t>Planificat</ns0:t>
        </ns0:is>
      </ns0:c>
      <ns0:c r="K87" s="11" t="inlineStr">
        <ns0:is>
          <ns0:t>De desemnat</ns0:t>
        </ns0:is>
      </ns0:c>
      <ns0:c r="L87" s="8">
        <ns0:f>Catalog_100!I30</ns0:f>
        <ns0:v>35000</ns0:v>
      </ns0:c>
      <ns0:c r="M87" s="13">
        <ns0:f>Catalog_100!J30</ns0:f>
        <ns0:v>46304.0</ns0:v>
      </ns0:c>
      <ns0:c r="N87" s="13">
        <ns0:f>Catalog_100!K30</ns0:f>
        <ns0:v>46322.0</ns0:v>
      </ns0:c>
      <ns0:c r="O87" s="13">
        <ns0:f>Catalog_100!L30</ns0:f>
        <ns0:v>46324.0</ns0:v>
      </ns0:c>
      <ns0:c r="P87" s="13">
        <ns0:f>Catalog_100!M30</ns0:f>
        <ns0:v>46326.0</ns0:v>
      </ns0:c>
      <ns0:c r="Q87" s="11" t="inlineStr"/>
      <ns0:c r="R87" s="10" t="inlineStr"/>
      <ns0:c r="S87" s="11" t="inlineStr"/>
      <ns0:c r="T87" s="11" t="inlineStr"/>
      <ns0:c r="U87" s="11" t="inlineStr"/>
      <ns0:c r="V87" s="11" t="inlineStr">
        <ns0:is>
          <ns0:t>Neconfirmat</ns0:t>
        </ns0:is>
      </ns0:c>
      <ns0:c r="W87" s="11" t="inlineStr">
        <ns0:is>
          <ns0:t>Fără ediție finală confirmată</ns0:t>
        </ns0:is>
      </ns0:c>
      <ns0:c r="X87" s="7">
        <ns0:f>IF(AND(J87="Publicat",Q87&lt;&gt;"",ISNUMBER(R87),S87&lt;&gt;"",U87&lt;&gt;"",V87="Confirmat"),1,0)</ns0:f>
        <ns0:v>0</ns0:v>
      </ns0:c>
    </ns0:row>
    <ns0:row r="88" ht="46" customHeight="1">
      <ns0:c r="A88" s="7" t="inlineStr">
        <ns0:is>
          <ns0:t>DB-029-DE</ns0:t>
        </ns0:is>
      </ns0:c>
      <ns0:c r="B88" s="7" t="inlineStr">
        <ns0:is>
          <ns0:t>DB-029</ns0:t>
        </ns0:is>
      </ns0:c>
      <ns0:c r="C88" s="7" t="inlineStr">
        <ns0:is>
          <ns0:t>NOIR</ns0:t>
        </ns0:is>
      </ns0:c>
      <ns0:c r="D88" s="7" t="inlineStr">
        <ns0:is>
          <ns0:t>The Black Archive</ns0:t>
        </ns0:is>
      </ns0:c>
      <ns0:c r="E88" s="8" t="n">
        <ns0:v>9</ns0:v>
      </ns0:c>
      <ns0:c r="F88" s="7" t="inlineStr">
        <ns0:is>
          <ns0:t>The Clock Beneath the Crypt</ns0:t>
        </ns0:is>
      </ns0:c>
      <ns0:c r="G88" s="7" t="inlineStr">
        <ns0:is>
          <ns0:t>DE</ns0:t>
        </ns0:is>
      </ns0:c>
      <ns0:c r="H88" s="7" t="inlineStr">
        <ns0:is>
          <ns0:t>EN</ns0:t>
        </ns0:is>
      </ns0:c>
      <ns0:c r="I88" s="7" t="inlineStr">
        <ns0:is>
          <ns0:t>Traducere EN→DE</ns0:t>
        </ns0:is>
      </ns0:c>
      <ns0:c r="J88" s="11" t="inlineStr">
        <ns0:is>
          <ns0:t>Planificat</ns0:t>
        </ns0:is>
      </ns0:c>
      <ns0:c r="K88" s="11" t="inlineStr">
        <ns0:is>
          <ns0:t>De desemnat</ns0:t>
        </ns0:is>
      </ns0:c>
      <ns0:c r="L88" s="8">
        <ns0:f>Catalog_100!I30</ns0:f>
        <ns0:v>35000</ns0:v>
      </ns0:c>
      <ns0:c r="M88" s="13">
        <ns0:f>Catalog_100!J30</ns0:f>
        <ns0:v>46304.0</ns0:v>
      </ns0:c>
      <ns0:c r="N88" s="13">
        <ns0:f>Catalog_100!K30</ns0:f>
        <ns0:v>46322.0</ns0:v>
      </ns0:c>
      <ns0:c r="O88" s="13">
        <ns0:f>Catalog_100!L30</ns0:f>
        <ns0:v>46324.0</ns0:v>
      </ns0:c>
      <ns0:c r="P88" s="13">
        <ns0:f>Catalog_100!M30</ns0:f>
        <ns0:v>46326.0</ns0:v>
      </ns0:c>
      <ns0:c r="Q88" s="11" t="inlineStr"/>
      <ns0:c r="R88" s="10" t="inlineStr"/>
      <ns0:c r="S88" s="11" t="inlineStr"/>
      <ns0:c r="T88" s="11" t="inlineStr"/>
      <ns0:c r="U88" s="11" t="inlineStr"/>
      <ns0:c r="V88" s="11" t="inlineStr">
        <ns0:is>
          <ns0:t>Neconfirmat</ns0:t>
        </ns0:is>
      </ns0:c>
      <ns0:c r="W88" s="11" t="inlineStr">
        <ns0:is>
          <ns0:t>Fără ediție finală confirmată</ns0:t>
        </ns0:is>
      </ns0:c>
      <ns0:c r="X88" s="7">
        <ns0:f>IF(AND(J88="Publicat",Q88&lt;&gt;"",ISNUMBER(R88),S88&lt;&gt;"",U88&lt;&gt;"",V88="Confirmat"),1,0)</ns0:f>
        <ns0:v>0</ns0:v>
      </ns0:c>
    </ns0:row>
    <ns0:row r="89" ht="46" customHeight="1">
      <ns0:c r="A89" s="7" t="inlineStr">
        <ns0:is>
          <ns0:t>DB-030-EN</ns0:t>
        </ns0:is>
      </ns0:c>
      <ns0:c r="B89" s="7" t="inlineStr">
        <ns0:is>
          <ns0:t>DB-030</ns0:t>
        </ns0:is>
      </ns0:c>
      <ns0:c r="C89" s="7" t="inlineStr">
        <ns0:is>
          <ns0:t>NOIR</ns0:t>
        </ns0:is>
      </ns0:c>
      <ns0:c r="D89" s="7" t="inlineStr">
        <ns0:is>
          <ns0:t>The Black Archive</ns0:t>
        </ns0:is>
      </ns0:c>
      <ns0:c r="E89" s="8" t="n">
        <ns0:v>10</ns0:v>
      </ns0:c>
      <ns0:c r="F89" s="7" t="inlineStr">
        <ns0:is>
          <ns0:t>The Keeper of the Final Page</ns0:t>
        </ns0:is>
      </ns0:c>
      <ns0:c r="G89" s="7" t="inlineStr">
        <ns0:is>
          <ns0:t>EN</ns0:t>
        </ns0:is>
      </ns0:c>
      <ns0:c r="H89" s="7" t="inlineStr">
        <ns0:is>
          <ns0:t>EN</ns0:t>
        </ns0:is>
      </ns0:c>
      <ns0:c r="I89" s="7" t="inlineStr">
        <ns0:is>
          <ns0:t>Scriere nouă</ns0:t>
        </ns0:is>
      </ns0:c>
      <ns0:c r="J89" s="11" t="inlineStr">
        <ns0:is>
          <ns0:t>Planificat</ns0:t>
        </ns0:is>
      </ns0:c>
      <ns0:c r="K89" s="11" t="inlineStr">
        <ns0:is>
          <ns0:t>De desemnat</ns0:t>
        </ns0:is>
      </ns0:c>
      <ns0:c r="L89" s="8">
        <ns0:f>Catalog_100!I31</ns0:f>
        <ns0:v>35000</ns0:v>
      </ns0:c>
      <ns0:c r="M89" s="13">
        <ns0:f>Catalog_100!J31</ns0:f>
        <ns0:v>46304.0</ns0:v>
      </ns0:c>
      <ns0:c r="N89" s="13">
        <ns0:f>Catalog_100!K31</ns0:f>
        <ns0:v>46322.0</ns0:v>
      </ns0:c>
      <ns0:c r="O89" s="13">
        <ns0:f>Catalog_100!L31</ns0:f>
        <ns0:v>46324.0</ns0:v>
      </ns0:c>
      <ns0:c r="P89" s="13">
        <ns0:f>Catalog_100!M31</ns0:f>
        <ns0:v>46326.0</ns0:v>
      </ns0:c>
      <ns0:c r="Q89" s="11" t="inlineStr"/>
      <ns0:c r="R89" s="10" t="inlineStr"/>
      <ns0:c r="S89" s="11" t="inlineStr"/>
      <ns0:c r="T89" s="11" t="inlineStr"/>
      <ns0:c r="U89" s="11" t="inlineStr"/>
      <ns0:c r="V89" s="11" t="inlineStr">
        <ns0:is>
          <ns0:t>Neconfirmat</ns0:t>
        </ns0:is>
      </ns0:c>
      <ns0:c r="W89" s="11" t="inlineStr">
        <ns0:is>
          <ns0:t>Fără ediție finală confirmată</ns0:t>
        </ns0:is>
      </ns0:c>
      <ns0:c r="X89" s="7">
        <ns0:f>IF(AND(J89="Publicat",Q89&lt;&gt;"",ISNUMBER(R89),S89&lt;&gt;"",U89&lt;&gt;"",V89="Confirmat"),1,0)</ns0:f>
        <ns0:v>0</ns0:v>
      </ns0:c>
    </ns0:row>
    <ns0:row r="90" ht="46" customHeight="1">
      <ns0:c r="A90" s="7" t="inlineStr">
        <ns0:is>
          <ns0:t>DB-030-RO</ns0:t>
        </ns0:is>
      </ns0:c>
      <ns0:c r="B90" s="7" t="inlineStr">
        <ns0:is>
          <ns0:t>DB-030</ns0:t>
        </ns0:is>
      </ns0:c>
      <ns0:c r="C90" s="7" t="inlineStr">
        <ns0:is>
          <ns0:t>NOIR</ns0:t>
        </ns0:is>
      </ns0:c>
      <ns0:c r="D90" s="7" t="inlineStr">
        <ns0:is>
          <ns0:t>The Black Archive</ns0:t>
        </ns0:is>
      </ns0:c>
      <ns0:c r="E90" s="8" t="n">
        <ns0:v>10</ns0:v>
      </ns0:c>
      <ns0:c r="F90" s="7" t="inlineStr">
        <ns0:is>
          <ns0:t>The Keeper of the Final Page</ns0:t>
        </ns0:is>
      </ns0:c>
      <ns0:c r="G90" s="7" t="inlineStr">
        <ns0:is>
          <ns0:t>RO</ns0:t>
        </ns0:is>
      </ns0:c>
      <ns0:c r="H90" s="7" t="inlineStr">
        <ns0:is>
          <ns0:t>EN</ns0:t>
        </ns0:is>
      </ns0:c>
      <ns0:c r="I90" s="7" t="inlineStr">
        <ns0:is>
          <ns0:t>Traducere EN→RO</ns0:t>
        </ns0:is>
      </ns0:c>
      <ns0:c r="J90" s="11" t="inlineStr">
        <ns0:is>
          <ns0:t>Planificat</ns0:t>
        </ns0:is>
      </ns0:c>
      <ns0:c r="K90" s="11" t="inlineStr">
        <ns0:is>
          <ns0:t>De desemnat</ns0:t>
        </ns0:is>
      </ns0:c>
      <ns0:c r="L90" s="8">
        <ns0:f>Catalog_100!I31</ns0:f>
        <ns0:v>35000</ns0:v>
      </ns0:c>
      <ns0:c r="M90" s="13">
        <ns0:f>Catalog_100!J31</ns0:f>
        <ns0:v>46304.0</ns0:v>
      </ns0:c>
      <ns0:c r="N90" s="13">
        <ns0:f>Catalog_100!K31</ns0:f>
        <ns0:v>46322.0</ns0:v>
      </ns0:c>
      <ns0:c r="O90" s="13">
        <ns0:f>Catalog_100!L31</ns0:f>
        <ns0:v>46324.0</ns0:v>
      </ns0:c>
      <ns0:c r="P90" s="13">
        <ns0:f>Catalog_100!M31</ns0:f>
        <ns0:v>46326.0</ns0:v>
      </ns0:c>
      <ns0:c r="Q90" s="11" t="inlineStr"/>
      <ns0:c r="R90" s="10" t="inlineStr"/>
      <ns0:c r="S90" s="11" t="inlineStr"/>
      <ns0:c r="T90" s="11" t="inlineStr"/>
      <ns0:c r="U90" s="11" t="inlineStr"/>
      <ns0:c r="V90" s="11" t="inlineStr">
        <ns0:is>
          <ns0:t>Neconfirmat</ns0:t>
        </ns0:is>
      </ns0:c>
      <ns0:c r="W90" s="11" t="inlineStr">
        <ns0:is>
          <ns0:t>Fără ediție finală confirmată</ns0:t>
        </ns0:is>
      </ns0:c>
      <ns0:c r="X90" s="7">
        <ns0:f>IF(AND(J90="Publicat",Q90&lt;&gt;"",ISNUMBER(R90),S90&lt;&gt;"",U90&lt;&gt;"",V90="Confirmat"),1,0)</ns0:f>
        <ns0:v>0</ns0:v>
      </ns0:c>
    </ns0:row>
    <ns0:row r="91" ht="46" customHeight="1">
      <ns0:c r="A91" s="7" t="inlineStr">
        <ns0:is>
          <ns0:t>DB-030-DE</ns0:t>
        </ns0:is>
      </ns0:c>
      <ns0:c r="B91" s="7" t="inlineStr">
        <ns0:is>
          <ns0:t>DB-030</ns0:t>
        </ns0:is>
      </ns0:c>
      <ns0:c r="C91" s="7" t="inlineStr">
        <ns0:is>
          <ns0:t>NOIR</ns0:t>
        </ns0:is>
      </ns0:c>
      <ns0:c r="D91" s="7" t="inlineStr">
        <ns0:is>
          <ns0:t>The Black Archive</ns0:t>
        </ns0:is>
      </ns0:c>
      <ns0:c r="E91" s="8" t="n">
        <ns0:v>10</ns0:v>
      </ns0:c>
      <ns0:c r="F91" s="7" t="inlineStr">
        <ns0:is>
          <ns0:t>The Keeper of the Final Page</ns0:t>
        </ns0:is>
      </ns0:c>
      <ns0:c r="G91" s="7" t="inlineStr">
        <ns0:is>
          <ns0:t>DE</ns0:t>
        </ns0:is>
      </ns0:c>
      <ns0:c r="H91" s="7" t="inlineStr">
        <ns0:is>
          <ns0:t>EN</ns0:t>
        </ns0:is>
      </ns0:c>
      <ns0:c r="I91" s="7" t="inlineStr">
        <ns0:is>
          <ns0:t>Traducere EN→DE</ns0:t>
        </ns0:is>
      </ns0:c>
      <ns0:c r="J91" s="11" t="inlineStr">
        <ns0:is>
          <ns0:t>Planificat</ns0:t>
        </ns0:is>
      </ns0:c>
      <ns0:c r="K91" s="11" t="inlineStr">
        <ns0:is>
          <ns0:t>De desemnat</ns0:t>
        </ns0:is>
      </ns0:c>
      <ns0:c r="L91" s="8">
        <ns0:f>Catalog_100!I31</ns0:f>
        <ns0:v>35000</ns0:v>
      </ns0:c>
      <ns0:c r="M91" s="13">
        <ns0:f>Catalog_100!J31</ns0:f>
        <ns0:v>46304.0</ns0:v>
      </ns0:c>
      <ns0:c r="N91" s="13">
        <ns0:f>Catalog_100!K31</ns0:f>
        <ns0:v>46322.0</ns0:v>
      </ns0:c>
      <ns0:c r="O91" s="13">
        <ns0:f>Catalog_100!L31</ns0:f>
        <ns0:v>46324.0</ns0:v>
      </ns0:c>
      <ns0:c r="P91" s="13">
        <ns0:f>Catalog_100!M31</ns0:f>
        <ns0:v>46326.0</ns0:v>
      </ns0:c>
      <ns0:c r="Q91" s="11" t="inlineStr"/>
      <ns0:c r="R91" s="10" t="inlineStr"/>
      <ns0:c r="S91" s="11" t="inlineStr"/>
      <ns0:c r="T91" s="11" t="inlineStr"/>
      <ns0:c r="U91" s="11" t="inlineStr"/>
      <ns0:c r="V91" s="11" t="inlineStr">
        <ns0:is>
          <ns0:t>Neconfirmat</ns0:t>
        </ns0:is>
      </ns0:c>
      <ns0:c r="W91" s="11" t="inlineStr">
        <ns0:is>
          <ns0:t>Fără ediție finală confirmată</ns0:t>
        </ns0:is>
      </ns0:c>
      <ns0:c r="X91" s="7">
        <ns0:f>IF(AND(J91="Publicat",Q91&lt;&gt;"",ISNUMBER(R91),S91&lt;&gt;"",U91&lt;&gt;"",V91="Confirmat"),1,0)</ns0:f>
        <ns0:v>0</ns0:v>
      </ns0:c>
    </ns0:row>
    <ns0:row r="92" ht="46" customHeight="1">
      <ns0:c r="A92" s="7" t="inlineStr">
        <ns0:is>
          <ns0:t>DB-031-EN</ns0:t>
        </ns0:is>
      </ns0:c>
      <ns0:c r="B92" s="7" t="inlineStr">
        <ns0:is>
          <ns0:t>DB-031</ns0:t>
        </ns0:is>
      </ns0:c>
      <ns0:c r="C92" s="7" t="inlineStr">
        <ns0:is>
          <ns0:t>NOIR</ns0:t>
        </ns0:is>
      </ns0:c>
      <ns0:c r="D92" s="7" t="inlineStr">
        <ns0:is>
          <ns0:t>The Borderland Files</ns0:t>
        </ns0:is>
      </ns0:c>
      <ns0:c r="E92" s="8" t="n">
        <ns0:v>1</ns0:v>
      </ns0:c>
      <ns0:c r="F92" s="7" t="inlineStr">
        <ns0:is>
          <ns0:t>The Border Inn</ns0:t>
        </ns0:is>
      </ns0:c>
      <ns0:c r="G92" s="7" t="inlineStr">
        <ns0:is>
          <ns0:t>EN</ns0:t>
        </ns0:is>
      </ns0:c>
      <ns0:c r="H92" s="7" t="inlineStr">
        <ns0:is>
          <ns0:t>EN</ns0:t>
        </ns0:is>
      </ns0:c>
      <ns0:c r="I92" s="7" t="inlineStr">
        <ns0:is>
          <ns0:t>Scriere nouă</ns0:t>
        </ns0:is>
      </ns0:c>
      <ns0:c r="J92" s="11" t="inlineStr">
        <ns0:is>
          <ns0:t>Planificat</ns0:t>
        </ns0:is>
      </ns0:c>
      <ns0:c r="K92" s="11" t="inlineStr">
        <ns0:is>
          <ns0:t>De desemnat</ns0:t>
        </ns0:is>
      </ns0:c>
      <ns0:c r="L92" s="8">
        <ns0:f>Catalog_100!I32</ns0:f>
        <ns0:v>35000</ns0:v>
      </ns0:c>
      <ns0:c r="M92" s="13">
        <ns0:f>Catalog_100!J32</ns0:f>
        <ns0:v>46304.0</ns0:v>
      </ns0:c>
      <ns0:c r="N92" s="13">
        <ns0:f>Catalog_100!K32</ns0:f>
        <ns0:v>46322.0</ns0:v>
      </ns0:c>
      <ns0:c r="O92" s="13">
        <ns0:f>Catalog_100!L32</ns0:f>
        <ns0:v>46324.0</ns0:v>
      </ns0:c>
      <ns0:c r="P92" s="13">
        <ns0:f>Catalog_100!M32</ns0:f>
        <ns0:v>46326.0</ns0:v>
      </ns0:c>
      <ns0:c r="Q92" s="11" t="inlineStr"/>
      <ns0:c r="R92" s="10" t="inlineStr"/>
      <ns0:c r="S92" s="11" t="inlineStr"/>
      <ns0:c r="T92" s="11" t="inlineStr"/>
      <ns0:c r="U92" s="11" t="inlineStr"/>
      <ns0:c r="V92" s="11" t="inlineStr">
        <ns0:is>
          <ns0:t>Neconfirmat</ns0:t>
        </ns0:is>
      </ns0:c>
      <ns0:c r="W92" s="11" t="inlineStr">
        <ns0:is>
          <ns0:t>Fără ediție finală confirmată</ns0:t>
        </ns0:is>
      </ns0:c>
      <ns0:c r="X92" s="7">
        <ns0:f>IF(AND(J92="Publicat",Q92&lt;&gt;"",ISNUMBER(R92),S92&lt;&gt;"",U92&lt;&gt;"",V92="Confirmat"),1,0)</ns0:f>
        <ns0:v>0</ns0:v>
      </ns0:c>
    </ns0:row>
    <ns0:row r="93" ht="46" customHeight="1">
      <ns0:c r="A93" s="7" t="inlineStr">
        <ns0:is>
          <ns0:t>DB-031-RO</ns0:t>
        </ns0:is>
      </ns0:c>
      <ns0:c r="B93" s="7" t="inlineStr">
        <ns0:is>
          <ns0:t>DB-031</ns0:t>
        </ns0:is>
      </ns0:c>
      <ns0:c r="C93" s="7" t="inlineStr">
        <ns0:is>
          <ns0:t>NOIR</ns0:t>
        </ns0:is>
      </ns0:c>
      <ns0:c r="D93" s="7" t="inlineStr">
        <ns0:is>
          <ns0:t>The Borderland Files</ns0:t>
        </ns0:is>
      </ns0:c>
      <ns0:c r="E93" s="8" t="n">
        <ns0:v>1</ns0:v>
      </ns0:c>
      <ns0:c r="F93" s="7" t="inlineStr">
        <ns0:is>
          <ns0:t>The Border Inn</ns0:t>
        </ns0:is>
      </ns0:c>
      <ns0:c r="G93" s="7" t="inlineStr">
        <ns0:is>
          <ns0:t>RO</ns0:t>
        </ns0:is>
      </ns0:c>
      <ns0:c r="H93" s="7" t="inlineStr">
        <ns0:is>
          <ns0:t>EN</ns0:t>
        </ns0:is>
      </ns0:c>
      <ns0:c r="I93" s="7" t="inlineStr">
        <ns0:is>
          <ns0:t>Traducere EN→RO</ns0:t>
        </ns0:is>
      </ns0:c>
      <ns0:c r="J93" s="11" t="inlineStr">
        <ns0:is>
          <ns0:t>Planificat</ns0:t>
        </ns0:is>
      </ns0:c>
      <ns0:c r="K93" s="11" t="inlineStr">
        <ns0:is>
          <ns0:t>De desemnat</ns0:t>
        </ns0:is>
      </ns0:c>
      <ns0:c r="L93" s="8">
        <ns0:f>Catalog_100!I32</ns0:f>
        <ns0:v>35000</ns0:v>
      </ns0:c>
      <ns0:c r="M93" s="13">
        <ns0:f>Catalog_100!J32</ns0:f>
        <ns0:v>46304.0</ns0:v>
      </ns0:c>
      <ns0:c r="N93" s="13">
        <ns0:f>Catalog_100!K32</ns0:f>
        <ns0:v>46322.0</ns0:v>
      </ns0:c>
      <ns0:c r="O93" s="13">
        <ns0:f>Catalog_100!L32</ns0:f>
        <ns0:v>46324.0</ns0:v>
      </ns0:c>
      <ns0:c r="P93" s="13">
        <ns0:f>Catalog_100!M32</ns0:f>
        <ns0:v>46326.0</ns0:v>
      </ns0:c>
      <ns0:c r="Q93" s="11" t="inlineStr"/>
      <ns0:c r="R93" s="10" t="inlineStr"/>
      <ns0:c r="S93" s="11" t="inlineStr"/>
      <ns0:c r="T93" s="11" t="inlineStr"/>
      <ns0:c r="U93" s="11" t="inlineStr"/>
      <ns0:c r="V93" s="11" t="inlineStr">
        <ns0:is>
          <ns0:t>Neconfirmat</ns0:t>
        </ns0:is>
      </ns0:c>
      <ns0:c r="W93" s="11" t="inlineStr">
        <ns0:is>
          <ns0:t>Fără ediție finală confirmată</ns0:t>
        </ns0:is>
      </ns0:c>
      <ns0:c r="X93" s="7">
        <ns0:f>IF(AND(J93="Publicat",Q93&lt;&gt;"",ISNUMBER(R93),S93&lt;&gt;"",U93&lt;&gt;"",V93="Confirmat"),1,0)</ns0:f>
        <ns0:v>0</ns0:v>
      </ns0:c>
    </ns0:row>
    <ns0:row r="94" ht="46" customHeight="1">
      <ns0:c r="A94" s="7" t="inlineStr">
        <ns0:is>
          <ns0:t>DB-031-DE</ns0:t>
        </ns0:is>
      </ns0:c>
      <ns0:c r="B94" s="7" t="inlineStr">
        <ns0:is>
          <ns0:t>DB-031</ns0:t>
        </ns0:is>
      </ns0:c>
      <ns0:c r="C94" s="7" t="inlineStr">
        <ns0:is>
          <ns0:t>NOIR</ns0:t>
        </ns0:is>
      </ns0:c>
      <ns0:c r="D94" s="7" t="inlineStr">
        <ns0:is>
          <ns0:t>The Borderland Files</ns0:t>
        </ns0:is>
      </ns0:c>
      <ns0:c r="E94" s="8" t="n">
        <ns0:v>1</ns0:v>
      </ns0:c>
      <ns0:c r="F94" s="7" t="inlineStr">
        <ns0:is>
          <ns0:t>The Border Inn</ns0:t>
        </ns0:is>
      </ns0:c>
      <ns0:c r="G94" s="7" t="inlineStr">
        <ns0:is>
          <ns0:t>DE</ns0:t>
        </ns0:is>
      </ns0:c>
      <ns0:c r="H94" s="7" t="inlineStr">
        <ns0:is>
          <ns0:t>EN</ns0:t>
        </ns0:is>
      </ns0:c>
      <ns0:c r="I94" s="7" t="inlineStr">
        <ns0:is>
          <ns0:t>Traducere EN→DE</ns0:t>
        </ns0:is>
      </ns0:c>
      <ns0:c r="J94" s="11" t="inlineStr">
        <ns0:is>
          <ns0:t>Planificat</ns0:t>
        </ns0:is>
      </ns0:c>
      <ns0:c r="K94" s="11" t="inlineStr">
        <ns0:is>
          <ns0:t>De desemnat</ns0:t>
        </ns0:is>
      </ns0:c>
      <ns0:c r="L94" s="8">
        <ns0:f>Catalog_100!I32</ns0:f>
        <ns0:v>35000</ns0:v>
      </ns0:c>
      <ns0:c r="M94" s="13">
        <ns0:f>Catalog_100!J32</ns0:f>
        <ns0:v>46304.0</ns0:v>
      </ns0:c>
      <ns0:c r="N94" s="13">
        <ns0:f>Catalog_100!K32</ns0:f>
        <ns0:v>46322.0</ns0:v>
      </ns0:c>
      <ns0:c r="O94" s="13">
        <ns0:f>Catalog_100!L32</ns0:f>
        <ns0:v>46324.0</ns0:v>
      </ns0:c>
      <ns0:c r="P94" s="13">
        <ns0:f>Catalog_100!M32</ns0:f>
        <ns0:v>46326.0</ns0:v>
      </ns0:c>
      <ns0:c r="Q94" s="11" t="inlineStr"/>
      <ns0:c r="R94" s="10" t="inlineStr"/>
      <ns0:c r="S94" s="11" t="inlineStr"/>
      <ns0:c r="T94" s="11" t="inlineStr"/>
      <ns0:c r="U94" s="11" t="inlineStr"/>
      <ns0:c r="V94" s="11" t="inlineStr">
        <ns0:is>
          <ns0:t>Neconfirmat</ns0:t>
        </ns0:is>
      </ns0:c>
      <ns0:c r="W94" s="11" t="inlineStr">
        <ns0:is>
          <ns0:t>Fără ediție finală confirmată</ns0:t>
        </ns0:is>
      </ns0:c>
      <ns0:c r="X94" s="7">
        <ns0:f>IF(AND(J94="Publicat",Q94&lt;&gt;"",ISNUMBER(R94),S94&lt;&gt;"",U94&lt;&gt;"",V94="Confirmat"),1,0)</ns0:f>
        <ns0:v>0</ns0:v>
      </ns0:c>
    </ns0:row>
    <ns0:row r="95" ht="46" customHeight="1">
      <ns0:c r="A95" s="7" t="inlineStr">
        <ns0:is>
          <ns0:t>DB-032-EN</ns0:t>
        </ns0:is>
      </ns0:c>
      <ns0:c r="B95" s="7" t="inlineStr">
        <ns0:is>
          <ns0:t>DB-032</ns0:t>
        </ns0:is>
      </ns0:c>
      <ns0:c r="C95" s="7" t="inlineStr">
        <ns0:is>
          <ns0:t>NOIR</ns0:t>
        </ns0:is>
      </ns0:c>
      <ns0:c r="D95" s="7" t="inlineStr">
        <ns0:is>
          <ns0:t>The Borderland Files</ns0:t>
        </ns0:is>
      </ns0:c>
      <ns0:c r="E95" s="8" t="n">
        <ns0:v>2</ns0:v>
      </ns0:c>
      <ns0:c r="F95" s="7" t="inlineStr">
        <ns0:is>
          <ns0:t>The Ferryman's Receipt</ns0:t>
        </ns0:is>
      </ns0:c>
      <ns0:c r="G95" s="7" t="inlineStr">
        <ns0:is>
          <ns0:t>EN</ns0:t>
        </ns0:is>
      </ns0:c>
      <ns0:c r="H95" s="7" t="inlineStr">
        <ns0:is>
          <ns0:t>EN</ns0:t>
        </ns0:is>
      </ns0:c>
      <ns0:c r="I95" s="7" t="inlineStr">
        <ns0:is>
          <ns0:t>Scriere nouă</ns0:t>
        </ns0:is>
      </ns0:c>
      <ns0:c r="J95" s="11" t="inlineStr">
        <ns0:is>
          <ns0:t>Planificat</ns0:t>
        </ns0:is>
      </ns0:c>
      <ns0:c r="K95" s="11" t="inlineStr">
        <ns0:is>
          <ns0:t>De desemnat</ns0:t>
        </ns0:is>
      </ns0:c>
      <ns0:c r="L95" s="8">
        <ns0:f>Catalog_100!I33</ns0:f>
        <ns0:v>35000</ns0:v>
      </ns0:c>
      <ns0:c r="M95" s="13">
        <ns0:f>Catalog_100!J33</ns0:f>
        <ns0:v>46304.0</ns0:v>
      </ns0:c>
      <ns0:c r="N95" s="13">
        <ns0:f>Catalog_100!K33</ns0:f>
        <ns0:v>46322.0</ns0:v>
      </ns0:c>
      <ns0:c r="O95" s="13">
        <ns0:f>Catalog_100!L33</ns0:f>
        <ns0:v>46324.0</ns0:v>
      </ns0:c>
      <ns0:c r="P95" s="13">
        <ns0:f>Catalog_100!M33</ns0:f>
        <ns0:v>46326.0</ns0:v>
      </ns0:c>
      <ns0:c r="Q95" s="11" t="inlineStr"/>
      <ns0:c r="R95" s="10" t="inlineStr"/>
      <ns0:c r="S95" s="11" t="inlineStr"/>
      <ns0:c r="T95" s="11" t="inlineStr"/>
      <ns0:c r="U95" s="11" t="inlineStr"/>
      <ns0:c r="V95" s="11" t="inlineStr">
        <ns0:is>
          <ns0:t>Neconfirmat</ns0:t>
        </ns0:is>
      </ns0:c>
      <ns0:c r="W95" s="11" t="inlineStr">
        <ns0:is>
          <ns0:t>Fără ediție finală confirmată</ns0:t>
        </ns0:is>
      </ns0:c>
      <ns0:c r="X95" s="7">
        <ns0:f>IF(AND(J95="Publicat",Q95&lt;&gt;"",ISNUMBER(R95),S95&lt;&gt;"",U95&lt;&gt;"",V95="Confirmat"),1,0)</ns0:f>
        <ns0:v>0</ns0:v>
      </ns0:c>
    </ns0:row>
    <ns0:row r="96" ht="46" customHeight="1">
      <ns0:c r="A96" s="7" t="inlineStr">
        <ns0:is>
          <ns0:t>DB-032-RO</ns0:t>
        </ns0:is>
      </ns0:c>
      <ns0:c r="B96" s="7" t="inlineStr">
        <ns0:is>
          <ns0:t>DB-032</ns0:t>
        </ns0:is>
      </ns0:c>
      <ns0:c r="C96" s="7" t="inlineStr">
        <ns0:is>
          <ns0:t>NOIR</ns0:t>
        </ns0:is>
      </ns0:c>
      <ns0:c r="D96" s="7" t="inlineStr">
        <ns0:is>
          <ns0:t>The Borderland Files</ns0:t>
        </ns0:is>
      </ns0:c>
      <ns0:c r="E96" s="8" t="n">
        <ns0:v>2</ns0:v>
      </ns0:c>
      <ns0:c r="F96" s="7" t="inlineStr">
        <ns0:is>
          <ns0:t>The Ferryman's Receipt</ns0:t>
        </ns0:is>
      </ns0:c>
      <ns0:c r="G96" s="7" t="inlineStr">
        <ns0:is>
          <ns0:t>RO</ns0:t>
        </ns0:is>
      </ns0:c>
      <ns0:c r="H96" s="7" t="inlineStr">
        <ns0:is>
          <ns0:t>EN</ns0:t>
        </ns0:is>
      </ns0:c>
      <ns0:c r="I96" s="7" t="inlineStr">
        <ns0:is>
          <ns0:t>Traducere EN→RO</ns0:t>
        </ns0:is>
      </ns0:c>
      <ns0:c r="J96" s="11" t="inlineStr">
        <ns0:is>
          <ns0:t>Planificat</ns0:t>
        </ns0:is>
      </ns0:c>
      <ns0:c r="K96" s="11" t="inlineStr">
        <ns0:is>
          <ns0:t>De desemnat</ns0:t>
        </ns0:is>
      </ns0:c>
      <ns0:c r="L96" s="8">
        <ns0:f>Catalog_100!I33</ns0:f>
        <ns0:v>35000</ns0:v>
      </ns0:c>
      <ns0:c r="M96" s="13">
        <ns0:f>Catalog_100!J33</ns0:f>
        <ns0:v>46304.0</ns0:v>
      </ns0:c>
      <ns0:c r="N96" s="13">
        <ns0:f>Catalog_100!K33</ns0:f>
        <ns0:v>46322.0</ns0:v>
      </ns0:c>
      <ns0:c r="O96" s="13">
        <ns0:f>Catalog_100!L33</ns0:f>
        <ns0:v>46324.0</ns0:v>
      </ns0:c>
      <ns0:c r="P96" s="13">
        <ns0:f>Catalog_100!M33</ns0:f>
        <ns0:v>46326.0</ns0:v>
      </ns0:c>
      <ns0:c r="Q96" s="11" t="inlineStr"/>
      <ns0:c r="R96" s="10" t="inlineStr"/>
      <ns0:c r="S96" s="11" t="inlineStr"/>
      <ns0:c r="T96" s="11" t="inlineStr"/>
      <ns0:c r="U96" s="11" t="inlineStr"/>
      <ns0:c r="V96" s="11" t="inlineStr">
        <ns0:is>
          <ns0:t>Neconfirmat</ns0:t>
        </ns0:is>
      </ns0:c>
      <ns0:c r="W96" s="11" t="inlineStr">
        <ns0:is>
          <ns0:t>Fără ediție finală confirmată</ns0:t>
        </ns0:is>
      </ns0:c>
      <ns0:c r="X96" s="7">
        <ns0:f>IF(AND(J96="Publicat",Q96&lt;&gt;"",ISNUMBER(R96),S96&lt;&gt;"",U96&lt;&gt;"",V96="Confirmat"),1,0)</ns0:f>
        <ns0:v>0</ns0:v>
      </ns0:c>
    </ns0:row>
    <ns0:row r="97" ht="46" customHeight="1">
      <ns0:c r="A97" s="7" t="inlineStr">
        <ns0:is>
          <ns0:t>DB-032-DE</ns0:t>
        </ns0:is>
      </ns0:c>
      <ns0:c r="B97" s="7" t="inlineStr">
        <ns0:is>
          <ns0:t>DB-032</ns0:t>
        </ns0:is>
      </ns0:c>
      <ns0:c r="C97" s="7" t="inlineStr">
        <ns0:is>
          <ns0:t>NOIR</ns0:t>
        </ns0:is>
      </ns0:c>
      <ns0:c r="D97" s="7" t="inlineStr">
        <ns0:is>
          <ns0:t>The Borderland Files</ns0:t>
        </ns0:is>
      </ns0:c>
      <ns0:c r="E97" s="8" t="n">
        <ns0:v>2</ns0:v>
      </ns0:c>
      <ns0:c r="F97" s="7" t="inlineStr">
        <ns0:is>
          <ns0:t>The Ferryman's Receipt</ns0:t>
        </ns0:is>
      </ns0:c>
      <ns0:c r="G97" s="7" t="inlineStr">
        <ns0:is>
          <ns0:t>DE</ns0:t>
        </ns0:is>
      </ns0:c>
      <ns0:c r="H97" s="7" t="inlineStr">
        <ns0:is>
          <ns0:t>EN</ns0:t>
        </ns0:is>
      </ns0:c>
      <ns0:c r="I97" s="7" t="inlineStr">
        <ns0:is>
          <ns0:t>Traducere EN→DE</ns0:t>
        </ns0:is>
      </ns0:c>
      <ns0:c r="J97" s="11" t="inlineStr">
        <ns0:is>
          <ns0:t>Planificat</ns0:t>
        </ns0:is>
      </ns0:c>
      <ns0:c r="K97" s="11" t="inlineStr">
        <ns0:is>
          <ns0:t>De desemnat</ns0:t>
        </ns0:is>
      </ns0:c>
      <ns0:c r="L97" s="8">
        <ns0:f>Catalog_100!I33</ns0:f>
        <ns0:v>35000</ns0:v>
      </ns0:c>
      <ns0:c r="M97" s="13">
        <ns0:f>Catalog_100!J33</ns0:f>
        <ns0:v>46304.0</ns0:v>
      </ns0:c>
      <ns0:c r="N97" s="13">
        <ns0:f>Catalog_100!K33</ns0:f>
        <ns0:v>46322.0</ns0:v>
      </ns0:c>
      <ns0:c r="O97" s="13">
        <ns0:f>Catalog_100!L33</ns0:f>
        <ns0:v>46324.0</ns0:v>
      </ns0:c>
      <ns0:c r="P97" s="13">
        <ns0:f>Catalog_100!M33</ns0:f>
        <ns0:v>46326.0</ns0:v>
      </ns0:c>
      <ns0:c r="Q97" s="11" t="inlineStr"/>
      <ns0:c r="R97" s="10" t="inlineStr"/>
      <ns0:c r="S97" s="11" t="inlineStr"/>
      <ns0:c r="T97" s="11" t="inlineStr"/>
      <ns0:c r="U97" s="11" t="inlineStr"/>
      <ns0:c r="V97" s="11" t="inlineStr">
        <ns0:is>
          <ns0:t>Neconfirmat</ns0:t>
        </ns0:is>
      </ns0:c>
      <ns0:c r="W97" s="11" t="inlineStr">
        <ns0:is>
          <ns0:t>Fără ediție finală confirmată</ns0:t>
        </ns0:is>
      </ns0:c>
      <ns0:c r="X97" s="7">
        <ns0:f>IF(AND(J97="Publicat",Q97&lt;&gt;"",ISNUMBER(R97),S97&lt;&gt;"",U97&lt;&gt;"",V97="Confirmat"),1,0)</ns0:f>
        <ns0:v>0</ns0:v>
      </ns0:c>
    </ns0:row>
    <ns0:row r="98" ht="46" customHeight="1">
      <ns0:c r="A98" s="7" t="inlineStr">
        <ns0:is>
          <ns0:t>DB-033-EN</ns0:t>
        </ns0:is>
      </ns0:c>
      <ns0:c r="B98" s="7" t="inlineStr">
        <ns0:is>
          <ns0:t>DB-033</ns0:t>
        </ns0:is>
      </ns0:c>
      <ns0:c r="C98" s="7" t="inlineStr">
        <ns0:is>
          <ns0:t>NOIR</ns0:t>
        </ns0:is>
      </ns0:c>
      <ns0:c r="D98" s="7" t="inlineStr">
        <ns0:is>
          <ns0:t>The Borderland Files</ns0:t>
        </ns0:is>
      </ns0:c>
      <ns0:c r="E98" s="8" t="n">
        <ns0:v>3</ns0:v>
      </ns0:c>
      <ns0:c r="F98" s="7" t="inlineStr">
        <ns0:is>
          <ns0:t>The Last Customs Seal</ns0:t>
        </ns0:is>
      </ns0:c>
      <ns0:c r="G98" s="7" t="inlineStr">
        <ns0:is>
          <ns0:t>EN</ns0:t>
        </ns0:is>
      </ns0:c>
      <ns0:c r="H98" s="7" t="inlineStr">
        <ns0:is>
          <ns0:t>EN</ns0:t>
        </ns0:is>
      </ns0:c>
      <ns0:c r="I98" s="7" t="inlineStr">
        <ns0:is>
          <ns0:t>Scriere nouă</ns0:t>
        </ns0:is>
      </ns0:c>
      <ns0:c r="J98" s="11" t="inlineStr">
        <ns0:is>
          <ns0:t>Planificat</ns0:t>
        </ns0:is>
      </ns0:c>
      <ns0:c r="K98" s="11" t="inlineStr">
        <ns0:is>
          <ns0:t>De desemnat</ns0:t>
        </ns0:is>
      </ns0:c>
      <ns0:c r="L98" s="8">
        <ns0:f>Catalog_100!I34</ns0:f>
        <ns0:v>35000</ns0:v>
      </ns0:c>
      <ns0:c r="M98" s="13">
        <ns0:f>Catalog_100!J34</ns0:f>
        <ns0:v>46304.0</ns0:v>
      </ns0:c>
      <ns0:c r="N98" s="13">
        <ns0:f>Catalog_100!K34</ns0:f>
        <ns0:v>46322.0</ns0:v>
      </ns0:c>
      <ns0:c r="O98" s="13">
        <ns0:f>Catalog_100!L34</ns0:f>
        <ns0:v>46324.0</ns0:v>
      </ns0:c>
      <ns0:c r="P98" s="13">
        <ns0:f>Catalog_100!M34</ns0:f>
        <ns0:v>46326.0</ns0:v>
      </ns0:c>
      <ns0:c r="Q98" s="11" t="inlineStr"/>
      <ns0:c r="R98" s="10" t="inlineStr"/>
      <ns0:c r="S98" s="11" t="inlineStr"/>
      <ns0:c r="T98" s="11" t="inlineStr"/>
      <ns0:c r="U98" s="11" t="inlineStr"/>
      <ns0:c r="V98" s="11" t="inlineStr">
        <ns0:is>
          <ns0:t>Neconfirmat</ns0:t>
        </ns0:is>
      </ns0:c>
      <ns0:c r="W98" s="11" t="inlineStr">
        <ns0:is>
          <ns0:t>Fără ediție finală confirmată</ns0:t>
        </ns0:is>
      </ns0:c>
      <ns0:c r="X98" s="7">
        <ns0:f>IF(AND(J98="Publicat",Q98&lt;&gt;"",ISNUMBER(R98),S98&lt;&gt;"",U98&lt;&gt;"",V98="Confirmat"),1,0)</ns0:f>
        <ns0:v>0</ns0:v>
      </ns0:c>
    </ns0:row>
    <ns0:row r="99" ht="46" customHeight="1">
      <ns0:c r="A99" s="7" t="inlineStr">
        <ns0:is>
          <ns0:t>DB-033-RO</ns0:t>
        </ns0:is>
      </ns0:c>
      <ns0:c r="B99" s="7" t="inlineStr">
        <ns0:is>
          <ns0:t>DB-033</ns0:t>
        </ns0:is>
      </ns0:c>
      <ns0:c r="C99" s="7" t="inlineStr">
        <ns0:is>
          <ns0:t>NOIR</ns0:t>
        </ns0:is>
      </ns0:c>
      <ns0:c r="D99" s="7" t="inlineStr">
        <ns0:is>
          <ns0:t>The Borderland Files</ns0:t>
        </ns0:is>
      </ns0:c>
      <ns0:c r="E99" s="8" t="n">
        <ns0:v>3</ns0:v>
      </ns0:c>
      <ns0:c r="F99" s="7" t="inlineStr">
        <ns0:is>
          <ns0:t>The Last Customs Seal</ns0:t>
        </ns0:is>
      </ns0:c>
      <ns0:c r="G99" s="7" t="inlineStr">
        <ns0:is>
          <ns0:t>RO</ns0:t>
        </ns0:is>
      </ns0:c>
      <ns0:c r="H99" s="7" t="inlineStr">
        <ns0:is>
          <ns0:t>EN</ns0:t>
        </ns0:is>
      </ns0:c>
      <ns0:c r="I99" s="7" t="inlineStr">
        <ns0:is>
          <ns0:t>Traducere EN→RO</ns0:t>
        </ns0:is>
      </ns0:c>
      <ns0:c r="J99" s="11" t="inlineStr">
        <ns0:is>
          <ns0:t>Planificat</ns0:t>
        </ns0:is>
      </ns0:c>
      <ns0:c r="K99" s="11" t="inlineStr">
        <ns0:is>
          <ns0:t>De desemnat</ns0:t>
        </ns0:is>
      </ns0:c>
      <ns0:c r="L99" s="8">
        <ns0:f>Catalog_100!I34</ns0:f>
        <ns0:v>35000</ns0:v>
      </ns0:c>
      <ns0:c r="M99" s="13">
        <ns0:f>Catalog_100!J34</ns0:f>
        <ns0:v>46304.0</ns0:v>
      </ns0:c>
      <ns0:c r="N99" s="13">
        <ns0:f>Catalog_100!K34</ns0:f>
        <ns0:v>46322.0</ns0:v>
      </ns0:c>
      <ns0:c r="O99" s="13">
        <ns0:f>Catalog_100!L34</ns0:f>
        <ns0:v>46324.0</ns0:v>
      </ns0:c>
      <ns0:c r="P99" s="13">
        <ns0:f>Catalog_100!M34</ns0:f>
        <ns0:v>46326.0</ns0:v>
      </ns0:c>
      <ns0:c r="Q99" s="11" t="inlineStr"/>
      <ns0:c r="R99" s="10" t="inlineStr"/>
      <ns0:c r="S99" s="11" t="inlineStr"/>
      <ns0:c r="T99" s="11" t="inlineStr"/>
      <ns0:c r="U99" s="11" t="inlineStr"/>
      <ns0:c r="V99" s="11" t="inlineStr">
        <ns0:is>
          <ns0:t>Neconfirmat</ns0:t>
        </ns0:is>
      </ns0:c>
      <ns0:c r="W99" s="11" t="inlineStr">
        <ns0:is>
          <ns0:t>Fără ediție finală confirmată</ns0:t>
        </ns0:is>
      </ns0:c>
      <ns0:c r="X99" s="7">
        <ns0:f>IF(AND(J99="Publicat",Q99&lt;&gt;"",ISNUMBER(R99),S99&lt;&gt;"",U99&lt;&gt;"",V99="Confirmat"),1,0)</ns0:f>
        <ns0:v>0</ns0:v>
      </ns0:c>
    </ns0:row>
    <ns0:row r="100" ht="46" customHeight="1">
      <ns0:c r="A100" s="7" t="inlineStr">
        <ns0:is>
          <ns0:t>DB-033-DE</ns0:t>
        </ns0:is>
      </ns0:c>
      <ns0:c r="B100" s="7" t="inlineStr">
        <ns0:is>
          <ns0:t>DB-033</ns0:t>
        </ns0:is>
      </ns0:c>
      <ns0:c r="C100" s="7" t="inlineStr">
        <ns0:is>
          <ns0:t>NOIR</ns0:t>
        </ns0:is>
      </ns0:c>
      <ns0:c r="D100" s="7" t="inlineStr">
        <ns0:is>
          <ns0:t>The Borderland Files</ns0:t>
        </ns0:is>
      </ns0:c>
      <ns0:c r="E100" s="8" t="n">
        <ns0:v>3</ns0:v>
      </ns0:c>
      <ns0:c r="F100" s="7" t="inlineStr">
        <ns0:is>
          <ns0:t>The Last Customs Seal</ns0:t>
        </ns0:is>
      </ns0:c>
      <ns0:c r="G100" s="7" t="inlineStr">
        <ns0:is>
          <ns0:t>DE</ns0:t>
        </ns0:is>
      </ns0:c>
      <ns0:c r="H100" s="7" t="inlineStr">
        <ns0:is>
          <ns0:t>EN</ns0:t>
        </ns0:is>
      </ns0:c>
      <ns0:c r="I100" s="7" t="inlineStr">
        <ns0:is>
          <ns0:t>Traducere EN→DE</ns0:t>
        </ns0:is>
      </ns0:c>
      <ns0:c r="J100" s="11" t="inlineStr">
        <ns0:is>
          <ns0:t>Planificat</ns0:t>
        </ns0:is>
      </ns0:c>
      <ns0:c r="K100" s="11" t="inlineStr">
        <ns0:is>
          <ns0:t>De desemnat</ns0:t>
        </ns0:is>
      </ns0:c>
      <ns0:c r="L100" s="8">
        <ns0:f>Catalog_100!I34</ns0:f>
        <ns0:v>35000</ns0:v>
      </ns0:c>
      <ns0:c r="M100" s="13">
        <ns0:f>Catalog_100!J34</ns0:f>
        <ns0:v>46304.0</ns0:v>
      </ns0:c>
      <ns0:c r="N100" s="13">
        <ns0:f>Catalog_100!K34</ns0:f>
        <ns0:v>46322.0</ns0:v>
      </ns0:c>
      <ns0:c r="O100" s="13">
        <ns0:f>Catalog_100!L34</ns0:f>
        <ns0:v>46324.0</ns0:v>
      </ns0:c>
      <ns0:c r="P100" s="13">
        <ns0:f>Catalog_100!M34</ns0:f>
        <ns0:v>46326.0</ns0:v>
      </ns0:c>
      <ns0:c r="Q100" s="11" t="inlineStr"/>
      <ns0:c r="R100" s="10" t="inlineStr"/>
      <ns0:c r="S100" s="11" t="inlineStr"/>
      <ns0:c r="T100" s="11" t="inlineStr"/>
      <ns0:c r="U100" s="11" t="inlineStr"/>
      <ns0:c r="V100" s="11" t="inlineStr">
        <ns0:is>
          <ns0:t>Neconfirmat</ns0:t>
        </ns0:is>
      </ns0:c>
      <ns0:c r="W100" s="11" t="inlineStr">
        <ns0:is>
          <ns0:t>Fără ediție finală confirmată</ns0:t>
        </ns0:is>
      </ns0:c>
      <ns0:c r="X100" s="7">
        <ns0:f>IF(AND(J100="Publicat",Q100&lt;&gt;"",ISNUMBER(R100),S100&lt;&gt;"",U100&lt;&gt;"",V100="Confirmat"),1,0)</ns0:f>
        <ns0:v>0</ns0:v>
      </ns0:c>
    </ns0:row>
    <ns0:row r="101" ht="46" customHeight="1">
      <ns0:c r="A101" s="7" t="inlineStr">
        <ns0:is>
          <ns0:t>DB-034-EN</ns0:t>
        </ns0:is>
      </ns0:c>
      <ns0:c r="B101" s="7" t="inlineStr">
        <ns0:is>
          <ns0:t>DB-034</ns0:t>
        </ns0:is>
      </ns0:c>
      <ns0:c r="C101" s="7" t="inlineStr">
        <ns0:is>
          <ns0:t>NOIR</ns0:t>
        </ns0:is>
      </ns0:c>
      <ns0:c r="D101" s="7" t="inlineStr">
        <ns0:is>
          <ns0:t>The Borderland Files</ns0:t>
        </ns0:is>
      </ns0:c>
      <ns0:c r="E101" s="8" t="n">
        <ns0:v>4</ns0:v>
      </ns0:c>
      <ns0:c r="F101" s="7" t="inlineStr">
        <ns0:is>
          <ns0:t>The Smuggler's Daughter</ns0:t>
        </ns0:is>
      </ns0:c>
      <ns0:c r="G101" s="7" t="inlineStr">
        <ns0:is>
          <ns0:t>EN</ns0:t>
        </ns0:is>
      </ns0:c>
      <ns0:c r="H101" s="7" t="inlineStr">
        <ns0:is>
          <ns0:t>EN</ns0:t>
        </ns0:is>
      </ns0:c>
      <ns0:c r="I101" s="7" t="inlineStr">
        <ns0:is>
          <ns0:t>Scriere nouă</ns0:t>
        </ns0:is>
      </ns0:c>
      <ns0:c r="J101" s="11" t="inlineStr">
        <ns0:is>
          <ns0:t>Planificat</ns0:t>
        </ns0:is>
      </ns0:c>
      <ns0:c r="K101" s="11" t="inlineStr">
        <ns0:is>
          <ns0:t>De desemnat</ns0:t>
        </ns0:is>
      </ns0:c>
      <ns0:c r="L101" s="8">
        <ns0:f>Catalog_100!I35</ns0:f>
        <ns0:v>35000</ns0:v>
      </ns0:c>
      <ns0:c r="M101" s="13">
        <ns0:f>Catalog_100!J35</ns0:f>
        <ns0:v>46304.0</ns0:v>
      </ns0:c>
      <ns0:c r="N101" s="13">
        <ns0:f>Catalog_100!K35</ns0:f>
        <ns0:v>46322.0</ns0:v>
      </ns0:c>
      <ns0:c r="O101" s="13">
        <ns0:f>Catalog_100!L35</ns0:f>
        <ns0:v>46324.0</ns0:v>
      </ns0:c>
      <ns0:c r="P101" s="13">
        <ns0:f>Catalog_100!M35</ns0:f>
        <ns0:v>46326.0</ns0:v>
      </ns0:c>
      <ns0:c r="Q101" s="11" t="inlineStr"/>
      <ns0:c r="R101" s="10" t="inlineStr"/>
      <ns0:c r="S101" s="11" t="inlineStr"/>
      <ns0:c r="T101" s="11" t="inlineStr"/>
      <ns0:c r="U101" s="11" t="inlineStr"/>
      <ns0:c r="V101" s="11" t="inlineStr">
        <ns0:is>
          <ns0:t>Neconfirmat</ns0:t>
        </ns0:is>
      </ns0:c>
      <ns0:c r="W101" s="11" t="inlineStr">
        <ns0:is>
          <ns0:t>Fără ediție finală confirmată</ns0:t>
        </ns0:is>
      </ns0:c>
      <ns0:c r="X101" s="7">
        <ns0:f>IF(AND(J101="Publicat",Q101&lt;&gt;"",ISNUMBER(R101),S101&lt;&gt;"",U101&lt;&gt;"",V101="Confirmat"),1,0)</ns0:f>
        <ns0:v>0</ns0:v>
      </ns0:c>
    </ns0:row>
    <ns0:row r="102" ht="46" customHeight="1">
      <ns0:c r="A102" s="7" t="inlineStr">
        <ns0:is>
          <ns0:t>DB-034-RO</ns0:t>
        </ns0:is>
      </ns0:c>
      <ns0:c r="B102" s="7" t="inlineStr">
        <ns0:is>
          <ns0:t>DB-034</ns0:t>
        </ns0:is>
      </ns0:c>
      <ns0:c r="C102" s="7" t="inlineStr">
        <ns0:is>
          <ns0:t>NOIR</ns0:t>
        </ns0:is>
      </ns0:c>
      <ns0:c r="D102" s="7" t="inlineStr">
        <ns0:is>
          <ns0:t>The Borderland Files</ns0:t>
        </ns0:is>
      </ns0:c>
      <ns0:c r="E102" s="8" t="n">
        <ns0:v>4</ns0:v>
      </ns0:c>
      <ns0:c r="F102" s="7" t="inlineStr">
        <ns0:is>
          <ns0:t>The Smuggler's Daughter</ns0:t>
        </ns0:is>
      </ns0:c>
      <ns0:c r="G102" s="7" t="inlineStr">
        <ns0:is>
          <ns0:t>RO</ns0:t>
        </ns0:is>
      </ns0:c>
      <ns0:c r="H102" s="7" t="inlineStr">
        <ns0:is>
          <ns0:t>EN</ns0:t>
        </ns0:is>
      </ns0:c>
      <ns0:c r="I102" s="7" t="inlineStr">
        <ns0:is>
          <ns0:t>Traducere EN→RO</ns0:t>
        </ns0:is>
      </ns0:c>
      <ns0:c r="J102" s="11" t="inlineStr">
        <ns0:is>
          <ns0:t>Planificat</ns0:t>
        </ns0:is>
      </ns0:c>
      <ns0:c r="K102" s="11" t="inlineStr">
        <ns0:is>
          <ns0:t>De desemnat</ns0:t>
        </ns0:is>
      </ns0:c>
      <ns0:c r="L102" s="8">
        <ns0:f>Catalog_100!I35</ns0:f>
        <ns0:v>35000</ns0:v>
      </ns0:c>
      <ns0:c r="M102" s="13">
        <ns0:f>Catalog_100!J35</ns0:f>
        <ns0:v>46304.0</ns0:v>
      </ns0:c>
      <ns0:c r="N102" s="13">
        <ns0:f>Catalog_100!K35</ns0:f>
        <ns0:v>46322.0</ns0:v>
      </ns0:c>
      <ns0:c r="O102" s="13">
        <ns0:f>Catalog_100!L35</ns0:f>
        <ns0:v>46324.0</ns0:v>
      </ns0:c>
      <ns0:c r="P102" s="13">
        <ns0:f>Catalog_100!M35</ns0:f>
        <ns0:v>46326.0</ns0:v>
      </ns0:c>
      <ns0:c r="Q102" s="11" t="inlineStr"/>
      <ns0:c r="R102" s="10" t="inlineStr"/>
      <ns0:c r="S102" s="11" t="inlineStr"/>
      <ns0:c r="T102" s="11" t="inlineStr"/>
      <ns0:c r="U102" s="11" t="inlineStr"/>
      <ns0:c r="V102" s="11" t="inlineStr">
        <ns0:is>
          <ns0:t>Neconfirmat</ns0:t>
        </ns0:is>
      </ns0:c>
      <ns0:c r="W102" s="11" t="inlineStr">
        <ns0:is>
          <ns0:t>Fără ediție finală confirmată</ns0:t>
        </ns0:is>
      </ns0:c>
      <ns0:c r="X102" s="7">
        <ns0:f>IF(AND(J102="Publicat",Q102&lt;&gt;"",ISNUMBER(R102),S102&lt;&gt;"",U102&lt;&gt;"",V102="Confirmat"),1,0)</ns0:f>
        <ns0:v>0</ns0:v>
      </ns0:c>
    </ns0:row>
    <ns0:row r="103" ht="46" customHeight="1">
      <ns0:c r="A103" s="7" t="inlineStr">
        <ns0:is>
          <ns0:t>DB-034-DE</ns0:t>
        </ns0:is>
      </ns0:c>
      <ns0:c r="B103" s="7" t="inlineStr">
        <ns0:is>
          <ns0:t>DB-034</ns0:t>
        </ns0:is>
      </ns0:c>
      <ns0:c r="C103" s="7" t="inlineStr">
        <ns0:is>
          <ns0:t>NOIR</ns0:t>
        </ns0:is>
      </ns0:c>
      <ns0:c r="D103" s="7" t="inlineStr">
        <ns0:is>
          <ns0:t>The Borderland Files</ns0:t>
        </ns0:is>
      </ns0:c>
      <ns0:c r="E103" s="8" t="n">
        <ns0:v>4</ns0:v>
      </ns0:c>
      <ns0:c r="F103" s="7" t="inlineStr">
        <ns0:is>
          <ns0:t>The Smuggler's Daughter</ns0:t>
        </ns0:is>
      </ns0:c>
      <ns0:c r="G103" s="7" t="inlineStr">
        <ns0:is>
          <ns0:t>DE</ns0:t>
        </ns0:is>
      </ns0:c>
      <ns0:c r="H103" s="7" t="inlineStr">
        <ns0:is>
          <ns0:t>EN</ns0:t>
        </ns0:is>
      </ns0:c>
      <ns0:c r="I103" s="7" t="inlineStr">
        <ns0:is>
          <ns0:t>Traducere EN→DE</ns0:t>
        </ns0:is>
      </ns0:c>
      <ns0:c r="J103" s="11" t="inlineStr">
        <ns0:is>
          <ns0:t>Planificat</ns0:t>
        </ns0:is>
      </ns0:c>
      <ns0:c r="K103" s="11" t="inlineStr">
        <ns0:is>
          <ns0:t>De desemnat</ns0:t>
        </ns0:is>
      </ns0:c>
      <ns0:c r="L103" s="8">
        <ns0:f>Catalog_100!I35</ns0:f>
        <ns0:v>35000</ns0:v>
      </ns0:c>
      <ns0:c r="M103" s="13">
        <ns0:f>Catalog_100!J35</ns0:f>
        <ns0:v>46304.0</ns0:v>
      </ns0:c>
      <ns0:c r="N103" s="13">
        <ns0:f>Catalog_100!K35</ns0:f>
        <ns0:v>46322.0</ns0:v>
      </ns0:c>
      <ns0:c r="O103" s="13">
        <ns0:f>Catalog_100!L35</ns0:f>
        <ns0:v>46324.0</ns0:v>
      </ns0:c>
      <ns0:c r="P103" s="13">
        <ns0:f>Catalog_100!M35</ns0:f>
        <ns0:v>46326.0</ns0:v>
      </ns0:c>
      <ns0:c r="Q103" s="11" t="inlineStr"/>
      <ns0:c r="R103" s="10" t="inlineStr"/>
      <ns0:c r="S103" s="11" t="inlineStr"/>
      <ns0:c r="T103" s="11" t="inlineStr"/>
      <ns0:c r="U103" s="11" t="inlineStr"/>
      <ns0:c r="V103" s="11" t="inlineStr">
        <ns0:is>
          <ns0:t>Neconfirmat</ns0:t>
        </ns0:is>
      </ns0:c>
      <ns0:c r="W103" s="11" t="inlineStr">
        <ns0:is>
          <ns0:t>Fără ediție finală confirmată</ns0:t>
        </ns0:is>
      </ns0:c>
      <ns0:c r="X103" s="7">
        <ns0:f>IF(AND(J103="Publicat",Q103&lt;&gt;"",ISNUMBER(R103),S103&lt;&gt;"",U103&lt;&gt;"",V103="Confirmat"),1,0)</ns0:f>
        <ns0:v>0</ns0:v>
      </ns0:c>
    </ns0:row>
    <ns0:row r="104" ht="46" customHeight="1">
      <ns0:c r="A104" s="7" t="inlineStr">
        <ns0:is>
          <ns0:t>DB-035-EN</ns0:t>
        </ns0:is>
      </ns0:c>
      <ns0:c r="B104" s="7" t="inlineStr">
        <ns0:is>
          <ns0:t>DB-035</ns0:t>
        </ns0:is>
      </ns0:c>
      <ns0:c r="C104" s="7" t="inlineStr">
        <ns0:is>
          <ns0:t>NOIR</ns0:t>
        </ns0:is>
      </ns0:c>
      <ns0:c r="D104" s="7" t="inlineStr">
        <ns0:is>
          <ns0:t>The Borderland Files</ns0:t>
        </ns0:is>
      </ns0:c>
      <ns0:c r="E104" s="8" t="n">
        <ns0:v>5</ns0:v>
      </ns0:c>
      <ns0:c r="F104" s="7" t="inlineStr">
        <ns0:is>
          <ns0:t>The Bridge at First Snow</ns0:t>
        </ns0:is>
      </ns0:c>
      <ns0:c r="G104" s="7" t="inlineStr">
        <ns0:is>
          <ns0:t>EN</ns0:t>
        </ns0:is>
      </ns0:c>
      <ns0:c r="H104" s="7" t="inlineStr">
        <ns0:is>
          <ns0:t>EN</ns0:t>
        </ns0:is>
      </ns0:c>
      <ns0:c r="I104" s="7" t="inlineStr">
        <ns0:is>
          <ns0:t>Scriere nouă</ns0:t>
        </ns0:is>
      </ns0:c>
      <ns0:c r="J104" s="11" t="inlineStr">
        <ns0:is>
          <ns0:t>Planificat</ns0:t>
        </ns0:is>
      </ns0:c>
      <ns0:c r="K104" s="11" t="inlineStr">
        <ns0:is>
          <ns0:t>De desemnat</ns0:t>
        </ns0:is>
      </ns0:c>
      <ns0:c r="L104" s="8">
        <ns0:f>Catalog_100!I36</ns0:f>
        <ns0:v>35000</ns0:v>
      </ns0:c>
      <ns0:c r="M104" s="13">
        <ns0:f>Catalog_100!J36</ns0:f>
        <ns0:v>46304.0</ns0:v>
      </ns0:c>
      <ns0:c r="N104" s="13">
        <ns0:f>Catalog_100!K36</ns0:f>
        <ns0:v>46322.0</ns0:v>
      </ns0:c>
      <ns0:c r="O104" s="13">
        <ns0:f>Catalog_100!L36</ns0:f>
        <ns0:v>46324.0</ns0:v>
      </ns0:c>
      <ns0:c r="P104" s="13">
        <ns0:f>Catalog_100!M36</ns0:f>
        <ns0:v>46326.0</ns0:v>
      </ns0:c>
      <ns0:c r="Q104" s="11" t="inlineStr"/>
      <ns0:c r="R104" s="10" t="inlineStr"/>
      <ns0:c r="S104" s="11" t="inlineStr"/>
      <ns0:c r="T104" s="11" t="inlineStr"/>
      <ns0:c r="U104" s="11" t="inlineStr"/>
      <ns0:c r="V104" s="11" t="inlineStr">
        <ns0:is>
          <ns0:t>Neconfirmat</ns0:t>
        </ns0:is>
      </ns0:c>
      <ns0:c r="W104" s="11" t="inlineStr">
        <ns0:is>
          <ns0:t>Fără ediție finală confirmată</ns0:t>
        </ns0:is>
      </ns0:c>
      <ns0:c r="X104" s="7">
        <ns0:f>IF(AND(J104="Publicat",Q104&lt;&gt;"",ISNUMBER(R104),S104&lt;&gt;"",U104&lt;&gt;"",V104="Confirmat"),1,0)</ns0:f>
        <ns0:v>0</ns0:v>
      </ns0:c>
    </ns0:row>
    <ns0:row r="105" ht="46" customHeight="1">
      <ns0:c r="A105" s="7" t="inlineStr">
        <ns0:is>
          <ns0:t>DB-035-RO</ns0:t>
        </ns0:is>
      </ns0:c>
      <ns0:c r="B105" s="7" t="inlineStr">
        <ns0:is>
          <ns0:t>DB-035</ns0:t>
        </ns0:is>
      </ns0:c>
      <ns0:c r="C105" s="7" t="inlineStr">
        <ns0:is>
          <ns0:t>NOIR</ns0:t>
        </ns0:is>
      </ns0:c>
      <ns0:c r="D105" s="7" t="inlineStr">
        <ns0:is>
          <ns0:t>The Borderland Files</ns0:t>
        </ns0:is>
      </ns0:c>
      <ns0:c r="E105" s="8" t="n">
        <ns0:v>5</ns0:v>
      </ns0:c>
      <ns0:c r="F105" s="7" t="inlineStr">
        <ns0:is>
          <ns0:t>The Bridge at First Snow</ns0:t>
        </ns0:is>
      </ns0:c>
      <ns0:c r="G105" s="7" t="inlineStr">
        <ns0:is>
          <ns0:t>RO</ns0:t>
        </ns0:is>
      </ns0:c>
      <ns0:c r="H105" s="7" t="inlineStr">
        <ns0:is>
          <ns0:t>EN</ns0:t>
        </ns0:is>
      </ns0:c>
      <ns0:c r="I105" s="7" t="inlineStr">
        <ns0:is>
          <ns0:t>Traducere EN→RO</ns0:t>
        </ns0:is>
      </ns0:c>
      <ns0:c r="J105" s="11" t="inlineStr">
        <ns0:is>
          <ns0:t>Planificat</ns0:t>
        </ns0:is>
      </ns0:c>
      <ns0:c r="K105" s="11" t="inlineStr">
        <ns0:is>
          <ns0:t>De desemnat</ns0:t>
        </ns0:is>
      </ns0:c>
      <ns0:c r="L105" s="8">
        <ns0:f>Catalog_100!I36</ns0:f>
        <ns0:v>35000</ns0:v>
      </ns0:c>
      <ns0:c r="M105" s="13">
        <ns0:f>Catalog_100!J36</ns0:f>
        <ns0:v>46304.0</ns0:v>
      </ns0:c>
      <ns0:c r="N105" s="13">
        <ns0:f>Catalog_100!K36</ns0:f>
        <ns0:v>46322.0</ns0:v>
      </ns0:c>
      <ns0:c r="O105" s="13">
        <ns0:f>Catalog_100!L36</ns0:f>
        <ns0:v>46324.0</ns0:v>
      </ns0:c>
      <ns0:c r="P105" s="13">
        <ns0:f>Catalog_100!M36</ns0:f>
        <ns0:v>46326.0</ns0:v>
      </ns0:c>
      <ns0:c r="Q105" s="11" t="inlineStr"/>
      <ns0:c r="R105" s="10" t="inlineStr"/>
      <ns0:c r="S105" s="11" t="inlineStr"/>
      <ns0:c r="T105" s="11" t="inlineStr"/>
      <ns0:c r="U105" s="11" t="inlineStr"/>
      <ns0:c r="V105" s="11" t="inlineStr">
        <ns0:is>
          <ns0:t>Neconfirmat</ns0:t>
        </ns0:is>
      </ns0:c>
      <ns0:c r="W105" s="11" t="inlineStr">
        <ns0:is>
          <ns0:t>Fără ediție finală confirmată</ns0:t>
        </ns0:is>
      </ns0:c>
      <ns0:c r="X105" s="7">
        <ns0:f>IF(AND(J105="Publicat",Q105&lt;&gt;"",ISNUMBER(R105),S105&lt;&gt;"",U105&lt;&gt;"",V105="Confirmat"),1,0)</ns0:f>
        <ns0:v>0</ns0:v>
      </ns0:c>
    </ns0:row>
    <ns0:row r="106" ht="46" customHeight="1">
      <ns0:c r="A106" s="7" t="inlineStr">
        <ns0:is>
          <ns0:t>DB-035-DE</ns0:t>
        </ns0:is>
      </ns0:c>
      <ns0:c r="B106" s="7" t="inlineStr">
        <ns0:is>
          <ns0:t>DB-035</ns0:t>
        </ns0:is>
      </ns0:c>
      <ns0:c r="C106" s="7" t="inlineStr">
        <ns0:is>
          <ns0:t>NOIR</ns0:t>
        </ns0:is>
      </ns0:c>
      <ns0:c r="D106" s="7" t="inlineStr">
        <ns0:is>
          <ns0:t>The Borderland Files</ns0:t>
        </ns0:is>
      </ns0:c>
      <ns0:c r="E106" s="8" t="n">
        <ns0:v>5</ns0:v>
      </ns0:c>
      <ns0:c r="F106" s="7" t="inlineStr">
        <ns0:is>
          <ns0:t>The Bridge at First Snow</ns0:t>
        </ns0:is>
      </ns0:c>
      <ns0:c r="G106" s="7" t="inlineStr">
        <ns0:is>
          <ns0:t>DE</ns0:t>
        </ns0:is>
      </ns0:c>
      <ns0:c r="H106" s="7" t="inlineStr">
        <ns0:is>
          <ns0:t>EN</ns0:t>
        </ns0:is>
      </ns0:c>
      <ns0:c r="I106" s="7" t="inlineStr">
        <ns0:is>
          <ns0:t>Traducere EN→DE</ns0:t>
        </ns0:is>
      </ns0:c>
      <ns0:c r="J106" s="11" t="inlineStr">
        <ns0:is>
          <ns0:t>Planificat</ns0:t>
        </ns0:is>
      </ns0:c>
      <ns0:c r="K106" s="11" t="inlineStr">
        <ns0:is>
          <ns0:t>De desemnat</ns0:t>
        </ns0:is>
      </ns0:c>
      <ns0:c r="L106" s="8">
        <ns0:f>Catalog_100!I36</ns0:f>
        <ns0:v>35000</ns0:v>
      </ns0:c>
      <ns0:c r="M106" s="13">
        <ns0:f>Catalog_100!J36</ns0:f>
        <ns0:v>46304.0</ns0:v>
      </ns0:c>
      <ns0:c r="N106" s="13">
        <ns0:f>Catalog_100!K36</ns0:f>
        <ns0:v>46322.0</ns0:v>
      </ns0:c>
      <ns0:c r="O106" s="13">
        <ns0:f>Catalog_100!L36</ns0:f>
        <ns0:v>46324.0</ns0:v>
      </ns0:c>
      <ns0:c r="P106" s="13">
        <ns0:f>Catalog_100!M36</ns0:f>
        <ns0:v>46326.0</ns0:v>
      </ns0:c>
      <ns0:c r="Q106" s="11" t="inlineStr"/>
      <ns0:c r="R106" s="10" t="inlineStr"/>
      <ns0:c r="S106" s="11" t="inlineStr"/>
      <ns0:c r="T106" s="11" t="inlineStr"/>
      <ns0:c r="U106" s="11" t="inlineStr"/>
      <ns0:c r="V106" s="11" t="inlineStr">
        <ns0:is>
          <ns0:t>Neconfirmat</ns0:t>
        </ns0:is>
      </ns0:c>
      <ns0:c r="W106" s="11" t="inlineStr">
        <ns0:is>
          <ns0:t>Fără ediție finală confirmată</ns0:t>
        </ns0:is>
      </ns0:c>
      <ns0:c r="X106" s="7">
        <ns0:f>IF(AND(J106="Publicat",Q106&lt;&gt;"",ISNUMBER(R106),S106&lt;&gt;"",U106&lt;&gt;"",V106="Confirmat"),1,0)</ns0:f>
        <ns0:v>0</ns0:v>
      </ns0:c>
    </ns0:row>
    <ns0:row r="107" ht="46" customHeight="1">
      <ns0:c r="A107" s="7" t="inlineStr">
        <ns0:is>
          <ns0:t>DB-036-EN</ns0:t>
        </ns0:is>
      </ns0:c>
      <ns0:c r="B107" s="7" t="inlineStr">
        <ns0:is>
          <ns0:t>DB-036</ns0:t>
        </ns0:is>
      </ns0:c>
      <ns0:c r="C107" s="7" t="inlineStr">
        <ns0:is>
          <ns0:t>AMORIS</ns0:t>
        </ns0:is>
      </ns0:c>
      <ns0:c r="D107" s="7" t="inlineStr">
        <ns0:is>
          <ns0:t>Alex Damian</ns0:t>
        </ns0:is>
      </ns0:c>
      <ns0:c r="E107" s="8" t="n">
        <ns0:v>1</ns0:v>
      </ns0:c>
      <ns0:c r="F107" s="7" t="inlineStr">
        <ns0:is>
          <ns0:t>Beneath the Skin of the Sea</ns0:t>
        </ns0:is>
      </ns0:c>
      <ns0:c r="G107" s="7" t="inlineStr">
        <ns0:is>
          <ns0:t>EN</ns0:t>
        </ns0:is>
      </ns0:c>
      <ns0:c r="H107" s="7" t="inlineStr">
        <ns0:is>
          <ns0:t>EN</ns0:t>
        </ns0:is>
      </ns0:c>
      <ns0:c r="I107" s="7" t="inlineStr">
        <ns0:is>
          <ns0:t>Editare fond</ns0:t>
        </ns0:is>
      </ns0:c>
      <ns0:c r="J107" s="11" t="inlineStr">
        <ns0:is>
          <ns0:t>Manuscris existent</ns0:t>
        </ns0:is>
      </ns0:c>
      <ns0:c r="K107" s="11" t="inlineStr">
        <ns0:is>
          <ns0:t>De desemnat</ns0:t>
        </ns0:is>
      </ns0:c>
      <ns0:c r="L107" s="8">
        <ns0:f>Catalog_100!I37</ns0:f>
        <ns0:v>80000</ns0:v>
      </ns0:c>
      <ns0:c r="M107" s="13">
        <ns0:f>Catalog_100!J37</ns0:f>
        <ns0:v>46298.0</ns0:v>
      </ns0:c>
      <ns0:c r="N107" s="13">
        <ns0:f>Catalog_100!K37</ns0:f>
        <ns0:v>46301.0</ns0:v>
      </ns0:c>
      <ns0:c r="O107" s="13">
        <ns0:f>Catalog_100!L37</ns0:f>
        <ns0:v>46303.0</ns0:v>
      </ns0:c>
      <ns0:c r="P107" s="13">
        <ns0:f>Catalog_100!M37</ns0:f>
        <ns0:v>46305.0</ns0:v>
      </ns0:c>
      <ns0:c r="Q107" s="11" t="inlineStr"/>
      <ns0:c r="R107" s="10" t="inlineStr"/>
      <ns0:c r="S107" s="11" t="inlineStr"/>
      <ns0:c r="T107" s="11" t="inlineStr"/>
      <ns0:c r="U107" s="11" t="inlineStr"/>
      <ns0:c r="V107" s="11" t="inlineStr">
        <ns0:is>
          <ns0:t>Neconfirmat</ns0:t>
        </ns0:is>
      </ns0:c>
      <ns0:c r="W107" s="11" t="inlineStr">
        <ns0:is>
          <ns0:t>Raportul intern de 9,87/10 nu dovedește recenzie independentă sau publicare.</ns0:t>
        </ns0:is>
      </ns0:c>
      <ns0:c r="X107" s="7">
        <ns0:f>IF(AND(J107="Publicat",Q107&lt;&gt;"",ISNUMBER(R107),S107&lt;&gt;"",U107&lt;&gt;"",V107="Confirmat"),1,0)</ns0:f>
        <ns0:v>0</ns0:v>
      </ns0:c>
    </ns0:row>
    <ns0:row r="108" ht="46" customHeight="1">
      <ns0:c r="A108" s="7" t="inlineStr">
        <ns0:is>
          <ns0:t>DB-036-RO</ns0:t>
        </ns0:is>
      </ns0:c>
      <ns0:c r="B108" s="7" t="inlineStr">
        <ns0:is>
          <ns0:t>DB-036</ns0:t>
        </ns0:is>
      </ns0:c>
      <ns0:c r="C108" s="7" t="inlineStr">
        <ns0:is>
          <ns0:t>AMORIS</ns0:t>
        </ns0:is>
      </ns0:c>
      <ns0:c r="D108" s="7" t="inlineStr">
        <ns0:is>
          <ns0:t>Alex Damian</ns0:t>
        </ns0:is>
      </ns0:c>
      <ns0:c r="E108" s="8" t="n">
        <ns0:v>1</ns0:v>
      </ns0:c>
      <ns0:c r="F108" s="7" t="inlineStr">
        <ns0:is>
          <ns0:t>Beneath the Skin of the Sea</ns0:t>
        </ns0:is>
      </ns0:c>
      <ns0:c r="G108" s="7" t="inlineStr">
        <ns0:is>
          <ns0:t>RO</ns0:t>
        </ns0:is>
      </ns0:c>
      <ns0:c r="H108" s="7" t="inlineStr">
        <ns0:is>
          <ns0:t>EN</ns0:t>
        </ns0:is>
      </ns0:c>
      <ns0:c r="I108" s="7" t="inlineStr">
        <ns0:is>
          <ns0:t>Traducere EN→RO</ns0:t>
        </ns0:is>
      </ns0:c>
      <ns0:c r="J108" s="11" t="inlineStr">
        <ns0:is>
          <ns0:t>Planificat</ns0:t>
        </ns0:is>
      </ns0:c>
      <ns0:c r="K108" s="11" t="inlineStr">
        <ns0:is>
          <ns0:t>De desemnat</ns0:t>
        </ns0:is>
      </ns0:c>
      <ns0:c r="L108" s="8">
        <ns0:f>Catalog_100!I37</ns0:f>
        <ns0:v>80000</ns0:v>
      </ns0:c>
      <ns0:c r="M108" s="13">
        <ns0:f>Catalog_100!J37</ns0:f>
        <ns0:v>46298.0</ns0:v>
      </ns0:c>
      <ns0:c r="N108" s="13">
        <ns0:f>Catalog_100!K37</ns0:f>
        <ns0:v>46301.0</ns0:v>
      </ns0:c>
      <ns0:c r="O108" s="13">
        <ns0:f>Catalog_100!L37</ns0:f>
        <ns0:v>46303.0</ns0:v>
      </ns0:c>
      <ns0:c r="P108" s="13">
        <ns0:f>Catalog_100!M37</ns0:f>
        <ns0:v>46305.0</ns0:v>
      </ns0:c>
      <ns0:c r="Q108" s="11" t="inlineStr"/>
      <ns0:c r="R108" s="10" t="inlineStr"/>
      <ns0:c r="S108" s="11" t="inlineStr"/>
      <ns0:c r="T108" s="11" t="inlineStr"/>
      <ns0:c r="U108" s="11" t="inlineStr"/>
      <ns0:c r="V108" s="11" t="inlineStr">
        <ns0:is>
          <ns0:t>Neconfirmat</ns0:t>
        </ns0:is>
      </ns0:c>
      <ns0:c r="W108" s="11" t="inlineStr">
        <ns0:is>
          <ns0:t>Fără ediție finală confirmată</ns0:t>
        </ns0:is>
      </ns0:c>
      <ns0:c r="X108" s="7">
        <ns0:f>IF(AND(J108="Publicat",Q108&lt;&gt;"",ISNUMBER(R108),S108&lt;&gt;"",U108&lt;&gt;"",V108="Confirmat"),1,0)</ns0:f>
        <ns0:v>0</ns0:v>
      </ns0:c>
    </ns0:row>
    <ns0:row r="109" ht="46" customHeight="1">
      <ns0:c r="A109" s="7" t="inlineStr">
        <ns0:is>
          <ns0:t>DB-036-DE</ns0:t>
        </ns0:is>
      </ns0:c>
      <ns0:c r="B109" s="7" t="inlineStr">
        <ns0:is>
          <ns0:t>DB-036</ns0:t>
        </ns0:is>
      </ns0:c>
      <ns0:c r="C109" s="7" t="inlineStr">
        <ns0:is>
          <ns0:t>AMORIS</ns0:t>
        </ns0:is>
      </ns0:c>
      <ns0:c r="D109" s="7" t="inlineStr">
        <ns0:is>
          <ns0:t>Alex Damian</ns0:t>
        </ns0:is>
      </ns0:c>
      <ns0:c r="E109" s="8" t="n">
        <ns0:v>1</ns0:v>
      </ns0:c>
      <ns0:c r="F109" s="7" t="inlineStr">
        <ns0:is>
          <ns0:t>Beneath the Skin of the Sea</ns0:t>
        </ns0:is>
      </ns0:c>
      <ns0:c r="G109" s="7" t="inlineStr">
        <ns0:is>
          <ns0:t>DE</ns0:t>
        </ns0:is>
      </ns0:c>
      <ns0:c r="H109" s="7" t="inlineStr">
        <ns0:is>
          <ns0:t>EN</ns0:t>
        </ns0:is>
      </ns0:c>
      <ns0:c r="I109" s="7" t="inlineStr">
        <ns0:is>
          <ns0:t>Traducere EN→DE</ns0:t>
        </ns0:is>
      </ns0:c>
      <ns0:c r="J109" s="11" t="inlineStr">
        <ns0:is>
          <ns0:t>Planificat</ns0:t>
        </ns0:is>
      </ns0:c>
      <ns0:c r="K109" s="11" t="inlineStr">
        <ns0:is>
          <ns0:t>De desemnat</ns0:t>
        </ns0:is>
      </ns0:c>
      <ns0:c r="L109" s="8">
        <ns0:f>Catalog_100!I37</ns0:f>
        <ns0:v>80000</ns0:v>
      </ns0:c>
      <ns0:c r="M109" s="13">
        <ns0:f>Catalog_100!J37</ns0:f>
        <ns0:v>46298.0</ns0:v>
      </ns0:c>
      <ns0:c r="N109" s="13">
        <ns0:f>Catalog_100!K37</ns0:f>
        <ns0:v>46301.0</ns0:v>
      </ns0:c>
      <ns0:c r="O109" s="13">
        <ns0:f>Catalog_100!L37</ns0:f>
        <ns0:v>46303.0</ns0:v>
      </ns0:c>
      <ns0:c r="P109" s="13">
        <ns0:f>Catalog_100!M37</ns0:f>
        <ns0:v>46305.0</ns0:v>
      </ns0:c>
      <ns0:c r="Q109" s="11" t="inlineStr"/>
      <ns0:c r="R109" s="10" t="inlineStr"/>
      <ns0:c r="S109" s="11" t="inlineStr"/>
      <ns0:c r="T109" s="11" t="inlineStr"/>
      <ns0:c r="U109" s="11" t="inlineStr"/>
      <ns0:c r="V109" s="11" t="inlineStr">
        <ns0:is>
          <ns0:t>Neconfirmat</ns0:t>
        </ns0:is>
      </ns0:c>
      <ns0:c r="W109" s="11" t="inlineStr">
        <ns0:is>
          <ns0:t>Fără ediție finală confirmată</ns0:t>
        </ns0:is>
      </ns0:c>
      <ns0:c r="X109" s="7">
        <ns0:f>IF(AND(J109="Publicat",Q109&lt;&gt;"",ISNUMBER(R109),S109&lt;&gt;"",U109&lt;&gt;"",V109="Confirmat"),1,0)</ns0:f>
        <ns0:v>0</ns0:v>
      </ns0:c>
    </ns0:row>
    <ns0:row r="110" ht="46" customHeight="1">
      <ns0:c r="A110" s="7" t="inlineStr">
        <ns0:is>
          <ns0:t>DB-037-EN</ns0:t>
        </ns0:is>
      </ns0:c>
      <ns0:c r="B110" s="7" t="inlineStr">
        <ns0:is>
          <ns0:t>DB-037</ns0:t>
        </ns0:is>
      </ns0:c>
      <ns0:c r="C110" s="7" t="inlineStr">
        <ns0:is>
          <ns0:t>AMORIS</ns0:t>
        </ns0:is>
      </ns0:c>
      <ns0:c r="D110" s="7" t="inlineStr">
        <ns0:is>
          <ns0:t>Alex Damian</ns0:t>
        </ns0:is>
      </ns0:c>
      <ns0:c r="E110" s="8" t="n">
        <ns0:v>2</ns0:v>
      </ns0:c>
      <ns0:c r="F110" s="7" t="inlineStr">
        <ns0:is>
          <ns0:t>Shadows in the Port</ns0:t>
        </ns0:is>
      </ns0:c>
      <ns0:c r="G110" s="7" t="inlineStr">
        <ns0:is>
          <ns0:t>EN</ns0:t>
        </ns0:is>
      </ns0:c>
      <ns0:c r="H110" s="7" t="inlineStr">
        <ns0:is>
          <ns0:t>EN</ns0:t>
        </ns0:is>
      </ns0:c>
      <ns0:c r="I110" s="7" t="inlineStr">
        <ns0:is>
          <ns0:t>Editare fond</ns0:t>
        </ns0:is>
      </ns0:c>
      <ns0:c r="J110" s="11" t="inlineStr">
        <ns0:is>
          <ns0:t>Manuscris existent</ns0:t>
        </ns0:is>
      </ns0:c>
      <ns0:c r="K110" s="11" t="inlineStr">
        <ns0:is>
          <ns0:t>De desemnat</ns0:t>
        </ns0:is>
      </ns0:c>
      <ns0:c r="L110" s="8">
        <ns0:f>Catalog_100!I38</ns0:f>
        <ns0:v>90000</ns0:v>
      </ns0:c>
      <ns0:c r="M110" s="13">
        <ns0:f>Catalog_100!J38</ns0:f>
        <ns0:v>46305.0</ns0:v>
      </ns0:c>
      <ns0:c r="N110" s="13">
        <ns0:f>Catalog_100!K38</ns0:f>
        <ns0:v>46315.0</ns0:v>
      </ns0:c>
      <ns0:c r="O110" s="13">
        <ns0:f>Catalog_100!L38</ns0:f>
        <ns0:v>46317.0</ns0:v>
      </ns0:c>
      <ns0:c r="P110" s="13">
        <ns0:f>Catalog_100!M38</ns0:f>
        <ns0:v>46319.0</ns0:v>
      </ns0:c>
      <ns0:c r="Q110" s="11" t="inlineStr"/>
      <ns0:c r="R110" s="10" t="inlineStr"/>
      <ns0:c r="S110" s="11" t="inlineStr"/>
      <ns0:c r="T110" s="11" t="inlineStr"/>
      <ns0:c r="U110" s="11" t="inlineStr"/>
      <ns0:c r="V110" s="11" t="inlineStr">
        <ns0:is>
          <ns0:t>Neconfirmat</ns0:t>
        </ns0:is>
      </ns0:c>
      <ns0:c r="W110" s="11" t="inlineStr">
        <ns0:is>
          <ns0:t>Alex/Elena și început apropiat de Beneath; verificare sequel vs rescriere; heading 5 neidentificat.</ns0:t>
        </ns0:is>
      </ns0:c>
      <ns0:c r="X110" s="7">
        <ns0:f>IF(AND(J110="Publicat",Q110&lt;&gt;"",ISNUMBER(R110),S110&lt;&gt;"",U110&lt;&gt;"",V110="Confirmat"),1,0)</ns0:f>
        <ns0:v>0</ns0:v>
      </ns0:c>
    </ns0:row>
    <ns0:row r="111" ht="46" customHeight="1">
      <ns0:c r="A111" s="7" t="inlineStr">
        <ns0:is>
          <ns0:t>DB-037-RO</ns0:t>
        </ns0:is>
      </ns0:c>
      <ns0:c r="B111" s="7" t="inlineStr">
        <ns0:is>
          <ns0:t>DB-037</ns0:t>
        </ns0:is>
      </ns0:c>
      <ns0:c r="C111" s="7" t="inlineStr">
        <ns0:is>
          <ns0:t>AMORIS</ns0:t>
        </ns0:is>
      </ns0:c>
      <ns0:c r="D111" s="7" t="inlineStr">
        <ns0:is>
          <ns0:t>Alex Damian</ns0:t>
        </ns0:is>
      </ns0:c>
      <ns0:c r="E111" s="8" t="n">
        <ns0:v>2</ns0:v>
      </ns0:c>
      <ns0:c r="F111" s="7" t="inlineStr">
        <ns0:is>
          <ns0:t>Shadows in the Port</ns0:t>
        </ns0:is>
      </ns0:c>
      <ns0:c r="G111" s="7" t="inlineStr">
        <ns0:is>
          <ns0:t>RO</ns0:t>
        </ns0:is>
      </ns0:c>
      <ns0:c r="H111" s="7" t="inlineStr">
        <ns0:is>
          <ns0:t>EN</ns0:t>
        </ns0:is>
      </ns0:c>
      <ns0:c r="I111" s="7" t="inlineStr">
        <ns0:is>
          <ns0:t>Traducere EN→RO</ns0:t>
        </ns0:is>
      </ns0:c>
      <ns0:c r="J111" s="11" t="inlineStr">
        <ns0:is>
          <ns0:t>Planificat</ns0:t>
        </ns0:is>
      </ns0:c>
      <ns0:c r="K111" s="11" t="inlineStr">
        <ns0:is>
          <ns0:t>De desemnat</ns0:t>
        </ns0:is>
      </ns0:c>
      <ns0:c r="L111" s="8">
        <ns0:f>Catalog_100!I38</ns0:f>
        <ns0:v>90000</ns0:v>
      </ns0:c>
      <ns0:c r="M111" s="13">
        <ns0:f>Catalog_100!J38</ns0:f>
        <ns0:v>46305.0</ns0:v>
      </ns0:c>
      <ns0:c r="N111" s="13">
        <ns0:f>Catalog_100!K38</ns0:f>
        <ns0:v>46315.0</ns0:v>
      </ns0:c>
      <ns0:c r="O111" s="13">
        <ns0:f>Catalog_100!L38</ns0:f>
        <ns0:v>46317.0</ns0:v>
      </ns0:c>
      <ns0:c r="P111" s="13">
        <ns0:f>Catalog_100!M38</ns0:f>
        <ns0:v>46319.0</ns0:v>
      </ns0:c>
      <ns0:c r="Q111" s="11" t="inlineStr"/>
      <ns0:c r="R111" s="10" t="inlineStr"/>
      <ns0:c r="S111" s="11" t="inlineStr"/>
      <ns0:c r="T111" s="11" t="inlineStr"/>
      <ns0:c r="U111" s="11" t="inlineStr"/>
      <ns0:c r="V111" s="11" t="inlineStr">
        <ns0:is>
          <ns0:t>Neconfirmat</ns0:t>
        </ns0:is>
      </ns0:c>
      <ns0:c r="W111" s="11" t="inlineStr">
        <ns0:is>
          <ns0:t>Fără ediție finală confirmată</ns0:t>
        </ns0:is>
      </ns0:c>
      <ns0:c r="X111" s="7">
        <ns0:f>IF(AND(J111="Publicat",Q111&lt;&gt;"",ISNUMBER(R111),S111&lt;&gt;"",U111&lt;&gt;"",V111="Confirmat"),1,0)</ns0:f>
        <ns0:v>0</ns0:v>
      </ns0:c>
    </ns0:row>
    <ns0:row r="112" ht="46" customHeight="1">
      <ns0:c r="A112" s="7" t="inlineStr">
        <ns0:is>
          <ns0:t>DB-037-DE</ns0:t>
        </ns0:is>
      </ns0:c>
      <ns0:c r="B112" s="7" t="inlineStr">
        <ns0:is>
          <ns0:t>DB-037</ns0:t>
        </ns0:is>
      </ns0:c>
      <ns0:c r="C112" s="7" t="inlineStr">
        <ns0:is>
          <ns0:t>AMORIS</ns0:t>
        </ns0:is>
      </ns0:c>
      <ns0:c r="D112" s="7" t="inlineStr">
        <ns0:is>
          <ns0:t>Alex Damian</ns0:t>
        </ns0:is>
      </ns0:c>
      <ns0:c r="E112" s="8" t="n">
        <ns0:v>2</ns0:v>
      </ns0:c>
      <ns0:c r="F112" s="7" t="inlineStr">
        <ns0:is>
          <ns0:t>Shadows in the Port</ns0:t>
        </ns0:is>
      </ns0:c>
      <ns0:c r="G112" s="7" t="inlineStr">
        <ns0:is>
          <ns0:t>DE</ns0:t>
        </ns0:is>
      </ns0:c>
      <ns0:c r="H112" s="7" t="inlineStr">
        <ns0:is>
          <ns0:t>EN</ns0:t>
        </ns0:is>
      </ns0:c>
      <ns0:c r="I112" s="7" t="inlineStr">
        <ns0:is>
          <ns0:t>Traducere EN→DE</ns0:t>
        </ns0:is>
      </ns0:c>
      <ns0:c r="J112" s="11" t="inlineStr">
        <ns0:is>
          <ns0:t>Planificat</ns0:t>
        </ns0:is>
      </ns0:c>
      <ns0:c r="K112" s="11" t="inlineStr">
        <ns0:is>
          <ns0:t>De desemnat</ns0:t>
        </ns0:is>
      </ns0:c>
      <ns0:c r="L112" s="8">
        <ns0:f>Catalog_100!I38</ns0:f>
        <ns0:v>90000</ns0:v>
      </ns0:c>
      <ns0:c r="M112" s="13">
        <ns0:f>Catalog_100!J38</ns0:f>
        <ns0:v>46305.0</ns0:v>
      </ns0:c>
      <ns0:c r="N112" s="13">
        <ns0:f>Catalog_100!K38</ns0:f>
        <ns0:v>46315.0</ns0:v>
      </ns0:c>
      <ns0:c r="O112" s="13">
        <ns0:f>Catalog_100!L38</ns0:f>
        <ns0:v>46317.0</ns0:v>
      </ns0:c>
      <ns0:c r="P112" s="13">
        <ns0:f>Catalog_100!M38</ns0:f>
        <ns0:v>46319.0</ns0:v>
      </ns0:c>
      <ns0:c r="Q112" s="11" t="inlineStr"/>
      <ns0:c r="R112" s="10" t="inlineStr"/>
      <ns0:c r="S112" s="11" t="inlineStr"/>
      <ns0:c r="T112" s="11" t="inlineStr"/>
      <ns0:c r="U112" s="11" t="inlineStr"/>
      <ns0:c r="V112" s="11" t="inlineStr">
        <ns0:is>
          <ns0:t>Neconfirmat</ns0:t>
        </ns0:is>
      </ns0:c>
      <ns0:c r="W112" s="11" t="inlineStr">
        <ns0:is>
          <ns0:t>Fără ediție finală confirmată</ns0:t>
        </ns0:is>
      </ns0:c>
      <ns0:c r="X112" s="7">
        <ns0:f>IF(AND(J112="Publicat",Q112&lt;&gt;"",ISNUMBER(R112),S112&lt;&gt;"",U112&lt;&gt;"",V112="Confirmat"),1,0)</ns0:f>
        <ns0:v>0</ns0:v>
      </ns0:c>
    </ns0:row>
    <ns0:row r="113" ht="46" customHeight="1">
      <ns0:c r="A113" s="7" t="inlineStr">
        <ns0:is>
          <ns0:t>DB-038-EN</ns0:t>
        </ns0:is>
      </ns0:c>
      <ns0:c r="B113" s="7" t="inlineStr">
        <ns0:is>
          <ns0:t>DB-038</ns0:t>
        </ns0:is>
      </ns0:c>
      <ns0:c r="C113" s="7" t="inlineStr">
        <ns0:is>
          <ns0:t>AMORIS</ns0:t>
        </ns0:is>
      </ns0:c>
      <ns0:c r="D113" s="7" t="inlineStr">
        <ns0:is>
          <ns0:t>Alex Damian</ns0:t>
        </ns0:is>
      </ns0:c>
      <ns0:c r="E113" s="8" t="n">
        <ns0:v>3</ns0:v>
      </ns0:c>
      <ns0:c r="F113" s="7" t="inlineStr">
        <ns0:is>
          <ns0:t>The Last Sunset in Santorini</ns0:t>
        </ns0:is>
      </ns0:c>
      <ns0:c r="G113" s="7" t="inlineStr">
        <ns0:is>
          <ns0:t>EN</ns0:t>
        </ns0:is>
      </ns0:c>
      <ns0:c r="H113" s="7" t="inlineStr">
        <ns0:is>
          <ns0:t>EN</ns0:t>
        </ns0:is>
      </ns0:c>
      <ns0:c r="I113" s="7" t="inlineStr">
        <ns0:is>
          <ns0:t>Scriere nouă</ns0:t>
        </ns0:is>
      </ns0:c>
      <ns0:c r="J113" s="11" t="inlineStr">
        <ns0:is>
          <ns0:t>Planificat</ns0:t>
        </ns0:is>
      </ns0:c>
      <ns0:c r="K113" s="11" t="inlineStr">
        <ns0:is>
          <ns0:t>De desemnat</ns0:t>
        </ns0:is>
      </ns0:c>
      <ns0:c r="L113" s="8">
        <ns0:f>Catalog_100!I39</ns0:f>
        <ns0:v>60000</ns0:v>
      </ns0:c>
      <ns0:c r="M113" s="13">
        <ns0:f>Catalog_100!J39</ns0:f>
        <ns0:v>46318.0</ns0:v>
      </ns0:c>
      <ns0:c r="N113" s="13">
        <ns0:f>Catalog_100!K39</ns0:f>
        <ns0:v>46336.0</ns0:v>
      </ns0:c>
      <ns0:c r="O113" s="13">
        <ns0:f>Catalog_100!L39</ns0:f>
        <ns0:v>46338.0</ns0:v>
      </ns0:c>
      <ns0:c r="P113" s="13">
        <ns0:f>Catalog_100!M39</ns0:f>
        <ns0:v>46340.0</ns0:v>
      </ns0:c>
      <ns0:c r="Q113" s="11" t="inlineStr"/>
      <ns0:c r="R113" s="10" t="inlineStr"/>
      <ns0:c r="S113" s="11" t="inlineStr"/>
      <ns0:c r="T113" s="11" t="inlineStr"/>
      <ns0:c r="U113" s="11" t="inlineStr"/>
      <ns0:c r="V113" s="11" t="inlineStr">
        <ns0:is>
          <ns0:t>Neconfirmat</ns0:t>
        </ns0:is>
      </ns0:c>
      <ns0:c r="W113" s="11" t="inlineStr">
        <ns0:is>
          <ns0:t>Fără ediție finală confirmată</ns0:t>
        </ns0:is>
      </ns0:c>
      <ns0:c r="X113" s="7">
        <ns0:f>IF(AND(J113="Publicat",Q113&lt;&gt;"",ISNUMBER(R113),S113&lt;&gt;"",U113&lt;&gt;"",V113="Confirmat"),1,0)</ns0:f>
        <ns0:v>0</ns0:v>
      </ns0:c>
    </ns0:row>
    <ns0:row r="114" ht="46" customHeight="1">
      <ns0:c r="A114" s="7" t="inlineStr">
        <ns0:is>
          <ns0:t>DB-038-RO</ns0:t>
        </ns0:is>
      </ns0:c>
      <ns0:c r="B114" s="7" t="inlineStr">
        <ns0:is>
          <ns0:t>DB-038</ns0:t>
        </ns0:is>
      </ns0:c>
      <ns0:c r="C114" s="7" t="inlineStr">
        <ns0:is>
          <ns0:t>AMORIS</ns0:t>
        </ns0:is>
      </ns0:c>
      <ns0:c r="D114" s="7" t="inlineStr">
        <ns0:is>
          <ns0:t>Alex Damian</ns0:t>
        </ns0:is>
      </ns0:c>
      <ns0:c r="E114" s="8" t="n">
        <ns0:v>3</ns0:v>
      </ns0:c>
      <ns0:c r="F114" s="7" t="inlineStr">
        <ns0:is>
          <ns0:t>The Last Sunset in Santorini</ns0:t>
        </ns0:is>
      </ns0:c>
      <ns0:c r="G114" s="7" t="inlineStr">
        <ns0:is>
          <ns0:t>RO</ns0:t>
        </ns0:is>
      </ns0:c>
      <ns0:c r="H114" s="7" t="inlineStr">
        <ns0:is>
          <ns0:t>EN</ns0:t>
        </ns0:is>
      </ns0:c>
      <ns0:c r="I114" s="7" t="inlineStr">
        <ns0:is>
          <ns0:t>Traducere EN→RO</ns0:t>
        </ns0:is>
      </ns0:c>
      <ns0:c r="J114" s="11" t="inlineStr">
        <ns0:is>
          <ns0:t>Planificat</ns0:t>
        </ns0:is>
      </ns0:c>
      <ns0:c r="K114" s="11" t="inlineStr">
        <ns0:is>
          <ns0:t>De desemnat</ns0:t>
        </ns0:is>
      </ns0:c>
      <ns0:c r="L114" s="8">
        <ns0:f>Catalog_100!I39</ns0:f>
        <ns0:v>60000</ns0:v>
      </ns0:c>
      <ns0:c r="M114" s="13">
        <ns0:f>Catalog_100!J39</ns0:f>
        <ns0:v>46318.0</ns0:v>
      </ns0:c>
      <ns0:c r="N114" s="13">
        <ns0:f>Catalog_100!K39</ns0:f>
        <ns0:v>46336.0</ns0:v>
      </ns0:c>
      <ns0:c r="O114" s="13">
        <ns0:f>Catalog_100!L39</ns0:f>
        <ns0:v>46338.0</ns0:v>
      </ns0:c>
      <ns0:c r="P114" s="13">
        <ns0:f>Catalog_100!M39</ns0:f>
        <ns0:v>46340.0</ns0:v>
      </ns0:c>
      <ns0:c r="Q114" s="11" t="inlineStr"/>
      <ns0:c r="R114" s="10" t="inlineStr"/>
      <ns0:c r="S114" s="11" t="inlineStr"/>
      <ns0:c r="T114" s="11" t="inlineStr"/>
      <ns0:c r="U114" s="11" t="inlineStr"/>
      <ns0:c r="V114" s="11" t="inlineStr">
        <ns0:is>
          <ns0:t>Neconfirmat</ns0:t>
        </ns0:is>
      </ns0:c>
      <ns0:c r="W114" s="11" t="inlineStr">
        <ns0:is>
          <ns0:t>Fără ediție finală confirmată</ns0:t>
        </ns0:is>
      </ns0:c>
      <ns0:c r="X114" s="7">
        <ns0:f>IF(AND(J114="Publicat",Q114&lt;&gt;"",ISNUMBER(R114),S114&lt;&gt;"",U114&lt;&gt;"",V114="Confirmat"),1,0)</ns0:f>
        <ns0:v>0</ns0:v>
      </ns0:c>
    </ns0:row>
    <ns0:row r="115" ht="46" customHeight="1">
      <ns0:c r="A115" s="7" t="inlineStr">
        <ns0:is>
          <ns0:t>DB-038-DE</ns0:t>
        </ns0:is>
      </ns0:c>
      <ns0:c r="B115" s="7" t="inlineStr">
        <ns0:is>
          <ns0:t>DB-038</ns0:t>
        </ns0:is>
      </ns0:c>
      <ns0:c r="C115" s="7" t="inlineStr">
        <ns0:is>
          <ns0:t>AMORIS</ns0:t>
        </ns0:is>
      </ns0:c>
      <ns0:c r="D115" s="7" t="inlineStr">
        <ns0:is>
          <ns0:t>Alex Damian</ns0:t>
        </ns0:is>
      </ns0:c>
      <ns0:c r="E115" s="8" t="n">
        <ns0:v>3</ns0:v>
      </ns0:c>
      <ns0:c r="F115" s="7" t="inlineStr">
        <ns0:is>
          <ns0:t>The Last Sunset in Santorini</ns0:t>
        </ns0:is>
      </ns0:c>
      <ns0:c r="G115" s="7" t="inlineStr">
        <ns0:is>
          <ns0:t>DE</ns0:t>
        </ns0:is>
      </ns0:c>
      <ns0:c r="H115" s="7" t="inlineStr">
        <ns0:is>
          <ns0:t>EN</ns0:t>
        </ns0:is>
      </ns0:c>
      <ns0:c r="I115" s="7" t="inlineStr">
        <ns0:is>
          <ns0:t>Traducere EN→DE</ns0:t>
        </ns0:is>
      </ns0:c>
      <ns0:c r="J115" s="11" t="inlineStr">
        <ns0:is>
          <ns0:t>Planificat</ns0:t>
        </ns0:is>
      </ns0:c>
      <ns0:c r="K115" s="11" t="inlineStr">
        <ns0:is>
          <ns0:t>De desemnat</ns0:t>
        </ns0:is>
      </ns0:c>
      <ns0:c r="L115" s="8">
        <ns0:f>Catalog_100!I39</ns0:f>
        <ns0:v>60000</ns0:v>
      </ns0:c>
      <ns0:c r="M115" s="13">
        <ns0:f>Catalog_100!J39</ns0:f>
        <ns0:v>46318.0</ns0:v>
      </ns0:c>
      <ns0:c r="N115" s="13">
        <ns0:f>Catalog_100!K39</ns0:f>
        <ns0:v>46336.0</ns0:v>
      </ns0:c>
      <ns0:c r="O115" s="13">
        <ns0:f>Catalog_100!L39</ns0:f>
        <ns0:v>46338.0</ns0:v>
      </ns0:c>
      <ns0:c r="P115" s="13">
        <ns0:f>Catalog_100!M39</ns0:f>
        <ns0:v>46340.0</ns0:v>
      </ns0:c>
      <ns0:c r="Q115" s="11" t="inlineStr"/>
      <ns0:c r="R115" s="10" t="inlineStr"/>
      <ns0:c r="S115" s="11" t="inlineStr"/>
      <ns0:c r="T115" s="11" t="inlineStr"/>
      <ns0:c r="U115" s="11" t="inlineStr"/>
      <ns0:c r="V115" s="11" t="inlineStr">
        <ns0:is>
          <ns0:t>Neconfirmat</ns0:t>
        </ns0:is>
      </ns0:c>
      <ns0:c r="W115" s="11" t="inlineStr">
        <ns0:is>
          <ns0:t>Fără ediție finală confirmată</ns0:t>
        </ns0:is>
      </ns0:c>
      <ns0:c r="X115" s="7">
        <ns0:f>IF(AND(J115="Publicat",Q115&lt;&gt;"",ISNUMBER(R115),S115&lt;&gt;"",U115&lt;&gt;"",V115="Confirmat"),1,0)</ns0:f>
        <ns0:v>0</ns0:v>
      </ns0:c>
    </ns0:row>
    <ns0:row r="116" ht="46" customHeight="1">
      <ns0:c r="A116" s="7" t="inlineStr">
        <ns0:is>
          <ns0:t>DB-039-EN</ns0:t>
        </ns0:is>
      </ns0:c>
      <ns0:c r="B116" s="7" t="inlineStr">
        <ns0:is>
          <ns0:t>DB-039</ns0:t>
        </ns0:is>
      </ns0:c>
      <ns0:c r="C116" s="7" t="inlineStr">
        <ns0:is>
          <ns0:t>AMORIS</ns0:t>
        </ns0:is>
      </ns0:c>
      <ns0:c r="D116" s="7" t="inlineStr">
        <ns0:is>
          <ns0:t>Alex Damian</ns0:t>
        </ns0:is>
      </ns0:c>
      <ns0:c r="E116" s="8" t="n">
        <ns0:v>4</ns0:v>
      </ns0:c>
      <ns0:c r="F116" s="7" t="inlineStr">
        <ns0:is>
          <ns0:t>Breath of the Deep</ns0:t>
        </ns0:is>
      </ns0:c>
      <ns0:c r="G116" s="7" t="inlineStr">
        <ns0:is>
          <ns0:t>EN</ns0:t>
        </ns0:is>
      </ns0:c>
      <ns0:c r="H116" s="7" t="inlineStr">
        <ns0:is>
          <ns0:t>EN</ns0:t>
        </ns0:is>
      </ns0:c>
      <ns0:c r="I116" s="7" t="inlineStr">
        <ns0:is>
          <ns0:t>Scriere nouă</ns0:t>
        </ns0:is>
      </ns0:c>
      <ns0:c r="J116" s="11" t="inlineStr">
        <ns0:is>
          <ns0:t>Planificat</ns0:t>
        </ns0:is>
      </ns0:c>
      <ns0:c r="K116" s="11" t="inlineStr">
        <ns0:is>
          <ns0:t>De desemnat</ns0:t>
        </ns0:is>
      </ns0:c>
      <ns0:c r="L116" s="8">
        <ns0:f>Catalog_100!I40</ns0:f>
        <ns0:v>60000</ns0:v>
      </ns0:c>
      <ns0:c r="M116" s="13">
        <ns0:f>Catalog_100!J40</ns0:f>
        <ns0:v>46318.0</ns0:v>
      </ns0:c>
      <ns0:c r="N116" s="13">
        <ns0:f>Catalog_100!K40</ns0:f>
        <ns0:v>46336.0</ns0:v>
      </ns0:c>
      <ns0:c r="O116" s="13">
        <ns0:f>Catalog_100!L40</ns0:f>
        <ns0:v>46338.0</ns0:v>
      </ns0:c>
      <ns0:c r="P116" s="13">
        <ns0:f>Catalog_100!M40</ns0:f>
        <ns0:v>46340.0</ns0:v>
      </ns0:c>
      <ns0:c r="Q116" s="11" t="inlineStr"/>
      <ns0:c r="R116" s="10" t="inlineStr"/>
      <ns0:c r="S116" s="11" t="inlineStr"/>
      <ns0:c r="T116" s="11" t="inlineStr"/>
      <ns0:c r="U116" s="11" t="inlineStr"/>
      <ns0:c r="V116" s="11" t="inlineStr">
        <ns0:is>
          <ns0:t>Neconfirmat</ns0:t>
        </ns0:is>
      </ns0:c>
      <ns0:c r="W116" s="11" t="inlineStr">
        <ns0:is>
          <ns0:t>Fără ediție finală confirmată</ns0:t>
        </ns0:is>
      </ns0:c>
      <ns0:c r="X116" s="7">
        <ns0:f>IF(AND(J116="Publicat",Q116&lt;&gt;"",ISNUMBER(R116),S116&lt;&gt;"",U116&lt;&gt;"",V116="Confirmat"),1,0)</ns0:f>
        <ns0:v>0</ns0:v>
      </ns0:c>
    </ns0:row>
    <ns0:row r="117" ht="46" customHeight="1">
      <ns0:c r="A117" s="7" t="inlineStr">
        <ns0:is>
          <ns0:t>DB-039-RO</ns0:t>
        </ns0:is>
      </ns0:c>
      <ns0:c r="B117" s="7" t="inlineStr">
        <ns0:is>
          <ns0:t>DB-039</ns0:t>
        </ns0:is>
      </ns0:c>
      <ns0:c r="C117" s="7" t="inlineStr">
        <ns0:is>
          <ns0:t>AMORIS</ns0:t>
        </ns0:is>
      </ns0:c>
      <ns0:c r="D117" s="7" t="inlineStr">
        <ns0:is>
          <ns0:t>Alex Damian</ns0:t>
        </ns0:is>
      </ns0:c>
      <ns0:c r="E117" s="8" t="n">
        <ns0:v>4</ns0:v>
      </ns0:c>
      <ns0:c r="F117" s="7" t="inlineStr">
        <ns0:is>
          <ns0:t>Breath of the Deep</ns0:t>
        </ns0:is>
      </ns0:c>
      <ns0:c r="G117" s="7" t="inlineStr">
        <ns0:is>
          <ns0:t>RO</ns0:t>
        </ns0:is>
      </ns0:c>
      <ns0:c r="H117" s="7" t="inlineStr">
        <ns0:is>
          <ns0:t>EN</ns0:t>
        </ns0:is>
      </ns0:c>
      <ns0:c r="I117" s="7" t="inlineStr">
        <ns0:is>
          <ns0:t>Traducere EN→RO</ns0:t>
        </ns0:is>
      </ns0:c>
      <ns0:c r="J117" s="11" t="inlineStr">
        <ns0:is>
          <ns0:t>Planificat</ns0:t>
        </ns0:is>
      </ns0:c>
      <ns0:c r="K117" s="11" t="inlineStr">
        <ns0:is>
          <ns0:t>De desemnat</ns0:t>
        </ns0:is>
      </ns0:c>
      <ns0:c r="L117" s="8">
        <ns0:f>Catalog_100!I40</ns0:f>
        <ns0:v>60000</ns0:v>
      </ns0:c>
      <ns0:c r="M117" s="13">
        <ns0:f>Catalog_100!J40</ns0:f>
        <ns0:v>46318.0</ns0:v>
      </ns0:c>
      <ns0:c r="N117" s="13">
        <ns0:f>Catalog_100!K40</ns0:f>
        <ns0:v>46336.0</ns0:v>
      </ns0:c>
      <ns0:c r="O117" s="13">
        <ns0:f>Catalog_100!L40</ns0:f>
        <ns0:v>46338.0</ns0:v>
      </ns0:c>
      <ns0:c r="P117" s="13">
        <ns0:f>Catalog_100!M40</ns0:f>
        <ns0:v>46340.0</ns0:v>
      </ns0:c>
      <ns0:c r="Q117" s="11" t="inlineStr"/>
      <ns0:c r="R117" s="10" t="inlineStr"/>
      <ns0:c r="S117" s="11" t="inlineStr"/>
      <ns0:c r="T117" s="11" t="inlineStr"/>
      <ns0:c r="U117" s="11" t="inlineStr"/>
      <ns0:c r="V117" s="11" t="inlineStr">
        <ns0:is>
          <ns0:t>Neconfirmat</ns0:t>
        </ns0:is>
      </ns0:c>
      <ns0:c r="W117" s="11" t="inlineStr">
        <ns0:is>
          <ns0:t>Fără ediție finală confirmată</ns0:t>
        </ns0:is>
      </ns0:c>
      <ns0:c r="X117" s="7">
        <ns0:f>IF(AND(J117="Publicat",Q117&lt;&gt;"",ISNUMBER(R117),S117&lt;&gt;"",U117&lt;&gt;"",V117="Confirmat"),1,0)</ns0:f>
        <ns0:v>0</ns0:v>
      </ns0:c>
    </ns0:row>
    <ns0:row r="118" ht="46" customHeight="1">
      <ns0:c r="A118" s="7" t="inlineStr">
        <ns0:is>
          <ns0:t>DB-039-DE</ns0:t>
        </ns0:is>
      </ns0:c>
      <ns0:c r="B118" s="7" t="inlineStr">
        <ns0:is>
          <ns0:t>DB-039</ns0:t>
        </ns0:is>
      </ns0:c>
      <ns0:c r="C118" s="7" t="inlineStr">
        <ns0:is>
          <ns0:t>AMORIS</ns0:t>
        </ns0:is>
      </ns0:c>
      <ns0:c r="D118" s="7" t="inlineStr">
        <ns0:is>
          <ns0:t>Alex Damian</ns0:t>
        </ns0:is>
      </ns0:c>
      <ns0:c r="E118" s="8" t="n">
        <ns0:v>4</ns0:v>
      </ns0:c>
      <ns0:c r="F118" s="7" t="inlineStr">
        <ns0:is>
          <ns0:t>Breath of the Deep</ns0:t>
        </ns0:is>
      </ns0:c>
      <ns0:c r="G118" s="7" t="inlineStr">
        <ns0:is>
          <ns0:t>DE</ns0:t>
        </ns0:is>
      </ns0:c>
      <ns0:c r="H118" s="7" t="inlineStr">
        <ns0:is>
          <ns0:t>EN</ns0:t>
        </ns0:is>
      </ns0:c>
      <ns0:c r="I118" s="7" t="inlineStr">
        <ns0:is>
          <ns0:t>Traducere EN→DE</ns0:t>
        </ns0:is>
      </ns0:c>
      <ns0:c r="J118" s="11" t="inlineStr">
        <ns0:is>
          <ns0:t>Planificat</ns0:t>
        </ns0:is>
      </ns0:c>
      <ns0:c r="K118" s="11" t="inlineStr">
        <ns0:is>
          <ns0:t>De desemnat</ns0:t>
        </ns0:is>
      </ns0:c>
      <ns0:c r="L118" s="8">
        <ns0:f>Catalog_100!I40</ns0:f>
        <ns0:v>60000</ns0:v>
      </ns0:c>
      <ns0:c r="M118" s="13">
        <ns0:f>Catalog_100!J40</ns0:f>
        <ns0:v>46318.0</ns0:v>
      </ns0:c>
      <ns0:c r="N118" s="13">
        <ns0:f>Catalog_100!K40</ns0:f>
        <ns0:v>46336.0</ns0:v>
      </ns0:c>
      <ns0:c r="O118" s="13">
        <ns0:f>Catalog_100!L40</ns0:f>
        <ns0:v>46338.0</ns0:v>
      </ns0:c>
      <ns0:c r="P118" s="13">
        <ns0:f>Catalog_100!M40</ns0:f>
        <ns0:v>46340.0</ns0:v>
      </ns0:c>
      <ns0:c r="Q118" s="11" t="inlineStr"/>
      <ns0:c r="R118" s="10" t="inlineStr"/>
      <ns0:c r="S118" s="11" t="inlineStr"/>
      <ns0:c r="T118" s="11" t="inlineStr"/>
      <ns0:c r="U118" s="11" t="inlineStr"/>
      <ns0:c r="V118" s="11" t="inlineStr">
        <ns0:is>
          <ns0:t>Neconfirmat</ns0:t>
        </ns0:is>
      </ns0:c>
      <ns0:c r="W118" s="11" t="inlineStr">
        <ns0:is>
          <ns0:t>Fără ediție finală confirmată</ns0:t>
        </ns0:is>
      </ns0:c>
      <ns0:c r="X118" s="7">
        <ns0:f>IF(AND(J118="Publicat",Q118&lt;&gt;"",ISNUMBER(R118),S118&lt;&gt;"",U118&lt;&gt;"",V118="Confirmat"),1,0)</ns0:f>
        <ns0:v>0</ns0:v>
      </ns0:c>
    </ns0:row>
    <ns0:row r="119" ht="46" customHeight="1">
      <ns0:c r="A119" s="7" t="inlineStr">
        <ns0:is>
          <ns0:t>DB-040-EN</ns0:t>
        </ns0:is>
      </ns0:c>
      <ns0:c r="B119" s="7" t="inlineStr">
        <ns0:is>
          <ns0:t>DB-040</ns0:t>
        </ns0:is>
      </ns0:c>
      <ns0:c r="C119" s="7" t="inlineStr">
        <ns0:is>
          <ns0:t>AMORIS</ns0:t>
        </ns0:is>
      </ns0:c>
      <ns0:c r="D119" s="7" t="inlineStr">
        <ns0:is>
          <ns0:t>Alex Damian</ns0:t>
        </ns0:is>
      </ns0:c>
      <ns0:c r="E119" s="8" t="n">
        <ns0:v>5</ns0:v>
      </ns0:c>
      <ns0:c r="F119" s="7" t="inlineStr">
        <ns0:is>
          <ns0:t>The Woman in the Blue Light</ns0:t>
        </ns0:is>
      </ns0:c>
      <ns0:c r="G119" s="7" t="inlineStr">
        <ns0:is>
          <ns0:t>EN</ns0:t>
        </ns0:is>
      </ns0:c>
      <ns0:c r="H119" s="7" t="inlineStr">
        <ns0:is>
          <ns0:t>EN</ns0:t>
        </ns0:is>
      </ns0:c>
      <ns0:c r="I119" s="7" t="inlineStr">
        <ns0:is>
          <ns0:t>Scriere nouă</ns0:t>
        </ns0:is>
      </ns0:c>
      <ns0:c r="J119" s="11" t="inlineStr">
        <ns0:is>
          <ns0:t>Planificat</ns0:t>
        </ns0:is>
      </ns0:c>
      <ns0:c r="K119" s="11" t="inlineStr">
        <ns0:is>
          <ns0:t>De desemnat</ns0:t>
        </ns0:is>
      </ns0:c>
      <ns0:c r="L119" s="8">
        <ns0:f>Catalog_100!I41</ns0:f>
        <ns0:v>60000</ns0:v>
      </ns0:c>
      <ns0:c r="M119" s="13">
        <ns0:f>Catalog_100!J41</ns0:f>
        <ns0:v>46318.0</ns0:v>
      </ns0:c>
      <ns0:c r="N119" s="13">
        <ns0:f>Catalog_100!K41</ns0:f>
        <ns0:v>46336.0</ns0:v>
      </ns0:c>
      <ns0:c r="O119" s="13">
        <ns0:f>Catalog_100!L41</ns0:f>
        <ns0:v>46338.0</ns0:v>
      </ns0:c>
      <ns0:c r="P119" s="13">
        <ns0:f>Catalog_100!M41</ns0:f>
        <ns0:v>46340.0</ns0:v>
      </ns0:c>
      <ns0:c r="Q119" s="11" t="inlineStr"/>
      <ns0:c r="R119" s="10" t="inlineStr"/>
      <ns0:c r="S119" s="11" t="inlineStr"/>
      <ns0:c r="T119" s="11" t="inlineStr"/>
      <ns0:c r="U119" s="11" t="inlineStr"/>
      <ns0:c r="V119" s="11" t="inlineStr">
        <ns0:is>
          <ns0:t>Neconfirmat</ns0:t>
        </ns0:is>
      </ns0:c>
      <ns0:c r="W119" s="11" t="inlineStr">
        <ns0:is>
          <ns0:t>Fără ediție finală confirmată</ns0:t>
        </ns0:is>
      </ns0:c>
      <ns0:c r="X119" s="7">
        <ns0:f>IF(AND(J119="Publicat",Q119&lt;&gt;"",ISNUMBER(R119),S119&lt;&gt;"",U119&lt;&gt;"",V119="Confirmat"),1,0)</ns0:f>
        <ns0:v>0</ns0:v>
      </ns0:c>
    </ns0:row>
    <ns0:row r="120" ht="46" customHeight="1">
      <ns0:c r="A120" s="7" t="inlineStr">
        <ns0:is>
          <ns0:t>DB-040-RO</ns0:t>
        </ns0:is>
      </ns0:c>
      <ns0:c r="B120" s="7" t="inlineStr">
        <ns0:is>
          <ns0:t>DB-040</ns0:t>
        </ns0:is>
      </ns0:c>
      <ns0:c r="C120" s="7" t="inlineStr">
        <ns0:is>
          <ns0:t>AMORIS</ns0:t>
        </ns0:is>
      </ns0:c>
      <ns0:c r="D120" s="7" t="inlineStr">
        <ns0:is>
          <ns0:t>Alex Damian</ns0:t>
        </ns0:is>
      </ns0:c>
      <ns0:c r="E120" s="8" t="n">
        <ns0:v>5</ns0:v>
      </ns0:c>
      <ns0:c r="F120" s="7" t="inlineStr">
        <ns0:is>
          <ns0:t>The Woman in the Blue Light</ns0:t>
        </ns0:is>
      </ns0:c>
      <ns0:c r="G120" s="7" t="inlineStr">
        <ns0:is>
          <ns0:t>RO</ns0:t>
        </ns0:is>
      </ns0:c>
      <ns0:c r="H120" s="7" t="inlineStr">
        <ns0:is>
          <ns0:t>EN</ns0:t>
        </ns0:is>
      </ns0:c>
      <ns0:c r="I120" s="7" t="inlineStr">
        <ns0:is>
          <ns0:t>Traducere EN→RO</ns0:t>
        </ns0:is>
      </ns0:c>
      <ns0:c r="J120" s="11" t="inlineStr">
        <ns0:is>
          <ns0:t>Planificat</ns0:t>
        </ns0:is>
      </ns0:c>
      <ns0:c r="K120" s="11" t="inlineStr">
        <ns0:is>
          <ns0:t>De desemnat</ns0:t>
        </ns0:is>
      </ns0:c>
      <ns0:c r="L120" s="8">
        <ns0:f>Catalog_100!I41</ns0:f>
        <ns0:v>60000</ns0:v>
      </ns0:c>
      <ns0:c r="M120" s="13">
        <ns0:f>Catalog_100!J41</ns0:f>
        <ns0:v>46318.0</ns0:v>
      </ns0:c>
      <ns0:c r="N120" s="13">
        <ns0:f>Catalog_100!K41</ns0:f>
        <ns0:v>46336.0</ns0:v>
      </ns0:c>
      <ns0:c r="O120" s="13">
        <ns0:f>Catalog_100!L41</ns0:f>
        <ns0:v>46338.0</ns0:v>
      </ns0:c>
      <ns0:c r="P120" s="13">
        <ns0:f>Catalog_100!M41</ns0:f>
        <ns0:v>46340.0</ns0:v>
      </ns0:c>
      <ns0:c r="Q120" s="11" t="inlineStr"/>
      <ns0:c r="R120" s="10" t="inlineStr"/>
      <ns0:c r="S120" s="11" t="inlineStr"/>
      <ns0:c r="T120" s="11" t="inlineStr"/>
      <ns0:c r="U120" s="11" t="inlineStr"/>
      <ns0:c r="V120" s="11" t="inlineStr">
        <ns0:is>
          <ns0:t>Neconfirmat</ns0:t>
        </ns0:is>
      </ns0:c>
      <ns0:c r="W120" s="11" t="inlineStr">
        <ns0:is>
          <ns0:t>Fără ediție finală confirmată</ns0:t>
        </ns0:is>
      </ns0:c>
      <ns0:c r="X120" s="7">
        <ns0:f>IF(AND(J120="Publicat",Q120&lt;&gt;"",ISNUMBER(R120),S120&lt;&gt;"",U120&lt;&gt;"",V120="Confirmat"),1,0)</ns0:f>
        <ns0:v>0</ns0:v>
      </ns0:c>
    </ns0:row>
    <ns0:row r="121" ht="46" customHeight="1">
      <ns0:c r="A121" s="7" t="inlineStr">
        <ns0:is>
          <ns0:t>DB-040-DE</ns0:t>
        </ns0:is>
      </ns0:c>
      <ns0:c r="B121" s="7" t="inlineStr">
        <ns0:is>
          <ns0:t>DB-040</ns0:t>
        </ns0:is>
      </ns0:c>
      <ns0:c r="C121" s="7" t="inlineStr">
        <ns0:is>
          <ns0:t>AMORIS</ns0:t>
        </ns0:is>
      </ns0:c>
      <ns0:c r="D121" s="7" t="inlineStr">
        <ns0:is>
          <ns0:t>Alex Damian</ns0:t>
        </ns0:is>
      </ns0:c>
      <ns0:c r="E121" s="8" t="n">
        <ns0:v>5</ns0:v>
      </ns0:c>
      <ns0:c r="F121" s="7" t="inlineStr">
        <ns0:is>
          <ns0:t>The Woman in the Blue Light</ns0:t>
        </ns0:is>
      </ns0:c>
      <ns0:c r="G121" s="7" t="inlineStr">
        <ns0:is>
          <ns0:t>DE</ns0:t>
        </ns0:is>
      </ns0:c>
      <ns0:c r="H121" s="7" t="inlineStr">
        <ns0:is>
          <ns0:t>EN</ns0:t>
        </ns0:is>
      </ns0:c>
      <ns0:c r="I121" s="7" t="inlineStr">
        <ns0:is>
          <ns0:t>Traducere EN→DE</ns0:t>
        </ns0:is>
      </ns0:c>
      <ns0:c r="J121" s="11" t="inlineStr">
        <ns0:is>
          <ns0:t>Planificat</ns0:t>
        </ns0:is>
      </ns0:c>
      <ns0:c r="K121" s="11" t="inlineStr">
        <ns0:is>
          <ns0:t>De desemnat</ns0:t>
        </ns0:is>
      </ns0:c>
      <ns0:c r="L121" s="8">
        <ns0:f>Catalog_100!I41</ns0:f>
        <ns0:v>60000</ns0:v>
      </ns0:c>
      <ns0:c r="M121" s="13">
        <ns0:f>Catalog_100!J41</ns0:f>
        <ns0:v>46318.0</ns0:v>
      </ns0:c>
      <ns0:c r="N121" s="13">
        <ns0:f>Catalog_100!K41</ns0:f>
        <ns0:v>46336.0</ns0:v>
      </ns0:c>
      <ns0:c r="O121" s="13">
        <ns0:f>Catalog_100!L41</ns0:f>
        <ns0:v>46338.0</ns0:v>
      </ns0:c>
      <ns0:c r="P121" s="13">
        <ns0:f>Catalog_100!M41</ns0:f>
        <ns0:v>46340.0</ns0:v>
      </ns0:c>
      <ns0:c r="Q121" s="11" t="inlineStr"/>
      <ns0:c r="R121" s="10" t="inlineStr"/>
      <ns0:c r="S121" s="11" t="inlineStr"/>
      <ns0:c r="T121" s="11" t="inlineStr"/>
      <ns0:c r="U121" s="11" t="inlineStr"/>
      <ns0:c r="V121" s="11" t="inlineStr">
        <ns0:is>
          <ns0:t>Neconfirmat</ns0:t>
        </ns0:is>
      </ns0:c>
      <ns0:c r="W121" s="11" t="inlineStr">
        <ns0:is>
          <ns0:t>Fără ediție finală confirmată</ns0:t>
        </ns0:is>
      </ns0:c>
      <ns0:c r="X121" s="7">
        <ns0:f>IF(AND(J121="Publicat",Q121&lt;&gt;"",ISNUMBER(R121),S121&lt;&gt;"",U121&lt;&gt;"",V121="Confirmat"),1,0)</ns0:f>
        <ns0:v>0</ns0:v>
      </ns0:c>
    </ns0:row>
    <ns0:row r="122" ht="46" customHeight="1">
      <ns0:c r="A122" s="7" t="inlineStr">
        <ns0:is>
          <ns0:t>DB-041-EN</ns0:t>
        </ns0:is>
      </ns0:c>
      <ns0:c r="B122" s="7" t="inlineStr">
        <ns0:is>
          <ns0:t>DB-041</ns0:t>
        </ns0:is>
      </ns0:c>
      <ns0:c r="C122" s="7" t="inlineStr">
        <ns0:is>
          <ns0:t>AMORIS</ns0:t>
        </ns0:is>
      </ns0:c>
      <ns0:c r="D122" s="7" t="inlineStr">
        <ns0:is>
          <ns0:t>Alex Damian</ns0:t>
        </ns0:is>
      </ns0:c>
      <ns0:c r="E122" s="8" t="n">
        <ns0:v>6</ns0:v>
      </ns0:c>
      <ns0:c r="F122" s="7" t="inlineStr">
        <ns0:is>
          <ns0:t>The Island Without Names</ns0:t>
        </ns0:is>
      </ns0:c>
      <ns0:c r="G122" s="7" t="inlineStr">
        <ns0:is>
          <ns0:t>EN</ns0:t>
        </ns0:is>
      </ns0:c>
      <ns0:c r="H122" s="7" t="inlineStr">
        <ns0:is>
          <ns0:t>EN</ns0:t>
        </ns0:is>
      </ns0:c>
      <ns0:c r="I122" s="7" t="inlineStr">
        <ns0:is>
          <ns0:t>Scriere nouă</ns0:t>
        </ns0:is>
      </ns0:c>
      <ns0:c r="J122" s="11" t="inlineStr">
        <ns0:is>
          <ns0:t>Planificat</ns0:t>
        </ns0:is>
      </ns0:c>
      <ns0:c r="K122" s="11" t="inlineStr">
        <ns0:is>
          <ns0:t>De desemnat</ns0:t>
        </ns0:is>
      </ns0:c>
      <ns0:c r="L122" s="8">
        <ns0:f>Catalog_100!I42</ns0:f>
        <ns0:v>60000</ns0:v>
      </ns0:c>
      <ns0:c r="M122" s="13">
        <ns0:f>Catalog_100!J42</ns0:f>
        <ns0:v>46318.0</ns0:v>
      </ns0:c>
      <ns0:c r="N122" s="13">
        <ns0:f>Catalog_100!K42</ns0:f>
        <ns0:v>46336.0</ns0:v>
      </ns0:c>
      <ns0:c r="O122" s="13">
        <ns0:f>Catalog_100!L42</ns0:f>
        <ns0:v>46338.0</ns0:v>
      </ns0:c>
      <ns0:c r="P122" s="13">
        <ns0:f>Catalog_100!M42</ns0:f>
        <ns0:v>46340.0</ns0:v>
      </ns0:c>
      <ns0:c r="Q122" s="11" t="inlineStr"/>
      <ns0:c r="R122" s="10" t="inlineStr"/>
      <ns0:c r="S122" s="11" t="inlineStr"/>
      <ns0:c r="T122" s="11" t="inlineStr"/>
      <ns0:c r="U122" s="11" t="inlineStr"/>
      <ns0:c r="V122" s="11" t="inlineStr">
        <ns0:is>
          <ns0:t>Neconfirmat</ns0:t>
        </ns0:is>
      </ns0:c>
      <ns0:c r="W122" s="11" t="inlineStr">
        <ns0:is>
          <ns0:t>Fără ediție finală confirmată</ns0:t>
        </ns0:is>
      </ns0:c>
      <ns0:c r="X122" s="7">
        <ns0:f>IF(AND(J122="Publicat",Q122&lt;&gt;"",ISNUMBER(R122),S122&lt;&gt;"",U122&lt;&gt;"",V122="Confirmat"),1,0)</ns0:f>
        <ns0:v>0</ns0:v>
      </ns0:c>
    </ns0:row>
    <ns0:row r="123" ht="46" customHeight="1">
      <ns0:c r="A123" s="7" t="inlineStr">
        <ns0:is>
          <ns0:t>DB-041-RO</ns0:t>
        </ns0:is>
      </ns0:c>
      <ns0:c r="B123" s="7" t="inlineStr">
        <ns0:is>
          <ns0:t>DB-041</ns0:t>
        </ns0:is>
      </ns0:c>
      <ns0:c r="C123" s="7" t="inlineStr">
        <ns0:is>
          <ns0:t>AMORIS</ns0:t>
        </ns0:is>
      </ns0:c>
      <ns0:c r="D123" s="7" t="inlineStr">
        <ns0:is>
          <ns0:t>Alex Damian</ns0:t>
        </ns0:is>
      </ns0:c>
      <ns0:c r="E123" s="8" t="n">
        <ns0:v>6</ns0:v>
      </ns0:c>
      <ns0:c r="F123" s="7" t="inlineStr">
        <ns0:is>
          <ns0:t>The Island Without Names</ns0:t>
        </ns0:is>
      </ns0:c>
      <ns0:c r="G123" s="7" t="inlineStr">
        <ns0:is>
          <ns0:t>RO</ns0:t>
        </ns0:is>
      </ns0:c>
      <ns0:c r="H123" s="7" t="inlineStr">
        <ns0:is>
          <ns0:t>EN</ns0:t>
        </ns0:is>
      </ns0:c>
      <ns0:c r="I123" s="7" t="inlineStr">
        <ns0:is>
          <ns0:t>Traducere EN→RO</ns0:t>
        </ns0:is>
      </ns0:c>
      <ns0:c r="J123" s="11" t="inlineStr">
        <ns0:is>
          <ns0:t>Planificat</ns0:t>
        </ns0:is>
      </ns0:c>
      <ns0:c r="K123" s="11" t="inlineStr">
        <ns0:is>
          <ns0:t>De desemnat</ns0:t>
        </ns0:is>
      </ns0:c>
      <ns0:c r="L123" s="8">
        <ns0:f>Catalog_100!I42</ns0:f>
        <ns0:v>60000</ns0:v>
      </ns0:c>
      <ns0:c r="M123" s="13">
        <ns0:f>Catalog_100!J42</ns0:f>
        <ns0:v>46318.0</ns0:v>
      </ns0:c>
      <ns0:c r="N123" s="13">
        <ns0:f>Catalog_100!K42</ns0:f>
        <ns0:v>46336.0</ns0:v>
      </ns0:c>
      <ns0:c r="O123" s="13">
        <ns0:f>Catalog_100!L42</ns0:f>
        <ns0:v>46338.0</ns0:v>
      </ns0:c>
      <ns0:c r="P123" s="13">
        <ns0:f>Catalog_100!M42</ns0:f>
        <ns0:v>46340.0</ns0:v>
      </ns0:c>
      <ns0:c r="Q123" s="11" t="inlineStr"/>
      <ns0:c r="R123" s="10" t="inlineStr"/>
      <ns0:c r="S123" s="11" t="inlineStr"/>
      <ns0:c r="T123" s="11" t="inlineStr"/>
      <ns0:c r="U123" s="11" t="inlineStr"/>
      <ns0:c r="V123" s="11" t="inlineStr">
        <ns0:is>
          <ns0:t>Neconfirmat</ns0:t>
        </ns0:is>
      </ns0:c>
      <ns0:c r="W123" s="11" t="inlineStr">
        <ns0:is>
          <ns0:t>Fără ediție finală confirmată</ns0:t>
        </ns0:is>
      </ns0:c>
      <ns0:c r="X123" s="7">
        <ns0:f>IF(AND(J123="Publicat",Q123&lt;&gt;"",ISNUMBER(R123),S123&lt;&gt;"",U123&lt;&gt;"",V123="Confirmat"),1,0)</ns0:f>
        <ns0:v>0</ns0:v>
      </ns0:c>
    </ns0:row>
    <ns0:row r="124" ht="46" customHeight="1">
      <ns0:c r="A124" s="7" t="inlineStr">
        <ns0:is>
          <ns0:t>DB-041-DE</ns0:t>
        </ns0:is>
      </ns0:c>
      <ns0:c r="B124" s="7" t="inlineStr">
        <ns0:is>
          <ns0:t>DB-041</ns0:t>
        </ns0:is>
      </ns0:c>
      <ns0:c r="C124" s="7" t="inlineStr">
        <ns0:is>
          <ns0:t>AMORIS</ns0:t>
        </ns0:is>
      </ns0:c>
      <ns0:c r="D124" s="7" t="inlineStr">
        <ns0:is>
          <ns0:t>Alex Damian</ns0:t>
        </ns0:is>
      </ns0:c>
      <ns0:c r="E124" s="8" t="n">
        <ns0:v>6</ns0:v>
      </ns0:c>
      <ns0:c r="F124" s="7" t="inlineStr">
        <ns0:is>
          <ns0:t>The Island Without Names</ns0:t>
        </ns0:is>
      </ns0:c>
      <ns0:c r="G124" s="7" t="inlineStr">
        <ns0:is>
          <ns0:t>DE</ns0:t>
        </ns0:is>
      </ns0:c>
      <ns0:c r="H124" s="7" t="inlineStr">
        <ns0:is>
          <ns0:t>EN</ns0:t>
        </ns0:is>
      </ns0:c>
      <ns0:c r="I124" s="7" t="inlineStr">
        <ns0:is>
          <ns0:t>Traducere EN→DE</ns0:t>
        </ns0:is>
      </ns0:c>
      <ns0:c r="J124" s="11" t="inlineStr">
        <ns0:is>
          <ns0:t>Planificat</ns0:t>
        </ns0:is>
      </ns0:c>
      <ns0:c r="K124" s="11" t="inlineStr">
        <ns0:is>
          <ns0:t>De desemnat</ns0:t>
        </ns0:is>
      </ns0:c>
      <ns0:c r="L124" s="8">
        <ns0:f>Catalog_100!I42</ns0:f>
        <ns0:v>60000</ns0:v>
      </ns0:c>
      <ns0:c r="M124" s="13">
        <ns0:f>Catalog_100!J42</ns0:f>
        <ns0:v>46318.0</ns0:v>
      </ns0:c>
      <ns0:c r="N124" s="13">
        <ns0:f>Catalog_100!K42</ns0:f>
        <ns0:v>46336.0</ns0:v>
      </ns0:c>
      <ns0:c r="O124" s="13">
        <ns0:f>Catalog_100!L42</ns0:f>
        <ns0:v>46338.0</ns0:v>
      </ns0:c>
      <ns0:c r="P124" s="13">
        <ns0:f>Catalog_100!M42</ns0:f>
        <ns0:v>46340.0</ns0:v>
      </ns0:c>
      <ns0:c r="Q124" s="11" t="inlineStr"/>
      <ns0:c r="R124" s="10" t="inlineStr"/>
      <ns0:c r="S124" s="11" t="inlineStr"/>
      <ns0:c r="T124" s="11" t="inlineStr"/>
      <ns0:c r="U124" s="11" t="inlineStr"/>
      <ns0:c r="V124" s="11" t="inlineStr">
        <ns0:is>
          <ns0:t>Neconfirmat</ns0:t>
        </ns0:is>
      </ns0:c>
      <ns0:c r="W124" s="11" t="inlineStr">
        <ns0:is>
          <ns0:t>Fără ediție finală confirmată</ns0:t>
        </ns0:is>
      </ns0:c>
      <ns0:c r="X124" s="7">
        <ns0:f>IF(AND(J124="Publicat",Q124&lt;&gt;"",ISNUMBER(R124),S124&lt;&gt;"",U124&lt;&gt;"",V124="Confirmat"),1,0)</ns0:f>
        <ns0:v>0</ns0:v>
      </ns0:c>
    </ns0:row>
    <ns0:row r="125" ht="46" customHeight="1">
      <ns0:c r="A125" s="7" t="inlineStr">
        <ns0:is>
          <ns0:t>DB-042-EN</ns0:t>
        </ns0:is>
      </ns0:c>
      <ns0:c r="B125" s="7" t="inlineStr">
        <ns0:is>
          <ns0:t>DB-042</ns0:t>
        </ns0:is>
      </ns0:c>
      <ns0:c r="C125" s="7" t="inlineStr">
        <ns0:is>
          <ns0:t>AMORIS</ns0:t>
        </ns0:is>
      </ns0:c>
      <ns0:c r="D125" s="7" t="inlineStr">
        <ns0:is>
          <ns0:t>Alex Damian</ns0:t>
        </ns0:is>
      </ns0:c>
      <ns0:c r="E125" s="8" t="n">
        <ns0:v>7</ns0:v>
      </ns0:c>
      <ns0:c r="F125" s="7" t="inlineStr">
        <ns0:is>
          <ns0:t>Coral Hearts</ns0:t>
        </ns0:is>
      </ns0:c>
      <ns0:c r="G125" s="7" t="inlineStr">
        <ns0:is>
          <ns0:t>EN</ns0:t>
        </ns0:is>
      </ns0:c>
      <ns0:c r="H125" s="7" t="inlineStr">
        <ns0:is>
          <ns0:t>EN</ns0:t>
        </ns0:is>
      </ns0:c>
      <ns0:c r="I125" s="7" t="inlineStr">
        <ns0:is>
          <ns0:t>Scriere nouă</ns0:t>
        </ns0:is>
      </ns0:c>
      <ns0:c r="J125" s="11" t="inlineStr">
        <ns0:is>
          <ns0:t>Planificat</ns0:t>
        </ns0:is>
      </ns0:c>
      <ns0:c r="K125" s="11" t="inlineStr">
        <ns0:is>
          <ns0:t>De desemnat</ns0:t>
        </ns0:is>
      </ns0:c>
      <ns0:c r="L125" s="8">
        <ns0:f>Catalog_100!I43</ns0:f>
        <ns0:v>60000</ns0:v>
      </ns0:c>
      <ns0:c r="M125" s="13">
        <ns0:f>Catalog_100!J43</ns0:f>
        <ns0:v>46318.0</ns0:v>
      </ns0:c>
      <ns0:c r="N125" s="13">
        <ns0:f>Catalog_100!K43</ns0:f>
        <ns0:v>46336.0</ns0:v>
      </ns0:c>
      <ns0:c r="O125" s="13">
        <ns0:f>Catalog_100!L43</ns0:f>
        <ns0:v>46338.0</ns0:v>
      </ns0:c>
      <ns0:c r="P125" s="13">
        <ns0:f>Catalog_100!M43</ns0:f>
        <ns0:v>46340.0</ns0:v>
      </ns0:c>
      <ns0:c r="Q125" s="11" t="inlineStr"/>
      <ns0:c r="R125" s="10" t="inlineStr"/>
      <ns0:c r="S125" s="11" t="inlineStr"/>
      <ns0:c r="T125" s="11" t="inlineStr"/>
      <ns0:c r="U125" s="11" t="inlineStr"/>
      <ns0:c r="V125" s="11" t="inlineStr">
        <ns0:is>
          <ns0:t>Neconfirmat</ns0:t>
        </ns0:is>
      </ns0:c>
      <ns0:c r="W125" s="11" t="inlineStr">
        <ns0:is>
          <ns0:t>Fără ediție finală confirmată</ns0:t>
        </ns0:is>
      </ns0:c>
      <ns0:c r="X125" s="7">
        <ns0:f>IF(AND(J125="Publicat",Q125&lt;&gt;"",ISNUMBER(R125),S125&lt;&gt;"",U125&lt;&gt;"",V125="Confirmat"),1,0)</ns0:f>
        <ns0:v>0</ns0:v>
      </ns0:c>
    </ns0:row>
    <ns0:row r="126" ht="46" customHeight="1">
      <ns0:c r="A126" s="7" t="inlineStr">
        <ns0:is>
          <ns0:t>DB-042-RO</ns0:t>
        </ns0:is>
      </ns0:c>
      <ns0:c r="B126" s="7" t="inlineStr">
        <ns0:is>
          <ns0:t>DB-042</ns0:t>
        </ns0:is>
      </ns0:c>
      <ns0:c r="C126" s="7" t="inlineStr">
        <ns0:is>
          <ns0:t>AMORIS</ns0:t>
        </ns0:is>
      </ns0:c>
      <ns0:c r="D126" s="7" t="inlineStr">
        <ns0:is>
          <ns0:t>Alex Damian</ns0:t>
        </ns0:is>
      </ns0:c>
      <ns0:c r="E126" s="8" t="n">
        <ns0:v>7</ns0:v>
      </ns0:c>
      <ns0:c r="F126" s="7" t="inlineStr">
        <ns0:is>
          <ns0:t>Coral Hearts</ns0:t>
        </ns0:is>
      </ns0:c>
      <ns0:c r="G126" s="7" t="inlineStr">
        <ns0:is>
          <ns0:t>RO</ns0:t>
        </ns0:is>
      </ns0:c>
      <ns0:c r="H126" s="7" t="inlineStr">
        <ns0:is>
          <ns0:t>EN</ns0:t>
        </ns0:is>
      </ns0:c>
      <ns0:c r="I126" s="7" t="inlineStr">
        <ns0:is>
          <ns0:t>Traducere EN→RO</ns0:t>
        </ns0:is>
      </ns0:c>
      <ns0:c r="J126" s="11" t="inlineStr">
        <ns0:is>
          <ns0:t>Planificat</ns0:t>
        </ns0:is>
      </ns0:c>
      <ns0:c r="K126" s="11" t="inlineStr">
        <ns0:is>
          <ns0:t>De desemnat</ns0:t>
        </ns0:is>
      </ns0:c>
      <ns0:c r="L126" s="8">
        <ns0:f>Catalog_100!I43</ns0:f>
        <ns0:v>60000</ns0:v>
      </ns0:c>
      <ns0:c r="M126" s="13">
        <ns0:f>Catalog_100!J43</ns0:f>
        <ns0:v>46318.0</ns0:v>
      </ns0:c>
      <ns0:c r="N126" s="13">
        <ns0:f>Catalog_100!K43</ns0:f>
        <ns0:v>46336.0</ns0:v>
      </ns0:c>
      <ns0:c r="O126" s="13">
        <ns0:f>Catalog_100!L43</ns0:f>
        <ns0:v>46338.0</ns0:v>
      </ns0:c>
      <ns0:c r="P126" s="13">
        <ns0:f>Catalog_100!M43</ns0:f>
        <ns0:v>46340.0</ns0:v>
      </ns0:c>
      <ns0:c r="Q126" s="11" t="inlineStr"/>
      <ns0:c r="R126" s="10" t="inlineStr"/>
      <ns0:c r="S126" s="11" t="inlineStr"/>
      <ns0:c r="T126" s="11" t="inlineStr"/>
      <ns0:c r="U126" s="11" t="inlineStr"/>
      <ns0:c r="V126" s="11" t="inlineStr">
        <ns0:is>
          <ns0:t>Neconfirmat</ns0:t>
        </ns0:is>
      </ns0:c>
      <ns0:c r="W126" s="11" t="inlineStr">
        <ns0:is>
          <ns0:t>Fără ediție finală confirmată</ns0:t>
        </ns0:is>
      </ns0:c>
      <ns0:c r="X126" s="7">
        <ns0:f>IF(AND(J126="Publicat",Q126&lt;&gt;"",ISNUMBER(R126),S126&lt;&gt;"",U126&lt;&gt;"",V126="Confirmat"),1,0)</ns0:f>
        <ns0:v>0</ns0:v>
      </ns0:c>
    </ns0:row>
    <ns0:row r="127" ht="46" customHeight="1">
      <ns0:c r="A127" s="7" t="inlineStr">
        <ns0:is>
          <ns0:t>DB-042-DE</ns0:t>
        </ns0:is>
      </ns0:c>
      <ns0:c r="B127" s="7" t="inlineStr">
        <ns0:is>
          <ns0:t>DB-042</ns0:t>
        </ns0:is>
      </ns0:c>
      <ns0:c r="C127" s="7" t="inlineStr">
        <ns0:is>
          <ns0:t>AMORIS</ns0:t>
        </ns0:is>
      </ns0:c>
      <ns0:c r="D127" s="7" t="inlineStr">
        <ns0:is>
          <ns0:t>Alex Damian</ns0:t>
        </ns0:is>
      </ns0:c>
      <ns0:c r="E127" s="8" t="n">
        <ns0:v>7</ns0:v>
      </ns0:c>
      <ns0:c r="F127" s="7" t="inlineStr">
        <ns0:is>
          <ns0:t>Coral Hearts</ns0:t>
        </ns0:is>
      </ns0:c>
      <ns0:c r="G127" s="7" t="inlineStr">
        <ns0:is>
          <ns0:t>DE</ns0:t>
        </ns0:is>
      </ns0:c>
      <ns0:c r="H127" s="7" t="inlineStr">
        <ns0:is>
          <ns0:t>EN</ns0:t>
        </ns0:is>
      </ns0:c>
      <ns0:c r="I127" s="7" t="inlineStr">
        <ns0:is>
          <ns0:t>Traducere EN→DE</ns0:t>
        </ns0:is>
      </ns0:c>
      <ns0:c r="J127" s="11" t="inlineStr">
        <ns0:is>
          <ns0:t>Planificat</ns0:t>
        </ns0:is>
      </ns0:c>
      <ns0:c r="K127" s="11" t="inlineStr">
        <ns0:is>
          <ns0:t>De desemnat</ns0:t>
        </ns0:is>
      </ns0:c>
      <ns0:c r="L127" s="8">
        <ns0:f>Catalog_100!I43</ns0:f>
        <ns0:v>60000</ns0:v>
      </ns0:c>
      <ns0:c r="M127" s="13">
        <ns0:f>Catalog_100!J43</ns0:f>
        <ns0:v>46318.0</ns0:v>
      </ns0:c>
      <ns0:c r="N127" s="13">
        <ns0:f>Catalog_100!K43</ns0:f>
        <ns0:v>46336.0</ns0:v>
      </ns0:c>
      <ns0:c r="O127" s="13">
        <ns0:f>Catalog_100!L43</ns0:f>
        <ns0:v>46338.0</ns0:v>
      </ns0:c>
      <ns0:c r="P127" s="13">
        <ns0:f>Catalog_100!M43</ns0:f>
        <ns0:v>46340.0</ns0:v>
      </ns0:c>
      <ns0:c r="Q127" s="11" t="inlineStr"/>
      <ns0:c r="R127" s="10" t="inlineStr"/>
      <ns0:c r="S127" s="11" t="inlineStr"/>
      <ns0:c r="T127" s="11" t="inlineStr"/>
      <ns0:c r="U127" s="11" t="inlineStr"/>
      <ns0:c r="V127" s="11" t="inlineStr">
        <ns0:is>
          <ns0:t>Neconfirmat</ns0:t>
        </ns0:is>
      </ns0:c>
      <ns0:c r="W127" s="11" t="inlineStr">
        <ns0:is>
          <ns0:t>Fără ediție finală confirmată</ns0:t>
        </ns0:is>
      </ns0:c>
      <ns0:c r="X127" s="7">
        <ns0:f>IF(AND(J127="Publicat",Q127&lt;&gt;"",ISNUMBER(R127),S127&lt;&gt;"",U127&lt;&gt;"",V127="Confirmat"),1,0)</ns0:f>
        <ns0:v>0</ns0:v>
      </ns0:c>
    </ns0:row>
    <ns0:row r="128" ht="46" customHeight="1">
      <ns0:c r="A128" s="7" t="inlineStr">
        <ns0:is>
          <ns0:t>DB-043-EN</ns0:t>
        </ns0:is>
      </ns0:c>
      <ns0:c r="B128" s="7" t="inlineStr">
        <ns0:is>
          <ns0:t>DB-043</ns0:t>
        </ns0:is>
      </ns0:c>
      <ns0:c r="C128" s="7" t="inlineStr">
        <ns0:is>
          <ns0:t>AMORIS</ns0:t>
        </ns0:is>
      </ns0:c>
      <ns0:c r="D128" s="7" t="inlineStr">
        <ns0:is>
          <ns0:t>Alex Damian</ns0:t>
        </ns0:is>
      </ns0:c>
      <ns0:c r="E128" s="8" t="n">
        <ns0:v>8</ns0:v>
      </ns0:c>
      <ns0:c r="F128" s="7" t="inlineStr">
        <ns0:is>
          <ns0:t>Beneath the Salt Stars</ns0:t>
        </ns0:is>
      </ns0:c>
      <ns0:c r="G128" s="7" t="inlineStr">
        <ns0:is>
          <ns0:t>EN</ns0:t>
        </ns0:is>
      </ns0:c>
      <ns0:c r="H128" s="7" t="inlineStr">
        <ns0:is>
          <ns0:t>EN</ns0:t>
        </ns0:is>
      </ns0:c>
      <ns0:c r="I128" s="7" t="inlineStr">
        <ns0:is>
          <ns0:t>Scriere nouă</ns0:t>
        </ns0:is>
      </ns0:c>
      <ns0:c r="J128" s="11" t="inlineStr">
        <ns0:is>
          <ns0:t>Planificat</ns0:t>
        </ns0:is>
      </ns0:c>
      <ns0:c r="K128" s="11" t="inlineStr">
        <ns0:is>
          <ns0:t>De desemnat</ns0:t>
        </ns0:is>
      </ns0:c>
      <ns0:c r="L128" s="8">
        <ns0:f>Catalog_100!I44</ns0:f>
        <ns0:v>60000</ns0:v>
      </ns0:c>
      <ns0:c r="M128" s="13">
        <ns0:f>Catalog_100!J44</ns0:f>
        <ns0:v>46318.0</ns0:v>
      </ns0:c>
      <ns0:c r="N128" s="13">
        <ns0:f>Catalog_100!K44</ns0:f>
        <ns0:v>46336.0</ns0:v>
      </ns0:c>
      <ns0:c r="O128" s="13">
        <ns0:f>Catalog_100!L44</ns0:f>
        <ns0:v>46338.0</ns0:v>
      </ns0:c>
      <ns0:c r="P128" s="13">
        <ns0:f>Catalog_100!M44</ns0:f>
        <ns0:v>46340.0</ns0:v>
      </ns0:c>
      <ns0:c r="Q128" s="11" t="inlineStr"/>
      <ns0:c r="R128" s="10" t="inlineStr"/>
      <ns0:c r="S128" s="11" t="inlineStr"/>
      <ns0:c r="T128" s="11" t="inlineStr"/>
      <ns0:c r="U128" s="11" t="inlineStr"/>
      <ns0:c r="V128" s="11" t="inlineStr">
        <ns0:is>
          <ns0:t>Neconfirmat</ns0:t>
        </ns0:is>
      </ns0:c>
      <ns0:c r="W128" s="11" t="inlineStr">
        <ns0:is>
          <ns0:t>Fără ediție finală confirmată</ns0:t>
        </ns0:is>
      </ns0:c>
      <ns0:c r="X128" s="7">
        <ns0:f>IF(AND(J128="Publicat",Q128&lt;&gt;"",ISNUMBER(R128),S128&lt;&gt;"",U128&lt;&gt;"",V128="Confirmat"),1,0)</ns0:f>
        <ns0:v>0</ns0:v>
      </ns0:c>
    </ns0:row>
    <ns0:row r="129" ht="46" customHeight="1">
      <ns0:c r="A129" s="7" t="inlineStr">
        <ns0:is>
          <ns0:t>DB-043-RO</ns0:t>
        </ns0:is>
      </ns0:c>
      <ns0:c r="B129" s="7" t="inlineStr">
        <ns0:is>
          <ns0:t>DB-043</ns0:t>
        </ns0:is>
      </ns0:c>
      <ns0:c r="C129" s="7" t="inlineStr">
        <ns0:is>
          <ns0:t>AMORIS</ns0:t>
        </ns0:is>
      </ns0:c>
      <ns0:c r="D129" s="7" t="inlineStr">
        <ns0:is>
          <ns0:t>Alex Damian</ns0:t>
        </ns0:is>
      </ns0:c>
      <ns0:c r="E129" s="8" t="n">
        <ns0:v>8</ns0:v>
      </ns0:c>
      <ns0:c r="F129" s="7" t="inlineStr">
        <ns0:is>
          <ns0:t>Beneath the Salt Stars</ns0:t>
        </ns0:is>
      </ns0:c>
      <ns0:c r="G129" s="7" t="inlineStr">
        <ns0:is>
          <ns0:t>RO</ns0:t>
        </ns0:is>
      </ns0:c>
      <ns0:c r="H129" s="7" t="inlineStr">
        <ns0:is>
          <ns0:t>EN</ns0:t>
        </ns0:is>
      </ns0:c>
      <ns0:c r="I129" s="7" t="inlineStr">
        <ns0:is>
          <ns0:t>Traducere EN→RO</ns0:t>
        </ns0:is>
      </ns0:c>
      <ns0:c r="J129" s="11" t="inlineStr">
        <ns0:is>
          <ns0:t>Planificat</ns0:t>
        </ns0:is>
      </ns0:c>
      <ns0:c r="K129" s="11" t="inlineStr">
        <ns0:is>
          <ns0:t>De desemnat</ns0:t>
        </ns0:is>
      </ns0:c>
      <ns0:c r="L129" s="8">
        <ns0:f>Catalog_100!I44</ns0:f>
        <ns0:v>60000</ns0:v>
      </ns0:c>
      <ns0:c r="M129" s="13">
        <ns0:f>Catalog_100!J44</ns0:f>
        <ns0:v>46318.0</ns0:v>
      </ns0:c>
      <ns0:c r="N129" s="13">
        <ns0:f>Catalog_100!K44</ns0:f>
        <ns0:v>46336.0</ns0:v>
      </ns0:c>
      <ns0:c r="O129" s="13">
        <ns0:f>Catalog_100!L44</ns0:f>
        <ns0:v>46338.0</ns0:v>
      </ns0:c>
      <ns0:c r="P129" s="13">
        <ns0:f>Catalog_100!M44</ns0:f>
        <ns0:v>46340.0</ns0:v>
      </ns0:c>
      <ns0:c r="Q129" s="11" t="inlineStr"/>
      <ns0:c r="R129" s="10" t="inlineStr"/>
      <ns0:c r="S129" s="11" t="inlineStr"/>
      <ns0:c r="T129" s="11" t="inlineStr"/>
      <ns0:c r="U129" s="11" t="inlineStr"/>
      <ns0:c r="V129" s="11" t="inlineStr">
        <ns0:is>
          <ns0:t>Neconfirmat</ns0:t>
        </ns0:is>
      </ns0:c>
      <ns0:c r="W129" s="11" t="inlineStr">
        <ns0:is>
          <ns0:t>Fără ediție finală confirmată</ns0:t>
        </ns0:is>
      </ns0:c>
      <ns0:c r="X129" s="7">
        <ns0:f>IF(AND(J129="Publicat",Q129&lt;&gt;"",ISNUMBER(R129),S129&lt;&gt;"",U129&lt;&gt;"",V129="Confirmat"),1,0)</ns0:f>
        <ns0:v>0</ns0:v>
      </ns0:c>
    </ns0:row>
    <ns0:row r="130" ht="46" customHeight="1">
      <ns0:c r="A130" s="7" t="inlineStr">
        <ns0:is>
          <ns0:t>DB-043-DE</ns0:t>
        </ns0:is>
      </ns0:c>
      <ns0:c r="B130" s="7" t="inlineStr">
        <ns0:is>
          <ns0:t>DB-043</ns0:t>
        </ns0:is>
      </ns0:c>
      <ns0:c r="C130" s="7" t="inlineStr">
        <ns0:is>
          <ns0:t>AMORIS</ns0:t>
        </ns0:is>
      </ns0:c>
      <ns0:c r="D130" s="7" t="inlineStr">
        <ns0:is>
          <ns0:t>Alex Damian</ns0:t>
        </ns0:is>
      </ns0:c>
      <ns0:c r="E130" s="8" t="n">
        <ns0:v>8</ns0:v>
      </ns0:c>
      <ns0:c r="F130" s="7" t="inlineStr">
        <ns0:is>
          <ns0:t>Beneath the Salt Stars</ns0:t>
        </ns0:is>
      </ns0:c>
      <ns0:c r="G130" s="7" t="inlineStr">
        <ns0:is>
          <ns0:t>DE</ns0:t>
        </ns0:is>
      </ns0:c>
      <ns0:c r="H130" s="7" t="inlineStr">
        <ns0:is>
          <ns0:t>EN</ns0:t>
        </ns0:is>
      </ns0:c>
      <ns0:c r="I130" s="7" t="inlineStr">
        <ns0:is>
          <ns0:t>Traducere EN→DE</ns0:t>
        </ns0:is>
      </ns0:c>
      <ns0:c r="J130" s="11" t="inlineStr">
        <ns0:is>
          <ns0:t>Planificat</ns0:t>
        </ns0:is>
      </ns0:c>
      <ns0:c r="K130" s="11" t="inlineStr">
        <ns0:is>
          <ns0:t>De desemnat</ns0:t>
        </ns0:is>
      </ns0:c>
      <ns0:c r="L130" s="8">
        <ns0:f>Catalog_100!I44</ns0:f>
        <ns0:v>60000</ns0:v>
      </ns0:c>
      <ns0:c r="M130" s="13">
        <ns0:f>Catalog_100!J44</ns0:f>
        <ns0:v>46318.0</ns0:v>
      </ns0:c>
      <ns0:c r="N130" s="13">
        <ns0:f>Catalog_100!K44</ns0:f>
        <ns0:v>46336.0</ns0:v>
      </ns0:c>
      <ns0:c r="O130" s="13">
        <ns0:f>Catalog_100!L44</ns0:f>
        <ns0:v>46338.0</ns0:v>
      </ns0:c>
      <ns0:c r="P130" s="13">
        <ns0:f>Catalog_100!M44</ns0:f>
        <ns0:v>46340.0</ns0:v>
      </ns0:c>
      <ns0:c r="Q130" s="11" t="inlineStr"/>
      <ns0:c r="R130" s="10" t="inlineStr"/>
      <ns0:c r="S130" s="11" t="inlineStr"/>
      <ns0:c r="T130" s="11" t="inlineStr"/>
      <ns0:c r="U130" s="11" t="inlineStr"/>
      <ns0:c r="V130" s="11" t="inlineStr">
        <ns0:is>
          <ns0:t>Neconfirmat</ns0:t>
        </ns0:is>
      </ns0:c>
      <ns0:c r="W130" s="11" t="inlineStr">
        <ns0:is>
          <ns0:t>Fără ediție finală confirmată</ns0:t>
        </ns0:is>
      </ns0:c>
      <ns0:c r="X130" s="7">
        <ns0:f>IF(AND(J130="Publicat",Q130&lt;&gt;"",ISNUMBER(R130),S130&lt;&gt;"",U130&lt;&gt;"",V130="Confirmat"),1,0)</ns0:f>
        <ns0:v>0</ns0:v>
      </ns0:c>
    </ns0:row>
    <ns0:row r="131" ht="46" customHeight="1">
      <ns0:c r="A131" s="7" t="inlineStr">
        <ns0:is>
          <ns0:t>DB-044-EN</ns0:t>
        </ns0:is>
      </ns0:c>
      <ns0:c r="B131" s="7" t="inlineStr">
        <ns0:is>
          <ns0:t>DB-044</ns0:t>
        </ns0:is>
      </ns0:c>
      <ns0:c r="C131" s="7" t="inlineStr">
        <ns0:is>
          <ns0:t>AMORIS</ns0:t>
        </ns0:is>
      </ns0:c>
      <ns0:c r="D131" s="7" t="inlineStr">
        <ns0:is>
          <ns0:t>Alex Damian</ns0:t>
        </ns0:is>
      </ns0:c>
      <ns0:c r="E131" s="8" t="n">
        <ns0:v>9</ns0:v>
      </ns0:c>
      <ns0:c r="F131" s="7" t="inlineStr">
        <ns0:is>
          <ns0:t>Tidebound</ns0:t>
        </ns0:is>
      </ns0:c>
      <ns0:c r="G131" s="7" t="inlineStr">
        <ns0:is>
          <ns0:t>EN</ns0:t>
        </ns0:is>
      </ns0:c>
      <ns0:c r="H131" s="7" t="inlineStr">
        <ns0:is>
          <ns0:t>EN</ns0:t>
        </ns0:is>
      </ns0:c>
      <ns0:c r="I131" s="7" t="inlineStr">
        <ns0:is>
          <ns0:t>Scriere nouă</ns0:t>
        </ns0:is>
      </ns0:c>
      <ns0:c r="J131" s="11" t="inlineStr">
        <ns0:is>
          <ns0:t>Planificat</ns0:t>
        </ns0:is>
      </ns0:c>
      <ns0:c r="K131" s="11" t="inlineStr">
        <ns0:is>
          <ns0:t>De desemnat</ns0:t>
        </ns0:is>
      </ns0:c>
      <ns0:c r="L131" s="8">
        <ns0:f>Catalog_100!I45</ns0:f>
        <ns0:v>60000</ns0:v>
      </ns0:c>
      <ns0:c r="M131" s="13">
        <ns0:f>Catalog_100!J45</ns0:f>
        <ns0:v>46318.0</ns0:v>
      </ns0:c>
      <ns0:c r="N131" s="13">
        <ns0:f>Catalog_100!K45</ns0:f>
        <ns0:v>46336.0</ns0:v>
      </ns0:c>
      <ns0:c r="O131" s="13">
        <ns0:f>Catalog_100!L45</ns0:f>
        <ns0:v>46338.0</ns0:v>
      </ns0:c>
      <ns0:c r="P131" s="13">
        <ns0:f>Catalog_100!M45</ns0:f>
        <ns0:v>46340.0</ns0:v>
      </ns0:c>
      <ns0:c r="Q131" s="11" t="inlineStr"/>
      <ns0:c r="R131" s="10" t="inlineStr"/>
      <ns0:c r="S131" s="11" t="inlineStr"/>
      <ns0:c r="T131" s="11" t="inlineStr"/>
      <ns0:c r="U131" s="11" t="inlineStr"/>
      <ns0:c r="V131" s="11" t="inlineStr">
        <ns0:is>
          <ns0:t>Neconfirmat</ns0:t>
        </ns0:is>
      </ns0:c>
      <ns0:c r="W131" s="11" t="inlineStr">
        <ns0:is>
          <ns0:t>Fără ediție finală confirmată</ns0:t>
        </ns0:is>
      </ns0:c>
      <ns0:c r="X131" s="7">
        <ns0:f>IF(AND(J131="Publicat",Q131&lt;&gt;"",ISNUMBER(R131),S131&lt;&gt;"",U131&lt;&gt;"",V131="Confirmat"),1,0)</ns0:f>
        <ns0:v>0</ns0:v>
      </ns0:c>
    </ns0:row>
    <ns0:row r="132" ht="46" customHeight="1">
      <ns0:c r="A132" s="7" t="inlineStr">
        <ns0:is>
          <ns0:t>DB-044-RO</ns0:t>
        </ns0:is>
      </ns0:c>
      <ns0:c r="B132" s="7" t="inlineStr">
        <ns0:is>
          <ns0:t>DB-044</ns0:t>
        </ns0:is>
      </ns0:c>
      <ns0:c r="C132" s="7" t="inlineStr">
        <ns0:is>
          <ns0:t>AMORIS</ns0:t>
        </ns0:is>
      </ns0:c>
      <ns0:c r="D132" s="7" t="inlineStr">
        <ns0:is>
          <ns0:t>Alex Damian</ns0:t>
        </ns0:is>
      </ns0:c>
      <ns0:c r="E132" s="8" t="n">
        <ns0:v>9</ns0:v>
      </ns0:c>
      <ns0:c r="F132" s="7" t="inlineStr">
        <ns0:is>
          <ns0:t>Tidebound</ns0:t>
        </ns0:is>
      </ns0:c>
      <ns0:c r="G132" s="7" t="inlineStr">
        <ns0:is>
          <ns0:t>RO</ns0:t>
        </ns0:is>
      </ns0:c>
      <ns0:c r="H132" s="7" t="inlineStr">
        <ns0:is>
          <ns0:t>EN</ns0:t>
        </ns0:is>
      </ns0:c>
      <ns0:c r="I132" s="7" t="inlineStr">
        <ns0:is>
          <ns0:t>Traducere EN→RO</ns0:t>
        </ns0:is>
      </ns0:c>
      <ns0:c r="J132" s="11" t="inlineStr">
        <ns0:is>
          <ns0:t>Planificat</ns0:t>
        </ns0:is>
      </ns0:c>
      <ns0:c r="K132" s="11" t="inlineStr">
        <ns0:is>
          <ns0:t>De desemnat</ns0:t>
        </ns0:is>
      </ns0:c>
      <ns0:c r="L132" s="8">
        <ns0:f>Catalog_100!I45</ns0:f>
        <ns0:v>60000</ns0:v>
      </ns0:c>
      <ns0:c r="M132" s="13">
        <ns0:f>Catalog_100!J45</ns0:f>
        <ns0:v>46318.0</ns0:v>
      </ns0:c>
      <ns0:c r="N132" s="13">
        <ns0:f>Catalog_100!K45</ns0:f>
        <ns0:v>46336.0</ns0:v>
      </ns0:c>
      <ns0:c r="O132" s="13">
        <ns0:f>Catalog_100!L45</ns0:f>
        <ns0:v>46338.0</ns0:v>
      </ns0:c>
      <ns0:c r="P132" s="13">
        <ns0:f>Catalog_100!M45</ns0:f>
        <ns0:v>46340.0</ns0:v>
      </ns0:c>
      <ns0:c r="Q132" s="11" t="inlineStr"/>
      <ns0:c r="R132" s="10" t="inlineStr"/>
      <ns0:c r="S132" s="11" t="inlineStr"/>
      <ns0:c r="T132" s="11" t="inlineStr"/>
      <ns0:c r="U132" s="11" t="inlineStr"/>
      <ns0:c r="V132" s="11" t="inlineStr">
        <ns0:is>
          <ns0:t>Neconfirmat</ns0:t>
        </ns0:is>
      </ns0:c>
      <ns0:c r="W132" s="11" t="inlineStr">
        <ns0:is>
          <ns0:t>Fără ediție finală confirmată</ns0:t>
        </ns0:is>
      </ns0:c>
      <ns0:c r="X132" s="7">
        <ns0:f>IF(AND(J132="Publicat",Q132&lt;&gt;"",ISNUMBER(R132),S132&lt;&gt;"",U132&lt;&gt;"",V132="Confirmat"),1,0)</ns0:f>
        <ns0:v>0</ns0:v>
      </ns0:c>
    </ns0:row>
    <ns0:row r="133" ht="46" customHeight="1">
      <ns0:c r="A133" s="7" t="inlineStr">
        <ns0:is>
          <ns0:t>DB-044-DE</ns0:t>
        </ns0:is>
      </ns0:c>
      <ns0:c r="B133" s="7" t="inlineStr">
        <ns0:is>
          <ns0:t>DB-044</ns0:t>
        </ns0:is>
      </ns0:c>
      <ns0:c r="C133" s="7" t="inlineStr">
        <ns0:is>
          <ns0:t>AMORIS</ns0:t>
        </ns0:is>
      </ns0:c>
      <ns0:c r="D133" s="7" t="inlineStr">
        <ns0:is>
          <ns0:t>Alex Damian</ns0:t>
        </ns0:is>
      </ns0:c>
      <ns0:c r="E133" s="8" t="n">
        <ns0:v>9</ns0:v>
      </ns0:c>
      <ns0:c r="F133" s="7" t="inlineStr">
        <ns0:is>
          <ns0:t>Tidebound</ns0:t>
        </ns0:is>
      </ns0:c>
      <ns0:c r="G133" s="7" t="inlineStr">
        <ns0:is>
          <ns0:t>DE</ns0:t>
        </ns0:is>
      </ns0:c>
      <ns0:c r="H133" s="7" t="inlineStr">
        <ns0:is>
          <ns0:t>EN</ns0:t>
        </ns0:is>
      </ns0:c>
      <ns0:c r="I133" s="7" t="inlineStr">
        <ns0:is>
          <ns0:t>Traducere EN→DE</ns0:t>
        </ns0:is>
      </ns0:c>
      <ns0:c r="J133" s="11" t="inlineStr">
        <ns0:is>
          <ns0:t>Planificat</ns0:t>
        </ns0:is>
      </ns0:c>
      <ns0:c r="K133" s="11" t="inlineStr">
        <ns0:is>
          <ns0:t>De desemnat</ns0:t>
        </ns0:is>
      </ns0:c>
      <ns0:c r="L133" s="8">
        <ns0:f>Catalog_100!I45</ns0:f>
        <ns0:v>60000</ns0:v>
      </ns0:c>
      <ns0:c r="M133" s="13">
        <ns0:f>Catalog_100!J45</ns0:f>
        <ns0:v>46318.0</ns0:v>
      </ns0:c>
      <ns0:c r="N133" s="13">
        <ns0:f>Catalog_100!K45</ns0:f>
        <ns0:v>46336.0</ns0:v>
      </ns0:c>
      <ns0:c r="O133" s="13">
        <ns0:f>Catalog_100!L45</ns0:f>
        <ns0:v>46338.0</ns0:v>
      </ns0:c>
      <ns0:c r="P133" s="13">
        <ns0:f>Catalog_100!M45</ns0:f>
        <ns0:v>46340.0</ns0:v>
      </ns0:c>
      <ns0:c r="Q133" s="11" t="inlineStr"/>
      <ns0:c r="R133" s="10" t="inlineStr"/>
      <ns0:c r="S133" s="11" t="inlineStr"/>
      <ns0:c r="T133" s="11" t="inlineStr"/>
      <ns0:c r="U133" s="11" t="inlineStr"/>
      <ns0:c r="V133" s="11" t="inlineStr">
        <ns0:is>
          <ns0:t>Neconfirmat</ns0:t>
        </ns0:is>
      </ns0:c>
      <ns0:c r="W133" s="11" t="inlineStr">
        <ns0:is>
          <ns0:t>Fără ediție finală confirmată</ns0:t>
        </ns0:is>
      </ns0:c>
      <ns0:c r="X133" s="7">
        <ns0:f>IF(AND(J133="Publicat",Q133&lt;&gt;"",ISNUMBER(R133),S133&lt;&gt;"",U133&lt;&gt;"",V133="Confirmat"),1,0)</ns0:f>
        <ns0:v>0</ns0:v>
      </ns0:c>
    </ns0:row>
    <ns0:row r="134" ht="46" customHeight="1">
      <ns0:c r="A134" s="7" t="inlineStr">
        <ns0:is>
          <ns0:t>DB-045-EN</ns0:t>
        </ns0:is>
      </ns0:c>
      <ns0:c r="B134" s="7" t="inlineStr">
        <ns0:is>
          <ns0:t>DB-045</ns0:t>
        </ns0:is>
      </ns0:c>
      <ns0:c r="C134" s="7" t="inlineStr">
        <ns0:is>
          <ns0:t>AMORIS</ns0:t>
        </ns0:is>
      </ns0:c>
      <ns0:c r="D134" s="7" t="inlineStr">
        <ns0:is>
          <ns0:t>Alex Damian</ns0:t>
        </ns0:is>
      </ns0:c>
      <ns0:c r="E134" s="8" t="n">
        <ns0:v>10</ns0:v>
      </ns0:c>
      <ns0:c r="F134" s="7" t="inlineStr">
        <ns0:is>
          <ns0:t>The Echo Below</ns0:t>
        </ns0:is>
      </ns0:c>
      <ns0:c r="G134" s="7" t="inlineStr">
        <ns0:is>
          <ns0:t>EN</ns0:t>
        </ns0:is>
      </ns0:c>
      <ns0:c r="H134" s="7" t="inlineStr">
        <ns0:is>
          <ns0:t>EN</ns0:t>
        </ns0:is>
      </ns0:c>
      <ns0:c r="I134" s="7" t="inlineStr">
        <ns0:is>
          <ns0:t>Scriere nouă</ns0:t>
        </ns0:is>
      </ns0:c>
      <ns0:c r="J134" s="11" t="inlineStr">
        <ns0:is>
          <ns0:t>Planificat</ns0:t>
        </ns0:is>
      </ns0:c>
      <ns0:c r="K134" s="11" t="inlineStr">
        <ns0:is>
          <ns0:t>De desemnat</ns0:t>
        </ns0:is>
      </ns0:c>
      <ns0:c r="L134" s="8">
        <ns0:f>Catalog_100!I46</ns0:f>
        <ns0:v>60000</ns0:v>
      </ns0:c>
      <ns0:c r="M134" s="13">
        <ns0:f>Catalog_100!J46</ns0:f>
        <ns0:v>46318.0</ns0:v>
      </ns0:c>
      <ns0:c r="N134" s="13">
        <ns0:f>Catalog_100!K46</ns0:f>
        <ns0:v>46336.0</ns0:v>
      </ns0:c>
      <ns0:c r="O134" s="13">
        <ns0:f>Catalog_100!L46</ns0:f>
        <ns0:v>46338.0</ns0:v>
      </ns0:c>
      <ns0:c r="P134" s="13">
        <ns0:f>Catalog_100!M46</ns0:f>
        <ns0:v>46340.0</ns0:v>
      </ns0:c>
      <ns0:c r="Q134" s="11" t="inlineStr"/>
      <ns0:c r="R134" s="10" t="inlineStr"/>
      <ns0:c r="S134" s="11" t="inlineStr"/>
      <ns0:c r="T134" s="11" t="inlineStr"/>
      <ns0:c r="U134" s="11" t="inlineStr"/>
      <ns0:c r="V134" s="11" t="inlineStr">
        <ns0:is>
          <ns0:t>Neconfirmat</ns0:t>
        </ns0:is>
      </ns0:c>
      <ns0:c r="W134" s="11" t="inlineStr">
        <ns0:is>
          <ns0:t>Fără ediție finală confirmată</ns0:t>
        </ns0:is>
      </ns0:c>
      <ns0:c r="X134" s="7">
        <ns0:f>IF(AND(J134="Publicat",Q134&lt;&gt;"",ISNUMBER(R134),S134&lt;&gt;"",U134&lt;&gt;"",V134="Confirmat"),1,0)</ns0:f>
        <ns0:v>0</ns0:v>
      </ns0:c>
    </ns0:row>
    <ns0:row r="135" ht="46" customHeight="1">
      <ns0:c r="A135" s="7" t="inlineStr">
        <ns0:is>
          <ns0:t>DB-045-RO</ns0:t>
        </ns0:is>
      </ns0:c>
      <ns0:c r="B135" s="7" t="inlineStr">
        <ns0:is>
          <ns0:t>DB-045</ns0:t>
        </ns0:is>
      </ns0:c>
      <ns0:c r="C135" s="7" t="inlineStr">
        <ns0:is>
          <ns0:t>AMORIS</ns0:t>
        </ns0:is>
      </ns0:c>
      <ns0:c r="D135" s="7" t="inlineStr">
        <ns0:is>
          <ns0:t>Alex Damian</ns0:t>
        </ns0:is>
      </ns0:c>
      <ns0:c r="E135" s="8" t="n">
        <ns0:v>10</ns0:v>
      </ns0:c>
      <ns0:c r="F135" s="7" t="inlineStr">
        <ns0:is>
          <ns0:t>The Echo Below</ns0:t>
        </ns0:is>
      </ns0:c>
      <ns0:c r="G135" s="7" t="inlineStr">
        <ns0:is>
          <ns0:t>RO</ns0:t>
        </ns0:is>
      </ns0:c>
      <ns0:c r="H135" s="7" t="inlineStr">
        <ns0:is>
          <ns0:t>EN</ns0:t>
        </ns0:is>
      </ns0:c>
      <ns0:c r="I135" s="7" t="inlineStr">
        <ns0:is>
          <ns0:t>Traducere EN→RO</ns0:t>
        </ns0:is>
      </ns0:c>
      <ns0:c r="J135" s="11" t="inlineStr">
        <ns0:is>
          <ns0:t>Planificat</ns0:t>
        </ns0:is>
      </ns0:c>
      <ns0:c r="K135" s="11" t="inlineStr">
        <ns0:is>
          <ns0:t>De desemnat</ns0:t>
        </ns0:is>
      </ns0:c>
      <ns0:c r="L135" s="8">
        <ns0:f>Catalog_100!I46</ns0:f>
        <ns0:v>60000</ns0:v>
      </ns0:c>
      <ns0:c r="M135" s="13">
        <ns0:f>Catalog_100!J46</ns0:f>
        <ns0:v>46318.0</ns0:v>
      </ns0:c>
      <ns0:c r="N135" s="13">
        <ns0:f>Catalog_100!K46</ns0:f>
        <ns0:v>46336.0</ns0:v>
      </ns0:c>
      <ns0:c r="O135" s="13">
        <ns0:f>Catalog_100!L46</ns0:f>
        <ns0:v>46338.0</ns0:v>
      </ns0:c>
      <ns0:c r="P135" s="13">
        <ns0:f>Catalog_100!M46</ns0:f>
        <ns0:v>46340.0</ns0:v>
      </ns0:c>
      <ns0:c r="Q135" s="11" t="inlineStr"/>
      <ns0:c r="R135" s="10" t="inlineStr"/>
      <ns0:c r="S135" s="11" t="inlineStr"/>
      <ns0:c r="T135" s="11" t="inlineStr"/>
      <ns0:c r="U135" s="11" t="inlineStr"/>
      <ns0:c r="V135" s="11" t="inlineStr">
        <ns0:is>
          <ns0:t>Neconfirmat</ns0:t>
        </ns0:is>
      </ns0:c>
      <ns0:c r="W135" s="11" t="inlineStr">
        <ns0:is>
          <ns0:t>Fără ediție finală confirmată</ns0:t>
        </ns0:is>
      </ns0:c>
      <ns0:c r="X135" s="7">
        <ns0:f>IF(AND(J135="Publicat",Q135&lt;&gt;"",ISNUMBER(R135),S135&lt;&gt;"",U135&lt;&gt;"",V135="Confirmat"),1,0)</ns0:f>
        <ns0:v>0</ns0:v>
      </ns0:c>
    </ns0:row>
    <ns0:row r="136" ht="46" customHeight="1">
      <ns0:c r="A136" s="7" t="inlineStr">
        <ns0:is>
          <ns0:t>DB-045-DE</ns0:t>
        </ns0:is>
      </ns0:c>
      <ns0:c r="B136" s="7" t="inlineStr">
        <ns0:is>
          <ns0:t>DB-045</ns0:t>
        </ns0:is>
      </ns0:c>
      <ns0:c r="C136" s="7" t="inlineStr">
        <ns0:is>
          <ns0:t>AMORIS</ns0:t>
        </ns0:is>
      </ns0:c>
      <ns0:c r="D136" s="7" t="inlineStr">
        <ns0:is>
          <ns0:t>Alex Damian</ns0:t>
        </ns0:is>
      </ns0:c>
      <ns0:c r="E136" s="8" t="n">
        <ns0:v>10</ns0:v>
      </ns0:c>
      <ns0:c r="F136" s="7" t="inlineStr">
        <ns0:is>
          <ns0:t>The Echo Below</ns0:t>
        </ns0:is>
      </ns0:c>
      <ns0:c r="G136" s="7" t="inlineStr">
        <ns0:is>
          <ns0:t>DE</ns0:t>
        </ns0:is>
      </ns0:c>
      <ns0:c r="H136" s="7" t="inlineStr">
        <ns0:is>
          <ns0:t>EN</ns0:t>
        </ns0:is>
      </ns0:c>
      <ns0:c r="I136" s="7" t="inlineStr">
        <ns0:is>
          <ns0:t>Traducere EN→DE</ns0:t>
        </ns0:is>
      </ns0:c>
      <ns0:c r="J136" s="11" t="inlineStr">
        <ns0:is>
          <ns0:t>Planificat</ns0:t>
        </ns0:is>
      </ns0:c>
      <ns0:c r="K136" s="11" t="inlineStr">
        <ns0:is>
          <ns0:t>De desemnat</ns0:t>
        </ns0:is>
      </ns0:c>
      <ns0:c r="L136" s="8">
        <ns0:f>Catalog_100!I46</ns0:f>
        <ns0:v>60000</ns0:v>
      </ns0:c>
      <ns0:c r="M136" s="13">
        <ns0:f>Catalog_100!J46</ns0:f>
        <ns0:v>46318.0</ns0:v>
      </ns0:c>
      <ns0:c r="N136" s="13">
        <ns0:f>Catalog_100!K46</ns0:f>
        <ns0:v>46336.0</ns0:v>
      </ns0:c>
      <ns0:c r="O136" s="13">
        <ns0:f>Catalog_100!L46</ns0:f>
        <ns0:v>46338.0</ns0:v>
      </ns0:c>
      <ns0:c r="P136" s="13">
        <ns0:f>Catalog_100!M46</ns0:f>
        <ns0:v>46340.0</ns0:v>
      </ns0:c>
      <ns0:c r="Q136" s="11" t="inlineStr"/>
      <ns0:c r="R136" s="10" t="inlineStr"/>
      <ns0:c r="S136" s="11" t="inlineStr"/>
      <ns0:c r="T136" s="11" t="inlineStr"/>
      <ns0:c r="U136" s="11" t="inlineStr"/>
      <ns0:c r="V136" s="11" t="inlineStr">
        <ns0:is>
          <ns0:t>Neconfirmat</ns0:t>
        </ns0:is>
      </ns0:c>
      <ns0:c r="W136" s="11" t="inlineStr">
        <ns0:is>
          <ns0:t>Fără ediție finală confirmată</ns0:t>
        </ns0:is>
      </ns0:c>
      <ns0:c r="X136" s="7">
        <ns0:f>IF(AND(J136="Publicat",Q136&lt;&gt;"",ISNUMBER(R136),S136&lt;&gt;"",U136&lt;&gt;"",V136="Confirmat"),1,0)</ns0:f>
        <ns0:v>0</ns0:v>
      </ns0:c>
    </ns0:row>
    <ns0:row r="137" ht="46" customHeight="1">
      <ns0:c r="A137" s="7" t="inlineStr">
        <ns0:is>
          <ns0:t>DB-046-EN</ns0:t>
        </ns0:is>
      </ns0:c>
      <ns0:c r="B137" s="7" t="inlineStr">
        <ns0:is>
          <ns0:t>DB-046</ns0:t>
        </ns0:is>
      </ns0:c>
      <ns0:c r="C137" s="7" t="inlineStr">
        <ns0:is>
          <ns0:t>AMORIS</ns0:t>
        </ns0:is>
      </ns0:c>
      <ns0:c r="D137" s="7" t="inlineStr">
        <ns0:is>
          <ns0:t>Isabella Morgan / Rue des Âmes</ns0:t>
        </ns0:is>
      </ns0:c>
      <ns0:c r="E137" s="8" t="n">
        <ns0:v>1</ns0:v>
      </ns0:c>
      <ns0:c r="F137" s="7" t="inlineStr">
        <ns0:is>
          <ns0:t>Hotelul din Rue des Âmes</ns0:t>
        </ns0:is>
      </ns0:c>
      <ns0:c r="G137" s="7" t="inlineStr">
        <ns0:is>
          <ns0:t>EN</ns0:t>
        </ns0:is>
      </ns0:c>
      <ns0:c r="H137" s="7" t="inlineStr">
        <ns0:is>
          <ns0:t>EN</ns0:t>
        </ns0:is>
      </ns0:c>
      <ns0:c r="I137" s="7" t="inlineStr">
        <ns0:is>
          <ns0:t>Editare fond</ns0:t>
        </ns0:is>
      </ns0:c>
      <ns0:c r="J137" s="11" t="inlineStr">
        <ns0:is>
          <ns0:t>Manuscris existent</ns0:t>
        </ns0:is>
      </ns0:c>
      <ns0:c r="K137" s="11" t="inlineStr">
        <ns0:is>
          <ns0:t>De desemnat</ns0:t>
        </ns0:is>
      </ns0:c>
      <ns0:c r="L137" s="8">
        <ns0:f>Catalog_100!I47</ns0:f>
        <ns0:v>85000</ns0:v>
      </ns0:c>
      <ns0:c r="M137" s="13">
        <ns0:f>Catalog_100!J47</ns0:f>
        <ns0:v>46298.0</ns0:v>
      </ns0:c>
      <ns0:c r="N137" s="13">
        <ns0:f>Catalog_100!K47</ns0:f>
        <ns0:v>46301.0</ns0:v>
      </ns0:c>
      <ns0:c r="O137" s="13">
        <ns0:f>Catalog_100!L47</ns0:f>
        <ns0:v>46303.0</ns0:v>
      </ns0:c>
      <ns0:c r="P137" s="13">
        <ns0:f>Catalog_100!M47</ns0:f>
        <ns0:v>46305.0</ns0:v>
      </ns0:c>
      <ns0:c r="Q137" s="11" t="inlineStr"/>
      <ns0:c r="R137" s="10" t="inlineStr"/>
      <ns0:c r="S137" s="11" t="inlineStr"/>
      <ns0:c r="T137" s="11" t="inlineStr"/>
      <ns0:c r="U137" s="11" t="inlineStr"/>
      <ns0:c r="V137" s="11" t="inlineStr">
        <ns0:is>
          <ns0:t>Neconfirmat</ns0:t>
        </ns0:is>
      </ns0:c>
      <ns0:c r="W137" s="11" t="inlineStr">
        <ns0:is>
          <ns0:t>Folderul V1 conține copie identică a Aurora 1; heading CHAPTER 11 neidentificat; nu se deduce automat lipsa prozei.</ns0:t>
        </ns0:is>
      </ns0:c>
      <ns0:c r="X137" s="7">
        <ns0:f>IF(AND(J137="Publicat",Q137&lt;&gt;"",ISNUMBER(R137),S137&lt;&gt;"",U137&lt;&gt;"",V137="Confirmat"),1,0)</ns0:f>
        <ns0:v>0</ns0:v>
      </ns0:c>
    </ns0:row>
    <ns0:row r="138" ht="46" customHeight="1">
      <ns0:c r="A138" s="7" t="inlineStr">
        <ns0:is>
          <ns0:t>DB-046-RO</ns0:t>
        </ns0:is>
      </ns0:c>
      <ns0:c r="B138" s="7" t="inlineStr">
        <ns0:is>
          <ns0:t>DB-046</ns0:t>
        </ns0:is>
      </ns0:c>
      <ns0:c r="C138" s="7" t="inlineStr">
        <ns0:is>
          <ns0:t>AMORIS</ns0:t>
        </ns0:is>
      </ns0:c>
      <ns0:c r="D138" s="7" t="inlineStr">
        <ns0:is>
          <ns0:t>Isabella Morgan / Rue des Âmes</ns0:t>
        </ns0:is>
      </ns0:c>
      <ns0:c r="E138" s="8" t="n">
        <ns0:v>1</ns0:v>
      </ns0:c>
      <ns0:c r="F138" s="7" t="inlineStr">
        <ns0:is>
          <ns0:t>Hotelul din Rue des Âmes</ns0:t>
        </ns0:is>
      </ns0:c>
      <ns0:c r="G138" s="7" t="inlineStr">
        <ns0:is>
          <ns0:t>RO</ns0:t>
        </ns0:is>
      </ns0:c>
      <ns0:c r="H138" s="7" t="inlineStr">
        <ns0:is>
          <ns0:t>EN</ns0:t>
        </ns0:is>
      </ns0:c>
      <ns0:c r="I138" s="7" t="inlineStr">
        <ns0:is>
          <ns0:t>Traducere EN→RO</ns0:t>
        </ns0:is>
      </ns0:c>
      <ns0:c r="J138" s="11" t="inlineStr">
        <ns0:is>
          <ns0:t>Planificat</ns0:t>
        </ns0:is>
      </ns0:c>
      <ns0:c r="K138" s="11" t="inlineStr">
        <ns0:is>
          <ns0:t>De desemnat</ns0:t>
        </ns0:is>
      </ns0:c>
      <ns0:c r="L138" s="8">
        <ns0:f>Catalog_100!I47</ns0:f>
        <ns0:v>85000</ns0:v>
      </ns0:c>
      <ns0:c r="M138" s="13">
        <ns0:f>Catalog_100!J47</ns0:f>
        <ns0:v>46298.0</ns0:v>
      </ns0:c>
      <ns0:c r="N138" s="13">
        <ns0:f>Catalog_100!K47</ns0:f>
        <ns0:v>46301.0</ns0:v>
      </ns0:c>
      <ns0:c r="O138" s="13">
        <ns0:f>Catalog_100!L47</ns0:f>
        <ns0:v>46303.0</ns0:v>
      </ns0:c>
      <ns0:c r="P138" s="13">
        <ns0:f>Catalog_100!M47</ns0:f>
        <ns0:v>46305.0</ns0:v>
      </ns0:c>
      <ns0:c r="Q138" s="11" t="inlineStr"/>
      <ns0:c r="R138" s="10" t="inlineStr"/>
      <ns0:c r="S138" s="11" t="inlineStr"/>
      <ns0:c r="T138" s="11" t="inlineStr"/>
      <ns0:c r="U138" s="11" t="inlineStr"/>
      <ns0:c r="V138" s="11" t="inlineStr">
        <ns0:is>
          <ns0:t>Neconfirmat</ns0:t>
        </ns0:is>
      </ns0:c>
      <ns0:c r="W138" s="11" t="inlineStr">
        <ns0:is>
          <ns0:t>Fără ediție finală confirmată</ns0:t>
        </ns0:is>
      </ns0:c>
      <ns0:c r="X138" s="7">
        <ns0:f>IF(AND(J138="Publicat",Q138&lt;&gt;"",ISNUMBER(R138),S138&lt;&gt;"",U138&lt;&gt;"",V138="Confirmat"),1,0)</ns0:f>
        <ns0:v>0</ns0:v>
      </ns0:c>
    </ns0:row>
    <ns0:row r="139" ht="46" customHeight="1">
      <ns0:c r="A139" s="7" t="inlineStr">
        <ns0:is>
          <ns0:t>DB-046-DE</ns0:t>
        </ns0:is>
      </ns0:c>
      <ns0:c r="B139" s="7" t="inlineStr">
        <ns0:is>
          <ns0:t>DB-046</ns0:t>
        </ns0:is>
      </ns0:c>
      <ns0:c r="C139" s="7" t="inlineStr">
        <ns0:is>
          <ns0:t>AMORIS</ns0:t>
        </ns0:is>
      </ns0:c>
      <ns0:c r="D139" s="7" t="inlineStr">
        <ns0:is>
          <ns0:t>Isabella Morgan / Rue des Âmes</ns0:t>
        </ns0:is>
      </ns0:c>
      <ns0:c r="E139" s="8" t="n">
        <ns0:v>1</ns0:v>
      </ns0:c>
      <ns0:c r="F139" s="7" t="inlineStr">
        <ns0:is>
          <ns0:t>Hotelul din Rue des Âmes</ns0:t>
        </ns0:is>
      </ns0:c>
      <ns0:c r="G139" s="7" t="inlineStr">
        <ns0:is>
          <ns0:t>DE</ns0:t>
        </ns0:is>
      </ns0:c>
      <ns0:c r="H139" s="7" t="inlineStr">
        <ns0:is>
          <ns0:t>EN</ns0:t>
        </ns0:is>
      </ns0:c>
      <ns0:c r="I139" s="7" t="inlineStr">
        <ns0:is>
          <ns0:t>Traducere EN→DE</ns0:t>
        </ns0:is>
      </ns0:c>
      <ns0:c r="J139" s="11" t="inlineStr">
        <ns0:is>
          <ns0:t>Planificat</ns0:t>
        </ns0:is>
      </ns0:c>
      <ns0:c r="K139" s="11" t="inlineStr">
        <ns0:is>
          <ns0:t>De desemnat</ns0:t>
        </ns0:is>
      </ns0:c>
      <ns0:c r="L139" s="8">
        <ns0:f>Catalog_100!I47</ns0:f>
        <ns0:v>85000</ns0:v>
      </ns0:c>
      <ns0:c r="M139" s="13">
        <ns0:f>Catalog_100!J47</ns0:f>
        <ns0:v>46298.0</ns0:v>
      </ns0:c>
      <ns0:c r="N139" s="13">
        <ns0:f>Catalog_100!K47</ns0:f>
        <ns0:v>46301.0</ns0:v>
      </ns0:c>
      <ns0:c r="O139" s="13">
        <ns0:f>Catalog_100!L47</ns0:f>
        <ns0:v>46303.0</ns0:v>
      </ns0:c>
      <ns0:c r="P139" s="13">
        <ns0:f>Catalog_100!M47</ns0:f>
        <ns0:v>46305.0</ns0:v>
      </ns0:c>
      <ns0:c r="Q139" s="11" t="inlineStr"/>
      <ns0:c r="R139" s="10" t="inlineStr"/>
      <ns0:c r="S139" s="11" t="inlineStr"/>
      <ns0:c r="T139" s="11" t="inlineStr"/>
      <ns0:c r="U139" s="11" t="inlineStr"/>
      <ns0:c r="V139" s="11" t="inlineStr">
        <ns0:is>
          <ns0:t>Neconfirmat</ns0:t>
        </ns0:is>
      </ns0:c>
      <ns0:c r="W139" s="11" t="inlineStr">
        <ns0:is>
          <ns0:t>Fără ediție finală confirmată</ns0:t>
        </ns0:is>
      </ns0:c>
      <ns0:c r="X139" s="7">
        <ns0:f>IF(AND(J139="Publicat",Q139&lt;&gt;"",ISNUMBER(R139),S139&lt;&gt;"",U139&lt;&gt;"",V139="Confirmat"),1,0)</ns0:f>
        <ns0:v>0</ns0:v>
      </ns0:c>
    </ns0:row>
    <ns0:row r="140" ht="46" customHeight="1">
      <ns0:c r="A140" s="7" t="inlineStr">
        <ns0:is>
          <ns0:t>DB-047-EN</ns0:t>
        </ns0:is>
      </ns0:c>
      <ns0:c r="B140" s="7" t="inlineStr">
        <ns0:is>
          <ns0:t>DB-047</ns0:t>
        </ns0:is>
      </ns0:c>
      <ns0:c r="C140" s="7" t="inlineStr">
        <ns0:is>
          <ns0:t>AMORIS</ns0:t>
        </ns0:is>
      </ns0:c>
      <ns0:c r="D140" s="7" t="inlineStr">
        <ns0:is>
          <ns0:t>Isabella Morgan / Rue des Âmes</ns0:t>
        </ns0:is>
      </ns0:c>
      <ns0:c r="E140" s="8" t="n">
        <ns0:v>2</ns0:v>
      </ns0:c>
      <ns0:c r="F140" s="7" t="inlineStr">
        <ns0:is>
          <ns0:t>The Magenta Letters</ns0:t>
        </ns0:is>
      </ns0:c>
      <ns0:c r="G140" s="7" t="inlineStr">
        <ns0:is>
          <ns0:t>EN</ns0:t>
        </ns0:is>
      </ns0:c>
      <ns0:c r="H140" s="7" t="inlineStr">
        <ns0:is>
          <ns0:t>EN</ns0:t>
        </ns0:is>
      </ns0:c>
      <ns0:c r="I140" s="7" t="inlineStr">
        <ns0:is>
          <ns0:t>Scriere nouă</ns0:t>
        </ns0:is>
      </ns0:c>
      <ns0:c r="J140" s="11" t="inlineStr">
        <ns0:is>
          <ns0:t>Planificat</ns0:t>
        </ns0:is>
      </ns0:c>
      <ns0:c r="K140" s="11" t="inlineStr">
        <ns0:is>
          <ns0:t>De desemnat</ns0:t>
        </ns0:is>
      </ns0:c>
      <ns0:c r="L140" s="8">
        <ns0:f>Catalog_100!I48</ns0:f>
        <ns0:v>60000</ns0:v>
      </ns0:c>
      <ns0:c r="M140" s="13">
        <ns0:f>Catalog_100!J48</ns0:f>
        <ns0:v>46325.0</ns0:v>
      </ns0:c>
      <ns0:c r="N140" s="13">
        <ns0:f>Catalog_100!K48</ns0:f>
        <ns0:v>46343.0</ns0:v>
      </ns0:c>
      <ns0:c r="O140" s="13">
        <ns0:f>Catalog_100!L48</ns0:f>
        <ns0:v>46345.0</ns0:v>
      </ns0:c>
      <ns0:c r="P140" s="13">
        <ns0:f>Catalog_100!M48</ns0:f>
        <ns0:v>46347.0</ns0:v>
      </ns0:c>
      <ns0:c r="Q140" s="11" t="inlineStr"/>
      <ns0:c r="R140" s="10" t="inlineStr"/>
      <ns0:c r="S140" s="11" t="inlineStr"/>
      <ns0:c r="T140" s="11" t="inlineStr"/>
      <ns0:c r="U140" s="11" t="inlineStr"/>
      <ns0:c r="V140" s="11" t="inlineStr">
        <ns0:is>
          <ns0:t>Neconfirmat</ns0:t>
        </ns0:is>
      </ns0:c>
      <ns0:c r="W140" s="11" t="inlineStr">
        <ns0:is>
          <ns0:t>Fără ediție finală confirmată</ns0:t>
        </ns0:is>
      </ns0:c>
      <ns0:c r="X140" s="7">
        <ns0:f>IF(AND(J140="Publicat",Q140&lt;&gt;"",ISNUMBER(R140),S140&lt;&gt;"",U140&lt;&gt;"",V140="Confirmat"),1,0)</ns0:f>
        <ns0:v>0</ns0:v>
      </ns0:c>
    </ns0:row>
    <ns0:row r="141" ht="46" customHeight="1">
      <ns0:c r="A141" s="7" t="inlineStr">
        <ns0:is>
          <ns0:t>DB-047-RO</ns0:t>
        </ns0:is>
      </ns0:c>
      <ns0:c r="B141" s="7" t="inlineStr">
        <ns0:is>
          <ns0:t>DB-047</ns0:t>
        </ns0:is>
      </ns0:c>
      <ns0:c r="C141" s="7" t="inlineStr">
        <ns0:is>
          <ns0:t>AMORIS</ns0:t>
        </ns0:is>
      </ns0:c>
      <ns0:c r="D141" s="7" t="inlineStr">
        <ns0:is>
          <ns0:t>Isabella Morgan / Rue des Âmes</ns0:t>
        </ns0:is>
      </ns0:c>
      <ns0:c r="E141" s="8" t="n">
        <ns0:v>2</ns0:v>
      </ns0:c>
      <ns0:c r="F141" s="7" t="inlineStr">
        <ns0:is>
          <ns0:t>The Magenta Letters</ns0:t>
        </ns0:is>
      </ns0:c>
      <ns0:c r="G141" s="7" t="inlineStr">
        <ns0:is>
          <ns0:t>RO</ns0:t>
        </ns0:is>
      </ns0:c>
      <ns0:c r="H141" s="7" t="inlineStr">
        <ns0:is>
          <ns0:t>EN</ns0:t>
        </ns0:is>
      </ns0:c>
      <ns0:c r="I141" s="7" t="inlineStr">
        <ns0:is>
          <ns0:t>Traducere EN→RO</ns0:t>
        </ns0:is>
      </ns0:c>
      <ns0:c r="J141" s="11" t="inlineStr">
        <ns0:is>
          <ns0:t>Planificat</ns0:t>
        </ns0:is>
      </ns0:c>
      <ns0:c r="K141" s="11" t="inlineStr">
        <ns0:is>
          <ns0:t>De desemnat</ns0:t>
        </ns0:is>
      </ns0:c>
      <ns0:c r="L141" s="8">
        <ns0:f>Catalog_100!I48</ns0:f>
        <ns0:v>60000</ns0:v>
      </ns0:c>
      <ns0:c r="M141" s="13">
        <ns0:f>Catalog_100!J48</ns0:f>
        <ns0:v>46325.0</ns0:v>
      </ns0:c>
      <ns0:c r="N141" s="13">
        <ns0:f>Catalog_100!K48</ns0:f>
        <ns0:v>46343.0</ns0:v>
      </ns0:c>
      <ns0:c r="O141" s="13">
        <ns0:f>Catalog_100!L48</ns0:f>
        <ns0:v>46345.0</ns0:v>
      </ns0:c>
      <ns0:c r="P141" s="13">
        <ns0:f>Catalog_100!M48</ns0:f>
        <ns0:v>46347.0</ns0:v>
      </ns0:c>
      <ns0:c r="Q141" s="11" t="inlineStr"/>
      <ns0:c r="R141" s="10" t="inlineStr"/>
      <ns0:c r="S141" s="11" t="inlineStr"/>
      <ns0:c r="T141" s="11" t="inlineStr"/>
      <ns0:c r="U141" s="11" t="inlineStr"/>
      <ns0:c r="V141" s="11" t="inlineStr">
        <ns0:is>
          <ns0:t>Neconfirmat</ns0:t>
        </ns0:is>
      </ns0:c>
      <ns0:c r="W141" s="11" t="inlineStr">
        <ns0:is>
          <ns0:t>Fără ediție finală confirmată</ns0:t>
        </ns0:is>
      </ns0:c>
      <ns0:c r="X141" s="7">
        <ns0:f>IF(AND(J141="Publicat",Q141&lt;&gt;"",ISNUMBER(R141),S141&lt;&gt;"",U141&lt;&gt;"",V141="Confirmat"),1,0)</ns0:f>
        <ns0:v>0</ns0:v>
      </ns0:c>
    </ns0:row>
    <ns0:row r="142" ht="46" customHeight="1">
      <ns0:c r="A142" s="7" t="inlineStr">
        <ns0:is>
          <ns0:t>DB-047-DE</ns0:t>
        </ns0:is>
      </ns0:c>
      <ns0:c r="B142" s="7" t="inlineStr">
        <ns0:is>
          <ns0:t>DB-047</ns0:t>
        </ns0:is>
      </ns0:c>
      <ns0:c r="C142" s="7" t="inlineStr">
        <ns0:is>
          <ns0:t>AMORIS</ns0:t>
        </ns0:is>
      </ns0:c>
      <ns0:c r="D142" s="7" t="inlineStr">
        <ns0:is>
          <ns0:t>Isabella Morgan / Rue des Âmes</ns0:t>
        </ns0:is>
      </ns0:c>
      <ns0:c r="E142" s="8" t="n">
        <ns0:v>2</ns0:v>
      </ns0:c>
      <ns0:c r="F142" s="7" t="inlineStr">
        <ns0:is>
          <ns0:t>The Magenta Letters</ns0:t>
        </ns0:is>
      </ns0:c>
      <ns0:c r="G142" s="7" t="inlineStr">
        <ns0:is>
          <ns0:t>DE</ns0:t>
        </ns0:is>
      </ns0:c>
      <ns0:c r="H142" s="7" t="inlineStr">
        <ns0:is>
          <ns0:t>EN</ns0:t>
        </ns0:is>
      </ns0:c>
      <ns0:c r="I142" s="7" t="inlineStr">
        <ns0:is>
          <ns0:t>Traducere EN→DE</ns0:t>
        </ns0:is>
      </ns0:c>
      <ns0:c r="J142" s="11" t="inlineStr">
        <ns0:is>
          <ns0:t>Planificat</ns0:t>
        </ns0:is>
      </ns0:c>
      <ns0:c r="K142" s="11" t="inlineStr">
        <ns0:is>
          <ns0:t>De desemnat</ns0:t>
        </ns0:is>
      </ns0:c>
      <ns0:c r="L142" s="8">
        <ns0:f>Catalog_100!I48</ns0:f>
        <ns0:v>60000</ns0:v>
      </ns0:c>
      <ns0:c r="M142" s="13">
        <ns0:f>Catalog_100!J48</ns0:f>
        <ns0:v>46325.0</ns0:v>
      </ns0:c>
      <ns0:c r="N142" s="13">
        <ns0:f>Catalog_100!K48</ns0:f>
        <ns0:v>46343.0</ns0:v>
      </ns0:c>
      <ns0:c r="O142" s="13">
        <ns0:f>Catalog_100!L48</ns0:f>
        <ns0:v>46345.0</ns0:v>
      </ns0:c>
      <ns0:c r="P142" s="13">
        <ns0:f>Catalog_100!M48</ns0:f>
        <ns0:v>46347.0</ns0:v>
      </ns0:c>
      <ns0:c r="Q142" s="11" t="inlineStr"/>
      <ns0:c r="R142" s="10" t="inlineStr"/>
      <ns0:c r="S142" s="11" t="inlineStr"/>
      <ns0:c r="T142" s="11" t="inlineStr"/>
      <ns0:c r="U142" s="11" t="inlineStr"/>
      <ns0:c r="V142" s="11" t="inlineStr">
        <ns0:is>
          <ns0:t>Neconfirmat</ns0:t>
        </ns0:is>
      </ns0:c>
      <ns0:c r="W142" s="11" t="inlineStr">
        <ns0:is>
          <ns0:t>Fără ediție finală confirmată</ns0:t>
        </ns0:is>
      </ns0:c>
      <ns0:c r="X142" s="7">
        <ns0:f>IF(AND(J142="Publicat",Q142&lt;&gt;"",ISNUMBER(R142),S142&lt;&gt;"",U142&lt;&gt;"",V142="Confirmat"),1,0)</ns0:f>
        <ns0:v>0</ns0:v>
      </ns0:c>
    </ns0:row>
    <ns0:row r="143" ht="46" customHeight="1">
      <ns0:c r="A143" s="7" t="inlineStr">
        <ns0:is>
          <ns0:t>DB-048-EN</ns0:t>
        </ns0:is>
      </ns0:c>
      <ns0:c r="B143" s="7" t="inlineStr">
        <ns0:is>
          <ns0:t>DB-048</ns0:t>
        </ns0:is>
      </ns0:c>
      <ns0:c r="C143" s="7" t="inlineStr">
        <ns0:is>
          <ns0:t>AMORIS</ns0:t>
        </ns0:is>
      </ns0:c>
      <ns0:c r="D143" s="7" t="inlineStr">
        <ns0:is>
          <ns0:t>Isabella Morgan / Rue des Âmes</ns0:t>
        </ns0:is>
      </ns0:c>
      <ns0:c r="E143" s="8" t="n">
        <ns0:v>3</ns0:v>
      </ns0:c>
      <ns0:c r="F143" s="7" t="inlineStr">
        <ns0:is>
          <ns0:t>Coffee at the Edge of the World</ns0:t>
        </ns0:is>
      </ns0:c>
      <ns0:c r="G143" s="7" t="inlineStr">
        <ns0:is>
          <ns0:t>EN</ns0:t>
        </ns0:is>
      </ns0:c>
      <ns0:c r="H143" s="7" t="inlineStr">
        <ns0:is>
          <ns0:t>EN</ns0:t>
        </ns0:is>
      </ns0:c>
      <ns0:c r="I143" s="7" t="inlineStr">
        <ns0:is>
          <ns0:t>Scriere nouă</ns0:t>
        </ns0:is>
      </ns0:c>
      <ns0:c r="J143" s="11" t="inlineStr">
        <ns0:is>
          <ns0:t>Planificat</ns0:t>
        </ns0:is>
      </ns0:c>
      <ns0:c r="K143" s="11" t="inlineStr">
        <ns0:is>
          <ns0:t>De desemnat</ns0:t>
        </ns0:is>
      </ns0:c>
      <ns0:c r="L143" s="8">
        <ns0:f>Catalog_100!I49</ns0:f>
        <ns0:v>60000</ns0:v>
      </ns0:c>
      <ns0:c r="M143" s="13">
        <ns0:f>Catalog_100!J49</ns0:f>
        <ns0:v>46325.0</ns0:v>
      </ns0:c>
      <ns0:c r="N143" s="13">
        <ns0:f>Catalog_100!K49</ns0:f>
        <ns0:v>46343.0</ns0:v>
      </ns0:c>
      <ns0:c r="O143" s="13">
        <ns0:f>Catalog_100!L49</ns0:f>
        <ns0:v>46345.0</ns0:v>
      </ns0:c>
      <ns0:c r="P143" s="13">
        <ns0:f>Catalog_100!M49</ns0:f>
        <ns0:v>46347.0</ns0:v>
      </ns0:c>
      <ns0:c r="Q143" s="11" t="inlineStr"/>
      <ns0:c r="R143" s="10" t="inlineStr"/>
      <ns0:c r="S143" s="11" t="inlineStr"/>
      <ns0:c r="T143" s="11" t="inlineStr"/>
      <ns0:c r="U143" s="11" t="inlineStr"/>
      <ns0:c r="V143" s="11" t="inlineStr">
        <ns0:is>
          <ns0:t>Neconfirmat</ns0:t>
        </ns0:is>
      </ns0:c>
      <ns0:c r="W143" s="11" t="inlineStr">
        <ns0:is>
          <ns0:t>Fără ediție finală confirmată</ns0:t>
        </ns0:is>
      </ns0:c>
      <ns0:c r="X143" s="7">
        <ns0:f>IF(AND(J143="Publicat",Q143&lt;&gt;"",ISNUMBER(R143),S143&lt;&gt;"",U143&lt;&gt;"",V143="Confirmat"),1,0)</ns0:f>
        <ns0:v>0</ns0:v>
      </ns0:c>
    </ns0:row>
    <ns0:row r="144" ht="46" customHeight="1">
      <ns0:c r="A144" s="7" t="inlineStr">
        <ns0:is>
          <ns0:t>DB-048-RO</ns0:t>
        </ns0:is>
      </ns0:c>
      <ns0:c r="B144" s="7" t="inlineStr">
        <ns0:is>
          <ns0:t>DB-048</ns0:t>
        </ns0:is>
      </ns0:c>
      <ns0:c r="C144" s="7" t="inlineStr">
        <ns0:is>
          <ns0:t>AMORIS</ns0:t>
        </ns0:is>
      </ns0:c>
      <ns0:c r="D144" s="7" t="inlineStr">
        <ns0:is>
          <ns0:t>Isabella Morgan / Rue des Âmes</ns0:t>
        </ns0:is>
      </ns0:c>
      <ns0:c r="E144" s="8" t="n">
        <ns0:v>3</ns0:v>
      </ns0:c>
      <ns0:c r="F144" s="7" t="inlineStr">
        <ns0:is>
          <ns0:t>Coffee at the Edge of the World</ns0:t>
        </ns0:is>
      </ns0:c>
      <ns0:c r="G144" s="7" t="inlineStr">
        <ns0:is>
          <ns0:t>RO</ns0:t>
        </ns0:is>
      </ns0:c>
      <ns0:c r="H144" s="7" t="inlineStr">
        <ns0:is>
          <ns0:t>EN</ns0:t>
        </ns0:is>
      </ns0:c>
      <ns0:c r="I144" s="7" t="inlineStr">
        <ns0:is>
          <ns0:t>Traducere EN→RO</ns0:t>
        </ns0:is>
      </ns0:c>
      <ns0:c r="J144" s="11" t="inlineStr">
        <ns0:is>
          <ns0:t>Planificat</ns0:t>
        </ns0:is>
      </ns0:c>
      <ns0:c r="K144" s="11" t="inlineStr">
        <ns0:is>
          <ns0:t>De desemnat</ns0:t>
        </ns0:is>
      </ns0:c>
      <ns0:c r="L144" s="8">
        <ns0:f>Catalog_100!I49</ns0:f>
        <ns0:v>60000</ns0:v>
      </ns0:c>
      <ns0:c r="M144" s="13">
        <ns0:f>Catalog_100!J49</ns0:f>
        <ns0:v>46325.0</ns0:v>
      </ns0:c>
      <ns0:c r="N144" s="13">
        <ns0:f>Catalog_100!K49</ns0:f>
        <ns0:v>46343.0</ns0:v>
      </ns0:c>
      <ns0:c r="O144" s="13">
        <ns0:f>Catalog_100!L49</ns0:f>
        <ns0:v>46345.0</ns0:v>
      </ns0:c>
      <ns0:c r="P144" s="13">
        <ns0:f>Catalog_100!M49</ns0:f>
        <ns0:v>46347.0</ns0:v>
      </ns0:c>
      <ns0:c r="Q144" s="11" t="inlineStr"/>
      <ns0:c r="R144" s="10" t="inlineStr"/>
      <ns0:c r="S144" s="11" t="inlineStr"/>
      <ns0:c r="T144" s="11" t="inlineStr"/>
      <ns0:c r="U144" s="11" t="inlineStr"/>
      <ns0:c r="V144" s="11" t="inlineStr">
        <ns0:is>
          <ns0:t>Neconfirmat</ns0:t>
        </ns0:is>
      </ns0:c>
      <ns0:c r="W144" s="11" t="inlineStr">
        <ns0:is>
          <ns0:t>Fără ediție finală confirmată</ns0:t>
        </ns0:is>
      </ns0:c>
      <ns0:c r="X144" s="7">
        <ns0:f>IF(AND(J144="Publicat",Q144&lt;&gt;"",ISNUMBER(R144),S144&lt;&gt;"",U144&lt;&gt;"",V144="Confirmat"),1,0)</ns0:f>
        <ns0:v>0</ns0:v>
      </ns0:c>
    </ns0:row>
    <ns0:row r="145" ht="46" customHeight="1">
      <ns0:c r="A145" s="7" t="inlineStr">
        <ns0:is>
          <ns0:t>DB-048-DE</ns0:t>
        </ns0:is>
      </ns0:c>
      <ns0:c r="B145" s="7" t="inlineStr">
        <ns0:is>
          <ns0:t>DB-048</ns0:t>
        </ns0:is>
      </ns0:c>
      <ns0:c r="C145" s="7" t="inlineStr">
        <ns0:is>
          <ns0:t>AMORIS</ns0:t>
        </ns0:is>
      </ns0:c>
      <ns0:c r="D145" s="7" t="inlineStr">
        <ns0:is>
          <ns0:t>Isabella Morgan / Rue des Âmes</ns0:t>
        </ns0:is>
      </ns0:c>
      <ns0:c r="E145" s="8" t="n">
        <ns0:v>3</ns0:v>
      </ns0:c>
      <ns0:c r="F145" s="7" t="inlineStr">
        <ns0:is>
          <ns0:t>Coffee at the Edge of the World</ns0:t>
        </ns0:is>
      </ns0:c>
      <ns0:c r="G145" s="7" t="inlineStr">
        <ns0:is>
          <ns0:t>DE</ns0:t>
        </ns0:is>
      </ns0:c>
      <ns0:c r="H145" s="7" t="inlineStr">
        <ns0:is>
          <ns0:t>EN</ns0:t>
        </ns0:is>
      </ns0:c>
      <ns0:c r="I145" s="7" t="inlineStr">
        <ns0:is>
          <ns0:t>Traducere EN→DE</ns0:t>
        </ns0:is>
      </ns0:c>
      <ns0:c r="J145" s="11" t="inlineStr">
        <ns0:is>
          <ns0:t>Planificat</ns0:t>
        </ns0:is>
      </ns0:c>
      <ns0:c r="K145" s="11" t="inlineStr">
        <ns0:is>
          <ns0:t>De desemnat</ns0:t>
        </ns0:is>
      </ns0:c>
      <ns0:c r="L145" s="8">
        <ns0:f>Catalog_100!I49</ns0:f>
        <ns0:v>60000</ns0:v>
      </ns0:c>
      <ns0:c r="M145" s="13">
        <ns0:f>Catalog_100!J49</ns0:f>
        <ns0:v>46325.0</ns0:v>
      </ns0:c>
      <ns0:c r="N145" s="13">
        <ns0:f>Catalog_100!K49</ns0:f>
        <ns0:v>46343.0</ns0:v>
      </ns0:c>
      <ns0:c r="O145" s="13">
        <ns0:f>Catalog_100!L49</ns0:f>
        <ns0:v>46345.0</ns0:v>
      </ns0:c>
      <ns0:c r="P145" s="13">
        <ns0:f>Catalog_100!M49</ns0:f>
        <ns0:v>46347.0</ns0:v>
      </ns0:c>
      <ns0:c r="Q145" s="11" t="inlineStr"/>
      <ns0:c r="R145" s="10" t="inlineStr"/>
      <ns0:c r="S145" s="11" t="inlineStr"/>
      <ns0:c r="T145" s="11" t="inlineStr"/>
      <ns0:c r="U145" s="11" t="inlineStr"/>
      <ns0:c r="V145" s="11" t="inlineStr">
        <ns0:is>
          <ns0:t>Neconfirmat</ns0:t>
        </ns0:is>
      </ns0:c>
      <ns0:c r="W145" s="11" t="inlineStr">
        <ns0:is>
          <ns0:t>Fără ediție finală confirmată</ns0:t>
        </ns0:is>
      </ns0:c>
      <ns0:c r="X145" s="7">
        <ns0:f>IF(AND(J145="Publicat",Q145&lt;&gt;"",ISNUMBER(R145),S145&lt;&gt;"",U145&lt;&gt;"",V145="Confirmat"),1,0)</ns0:f>
        <ns0:v>0</ns0:v>
      </ns0:c>
    </ns0:row>
    <ns0:row r="146" ht="46" customHeight="1">
      <ns0:c r="A146" s="7" t="inlineStr">
        <ns0:is>
          <ns0:t>DB-049-EN</ns0:t>
        </ns0:is>
      </ns0:c>
      <ns0:c r="B146" s="7" t="inlineStr">
        <ns0:is>
          <ns0:t>DB-049</ns0:t>
        </ns0:is>
      </ns0:c>
      <ns0:c r="C146" s="7" t="inlineStr">
        <ns0:is>
          <ns0:t>AMORIS</ns0:t>
        </ns0:is>
      </ns0:c>
      <ns0:c r="D146" s="7" t="inlineStr">
        <ns0:is>
          <ns0:t>Isabella Morgan / Rue des Âmes</ns0:t>
        </ns0:is>
      </ns0:c>
      <ns0:c r="E146" s="8" t="n">
        <ns0:v>4</ns0:v>
      </ns0:c>
      <ns0:c r="F146" s="7" t="inlineStr">
        <ns0:is>
          <ns0:t>Under the Tokyo Sky</ns0:t>
        </ns0:is>
      </ns0:c>
      <ns0:c r="G146" s="7" t="inlineStr">
        <ns0:is>
          <ns0:t>EN</ns0:t>
        </ns0:is>
      </ns0:c>
      <ns0:c r="H146" s="7" t="inlineStr">
        <ns0:is>
          <ns0:t>EN</ns0:t>
        </ns0:is>
      </ns0:c>
      <ns0:c r="I146" s="7" t="inlineStr">
        <ns0:is>
          <ns0:t>Scriere nouă</ns0:t>
        </ns0:is>
      </ns0:c>
      <ns0:c r="J146" s="11" t="inlineStr">
        <ns0:is>
          <ns0:t>Planificat</ns0:t>
        </ns0:is>
      </ns0:c>
      <ns0:c r="K146" s="11" t="inlineStr">
        <ns0:is>
          <ns0:t>De desemnat</ns0:t>
        </ns0:is>
      </ns0:c>
      <ns0:c r="L146" s="8">
        <ns0:f>Catalog_100!I50</ns0:f>
        <ns0:v>60000</ns0:v>
      </ns0:c>
      <ns0:c r="M146" s="13">
        <ns0:f>Catalog_100!J50</ns0:f>
        <ns0:v>46325.0</ns0:v>
      </ns0:c>
      <ns0:c r="N146" s="13">
        <ns0:f>Catalog_100!K50</ns0:f>
        <ns0:v>46343.0</ns0:v>
      </ns0:c>
      <ns0:c r="O146" s="13">
        <ns0:f>Catalog_100!L50</ns0:f>
        <ns0:v>46345.0</ns0:v>
      </ns0:c>
      <ns0:c r="P146" s="13">
        <ns0:f>Catalog_100!M50</ns0:f>
        <ns0:v>46347.0</ns0:v>
      </ns0:c>
      <ns0:c r="Q146" s="11" t="inlineStr"/>
      <ns0:c r="R146" s="10" t="inlineStr"/>
      <ns0:c r="S146" s="11" t="inlineStr"/>
      <ns0:c r="T146" s="11" t="inlineStr"/>
      <ns0:c r="U146" s="11" t="inlineStr"/>
      <ns0:c r="V146" s="11" t="inlineStr">
        <ns0:is>
          <ns0:t>Neconfirmat</ns0:t>
        </ns0:is>
      </ns0:c>
      <ns0:c r="W146" s="11" t="inlineStr">
        <ns0:is>
          <ns0:t>Fără ediție finală confirmată</ns0:t>
        </ns0:is>
      </ns0:c>
      <ns0:c r="X146" s="7">
        <ns0:f>IF(AND(J146="Publicat",Q146&lt;&gt;"",ISNUMBER(R146),S146&lt;&gt;"",U146&lt;&gt;"",V146="Confirmat"),1,0)</ns0:f>
        <ns0:v>0</ns0:v>
      </ns0:c>
    </ns0:row>
    <ns0:row r="147" ht="46" customHeight="1">
      <ns0:c r="A147" s="7" t="inlineStr">
        <ns0:is>
          <ns0:t>DB-049-RO</ns0:t>
        </ns0:is>
      </ns0:c>
      <ns0:c r="B147" s="7" t="inlineStr">
        <ns0:is>
          <ns0:t>DB-049</ns0:t>
        </ns0:is>
      </ns0:c>
      <ns0:c r="C147" s="7" t="inlineStr">
        <ns0:is>
          <ns0:t>AMORIS</ns0:t>
        </ns0:is>
      </ns0:c>
      <ns0:c r="D147" s="7" t="inlineStr">
        <ns0:is>
          <ns0:t>Isabella Morgan / Rue des Âmes</ns0:t>
        </ns0:is>
      </ns0:c>
      <ns0:c r="E147" s="8" t="n">
        <ns0:v>4</ns0:v>
      </ns0:c>
      <ns0:c r="F147" s="7" t="inlineStr">
        <ns0:is>
          <ns0:t>Under the Tokyo Sky</ns0:t>
        </ns0:is>
      </ns0:c>
      <ns0:c r="G147" s="7" t="inlineStr">
        <ns0:is>
          <ns0:t>RO</ns0:t>
        </ns0:is>
      </ns0:c>
      <ns0:c r="H147" s="7" t="inlineStr">
        <ns0:is>
          <ns0:t>EN</ns0:t>
        </ns0:is>
      </ns0:c>
      <ns0:c r="I147" s="7" t="inlineStr">
        <ns0:is>
          <ns0:t>Traducere EN→RO</ns0:t>
        </ns0:is>
      </ns0:c>
      <ns0:c r="J147" s="11" t="inlineStr">
        <ns0:is>
          <ns0:t>Planificat</ns0:t>
        </ns0:is>
      </ns0:c>
      <ns0:c r="K147" s="11" t="inlineStr">
        <ns0:is>
          <ns0:t>De desemnat</ns0:t>
        </ns0:is>
      </ns0:c>
      <ns0:c r="L147" s="8">
        <ns0:f>Catalog_100!I50</ns0:f>
        <ns0:v>60000</ns0:v>
      </ns0:c>
      <ns0:c r="M147" s="13">
        <ns0:f>Catalog_100!J50</ns0:f>
        <ns0:v>46325.0</ns0:v>
      </ns0:c>
      <ns0:c r="N147" s="13">
        <ns0:f>Catalog_100!K50</ns0:f>
        <ns0:v>46343.0</ns0:v>
      </ns0:c>
      <ns0:c r="O147" s="13">
        <ns0:f>Catalog_100!L50</ns0:f>
        <ns0:v>46345.0</ns0:v>
      </ns0:c>
      <ns0:c r="P147" s="13">
        <ns0:f>Catalog_100!M50</ns0:f>
        <ns0:v>46347.0</ns0:v>
      </ns0:c>
      <ns0:c r="Q147" s="11" t="inlineStr"/>
      <ns0:c r="R147" s="10" t="inlineStr"/>
      <ns0:c r="S147" s="11" t="inlineStr"/>
      <ns0:c r="T147" s="11" t="inlineStr"/>
      <ns0:c r="U147" s="11" t="inlineStr"/>
      <ns0:c r="V147" s="11" t="inlineStr">
        <ns0:is>
          <ns0:t>Neconfirmat</ns0:t>
        </ns0:is>
      </ns0:c>
      <ns0:c r="W147" s="11" t="inlineStr">
        <ns0:is>
          <ns0:t>Fără ediție finală confirmată</ns0:t>
        </ns0:is>
      </ns0:c>
      <ns0:c r="X147" s="7">
        <ns0:f>IF(AND(J147="Publicat",Q147&lt;&gt;"",ISNUMBER(R147),S147&lt;&gt;"",U147&lt;&gt;"",V147="Confirmat"),1,0)</ns0:f>
        <ns0:v>0</ns0:v>
      </ns0:c>
    </ns0:row>
    <ns0:row r="148" ht="46" customHeight="1">
      <ns0:c r="A148" s="7" t="inlineStr">
        <ns0:is>
          <ns0:t>DB-049-DE</ns0:t>
        </ns0:is>
      </ns0:c>
      <ns0:c r="B148" s="7" t="inlineStr">
        <ns0:is>
          <ns0:t>DB-049</ns0:t>
        </ns0:is>
      </ns0:c>
      <ns0:c r="C148" s="7" t="inlineStr">
        <ns0:is>
          <ns0:t>AMORIS</ns0:t>
        </ns0:is>
      </ns0:c>
      <ns0:c r="D148" s="7" t="inlineStr">
        <ns0:is>
          <ns0:t>Isabella Morgan / Rue des Âmes</ns0:t>
        </ns0:is>
      </ns0:c>
      <ns0:c r="E148" s="8" t="n">
        <ns0:v>4</ns0:v>
      </ns0:c>
      <ns0:c r="F148" s="7" t="inlineStr">
        <ns0:is>
          <ns0:t>Under the Tokyo Sky</ns0:t>
        </ns0:is>
      </ns0:c>
      <ns0:c r="G148" s="7" t="inlineStr">
        <ns0:is>
          <ns0:t>DE</ns0:t>
        </ns0:is>
      </ns0:c>
      <ns0:c r="H148" s="7" t="inlineStr">
        <ns0:is>
          <ns0:t>EN</ns0:t>
        </ns0:is>
      </ns0:c>
      <ns0:c r="I148" s="7" t="inlineStr">
        <ns0:is>
          <ns0:t>Traducere EN→DE</ns0:t>
        </ns0:is>
      </ns0:c>
      <ns0:c r="J148" s="11" t="inlineStr">
        <ns0:is>
          <ns0:t>Planificat</ns0:t>
        </ns0:is>
      </ns0:c>
      <ns0:c r="K148" s="11" t="inlineStr">
        <ns0:is>
          <ns0:t>De desemnat</ns0:t>
        </ns0:is>
      </ns0:c>
      <ns0:c r="L148" s="8">
        <ns0:f>Catalog_100!I50</ns0:f>
        <ns0:v>60000</ns0:v>
      </ns0:c>
      <ns0:c r="M148" s="13">
        <ns0:f>Catalog_100!J50</ns0:f>
        <ns0:v>46325.0</ns0:v>
      </ns0:c>
      <ns0:c r="N148" s="13">
        <ns0:f>Catalog_100!K50</ns0:f>
        <ns0:v>46343.0</ns0:v>
      </ns0:c>
      <ns0:c r="O148" s="13">
        <ns0:f>Catalog_100!L50</ns0:f>
        <ns0:v>46345.0</ns0:v>
      </ns0:c>
      <ns0:c r="P148" s="13">
        <ns0:f>Catalog_100!M50</ns0:f>
        <ns0:v>46347.0</ns0:v>
      </ns0:c>
      <ns0:c r="Q148" s="11" t="inlineStr"/>
      <ns0:c r="R148" s="10" t="inlineStr"/>
      <ns0:c r="S148" s="11" t="inlineStr"/>
      <ns0:c r="T148" s="11" t="inlineStr"/>
      <ns0:c r="U148" s="11" t="inlineStr"/>
      <ns0:c r="V148" s="11" t="inlineStr">
        <ns0:is>
          <ns0:t>Neconfirmat</ns0:t>
        </ns0:is>
      </ns0:c>
      <ns0:c r="W148" s="11" t="inlineStr">
        <ns0:is>
          <ns0:t>Fără ediție finală confirmată</ns0:t>
        </ns0:is>
      </ns0:c>
      <ns0:c r="X148" s="7">
        <ns0:f>IF(AND(J148="Publicat",Q148&lt;&gt;"",ISNUMBER(R148),S148&lt;&gt;"",U148&lt;&gt;"",V148="Confirmat"),1,0)</ns0:f>
        <ns0:v>0</ns0:v>
      </ns0:c>
    </ns0:row>
    <ns0:row r="149" ht="46" customHeight="1">
      <ns0:c r="A149" s="7" t="inlineStr">
        <ns0:is>
          <ns0:t>DB-050-EN</ns0:t>
        </ns0:is>
      </ns0:c>
      <ns0:c r="B149" s="7" t="inlineStr">
        <ns0:is>
          <ns0:t>DB-050</ns0:t>
        </ns0:is>
      </ns0:c>
      <ns0:c r="C149" s="7" t="inlineStr">
        <ns0:is>
          <ns0:t>AMORIS</ns0:t>
        </ns0:is>
      </ns0:c>
      <ns0:c r="D149" s="7" t="inlineStr">
        <ns0:is>
          <ns0:t>Isabella Morgan / Rue des Âmes</ns0:t>
        </ns0:is>
      </ns0:c>
      <ns0:c r="E149" s="8" t="n">
        <ns0:v>5</ns0:v>
      </ns0:c>
      <ns0:c r="F149" s="7" t="inlineStr">
        <ns0:is>
          <ns0:t>Vienna After Hours</ns0:t>
        </ns0:is>
      </ns0:c>
      <ns0:c r="G149" s="7" t="inlineStr">
        <ns0:is>
          <ns0:t>EN</ns0:t>
        </ns0:is>
      </ns0:c>
      <ns0:c r="H149" s="7" t="inlineStr">
        <ns0:is>
          <ns0:t>EN</ns0:t>
        </ns0:is>
      </ns0:c>
      <ns0:c r="I149" s="7" t="inlineStr">
        <ns0:is>
          <ns0:t>Scriere nouă</ns0:t>
        </ns0:is>
      </ns0:c>
      <ns0:c r="J149" s="11" t="inlineStr">
        <ns0:is>
          <ns0:t>Planificat</ns0:t>
        </ns0:is>
      </ns0:c>
      <ns0:c r="K149" s="11" t="inlineStr">
        <ns0:is>
          <ns0:t>De desemnat</ns0:t>
        </ns0:is>
      </ns0:c>
      <ns0:c r="L149" s="8">
        <ns0:f>Catalog_100!I51</ns0:f>
        <ns0:v>60000</ns0:v>
      </ns0:c>
      <ns0:c r="M149" s="13">
        <ns0:f>Catalog_100!J51</ns0:f>
        <ns0:v>46325.0</ns0:v>
      </ns0:c>
      <ns0:c r="N149" s="13">
        <ns0:f>Catalog_100!K51</ns0:f>
        <ns0:v>46343.0</ns0:v>
      </ns0:c>
      <ns0:c r="O149" s="13">
        <ns0:f>Catalog_100!L51</ns0:f>
        <ns0:v>46345.0</ns0:v>
      </ns0:c>
      <ns0:c r="P149" s="13">
        <ns0:f>Catalog_100!M51</ns0:f>
        <ns0:v>46347.0</ns0:v>
      </ns0:c>
      <ns0:c r="Q149" s="11" t="inlineStr"/>
      <ns0:c r="R149" s="10" t="inlineStr"/>
      <ns0:c r="S149" s="11" t="inlineStr"/>
      <ns0:c r="T149" s="11" t="inlineStr"/>
      <ns0:c r="U149" s="11" t="inlineStr"/>
      <ns0:c r="V149" s="11" t="inlineStr">
        <ns0:is>
          <ns0:t>Neconfirmat</ns0:t>
        </ns0:is>
      </ns0:c>
      <ns0:c r="W149" s="11" t="inlineStr">
        <ns0:is>
          <ns0:t>Fără ediție finală confirmată</ns0:t>
        </ns0:is>
      </ns0:c>
      <ns0:c r="X149" s="7">
        <ns0:f>IF(AND(J149="Publicat",Q149&lt;&gt;"",ISNUMBER(R149),S149&lt;&gt;"",U149&lt;&gt;"",V149="Confirmat"),1,0)</ns0:f>
        <ns0:v>0</ns0:v>
      </ns0:c>
    </ns0:row>
    <ns0:row r="150" ht="46" customHeight="1">
      <ns0:c r="A150" s="7" t="inlineStr">
        <ns0:is>
          <ns0:t>DB-050-RO</ns0:t>
        </ns0:is>
      </ns0:c>
      <ns0:c r="B150" s="7" t="inlineStr">
        <ns0:is>
          <ns0:t>DB-050</ns0:t>
        </ns0:is>
      </ns0:c>
      <ns0:c r="C150" s="7" t="inlineStr">
        <ns0:is>
          <ns0:t>AMORIS</ns0:t>
        </ns0:is>
      </ns0:c>
      <ns0:c r="D150" s="7" t="inlineStr">
        <ns0:is>
          <ns0:t>Isabella Morgan / Rue des Âmes</ns0:t>
        </ns0:is>
      </ns0:c>
      <ns0:c r="E150" s="8" t="n">
        <ns0:v>5</ns0:v>
      </ns0:c>
      <ns0:c r="F150" s="7" t="inlineStr">
        <ns0:is>
          <ns0:t>Vienna After Hours</ns0:t>
        </ns0:is>
      </ns0:c>
      <ns0:c r="G150" s="7" t="inlineStr">
        <ns0:is>
          <ns0:t>RO</ns0:t>
        </ns0:is>
      </ns0:c>
      <ns0:c r="H150" s="7" t="inlineStr">
        <ns0:is>
          <ns0:t>EN</ns0:t>
        </ns0:is>
      </ns0:c>
      <ns0:c r="I150" s="7" t="inlineStr">
        <ns0:is>
          <ns0:t>Traducere EN→RO</ns0:t>
        </ns0:is>
      </ns0:c>
      <ns0:c r="J150" s="11" t="inlineStr">
        <ns0:is>
          <ns0:t>Planificat</ns0:t>
        </ns0:is>
      </ns0:c>
      <ns0:c r="K150" s="11" t="inlineStr">
        <ns0:is>
          <ns0:t>De desemnat</ns0:t>
        </ns0:is>
      </ns0:c>
      <ns0:c r="L150" s="8">
        <ns0:f>Catalog_100!I51</ns0:f>
        <ns0:v>60000</ns0:v>
      </ns0:c>
      <ns0:c r="M150" s="13">
        <ns0:f>Catalog_100!J51</ns0:f>
        <ns0:v>46325.0</ns0:v>
      </ns0:c>
      <ns0:c r="N150" s="13">
        <ns0:f>Catalog_100!K51</ns0:f>
        <ns0:v>46343.0</ns0:v>
      </ns0:c>
      <ns0:c r="O150" s="13">
        <ns0:f>Catalog_100!L51</ns0:f>
        <ns0:v>46345.0</ns0:v>
      </ns0:c>
      <ns0:c r="P150" s="13">
        <ns0:f>Catalog_100!M51</ns0:f>
        <ns0:v>46347.0</ns0:v>
      </ns0:c>
      <ns0:c r="Q150" s="11" t="inlineStr"/>
      <ns0:c r="R150" s="10" t="inlineStr"/>
      <ns0:c r="S150" s="11" t="inlineStr"/>
      <ns0:c r="T150" s="11" t="inlineStr"/>
      <ns0:c r="U150" s="11" t="inlineStr"/>
      <ns0:c r="V150" s="11" t="inlineStr">
        <ns0:is>
          <ns0:t>Neconfirmat</ns0:t>
        </ns0:is>
      </ns0:c>
      <ns0:c r="W150" s="11" t="inlineStr">
        <ns0:is>
          <ns0:t>Fără ediție finală confirmată</ns0:t>
        </ns0:is>
      </ns0:c>
      <ns0:c r="X150" s="7">
        <ns0:f>IF(AND(J150="Publicat",Q150&lt;&gt;"",ISNUMBER(R150),S150&lt;&gt;"",U150&lt;&gt;"",V150="Confirmat"),1,0)</ns0:f>
        <ns0:v>0</ns0:v>
      </ns0:c>
    </ns0:row>
    <ns0:row r="151" ht="46" customHeight="1">
      <ns0:c r="A151" s="7" t="inlineStr">
        <ns0:is>
          <ns0:t>DB-050-DE</ns0:t>
        </ns0:is>
      </ns0:c>
      <ns0:c r="B151" s="7" t="inlineStr">
        <ns0:is>
          <ns0:t>DB-050</ns0:t>
        </ns0:is>
      </ns0:c>
      <ns0:c r="C151" s="7" t="inlineStr">
        <ns0:is>
          <ns0:t>AMORIS</ns0:t>
        </ns0:is>
      </ns0:c>
      <ns0:c r="D151" s="7" t="inlineStr">
        <ns0:is>
          <ns0:t>Isabella Morgan / Rue des Âmes</ns0:t>
        </ns0:is>
      </ns0:c>
      <ns0:c r="E151" s="8" t="n">
        <ns0:v>5</ns0:v>
      </ns0:c>
      <ns0:c r="F151" s="7" t="inlineStr">
        <ns0:is>
          <ns0:t>Vienna After Hours</ns0:t>
        </ns0:is>
      </ns0:c>
      <ns0:c r="G151" s="7" t="inlineStr">
        <ns0:is>
          <ns0:t>DE</ns0:t>
        </ns0:is>
      </ns0:c>
      <ns0:c r="H151" s="7" t="inlineStr">
        <ns0:is>
          <ns0:t>EN</ns0:t>
        </ns0:is>
      </ns0:c>
      <ns0:c r="I151" s="7" t="inlineStr">
        <ns0:is>
          <ns0:t>Traducere EN→DE</ns0:t>
        </ns0:is>
      </ns0:c>
      <ns0:c r="J151" s="11" t="inlineStr">
        <ns0:is>
          <ns0:t>Planificat</ns0:t>
        </ns0:is>
      </ns0:c>
      <ns0:c r="K151" s="11" t="inlineStr">
        <ns0:is>
          <ns0:t>De desemnat</ns0:t>
        </ns0:is>
      </ns0:c>
      <ns0:c r="L151" s="8">
        <ns0:f>Catalog_100!I51</ns0:f>
        <ns0:v>60000</ns0:v>
      </ns0:c>
      <ns0:c r="M151" s="13">
        <ns0:f>Catalog_100!J51</ns0:f>
        <ns0:v>46325.0</ns0:v>
      </ns0:c>
      <ns0:c r="N151" s="13">
        <ns0:f>Catalog_100!K51</ns0:f>
        <ns0:v>46343.0</ns0:v>
      </ns0:c>
      <ns0:c r="O151" s="13">
        <ns0:f>Catalog_100!L51</ns0:f>
        <ns0:v>46345.0</ns0:v>
      </ns0:c>
      <ns0:c r="P151" s="13">
        <ns0:f>Catalog_100!M51</ns0:f>
        <ns0:v>46347.0</ns0:v>
      </ns0:c>
      <ns0:c r="Q151" s="11" t="inlineStr"/>
      <ns0:c r="R151" s="10" t="inlineStr"/>
      <ns0:c r="S151" s="11" t="inlineStr"/>
      <ns0:c r="T151" s="11" t="inlineStr"/>
      <ns0:c r="U151" s="11" t="inlineStr"/>
      <ns0:c r="V151" s="11" t="inlineStr">
        <ns0:is>
          <ns0:t>Neconfirmat</ns0:t>
        </ns0:is>
      </ns0:c>
      <ns0:c r="W151" s="11" t="inlineStr">
        <ns0:is>
          <ns0:t>Fără ediție finală confirmată</ns0:t>
        </ns0:is>
      </ns0:c>
      <ns0:c r="X151" s="7">
        <ns0:f>IF(AND(J151="Publicat",Q151&lt;&gt;"",ISNUMBER(R151),S151&lt;&gt;"",U151&lt;&gt;"",V151="Confirmat"),1,0)</ns0:f>
        <ns0:v>0</ns0:v>
      </ns0:c>
    </ns0:row>
    <ns0:row r="152" ht="46" customHeight="1">
      <ns0:c r="A152" s="7" t="inlineStr">
        <ns0:is>
          <ns0:t>DB-051-EN</ns0:t>
        </ns0:is>
      </ns0:c>
      <ns0:c r="B152" s="7" t="inlineStr">
        <ns0:is>
          <ns0:t>DB-051</ns0:t>
        </ns0:is>
      </ns0:c>
      <ns0:c r="C152" s="7" t="inlineStr">
        <ns0:is>
          <ns0:t>AMORIS</ns0:t>
        </ns0:is>
      </ns0:c>
      <ns0:c r="D152" s="7" t="inlineStr">
        <ns0:is>
          <ns0:t>Isabella Morgan / Rue des Âmes</ns0:t>
        </ns0:is>
      </ns0:c>
      <ns0:c r="E152" s="8" t="n">
        <ns0:v>6</ns0:v>
      </ns0:c>
      <ns0:c r="F152" s="7" t="inlineStr">
        <ns0:is>
          <ns0:t>The Woman on Charles Bridge</ns0:t>
        </ns0:is>
      </ns0:c>
      <ns0:c r="G152" s="7" t="inlineStr">
        <ns0:is>
          <ns0:t>EN</ns0:t>
        </ns0:is>
      </ns0:c>
      <ns0:c r="H152" s="7" t="inlineStr">
        <ns0:is>
          <ns0:t>EN</ns0:t>
        </ns0:is>
      </ns0:c>
      <ns0:c r="I152" s="7" t="inlineStr">
        <ns0:is>
          <ns0:t>Scriere nouă</ns0:t>
        </ns0:is>
      </ns0:c>
      <ns0:c r="J152" s="11" t="inlineStr">
        <ns0:is>
          <ns0:t>Planificat</ns0:t>
        </ns0:is>
      </ns0:c>
      <ns0:c r="K152" s="11" t="inlineStr">
        <ns0:is>
          <ns0:t>De desemnat</ns0:t>
        </ns0:is>
      </ns0:c>
      <ns0:c r="L152" s="8">
        <ns0:f>Catalog_100!I52</ns0:f>
        <ns0:v>60000</ns0:v>
      </ns0:c>
      <ns0:c r="M152" s="13">
        <ns0:f>Catalog_100!J52</ns0:f>
        <ns0:v>46325.0</ns0:v>
      </ns0:c>
      <ns0:c r="N152" s="13">
        <ns0:f>Catalog_100!K52</ns0:f>
        <ns0:v>46343.0</ns0:v>
      </ns0:c>
      <ns0:c r="O152" s="13">
        <ns0:f>Catalog_100!L52</ns0:f>
        <ns0:v>46345.0</ns0:v>
      </ns0:c>
      <ns0:c r="P152" s="13">
        <ns0:f>Catalog_100!M52</ns0:f>
        <ns0:v>46347.0</ns0:v>
      </ns0:c>
      <ns0:c r="Q152" s="11" t="inlineStr"/>
      <ns0:c r="R152" s="10" t="inlineStr"/>
      <ns0:c r="S152" s="11" t="inlineStr"/>
      <ns0:c r="T152" s="11" t="inlineStr"/>
      <ns0:c r="U152" s="11" t="inlineStr"/>
      <ns0:c r="V152" s="11" t="inlineStr">
        <ns0:is>
          <ns0:t>Neconfirmat</ns0:t>
        </ns0:is>
      </ns0:c>
      <ns0:c r="W152" s="11" t="inlineStr">
        <ns0:is>
          <ns0:t>Fără ediție finală confirmată</ns0:t>
        </ns0:is>
      </ns0:c>
      <ns0:c r="X152" s="7">
        <ns0:f>IF(AND(J152="Publicat",Q152&lt;&gt;"",ISNUMBER(R152),S152&lt;&gt;"",U152&lt;&gt;"",V152="Confirmat"),1,0)</ns0:f>
        <ns0:v>0</ns0:v>
      </ns0:c>
    </ns0:row>
    <ns0:row r="153" ht="46" customHeight="1">
      <ns0:c r="A153" s="7" t="inlineStr">
        <ns0:is>
          <ns0:t>DB-051-RO</ns0:t>
        </ns0:is>
      </ns0:c>
      <ns0:c r="B153" s="7" t="inlineStr">
        <ns0:is>
          <ns0:t>DB-051</ns0:t>
        </ns0:is>
      </ns0:c>
      <ns0:c r="C153" s="7" t="inlineStr">
        <ns0:is>
          <ns0:t>AMORIS</ns0:t>
        </ns0:is>
      </ns0:c>
      <ns0:c r="D153" s="7" t="inlineStr">
        <ns0:is>
          <ns0:t>Isabella Morgan / Rue des Âmes</ns0:t>
        </ns0:is>
      </ns0:c>
      <ns0:c r="E153" s="8" t="n">
        <ns0:v>6</ns0:v>
      </ns0:c>
      <ns0:c r="F153" s="7" t="inlineStr">
        <ns0:is>
          <ns0:t>The Woman on Charles Bridge</ns0:t>
        </ns0:is>
      </ns0:c>
      <ns0:c r="G153" s="7" t="inlineStr">
        <ns0:is>
          <ns0:t>RO</ns0:t>
        </ns0:is>
      </ns0:c>
      <ns0:c r="H153" s="7" t="inlineStr">
        <ns0:is>
          <ns0:t>EN</ns0:t>
        </ns0:is>
      </ns0:c>
      <ns0:c r="I153" s="7" t="inlineStr">
        <ns0:is>
          <ns0:t>Traducere EN→RO</ns0:t>
        </ns0:is>
      </ns0:c>
      <ns0:c r="J153" s="11" t="inlineStr">
        <ns0:is>
          <ns0:t>Planificat</ns0:t>
        </ns0:is>
      </ns0:c>
      <ns0:c r="K153" s="11" t="inlineStr">
        <ns0:is>
          <ns0:t>De desemnat</ns0:t>
        </ns0:is>
      </ns0:c>
      <ns0:c r="L153" s="8">
        <ns0:f>Catalog_100!I52</ns0:f>
        <ns0:v>60000</ns0:v>
      </ns0:c>
      <ns0:c r="M153" s="13">
        <ns0:f>Catalog_100!J52</ns0:f>
        <ns0:v>46325.0</ns0:v>
      </ns0:c>
      <ns0:c r="N153" s="13">
        <ns0:f>Catalog_100!K52</ns0:f>
        <ns0:v>46343.0</ns0:v>
      </ns0:c>
      <ns0:c r="O153" s="13">
        <ns0:f>Catalog_100!L52</ns0:f>
        <ns0:v>46345.0</ns0:v>
      </ns0:c>
      <ns0:c r="P153" s="13">
        <ns0:f>Catalog_100!M52</ns0:f>
        <ns0:v>46347.0</ns0:v>
      </ns0:c>
      <ns0:c r="Q153" s="11" t="inlineStr"/>
      <ns0:c r="R153" s="10" t="inlineStr"/>
      <ns0:c r="S153" s="11" t="inlineStr"/>
      <ns0:c r="T153" s="11" t="inlineStr"/>
      <ns0:c r="U153" s="11" t="inlineStr"/>
      <ns0:c r="V153" s="11" t="inlineStr">
        <ns0:is>
          <ns0:t>Neconfirmat</ns0:t>
        </ns0:is>
      </ns0:c>
      <ns0:c r="W153" s="11" t="inlineStr">
        <ns0:is>
          <ns0:t>Fără ediție finală confirmată</ns0:t>
        </ns0:is>
      </ns0:c>
      <ns0:c r="X153" s="7">
        <ns0:f>IF(AND(J153="Publicat",Q153&lt;&gt;"",ISNUMBER(R153),S153&lt;&gt;"",U153&lt;&gt;"",V153="Confirmat"),1,0)</ns0:f>
        <ns0:v>0</ns0:v>
      </ns0:c>
    </ns0:row>
    <ns0:row r="154" ht="46" customHeight="1">
      <ns0:c r="A154" s="7" t="inlineStr">
        <ns0:is>
          <ns0:t>DB-051-DE</ns0:t>
        </ns0:is>
      </ns0:c>
      <ns0:c r="B154" s="7" t="inlineStr">
        <ns0:is>
          <ns0:t>DB-051</ns0:t>
        </ns0:is>
      </ns0:c>
      <ns0:c r="C154" s="7" t="inlineStr">
        <ns0:is>
          <ns0:t>AMORIS</ns0:t>
        </ns0:is>
      </ns0:c>
      <ns0:c r="D154" s="7" t="inlineStr">
        <ns0:is>
          <ns0:t>Isabella Morgan / Rue des Âmes</ns0:t>
        </ns0:is>
      </ns0:c>
      <ns0:c r="E154" s="8" t="n">
        <ns0:v>6</ns0:v>
      </ns0:c>
      <ns0:c r="F154" s="7" t="inlineStr">
        <ns0:is>
          <ns0:t>The Woman on Charles Bridge</ns0:t>
        </ns0:is>
      </ns0:c>
      <ns0:c r="G154" s="7" t="inlineStr">
        <ns0:is>
          <ns0:t>DE</ns0:t>
        </ns0:is>
      </ns0:c>
      <ns0:c r="H154" s="7" t="inlineStr">
        <ns0:is>
          <ns0:t>EN</ns0:t>
        </ns0:is>
      </ns0:c>
      <ns0:c r="I154" s="7" t="inlineStr">
        <ns0:is>
          <ns0:t>Traducere EN→DE</ns0:t>
        </ns0:is>
      </ns0:c>
      <ns0:c r="J154" s="11" t="inlineStr">
        <ns0:is>
          <ns0:t>Planificat</ns0:t>
        </ns0:is>
      </ns0:c>
      <ns0:c r="K154" s="11" t="inlineStr">
        <ns0:is>
          <ns0:t>De desemnat</ns0:t>
        </ns0:is>
      </ns0:c>
      <ns0:c r="L154" s="8">
        <ns0:f>Catalog_100!I52</ns0:f>
        <ns0:v>60000</ns0:v>
      </ns0:c>
      <ns0:c r="M154" s="13">
        <ns0:f>Catalog_100!J52</ns0:f>
        <ns0:v>46325.0</ns0:v>
      </ns0:c>
      <ns0:c r="N154" s="13">
        <ns0:f>Catalog_100!K52</ns0:f>
        <ns0:v>46343.0</ns0:v>
      </ns0:c>
      <ns0:c r="O154" s="13">
        <ns0:f>Catalog_100!L52</ns0:f>
        <ns0:v>46345.0</ns0:v>
      </ns0:c>
      <ns0:c r="P154" s="13">
        <ns0:f>Catalog_100!M52</ns0:f>
        <ns0:v>46347.0</ns0:v>
      </ns0:c>
      <ns0:c r="Q154" s="11" t="inlineStr"/>
      <ns0:c r="R154" s="10" t="inlineStr"/>
      <ns0:c r="S154" s="11" t="inlineStr"/>
      <ns0:c r="T154" s="11" t="inlineStr"/>
      <ns0:c r="U154" s="11" t="inlineStr"/>
      <ns0:c r="V154" s="11" t="inlineStr">
        <ns0:is>
          <ns0:t>Neconfirmat</ns0:t>
        </ns0:is>
      </ns0:c>
      <ns0:c r="W154" s="11" t="inlineStr">
        <ns0:is>
          <ns0:t>Fără ediție finală confirmată</ns0:t>
        </ns0:is>
      </ns0:c>
      <ns0:c r="X154" s="7">
        <ns0:f>IF(AND(J154="Publicat",Q154&lt;&gt;"",ISNUMBER(R154),S154&lt;&gt;"",U154&lt;&gt;"",V154="Confirmat"),1,0)</ns0:f>
        <ns0:v>0</ns0:v>
      </ns0:c>
    </ns0:row>
    <ns0:row r="155" ht="46" customHeight="1">
      <ns0:c r="A155" s="7" t="inlineStr">
        <ns0:is>
          <ns0:t>DB-052-EN</ns0:t>
        </ns0:is>
      </ns0:c>
      <ns0:c r="B155" s="7" t="inlineStr">
        <ns0:is>
          <ns0:t>DB-052</ns0:t>
        </ns0:is>
      </ns0:c>
      <ns0:c r="C155" s="7" t="inlineStr">
        <ns0:is>
          <ns0:t>AMORIS</ns0:t>
        </ns0:is>
      </ns0:c>
      <ns0:c r="D155" s="7" t="inlineStr">
        <ns0:is>
          <ns0:t>Isabella Morgan / Rue des Âmes</ns0:t>
        </ns0:is>
      </ns0:c>
      <ns0:c r="E155" s="8" t="n">
        <ns0:v>7</ns0:v>
      </ns0:c>
      <ns0:c r="F155" s="7" t="inlineStr">
        <ns0:is>
          <ns0:t>The Marrakech Letter</ns0:t>
        </ns0:is>
      </ns0:c>
      <ns0:c r="G155" s="7" t="inlineStr">
        <ns0:is>
          <ns0:t>EN</ns0:t>
        </ns0:is>
      </ns0:c>
      <ns0:c r="H155" s="7" t="inlineStr">
        <ns0:is>
          <ns0:t>EN</ns0:t>
        </ns0:is>
      </ns0:c>
      <ns0:c r="I155" s="7" t="inlineStr">
        <ns0:is>
          <ns0:t>Scriere nouă</ns0:t>
        </ns0:is>
      </ns0:c>
      <ns0:c r="J155" s="11" t="inlineStr">
        <ns0:is>
          <ns0:t>Planificat</ns0:t>
        </ns0:is>
      </ns0:c>
      <ns0:c r="K155" s="11" t="inlineStr">
        <ns0:is>
          <ns0:t>De desemnat</ns0:t>
        </ns0:is>
      </ns0:c>
      <ns0:c r="L155" s="8">
        <ns0:f>Catalog_100!I53</ns0:f>
        <ns0:v>60000</ns0:v>
      </ns0:c>
      <ns0:c r="M155" s="13">
        <ns0:f>Catalog_100!J53</ns0:f>
        <ns0:v>46325.0</ns0:v>
      </ns0:c>
      <ns0:c r="N155" s="13">
        <ns0:f>Catalog_100!K53</ns0:f>
        <ns0:v>46343.0</ns0:v>
      </ns0:c>
      <ns0:c r="O155" s="13">
        <ns0:f>Catalog_100!L53</ns0:f>
        <ns0:v>46345.0</ns0:v>
      </ns0:c>
      <ns0:c r="P155" s="13">
        <ns0:f>Catalog_100!M53</ns0:f>
        <ns0:v>46347.0</ns0:v>
      </ns0:c>
      <ns0:c r="Q155" s="11" t="inlineStr"/>
      <ns0:c r="R155" s="10" t="inlineStr"/>
      <ns0:c r="S155" s="11" t="inlineStr"/>
      <ns0:c r="T155" s="11" t="inlineStr"/>
      <ns0:c r="U155" s="11" t="inlineStr"/>
      <ns0:c r="V155" s="11" t="inlineStr">
        <ns0:is>
          <ns0:t>Neconfirmat</ns0:t>
        </ns0:is>
      </ns0:c>
      <ns0:c r="W155" s="11" t="inlineStr">
        <ns0:is>
          <ns0:t>Fără ediție finală confirmată</ns0:t>
        </ns0:is>
      </ns0:c>
      <ns0:c r="X155" s="7">
        <ns0:f>IF(AND(J155="Publicat",Q155&lt;&gt;"",ISNUMBER(R155),S155&lt;&gt;"",U155&lt;&gt;"",V155="Confirmat"),1,0)</ns0:f>
        <ns0:v>0</ns0:v>
      </ns0:c>
    </ns0:row>
    <ns0:row r="156" ht="46" customHeight="1">
      <ns0:c r="A156" s="7" t="inlineStr">
        <ns0:is>
          <ns0:t>DB-052-RO</ns0:t>
        </ns0:is>
      </ns0:c>
      <ns0:c r="B156" s="7" t="inlineStr">
        <ns0:is>
          <ns0:t>DB-052</ns0:t>
        </ns0:is>
      </ns0:c>
      <ns0:c r="C156" s="7" t="inlineStr">
        <ns0:is>
          <ns0:t>AMORIS</ns0:t>
        </ns0:is>
      </ns0:c>
      <ns0:c r="D156" s="7" t="inlineStr">
        <ns0:is>
          <ns0:t>Isabella Morgan / Rue des Âmes</ns0:t>
        </ns0:is>
      </ns0:c>
      <ns0:c r="E156" s="8" t="n">
        <ns0:v>7</ns0:v>
      </ns0:c>
      <ns0:c r="F156" s="7" t="inlineStr">
        <ns0:is>
          <ns0:t>The Marrakech Letter</ns0:t>
        </ns0:is>
      </ns0:c>
      <ns0:c r="G156" s="7" t="inlineStr">
        <ns0:is>
          <ns0:t>RO</ns0:t>
        </ns0:is>
      </ns0:c>
      <ns0:c r="H156" s="7" t="inlineStr">
        <ns0:is>
          <ns0:t>EN</ns0:t>
        </ns0:is>
      </ns0:c>
      <ns0:c r="I156" s="7" t="inlineStr">
        <ns0:is>
          <ns0:t>Traducere EN→RO</ns0:t>
        </ns0:is>
      </ns0:c>
      <ns0:c r="J156" s="11" t="inlineStr">
        <ns0:is>
          <ns0:t>Planificat</ns0:t>
        </ns0:is>
      </ns0:c>
      <ns0:c r="K156" s="11" t="inlineStr">
        <ns0:is>
          <ns0:t>De desemnat</ns0:t>
        </ns0:is>
      </ns0:c>
      <ns0:c r="L156" s="8">
        <ns0:f>Catalog_100!I53</ns0:f>
        <ns0:v>60000</ns0:v>
      </ns0:c>
      <ns0:c r="M156" s="13">
        <ns0:f>Catalog_100!J53</ns0:f>
        <ns0:v>46325.0</ns0:v>
      </ns0:c>
      <ns0:c r="N156" s="13">
        <ns0:f>Catalog_100!K53</ns0:f>
        <ns0:v>46343.0</ns0:v>
      </ns0:c>
      <ns0:c r="O156" s="13">
        <ns0:f>Catalog_100!L53</ns0:f>
        <ns0:v>46345.0</ns0:v>
      </ns0:c>
      <ns0:c r="P156" s="13">
        <ns0:f>Catalog_100!M53</ns0:f>
        <ns0:v>46347.0</ns0:v>
      </ns0:c>
      <ns0:c r="Q156" s="11" t="inlineStr"/>
      <ns0:c r="R156" s="10" t="inlineStr"/>
      <ns0:c r="S156" s="11" t="inlineStr"/>
      <ns0:c r="T156" s="11" t="inlineStr"/>
      <ns0:c r="U156" s="11" t="inlineStr"/>
      <ns0:c r="V156" s="11" t="inlineStr">
        <ns0:is>
          <ns0:t>Neconfirmat</ns0:t>
        </ns0:is>
      </ns0:c>
      <ns0:c r="W156" s="11" t="inlineStr">
        <ns0:is>
          <ns0:t>Fără ediție finală confirmată</ns0:t>
        </ns0:is>
      </ns0:c>
      <ns0:c r="X156" s="7">
        <ns0:f>IF(AND(J156="Publicat",Q156&lt;&gt;"",ISNUMBER(R156),S156&lt;&gt;"",U156&lt;&gt;"",V156="Confirmat"),1,0)</ns0:f>
        <ns0:v>0</ns0:v>
      </ns0:c>
    </ns0:row>
    <ns0:row r="157" ht="46" customHeight="1">
      <ns0:c r="A157" s="7" t="inlineStr">
        <ns0:is>
          <ns0:t>DB-052-DE</ns0:t>
        </ns0:is>
      </ns0:c>
      <ns0:c r="B157" s="7" t="inlineStr">
        <ns0:is>
          <ns0:t>DB-052</ns0:t>
        </ns0:is>
      </ns0:c>
      <ns0:c r="C157" s="7" t="inlineStr">
        <ns0:is>
          <ns0:t>AMORIS</ns0:t>
        </ns0:is>
      </ns0:c>
      <ns0:c r="D157" s="7" t="inlineStr">
        <ns0:is>
          <ns0:t>Isabella Morgan / Rue des Âmes</ns0:t>
        </ns0:is>
      </ns0:c>
      <ns0:c r="E157" s="8" t="n">
        <ns0:v>7</ns0:v>
      </ns0:c>
      <ns0:c r="F157" s="7" t="inlineStr">
        <ns0:is>
          <ns0:t>The Marrakech Letter</ns0:t>
        </ns0:is>
      </ns0:c>
      <ns0:c r="G157" s="7" t="inlineStr">
        <ns0:is>
          <ns0:t>DE</ns0:t>
        </ns0:is>
      </ns0:c>
      <ns0:c r="H157" s="7" t="inlineStr">
        <ns0:is>
          <ns0:t>EN</ns0:t>
        </ns0:is>
      </ns0:c>
      <ns0:c r="I157" s="7" t="inlineStr">
        <ns0:is>
          <ns0:t>Traducere EN→DE</ns0:t>
        </ns0:is>
      </ns0:c>
      <ns0:c r="J157" s="11" t="inlineStr">
        <ns0:is>
          <ns0:t>Planificat</ns0:t>
        </ns0:is>
      </ns0:c>
      <ns0:c r="K157" s="11" t="inlineStr">
        <ns0:is>
          <ns0:t>De desemnat</ns0:t>
        </ns0:is>
      </ns0:c>
      <ns0:c r="L157" s="8">
        <ns0:f>Catalog_100!I53</ns0:f>
        <ns0:v>60000</ns0:v>
      </ns0:c>
      <ns0:c r="M157" s="13">
        <ns0:f>Catalog_100!J53</ns0:f>
        <ns0:v>46325.0</ns0:v>
      </ns0:c>
      <ns0:c r="N157" s="13">
        <ns0:f>Catalog_100!K53</ns0:f>
        <ns0:v>46343.0</ns0:v>
      </ns0:c>
      <ns0:c r="O157" s="13">
        <ns0:f>Catalog_100!L53</ns0:f>
        <ns0:v>46345.0</ns0:v>
      </ns0:c>
      <ns0:c r="P157" s="13">
        <ns0:f>Catalog_100!M53</ns0:f>
        <ns0:v>46347.0</ns0:v>
      </ns0:c>
      <ns0:c r="Q157" s="11" t="inlineStr"/>
      <ns0:c r="R157" s="10" t="inlineStr"/>
      <ns0:c r="S157" s="11" t="inlineStr"/>
      <ns0:c r="T157" s="11" t="inlineStr"/>
      <ns0:c r="U157" s="11" t="inlineStr"/>
      <ns0:c r="V157" s="11" t="inlineStr">
        <ns0:is>
          <ns0:t>Neconfirmat</ns0:t>
        </ns0:is>
      </ns0:c>
      <ns0:c r="W157" s="11" t="inlineStr">
        <ns0:is>
          <ns0:t>Fără ediție finală confirmată</ns0:t>
        </ns0:is>
      </ns0:c>
      <ns0:c r="X157" s="7">
        <ns0:f>IF(AND(J157="Publicat",Q157&lt;&gt;"",ISNUMBER(R157),S157&lt;&gt;"",U157&lt;&gt;"",V157="Confirmat"),1,0)</ns0:f>
        <ns0:v>0</ns0:v>
      </ns0:c>
    </ns0:row>
    <ns0:row r="158" ht="46" customHeight="1">
      <ns0:c r="A158" s="7" t="inlineStr">
        <ns0:is>
          <ns0:t>DB-053-EN</ns0:t>
        </ns0:is>
      </ns0:c>
      <ns0:c r="B158" s="7" t="inlineStr">
        <ns0:is>
          <ns0:t>DB-053</ns0:t>
        </ns0:is>
      </ns0:c>
      <ns0:c r="C158" s="7" t="inlineStr">
        <ns0:is>
          <ns0:t>AMORIS</ns0:t>
        </ns0:is>
      </ns0:c>
      <ns0:c r="D158" s="7" t="inlineStr">
        <ns0:is>
          <ns0:t>Isabella Morgan / Rue des Âmes</ns0:t>
        </ns0:is>
      </ns0:c>
      <ns0:c r="E158" s="8" t="n">
        <ns0:v>8</ns0:v>
      </ns0:c>
      <ns0:c r="F158" s="7" t="inlineStr">
        <ns0:is>
          <ns0:t>Flight Over Rome</ns0:t>
        </ns0:is>
      </ns0:c>
      <ns0:c r="G158" s="7" t="inlineStr">
        <ns0:is>
          <ns0:t>EN</ns0:t>
        </ns0:is>
      </ns0:c>
      <ns0:c r="H158" s="7" t="inlineStr">
        <ns0:is>
          <ns0:t>EN</ns0:t>
        </ns0:is>
      </ns0:c>
      <ns0:c r="I158" s="7" t="inlineStr">
        <ns0:is>
          <ns0:t>Scriere nouă</ns0:t>
        </ns0:is>
      </ns0:c>
      <ns0:c r="J158" s="11" t="inlineStr">
        <ns0:is>
          <ns0:t>Planificat</ns0:t>
        </ns0:is>
      </ns0:c>
      <ns0:c r="K158" s="11" t="inlineStr">
        <ns0:is>
          <ns0:t>De desemnat</ns0:t>
        </ns0:is>
      </ns0:c>
      <ns0:c r="L158" s="8">
        <ns0:f>Catalog_100!I54</ns0:f>
        <ns0:v>60000</ns0:v>
      </ns0:c>
      <ns0:c r="M158" s="13">
        <ns0:f>Catalog_100!J54</ns0:f>
        <ns0:v>46325.0</ns0:v>
      </ns0:c>
      <ns0:c r="N158" s="13">
        <ns0:f>Catalog_100!K54</ns0:f>
        <ns0:v>46343.0</ns0:v>
      </ns0:c>
      <ns0:c r="O158" s="13">
        <ns0:f>Catalog_100!L54</ns0:f>
        <ns0:v>46345.0</ns0:v>
      </ns0:c>
      <ns0:c r="P158" s="13">
        <ns0:f>Catalog_100!M54</ns0:f>
        <ns0:v>46347.0</ns0:v>
      </ns0:c>
      <ns0:c r="Q158" s="11" t="inlineStr"/>
      <ns0:c r="R158" s="10" t="inlineStr"/>
      <ns0:c r="S158" s="11" t="inlineStr"/>
      <ns0:c r="T158" s="11" t="inlineStr"/>
      <ns0:c r="U158" s="11" t="inlineStr"/>
      <ns0:c r="V158" s="11" t="inlineStr">
        <ns0:is>
          <ns0:t>Neconfirmat</ns0:t>
        </ns0:is>
      </ns0:c>
      <ns0:c r="W158" s="11" t="inlineStr">
        <ns0:is>
          <ns0:t>Fără ediție finală confirmată</ns0:t>
        </ns0:is>
      </ns0:c>
      <ns0:c r="X158" s="7">
        <ns0:f>IF(AND(J158="Publicat",Q158&lt;&gt;"",ISNUMBER(R158),S158&lt;&gt;"",U158&lt;&gt;"",V158="Confirmat"),1,0)</ns0:f>
        <ns0:v>0</ns0:v>
      </ns0:c>
    </ns0:row>
    <ns0:row r="159" ht="46" customHeight="1">
      <ns0:c r="A159" s="7" t="inlineStr">
        <ns0:is>
          <ns0:t>DB-053-RO</ns0:t>
        </ns0:is>
      </ns0:c>
      <ns0:c r="B159" s="7" t="inlineStr">
        <ns0:is>
          <ns0:t>DB-053</ns0:t>
        </ns0:is>
      </ns0:c>
      <ns0:c r="C159" s="7" t="inlineStr">
        <ns0:is>
          <ns0:t>AMORIS</ns0:t>
        </ns0:is>
      </ns0:c>
      <ns0:c r="D159" s="7" t="inlineStr">
        <ns0:is>
          <ns0:t>Isabella Morgan / Rue des Âmes</ns0:t>
        </ns0:is>
      </ns0:c>
      <ns0:c r="E159" s="8" t="n">
        <ns0:v>8</ns0:v>
      </ns0:c>
      <ns0:c r="F159" s="7" t="inlineStr">
        <ns0:is>
          <ns0:t>Flight Over Rome</ns0:t>
        </ns0:is>
      </ns0:c>
      <ns0:c r="G159" s="7" t="inlineStr">
        <ns0:is>
          <ns0:t>RO</ns0:t>
        </ns0:is>
      </ns0:c>
      <ns0:c r="H159" s="7" t="inlineStr">
        <ns0:is>
          <ns0:t>EN</ns0:t>
        </ns0:is>
      </ns0:c>
      <ns0:c r="I159" s="7" t="inlineStr">
        <ns0:is>
          <ns0:t>Traducere EN→RO</ns0:t>
        </ns0:is>
      </ns0:c>
      <ns0:c r="J159" s="11" t="inlineStr">
        <ns0:is>
          <ns0:t>Planificat</ns0:t>
        </ns0:is>
      </ns0:c>
      <ns0:c r="K159" s="11" t="inlineStr">
        <ns0:is>
          <ns0:t>De desemnat</ns0:t>
        </ns0:is>
      </ns0:c>
      <ns0:c r="L159" s="8">
        <ns0:f>Catalog_100!I54</ns0:f>
        <ns0:v>60000</ns0:v>
      </ns0:c>
      <ns0:c r="M159" s="13">
        <ns0:f>Catalog_100!J54</ns0:f>
        <ns0:v>46325.0</ns0:v>
      </ns0:c>
      <ns0:c r="N159" s="13">
        <ns0:f>Catalog_100!K54</ns0:f>
        <ns0:v>46343.0</ns0:v>
      </ns0:c>
      <ns0:c r="O159" s="13">
        <ns0:f>Catalog_100!L54</ns0:f>
        <ns0:v>46345.0</ns0:v>
      </ns0:c>
      <ns0:c r="P159" s="13">
        <ns0:f>Catalog_100!M54</ns0:f>
        <ns0:v>46347.0</ns0:v>
      </ns0:c>
      <ns0:c r="Q159" s="11" t="inlineStr"/>
      <ns0:c r="R159" s="10" t="inlineStr"/>
      <ns0:c r="S159" s="11" t="inlineStr"/>
      <ns0:c r="T159" s="11" t="inlineStr"/>
      <ns0:c r="U159" s="11" t="inlineStr"/>
      <ns0:c r="V159" s="11" t="inlineStr">
        <ns0:is>
          <ns0:t>Neconfirmat</ns0:t>
        </ns0:is>
      </ns0:c>
      <ns0:c r="W159" s="11" t="inlineStr">
        <ns0:is>
          <ns0:t>Fără ediție finală confirmată</ns0:t>
        </ns0:is>
      </ns0:c>
      <ns0:c r="X159" s="7">
        <ns0:f>IF(AND(J159="Publicat",Q159&lt;&gt;"",ISNUMBER(R159),S159&lt;&gt;"",U159&lt;&gt;"",V159="Confirmat"),1,0)</ns0:f>
        <ns0:v>0</ns0:v>
      </ns0:c>
    </ns0:row>
    <ns0:row r="160" ht="46" customHeight="1">
      <ns0:c r="A160" s="7" t="inlineStr">
        <ns0:is>
          <ns0:t>DB-053-DE</ns0:t>
        </ns0:is>
      </ns0:c>
      <ns0:c r="B160" s="7" t="inlineStr">
        <ns0:is>
          <ns0:t>DB-053</ns0:t>
        </ns0:is>
      </ns0:c>
      <ns0:c r="C160" s="7" t="inlineStr">
        <ns0:is>
          <ns0:t>AMORIS</ns0:t>
        </ns0:is>
      </ns0:c>
      <ns0:c r="D160" s="7" t="inlineStr">
        <ns0:is>
          <ns0:t>Isabella Morgan / Rue des Âmes</ns0:t>
        </ns0:is>
      </ns0:c>
      <ns0:c r="E160" s="8" t="n">
        <ns0:v>8</ns0:v>
      </ns0:c>
      <ns0:c r="F160" s="7" t="inlineStr">
        <ns0:is>
          <ns0:t>Flight Over Rome</ns0:t>
        </ns0:is>
      </ns0:c>
      <ns0:c r="G160" s="7" t="inlineStr">
        <ns0:is>
          <ns0:t>DE</ns0:t>
        </ns0:is>
      </ns0:c>
      <ns0:c r="H160" s="7" t="inlineStr">
        <ns0:is>
          <ns0:t>EN</ns0:t>
        </ns0:is>
      </ns0:c>
      <ns0:c r="I160" s="7" t="inlineStr">
        <ns0:is>
          <ns0:t>Traducere EN→DE</ns0:t>
        </ns0:is>
      </ns0:c>
      <ns0:c r="J160" s="11" t="inlineStr">
        <ns0:is>
          <ns0:t>Planificat</ns0:t>
        </ns0:is>
      </ns0:c>
      <ns0:c r="K160" s="11" t="inlineStr">
        <ns0:is>
          <ns0:t>De desemnat</ns0:t>
        </ns0:is>
      </ns0:c>
      <ns0:c r="L160" s="8">
        <ns0:f>Catalog_100!I54</ns0:f>
        <ns0:v>60000</ns0:v>
      </ns0:c>
      <ns0:c r="M160" s="13">
        <ns0:f>Catalog_100!J54</ns0:f>
        <ns0:v>46325.0</ns0:v>
      </ns0:c>
      <ns0:c r="N160" s="13">
        <ns0:f>Catalog_100!K54</ns0:f>
        <ns0:v>46343.0</ns0:v>
      </ns0:c>
      <ns0:c r="O160" s="13">
        <ns0:f>Catalog_100!L54</ns0:f>
        <ns0:v>46345.0</ns0:v>
      </ns0:c>
      <ns0:c r="P160" s="13">
        <ns0:f>Catalog_100!M54</ns0:f>
        <ns0:v>46347.0</ns0:v>
      </ns0:c>
      <ns0:c r="Q160" s="11" t="inlineStr"/>
      <ns0:c r="R160" s="10" t="inlineStr"/>
      <ns0:c r="S160" s="11" t="inlineStr"/>
      <ns0:c r="T160" s="11" t="inlineStr"/>
      <ns0:c r="U160" s="11" t="inlineStr"/>
      <ns0:c r="V160" s="11" t="inlineStr">
        <ns0:is>
          <ns0:t>Neconfirmat</ns0:t>
        </ns0:is>
      </ns0:c>
      <ns0:c r="W160" s="11" t="inlineStr">
        <ns0:is>
          <ns0:t>Fără ediție finală confirmată</ns0:t>
        </ns0:is>
      </ns0:c>
      <ns0:c r="X160" s="7">
        <ns0:f>IF(AND(J160="Publicat",Q160&lt;&gt;"",ISNUMBER(R160),S160&lt;&gt;"",U160&lt;&gt;"",V160="Confirmat"),1,0)</ns0:f>
        <ns0:v>0</ns0:v>
      </ns0:c>
    </ns0:row>
    <ns0:row r="161" ht="46" customHeight="1">
      <ns0:c r="A161" s="7" t="inlineStr">
        <ns0:is>
          <ns0:t>DB-054-EN</ns0:t>
        </ns0:is>
      </ns0:c>
      <ns0:c r="B161" s="7" t="inlineStr">
        <ns0:is>
          <ns0:t>DB-054</ns0:t>
        </ns0:is>
      </ns0:c>
      <ns0:c r="C161" s="7" t="inlineStr">
        <ns0:is>
          <ns0:t>AMORIS</ns0:t>
        </ns0:is>
      </ns0:c>
      <ns0:c r="D161" s="7" t="inlineStr">
        <ns0:is>
          <ns0:t>Isabella Morgan / Rue des Âmes</ns0:t>
        </ns0:is>
      </ns0:c>
      <ns0:c r="E161" s="8" t="n">
        <ns0:v>9</ns0:v>
      </ns0:c>
      <ns0:c r="F161" s="7" t="inlineStr">
        <ns0:is>
          <ns0:t>Shadows of Buenos Aires</ns0:t>
        </ns0:is>
      </ns0:c>
      <ns0:c r="G161" s="7" t="inlineStr">
        <ns0:is>
          <ns0:t>EN</ns0:t>
        </ns0:is>
      </ns0:c>
      <ns0:c r="H161" s="7" t="inlineStr">
        <ns0:is>
          <ns0:t>EN</ns0:t>
        </ns0:is>
      </ns0:c>
      <ns0:c r="I161" s="7" t="inlineStr">
        <ns0:is>
          <ns0:t>Scriere nouă</ns0:t>
        </ns0:is>
      </ns0:c>
      <ns0:c r="J161" s="11" t="inlineStr">
        <ns0:is>
          <ns0:t>Planificat</ns0:t>
        </ns0:is>
      </ns0:c>
      <ns0:c r="K161" s="11" t="inlineStr">
        <ns0:is>
          <ns0:t>De desemnat</ns0:t>
        </ns0:is>
      </ns0:c>
      <ns0:c r="L161" s="8">
        <ns0:f>Catalog_100!I55</ns0:f>
        <ns0:v>60000</ns0:v>
      </ns0:c>
      <ns0:c r="M161" s="13">
        <ns0:f>Catalog_100!J55</ns0:f>
        <ns0:v>46325.0</ns0:v>
      </ns0:c>
      <ns0:c r="N161" s="13">
        <ns0:f>Catalog_100!K55</ns0:f>
        <ns0:v>46343.0</ns0:v>
      </ns0:c>
      <ns0:c r="O161" s="13">
        <ns0:f>Catalog_100!L55</ns0:f>
        <ns0:v>46345.0</ns0:v>
      </ns0:c>
      <ns0:c r="P161" s="13">
        <ns0:f>Catalog_100!M55</ns0:f>
        <ns0:v>46347.0</ns0:v>
      </ns0:c>
      <ns0:c r="Q161" s="11" t="inlineStr"/>
      <ns0:c r="R161" s="10" t="inlineStr"/>
      <ns0:c r="S161" s="11" t="inlineStr"/>
      <ns0:c r="T161" s="11" t="inlineStr"/>
      <ns0:c r="U161" s="11" t="inlineStr"/>
      <ns0:c r="V161" s="11" t="inlineStr">
        <ns0:is>
          <ns0:t>Neconfirmat</ns0:t>
        </ns0:is>
      </ns0:c>
      <ns0:c r="W161" s="11" t="inlineStr">
        <ns0:is>
          <ns0:t>Fără ediție finală confirmată</ns0:t>
        </ns0:is>
      </ns0:c>
      <ns0:c r="X161" s="7">
        <ns0:f>IF(AND(J161="Publicat",Q161&lt;&gt;"",ISNUMBER(R161),S161&lt;&gt;"",U161&lt;&gt;"",V161="Confirmat"),1,0)</ns0:f>
        <ns0:v>0</ns0:v>
      </ns0:c>
    </ns0:row>
    <ns0:row r="162" ht="46" customHeight="1">
      <ns0:c r="A162" s="7" t="inlineStr">
        <ns0:is>
          <ns0:t>DB-054-RO</ns0:t>
        </ns0:is>
      </ns0:c>
      <ns0:c r="B162" s="7" t="inlineStr">
        <ns0:is>
          <ns0:t>DB-054</ns0:t>
        </ns0:is>
      </ns0:c>
      <ns0:c r="C162" s="7" t="inlineStr">
        <ns0:is>
          <ns0:t>AMORIS</ns0:t>
        </ns0:is>
      </ns0:c>
      <ns0:c r="D162" s="7" t="inlineStr">
        <ns0:is>
          <ns0:t>Isabella Morgan / Rue des Âmes</ns0:t>
        </ns0:is>
      </ns0:c>
      <ns0:c r="E162" s="8" t="n">
        <ns0:v>9</ns0:v>
      </ns0:c>
      <ns0:c r="F162" s="7" t="inlineStr">
        <ns0:is>
          <ns0:t>Shadows of Buenos Aires</ns0:t>
        </ns0:is>
      </ns0:c>
      <ns0:c r="G162" s="7" t="inlineStr">
        <ns0:is>
          <ns0:t>RO</ns0:t>
        </ns0:is>
      </ns0:c>
      <ns0:c r="H162" s="7" t="inlineStr">
        <ns0:is>
          <ns0:t>EN</ns0:t>
        </ns0:is>
      </ns0:c>
      <ns0:c r="I162" s="7" t="inlineStr">
        <ns0:is>
          <ns0:t>Traducere EN→RO</ns0:t>
        </ns0:is>
      </ns0:c>
      <ns0:c r="J162" s="11" t="inlineStr">
        <ns0:is>
          <ns0:t>Planificat</ns0:t>
        </ns0:is>
      </ns0:c>
      <ns0:c r="K162" s="11" t="inlineStr">
        <ns0:is>
          <ns0:t>De desemnat</ns0:t>
        </ns0:is>
      </ns0:c>
      <ns0:c r="L162" s="8">
        <ns0:f>Catalog_100!I55</ns0:f>
        <ns0:v>60000</ns0:v>
      </ns0:c>
      <ns0:c r="M162" s="13">
        <ns0:f>Catalog_100!J55</ns0:f>
        <ns0:v>46325.0</ns0:v>
      </ns0:c>
      <ns0:c r="N162" s="13">
        <ns0:f>Catalog_100!K55</ns0:f>
        <ns0:v>46343.0</ns0:v>
      </ns0:c>
      <ns0:c r="O162" s="13">
        <ns0:f>Catalog_100!L55</ns0:f>
        <ns0:v>46345.0</ns0:v>
      </ns0:c>
      <ns0:c r="P162" s="13">
        <ns0:f>Catalog_100!M55</ns0:f>
        <ns0:v>46347.0</ns0:v>
      </ns0:c>
      <ns0:c r="Q162" s="11" t="inlineStr"/>
      <ns0:c r="R162" s="10" t="inlineStr"/>
      <ns0:c r="S162" s="11" t="inlineStr"/>
      <ns0:c r="T162" s="11" t="inlineStr"/>
      <ns0:c r="U162" s="11" t="inlineStr"/>
      <ns0:c r="V162" s="11" t="inlineStr">
        <ns0:is>
          <ns0:t>Neconfirmat</ns0:t>
        </ns0:is>
      </ns0:c>
      <ns0:c r="W162" s="11" t="inlineStr">
        <ns0:is>
          <ns0:t>Fără ediție finală confirmată</ns0:t>
        </ns0:is>
      </ns0:c>
      <ns0:c r="X162" s="7">
        <ns0:f>IF(AND(J162="Publicat",Q162&lt;&gt;"",ISNUMBER(R162),S162&lt;&gt;"",U162&lt;&gt;"",V162="Confirmat"),1,0)</ns0:f>
        <ns0:v>0</ns0:v>
      </ns0:c>
    </ns0:row>
    <ns0:row r="163" ht="46" customHeight="1">
      <ns0:c r="A163" s="7" t="inlineStr">
        <ns0:is>
          <ns0:t>DB-054-DE</ns0:t>
        </ns0:is>
      </ns0:c>
      <ns0:c r="B163" s="7" t="inlineStr">
        <ns0:is>
          <ns0:t>DB-054</ns0:t>
        </ns0:is>
      </ns0:c>
      <ns0:c r="C163" s="7" t="inlineStr">
        <ns0:is>
          <ns0:t>AMORIS</ns0:t>
        </ns0:is>
      </ns0:c>
      <ns0:c r="D163" s="7" t="inlineStr">
        <ns0:is>
          <ns0:t>Isabella Morgan / Rue des Âmes</ns0:t>
        </ns0:is>
      </ns0:c>
      <ns0:c r="E163" s="8" t="n">
        <ns0:v>9</ns0:v>
      </ns0:c>
      <ns0:c r="F163" s="7" t="inlineStr">
        <ns0:is>
          <ns0:t>Shadows of Buenos Aires</ns0:t>
        </ns0:is>
      </ns0:c>
      <ns0:c r="G163" s="7" t="inlineStr">
        <ns0:is>
          <ns0:t>DE</ns0:t>
        </ns0:is>
      </ns0:c>
      <ns0:c r="H163" s="7" t="inlineStr">
        <ns0:is>
          <ns0:t>EN</ns0:t>
        </ns0:is>
      </ns0:c>
      <ns0:c r="I163" s="7" t="inlineStr">
        <ns0:is>
          <ns0:t>Traducere EN→DE</ns0:t>
        </ns0:is>
      </ns0:c>
      <ns0:c r="J163" s="11" t="inlineStr">
        <ns0:is>
          <ns0:t>Planificat</ns0:t>
        </ns0:is>
      </ns0:c>
      <ns0:c r="K163" s="11" t="inlineStr">
        <ns0:is>
          <ns0:t>De desemnat</ns0:t>
        </ns0:is>
      </ns0:c>
      <ns0:c r="L163" s="8">
        <ns0:f>Catalog_100!I55</ns0:f>
        <ns0:v>60000</ns0:v>
      </ns0:c>
      <ns0:c r="M163" s="13">
        <ns0:f>Catalog_100!J55</ns0:f>
        <ns0:v>46325.0</ns0:v>
      </ns0:c>
      <ns0:c r="N163" s="13">
        <ns0:f>Catalog_100!K55</ns0:f>
        <ns0:v>46343.0</ns0:v>
      </ns0:c>
      <ns0:c r="O163" s="13">
        <ns0:f>Catalog_100!L55</ns0:f>
        <ns0:v>46345.0</ns0:v>
      </ns0:c>
      <ns0:c r="P163" s="13">
        <ns0:f>Catalog_100!M55</ns0:f>
        <ns0:v>46347.0</ns0:v>
      </ns0:c>
      <ns0:c r="Q163" s="11" t="inlineStr"/>
      <ns0:c r="R163" s="10" t="inlineStr"/>
      <ns0:c r="S163" s="11" t="inlineStr"/>
      <ns0:c r="T163" s="11" t="inlineStr"/>
      <ns0:c r="U163" s="11" t="inlineStr"/>
      <ns0:c r="V163" s="11" t="inlineStr">
        <ns0:is>
          <ns0:t>Neconfirmat</ns0:t>
        </ns0:is>
      </ns0:c>
      <ns0:c r="W163" s="11" t="inlineStr">
        <ns0:is>
          <ns0:t>Fără ediție finală confirmată</ns0:t>
        </ns0:is>
      </ns0:c>
      <ns0:c r="X163" s="7">
        <ns0:f>IF(AND(J163="Publicat",Q163&lt;&gt;"",ISNUMBER(R163),S163&lt;&gt;"",U163&lt;&gt;"",V163="Confirmat"),1,0)</ns0:f>
        <ns0:v>0</ns0:v>
      </ns0:c>
    </ns0:row>
    <ns0:row r="164" ht="46" customHeight="1">
      <ns0:c r="A164" s="7" t="inlineStr">
        <ns0:is>
          <ns0:t>DB-055-EN</ns0:t>
        </ns0:is>
      </ns0:c>
      <ns0:c r="B164" s="7" t="inlineStr">
        <ns0:is>
          <ns0:t>DB-055</ns0:t>
        </ns0:is>
      </ns0:c>
      <ns0:c r="C164" s="7" t="inlineStr">
        <ns0:is>
          <ns0:t>AMORIS</ns0:t>
        </ns0:is>
      </ns0:c>
      <ns0:c r="D164" s="7" t="inlineStr">
        <ns0:is>
          <ns0:t>Isabella Morgan / Rue des Âmes</ns0:t>
        </ns0:is>
      </ns0:c>
      <ns0:c r="E164" s="8" t="n">
        <ns0:v>10</ns0:v>
      </ns0:c>
      <ns0:c r="F164" s="7" t="inlineStr">
        <ns0:is>
          <ns0:t>The Singapore Window</ns0:t>
        </ns0:is>
      </ns0:c>
      <ns0:c r="G164" s="7" t="inlineStr">
        <ns0:is>
          <ns0:t>EN</ns0:t>
        </ns0:is>
      </ns0:c>
      <ns0:c r="H164" s="7" t="inlineStr">
        <ns0:is>
          <ns0:t>EN</ns0:t>
        </ns0:is>
      </ns0:c>
      <ns0:c r="I164" s="7" t="inlineStr">
        <ns0:is>
          <ns0:t>Scriere nouă</ns0:t>
        </ns0:is>
      </ns0:c>
      <ns0:c r="J164" s="11" t="inlineStr">
        <ns0:is>
          <ns0:t>Planificat</ns0:t>
        </ns0:is>
      </ns0:c>
      <ns0:c r="K164" s="11" t="inlineStr">
        <ns0:is>
          <ns0:t>De desemnat</ns0:t>
        </ns0:is>
      </ns0:c>
      <ns0:c r="L164" s="8">
        <ns0:f>Catalog_100!I56</ns0:f>
        <ns0:v>60000</ns0:v>
      </ns0:c>
      <ns0:c r="M164" s="13">
        <ns0:f>Catalog_100!J56</ns0:f>
        <ns0:v>46325.0</ns0:v>
      </ns0:c>
      <ns0:c r="N164" s="13">
        <ns0:f>Catalog_100!K56</ns0:f>
        <ns0:v>46343.0</ns0:v>
      </ns0:c>
      <ns0:c r="O164" s="13">
        <ns0:f>Catalog_100!L56</ns0:f>
        <ns0:v>46345.0</ns0:v>
      </ns0:c>
      <ns0:c r="P164" s="13">
        <ns0:f>Catalog_100!M56</ns0:f>
        <ns0:v>46347.0</ns0:v>
      </ns0:c>
      <ns0:c r="Q164" s="11" t="inlineStr"/>
      <ns0:c r="R164" s="10" t="inlineStr"/>
      <ns0:c r="S164" s="11" t="inlineStr"/>
      <ns0:c r="T164" s="11" t="inlineStr"/>
      <ns0:c r="U164" s="11" t="inlineStr"/>
      <ns0:c r="V164" s="11" t="inlineStr">
        <ns0:is>
          <ns0:t>Neconfirmat</ns0:t>
        </ns0:is>
      </ns0:c>
      <ns0:c r="W164" s="11" t="inlineStr">
        <ns0:is>
          <ns0:t>Fără ediție finală confirmată</ns0:t>
        </ns0:is>
      </ns0:c>
      <ns0:c r="X164" s="7">
        <ns0:f>IF(AND(J164="Publicat",Q164&lt;&gt;"",ISNUMBER(R164),S164&lt;&gt;"",U164&lt;&gt;"",V164="Confirmat"),1,0)</ns0:f>
        <ns0:v>0</ns0:v>
      </ns0:c>
    </ns0:row>
    <ns0:row r="165" ht="46" customHeight="1">
      <ns0:c r="A165" s="7" t="inlineStr">
        <ns0:is>
          <ns0:t>DB-055-RO</ns0:t>
        </ns0:is>
      </ns0:c>
      <ns0:c r="B165" s="7" t="inlineStr">
        <ns0:is>
          <ns0:t>DB-055</ns0:t>
        </ns0:is>
      </ns0:c>
      <ns0:c r="C165" s="7" t="inlineStr">
        <ns0:is>
          <ns0:t>AMORIS</ns0:t>
        </ns0:is>
      </ns0:c>
      <ns0:c r="D165" s="7" t="inlineStr">
        <ns0:is>
          <ns0:t>Isabella Morgan / Rue des Âmes</ns0:t>
        </ns0:is>
      </ns0:c>
      <ns0:c r="E165" s="8" t="n">
        <ns0:v>10</ns0:v>
      </ns0:c>
      <ns0:c r="F165" s="7" t="inlineStr">
        <ns0:is>
          <ns0:t>The Singapore Window</ns0:t>
        </ns0:is>
      </ns0:c>
      <ns0:c r="G165" s="7" t="inlineStr">
        <ns0:is>
          <ns0:t>RO</ns0:t>
        </ns0:is>
      </ns0:c>
      <ns0:c r="H165" s="7" t="inlineStr">
        <ns0:is>
          <ns0:t>EN</ns0:t>
        </ns0:is>
      </ns0:c>
      <ns0:c r="I165" s="7" t="inlineStr">
        <ns0:is>
          <ns0:t>Traducere EN→RO</ns0:t>
        </ns0:is>
      </ns0:c>
      <ns0:c r="J165" s="11" t="inlineStr">
        <ns0:is>
          <ns0:t>Planificat</ns0:t>
        </ns0:is>
      </ns0:c>
      <ns0:c r="K165" s="11" t="inlineStr">
        <ns0:is>
          <ns0:t>De desemnat</ns0:t>
        </ns0:is>
      </ns0:c>
      <ns0:c r="L165" s="8">
        <ns0:f>Catalog_100!I56</ns0:f>
        <ns0:v>60000</ns0:v>
      </ns0:c>
      <ns0:c r="M165" s="13">
        <ns0:f>Catalog_100!J56</ns0:f>
        <ns0:v>46325.0</ns0:v>
      </ns0:c>
      <ns0:c r="N165" s="13">
        <ns0:f>Catalog_100!K56</ns0:f>
        <ns0:v>46343.0</ns0:v>
      </ns0:c>
      <ns0:c r="O165" s="13">
        <ns0:f>Catalog_100!L56</ns0:f>
        <ns0:v>46345.0</ns0:v>
      </ns0:c>
      <ns0:c r="P165" s="13">
        <ns0:f>Catalog_100!M56</ns0:f>
        <ns0:v>46347.0</ns0:v>
      </ns0:c>
      <ns0:c r="Q165" s="11" t="inlineStr"/>
      <ns0:c r="R165" s="10" t="inlineStr"/>
      <ns0:c r="S165" s="11" t="inlineStr"/>
      <ns0:c r="T165" s="11" t="inlineStr"/>
      <ns0:c r="U165" s="11" t="inlineStr"/>
      <ns0:c r="V165" s="11" t="inlineStr">
        <ns0:is>
          <ns0:t>Neconfirmat</ns0:t>
        </ns0:is>
      </ns0:c>
      <ns0:c r="W165" s="11" t="inlineStr">
        <ns0:is>
          <ns0:t>Fără ediție finală confirmată</ns0:t>
        </ns0:is>
      </ns0:c>
      <ns0:c r="X165" s="7">
        <ns0:f>IF(AND(J165="Publicat",Q165&lt;&gt;"",ISNUMBER(R165),S165&lt;&gt;"",U165&lt;&gt;"",V165="Confirmat"),1,0)</ns0:f>
        <ns0:v>0</ns0:v>
      </ns0:c>
    </ns0:row>
    <ns0:row r="166" ht="46" customHeight="1">
      <ns0:c r="A166" s="7" t="inlineStr">
        <ns0:is>
          <ns0:t>DB-055-DE</ns0:t>
        </ns0:is>
      </ns0:c>
      <ns0:c r="B166" s="7" t="inlineStr">
        <ns0:is>
          <ns0:t>DB-055</ns0:t>
        </ns0:is>
      </ns0:c>
      <ns0:c r="C166" s="7" t="inlineStr">
        <ns0:is>
          <ns0:t>AMORIS</ns0:t>
        </ns0:is>
      </ns0:c>
      <ns0:c r="D166" s="7" t="inlineStr">
        <ns0:is>
          <ns0:t>Isabella Morgan / Rue des Âmes</ns0:t>
        </ns0:is>
      </ns0:c>
      <ns0:c r="E166" s="8" t="n">
        <ns0:v>10</ns0:v>
      </ns0:c>
      <ns0:c r="F166" s="7" t="inlineStr">
        <ns0:is>
          <ns0:t>The Singapore Window</ns0:t>
        </ns0:is>
      </ns0:c>
      <ns0:c r="G166" s="7" t="inlineStr">
        <ns0:is>
          <ns0:t>DE</ns0:t>
        </ns0:is>
      </ns0:c>
      <ns0:c r="H166" s="7" t="inlineStr">
        <ns0:is>
          <ns0:t>EN</ns0:t>
        </ns0:is>
      </ns0:c>
      <ns0:c r="I166" s="7" t="inlineStr">
        <ns0:is>
          <ns0:t>Traducere EN→DE</ns0:t>
        </ns0:is>
      </ns0:c>
      <ns0:c r="J166" s="11" t="inlineStr">
        <ns0:is>
          <ns0:t>Planificat</ns0:t>
        </ns0:is>
      </ns0:c>
      <ns0:c r="K166" s="11" t="inlineStr">
        <ns0:is>
          <ns0:t>De desemnat</ns0:t>
        </ns0:is>
      </ns0:c>
      <ns0:c r="L166" s="8">
        <ns0:f>Catalog_100!I56</ns0:f>
        <ns0:v>60000</ns0:v>
      </ns0:c>
      <ns0:c r="M166" s="13">
        <ns0:f>Catalog_100!J56</ns0:f>
        <ns0:v>46325.0</ns0:v>
      </ns0:c>
      <ns0:c r="N166" s="13">
        <ns0:f>Catalog_100!K56</ns0:f>
        <ns0:v>46343.0</ns0:v>
      </ns0:c>
      <ns0:c r="O166" s="13">
        <ns0:f>Catalog_100!L56</ns0:f>
        <ns0:v>46345.0</ns0:v>
      </ns0:c>
      <ns0:c r="P166" s="13">
        <ns0:f>Catalog_100!M56</ns0:f>
        <ns0:v>46347.0</ns0:v>
      </ns0:c>
      <ns0:c r="Q166" s="11" t="inlineStr"/>
      <ns0:c r="R166" s="10" t="inlineStr"/>
      <ns0:c r="S166" s="11" t="inlineStr"/>
      <ns0:c r="T166" s="11" t="inlineStr"/>
      <ns0:c r="U166" s="11" t="inlineStr"/>
      <ns0:c r="V166" s="11" t="inlineStr">
        <ns0:is>
          <ns0:t>Neconfirmat</ns0:t>
        </ns0:is>
      </ns0:c>
      <ns0:c r="W166" s="11" t="inlineStr">
        <ns0:is>
          <ns0:t>Fără ediție finală confirmată</ns0:t>
        </ns0:is>
      </ns0:c>
      <ns0:c r="X166" s="7">
        <ns0:f>IF(AND(J166="Publicat",Q166&lt;&gt;"",ISNUMBER(R166),S166&lt;&gt;"",U166&lt;&gt;"",V166="Confirmat"),1,0)</ns0:f>
        <ns0:v>0</ns0:v>
      </ns0:c>
    </ns0:row>
    <ns0:row r="167" ht="46" customHeight="1">
      <ns0:c r="A167" s="7" t="inlineStr">
        <ns0:is>
          <ns0:t>DB-056-EN</ns0:t>
        </ns0:is>
      </ns0:c>
      <ns0:c r="B167" s="7" t="inlineStr">
        <ns0:is>
          <ns0:t>DB-056</ns0:t>
        </ns0:is>
      </ns0:c>
      <ns0:c r="C167" s="7" t="inlineStr">
        <ns0:is>
          <ns0:t>AMORIS</ns0:t>
        </ns0:is>
      </ns0:c>
      <ns0:c r="D167" s="7" t="inlineStr">
        <ns0:is>
          <ns0:t>Aegean Second Chances</ns0:t>
        </ns0:is>
      </ns0:c>
      <ns0:c r="E167" s="8" t="n">
        <ns0:v>1</ns0:v>
      </ns0:c>
      <ns0:c r="F167" s="7" t="inlineStr">
        <ns0:is>
          <ns0:t>The Bookshop by the Harbour</ns0:t>
        </ns0:is>
      </ns0:c>
      <ns0:c r="G167" s="7" t="inlineStr">
        <ns0:is>
          <ns0:t>EN</ns0:t>
        </ns0:is>
      </ns0:c>
      <ns0:c r="H167" s="7" t="inlineStr">
        <ns0:is>
          <ns0:t>EN</ns0:t>
        </ns0:is>
      </ns0:c>
      <ns0:c r="I167" s="7" t="inlineStr">
        <ns0:is>
          <ns0:t>Scriere nouă</ns0:t>
        </ns0:is>
      </ns0:c>
      <ns0:c r="J167" s="11" t="inlineStr">
        <ns0:is>
          <ns0:t>Planificat</ns0:t>
        </ns0:is>
      </ns0:c>
      <ns0:c r="K167" s="11" t="inlineStr">
        <ns0:is>
          <ns0:t>De desemnat</ns0:t>
        </ns0:is>
      </ns0:c>
      <ns0:c r="L167" s="8">
        <ns0:f>Catalog_100!I57</ns0:f>
        <ns0:v>55000</ns0:v>
      </ns0:c>
      <ns0:c r="M167" s="13">
        <ns0:f>Catalog_100!J57</ns0:f>
        <ns0:v>46311.0</ns0:v>
      </ns0:c>
      <ns0:c r="N167" s="13">
        <ns0:f>Catalog_100!K57</ns0:f>
        <ns0:v>46329.0</ns0:v>
      </ns0:c>
      <ns0:c r="O167" s="13">
        <ns0:f>Catalog_100!L57</ns0:f>
        <ns0:v>46331.0</ns0:v>
      </ns0:c>
      <ns0:c r="P167" s="13">
        <ns0:f>Catalog_100!M57</ns0:f>
        <ns0:v>46333.0</ns0:v>
      </ns0:c>
      <ns0:c r="Q167" s="11" t="inlineStr"/>
      <ns0:c r="R167" s="10" t="inlineStr"/>
      <ns0:c r="S167" s="11" t="inlineStr"/>
      <ns0:c r="T167" s="11" t="inlineStr"/>
      <ns0:c r="U167" s="11" t="inlineStr"/>
      <ns0:c r="V167" s="11" t="inlineStr">
        <ns0:is>
          <ns0:t>Neconfirmat</ns0:t>
        </ns0:is>
      </ns0:c>
      <ns0:c r="W167" s="11" t="inlineStr">
        <ns0:is>
          <ns0:t>Fără ediție finală confirmată</ns0:t>
        </ns0:is>
      </ns0:c>
      <ns0:c r="X167" s="7">
        <ns0:f>IF(AND(J167="Publicat",Q167&lt;&gt;"",ISNUMBER(R167),S167&lt;&gt;"",U167&lt;&gt;"",V167="Confirmat"),1,0)</ns0:f>
        <ns0:v>0</ns0:v>
      </ns0:c>
    </ns0:row>
    <ns0:row r="168" ht="46" customHeight="1">
      <ns0:c r="A168" s="7" t="inlineStr">
        <ns0:is>
          <ns0:t>DB-056-RO</ns0:t>
        </ns0:is>
      </ns0:c>
      <ns0:c r="B168" s="7" t="inlineStr">
        <ns0:is>
          <ns0:t>DB-056</ns0:t>
        </ns0:is>
      </ns0:c>
      <ns0:c r="C168" s="7" t="inlineStr">
        <ns0:is>
          <ns0:t>AMORIS</ns0:t>
        </ns0:is>
      </ns0:c>
      <ns0:c r="D168" s="7" t="inlineStr">
        <ns0:is>
          <ns0:t>Aegean Second Chances</ns0:t>
        </ns0:is>
      </ns0:c>
      <ns0:c r="E168" s="8" t="n">
        <ns0:v>1</ns0:v>
      </ns0:c>
      <ns0:c r="F168" s="7" t="inlineStr">
        <ns0:is>
          <ns0:t>The Bookshop by the Harbour</ns0:t>
        </ns0:is>
      </ns0:c>
      <ns0:c r="G168" s="7" t="inlineStr">
        <ns0:is>
          <ns0:t>RO</ns0:t>
        </ns0:is>
      </ns0:c>
      <ns0:c r="H168" s="7" t="inlineStr">
        <ns0:is>
          <ns0:t>EN</ns0:t>
        </ns0:is>
      </ns0:c>
      <ns0:c r="I168" s="7" t="inlineStr">
        <ns0:is>
          <ns0:t>Traducere EN→RO</ns0:t>
        </ns0:is>
      </ns0:c>
      <ns0:c r="J168" s="11" t="inlineStr">
        <ns0:is>
          <ns0:t>Planificat</ns0:t>
        </ns0:is>
      </ns0:c>
      <ns0:c r="K168" s="11" t="inlineStr">
        <ns0:is>
          <ns0:t>De desemnat</ns0:t>
        </ns0:is>
      </ns0:c>
      <ns0:c r="L168" s="8">
        <ns0:f>Catalog_100!I57</ns0:f>
        <ns0:v>55000</ns0:v>
      </ns0:c>
      <ns0:c r="M168" s="13">
        <ns0:f>Catalog_100!J57</ns0:f>
        <ns0:v>46311.0</ns0:v>
      </ns0:c>
      <ns0:c r="N168" s="13">
        <ns0:f>Catalog_100!K57</ns0:f>
        <ns0:v>46329.0</ns0:v>
      </ns0:c>
      <ns0:c r="O168" s="13">
        <ns0:f>Catalog_100!L57</ns0:f>
        <ns0:v>46331.0</ns0:v>
      </ns0:c>
      <ns0:c r="P168" s="13">
        <ns0:f>Catalog_100!M57</ns0:f>
        <ns0:v>46333.0</ns0:v>
      </ns0:c>
      <ns0:c r="Q168" s="11" t="inlineStr"/>
      <ns0:c r="R168" s="10" t="inlineStr"/>
      <ns0:c r="S168" s="11" t="inlineStr"/>
      <ns0:c r="T168" s="11" t="inlineStr"/>
      <ns0:c r="U168" s="11" t="inlineStr"/>
      <ns0:c r="V168" s="11" t="inlineStr">
        <ns0:is>
          <ns0:t>Neconfirmat</ns0:t>
        </ns0:is>
      </ns0:c>
      <ns0:c r="W168" s="11" t="inlineStr">
        <ns0:is>
          <ns0:t>Fără ediție finală confirmată</ns0:t>
        </ns0:is>
      </ns0:c>
      <ns0:c r="X168" s="7">
        <ns0:f>IF(AND(J168="Publicat",Q168&lt;&gt;"",ISNUMBER(R168),S168&lt;&gt;"",U168&lt;&gt;"",V168="Confirmat"),1,0)</ns0:f>
        <ns0:v>0</ns0:v>
      </ns0:c>
    </ns0:row>
    <ns0:row r="169" ht="46" customHeight="1">
      <ns0:c r="A169" s="7" t="inlineStr">
        <ns0:is>
          <ns0:t>DB-056-DE</ns0:t>
        </ns0:is>
      </ns0:c>
      <ns0:c r="B169" s="7" t="inlineStr">
        <ns0:is>
          <ns0:t>DB-056</ns0:t>
        </ns0:is>
      </ns0:c>
      <ns0:c r="C169" s="7" t="inlineStr">
        <ns0:is>
          <ns0:t>AMORIS</ns0:t>
        </ns0:is>
      </ns0:c>
      <ns0:c r="D169" s="7" t="inlineStr">
        <ns0:is>
          <ns0:t>Aegean Second Chances</ns0:t>
        </ns0:is>
      </ns0:c>
      <ns0:c r="E169" s="8" t="n">
        <ns0:v>1</ns0:v>
      </ns0:c>
      <ns0:c r="F169" s="7" t="inlineStr">
        <ns0:is>
          <ns0:t>The Bookshop by the Harbour</ns0:t>
        </ns0:is>
      </ns0:c>
      <ns0:c r="G169" s="7" t="inlineStr">
        <ns0:is>
          <ns0:t>DE</ns0:t>
        </ns0:is>
      </ns0:c>
      <ns0:c r="H169" s="7" t="inlineStr">
        <ns0:is>
          <ns0:t>EN</ns0:t>
        </ns0:is>
      </ns0:c>
      <ns0:c r="I169" s="7" t="inlineStr">
        <ns0:is>
          <ns0:t>Traducere EN→DE</ns0:t>
        </ns0:is>
      </ns0:c>
      <ns0:c r="J169" s="11" t="inlineStr">
        <ns0:is>
          <ns0:t>Planificat</ns0:t>
        </ns0:is>
      </ns0:c>
      <ns0:c r="K169" s="11" t="inlineStr">
        <ns0:is>
          <ns0:t>De desemnat</ns0:t>
        </ns0:is>
      </ns0:c>
      <ns0:c r="L169" s="8">
        <ns0:f>Catalog_100!I57</ns0:f>
        <ns0:v>55000</ns0:v>
      </ns0:c>
      <ns0:c r="M169" s="13">
        <ns0:f>Catalog_100!J57</ns0:f>
        <ns0:v>46311.0</ns0:v>
      </ns0:c>
      <ns0:c r="N169" s="13">
        <ns0:f>Catalog_100!K57</ns0:f>
        <ns0:v>46329.0</ns0:v>
      </ns0:c>
      <ns0:c r="O169" s="13">
        <ns0:f>Catalog_100!L57</ns0:f>
        <ns0:v>46331.0</ns0:v>
      </ns0:c>
      <ns0:c r="P169" s="13">
        <ns0:f>Catalog_100!M57</ns0:f>
        <ns0:v>46333.0</ns0:v>
      </ns0:c>
      <ns0:c r="Q169" s="11" t="inlineStr"/>
      <ns0:c r="R169" s="10" t="inlineStr"/>
      <ns0:c r="S169" s="11" t="inlineStr"/>
      <ns0:c r="T169" s="11" t="inlineStr"/>
      <ns0:c r="U169" s="11" t="inlineStr"/>
      <ns0:c r="V169" s="11" t="inlineStr">
        <ns0:is>
          <ns0:t>Neconfirmat</ns0:t>
        </ns0:is>
      </ns0:c>
      <ns0:c r="W169" s="11" t="inlineStr">
        <ns0:is>
          <ns0:t>Fără ediție finală confirmată</ns0:t>
        </ns0:is>
      </ns0:c>
      <ns0:c r="X169" s="7">
        <ns0:f>IF(AND(J169="Publicat",Q169&lt;&gt;"",ISNUMBER(R169),S169&lt;&gt;"",U169&lt;&gt;"",V169="Confirmat"),1,0)</ns0:f>
        <ns0:v>0</ns0:v>
      </ns0:c>
    </ns0:row>
    <ns0:row r="170" ht="46" customHeight="1">
      <ns0:c r="A170" s="7" t="inlineStr">
        <ns0:is>
          <ns0:t>DB-057-EN</ns0:t>
        </ns0:is>
      </ns0:c>
      <ns0:c r="B170" s="7" t="inlineStr">
        <ns0:is>
          <ns0:t>DB-057</ns0:t>
        </ns0:is>
      </ns0:c>
      <ns0:c r="C170" s="7" t="inlineStr">
        <ns0:is>
          <ns0:t>AMORIS</ns0:t>
        </ns0:is>
      </ns0:c>
      <ns0:c r="D170" s="7" t="inlineStr">
        <ns0:is>
          <ns0:t>Aegean Second Chances</ns0:t>
        </ns0:is>
      </ns0:c>
      <ns0:c r="E170" s="8" t="n">
        <ns0:v>2</ns0:v>
      </ns0:c>
      <ns0:c r="F170" s="7" t="inlineStr">
        <ns0:is>
          <ns0:t>The Olive Harvest</ns0:t>
        </ns0:is>
      </ns0:c>
      <ns0:c r="G170" s="7" t="inlineStr">
        <ns0:is>
          <ns0:t>EN</ns0:t>
        </ns0:is>
      </ns0:c>
      <ns0:c r="H170" s="7" t="inlineStr">
        <ns0:is>
          <ns0:t>EN</ns0:t>
        </ns0:is>
      </ns0:c>
      <ns0:c r="I170" s="7" t="inlineStr">
        <ns0:is>
          <ns0:t>Scriere nouă</ns0:t>
        </ns0:is>
      </ns0:c>
      <ns0:c r="J170" s="11" t="inlineStr">
        <ns0:is>
          <ns0:t>Planificat</ns0:t>
        </ns0:is>
      </ns0:c>
      <ns0:c r="K170" s="11" t="inlineStr">
        <ns0:is>
          <ns0:t>De desemnat</ns0:t>
        </ns0:is>
      </ns0:c>
      <ns0:c r="L170" s="8">
        <ns0:f>Catalog_100!I58</ns0:f>
        <ns0:v>55000</ns0:v>
      </ns0:c>
      <ns0:c r="M170" s="13">
        <ns0:f>Catalog_100!J58</ns0:f>
        <ns0:v>46311.0</ns0:v>
      </ns0:c>
      <ns0:c r="N170" s="13">
        <ns0:f>Catalog_100!K58</ns0:f>
        <ns0:v>46329.0</ns0:v>
      </ns0:c>
      <ns0:c r="O170" s="13">
        <ns0:f>Catalog_100!L58</ns0:f>
        <ns0:v>46331.0</ns0:v>
      </ns0:c>
      <ns0:c r="P170" s="13">
        <ns0:f>Catalog_100!M58</ns0:f>
        <ns0:v>46333.0</ns0:v>
      </ns0:c>
      <ns0:c r="Q170" s="11" t="inlineStr"/>
      <ns0:c r="R170" s="10" t="inlineStr"/>
      <ns0:c r="S170" s="11" t="inlineStr"/>
      <ns0:c r="T170" s="11" t="inlineStr"/>
      <ns0:c r="U170" s="11" t="inlineStr"/>
      <ns0:c r="V170" s="11" t="inlineStr">
        <ns0:is>
          <ns0:t>Neconfirmat</ns0:t>
        </ns0:is>
      </ns0:c>
      <ns0:c r="W170" s="11" t="inlineStr">
        <ns0:is>
          <ns0:t>Fără ediție finală confirmată</ns0:t>
        </ns0:is>
      </ns0:c>
      <ns0:c r="X170" s="7">
        <ns0:f>IF(AND(J170="Publicat",Q170&lt;&gt;"",ISNUMBER(R170),S170&lt;&gt;"",U170&lt;&gt;"",V170="Confirmat"),1,0)</ns0:f>
        <ns0:v>0</ns0:v>
      </ns0:c>
    </ns0:row>
    <ns0:row r="171" ht="46" customHeight="1">
      <ns0:c r="A171" s="7" t="inlineStr">
        <ns0:is>
          <ns0:t>DB-057-RO</ns0:t>
        </ns0:is>
      </ns0:c>
      <ns0:c r="B171" s="7" t="inlineStr">
        <ns0:is>
          <ns0:t>DB-057</ns0:t>
        </ns0:is>
      </ns0:c>
      <ns0:c r="C171" s="7" t="inlineStr">
        <ns0:is>
          <ns0:t>AMORIS</ns0:t>
        </ns0:is>
      </ns0:c>
      <ns0:c r="D171" s="7" t="inlineStr">
        <ns0:is>
          <ns0:t>Aegean Second Chances</ns0:t>
        </ns0:is>
      </ns0:c>
      <ns0:c r="E171" s="8" t="n">
        <ns0:v>2</ns0:v>
      </ns0:c>
      <ns0:c r="F171" s="7" t="inlineStr">
        <ns0:is>
          <ns0:t>The Olive Harvest</ns0:t>
        </ns0:is>
      </ns0:c>
      <ns0:c r="G171" s="7" t="inlineStr">
        <ns0:is>
          <ns0:t>RO</ns0:t>
        </ns0:is>
      </ns0:c>
      <ns0:c r="H171" s="7" t="inlineStr">
        <ns0:is>
          <ns0:t>EN</ns0:t>
        </ns0:is>
      </ns0:c>
      <ns0:c r="I171" s="7" t="inlineStr">
        <ns0:is>
          <ns0:t>Traducere EN→RO</ns0:t>
        </ns0:is>
      </ns0:c>
      <ns0:c r="J171" s="11" t="inlineStr">
        <ns0:is>
          <ns0:t>Planificat</ns0:t>
        </ns0:is>
      </ns0:c>
      <ns0:c r="K171" s="11" t="inlineStr">
        <ns0:is>
          <ns0:t>De desemnat</ns0:t>
        </ns0:is>
      </ns0:c>
      <ns0:c r="L171" s="8">
        <ns0:f>Catalog_100!I58</ns0:f>
        <ns0:v>55000</ns0:v>
      </ns0:c>
      <ns0:c r="M171" s="13">
        <ns0:f>Catalog_100!J58</ns0:f>
        <ns0:v>46311.0</ns0:v>
      </ns0:c>
      <ns0:c r="N171" s="13">
        <ns0:f>Catalog_100!K58</ns0:f>
        <ns0:v>46329.0</ns0:v>
      </ns0:c>
      <ns0:c r="O171" s="13">
        <ns0:f>Catalog_100!L58</ns0:f>
        <ns0:v>46331.0</ns0:v>
      </ns0:c>
      <ns0:c r="P171" s="13">
        <ns0:f>Catalog_100!M58</ns0:f>
        <ns0:v>46333.0</ns0:v>
      </ns0:c>
      <ns0:c r="Q171" s="11" t="inlineStr"/>
      <ns0:c r="R171" s="10" t="inlineStr"/>
      <ns0:c r="S171" s="11" t="inlineStr"/>
      <ns0:c r="T171" s="11" t="inlineStr"/>
      <ns0:c r="U171" s="11" t="inlineStr"/>
      <ns0:c r="V171" s="11" t="inlineStr">
        <ns0:is>
          <ns0:t>Neconfirmat</ns0:t>
        </ns0:is>
      </ns0:c>
      <ns0:c r="W171" s="11" t="inlineStr">
        <ns0:is>
          <ns0:t>Fără ediție finală confirmată</ns0:t>
        </ns0:is>
      </ns0:c>
      <ns0:c r="X171" s="7">
        <ns0:f>IF(AND(J171="Publicat",Q171&lt;&gt;"",ISNUMBER(R171),S171&lt;&gt;"",U171&lt;&gt;"",V171="Confirmat"),1,0)</ns0:f>
        <ns0:v>0</ns0:v>
      </ns0:c>
    </ns0:row>
    <ns0:row r="172" ht="46" customHeight="1">
      <ns0:c r="A172" s="7" t="inlineStr">
        <ns0:is>
          <ns0:t>DB-057-DE</ns0:t>
        </ns0:is>
      </ns0:c>
      <ns0:c r="B172" s="7" t="inlineStr">
        <ns0:is>
          <ns0:t>DB-057</ns0:t>
        </ns0:is>
      </ns0:c>
      <ns0:c r="C172" s="7" t="inlineStr">
        <ns0:is>
          <ns0:t>AMORIS</ns0:t>
        </ns0:is>
      </ns0:c>
      <ns0:c r="D172" s="7" t="inlineStr">
        <ns0:is>
          <ns0:t>Aegean Second Chances</ns0:t>
        </ns0:is>
      </ns0:c>
      <ns0:c r="E172" s="8" t="n">
        <ns0:v>2</ns0:v>
      </ns0:c>
      <ns0:c r="F172" s="7" t="inlineStr">
        <ns0:is>
          <ns0:t>The Olive Harvest</ns0:t>
        </ns0:is>
      </ns0:c>
      <ns0:c r="G172" s="7" t="inlineStr">
        <ns0:is>
          <ns0:t>DE</ns0:t>
        </ns0:is>
      </ns0:c>
      <ns0:c r="H172" s="7" t="inlineStr">
        <ns0:is>
          <ns0:t>EN</ns0:t>
        </ns0:is>
      </ns0:c>
      <ns0:c r="I172" s="7" t="inlineStr">
        <ns0:is>
          <ns0:t>Traducere EN→DE</ns0:t>
        </ns0:is>
      </ns0:c>
      <ns0:c r="J172" s="11" t="inlineStr">
        <ns0:is>
          <ns0:t>Planificat</ns0:t>
        </ns0:is>
      </ns0:c>
      <ns0:c r="K172" s="11" t="inlineStr">
        <ns0:is>
          <ns0:t>De desemnat</ns0:t>
        </ns0:is>
      </ns0:c>
      <ns0:c r="L172" s="8">
        <ns0:f>Catalog_100!I58</ns0:f>
        <ns0:v>55000</ns0:v>
      </ns0:c>
      <ns0:c r="M172" s="13">
        <ns0:f>Catalog_100!J58</ns0:f>
        <ns0:v>46311.0</ns0:v>
      </ns0:c>
      <ns0:c r="N172" s="13">
        <ns0:f>Catalog_100!K58</ns0:f>
        <ns0:v>46329.0</ns0:v>
      </ns0:c>
      <ns0:c r="O172" s="13">
        <ns0:f>Catalog_100!L58</ns0:f>
        <ns0:v>46331.0</ns0:v>
      </ns0:c>
      <ns0:c r="P172" s="13">
        <ns0:f>Catalog_100!M58</ns0:f>
        <ns0:v>46333.0</ns0:v>
      </ns0:c>
      <ns0:c r="Q172" s="11" t="inlineStr"/>
      <ns0:c r="R172" s="10" t="inlineStr"/>
      <ns0:c r="S172" s="11" t="inlineStr"/>
      <ns0:c r="T172" s="11" t="inlineStr"/>
      <ns0:c r="U172" s="11" t="inlineStr"/>
      <ns0:c r="V172" s="11" t="inlineStr">
        <ns0:is>
          <ns0:t>Neconfirmat</ns0:t>
        </ns0:is>
      </ns0:c>
      <ns0:c r="W172" s="11" t="inlineStr">
        <ns0:is>
          <ns0:t>Fără ediție finală confirmată</ns0:t>
        </ns0:is>
      </ns0:c>
      <ns0:c r="X172" s="7">
        <ns0:f>IF(AND(J172="Publicat",Q172&lt;&gt;"",ISNUMBER(R172),S172&lt;&gt;"",U172&lt;&gt;"",V172="Confirmat"),1,0)</ns0:f>
        <ns0:v>0</ns0:v>
      </ns0:c>
    </ns0:row>
    <ns0:row r="173" ht="46" customHeight="1">
      <ns0:c r="A173" s="7" t="inlineStr">
        <ns0:is>
          <ns0:t>DB-058-EN</ns0:t>
        </ns0:is>
      </ns0:c>
      <ns0:c r="B173" s="7" t="inlineStr">
        <ns0:is>
          <ns0:t>DB-058</ns0:t>
        </ns0:is>
      </ns0:c>
      <ns0:c r="C173" s="7" t="inlineStr">
        <ns0:is>
          <ns0:t>AMORIS</ns0:t>
        </ns0:is>
      </ns0:c>
      <ns0:c r="D173" s="7" t="inlineStr">
        <ns0:is>
          <ns0:t>Aegean Second Chances</ns0:t>
        </ns0:is>
      </ns0:c>
      <ns0:c r="E173" s="8" t="n">
        <ns0:v>3</ns0:v>
      </ns0:c>
      <ns0:c r="F173" s="7" t="inlineStr">
        <ns0:is>
          <ns0:t>One Summer, Two Keys</ns0:t>
        </ns0:is>
      </ns0:c>
      <ns0:c r="G173" s="7" t="inlineStr">
        <ns0:is>
          <ns0:t>EN</ns0:t>
        </ns0:is>
      </ns0:c>
      <ns0:c r="H173" s="7" t="inlineStr">
        <ns0:is>
          <ns0:t>EN</ns0:t>
        </ns0:is>
      </ns0:c>
      <ns0:c r="I173" s="7" t="inlineStr">
        <ns0:is>
          <ns0:t>Scriere nouă</ns0:t>
        </ns0:is>
      </ns0:c>
      <ns0:c r="J173" s="11" t="inlineStr">
        <ns0:is>
          <ns0:t>Planificat</ns0:t>
        </ns0:is>
      </ns0:c>
      <ns0:c r="K173" s="11" t="inlineStr">
        <ns0:is>
          <ns0:t>De desemnat</ns0:t>
        </ns0:is>
      </ns0:c>
      <ns0:c r="L173" s="8">
        <ns0:f>Catalog_100!I59</ns0:f>
        <ns0:v>55000</ns0:v>
      </ns0:c>
      <ns0:c r="M173" s="13">
        <ns0:f>Catalog_100!J59</ns0:f>
        <ns0:v>46311.0</ns0:v>
      </ns0:c>
      <ns0:c r="N173" s="13">
        <ns0:f>Catalog_100!K59</ns0:f>
        <ns0:v>46329.0</ns0:v>
      </ns0:c>
      <ns0:c r="O173" s="13">
        <ns0:f>Catalog_100!L59</ns0:f>
        <ns0:v>46331.0</ns0:v>
      </ns0:c>
      <ns0:c r="P173" s="13">
        <ns0:f>Catalog_100!M59</ns0:f>
        <ns0:v>46333.0</ns0:v>
      </ns0:c>
      <ns0:c r="Q173" s="11" t="inlineStr"/>
      <ns0:c r="R173" s="10" t="inlineStr"/>
      <ns0:c r="S173" s="11" t="inlineStr"/>
      <ns0:c r="T173" s="11" t="inlineStr"/>
      <ns0:c r="U173" s="11" t="inlineStr"/>
      <ns0:c r="V173" s="11" t="inlineStr">
        <ns0:is>
          <ns0:t>Neconfirmat</ns0:t>
        </ns0:is>
      </ns0:c>
      <ns0:c r="W173" s="11" t="inlineStr">
        <ns0:is>
          <ns0:t>Fără ediție finală confirmată</ns0:t>
        </ns0:is>
      </ns0:c>
      <ns0:c r="X173" s="7">
        <ns0:f>IF(AND(J173="Publicat",Q173&lt;&gt;"",ISNUMBER(R173),S173&lt;&gt;"",U173&lt;&gt;"",V173="Confirmat"),1,0)</ns0:f>
        <ns0:v>0</ns0:v>
      </ns0:c>
    </ns0:row>
    <ns0:row r="174" ht="46" customHeight="1">
      <ns0:c r="A174" s="7" t="inlineStr">
        <ns0:is>
          <ns0:t>DB-058-RO</ns0:t>
        </ns0:is>
      </ns0:c>
      <ns0:c r="B174" s="7" t="inlineStr">
        <ns0:is>
          <ns0:t>DB-058</ns0:t>
        </ns0:is>
      </ns0:c>
      <ns0:c r="C174" s="7" t="inlineStr">
        <ns0:is>
          <ns0:t>AMORIS</ns0:t>
        </ns0:is>
      </ns0:c>
      <ns0:c r="D174" s="7" t="inlineStr">
        <ns0:is>
          <ns0:t>Aegean Second Chances</ns0:t>
        </ns0:is>
      </ns0:c>
      <ns0:c r="E174" s="8" t="n">
        <ns0:v>3</ns0:v>
      </ns0:c>
      <ns0:c r="F174" s="7" t="inlineStr">
        <ns0:is>
          <ns0:t>One Summer, Two Keys</ns0:t>
        </ns0:is>
      </ns0:c>
      <ns0:c r="G174" s="7" t="inlineStr">
        <ns0:is>
          <ns0:t>RO</ns0:t>
        </ns0:is>
      </ns0:c>
      <ns0:c r="H174" s="7" t="inlineStr">
        <ns0:is>
          <ns0:t>EN</ns0:t>
        </ns0:is>
      </ns0:c>
      <ns0:c r="I174" s="7" t="inlineStr">
        <ns0:is>
          <ns0:t>Traducere EN→RO</ns0:t>
        </ns0:is>
      </ns0:c>
      <ns0:c r="J174" s="11" t="inlineStr">
        <ns0:is>
          <ns0:t>Planificat</ns0:t>
        </ns0:is>
      </ns0:c>
      <ns0:c r="K174" s="11" t="inlineStr">
        <ns0:is>
          <ns0:t>De desemnat</ns0:t>
        </ns0:is>
      </ns0:c>
      <ns0:c r="L174" s="8">
        <ns0:f>Catalog_100!I59</ns0:f>
        <ns0:v>55000</ns0:v>
      </ns0:c>
      <ns0:c r="M174" s="13">
        <ns0:f>Catalog_100!J59</ns0:f>
        <ns0:v>46311.0</ns0:v>
      </ns0:c>
      <ns0:c r="N174" s="13">
        <ns0:f>Catalog_100!K59</ns0:f>
        <ns0:v>46329.0</ns0:v>
      </ns0:c>
      <ns0:c r="O174" s="13">
        <ns0:f>Catalog_100!L59</ns0:f>
        <ns0:v>46331.0</ns0:v>
      </ns0:c>
      <ns0:c r="P174" s="13">
        <ns0:f>Catalog_100!M59</ns0:f>
        <ns0:v>46333.0</ns0:v>
      </ns0:c>
      <ns0:c r="Q174" s="11" t="inlineStr"/>
      <ns0:c r="R174" s="10" t="inlineStr"/>
      <ns0:c r="S174" s="11" t="inlineStr"/>
      <ns0:c r="T174" s="11" t="inlineStr"/>
      <ns0:c r="U174" s="11" t="inlineStr"/>
      <ns0:c r="V174" s="11" t="inlineStr">
        <ns0:is>
          <ns0:t>Neconfirmat</ns0:t>
        </ns0:is>
      </ns0:c>
      <ns0:c r="W174" s="11" t="inlineStr">
        <ns0:is>
          <ns0:t>Fără ediție finală confirmată</ns0:t>
        </ns0:is>
      </ns0:c>
      <ns0:c r="X174" s="7">
        <ns0:f>IF(AND(J174="Publicat",Q174&lt;&gt;"",ISNUMBER(R174),S174&lt;&gt;"",U174&lt;&gt;"",V174="Confirmat"),1,0)</ns0:f>
        <ns0:v>0</ns0:v>
      </ns0:c>
    </ns0:row>
    <ns0:row r="175" ht="46" customHeight="1">
      <ns0:c r="A175" s="7" t="inlineStr">
        <ns0:is>
          <ns0:t>DB-058-DE</ns0:t>
        </ns0:is>
      </ns0:c>
      <ns0:c r="B175" s="7" t="inlineStr">
        <ns0:is>
          <ns0:t>DB-058</ns0:t>
        </ns0:is>
      </ns0:c>
      <ns0:c r="C175" s="7" t="inlineStr">
        <ns0:is>
          <ns0:t>AMORIS</ns0:t>
        </ns0:is>
      </ns0:c>
      <ns0:c r="D175" s="7" t="inlineStr">
        <ns0:is>
          <ns0:t>Aegean Second Chances</ns0:t>
        </ns0:is>
      </ns0:c>
      <ns0:c r="E175" s="8" t="n">
        <ns0:v>3</ns0:v>
      </ns0:c>
      <ns0:c r="F175" s="7" t="inlineStr">
        <ns0:is>
          <ns0:t>One Summer, Two Keys</ns0:t>
        </ns0:is>
      </ns0:c>
      <ns0:c r="G175" s="7" t="inlineStr">
        <ns0:is>
          <ns0:t>DE</ns0:t>
        </ns0:is>
      </ns0:c>
      <ns0:c r="H175" s="7" t="inlineStr">
        <ns0:is>
          <ns0:t>EN</ns0:t>
        </ns0:is>
      </ns0:c>
      <ns0:c r="I175" s="7" t="inlineStr">
        <ns0:is>
          <ns0:t>Traducere EN→DE</ns0:t>
        </ns0:is>
      </ns0:c>
      <ns0:c r="J175" s="11" t="inlineStr">
        <ns0:is>
          <ns0:t>Planificat</ns0:t>
        </ns0:is>
      </ns0:c>
      <ns0:c r="K175" s="11" t="inlineStr">
        <ns0:is>
          <ns0:t>De desemnat</ns0:t>
        </ns0:is>
      </ns0:c>
      <ns0:c r="L175" s="8">
        <ns0:f>Catalog_100!I59</ns0:f>
        <ns0:v>55000</ns0:v>
      </ns0:c>
      <ns0:c r="M175" s="13">
        <ns0:f>Catalog_100!J59</ns0:f>
        <ns0:v>46311.0</ns0:v>
      </ns0:c>
      <ns0:c r="N175" s="13">
        <ns0:f>Catalog_100!K59</ns0:f>
        <ns0:v>46329.0</ns0:v>
      </ns0:c>
      <ns0:c r="O175" s="13">
        <ns0:f>Catalog_100!L59</ns0:f>
        <ns0:v>46331.0</ns0:v>
      </ns0:c>
      <ns0:c r="P175" s="13">
        <ns0:f>Catalog_100!M59</ns0:f>
        <ns0:v>46333.0</ns0:v>
      </ns0:c>
      <ns0:c r="Q175" s="11" t="inlineStr"/>
      <ns0:c r="R175" s="10" t="inlineStr"/>
      <ns0:c r="S175" s="11" t="inlineStr"/>
      <ns0:c r="T175" s="11" t="inlineStr"/>
      <ns0:c r="U175" s="11" t="inlineStr"/>
      <ns0:c r="V175" s="11" t="inlineStr">
        <ns0:is>
          <ns0:t>Neconfirmat</ns0:t>
        </ns0:is>
      </ns0:c>
      <ns0:c r="W175" s="11" t="inlineStr">
        <ns0:is>
          <ns0:t>Fără ediție finală confirmată</ns0:t>
        </ns0:is>
      </ns0:c>
      <ns0:c r="X175" s="7">
        <ns0:f>IF(AND(J175="Publicat",Q175&lt;&gt;"",ISNUMBER(R175),S175&lt;&gt;"",U175&lt;&gt;"",V175="Confirmat"),1,0)</ns0:f>
        <ns0:v>0</ns0:v>
      </ns0:c>
    </ns0:row>
    <ns0:row r="176" ht="46" customHeight="1">
      <ns0:c r="A176" s="7" t="inlineStr">
        <ns0:is>
          <ns0:t>DB-059-EN</ns0:t>
        </ns0:is>
      </ns0:c>
      <ns0:c r="B176" s="7" t="inlineStr">
        <ns0:is>
          <ns0:t>DB-059</ns0:t>
        </ns0:is>
      </ns0:c>
      <ns0:c r="C176" s="7" t="inlineStr">
        <ns0:is>
          <ns0:t>AMORIS</ns0:t>
        </ns0:is>
      </ns0:c>
      <ns0:c r="D176" s="7" t="inlineStr">
        <ns0:is>
          <ns0:t>Aegean Second Chances</ns0:t>
        </ns0:is>
      </ns0:c>
      <ns0:c r="E176" s="8" t="n">
        <ns0:v>4</ns0:v>
      </ns0:c>
      <ns0:c r="F176" s="7" t="inlineStr">
        <ns0:is>
          <ns0:t>The Wedding We Cancelled</ns0:t>
        </ns0:is>
      </ns0:c>
      <ns0:c r="G176" s="7" t="inlineStr">
        <ns0:is>
          <ns0:t>EN</ns0:t>
        </ns0:is>
      </ns0:c>
      <ns0:c r="H176" s="7" t="inlineStr">
        <ns0:is>
          <ns0:t>EN</ns0:t>
        </ns0:is>
      </ns0:c>
      <ns0:c r="I176" s="7" t="inlineStr">
        <ns0:is>
          <ns0:t>Scriere nouă</ns0:t>
        </ns0:is>
      </ns0:c>
      <ns0:c r="J176" s="11" t="inlineStr">
        <ns0:is>
          <ns0:t>Planificat</ns0:t>
        </ns0:is>
      </ns0:c>
      <ns0:c r="K176" s="11" t="inlineStr">
        <ns0:is>
          <ns0:t>De desemnat</ns0:t>
        </ns0:is>
      </ns0:c>
      <ns0:c r="L176" s="8">
        <ns0:f>Catalog_100!I60</ns0:f>
        <ns0:v>55000</ns0:v>
      </ns0:c>
      <ns0:c r="M176" s="13">
        <ns0:f>Catalog_100!J60</ns0:f>
        <ns0:v>46311.0</ns0:v>
      </ns0:c>
      <ns0:c r="N176" s="13">
        <ns0:f>Catalog_100!K60</ns0:f>
        <ns0:v>46329.0</ns0:v>
      </ns0:c>
      <ns0:c r="O176" s="13">
        <ns0:f>Catalog_100!L60</ns0:f>
        <ns0:v>46331.0</ns0:v>
      </ns0:c>
      <ns0:c r="P176" s="13">
        <ns0:f>Catalog_100!M60</ns0:f>
        <ns0:v>46333.0</ns0:v>
      </ns0:c>
      <ns0:c r="Q176" s="11" t="inlineStr"/>
      <ns0:c r="R176" s="10" t="inlineStr"/>
      <ns0:c r="S176" s="11" t="inlineStr"/>
      <ns0:c r="T176" s="11" t="inlineStr"/>
      <ns0:c r="U176" s="11" t="inlineStr"/>
      <ns0:c r="V176" s="11" t="inlineStr">
        <ns0:is>
          <ns0:t>Neconfirmat</ns0:t>
        </ns0:is>
      </ns0:c>
      <ns0:c r="W176" s="11" t="inlineStr">
        <ns0:is>
          <ns0:t>Fără ediție finală confirmată</ns0:t>
        </ns0:is>
      </ns0:c>
      <ns0:c r="X176" s="7">
        <ns0:f>IF(AND(J176="Publicat",Q176&lt;&gt;"",ISNUMBER(R176),S176&lt;&gt;"",U176&lt;&gt;"",V176="Confirmat"),1,0)</ns0:f>
        <ns0:v>0</ns0:v>
      </ns0:c>
    </ns0:row>
    <ns0:row r="177" ht="46" customHeight="1">
      <ns0:c r="A177" s="7" t="inlineStr">
        <ns0:is>
          <ns0:t>DB-059-RO</ns0:t>
        </ns0:is>
      </ns0:c>
      <ns0:c r="B177" s="7" t="inlineStr">
        <ns0:is>
          <ns0:t>DB-059</ns0:t>
        </ns0:is>
      </ns0:c>
      <ns0:c r="C177" s="7" t="inlineStr">
        <ns0:is>
          <ns0:t>AMORIS</ns0:t>
        </ns0:is>
      </ns0:c>
      <ns0:c r="D177" s="7" t="inlineStr">
        <ns0:is>
          <ns0:t>Aegean Second Chances</ns0:t>
        </ns0:is>
      </ns0:c>
      <ns0:c r="E177" s="8" t="n">
        <ns0:v>4</ns0:v>
      </ns0:c>
      <ns0:c r="F177" s="7" t="inlineStr">
        <ns0:is>
          <ns0:t>The Wedding We Cancelled</ns0:t>
        </ns0:is>
      </ns0:c>
      <ns0:c r="G177" s="7" t="inlineStr">
        <ns0:is>
          <ns0:t>RO</ns0:t>
        </ns0:is>
      </ns0:c>
      <ns0:c r="H177" s="7" t="inlineStr">
        <ns0:is>
          <ns0:t>EN</ns0:t>
        </ns0:is>
      </ns0:c>
      <ns0:c r="I177" s="7" t="inlineStr">
        <ns0:is>
          <ns0:t>Traducere EN→RO</ns0:t>
        </ns0:is>
      </ns0:c>
      <ns0:c r="J177" s="11" t="inlineStr">
        <ns0:is>
          <ns0:t>Planificat</ns0:t>
        </ns0:is>
      </ns0:c>
      <ns0:c r="K177" s="11" t="inlineStr">
        <ns0:is>
          <ns0:t>De desemnat</ns0:t>
        </ns0:is>
      </ns0:c>
      <ns0:c r="L177" s="8">
        <ns0:f>Catalog_100!I60</ns0:f>
        <ns0:v>55000</ns0:v>
      </ns0:c>
      <ns0:c r="M177" s="13">
        <ns0:f>Catalog_100!J60</ns0:f>
        <ns0:v>46311.0</ns0:v>
      </ns0:c>
      <ns0:c r="N177" s="13">
        <ns0:f>Catalog_100!K60</ns0:f>
        <ns0:v>46329.0</ns0:v>
      </ns0:c>
      <ns0:c r="O177" s="13">
        <ns0:f>Catalog_100!L60</ns0:f>
        <ns0:v>46331.0</ns0:v>
      </ns0:c>
      <ns0:c r="P177" s="13">
        <ns0:f>Catalog_100!M60</ns0:f>
        <ns0:v>46333.0</ns0:v>
      </ns0:c>
      <ns0:c r="Q177" s="11" t="inlineStr"/>
      <ns0:c r="R177" s="10" t="inlineStr"/>
      <ns0:c r="S177" s="11" t="inlineStr"/>
      <ns0:c r="T177" s="11" t="inlineStr"/>
      <ns0:c r="U177" s="11" t="inlineStr"/>
      <ns0:c r="V177" s="11" t="inlineStr">
        <ns0:is>
          <ns0:t>Neconfirmat</ns0:t>
        </ns0:is>
      </ns0:c>
      <ns0:c r="W177" s="11" t="inlineStr">
        <ns0:is>
          <ns0:t>Fără ediție finală confirmată</ns0:t>
        </ns0:is>
      </ns0:c>
      <ns0:c r="X177" s="7">
        <ns0:f>IF(AND(J177="Publicat",Q177&lt;&gt;"",ISNUMBER(R177),S177&lt;&gt;"",U177&lt;&gt;"",V177="Confirmat"),1,0)</ns0:f>
        <ns0:v>0</ns0:v>
      </ns0:c>
    </ns0:row>
    <ns0:row r="178" ht="46" customHeight="1">
      <ns0:c r="A178" s="7" t="inlineStr">
        <ns0:is>
          <ns0:t>DB-059-DE</ns0:t>
        </ns0:is>
      </ns0:c>
      <ns0:c r="B178" s="7" t="inlineStr">
        <ns0:is>
          <ns0:t>DB-059</ns0:t>
        </ns0:is>
      </ns0:c>
      <ns0:c r="C178" s="7" t="inlineStr">
        <ns0:is>
          <ns0:t>AMORIS</ns0:t>
        </ns0:is>
      </ns0:c>
      <ns0:c r="D178" s="7" t="inlineStr">
        <ns0:is>
          <ns0:t>Aegean Second Chances</ns0:t>
        </ns0:is>
      </ns0:c>
      <ns0:c r="E178" s="8" t="n">
        <ns0:v>4</ns0:v>
      </ns0:c>
      <ns0:c r="F178" s="7" t="inlineStr">
        <ns0:is>
          <ns0:t>The Wedding We Cancelled</ns0:t>
        </ns0:is>
      </ns0:c>
      <ns0:c r="G178" s="7" t="inlineStr">
        <ns0:is>
          <ns0:t>DE</ns0:t>
        </ns0:is>
      </ns0:c>
      <ns0:c r="H178" s="7" t="inlineStr">
        <ns0:is>
          <ns0:t>EN</ns0:t>
        </ns0:is>
      </ns0:c>
      <ns0:c r="I178" s="7" t="inlineStr">
        <ns0:is>
          <ns0:t>Traducere EN→DE</ns0:t>
        </ns0:is>
      </ns0:c>
      <ns0:c r="J178" s="11" t="inlineStr">
        <ns0:is>
          <ns0:t>Planificat</ns0:t>
        </ns0:is>
      </ns0:c>
      <ns0:c r="K178" s="11" t="inlineStr">
        <ns0:is>
          <ns0:t>De desemnat</ns0:t>
        </ns0:is>
      </ns0:c>
      <ns0:c r="L178" s="8">
        <ns0:f>Catalog_100!I60</ns0:f>
        <ns0:v>55000</ns0:v>
      </ns0:c>
      <ns0:c r="M178" s="13">
        <ns0:f>Catalog_100!J60</ns0:f>
        <ns0:v>46311.0</ns0:v>
      </ns0:c>
      <ns0:c r="N178" s="13">
        <ns0:f>Catalog_100!K60</ns0:f>
        <ns0:v>46329.0</ns0:v>
      </ns0:c>
      <ns0:c r="O178" s="13">
        <ns0:f>Catalog_100!L60</ns0:f>
        <ns0:v>46331.0</ns0:v>
      </ns0:c>
      <ns0:c r="P178" s="13">
        <ns0:f>Catalog_100!M60</ns0:f>
        <ns0:v>46333.0</ns0:v>
      </ns0:c>
      <ns0:c r="Q178" s="11" t="inlineStr"/>
      <ns0:c r="R178" s="10" t="inlineStr"/>
      <ns0:c r="S178" s="11" t="inlineStr"/>
      <ns0:c r="T178" s="11" t="inlineStr"/>
      <ns0:c r="U178" s="11" t="inlineStr"/>
      <ns0:c r="V178" s="11" t="inlineStr">
        <ns0:is>
          <ns0:t>Neconfirmat</ns0:t>
        </ns0:is>
      </ns0:c>
      <ns0:c r="W178" s="11" t="inlineStr">
        <ns0:is>
          <ns0:t>Fără ediție finală confirmată</ns0:t>
        </ns0:is>
      </ns0:c>
      <ns0:c r="X178" s="7">
        <ns0:f>IF(AND(J178="Publicat",Q178&lt;&gt;"",ISNUMBER(R178),S178&lt;&gt;"",U178&lt;&gt;"",V178="Confirmat"),1,0)</ns0:f>
        <ns0:v>0</ns0:v>
      </ns0:c>
    </ns0:row>
    <ns0:row r="179" ht="46" customHeight="1">
      <ns0:c r="A179" s="7" t="inlineStr">
        <ns0:is>
          <ns0:t>DB-060-EN</ns0:t>
        </ns0:is>
      </ns0:c>
      <ns0:c r="B179" s="7" t="inlineStr">
        <ns0:is>
          <ns0:t>DB-060</ns0:t>
        </ns0:is>
      </ns0:c>
      <ns0:c r="C179" s="7" t="inlineStr">
        <ns0:is>
          <ns0:t>AMORIS</ns0:t>
        </ns0:is>
      </ns0:c>
      <ns0:c r="D179" s="7" t="inlineStr">
        <ns0:is>
          <ns0:t>Aegean Second Chances</ns0:t>
        </ns0:is>
      </ns0:c>
      <ns0:c r="E179" s="8" t="n">
        <ns0:v>5</ns0:v>
      </ns0:c>
      <ns0:c r="F179" s="7" t="inlineStr">
        <ns0:is>
          <ns0:t>A Room for the Returning</ns0:t>
        </ns0:is>
      </ns0:c>
      <ns0:c r="G179" s="7" t="inlineStr">
        <ns0:is>
          <ns0:t>EN</ns0:t>
        </ns0:is>
      </ns0:c>
      <ns0:c r="H179" s="7" t="inlineStr">
        <ns0:is>
          <ns0:t>EN</ns0:t>
        </ns0:is>
      </ns0:c>
      <ns0:c r="I179" s="7" t="inlineStr">
        <ns0:is>
          <ns0:t>Scriere nouă</ns0:t>
        </ns0:is>
      </ns0:c>
      <ns0:c r="J179" s="11" t="inlineStr">
        <ns0:is>
          <ns0:t>Planificat</ns0:t>
        </ns0:is>
      </ns0:c>
      <ns0:c r="K179" s="11" t="inlineStr">
        <ns0:is>
          <ns0:t>De desemnat</ns0:t>
        </ns0:is>
      </ns0:c>
      <ns0:c r="L179" s="8">
        <ns0:f>Catalog_100!I61</ns0:f>
        <ns0:v>55000</ns0:v>
      </ns0:c>
      <ns0:c r="M179" s="13">
        <ns0:f>Catalog_100!J61</ns0:f>
        <ns0:v>46311.0</ns0:v>
      </ns0:c>
      <ns0:c r="N179" s="13">
        <ns0:f>Catalog_100!K61</ns0:f>
        <ns0:v>46329.0</ns0:v>
      </ns0:c>
      <ns0:c r="O179" s="13">
        <ns0:f>Catalog_100!L61</ns0:f>
        <ns0:v>46331.0</ns0:v>
      </ns0:c>
      <ns0:c r="P179" s="13">
        <ns0:f>Catalog_100!M61</ns0:f>
        <ns0:v>46333.0</ns0:v>
      </ns0:c>
      <ns0:c r="Q179" s="11" t="inlineStr"/>
      <ns0:c r="R179" s="10" t="inlineStr"/>
      <ns0:c r="S179" s="11" t="inlineStr"/>
      <ns0:c r="T179" s="11" t="inlineStr"/>
      <ns0:c r="U179" s="11" t="inlineStr"/>
      <ns0:c r="V179" s="11" t="inlineStr">
        <ns0:is>
          <ns0:t>Neconfirmat</ns0:t>
        </ns0:is>
      </ns0:c>
      <ns0:c r="W179" s="11" t="inlineStr">
        <ns0:is>
          <ns0:t>Fără ediție finală confirmată</ns0:t>
        </ns0:is>
      </ns0:c>
      <ns0:c r="X179" s="7">
        <ns0:f>IF(AND(J179="Publicat",Q179&lt;&gt;"",ISNUMBER(R179),S179&lt;&gt;"",U179&lt;&gt;"",V179="Confirmat"),1,0)</ns0:f>
        <ns0:v>0</ns0:v>
      </ns0:c>
    </ns0:row>
    <ns0:row r="180" ht="46" customHeight="1">
      <ns0:c r="A180" s="7" t="inlineStr">
        <ns0:is>
          <ns0:t>DB-060-RO</ns0:t>
        </ns0:is>
      </ns0:c>
      <ns0:c r="B180" s="7" t="inlineStr">
        <ns0:is>
          <ns0:t>DB-060</ns0:t>
        </ns0:is>
      </ns0:c>
      <ns0:c r="C180" s="7" t="inlineStr">
        <ns0:is>
          <ns0:t>AMORIS</ns0:t>
        </ns0:is>
      </ns0:c>
      <ns0:c r="D180" s="7" t="inlineStr">
        <ns0:is>
          <ns0:t>Aegean Second Chances</ns0:t>
        </ns0:is>
      </ns0:c>
      <ns0:c r="E180" s="8" t="n">
        <ns0:v>5</ns0:v>
      </ns0:c>
      <ns0:c r="F180" s="7" t="inlineStr">
        <ns0:is>
          <ns0:t>A Room for the Returning</ns0:t>
        </ns0:is>
      </ns0:c>
      <ns0:c r="G180" s="7" t="inlineStr">
        <ns0:is>
          <ns0:t>RO</ns0:t>
        </ns0:is>
      </ns0:c>
      <ns0:c r="H180" s="7" t="inlineStr">
        <ns0:is>
          <ns0:t>EN</ns0:t>
        </ns0:is>
      </ns0:c>
      <ns0:c r="I180" s="7" t="inlineStr">
        <ns0:is>
          <ns0:t>Traducere EN→RO</ns0:t>
        </ns0:is>
      </ns0:c>
      <ns0:c r="J180" s="11" t="inlineStr">
        <ns0:is>
          <ns0:t>Planificat</ns0:t>
        </ns0:is>
      </ns0:c>
      <ns0:c r="K180" s="11" t="inlineStr">
        <ns0:is>
          <ns0:t>De desemnat</ns0:t>
        </ns0:is>
      </ns0:c>
      <ns0:c r="L180" s="8">
        <ns0:f>Catalog_100!I61</ns0:f>
        <ns0:v>55000</ns0:v>
      </ns0:c>
      <ns0:c r="M180" s="13">
        <ns0:f>Catalog_100!J61</ns0:f>
        <ns0:v>46311.0</ns0:v>
      </ns0:c>
      <ns0:c r="N180" s="13">
        <ns0:f>Catalog_100!K61</ns0:f>
        <ns0:v>46329.0</ns0:v>
      </ns0:c>
      <ns0:c r="O180" s="13">
        <ns0:f>Catalog_100!L61</ns0:f>
        <ns0:v>46331.0</ns0:v>
      </ns0:c>
      <ns0:c r="P180" s="13">
        <ns0:f>Catalog_100!M61</ns0:f>
        <ns0:v>46333.0</ns0:v>
      </ns0:c>
      <ns0:c r="Q180" s="11" t="inlineStr"/>
      <ns0:c r="R180" s="10" t="inlineStr"/>
      <ns0:c r="S180" s="11" t="inlineStr"/>
      <ns0:c r="T180" s="11" t="inlineStr"/>
      <ns0:c r="U180" s="11" t="inlineStr"/>
      <ns0:c r="V180" s="11" t="inlineStr">
        <ns0:is>
          <ns0:t>Neconfirmat</ns0:t>
        </ns0:is>
      </ns0:c>
      <ns0:c r="W180" s="11" t="inlineStr">
        <ns0:is>
          <ns0:t>Fără ediție finală confirmată</ns0:t>
        </ns0:is>
      </ns0:c>
      <ns0:c r="X180" s="7">
        <ns0:f>IF(AND(J180="Publicat",Q180&lt;&gt;"",ISNUMBER(R180),S180&lt;&gt;"",U180&lt;&gt;"",V180="Confirmat"),1,0)</ns0:f>
        <ns0:v>0</ns0:v>
      </ns0:c>
    </ns0:row>
    <ns0:row r="181" ht="46" customHeight="1">
      <ns0:c r="A181" s="7" t="inlineStr">
        <ns0:is>
          <ns0:t>DB-060-DE</ns0:t>
        </ns0:is>
      </ns0:c>
      <ns0:c r="B181" s="7" t="inlineStr">
        <ns0:is>
          <ns0:t>DB-060</ns0:t>
        </ns0:is>
      </ns0:c>
      <ns0:c r="C181" s="7" t="inlineStr">
        <ns0:is>
          <ns0:t>AMORIS</ns0:t>
        </ns0:is>
      </ns0:c>
      <ns0:c r="D181" s="7" t="inlineStr">
        <ns0:is>
          <ns0:t>Aegean Second Chances</ns0:t>
        </ns0:is>
      </ns0:c>
      <ns0:c r="E181" s="8" t="n">
        <ns0:v>5</ns0:v>
      </ns0:c>
      <ns0:c r="F181" s="7" t="inlineStr">
        <ns0:is>
          <ns0:t>A Room for the Returning</ns0:t>
        </ns0:is>
      </ns0:c>
      <ns0:c r="G181" s="7" t="inlineStr">
        <ns0:is>
          <ns0:t>DE</ns0:t>
        </ns0:is>
      </ns0:c>
      <ns0:c r="H181" s="7" t="inlineStr">
        <ns0:is>
          <ns0:t>EN</ns0:t>
        </ns0:is>
      </ns0:c>
      <ns0:c r="I181" s="7" t="inlineStr">
        <ns0:is>
          <ns0:t>Traducere EN→DE</ns0:t>
        </ns0:is>
      </ns0:c>
      <ns0:c r="J181" s="11" t="inlineStr">
        <ns0:is>
          <ns0:t>Planificat</ns0:t>
        </ns0:is>
      </ns0:c>
      <ns0:c r="K181" s="11" t="inlineStr">
        <ns0:is>
          <ns0:t>De desemnat</ns0:t>
        </ns0:is>
      </ns0:c>
      <ns0:c r="L181" s="8">
        <ns0:f>Catalog_100!I61</ns0:f>
        <ns0:v>55000</ns0:v>
      </ns0:c>
      <ns0:c r="M181" s="13">
        <ns0:f>Catalog_100!J61</ns0:f>
        <ns0:v>46311.0</ns0:v>
      </ns0:c>
      <ns0:c r="N181" s="13">
        <ns0:f>Catalog_100!K61</ns0:f>
        <ns0:v>46329.0</ns0:v>
      </ns0:c>
      <ns0:c r="O181" s="13">
        <ns0:f>Catalog_100!L61</ns0:f>
        <ns0:v>46331.0</ns0:v>
      </ns0:c>
      <ns0:c r="P181" s="13">
        <ns0:f>Catalog_100!M61</ns0:f>
        <ns0:v>46333.0</ns0:v>
      </ns0:c>
      <ns0:c r="Q181" s="11" t="inlineStr"/>
      <ns0:c r="R181" s="10" t="inlineStr"/>
      <ns0:c r="S181" s="11" t="inlineStr"/>
      <ns0:c r="T181" s="11" t="inlineStr"/>
      <ns0:c r="U181" s="11" t="inlineStr"/>
      <ns0:c r="V181" s="11" t="inlineStr">
        <ns0:is>
          <ns0:t>Neconfirmat</ns0:t>
        </ns0:is>
      </ns0:c>
      <ns0:c r="W181" s="11" t="inlineStr">
        <ns0:is>
          <ns0:t>Fără ediție finală confirmată</ns0:t>
        </ns0:is>
      </ns0:c>
      <ns0:c r="X181" s="7">
        <ns0:f>IF(AND(J181="Publicat",Q181&lt;&gt;"",ISNUMBER(R181),S181&lt;&gt;"",U181&lt;&gt;"",V181="Confirmat"),1,0)</ns0:f>
        <ns0:v>0</ns0:v>
      </ns0:c>
    </ns0:row>
    <ns0:row r="182" ht="46" customHeight="1">
      <ns0:c r="A182" s="7" t="inlineStr">
        <ns0:is>
          <ns0:t>DB-061-EN</ns0:t>
        </ns0:is>
      </ns0:c>
      <ns0:c r="B182" s="7" t="inlineStr">
        <ns0:is>
          <ns0:t>DB-061</ns0:t>
        </ns0:is>
      </ns0:c>
      <ns0:c r="C182" s="7" t="inlineStr">
        <ns0:is>
          <ns0:t>AMORIS</ns0:t>
        </ns0:is>
      </ns0:c>
      <ns0:c r="D182" s="7" t="inlineStr">
        <ns0:is>
          <ns0:t>Aegean Second Chances</ns0:t>
        </ns0:is>
      </ns0:c>
      <ns0:c r="E182" s="8" t="n">
        <ns0:v>6</ns0:v>
      </ns0:c>
      <ns0:c r="F182" s="7" t="inlineStr">
        <ns0:is>
          <ns0:t>The Boatbuilder's Promise</ns0:t>
        </ns0:is>
      </ns0:c>
      <ns0:c r="G182" s="7" t="inlineStr">
        <ns0:is>
          <ns0:t>EN</ns0:t>
        </ns0:is>
      </ns0:c>
      <ns0:c r="H182" s="7" t="inlineStr">
        <ns0:is>
          <ns0:t>EN</ns0:t>
        </ns0:is>
      </ns0:c>
      <ns0:c r="I182" s="7" t="inlineStr">
        <ns0:is>
          <ns0:t>Scriere nouă</ns0:t>
        </ns0:is>
      </ns0:c>
      <ns0:c r="J182" s="11" t="inlineStr">
        <ns0:is>
          <ns0:t>Planificat</ns0:t>
        </ns0:is>
      </ns0:c>
      <ns0:c r="K182" s="11" t="inlineStr">
        <ns0:is>
          <ns0:t>De desemnat</ns0:t>
        </ns0:is>
      </ns0:c>
      <ns0:c r="L182" s="8">
        <ns0:f>Catalog_100!I62</ns0:f>
        <ns0:v>55000</ns0:v>
      </ns0:c>
      <ns0:c r="M182" s="13">
        <ns0:f>Catalog_100!J62</ns0:f>
        <ns0:v>46318.0</ns0:v>
      </ns0:c>
      <ns0:c r="N182" s="13">
        <ns0:f>Catalog_100!K62</ns0:f>
        <ns0:v>46336.0</ns0:v>
      </ns0:c>
      <ns0:c r="O182" s="13">
        <ns0:f>Catalog_100!L62</ns0:f>
        <ns0:v>46338.0</ns0:v>
      </ns0:c>
      <ns0:c r="P182" s="13">
        <ns0:f>Catalog_100!M62</ns0:f>
        <ns0:v>46340.0</ns0:v>
      </ns0:c>
      <ns0:c r="Q182" s="11" t="inlineStr"/>
      <ns0:c r="R182" s="10" t="inlineStr"/>
      <ns0:c r="S182" s="11" t="inlineStr"/>
      <ns0:c r="T182" s="11" t="inlineStr"/>
      <ns0:c r="U182" s="11" t="inlineStr"/>
      <ns0:c r="V182" s="11" t="inlineStr">
        <ns0:is>
          <ns0:t>Neconfirmat</ns0:t>
        </ns0:is>
      </ns0:c>
      <ns0:c r="W182" s="11" t="inlineStr">
        <ns0:is>
          <ns0:t>Fără ediție finală confirmată</ns0:t>
        </ns0:is>
      </ns0:c>
      <ns0:c r="X182" s="7">
        <ns0:f>IF(AND(J182="Publicat",Q182&lt;&gt;"",ISNUMBER(R182),S182&lt;&gt;"",U182&lt;&gt;"",V182="Confirmat"),1,0)</ns0:f>
        <ns0:v>0</ns0:v>
      </ns0:c>
    </ns0:row>
    <ns0:row r="183" ht="46" customHeight="1">
      <ns0:c r="A183" s="7" t="inlineStr">
        <ns0:is>
          <ns0:t>DB-061-RO</ns0:t>
        </ns0:is>
      </ns0:c>
      <ns0:c r="B183" s="7" t="inlineStr">
        <ns0:is>
          <ns0:t>DB-061</ns0:t>
        </ns0:is>
      </ns0:c>
      <ns0:c r="C183" s="7" t="inlineStr">
        <ns0:is>
          <ns0:t>AMORIS</ns0:t>
        </ns0:is>
      </ns0:c>
      <ns0:c r="D183" s="7" t="inlineStr">
        <ns0:is>
          <ns0:t>Aegean Second Chances</ns0:t>
        </ns0:is>
      </ns0:c>
      <ns0:c r="E183" s="8" t="n">
        <ns0:v>6</ns0:v>
      </ns0:c>
      <ns0:c r="F183" s="7" t="inlineStr">
        <ns0:is>
          <ns0:t>The Boatbuilder's Promise</ns0:t>
        </ns0:is>
      </ns0:c>
      <ns0:c r="G183" s="7" t="inlineStr">
        <ns0:is>
          <ns0:t>RO</ns0:t>
        </ns0:is>
      </ns0:c>
      <ns0:c r="H183" s="7" t="inlineStr">
        <ns0:is>
          <ns0:t>EN</ns0:t>
        </ns0:is>
      </ns0:c>
      <ns0:c r="I183" s="7" t="inlineStr">
        <ns0:is>
          <ns0:t>Traducere EN→RO</ns0:t>
        </ns0:is>
      </ns0:c>
      <ns0:c r="J183" s="11" t="inlineStr">
        <ns0:is>
          <ns0:t>Planificat</ns0:t>
        </ns0:is>
      </ns0:c>
      <ns0:c r="K183" s="11" t="inlineStr">
        <ns0:is>
          <ns0:t>De desemnat</ns0:t>
        </ns0:is>
      </ns0:c>
      <ns0:c r="L183" s="8">
        <ns0:f>Catalog_100!I62</ns0:f>
        <ns0:v>55000</ns0:v>
      </ns0:c>
      <ns0:c r="M183" s="13">
        <ns0:f>Catalog_100!J62</ns0:f>
        <ns0:v>46318.0</ns0:v>
      </ns0:c>
      <ns0:c r="N183" s="13">
        <ns0:f>Catalog_100!K62</ns0:f>
        <ns0:v>46336.0</ns0:v>
      </ns0:c>
      <ns0:c r="O183" s="13">
        <ns0:f>Catalog_100!L62</ns0:f>
        <ns0:v>46338.0</ns0:v>
      </ns0:c>
      <ns0:c r="P183" s="13">
        <ns0:f>Catalog_100!M62</ns0:f>
        <ns0:v>46340.0</ns0:v>
      </ns0:c>
      <ns0:c r="Q183" s="11" t="inlineStr"/>
      <ns0:c r="R183" s="10" t="inlineStr"/>
      <ns0:c r="S183" s="11" t="inlineStr"/>
      <ns0:c r="T183" s="11" t="inlineStr"/>
      <ns0:c r="U183" s="11" t="inlineStr"/>
      <ns0:c r="V183" s="11" t="inlineStr">
        <ns0:is>
          <ns0:t>Neconfirmat</ns0:t>
        </ns0:is>
      </ns0:c>
      <ns0:c r="W183" s="11" t="inlineStr">
        <ns0:is>
          <ns0:t>Fără ediție finală confirmată</ns0:t>
        </ns0:is>
      </ns0:c>
      <ns0:c r="X183" s="7">
        <ns0:f>IF(AND(J183="Publicat",Q183&lt;&gt;"",ISNUMBER(R183),S183&lt;&gt;"",U183&lt;&gt;"",V183="Confirmat"),1,0)</ns0:f>
        <ns0:v>0</ns0:v>
      </ns0:c>
    </ns0:row>
    <ns0:row r="184" ht="46" customHeight="1">
      <ns0:c r="A184" s="7" t="inlineStr">
        <ns0:is>
          <ns0:t>DB-061-DE</ns0:t>
        </ns0:is>
      </ns0:c>
      <ns0:c r="B184" s="7" t="inlineStr">
        <ns0:is>
          <ns0:t>DB-061</ns0:t>
        </ns0:is>
      </ns0:c>
      <ns0:c r="C184" s="7" t="inlineStr">
        <ns0:is>
          <ns0:t>AMORIS</ns0:t>
        </ns0:is>
      </ns0:c>
      <ns0:c r="D184" s="7" t="inlineStr">
        <ns0:is>
          <ns0:t>Aegean Second Chances</ns0:t>
        </ns0:is>
      </ns0:c>
      <ns0:c r="E184" s="8" t="n">
        <ns0:v>6</ns0:v>
      </ns0:c>
      <ns0:c r="F184" s="7" t="inlineStr">
        <ns0:is>
          <ns0:t>The Boatbuilder's Promise</ns0:t>
        </ns0:is>
      </ns0:c>
      <ns0:c r="G184" s="7" t="inlineStr">
        <ns0:is>
          <ns0:t>DE</ns0:t>
        </ns0:is>
      </ns0:c>
      <ns0:c r="H184" s="7" t="inlineStr">
        <ns0:is>
          <ns0:t>EN</ns0:t>
        </ns0:is>
      </ns0:c>
      <ns0:c r="I184" s="7" t="inlineStr">
        <ns0:is>
          <ns0:t>Traducere EN→DE</ns0:t>
        </ns0:is>
      </ns0:c>
      <ns0:c r="J184" s="11" t="inlineStr">
        <ns0:is>
          <ns0:t>Planificat</ns0:t>
        </ns0:is>
      </ns0:c>
      <ns0:c r="K184" s="11" t="inlineStr">
        <ns0:is>
          <ns0:t>De desemnat</ns0:t>
        </ns0:is>
      </ns0:c>
      <ns0:c r="L184" s="8">
        <ns0:f>Catalog_100!I62</ns0:f>
        <ns0:v>55000</ns0:v>
      </ns0:c>
      <ns0:c r="M184" s="13">
        <ns0:f>Catalog_100!J62</ns0:f>
        <ns0:v>46318.0</ns0:v>
      </ns0:c>
      <ns0:c r="N184" s="13">
        <ns0:f>Catalog_100!K62</ns0:f>
        <ns0:v>46336.0</ns0:v>
      </ns0:c>
      <ns0:c r="O184" s="13">
        <ns0:f>Catalog_100!L62</ns0:f>
        <ns0:v>46338.0</ns0:v>
      </ns0:c>
      <ns0:c r="P184" s="13">
        <ns0:f>Catalog_100!M62</ns0:f>
        <ns0:v>46340.0</ns0:v>
      </ns0:c>
      <ns0:c r="Q184" s="11" t="inlineStr"/>
      <ns0:c r="R184" s="10" t="inlineStr"/>
      <ns0:c r="S184" s="11" t="inlineStr"/>
      <ns0:c r="T184" s="11" t="inlineStr"/>
      <ns0:c r="U184" s="11" t="inlineStr"/>
      <ns0:c r="V184" s="11" t="inlineStr">
        <ns0:is>
          <ns0:t>Neconfirmat</ns0:t>
        </ns0:is>
      </ns0:c>
      <ns0:c r="W184" s="11" t="inlineStr">
        <ns0:is>
          <ns0:t>Fără ediție finală confirmată</ns0:t>
        </ns0:is>
      </ns0:c>
      <ns0:c r="X184" s="7">
        <ns0:f>IF(AND(J184="Publicat",Q184&lt;&gt;"",ISNUMBER(R184),S184&lt;&gt;"",U184&lt;&gt;"",V184="Confirmat"),1,0)</ns0:f>
        <ns0:v>0</ns0:v>
      </ns0:c>
    </ns0:row>
    <ns0:row r="185" ht="46" customHeight="1">
      <ns0:c r="A185" s="7" t="inlineStr">
        <ns0:is>
          <ns0:t>DB-062-EN</ns0:t>
        </ns0:is>
      </ns0:c>
      <ns0:c r="B185" s="7" t="inlineStr">
        <ns0:is>
          <ns0:t>DB-062</ns0:t>
        </ns0:is>
      </ns0:c>
      <ns0:c r="C185" s="7" t="inlineStr">
        <ns0:is>
          <ns0:t>AMORIS</ns0:t>
        </ns0:is>
      </ns0:c>
      <ns0:c r="D185" s="7" t="inlineStr">
        <ns0:is>
          <ns0:t>Aegean Second Chances</ns0:t>
        </ns0:is>
      </ns0:c>
      <ns0:c r="E185" s="8" t="n">
        <ns0:v>7</ns0:v>
      </ns0:c>
      <ns0:c r="F185" s="7" t="inlineStr">
        <ns0:is>
          <ns0:t>The Baker of Naxos</ns0:t>
        </ns0:is>
      </ns0:c>
      <ns0:c r="G185" s="7" t="inlineStr">
        <ns0:is>
          <ns0:t>EN</ns0:t>
        </ns0:is>
      </ns0:c>
      <ns0:c r="H185" s="7" t="inlineStr">
        <ns0:is>
          <ns0:t>EN</ns0:t>
        </ns0:is>
      </ns0:c>
      <ns0:c r="I185" s="7" t="inlineStr">
        <ns0:is>
          <ns0:t>Scriere nouă</ns0:t>
        </ns0:is>
      </ns0:c>
      <ns0:c r="J185" s="11" t="inlineStr">
        <ns0:is>
          <ns0:t>Planificat</ns0:t>
        </ns0:is>
      </ns0:c>
      <ns0:c r="K185" s="11" t="inlineStr">
        <ns0:is>
          <ns0:t>De desemnat</ns0:t>
        </ns0:is>
      </ns0:c>
      <ns0:c r="L185" s="8">
        <ns0:f>Catalog_100!I63</ns0:f>
        <ns0:v>55000</ns0:v>
      </ns0:c>
      <ns0:c r="M185" s="13">
        <ns0:f>Catalog_100!J63</ns0:f>
        <ns0:v>46318.0</ns0:v>
      </ns0:c>
      <ns0:c r="N185" s="13">
        <ns0:f>Catalog_100!K63</ns0:f>
        <ns0:v>46336.0</ns0:v>
      </ns0:c>
      <ns0:c r="O185" s="13">
        <ns0:f>Catalog_100!L63</ns0:f>
        <ns0:v>46338.0</ns0:v>
      </ns0:c>
      <ns0:c r="P185" s="13">
        <ns0:f>Catalog_100!M63</ns0:f>
        <ns0:v>46340.0</ns0:v>
      </ns0:c>
      <ns0:c r="Q185" s="11" t="inlineStr"/>
      <ns0:c r="R185" s="10" t="inlineStr"/>
      <ns0:c r="S185" s="11" t="inlineStr"/>
      <ns0:c r="T185" s="11" t="inlineStr"/>
      <ns0:c r="U185" s="11" t="inlineStr"/>
      <ns0:c r="V185" s="11" t="inlineStr">
        <ns0:is>
          <ns0:t>Neconfirmat</ns0:t>
        </ns0:is>
      </ns0:c>
      <ns0:c r="W185" s="11" t="inlineStr">
        <ns0:is>
          <ns0:t>Fără ediție finală confirmată</ns0:t>
        </ns0:is>
      </ns0:c>
      <ns0:c r="X185" s="7">
        <ns0:f>IF(AND(J185="Publicat",Q185&lt;&gt;"",ISNUMBER(R185),S185&lt;&gt;"",U185&lt;&gt;"",V185="Confirmat"),1,0)</ns0:f>
        <ns0:v>0</ns0:v>
      </ns0:c>
    </ns0:row>
    <ns0:row r="186" ht="46" customHeight="1">
      <ns0:c r="A186" s="7" t="inlineStr">
        <ns0:is>
          <ns0:t>DB-062-RO</ns0:t>
        </ns0:is>
      </ns0:c>
      <ns0:c r="B186" s="7" t="inlineStr">
        <ns0:is>
          <ns0:t>DB-062</ns0:t>
        </ns0:is>
      </ns0:c>
      <ns0:c r="C186" s="7" t="inlineStr">
        <ns0:is>
          <ns0:t>AMORIS</ns0:t>
        </ns0:is>
      </ns0:c>
      <ns0:c r="D186" s="7" t="inlineStr">
        <ns0:is>
          <ns0:t>Aegean Second Chances</ns0:t>
        </ns0:is>
      </ns0:c>
      <ns0:c r="E186" s="8" t="n">
        <ns0:v>7</ns0:v>
      </ns0:c>
      <ns0:c r="F186" s="7" t="inlineStr">
        <ns0:is>
          <ns0:t>The Baker of Naxos</ns0:t>
        </ns0:is>
      </ns0:c>
      <ns0:c r="G186" s="7" t="inlineStr">
        <ns0:is>
          <ns0:t>RO</ns0:t>
        </ns0:is>
      </ns0:c>
      <ns0:c r="H186" s="7" t="inlineStr">
        <ns0:is>
          <ns0:t>EN</ns0:t>
        </ns0:is>
      </ns0:c>
      <ns0:c r="I186" s="7" t="inlineStr">
        <ns0:is>
          <ns0:t>Traducere EN→RO</ns0:t>
        </ns0:is>
      </ns0:c>
      <ns0:c r="J186" s="11" t="inlineStr">
        <ns0:is>
          <ns0:t>Planificat</ns0:t>
        </ns0:is>
      </ns0:c>
      <ns0:c r="K186" s="11" t="inlineStr">
        <ns0:is>
          <ns0:t>De desemnat</ns0:t>
        </ns0:is>
      </ns0:c>
      <ns0:c r="L186" s="8">
        <ns0:f>Catalog_100!I63</ns0:f>
        <ns0:v>55000</ns0:v>
      </ns0:c>
      <ns0:c r="M186" s="13">
        <ns0:f>Catalog_100!J63</ns0:f>
        <ns0:v>46318.0</ns0:v>
      </ns0:c>
      <ns0:c r="N186" s="13">
        <ns0:f>Catalog_100!K63</ns0:f>
        <ns0:v>46336.0</ns0:v>
      </ns0:c>
      <ns0:c r="O186" s="13">
        <ns0:f>Catalog_100!L63</ns0:f>
        <ns0:v>46338.0</ns0:v>
      </ns0:c>
      <ns0:c r="P186" s="13">
        <ns0:f>Catalog_100!M63</ns0:f>
        <ns0:v>46340.0</ns0:v>
      </ns0:c>
      <ns0:c r="Q186" s="11" t="inlineStr"/>
      <ns0:c r="R186" s="10" t="inlineStr"/>
      <ns0:c r="S186" s="11" t="inlineStr"/>
      <ns0:c r="T186" s="11" t="inlineStr"/>
      <ns0:c r="U186" s="11" t="inlineStr"/>
      <ns0:c r="V186" s="11" t="inlineStr">
        <ns0:is>
          <ns0:t>Neconfirmat</ns0:t>
        </ns0:is>
      </ns0:c>
      <ns0:c r="W186" s="11" t="inlineStr">
        <ns0:is>
          <ns0:t>Fără ediție finală confirmată</ns0:t>
        </ns0:is>
      </ns0:c>
      <ns0:c r="X186" s="7">
        <ns0:f>IF(AND(J186="Publicat",Q186&lt;&gt;"",ISNUMBER(R186),S186&lt;&gt;"",U186&lt;&gt;"",V186="Confirmat"),1,0)</ns0:f>
        <ns0:v>0</ns0:v>
      </ns0:c>
    </ns0:row>
    <ns0:row r="187" ht="46" customHeight="1">
      <ns0:c r="A187" s="7" t="inlineStr">
        <ns0:is>
          <ns0:t>DB-062-DE</ns0:t>
        </ns0:is>
      </ns0:c>
      <ns0:c r="B187" s="7" t="inlineStr">
        <ns0:is>
          <ns0:t>DB-062</ns0:t>
        </ns0:is>
      </ns0:c>
      <ns0:c r="C187" s="7" t="inlineStr">
        <ns0:is>
          <ns0:t>AMORIS</ns0:t>
        </ns0:is>
      </ns0:c>
      <ns0:c r="D187" s="7" t="inlineStr">
        <ns0:is>
          <ns0:t>Aegean Second Chances</ns0:t>
        </ns0:is>
      </ns0:c>
      <ns0:c r="E187" s="8" t="n">
        <ns0:v>7</ns0:v>
      </ns0:c>
      <ns0:c r="F187" s="7" t="inlineStr">
        <ns0:is>
          <ns0:t>The Baker of Naxos</ns0:t>
        </ns0:is>
      </ns0:c>
      <ns0:c r="G187" s="7" t="inlineStr">
        <ns0:is>
          <ns0:t>DE</ns0:t>
        </ns0:is>
      </ns0:c>
      <ns0:c r="H187" s="7" t="inlineStr">
        <ns0:is>
          <ns0:t>EN</ns0:t>
        </ns0:is>
      </ns0:c>
      <ns0:c r="I187" s="7" t="inlineStr">
        <ns0:is>
          <ns0:t>Traducere EN→DE</ns0:t>
        </ns0:is>
      </ns0:c>
      <ns0:c r="J187" s="11" t="inlineStr">
        <ns0:is>
          <ns0:t>Planificat</ns0:t>
        </ns0:is>
      </ns0:c>
      <ns0:c r="K187" s="11" t="inlineStr">
        <ns0:is>
          <ns0:t>De desemnat</ns0:t>
        </ns0:is>
      </ns0:c>
      <ns0:c r="L187" s="8">
        <ns0:f>Catalog_100!I63</ns0:f>
        <ns0:v>55000</ns0:v>
      </ns0:c>
      <ns0:c r="M187" s="13">
        <ns0:f>Catalog_100!J63</ns0:f>
        <ns0:v>46318.0</ns0:v>
      </ns0:c>
      <ns0:c r="N187" s="13">
        <ns0:f>Catalog_100!K63</ns0:f>
        <ns0:v>46336.0</ns0:v>
      </ns0:c>
      <ns0:c r="O187" s="13">
        <ns0:f>Catalog_100!L63</ns0:f>
        <ns0:v>46338.0</ns0:v>
      </ns0:c>
      <ns0:c r="P187" s="13">
        <ns0:f>Catalog_100!M63</ns0:f>
        <ns0:v>46340.0</ns0:v>
      </ns0:c>
      <ns0:c r="Q187" s="11" t="inlineStr"/>
      <ns0:c r="R187" s="10" t="inlineStr"/>
      <ns0:c r="S187" s="11" t="inlineStr"/>
      <ns0:c r="T187" s="11" t="inlineStr"/>
      <ns0:c r="U187" s="11" t="inlineStr"/>
      <ns0:c r="V187" s="11" t="inlineStr">
        <ns0:is>
          <ns0:t>Neconfirmat</ns0:t>
        </ns0:is>
      </ns0:c>
      <ns0:c r="W187" s="11" t="inlineStr">
        <ns0:is>
          <ns0:t>Fără ediție finală confirmată</ns0:t>
        </ns0:is>
      </ns0:c>
      <ns0:c r="X187" s="7">
        <ns0:f>IF(AND(J187="Publicat",Q187&lt;&gt;"",ISNUMBER(R187),S187&lt;&gt;"",U187&lt;&gt;"",V187="Confirmat"),1,0)</ns0:f>
        <ns0:v>0</ns0:v>
      </ns0:c>
    </ns0:row>
    <ns0:row r="188" ht="46" customHeight="1">
      <ns0:c r="A188" s="7" t="inlineStr">
        <ns0:is>
          <ns0:t>DB-063-EN</ns0:t>
        </ns0:is>
      </ns0:c>
      <ns0:c r="B188" s="7" t="inlineStr">
        <ns0:is>
          <ns0:t>DB-063</ns0:t>
        </ns0:is>
      </ns0:c>
      <ns0:c r="C188" s="7" t="inlineStr">
        <ns0:is>
          <ns0:t>AMORIS</ns0:t>
        </ns0:is>
      </ns0:c>
      <ns0:c r="D188" s="7" t="inlineStr">
        <ns0:is>
          <ns0:t>Aegean Second Chances</ns0:t>
        </ns0:is>
      </ns0:c>
      <ns0:c r="E188" s="8" t="n">
        <ns0:v>8</ns0:v>
      </ns0:c>
      <ns0:c r="F188" s="7" t="inlineStr">
        <ns0:is>
          <ns0:t>Letters from the Blue House</ns0:t>
        </ns0:is>
      </ns0:c>
      <ns0:c r="G188" s="7" t="inlineStr">
        <ns0:is>
          <ns0:t>EN</ns0:t>
        </ns0:is>
      </ns0:c>
      <ns0:c r="H188" s="7" t="inlineStr">
        <ns0:is>
          <ns0:t>EN</ns0:t>
        </ns0:is>
      </ns0:c>
      <ns0:c r="I188" s="7" t="inlineStr">
        <ns0:is>
          <ns0:t>Scriere nouă</ns0:t>
        </ns0:is>
      </ns0:c>
      <ns0:c r="J188" s="11" t="inlineStr">
        <ns0:is>
          <ns0:t>Planificat</ns0:t>
        </ns0:is>
      </ns0:c>
      <ns0:c r="K188" s="11" t="inlineStr">
        <ns0:is>
          <ns0:t>De desemnat</ns0:t>
        </ns0:is>
      </ns0:c>
      <ns0:c r="L188" s="8">
        <ns0:f>Catalog_100!I64</ns0:f>
        <ns0:v>55000</ns0:v>
      </ns0:c>
      <ns0:c r="M188" s="13">
        <ns0:f>Catalog_100!J64</ns0:f>
        <ns0:v>46318.0</ns0:v>
      </ns0:c>
      <ns0:c r="N188" s="13">
        <ns0:f>Catalog_100!K64</ns0:f>
        <ns0:v>46336.0</ns0:v>
      </ns0:c>
      <ns0:c r="O188" s="13">
        <ns0:f>Catalog_100!L64</ns0:f>
        <ns0:v>46338.0</ns0:v>
      </ns0:c>
      <ns0:c r="P188" s="13">
        <ns0:f>Catalog_100!M64</ns0:f>
        <ns0:v>46340.0</ns0:v>
      </ns0:c>
      <ns0:c r="Q188" s="11" t="inlineStr"/>
      <ns0:c r="R188" s="10" t="inlineStr"/>
      <ns0:c r="S188" s="11" t="inlineStr"/>
      <ns0:c r="T188" s="11" t="inlineStr"/>
      <ns0:c r="U188" s="11" t="inlineStr"/>
      <ns0:c r="V188" s="11" t="inlineStr">
        <ns0:is>
          <ns0:t>Neconfirmat</ns0:t>
        </ns0:is>
      </ns0:c>
      <ns0:c r="W188" s="11" t="inlineStr">
        <ns0:is>
          <ns0:t>Fără ediție finală confirmată</ns0:t>
        </ns0:is>
      </ns0:c>
      <ns0:c r="X188" s="7">
        <ns0:f>IF(AND(J188="Publicat",Q188&lt;&gt;"",ISNUMBER(R188),S188&lt;&gt;"",U188&lt;&gt;"",V188="Confirmat"),1,0)</ns0:f>
        <ns0:v>0</ns0:v>
      </ns0:c>
    </ns0:row>
    <ns0:row r="189" ht="46" customHeight="1">
      <ns0:c r="A189" s="7" t="inlineStr">
        <ns0:is>
          <ns0:t>DB-063-RO</ns0:t>
        </ns0:is>
      </ns0:c>
      <ns0:c r="B189" s="7" t="inlineStr">
        <ns0:is>
          <ns0:t>DB-063</ns0:t>
        </ns0:is>
      </ns0:c>
      <ns0:c r="C189" s="7" t="inlineStr">
        <ns0:is>
          <ns0:t>AMORIS</ns0:t>
        </ns0:is>
      </ns0:c>
      <ns0:c r="D189" s="7" t="inlineStr">
        <ns0:is>
          <ns0:t>Aegean Second Chances</ns0:t>
        </ns0:is>
      </ns0:c>
      <ns0:c r="E189" s="8" t="n">
        <ns0:v>8</ns0:v>
      </ns0:c>
      <ns0:c r="F189" s="7" t="inlineStr">
        <ns0:is>
          <ns0:t>Letters from the Blue House</ns0:t>
        </ns0:is>
      </ns0:c>
      <ns0:c r="G189" s="7" t="inlineStr">
        <ns0:is>
          <ns0:t>RO</ns0:t>
        </ns0:is>
      </ns0:c>
      <ns0:c r="H189" s="7" t="inlineStr">
        <ns0:is>
          <ns0:t>EN</ns0:t>
        </ns0:is>
      </ns0:c>
      <ns0:c r="I189" s="7" t="inlineStr">
        <ns0:is>
          <ns0:t>Traducere EN→RO</ns0:t>
        </ns0:is>
      </ns0:c>
      <ns0:c r="J189" s="11" t="inlineStr">
        <ns0:is>
          <ns0:t>Planificat</ns0:t>
        </ns0:is>
      </ns0:c>
      <ns0:c r="K189" s="11" t="inlineStr">
        <ns0:is>
          <ns0:t>De desemnat</ns0:t>
        </ns0:is>
      </ns0:c>
      <ns0:c r="L189" s="8">
        <ns0:f>Catalog_100!I64</ns0:f>
        <ns0:v>55000</ns0:v>
      </ns0:c>
      <ns0:c r="M189" s="13">
        <ns0:f>Catalog_100!J64</ns0:f>
        <ns0:v>46318.0</ns0:v>
      </ns0:c>
      <ns0:c r="N189" s="13">
        <ns0:f>Catalog_100!K64</ns0:f>
        <ns0:v>46336.0</ns0:v>
      </ns0:c>
      <ns0:c r="O189" s="13">
        <ns0:f>Catalog_100!L64</ns0:f>
        <ns0:v>46338.0</ns0:v>
      </ns0:c>
      <ns0:c r="P189" s="13">
        <ns0:f>Catalog_100!M64</ns0:f>
        <ns0:v>46340.0</ns0:v>
      </ns0:c>
      <ns0:c r="Q189" s="11" t="inlineStr"/>
      <ns0:c r="R189" s="10" t="inlineStr"/>
      <ns0:c r="S189" s="11" t="inlineStr"/>
      <ns0:c r="T189" s="11" t="inlineStr"/>
      <ns0:c r="U189" s="11" t="inlineStr"/>
      <ns0:c r="V189" s="11" t="inlineStr">
        <ns0:is>
          <ns0:t>Neconfirmat</ns0:t>
        </ns0:is>
      </ns0:c>
      <ns0:c r="W189" s="11" t="inlineStr">
        <ns0:is>
          <ns0:t>Fără ediție finală confirmată</ns0:t>
        </ns0:is>
      </ns0:c>
      <ns0:c r="X189" s="7">
        <ns0:f>IF(AND(J189="Publicat",Q189&lt;&gt;"",ISNUMBER(R189),S189&lt;&gt;"",U189&lt;&gt;"",V189="Confirmat"),1,0)</ns0:f>
        <ns0:v>0</ns0:v>
      </ns0:c>
    </ns0:row>
    <ns0:row r="190" ht="46" customHeight="1">
      <ns0:c r="A190" s="7" t="inlineStr">
        <ns0:is>
          <ns0:t>DB-063-DE</ns0:t>
        </ns0:is>
      </ns0:c>
      <ns0:c r="B190" s="7" t="inlineStr">
        <ns0:is>
          <ns0:t>DB-063</ns0:t>
        </ns0:is>
      </ns0:c>
      <ns0:c r="C190" s="7" t="inlineStr">
        <ns0:is>
          <ns0:t>AMORIS</ns0:t>
        </ns0:is>
      </ns0:c>
      <ns0:c r="D190" s="7" t="inlineStr">
        <ns0:is>
          <ns0:t>Aegean Second Chances</ns0:t>
        </ns0:is>
      </ns0:c>
      <ns0:c r="E190" s="8" t="n">
        <ns0:v>8</ns0:v>
      </ns0:c>
      <ns0:c r="F190" s="7" t="inlineStr">
        <ns0:is>
          <ns0:t>Letters from the Blue House</ns0:t>
        </ns0:is>
      </ns0:c>
      <ns0:c r="G190" s="7" t="inlineStr">
        <ns0:is>
          <ns0:t>DE</ns0:t>
        </ns0:is>
      </ns0:c>
      <ns0:c r="H190" s="7" t="inlineStr">
        <ns0:is>
          <ns0:t>EN</ns0:t>
        </ns0:is>
      </ns0:c>
      <ns0:c r="I190" s="7" t="inlineStr">
        <ns0:is>
          <ns0:t>Traducere EN→DE</ns0:t>
        </ns0:is>
      </ns0:c>
      <ns0:c r="J190" s="11" t="inlineStr">
        <ns0:is>
          <ns0:t>Planificat</ns0:t>
        </ns0:is>
      </ns0:c>
      <ns0:c r="K190" s="11" t="inlineStr">
        <ns0:is>
          <ns0:t>De desemnat</ns0:t>
        </ns0:is>
      </ns0:c>
      <ns0:c r="L190" s="8">
        <ns0:f>Catalog_100!I64</ns0:f>
        <ns0:v>55000</ns0:v>
      </ns0:c>
      <ns0:c r="M190" s="13">
        <ns0:f>Catalog_100!J64</ns0:f>
        <ns0:v>46318.0</ns0:v>
      </ns0:c>
      <ns0:c r="N190" s="13">
        <ns0:f>Catalog_100!K64</ns0:f>
        <ns0:v>46336.0</ns0:v>
      </ns0:c>
      <ns0:c r="O190" s="13">
        <ns0:f>Catalog_100!L64</ns0:f>
        <ns0:v>46338.0</ns0:v>
      </ns0:c>
      <ns0:c r="P190" s="13">
        <ns0:f>Catalog_100!M64</ns0:f>
        <ns0:v>46340.0</ns0:v>
      </ns0:c>
      <ns0:c r="Q190" s="11" t="inlineStr"/>
      <ns0:c r="R190" s="10" t="inlineStr"/>
      <ns0:c r="S190" s="11" t="inlineStr"/>
      <ns0:c r="T190" s="11" t="inlineStr"/>
      <ns0:c r="U190" s="11" t="inlineStr"/>
      <ns0:c r="V190" s="11" t="inlineStr">
        <ns0:is>
          <ns0:t>Neconfirmat</ns0:t>
        </ns0:is>
      </ns0:c>
      <ns0:c r="W190" s="11" t="inlineStr">
        <ns0:is>
          <ns0:t>Fără ediție finală confirmată</ns0:t>
        </ns0:is>
      </ns0:c>
      <ns0:c r="X190" s="7">
        <ns0:f>IF(AND(J190="Publicat",Q190&lt;&gt;"",ISNUMBER(R190),S190&lt;&gt;"",U190&lt;&gt;"",V190="Confirmat"),1,0)</ns0:f>
        <ns0:v>0</ns0:v>
      </ns0:c>
    </ns0:row>
    <ns0:row r="191" ht="46" customHeight="1">
      <ns0:c r="A191" s="7" t="inlineStr">
        <ns0:is>
          <ns0:t>DB-064-EN</ns0:t>
        </ns0:is>
      </ns0:c>
      <ns0:c r="B191" s="7" t="inlineStr">
        <ns0:is>
          <ns0:t>DB-064</ns0:t>
        </ns0:is>
      </ns0:c>
      <ns0:c r="C191" s="7" t="inlineStr">
        <ns0:is>
          <ns0:t>AMORIS</ns0:t>
        </ns0:is>
      </ns0:c>
      <ns0:c r="D191" s="7" t="inlineStr">
        <ns0:is>
          <ns0:t>Aegean Second Chances</ns0:t>
        </ns0:is>
      </ns0:c>
      <ns0:c r="E191" s="8" t="n">
        <ns0:v>9</ns0:v>
      </ns0:c>
      <ns0:c r="F191" s="7" t="inlineStr">
        <ns0:is>
          <ns0:t>The Lighthouse Table</ns0:t>
        </ns0:is>
      </ns0:c>
      <ns0:c r="G191" s="7" t="inlineStr">
        <ns0:is>
          <ns0:t>EN</ns0:t>
        </ns0:is>
      </ns0:c>
      <ns0:c r="H191" s="7" t="inlineStr">
        <ns0:is>
          <ns0:t>EN</ns0:t>
        </ns0:is>
      </ns0:c>
      <ns0:c r="I191" s="7" t="inlineStr">
        <ns0:is>
          <ns0:t>Scriere nouă</ns0:t>
        </ns0:is>
      </ns0:c>
      <ns0:c r="J191" s="11" t="inlineStr">
        <ns0:is>
          <ns0:t>Planificat</ns0:t>
        </ns0:is>
      </ns0:c>
      <ns0:c r="K191" s="11" t="inlineStr">
        <ns0:is>
          <ns0:t>De desemnat</ns0:t>
        </ns0:is>
      </ns0:c>
      <ns0:c r="L191" s="8">
        <ns0:f>Catalog_100!I65</ns0:f>
        <ns0:v>55000</ns0:v>
      </ns0:c>
      <ns0:c r="M191" s="13">
        <ns0:f>Catalog_100!J65</ns0:f>
        <ns0:v>46318.0</ns0:v>
      </ns0:c>
      <ns0:c r="N191" s="13">
        <ns0:f>Catalog_100!K65</ns0:f>
        <ns0:v>46336.0</ns0:v>
      </ns0:c>
      <ns0:c r="O191" s="13">
        <ns0:f>Catalog_100!L65</ns0:f>
        <ns0:v>46338.0</ns0:v>
      </ns0:c>
      <ns0:c r="P191" s="13">
        <ns0:f>Catalog_100!M65</ns0:f>
        <ns0:v>46340.0</ns0:v>
      </ns0:c>
      <ns0:c r="Q191" s="11" t="inlineStr"/>
      <ns0:c r="R191" s="10" t="inlineStr"/>
      <ns0:c r="S191" s="11" t="inlineStr"/>
      <ns0:c r="T191" s="11" t="inlineStr"/>
      <ns0:c r="U191" s="11" t="inlineStr"/>
      <ns0:c r="V191" s="11" t="inlineStr">
        <ns0:is>
          <ns0:t>Neconfirmat</ns0:t>
        </ns0:is>
      </ns0:c>
      <ns0:c r="W191" s="11" t="inlineStr">
        <ns0:is>
          <ns0:t>Fără ediție finală confirmată</ns0:t>
        </ns0:is>
      </ns0:c>
      <ns0:c r="X191" s="7">
        <ns0:f>IF(AND(J191="Publicat",Q191&lt;&gt;"",ISNUMBER(R191),S191&lt;&gt;"",U191&lt;&gt;"",V191="Confirmat"),1,0)</ns0:f>
        <ns0:v>0</ns0:v>
      </ns0:c>
    </ns0:row>
    <ns0:row r="192" ht="46" customHeight="1">
      <ns0:c r="A192" s="7" t="inlineStr">
        <ns0:is>
          <ns0:t>DB-064-RO</ns0:t>
        </ns0:is>
      </ns0:c>
      <ns0:c r="B192" s="7" t="inlineStr">
        <ns0:is>
          <ns0:t>DB-064</ns0:t>
        </ns0:is>
      </ns0:c>
      <ns0:c r="C192" s="7" t="inlineStr">
        <ns0:is>
          <ns0:t>AMORIS</ns0:t>
        </ns0:is>
      </ns0:c>
      <ns0:c r="D192" s="7" t="inlineStr">
        <ns0:is>
          <ns0:t>Aegean Second Chances</ns0:t>
        </ns0:is>
      </ns0:c>
      <ns0:c r="E192" s="8" t="n">
        <ns0:v>9</ns0:v>
      </ns0:c>
      <ns0:c r="F192" s="7" t="inlineStr">
        <ns0:is>
          <ns0:t>The Lighthouse Table</ns0:t>
        </ns0:is>
      </ns0:c>
      <ns0:c r="G192" s="7" t="inlineStr">
        <ns0:is>
          <ns0:t>RO</ns0:t>
        </ns0:is>
      </ns0:c>
      <ns0:c r="H192" s="7" t="inlineStr">
        <ns0:is>
          <ns0:t>EN</ns0:t>
        </ns0:is>
      </ns0:c>
      <ns0:c r="I192" s="7" t="inlineStr">
        <ns0:is>
          <ns0:t>Traducere EN→RO</ns0:t>
        </ns0:is>
      </ns0:c>
      <ns0:c r="J192" s="11" t="inlineStr">
        <ns0:is>
          <ns0:t>Planificat</ns0:t>
        </ns0:is>
      </ns0:c>
      <ns0:c r="K192" s="11" t="inlineStr">
        <ns0:is>
          <ns0:t>De desemnat</ns0:t>
        </ns0:is>
      </ns0:c>
      <ns0:c r="L192" s="8">
        <ns0:f>Catalog_100!I65</ns0:f>
        <ns0:v>55000</ns0:v>
      </ns0:c>
      <ns0:c r="M192" s="13">
        <ns0:f>Catalog_100!J65</ns0:f>
        <ns0:v>46318.0</ns0:v>
      </ns0:c>
      <ns0:c r="N192" s="13">
        <ns0:f>Catalog_100!K65</ns0:f>
        <ns0:v>46336.0</ns0:v>
      </ns0:c>
      <ns0:c r="O192" s="13">
        <ns0:f>Catalog_100!L65</ns0:f>
        <ns0:v>46338.0</ns0:v>
      </ns0:c>
      <ns0:c r="P192" s="13">
        <ns0:f>Catalog_100!M65</ns0:f>
        <ns0:v>46340.0</ns0:v>
      </ns0:c>
      <ns0:c r="Q192" s="11" t="inlineStr"/>
      <ns0:c r="R192" s="10" t="inlineStr"/>
      <ns0:c r="S192" s="11" t="inlineStr"/>
      <ns0:c r="T192" s="11" t="inlineStr"/>
      <ns0:c r="U192" s="11" t="inlineStr"/>
      <ns0:c r="V192" s="11" t="inlineStr">
        <ns0:is>
          <ns0:t>Neconfirmat</ns0:t>
        </ns0:is>
      </ns0:c>
      <ns0:c r="W192" s="11" t="inlineStr">
        <ns0:is>
          <ns0:t>Fără ediție finală confirmată</ns0:t>
        </ns0:is>
      </ns0:c>
      <ns0:c r="X192" s="7">
        <ns0:f>IF(AND(J192="Publicat",Q192&lt;&gt;"",ISNUMBER(R192),S192&lt;&gt;"",U192&lt;&gt;"",V192="Confirmat"),1,0)</ns0:f>
        <ns0:v>0</ns0:v>
      </ns0:c>
    </ns0:row>
    <ns0:row r="193" ht="46" customHeight="1">
      <ns0:c r="A193" s="7" t="inlineStr">
        <ns0:is>
          <ns0:t>DB-064-DE</ns0:t>
        </ns0:is>
      </ns0:c>
      <ns0:c r="B193" s="7" t="inlineStr">
        <ns0:is>
          <ns0:t>DB-064</ns0:t>
        </ns0:is>
      </ns0:c>
      <ns0:c r="C193" s="7" t="inlineStr">
        <ns0:is>
          <ns0:t>AMORIS</ns0:t>
        </ns0:is>
      </ns0:c>
      <ns0:c r="D193" s="7" t="inlineStr">
        <ns0:is>
          <ns0:t>Aegean Second Chances</ns0:t>
        </ns0:is>
      </ns0:c>
      <ns0:c r="E193" s="8" t="n">
        <ns0:v>9</ns0:v>
      </ns0:c>
      <ns0:c r="F193" s="7" t="inlineStr">
        <ns0:is>
          <ns0:t>The Lighthouse Table</ns0:t>
        </ns0:is>
      </ns0:c>
      <ns0:c r="G193" s="7" t="inlineStr">
        <ns0:is>
          <ns0:t>DE</ns0:t>
        </ns0:is>
      </ns0:c>
      <ns0:c r="H193" s="7" t="inlineStr">
        <ns0:is>
          <ns0:t>EN</ns0:t>
        </ns0:is>
      </ns0:c>
      <ns0:c r="I193" s="7" t="inlineStr">
        <ns0:is>
          <ns0:t>Traducere EN→DE</ns0:t>
        </ns0:is>
      </ns0:c>
      <ns0:c r="J193" s="11" t="inlineStr">
        <ns0:is>
          <ns0:t>Planificat</ns0:t>
        </ns0:is>
      </ns0:c>
      <ns0:c r="K193" s="11" t="inlineStr">
        <ns0:is>
          <ns0:t>De desemnat</ns0:t>
        </ns0:is>
      </ns0:c>
      <ns0:c r="L193" s="8">
        <ns0:f>Catalog_100!I65</ns0:f>
        <ns0:v>55000</ns0:v>
      </ns0:c>
      <ns0:c r="M193" s="13">
        <ns0:f>Catalog_100!J65</ns0:f>
        <ns0:v>46318.0</ns0:v>
      </ns0:c>
      <ns0:c r="N193" s="13">
        <ns0:f>Catalog_100!K65</ns0:f>
        <ns0:v>46336.0</ns0:v>
      </ns0:c>
      <ns0:c r="O193" s="13">
        <ns0:f>Catalog_100!L65</ns0:f>
        <ns0:v>46338.0</ns0:v>
      </ns0:c>
      <ns0:c r="P193" s="13">
        <ns0:f>Catalog_100!M65</ns0:f>
        <ns0:v>46340.0</ns0:v>
      </ns0:c>
      <ns0:c r="Q193" s="11" t="inlineStr"/>
      <ns0:c r="R193" s="10" t="inlineStr"/>
      <ns0:c r="S193" s="11" t="inlineStr"/>
      <ns0:c r="T193" s="11" t="inlineStr"/>
      <ns0:c r="U193" s="11" t="inlineStr"/>
      <ns0:c r="V193" s="11" t="inlineStr">
        <ns0:is>
          <ns0:t>Neconfirmat</ns0:t>
        </ns0:is>
      </ns0:c>
      <ns0:c r="W193" s="11" t="inlineStr">
        <ns0:is>
          <ns0:t>Fără ediție finală confirmată</ns0:t>
        </ns0:is>
      </ns0:c>
      <ns0:c r="X193" s="7">
        <ns0:f>IF(AND(J193="Publicat",Q193&lt;&gt;"",ISNUMBER(R193),S193&lt;&gt;"",U193&lt;&gt;"",V193="Confirmat"),1,0)</ns0:f>
        <ns0:v>0</ns0:v>
      </ns0:c>
    </ns0:row>
    <ns0:row r="194" ht="46" customHeight="1">
      <ns0:c r="A194" s="7" t="inlineStr">
        <ns0:is>
          <ns0:t>DB-065-EN</ns0:t>
        </ns0:is>
      </ns0:c>
      <ns0:c r="B194" s="7" t="inlineStr">
        <ns0:is>
          <ns0:t>DB-065</ns0:t>
        </ns0:is>
      </ns0:c>
      <ns0:c r="C194" s="7" t="inlineStr">
        <ns0:is>
          <ns0:t>AMORIS</ns0:t>
        </ns0:is>
      </ns0:c>
      <ns0:c r="D194" s="7" t="inlineStr">
        <ns0:is>
          <ns0:t>Aegean Second Chances</ns0:t>
        </ns0:is>
      </ns0:c>
      <ns0:c r="E194" s="8" t="n">
        <ns0:v>10</ns0:v>
      </ns0:c>
      <ns0:c r="F194" s="7" t="inlineStr">
        <ns0:is>
          <ns0:t>The Last Ferry Home</ns0:t>
        </ns0:is>
      </ns0:c>
      <ns0:c r="G194" s="7" t="inlineStr">
        <ns0:is>
          <ns0:t>EN</ns0:t>
        </ns0:is>
      </ns0:c>
      <ns0:c r="H194" s="7" t="inlineStr">
        <ns0:is>
          <ns0:t>EN</ns0:t>
        </ns0:is>
      </ns0:c>
      <ns0:c r="I194" s="7" t="inlineStr">
        <ns0:is>
          <ns0:t>Scriere nouă</ns0:t>
        </ns0:is>
      </ns0:c>
      <ns0:c r="J194" s="11" t="inlineStr">
        <ns0:is>
          <ns0:t>Planificat</ns0:t>
        </ns0:is>
      </ns0:c>
      <ns0:c r="K194" s="11" t="inlineStr">
        <ns0:is>
          <ns0:t>De desemnat</ns0:t>
        </ns0:is>
      </ns0:c>
      <ns0:c r="L194" s="8">
        <ns0:f>Catalog_100!I66</ns0:f>
        <ns0:v>55000</ns0:v>
      </ns0:c>
      <ns0:c r="M194" s="13">
        <ns0:f>Catalog_100!J66</ns0:f>
        <ns0:v>46318.0</ns0:v>
      </ns0:c>
      <ns0:c r="N194" s="13">
        <ns0:f>Catalog_100!K66</ns0:f>
        <ns0:v>46336.0</ns0:v>
      </ns0:c>
      <ns0:c r="O194" s="13">
        <ns0:f>Catalog_100!L66</ns0:f>
        <ns0:v>46338.0</ns0:v>
      </ns0:c>
      <ns0:c r="P194" s="13">
        <ns0:f>Catalog_100!M66</ns0:f>
        <ns0:v>46340.0</ns0:v>
      </ns0:c>
      <ns0:c r="Q194" s="11" t="inlineStr"/>
      <ns0:c r="R194" s="10" t="inlineStr"/>
      <ns0:c r="S194" s="11" t="inlineStr"/>
      <ns0:c r="T194" s="11" t="inlineStr"/>
      <ns0:c r="U194" s="11" t="inlineStr"/>
      <ns0:c r="V194" s="11" t="inlineStr">
        <ns0:is>
          <ns0:t>Neconfirmat</ns0:t>
        </ns0:is>
      </ns0:c>
      <ns0:c r="W194" s="11" t="inlineStr">
        <ns0:is>
          <ns0:t>Fără ediție finală confirmată</ns0:t>
        </ns0:is>
      </ns0:c>
      <ns0:c r="X194" s="7">
        <ns0:f>IF(AND(J194="Publicat",Q194&lt;&gt;"",ISNUMBER(R194),S194&lt;&gt;"",U194&lt;&gt;"",V194="Confirmat"),1,0)</ns0:f>
        <ns0:v>0</ns0:v>
      </ns0:c>
    </ns0:row>
    <ns0:row r="195" ht="46" customHeight="1">
      <ns0:c r="A195" s="7" t="inlineStr">
        <ns0:is>
          <ns0:t>DB-065-RO</ns0:t>
        </ns0:is>
      </ns0:c>
      <ns0:c r="B195" s="7" t="inlineStr">
        <ns0:is>
          <ns0:t>DB-065</ns0:t>
        </ns0:is>
      </ns0:c>
      <ns0:c r="C195" s="7" t="inlineStr">
        <ns0:is>
          <ns0:t>AMORIS</ns0:t>
        </ns0:is>
      </ns0:c>
      <ns0:c r="D195" s="7" t="inlineStr">
        <ns0:is>
          <ns0:t>Aegean Second Chances</ns0:t>
        </ns0:is>
      </ns0:c>
      <ns0:c r="E195" s="8" t="n">
        <ns0:v>10</ns0:v>
      </ns0:c>
      <ns0:c r="F195" s="7" t="inlineStr">
        <ns0:is>
          <ns0:t>The Last Ferry Home</ns0:t>
        </ns0:is>
      </ns0:c>
      <ns0:c r="G195" s="7" t="inlineStr">
        <ns0:is>
          <ns0:t>RO</ns0:t>
        </ns0:is>
      </ns0:c>
      <ns0:c r="H195" s="7" t="inlineStr">
        <ns0:is>
          <ns0:t>EN</ns0:t>
        </ns0:is>
      </ns0:c>
      <ns0:c r="I195" s="7" t="inlineStr">
        <ns0:is>
          <ns0:t>Traducere EN→RO</ns0:t>
        </ns0:is>
      </ns0:c>
      <ns0:c r="J195" s="11" t="inlineStr">
        <ns0:is>
          <ns0:t>Planificat</ns0:t>
        </ns0:is>
      </ns0:c>
      <ns0:c r="K195" s="11" t="inlineStr">
        <ns0:is>
          <ns0:t>De desemnat</ns0:t>
        </ns0:is>
      </ns0:c>
      <ns0:c r="L195" s="8">
        <ns0:f>Catalog_100!I66</ns0:f>
        <ns0:v>55000</ns0:v>
      </ns0:c>
      <ns0:c r="M195" s="13">
        <ns0:f>Catalog_100!J66</ns0:f>
        <ns0:v>46318.0</ns0:v>
      </ns0:c>
      <ns0:c r="N195" s="13">
        <ns0:f>Catalog_100!K66</ns0:f>
        <ns0:v>46336.0</ns0:v>
      </ns0:c>
      <ns0:c r="O195" s="13">
        <ns0:f>Catalog_100!L66</ns0:f>
        <ns0:v>46338.0</ns0:v>
      </ns0:c>
      <ns0:c r="P195" s="13">
        <ns0:f>Catalog_100!M66</ns0:f>
        <ns0:v>46340.0</ns0:v>
      </ns0:c>
      <ns0:c r="Q195" s="11" t="inlineStr"/>
      <ns0:c r="R195" s="10" t="inlineStr"/>
      <ns0:c r="S195" s="11" t="inlineStr"/>
      <ns0:c r="T195" s="11" t="inlineStr"/>
      <ns0:c r="U195" s="11" t="inlineStr"/>
      <ns0:c r="V195" s="11" t="inlineStr">
        <ns0:is>
          <ns0:t>Neconfirmat</ns0:t>
        </ns0:is>
      </ns0:c>
      <ns0:c r="W195" s="11" t="inlineStr">
        <ns0:is>
          <ns0:t>Fără ediție finală confirmată</ns0:t>
        </ns0:is>
      </ns0:c>
      <ns0:c r="X195" s="7">
        <ns0:f>IF(AND(J195="Publicat",Q195&lt;&gt;"",ISNUMBER(R195),S195&lt;&gt;"",U195&lt;&gt;"",V195="Confirmat"),1,0)</ns0:f>
        <ns0:v>0</ns0:v>
      </ns0:c>
    </ns0:row>
    <ns0:row r="196" ht="46" customHeight="1">
      <ns0:c r="A196" s="7" t="inlineStr">
        <ns0:is>
          <ns0:t>DB-065-DE</ns0:t>
        </ns0:is>
      </ns0:c>
      <ns0:c r="B196" s="7" t="inlineStr">
        <ns0:is>
          <ns0:t>DB-065</ns0:t>
        </ns0:is>
      </ns0:c>
      <ns0:c r="C196" s="7" t="inlineStr">
        <ns0:is>
          <ns0:t>AMORIS</ns0:t>
        </ns0:is>
      </ns0:c>
      <ns0:c r="D196" s="7" t="inlineStr">
        <ns0:is>
          <ns0:t>Aegean Second Chances</ns0:t>
        </ns0:is>
      </ns0:c>
      <ns0:c r="E196" s="8" t="n">
        <ns0:v>10</ns0:v>
      </ns0:c>
      <ns0:c r="F196" s="7" t="inlineStr">
        <ns0:is>
          <ns0:t>The Last Ferry Home</ns0:t>
        </ns0:is>
      </ns0:c>
      <ns0:c r="G196" s="7" t="inlineStr">
        <ns0:is>
          <ns0:t>DE</ns0:t>
        </ns0:is>
      </ns0:c>
      <ns0:c r="H196" s="7" t="inlineStr">
        <ns0:is>
          <ns0:t>EN</ns0:t>
        </ns0:is>
      </ns0:c>
      <ns0:c r="I196" s="7" t="inlineStr">
        <ns0:is>
          <ns0:t>Traducere EN→DE</ns0:t>
        </ns0:is>
      </ns0:c>
      <ns0:c r="J196" s="11" t="inlineStr">
        <ns0:is>
          <ns0:t>Planificat</ns0:t>
        </ns0:is>
      </ns0:c>
      <ns0:c r="K196" s="11" t="inlineStr">
        <ns0:is>
          <ns0:t>De desemnat</ns0:t>
        </ns0:is>
      </ns0:c>
      <ns0:c r="L196" s="8">
        <ns0:f>Catalog_100!I66</ns0:f>
        <ns0:v>55000</ns0:v>
      </ns0:c>
      <ns0:c r="M196" s="13">
        <ns0:f>Catalog_100!J66</ns0:f>
        <ns0:v>46318.0</ns0:v>
      </ns0:c>
      <ns0:c r="N196" s="13">
        <ns0:f>Catalog_100!K66</ns0:f>
        <ns0:v>46336.0</ns0:v>
      </ns0:c>
      <ns0:c r="O196" s="13">
        <ns0:f>Catalog_100!L66</ns0:f>
        <ns0:v>46338.0</ns0:v>
      </ns0:c>
      <ns0:c r="P196" s="13">
        <ns0:f>Catalog_100!M66</ns0:f>
        <ns0:v>46340.0</ns0:v>
      </ns0:c>
      <ns0:c r="Q196" s="11" t="inlineStr"/>
      <ns0:c r="R196" s="10" t="inlineStr"/>
      <ns0:c r="S196" s="11" t="inlineStr"/>
      <ns0:c r="T196" s="11" t="inlineStr"/>
      <ns0:c r="U196" s="11" t="inlineStr"/>
      <ns0:c r="V196" s="11" t="inlineStr">
        <ns0:is>
          <ns0:t>Neconfirmat</ns0:t>
        </ns0:is>
      </ns0:c>
      <ns0:c r="W196" s="11" t="inlineStr">
        <ns0:is>
          <ns0:t>Fără ediție finală confirmată</ns0:t>
        </ns0:is>
      </ns0:c>
      <ns0:c r="X196" s="7">
        <ns0:f>IF(AND(J196="Publicat",Q196&lt;&gt;"",ISNUMBER(R196),S196&lt;&gt;"",U196&lt;&gt;"",V196="Confirmat"),1,0)</ns0:f>
        <ns0:v>0</ns0:v>
      </ns0:c>
    </ns0:row>
    <ns0:row r="197" ht="46" customHeight="1">
      <ns0:c r="A197" s="7" t="inlineStr">
        <ns0:is>
          <ns0:t>DB-066-EN</ns0:t>
        </ns0:is>
      </ns0:c>
      <ns0:c r="B197" s="7" t="inlineStr">
        <ns0:is>
          <ns0:t>DB-066</ns0:t>
        </ns0:is>
      </ns0:c>
      <ns0:c r="C197" s="7" t="inlineStr">
        <ns0:is>
          <ns0:t>AMORIS</ns0:t>
        </ns0:is>
      </ns0:c>
      <ns0:c r="D197" s="7" t="inlineStr">
        <ns0:is>
          <ns0:t>Midnight Letters</ns0:t>
        </ns0:is>
      </ns0:c>
      <ns0:c r="E197" s="8" t="n">
        <ns0:v>1</ns0:v>
      </ns0:c>
      <ns0:c r="F197" s="7" t="inlineStr">
        <ns0:is>
          <ns0:t>The December Postmark</ns0:t>
        </ns0:is>
      </ns0:c>
      <ns0:c r="G197" s="7" t="inlineStr">
        <ns0:is>
          <ns0:t>EN</ns0:t>
        </ns0:is>
      </ns0:c>
      <ns0:c r="H197" s="7" t="inlineStr">
        <ns0:is>
          <ns0:t>EN</ns0:t>
        </ns0:is>
      </ns0:c>
      <ns0:c r="I197" s="7" t="inlineStr">
        <ns0:is>
          <ns0:t>Scriere nouă</ns0:t>
        </ns0:is>
      </ns0:c>
      <ns0:c r="J197" s="11" t="inlineStr">
        <ns0:is>
          <ns0:t>Planificat</ns0:t>
        </ns0:is>
      </ns0:c>
      <ns0:c r="K197" s="11" t="inlineStr">
        <ns0:is>
          <ns0:t>De desemnat</ns0:t>
        </ns0:is>
      </ns0:c>
      <ns0:c r="L197" s="8">
        <ns0:f>Catalog_100!I67</ns0:f>
        <ns0:v>35000</ns0:v>
      </ns0:c>
      <ns0:c r="M197" s="13">
        <ns0:f>Catalog_100!J67</ns0:f>
        <ns0:v>46304.0</ns0:v>
      </ns0:c>
      <ns0:c r="N197" s="13">
        <ns0:f>Catalog_100!K67</ns0:f>
        <ns0:v>46322.0</ns0:v>
      </ns0:c>
      <ns0:c r="O197" s="13">
        <ns0:f>Catalog_100!L67</ns0:f>
        <ns0:v>46324.0</ns0:v>
      </ns0:c>
      <ns0:c r="P197" s="13">
        <ns0:f>Catalog_100!M67</ns0:f>
        <ns0:v>46326.0</ns0:v>
      </ns0:c>
      <ns0:c r="Q197" s="11" t="inlineStr"/>
      <ns0:c r="R197" s="10" t="inlineStr"/>
      <ns0:c r="S197" s="11" t="inlineStr"/>
      <ns0:c r="T197" s="11" t="inlineStr"/>
      <ns0:c r="U197" s="11" t="inlineStr"/>
      <ns0:c r="V197" s="11" t="inlineStr">
        <ns0:is>
          <ns0:t>Neconfirmat</ns0:t>
        </ns0:is>
      </ns0:c>
      <ns0:c r="W197" s="11" t="inlineStr">
        <ns0:is>
          <ns0:t>Fără ediție finală confirmată</ns0:t>
        </ns0:is>
      </ns0:c>
      <ns0:c r="X197" s="7">
        <ns0:f>IF(AND(J197="Publicat",Q197&lt;&gt;"",ISNUMBER(R197),S197&lt;&gt;"",U197&lt;&gt;"",V197="Confirmat"),1,0)</ns0:f>
        <ns0:v>0</ns0:v>
      </ns0:c>
    </ns0:row>
    <ns0:row r="198" ht="46" customHeight="1">
      <ns0:c r="A198" s="7" t="inlineStr">
        <ns0:is>
          <ns0:t>DB-066-RO</ns0:t>
        </ns0:is>
      </ns0:c>
      <ns0:c r="B198" s="7" t="inlineStr">
        <ns0:is>
          <ns0:t>DB-066</ns0:t>
        </ns0:is>
      </ns0:c>
      <ns0:c r="C198" s="7" t="inlineStr">
        <ns0:is>
          <ns0:t>AMORIS</ns0:t>
        </ns0:is>
      </ns0:c>
      <ns0:c r="D198" s="7" t="inlineStr">
        <ns0:is>
          <ns0:t>Midnight Letters</ns0:t>
        </ns0:is>
      </ns0:c>
      <ns0:c r="E198" s="8" t="n">
        <ns0:v>1</ns0:v>
      </ns0:c>
      <ns0:c r="F198" s="7" t="inlineStr">
        <ns0:is>
          <ns0:t>The December Postmark</ns0:t>
        </ns0:is>
      </ns0:c>
      <ns0:c r="G198" s="7" t="inlineStr">
        <ns0:is>
          <ns0:t>RO</ns0:t>
        </ns0:is>
      </ns0:c>
      <ns0:c r="H198" s="7" t="inlineStr">
        <ns0:is>
          <ns0:t>EN</ns0:t>
        </ns0:is>
      </ns0:c>
      <ns0:c r="I198" s="7" t="inlineStr">
        <ns0:is>
          <ns0:t>Traducere EN→RO</ns0:t>
        </ns0:is>
      </ns0:c>
      <ns0:c r="J198" s="11" t="inlineStr">
        <ns0:is>
          <ns0:t>Planificat</ns0:t>
        </ns0:is>
      </ns0:c>
      <ns0:c r="K198" s="11" t="inlineStr">
        <ns0:is>
          <ns0:t>De desemnat</ns0:t>
        </ns0:is>
      </ns0:c>
      <ns0:c r="L198" s="8">
        <ns0:f>Catalog_100!I67</ns0:f>
        <ns0:v>35000</ns0:v>
      </ns0:c>
      <ns0:c r="M198" s="13">
        <ns0:f>Catalog_100!J67</ns0:f>
        <ns0:v>46304.0</ns0:v>
      </ns0:c>
      <ns0:c r="N198" s="13">
        <ns0:f>Catalog_100!K67</ns0:f>
        <ns0:v>46322.0</ns0:v>
      </ns0:c>
      <ns0:c r="O198" s="13">
        <ns0:f>Catalog_100!L67</ns0:f>
        <ns0:v>46324.0</ns0:v>
      </ns0:c>
      <ns0:c r="P198" s="13">
        <ns0:f>Catalog_100!M67</ns0:f>
        <ns0:v>46326.0</ns0:v>
      </ns0:c>
      <ns0:c r="Q198" s="11" t="inlineStr"/>
      <ns0:c r="R198" s="10" t="inlineStr"/>
      <ns0:c r="S198" s="11" t="inlineStr"/>
      <ns0:c r="T198" s="11" t="inlineStr"/>
      <ns0:c r="U198" s="11" t="inlineStr"/>
      <ns0:c r="V198" s="11" t="inlineStr">
        <ns0:is>
          <ns0:t>Neconfirmat</ns0:t>
        </ns0:is>
      </ns0:c>
      <ns0:c r="W198" s="11" t="inlineStr">
        <ns0:is>
          <ns0:t>Fără ediție finală confirmată</ns0:t>
        </ns0:is>
      </ns0:c>
      <ns0:c r="X198" s="7">
        <ns0:f>IF(AND(J198="Publicat",Q198&lt;&gt;"",ISNUMBER(R198),S198&lt;&gt;"",U198&lt;&gt;"",V198="Confirmat"),1,0)</ns0:f>
        <ns0:v>0</ns0:v>
      </ns0:c>
    </ns0:row>
    <ns0:row r="199" ht="46" customHeight="1">
      <ns0:c r="A199" s="7" t="inlineStr">
        <ns0:is>
          <ns0:t>DB-066-DE</ns0:t>
        </ns0:is>
      </ns0:c>
      <ns0:c r="B199" s="7" t="inlineStr">
        <ns0:is>
          <ns0:t>DB-066</ns0:t>
        </ns0:is>
      </ns0:c>
      <ns0:c r="C199" s="7" t="inlineStr">
        <ns0:is>
          <ns0:t>AMORIS</ns0:t>
        </ns0:is>
      </ns0:c>
      <ns0:c r="D199" s="7" t="inlineStr">
        <ns0:is>
          <ns0:t>Midnight Letters</ns0:t>
        </ns0:is>
      </ns0:c>
      <ns0:c r="E199" s="8" t="n">
        <ns0:v>1</ns0:v>
      </ns0:c>
      <ns0:c r="F199" s="7" t="inlineStr">
        <ns0:is>
          <ns0:t>The December Postmark</ns0:t>
        </ns0:is>
      </ns0:c>
      <ns0:c r="G199" s="7" t="inlineStr">
        <ns0:is>
          <ns0:t>DE</ns0:t>
        </ns0:is>
      </ns0:c>
      <ns0:c r="H199" s="7" t="inlineStr">
        <ns0:is>
          <ns0:t>EN</ns0:t>
        </ns0:is>
      </ns0:c>
      <ns0:c r="I199" s="7" t="inlineStr">
        <ns0:is>
          <ns0:t>Traducere EN→DE</ns0:t>
        </ns0:is>
      </ns0:c>
      <ns0:c r="J199" s="11" t="inlineStr">
        <ns0:is>
          <ns0:t>Planificat</ns0:t>
        </ns0:is>
      </ns0:c>
      <ns0:c r="K199" s="11" t="inlineStr">
        <ns0:is>
          <ns0:t>De desemnat</ns0:t>
        </ns0:is>
      </ns0:c>
      <ns0:c r="L199" s="8">
        <ns0:f>Catalog_100!I67</ns0:f>
        <ns0:v>35000</ns0:v>
      </ns0:c>
      <ns0:c r="M199" s="13">
        <ns0:f>Catalog_100!J67</ns0:f>
        <ns0:v>46304.0</ns0:v>
      </ns0:c>
      <ns0:c r="N199" s="13">
        <ns0:f>Catalog_100!K67</ns0:f>
        <ns0:v>46322.0</ns0:v>
      </ns0:c>
      <ns0:c r="O199" s="13">
        <ns0:f>Catalog_100!L67</ns0:f>
        <ns0:v>46324.0</ns0:v>
      </ns0:c>
      <ns0:c r="P199" s="13">
        <ns0:f>Catalog_100!M67</ns0:f>
        <ns0:v>46326.0</ns0:v>
      </ns0:c>
      <ns0:c r="Q199" s="11" t="inlineStr"/>
      <ns0:c r="R199" s="10" t="inlineStr"/>
      <ns0:c r="S199" s="11" t="inlineStr"/>
      <ns0:c r="T199" s="11" t="inlineStr"/>
      <ns0:c r="U199" s="11" t="inlineStr"/>
      <ns0:c r="V199" s="11" t="inlineStr">
        <ns0:is>
          <ns0:t>Neconfirmat</ns0:t>
        </ns0:is>
      </ns0:c>
      <ns0:c r="W199" s="11" t="inlineStr">
        <ns0:is>
          <ns0:t>Fără ediție finală confirmată</ns0:t>
        </ns0:is>
      </ns0:c>
      <ns0:c r="X199" s="7">
        <ns0:f>IF(AND(J199="Publicat",Q199&lt;&gt;"",ISNUMBER(R199),S199&lt;&gt;"",U199&lt;&gt;"",V199="Confirmat"),1,0)</ns0:f>
        <ns0:v>0</ns0:v>
      </ns0:c>
    </ns0:row>
    <ns0:row r="200" ht="46" customHeight="1">
      <ns0:c r="A200" s="7" t="inlineStr">
        <ns0:is>
          <ns0:t>DB-067-EN</ns0:t>
        </ns0:is>
      </ns0:c>
      <ns0:c r="B200" s="7" t="inlineStr">
        <ns0:is>
          <ns0:t>DB-067</ns0:t>
        </ns0:is>
      </ns0:c>
      <ns0:c r="C200" s="7" t="inlineStr">
        <ns0:is>
          <ns0:t>AMORIS</ns0:t>
        </ns0:is>
      </ns0:c>
      <ns0:c r="D200" s="7" t="inlineStr">
        <ns0:is>
          <ns0:t>Midnight Letters</ns0:t>
        </ns0:is>
      </ns0:c>
      <ns0:c r="E200" s="8" t="n">
        <ns0:v>2</ns0:v>
      </ns0:c>
      <ns0:c r="F200" s="7" t="inlineStr">
        <ns0:is>
          <ns0:t>The Wrong Invitation</ns0:t>
        </ns0:is>
      </ns0:c>
      <ns0:c r="G200" s="7" t="inlineStr">
        <ns0:is>
          <ns0:t>EN</ns0:t>
        </ns0:is>
      </ns0:c>
      <ns0:c r="H200" s="7" t="inlineStr">
        <ns0:is>
          <ns0:t>EN</ns0:t>
        </ns0:is>
      </ns0:c>
      <ns0:c r="I200" s="7" t="inlineStr">
        <ns0:is>
          <ns0:t>Scriere nouă</ns0:t>
        </ns0:is>
      </ns0:c>
      <ns0:c r="J200" s="11" t="inlineStr">
        <ns0:is>
          <ns0:t>Planificat</ns0:t>
        </ns0:is>
      </ns0:c>
      <ns0:c r="K200" s="11" t="inlineStr">
        <ns0:is>
          <ns0:t>De desemnat</ns0:t>
        </ns0:is>
      </ns0:c>
      <ns0:c r="L200" s="8">
        <ns0:f>Catalog_100!I68</ns0:f>
        <ns0:v>35000</ns0:v>
      </ns0:c>
      <ns0:c r="M200" s="13">
        <ns0:f>Catalog_100!J68</ns0:f>
        <ns0:v>46304.0</ns0:v>
      </ns0:c>
      <ns0:c r="N200" s="13">
        <ns0:f>Catalog_100!K68</ns0:f>
        <ns0:v>46322.0</ns0:v>
      </ns0:c>
      <ns0:c r="O200" s="13">
        <ns0:f>Catalog_100!L68</ns0:f>
        <ns0:v>46324.0</ns0:v>
      </ns0:c>
      <ns0:c r="P200" s="13">
        <ns0:f>Catalog_100!M68</ns0:f>
        <ns0:v>46326.0</ns0:v>
      </ns0:c>
      <ns0:c r="Q200" s="11" t="inlineStr"/>
      <ns0:c r="R200" s="10" t="inlineStr"/>
      <ns0:c r="S200" s="11" t="inlineStr"/>
      <ns0:c r="T200" s="11" t="inlineStr"/>
      <ns0:c r="U200" s="11" t="inlineStr"/>
      <ns0:c r="V200" s="11" t="inlineStr">
        <ns0:is>
          <ns0:t>Neconfirmat</ns0:t>
        </ns0:is>
      </ns0:c>
      <ns0:c r="W200" s="11" t="inlineStr">
        <ns0:is>
          <ns0:t>Fără ediție finală confirmată</ns0:t>
        </ns0:is>
      </ns0:c>
      <ns0:c r="X200" s="7">
        <ns0:f>IF(AND(J200="Publicat",Q200&lt;&gt;"",ISNUMBER(R200),S200&lt;&gt;"",U200&lt;&gt;"",V200="Confirmat"),1,0)</ns0:f>
        <ns0:v>0</ns0:v>
      </ns0:c>
    </ns0:row>
    <ns0:row r="201" ht="46" customHeight="1">
      <ns0:c r="A201" s="7" t="inlineStr">
        <ns0:is>
          <ns0:t>DB-067-RO</ns0:t>
        </ns0:is>
      </ns0:c>
      <ns0:c r="B201" s="7" t="inlineStr">
        <ns0:is>
          <ns0:t>DB-067</ns0:t>
        </ns0:is>
      </ns0:c>
      <ns0:c r="C201" s="7" t="inlineStr">
        <ns0:is>
          <ns0:t>AMORIS</ns0:t>
        </ns0:is>
      </ns0:c>
      <ns0:c r="D201" s="7" t="inlineStr">
        <ns0:is>
          <ns0:t>Midnight Letters</ns0:t>
        </ns0:is>
      </ns0:c>
      <ns0:c r="E201" s="8" t="n">
        <ns0:v>2</ns0:v>
      </ns0:c>
      <ns0:c r="F201" s="7" t="inlineStr">
        <ns0:is>
          <ns0:t>The Wrong Invitation</ns0:t>
        </ns0:is>
      </ns0:c>
      <ns0:c r="G201" s="7" t="inlineStr">
        <ns0:is>
          <ns0:t>RO</ns0:t>
        </ns0:is>
      </ns0:c>
      <ns0:c r="H201" s="7" t="inlineStr">
        <ns0:is>
          <ns0:t>EN</ns0:t>
        </ns0:is>
      </ns0:c>
      <ns0:c r="I201" s="7" t="inlineStr">
        <ns0:is>
          <ns0:t>Traducere EN→RO</ns0:t>
        </ns0:is>
      </ns0:c>
      <ns0:c r="J201" s="11" t="inlineStr">
        <ns0:is>
          <ns0:t>Planificat</ns0:t>
        </ns0:is>
      </ns0:c>
      <ns0:c r="K201" s="11" t="inlineStr">
        <ns0:is>
          <ns0:t>De desemnat</ns0:t>
        </ns0:is>
      </ns0:c>
      <ns0:c r="L201" s="8">
        <ns0:f>Catalog_100!I68</ns0:f>
        <ns0:v>35000</ns0:v>
      </ns0:c>
      <ns0:c r="M201" s="13">
        <ns0:f>Catalog_100!J68</ns0:f>
        <ns0:v>46304.0</ns0:v>
      </ns0:c>
      <ns0:c r="N201" s="13">
        <ns0:f>Catalog_100!K68</ns0:f>
        <ns0:v>46322.0</ns0:v>
      </ns0:c>
      <ns0:c r="O201" s="13">
        <ns0:f>Catalog_100!L68</ns0:f>
        <ns0:v>46324.0</ns0:v>
      </ns0:c>
      <ns0:c r="P201" s="13">
        <ns0:f>Catalog_100!M68</ns0:f>
        <ns0:v>46326.0</ns0:v>
      </ns0:c>
      <ns0:c r="Q201" s="11" t="inlineStr"/>
      <ns0:c r="R201" s="10" t="inlineStr"/>
      <ns0:c r="S201" s="11" t="inlineStr"/>
      <ns0:c r="T201" s="11" t="inlineStr"/>
      <ns0:c r="U201" s="11" t="inlineStr"/>
      <ns0:c r="V201" s="11" t="inlineStr">
        <ns0:is>
          <ns0:t>Neconfirmat</ns0:t>
        </ns0:is>
      </ns0:c>
      <ns0:c r="W201" s="11" t="inlineStr">
        <ns0:is>
          <ns0:t>Fără ediție finală confirmată</ns0:t>
        </ns0:is>
      </ns0:c>
      <ns0:c r="X201" s="7">
        <ns0:f>IF(AND(J201="Publicat",Q201&lt;&gt;"",ISNUMBER(R201),S201&lt;&gt;"",U201&lt;&gt;"",V201="Confirmat"),1,0)</ns0:f>
        <ns0:v>0</ns0:v>
      </ns0:c>
    </ns0:row>
    <ns0:row r="202" ht="46" customHeight="1">
      <ns0:c r="A202" s="7" t="inlineStr">
        <ns0:is>
          <ns0:t>DB-067-DE</ns0:t>
        </ns0:is>
      </ns0:c>
      <ns0:c r="B202" s="7" t="inlineStr">
        <ns0:is>
          <ns0:t>DB-067</ns0:t>
        </ns0:is>
      </ns0:c>
      <ns0:c r="C202" s="7" t="inlineStr">
        <ns0:is>
          <ns0:t>AMORIS</ns0:t>
        </ns0:is>
      </ns0:c>
      <ns0:c r="D202" s="7" t="inlineStr">
        <ns0:is>
          <ns0:t>Midnight Letters</ns0:t>
        </ns0:is>
      </ns0:c>
      <ns0:c r="E202" s="8" t="n">
        <ns0:v>2</ns0:v>
      </ns0:c>
      <ns0:c r="F202" s="7" t="inlineStr">
        <ns0:is>
          <ns0:t>The Wrong Invitation</ns0:t>
        </ns0:is>
      </ns0:c>
      <ns0:c r="G202" s="7" t="inlineStr">
        <ns0:is>
          <ns0:t>DE</ns0:t>
        </ns0:is>
      </ns0:c>
      <ns0:c r="H202" s="7" t="inlineStr">
        <ns0:is>
          <ns0:t>EN</ns0:t>
        </ns0:is>
      </ns0:c>
      <ns0:c r="I202" s="7" t="inlineStr">
        <ns0:is>
          <ns0:t>Traducere EN→DE</ns0:t>
        </ns0:is>
      </ns0:c>
      <ns0:c r="J202" s="11" t="inlineStr">
        <ns0:is>
          <ns0:t>Planificat</ns0:t>
        </ns0:is>
      </ns0:c>
      <ns0:c r="K202" s="11" t="inlineStr">
        <ns0:is>
          <ns0:t>De desemnat</ns0:t>
        </ns0:is>
      </ns0:c>
      <ns0:c r="L202" s="8">
        <ns0:f>Catalog_100!I68</ns0:f>
        <ns0:v>35000</ns0:v>
      </ns0:c>
      <ns0:c r="M202" s="13">
        <ns0:f>Catalog_100!J68</ns0:f>
        <ns0:v>46304.0</ns0:v>
      </ns0:c>
      <ns0:c r="N202" s="13">
        <ns0:f>Catalog_100!K68</ns0:f>
        <ns0:v>46322.0</ns0:v>
      </ns0:c>
      <ns0:c r="O202" s="13">
        <ns0:f>Catalog_100!L68</ns0:f>
        <ns0:v>46324.0</ns0:v>
      </ns0:c>
      <ns0:c r="P202" s="13">
        <ns0:f>Catalog_100!M68</ns0:f>
        <ns0:v>46326.0</ns0:v>
      </ns0:c>
      <ns0:c r="Q202" s="11" t="inlineStr"/>
      <ns0:c r="R202" s="10" t="inlineStr"/>
      <ns0:c r="S202" s="11" t="inlineStr"/>
      <ns0:c r="T202" s="11" t="inlineStr"/>
      <ns0:c r="U202" s="11" t="inlineStr"/>
      <ns0:c r="V202" s="11" t="inlineStr">
        <ns0:is>
          <ns0:t>Neconfirmat</ns0:t>
        </ns0:is>
      </ns0:c>
      <ns0:c r="W202" s="11" t="inlineStr">
        <ns0:is>
          <ns0:t>Fără ediție finală confirmată</ns0:t>
        </ns0:is>
      </ns0:c>
      <ns0:c r="X202" s="7">
        <ns0:f>IF(AND(J202="Publicat",Q202&lt;&gt;"",ISNUMBER(R202),S202&lt;&gt;"",U202&lt;&gt;"",V202="Confirmat"),1,0)</ns0:f>
        <ns0:v>0</ns0:v>
      </ns0:c>
    </ns0:row>
    <ns0:row r="203" ht="46" customHeight="1">
      <ns0:c r="A203" s="7" t="inlineStr">
        <ns0:is>
          <ns0:t>DB-068-EN</ns0:t>
        </ns0:is>
      </ns0:c>
      <ns0:c r="B203" s="7" t="inlineStr">
        <ns0:is>
          <ns0:t>DB-068</ns0:t>
        </ns0:is>
      </ns0:c>
      <ns0:c r="C203" s="7" t="inlineStr">
        <ns0:is>
          <ns0:t>AMORIS</ns0:t>
        </ns0:is>
      </ns0:c>
      <ns0:c r="D203" s="7" t="inlineStr">
        <ns0:is>
          <ns0:t>Midnight Letters</ns0:t>
        </ns0:is>
      </ns0:c>
      <ns0:c r="E203" s="8" t="n">
        <ns0:v>3</ns0:v>
      </ns0:c>
      <ns0:c r="F203" s="7" t="inlineStr">
        <ns0:is>
          <ns0:t>The Night Train Promise</ns0:t>
        </ns0:is>
      </ns0:c>
      <ns0:c r="G203" s="7" t="inlineStr">
        <ns0:is>
          <ns0:t>EN</ns0:t>
        </ns0:is>
      </ns0:c>
      <ns0:c r="H203" s="7" t="inlineStr">
        <ns0:is>
          <ns0:t>EN</ns0:t>
        </ns0:is>
      </ns0:c>
      <ns0:c r="I203" s="7" t="inlineStr">
        <ns0:is>
          <ns0:t>Scriere nouă</ns0:t>
        </ns0:is>
      </ns0:c>
      <ns0:c r="J203" s="11" t="inlineStr">
        <ns0:is>
          <ns0:t>Planificat</ns0:t>
        </ns0:is>
      </ns0:c>
      <ns0:c r="K203" s="11" t="inlineStr">
        <ns0:is>
          <ns0:t>De desemnat</ns0:t>
        </ns0:is>
      </ns0:c>
      <ns0:c r="L203" s="8">
        <ns0:f>Catalog_100!I69</ns0:f>
        <ns0:v>35000</ns0:v>
      </ns0:c>
      <ns0:c r="M203" s="13">
        <ns0:f>Catalog_100!J69</ns0:f>
        <ns0:v>46304.0</ns0:v>
      </ns0:c>
      <ns0:c r="N203" s="13">
        <ns0:f>Catalog_100!K69</ns0:f>
        <ns0:v>46322.0</ns0:v>
      </ns0:c>
      <ns0:c r="O203" s="13">
        <ns0:f>Catalog_100!L69</ns0:f>
        <ns0:v>46324.0</ns0:v>
      </ns0:c>
      <ns0:c r="P203" s="13">
        <ns0:f>Catalog_100!M69</ns0:f>
        <ns0:v>46326.0</ns0:v>
      </ns0:c>
      <ns0:c r="Q203" s="11" t="inlineStr"/>
      <ns0:c r="R203" s="10" t="inlineStr"/>
      <ns0:c r="S203" s="11" t="inlineStr"/>
      <ns0:c r="T203" s="11" t="inlineStr"/>
      <ns0:c r="U203" s="11" t="inlineStr"/>
      <ns0:c r="V203" s="11" t="inlineStr">
        <ns0:is>
          <ns0:t>Neconfirmat</ns0:t>
        </ns0:is>
      </ns0:c>
      <ns0:c r="W203" s="11" t="inlineStr">
        <ns0:is>
          <ns0:t>Fără ediție finală confirmată</ns0:t>
        </ns0:is>
      </ns0:c>
      <ns0:c r="X203" s="7">
        <ns0:f>IF(AND(J203="Publicat",Q203&lt;&gt;"",ISNUMBER(R203),S203&lt;&gt;"",U203&lt;&gt;"",V203="Confirmat"),1,0)</ns0:f>
        <ns0:v>0</ns0:v>
      </ns0:c>
    </ns0:row>
    <ns0:row r="204" ht="46" customHeight="1">
      <ns0:c r="A204" s="7" t="inlineStr">
        <ns0:is>
          <ns0:t>DB-068-RO</ns0:t>
        </ns0:is>
      </ns0:c>
      <ns0:c r="B204" s="7" t="inlineStr">
        <ns0:is>
          <ns0:t>DB-068</ns0:t>
        </ns0:is>
      </ns0:c>
      <ns0:c r="C204" s="7" t="inlineStr">
        <ns0:is>
          <ns0:t>AMORIS</ns0:t>
        </ns0:is>
      </ns0:c>
      <ns0:c r="D204" s="7" t="inlineStr">
        <ns0:is>
          <ns0:t>Midnight Letters</ns0:t>
        </ns0:is>
      </ns0:c>
      <ns0:c r="E204" s="8" t="n">
        <ns0:v>3</ns0:v>
      </ns0:c>
      <ns0:c r="F204" s="7" t="inlineStr">
        <ns0:is>
          <ns0:t>The Night Train Promise</ns0:t>
        </ns0:is>
      </ns0:c>
      <ns0:c r="G204" s="7" t="inlineStr">
        <ns0:is>
          <ns0:t>RO</ns0:t>
        </ns0:is>
      </ns0:c>
      <ns0:c r="H204" s="7" t="inlineStr">
        <ns0:is>
          <ns0:t>EN</ns0:t>
        </ns0:is>
      </ns0:c>
      <ns0:c r="I204" s="7" t="inlineStr">
        <ns0:is>
          <ns0:t>Traducere EN→RO</ns0:t>
        </ns0:is>
      </ns0:c>
      <ns0:c r="J204" s="11" t="inlineStr">
        <ns0:is>
          <ns0:t>Planificat</ns0:t>
        </ns0:is>
      </ns0:c>
      <ns0:c r="K204" s="11" t="inlineStr">
        <ns0:is>
          <ns0:t>De desemnat</ns0:t>
        </ns0:is>
      </ns0:c>
      <ns0:c r="L204" s="8">
        <ns0:f>Catalog_100!I69</ns0:f>
        <ns0:v>35000</ns0:v>
      </ns0:c>
      <ns0:c r="M204" s="13">
        <ns0:f>Catalog_100!J69</ns0:f>
        <ns0:v>46304.0</ns0:v>
      </ns0:c>
      <ns0:c r="N204" s="13">
        <ns0:f>Catalog_100!K69</ns0:f>
        <ns0:v>46322.0</ns0:v>
      </ns0:c>
      <ns0:c r="O204" s="13">
        <ns0:f>Catalog_100!L69</ns0:f>
        <ns0:v>46324.0</ns0:v>
      </ns0:c>
      <ns0:c r="P204" s="13">
        <ns0:f>Catalog_100!M69</ns0:f>
        <ns0:v>46326.0</ns0:v>
      </ns0:c>
      <ns0:c r="Q204" s="11" t="inlineStr"/>
      <ns0:c r="R204" s="10" t="inlineStr"/>
      <ns0:c r="S204" s="11" t="inlineStr"/>
      <ns0:c r="T204" s="11" t="inlineStr"/>
      <ns0:c r="U204" s="11" t="inlineStr"/>
      <ns0:c r="V204" s="11" t="inlineStr">
        <ns0:is>
          <ns0:t>Neconfirmat</ns0:t>
        </ns0:is>
      </ns0:c>
      <ns0:c r="W204" s="11" t="inlineStr">
        <ns0:is>
          <ns0:t>Fără ediție finală confirmată</ns0:t>
        </ns0:is>
      </ns0:c>
      <ns0:c r="X204" s="7">
        <ns0:f>IF(AND(J204="Publicat",Q204&lt;&gt;"",ISNUMBER(R204),S204&lt;&gt;"",U204&lt;&gt;"",V204="Confirmat"),1,0)</ns0:f>
        <ns0:v>0</ns0:v>
      </ns0:c>
    </ns0:row>
    <ns0:row r="205" ht="46" customHeight="1">
      <ns0:c r="A205" s="7" t="inlineStr">
        <ns0:is>
          <ns0:t>DB-068-DE</ns0:t>
        </ns0:is>
      </ns0:c>
      <ns0:c r="B205" s="7" t="inlineStr">
        <ns0:is>
          <ns0:t>DB-068</ns0:t>
        </ns0:is>
      </ns0:c>
      <ns0:c r="C205" s="7" t="inlineStr">
        <ns0:is>
          <ns0:t>AMORIS</ns0:t>
        </ns0:is>
      </ns0:c>
      <ns0:c r="D205" s="7" t="inlineStr">
        <ns0:is>
          <ns0:t>Midnight Letters</ns0:t>
        </ns0:is>
      </ns0:c>
      <ns0:c r="E205" s="8" t="n">
        <ns0:v>3</ns0:v>
      </ns0:c>
      <ns0:c r="F205" s="7" t="inlineStr">
        <ns0:is>
          <ns0:t>The Night Train Promise</ns0:t>
        </ns0:is>
      </ns0:c>
      <ns0:c r="G205" s="7" t="inlineStr">
        <ns0:is>
          <ns0:t>DE</ns0:t>
        </ns0:is>
      </ns0:c>
      <ns0:c r="H205" s="7" t="inlineStr">
        <ns0:is>
          <ns0:t>EN</ns0:t>
        </ns0:is>
      </ns0:c>
      <ns0:c r="I205" s="7" t="inlineStr">
        <ns0:is>
          <ns0:t>Traducere EN→DE</ns0:t>
        </ns0:is>
      </ns0:c>
      <ns0:c r="J205" s="11" t="inlineStr">
        <ns0:is>
          <ns0:t>Planificat</ns0:t>
        </ns0:is>
      </ns0:c>
      <ns0:c r="K205" s="11" t="inlineStr">
        <ns0:is>
          <ns0:t>De desemnat</ns0:t>
        </ns0:is>
      </ns0:c>
      <ns0:c r="L205" s="8">
        <ns0:f>Catalog_100!I69</ns0:f>
        <ns0:v>35000</ns0:v>
      </ns0:c>
      <ns0:c r="M205" s="13">
        <ns0:f>Catalog_100!J69</ns0:f>
        <ns0:v>46304.0</ns0:v>
      </ns0:c>
      <ns0:c r="N205" s="13">
        <ns0:f>Catalog_100!K69</ns0:f>
        <ns0:v>46322.0</ns0:v>
      </ns0:c>
      <ns0:c r="O205" s="13">
        <ns0:f>Catalog_100!L69</ns0:f>
        <ns0:v>46324.0</ns0:v>
      </ns0:c>
      <ns0:c r="P205" s="13">
        <ns0:f>Catalog_100!M69</ns0:f>
        <ns0:v>46326.0</ns0:v>
      </ns0:c>
      <ns0:c r="Q205" s="11" t="inlineStr"/>
      <ns0:c r="R205" s="10" t="inlineStr"/>
      <ns0:c r="S205" s="11" t="inlineStr"/>
      <ns0:c r="T205" s="11" t="inlineStr"/>
      <ns0:c r="U205" s="11" t="inlineStr"/>
      <ns0:c r="V205" s="11" t="inlineStr">
        <ns0:is>
          <ns0:t>Neconfirmat</ns0:t>
        </ns0:is>
      </ns0:c>
      <ns0:c r="W205" s="11" t="inlineStr">
        <ns0:is>
          <ns0:t>Fără ediție finală confirmată</ns0:t>
        </ns0:is>
      </ns0:c>
      <ns0:c r="X205" s="7">
        <ns0:f>IF(AND(J205="Publicat",Q205&lt;&gt;"",ISNUMBER(R205),S205&lt;&gt;"",U205&lt;&gt;"",V205="Confirmat"),1,0)</ns0:f>
        <ns0:v>0</ns0:v>
      </ns0:c>
    </ns0:row>
    <ns0:row r="206" ht="46" customHeight="1">
      <ns0:c r="A206" s="7" t="inlineStr">
        <ns0:is>
          <ns0:t>DB-069-EN</ns0:t>
        </ns0:is>
      </ns0:c>
      <ns0:c r="B206" s="7" t="inlineStr">
        <ns0:is>
          <ns0:t>DB-069</ns0:t>
        </ns0:is>
      </ns0:c>
      <ns0:c r="C206" s="7" t="inlineStr">
        <ns0:is>
          <ns0:t>AMORIS</ns0:t>
        </ns0:is>
      </ns0:c>
      <ns0:c r="D206" s="7" t="inlineStr">
        <ns0:is>
          <ns0:t>Midnight Letters</ns0:t>
        </ns0:is>
      </ns0:c>
      <ns0:c r="E206" s="8" t="n">
        <ns0:v>4</ns0:v>
      </ns0:c>
      <ns0:c r="F206" s="7" t="inlineStr">
        <ns0:is>
          <ns0:t>The Letter We Never Sent</ns0:t>
        </ns0:is>
      </ns0:c>
      <ns0:c r="G206" s="7" t="inlineStr">
        <ns0:is>
          <ns0:t>EN</ns0:t>
        </ns0:is>
      </ns0:c>
      <ns0:c r="H206" s="7" t="inlineStr">
        <ns0:is>
          <ns0:t>EN</ns0:t>
        </ns0:is>
      </ns0:c>
      <ns0:c r="I206" s="7" t="inlineStr">
        <ns0:is>
          <ns0:t>Scriere nouă</ns0:t>
        </ns0:is>
      </ns0:c>
      <ns0:c r="J206" s="11" t="inlineStr">
        <ns0:is>
          <ns0:t>Planificat</ns0:t>
        </ns0:is>
      </ns0:c>
      <ns0:c r="K206" s="11" t="inlineStr">
        <ns0:is>
          <ns0:t>De desemnat</ns0:t>
        </ns0:is>
      </ns0:c>
      <ns0:c r="L206" s="8">
        <ns0:f>Catalog_100!I70</ns0:f>
        <ns0:v>35000</ns0:v>
      </ns0:c>
      <ns0:c r="M206" s="13">
        <ns0:f>Catalog_100!J70</ns0:f>
        <ns0:v>46304.0</ns0:v>
      </ns0:c>
      <ns0:c r="N206" s="13">
        <ns0:f>Catalog_100!K70</ns0:f>
        <ns0:v>46322.0</ns0:v>
      </ns0:c>
      <ns0:c r="O206" s="13">
        <ns0:f>Catalog_100!L70</ns0:f>
        <ns0:v>46324.0</ns0:v>
      </ns0:c>
      <ns0:c r="P206" s="13">
        <ns0:f>Catalog_100!M70</ns0:f>
        <ns0:v>46326.0</ns0:v>
      </ns0:c>
      <ns0:c r="Q206" s="11" t="inlineStr"/>
      <ns0:c r="R206" s="10" t="inlineStr"/>
      <ns0:c r="S206" s="11" t="inlineStr"/>
      <ns0:c r="T206" s="11" t="inlineStr"/>
      <ns0:c r="U206" s="11" t="inlineStr"/>
      <ns0:c r="V206" s="11" t="inlineStr">
        <ns0:is>
          <ns0:t>Neconfirmat</ns0:t>
        </ns0:is>
      </ns0:c>
      <ns0:c r="W206" s="11" t="inlineStr">
        <ns0:is>
          <ns0:t>Fără ediție finală confirmată</ns0:t>
        </ns0:is>
      </ns0:c>
      <ns0:c r="X206" s="7">
        <ns0:f>IF(AND(J206="Publicat",Q206&lt;&gt;"",ISNUMBER(R206),S206&lt;&gt;"",U206&lt;&gt;"",V206="Confirmat"),1,0)</ns0:f>
        <ns0:v>0</ns0:v>
      </ns0:c>
    </ns0:row>
    <ns0:row r="207" ht="46" customHeight="1">
      <ns0:c r="A207" s="7" t="inlineStr">
        <ns0:is>
          <ns0:t>DB-069-RO</ns0:t>
        </ns0:is>
      </ns0:c>
      <ns0:c r="B207" s="7" t="inlineStr">
        <ns0:is>
          <ns0:t>DB-069</ns0:t>
        </ns0:is>
      </ns0:c>
      <ns0:c r="C207" s="7" t="inlineStr">
        <ns0:is>
          <ns0:t>AMORIS</ns0:t>
        </ns0:is>
      </ns0:c>
      <ns0:c r="D207" s="7" t="inlineStr">
        <ns0:is>
          <ns0:t>Midnight Letters</ns0:t>
        </ns0:is>
      </ns0:c>
      <ns0:c r="E207" s="8" t="n">
        <ns0:v>4</ns0:v>
      </ns0:c>
      <ns0:c r="F207" s="7" t="inlineStr">
        <ns0:is>
          <ns0:t>The Letter We Never Sent</ns0:t>
        </ns0:is>
      </ns0:c>
      <ns0:c r="G207" s="7" t="inlineStr">
        <ns0:is>
          <ns0:t>RO</ns0:t>
        </ns0:is>
      </ns0:c>
      <ns0:c r="H207" s="7" t="inlineStr">
        <ns0:is>
          <ns0:t>EN</ns0:t>
        </ns0:is>
      </ns0:c>
      <ns0:c r="I207" s="7" t="inlineStr">
        <ns0:is>
          <ns0:t>Traducere EN→RO</ns0:t>
        </ns0:is>
      </ns0:c>
      <ns0:c r="J207" s="11" t="inlineStr">
        <ns0:is>
          <ns0:t>Planificat</ns0:t>
        </ns0:is>
      </ns0:c>
      <ns0:c r="K207" s="11" t="inlineStr">
        <ns0:is>
          <ns0:t>De desemnat</ns0:t>
        </ns0:is>
      </ns0:c>
      <ns0:c r="L207" s="8">
        <ns0:f>Catalog_100!I70</ns0:f>
        <ns0:v>35000</ns0:v>
      </ns0:c>
      <ns0:c r="M207" s="13">
        <ns0:f>Catalog_100!J70</ns0:f>
        <ns0:v>46304.0</ns0:v>
      </ns0:c>
      <ns0:c r="N207" s="13">
        <ns0:f>Catalog_100!K70</ns0:f>
        <ns0:v>46322.0</ns0:v>
      </ns0:c>
      <ns0:c r="O207" s="13">
        <ns0:f>Catalog_100!L70</ns0:f>
        <ns0:v>46324.0</ns0:v>
      </ns0:c>
      <ns0:c r="P207" s="13">
        <ns0:f>Catalog_100!M70</ns0:f>
        <ns0:v>46326.0</ns0:v>
      </ns0:c>
      <ns0:c r="Q207" s="11" t="inlineStr"/>
      <ns0:c r="R207" s="10" t="inlineStr"/>
      <ns0:c r="S207" s="11" t="inlineStr"/>
      <ns0:c r="T207" s="11" t="inlineStr"/>
      <ns0:c r="U207" s="11" t="inlineStr"/>
      <ns0:c r="V207" s="11" t="inlineStr">
        <ns0:is>
          <ns0:t>Neconfirmat</ns0:t>
        </ns0:is>
      </ns0:c>
      <ns0:c r="W207" s="11" t="inlineStr">
        <ns0:is>
          <ns0:t>Fără ediție finală confirmată</ns0:t>
        </ns0:is>
      </ns0:c>
      <ns0:c r="X207" s="7">
        <ns0:f>IF(AND(J207="Publicat",Q207&lt;&gt;"",ISNUMBER(R207),S207&lt;&gt;"",U207&lt;&gt;"",V207="Confirmat"),1,0)</ns0:f>
        <ns0:v>0</ns0:v>
      </ns0:c>
    </ns0:row>
    <ns0:row r="208" ht="46" customHeight="1">
      <ns0:c r="A208" s="7" t="inlineStr">
        <ns0:is>
          <ns0:t>DB-069-DE</ns0:t>
        </ns0:is>
      </ns0:c>
      <ns0:c r="B208" s="7" t="inlineStr">
        <ns0:is>
          <ns0:t>DB-069</ns0:t>
        </ns0:is>
      </ns0:c>
      <ns0:c r="C208" s="7" t="inlineStr">
        <ns0:is>
          <ns0:t>AMORIS</ns0:t>
        </ns0:is>
      </ns0:c>
      <ns0:c r="D208" s="7" t="inlineStr">
        <ns0:is>
          <ns0:t>Midnight Letters</ns0:t>
        </ns0:is>
      </ns0:c>
      <ns0:c r="E208" s="8" t="n">
        <ns0:v>4</ns0:v>
      </ns0:c>
      <ns0:c r="F208" s="7" t="inlineStr">
        <ns0:is>
          <ns0:t>The Letter We Never Sent</ns0:t>
        </ns0:is>
      </ns0:c>
      <ns0:c r="G208" s="7" t="inlineStr">
        <ns0:is>
          <ns0:t>DE</ns0:t>
        </ns0:is>
      </ns0:c>
      <ns0:c r="H208" s="7" t="inlineStr">
        <ns0:is>
          <ns0:t>EN</ns0:t>
        </ns0:is>
      </ns0:c>
      <ns0:c r="I208" s="7" t="inlineStr">
        <ns0:is>
          <ns0:t>Traducere EN→DE</ns0:t>
        </ns0:is>
      </ns0:c>
      <ns0:c r="J208" s="11" t="inlineStr">
        <ns0:is>
          <ns0:t>Planificat</ns0:t>
        </ns0:is>
      </ns0:c>
      <ns0:c r="K208" s="11" t="inlineStr">
        <ns0:is>
          <ns0:t>De desemnat</ns0:t>
        </ns0:is>
      </ns0:c>
      <ns0:c r="L208" s="8">
        <ns0:f>Catalog_100!I70</ns0:f>
        <ns0:v>35000</ns0:v>
      </ns0:c>
      <ns0:c r="M208" s="13">
        <ns0:f>Catalog_100!J70</ns0:f>
        <ns0:v>46304.0</ns0:v>
      </ns0:c>
      <ns0:c r="N208" s="13">
        <ns0:f>Catalog_100!K70</ns0:f>
        <ns0:v>46322.0</ns0:v>
      </ns0:c>
      <ns0:c r="O208" s="13">
        <ns0:f>Catalog_100!L70</ns0:f>
        <ns0:v>46324.0</ns0:v>
      </ns0:c>
      <ns0:c r="P208" s="13">
        <ns0:f>Catalog_100!M70</ns0:f>
        <ns0:v>46326.0</ns0:v>
      </ns0:c>
      <ns0:c r="Q208" s="11" t="inlineStr"/>
      <ns0:c r="R208" s="10" t="inlineStr"/>
      <ns0:c r="S208" s="11" t="inlineStr"/>
      <ns0:c r="T208" s="11" t="inlineStr"/>
      <ns0:c r="U208" s="11" t="inlineStr"/>
      <ns0:c r="V208" s="11" t="inlineStr">
        <ns0:is>
          <ns0:t>Neconfirmat</ns0:t>
        </ns0:is>
      </ns0:c>
      <ns0:c r="W208" s="11" t="inlineStr">
        <ns0:is>
          <ns0:t>Fără ediție finală confirmată</ns0:t>
        </ns0:is>
      </ns0:c>
      <ns0:c r="X208" s="7">
        <ns0:f>IF(AND(J208="Publicat",Q208&lt;&gt;"",ISNUMBER(R208),S208&lt;&gt;"",U208&lt;&gt;"",V208="Confirmat"),1,0)</ns0:f>
        <ns0:v>0</ns0:v>
      </ns0:c>
    </ns0:row>
    <ns0:row r="209" ht="46" customHeight="1">
      <ns0:c r="A209" s="7" t="inlineStr">
        <ns0:is>
          <ns0:t>DB-070-EN</ns0:t>
        </ns0:is>
      </ns0:c>
      <ns0:c r="B209" s="7" t="inlineStr">
        <ns0:is>
          <ns0:t>DB-070</ns0:t>
        </ns0:is>
      </ns0:c>
      <ns0:c r="C209" s="7" t="inlineStr">
        <ns0:is>
          <ns0:t>AMORIS</ns0:t>
        </ns0:is>
      </ns0:c>
      <ns0:c r="D209" s="7" t="inlineStr">
        <ns0:is>
          <ns0:t>Midnight Letters</ns0:t>
        </ns0:is>
      </ns0:c>
      <ns0:c r="E209" s="8" t="n">
        <ns0:v>5</ns0:v>
      </ns0:c>
      <ns0:c r="F209" s="7" t="inlineStr">
        <ns0:is>
          <ns0:t>Home Before the Snow</ns0:t>
        </ns0:is>
      </ns0:c>
      <ns0:c r="G209" s="7" t="inlineStr">
        <ns0:is>
          <ns0:t>EN</ns0:t>
        </ns0:is>
      </ns0:c>
      <ns0:c r="H209" s="7" t="inlineStr">
        <ns0:is>
          <ns0:t>EN</ns0:t>
        </ns0:is>
      </ns0:c>
      <ns0:c r="I209" s="7" t="inlineStr">
        <ns0:is>
          <ns0:t>Scriere nouă</ns0:t>
        </ns0:is>
      </ns0:c>
      <ns0:c r="J209" s="11" t="inlineStr">
        <ns0:is>
          <ns0:t>Planificat</ns0:t>
        </ns0:is>
      </ns0:c>
      <ns0:c r="K209" s="11" t="inlineStr">
        <ns0:is>
          <ns0:t>De desemnat</ns0:t>
        </ns0:is>
      </ns0:c>
      <ns0:c r="L209" s="8">
        <ns0:f>Catalog_100!I71</ns0:f>
        <ns0:v>35000</ns0:v>
      </ns0:c>
      <ns0:c r="M209" s="13">
        <ns0:f>Catalog_100!J71</ns0:f>
        <ns0:v>46304.0</ns0:v>
      </ns0:c>
      <ns0:c r="N209" s="13">
        <ns0:f>Catalog_100!K71</ns0:f>
        <ns0:v>46322.0</ns0:v>
      </ns0:c>
      <ns0:c r="O209" s="13">
        <ns0:f>Catalog_100!L71</ns0:f>
        <ns0:v>46324.0</ns0:v>
      </ns0:c>
      <ns0:c r="P209" s="13">
        <ns0:f>Catalog_100!M71</ns0:f>
        <ns0:v>46326.0</ns0:v>
      </ns0:c>
      <ns0:c r="Q209" s="11" t="inlineStr"/>
      <ns0:c r="R209" s="10" t="inlineStr"/>
      <ns0:c r="S209" s="11" t="inlineStr"/>
      <ns0:c r="T209" s="11" t="inlineStr"/>
      <ns0:c r="U209" s="11" t="inlineStr"/>
      <ns0:c r="V209" s="11" t="inlineStr">
        <ns0:is>
          <ns0:t>Neconfirmat</ns0:t>
        </ns0:is>
      </ns0:c>
      <ns0:c r="W209" s="11" t="inlineStr">
        <ns0:is>
          <ns0:t>Fără ediție finală confirmată</ns0:t>
        </ns0:is>
      </ns0:c>
      <ns0:c r="X209" s="7">
        <ns0:f>IF(AND(J209="Publicat",Q209&lt;&gt;"",ISNUMBER(R209),S209&lt;&gt;"",U209&lt;&gt;"",V209="Confirmat"),1,0)</ns0:f>
        <ns0:v>0</ns0:v>
      </ns0:c>
    </ns0:row>
    <ns0:row r="210" ht="46" customHeight="1">
      <ns0:c r="A210" s="7" t="inlineStr">
        <ns0:is>
          <ns0:t>DB-070-RO</ns0:t>
        </ns0:is>
      </ns0:c>
      <ns0:c r="B210" s="7" t="inlineStr">
        <ns0:is>
          <ns0:t>DB-070</ns0:t>
        </ns0:is>
      </ns0:c>
      <ns0:c r="C210" s="7" t="inlineStr">
        <ns0:is>
          <ns0:t>AMORIS</ns0:t>
        </ns0:is>
      </ns0:c>
      <ns0:c r="D210" s="7" t="inlineStr">
        <ns0:is>
          <ns0:t>Midnight Letters</ns0:t>
        </ns0:is>
      </ns0:c>
      <ns0:c r="E210" s="8" t="n">
        <ns0:v>5</ns0:v>
      </ns0:c>
      <ns0:c r="F210" s="7" t="inlineStr">
        <ns0:is>
          <ns0:t>Home Before the Snow</ns0:t>
        </ns0:is>
      </ns0:c>
      <ns0:c r="G210" s="7" t="inlineStr">
        <ns0:is>
          <ns0:t>RO</ns0:t>
        </ns0:is>
      </ns0:c>
      <ns0:c r="H210" s="7" t="inlineStr">
        <ns0:is>
          <ns0:t>EN</ns0:t>
        </ns0:is>
      </ns0:c>
      <ns0:c r="I210" s="7" t="inlineStr">
        <ns0:is>
          <ns0:t>Traducere EN→RO</ns0:t>
        </ns0:is>
      </ns0:c>
      <ns0:c r="J210" s="11" t="inlineStr">
        <ns0:is>
          <ns0:t>Planificat</ns0:t>
        </ns0:is>
      </ns0:c>
      <ns0:c r="K210" s="11" t="inlineStr">
        <ns0:is>
          <ns0:t>De desemnat</ns0:t>
        </ns0:is>
      </ns0:c>
      <ns0:c r="L210" s="8">
        <ns0:f>Catalog_100!I71</ns0:f>
        <ns0:v>35000</ns0:v>
      </ns0:c>
      <ns0:c r="M210" s="13">
        <ns0:f>Catalog_100!J71</ns0:f>
        <ns0:v>46304.0</ns0:v>
      </ns0:c>
      <ns0:c r="N210" s="13">
        <ns0:f>Catalog_100!K71</ns0:f>
        <ns0:v>46322.0</ns0:v>
      </ns0:c>
      <ns0:c r="O210" s="13">
        <ns0:f>Catalog_100!L71</ns0:f>
        <ns0:v>46324.0</ns0:v>
      </ns0:c>
      <ns0:c r="P210" s="13">
        <ns0:f>Catalog_100!M71</ns0:f>
        <ns0:v>46326.0</ns0:v>
      </ns0:c>
      <ns0:c r="Q210" s="11" t="inlineStr"/>
      <ns0:c r="R210" s="10" t="inlineStr"/>
      <ns0:c r="S210" s="11" t="inlineStr"/>
      <ns0:c r="T210" s="11" t="inlineStr"/>
      <ns0:c r="U210" s="11" t="inlineStr"/>
      <ns0:c r="V210" s="11" t="inlineStr">
        <ns0:is>
          <ns0:t>Neconfirmat</ns0:t>
        </ns0:is>
      </ns0:c>
      <ns0:c r="W210" s="11" t="inlineStr">
        <ns0:is>
          <ns0:t>Fără ediție finală confirmată</ns0:t>
        </ns0:is>
      </ns0:c>
      <ns0:c r="X210" s="7">
        <ns0:f>IF(AND(J210="Publicat",Q210&lt;&gt;"",ISNUMBER(R210),S210&lt;&gt;"",U210&lt;&gt;"",V210="Confirmat"),1,0)</ns0:f>
        <ns0:v>0</ns0:v>
      </ns0:c>
    </ns0:row>
    <ns0:row r="211" ht="46" customHeight="1">
      <ns0:c r="A211" s="7" t="inlineStr">
        <ns0:is>
          <ns0:t>DB-070-DE</ns0:t>
        </ns0:is>
      </ns0:c>
      <ns0:c r="B211" s="7" t="inlineStr">
        <ns0:is>
          <ns0:t>DB-070</ns0:t>
        </ns0:is>
      </ns0:c>
      <ns0:c r="C211" s="7" t="inlineStr">
        <ns0:is>
          <ns0:t>AMORIS</ns0:t>
        </ns0:is>
      </ns0:c>
      <ns0:c r="D211" s="7" t="inlineStr">
        <ns0:is>
          <ns0:t>Midnight Letters</ns0:t>
        </ns0:is>
      </ns0:c>
      <ns0:c r="E211" s="8" t="n">
        <ns0:v>5</ns0:v>
      </ns0:c>
      <ns0:c r="F211" s="7" t="inlineStr">
        <ns0:is>
          <ns0:t>Home Before the Snow</ns0:t>
        </ns0:is>
      </ns0:c>
      <ns0:c r="G211" s="7" t="inlineStr">
        <ns0:is>
          <ns0:t>DE</ns0:t>
        </ns0:is>
      </ns0:c>
      <ns0:c r="H211" s="7" t="inlineStr">
        <ns0:is>
          <ns0:t>EN</ns0:t>
        </ns0:is>
      </ns0:c>
      <ns0:c r="I211" s="7" t="inlineStr">
        <ns0:is>
          <ns0:t>Traducere EN→DE</ns0:t>
        </ns0:is>
      </ns0:c>
      <ns0:c r="J211" s="11" t="inlineStr">
        <ns0:is>
          <ns0:t>Planificat</ns0:t>
        </ns0:is>
      </ns0:c>
      <ns0:c r="K211" s="11" t="inlineStr">
        <ns0:is>
          <ns0:t>De desemnat</ns0:t>
        </ns0:is>
      </ns0:c>
      <ns0:c r="L211" s="8">
        <ns0:f>Catalog_100!I71</ns0:f>
        <ns0:v>35000</ns0:v>
      </ns0:c>
      <ns0:c r="M211" s="13">
        <ns0:f>Catalog_100!J71</ns0:f>
        <ns0:v>46304.0</ns0:v>
      </ns0:c>
      <ns0:c r="N211" s="13">
        <ns0:f>Catalog_100!K71</ns0:f>
        <ns0:v>46322.0</ns0:v>
      </ns0:c>
      <ns0:c r="O211" s="13">
        <ns0:f>Catalog_100!L71</ns0:f>
        <ns0:v>46324.0</ns0:v>
      </ns0:c>
      <ns0:c r="P211" s="13">
        <ns0:f>Catalog_100!M71</ns0:f>
        <ns0:v>46326.0</ns0:v>
      </ns0:c>
      <ns0:c r="Q211" s="11" t="inlineStr"/>
      <ns0:c r="R211" s="10" t="inlineStr"/>
      <ns0:c r="S211" s="11" t="inlineStr"/>
      <ns0:c r="T211" s="11" t="inlineStr"/>
      <ns0:c r="U211" s="11" t="inlineStr"/>
      <ns0:c r="V211" s="11" t="inlineStr">
        <ns0:is>
          <ns0:t>Neconfirmat</ns0:t>
        </ns0:is>
      </ns0:c>
      <ns0:c r="W211" s="11" t="inlineStr">
        <ns0:is>
          <ns0:t>Fără ediție finală confirmată</ns0:t>
        </ns0:is>
      </ns0:c>
      <ns0:c r="X211" s="7">
        <ns0:f>IF(AND(J211="Publicat",Q211&lt;&gt;"",ISNUMBER(R211),S211&lt;&gt;"",U211&lt;&gt;"",V211="Confirmat"),1,0)</ns0:f>
        <ns0:v>0</ns0:v>
      </ns0:c>
    </ns0:row>
    <ns0:row r="212" ht="46" customHeight="1">
      <ns0:c r="A212" s="7" t="inlineStr">
        <ns0:is>
          <ns0:t>DB-071-EN</ns0:t>
        </ns0:is>
      </ns0:c>
      <ns0:c r="B212" s="7" t="inlineStr">
        <ns0:is>
          <ns0:t>DB-071</ns0:t>
        </ns0:is>
      </ns0:c>
      <ns0:c r="C212" s="7" t="inlineStr">
        <ns0:is>
          <ns0:t>MYTHICA</ns0:t>
        </ns0:is>
      </ns0:c>
      <ns0:c r="D212" s="7" t="inlineStr">
        <ns0:is>
          <ns0:t>Saga Celor Zece Coroane</ns0:t>
        </ns0:is>
      </ns0:c>
      <ns0:c r="E212" s="8" t="n">
        <ns0:v>1</ns0:v>
      </ns0:c>
      <ns0:c r="F212" s="7" t="inlineStr">
        <ns0:is>
          <ns0:t>The Northern Crown</ns0:t>
        </ns0:is>
      </ns0:c>
      <ns0:c r="G212" s="7" t="inlineStr">
        <ns0:is>
          <ns0:t>EN</ns0:t>
        </ns0:is>
      </ns0:c>
      <ns0:c r="H212" s="7" t="inlineStr">
        <ns0:is>
          <ns0:t>EN</ns0:t>
        </ns0:is>
      </ns0:c>
      <ns0:c r="I212" s="7" t="inlineStr">
        <ns0:is>
          <ns0:t>Editare fond</ns0:t>
        </ns0:is>
      </ns0:c>
      <ns0:c r="J212" s="11" t="inlineStr">
        <ns0:is>
          <ns0:t>Manuscris existent</ns0:t>
        </ns0:is>
      </ns0:c>
      <ns0:c r="K212" s="11" t="inlineStr">
        <ns0:is>
          <ns0:t>De desemnat</ns0:t>
        </ns0:is>
      </ns0:c>
      <ns0:c r="L212" s="8">
        <ns0:f>Catalog_100!I72</ns0:f>
        <ns0:v>95000</ns0:v>
      </ns0:c>
      <ns0:c r="M212" s="13">
        <ns0:f>Catalog_100!J72</ns0:f>
        <ns0:v>46305.0</ns0:v>
      </ns0:c>
      <ns0:c r="N212" s="13">
        <ns0:f>Catalog_100!K72</ns0:f>
        <ns0:v>46315.0</ns0:v>
      </ns0:c>
      <ns0:c r="O212" s="13">
        <ns0:f>Catalog_100!L72</ns0:f>
        <ns0:v>46317.0</ns0:v>
      </ns0:c>
      <ns0:c r="P212" s="13">
        <ns0:f>Catalog_100!M72</ns0:f>
        <ns0:v>46319.0</ns0:v>
      </ns0:c>
      <ns0:c r="Q212" s="11" t="inlineStr"/>
      <ns0:c r="R212" s="10" t="inlineStr"/>
      <ns0:c r="S212" s="11" t="inlineStr"/>
      <ns0:c r="T212" s="11" t="inlineStr"/>
      <ns0:c r="U212" s="11" t="inlineStr"/>
      <ns0:c r="V212" s="11" t="inlineStr">
        <ns0:is>
          <ns0:t>Neconfirmat</ns0:t>
        </ns0:is>
      </ns0:c>
      <ns0:c r="W212" s="11" t="inlineStr">
        <ns0:is>
          <ns0:t>Finalul anunță The Eastern Sands; planul arhivat numește vol.2 The Crown of Waters.</ns0:t>
        </ns0:is>
      </ns0:c>
      <ns0:c r="X212" s="7">
        <ns0:f>IF(AND(J212="Publicat",Q212&lt;&gt;"",ISNUMBER(R212),S212&lt;&gt;"",U212&lt;&gt;"",V212="Confirmat"),1,0)</ns0:f>
        <ns0:v>0</ns0:v>
      </ns0:c>
    </ns0:row>
    <ns0:row r="213" ht="46" customHeight="1">
      <ns0:c r="A213" s="7" t="inlineStr">
        <ns0:is>
          <ns0:t>DB-071-RO</ns0:t>
        </ns0:is>
      </ns0:c>
      <ns0:c r="B213" s="7" t="inlineStr">
        <ns0:is>
          <ns0:t>DB-071</ns0:t>
        </ns0:is>
      </ns0:c>
      <ns0:c r="C213" s="7" t="inlineStr">
        <ns0:is>
          <ns0:t>MYTHICA</ns0:t>
        </ns0:is>
      </ns0:c>
      <ns0:c r="D213" s="7" t="inlineStr">
        <ns0:is>
          <ns0:t>Saga Celor Zece Coroane</ns0:t>
        </ns0:is>
      </ns0:c>
      <ns0:c r="E213" s="8" t="n">
        <ns0:v>1</ns0:v>
      </ns0:c>
      <ns0:c r="F213" s="7" t="inlineStr">
        <ns0:is>
          <ns0:t>The Northern Crown</ns0:t>
        </ns0:is>
      </ns0:c>
      <ns0:c r="G213" s="7" t="inlineStr">
        <ns0:is>
          <ns0:t>RO</ns0:t>
        </ns0:is>
      </ns0:c>
      <ns0:c r="H213" s="7" t="inlineStr">
        <ns0:is>
          <ns0:t>EN</ns0:t>
        </ns0:is>
      </ns0:c>
      <ns0:c r="I213" s="7" t="inlineStr">
        <ns0:is>
          <ns0:t>Traducere EN→RO</ns0:t>
        </ns0:is>
      </ns0:c>
      <ns0:c r="J213" s="11" t="inlineStr">
        <ns0:is>
          <ns0:t>Planificat</ns0:t>
        </ns0:is>
      </ns0:c>
      <ns0:c r="K213" s="11" t="inlineStr">
        <ns0:is>
          <ns0:t>De desemnat</ns0:t>
        </ns0:is>
      </ns0:c>
      <ns0:c r="L213" s="8">
        <ns0:f>Catalog_100!I72</ns0:f>
        <ns0:v>95000</ns0:v>
      </ns0:c>
      <ns0:c r="M213" s="13">
        <ns0:f>Catalog_100!J72</ns0:f>
        <ns0:v>46305.0</ns0:v>
      </ns0:c>
      <ns0:c r="N213" s="13">
        <ns0:f>Catalog_100!K72</ns0:f>
        <ns0:v>46315.0</ns0:v>
      </ns0:c>
      <ns0:c r="O213" s="13">
        <ns0:f>Catalog_100!L72</ns0:f>
        <ns0:v>46317.0</ns0:v>
      </ns0:c>
      <ns0:c r="P213" s="13">
        <ns0:f>Catalog_100!M72</ns0:f>
        <ns0:v>46319.0</ns0:v>
      </ns0:c>
      <ns0:c r="Q213" s="11" t="inlineStr"/>
      <ns0:c r="R213" s="10" t="inlineStr"/>
      <ns0:c r="S213" s="11" t="inlineStr"/>
      <ns0:c r="T213" s="11" t="inlineStr"/>
      <ns0:c r="U213" s="11" t="inlineStr"/>
      <ns0:c r="V213" s="11" t="inlineStr">
        <ns0:is>
          <ns0:t>Neconfirmat</ns0:t>
        </ns0:is>
      </ns0:c>
      <ns0:c r="W213" s="11" t="inlineStr">
        <ns0:is>
          <ns0:t>Fără ediție finală confirmată</ns0:t>
        </ns0:is>
      </ns0:c>
      <ns0:c r="X213" s="7">
        <ns0:f>IF(AND(J213="Publicat",Q213&lt;&gt;"",ISNUMBER(R213),S213&lt;&gt;"",U213&lt;&gt;"",V213="Confirmat"),1,0)</ns0:f>
        <ns0:v>0</ns0:v>
      </ns0:c>
    </ns0:row>
    <ns0:row r="214" ht="46" customHeight="1">
      <ns0:c r="A214" s="7" t="inlineStr">
        <ns0:is>
          <ns0:t>DB-071-DE</ns0:t>
        </ns0:is>
      </ns0:c>
      <ns0:c r="B214" s="7" t="inlineStr">
        <ns0:is>
          <ns0:t>DB-071</ns0:t>
        </ns0:is>
      </ns0:c>
      <ns0:c r="C214" s="7" t="inlineStr">
        <ns0:is>
          <ns0:t>MYTHICA</ns0:t>
        </ns0:is>
      </ns0:c>
      <ns0:c r="D214" s="7" t="inlineStr">
        <ns0:is>
          <ns0:t>Saga Celor Zece Coroane</ns0:t>
        </ns0:is>
      </ns0:c>
      <ns0:c r="E214" s="8" t="n">
        <ns0:v>1</ns0:v>
      </ns0:c>
      <ns0:c r="F214" s="7" t="inlineStr">
        <ns0:is>
          <ns0:t>The Northern Crown</ns0:t>
        </ns0:is>
      </ns0:c>
      <ns0:c r="G214" s="7" t="inlineStr">
        <ns0:is>
          <ns0:t>DE</ns0:t>
        </ns0:is>
      </ns0:c>
      <ns0:c r="H214" s="7" t="inlineStr">
        <ns0:is>
          <ns0:t>EN</ns0:t>
        </ns0:is>
      </ns0:c>
      <ns0:c r="I214" s="7" t="inlineStr">
        <ns0:is>
          <ns0:t>Traducere EN→DE</ns0:t>
        </ns0:is>
      </ns0:c>
      <ns0:c r="J214" s="11" t="inlineStr">
        <ns0:is>
          <ns0:t>Planificat</ns0:t>
        </ns0:is>
      </ns0:c>
      <ns0:c r="K214" s="11" t="inlineStr">
        <ns0:is>
          <ns0:t>De desemnat</ns0:t>
        </ns0:is>
      </ns0:c>
      <ns0:c r="L214" s="8">
        <ns0:f>Catalog_100!I72</ns0:f>
        <ns0:v>95000</ns0:v>
      </ns0:c>
      <ns0:c r="M214" s="13">
        <ns0:f>Catalog_100!J72</ns0:f>
        <ns0:v>46305.0</ns0:v>
      </ns0:c>
      <ns0:c r="N214" s="13">
        <ns0:f>Catalog_100!K72</ns0:f>
        <ns0:v>46315.0</ns0:v>
      </ns0:c>
      <ns0:c r="O214" s="13">
        <ns0:f>Catalog_100!L72</ns0:f>
        <ns0:v>46317.0</ns0:v>
      </ns0:c>
      <ns0:c r="P214" s="13">
        <ns0:f>Catalog_100!M72</ns0:f>
        <ns0:v>46319.0</ns0:v>
      </ns0:c>
      <ns0:c r="Q214" s="11" t="inlineStr"/>
      <ns0:c r="R214" s="10" t="inlineStr"/>
      <ns0:c r="S214" s="11" t="inlineStr"/>
      <ns0:c r="T214" s="11" t="inlineStr"/>
      <ns0:c r="U214" s="11" t="inlineStr"/>
      <ns0:c r="V214" s="11" t="inlineStr">
        <ns0:is>
          <ns0:t>Neconfirmat</ns0:t>
        </ns0:is>
      </ns0:c>
      <ns0:c r="W214" s="11" t="inlineStr">
        <ns0:is>
          <ns0:t>Fără ediție finală confirmată</ns0:t>
        </ns0:is>
      </ns0:c>
      <ns0:c r="X214" s="7">
        <ns0:f>IF(AND(J214="Publicat",Q214&lt;&gt;"",ISNUMBER(R214),S214&lt;&gt;"",U214&lt;&gt;"",V214="Confirmat"),1,0)</ns0:f>
        <ns0:v>0</ns0:v>
      </ns0:c>
    </ns0:row>
    <ns0:row r="215" ht="46" customHeight="1">
      <ns0:c r="A215" s="7" t="inlineStr">
        <ns0:is>
          <ns0:t>DB-072-EN</ns0:t>
        </ns0:is>
      </ns0:c>
      <ns0:c r="B215" s="7" t="inlineStr">
        <ns0:is>
          <ns0:t>DB-072</ns0:t>
        </ns0:is>
      </ns0:c>
      <ns0:c r="C215" s="7" t="inlineStr">
        <ns0:is>
          <ns0:t>MYTHICA</ns0:t>
        </ns0:is>
      </ns0:c>
      <ns0:c r="D215" s="7" t="inlineStr">
        <ns0:is>
          <ns0:t>Saga Celor Zece Coroane</ns0:t>
        </ns0:is>
      </ns0:c>
      <ns0:c r="E215" s="8" t="n">
        <ns0:v>2</ns0:v>
      </ns0:c>
      <ns0:c r="F215" s="7" t="inlineStr">
        <ns0:is>
          <ns0:t>The Crown of Waters</ns0:t>
        </ns0:is>
      </ns0:c>
      <ns0:c r="G215" s="7" t="inlineStr">
        <ns0:is>
          <ns0:t>EN</ns0:t>
        </ns0:is>
      </ns0:c>
      <ns0:c r="H215" s="7" t="inlineStr">
        <ns0:is>
          <ns0:t>EN</ns0:t>
        </ns0:is>
      </ns0:c>
      <ns0:c r="I215" s="7" t="inlineStr">
        <ns0:is>
          <ns0:t>Scriere nouă</ns0:t>
        </ns0:is>
      </ns0:c>
      <ns0:c r="J215" s="11" t="inlineStr">
        <ns0:is>
          <ns0:t>Planificat</ns0:t>
        </ns0:is>
      </ns0:c>
      <ns0:c r="K215" s="11" t="inlineStr">
        <ns0:is>
          <ns0:t>De desemnat</ns0:t>
        </ns0:is>
      </ns0:c>
      <ns0:c r="L215" s="8">
        <ns0:f>Catalog_100!I73</ns0:f>
        <ns0:v>75000</ns0:v>
      </ns0:c>
      <ns0:c r="M215" s="13">
        <ns0:f>Catalog_100!J73</ns0:f>
        <ns0:v>46325.0</ns0:v>
      </ns0:c>
      <ns0:c r="N215" s="13">
        <ns0:f>Catalog_100!K73</ns0:f>
        <ns0:v>46343.0</ns0:v>
      </ns0:c>
      <ns0:c r="O215" s="13">
        <ns0:f>Catalog_100!L73</ns0:f>
        <ns0:v>46345.0</ns0:v>
      </ns0:c>
      <ns0:c r="P215" s="13">
        <ns0:f>Catalog_100!M73</ns0:f>
        <ns0:v>46347.0</ns0:v>
      </ns0:c>
      <ns0:c r="Q215" s="11" t="inlineStr"/>
      <ns0:c r="R215" s="10" t="inlineStr"/>
      <ns0:c r="S215" s="11" t="inlineStr"/>
      <ns0:c r="T215" s="11" t="inlineStr"/>
      <ns0:c r="U215" s="11" t="inlineStr"/>
      <ns0:c r="V215" s="11" t="inlineStr">
        <ns0:is>
          <ns0:t>Neconfirmat</ns0:t>
        </ns0:is>
      </ns0:c>
      <ns0:c r="W215" s="11" t="inlineStr">
        <ns0:is>
          <ns0:t>Fără ediție finală confirmată</ns0:t>
        </ns0:is>
      </ns0:c>
      <ns0:c r="X215" s="7">
        <ns0:f>IF(AND(J215="Publicat",Q215&lt;&gt;"",ISNUMBER(R215),S215&lt;&gt;"",U215&lt;&gt;"",V215="Confirmat"),1,0)</ns0:f>
        <ns0:v>0</ns0:v>
      </ns0:c>
    </ns0:row>
    <ns0:row r="216" ht="46" customHeight="1">
      <ns0:c r="A216" s="7" t="inlineStr">
        <ns0:is>
          <ns0:t>DB-072-RO</ns0:t>
        </ns0:is>
      </ns0:c>
      <ns0:c r="B216" s="7" t="inlineStr">
        <ns0:is>
          <ns0:t>DB-072</ns0:t>
        </ns0:is>
      </ns0:c>
      <ns0:c r="C216" s="7" t="inlineStr">
        <ns0:is>
          <ns0:t>MYTHICA</ns0:t>
        </ns0:is>
      </ns0:c>
      <ns0:c r="D216" s="7" t="inlineStr">
        <ns0:is>
          <ns0:t>Saga Celor Zece Coroane</ns0:t>
        </ns0:is>
      </ns0:c>
      <ns0:c r="E216" s="8" t="n">
        <ns0:v>2</ns0:v>
      </ns0:c>
      <ns0:c r="F216" s="7" t="inlineStr">
        <ns0:is>
          <ns0:t>The Crown of Waters</ns0:t>
        </ns0:is>
      </ns0:c>
      <ns0:c r="G216" s="7" t="inlineStr">
        <ns0:is>
          <ns0:t>RO</ns0:t>
        </ns0:is>
      </ns0:c>
      <ns0:c r="H216" s="7" t="inlineStr">
        <ns0:is>
          <ns0:t>EN</ns0:t>
        </ns0:is>
      </ns0:c>
      <ns0:c r="I216" s="7" t="inlineStr">
        <ns0:is>
          <ns0:t>Traducere EN→RO</ns0:t>
        </ns0:is>
      </ns0:c>
      <ns0:c r="J216" s="11" t="inlineStr">
        <ns0:is>
          <ns0:t>Planificat</ns0:t>
        </ns0:is>
      </ns0:c>
      <ns0:c r="K216" s="11" t="inlineStr">
        <ns0:is>
          <ns0:t>De desemnat</ns0:t>
        </ns0:is>
      </ns0:c>
      <ns0:c r="L216" s="8">
        <ns0:f>Catalog_100!I73</ns0:f>
        <ns0:v>75000</ns0:v>
      </ns0:c>
      <ns0:c r="M216" s="13">
        <ns0:f>Catalog_100!J73</ns0:f>
        <ns0:v>46325.0</ns0:v>
      </ns0:c>
      <ns0:c r="N216" s="13">
        <ns0:f>Catalog_100!K73</ns0:f>
        <ns0:v>46343.0</ns0:v>
      </ns0:c>
      <ns0:c r="O216" s="13">
        <ns0:f>Catalog_100!L73</ns0:f>
        <ns0:v>46345.0</ns0:v>
      </ns0:c>
      <ns0:c r="P216" s="13">
        <ns0:f>Catalog_100!M73</ns0:f>
        <ns0:v>46347.0</ns0:v>
      </ns0:c>
      <ns0:c r="Q216" s="11" t="inlineStr"/>
      <ns0:c r="R216" s="10" t="inlineStr"/>
      <ns0:c r="S216" s="11" t="inlineStr"/>
      <ns0:c r="T216" s="11" t="inlineStr"/>
      <ns0:c r="U216" s="11" t="inlineStr"/>
      <ns0:c r="V216" s="11" t="inlineStr">
        <ns0:is>
          <ns0:t>Neconfirmat</ns0:t>
        </ns0:is>
      </ns0:c>
      <ns0:c r="W216" s="11" t="inlineStr">
        <ns0:is>
          <ns0:t>Fără ediție finală confirmată</ns0:t>
        </ns0:is>
      </ns0:c>
      <ns0:c r="X216" s="7">
        <ns0:f>IF(AND(J216="Publicat",Q216&lt;&gt;"",ISNUMBER(R216),S216&lt;&gt;"",U216&lt;&gt;"",V216="Confirmat"),1,0)</ns0:f>
        <ns0:v>0</ns0:v>
      </ns0:c>
    </ns0:row>
    <ns0:row r="217" ht="46" customHeight="1">
      <ns0:c r="A217" s="7" t="inlineStr">
        <ns0:is>
          <ns0:t>DB-072-DE</ns0:t>
        </ns0:is>
      </ns0:c>
      <ns0:c r="B217" s="7" t="inlineStr">
        <ns0:is>
          <ns0:t>DB-072</ns0:t>
        </ns0:is>
      </ns0:c>
      <ns0:c r="C217" s="7" t="inlineStr">
        <ns0:is>
          <ns0:t>MYTHICA</ns0:t>
        </ns0:is>
      </ns0:c>
      <ns0:c r="D217" s="7" t="inlineStr">
        <ns0:is>
          <ns0:t>Saga Celor Zece Coroane</ns0:t>
        </ns0:is>
      </ns0:c>
      <ns0:c r="E217" s="8" t="n">
        <ns0:v>2</ns0:v>
      </ns0:c>
      <ns0:c r="F217" s="7" t="inlineStr">
        <ns0:is>
          <ns0:t>The Crown of Waters</ns0:t>
        </ns0:is>
      </ns0:c>
      <ns0:c r="G217" s="7" t="inlineStr">
        <ns0:is>
          <ns0:t>DE</ns0:t>
        </ns0:is>
      </ns0:c>
      <ns0:c r="H217" s="7" t="inlineStr">
        <ns0:is>
          <ns0:t>EN</ns0:t>
        </ns0:is>
      </ns0:c>
      <ns0:c r="I217" s="7" t="inlineStr">
        <ns0:is>
          <ns0:t>Traducere EN→DE</ns0:t>
        </ns0:is>
      </ns0:c>
      <ns0:c r="J217" s="11" t="inlineStr">
        <ns0:is>
          <ns0:t>Planificat</ns0:t>
        </ns0:is>
      </ns0:c>
      <ns0:c r="K217" s="11" t="inlineStr">
        <ns0:is>
          <ns0:t>De desemnat</ns0:t>
        </ns0:is>
      </ns0:c>
      <ns0:c r="L217" s="8">
        <ns0:f>Catalog_100!I73</ns0:f>
        <ns0:v>75000</ns0:v>
      </ns0:c>
      <ns0:c r="M217" s="13">
        <ns0:f>Catalog_100!J73</ns0:f>
        <ns0:v>46325.0</ns0:v>
      </ns0:c>
      <ns0:c r="N217" s="13">
        <ns0:f>Catalog_100!K73</ns0:f>
        <ns0:v>46343.0</ns0:v>
      </ns0:c>
      <ns0:c r="O217" s="13">
        <ns0:f>Catalog_100!L73</ns0:f>
        <ns0:v>46345.0</ns0:v>
      </ns0:c>
      <ns0:c r="P217" s="13">
        <ns0:f>Catalog_100!M73</ns0:f>
        <ns0:v>46347.0</ns0:v>
      </ns0:c>
      <ns0:c r="Q217" s="11" t="inlineStr"/>
      <ns0:c r="R217" s="10" t="inlineStr"/>
      <ns0:c r="S217" s="11" t="inlineStr"/>
      <ns0:c r="T217" s="11" t="inlineStr"/>
      <ns0:c r="U217" s="11" t="inlineStr"/>
      <ns0:c r="V217" s="11" t="inlineStr">
        <ns0:is>
          <ns0:t>Neconfirmat</ns0:t>
        </ns0:is>
      </ns0:c>
      <ns0:c r="W217" s="11" t="inlineStr">
        <ns0:is>
          <ns0:t>Fără ediție finală confirmată</ns0:t>
        </ns0:is>
      </ns0:c>
      <ns0:c r="X217" s="7">
        <ns0:f>IF(AND(J217="Publicat",Q217&lt;&gt;"",ISNUMBER(R217),S217&lt;&gt;"",U217&lt;&gt;"",V217="Confirmat"),1,0)</ns0:f>
        <ns0:v>0</ns0:v>
      </ns0:c>
    </ns0:row>
    <ns0:row r="218" ht="46" customHeight="1">
      <ns0:c r="A218" s="7" t="inlineStr">
        <ns0:is>
          <ns0:t>DB-073-EN</ns0:t>
        </ns0:is>
      </ns0:c>
      <ns0:c r="B218" s="7" t="inlineStr">
        <ns0:is>
          <ns0:t>DB-073</ns0:t>
        </ns0:is>
      </ns0:c>
      <ns0:c r="C218" s="7" t="inlineStr">
        <ns0:is>
          <ns0:t>MYTHICA</ns0:t>
        </ns0:is>
      </ns0:c>
      <ns0:c r="D218" s="7" t="inlineStr">
        <ns0:is>
          <ns0:t>Saga Celor Zece Coroane</ns0:t>
        </ns0:is>
      </ns0:c>
      <ns0:c r="E218" s="8" t="n">
        <ns0:v>3</ns0:v>
      </ns0:c>
      <ns0:c r="F218" s="7" t="inlineStr">
        <ns0:is>
          <ns0:t>The Crown of the Sun</ns0:t>
        </ns0:is>
      </ns0:c>
      <ns0:c r="G218" s="7" t="inlineStr">
        <ns0:is>
          <ns0:t>EN</ns0:t>
        </ns0:is>
      </ns0:c>
      <ns0:c r="H218" s="7" t="inlineStr">
        <ns0:is>
          <ns0:t>EN</ns0:t>
        </ns0:is>
      </ns0:c>
      <ns0:c r="I218" s="7" t="inlineStr">
        <ns0:is>
          <ns0:t>Scriere nouă</ns0:t>
        </ns0:is>
      </ns0:c>
      <ns0:c r="J218" s="11" t="inlineStr">
        <ns0:is>
          <ns0:t>Planificat</ns0:t>
        </ns0:is>
      </ns0:c>
      <ns0:c r="K218" s="11" t="inlineStr">
        <ns0:is>
          <ns0:t>De desemnat</ns0:t>
        </ns0:is>
      </ns0:c>
      <ns0:c r="L218" s="8">
        <ns0:f>Catalog_100!I74</ns0:f>
        <ns0:v>75000</ns0:v>
      </ns0:c>
      <ns0:c r="M218" s="13">
        <ns0:f>Catalog_100!J74</ns0:f>
        <ns0:v>46325.0</ns0:v>
      </ns0:c>
      <ns0:c r="N218" s="13">
        <ns0:f>Catalog_100!K74</ns0:f>
        <ns0:v>46350.0</ns0:v>
      </ns0:c>
      <ns0:c r="O218" s="13">
        <ns0:f>Catalog_100!L74</ns0:f>
        <ns0:v>46352.0</ns0:v>
      </ns0:c>
      <ns0:c r="P218" s="13">
        <ns0:f>Catalog_100!M74</ns0:f>
        <ns0:v>46354.0</ns0:v>
      </ns0:c>
      <ns0:c r="Q218" s="11" t="inlineStr"/>
      <ns0:c r="R218" s="10" t="inlineStr"/>
      <ns0:c r="S218" s="11" t="inlineStr"/>
      <ns0:c r="T218" s="11" t="inlineStr"/>
      <ns0:c r="U218" s="11" t="inlineStr"/>
      <ns0:c r="V218" s="11" t="inlineStr">
        <ns0:is>
          <ns0:t>Neconfirmat</ns0:t>
        </ns0:is>
      </ns0:c>
      <ns0:c r="W218" s="11" t="inlineStr">
        <ns0:is>
          <ns0:t>Fără ediție finală confirmată</ns0:t>
        </ns0:is>
      </ns0:c>
      <ns0:c r="X218" s="7">
        <ns0:f>IF(AND(J218="Publicat",Q218&lt;&gt;"",ISNUMBER(R218),S218&lt;&gt;"",U218&lt;&gt;"",V218="Confirmat"),1,0)</ns0:f>
        <ns0:v>0</ns0:v>
      </ns0:c>
    </ns0:row>
    <ns0:row r="219" ht="46" customHeight="1">
      <ns0:c r="A219" s="7" t="inlineStr">
        <ns0:is>
          <ns0:t>DB-073-RO</ns0:t>
        </ns0:is>
      </ns0:c>
      <ns0:c r="B219" s="7" t="inlineStr">
        <ns0:is>
          <ns0:t>DB-073</ns0:t>
        </ns0:is>
      </ns0:c>
      <ns0:c r="C219" s="7" t="inlineStr">
        <ns0:is>
          <ns0:t>MYTHICA</ns0:t>
        </ns0:is>
      </ns0:c>
      <ns0:c r="D219" s="7" t="inlineStr">
        <ns0:is>
          <ns0:t>Saga Celor Zece Coroane</ns0:t>
        </ns0:is>
      </ns0:c>
      <ns0:c r="E219" s="8" t="n">
        <ns0:v>3</ns0:v>
      </ns0:c>
      <ns0:c r="F219" s="7" t="inlineStr">
        <ns0:is>
          <ns0:t>The Crown of the Sun</ns0:t>
        </ns0:is>
      </ns0:c>
      <ns0:c r="G219" s="7" t="inlineStr">
        <ns0:is>
          <ns0:t>RO</ns0:t>
        </ns0:is>
      </ns0:c>
      <ns0:c r="H219" s="7" t="inlineStr">
        <ns0:is>
          <ns0:t>EN</ns0:t>
        </ns0:is>
      </ns0:c>
      <ns0:c r="I219" s="7" t="inlineStr">
        <ns0:is>
          <ns0:t>Traducere EN→RO</ns0:t>
        </ns0:is>
      </ns0:c>
      <ns0:c r="J219" s="11" t="inlineStr">
        <ns0:is>
          <ns0:t>Planificat</ns0:t>
        </ns0:is>
      </ns0:c>
      <ns0:c r="K219" s="11" t="inlineStr">
        <ns0:is>
          <ns0:t>De desemnat</ns0:t>
        </ns0:is>
      </ns0:c>
      <ns0:c r="L219" s="8">
        <ns0:f>Catalog_100!I74</ns0:f>
        <ns0:v>75000</ns0:v>
      </ns0:c>
      <ns0:c r="M219" s="13">
        <ns0:f>Catalog_100!J74</ns0:f>
        <ns0:v>46325.0</ns0:v>
      </ns0:c>
      <ns0:c r="N219" s="13">
        <ns0:f>Catalog_100!K74</ns0:f>
        <ns0:v>46350.0</ns0:v>
      </ns0:c>
      <ns0:c r="O219" s="13">
        <ns0:f>Catalog_100!L74</ns0:f>
        <ns0:v>46352.0</ns0:v>
      </ns0:c>
      <ns0:c r="P219" s="13">
        <ns0:f>Catalog_100!M74</ns0:f>
        <ns0:v>46354.0</ns0:v>
      </ns0:c>
      <ns0:c r="Q219" s="11" t="inlineStr"/>
      <ns0:c r="R219" s="10" t="inlineStr"/>
      <ns0:c r="S219" s="11" t="inlineStr"/>
      <ns0:c r="T219" s="11" t="inlineStr"/>
      <ns0:c r="U219" s="11" t="inlineStr"/>
      <ns0:c r="V219" s="11" t="inlineStr">
        <ns0:is>
          <ns0:t>Neconfirmat</ns0:t>
        </ns0:is>
      </ns0:c>
      <ns0:c r="W219" s="11" t="inlineStr">
        <ns0:is>
          <ns0:t>Fără ediție finală confirmată</ns0:t>
        </ns0:is>
      </ns0:c>
      <ns0:c r="X219" s="7">
        <ns0:f>IF(AND(J219="Publicat",Q219&lt;&gt;"",ISNUMBER(R219),S219&lt;&gt;"",U219&lt;&gt;"",V219="Confirmat"),1,0)</ns0:f>
        <ns0:v>0</ns0:v>
      </ns0:c>
    </ns0:row>
    <ns0:row r="220" ht="46" customHeight="1">
      <ns0:c r="A220" s="7" t="inlineStr">
        <ns0:is>
          <ns0:t>DB-073-DE</ns0:t>
        </ns0:is>
      </ns0:c>
      <ns0:c r="B220" s="7" t="inlineStr">
        <ns0:is>
          <ns0:t>DB-073</ns0:t>
        </ns0:is>
      </ns0:c>
      <ns0:c r="C220" s="7" t="inlineStr">
        <ns0:is>
          <ns0:t>MYTHICA</ns0:t>
        </ns0:is>
      </ns0:c>
      <ns0:c r="D220" s="7" t="inlineStr">
        <ns0:is>
          <ns0:t>Saga Celor Zece Coroane</ns0:t>
        </ns0:is>
      </ns0:c>
      <ns0:c r="E220" s="8" t="n">
        <ns0:v>3</ns0:v>
      </ns0:c>
      <ns0:c r="F220" s="7" t="inlineStr">
        <ns0:is>
          <ns0:t>The Crown of the Sun</ns0:t>
        </ns0:is>
      </ns0:c>
      <ns0:c r="G220" s="7" t="inlineStr">
        <ns0:is>
          <ns0:t>DE</ns0:t>
        </ns0:is>
      </ns0:c>
      <ns0:c r="H220" s="7" t="inlineStr">
        <ns0:is>
          <ns0:t>EN</ns0:t>
        </ns0:is>
      </ns0:c>
      <ns0:c r="I220" s="7" t="inlineStr">
        <ns0:is>
          <ns0:t>Traducere EN→DE</ns0:t>
        </ns0:is>
      </ns0:c>
      <ns0:c r="J220" s="11" t="inlineStr">
        <ns0:is>
          <ns0:t>Planificat</ns0:t>
        </ns0:is>
      </ns0:c>
      <ns0:c r="K220" s="11" t="inlineStr">
        <ns0:is>
          <ns0:t>De desemnat</ns0:t>
        </ns0:is>
      </ns0:c>
      <ns0:c r="L220" s="8">
        <ns0:f>Catalog_100!I74</ns0:f>
        <ns0:v>75000</ns0:v>
      </ns0:c>
      <ns0:c r="M220" s="13">
        <ns0:f>Catalog_100!J74</ns0:f>
        <ns0:v>46325.0</ns0:v>
      </ns0:c>
      <ns0:c r="N220" s="13">
        <ns0:f>Catalog_100!K74</ns0:f>
        <ns0:v>46350.0</ns0:v>
      </ns0:c>
      <ns0:c r="O220" s="13">
        <ns0:f>Catalog_100!L74</ns0:f>
        <ns0:v>46352.0</ns0:v>
      </ns0:c>
      <ns0:c r="P220" s="13">
        <ns0:f>Catalog_100!M74</ns0:f>
        <ns0:v>46354.0</ns0:v>
      </ns0:c>
      <ns0:c r="Q220" s="11" t="inlineStr"/>
      <ns0:c r="R220" s="10" t="inlineStr"/>
      <ns0:c r="S220" s="11" t="inlineStr"/>
      <ns0:c r="T220" s="11" t="inlineStr"/>
      <ns0:c r="U220" s="11" t="inlineStr"/>
      <ns0:c r="V220" s="11" t="inlineStr">
        <ns0:is>
          <ns0:t>Neconfirmat</ns0:t>
        </ns0:is>
      </ns0:c>
      <ns0:c r="W220" s="11" t="inlineStr">
        <ns0:is>
          <ns0:t>Fără ediție finală confirmată</ns0:t>
        </ns0:is>
      </ns0:c>
      <ns0:c r="X220" s="7">
        <ns0:f>IF(AND(J220="Publicat",Q220&lt;&gt;"",ISNUMBER(R220),S220&lt;&gt;"",U220&lt;&gt;"",V220="Confirmat"),1,0)</ns0:f>
        <ns0:v>0</ns0:v>
      </ns0:c>
    </ns0:row>
    <ns0:row r="221" ht="46" customHeight="1">
      <ns0:c r="A221" s="7" t="inlineStr">
        <ns0:is>
          <ns0:t>DB-074-EN</ns0:t>
        </ns0:is>
      </ns0:c>
      <ns0:c r="B221" s="7" t="inlineStr">
        <ns0:is>
          <ns0:t>DB-074</ns0:t>
        </ns0:is>
      </ns0:c>
      <ns0:c r="C221" s="7" t="inlineStr">
        <ns0:is>
          <ns0:t>MYTHICA</ns0:t>
        </ns0:is>
      </ns0:c>
      <ns0:c r="D221" s="7" t="inlineStr">
        <ns0:is>
          <ns0:t>Saga Celor Zece Coroane</ns0:t>
        </ns0:is>
      </ns0:c>
      <ns0:c r="E221" s="8" t="n">
        <ns0:v>4</ns0:v>
      </ns0:c>
      <ns0:c r="F221" s="7" t="inlineStr">
        <ns0:is>
          <ns0:t>The Crown of Stone</ns0:t>
        </ns0:is>
      </ns0:c>
      <ns0:c r="G221" s="7" t="inlineStr">
        <ns0:is>
          <ns0:t>EN</ns0:t>
        </ns0:is>
      </ns0:c>
      <ns0:c r="H221" s="7" t="inlineStr">
        <ns0:is>
          <ns0:t>EN</ns0:t>
        </ns0:is>
      </ns0:c>
      <ns0:c r="I221" s="7" t="inlineStr">
        <ns0:is>
          <ns0:t>Scriere nouă</ns0:t>
        </ns0:is>
      </ns0:c>
      <ns0:c r="J221" s="11" t="inlineStr">
        <ns0:is>
          <ns0:t>Planificat</ns0:t>
        </ns0:is>
      </ns0:c>
      <ns0:c r="K221" s="11" t="inlineStr">
        <ns0:is>
          <ns0:t>De desemnat</ns0:t>
        </ns0:is>
      </ns0:c>
      <ns0:c r="L221" s="8">
        <ns0:f>Catalog_100!I75</ns0:f>
        <ns0:v>75000</ns0:v>
      </ns0:c>
      <ns0:c r="M221" s="13">
        <ns0:f>Catalog_100!J75</ns0:f>
        <ns0:v>46325.0</ns0:v>
      </ns0:c>
      <ns0:c r="N221" s="13">
        <ns0:f>Catalog_100!K75</ns0:f>
        <ns0:v>46350.0</ns0:v>
      </ns0:c>
      <ns0:c r="O221" s="13">
        <ns0:f>Catalog_100!L75</ns0:f>
        <ns0:v>46352.0</ns0:v>
      </ns0:c>
      <ns0:c r="P221" s="13">
        <ns0:f>Catalog_100!M75</ns0:f>
        <ns0:v>46354.0</ns0:v>
      </ns0:c>
      <ns0:c r="Q221" s="11" t="inlineStr"/>
      <ns0:c r="R221" s="10" t="inlineStr"/>
      <ns0:c r="S221" s="11" t="inlineStr"/>
      <ns0:c r="T221" s="11" t="inlineStr"/>
      <ns0:c r="U221" s="11" t="inlineStr"/>
      <ns0:c r="V221" s="11" t="inlineStr">
        <ns0:is>
          <ns0:t>Neconfirmat</ns0:t>
        </ns0:is>
      </ns0:c>
      <ns0:c r="W221" s="11" t="inlineStr">
        <ns0:is>
          <ns0:t>Fără ediție finală confirmată</ns0:t>
        </ns0:is>
      </ns0:c>
      <ns0:c r="X221" s="7">
        <ns0:f>IF(AND(J221="Publicat",Q221&lt;&gt;"",ISNUMBER(R221),S221&lt;&gt;"",U221&lt;&gt;"",V221="Confirmat"),1,0)</ns0:f>
        <ns0:v>0</ns0:v>
      </ns0:c>
    </ns0:row>
    <ns0:row r="222" ht="46" customHeight="1">
      <ns0:c r="A222" s="7" t="inlineStr">
        <ns0:is>
          <ns0:t>DB-074-RO</ns0:t>
        </ns0:is>
      </ns0:c>
      <ns0:c r="B222" s="7" t="inlineStr">
        <ns0:is>
          <ns0:t>DB-074</ns0:t>
        </ns0:is>
      </ns0:c>
      <ns0:c r="C222" s="7" t="inlineStr">
        <ns0:is>
          <ns0:t>MYTHICA</ns0:t>
        </ns0:is>
      </ns0:c>
      <ns0:c r="D222" s="7" t="inlineStr">
        <ns0:is>
          <ns0:t>Saga Celor Zece Coroane</ns0:t>
        </ns0:is>
      </ns0:c>
      <ns0:c r="E222" s="8" t="n">
        <ns0:v>4</ns0:v>
      </ns0:c>
      <ns0:c r="F222" s="7" t="inlineStr">
        <ns0:is>
          <ns0:t>The Crown of Stone</ns0:t>
        </ns0:is>
      </ns0:c>
      <ns0:c r="G222" s="7" t="inlineStr">
        <ns0:is>
          <ns0:t>RO</ns0:t>
        </ns0:is>
      </ns0:c>
      <ns0:c r="H222" s="7" t="inlineStr">
        <ns0:is>
          <ns0:t>EN</ns0:t>
        </ns0:is>
      </ns0:c>
      <ns0:c r="I222" s="7" t="inlineStr">
        <ns0:is>
          <ns0:t>Traducere EN→RO</ns0:t>
        </ns0:is>
      </ns0:c>
      <ns0:c r="J222" s="11" t="inlineStr">
        <ns0:is>
          <ns0:t>Planificat</ns0:t>
        </ns0:is>
      </ns0:c>
      <ns0:c r="K222" s="11" t="inlineStr">
        <ns0:is>
          <ns0:t>De desemnat</ns0:t>
        </ns0:is>
      </ns0:c>
      <ns0:c r="L222" s="8">
        <ns0:f>Catalog_100!I75</ns0:f>
        <ns0:v>75000</ns0:v>
      </ns0:c>
      <ns0:c r="M222" s="13">
        <ns0:f>Catalog_100!J75</ns0:f>
        <ns0:v>46325.0</ns0:v>
      </ns0:c>
      <ns0:c r="N222" s="13">
        <ns0:f>Catalog_100!K75</ns0:f>
        <ns0:v>46350.0</ns0:v>
      </ns0:c>
      <ns0:c r="O222" s="13">
        <ns0:f>Catalog_100!L75</ns0:f>
        <ns0:v>46352.0</ns0:v>
      </ns0:c>
      <ns0:c r="P222" s="13">
        <ns0:f>Catalog_100!M75</ns0:f>
        <ns0:v>46354.0</ns0:v>
      </ns0:c>
      <ns0:c r="Q222" s="11" t="inlineStr"/>
      <ns0:c r="R222" s="10" t="inlineStr"/>
      <ns0:c r="S222" s="11" t="inlineStr"/>
      <ns0:c r="T222" s="11" t="inlineStr"/>
      <ns0:c r="U222" s="11" t="inlineStr"/>
      <ns0:c r="V222" s="11" t="inlineStr">
        <ns0:is>
          <ns0:t>Neconfirmat</ns0:t>
        </ns0:is>
      </ns0:c>
      <ns0:c r="W222" s="11" t="inlineStr">
        <ns0:is>
          <ns0:t>Fără ediție finală confirmată</ns0:t>
        </ns0:is>
      </ns0:c>
      <ns0:c r="X222" s="7">
        <ns0:f>IF(AND(J222="Publicat",Q222&lt;&gt;"",ISNUMBER(R222),S222&lt;&gt;"",U222&lt;&gt;"",V222="Confirmat"),1,0)</ns0:f>
        <ns0:v>0</ns0:v>
      </ns0:c>
    </ns0:row>
    <ns0:row r="223" ht="46" customHeight="1">
      <ns0:c r="A223" s="7" t="inlineStr">
        <ns0:is>
          <ns0:t>DB-074-DE</ns0:t>
        </ns0:is>
      </ns0:c>
      <ns0:c r="B223" s="7" t="inlineStr">
        <ns0:is>
          <ns0:t>DB-074</ns0:t>
        </ns0:is>
      </ns0:c>
      <ns0:c r="C223" s="7" t="inlineStr">
        <ns0:is>
          <ns0:t>MYTHICA</ns0:t>
        </ns0:is>
      </ns0:c>
      <ns0:c r="D223" s="7" t="inlineStr">
        <ns0:is>
          <ns0:t>Saga Celor Zece Coroane</ns0:t>
        </ns0:is>
      </ns0:c>
      <ns0:c r="E223" s="8" t="n">
        <ns0:v>4</ns0:v>
      </ns0:c>
      <ns0:c r="F223" s="7" t="inlineStr">
        <ns0:is>
          <ns0:t>The Crown of Stone</ns0:t>
        </ns0:is>
      </ns0:c>
      <ns0:c r="G223" s="7" t="inlineStr">
        <ns0:is>
          <ns0:t>DE</ns0:t>
        </ns0:is>
      </ns0:c>
      <ns0:c r="H223" s="7" t="inlineStr">
        <ns0:is>
          <ns0:t>EN</ns0:t>
        </ns0:is>
      </ns0:c>
      <ns0:c r="I223" s="7" t="inlineStr">
        <ns0:is>
          <ns0:t>Traducere EN→DE</ns0:t>
        </ns0:is>
      </ns0:c>
      <ns0:c r="J223" s="11" t="inlineStr">
        <ns0:is>
          <ns0:t>Planificat</ns0:t>
        </ns0:is>
      </ns0:c>
      <ns0:c r="K223" s="11" t="inlineStr">
        <ns0:is>
          <ns0:t>De desemnat</ns0:t>
        </ns0:is>
      </ns0:c>
      <ns0:c r="L223" s="8">
        <ns0:f>Catalog_100!I75</ns0:f>
        <ns0:v>75000</ns0:v>
      </ns0:c>
      <ns0:c r="M223" s="13">
        <ns0:f>Catalog_100!J75</ns0:f>
        <ns0:v>46325.0</ns0:v>
      </ns0:c>
      <ns0:c r="N223" s="13">
        <ns0:f>Catalog_100!K75</ns0:f>
        <ns0:v>46350.0</ns0:v>
      </ns0:c>
      <ns0:c r="O223" s="13">
        <ns0:f>Catalog_100!L75</ns0:f>
        <ns0:v>46352.0</ns0:v>
      </ns0:c>
      <ns0:c r="P223" s="13">
        <ns0:f>Catalog_100!M75</ns0:f>
        <ns0:v>46354.0</ns0:v>
      </ns0:c>
      <ns0:c r="Q223" s="11" t="inlineStr"/>
      <ns0:c r="R223" s="10" t="inlineStr"/>
      <ns0:c r="S223" s="11" t="inlineStr"/>
      <ns0:c r="T223" s="11" t="inlineStr"/>
      <ns0:c r="U223" s="11" t="inlineStr"/>
      <ns0:c r="V223" s="11" t="inlineStr">
        <ns0:is>
          <ns0:t>Neconfirmat</ns0:t>
        </ns0:is>
      </ns0:c>
      <ns0:c r="W223" s="11" t="inlineStr">
        <ns0:is>
          <ns0:t>Fără ediție finală confirmată</ns0:t>
        </ns0:is>
      </ns0:c>
      <ns0:c r="X223" s="7">
        <ns0:f>IF(AND(J223="Publicat",Q223&lt;&gt;"",ISNUMBER(R223),S223&lt;&gt;"",U223&lt;&gt;"",V223="Confirmat"),1,0)</ns0:f>
        <ns0:v>0</ns0:v>
      </ns0:c>
    </ns0:row>
    <ns0:row r="224" ht="46" customHeight="1">
      <ns0:c r="A224" s="7" t="inlineStr">
        <ns0:is>
          <ns0:t>DB-075-EN</ns0:t>
        </ns0:is>
      </ns0:c>
      <ns0:c r="B224" s="7" t="inlineStr">
        <ns0:is>
          <ns0:t>DB-075</ns0:t>
        </ns0:is>
      </ns0:c>
      <ns0:c r="C224" s="7" t="inlineStr">
        <ns0:is>
          <ns0:t>MYTHICA</ns0:t>
        </ns0:is>
      </ns0:c>
      <ns0:c r="D224" s="7" t="inlineStr">
        <ns0:is>
          <ns0:t>Saga Celor Zece Coroane</ns0:t>
        </ns0:is>
      </ns0:c>
      <ns0:c r="E224" s="8" t="n">
        <ns0:v>5</ns0:v>
      </ns0:c>
      <ns0:c r="F224" s="7" t="inlineStr">
        <ns0:is>
          <ns0:t>The Crown of the Forest</ns0:t>
        </ns0:is>
      </ns0:c>
      <ns0:c r="G224" s="7" t="inlineStr">
        <ns0:is>
          <ns0:t>EN</ns0:t>
        </ns0:is>
      </ns0:c>
      <ns0:c r="H224" s="7" t="inlineStr">
        <ns0:is>
          <ns0:t>EN</ns0:t>
        </ns0:is>
      </ns0:c>
      <ns0:c r="I224" s="7" t="inlineStr">
        <ns0:is>
          <ns0:t>Scriere nouă</ns0:t>
        </ns0:is>
      </ns0:c>
      <ns0:c r="J224" s="11" t="inlineStr">
        <ns0:is>
          <ns0:t>Planificat</ns0:t>
        </ns0:is>
      </ns0:c>
      <ns0:c r="K224" s="11" t="inlineStr">
        <ns0:is>
          <ns0:t>De desemnat</ns0:t>
        </ns0:is>
      </ns0:c>
      <ns0:c r="L224" s="8">
        <ns0:f>Catalog_100!I76</ns0:f>
        <ns0:v>75000</ns0:v>
      </ns0:c>
      <ns0:c r="M224" s="13">
        <ns0:f>Catalog_100!J76</ns0:f>
        <ns0:v>46325.0</ns0:v>
      </ns0:c>
      <ns0:c r="N224" s="13">
        <ns0:f>Catalog_100!K76</ns0:f>
        <ns0:v>46350.0</ns0:v>
      </ns0:c>
      <ns0:c r="O224" s="13">
        <ns0:f>Catalog_100!L76</ns0:f>
        <ns0:v>46352.0</ns0:v>
      </ns0:c>
      <ns0:c r="P224" s="13">
        <ns0:f>Catalog_100!M76</ns0:f>
        <ns0:v>46354.0</ns0:v>
      </ns0:c>
      <ns0:c r="Q224" s="11" t="inlineStr"/>
      <ns0:c r="R224" s="10" t="inlineStr"/>
      <ns0:c r="S224" s="11" t="inlineStr"/>
      <ns0:c r="T224" s="11" t="inlineStr"/>
      <ns0:c r="U224" s="11" t="inlineStr"/>
      <ns0:c r="V224" s="11" t="inlineStr">
        <ns0:is>
          <ns0:t>Neconfirmat</ns0:t>
        </ns0:is>
      </ns0:c>
      <ns0:c r="W224" s="11" t="inlineStr">
        <ns0:is>
          <ns0:t>Fără ediție finală confirmată</ns0:t>
        </ns0:is>
      </ns0:c>
      <ns0:c r="X224" s="7">
        <ns0:f>IF(AND(J224="Publicat",Q224&lt;&gt;"",ISNUMBER(R224),S224&lt;&gt;"",U224&lt;&gt;"",V224="Confirmat"),1,0)</ns0:f>
        <ns0:v>0</ns0:v>
      </ns0:c>
    </ns0:row>
    <ns0:row r="225" ht="46" customHeight="1">
      <ns0:c r="A225" s="7" t="inlineStr">
        <ns0:is>
          <ns0:t>DB-075-RO</ns0:t>
        </ns0:is>
      </ns0:c>
      <ns0:c r="B225" s="7" t="inlineStr">
        <ns0:is>
          <ns0:t>DB-075</ns0:t>
        </ns0:is>
      </ns0:c>
      <ns0:c r="C225" s="7" t="inlineStr">
        <ns0:is>
          <ns0:t>MYTHICA</ns0:t>
        </ns0:is>
      </ns0:c>
      <ns0:c r="D225" s="7" t="inlineStr">
        <ns0:is>
          <ns0:t>Saga Celor Zece Coroane</ns0:t>
        </ns0:is>
      </ns0:c>
      <ns0:c r="E225" s="8" t="n">
        <ns0:v>5</ns0:v>
      </ns0:c>
      <ns0:c r="F225" s="7" t="inlineStr">
        <ns0:is>
          <ns0:t>The Crown of the Forest</ns0:t>
        </ns0:is>
      </ns0:c>
      <ns0:c r="G225" s="7" t="inlineStr">
        <ns0:is>
          <ns0:t>RO</ns0:t>
        </ns0:is>
      </ns0:c>
      <ns0:c r="H225" s="7" t="inlineStr">
        <ns0:is>
          <ns0:t>EN</ns0:t>
        </ns0:is>
      </ns0:c>
      <ns0:c r="I225" s="7" t="inlineStr">
        <ns0:is>
          <ns0:t>Traducere EN→RO</ns0:t>
        </ns0:is>
      </ns0:c>
      <ns0:c r="J225" s="11" t="inlineStr">
        <ns0:is>
          <ns0:t>Planificat</ns0:t>
        </ns0:is>
      </ns0:c>
      <ns0:c r="K225" s="11" t="inlineStr">
        <ns0:is>
          <ns0:t>De desemnat</ns0:t>
        </ns0:is>
      </ns0:c>
      <ns0:c r="L225" s="8">
        <ns0:f>Catalog_100!I76</ns0:f>
        <ns0:v>75000</ns0:v>
      </ns0:c>
      <ns0:c r="M225" s="13">
        <ns0:f>Catalog_100!J76</ns0:f>
        <ns0:v>46325.0</ns0:v>
      </ns0:c>
      <ns0:c r="N225" s="13">
        <ns0:f>Catalog_100!K76</ns0:f>
        <ns0:v>46350.0</ns0:v>
      </ns0:c>
      <ns0:c r="O225" s="13">
        <ns0:f>Catalog_100!L76</ns0:f>
        <ns0:v>46352.0</ns0:v>
      </ns0:c>
      <ns0:c r="P225" s="13">
        <ns0:f>Catalog_100!M76</ns0:f>
        <ns0:v>46354.0</ns0:v>
      </ns0:c>
      <ns0:c r="Q225" s="11" t="inlineStr"/>
      <ns0:c r="R225" s="10" t="inlineStr"/>
      <ns0:c r="S225" s="11" t="inlineStr"/>
      <ns0:c r="T225" s="11" t="inlineStr"/>
      <ns0:c r="U225" s="11" t="inlineStr"/>
      <ns0:c r="V225" s="11" t="inlineStr">
        <ns0:is>
          <ns0:t>Neconfirmat</ns0:t>
        </ns0:is>
      </ns0:c>
      <ns0:c r="W225" s="11" t="inlineStr">
        <ns0:is>
          <ns0:t>Fără ediție finală confirmată</ns0:t>
        </ns0:is>
      </ns0:c>
      <ns0:c r="X225" s="7">
        <ns0:f>IF(AND(J225="Publicat",Q225&lt;&gt;"",ISNUMBER(R225),S225&lt;&gt;"",U225&lt;&gt;"",V225="Confirmat"),1,0)</ns0:f>
        <ns0:v>0</ns0:v>
      </ns0:c>
    </ns0:row>
    <ns0:row r="226" ht="46" customHeight="1">
      <ns0:c r="A226" s="7" t="inlineStr">
        <ns0:is>
          <ns0:t>DB-075-DE</ns0:t>
        </ns0:is>
      </ns0:c>
      <ns0:c r="B226" s="7" t="inlineStr">
        <ns0:is>
          <ns0:t>DB-075</ns0:t>
        </ns0:is>
      </ns0:c>
      <ns0:c r="C226" s="7" t="inlineStr">
        <ns0:is>
          <ns0:t>MYTHICA</ns0:t>
        </ns0:is>
      </ns0:c>
      <ns0:c r="D226" s="7" t="inlineStr">
        <ns0:is>
          <ns0:t>Saga Celor Zece Coroane</ns0:t>
        </ns0:is>
      </ns0:c>
      <ns0:c r="E226" s="8" t="n">
        <ns0:v>5</ns0:v>
      </ns0:c>
      <ns0:c r="F226" s="7" t="inlineStr">
        <ns0:is>
          <ns0:t>The Crown of the Forest</ns0:t>
        </ns0:is>
      </ns0:c>
      <ns0:c r="G226" s="7" t="inlineStr">
        <ns0:is>
          <ns0:t>DE</ns0:t>
        </ns0:is>
      </ns0:c>
      <ns0:c r="H226" s="7" t="inlineStr">
        <ns0:is>
          <ns0:t>EN</ns0:t>
        </ns0:is>
      </ns0:c>
      <ns0:c r="I226" s="7" t="inlineStr">
        <ns0:is>
          <ns0:t>Traducere EN→DE</ns0:t>
        </ns0:is>
      </ns0:c>
      <ns0:c r="J226" s="11" t="inlineStr">
        <ns0:is>
          <ns0:t>Planificat</ns0:t>
        </ns0:is>
      </ns0:c>
      <ns0:c r="K226" s="11" t="inlineStr">
        <ns0:is>
          <ns0:t>De desemnat</ns0:t>
        </ns0:is>
      </ns0:c>
      <ns0:c r="L226" s="8">
        <ns0:f>Catalog_100!I76</ns0:f>
        <ns0:v>75000</ns0:v>
      </ns0:c>
      <ns0:c r="M226" s="13">
        <ns0:f>Catalog_100!J76</ns0:f>
        <ns0:v>46325.0</ns0:v>
      </ns0:c>
      <ns0:c r="N226" s="13">
        <ns0:f>Catalog_100!K76</ns0:f>
        <ns0:v>46350.0</ns0:v>
      </ns0:c>
      <ns0:c r="O226" s="13">
        <ns0:f>Catalog_100!L76</ns0:f>
        <ns0:v>46352.0</ns0:v>
      </ns0:c>
      <ns0:c r="P226" s="13">
        <ns0:f>Catalog_100!M76</ns0:f>
        <ns0:v>46354.0</ns0:v>
      </ns0:c>
      <ns0:c r="Q226" s="11" t="inlineStr"/>
      <ns0:c r="R226" s="10" t="inlineStr"/>
      <ns0:c r="S226" s="11" t="inlineStr"/>
      <ns0:c r="T226" s="11" t="inlineStr"/>
      <ns0:c r="U226" s="11" t="inlineStr"/>
      <ns0:c r="V226" s="11" t="inlineStr">
        <ns0:is>
          <ns0:t>Neconfirmat</ns0:t>
        </ns0:is>
      </ns0:c>
      <ns0:c r="W226" s="11" t="inlineStr">
        <ns0:is>
          <ns0:t>Fără ediție finală confirmată</ns0:t>
        </ns0:is>
      </ns0:c>
      <ns0:c r="X226" s="7">
        <ns0:f>IF(AND(J226="Publicat",Q226&lt;&gt;"",ISNUMBER(R226),S226&lt;&gt;"",U226&lt;&gt;"",V226="Confirmat"),1,0)</ns0:f>
        <ns0:v>0</ns0:v>
      </ns0:c>
    </ns0:row>
    <ns0:row r="227" ht="46" customHeight="1">
      <ns0:c r="A227" s="7" t="inlineStr">
        <ns0:is>
          <ns0:t>DB-076-EN</ns0:t>
        </ns0:is>
      </ns0:c>
      <ns0:c r="B227" s="7" t="inlineStr">
        <ns0:is>
          <ns0:t>DB-076</ns0:t>
        </ns0:is>
      </ns0:c>
      <ns0:c r="C227" s="7" t="inlineStr">
        <ns0:is>
          <ns0:t>MYTHICA</ns0:t>
        </ns0:is>
      </ns0:c>
      <ns0:c r="D227" s="7" t="inlineStr">
        <ns0:is>
          <ns0:t>Saga Celor Zece Coroane</ns0:t>
        </ns0:is>
      </ns0:c>
      <ns0:c r="E227" s="8" t="n">
        <ns0:v>6</ns0:v>
      </ns0:c>
      <ns0:c r="F227" s="7" t="inlineStr">
        <ns0:is>
          <ns0:t>The Crown of Wisdom</ns0:t>
        </ns0:is>
      </ns0:c>
      <ns0:c r="G227" s="7" t="inlineStr">
        <ns0:is>
          <ns0:t>EN</ns0:t>
        </ns0:is>
      </ns0:c>
      <ns0:c r="H227" s="7" t="inlineStr">
        <ns0:is>
          <ns0:t>EN</ns0:t>
        </ns0:is>
      </ns0:c>
      <ns0:c r="I227" s="7" t="inlineStr">
        <ns0:is>
          <ns0:t>Scriere nouă</ns0:t>
        </ns0:is>
      </ns0:c>
      <ns0:c r="J227" s="11" t="inlineStr">
        <ns0:is>
          <ns0:t>Planificat</ns0:t>
        </ns0:is>
      </ns0:c>
      <ns0:c r="K227" s="11" t="inlineStr">
        <ns0:is>
          <ns0:t>De desemnat</ns0:t>
        </ns0:is>
      </ns0:c>
      <ns0:c r="L227" s="8">
        <ns0:f>Catalog_100!I77</ns0:f>
        <ns0:v>75000</ns0:v>
      </ns0:c>
      <ns0:c r="M227" s="13">
        <ns0:f>Catalog_100!J77</ns0:f>
        <ns0:v>46325.0</ns0:v>
      </ns0:c>
      <ns0:c r="N227" s="13">
        <ns0:f>Catalog_100!K77</ns0:f>
        <ns0:v>46350.0</ns0:v>
      </ns0:c>
      <ns0:c r="O227" s="13">
        <ns0:f>Catalog_100!L77</ns0:f>
        <ns0:v>46352.0</ns0:v>
      </ns0:c>
      <ns0:c r="P227" s="13">
        <ns0:f>Catalog_100!M77</ns0:f>
        <ns0:v>46354.0</ns0:v>
      </ns0:c>
      <ns0:c r="Q227" s="11" t="inlineStr"/>
      <ns0:c r="R227" s="10" t="inlineStr"/>
      <ns0:c r="S227" s="11" t="inlineStr"/>
      <ns0:c r="T227" s="11" t="inlineStr"/>
      <ns0:c r="U227" s="11" t="inlineStr"/>
      <ns0:c r="V227" s="11" t="inlineStr">
        <ns0:is>
          <ns0:t>Neconfirmat</ns0:t>
        </ns0:is>
      </ns0:c>
      <ns0:c r="W227" s="11" t="inlineStr">
        <ns0:is>
          <ns0:t>Fără ediție finală confirmată</ns0:t>
        </ns0:is>
      </ns0:c>
      <ns0:c r="X227" s="7">
        <ns0:f>IF(AND(J227="Publicat",Q227&lt;&gt;"",ISNUMBER(R227),S227&lt;&gt;"",U227&lt;&gt;"",V227="Confirmat"),1,0)</ns0:f>
        <ns0:v>0</ns0:v>
      </ns0:c>
    </ns0:row>
    <ns0:row r="228" ht="46" customHeight="1">
      <ns0:c r="A228" s="7" t="inlineStr">
        <ns0:is>
          <ns0:t>DB-076-RO</ns0:t>
        </ns0:is>
      </ns0:c>
      <ns0:c r="B228" s="7" t="inlineStr">
        <ns0:is>
          <ns0:t>DB-076</ns0:t>
        </ns0:is>
      </ns0:c>
      <ns0:c r="C228" s="7" t="inlineStr">
        <ns0:is>
          <ns0:t>MYTHICA</ns0:t>
        </ns0:is>
      </ns0:c>
      <ns0:c r="D228" s="7" t="inlineStr">
        <ns0:is>
          <ns0:t>Saga Celor Zece Coroane</ns0:t>
        </ns0:is>
      </ns0:c>
      <ns0:c r="E228" s="8" t="n">
        <ns0:v>6</ns0:v>
      </ns0:c>
      <ns0:c r="F228" s="7" t="inlineStr">
        <ns0:is>
          <ns0:t>The Crown of Wisdom</ns0:t>
        </ns0:is>
      </ns0:c>
      <ns0:c r="G228" s="7" t="inlineStr">
        <ns0:is>
          <ns0:t>RO</ns0:t>
        </ns0:is>
      </ns0:c>
      <ns0:c r="H228" s="7" t="inlineStr">
        <ns0:is>
          <ns0:t>EN</ns0:t>
        </ns0:is>
      </ns0:c>
      <ns0:c r="I228" s="7" t="inlineStr">
        <ns0:is>
          <ns0:t>Traducere EN→RO</ns0:t>
        </ns0:is>
      </ns0:c>
      <ns0:c r="J228" s="11" t="inlineStr">
        <ns0:is>
          <ns0:t>Planificat</ns0:t>
        </ns0:is>
      </ns0:c>
      <ns0:c r="K228" s="11" t="inlineStr">
        <ns0:is>
          <ns0:t>De desemnat</ns0:t>
        </ns0:is>
      </ns0:c>
      <ns0:c r="L228" s="8">
        <ns0:f>Catalog_100!I77</ns0:f>
        <ns0:v>75000</ns0:v>
      </ns0:c>
      <ns0:c r="M228" s="13">
        <ns0:f>Catalog_100!J77</ns0:f>
        <ns0:v>46325.0</ns0:v>
      </ns0:c>
      <ns0:c r="N228" s="13">
        <ns0:f>Catalog_100!K77</ns0:f>
        <ns0:v>46350.0</ns0:v>
      </ns0:c>
      <ns0:c r="O228" s="13">
        <ns0:f>Catalog_100!L77</ns0:f>
        <ns0:v>46352.0</ns0:v>
      </ns0:c>
      <ns0:c r="P228" s="13">
        <ns0:f>Catalog_100!M77</ns0:f>
        <ns0:v>46354.0</ns0:v>
      </ns0:c>
      <ns0:c r="Q228" s="11" t="inlineStr"/>
      <ns0:c r="R228" s="10" t="inlineStr"/>
      <ns0:c r="S228" s="11" t="inlineStr"/>
      <ns0:c r="T228" s="11" t="inlineStr"/>
      <ns0:c r="U228" s="11" t="inlineStr"/>
      <ns0:c r="V228" s="11" t="inlineStr">
        <ns0:is>
          <ns0:t>Neconfirmat</ns0:t>
        </ns0:is>
      </ns0:c>
      <ns0:c r="W228" s="11" t="inlineStr">
        <ns0:is>
          <ns0:t>Fără ediție finală confirmată</ns0:t>
        </ns0:is>
      </ns0:c>
      <ns0:c r="X228" s="7">
        <ns0:f>IF(AND(J228="Publicat",Q228&lt;&gt;"",ISNUMBER(R228),S228&lt;&gt;"",U228&lt;&gt;"",V228="Confirmat"),1,0)</ns0:f>
        <ns0:v>0</ns0:v>
      </ns0:c>
    </ns0:row>
    <ns0:row r="229" ht="46" customHeight="1">
      <ns0:c r="A229" s="7" t="inlineStr">
        <ns0:is>
          <ns0:t>DB-076-DE</ns0:t>
        </ns0:is>
      </ns0:c>
      <ns0:c r="B229" s="7" t="inlineStr">
        <ns0:is>
          <ns0:t>DB-076</ns0:t>
        </ns0:is>
      </ns0:c>
      <ns0:c r="C229" s="7" t="inlineStr">
        <ns0:is>
          <ns0:t>MYTHICA</ns0:t>
        </ns0:is>
      </ns0:c>
      <ns0:c r="D229" s="7" t="inlineStr">
        <ns0:is>
          <ns0:t>Saga Celor Zece Coroane</ns0:t>
        </ns0:is>
      </ns0:c>
      <ns0:c r="E229" s="8" t="n">
        <ns0:v>6</ns0:v>
      </ns0:c>
      <ns0:c r="F229" s="7" t="inlineStr">
        <ns0:is>
          <ns0:t>The Crown of Wisdom</ns0:t>
        </ns0:is>
      </ns0:c>
      <ns0:c r="G229" s="7" t="inlineStr">
        <ns0:is>
          <ns0:t>DE</ns0:t>
        </ns0:is>
      </ns0:c>
      <ns0:c r="H229" s="7" t="inlineStr">
        <ns0:is>
          <ns0:t>EN</ns0:t>
        </ns0:is>
      </ns0:c>
      <ns0:c r="I229" s="7" t="inlineStr">
        <ns0:is>
          <ns0:t>Traducere EN→DE</ns0:t>
        </ns0:is>
      </ns0:c>
      <ns0:c r="J229" s="11" t="inlineStr">
        <ns0:is>
          <ns0:t>Planificat</ns0:t>
        </ns0:is>
      </ns0:c>
      <ns0:c r="K229" s="11" t="inlineStr">
        <ns0:is>
          <ns0:t>De desemnat</ns0:t>
        </ns0:is>
      </ns0:c>
      <ns0:c r="L229" s="8">
        <ns0:f>Catalog_100!I77</ns0:f>
        <ns0:v>75000</ns0:v>
      </ns0:c>
      <ns0:c r="M229" s="13">
        <ns0:f>Catalog_100!J77</ns0:f>
        <ns0:v>46325.0</ns0:v>
      </ns0:c>
      <ns0:c r="N229" s="13">
        <ns0:f>Catalog_100!K77</ns0:f>
        <ns0:v>46350.0</ns0:v>
      </ns0:c>
      <ns0:c r="O229" s="13">
        <ns0:f>Catalog_100!L77</ns0:f>
        <ns0:v>46352.0</ns0:v>
      </ns0:c>
      <ns0:c r="P229" s="13">
        <ns0:f>Catalog_100!M77</ns0:f>
        <ns0:v>46354.0</ns0:v>
      </ns0:c>
      <ns0:c r="Q229" s="11" t="inlineStr"/>
      <ns0:c r="R229" s="10" t="inlineStr"/>
      <ns0:c r="S229" s="11" t="inlineStr"/>
      <ns0:c r="T229" s="11" t="inlineStr"/>
      <ns0:c r="U229" s="11" t="inlineStr"/>
      <ns0:c r="V229" s="11" t="inlineStr">
        <ns0:is>
          <ns0:t>Neconfirmat</ns0:t>
        </ns0:is>
      </ns0:c>
      <ns0:c r="W229" s="11" t="inlineStr">
        <ns0:is>
          <ns0:t>Fără ediție finală confirmată</ns0:t>
        </ns0:is>
      </ns0:c>
      <ns0:c r="X229" s="7">
        <ns0:f>IF(AND(J229="Publicat",Q229&lt;&gt;"",ISNUMBER(R229),S229&lt;&gt;"",U229&lt;&gt;"",V229="Confirmat"),1,0)</ns0:f>
        <ns0:v>0</ns0:v>
      </ns0:c>
    </ns0:row>
    <ns0:row r="230" ht="46" customHeight="1">
      <ns0:c r="A230" s="7" t="inlineStr">
        <ns0:is>
          <ns0:t>DB-077-EN</ns0:t>
        </ns0:is>
      </ns0:c>
      <ns0:c r="B230" s="7" t="inlineStr">
        <ns0:is>
          <ns0:t>DB-077</ns0:t>
        </ns0:is>
      </ns0:c>
      <ns0:c r="C230" s="7" t="inlineStr">
        <ns0:is>
          <ns0:t>MYTHICA</ns0:t>
        </ns0:is>
      </ns0:c>
      <ns0:c r="D230" s="7" t="inlineStr">
        <ns0:is>
          <ns0:t>Saga Celor Zece Coroane</ns0:t>
        </ns0:is>
      </ns0:c>
      <ns0:c r="E230" s="8" t="n">
        <ns0:v>7</ns0:v>
      </ns0:c>
      <ns0:c r="F230" s="7" t="inlineStr">
        <ns0:is>
          <ns0:t>The Dark Crown</ns0:t>
        </ns0:is>
      </ns0:c>
      <ns0:c r="G230" s="7" t="inlineStr">
        <ns0:is>
          <ns0:t>EN</ns0:t>
        </ns0:is>
      </ns0:c>
      <ns0:c r="H230" s="7" t="inlineStr">
        <ns0:is>
          <ns0:t>EN</ns0:t>
        </ns0:is>
      </ns0:c>
      <ns0:c r="I230" s="7" t="inlineStr">
        <ns0:is>
          <ns0:t>Scriere nouă</ns0:t>
        </ns0:is>
      </ns0:c>
      <ns0:c r="J230" s="11" t="inlineStr">
        <ns0:is>
          <ns0:t>Planificat</ns0:t>
        </ns0:is>
      </ns0:c>
      <ns0:c r="K230" s="11" t="inlineStr">
        <ns0:is>
          <ns0:t>De desemnat</ns0:t>
        </ns0:is>
      </ns0:c>
      <ns0:c r="L230" s="8">
        <ns0:f>Catalog_100!I78</ns0:f>
        <ns0:v>75000</ns0:v>
      </ns0:c>
      <ns0:c r="M230" s="13">
        <ns0:f>Catalog_100!J78</ns0:f>
        <ns0:v>46325.0</ns0:v>
      </ns0:c>
      <ns0:c r="N230" s="13">
        <ns0:f>Catalog_100!K78</ns0:f>
        <ns0:v>46350.0</ns0:v>
      </ns0:c>
      <ns0:c r="O230" s="13">
        <ns0:f>Catalog_100!L78</ns0:f>
        <ns0:v>46352.0</ns0:v>
      </ns0:c>
      <ns0:c r="P230" s="13">
        <ns0:f>Catalog_100!M78</ns0:f>
        <ns0:v>46354.0</ns0:v>
      </ns0:c>
      <ns0:c r="Q230" s="11" t="inlineStr"/>
      <ns0:c r="R230" s="10" t="inlineStr"/>
      <ns0:c r="S230" s="11" t="inlineStr"/>
      <ns0:c r="T230" s="11" t="inlineStr"/>
      <ns0:c r="U230" s="11" t="inlineStr"/>
      <ns0:c r="V230" s="11" t="inlineStr">
        <ns0:is>
          <ns0:t>Neconfirmat</ns0:t>
        </ns0:is>
      </ns0:c>
      <ns0:c r="W230" s="11" t="inlineStr">
        <ns0:is>
          <ns0:t>Fără ediție finală confirmată</ns0:t>
        </ns0:is>
      </ns0:c>
      <ns0:c r="X230" s="7">
        <ns0:f>IF(AND(J230="Publicat",Q230&lt;&gt;"",ISNUMBER(R230),S230&lt;&gt;"",U230&lt;&gt;"",V230="Confirmat"),1,0)</ns0:f>
        <ns0:v>0</ns0:v>
      </ns0:c>
    </ns0:row>
    <ns0:row r="231" ht="46" customHeight="1">
      <ns0:c r="A231" s="7" t="inlineStr">
        <ns0:is>
          <ns0:t>DB-077-RO</ns0:t>
        </ns0:is>
      </ns0:c>
      <ns0:c r="B231" s="7" t="inlineStr">
        <ns0:is>
          <ns0:t>DB-077</ns0:t>
        </ns0:is>
      </ns0:c>
      <ns0:c r="C231" s="7" t="inlineStr">
        <ns0:is>
          <ns0:t>MYTHICA</ns0:t>
        </ns0:is>
      </ns0:c>
      <ns0:c r="D231" s="7" t="inlineStr">
        <ns0:is>
          <ns0:t>Saga Celor Zece Coroane</ns0:t>
        </ns0:is>
      </ns0:c>
      <ns0:c r="E231" s="8" t="n">
        <ns0:v>7</ns0:v>
      </ns0:c>
      <ns0:c r="F231" s="7" t="inlineStr">
        <ns0:is>
          <ns0:t>The Dark Crown</ns0:t>
        </ns0:is>
      </ns0:c>
      <ns0:c r="G231" s="7" t="inlineStr">
        <ns0:is>
          <ns0:t>RO</ns0:t>
        </ns0:is>
      </ns0:c>
      <ns0:c r="H231" s="7" t="inlineStr">
        <ns0:is>
          <ns0:t>EN</ns0:t>
        </ns0:is>
      </ns0:c>
      <ns0:c r="I231" s="7" t="inlineStr">
        <ns0:is>
          <ns0:t>Traducere EN→RO</ns0:t>
        </ns0:is>
      </ns0:c>
      <ns0:c r="J231" s="11" t="inlineStr">
        <ns0:is>
          <ns0:t>Planificat</ns0:t>
        </ns0:is>
      </ns0:c>
      <ns0:c r="K231" s="11" t="inlineStr">
        <ns0:is>
          <ns0:t>De desemnat</ns0:t>
        </ns0:is>
      </ns0:c>
      <ns0:c r="L231" s="8">
        <ns0:f>Catalog_100!I78</ns0:f>
        <ns0:v>75000</ns0:v>
      </ns0:c>
      <ns0:c r="M231" s="13">
        <ns0:f>Catalog_100!J78</ns0:f>
        <ns0:v>46325.0</ns0:v>
      </ns0:c>
      <ns0:c r="N231" s="13">
        <ns0:f>Catalog_100!K78</ns0:f>
        <ns0:v>46350.0</ns0:v>
      </ns0:c>
      <ns0:c r="O231" s="13">
        <ns0:f>Catalog_100!L78</ns0:f>
        <ns0:v>46352.0</ns0:v>
      </ns0:c>
      <ns0:c r="P231" s="13">
        <ns0:f>Catalog_100!M78</ns0:f>
        <ns0:v>46354.0</ns0:v>
      </ns0:c>
      <ns0:c r="Q231" s="11" t="inlineStr"/>
      <ns0:c r="R231" s="10" t="inlineStr"/>
      <ns0:c r="S231" s="11" t="inlineStr"/>
      <ns0:c r="T231" s="11" t="inlineStr"/>
      <ns0:c r="U231" s="11" t="inlineStr"/>
      <ns0:c r="V231" s="11" t="inlineStr">
        <ns0:is>
          <ns0:t>Neconfirmat</ns0:t>
        </ns0:is>
      </ns0:c>
      <ns0:c r="W231" s="11" t="inlineStr">
        <ns0:is>
          <ns0:t>Fără ediție finală confirmată</ns0:t>
        </ns0:is>
      </ns0:c>
      <ns0:c r="X231" s="7">
        <ns0:f>IF(AND(J231="Publicat",Q231&lt;&gt;"",ISNUMBER(R231),S231&lt;&gt;"",U231&lt;&gt;"",V231="Confirmat"),1,0)</ns0:f>
        <ns0:v>0</ns0:v>
      </ns0:c>
    </ns0:row>
    <ns0:row r="232" ht="46" customHeight="1">
      <ns0:c r="A232" s="7" t="inlineStr">
        <ns0:is>
          <ns0:t>DB-077-DE</ns0:t>
        </ns0:is>
      </ns0:c>
      <ns0:c r="B232" s="7" t="inlineStr">
        <ns0:is>
          <ns0:t>DB-077</ns0:t>
        </ns0:is>
      </ns0:c>
      <ns0:c r="C232" s="7" t="inlineStr">
        <ns0:is>
          <ns0:t>MYTHICA</ns0:t>
        </ns0:is>
      </ns0:c>
      <ns0:c r="D232" s="7" t="inlineStr">
        <ns0:is>
          <ns0:t>Saga Celor Zece Coroane</ns0:t>
        </ns0:is>
      </ns0:c>
      <ns0:c r="E232" s="8" t="n">
        <ns0:v>7</ns0:v>
      </ns0:c>
      <ns0:c r="F232" s="7" t="inlineStr">
        <ns0:is>
          <ns0:t>The Dark Crown</ns0:t>
        </ns0:is>
      </ns0:c>
      <ns0:c r="G232" s="7" t="inlineStr">
        <ns0:is>
          <ns0:t>DE</ns0:t>
        </ns0:is>
      </ns0:c>
      <ns0:c r="H232" s="7" t="inlineStr">
        <ns0:is>
          <ns0:t>EN</ns0:t>
        </ns0:is>
      </ns0:c>
      <ns0:c r="I232" s="7" t="inlineStr">
        <ns0:is>
          <ns0:t>Traducere EN→DE</ns0:t>
        </ns0:is>
      </ns0:c>
      <ns0:c r="J232" s="11" t="inlineStr">
        <ns0:is>
          <ns0:t>Planificat</ns0:t>
        </ns0:is>
      </ns0:c>
      <ns0:c r="K232" s="11" t="inlineStr">
        <ns0:is>
          <ns0:t>De desemnat</ns0:t>
        </ns0:is>
      </ns0:c>
      <ns0:c r="L232" s="8">
        <ns0:f>Catalog_100!I78</ns0:f>
        <ns0:v>75000</ns0:v>
      </ns0:c>
      <ns0:c r="M232" s="13">
        <ns0:f>Catalog_100!J78</ns0:f>
        <ns0:v>46325.0</ns0:v>
      </ns0:c>
      <ns0:c r="N232" s="13">
        <ns0:f>Catalog_100!K78</ns0:f>
        <ns0:v>46350.0</ns0:v>
      </ns0:c>
      <ns0:c r="O232" s="13">
        <ns0:f>Catalog_100!L78</ns0:f>
        <ns0:v>46352.0</ns0:v>
      </ns0:c>
      <ns0:c r="P232" s="13">
        <ns0:f>Catalog_100!M78</ns0:f>
        <ns0:v>46354.0</ns0:v>
      </ns0:c>
      <ns0:c r="Q232" s="11" t="inlineStr"/>
      <ns0:c r="R232" s="10" t="inlineStr"/>
      <ns0:c r="S232" s="11" t="inlineStr"/>
      <ns0:c r="T232" s="11" t="inlineStr"/>
      <ns0:c r="U232" s="11" t="inlineStr"/>
      <ns0:c r="V232" s="11" t="inlineStr">
        <ns0:is>
          <ns0:t>Neconfirmat</ns0:t>
        </ns0:is>
      </ns0:c>
      <ns0:c r="W232" s="11" t="inlineStr">
        <ns0:is>
          <ns0:t>Fără ediție finală confirmată</ns0:t>
        </ns0:is>
      </ns0:c>
      <ns0:c r="X232" s="7">
        <ns0:f>IF(AND(J232="Publicat",Q232&lt;&gt;"",ISNUMBER(R232),S232&lt;&gt;"",U232&lt;&gt;"",V232="Confirmat"),1,0)</ns0:f>
        <ns0:v>0</ns0:v>
      </ns0:c>
    </ns0:row>
    <ns0:row r="233" ht="46" customHeight="1">
      <ns0:c r="A233" s="7" t="inlineStr">
        <ns0:is>
          <ns0:t>DB-078-EN</ns0:t>
        </ns0:is>
      </ns0:c>
      <ns0:c r="B233" s="7" t="inlineStr">
        <ns0:is>
          <ns0:t>DB-078</ns0:t>
        </ns0:is>
      </ns0:c>
      <ns0:c r="C233" s="7" t="inlineStr">
        <ns0:is>
          <ns0:t>MYTHICA</ns0:t>
        </ns0:is>
      </ns0:c>
      <ns0:c r="D233" s="7" t="inlineStr">
        <ns0:is>
          <ns0:t>Saga Celor Zece Coroane</ns0:t>
        </ns0:is>
      </ns0:c>
      <ns0:c r="E233" s="8" t="n">
        <ns0:v>8</ns0:v>
      </ns0:c>
      <ns0:c r="F233" s="7" t="inlineStr">
        <ns0:is>
          <ns0:t>The Crown of Light</ns0:t>
        </ns0:is>
      </ns0:c>
      <ns0:c r="G233" s="7" t="inlineStr">
        <ns0:is>
          <ns0:t>EN</ns0:t>
        </ns0:is>
      </ns0:c>
      <ns0:c r="H233" s="7" t="inlineStr">
        <ns0:is>
          <ns0:t>EN</ns0:t>
        </ns0:is>
      </ns0:c>
      <ns0:c r="I233" s="7" t="inlineStr">
        <ns0:is>
          <ns0:t>Scriere nouă</ns0:t>
        </ns0:is>
      </ns0:c>
      <ns0:c r="J233" s="11" t="inlineStr">
        <ns0:is>
          <ns0:t>Planificat</ns0:t>
        </ns0:is>
      </ns0:c>
      <ns0:c r="K233" s="11" t="inlineStr">
        <ns0:is>
          <ns0:t>De desemnat</ns0:t>
        </ns0:is>
      </ns0:c>
      <ns0:c r="L233" s="8">
        <ns0:f>Catalog_100!I79</ns0:f>
        <ns0:v>75000</ns0:v>
      </ns0:c>
      <ns0:c r="M233" s="13">
        <ns0:f>Catalog_100!J79</ns0:f>
        <ns0:v>46325.0</ns0:v>
      </ns0:c>
      <ns0:c r="N233" s="13">
        <ns0:f>Catalog_100!K79</ns0:f>
        <ns0:v>46350.0</ns0:v>
      </ns0:c>
      <ns0:c r="O233" s="13">
        <ns0:f>Catalog_100!L79</ns0:f>
        <ns0:v>46352.0</ns0:v>
      </ns0:c>
      <ns0:c r="P233" s="13">
        <ns0:f>Catalog_100!M79</ns0:f>
        <ns0:v>46354.0</ns0:v>
      </ns0:c>
      <ns0:c r="Q233" s="11" t="inlineStr"/>
      <ns0:c r="R233" s="10" t="inlineStr"/>
      <ns0:c r="S233" s="11" t="inlineStr"/>
      <ns0:c r="T233" s="11" t="inlineStr"/>
      <ns0:c r="U233" s="11" t="inlineStr"/>
      <ns0:c r="V233" s="11" t="inlineStr">
        <ns0:is>
          <ns0:t>Neconfirmat</ns0:t>
        </ns0:is>
      </ns0:c>
      <ns0:c r="W233" s="11" t="inlineStr">
        <ns0:is>
          <ns0:t>Fără ediție finală confirmată</ns0:t>
        </ns0:is>
      </ns0:c>
      <ns0:c r="X233" s="7">
        <ns0:f>IF(AND(J233="Publicat",Q233&lt;&gt;"",ISNUMBER(R233),S233&lt;&gt;"",U233&lt;&gt;"",V233="Confirmat"),1,0)</ns0:f>
        <ns0:v>0</ns0:v>
      </ns0:c>
    </ns0:row>
    <ns0:row r="234" ht="46" customHeight="1">
      <ns0:c r="A234" s="7" t="inlineStr">
        <ns0:is>
          <ns0:t>DB-078-RO</ns0:t>
        </ns0:is>
      </ns0:c>
      <ns0:c r="B234" s="7" t="inlineStr">
        <ns0:is>
          <ns0:t>DB-078</ns0:t>
        </ns0:is>
      </ns0:c>
      <ns0:c r="C234" s="7" t="inlineStr">
        <ns0:is>
          <ns0:t>MYTHICA</ns0:t>
        </ns0:is>
      </ns0:c>
      <ns0:c r="D234" s="7" t="inlineStr">
        <ns0:is>
          <ns0:t>Saga Celor Zece Coroane</ns0:t>
        </ns0:is>
      </ns0:c>
      <ns0:c r="E234" s="8" t="n">
        <ns0:v>8</ns0:v>
      </ns0:c>
      <ns0:c r="F234" s="7" t="inlineStr">
        <ns0:is>
          <ns0:t>The Crown of Light</ns0:t>
        </ns0:is>
      </ns0:c>
      <ns0:c r="G234" s="7" t="inlineStr">
        <ns0:is>
          <ns0:t>RO</ns0:t>
        </ns0:is>
      </ns0:c>
      <ns0:c r="H234" s="7" t="inlineStr">
        <ns0:is>
          <ns0:t>EN</ns0:t>
        </ns0:is>
      </ns0:c>
      <ns0:c r="I234" s="7" t="inlineStr">
        <ns0:is>
          <ns0:t>Traducere EN→RO</ns0:t>
        </ns0:is>
      </ns0:c>
      <ns0:c r="J234" s="11" t="inlineStr">
        <ns0:is>
          <ns0:t>Planificat</ns0:t>
        </ns0:is>
      </ns0:c>
      <ns0:c r="K234" s="11" t="inlineStr">
        <ns0:is>
          <ns0:t>De desemnat</ns0:t>
        </ns0:is>
      </ns0:c>
      <ns0:c r="L234" s="8">
        <ns0:f>Catalog_100!I79</ns0:f>
        <ns0:v>75000</ns0:v>
      </ns0:c>
      <ns0:c r="M234" s="13">
        <ns0:f>Catalog_100!J79</ns0:f>
        <ns0:v>46325.0</ns0:v>
      </ns0:c>
      <ns0:c r="N234" s="13">
        <ns0:f>Catalog_100!K79</ns0:f>
        <ns0:v>46350.0</ns0:v>
      </ns0:c>
      <ns0:c r="O234" s="13">
        <ns0:f>Catalog_100!L79</ns0:f>
        <ns0:v>46352.0</ns0:v>
      </ns0:c>
      <ns0:c r="P234" s="13">
        <ns0:f>Catalog_100!M79</ns0:f>
        <ns0:v>46354.0</ns0:v>
      </ns0:c>
      <ns0:c r="Q234" s="11" t="inlineStr"/>
      <ns0:c r="R234" s="10" t="inlineStr"/>
      <ns0:c r="S234" s="11" t="inlineStr"/>
      <ns0:c r="T234" s="11" t="inlineStr"/>
      <ns0:c r="U234" s="11" t="inlineStr"/>
      <ns0:c r="V234" s="11" t="inlineStr">
        <ns0:is>
          <ns0:t>Neconfirmat</ns0:t>
        </ns0:is>
      </ns0:c>
      <ns0:c r="W234" s="11" t="inlineStr">
        <ns0:is>
          <ns0:t>Fără ediție finală confirmată</ns0:t>
        </ns0:is>
      </ns0:c>
      <ns0:c r="X234" s="7">
        <ns0:f>IF(AND(J234="Publicat",Q234&lt;&gt;"",ISNUMBER(R234),S234&lt;&gt;"",U234&lt;&gt;"",V234="Confirmat"),1,0)</ns0:f>
        <ns0:v>0</ns0:v>
      </ns0:c>
    </ns0:row>
    <ns0:row r="235" ht="46" customHeight="1">
      <ns0:c r="A235" s="7" t="inlineStr">
        <ns0:is>
          <ns0:t>DB-078-DE</ns0:t>
        </ns0:is>
      </ns0:c>
      <ns0:c r="B235" s="7" t="inlineStr">
        <ns0:is>
          <ns0:t>DB-078</ns0:t>
        </ns0:is>
      </ns0:c>
      <ns0:c r="C235" s="7" t="inlineStr">
        <ns0:is>
          <ns0:t>MYTHICA</ns0:t>
        </ns0:is>
      </ns0:c>
      <ns0:c r="D235" s="7" t="inlineStr">
        <ns0:is>
          <ns0:t>Saga Celor Zece Coroane</ns0:t>
        </ns0:is>
      </ns0:c>
      <ns0:c r="E235" s="8" t="n">
        <ns0:v>8</ns0:v>
      </ns0:c>
      <ns0:c r="F235" s="7" t="inlineStr">
        <ns0:is>
          <ns0:t>The Crown of Light</ns0:t>
        </ns0:is>
      </ns0:c>
      <ns0:c r="G235" s="7" t="inlineStr">
        <ns0:is>
          <ns0:t>DE</ns0:t>
        </ns0:is>
      </ns0:c>
      <ns0:c r="H235" s="7" t="inlineStr">
        <ns0:is>
          <ns0:t>EN</ns0:t>
        </ns0:is>
      </ns0:c>
      <ns0:c r="I235" s="7" t="inlineStr">
        <ns0:is>
          <ns0:t>Traducere EN→DE</ns0:t>
        </ns0:is>
      </ns0:c>
      <ns0:c r="J235" s="11" t="inlineStr">
        <ns0:is>
          <ns0:t>Planificat</ns0:t>
        </ns0:is>
      </ns0:c>
      <ns0:c r="K235" s="11" t="inlineStr">
        <ns0:is>
          <ns0:t>De desemnat</ns0:t>
        </ns0:is>
      </ns0:c>
      <ns0:c r="L235" s="8">
        <ns0:f>Catalog_100!I79</ns0:f>
        <ns0:v>75000</ns0:v>
      </ns0:c>
      <ns0:c r="M235" s="13">
        <ns0:f>Catalog_100!J79</ns0:f>
        <ns0:v>46325.0</ns0:v>
      </ns0:c>
      <ns0:c r="N235" s="13">
        <ns0:f>Catalog_100!K79</ns0:f>
        <ns0:v>46350.0</ns0:v>
      </ns0:c>
      <ns0:c r="O235" s="13">
        <ns0:f>Catalog_100!L79</ns0:f>
        <ns0:v>46352.0</ns0:v>
      </ns0:c>
      <ns0:c r="P235" s="13">
        <ns0:f>Catalog_100!M79</ns0:f>
        <ns0:v>46354.0</ns0:v>
      </ns0:c>
      <ns0:c r="Q235" s="11" t="inlineStr"/>
      <ns0:c r="R235" s="10" t="inlineStr"/>
      <ns0:c r="S235" s="11" t="inlineStr"/>
      <ns0:c r="T235" s="11" t="inlineStr"/>
      <ns0:c r="U235" s="11" t="inlineStr"/>
      <ns0:c r="V235" s="11" t="inlineStr">
        <ns0:is>
          <ns0:t>Neconfirmat</ns0:t>
        </ns0:is>
      </ns0:c>
      <ns0:c r="W235" s="11" t="inlineStr">
        <ns0:is>
          <ns0:t>Fără ediție finală confirmată</ns0:t>
        </ns0:is>
      </ns0:c>
      <ns0:c r="X235" s="7">
        <ns0:f>IF(AND(J235="Publicat",Q235&lt;&gt;"",ISNUMBER(R235),S235&lt;&gt;"",U235&lt;&gt;"",V235="Confirmat"),1,0)</ns0:f>
        <ns0:v>0</ns0:v>
      </ns0:c>
    </ns0:row>
    <ns0:row r="236" ht="46" customHeight="1">
      <ns0:c r="A236" s="7" t="inlineStr">
        <ns0:is>
          <ns0:t>DB-079-EN</ns0:t>
        </ns0:is>
      </ns0:c>
      <ns0:c r="B236" s="7" t="inlineStr">
        <ns0:is>
          <ns0:t>DB-079</ns0:t>
        </ns0:is>
      </ns0:c>
      <ns0:c r="C236" s="7" t="inlineStr">
        <ns0:is>
          <ns0:t>MYTHICA</ns0:t>
        </ns0:is>
      </ns0:c>
      <ns0:c r="D236" s="7" t="inlineStr">
        <ns0:is>
          <ns0:t>Saga Celor Zece Coroane</ns0:t>
        </ns0:is>
      </ns0:c>
      <ns0:c r="E236" s="8" t="n">
        <ns0:v>9</ns0:v>
      </ns0:c>
      <ns0:c r="F236" s="7" t="inlineStr">
        <ns0:is>
          <ns0:t>The Crown of Unity</ns0:t>
        </ns0:is>
      </ns0:c>
      <ns0:c r="G236" s="7" t="inlineStr">
        <ns0:is>
          <ns0:t>EN</ns0:t>
        </ns0:is>
      </ns0:c>
      <ns0:c r="H236" s="7" t="inlineStr">
        <ns0:is>
          <ns0:t>EN</ns0:t>
        </ns0:is>
      </ns0:c>
      <ns0:c r="I236" s="7" t="inlineStr">
        <ns0:is>
          <ns0:t>Scriere nouă</ns0:t>
        </ns0:is>
      </ns0:c>
      <ns0:c r="J236" s="11" t="inlineStr">
        <ns0:is>
          <ns0:t>Planificat</ns0:t>
        </ns0:is>
      </ns0:c>
      <ns0:c r="K236" s="11" t="inlineStr">
        <ns0:is>
          <ns0:t>De desemnat</ns0:t>
        </ns0:is>
      </ns0:c>
      <ns0:c r="L236" s="8">
        <ns0:f>Catalog_100!I80</ns0:f>
        <ns0:v>75000</ns0:v>
      </ns0:c>
      <ns0:c r="M236" s="13">
        <ns0:f>Catalog_100!J80</ns0:f>
        <ns0:v>46325.0</ns0:v>
      </ns0:c>
      <ns0:c r="N236" s="13">
        <ns0:f>Catalog_100!K80</ns0:f>
        <ns0:v>46350.0</ns0:v>
      </ns0:c>
      <ns0:c r="O236" s="13">
        <ns0:f>Catalog_100!L80</ns0:f>
        <ns0:v>46352.0</ns0:v>
      </ns0:c>
      <ns0:c r="P236" s="13">
        <ns0:f>Catalog_100!M80</ns0:f>
        <ns0:v>46354.0</ns0:v>
      </ns0:c>
      <ns0:c r="Q236" s="11" t="inlineStr"/>
      <ns0:c r="R236" s="10" t="inlineStr"/>
      <ns0:c r="S236" s="11" t="inlineStr"/>
      <ns0:c r="T236" s="11" t="inlineStr"/>
      <ns0:c r="U236" s="11" t="inlineStr"/>
      <ns0:c r="V236" s="11" t="inlineStr">
        <ns0:is>
          <ns0:t>Neconfirmat</ns0:t>
        </ns0:is>
      </ns0:c>
      <ns0:c r="W236" s="11" t="inlineStr">
        <ns0:is>
          <ns0:t>Fără ediție finală confirmată</ns0:t>
        </ns0:is>
      </ns0:c>
      <ns0:c r="X236" s="7">
        <ns0:f>IF(AND(J236="Publicat",Q236&lt;&gt;"",ISNUMBER(R236),S236&lt;&gt;"",U236&lt;&gt;"",V236="Confirmat"),1,0)</ns0:f>
        <ns0:v>0</ns0:v>
      </ns0:c>
    </ns0:row>
    <ns0:row r="237" ht="46" customHeight="1">
      <ns0:c r="A237" s="7" t="inlineStr">
        <ns0:is>
          <ns0:t>DB-079-RO</ns0:t>
        </ns0:is>
      </ns0:c>
      <ns0:c r="B237" s="7" t="inlineStr">
        <ns0:is>
          <ns0:t>DB-079</ns0:t>
        </ns0:is>
      </ns0:c>
      <ns0:c r="C237" s="7" t="inlineStr">
        <ns0:is>
          <ns0:t>MYTHICA</ns0:t>
        </ns0:is>
      </ns0:c>
      <ns0:c r="D237" s="7" t="inlineStr">
        <ns0:is>
          <ns0:t>Saga Celor Zece Coroane</ns0:t>
        </ns0:is>
      </ns0:c>
      <ns0:c r="E237" s="8" t="n">
        <ns0:v>9</ns0:v>
      </ns0:c>
      <ns0:c r="F237" s="7" t="inlineStr">
        <ns0:is>
          <ns0:t>The Crown of Unity</ns0:t>
        </ns0:is>
      </ns0:c>
      <ns0:c r="G237" s="7" t="inlineStr">
        <ns0:is>
          <ns0:t>RO</ns0:t>
        </ns0:is>
      </ns0:c>
      <ns0:c r="H237" s="7" t="inlineStr">
        <ns0:is>
          <ns0:t>EN</ns0:t>
        </ns0:is>
      </ns0:c>
      <ns0:c r="I237" s="7" t="inlineStr">
        <ns0:is>
          <ns0:t>Traducere EN→RO</ns0:t>
        </ns0:is>
      </ns0:c>
      <ns0:c r="J237" s="11" t="inlineStr">
        <ns0:is>
          <ns0:t>Planificat</ns0:t>
        </ns0:is>
      </ns0:c>
      <ns0:c r="K237" s="11" t="inlineStr">
        <ns0:is>
          <ns0:t>De desemnat</ns0:t>
        </ns0:is>
      </ns0:c>
      <ns0:c r="L237" s="8">
        <ns0:f>Catalog_100!I80</ns0:f>
        <ns0:v>75000</ns0:v>
      </ns0:c>
      <ns0:c r="M237" s="13">
        <ns0:f>Catalog_100!J80</ns0:f>
        <ns0:v>46325.0</ns0:v>
      </ns0:c>
      <ns0:c r="N237" s="13">
        <ns0:f>Catalog_100!K80</ns0:f>
        <ns0:v>46350.0</ns0:v>
      </ns0:c>
      <ns0:c r="O237" s="13">
        <ns0:f>Catalog_100!L80</ns0:f>
        <ns0:v>46352.0</ns0:v>
      </ns0:c>
      <ns0:c r="P237" s="13">
        <ns0:f>Catalog_100!M80</ns0:f>
        <ns0:v>46354.0</ns0:v>
      </ns0:c>
      <ns0:c r="Q237" s="11" t="inlineStr"/>
      <ns0:c r="R237" s="10" t="inlineStr"/>
      <ns0:c r="S237" s="11" t="inlineStr"/>
      <ns0:c r="T237" s="11" t="inlineStr"/>
      <ns0:c r="U237" s="11" t="inlineStr"/>
      <ns0:c r="V237" s="11" t="inlineStr">
        <ns0:is>
          <ns0:t>Neconfirmat</ns0:t>
        </ns0:is>
      </ns0:c>
      <ns0:c r="W237" s="11" t="inlineStr">
        <ns0:is>
          <ns0:t>Fără ediție finală confirmată</ns0:t>
        </ns0:is>
      </ns0:c>
      <ns0:c r="X237" s="7">
        <ns0:f>IF(AND(J237="Publicat",Q237&lt;&gt;"",ISNUMBER(R237),S237&lt;&gt;"",U237&lt;&gt;"",V237="Confirmat"),1,0)</ns0:f>
        <ns0:v>0</ns0:v>
      </ns0:c>
    </ns0:row>
    <ns0:row r="238" ht="46" customHeight="1">
      <ns0:c r="A238" s="7" t="inlineStr">
        <ns0:is>
          <ns0:t>DB-079-DE</ns0:t>
        </ns0:is>
      </ns0:c>
      <ns0:c r="B238" s="7" t="inlineStr">
        <ns0:is>
          <ns0:t>DB-079</ns0:t>
        </ns0:is>
      </ns0:c>
      <ns0:c r="C238" s="7" t="inlineStr">
        <ns0:is>
          <ns0:t>MYTHICA</ns0:t>
        </ns0:is>
      </ns0:c>
      <ns0:c r="D238" s="7" t="inlineStr">
        <ns0:is>
          <ns0:t>Saga Celor Zece Coroane</ns0:t>
        </ns0:is>
      </ns0:c>
      <ns0:c r="E238" s="8" t="n">
        <ns0:v>9</ns0:v>
      </ns0:c>
      <ns0:c r="F238" s="7" t="inlineStr">
        <ns0:is>
          <ns0:t>The Crown of Unity</ns0:t>
        </ns0:is>
      </ns0:c>
      <ns0:c r="G238" s="7" t="inlineStr">
        <ns0:is>
          <ns0:t>DE</ns0:t>
        </ns0:is>
      </ns0:c>
      <ns0:c r="H238" s="7" t="inlineStr">
        <ns0:is>
          <ns0:t>EN</ns0:t>
        </ns0:is>
      </ns0:c>
      <ns0:c r="I238" s="7" t="inlineStr">
        <ns0:is>
          <ns0:t>Traducere EN→DE</ns0:t>
        </ns0:is>
      </ns0:c>
      <ns0:c r="J238" s="11" t="inlineStr">
        <ns0:is>
          <ns0:t>Planificat</ns0:t>
        </ns0:is>
      </ns0:c>
      <ns0:c r="K238" s="11" t="inlineStr">
        <ns0:is>
          <ns0:t>De desemnat</ns0:t>
        </ns0:is>
      </ns0:c>
      <ns0:c r="L238" s="8">
        <ns0:f>Catalog_100!I80</ns0:f>
        <ns0:v>75000</ns0:v>
      </ns0:c>
      <ns0:c r="M238" s="13">
        <ns0:f>Catalog_100!J80</ns0:f>
        <ns0:v>46325.0</ns0:v>
      </ns0:c>
      <ns0:c r="N238" s="13">
        <ns0:f>Catalog_100!K80</ns0:f>
        <ns0:v>46350.0</ns0:v>
      </ns0:c>
      <ns0:c r="O238" s="13">
        <ns0:f>Catalog_100!L80</ns0:f>
        <ns0:v>46352.0</ns0:v>
      </ns0:c>
      <ns0:c r="P238" s="13">
        <ns0:f>Catalog_100!M80</ns0:f>
        <ns0:v>46354.0</ns0:v>
      </ns0:c>
      <ns0:c r="Q238" s="11" t="inlineStr"/>
      <ns0:c r="R238" s="10" t="inlineStr"/>
      <ns0:c r="S238" s="11" t="inlineStr"/>
      <ns0:c r="T238" s="11" t="inlineStr"/>
      <ns0:c r="U238" s="11" t="inlineStr"/>
      <ns0:c r="V238" s="11" t="inlineStr">
        <ns0:is>
          <ns0:t>Neconfirmat</ns0:t>
        </ns0:is>
      </ns0:c>
      <ns0:c r="W238" s="11" t="inlineStr">
        <ns0:is>
          <ns0:t>Fără ediție finală confirmată</ns0:t>
        </ns0:is>
      </ns0:c>
      <ns0:c r="X238" s="7">
        <ns0:f>IF(AND(J238="Publicat",Q238&lt;&gt;"",ISNUMBER(R238),S238&lt;&gt;"",U238&lt;&gt;"",V238="Confirmat"),1,0)</ns0:f>
        <ns0:v>0</ns0:v>
      </ns0:c>
    </ns0:row>
    <ns0:row r="239" ht="46" customHeight="1">
      <ns0:c r="A239" s="7" t="inlineStr">
        <ns0:is>
          <ns0:t>DB-080-EN</ns0:t>
        </ns0:is>
      </ns0:c>
      <ns0:c r="B239" s="7" t="inlineStr">
        <ns0:is>
          <ns0:t>DB-080</ns0:t>
        </ns0:is>
      </ns0:c>
      <ns0:c r="C239" s="7" t="inlineStr">
        <ns0:is>
          <ns0:t>MYTHICA</ns0:t>
        </ns0:is>
      </ns0:c>
      <ns0:c r="D239" s="7" t="inlineStr">
        <ns0:is>
          <ns0:t>Saga Celor Zece Coroane</ns0:t>
        </ns0:is>
      </ns0:c>
      <ns0:c r="E239" s="8" t="n">
        <ns0:v>10</ns0:v>
      </ns0:c>
      <ns0:c r="F239" s="7" t="inlineStr">
        <ns0:is>
          <ns0:t>The Crown of Destiny</ns0:t>
        </ns0:is>
      </ns0:c>
      <ns0:c r="G239" s="7" t="inlineStr">
        <ns0:is>
          <ns0:t>EN</ns0:t>
        </ns0:is>
      </ns0:c>
      <ns0:c r="H239" s="7" t="inlineStr">
        <ns0:is>
          <ns0:t>EN</ns0:t>
        </ns0:is>
      </ns0:c>
      <ns0:c r="I239" s="7" t="inlineStr">
        <ns0:is>
          <ns0:t>Scriere nouă</ns0:t>
        </ns0:is>
      </ns0:c>
      <ns0:c r="J239" s="11" t="inlineStr">
        <ns0:is>
          <ns0:t>Planificat</ns0:t>
        </ns0:is>
      </ns0:c>
      <ns0:c r="K239" s="11" t="inlineStr">
        <ns0:is>
          <ns0:t>De desemnat</ns0:t>
        </ns0:is>
      </ns0:c>
      <ns0:c r="L239" s="8">
        <ns0:f>Catalog_100!I81</ns0:f>
        <ns0:v>75000</ns0:v>
      </ns0:c>
      <ns0:c r="M239" s="13">
        <ns0:f>Catalog_100!J81</ns0:f>
        <ns0:v>46325.0</ns0:v>
      </ns0:c>
      <ns0:c r="N239" s="13">
        <ns0:f>Catalog_100!K81</ns0:f>
        <ns0:v>46350.0</ns0:v>
      </ns0:c>
      <ns0:c r="O239" s="13">
        <ns0:f>Catalog_100!L81</ns0:f>
        <ns0:v>46352.0</ns0:v>
      </ns0:c>
      <ns0:c r="P239" s="13">
        <ns0:f>Catalog_100!M81</ns0:f>
        <ns0:v>46354.0</ns0:v>
      </ns0:c>
      <ns0:c r="Q239" s="11" t="inlineStr"/>
      <ns0:c r="R239" s="10" t="inlineStr"/>
      <ns0:c r="S239" s="11" t="inlineStr"/>
      <ns0:c r="T239" s="11" t="inlineStr"/>
      <ns0:c r="U239" s="11" t="inlineStr"/>
      <ns0:c r="V239" s="11" t="inlineStr">
        <ns0:is>
          <ns0:t>Neconfirmat</ns0:t>
        </ns0:is>
      </ns0:c>
      <ns0:c r="W239" s="11" t="inlineStr">
        <ns0:is>
          <ns0:t>Fără ediție finală confirmată</ns0:t>
        </ns0:is>
      </ns0:c>
      <ns0:c r="X239" s="7">
        <ns0:f>IF(AND(J239="Publicat",Q239&lt;&gt;"",ISNUMBER(R239),S239&lt;&gt;"",U239&lt;&gt;"",V239="Confirmat"),1,0)</ns0:f>
        <ns0:v>0</ns0:v>
      </ns0:c>
    </ns0:row>
    <ns0:row r="240" ht="46" customHeight="1">
      <ns0:c r="A240" s="7" t="inlineStr">
        <ns0:is>
          <ns0:t>DB-080-RO</ns0:t>
        </ns0:is>
      </ns0:c>
      <ns0:c r="B240" s="7" t="inlineStr">
        <ns0:is>
          <ns0:t>DB-080</ns0:t>
        </ns0:is>
      </ns0:c>
      <ns0:c r="C240" s="7" t="inlineStr">
        <ns0:is>
          <ns0:t>MYTHICA</ns0:t>
        </ns0:is>
      </ns0:c>
      <ns0:c r="D240" s="7" t="inlineStr">
        <ns0:is>
          <ns0:t>Saga Celor Zece Coroane</ns0:t>
        </ns0:is>
      </ns0:c>
      <ns0:c r="E240" s="8" t="n">
        <ns0:v>10</ns0:v>
      </ns0:c>
      <ns0:c r="F240" s="7" t="inlineStr">
        <ns0:is>
          <ns0:t>The Crown of Destiny</ns0:t>
        </ns0:is>
      </ns0:c>
      <ns0:c r="G240" s="7" t="inlineStr">
        <ns0:is>
          <ns0:t>RO</ns0:t>
        </ns0:is>
      </ns0:c>
      <ns0:c r="H240" s="7" t="inlineStr">
        <ns0:is>
          <ns0:t>EN</ns0:t>
        </ns0:is>
      </ns0:c>
      <ns0:c r="I240" s="7" t="inlineStr">
        <ns0:is>
          <ns0:t>Traducere EN→RO</ns0:t>
        </ns0:is>
      </ns0:c>
      <ns0:c r="J240" s="11" t="inlineStr">
        <ns0:is>
          <ns0:t>Planificat</ns0:t>
        </ns0:is>
      </ns0:c>
      <ns0:c r="K240" s="11" t="inlineStr">
        <ns0:is>
          <ns0:t>De desemnat</ns0:t>
        </ns0:is>
      </ns0:c>
      <ns0:c r="L240" s="8">
        <ns0:f>Catalog_100!I81</ns0:f>
        <ns0:v>75000</ns0:v>
      </ns0:c>
      <ns0:c r="M240" s="13">
        <ns0:f>Catalog_100!J81</ns0:f>
        <ns0:v>46325.0</ns0:v>
      </ns0:c>
      <ns0:c r="N240" s="13">
        <ns0:f>Catalog_100!K81</ns0:f>
        <ns0:v>46350.0</ns0:v>
      </ns0:c>
      <ns0:c r="O240" s="13">
        <ns0:f>Catalog_100!L81</ns0:f>
        <ns0:v>46352.0</ns0:v>
      </ns0:c>
      <ns0:c r="P240" s="13">
        <ns0:f>Catalog_100!M81</ns0:f>
        <ns0:v>46354.0</ns0:v>
      </ns0:c>
      <ns0:c r="Q240" s="11" t="inlineStr"/>
      <ns0:c r="R240" s="10" t="inlineStr"/>
      <ns0:c r="S240" s="11" t="inlineStr"/>
      <ns0:c r="T240" s="11" t="inlineStr"/>
      <ns0:c r="U240" s="11" t="inlineStr"/>
      <ns0:c r="V240" s="11" t="inlineStr">
        <ns0:is>
          <ns0:t>Neconfirmat</ns0:t>
        </ns0:is>
      </ns0:c>
      <ns0:c r="W240" s="11" t="inlineStr">
        <ns0:is>
          <ns0:t>Fără ediție finală confirmată</ns0:t>
        </ns0:is>
      </ns0:c>
      <ns0:c r="X240" s="7">
        <ns0:f>IF(AND(J240="Publicat",Q240&lt;&gt;"",ISNUMBER(R240),S240&lt;&gt;"",U240&lt;&gt;"",V240="Confirmat"),1,0)</ns0:f>
        <ns0:v>0</ns0:v>
      </ns0:c>
    </ns0:row>
    <ns0:row r="241" ht="46" customHeight="1">
      <ns0:c r="A241" s="7" t="inlineStr">
        <ns0:is>
          <ns0:t>DB-080-DE</ns0:t>
        </ns0:is>
      </ns0:c>
      <ns0:c r="B241" s="7" t="inlineStr">
        <ns0:is>
          <ns0:t>DB-080</ns0:t>
        </ns0:is>
      </ns0:c>
      <ns0:c r="C241" s="7" t="inlineStr">
        <ns0:is>
          <ns0:t>MYTHICA</ns0:t>
        </ns0:is>
      </ns0:c>
      <ns0:c r="D241" s="7" t="inlineStr">
        <ns0:is>
          <ns0:t>Saga Celor Zece Coroane</ns0:t>
        </ns0:is>
      </ns0:c>
      <ns0:c r="E241" s="8" t="n">
        <ns0:v>10</ns0:v>
      </ns0:c>
      <ns0:c r="F241" s="7" t="inlineStr">
        <ns0:is>
          <ns0:t>The Crown of Destiny</ns0:t>
        </ns0:is>
      </ns0:c>
      <ns0:c r="G241" s="7" t="inlineStr">
        <ns0:is>
          <ns0:t>DE</ns0:t>
        </ns0:is>
      </ns0:c>
      <ns0:c r="H241" s="7" t="inlineStr">
        <ns0:is>
          <ns0:t>EN</ns0:t>
        </ns0:is>
      </ns0:c>
      <ns0:c r="I241" s="7" t="inlineStr">
        <ns0:is>
          <ns0:t>Traducere EN→DE</ns0:t>
        </ns0:is>
      </ns0:c>
      <ns0:c r="J241" s="11" t="inlineStr">
        <ns0:is>
          <ns0:t>Planificat</ns0:t>
        </ns0:is>
      </ns0:c>
      <ns0:c r="K241" s="11" t="inlineStr">
        <ns0:is>
          <ns0:t>De desemnat</ns0:t>
        </ns0:is>
      </ns0:c>
      <ns0:c r="L241" s="8">
        <ns0:f>Catalog_100!I81</ns0:f>
        <ns0:v>75000</ns0:v>
      </ns0:c>
      <ns0:c r="M241" s="13">
        <ns0:f>Catalog_100!J81</ns0:f>
        <ns0:v>46325.0</ns0:v>
      </ns0:c>
      <ns0:c r="N241" s="13">
        <ns0:f>Catalog_100!K81</ns0:f>
        <ns0:v>46350.0</ns0:v>
      </ns0:c>
      <ns0:c r="O241" s="13">
        <ns0:f>Catalog_100!L81</ns0:f>
        <ns0:v>46352.0</ns0:v>
      </ns0:c>
      <ns0:c r="P241" s="13">
        <ns0:f>Catalog_100!M81</ns0:f>
        <ns0:v>46354.0</ns0:v>
      </ns0:c>
      <ns0:c r="Q241" s="11" t="inlineStr"/>
      <ns0:c r="R241" s="10" t="inlineStr"/>
      <ns0:c r="S241" s="11" t="inlineStr"/>
      <ns0:c r="T241" s="11" t="inlineStr"/>
      <ns0:c r="U241" s="11" t="inlineStr"/>
      <ns0:c r="V241" s="11" t="inlineStr">
        <ns0:is>
          <ns0:t>Neconfirmat</ns0:t>
        </ns0:is>
      </ns0:c>
      <ns0:c r="W241" s="11" t="inlineStr">
        <ns0:is>
          <ns0:t>Fără ediție finală confirmată</ns0:t>
        </ns0:is>
      </ns0:c>
      <ns0:c r="X241" s="7">
        <ns0:f>IF(AND(J241="Publicat",Q241&lt;&gt;"",ISNUMBER(R241),S241&lt;&gt;"",U241&lt;&gt;"",V241="Confirmat"),1,0)</ns0:f>
        <ns0:v>0</ns0:v>
      </ns0:c>
    </ns0:row>
    <ns0:row r="242" ht="46" customHeight="1">
      <ns0:c r="A242" s="7" t="inlineStr">
        <ns0:is>
          <ns0:t>DB-081-EN</ns0:t>
        </ns0:is>
      </ns0:c>
      <ns0:c r="B242" s="7" t="inlineStr">
        <ns0:is>
          <ns0:t>DB-081</ns0:t>
        </ns0:is>
      </ns0:c>
      <ns0:c r="C242" s="7" t="inlineStr">
        <ns0:is>
          <ns0:t>MYTHICA</ns0:t>
        </ns0:is>
      </ns0:c>
      <ns0:c r="D242" s="7" t="inlineStr">
        <ns0:is>
          <ns0:t>The Thorn Covenant</ns0:t>
        </ns0:is>
      </ns0:c>
      <ns0:c r="E242" s="8" t="n">
        <ns0:v>1</ns0:v>
      </ns0:c>
      <ns0:c r="F242" s="7" t="inlineStr">
        <ns0:is>
          <ns0:t>The Thorn Cartographer</ns0:t>
        </ns0:is>
      </ns0:c>
      <ns0:c r="G242" s="7" t="inlineStr">
        <ns0:is>
          <ns0:t>EN</ns0:t>
        </ns0:is>
      </ns0:c>
      <ns0:c r="H242" s="7" t="inlineStr">
        <ns0:is>
          <ns0:t>EN</ns0:t>
        </ns0:is>
      </ns0:c>
      <ns0:c r="I242" s="7" t="inlineStr">
        <ns0:is>
          <ns0:t>Scriere nouă</ns0:t>
        </ns0:is>
      </ns0:c>
      <ns0:c r="J242" s="11" t="inlineStr">
        <ns0:is>
          <ns0:t>Planificat</ns0:t>
        </ns0:is>
      </ns0:c>
      <ns0:c r="K242" s="11" t="inlineStr">
        <ns0:is>
          <ns0:t>De desemnat</ns0:t>
        </ns0:is>
      </ns0:c>
      <ns0:c r="L242" s="8">
        <ns0:f>Catalog_100!I82</ns0:f>
        <ns0:v>65000</ns0:v>
      </ns0:c>
      <ns0:c r="M242" s="13">
        <ns0:f>Catalog_100!J82</ns0:f>
        <ns0:v>46325.0</ns0:v>
      </ns0:c>
      <ns0:c r="N242" s="13">
        <ns0:f>Catalog_100!K82</ns0:f>
        <ns0:v>46343.0</ns0:v>
      </ns0:c>
      <ns0:c r="O242" s="13">
        <ns0:f>Catalog_100!L82</ns0:f>
        <ns0:v>46345.0</ns0:v>
      </ns0:c>
      <ns0:c r="P242" s="13">
        <ns0:f>Catalog_100!M82</ns0:f>
        <ns0:v>46347.0</ns0:v>
      </ns0:c>
      <ns0:c r="Q242" s="11" t="inlineStr"/>
      <ns0:c r="R242" s="10" t="inlineStr"/>
      <ns0:c r="S242" s="11" t="inlineStr"/>
      <ns0:c r="T242" s="11" t="inlineStr"/>
      <ns0:c r="U242" s="11" t="inlineStr"/>
      <ns0:c r="V242" s="11" t="inlineStr">
        <ns0:is>
          <ns0:t>Neconfirmat</ns0:t>
        </ns0:is>
      </ns0:c>
      <ns0:c r="W242" s="11" t="inlineStr">
        <ns0:is>
          <ns0:t>Fără ediție finală confirmată</ns0:t>
        </ns0:is>
      </ns0:c>
      <ns0:c r="X242" s="7">
        <ns0:f>IF(AND(J242="Publicat",Q242&lt;&gt;"",ISNUMBER(R242),S242&lt;&gt;"",U242&lt;&gt;"",V242="Confirmat"),1,0)</ns0:f>
        <ns0:v>0</ns0:v>
      </ns0:c>
    </ns0:row>
    <ns0:row r="243" ht="46" customHeight="1">
      <ns0:c r="A243" s="7" t="inlineStr">
        <ns0:is>
          <ns0:t>DB-081-RO</ns0:t>
        </ns0:is>
      </ns0:c>
      <ns0:c r="B243" s="7" t="inlineStr">
        <ns0:is>
          <ns0:t>DB-081</ns0:t>
        </ns0:is>
      </ns0:c>
      <ns0:c r="C243" s="7" t="inlineStr">
        <ns0:is>
          <ns0:t>MYTHICA</ns0:t>
        </ns0:is>
      </ns0:c>
      <ns0:c r="D243" s="7" t="inlineStr">
        <ns0:is>
          <ns0:t>The Thorn Covenant</ns0:t>
        </ns0:is>
      </ns0:c>
      <ns0:c r="E243" s="8" t="n">
        <ns0:v>1</ns0:v>
      </ns0:c>
      <ns0:c r="F243" s="7" t="inlineStr">
        <ns0:is>
          <ns0:t>The Thorn Cartographer</ns0:t>
        </ns0:is>
      </ns0:c>
      <ns0:c r="G243" s="7" t="inlineStr">
        <ns0:is>
          <ns0:t>RO</ns0:t>
        </ns0:is>
      </ns0:c>
      <ns0:c r="H243" s="7" t="inlineStr">
        <ns0:is>
          <ns0:t>EN</ns0:t>
        </ns0:is>
      </ns0:c>
      <ns0:c r="I243" s="7" t="inlineStr">
        <ns0:is>
          <ns0:t>Traducere EN→RO</ns0:t>
        </ns0:is>
      </ns0:c>
      <ns0:c r="J243" s="11" t="inlineStr">
        <ns0:is>
          <ns0:t>Planificat</ns0:t>
        </ns0:is>
      </ns0:c>
      <ns0:c r="K243" s="11" t="inlineStr">
        <ns0:is>
          <ns0:t>De desemnat</ns0:t>
        </ns0:is>
      </ns0:c>
      <ns0:c r="L243" s="8">
        <ns0:f>Catalog_100!I82</ns0:f>
        <ns0:v>65000</ns0:v>
      </ns0:c>
      <ns0:c r="M243" s="13">
        <ns0:f>Catalog_100!J82</ns0:f>
        <ns0:v>46325.0</ns0:v>
      </ns0:c>
      <ns0:c r="N243" s="13">
        <ns0:f>Catalog_100!K82</ns0:f>
        <ns0:v>46343.0</ns0:v>
      </ns0:c>
      <ns0:c r="O243" s="13">
        <ns0:f>Catalog_100!L82</ns0:f>
        <ns0:v>46345.0</ns0:v>
      </ns0:c>
      <ns0:c r="P243" s="13">
        <ns0:f>Catalog_100!M82</ns0:f>
        <ns0:v>46347.0</ns0:v>
      </ns0:c>
      <ns0:c r="Q243" s="11" t="inlineStr"/>
      <ns0:c r="R243" s="10" t="inlineStr"/>
      <ns0:c r="S243" s="11" t="inlineStr"/>
      <ns0:c r="T243" s="11" t="inlineStr"/>
      <ns0:c r="U243" s="11" t="inlineStr"/>
      <ns0:c r="V243" s="11" t="inlineStr">
        <ns0:is>
          <ns0:t>Neconfirmat</ns0:t>
        </ns0:is>
      </ns0:c>
      <ns0:c r="W243" s="11" t="inlineStr">
        <ns0:is>
          <ns0:t>Fără ediție finală confirmată</ns0:t>
        </ns0:is>
      </ns0:c>
      <ns0:c r="X243" s="7">
        <ns0:f>IF(AND(J243="Publicat",Q243&lt;&gt;"",ISNUMBER(R243),S243&lt;&gt;"",U243&lt;&gt;"",V243="Confirmat"),1,0)</ns0:f>
        <ns0:v>0</ns0:v>
      </ns0:c>
    </ns0:row>
    <ns0:row r="244" ht="46" customHeight="1">
      <ns0:c r="A244" s="7" t="inlineStr">
        <ns0:is>
          <ns0:t>DB-081-DE</ns0:t>
        </ns0:is>
      </ns0:c>
      <ns0:c r="B244" s="7" t="inlineStr">
        <ns0:is>
          <ns0:t>DB-081</ns0:t>
        </ns0:is>
      </ns0:c>
      <ns0:c r="C244" s="7" t="inlineStr">
        <ns0:is>
          <ns0:t>MYTHICA</ns0:t>
        </ns0:is>
      </ns0:c>
      <ns0:c r="D244" s="7" t="inlineStr">
        <ns0:is>
          <ns0:t>The Thorn Covenant</ns0:t>
        </ns0:is>
      </ns0:c>
      <ns0:c r="E244" s="8" t="n">
        <ns0:v>1</ns0:v>
      </ns0:c>
      <ns0:c r="F244" s="7" t="inlineStr">
        <ns0:is>
          <ns0:t>The Thorn Cartographer</ns0:t>
        </ns0:is>
      </ns0:c>
      <ns0:c r="G244" s="7" t="inlineStr">
        <ns0:is>
          <ns0:t>DE</ns0:t>
        </ns0:is>
      </ns0:c>
      <ns0:c r="H244" s="7" t="inlineStr">
        <ns0:is>
          <ns0:t>EN</ns0:t>
        </ns0:is>
      </ns0:c>
      <ns0:c r="I244" s="7" t="inlineStr">
        <ns0:is>
          <ns0:t>Traducere EN→DE</ns0:t>
        </ns0:is>
      </ns0:c>
      <ns0:c r="J244" s="11" t="inlineStr">
        <ns0:is>
          <ns0:t>Planificat</ns0:t>
        </ns0:is>
      </ns0:c>
      <ns0:c r="K244" s="11" t="inlineStr">
        <ns0:is>
          <ns0:t>De desemnat</ns0:t>
        </ns0:is>
      </ns0:c>
      <ns0:c r="L244" s="8">
        <ns0:f>Catalog_100!I82</ns0:f>
        <ns0:v>65000</ns0:v>
      </ns0:c>
      <ns0:c r="M244" s="13">
        <ns0:f>Catalog_100!J82</ns0:f>
        <ns0:v>46325.0</ns0:v>
      </ns0:c>
      <ns0:c r="N244" s="13">
        <ns0:f>Catalog_100!K82</ns0:f>
        <ns0:v>46343.0</ns0:v>
      </ns0:c>
      <ns0:c r="O244" s="13">
        <ns0:f>Catalog_100!L82</ns0:f>
        <ns0:v>46345.0</ns0:v>
      </ns0:c>
      <ns0:c r="P244" s="13">
        <ns0:f>Catalog_100!M82</ns0:f>
        <ns0:v>46347.0</ns0:v>
      </ns0:c>
      <ns0:c r="Q244" s="11" t="inlineStr"/>
      <ns0:c r="R244" s="10" t="inlineStr"/>
      <ns0:c r="S244" s="11" t="inlineStr"/>
      <ns0:c r="T244" s="11" t="inlineStr"/>
      <ns0:c r="U244" s="11" t="inlineStr"/>
      <ns0:c r="V244" s="11" t="inlineStr">
        <ns0:is>
          <ns0:t>Neconfirmat</ns0:t>
        </ns0:is>
      </ns0:c>
      <ns0:c r="W244" s="11" t="inlineStr">
        <ns0:is>
          <ns0:t>Fără ediție finală confirmată</ns0:t>
        </ns0:is>
      </ns0:c>
      <ns0:c r="X244" s="7">
        <ns0:f>IF(AND(J244="Publicat",Q244&lt;&gt;"",ISNUMBER(R244),S244&lt;&gt;"",U244&lt;&gt;"",V244="Confirmat"),1,0)</ns0:f>
        <ns0:v>0</ns0:v>
      </ns0:c>
    </ns0:row>
    <ns0:row r="245" ht="46" customHeight="1">
      <ns0:c r="A245" s="7" t="inlineStr">
        <ns0:is>
          <ns0:t>DB-082-EN</ns0:t>
        </ns0:is>
      </ns0:c>
      <ns0:c r="B245" s="7" t="inlineStr">
        <ns0:is>
          <ns0:t>DB-082</ns0:t>
        </ns0:is>
      </ns0:c>
      <ns0:c r="C245" s="7" t="inlineStr">
        <ns0:is>
          <ns0:t>MYTHICA</ns0:t>
        </ns0:is>
      </ns0:c>
      <ns0:c r="D245" s="7" t="inlineStr">
        <ns0:is>
          <ns0:t>The Thorn Covenant</ns0:t>
        </ns0:is>
      </ns0:c>
      <ns0:c r="E245" s="8" t="n">
        <ns0:v>2</ns0:v>
      </ns0:c>
      <ns0:c r="F245" s="7" t="inlineStr">
        <ns0:is>
          <ns0:t>The Glasswood Pact</ns0:t>
        </ns0:is>
      </ns0:c>
      <ns0:c r="G245" s="7" t="inlineStr">
        <ns0:is>
          <ns0:t>EN</ns0:t>
        </ns0:is>
      </ns0:c>
      <ns0:c r="H245" s="7" t="inlineStr">
        <ns0:is>
          <ns0:t>EN</ns0:t>
        </ns0:is>
      </ns0:c>
      <ns0:c r="I245" s="7" t="inlineStr">
        <ns0:is>
          <ns0:t>Scriere nouă</ns0:t>
        </ns0:is>
      </ns0:c>
      <ns0:c r="J245" s="11" t="inlineStr">
        <ns0:is>
          <ns0:t>Planificat</ns0:t>
        </ns0:is>
      </ns0:c>
      <ns0:c r="K245" s="11" t="inlineStr">
        <ns0:is>
          <ns0:t>De desemnat</ns0:t>
        </ns0:is>
      </ns0:c>
      <ns0:c r="L245" s="8">
        <ns0:f>Catalog_100!I83</ns0:f>
        <ns0:v>65000</ns0:v>
      </ns0:c>
      <ns0:c r="M245" s="13">
        <ns0:f>Catalog_100!J83</ns0:f>
        <ns0:v>46325.0</ns0:v>
      </ns0:c>
      <ns0:c r="N245" s="13">
        <ns0:f>Catalog_100!K83</ns0:f>
        <ns0:v>46343.0</ns0:v>
      </ns0:c>
      <ns0:c r="O245" s="13">
        <ns0:f>Catalog_100!L83</ns0:f>
        <ns0:v>46345.0</ns0:v>
      </ns0:c>
      <ns0:c r="P245" s="13">
        <ns0:f>Catalog_100!M83</ns0:f>
        <ns0:v>46347.0</ns0:v>
      </ns0:c>
      <ns0:c r="Q245" s="11" t="inlineStr"/>
      <ns0:c r="R245" s="10" t="inlineStr"/>
      <ns0:c r="S245" s="11" t="inlineStr"/>
      <ns0:c r="T245" s="11" t="inlineStr"/>
      <ns0:c r="U245" s="11" t="inlineStr"/>
      <ns0:c r="V245" s="11" t="inlineStr">
        <ns0:is>
          <ns0:t>Neconfirmat</ns0:t>
        </ns0:is>
      </ns0:c>
      <ns0:c r="W245" s="11" t="inlineStr">
        <ns0:is>
          <ns0:t>Fără ediție finală confirmată</ns0:t>
        </ns0:is>
      </ns0:c>
      <ns0:c r="X245" s="7">
        <ns0:f>IF(AND(J245="Publicat",Q245&lt;&gt;"",ISNUMBER(R245),S245&lt;&gt;"",U245&lt;&gt;"",V245="Confirmat"),1,0)</ns0:f>
        <ns0:v>0</ns0:v>
      </ns0:c>
    </ns0:row>
    <ns0:row r="246" ht="46" customHeight="1">
      <ns0:c r="A246" s="7" t="inlineStr">
        <ns0:is>
          <ns0:t>DB-082-RO</ns0:t>
        </ns0:is>
      </ns0:c>
      <ns0:c r="B246" s="7" t="inlineStr">
        <ns0:is>
          <ns0:t>DB-082</ns0:t>
        </ns0:is>
      </ns0:c>
      <ns0:c r="C246" s="7" t="inlineStr">
        <ns0:is>
          <ns0:t>MYTHICA</ns0:t>
        </ns0:is>
      </ns0:c>
      <ns0:c r="D246" s="7" t="inlineStr">
        <ns0:is>
          <ns0:t>The Thorn Covenant</ns0:t>
        </ns0:is>
      </ns0:c>
      <ns0:c r="E246" s="8" t="n">
        <ns0:v>2</ns0:v>
      </ns0:c>
      <ns0:c r="F246" s="7" t="inlineStr">
        <ns0:is>
          <ns0:t>The Glasswood Pact</ns0:t>
        </ns0:is>
      </ns0:c>
      <ns0:c r="G246" s="7" t="inlineStr">
        <ns0:is>
          <ns0:t>RO</ns0:t>
        </ns0:is>
      </ns0:c>
      <ns0:c r="H246" s="7" t="inlineStr">
        <ns0:is>
          <ns0:t>EN</ns0:t>
        </ns0:is>
      </ns0:c>
      <ns0:c r="I246" s="7" t="inlineStr">
        <ns0:is>
          <ns0:t>Traducere EN→RO</ns0:t>
        </ns0:is>
      </ns0:c>
      <ns0:c r="J246" s="11" t="inlineStr">
        <ns0:is>
          <ns0:t>Planificat</ns0:t>
        </ns0:is>
      </ns0:c>
      <ns0:c r="K246" s="11" t="inlineStr">
        <ns0:is>
          <ns0:t>De desemnat</ns0:t>
        </ns0:is>
      </ns0:c>
      <ns0:c r="L246" s="8">
        <ns0:f>Catalog_100!I83</ns0:f>
        <ns0:v>65000</ns0:v>
      </ns0:c>
      <ns0:c r="M246" s="13">
        <ns0:f>Catalog_100!J83</ns0:f>
        <ns0:v>46325.0</ns0:v>
      </ns0:c>
      <ns0:c r="N246" s="13">
        <ns0:f>Catalog_100!K83</ns0:f>
        <ns0:v>46343.0</ns0:v>
      </ns0:c>
      <ns0:c r="O246" s="13">
        <ns0:f>Catalog_100!L83</ns0:f>
        <ns0:v>46345.0</ns0:v>
      </ns0:c>
      <ns0:c r="P246" s="13">
        <ns0:f>Catalog_100!M83</ns0:f>
        <ns0:v>46347.0</ns0:v>
      </ns0:c>
      <ns0:c r="Q246" s="11" t="inlineStr"/>
      <ns0:c r="R246" s="10" t="inlineStr"/>
      <ns0:c r="S246" s="11" t="inlineStr"/>
      <ns0:c r="T246" s="11" t="inlineStr"/>
      <ns0:c r="U246" s="11" t="inlineStr"/>
      <ns0:c r="V246" s="11" t="inlineStr">
        <ns0:is>
          <ns0:t>Neconfirmat</ns0:t>
        </ns0:is>
      </ns0:c>
      <ns0:c r="W246" s="11" t="inlineStr">
        <ns0:is>
          <ns0:t>Fără ediție finală confirmată</ns0:t>
        </ns0:is>
      </ns0:c>
      <ns0:c r="X246" s="7">
        <ns0:f>IF(AND(J246="Publicat",Q246&lt;&gt;"",ISNUMBER(R246),S246&lt;&gt;"",U246&lt;&gt;"",V246="Confirmat"),1,0)</ns0:f>
        <ns0:v>0</ns0:v>
      </ns0:c>
    </ns0:row>
    <ns0:row r="247" ht="46" customHeight="1">
      <ns0:c r="A247" s="7" t="inlineStr">
        <ns0:is>
          <ns0:t>DB-082-DE</ns0:t>
        </ns0:is>
      </ns0:c>
      <ns0:c r="B247" s="7" t="inlineStr">
        <ns0:is>
          <ns0:t>DB-082</ns0:t>
        </ns0:is>
      </ns0:c>
      <ns0:c r="C247" s="7" t="inlineStr">
        <ns0:is>
          <ns0:t>MYTHICA</ns0:t>
        </ns0:is>
      </ns0:c>
      <ns0:c r="D247" s="7" t="inlineStr">
        <ns0:is>
          <ns0:t>The Thorn Covenant</ns0:t>
        </ns0:is>
      </ns0:c>
      <ns0:c r="E247" s="8" t="n">
        <ns0:v>2</ns0:v>
      </ns0:c>
      <ns0:c r="F247" s="7" t="inlineStr">
        <ns0:is>
          <ns0:t>The Glasswood Pact</ns0:t>
        </ns0:is>
      </ns0:c>
      <ns0:c r="G247" s="7" t="inlineStr">
        <ns0:is>
          <ns0:t>DE</ns0:t>
        </ns0:is>
      </ns0:c>
      <ns0:c r="H247" s="7" t="inlineStr">
        <ns0:is>
          <ns0:t>EN</ns0:t>
        </ns0:is>
      </ns0:c>
      <ns0:c r="I247" s="7" t="inlineStr">
        <ns0:is>
          <ns0:t>Traducere EN→DE</ns0:t>
        </ns0:is>
      </ns0:c>
      <ns0:c r="J247" s="11" t="inlineStr">
        <ns0:is>
          <ns0:t>Planificat</ns0:t>
        </ns0:is>
      </ns0:c>
      <ns0:c r="K247" s="11" t="inlineStr">
        <ns0:is>
          <ns0:t>De desemnat</ns0:t>
        </ns0:is>
      </ns0:c>
      <ns0:c r="L247" s="8">
        <ns0:f>Catalog_100!I83</ns0:f>
        <ns0:v>65000</ns0:v>
      </ns0:c>
      <ns0:c r="M247" s="13">
        <ns0:f>Catalog_100!J83</ns0:f>
        <ns0:v>46325.0</ns0:v>
      </ns0:c>
      <ns0:c r="N247" s="13">
        <ns0:f>Catalog_100!K83</ns0:f>
        <ns0:v>46343.0</ns0:v>
      </ns0:c>
      <ns0:c r="O247" s="13">
        <ns0:f>Catalog_100!L83</ns0:f>
        <ns0:v>46345.0</ns0:v>
      </ns0:c>
      <ns0:c r="P247" s="13">
        <ns0:f>Catalog_100!M83</ns0:f>
        <ns0:v>46347.0</ns0:v>
      </ns0:c>
      <ns0:c r="Q247" s="11" t="inlineStr"/>
      <ns0:c r="R247" s="10" t="inlineStr"/>
      <ns0:c r="S247" s="11" t="inlineStr"/>
      <ns0:c r="T247" s="11" t="inlineStr"/>
      <ns0:c r="U247" s="11" t="inlineStr"/>
      <ns0:c r="V247" s="11" t="inlineStr">
        <ns0:is>
          <ns0:t>Neconfirmat</ns0:t>
        </ns0:is>
      </ns0:c>
      <ns0:c r="W247" s="11" t="inlineStr">
        <ns0:is>
          <ns0:t>Fără ediție finală confirmată</ns0:t>
        </ns0:is>
      </ns0:c>
      <ns0:c r="X247" s="7">
        <ns0:f>IF(AND(J247="Publicat",Q247&lt;&gt;"",ISNUMBER(R247),S247&lt;&gt;"",U247&lt;&gt;"",V247="Confirmat"),1,0)</ns0:f>
        <ns0:v>0</ns0:v>
      </ns0:c>
    </ns0:row>
    <ns0:row r="248" ht="46" customHeight="1">
      <ns0:c r="A248" s="7" t="inlineStr">
        <ns0:is>
          <ns0:t>DB-083-EN</ns0:t>
        </ns0:is>
      </ns0:c>
      <ns0:c r="B248" s="7" t="inlineStr">
        <ns0:is>
          <ns0:t>DB-083</ns0:t>
        </ns0:is>
      </ns0:c>
      <ns0:c r="C248" s="7" t="inlineStr">
        <ns0:is>
          <ns0:t>MYTHICA</ns0:t>
        </ns0:is>
      </ns0:c>
      <ns0:c r="D248" s="7" t="inlineStr">
        <ns0:is>
          <ns0:t>The Thorn Covenant</ns0:t>
        </ns0:is>
      </ns0:c>
      <ns0:c r="E248" s="8" t="n">
        <ns0:v>3</ns0:v>
      </ns0:c>
      <ns0:c r="F248" s="7" t="inlineStr">
        <ns0:is>
          <ns0:t>The Orchard of Embers</ns0:t>
        </ns0:is>
      </ns0:c>
      <ns0:c r="G248" s="7" t="inlineStr">
        <ns0:is>
          <ns0:t>EN</ns0:t>
        </ns0:is>
      </ns0:c>
      <ns0:c r="H248" s="7" t="inlineStr">
        <ns0:is>
          <ns0:t>EN</ns0:t>
        </ns0:is>
      </ns0:c>
      <ns0:c r="I248" s="7" t="inlineStr">
        <ns0:is>
          <ns0:t>Scriere nouă</ns0:t>
        </ns0:is>
      </ns0:c>
      <ns0:c r="J248" s="11" t="inlineStr">
        <ns0:is>
          <ns0:t>Planificat</ns0:t>
        </ns0:is>
      </ns0:c>
      <ns0:c r="K248" s="11" t="inlineStr">
        <ns0:is>
          <ns0:t>De desemnat</ns0:t>
        </ns0:is>
      </ns0:c>
      <ns0:c r="L248" s="8">
        <ns0:f>Catalog_100!I84</ns0:f>
        <ns0:v>65000</ns0:v>
      </ns0:c>
      <ns0:c r="M248" s="13">
        <ns0:f>Catalog_100!J84</ns0:f>
        <ns0:v>46325.0</ns0:v>
      </ns0:c>
      <ns0:c r="N248" s="13">
        <ns0:f>Catalog_100!K84</ns0:f>
        <ns0:v>46343.0</ns0:v>
      </ns0:c>
      <ns0:c r="O248" s="13">
        <ns0:f>Catalog_100!L84</ns0:f>
        <ns0:v>46345.0</ns0:v>
      </ns0:c>
      <ns0:c r="P248" s="13">
        <ns0:f>Catalog_100!M84</ns0:f>
        <ns0:v>46347.0</ns0:v>
      </ns0:c>
      <ns0:c r="Q248" s="11" t="inlineStr"/>
      <ns0:c r="R248" s="10" t="inlineStr"/>
      <ns0:c r="S248" s="11" t="inlineStr"/>
      <ns0:c r="T248" s="11" t="inlineStr"/>
      <ns0:c r="U248" s="11" t="inlineStr"/>
      <ns0:c r="V248" s="11" t="inlineStr">
        <ns0:is>
          <ns0:t>Neconfirmat</ns0:t>
        </ns0:is>
      </ns0:c>
      <ns0:c r="W248" s="11" t="inlineStr">
        <ns0:is>
          <ns0:t>Fără ediție finală confirmată</ns0:t>
        </ns0:is>
      </ns0:c>
      <ns0:c r="X248" s="7">
        <ns0:f>IF(AND(J248="Publicat",Q248&lt;&gt;"",ISNUMBER(R248),S248&lt;&gt;"",U248&lt;&gt;"",V248="Confirmat"),1,0)</ns0:f>
        <ns0:v>0</ns0:v>
      </ns0:c>
    </ns0:row>
    <ns0:row r="249" ht="46" customHeight="1">
      <ns0:c r="A249" s="7" t="inlineStr">
        <ns0:is>
          <ns0:t>DB-083-RO</ns0:t>
        </ns0:is>
      </ns0:c>
      <ns0:c r="B249" s="7" t="inlineStr">
        <ns0:is>
          <ns0:t>DB-083</ns0:t>
        </ns0:is>
      </ns0:c>
      <ns0:c r="C249" s="7" t="inlineStr">
        <ns0:is>
          <ns0:t>MYTHICA</ns0:t>
        </ns0:is>
      </ns0:c>
      <ns0:c r="D249" s="7" t="inlineStr">
        <ns0:is>
          <ns0:t>The Thorn Covenant</ns0:t>
        </ns0:is>
      </ns0:c>
      <ns0:c r="E249" s="8" t="n">
        <ns0:v>3</ns0:v>
      </ns0:c>
      <ns0:c r="F249" s="7" t="inlineStr">
        <ns0:is>
          <ns0:t>The Orchard of Embers</ns0:t>
        </ns0:is>
      </ns0:c>
      <ns0:c r="G249" s="7" t="inlineStr">
        <ns0:is>
          <ns0:t>RO</ns0:t>
        </ns0:is>
      </ns0:c>
      <ns0:c r="H249" s="7" t="inlineStr">
        <ns0:is>
          <ns0:t>EN</ns0:t>
        </ns0:is>
      </ns0:c>
      <ns0:c r="I249" s="7" t="inlineStr">
        <ns0:is>
          <ns0:t>Traducere EN→RO</ns0:t>
        </ns0:is>
      </ns0:c>
      <ns0:c r="J249" s="11" t="inlineStr">
        <ns0:is>
          <ns0:t>Planificat</ns0:t>
        </ns0:is>
      </ns0:c>
      <ns0:c r="K249" s="11" t="inlineStr">
        <ns0:is>
          <ns0:t>De desemnat</ns0:t>
        </ns0:is>
      </ns0:c>
      <ns0:c r="L249" s="8">
        <ns0:f>Catalog_100!I84</ns0:f>
        <ns0:v>65000</ns0:v>
      </ns0:c>
      <ns0:c r="M249" s="13">
        <ns0:f>Catalog_100!J84</ns0:f>
        <ns0:v>46325.0</ns0:v>
      </ns0:c>
      <ns0:c r="N249" s="13">
        <ns0:f>Catalog_100!K84</ns0:f>
        <ns0:v>46343.0</ns0:v>
      </ns0:c>
      <ns0:c r="O249" s="13">
        <ns0:f>Catalog_100!L84</ns0:f>
        <ns0:v>46345.0</ns0:v>
      </ns0:c>
      <ns0:c r="P249" s="13">
        <ns0:f>Catalog_100!M84</ns0:f>
        <ns0:v>46347.0</ns0:v>
      </ns0:c>
      <ns0:c r="Q249" s="11" t="inlineStr"/>
      <ns0:c r="R249" s="10" t="inlineStr"/>
      <ns0:c r="S249" s="11" t="inlineStr"/>
      <ns0:c r="T249" s="11" t="inlineStr"/>
      <ns0:c r="U249" s="11" t="inlineStr"/>
      <ns0:c r="V249" s="11" t="inlineStr">
        <ns0:is>
          <ns0:t>Neconfirmat</ns0:t>
        </ns0:is>
      </ns0:c>
      <ns0:c r="W249" s="11" t="inlineStr">
        <ns0:is>
          <ns0:t>Fără ediție finală confirmată</ns0:t>
        </ns0:is>
      </ns0:c>
      <ns0:c r="X249" s="7">
        <ns0:f>IF(AND(J249="Publicat",Q249&lt;&gt;"",ISNUMBER(R249),S249&lt;&gt;"",U249&lt;&gt;"",V249="Confirmat"),1,0)</ns0:f>
        <ns0:v>0</ns0:v>
      </ns0:c>
    </ns0:row>
    <ns0:row r="250" ht="46" customHeight="1">
      <ns0:c r="A250" s="7" t="inlineStr">
        <ns0:is>
          <ns0:t>DB-083-DE</ns0:t>
        </ns0:is>
      </ns0:c>
      <ns0:c r="B250" s="7" t="inlineStr">
        <ns0:is>
          <ns0:t>DB-083</ns0:t>
        </ns0:is>
      </ns0:c>
      <ns0:c r="C250" s="7" t="inlineStr">
        <ns0:is>
          <ns0:t>MYTHICA</ns0:t>
        </ns0:is>
      </ns0:c>
      <ns0:c r="D250" s="7" t="inlineStr">
        <ns0:is>
          <ns0:t>The Thorn Covenant</ns0:t>
        </ns0:is>
      </ns0:c>
      <ns0:c r="E250" s="8" t="n">
        <ns0:v>3</ns0:v>
      </ns0:c>
      <ns0:c r="F250" s="7" t="inlineStr">
        <ns0:is>
          <ns0:t>The Orchard of Embers</ns0:t>
        </ns0:is>
      </ns0:c>
      <ns0:c r="G250" s="7" t="inlineStr">
        <ns0:is>
          <ns0:t>DE</ns0:t>
        </ns0:is>
      </ns0:c>
      <ns0:c r="H250" s="7" t="inlineStr">
        <ns0:is>
          <ns0:t>EN</ns0:t>
        </ns0:is>
      </ns0:c>
      <ns0:c r="I250" s="7" t="inlineStr">
        <ns0:is>
          <ns0:t>Traducere EN→DE</ns0:t>
        </ns0:is>
      </ns0:c>
      <ns0:c r="J250" s="11" t="inlineStr">
        <ns0:is>
          <ns0:t>Planificat</ns0:t>
        </ns0:is>
      </ns0:c>
      <ns0:c r="K250" s="11" t="inlineStr">
        <ns0:is>
          <ns0:t>De desemnat</ns0:t>
        </ns0:is>
      </ns0:c>
      <ns0:c r="L250" s="8">
        <ns0:f>Catalog_100!I84</ns0:f>
        <ns0:v>65000</ns0:v>
      </ns0:c>
      <ns0:c r="M250" s="13">
        <ns0:f>Catalog_100!J84</ns0:f>
        <ns0:v>46325.0</ns0:v>
      </ns0:c>
      <ns0:c r="N250" s="13">
        <ns0:f>Catalog_100!K84</ns0:f>
        <ns0:v>46343.0</ns0:v>
      </ns0:c>
      <ns0:c r="O250" s="13">
        <ns0:f>Catalog_100!L84</ns0:f>
        <ns0:v>46345.0</ns0:v>
      </ns0:c>
      <ns0:c r="P250" s="13">
        <ns0:f>Catalog_100!M84</ns0:f>
        <ns0:v>46347.0</ns0:v>
      </ns0:c>
      <ns0:c r="Q250" s="11" t="inlineStr"/>
      <ns0:c r="R250" s="10" t="inlineStr"/>
      <ns0:c r="S250" s="11" t="inlineStr"/>
      <ns0:c r="T250" s="11" t="inlineStr"/>
      <ns0:c r="U250" s="11" t="inlineStr"/>
      <ns0:c r="V250" s="11" t="inlineStr">
        <ns0:is>
          <ns0:t>Neconfirmat</ns0:t>
        </ns0:is>
      </ns0:c>
      <ns0:c r="W250" s="11" t="inlineStr">
        <ns0:is>
          <ns0:t>Fără ediție finală confirmată</ns0:t>
        </ns0:is>
      </ns0:c>
      <ns0:c r="X250" s="7">
        <ns0:f>IF(AND(J250="Publicat",Q250&lt;&gt;"",ISNUMBER(R250),S250&lt;&gt;"",U250&lt;&gt;"",V250="Confirmat"),1,0)</ns0:f>
        <ns0:v>0</ns0:v>
      </ns0:c>
    </ns0:row>
    <ns0:row r="251" ht="46" customHeight="1">
      <ns0:c r="A251" s="7" t="inlineStr">
        <ns0:is>
          <ns0:t>DB-084-EN</ns0:t>
        </ns0:is>
      </ns0:c>
      <ns0:c r="B251" s="7" t="inlineStr">
        <ns0:is>
          <ns0:t>DB-084</ns0:t>
        </ns0:is>
      </ns0:c>
      <ns0:c r="C251" s="7" t="inlineStr">
        <ns0:is>
          <ns0:t>MYTHICA</ns0:t>
        </ns0:is>
      </ns0:c>
      <ns0:c r="D251" s="7" t="inlineStr">
        <ns0:is>
          <ns0:t>The Thorn Covenant</ns0:t>
        </ns0:is>
      </ns0:c>
      <ns0:c r="E251" s="8" t="n">
        <ns0:v>4</ns0:v>
      </ns0:c>
      <ns0:c r="F251" s="7" t="inlineStr">
        <ns0:is>
          <ns0:t>The River of Unwritten Vows</ns0:t>
        </ns0:is>
      </ns0:c>
      <ns0:c r="G251" s="7" t="inlineStr">
        <ns0:is>
          <ns0:t>EN</ns0:t>
        </ns0:is>
      </ns0:c>
      <ns0:c r="H251" s="7" t="inlineStr">
        <ns0:is>
          <ns0:t>EN</ns0:t>
        </ns0:is>
      </ns0:c>
      <ns0:c r="I251" s="7" t="inlineStr">
        <ns0:is>
          <ns0:t>Scriere nouă</ns0:t>
        </ns0:is>
      </ns0:c>
      <ns0:c r="J251" s="11" t="inlineStr">
        <ns0:is>
          <ns0:t>Planificat</ns0:t>
        </ns0:is>
      </ns0:c>
      <ns0:c r="K251" s="11" t="inlineStr">
        <ns0:is>
          <ns0:t>De desemnat</ns0:t>
        </ns0:is>
      </ns0:c>
      <ns0:c r="L251" s="8">
        <ns0:f>Catalog_100!I85</ns0:f>
        <ns0:v>65000</ns0:v>
      </ns0:c>
      <ns0:c r="M251" s="13">
        <ns0:f>Catalog_100!J85</ns0:f>
        <ns0:v>46325.0</ns0:v>
      </ns0:c>
      <ns0:c r="N251" s="13">
        <ns0:f>Catalog_100!K85</ns0:f>
        <ns0:v>46343.0</ns0:v>
      </ns0:c>
      <ns0:c r="O251" s="13">
        <ns0:f>Catalog_100!L85</ns0:f>
        <ns0:v>46345.0</ns0:v>
      </ns0:c>
      <ns0:c r="P251" s="13">
        <ns0:f>Catalog_100!M85</ns0:f>
        <ns0:v>46347.0</ns0:v>
      </ns0:c>
      <ns0:c r="Q251" s="11" t="inlineStr"/>
      <ns0:c r="R251" s="10" t="inlineStr"/>
      <ns0:c r="S251" s="11" t="inlineStr"/>
      <ns0:c r="T251" s="11" t="inlineStr"/>
      <ns0:c r="U251" s="11" t="inlineStr"/>
      <ns0:c r="V251" s="11" t="inlineStr">
        <ns0:is>
          <ns0:t>Neconfirmat</ns0:t>
        </ns0:is>
      </ns0:c>
      <ns0:c r="W251" s="11" t="inlineStr">
        <ns0:is>
          <ns0:t>Fără ediție finală confirmată</ns0:t>
        </ns0:is>
      </ns0:c>
      <ns0:c r="X251" s="7">
        <ns0:f>IF(AND(J251="Publicat",Q251&lt;&gt;"",ISNUMBER(R251),S251&lt;&gt;"",U251&lt;&gt;"",V251="Confirmat"),1,0)</ns0:f>
        <ns0:v>0</ns0:v>
      </ns0:c>
    </ns0:row>
    <ns0:row r="252" ht="46" customHeight="1">
      <ns0:c r="A252" s="7" t="inlineStr">
        <ns0:is>
          <ns0:t>DB-084-RO</ns0:t>
        </ns0:is>
      </ns0:c>
      <ns0:c r="B252" s="7" t="inlineStr">
        <ns0:is>
          <ns0:t>DB-084</ns0:t>
        </ns0:is>
      </ns0:c>
      <ns0:c r="C252" s="7" t="inlineStr">
        <ns0:is>
          <ns0:t>MYTHICA</ns0:t>
        </ns0:is>
      </ns0:c>
      <ns0:c r="D252" s="7" t="inlineStr">
        <ns0:is>
          <ns0:t>The Thorn Covenant</ns0:t>
        </ns0:is>
      </ns0:c>
      <ns0:c r="E252" s="8" t="n">
        <ns0:v>4</ns0:v>
      </ns0:c>
      <ns0:c r="F252" s="7" t="inlineStr">
        <ns0:is>
          <ns0:t>The River of Unwritten Vows</ns0:t>
        </ns0:is>
      </ns0:c>
      <ns0:c r="G252" s="7" t="inlineStr">
        <ns0:is>
          <ns0:t>RO</ns0:t>
        </ns0:is>
      </ns0:c>
      <ns0:c r="H252" s="7" t="inlineStr">
        <ns0:is>
          <ns0:t>EN</ns0:t>
        </ns0:is>
      </ns0:c>
      <ns0:c r="I252" s="7" t="inlineStr">
        <ns0:is>
          <ns0:t>Traducere EN→RO</ns0:t>
        </ns0:is>
      </ns0:c>
      <ns0:c r="J252" s="11" t="inlineStr">
        <ns0:is>
          <ns0:t>Planificat</ns0:t>
        </ns0:is>
      </ns0:c>
      <ns0:c r="K252" s="11" t="inlineStr">
        <ns0:is>
          <ns0:t>De desemnat</ns0:t>
        </ns0:is>
      </ns0:c>
      <ns0:c r="L252" s="8">
        <ns0:f>Catalog_100!I85</ns0:f>
        <ns0:v>65000</ns0:v>
      </ns0:c>
      <ns0:c r="M252" s="13">
        <ns0:f>Catalog_100!J85</ns0:f>
        <ns0:v>46325.0</ns0:v>
      </ns0:c>
      <ns0:c r="N252" s="13">
        <ns0:f>Catalog_100!K85</ns0:f>
        <ns0:v>46343.0</ns0:v>
      </ns0:c>
      <ns0:c r="O252" s="13">
        <ns0:f>Catalog_100!L85</ns0:f>
        <ns0:v>46345.0</ns0:v>
      </ns0:c>
      <ns0:c r="P252" s="13">
        <ns0:f>Catalog_100!M85</ns0:f>
        <ns0:v>46347.0</ns0:v>
      </ns0:c>
      <ns0:c r="Q252" s="11" t="inlineStr"/>
      <ns0:c r="R252" s="10" t="inlineStr"/>
      <ns0:c r="S252" s="11" t="inlineStr"/>
      <ns0:c r="T252" s="11" t="inlineStr"/>
      <ns0:c r="U252" s="11" t="inlineStr"/>
      <ns0:c r="V252" s="11" t="inlineStr">
        <ns0:is>
          <ns0:t>Neconfirmat</ns0:t>
        </ns0:is>
      </ns0:c>
      <ns0:c r="W252" s="11" t="inlineStr">
        <ns0:is>
          <ns0:t>Fără ediție finală confirmată</ns0:t>
        </ns0:is>
      </ns0:c>
      <ns0:c r="X252" s="7">
        <ns0:f>IF(AND(J252="Publicat",Q252&lt;&gt;"",ISNUMBER(R252),S252&lt;&gt;"",U252&lt;&gt;"",V252="Confirmat"),1,0)</ns0:f>
        <ns0:v>0</ns0:v>
      </ns0:c>
    </ns0:row>
    <ns0:row r="253" ht="46" customHeight="1">
      <ns0:c r="A253" s="7" t="inlineStr">
        <ns0:is>
          <ns0:t>DB-084-DE</ns0:t>
        </ns0:is>
      </ns0:c>
      <ns0:c r="B253" s="7" t="inlineStr">
        <ns0:is>
          <ns0:t>DB-084</ns0:t>
        </ns0:is>
      </ns0:c>
      <ns0:c r="C253" s="7" t="inlineStr">
        <ns0:is>
          <ns0:t>MYTHICA</ns0:t>
        </ns0:is>
      </ns0:c>
      <ns0:c r="D253" s="7" t="inlineStr">
        <ns0:is>
          <ns0:t>The Thorn Covenant</ns0:t>
        </ns0:is>
      </ns0:c>
      <ns0:c r="E253" s="8" t="n">
        <ns0:v>4</ns0:v>
      </ns0:c>
      <ns0:c r="F253" s="7" t="inlineStr">
        <ns0:is>
          <ns0:t>The River of Unwritten Vows</ns0:t>
        </ns0:is>
      </ns0:c>
      <ns0:c r="G253" s="7" t="inlineStr">
        <ns0:is>
          <ns0:t>DE</ns0:t>
        </ns0:is>
      </ns0:c>
      <ns0:c r="H253" s="7" t="inlineStr">
        <ns0:is>
          <ns0:t>EN</ns0:t>
        </ns0:is>
      </ns0:c>
      <ns0:c r="I253" s="7" t="inlineStr">
        <ns0:is>
          <ns0:t>Traducere EN→DE</ns0:t>
        </ns0:is>
      </ns0:c>
      <ns0:c r="J253" s="11" t="inlineStr">
        <ns0:is>
          <ns0:t>Planificat</ns0:t>
        </ns0:is>
      </ns0:c>
      <ns0:c r="K253" s="11" t="inlineStr">
        <ns0:is>
          <ns0:t>De desemnat</ns0:t>
        </ns0:is>
      </ns0:c>
      <ns0:c r="L253" s="8">
        <ns0:f>Catalog_100!I85</ns0:f>
        <ns0:v>65000</ns0:v>
      </ns0:c>
      <ns0:c r="M253" s="13">
        <ns0:f>Catalog_100!J85</ns0:f>
        <ns0:v>46325.0</ns0:v>
      </ns0:c>
      <ns0:c r="N253" s="13">
        <ns0:f>Catalog_100!K85</ns0:f>
        <ns0:v>46343.0</ns0:v>
      </ns0:c>
      <ns0:c r="O253" s="13">
        <ns0:f>Catalog_100!L85</ns0:f>
        <ns0:v>46345.0</ns0:v>
      </ns0:c>
      <ns0:c r="P253" s="13">
        <ns0:f>Catalog_100!M85</ns0:f>
        <ns0:v>46347.0</ns0:v>
      </ns0:c>
      <ns0:c r="Q253" s="11" t="inlineStr"/>
      <ns0:c r="R253" s="10" t="inlineStr"/>
      <ns0:c r="S253" s="11" t="inlineStr"/>
      <ns0:c r="T253" s="11" t="inlineStr"/>
      <ns0:c r="U253" s="11" t="inlineStr"/>
      <ns0:c r="V253" s="11" t="inlineStr">
        <ns0:is>
          <ns0:t>Neconfirmat</ns0:t>
        </ns0:is>
      </ns0:c>
      <ns0:c r="W253" s="11" t="inlineStr">
        <ns0:is>
          <ns0:t>Fără ediție finală confirmată</ns0:t>
        </ns0:is>
      </ns0:c>
      <ns0:c r="X253" s="7">
        <ns0:f>IF(AND(J253="Publicat",Q253&lt;&gt;"",ISNUMBER(R253),S253&lt;&gt;"",U253&lt;&gt;"",V253="Confirmat"),1,0)</ns0:f>
        <ns0:v>0</ns0:v>
      </ns0:c>
    </ns0:row>
    <ns0:row r="254" ht="46" customHeight="1">
      <ns0:c r="A254" s="7" t="inlineStr">
        <ns0:is>
          <ns0:t>DB-085-EN</ns0:t>
        </ns0:is>
      </ns0:c>
      <ns0:c r="B254" s="7" t="inlineStr">
        <ns0:is>
          <ns0:t>DB-085</ns0:t>
        </ns0:is>
      </ns0:c>
      <ns0:c r="C254" s="7" t="inlineStr">
        <ns0:is>
          <ns0:t>MYTHICA</ns0:t>
        </ns0:is>
      </ns0:c>
      <ns0:c r="D254" s="7" t="inlineStr">
        <ns0:is>
          <ns0:t>The Thorn Covenant</ns0:t>
        </ns0:is>
      </ns0:c>
      <ns0:c r="E254" s="8" t="n">
        <ns0:v>5</ns0:v>
      </ns0:c>
      <ns0:c r="F254" s="7" t="inlineStr">
        <ns0:is>
          <ns0:t>The Crown We Refused</ns0:t>
        </ns0:is>
      </ns0:c>
      <ns0:c r="G254" s="7" t="inlineStr">
        <ns0:is>
          <ns0:t>EN</ns0:t>
        </ns0:is>
      </ns0:c>
      <ns0:c r="H254" s="7" t="inlineStr">
        <ns0:is>
          <ns0:t>EN</ns0:t>
        </ns0:is>
      </ns0:c>
      <ns0:c r="I254" s="7" t="inlineStr">
        <ns0:is>
          <ns0:t>Scriere nouă</ns0:t>
        </ns0:is>
      </ns0:c>
      <ns0:c r="J254" s="11" t="inlineStr">
        <ns0:is>
          <ns0:t>Planificat</ns0:t>
        </ns0:is>
      </ns0:c>
      <ns0:c r="K254" s="11" t="inlineStr">
        <ns0:is>
          <ns0:t>De desemnat</ns0:t>
        </ns0:is>
      </ns0:c>
      <ns0:c r="L254" s="8">
        <ns0:f>Catalog_100!I86</ns0:f>
        <ns0:v>65000</ns0:v>
      </ns0:c>
      <ns0:c r="M254" s="13">
        <ns0:f>Catalog_100!J86</ns0:f>
        <ns0:v>46325.0</ns0:v>
      </ns0:c>
      <ns0:c r="N254" s="13">
        <ns0:f>Catalog_100!K86</ns0:f>
        <ns0:v>46343.0</ns0:v>
      </ns0:c>
      <ns0:c r="O254" s="13">
        <ns0:f>Catalog_100!L86</ns0:f>
        <ns0:v>46345.0</ns0:v>
      </ns0:c>
      <ns0:c r="P254" s="13">
        <ns0:f>Catalog_100!M86</ns0:f>
        <ns0:v>46347.0</ns0:v>
      </ns0:c>
      <ns0:c r="Q254" s="11" t="inlineStr"/>
      <ns0:c r="R254" s="10" t="inlineStr"/>
      <ns0:c r="S254" s="11" t="inlineStr"/>
      <ns0:c r="T254" s="11" t="inlineStr"/>
      <ns0:c r="U254" s="11" t="inlineStr"/>
      <ns0:c r="V254" s="11" t="inlineStr">
        <ns0:is>
          <ns0:t>Neconfirmat</ns0:t>
        </ns0:is>
      </ns0:c>
      <ns0:c r="W254" s="11" t="inlineStr">
        <ns0:is>
          <ns0:t>Fără ediție finală confirmată</ns0:t>
        </ns0:is>
      </ns0:c>
      <ns0:c r="X254" s="7">
        <ns0:f>IF(AND(J254="Publicat",Q254&lt;&gt;"",ISNUMBER(R254),S254&lt;&gt;"",U254&lt;&gt;"",V254="Confirmat"),1,0)</ns0:f>
        <ns0:v>0</ns0:v>
      </ns0:c>
    </ns0:row>
    <ns0:row r="255" ht="46" customHeight="1">
      <ns0:c r="A255" s="7" t="inlineStr">
        <ns0:is>
          <ns0:t>DB-085-RO</ns0:t>
        </ns0:is>
      </ns0:c>
      <ns0:c r="B255" s="7" t="inlineStr">
        <ns0:is>
          <ns0:t>DB-085</ns0:t>
        </ns0:is>
      </ns0:c>
      <ns0:c r="C255" s="7" t="inlineStr">
        <ns0:is>
          <ns0:t>MYTHICA</ns0:t>
        </ns0:is>
      </ns0:c>
      <ns0:c r="D255" s="7" t="inlineStr">
        <ns0:is>
          <ns0:t>The Thorn Covenant</ns0:t>
        </ns0:is>
      </ns0:c>
      <ns0:c r="E255" s="8" t="n">
        <ns0:v>5</ns0:v>
      </ns0:c>
      <ns0:c r="F255" s="7" t="inlineStr">
        <ns0:is>
          <ns0:t>The Crown We Refused</ns0:t>
        </ns0:is>
      </ns0:c>
      <ns0:c r="G255" s="7" t="inlineStr">
        <ns0:is>
          <ns0:t>RO</ns0:t>
        </ns0:is>
      </ns0:c>
      <ns0:c r="H255" s="7" t="inlineStr">
        <ns0:is>
          <ns0:t>EN</ns0:t>
        </ns0:is>
      </ns0:c>
      <ns0:c r="I255" s="7" t="inlineStr">
        <ns0:is>
          <ns0:t>Traducere EN→RO</ns0:t>
        </ns0:is>
      </ns0:c>
      <ns0:c r="J255" s="11" t="inlineStr">
        <ns0:is>
          <ns0:t>Planificat</ns0:t>
        </ns0:is>
      </ns0:c>
      <ns0:c r="K255" s="11" t="inlineStr">
        <ns0:is>
          <ns0:t>De desemnat</ns0:t>
        </ns0:is>
      </ns0:c>
      <ns0:c r="L255" s="8">
        <ns0:f>Catalog_100!I86</ns0:f>
        <ns0:v>65000</ns0:v>
      </ns0:c>
      <ns0:c r="M255" s="13">
        <ns0:f>Catalog_100!J86</ns0:f>
        <ns0:v>46325.0</ns0:v>
      </ns0:c>
      <ns0:c r="N255" s="13">
        <ns0:f>Catalog_100!K86</ns0:f>
        <ns0:v>46343.0</ns0:v>
      </ns0:c>
      <ns0:c r="O255" s="13">
        <ns0:f>Catalog_100!L86</ns0:f>
        <ns0:v>46345.0</ns0:v>
      </ns0:c>
      <ns0:c r="P255" s="13">
        <ns0:f>Catalog_100!M86</ns0:f>
        <ns0:v>46347.0</ns0:v>
      </ns0:c>
      <ns0:c r="Q255" s="11" t="inlineStr"/>
      <ns0:c r="R255" s="10" t="inlineStr"/>
      <ns0:c r="S255" s="11" t="inlineStr"/>
      <ns0:c r="T255" s="11" t="inlineStr"/>
      <ns0:c r="U255" s="11" t="inlineStr"/>
      <ns0:c r="V255" s="11" t="inlineStr">
        <ns0:is>
          <ns0:t>Neconfirmat</ns0:t>
        </ns0:is>
      </ns0:c>
      <ns0:c r="W255" s="11" t="inlineStr">
        <ns0:is>
          <ns0:t>Fără ediție finală confirmată</ns0:t>
        </ns0:is>
      </ns0:c>
      <ns0:c r="X255" s="7">
        <ns0:f>IF(AND(J255="Publicat",Q255&lt;&gt;"",ISNUMBER(R255),S255&lt;&gt;"",U255&lt;&gt;"",V255="Confirmat"),1,0)</ns0:f>
        <ns0:v>0</ns0:v>
      </ns0:c>
    </ns0:row>
    <ns0:row r="256" ht="46" customHeight="1">
      <ns0:c r="A256" s="7" t="inlineStr">
        <ns0:is>
          <ns0:t>DB-085-DE</ns0:t>
        </ns0:is>
      </ns0:c>
      <ns0:c r="B256" s="7" t="inlineStr">
        <ns0:is>
          <ns0:t>DB-085</ns0:t>
        </ns0:is>
      </ns0:c>
      <ns0:c r="C256" s="7" t="inlineStr">
        <ns0:is>
          <ns0:t>MYTHICA</ns0:t>
        </ns0:is>
      </ns0:c>
      <ns0:c r="D256" s="7" t="inlineStr">
        <ns0:is>
          <ns0:t>The Thorn Covenant</ns0:t>
        </ns0:is>
      </ns0:c>
      <ns0:c r="E256" s="8" t="n">
        <ns0:v>5</ns0:v>
      </ns0:c>
      <ns0:c r="F256" s="7" t="inlineStr">
        <ns0:is>
          <ns0:t>The Crown We Refused</ns0:t>
        </ns0:is>
      </ns0:c>
      <ns0:c r="G256" s="7" t="inlineStr">
        <ns0:is>
          <ns0:t>DE</ns0:t>
        </ns0:is>
      </ns0:c>
      <ns0:c r="H256" s="7" t="inlineStr">
        <ns0:is>
          <ns0:t>EN</ns0:t>
        </ns0:is>
      </ns0:c>
      <ns0:c r="I256" s="7" t="inlineStr">
        <ns0:is>
          <ns0:t>Traducere EN→DE</ns0:t>
        </ns0:is>
      </ns0:c>
      <ns0:c r="J256" s="11" t="inlineStr">
        <ns0:is>
          <ns0:t>Planificat</ns0:t>
        </ns0:is>
      </ns0:c>
      <ns0:c r="K256" s="11" t="inlineStr">
        <ns0:is>
          <ns0:t>De desemnat</ns0:t>
        </ns0:is>
      </ns0:c>
      <ns0:c r="L256" s="8">
        <ns0:f>Catalog_100!I86</ns0:f>
        <ns0:v>65000</ns0:v>
      </ns0:c>
      <ns0:c r="M256" s="13">
        <ns0:f>Catalog_100!J86</ns0:f>
        <ns0:v>46325.0</ns0:v>
      </ns0:c>
      <ns0:c r="N256" s="13">
        <ns0:f>Catalog_100!K86</ns0:f>
        <ns0:v>46343.0</ns0:v>
      </ns0:c>
      <ns0:c r="O256" s="13">
        <ns0:f>Catalog_100!L86</ns0:f>
        <ns0:v>46345.0</ns0:v>
      </ns0:c>
      <ns0:c r="P256" s="13">
        <ns0:f>Catalog_100!M86</ns0:f>
        <ns0:v>46347.0</ns0:v>
      </ns0:c>
      <ns0:c r="Q256" s="11" t="inlineStr"/>
      <ns0:c r="R256" s="10" t="inlineStr"/>
      <ns0:c r="S256" s="11" t="inlineStr"/>
      <ns0:c r="T256" s="11" t="inlineStr"/>
      <ns0:c r="U256" s="11" t="inlineStr"/>
      <ns0:c r="V256" s="11" t="inlineStr">
        <ns0:is>
          <ns0:t>Neconfirmat</ns0:t>
        </ns0:is>
      </ns0:c>
      <ns0:c r="W256" s="11" t="inlineStr">
        <ns0:is>
          <ns0:t>Fără ediție finală confirmată</ns0:t>
        </ns0:is>
      </ns0:c>
      <ns0:c r="X256" s="7">
        <ns0:f>IF(AND(J256="Publicat",Q256&lt;&gt;"",ISNUMBER(R256),S256&lt;&gt;"",U256&lt;&gt;"",V256="Confirmat"),1,0)</ns0:f>
        <ns0:v>0</ns0:v>
      </ns0:c>
    </ns0:row>
    <ns0:row r="257" ht="46" customHeight="1">
      <ns0:c r="A257" s="7" t="inlineStr">
        <ns0:is>
          <ns0:t>DB-086-EN</ns0:t>
        </ns0:is>
      </ns0:c>
      <ns0:c r="B257" s="7" t="inlineStr">
        <ns0:is>
          <ns0:t>DB-086</ns0:t>
        </ns0:is>
      </ns0:c>
      <ns0:c r="C257" s="7" t="inlineStr">
        <ns0:is>
          <ns0:t>MYTHICA</ns0:t>
        </ns0:is>
      </ns0:c>
      <ns0:c r="D257" s="7" t="inlineStr">
        <ns0:is>
          <ns0:t>Tales of the Border Realms</ns0:t>
        </ns0:is>
      </ns0:c>
      <ns0:c r="E257" s="8" t="n">
        <ns0:v>1</ns0:v>
      </ns0:c>
      <ns0:c r="F257" s="7" t="inlineStr">
        <ns0:is>
          <ns0:t>The Lantern Keeper's Apprentice</ns0:t>
        </ns0:is>
      </ns0:c>
      <ns0:c r="G257" s="7" t="inlineStr">
        <ns0:is>
          <ns0:t>EN</ns0:t>
        </ns0:is>
      </ns0:c>
      <ns0:c r="H257" s="7" t="inlineStr">
        <ns0:is>
          <ns0:t>EN</ns0:t>
        </ns0:is>
      </ns0:c>
      <ns0:c r="I257" s="7" t="inlineStr">
        <ns0:is>
          <ns0:t>Scriere nouă</ns0:t>
        </ns0:is>
      </ns0:c>
      <ns0:c r="J257" s="11" t="inlineStr">
        <ns0:is>
          <ns0:t>Planificat</ns0:t>
        </ns0:is>
      </ns0:c>
      <ns0:c r="K257" s="11" t="inlineStr">
        <ns0:is>
          <ns0:t>De desemnat</ns0:t>
        </ns0:is>
      </ns0:c>
      <ns0:c r="L257" s="8">
        <ns0:f>Catalog_100!I87</ns0:f>
        <ns0:v>40000</ns0:v>
      </ns0:c>
      <ns0:c r="M257" s="13">
        <ns0:f>Catalog_100!J87</ns0:f>
        <ns0:v>46311.0</ns0:v>
      </ns0:c>
      <ns0:c r="N257" s="13">
        <ns0:f>Catalog_100!K87</ns0:f>
        <ns0:v>46329.0</ns0:v>
      </ns0:c>
      <ns0:c r="O257" s="13">
        <ns0:f>Catalog_100!L87</ns0:f>
        <ns0:v>46331.0</ns0:v>
      </ns0:c>
      <ns0:c r="P257" s="13">
        <ns0:f>Catalog_100!M87</ns0:f>
        <ns0:v>46333.0</ns0:v>
      </ns0:c>
      <ns0:c r="Q257" s="11" t="inlineStr"/>
      <ns0:c r="R257" s="10" t="inlineStr"/>
      <ns0:c r="S257" s="11" t="inlineStr"/>
      <ns0:c r="T257" s="11" t="inlineStr"/>
      <ns0:c r="U257" s="11" t="inlineStr"/>
      <ns0:c r="V257" s="11" t="inlineStr">
        <ns0:is>
          <ns0:t>Neconfirmat</ns0:t>
        </ns0:is>
      </ns0:c>
      <ns0:c r="W257" s="11" t="inlineStr">
        <ns0:is>
          <ns0:t>Fără ediție finală confirmată</ns0:t>
        </ns0:is>
      </ns0:c>
      <ns0:c r="X257" s="7">
        <ns0:f>IF(AND(J257="Publicat",Q257&lt;&gt;"",ISNUMBER(R257),S257&lt;&gt;"",U257&lt;&gt;"",V257="Confirmat"),1,0)</ns0:f>
        <ns0:v>0</ns0:v>
      </ns0:c>
    </ns0:row>
    <ns0:row r="258" ht="46" customHeight="1">
      <ns0:c r="A258" s="7" t="inlineStr">
        <ns0:is>
          <ns0:t>DB-086-RO</ns0:t>
        </ns0:is>
      </ns0:c>
      <ns0:c r="B258" s="7" t="inlineStr">
        <ns0:is>
          <ns0:t>DB-086</ns0:t>
        </ns0:is>
      </ns0:c>
      <ns0:c r="C258" s="7" t="inlineStr">
        <ns0:is>
          <ns0:t>MYTHICA</ns0:t>
        </ns0:is>
      </ns0:c>
      <ns0:c r="D258" s="7" t="inlineStr">
        <ns0:is>
          <ns0:t>Tales of the Border Realms</ns0:t>
        </ns0:is>
      </ns0:c>
      <ns0:c r="E258" s="8" t="n">
        <ns0:v>1</ns0:v>
      </ns0:c>
      <ns0:c r="F258" s="7" t="inlineStr">
        <ns0:is>
          <ns0:t>The Lantern Keeper's Apprentice</ns0:t>
        </ns0:is>
      </ns0:c>
      <ns0:c r="G258" s="7" t="inlineStr">
        <ns0:is>
          <ns0:t>RO</ns0:t>
        </ns0:is>
      </ns0:c>
      <ns0:c r="H258" s="7" t="inlineStr">
        <ns0:is>
          <ns0:t>EN</ns0:t>
        </ns0:is>
      </ns0:c>
      <ns0:c r="I258" s="7" t="inlineStr">
        <ns0:is>
          <ns0:t>Traducere EN→RO</ns0:t>
        </ns0:is>
      </ns0:c>
      <ns0:c r="J258" s="11" t="inlineStr">
        <ns0:is>
          <ns0:t>Planificat</ns0:t>
        </ns0:is>
      </ns0:c>
      <ns0:c r="K258" s="11" t="inlineStr">
        <ns0:is>
          <ns0:t>De desemnat</ns0:t>
        </ns0:is>
      </ns0:c>
      <ns0:c r="L258" s="8">
        <ns0:f>Catalog_100!I87</ns0:f>
        <ns0:v>40000</ns0:v>
      </ns0:c>
      <ns0:c r="M258" s="13">
        <ns0:f>Catalog_100!J87</ns0:f>
        <ns0:v>46311.0</ns0:v>
      </ns0:c>
      <ns0:c r="N258" s="13">
        <ns0:f>Catalog_100!K87</ns0:f>
        <ns0:v>46329.0</ns0:v>
      </ns0:c>
      <ns0:c r="O258" s="13">
        <ns0:f>Catalog_100!L87</ns0:f>
        <ns0:v>46331.0</ns0:v>
      </ns0:c>
      <ns0:c r="P258" s="13">
        <ns0:f>Catalog_100!M87</ns0:f>
        <ns0:v>46333.0</ns0:v>
      </ns0:c>
      <ns0:c r="Q258" s="11" t="inlineStr"/>
      <ns0:c r="R258" s="10" t="inlineStr"/>
      <ns0:c r="S258" s="11" t="inlineStr"/>
      <ns0:c r="T258" s="11" t="inlineStr"/>
      <ns0:c r="U258" s="11" t="inlineStr"/>
      <ns0:c r="V258" s="11" t="inlineStr">
        <ns0:is>
          <ns0:t>Neconfirmat</ns0:t>
        </ns0:is>
      </ns0:c>
      <ns0:c r="W258" s="11" t="inlineStr">
        <ns0:is>
          <ns0:t>Fără ediție finală confirmată</ns0:t>
        </ns0:is>
      </ns0:c>
      <ns0:c r="X258" s="7">
        <ns0:f>IF(AND(J258="Publicat",Q258&lt;&gt;"",ISNUMBER(R258),S258&lt;&gt;"",U258&lt;&gt;"",V258="Confirmat"),1,0)</ns0:f>
        <ns0:v>0</ns0:v>
      </ns0:c>
    </ns0:row>
    <ns0:row r="259" ht="46" customHeight="1">
      <ns0:c r="A259" s="7" t="inlineStr">
        <ns0:is>
          <ns0:t>DB-086-DE</ns0:t>
        </ns0:is>
      </ns0:c>
      <ns0:c r="B259" s="7" t="inlineStr">
        <ns0:is>
          <ns0:t>DB-086</ns0:t>
        </ns0:is>
      </ns0:c>
      <ns0:c r="C259" s="7" t="inlineStr">
        <ns0:is>
          <ns0:t>MYTHICA</ns0:t>
        </ns0:is>
      </ns0:c>
      <ns0:c r="D259" s="7" t="inlineStr">
        <ns0:is>
          <ns0:t>Tales of the Border Realms</ns0:t>
        </ns0:is>
      </ns0:c>
      <ns0:c r="E259" s="8" t="n">
        <ns0:v>1</ns0:v>
      </ns0:c>
      <ns0:c r="F259" s="7" t="inlineStr">
        <ns0:is>
          <ns0:t>The Lantern Keeper's Apprentice</ns0:t>
        </ns0:is>
      </ns0:c>
      <ns0:c r="G259" s="7" t="inlineStr">
        <ns0:is>
          <ns0:t>DE</ns0:t>
        </ns0:is>
      </ns0:c>
      <ns0:c r="H259" s="7" t="inlineStr">
        <ns0:is>
          <ns0:t>EN</ns0:t>
        </ns0:is>
      </ns0:c>
      <ns0:c r="I259" s="7" t="inlineStr">
        <ns0:is>
          <ns0:t>Traducere EN→DE</ns0:t>
        </ns0:is>
      </ns0:c>
      <ns0:c r="J259" s="11" t="inlineStr">
        <ns0:is>
          <ns0:t>Planificat</ns0:t>
        </ns0:is>
      </ns0:c>
      <ns0:c r="K259" s="11" t="inlineStr">
        <ns0:is>
          <ns0:t>De desemnat</ns0:t>
        </ns0:is>
      </ns0:c>
      <ns0:c r="L259" s="8">
        <ns0:f>Catalog_100!I87</ns0:f>
        <ns0:v>40000</ns0:v>
      </ns0:c>
      <ns0:c r="M259" s="13">
        <ns0:f>Catalog_100!J87</ns0:f>
        <ns0:v>46311.0</ns0:v>
      </ns0:c>
      <ns0:c r="N259" s="13">
        <ns0:f>Catalog_100!K87</ns0:f>
        <ns0:v>46329.0</ns0:v>
      </ns0:c>
      <ns0:c r="O259" s="13">
        <ns0:f>Catalog_100!L87</ns0:f>
        <ns0:v>46331.0</ns0:v>
      </ns0:c>
      <ns0:c r="P259" s="13">
        <ns0:f>Catalog_100!M87</ns0:f>
        <ns0:v>46333.0</ns0:v>
      </ns0:c>
      <ns0:c r="Q259" s="11" t="inlineStr"/>
      <ns0:c r="R259" s="10" t="inlineStr"/>
      <ns0:c r="S259" s="11" t="inlineStr"/>
      <ns0:c r="T259" s="11" t="inlineStr"/>
      <ns0:c r="U259" s="11" t="inlineStr"/>
      <ns0:c r="V259" s="11" t="inlineStr">
        <ns0:is>
          <ns0:t>Neconfirmat</ns0:t>
        </ns0:is>
      </ns0:c>
      <ns0:c r="W259" s="11" t="inlineStr">
        <ns0:is>
          <ns0:t>Fără ediție finală confirmată</ns0:t>
        </ns0:is>
      </ns0:c>
      <ns0:c r="X259" s="7">
        <ns0:f>IF(AND(J259="Publicat",Q259&lt;&gt;"",ISNUMBER(R259),S259&lt;&gt;"",U259&lt;&gt;"",V259="Confirmat"),1,0)</ns0:f>
        <ns0:v>0</ns0:v>
      </ns0:c>
    </ns0:row>
    <ns0:row r="260" ht="46" customHeight="1">
      <ns0:c r="A260" s="7" t="inlineStr">
        <ns0:is>
          <ns0:t>DB-087-EN</ns0:t>
        </ns0:is>
      </ns0:c>
      <ns0:c r="B260" s="7" t="inlineStr">
        <ns0:is>
          <ns0:t>DB-087</ns0:t>
        </ns0:is>
      </ns0:c>
      <ns0:c r="C260" s="7" t="inlineStr">
        <ns0:is>
          <ns0:t>MYTHICA</ns0:t>
        </ns0:is>
      </ns0:c>
      <ns0:c r="D260" s="7" t="inlineStr">
        <ns0:is>
          <ns0:t>Tales of the Border Realms</ns0:t>
        </ns0:is>
      </ns0:c>
      <ns0:c r="E260" s="8" t="n">
        <ns0:v>2</ns0:v>
      </ns0:c>
      <ns0:c r="F260" s="7" t="inlineStr">
        <ns0:is>
          <ns0:t>The Smith of Borrowed Names</ns0:t>
        </ns0:is>
      </ns0:c>
      <ns0:c r="G260" s="7" t="inlineStr">
        <ns0:is>
          <ns0:t>EN</ns0:t>
        </ns0:is>
      </ns0:c>
      <ns0:c r="H260" s="7" t="inlineStr">
        <ns0:is>
          <ns0:t>EN</ns0:t>
        </ns0:is>
      </ns0:c>
      <ns0:c r="I260" s="7" t="inlineStr">
        <ns0:is>
          <ns0:t>Scriere nouă</ns0:t>
        </ns0:is>
      </ns0:c>
      <ns0:c r="J260" s="11" t="inlineStr">
        <ns0:is>
          <ns0:t>Planificat</ns0:t>
        </ns0:is>
      </ns0:c>
      <ns0:c r="K260" s="11" t="inlineStr">
        <ns0:is>
          <ns0:t>De desemnat</ns0:t>
        </ns0:is>
      </ns0:c>
      <ns0:c r="L260" s="8">
        <ns0:f>Catalog_100!I88</ns0:f>
        <ns0:v>40000</ns0:v>
      </ns0:c>
      <ns0:c r="M260" s="13">
        <ns0:f>Catalog_100!J88</ns0:f>
        <ns0:v>46311.0</ns0:v>
      </ns0:c>
      <ns0:c r="N260" s="13">
        <ns0:f>Catalog_100!K88</ns0:f>
        <ns0:v>46329.0</ns0:v>
      </ns0:c>
      <ns0:c r="O260" s="13">
        <ns0:f>Catalog_100!L88</ns0:f>
        <ns0:v>46331.0</ns0:v>
      </ns0:c>
      <ns0:c r="P260" s="13">
        <ns0:f>Catalog_100!M88</ns0:f>
        <ns0:v>46333.0</ns0:v>
      </ns0:c>
      <ns0:c r="Q260" s="11" t="inlineStr"/>
      <ns0:c r="R260" s="10" t="inlineStr"/>
      <ns0:c r="S260" s="11" t="inlineStr"/>
      <ns0:c r="T260" s="11" t="inlineStr"/>
      <ns0:c r="U260" s="11" t="inlineStr"/>
      <ns0:c r="V260" s="11" t="inlineStr">
        <ns0:is>
          <ns0:t>Neconfirmat</ns0:t>
        </ns0:is>
      </ns0:c>
      <ns0:c r="W260" s="11" t="inlineStr">
        <ns0:is>
          <ns0:t>Fără ediție finală confirmată</ns0:t>
        </ns0:is>
      </ns0:c>
      <ns0:c r="X260" s="7">
        <ns0:f>IF(AND(J260="Publicat",Q260&lt;&gt;"",ISNUMBER(R260),S260&lt;&gt;"",U260&lt;&gt;"",V260="Confirmat"),1,0)</ns0:f>
        <ns0:v>0</ns0:v>
      </ns0:c>
    </ns0:row>
    <ns0:row r="261" ht="46" customHeight="1">
      <ns0:c r="A261" s="7" t="inlineStr">
        <ns0:is>
          <ns0:t>DB-087-RO</ns0:t>
        </ns0:is>
      </ns0:c>
      <ns0:c r="B261" s="7" t="inlineStr">
        <ns0:is>
          <ns0:t>DB-087</ns0:t>
        </ns0:is>
      </ns0:c>
      <ns0:c r="C261" s="7" t="inlineStr">
        <ns0:is>
          <ns0:t>MYTHICA</ns0:t>
        </ns0:is>
      </ns0:c>
      <ns0:c r="D261" s="7" t="inlineStr">
        <ns0:is>
          <ns0:t>Tales of the Border Realms</ns0:t>
        </ns0:is>
      </ns0:c>
      <ns0:c r="E261" s="8" t="n">
        <ns0:v>2</ns0:v>
      </ns0:c>
      <ns0:c r="F261" s="7" t="inlineStr">
        <ns0:is>
          <ns0:t>The Smith of Borrowed Names</ns0:t>
        </ns0:is>
      </ns0:c>
      <ns0:c r="G261" s="7" t="inlineStr">
        <ns0:is>
          <ns0:t>RO</ns0:t>
        </ns0:is>
      </ns0:c>
      <ns0:c r="H261" s="7" t="inlineStr">
        <ns0:is>
          <ns0:t>EN</ns0:t>
        </ns0:is>
      </ns0:c>
      <ns0:c r="I261" s="7" t="inlineStr">
        <ns0:is>
          <ns0:t>Traducere EN→RO</ns0:t>
        </ns0:is>
      </ns0:c>
      <ns0:c r="J261" s="11" t="inlineStr">
        <ns0:is>
          <ns0:t>Planificat</ns0:t>
        </ns0:is>
      </ns0:c>
      <ns0:c r="K261" s="11" t="inlineStr">
        <ns0:is>
          <ns0:t>De desemnat</ns0:t>
        </ns0:is>
      </ns0:c>
      <ns0:c r="L261" s="8">
        <ns0:f>Catalog_100!I88</ns0:f>
        <ns0:v>40000</ns0:v>
      </ns0:c>
      <ns0:c r="M261" s="13">
        <ns0:f>Catalog_100!J88</ns0:f>
        <ns0:v>46311.0</ns0:v>
      </ns0:c>
      <ns0:c r="N261" s="13">
        <ns0:f>Catalog_100!K88</ns0:f>
        <ns0:v>46329.0</ns0:v>
      </ns0:c>
      <ns0:c r="O261" s="13">
        <ns0:f>Catalog_100!L88</ns0:f>
        <ns0:v>46331.0</ns0:v>
      </ns0:c>
      <ns0:c r="P261" s="13">
        <ns0:f>Catalog_100!M88</ns0:f>
        <ns0:v>46333.0</ns0:v>
      </ns0:c>
      <ns0:c r="Q261" s="11" t="inlineStr"/>
      <ns0:c r="R261" s="10" t="inlineStr"/>
      <ns0:c r="S261" s="11" t="inlineStr"/>
      <ns0:c r="T261" s="11" t="inlineStr"/>
      <ns0:c r="U261" s="11" t="inlineStr"/>
      <ns0:c r="V261" s="11" t="inlineStr">
        <ns0:is>
          <ns0:t>Neconfirmat</ns0:t>
        </ns0:is>
      </ns0:c>
      <ns0:c r="W261" s="11" t="inlineStr">
        <ns0:is>
          <ns0:t>Fără ediție finală confirmată</ns0:t>
        </ns0:is>
      </ns0:c>
      <ns0:c r="X261" s="7">
        <ns0:f>IF(AND(J261="Publicat",Q261&lt;&gt;"",ISNUMBER(R261),S261&lt;&gt;"",U261&lt;&gt;"",V261="Confirmat"),1,0)</ns0:f>
        <ns0:v>0</ns0:v>
      </ns0:c>
    </ns0:row>
    <ns0:row r="262" ht="46" customHeight="1">
      <ns0:c r="A262" s="7" t="inlineStr">
        <ns0:is>
          <ns0:t>DB-087-DE</ns0:t>
        </ns0:is>
      </ns0:c>
      <ns0:c r="B262" s="7" t="inlineStr">
        <ns0:is>
          <ns0:t>DB-087</ns0:t>
        </ns0:is>
      </ns0:c>
      <ns0:c r="C262" s="7" t="inlineStr">
        <ns0:is>
          <ns0:t>MYTHICA</ns0:t>
        </ns0:is>
      </ns0:c>
      <ns0:c r="D262" s="7" t="inlineStr">
        <ns0:is>
          <ns0:t>Tales of the Border Realms</ns0:t>
        </ns0:is>
      </ns0:c>
      <ns0:c r="E262" s="8" t="n">
        <ns0:v>2</ns0:v>
      </ns0:c>
      <ns0:c r="F262" s="7" t="inlineStr">
        <ns0:is>
          <ns0:t>The Smith of Borrowed Names</ns0:t>
        </ns0:is>
      </ns0:c>
      <ns0:c r="G262" s="7" t="inlineStr">
        <ns0:is>
          <ns0:t>DE</ns0:t>
        </ns0:is>
      </ns0:c>
      <ns0:c r="H262" s="7" t="inlineStr">
        <ns0:is>
          <ns0:t>EN</ns0:t>
        </ns0:is>
      </ns0:c>
      <ns0:c r="I262" s="7" t="inlineStr">
        <ns0:is>
          <ns0:t>Traducere EN→DE</ns0:t>
        </ns0:is>
      </ns0:c>
      <ns0:c r="J262" s="11" t="inlineStr">
        <ns0:is>
          <ns0:t>Planificat</ns0:t>
        </ns0:is>
      </ns0:c>
      <ns0:c r="K262" s="11" t="inlineStr">
        <ns0:is>
          <ns0:t>De desemnat</ns0:t>
        </ns0:is>
      </ns0:c>
      <ns0:c r="L262" s="8">
        <ns0:f>Catalog_100!I88</ns0:f>
        <ns0:v>40000</ns0:v>
      </ns0:c>
      <ns0:c r="M262" s="13">
        <ns0:f>Catalog_100!J88</ns0:f>
        <ns0:v>46311.0</ns0:v>
      </ns0:c>
      <ns0:c r="N262" s="13">
        <ns0:f>Catalog_100!K88</ns0:f>
        <ns0:v>46329.0</ns0:v>
      </ns0:c>
      <ns0:c r="O262" s="13">
        <ns0:f>Catalog_100!L88</ns0:f>
        <ns0:v>46331.0</ns0:v>
      </ns0:c>
      <ns0:c r="P262" s="13">
        <ns0:f>Catalog_100!M88</ns0:f>
        <ns0:v>46333.0</ns0:v>
      </ns0:c>
      <ns0:c r="Q262" s="11" t="inlineStr"/>
      <ns0:c r="R262" s="10" t="inlineStr"/>
      <ns0:c r="S262" s="11" t="inlineStr"/>
      <ns0:c r="T262" s="11" t="inlineStr"/>
      <ns0:c r="U262" s="11" t="inlineStr"/>
      <ns0:c r="V262" s="11" t="inlineStr">
        <ns0:is>
          <ns0:t>Neconfirmat</ns0:t>
        </ns0:is>
      </ns0:c>
      <ns0:c r="W262" s="11" t="inlineStr">
        <ns0:is>
          <ns0:t>Fără ediție finală confirmată</ns0:t>
        </ns0:is>
      </ns0:c>
      <ns0:c r="X262" s="7">
        <ns0:f>IF(AND(J262="Publicat",Q262&lt;&gt;"",ISNUMBER(R262),S262&lt;&gt;"",U262&lt;&gt;"",V262="Confirmat"),1,0)</ns0:f>
        <ns0:v>0</ns0:v>
      </ns0:c>
    </ns0:row>
    <ns0:row r="263" ht="46" customHeight="1">
      <ns0:c r="A263" s="7" t="inlineStr">
        <ns0:is>
          <ns0:t>DB-088-EN</ns0:t>
        </ns0:is>
      </ns0:c>
      <ns0:c r="B263" s="7" t="inlineStr">
        <ns0:is>
          <ns0:t>DB-088</ns0:t>
        </ns0:is>
      </ns0:c>
      <ns0:c r="C263" s="7" t="inlineStr">
        <ns0:is>
          <ns0:t>MYTHICA</ns0:t>
        </ns0:is>
      </ns0:c>
      <ns0:c r="D263" s="7" t="inlineStr">
        <ns0:is>
          <ns0:t>Tales of the Border Realms</ns0:t>
        </ns0:is>
      </ns0:c>
      <ns0:c r="E263" s="8" t="n">
        <ns0:v>3</ns0:v>
      </ns0:c>
      <ns0:c r="F263" s="7" t="inlineStr">
        <ns0:is>
          <ns0:t>The Orchard Beyond the Wall</ns0:t>
        </ns0:is>
      </ns0:c>
      <ns0:c r="G263" s="7" t="inlineStr">
        <ns0:is>
          <ns0:t>EN</ns0:t>
        </ns0:is>
      </ns0:c>
      <ns0:c r="H263" s="7" t="inlineStr">
        <ns0:is>
          <ns0:t>EN</ns0:t>
        </ns0:is>
      </ns0:c>
      <ns0:c r="I263" s="7" t="inlineStr">
        <ns0:is>
          <ns0:t>Scriere nouă</ns0:t>
        </ns0:is>
      </ns0:c>
      <ns0:c r="J263" s="11" t="inlineStr">
        <ns0:is>
          <ns0:t>Planificat</ns0:t>
        </ns0:is>
      </ns0:c>
      <ns0:c r="K263" s="11" t="inlineStr">
        <ns0:is>
          <ns0:t>De desemnat</ns0:t>
        </ns0:is>
      </ns0:c>
      <ns0:c r="L263" s="8">
        <ns0:f>Catalog_100!I89</ns0:f>
        <ns0:v>40000</ns0:v>
      </ns0:c>
      <ns0:c r="M263" s="13">
        <ns0:f>Catalog_100!J89</ns0:f>
        <ns0:v>46311.0</ns0:v>
      </ns0:c>
      <ns0:c r="N263" s="13">
        <ns0:f>Catalog_100!K89</ns0:f>
        <ns0:v>46329.0</ns0:v>
      </ns0:c>
      <ns0:c r="O263" s="13">
        <ns0:f>Catalog_100!L89</ns0:f>
        <ns0:v>46331.0</ns0:v>
      </ns0:c>
      <ns0:c r="P263" s="13">
        <ns0:f>Catalog_100!M89</ns0:f>
        <ns0:v>46333.0</ns0:v>
      </ns0:c>
      <ns0:c r="Q263" s="11" t="inlineStr"/>
      <ns0:c r="R263" s="10" t="inlineStr"/>
      <ns0:c r="S263" s="11" t="inlineStr"/>
      <ns0:c r="T263" s="11" t="inlineStr"/>
      <ns0:c r="U263" s="11" t="inlineStr"/>
      <ns0:c r="V263" s="11" t="inlineStr">
        <ns0:is>
          <ns0:t>Neconfirmat</ns0:t>
        </ns0:is>
      </ns0:c>
      <ns0:c r="W263" s="11" t="inlineStr">
        <ns0:is>
          <ns0:t>Fără ediție finală confirmată</ns0:t>
        </ns0:is>
      </ns0:c>
      <ns0:c r="X263" s="7">
        <ns0:f>IF(AND(J263="Publicat",Q263&lt;&gt;"",ISNUMBER(R263),S263&lt;&gt;"",U263&lt;&gt;"",V263="Confirmat"),1,0)</ns0:f>
        <ns0:v>0</ns0:v>
      </ns0:c>
    </ns0:row>
    <ns0:row r="264" ht="46" customHeight="1">
      <ns0:c r="A264" s="7" t="inlineStr">
        <ns0:is>
          <ns0:t>DB-088-RO</ns0:t>
        </ns0:is>
      </ns0:c>
      <ns0:c r="B264" s="7" t="inlineStr">
        <ns0:is>
          <ns0:t>DB-088</ns0:t>
        </ns0:is>
      </ns0:c>
      <ns0:c r="C264" s="7" t="inlineStr">
        <ns0:is>
          <ns0:t>MYTHICA</ns0:t>
        </ns0:is>
      </ns0:c>
      <ns0:c r="D264" s="7" t="inlineStr">
        <ns0:is>
          <ns0:t>Tales of the Border Realms</ns0:t>
        </ns0:is>
      </ns0:c>
      <ns0:c r="E264" s="8" t="n">
        <ns0:v>3</ns0:v>
      </ns0:c>
      <ns0:c r="F264" s="7" t="inlineStr">
        <ns0:is>
          <ns0:t>The Orchard Beyond the Wall</ns0:t>
        </ns0:is>
      </ns0:c>
      <ns0:c r="G264" s="7" t="inlineStr">
        <ns0:is>
          <ns0:t>RO</ns0:t>
        </ns0:is>
      </ns0:c>
      <ns0:c r="H264" s="7" t="inlineStr">
        <ns0:is>
          <ns0:t>EN</ns0:t>
        </ns0:is>
      </ns0:c>
      <ns0:c r="I264" s="7" t="inlineStr">
        <ns0:is>
          <ns0:t>Traducere EN→RO</ns0:t>
        </ns0:is>
      </ns0:c>
      <ns0:c r="J264" s="11" t="inlineStr">
        <ns0:is>
          <ns0:t>Planificat</ns0:t>
        </ns0:is>
      </ns0:c>
      <ns0:c r="K264" s="11" t="inlineStr">
        <ns0:is>
          <ns0:t>De desemnat</ns0:t>
        </ns0:is>
      </ns0:c>
      <ns0:c r="L264" s="8">
        <ns0:f>Catalog_100!I89</ns0:f>
        <ns0:v>40000</ns0:v>
      </ns0:c>
      <ns0:c r="M264" s="13">
        <ns0:f>Catalog_100!J89</ns0:f>
        <ns0:v>46311.0</ns0:v>
      </ns0:c>
      <ns0:c r="N264" s="13">
        <ns0:f>Catalog_100!K89</ns0:f>
        <ns0:v>46329.0</ns0:v>
      </ns0:c>
      <ns0:c r="O264" s="13">
        <ns0:f>Catalog_100!L89</ns0:f>
        <ns0:v>46331.0</ns0:v>
      </ns0:c>
      <ns0:c r="P264" s="13">
        <ns0:f>Catalog_100!M89</ns0:f>
        <ns0:v>46333.0</ns0:v>
      </ns0:c>
      <ns0:c r="Q264" s="11" t="inlineStr"/>
      <ns0:c r="R264" s="10" t="inlineStr"/>
      <ns0:c r="S264" s="11" t="inlineStr"/>
      <ns0:c r="T264" s="11" t="inlineStr"/>
      <ns0:c r="U264" s="11" t="inlineStr"/>
      <ns0:c r="V264" s="11" t="inlineStr">
        <ns0:is>
          <ns0:t>Neconfirmat</ns0:t>
        </ns0:is>
      </ns0:c>
      <ns0:c r="W264" s="11" t="inlineStr">
        <ns0:is>
          <ns0:t>Fără ediție finală confirmată</ns0:t>
        </ns0:is>
      </ns0:c>
      <ns0:c r="X264" s="7">
        <ns0:f>IF(AND(J264="Publicat",Q264&lt;&gt;"",ISNUMBER(R264),S264&lt;&gt;"",U264&lt;&gt;"",V264="Confirmat"),1,0)</ns0:f>
        <ns0:v>0</ns0:v>
      </ns0:c>
    </ns0:row>
    <ns0:row r="265" ht="46" customHeight="1">
      <ns0:c r="A265" s="7" t="inlineStr">
        <ns0:is>
          <ns0:t>DB-088-DE</ns0:t>
        </ns0:is>
      </ns0:c>
      <ns0:c r="B265" s="7" t="inlineStr">
        <ns0:is>
          <ns0:t>DB-088</ns0:t>
        </ns0:is>
      </ns0:c>
      <ns0:c r="C265" s="7" t="inlineStr">
        <ns0:is>
          <ns0:t>MYTHICA</ns0:t>
        </ns0:is>
      </ns0:c>
      <ns0:c r="D265" s="7" t="inlineStr">
        <ns0:is>
          <ns0:t>Tales of the Border Realms</ns0:t>
        </ns0:is>
      </ns0:c>
      <ns0:c r="E265" s="8" t="n">
        <ns0:v>3</ns0:v>
      </ns0:c>
      <ns0:c r="F265" s="7" t="inlineStr">
        <ns0:is>
          <ns0:t>The Orchard Beyond the Wall</ns0:t>
        </ns0:is>
      </ns0:c>
      <ns0:c r="G265" s="7" t="inlineStr">
        <ns0:is>
          <ns0:t>DE</ns0:t>
        </ns0:is>
      </ns0:c>
      <ns0:c r="H265" s="7" t="inlineStr">
        <ns0:is>
          <ns0:t>EN</ns0:t>
        </ns0:is>
      </ns0:c>
      <ns0:c r="I265" s="7" t="inlineStr">
        <ns0:is>
          <ns0:t>Traducere EN→DE</ns0:t>
        </ns0:is>
      </ns0:c>
      <ns0:c r="J265" s="11" t="inlineStr">
        <ns0:is>
          <ns0:t>Planificat</ns0:t>
        </ns0:is>
      </ns0:c>
      <ns0:c r="K265" s="11" t="inlineStr">
        <ns0:is>
          <ns0:t>De desemnat</ns0:t>
        </ns0:is>
      </ns0:c>
      <ns0:c r="L265" s="8">
        <ns0:f>Catalog_100!I89</ns0:f>
        <ns0:v>40000</ns0:v>
      </ns0:c>
      <ns0:c r="M265" s="13">
        <ns0:f>Catalog_100!J89</ns0:f>
        <ns0:v>46311.0</ns0:v>
      </ns0:c>
      <ns0:c r="N265" s="13">
        <ns0:f>Catalog_100!K89</ns0:f>
        <ns0:v>46329.0</ns0:v>
      </ns0:c>
      <ns0:c r="O265" s="13">
        <ns0:f>Catalog_100!L89</ns0:f>
        <ns0:v>46331.0</ns0:v>
      </ns0:c>
      <ns0:c r="P265" s="13">
        <ns0:f>Catalog_100!M89</ns0:f>
        <ns0:v>46333.0</ns0:v>
      </ns0:c>
      <ns0:c r="Q265" s="11" t="inlineStr"/>
      <ns0:c r="R265" s="10" t="inlineStr"/>
      <ns0:c r="S265" s="11" t="inlineStr"/>
      <ns0:c r="T265" s="11" t="inlineStr"/>
      <ns0:c r="U265" s="11" t="inlineStr"/>
      <ns0:c r="V265" s="11" t="inlineStr">
        <ns0:is>
          <ns0:t>Neconfirmat</ns0:t>
        </ns0:is>
      </ns0:c>
      <ns0:c r="W265" s="11" t="inlineStr">
        <ns0:is>
          <ns0:t>Fără ediție finală confirmată</ns0:t>
        </ns0:is>
      </ns0:c>
      <ns0:c r="X265" s="7">
        <ns0:f>IF(AND(J265="Publicat",Q265&lt;&gt;"",ISNUMBER(R265),S265&lt;&gt;"",U265&lt;&gt;"",V265="Confirmat"),1,0)</ns0:f>
        <ns0:v>0</ns0:v>
      </ns0:c>
    </ns0:row>
    <ns0:row r="266" ht="46" customHeight="1">
      <ns0:c r="A266" s="7" t="inlineStr">
        <ns0:is>
          <ns0:t>DB-089-EN</ns0:t>
        </ns0:is>
      </ns0:c>
      <ns0:c r="B266" s="7" t="inlineStr">
        <ns0:is>
          <ns0:t>DB-089</ns0:t>
        </ns0:is>
      </ns0:c>
      <ns0:c r="C266" s="7" t="inlineStr">
        <ns0:is>
          <ns0:t>MYTHICA</ns0:t>
        </ns0:is>
      </ns0:c>
      <ns0:c r="D266" s="7" t="inlineStr">
        <ns0:is>
          <ns0:t>Tales of the Border Realms</ns0:t>
        </ns0:is>
      </ns0:c>
      <ns0:c r="E266" s="8" t="n">
        <ns0:v>4</ns0:v>
      </ns0:c>
      <ns0:c r="F266" s="7" t="inlineStr">
        <ns0:is>
          <ns0:t>The Last Winter Market</ns0:t>
        </ns0:is>
      </ns0:c>
      <ns0:c r="G266" s="7" t="inlineStr">
        <ns0:is>
          <ns0:t>EN</ns0:t>
        </ns0:is>
      </ns0:c>
      <ns0:c r="H266" s="7" t="inlineStr">
        <ns0:is>
          <ns0:t>EN</ns0:t>
        </ns0:is>
      </ns0:c>
      <ns0:c r="I266" s="7" t="inlineStr">
        <ns0:is>
          <ns0:t>Scriere nouă</ns0:t>
        </ns0:is>
      </ns0:c>
      <ns0:c r="J266" s="11" t="inlineStr">
        <ns0:is>
          <ns0:t>Planificat</ns0:t>
        </ns0:is>
      </ns0:c>
      <ns0:c r="K266" s="11" t="inlineStr">
        <ns0:is>
          <ns0:t>De desemnat</ns0:t>
        </ns0:is>
      </ns0:c>
      <ns0:c r="L266" s="8">
        <ns0:f>Catalog_100!I90</ns0:f>
        <ns0:v>40000</ns0:v>
      </ns0:c>
      <ns0:c r="M266" s="13">
        <ns0:f>Catalog_100!J90</ns0:f>
        <ns0:v>46311.0</ns0:v>
      </ns0:c>
      <ns0:c r="N266" s="13">
        <ns0:f>Catalog_100!K90</ns0:f>
        <ns0:v>46329.0</ns0:v>
      </ns0:c>
      <ns0:c r="O266" s="13">
        <ns0:f>Catalog_100!L90</ns0:f>
        <ns0:v>46331.0</ns0:v>
      </ns0:c>
      <ns0:c r="P266" s="13">
        <ns0:f>Catalog_100!M90</ns0:f>
        <ns0:v>46333.0</ns0:v>
      </ns0:c>
      <ns0:c r="Q266" s="11" t="inlineStr"/>
      <ns0:c r="R266" s="10" t="inlineStr"/>
      <ns0:c r="S266" s="11" t="inlineStr"/>
      <ns0:c r="T266" s="11" t="inlineStr"/>
      <ns0:c r="U266" s="11" t="inlineStr"/>
      <ns0:c r="V266" s="11" t="inlineStr">
        <ns0:is>
          <ns0:t>Neconfirmat</ns0:t>
        </ns0:is>
      </ns0:c>
      <ns0:c r="W266" s="11" t="inlineStr">
        <ns0:is>
          <ns0:t>Fără ediție finală confirmată</ns0:t>
        </ns0:is>
      </ns0:c>
      <ns0:c r="X266" s="7">
        <ns0:f>IF(AND(J266="Publicat",Q266&lt;&gt;"",ISNUMBER(R266),S266&lt;&gt;"",U266&lt;&gt;"",V266="Confirmat"),1,0)</ns0:f>
        <ns0:v>0</ns0:v>
      </ns0:c>
    </ns0:row>
    <ns0:row r="267" ht="46" customHeight="1">
      <ns0:c r="A267" s="7" t="inlineStr">
        <ns0:is>
          <ns0:t>DB-089-RO</ns0:t>
        </ns0:is>
      </ns0:c>
      <ns0:c r="B267" s="7" t="inlineStr">
        <ns0:is>
          <ns0:t>DB-089</ns0:t>
        </ns0:is>
      </ns0:c>
      <ns0:c r="C267" s="7" t="inlineStr">
        <ns0:is>
          <ns0:t>MYTHICA</ns0:t>
        </ns0:is>
      </ns0:c>
      <ns0:c r="D267" s="7" t="inlineStr">
        <ns0:is>
          <ns0:t>Tales of the Border Realms</ns0:t>
        </ns0:is>
      </ns0:c>
      <ns0:c r="E267" s="8" t="n">
        <ns0:v>4</ns0:v>
      </ns0:c>
      <ns0:c r="F267" s="7" t="inlineStr">
        <ns0:is>
          <ns0:t>The Last Winter Market</ns0:t>
        </ns0:is>
      </ns0:c>
      <ns0:c r="G267" s="7" t="inlineStr">
        <ns0:is>
          <ns0:t>RO</ns0:t>
        </ns0:is>
      </ns0:c>
      <ns0:c r="H267" s="7" t="inlineStr">
        <ns0:is>
          <ns0:t>EN</ns0:t>
        </ns0:is>
      </ns0:c>
      <ns0:c r="I267" s="7" t="inlineStr">
        <ns0:is>
          <ns0:t>Traducere EN→RO</ns0:t>
        </ns0:is>
      </ns0:c>
      <ns0:c r="J267" s="11" t="inlineStr">
        <ns0:is>
          <ns0:t>Planificat</ns0:t>
        </ns0:is>
      </ns0:c>
      <ns0:c r="K267" s="11" t="inlineStr">
        <ns0:is>
          <ns0:t>De desemnat</ns0:t>
        </ns0:is>
      </ns0:c>
      <ns0:c r="L267" s="8">
        <ns0:f>Catalog_100!I90</ns0:f>
        <ns0:v>40000</ns0:v>
      </ns0:c>
      <ns0:c r="M267" s="13">
        <ns0:f>Catalog_100!J90</ns0:f>
        <ns0:v>46311.0</ns0:v>
      </ns0:c>
      <ns0:c r="N267" s="13">
        <ns0:f>Catalog_100!K90</ns0:f>
        <ns0:v>46329.0</ns0:v>
      </ns0:c>
      <ns0:c r="O267" s="13">
        <ns0:f>Catalog_100!L90</ns0:f>
        <ns0:v>46331.0</ns0:v>
      </ns0:c>
      <ns0:c r="P267" s="13">
        <ns0:f>Catalog_100!M90</ns0:f>
        <ns0:v>46333.0</ns0:v>
      </ns0:c>
      <ns0:c r="Q267" s="11" t="inlineStr"/>
      <ns0:c r="R267" s="10" t="inlineStr"/>
      <ns0:c r="S267" s="11" t="inlineStr"/>
      <ns0:c r="T267" s="11" t="inlineStr"/>
      <ns0:c r="U267" s="11" t="inlineStr"/>
      <ns0:c r="V267" s="11" t="inlineStr">
        <ns0:is>
          <ns0:t>Neconfirmat</ns0:t>
        </ns0:is>
      </ns0:c>
      <ns0:c r="W267" s="11" t="inlineStr">
        <ns0:is>
          <ns0:t>Fără ediție finală confirmată</ns0:t>
        </ns0:is>
      </ns0:c>
      <ns0:c r="X267" s="7">
        <ns0:f>IF(AND(J267="Publicat",Q267&lt;&gt;"",ISNUMBER(R267),S267&lt;&gt;"",U267&lt;&gt;"",V267="Confirmat"),1,0)</ns0:f>
        <ns0:v>0</ns0:v>
      </ns0:c>
    </ns0:row>
    <ns0:row r="268" ht="46" customHeight="1">
      <ns0:c r="A268" s="7" t="inlineStr">
        <ns0:is>
          <ns0:t>DB-089-DE</ns0:t>
        </ns0:is>
      </ns0:c>
      <ns0:c r="B268" s="7" t="inlineStr">
        <ns0:is>
          <ns0:t>DB-089</ns0:t>
        </ns0:is>
      </ns0:c>
      <ns0:c r="C268" s="7" t="inlineStr">
        <ns0:is>
          <ns0:t>MYTHICA</ns0:t>
        </ns0:is>
      </ns0:c>
      <ns0:c r="D268" s="7" t="inlineStr">
        <ns0:is>
          <ns0:t>Tales of the Border Realms</ns0:t>
        </ns0:is>
      </ns0:c>
      <ns0:c r="E268" s="8" t="n">
        <ns0:v>4</ns0:v>
      </ns0:c>
      <ns0:c r="F268" s="7" t="inlineStr">
        <ns0:is>
          <ns0:t>The Last Winter Market</ns0:t>
        </ns0:is>
      </ns0:c>
      <ns0:c r="G268" s="7" t="inlineStr">
        <ns0:is>
          <ns0:t>DE</ns0:t>
        </ns0:is>
      </ns0:c>
      <ns0:c r="H268" s="7" t="inlineStr">
        <ns0:is>
          <ns0:t>EN</ns0:t>
        </ns0:is>
      </ns0:c>
      <ns0:c r="I268" s="7" t="inlineStr">
        <ns0:is>
          <ns0:t>Traducere EN→DE</ns0:t>
        </ns0:is>
      </ns0:c>
      <ns0:c r="J268" s="11" t="inlineStr">
        <ns0:is>
          <ns0:t>Planificat</ns0:t>
        </ns0:is>
      </ns0:c>
      <ns0:c r="K268" s="11" t="inlineStr">
        <ns0:is>
          <ns0:t>De desemnat</ns0:t>
        </ns0:is>
      </ns0:c>
      <ns0:c r="L268" s="8">
        <ns0:f>Catalog_100!I90</ns0:f>
        <ns0:v>40000</ns0:v>
      </ns0:c>
      <ns0:c r="M268" s="13">
        <ns0:f>Catalog_100!J90</ns0:f>
        <ns0:v>46311.0</ns0:v>
      </ns0:c>
      <ns0:c r="N268" s="13">
        <ns0:f>Catalog_100!K90</ns0:f>
        <ns0:v>46329.0</ns0:v>
      </ns0:c>
      <ns0:c r="O268" s="13">
        <ns0:f>Catalog_100!L90</ns0:f>
        <ns0:v>46331.0</ns0:v>
      </ns0:c>
      <ns0:c r="P268" s="13">
        <ns0:f>Catalog_100!M90</ns0:f>
        <ns0:v>46333.0</ns0:v>
      </ns0:c>
      <ns0:c r="Q268" s="11" t="inlineStr"/>
      <ns0:c r="R268" s="10" t="inlineStr"/>
      <ns0:c r="S268" s="11" t="inlineStr"/>
      <ns0:c r="T268" s="11" t="inlineStr"/>
      <ns0:c r="U268" s="11" t="inlineStr"/>
      <ns0:c r="V268" s="11" t="inlineStr">
        <ns0:is>
          <ns0:t>Neconfirmat</ns0:t>
        </ns0:is>
      </ns0:c>
      <ns0:c r="W268" s="11" t="inlineStr">
        <ns0:is>
          <ns0:t>Fără ediție finală confirmată</ns0:t>
        </ns0:is>
      </ns0:c>
      <ns0:c r="X268" s="7">
        <ns0:f>IF(AND(J268="Publicat",Q268&lt;&gt;"",ISNUMBER(R268),S268&lt;&gt;"",U268&lt;&gt;"",V268="Confirmat"),1,0)</ns0:f>
        <ns0:v>0</ns0:v>
      </ns0:c>
    </ns0:row>
    <ns0:row r="269" ht="46" customHeight="1">
      <ns0:c r="A269" s="7" t="inlineStr">
        <ns0:is>
          <ns0:t>DB-090-EN</ns0:t>
        </ns0:is>
      </ns0:c>
      <ns0:c r="B269" s="7" t="inlineStr">
        <ns0:is>
          <ns0:t>DB-090</ns0:t>
        </ns0:is>
      </ns0:c>
      <ns0:c r="C269" s="7" t="inlineStr">
        <ns0:is>
          <ns0:t>MYTHICA</ns0:t>
        </ns0:is>
      </ns0:c>
      <ns0:c r="D269" s="7" t="inlineStr">
        <ns0:is>
          <ns0:t>Tales of the Border Realms</ns0:t>
        </ns0:is>
      </ns0:c>
      <ns0:c r="E269" s="8" t="n">
        <ns0:v>5</ns0:v>
      </ns0:c>
      <ns0:c r="F269" s="7" t="inlineStr">
        <ns0:is>
          <ns0:t>The Dragon Who Kept the Bridge</ns0:t>
        </ns0:is>
      </ns0:c>
      <ns0:c r="G269" s="7" t="inlineStr">
        <ns0:is>
          <ns0:t>EN</ns0:t>
        </ns0:is>
      </ns0:c>
      <ns0:c r="H269" s="7" t="inlineStr">
        <ns0:is>
          <ns0:t>EN</ns0:t>
        </ns0:is>
      </ns0:c>
      <ns0:c r="I269" s="7" t="inlineStr">
        <ns0:is>
          <ns0:t>Scriere nouă</ns0:t>
        </ns0:is>
      </ns0:c>
      <ns0:c r="J269" s="11" t="inlineStr">
        <ns0:is>
          <ns0:t>Planificat</ns0:t>
        </ns0:is>
      </ns0:c>
      <ns0:c r="K269" s="11" t="inlineStr">
        <ns0:is>
          <ns0:t>De desemnat</ns0:t>
        </ns0:is>
      </ns0:c>
      <ns0:c r="L269" s="8">
        <ns0:f>Catalog_100!I91</ns0:f>
        <ns0:v>40000</ns0:v>
      </ns0:c>
      <ns0:c r="M269" s="13">
        <ns0:f>Catalog_100!J91</ns0:f>
        <ns0:v>46311.0</ns0:v>
      </ns0:c>
      <ns0:c r="N269" s="13">
        <ns0:f>Catalog_100!K91</ns0:f>
        <ns0:v>46329.0</ns0:v>
      </ns0:c>
      <ns0:c r="O269" s="13">
        <ns0:f>Catalog_100!L91</ns0:f>
        <ns0:v>46331.0</ns0:v>
      </ns0:c>
      <ns0:c r="P269" s="13">
        <ns0:f>Catalog_100!M91</ns0:f>
        <ns0:v>46333.0</ns0:v>
      </ns0:c>
      <ns0:c r="Q269" s="11" t="inlineStr"/>
      <ns0:c r="R269" s="10" t="inlineStr"/>
      <ns0:c r="S269" s="11" t="inlineStr"/>
      <ns0:c r="T269" s="11" t="inlineStr"/>
      <ns0:c r="U269" s="11" t="inlineStr"/>
      <ns0:c r="V269" s="11" t="inlineStr">
        <ns0:is>
          <ns0:t>Neconfirmat</ns0:t>
        </ns0:is>
      </ns0:c>
      <ns0:c r="W269" s="11" t="inlineStr">
        <ns0:is>
          <ns0:t>Fără ediție finală confirmată</ns0:t>
        </ns0:is>
      </ns0:c>
      <ns0:c r="X269" s="7">
        <ns0:f>IF(AND(J269="Publicat",Q269&lt;&gt;"",ISNUMBER(R269),S269&lt;&gt;"",U269&lt;&gt;"",V269="Confirmat"),1,0)</ns0:f>
        <ns0:v>0</ns0:v>
      </ns0:c>
    </ns0:row>
    <ns0:row r="270" ht="46" customHeight="1">
      <ns0:c r="A270" s="7" t="inlineStr">
        <ns0:is>
          <ns0:t>DB-090-RO</ns0:t>
        </ns0:is>
      </ns0:c>
      <ns0:c r="B270" s="7" t="inlineStr">
        <ns0:is>
          <ns0:t>DB-090</ns0:t>
        </ns0:is>
      </ns0:c>
      <ns0:c r="C270" s="7" t="inlineStr">
        <ns0:is>
          <ns0:t>MYTHICA</ns0:t>
        </ns0:is>
      </ns0:c>
      <ns0:c r="D270" s="7" t="inlineStr">
        <ns0:is>
          <ns0:t>Tales of the Border Realms</ns0:t>
        </ns0:is>
      </ns0:c>
      <ns0:c r="E270" s="8" t="n">
        <ns0:v>5</ns0:v>
      </ns0:c>
      <ns0:c r="F270" s="7" t="inlineStr">
        <ns0:is>
          <ns0:t>The Dragon Who Kept the Bridge</ns0:t>
        </ns0:is>
      </ns0:c>
      <ns0:c r="G270" s="7" t="inlineStr">
        <ns0:is>
          <ns0:t>RO</ns0:t>
        </ns0:is>
      </ns0:c>
      <ns0:c r="H270" s="7" t="inlineStr">
        <ns0:is>
          <ns0:t>EN</ns0:t>
        </ns0:is>
      </ns0:c>
      <ns0:c r="I270" s="7" t="inlineStr">
        <ns0:is>
          <ns0:t>Traducere EN→RO</ns0:t>
        </ns0:is>
      </ns0:c>
      <ns0:c r="J270" s="11" t="inlineStr">
        <ns0:is>
          <ns0:t>Planificat</ns0:t>
        </ns0:is>
      </ns0:c>
      <ns0:c r="K270" s="11" t="inlineStr">
        <ns0:is>
          <ns0:t>De desemnat</ns0:t>
        </ns0:is>
      </ns0:c>
      <ns0:c r="L270" s="8">
        <ns0:f>Catalog_100!I91</ns0:f>
        <ns0:v>40000</ns0:v>
      </ns0:c>
      <ns0:c r="M270" s="13">
        <ns0:f>Catalog_100!J91</ns0:f>
        <ns0:v>46311.0</ns0:v>
      </ns0:c>
      <ns0:c r="N270" s="13">
        <ns0:f>Catalog_100!K91</ns0:f>
        <ns0:v>46329.0</ns0:v>
      </ns0:c>
      <ns0:c r="O270" s="13">
        <ns0:f>Catalog_100!L91</ns0:f>
        <ns0:v>46331.0</ns0:v>
      </ns0:c>
      <ns0:c r="P270" s="13">
        <ns0:f>Catalog_100!M91</ns0:f>
        <ns0:v>46333.0</ns0:v>
      </ns0:c>
      <ns0:c r="Q270" s="11" t="inlineStr"/>
      <ns0:c r="R270" s="10" t="inlineStr"/>
      <ns0:c r="S270" s="11" t="inlineStr"/>
      <ns0:c r="T270" s="11" t="inlineStr"/>
      <ns0:c r="U270" s="11" t="inlineStr"/>
      <ns0:c r="V270" s="11" t="inlineStr">
        <ns0:is>
          <ns0:t>Neconfirmat</ns0:t>
        </ns0:is>
      </ns0:c>
      <ns0:c r="W270" s="11" t="inlineStr">
        <ns0:is>
          <ns0:t>Fără ediție finală confirmată</ns0:t>
        </ns0:is>
      </ns0:c>
      <ns0:c r="X270" s="7">
        <ns0:f>IF(AND(J270="Publicat",Q270&lt;&gt;"",ISNUMBER(R270),S270&lt;&gt;"",U270&lt;&gt;"",V270="Confirmat"),1,0)</ns0:f>
        <ns0:v>0</ns0:v>
      </ns0:c>
    </ns0:row>
    <ns0:row r="271" ht="46" customHeight="1">
      <ns0:c r="A271" s="7" t="inlineStr">
        <ns0:is>
          <ns0:t>DB-090-DE</ns0:t>
        </ns0:is>
      </ns0:c>
      <ns0:c r="B271" s="7" t="inlineStr">
        <ns0:is>
          <ns0:t>DB-090</ns0:t>
        </ns0:is>
      </ns0:c>
      <ns0:c r="C271" s="7" t="inlineStr">
        <ns0:is>
          <ns0:t>MYTHICA</ns0:t>
        </ns0:is>
      </ns0:c>
      <ns0:c r="D271" s="7" t="inlineStr">
        <ns0:is>
          <ns0:t>Tales of the Border Realms</ns0:t>
        </ns0:is>
      </ns0:c>
      <ns0:c r="E271" s="8" t="n">
        <ns0:v>5</ns0:v>
      </ns0:c>
      <ns0:c r="F271" s="7" t="inlineStr">
        <ns0:is>
          <ns0:t>The Dragon Who Kept the Bridge</ns0:t>
        </ns0:is>
      </ns0:c>
      <ns0:c r="G271" s="7" t="inlineStr">
        <ns0:is>
          <ns0:t>DE</ns0:t>
        </ns0:is>
      </ns0:c>
      <ns0:c r="H271" s="7" t="inlineStr">
        <ns0:is>
          <ns0:t>EN</ns0:t>
        </ns0:is>
      </ns0:c>
      <ns0:c r="I271" s="7" t="inlineStr">
        <ns0:is>
          <ns0:t>Traducere EN→DE</ns0:t>
        </ns0:is>
      </ns0:c>
      <ns0:c r="J271" s="11" t="inlineStr">
        <ns0:is>
          <ns0:t>Planificat</ns0:t>
        </ns0:is>
      </ns0:c>
      <ns0:c r="K271" s="11" t="inlineStr">
        <ns0:is>
          <ns0:t>De desemnat</ns0:t>
        </ns0:is>
      </ns0:c>
      <ns0:c r="L271" s="8">
        <ns0:f>Catalog_100!I91</ns0:f>
        <ns0:v>40000</ns0:v>
      </ns0:c>
      <ns0:c r="M271" s="13">
        <ns0:f>Catalog_100!J91</ns0:f>
        <ns0:v>46311.0</ns0:v>
      </ns0:c>
      <ns0:c r="N271" s="13">
        <ns0:f>Catalog_100!K91</ns0:f>
        <ns0:v>46329.0</ns0:v>
      </ns0:c>
      <ns0:c r="O271" s="13">
        <ns0:f>Catalog_100!L91</ns0:f>
        <ns0:v>46331.0</ns0:v>
      </ns0:c>
      <ns0:c r="P271" s="13">
        <ns0:f>Catalog_100!M91</ns0:f>
        <ns0:v>46333.0</ns0:v>
      </ns0:c>
      <ns0:c r="Q271" s="11" t="inlineStr"/>
      <ns0:c r="R271" s="10" t="inlineStr"/>
      <ns0:c r="S271" s="11" t="inlineStr"/>
      <ns0:c r="T271" s="11" t="inlineStr"/>
      <ns0:c r="U271" s="11" t="inlineStr"/>
      <ns0:c r="V271" s="11" t="inlineStr">
        <ns0:is>
          <ns0:t>Neconfirmat</ns0:t>
        </ns0:is>
      </ns0:c>
      <ns0:c r="W271" s="11" t="inlineStr">
        <ns0:is>
          <ns0:t>Fără ediție finală confirmată</ns0:t>
        </ns0:is>
      </ns0:c>
      <ns0:c r="X271" s="7">
        <ns0:f>IF(AND(J271="Publicat",Q271&lt;&gt;"",ISNUMBER(R271),S271&lt;&gt;"",U271&lt;&gt;"",V271="Confirmat"),1,0)</ns0:f>
        <ns0:v>0</ns0:v>
      </ns0:c>
    </ns0:row>
    <ns0:row r="272" ht="46" customHeight="1">
      <ns0:c r="A272" s="7" t="inlineStr">
        <ns0:is>
          <ns0:t>DB-091-EN</ns0:t>
        </ns0:is>
      </ns0:c>
      <ns0:c r="B272" s="7" t="inlineStr">
        <ns0:is>
          <ns0:t>DB-091</ns0:t>
        </ns0:is>
      </ns0:c>
      <ns0:c r="C272" s="7" t="inlineStr">
        <ns0:is>
          <ns0:t>AURORA</ns0:t>
        </ns0:is>
      </ns0:c>
      <ns0:c r="D272" s="7" t="inlineStr">
        <ns0:is>
          <ns0:t>Ciclul Aurora</ns0:t>
        </ns0:is>
      </ns0:c>
      <ns0:c r="E272" s="8" t="n">
        <ns0:v>1</ns0:v>
      </ns0:c>
      <ns0:c r="F272" s="7" t="inlineStr">
        <ns0:is>
          <ns0:t>The First Light</ns0:t>
        </ns0:is>
      </ns0:c>
      <ns0:c r="G272" s="7" t="inlineStr">
        <ns0:is>
          <ns0:t>EN</ns0:t>
        </ns0:is>
      </ns0:c>
      <ns0:c r="H272" s="7" t="inlineStr">
        <ns0:is>
          <ns0:t>EN</ns0:t>
        </ns0:is>
      </ns0:c>
      <ns0:c r="I272" s="7" t="inlineStr">
        <ns0:is>
          <ns0:t>Editare fond</ns0:t>
        </ns0:is>
      </ns0:c>
      <ns0:c r="J272" s="11" t="inlineStr">
        <ns0:is>
          <ns0:t>Manuscris existent</ns0:t>
        </ns0:is>
      </ns0:c>
      <ns0:c r="K272" s="11" t="inlineStr">
        <ns0:is>
          <ns0:t>De desemnat</ns0:t>
        </ns0:is>
      </ns0:c>
      <ns0:c r="L272" s="8">
        <ns0:f>Catalog_100!I92</ns0:f>
        <ns0:v>90000</ns0:v>
      </ns0:c>
      <ns0:c r="M272" s="13">
        <ns0:f>Catalog_100!J92</ns0:f>
        <ns0:v>46305.0</ns0:v>
      </ns0:c>
      <ns0:c r="N272" s="13">
        <ns0:f>Catalog_100!K92</ns0:f>
        <ns0:v>46315.0</ns0:v>
      </ns0:c>
      <ns0:c r="O272" s="13">
        <ns0:f>Catalog_100!L92</ns0:f>
        <ns0:v>46317.0</ns0:v>
      </ns0:c>
      <ns0:c r="P272" s="13">
        <ns0:f>Catalog_100!M92</ns0:f>
        <ns0:v>46319.0</ns0:v>
      </ns0:c>
      <ns0:c r="Q272" s="11" t="inlineStr"/>
      <ns0:c r="R272" s="10" t="inlineStr"/>
      <ns0:c r="S272" s="11" t="inlineStr"/>
      <ns0:c r="T272" s="11" t="inlineStr"/>
      <ns0:c r="U272" s="11" t="inlineStr"/>
      <ns0:c r="V272" s="11" t="inlineStr">
        <ns0:is>
          <ns0:t>Neconfirmat</ns0:t>
        </ns0:is>
      </ns0:c>
      <ns0:c r="W272" s="11" t="inlineStr">
        <ns0:is>
          <ns0:t>V2 circa 193,8k brute; reducere țintită propusă; metanote de proces în text.</ns0:t>
        </ns0:is>
      </ns0:c>
      <ns0:c r="X272" s="7">
        <ns0:f>IF(AND(J272="Publicat",Q272&lt;&gt;"",ISNUMBER(R272),S272&lt;&gt;"",U272&lt;&gt;"",V272="Confirmat"),1,0)</ns0:f>
        <ns0:v>0</ns0:v>
      </ns0:c>
    </ns0:row>
    <ns0:row r="273" ht="46" customHeight="1">
      <ns0:c r="A273" s="7" t="inlineStr">
        <ns0:is>
          <ns0:t>DB-091-RO</ns0:t>
        </ns0:is>
      </ns0:c>
      <ns0:c r="B273" s="7" t="inlineStr">
        <ns0:is>
          <ns0:t>DB-091</ns0:t>
        </ns0:is>
      </ns0:c>
      <ns0:c r="C273" s="7" t="inlineStr">
        <ns0:is>
          <ns0:t>AURORA</ns0:t>
        </ns0:is>
      </ns0:c>
      <ns0:c r="D273" s="7" t="inlineStr">
        <ns0:is>
          <ns0:t>Ciclul Aurora</ns0:t>
        </ns0:is>
      </ns0:c>
      <ns0:c r="E273" s="8" t="n">
        <ns0:v>1</ns0:v>
      </ns0:c>
      <ns0:c r="F273" s="7" t="inlineStr">
        <ns0:is>
          <ns0:t>The First Light</ns0:t>
        </ns0:is>
      </ns0:c>
      <ns0:c r="G273" s="7" t="inlineStr">
        <ns0:is>
          <ns0:t>RO</ns0:t>
        </ns0:is>
      </ns0:c>
      <ns0:c r="H273" s="7" t="inlineStr">
        <ns0:is>
          <ns0:t>EN</ns0:t>
        </ns0:is>
      </ns0:c>
      <ns0:c r="I273" s="7" t="inlineStr">
        <ns0:is>
          <ns0:t>Traducere EN→RO</ns0:t>
        </ns0:is>
      </ns0:c>
      <ns0:c r="J273" s="11" t="inlineStr">
        <ns0:is>
          <ns0:t>Planificat</ns0:t>
        </ns0:is>
      </ns0:c>
      <ns0:c r="K273" s="11" t="inlineStr">
        <ns0:is>
          <ns0:t>De desemnat</ns0:t>
        </ns0:is>
      </ns0:c>
      <ns0:c r="L273" s="8">
        <ns0:f>Catalog_100!I92</ns0:f>
        <ns0:v>90000</ns0:v>
      </ns0:c>
      <ns0:c r="M273" s="13">
        <ns0:f>Catalog_100!J92</ns0:f>
        <ns0:v>46305.0</ns0:v>
      </ns0:c>
      <ns0:c r="N273" s="13">
        <ns0:f>Catalog_100!K92</ns0:f>
        <ns0:v>46315.0</ns0:v>
      </ns0:c>
      <ns0:c r="O273" s="13">
        <ns0:f>Catalog_100!L92</ns0:f>
        <ns0:v>46317.0</ns0:v>
      </ns0:c>
      <ns0:c r="P273" s="13">
        <ns0:f>Catalog_100!M92</ns0:f>
        <ns0:v>46319.0</ns0:v>
      </ns0:c>
      <ns0:c r="Q273" s="11" t="inlineStr"/>
      <ns0:c r="R273" s="10" t="inlineStr"/>
      <ns0:c r="S273" s="11" t="inlineStr"/>
      <ns0:c r="T273" s="11" t="inlineStr"/>
      <ns0:c r="U273" s="11" t="inlineStr"/>
      <ns0:c r="V273" s="11" t="inlineStr">
        <ns0:is>
          <ns0:t>Neconfirmat</ns0:t>
        </ns0:is>
      </ns0:c>
      <ns0:c r="W273" s="11" t="inlineStr">
        <ns0:is>
          <ns0:t>Fără ediție finală confirmată</ns0:t>
        </ns0:is>
      </ns0:c>
      <ns0:c r="X273" s="7">
        <ns0:f>IF(AND(J273="Publicat",Q273&lt;&gt;"",ISNUMBER(R273),S273&lt;&gt;"",U273&lt;&gt;"",V273="Confirmat"),1,0)</ns0:f>
        <ns0:v>0</ns0:v>
      </ns0:c>
    </ns0:row>
    <ns0:row r="274" ht="46" customHeight="1">
      <ns0:c r="A274" s="7" t="inlineStr">
        <ns0:is>
          <ns0:t>DB-091-DE</ns0:t>
        </ns0:is>
      </ns0:c>
      <ns0:c r="B274" s="7" t="inlineStr">
        <ns0:is>
          <ns0:t>DB-091</ns0:t>
        </ns0:is>
      </ns0:c>
      <ns0:c r="C274" s="7" t="inlineStr">
        <ns0:is>
          <ns0:t>AURORA</ns0:t>
        </ns0:is>
      </ns0:c>
      <ns0:c r="D274" s="7" t="inlineStr">
        <ns0:is>
          <ns0:t>Ciclul Aurora</ns0:t>
        </ns0:is>
      </ns0:c>
      <ns0:c r="E274" s="8" t="n">
        <ns0:v>1</ns0:v>
      </ns0:c>
      <ns0:c r="F274" s="7" t="inlineStr">
        <ns0:is>
          <ns0:t>The First Light</ns0:t>
        </ns0:is>
      </ns0:c>
      <ns0:c r="G274" s="7" t="inlineStr">
        <ns0:is>
          <ns0:t>DE</ns0:t>
        </ns0:is>
      </ns0:c>
      <ns0:c r="H274" s="7" t="inlineStr">
        <ns0:is>
          <ns0:t>EN</ns0:t>
        </ns0:is>
      </ns0:c>
      <ns0:c r="I274" s="7" t="inlineStr">
        <ns0:is>
          <ns0:t>Traducere EN→DE</ns0:t>
        </ns0:is>
      </ns0:c>
      <ns0:c r="J274" s="11" t="inlineStr">
        <ns0:is>
          <ns0:t>Planificat</ns0:t>
        </ns0:is>
      </ns0:c>
      <ns0:c r="K274" s="11" t="inlineStr">
        <ns0:is>
          <ns0:t>De desemnat</ns0:t>
        </ns0:is>
      </ns0:c>
      <ns0:c r="L274" s="8">
        <ns0:f>Catalog_100!I92</ns0:f>
        <ns0:v>90000</ns0:v>
      </ns0:c>
      <ns0:c r="M274" s="13">
        <ns0:f>Catalog_100!J92</ns0:f>
        <ns0:v>46305.0</ns0:v>
      </ns0:c>
      <ns0:c r="N274" s="13">
        <ns0:f>Catalog_100!K92</ns0:f>
        <ns0:v>46315.0</ns0:v>
      </ns0:c>
      <ns0:c r="O274" s="13">
        <ns0:f>Catalog_100!L92</ns0:f>
        <ns0:v>46317.0</ns0:v>
      </ns0:c>
      <ns0:c r="P274" s="13">
        <ns0:f>Catalog_100!M92</ns0:f>
        <ns0:v>46319.0</ns0:v>
      </ns0:c>
      <ns0:c r="Q274" s="11" t="inlineStr"/>
      <ns0:c r="R274" s="10" t="inlineStr"/>
      <ns0:c r="S274" s="11" t="inlineStr"/>
      <ns0:c r="T274" s="11" t="inlineStr"/>
      <ns0:c r="U274" s="11" t="inlineStr"/>
      <ns0:c r="V274" s="11" t="inlineStr">
        <ns0:is>
          <ns0:t>Neconfirmat</ns0:t>
        </ns0:is>
      </ns0:c>
      <ns0:c r="W274" s="11" t="inlineStr">
        <ns0:is>
          <ns0:t>Fără ediție finală confirmată</ns0:t>
        </ns0:is>
      </ns0:c>
      <ns0:c r="X274" s="7">
        <ns0:f>IF(AND(J274="Publicat",Q274&lt;&gt;"",ISNUMBER(R274),S274&lt;&gt;"",U274&lt;&gt;"",V274="Confirmat"),1,0)</ns0:f>
        <ns0:v>0</ns0:v>
      </ns0:c>
    </ns0:row>
    <ns0:row r="275" ht="46" customHeight="1">
      <ns0:c r="A275" s="7" t="inlineStr">
        <ns0:is>
          <ns0:t>DB-092-EN</ns0:t>
        </ns0:is>
      </ns0:c>
      <ns0:c r="B275" s="7" t="inlineStr">
        <ns0:is>
          <ns0:t>DB-092</ns0:t>
        </ns0:is>
      </ns0:c>
      <ns0:c r="C275" s="7" t="inlineStr">
        <ns0:is>
          <ns0:t>AURORA</ns0:t>
        </ns0:is>
      </ns0:c>
      <ns0:c r="D275" s="7" t="inlineStr">
        <ns0:is>
          <ns0:t>Ciclul Aurora</ns0:t>
        </ns0:is>
      </ns0:c>
      <ns0:c r="E275" s="8" t="n">
        <ns0:v>2</ns0:v>
      </ns0:c>
      <ns0:c r="F275" s="7" t="inlineStr">
        <ns0:is>
          <ns0:t>We Meet at Sunrise</ns0:t>
        </ns0:is>
      </ns0:c>
      <ns0:c r="G275" s="7" t="inlineStr">
        <ns0:is>
          <ns0:t>EN</ns0:t>
        </ns0:is>
      </ns0:c>
      <ns0:c r="H275" s="7" t="inlineStr">
        <ns0:is>
          <ns0:t>EN</ns0:t>
        </ns0:is>
      </ns0:c>
      <ns0:c r="I275" s="7" t="inlineStr">
        <ns0:is>
          <ns0:t>Editare fond</ns0:t>
        </ns0:is>
      </ns0:c>
      <ns0:c r="J275" s="11" t="inlineStr">
        <ns0:is>
          <ns0:t>Manuscris existent</ns0:t>
        </ns0:is>
      </ns0:c>
      <ns0:c r="K275" s="11" t="inlineStr">
        <ns0:is>
          <ns0:t>De desemnat</ns0:t>
        </ns0:is>
      </ns0:c>
      <ns0:c r="L275" s="8">
        <ns0:f>Catalog_100!I93</ns0:f>
        <ns0:v>75000</ns0:v>
      </ns0:c>
      <ns0:c r="M275" s="13">
        <ns0:f>Catalog_100!J93</ns0:f>
        <ns0:v>46305.0</ns0:v>
      </ns0:c>
      <ns0:c r="N275" s="13">
        <ns0:f>Catalog_100!K93</ns0:f>
        <ns0:v>46315.0</ns0:v>
      </ns0:c>
      <ns0:c r="O275" s="13">
        <ns0:f>Catalog_100!L93</ns0:f>
        <ns0:v>46317.0</ns0:v>
      </ns0:c>
      <ns0:c r="P275" s="13">
        <ns0:f>Catalog_100!M93</ns0:f>
        <ns0:v>46319.0</ns0:v>
      </ns0:c>
      <ns0:c r="Q275" s="11" t="inlineStr"/>
      <ns0:c r="R275" s="10" t="inlineStr"/>
      <ns0:c r="S275" s="11" t="inlineStr"/>
      <ns0:c r="T275" s="11" t="inlineStr"/>
      <ns0:c r="U275" s="11" t="inlineStr"/>
      <ns0:c r="V275" s="11" t="inlineStr">
        <ns0:is>
          <ns0:t>Neconfirmat</ns0:t>
        </ns0:is>
      </ns0:c>
      <ns0:c r="W275" s="11" t="inlineStr">
        <ns0:is>
          <ns0:t>V1 circa 33,7k, V2 circa 86,5k; schimbare majoră, de ales master după lectură comparată.</ns0:t>
        </ns0:is>
      </ns0:c>
      <ns0:c r="X275" s="7">
        <ns0:f>IF(AND(J275="Publicat",Q275&lt;&gt;"",ISNUMBER(R275),S275&lt;&gt;"",U275&lt;&gt;"",V275="Confirmat"),1,0)</ns0:f>
        <ns0:v>0</ns0:v>
      </ns0:c>
    </ns0:row>
    <ns0:row r="276" ht="46" customHeight="1">
      <ns0:c r="A276" s="7" t="inlineStr">
        <ns0:is>
          <ns0:t>DB-092-RO</ns0:t>
        </ns0:is>
      </ns0:c>
      <ns0:c r="B276" s="7" t="inlineStr">
        <ns0:is>
          <ns0:t>DB-092</ns0:t>
        </ns0:is>
      </ns0:c>
      <ns0:c r="C276" s="7" t="inlineStr">
        <ns0:is>
          <ns0:t>AURORA</ns0:t>
        </ns0:is>
      </ns0:c>
      <ns0:c r="D276" s="7" t="inlineStr">
        <ns0:is>
          <ns0:t>Ciclul Aurora</ns0:t>
        </ns0:is>
      </ns0:c>
      <ns0:c r="E276" s="8" t="n">
        <ns0:v>2</ns0:v>
      </ns0:c>
      <ns0:c r="F276" s="7" t="inlineStr">
        <ns0:is>
          <ns0:t>We Meet at Sunrise</ns0:t>
        </ns0:is>
      </ns0:c>
      <ns0:c r="G276" s="7" t="inlineStr">
        <ns0:is>
          <ns0:t>RO</ns0:t>
        </ns0:is>
      </ns0:c>
      <ns0:c r="H276" s="7" t="inlineStr">
        <ns0:is>
          <ns0:t>EN</ns0:t>
        </ns0:is>
      </ns0:c>
      <ns0:c r="I276" s="7" t="inlineStr">
        <ns0:is>
          <ns0:t>Traducere EN→RO</ns0:t>
        </ns0:is>
      </ns0:c>
      <ns0:c r="J276" s="11" t="inlineStr">
        <ns0:is>
          <ns0:t>Planificat</ns0:t>
        </ns0:is>
      </ns0:c>
      <ns0:c r="K276" s="11" t="inlineStr">
        <ns0:is>
          <ns0:t>De desemnat</ns0:t>
        </ns0:is>
      </ns0:c>
      <ns0:c r="L276" s="8">
        <ns0:f>Catalog_100!I93</ns0:f>
        <ns0:v>75000</ns0:v>
      </ns0:c>
      <ns0:c r="M276" s="13">
        <ns0:f>Catalog_100!J93</ns0:f>
        <ns0:v>46305.0</ns0:v>
      </ns0:c>
      <ns0:c r="N276" s="13">
        <ns0:f>Catalog_100!K93</ns0:f>
        <ns0:v>46315.0</ns0:v>
      </ns0:c>
      <ns0:c r="O276" s="13">
        <ns0:f>Catalog_100!L93</ns0:f>
        <ns0:v>46317.0</ns0:v>
      </ns0:c>
      <ns0:c r="P276" s="13">
        <ns0:f>Catalog_100!M93</ns0:f>
        <ns0:v>46319.0</ns0:v>
      </ns0:c>
      <ns0:c r="Q276" s="11" t="inlineStr"/>
      <ns0:c r="R276" s="10" t="inlineStr"/>
      <ns0:c r="S276" s="11" t="inlineStr"/>
      <ns0:c r="T276" s="11" t="inlineStr"/>
      <ns0:c r="U276" s="11" t="inlineStr"/>
      <ns0:c r="V276" s="11" t="inlineStr">
        <ns0:is>
          <ns0:t>Neconfirmat</ns0:t>
        </ns0:is>
      </ns0:c>
      <ns0:c r="W276" s="11" t="inlineStr">
        <ns0:is>
          <ns0:t>Fără ediție finală confirmată</ns0:t>
        </ns0:is>
      </ns0:c>
      <ns0:c r="X276" s="7">
        <ns0:f>IF(AND(J276="Publicat",Q276&lt;&gt;"",ISNUMBER(R276),S276&lt;&gt;"",U276&lt;&gt;"",V276="Confirmat"),1,0)</ns0:f>
        <ns0:v>0</ns0:v>
      </ns0:c>
    </ns0:row>
    <ns0:row r="277" ht="46" customHeight="1">
      <ns0:c r="A277" s="7" t="inlineStr">
        <ns0:is>
          <ns0:t>DB-092-DE</ns0:t>
        </ns0:is>
      </ns0:c>
      <ns0:c r="B277" s="7" t="inlineStr">
        <ns0:is>
          <ns0:t>DB-092</ns0:t>
        </ns0:is>
      </ns0:c>
      <ns0:c r="C277" s="7" t="inlineStr">
        <ns0:is>
          <ns0:t>AURORA</ns0:t>
        </ns0:is>
      </ns0:c>
      <ns0:c r="D277" s="7" t="inlineStr">
        <ns0:is>
          <ns0:t>Ciclul Aurora</ns0:t>
        </ns0:is>
      </ns0:c>
      <ns0:c r="E277" s="8" t="n">
        <ns0:v>2</ns0:v>
      </ns0:c>
      <ns0:c r="F277" s="7" t="inlineStr">
        <ns0:is>
          <ns0:t>We Meet at Sunrise</ns0:t>
        </ns0:is>
      </ns0:c>
      <ns0:c r="G277" s="7" t="inlineStr">
        <ns0:is>
          <ns0:t>DE</ns0:t>
        </ns0:is>
      </ns0:c>
      <ns0:c r="H277" s="7" t="inlineStr">
        <ns0:is>
          <ns0:t>EN</ns0:t>
        </ns0:is>
      </ns0:c>
      <ns0:c r="I277" s="7" t="inlineStr">
        <ns0:is>
          <ns0:t>Traducere EN→DE</ns0:t>
        </ns0:is>
      </ns0:c>
      <ns0:c r="J277" s="11" t="inlineStr">
        <ns0:is>
          <ns0:t>Planificat</ns0:t>
        </ns0:is>
      </ns0:c>
      <ns0:c r="K277" s="11" t="inlineStr">
        <ns0:is>
          <ns0:t>De desemnat</ns0:t>
        </ns0:is>
      </ns0:c>
      <ns0:c r="L277" s="8">
        <ns0:f>Catalog_100!I93</ns0:f>
        <ns0:v>75000</ns0:v>
      </ns0:c>
      <ns0:c r="M277" s="13">
        <ns0:f>Catalog_100!J93</ns0:f>
        <ns0:v>46305.0</ns0:v>
      </ns0:c>
      <ns0:c r="N277" s="13">
        <ns0:f>Catalog_100!K93</ns0:f>
        <ns0:v>46315.0</ns0:v>
      </ns0:c>
      <ns0:c r="O277" s="13">
        <ns0:f>Catalog_100!L93</ns0:f>
        <ns0:v>46317.0</ns0:v>
      </ns0:c>
      <ns0:c r="P277" s="13">
        <ns0:f>Catalog_100!M93</ns0:f>
        <ns0:v>46319.0</ns0:v>
      </ns0:c>
      <ns0:c r="Q277" s="11" t="inlineStr"/>
      <ns0:c r="R277" s="10" t="inlineStr"/>
      <ns0:c r="S277" s="11" t="inlineStr"/>
      <ns0:c r="T277" s="11" t="inlineStr"/>
      <ns0:c r="U277" s="11" t="inlineStr"/>
      <ns0:c r="V277" s="11" t="inlineStr">
        <ns0:is>
          <ns0:t>Neconfirmat</ns0:t>
        </ns0:is>
      </ns0:c>
      <ns0:c r="W277" s="11" t="inlineStr">
        <ns0:is>
          <ns0:t>Fără ediție finală confirmată</ns0:t>
        </ns0:is>
      </ns0:c>
      <ns0:c r="X277" s="7">
        <ns0:f>IF(AND(J277="Publicat",Q277&lt;&gt;"",ISNUMBER(R277),S277&lt;&gt;"",U277&lt;&gt;"",V277="Confirmat"),1,0)</ns0:f>
        <ns0:v>0</ns0:v>
      </ns0:c>
    </ns0:row>
    <ns0:row r="278" ht="46" customHeight="1">
      <ns0:c r="A278" s="7" t="inlineStr">
        <ns0:is>
          <ns0:t>DB-093-EN</ns0:t>
        </ns0:is>
      </ns0:c>
      <ns0:c r="B278" s="7" t="inlineStr">
        <ns0:is>
          <ns0:t>DB-093</ns0:t>
        </ns0:is>
      </ns0:c>
      <ns0:c r="C278" s="7" t="inlineStr">
        <ns0:is>
          <ns0:t>AURORA</ns0:t>
        </ns0:is>
      </ns0:c>
      <ns0:c r="D278" s="7" t="inlineStr">
        <ns0:is>
          <ns0:t>Ciclul Aurora</ns0:t>
        </ns0:is>
      </ns0:c>
      <ns0:c r="E278" s="8" t="n">
        <ns0:v>3</ns0:v>
      </ns0:c>
      <ns0:c r="F278" s="7" t="inlineStr">
        <ns0:is>
          <ns0:t>The Atlas of Tomorrow</ns0:t>
        </ns0:is>
      </ns0:c>
      <ns0:c r="G278" s="7" t="inlineStr">
        <ns0:is>
          <ns0:t>EN</ns0:t>
        </ns0:is>
      </ns0:c>
      <ns0:c r="H278" s="7" t="inlineStr">
        <ns0:is>
          <ns0:t>EN</ns0:t>
        </ns0:is>
      </ns0:c>
      <ns0:c r="I278" s="7" t="inlineStr">
        <ns0:is>
          <ns0:t>Editare fond</ns0:t>
        </ns0:is>
      </ns0:c>
      <ns0:c r="J278" s="11" t="inlineStr">
        <ns0:is>
          <ns0:t>Manuscris existent</ns0:t>
        </ns0:is>
      </ns0:c>
      <ns0:c r="K278" s="11" t="inlineStr">
        <ns0:is>
          <ns0:t>De desemnat</ns0:t>
        </ns0:is>
      </ns0:c>
      <ns0:c r="L278" s="8">
        <ns0:f>Catalog_100!I94</ns0:f>
        <ns0:v>30000</ns0:v>
      </ns0:c>
      <ns0:c r="M278" s="13">
        <ns0:f>Catalog_100!J94</ns0:f>
        <ns0:v>46305.0</ns0:v>
      </ns0:c>
      <ns0:c r="N278" s="13">
        <ns0:f>Catalog_100!K94</ns0:f>
        <ns0:v>46315.0</ns0:v>
      </ns0:c>
      <ns0:c r="O278" s="13">
        <ns0:f>Catalog_100!L94</ns0:f>
        <ns0:v>46317.0</ns0:v>
      </ns0:c>
      <ns0:c r="P278" s="13">
        <ns0:f>Catalog_100!M94</ns0:f>
        <ns0:v>46319.0</ns0:v>
      </ns0:c>
      <ns0:c r="Q278" s="11" t="inlineStr"/>
      <ns0:c r="R278" s="10" t="inlineStr"/>
      <ns0:c r="S278" s="11" t="inlineStr"/>
      <ns0:c r="T278" s="11" t="inlineStr"/>
      <ns0:c r="U278" s="11" t="inlineStr"/>
      <ns0:c r="V278" s="11" t="inlineStr">
        <ns0:is>
          <ns0:t>Neconfirmat</ns0:t>
        </ns0:is>
      </ns0:c>
      <ns0:c r="W278" s="11" t="inlineStr">
        <ns0:is>
          <ns0:t>Circa 13k, 15 capitole; interior CV for a Dreamer; nu este roman lung.</ns0:t>
        </ns0:is>
      </ns0:c>
      <ns0:c r="X278" s="7">
        <ns0:f>IF(AND(J278="Publicat",Q278&lt;&gt;"",ISNUMBER(R278),S278&lt;&gt;"",U278&lt;&gt;"",V278="Confirmat"),1,0)</ns0:f>
        <ns0:v>0</ns0:v>
      </ns0:c>
    </ns0:row>
    <ns0:row r="279" ht="46" customHeight="1">
      <ns0:c r="A279" s="7" t="inlineStr">
        <ns0:is>
          <ns0:t>DB-093-RO</ns0:t>
        </ns0:is>
      </ns0:c>
      <ns0:c r="B279" s="7" t="inlineStr">
        <ns0:is>
          <ns0:t>DB-093</ns0:t>
        </ns0:is>
      </ns0:c>
      <ns0:c r="C279" s="7" t="inlineStr">
        <ns0:is>
          <ns0:t>AURORA</ns0:t>
        </ns0:is>
      </ns0:c>
      <ns0:c r="D279" s="7" t="inlineStr">
        <ns0:is>
          <ns0:t>Ciclul Aurora</ns0:t>
        </ns0:is>
      </ns0:c>
      <ns0:c r="E279" s="8" t="n">
        <ns0:v>3</ns0:v>
      </ns0:c>
      <ns0:c r="F279" s="7" t="inlineStr">
        <ns0:is>
          <ns0:t>The Atlas of Tomorrow</ns0:t>
        </ns0:is>
      </ns0:c>
      <ns0:c r="G279" s="7" t="inlineStr">
        <ns0:is>
          <ns0:t>RO</ns0:t>
        </ns0:is>
      </ns0:c>
      <ns0:c r="H279" s="7" t="inlineStr">
        <ns0:is>
          <ns0:t>EN</ns0:t>
        </ns0:is>
      </ns0:c>
      <ns0:c r="I279" s="7" t="inlineStr">
        <ns0:is>
          <ns0:t>Traducere EN→RO</ns0:t>
        </ns0:is>
      </ns0:c>
      <ns0:c r="J279" s="11" t="inlineStr">
        <ns0:is>
          <ns0:t>Planificat</ns0:t>
        </ns0:is>
      </ns0:c>
      <ns0:c r="K279" s="11" t="inlineStr">
        <ns0:is>
          <ns0:t>De desemnat</ns0:t>
        </ns0:is>
      </ns0:c>
      <ns0:c r="L279" s="8">
        <ns0:f>Catalog_100!I94</ns0:f>
        <ns0:v>30000</ns0:v>
      </ns0:c>
      <ns0:c r="M279" s="13">
        <ns0:f>Catalog_100!J94</ns0:f>
        <ns0:v>46305.0</ns0:v>
      </ns0:c>
      <ns0:c r="N279" s="13">
        <ns0:f>Catalog_100!K94</ns0:f>
        <ns0:v>46315.0</ns0:v>
      </ns0:c>
      <ns0:c r="O279" s="13">
        <ns0:f>Catalog_100!L94</ns0:f>
        <ns0:v>46317.0</ns0:v>
      </ns0:c>
      <ns0:c r="P279" s="13">
        <ns0:f>Catalog_100!M94</ns0:f>
        <ns0:v>46319.0</ns0:v>
      </ns0:c>
      <ns0:c r="Q279" s="11" t="inlineStr"/>
      <ns0:c r="R279" s="10" t="inlineStr"/>
      <ns0:c r="S279" s="11" t="inlineStr"/>
      <ns0:c r="T279" s="11" t="inlineStr"/>
      <ns0:c r="U279" s="11" t="inlineStr"/>
      <ns0:c r="V279" s="11" t="inlineStr">
        <ns0:is>
          <ns0:t>Neconfirmat</ns0:t>
        </ns0:is>
      </ns0:c>
      <ns0:c r="W279" s="11" t="inlineStr">
        <ns0:is>
          <ns0:t>Fără ediție finală confirmată</ns0:t>
        </ns0:is>
      </ns0:c>
      <ns0:c r="X279" s="7">
        <ns0:f>IF(AND(J279="Publicat",Q279&lt;&gt;"",ISNUMBER(R279),S279&lt;&gt;"",U279&lt;&gt;"",V279="Confirmat"),1,0)</ns0:f>
        <ns0:v>0</ns0:v>
      </ns0:c>
    </ns0:row>
    <ns0:row r="280" ht="46" customHeight="1">
      <ns0:c r="A280" s="7" t="inlineStr">
        <ns0:is>
          <ns0:t>DB-093-DE</ns0:t>
        </ns0:is>
      </ns0:c>
      <ns0:c r="B280" s="7" t="inlineStr">
        <ns0:is>
          <ns0:t>DB-093</ns0:t>
        </ns0:is>
      </ns0:c>
      <ns0:c r="C280" s="7" t="inlineStr">
        <ns0:is>
          <ns0:t>AURORA</ns0:t>
        </ns0:is>
      </ns0:c>
      <ns0:c r="D280" s="7" t="inlineStr">
        <ns0:is>
          <ns0:t>Ciclul Aurora</ns0:t>
        </ns0:is>
      </ns0:c>
      <ns0:c r="E280" s="8" t="n">
        <ns0:v>3</ns0:v>
      </ns0:c>
      <ns0:c r="F280" s="7" t="inlineStr">
        <ns0:is>
          <ns0:t>The Atlas of Tomorrow</ns0:t>
        </ns0:is>
      </ns0:c>
      <ns0:c r="G280" s="7" t="inlineStr">
        <ns0:is>
          <ns0:t>DE</ns0:t>
        </ns0:is>
      </ns0:c>
      <ns0:c r="H280" s="7" t="inlineStr">
        <ns0:is>
          <ns0:t>EN</ns0:t>
        </ns0:is>
      </ns0:c>
      <ns0:c r="I280" s="7" t="inlineStr">
        <ns0:is>
          <ns0:t>Traducere EN→DE</ns0:t>
        </ns0:is>
      </ns0:c>
      <ns0:c r="J280" s="11" t="inlineStr">
        <ns0:is>
          <ns0:t>Planificat</ns0:t>
        </ns0:is>
      </ns0:c>
      <ns0:c r="K280" s="11" t="inlineStr">
        <ns0:is>
          <ns0:t>De desemnat</ns0:t>
        </ns0:is>
      </ns0:c>
      <ns0:c r="L280" s="8">
        <ns0:f>Catalog_100!I94</ns0:f>
        <ns0:v>30000</ns0:v>
      </ns0:c>
      <ns0:c r="M280" s="13">
        <ns0:f>Catalog_100!J94</ns0:f>
        <ns0:v>46305.0</ns0:v>
      </ns0:c>
      <ns0:c r="N280" s="13">
        <ns0:f>Catalog_100!K94</ns0:f>
        <ns0:v>46315.0</ns0:v>
      </ns0:c>
      <ns0:c r="O280" s="13">
        <ns0:f>Catalog_100!L94</ns0:f>
        <ns0:v>46317.0</ns0:v>
      </ns0:c>
      <ns0:c r="P280" s="13">
        <ns0:f>Catalog_100!M94</ns0:f>
        <ns0:v>46319.0</ns0:v>
      </ns0:c>
      <ns0:c r="Q280" s="11" t="inlineStr"/>
      <ns0:c r="R280" s="10" t="inlineStr"/>
      <ns0:c r="S280" s="11" t="inlineStr"/>
      <ns0:c r="T280" s="11" t="inlineStr"/>
      <ns0:c r="U280" s="11" t="inlineStr"/>
      <ns0:c r="V280" s="11" t="inlineStr">
        <ns0:is>
          <ns0:t>Neconfirmat</ns0:t>
        </ns0:is>
      </ns0:c>
      <ns0:c r="W280" s="11" t="inlineStr">
        <ns0:is>
          <ns0:t>Fără ediție finală confirmată</ns0:t>
        </ns0:is>
      </ns0:c>
      <ns0:c r="X280" s="7">
        <ns0:f>IF(AND(J280="Publicat",Q280&lt;&gt;"",ISNUMBER(R280),S280&lt;&gt;"",U280&lt;&gt;"",V280="Confirmat"),1,0)</ns0:f>
        <ns0:v>0</ns0:v>
      </ns0:c>
    </ns0:row>
    <ns0:row r="281" ht="46" customHeight="1">
      <ns0:c r="A281" s="7" t="inlineStr">
        <ns0:is>
          <ns0:t>DB-094-EN</ns0:t>
        </ns0:is>
      </ns0:c>
      <ns0:c r="B281" s="7" t="inlineStr">
        <ns0:is>
          <ns0:t>DB-094</ns0:t>
        </ns0:is>
      </ns0:c>
      <ns0:c r="C281" s="7" t="inlineStr">
        <ns0:is>
          <ns0:t>AURORA</ns0:t>
        </ns0:is>
      </ns0:c>
      <ns0:c r="D281" s="7" t="inlineStr">
        <ns0:is>
          <ns0:t>Ciclul Aurora</ns0:t>
        </ns0:is>
      </ns0:c>
      <ns0:c r="E281" s="8" t="n">
        <ns0:v>4</ns0:v>
      </ns0:c>
      <ns0:c r="F281" s="7" t="inlineStr">
        <ns0:is>
          <ns0:t>Between Two Addresses</ns0:t>
        </ns0:is>
      </ns0:c>
      <ns0:c r="G281" s="7" t="inlineStr">
        <ns0:is>
          <ns0:t>EN</ns0:t>
        </ns0:is>
      </ns0:c>
      <ns0:c r="H281" s="7" t="inlineStr">
        <ns0:is>
          <ns0:t>EN</ns0:t>
        </ns0:is>
      </ns0:c>
      <ns0:c r="I281" s="7" t="inlineStr">
        <ns0:is>
          <ns0:t>Editare fond</ns0:t>
        </ns0:is>
      </ns0:c>
      <ns0:c r="J281" s="11" t="inlineStr">
        <ns0:is>
          <ns0:t>Manuscris existent</ns0:t>
        </ns0:is>
      </ns0:c>
      <ns0:c r="K281" s="11" t="inlineStr">
        <ns0:is>
          <ns0:t>De desemnat</ns0:t>
        </ns0:is>
      </ns0:c>
      <ns0:c r="L281" s="8">
        <ns0:f>Catalog_100!I95</ns0:f>
        <ns0:v>28000</ns0:v>
      </ns0:c>
      <ns0:c r="M281" s="13">
        <ns0:f>Catalog_100!J95</ns0:f>
        <ns0:v>46298.0</ns0:v>
      </ns0:c>
      <ns0:c r="N281" s="13">
        <ns0:f>Catalog_100!K95</ns0:f>
        <ns0:v>46301.0</ns0:v>
      </ns0:c>
      <ns0:c r="O281" s="13">
        <ns0:f>Catalog_100!L95</ns0:f>
        <ns0:v>46303.0</ns0:v>
      </ns0:c>
      <ns0:c r="P281" s="13">
        <ns0:f>Catalog_100!M95</ns0:f>
        <ns0:v>46305.0</ns0:v>
      </ns0:c>
      <ns0:c r="Q281" s="11" t="inlineStr"/>
      <ns0:c r="R281" s="10" t="inlineStr"/>
      <ns0:c r="S281" s="11" t="inlineStr"/>
      <ns0:c r="T281" s="11" t="inlineStr"/>
      <ns0:c r="U281" s="11" t="inlineStr"/>
      <ns0:c r="V281" s="11" t="inlineStr">
        <ns0:is>
          <ns0:t>Neconfirmat</ns0:t>
        </ns0:is>
      </ns0:c>
      <ns0:c r="W281" s="11" t="inlineStr">
        <ns0:is>
          <ns0:t>Text scurt; placeholder-uri în sursă; interiorul de publicare trebuie comparat.</ns0:t>
        </ns0:is>
      </ns0:c>
      <ns0:c r="X281" s="7">
        <ns0:f>IF(AND(J281="Publicat",Q281&lt;&gt;"",ISNUMBER(R281),S281&lt;&gt;"",U281&lt;&gt;"",V281="Confirmat"),1,0)</ns0:f>
        <ns0:v>0</ns0:v>
      </ns0:c>
    </ns0:row>
    <ns0:row r="282" ht="46" customHeight="1">
      <ns0:c r="A282" s="7" t="inlineStr">
        <ns0:is>
          <ns0:t>DB-094-RO</ns0:t>
        </ns0:is>
      </ns0:c>
      <ns0:c r="B282" s="7" t="inlineStr">
        <ns0:is>
          <ns0:t>DB-094</ns0:t>
        </ns0:is>
      </ns0:c>
      <ns0:c r="C282" s="7" t="inlineStr">
        <ns0:is>
          <ns0:t>AURORA</ns0:t>
        </ns0:is>
      </ns0:c>
      <ns0:c r="D282" s="7" t="inlineStr">
        <ns0:is>
          <ns0:t>Ciclul Aurora</ns0:t>
        </ns0:is>
      </ns0:c>
      <ns0:c r="E282" s="8" t="n">
        <ns0:v>4</ns0:v>
      </ns0:c>
      <ns0:c r="F282" s="7" t="inlineStr">
        <ns0:is>
          <ns0:t>Between Two Addresses</ns0:t>
        </ns0:is>
      </ns0:c>
      <ns0:c r="G282" s="7" t="inlineStr">
        <ns0:is>
          <ns0:t>RO</ns0:t>
        </ns0:is>
      </ns0:c>
      <ns0:c r="H282" s="7" t="inlineStr">
        <ns0:is>
          <ns0:t>EN</ns0:t>
        </ns0:is>
      </ns0:c>
      <ns0:c r="I282" s="7" t="inlineStr">
        <ns0:is>
          <ns0:t>Traducere EN→RO</ns0:t>
        </ns0:is>
      </ns0:c>
      <ns0:c r="J282" s="11" t="inlineStr">
        <ns0:is>
          <ns0:t>Planificat</ns0:t>
        </ns0:is>
      </ns0:c>
      <ns0:c r="K282" s="11" t="inlineStr">
        <ns0:is>
          <ns0:t>De desemnat</ns0:t>
        </ns0:is>
      </ns0:c>
      <ns0:c r="L282" s="8">
        <ns0:f>Catalog_100!I95</ns0:f>
        <ns0:v>28000</ns0:v>
      </ns0:c>
      <ns0:c r="M282" s="13">
        <ns0:f>Catalog_100!J95</ns0:f>
        <ns0:v>46298.0</ns0:v>
      </ns0:c>
      <ns0:c r="N282" s="13">
        <ns0:f>Catalog_100!K95</ns0:f>
        <ns0:v>46301.0</ns0:v>
      </ns0:c>
      <ns0:c r="O282" s="13">
        <ns0:f>Catalog_100!L95</ns0:f>
        <ns0:v>46303.0</ns0:v>
      </ns0:c>
      <ns0:c r="P282" s="13">
        <ns0:f>Catalog_100!M95</ns0:f>
        <ns0:v>46305.0</ns0:v>
      </ns0:c>
      <ns0:c r="Q282" s="11" t="inlineStr"/>
      <ns0:c r="R282" s="10" t="inlineStr"/>
      <ns0:c r="S282" s="11" t="inlineStr"/>
      <ns0:c r="T282" s="11" t="inlineStr"/>
      <ns0:c r="U282" s="11" t="inlineStr"/>
      <ns0:c r="V282" s="11" t="inlineStr">
        <ns0:is>
          <ns0:t>Neconfirmat</ns0:t>
        </ns0:is>
      </ns0:c>
      <ns0:c r="W282" s="11" t="inlineStr">
        <ns0:is>
          <ns0:t>Fără ediție finală confirmată</ns0:t>
        </ns0:is>
      </ns0:c>
      <ns0:c r="X282" s="7">
        <ns0:f>IF(AND(J282="Publicat",Q282&lt;&gt;"",ISNUMBER(R282),S282&lt;&gt;"",U282&lt;&gt;"",V282="Confirmat"),1,0)</ns0:f>
        <ns0:v>0</ns0:v>
      </ns0:c>
    </ns0:row>
    <ns0:row r="283" ht="46" customHeight="1">
      <ns0:c r="A283" s="7" t="inlineStr">
        <ns0:is>
          <ns0:t>DB-094-DE</ns0:t>
        </ns0:is>
      </ns0:c>
      <ns0:c r="B283" s="7" t="inlineStr">
        <ns0:is>
          <ns0:t>DB-094</ns0:t>
        </ns0:is>
      </ns0:c>
      <ns0:c r="C283" s="7" t="inlineStr">
        <ns0:is>
          <ns0:t>AURORA</ns0:t>
        </ns0:is>
      </ns0:c>
      <ns0:c r="D283" s="7" t="inlineStr">
        <ns0:is>
          <ns0:t>Ciclul Aurora</ns0:t>
        </ns0:is>
      </ns0:c>
      <ns0:c r="E283" s="8" t="n">
        <ns0:v>4</ns0:v>
      </ns0:c>
      <ns0:c r="F283" s="7" t="inlineStr">
        <ns0:is>
          <ns0:t>Between Two Addresses</ns0:t>
        </ns0:is>
      </ns0:c>
      <ns0:c r="G283" s="7" t="inlineStr">
        <ns0:is>
          <ns0:t>DE</ns0:t>
        </ns0:is>
      </ns0:c>
      <ns0:c r="H283" s="7" t="inlineStr">
        <ns0:is>
          <ns0:t>EN</ns0:t>
        </ns0:is>
      </ns0:c>
      <ns0:c r="I283" s="7" t="inlineStr">
        <ns0:is>
          <ns0:t>Traducere EN→DE</ns0:t>
        </ns0:is>
      </ns0:c>
      <ns0:c r="J283" s="11" t="inlineStr">
        <ns0:is>
          <ns0:t>Planificat</ns0:t>
        </ns0:is>
      </ns0:c>
      <ns0:c r="K283" s="11" t="inlineStr">
        <ns0:is>
          <ns0:t>De desemnat</ns0:t>
        </ns0:is>
      </ns0:c>
      <ns0:c r="L283" s="8">
        <ns0:f>Catalog_100!I95</ns0:f>
        <ns0:v>28000</ns0:v>
      </ns0:c>
      <ns0:c r="M283" s="13">
        <ns0:f>Catalog_100!J95</ns0:f>
        <ns0:v>46298.0</ns0:v>
      </ns0:c>
      <ns0:c r="N283" s="13">
        <ns0:f>Catalog_100!K95</ns0:f>
        <ns0:v>46301.0</ns0:v>
      </ns0:c>
      <ns0:c r="O283" s="13">
        <ns0:f>Catalog_100!L95</ns0:f>
        <ns0:v>46303.0</ns0:v>
      </ns0:c>
      <ns0:c r="P283" s="13">
        <ns0:f>Catalog_100!M95</ns0:f>
        <ns0:v>46305.0</ns0:v>
      </ns0:c>
      <ns0:c r="Q283" s="11" t="inlineStr"/>
      <ns0:c r="R283" s="10" t="inlineStr"/>
      <ns0:c r="S283" s="11" t="inlineStr"/>
      <ns0:c r="T283" s="11" t="inlineStr"/>
      <ns0:c r="U283" s="11" t="inlineStr"/>
      <ns0:c r="V283" s="11" t="inlineStr">
        <ns0:is>
          <ns0:t>Neconfirmat</ns0:t>
        </ns0:is>
      </ns0:c>
      <ns0:c r="W283" s="11" t="inlineStr">
        <ns0:is>
          <ns0:t>Fără ediție finală confirmată</ns0:t>
        </ns0:is>
      </ns0:c>
      <ns0:c r="X283" s="7">
        <ns0:f>IF(AND(J283="Publicat",Q283&lt;&gt;"",ISNUMBER(R283),S283&lt;&gt;"",U283&lt;&gt;"",V283="Confirmat"),1,0)</ns0:f>
        <ns0:v>0</ns0:v>
      </ns0:c>
    </ns0:row>
    <ns0:row r="284" ht="46" customHeight="1">
      <ns0:c r="A284" s="7" t="inlineStr">
        <ns0:is>
          <ns0:t>DB-095-EN</ns0:t>
        </ns0:is>
      </ns0:c>
      <ns0:c r="B284" s="7" t="inlineStr">
        <ns0:is>
          <ns0:t>DB-095</ns0:t>
        </ns0:is>
      </ns0:c>
      <ns0:c r="C284" s="7" t="inlineStr">
        <ns0:is>
          <ns0:t>AURORA</ns0:t>
        </ns0:is>
      </ns0:c>
      <ns0:c r="D284" s="7" t="inlineStr">
        <ns0:is>
          <ns0:t>Ciclul Aurora</ns0:t>
        </ns0:is>
      </ns0:c>
      <ns0:c r="E284" s="8" t="n">
        <ns0:v>5</ns0:v>
      </ns0:c>
      <ns0:c r="F284" s="7" t="inlineStr">
        <ns0:is>
          <ns0:t>Dawn of Courage</ns0:t>
        </ns0:is>
      </ns0:c>
      <ns0:c r="G284" s="7" t="inlineStr">
        <ns0:is>
          <ns0:t>EN</ns0:t>
        </ns0:is>
      </ns0:c>
      <ns0:c r="H284" s="7" t="inlineStr">
        <ns0:is>
          <ns0:t>EN</ns0:t>
        </ns0:is>
      </ns0:c>
      <ns0:c r="I284" s="7" t="inlineStr">
        <ns0:is>
          <ns0:t>Editare fond</ns0:t>
        </ns0:is>
      </ns0:c>
      <ns0:c r="J284" s="11" t="inlineStr">
        <ns0:is>
          <ns0:t>Manuscris existent</ns0:t>
        </ns0:is>
      </ns0:c>
      <ns0:c r="K284" s="11" t="inlineStr">
        <ns0:is>
          <ns0:t>De desemnat</ns0:t>
        </ns0:is>
      </ns0:c>
      <ns0:c r="L284" s="8">
        <ns0:f>Catalog_100!I96</ns0:f>
        <ns0:v>36000</ns0:v>
      </ns0:c>
      <ns0:c r="M284" s="13">
        <ns0:f>Catalog_100!J96</ns0:f>
        <ns0:v>46305.0</ns0:v>
      </ns0:c>
      <ns0:c r="N284" s="13">
        <ns0:f>Catalog_100!K96</ns0:f>
        <ns0:v>46315.0</ns0:v>
      </ns0:c>
      <ns0:c r="O284" s="13">
        <ns0:f>Catalog_100!L96</ns0:f>
        <ns0:v>46317.0</ns0:v>
      </ns0:c>
      <ns0:c r="P284" s="13">
        <ns0:f>Catalog_100!M96</ns0:f>
        <ns0:v>46319.0</ns0:v>
      </ns0:c>
      <ns0:c r="Q284" s="11" t="inlineStr"/>
      <ns0:c r="R284" s="10" t="inlineStr"/>
      <ns0:c r="S284" s="11" t="inlineStr"/>
      <ns0:c r="T284" s="11" t="inlineStr"/>
      <ns0:c r="U284" s="11" t="inlineStr"/>
      <ns0:c r="V284" s="11" t="inlineStr">
        <ns0:is>
          <ns0:t>Neconfirmat</ns0:t>
        </ns0:is>
      </ns0:c>
      <ns0:c r="W284" s="11" t="inlineStr">
        <ns0:is>
          <ns0:t>Sursa indică Volume 1 deși este Book 5 în catalog; metanote AI.</ns0:t>
        </ns0:is>
      </ns0:c>
      <ns0:c r="X284" s="7">
        <ns0:f>IF(AND(J284="Publicat",Q284&lt;&gt;"",ISNUMBER(R284),S284&lt;&gt;"",U284&lt;&gt;"",V284="Confirmat"),1,0)</ns0:f>
        <ns0:v>0</ns0:v>
      </ns0:c>
    </ns0:row>
    <ns0:row r="285" ht="46" customHeight="1">
      <ns0:c r="A285" s="7" t="inlineStr">
        <ns0:is>
          <ns0:t>DB-095-RO</ns0:t>
        </ns0:is>
      </ns0:c>
      <ns0:c r="B285" s="7" t="inlineStr">
        <ns0:is>
          <ns0:t>DB-095</ns0:t>
        </ns0:is>
      </ns0:c>
      <ns0:c r="C285" s="7" t="inlineStr">
        <ns0:is>
          <ns0:t>AURORA</ns0:t>
        </ns0:is>
      </ns0:c>
      <ns0:c r="D285" s="7" t="inlineStr">
        <ns0:is>
          <ns0:t>Ciclul Aurora</ns0:t>
        </ns0:is>
      </ns0:c>
      <ns0:c r="E285" s="8" t="n">
        <ns0:v>5</ns0:v>
      </ns0:c>
      <ns0:c r="F285" s="7" t="inlineStr">
        <ns0:is>
          <ns0:t>Dawn of Courage</ns0:t>
        </ns0:is>
      </ns0:c>
      <ns0:c r="G285" s="7" t="inlineStr">
        <ns0:is>
          <ns0:t>RO</ns0:t>
        </ns0:is>
      </ns0:c>
      <ns0:c r="H285" s="7" t="inlineStr">
        <ns0:is>
          <ns0:t>EN</ns0:t>
        </ns0:is>
      </ns0:c>
      <ns0:c r="I285" s="7" t="inlineStr">
        <ns0:is>
          <ns0:t>Traducere EN→RO</ns0:t>
        </ns0:is>
      </ns0:c>
      <ns0:c r="J285" s="11" t="inlineStr">
        <ns0:is>
          <ns0:t>Planificat</ns0:t>
        </ns0:is>
      </ns0:c>
      <ns0:c r="K285" s="11" t="inlineStr">
        <ns0:is>
          <ns0:t>De desemnat</ns0:t>
        </ns0:is>
      </ns0:c>
      <ns0:c r="L285" s="8">
        <ns0:f>Catalog_100!I96</ns0:f>
        <ns0:v>36000</ns0:v>
      </ns0:c>
      <ns0:c r="M285" s="13">
        <ns0:f>Catalog_100!J96</ns0:f>
        <ns0:v>46305.0</ns0:v>
      </ns0:c>
      <ns0:c r="N285" s="13">
        <ns0:f>Catalog_100!K96</ns0:f>
        <ns0:v>46315.0</ns0:v>
      </ns0:c>
      <ns0:c r="O285" s="13">
        <ns0:f>Catalog_100!L96</ns0:f>
        <ns0:v>46317.0</ns0:v>
      </ns0:c>
      <ns0:c r="P285" s="13">
        <ns0:f>Catalog_100!M96</ns0:f>
        <ns0:v>46319.0</ns0:v>
      </ns0:c>
      <ns0:c r="Q285" s="11" t="inlineStr"/>
      <ns0:c r="R285" s="10" t="inlineStr"/>
      <ns0:c r="S285" s="11" t="inlineStr"/>
      <ns0:c r="T285" s="11" t="inlineStr"/>
      <ns0:c r="U285" s="11" t="inlineStr"/>
      <ns0:c r="V285" s="11" t="inlineStr">
        <ns0:is>
          <ns0:t>Neconfirmat</ns0:t>
        </ns0:is>
      </ns0:c>
      <ns0:c r="W285" s="11" t="inlineStr">
        <ns0:is>
          <ns0:t>Fără ediție finală confirmată</ns0:t>
        </ns0:is>
      </ns0:c>
      <ns0:c r="X285" s="7">
        <ns0:f>IF(AND(J285="Publicat",Q285&lt;&gt;"",ISNUMBER(R285),S285&lt;&gt;"",U285&lt;&gt;"",V285="Confirmat"),1,0)</ns0:f>
        <ns0:v>0</ns0:v>
      </ns0:c>
    </ns0:row>
    <ns0:row r="286" ht="46" customHeight="1">
      <ns0:c r="A286" s="7" t="inlineStr">
        <ns0:is>
          <ns0:t>DB-095-DE</ns0:t>
        </ns0:is>
      </ns0:c>
      <ns0:c r="B286" s="7" t="inlineStr">
        <ns0:is>
          <ns0:t>DB-095</ns0:t>
        </ns0:is>
      </ns0:c>
      <ns0:c r="C286" s="7" t="inlineStr">
        <ns0:is>
          <ns0:t>AURORA</ns0:t>
        </ns0:is>
      </ns0:c>
      <ns0:c r="D286" s="7" t="inlineStr">
        <ns0:is>
          <ns0:t>Ciclul Aurora</ns0:t>
        </ns0:is>
      </ns0:c>
      <ns0:c r="E286" s="8" t="n">
        <ns0:v>5</ns0:v>
      </ns0:c>
      <ns0:c r="F286" s="7" t="inlineStr">
        <ns0:is>
          <ns0:t>Dawn of Courage</ns0:t>
        </ns0:is>
      </ns0:c>
      <ns0:c r="G286" s="7" t="inlineStr">
        <ns0:is>
          <ns0:t>DE</ns0:t>
        </ns0:is>
      </ns0:c>
      <ns0:c r="H286" s="7" t="inlineStr">
        <ns0:is>
          <ns0:t>EN</ns0:t>
        </ns0:is>
      </ns0:c>
      <ns0:c r="I286" s="7" t="inlineStr">
        <ns0:is>
          <ns0:t>Traducere EN→DE</ns0:t>
        </ns0:is>
      </ns0:c>
      <ns0:c r="J286" s="11" t="inlineStr">
        <ns0:is>
          <ns0:t>Planificat</ns0:t>
        </ns0:is>
      </ns0:c>
      <ns0:c r="K286" s="11" t="inlineStr">
        <ns0:is>
          <ns0:t>De desemnat</ns0:t>
        </ns0:is>
      </ns0:c>
      <ns0:c r="L286" s="8">
        <ns0:f>Catalog_100!I96</ns0:f>
        <ns0:v>36000</ns0:v>
      </ns0:c>
      <ns0:c r="M286" s="13">
        <ns0:f>Catalog_100!J96</ns0:f>
        <ns0:v>46305.0</ns0:v>
      </ns0:c>
      <ns0:c r="N286" s="13">
        <ns0:f>Catalog_100!K96</ns0:f>
        <ns0:v>46315.0</ns0:v>
      </ns0:c>
      <ns0:c r="O286" s="13">
        <ns0:f>Catalog_100!L96</ns0:f>
        <ns0:v>46317.0</ns0:v>
      </ns0:c>
      <ns0:c r="P286" s="13">
        <ns0:f>Catalog_100!M96</ns0:f>
        <ns0:v>46319.0</ns0:v>
      </ns0:c>
      <ns0:c r="Q286" s="11" t="inlineStr"/>
      <ns0:c r="R286" s="10" t="inlineStr"/>
      <ns0:c r="S286" s="11" t="inlineStr"/>
      <ns0:c r="T286" s="11" t="inlineStr"/>
      <ns0:c r="U286" s="11" t="inlineStr"/>
      <ns0:c r="V286" s="11" t="inlineStr">
        <ns0:is>
          <ns0:t>Neconfirmat</ns0:t>
        </ns0:is>
      </ns0:c>
      <ns0:c r="W286" s="11" t="inlineStr">
        <ns0:is>
          <ns0:t>Fără ediție finală confirmată</ns0:t>
        </ns0:is>
      </ns0:c>
      <ns0:c r="X286" s="7">
        <ns0:f>IF(AND(J286="Publicat",Q286&lt;&gt;"",ISNUMBER(R286),S286&lt;&gt;"",U286&lt;&gt;"",V286="Confirmat"),1,0)</ns0:f>
        <ns0:v>0</ns0:v>
      </ns0:c>
    </ns0:row>
    <ns0:row r="287" ht="46" customHeight="1">
      <ns0:c r="A287" s="7" t="inlineStr">
        <ns0:is>
          <ns0:t>DB-096-EN</ns0:t>
        </ns0:is>
      </ns0:c>
      <ns0:c r="B287" s="7" t="inlineStr">
        <ns0:is>
          <ns0:t>DB-096</ns0:t>
        </ns0:is>
      </ns0:c>
      <ns0:c r="C287" s="7" t="inlineStr">
        <ns0:is>
          <ns0:t>AURORA</ns0:t>
        </ns0:is>
      </ns0:c>
      <ns0:c r="D287" s="7" t="inlineStr">
        <ns0:is>
          <ns0:t>Ciclul Aurora</ns0:t>
        </ns0:is>
      </ns0:c>
      <ns0:c r="E287" s="8" t="n">
        <ns0:v>6</ns0:v>
      </ns0:c>
      <ns0:c r="F287" s="7" t="inlineStr">
        <ns0:is>
          <ns0:t>Aurora Verde</ns0:t>
        </ns0:is>
      </ns0:c>
      <ns0:c r="G287" s="7" t="inlineStr">
        <ns0:is>
          <ns0:t>EN</ns0:t>
        </ns0:is>
      </ns0:c>
      <ns0:c r="H287" s="7" t="inlineStr">
        <ns0:is>
          <ns0:t>EN</ns0:t>
        </ns0:is>
      </ns0:c>
      <ns0:c r="I287" s="7" t="inlineStr">
        <ns0:is>
          <ns0:t>Editare fond</ns0:t>
        </ns0:is>
      </ns0:c>
      <ns0:c r="J287" s="11" t="inlineStr">
        <ns0:is>
          <ns0:t>Manuscris existent</ns0:t>
        </ns0:is>
      </ns0:c>
      <ns0:c r="K287" s="11" t="inlineStr">
        <ns0:is>
          <ns0:t>De desemnat</ns0:t>
        </ns0:is>
      </ns0:c>
      <ns0:c r="L287" s="8">
        <ns0:f>Catalog_100!I97</ns0:f>
        <ns0:v>30000</ns0:v>
      </ns0:c>
      <ns0:c r="M287" s="13">
        <ns0:f>Catalog_100!J97</ns0:f>
        <ns0:v>46305.0</ns0:v>
      </ns0:c>
      <ns0:c r="N287" s="13">
        <ns0:f>Catalog_100!K97</ns0:f>
        <ns0:v>46315.0</ns0:v>
      </ns0:c>
      <ns0:c r="O287" s="13">
        <ns0:f>Catalog_100!L97</ns0:f>
        <ns0:v>46317.0</ns0:v>
      </ns0:c>
      <ns0:c r="P287" s="13">
        <ns0:f>Catalog_100!M97</ns0:f>
        <ns0:v>46319.0</ns0:v>
      </ns0:c>
      <ns0:c r="Q287" s="11" t="inlineStr"/>
      <ns0:c r="R287" s="10" t="inlineStr"/>
      <ns0:c r="S287" s="11" t="inlineStr"/>
      <ns0:c r="T287" s="11" t="inlineStr"/>
      <ns0:c r="U287" s="11" t="inlineStr"/>
      <ns0:c r="V287" s="11" t="inlineStr">
        <ns0:is>
          <ns0:t>Neconfirmat</ns0:t>
        </ns0:is>
      </ns0:c>
      <ns0:c r="W287" s="11" t="inlineStr">
        <ns0:is>
          <ns0:t>Autorul din interior diferă de propunerea comercială; de separat anexele.</ns0:t>
        </ns0:is>
      </ns0:c>
      <ns0:c r="X287" s="7">
        <ns0:f>IF(AND(J287="Publicat",Q287&lt;&gt;"",ISNUMBER(R287),S287&lt;&gt;"",U287&lt;&gt;"",V287="Confirmat"),1,0)</ns0:f>
        <ns0:v>0</ns0:v>
      </ns0:c>
    </ns0:row>
    <ns0:row r="288" ht="46" customHeight="1">
      <ns0:c r="A288" s="7" t="inlineStr">
        <ns0:is>
          <ns0:t>DB-096-RO</ns0:t>
        </ns0:is>
      </ns0:c>
      <ns0:c r="B288" s="7" t="inlineStr">
        <ns0:is>
          <ns0:t>DB-096</ns0:t>
        </ns0:is>
      </ns0:c>
      <ns0:c r="C288" s="7" t="inlineStr">
        <ns0:is>
          <ns0:t>AURORA</ns0:t>
        </ns0:is>
      </ns0:c>
      <ns0:c r="D288" s="7" t="inlineStr">
        <ns0:is>
          <ns0:t>Ciclul Aurora</ns0:t>
        </ns0:is>
      </ns0:c>
      <ns0:c r="E288" s="8" t="n">
        <ns0:v>6</ns0:v>
      </ns0:c>
      <ns0:c r="F288" s="7" t="inlineStr">
        <ns0:is>
          <ns0:t>Aurora Verde</ns0:t>
        </ns0:is>
      </ns0:c>
      <ns0:c r="G288" s="7" t="inlineStr">
        <ns0:is>
          <ns0:t>RO</ns0:t>
        </ns0:is>
      </ns0:c>
      <ns0:c r="H288" s="7" t="inlineStr">
        <ns0:is>
          <ns0:t>EN</ns0:t>
        </ns0:is>
      </ns0:c>
      <ns0:c r="I288" s="7" t="inlineStr">
        <ns0:is>
          <ns0:t>Traducere EN→RO</ns0:t>
        </ns0:is>
      </ns0:c>
      <ns0:c r="J288" s="11" t="inlineStr">
        <ns0:is>
          <ns0:t>Planificat</ns0:t>
        </ns0:is>
      </ns0:c>
      <ns0:c r="K288" s="11" t="inlineStr">
        <ns0:is>
          <ns0:t>De desemnat</ns0:t>
        </ns0:is>
      </ns0:c>
      <ns0:c r="L288" s="8">
        <ns0:f>Catalog_100!I97</ns0:f>
        <ns0:v>30000</ns0:v>
      </ns0:c>
      <ns0:c r="M288" s="13">
        <ns0:f>Catalog_100!J97</ns0:f>
        <ns0:v>46305.0</ns0:v>
      </ns0:c>
      <ns0:c r="N288" s="13">
        <ns0:f>Catalog_100!K97</ns0:f>
        <ns0:v>46315.0</ns0:v>
      </ns0:c>
      <ns0:c r="O288" s="13">
        <ns0:f>Catalog_100!L97</ns0:f>
        <ns0:v>46317.0</ns0:v>
      </ns0:c>
      <ns0:c r="P288" s="13">
        <ns0:f>Catalog_100!M97</ns0:f>
        <ns0:v>46319.0</ns0:v>
      </ns0:c>
      <ns0:c r="Q288" s="11" t="inlineStr"/>
      <ns0:c r="R288" s="10" t="inlineStr"/>
      <ns0:c r="S288" s="11" t="inlineStr"/>
      <ns0:c r="T288" s="11" t="inlineStr"/>
      <ns0:c r="U288" s="11" t="inlineStr"/>
      <ns0:c r="V288" s="11" t="inlineStr">
        <ns0:is>
          <ns0:t>Neconfirmat</ns0:t>
        </ns0:is>
      </ns0:c>
      <ns0:c r="W288" s="11" t="inlineStr">
        <ns0:is>
          <ns0:t>Fără ediție finală confirmată</ns0:t>
        </ns0:is>
      </ns0:c>
      <ns0:c r="X288" s="7">
        <ns0:f>IF(AND(J288="Publicat",Q288&lt;&gt;"",ISNUMBER(R288),S288&lt;&gt;"",U288&lt;&gt;"",V288="Confirmat"),1,0)</ns0:f>
        <ns0:v>0</ns0:v>
      </ns0:c>
    </ns0:row>
    <ns0:row r="289" ht="46" customHeight="1">
      <ns0:c r="A289" s="7" t="inlineStr">
        <ns0:is>
          <ns0:t>DB-096-DE</ns0:t>
        </ns0:is>
      </ns0:c>
      <ns0:c r="B289" s="7" t="inlineStr">
        <ns0:is>
          <ns0:t>DB-096</ns0:t>
        </ns0:is>
      </ns0:c>
      <ns0:c r="C289" s="7" t="inlineStr">
        <ns0:is>
          <ns0:t>AURORA</ns0:t>
        </ns0:is>
      </ns0:c>
      <ns0:c r="D289" s="7" t="inlineStr">
        <ns0:is>
          <ns0:t>Ciclul Aurora</ns0:t>
        </ns0:is>
      </ns0:c>
      <ns0:c r="E289" s="8" t="n">
        <ns0:v>6</ns0:v>
      </ns0:c>
      <ns0:c r="F289" s="7" t="inlineStr">
        <ns0:is>
          <ns0:t>Aurora Verde</ns0:t>
        </ns0:is>
      </ns0:c>
      <ns0:c r="G289" s="7" t="inlineStr">
        <ns0:is>
          <ns0:t>DE</ns0:t>
        </ns0:is>
      </ns0:c>
      <ns0:c r="H289" s="7" t="inlineStr">
        <ns0:is>
          <ns0:t>EN</ns0:t>
        </ns0:is>
      </ns0:c>
      <ns0:c r="I289" s="7" t="inlineStr">
        <ns0:is>
          <ns0:t>Traducere EN→DE</ns0:t>
        </ns0:is>
      </ns0:c>
      <ns0:c r="J289" s="11" t="inlineStr">
        <ns0:is>
          <ns0:t>Planificat</ns0:t>
        </ns0:is>
      </ns0:c>
      <ns0:c r="K289" s="11" t="inlineStr">
        <ns0:is>
          <ns0:t>De desemnat</ns0:t>
        </ns0:is>
      </ns0:c>
      <ns0:c r="L289" s="8">
        <ns0:f>Catalog_100!I97</ns0:f>
        <ns0:v>30000</ns0:v>
      </ns0:c>
      <ns0:c r="M289" s="13">
        <ns0:f>Catalog_100!J97</ns0:f>
        <ns0:v>46305.0</ns0:v>
      </ns0:c>
      <ns0:c r="N289" s="13">
        <ns0:f>Catalog_100!K97</ns0:f>
        <ns0:v>46315.0</ns0:v>
      </ns0:c>
      <ns0:c r="O289" s="13">
        <ns0:f>Catalog_100!L97</ns0:f>
        <ns0:v>46317.0</ns0:v>
      </ns0:c>
      <ns0:c r="P289" s="13">
        <ns0:f>Catalog_100!M97</ns0:f>
        <ns0:v>46319.0</ns0:v>
      </ns0:c>
      <ns0:c r="Q289" s="11" t="inlineStr"/>
      <ns0:c r="R289" s="10" t="inlineStr"/>
      <ns0:c r="S289" s="11" t="inlineStr"/>
      <ns0:c r="T289" s="11" t="inlineStr"/>
      <ns0:c r="U289" s="11" t="inlineStr"/>
      <ns0:c r="V289" s="11" t="inlineStr">
        <ns0:is>
          <ns0:t>Neconfirmat</ns0:t>
        </ns0:is>
      </ns0:c>
      <ns0:c r="W289" s="11" t="inlineStr">
        <ns0:is>
          <ns0:t>Fără ediție finală confirmată</ns0:t>
        </ns0:is>
      </ns0:c>
      <ns0:c r="X289" s="7">
        <ns0:f>IF(AND(J289="Publicat",Q289&lt;&gt;"",ISNUMBER(R289),S289&lt;&gt;"",U289&lt;&gt;"",V289="Confirmat"),1,0)</ns0:f>
        <ns0:v>0</ns0:v>
      </ns0:c>
    </ns0:row>
    <ns0:row r="290" ht="46" customHeight="1">
      <ns0:c r="A290" s="7" t="inlineStr">
        <ns0:is>
          <ns0:t>DB-097-EN</ns0:t>
        </ns0:is>
      </ns0:c>
      <ns0:c r="B290" s="7" t="inlineStr">
        <ns0:is>
          <ns0:t>DB-097</ns0:t>
        </ns0:is>
      </ns0:c>
      <ns0:c r="C290" s="7" t="inlineStr">
        <ns0:is>
          <ns0:t>AURORA</ns0:t>
        </ns0:is>
      </ns0:c>
      <ns0:c r="D290" s="7" t="inlineStr">
        <ns0:is>
          <ns0:t>Ciclul Aurora</ns0:t>
        </ns0:is>
      </ns0:c>
      <ns0:c r="E290" s="8" t="n">
        <ns0:v>7</ns0:v>
      </ns0:c>
      <ns0:c r="F290" s="7" t="inlineStr">
        <ns0:is>
          <ns0:t>We, After the Feed</ns0:t>
        </ns0:is>
      </ns0:c>
      <ns0:c r="G290" s="7" t="inlineStr">
        <ns0:is>
          <ns0:t>EN</ns0:t>
        </ns0:is>
      </ns0:c>
      <ns0:c r="H290" s="7" t="inlineStr">
        <ns0:is>
          <ns0:t>EN</ns0:t>
        </ns0:is>
      </ns0:c>
      <ns0:c r="I290" s="7" t="inlineStr">
        <ns0:is>
          <ns0:t>Editare fond</ns0:t>
        </ns0:is>
      </ns0:c>
      <ns0:c r="J290" s="11" t="inlineStr">
        <ns0:is>
          <ns0:t>Manuscris existent</ns0:t>
        </ns0:is>
      </ns0:c>
      <ns0:c r="K290" s="11" t="inlineStr">
        <ns0:is>
          <ns0:t>De desemnat</ns0:t>
        </ns0:is>
      </ns0:c>
      <ns0:c r="L290" s="8">
        <ns0:f>Catalog_100!I98</ns0:f>
        <ns0:v>25000</ns0:v>
      </ns0:c>
      <ns0:c r="M290" s="13">
        <ns0:f>Catalog_100!J98</ns0:f>
        <ns0:v>46305.0</ns0:v>
      </ns0:c>
      <ns0:c r="N290" s="13">
        <ns0:f>Catalog_100!K98</ns0:f>
        <ns0:v>46315.0</ns0:v>
      </ns0:c>
      <ns0:c r="O290" s="13">
        <ns0:f>Catalog_100!L98</ns0:f>
        <ns0:v>46317.0</ns0:v>
      </ns0:c>
      <ns0:c r="P290" s="13">
        <ns0:f>Catalog_100!M98</ns0:f>
        <ns0:v>46319.0</ns0:v>
      </ns0:c>
      <ns0:c r="Q290" s="11" t="inlineStr"/>
      <ns0:c r="R290" s="10" t="inlineStr"/>
      <ns0:c r="S290" s="11" t="inlineStr"/>
      <ns0:c r="T290" s="11" t="inlineStr"/>
      <ns0:c r="U290" s="11" t="inlineStr"/>
      <ns0:c r="V290" s="11" t="inlineStr">
        <ns0:is>
          <ns0:t>Neconfirmat</ns0:t>
        </ns0:is>
      </ns0:c>
      <ns0:c r="W290" s="11" t="inlineStr">
        <ns0:is>
          <ns0:t>Juliette Moreau în sursă versus Ava Peterson &amp; Blake Jacobs pe site; pseudonim de validat.</ns0:t>
        </ns0:is>
      </ns0:c>
      <ns0:c r="X290" s="7">
        <ns0:f>IF(AND(J290="Publicat",Q290&lt;&gt;"",ISNUMBER(R290),S290&lt;&gt;"",U290&lt;&gt;"",V290="Confirmat"),1,0)</ns0:f>
        <ns0:v>0</ns0:v>
      </ns0:c>
    </ns0:row>
    <ns0:row r="291" ht="46" customHeight="1">
      <ns0:c r="A291" s="7" t="inlineStr">
        <ns0:is>
          <ns0:t>DB-097-RO</ns0:t>
        </ns0:is>
      </ns0:c>
      <ns0:c r="B291" s="7" t="inlineStr">
        <ns0:is>
          <ns0:t>DB-097</ns0:t>
        </ns0:is>
      </ns0:c>
      <ns0:c r="C291" s="7" t="inlineStr">
        <ns0:is>
          <ns0:t>AURORA</ns0:t>
        </ns0:is>
      </ns0:c>
      <ns0:c r="D291" s="7" t="inlineStr">
        <ns0:is>
          <ns0:t>Ciclul Aurora</ns0:t>
        </ns0:is>
      </ns0:c>
      <ns0:c r="E291" s="8" t="n">
        <ns0:v>7</ns0:v>
      </ns0:c>
      <ns0:c r="F291" s="7" t="inlineStr">
        <ns0:is>
          <ns0:t>We, After the Feed</ns0:t>
        </ns0:is>
      </ns0:c>
      <ns0:c r="G291" s="7" t="inlineStr">
        <ns0:is>
          <ns0:t>RO</ns0:t>
        </ns0:is>
      </ns0:c>
      <ns0:c r="H291" s="7" t="inlineStr">
        <ns0:is>
          <ns0:t>EN</ns0:t>
        </ns0:is>
      </ns0:c>
      <ns0:c r="I291" s="7" t="inlineStr">
        <ns0:is>
          <ns0:t>Traducere EN→RO</ns0:t>
        </ns0:is>
      </ns0:c>
      <ns0:c r="J291" s="11" t="inlineStr">
        <ns0:is>
          <ns0:t>Planificat</ns0:t>
        </ns0:is>
      </ns0:c>
      <ns0:c r="K291" s="11" t="inlineStr">
        <ns0:is>
          <ns0:t>De desemnat</ns0:t>
        </ns0:is>
      </ns0:c>
      <ns0:c r="L291" s="8">
        <ns0:f>Catalog_100!I98</ns0:f>
        <ns0:v>25000</ns0:v>
      </ns0:c>
      <ns0:c r="M291" s="13">
        <ns0:f>Catalog_100!J98</ns0:f>
        <ns0:v>46305.0</ns0:v>
      </ns0:c>
      <ns0:c r="N291" s="13">
        <ns0:f>Catalog_100!K98</ns0:f>
        <ns0:v>46315.0</ns0:v>
      </ns0:c>
      <ns0:c r="O291" s="13">
        <ns0:f>Catalog_100!L98</ns0:f>
        <ns0:v>46317.0</ns0:v>
      </ns0:c>
      <ns0:c r="P291" s="13">
        <ns0:f>Catalog_100!M98</ns0:f>
        <ns0:v>46319.0</ns0:v>
      </ns0:c>
      <ns0:c r="Q291" s="11" t="inlineStr"/>
      <ns0:c r="R291" s="10" t="inlineStr"/>
      <ns0:c r="S291" s="11" t="inlineStr"/>
      <ns0:c r="T291" s="11" t="inlineStr"/>
      <ns0:c r="U291" s="11" t="inlineStr"/>
      <ns0:c r="V291" s="11" t="inlineStr">
        <ns0:is>
          <ns0:t>Neconfirmat</ns0:t>
        </ns0:is>
      </ns0:c>
      <ns0:c r="W291" s="11" t="inlineStr">
        <ns0:is>
          <ns0:t>Fără ediție finală confirmată</ns0:t>
        </ns0:is>
      </ns0:c>
      <ns0:c r="X291" s="7">
        <ns0:f>IF(AND(J291="Publicat",Q291&lt;&gt;"",ISNUMBER(R291),S291&lt;&gt;"",U291&lt;&gt;"",V291="Confirmat"),1,0)</ns0:f>
        <ns0:v>0</ns0:v>
      </ns0:c>
    </ns0:row>
    <ns0:row r="292" ht="46" customHeight="1">
      <ns0:c r="A292" s="7" t="inlineStr">
        <ns0:is>
          <ns0:t>DB-097-DE</ns0:t>
        </ns0:is>
      </ns0:c>
      <ns0:c r="B292" s="7" t="inlineStr">
        <ns0:is>
          <ns0:t>DB-097</ns0:t>
        </ns0:is>
      </ns0:c>
      <ns0:c r="C292" s="7" t="inlineStr">
        <ns0:is>
          <ns0:t>AURORA</ns0:t>
        </ns0:is>
      </ns0:c>
      <ns0:c r="D292" s="7" t="inlineStr">
        <ns0:is>
          <ns0:t>Ciclul Aurora</ns0:t>
        </ns0:is>
      </ns0:c>
      <ns0:c r="E292" s="8" t="n">
        <ns0:v>7</ns0:v>
      </ns0:c>
      <ns0:c r="F292" s="7" t="inlineStr">
        <ns0:is>
          <ns0:t>We, After the Feed</ns0:t>
        </ns0:is>
      </ns0:c>
      <ns0:c r="G292" s="7" t="inlineStr">
        <ns0:is>
          <ns0:t>DE</ns0:t>
        </ns0:is>
      </ns0:c>
      <ns0:c r="H292" s="7" t="inlineStr">
        <ns0:is>
          <ns0:t>EN</ns0:t>
        </ns0:is>
      </ns0:c>
      <ns0:c r="I292" s="7" t="inlineStr">
        <ns0:is>
          <ns0:t>Traducere EN→DE</ns0:t>
        </ns0:is>
      </ns0:c>
      <ns0:c r="J292" s="11" t="inlineStr">
        <ns0:is>
          <ns0:t>Planificat</ns0:t>
        </ns0:is>
      </ns0:c>
      <ns0:c r="K292" s="11" t="inlineStr">
        <ns0:is>
          <ns0:t>De desemnat</ns0:t>
        </ns0:is>
      </ns0:c>
      <ns0:c r="L292" s="8">
        <ns0:f>Catalog_100!I98</ns0:f>
        <ns0:v>25000</ns0:v>
      </ns0:c>
      <ns0:c r="M292" s="13">
        <ns0:f>Catalog_100!J98</ns0:f>
        <ns0:v>46305.0</ns0:v>
      </ns0:c>
      <ns0:c r="N292" s="13">
        <ns0:f>Catalog_100!K98</ns0:f>
        <ns0:v>46315.0</ns0:v>
      </ns0:c>
      <ns0:c r="O292" s="13">
        <ns0:f>Catalog_100!L98</ns0:f>
        <ns0:v>46317.0</ns0:v>
      </ns0:c>
      <ns0:c r="P292" s="13">
        <ns0:f>Catalog_100!M98</ns0:f>
        <ns0:v>46319.0</ns0:v>
      </ns0:c>
      <ns0:c r="Q292" s="11" t="inlineStr"/>
      <ns0:c r="R292" s="10" t="inlineStr"/>
      <ns0:c r="S292" s="11" t="inlineStr"/>
      <ns0:c r="T292" s="11" t="inlineStr"/>
      <ns0:c r="U292" s="11" t="inlineStr"/>
      <ns0:c r="V292" s="11" t="inlineStr">
        <ns0:is>
          <ns0:t>Neconfirmat</ns0:t>
        </ns0:is>
      </ns0:c>
      <ns0:c r="W292" s="11" t="inlineStr">
        <ns0:is>
          <ns0:t>Fără ediție finală confirmată</ns0:t>
        </ns0:is>
      </ns0:c>
      <ns0:c r="X292" s="7">
        <ns0:f>IF(AND(J292="Publicat",Q292&lt;&gt;"",ISNUMBER(R292),S292&lt;&gt;"",U292&lt;&gt;"",V292="Confirmat"),1,0)</ns0:f>
        <ns0:v>0</ns0:v>
      </ns0:c>
    </ns0:row>
    <ns0:row r="293" ht="46" customHeight="1">
      <ns0:c r="A293" s="7" t="inlineStr">
        <ns0:is>
          <ns0:t>DB-098-EN</ns0:t>
        </ns0:is>
      </ns0:c>
      <ns0:c r="B293" s="7" t="inlineStr">
        <ns0:is>
          <ns0:t>DB-098</ns0:t>
        </ns0:is>
      </ns0:c>
      <ns0:c r="C293" s="7" t="inlineStr">
        <ns0:is>
          <ns0:t>AURORA</ns0:t>
        </ns0:is>
      </ns0:c>
      <ns0:c r="D293" s="7" t="inlineStr">
        <ns0:is>
          <ns0:t>Ciclul Aurora</ns0:t>
        </ns0:is>
      </ns0:c>
      <ns0:c r="E293" s="8" t="n">
        <ns0:v>8</ns0:v>
      </ns0:c>
      <ns0:c r="F293" s="7" t="inlineStr">
        <ns0:is>
          <ns0:t>Aurora Admit</ns0:t>
        </ns0:is>
      </ns0:c>
      <ns0:c r="G293" s="7" t="inlineStr">
        <ns0:is>
          <ns0:t>EN</ns0:t>
        </ns0:is>
      </ns0:c>
      <ns0:c r="H293" s="7" t="inlineStr">
        <ns0:is>
          <ns0:t>EN</ns0:t>
        </ns0:is>
      </ns0:c>
      <ns0:c r="I293" s="7" t="inlineStr">
        <ns0:is>
          <ns0:t>Editare fond</ns0:t>
        </ns0:is>
      </ns0:c>
      <ns0:c r="J293" s="11" t="inlineStr">
        <ns0:is>
          <ns0:t>Manuscris existent</ns0:t>
        </ns0:is>
      </ns0:c>
      <ns0:c r="K293" s="11" t="inlineStr">
        <ns0:is>
          <ns0:t>De desemnat</ns0:t>
        </ns0:is>
      </ns0:c>
      <ns0:c r="L293" s="8">
        <ns0:f>Catalog_100!I99</ns0:f>
        <ns0:v>30000</ns0:v>
      </ns0:c>
      <ns0:c r="M293" s="13">
        <ns0:f>Catalog_100!J99</ns0:f>
        <ns0:v>46305.0</ns0:v>
      </ns0:c>
      <ns0:c r="N293" s="13">
        <ns0:f>Catalog_100!K99</ns0:f>
        <ns0:v>46315.0</ns0:v>
      </ns0:c>
      <ns0:c r="O293" s="13">
        <ns0:f>Catalog_100!L99</ns0:f>
        <ns0:v>46317.0</ns0:v>
      </ns0:c>
      <ns0:c r="P293" s="13">
        <ns0:f>Catalog_100!M99</ns0:f>
        <ns0:v>46319.0</ns0:v>
      </ns0:c>
      <ns0:c r="Q293" s="11" t="inlineStr"/>
      <ns0:c r="R293" s="10" t="inlineStr"/>
      <ns0:c r="S293" s="11" t="inlineStr"/>
      <ns0:c r="T293" s="11" t="inlineStr"/>
      <ns0:c r="U293" s="11" t="inlineStr"/>
      <ns0:c r="V293" s="11" t="inlineStr">
        <ns0:is>
          <ns0:t>Neconfirmat</ns0:t>
        </ns0:is>
      </ns0:c>
      <ns0:c r="W293" s="11" t="inlineStr">
        <ns0:is>
          <ns0:t>Fișierul include instrucțiuni pentru design și placeholder art director.</ns0:t>
        </ns0:is>
      </ns0:c>
      <ns0:c r="X293" s="7">
        <ns0:f>IF(AND(J293="Publicat",Q293&lt;&gt;"",ISNUMBER(R293),S293&lt;&gt;"",U293&lt;&gt;"",V293="Confirmat"),1,0)</ns0:f>
        <ns0:v>0</ns0:v>
      </ns0:c>
    </ns0:row>
    <ns0:row r="294" ht="46" customHeight="1">
      <ns0:c r="A294" s="7" t="inlineStr">
        <ns0:is>
          <ns0:t>DB-098-RO</ns0:t>
        </ns0:is>
      </ns0:c>
      <ns0:c r="B294" s="7" t="inlineStr">
        <ns0:is>
          <ns0:t>DB-098</ns0:t>
        </ns0:is>
      </ns0:c>
      <ns0:c r="C294" s="7" t="inlineStr">
        <ns0:is>
          <ns0:t>AURORA</ns0:t>
        </ns0:is>
      </ns0:c>
      <ns0:c r="D294" s="7" t="inlineStr">
        <ns0:is>
          <ns0:t>Ciclul Aurora</ns0:t>
        </ns0:is>
      </ns0:c>
      <ns0:c r="E294" s="8" t="n">
        <ns0:v>8</ns0:v>
      </ns0:c>
      <ns0:c r="F294" s="7" t="inlineStr">
        <ns0:is>
          <ns0:t>Aurora Admit</ns0:t>
        </ns0:is>
      </ns0:c>
      <ns0:c r="G294" s="7" t="inlineStr">
        <ns0:is>
          <ns0:t>RO</ns0:t>
        </ns0:is>
      </ns0:c>
      <ns0:c r="H294" s="7" t="inlineStr">
        <ns0:is>
          <ns0:t>EN</ns0:t>
        </ns0:is>
      </ns0:c>
      <ns0:c r="I294" s="7" t="inlineStr">
        <ns0:is>
          <ns0:t>Traducere EN→RO</ns0:t>
        </ns0:is>
      </ns0:c>
      <ns0:c r="J294" s="11" t="inlineStr">
        <ns0:is>
          <ns0:t>Planificat</ns0:t>
        </ns0:is>
      </ns0:c>
      <ns0:c r="K294" s="11" t="inlineStr">
        <ns0:is>
          <ns0:t>De desemnat</ns0:t>
        </ns0:is>
      </ns0:c>
      <ns0:c r="L294" s="8">
        <ns0:f>Catalog_100!I99</ns0:f>
        <ns0:v>30000</ns0:v>
      </ns0:c>
      <ns0:c r="M294" s="13">
        <ns0:f>Catalog_100!J99</ns0:f>
        <ns0:v>46305.0</ns0:v>
      </ns0:c>
      <ns0:c r="N294" s="13">
        <ns0:f>Catalog_100!K99</ns0:f>
        <ns0:v>46315.0</ns0:v>
      </ns0:c>
      <ns0:c r="O294" s="13">
        <ns0:f>Catalog_100!L99</ns0:f>
        <ns0:v>46317.0</ns0:v>
      </ns0:c>
      <ns0:c r="P294" s="13">
        <ns0:f>Catalog_100!M99</ns0:f>
        <ns0:v>46319.0</ns0:v>
      </ns0:c>
      <ns0:c r="Q294" s="11" t="inlineStr"/>
      <ns0:c r="R294" s="10" t="inlineStr"/>
      <ns0:c r="S294" s="11" t="inlineStr"/>
      <ns0:c r="T294" s="11" t="inlineStr"/>
      <ns0:c r="U294" s="11" t="inlineStr"/>
      <ns0:c r="V294" s="11" t="inlineStr">
        <ns0:is>
          <ns0:t>Neconfirmat</ns0:t>
        </ns0:is>
      </ns0:c>
      <ns0:c r="W294" s="11" t="inlineStr">
        <ns0:is>
          <ns0:t>Fără ediție finală confirmată</ns0:t>
        </ns0:is>
      </ns0:c>
      <ns0:c r="X294" s="7">
        <ns0:f>IF(AND(J294="Publicat",Q294&lt;&gt;"",ISNUMBER(R294),S294&lt;&gt;"",U294&lt;&gt;"",V294="Confirmat"),1,0)</ns0:f>
        <ns0:v>0</ns0:v>
      </ns0:c>
    </ns0:row>
    <ns0:row r="295" ht="46" customHeight="1">
      <ns0:c r="A295" s="7" t="inlineStr">
        <ns0:is>
          <ns0:t>DB-098-DE</ns0:t>
        </ns0:is>
      </ns0:c>
      <ns0:c r="B295" s="7" t="inlineStr">
        <ns0:is>
          <ns0:t>DB-098</ns0:t>
        </ns0:is>
      </ns0:c>
      <ns0:c r="C295" s="7" t="inlineStr">
        <ns0:is>
          <ns0:t>AURORA</ns0:t>
        </ns0:is>
      </ns0:c>
      <ns0:c r="D295" s="7" t="inlineStr">
        <ns0:is>
          <ns0:t>Ciclul Aurora</ns0:t>
        </ns0:is>
      </ns0:c>
      <ns0:c r="E295" s="8" t="n">
        <ns0:v>8</ns0:v>
      </ns0:c>
      <ns0:c r="F295" s="7" t="inlineStr">
        <ns0:is>
          <ns0:t>Aurora Admit</ns0:t>
        </ns0:is>
      </ns0:c>
      <ns0:c r="G295" s="7" t="inlineStr">
        <ns0:is>
          <ns0:t>DE</ns0:t>
        </ns0:is>
      </ns0:c>
      <ns0:c r="H295" s="7" t="inlineStr">
        <ns0:is>
          <ns0:t>EN</ns0:t>
        </ns0:is>
      </ns0:c>
      <ns0:c r="I295" s="7" t="inlineStr">
        <ns0:is>
          <ns0:t>Traducere EN→DE</ns0:t>
        </ns0:is>
      </ns0:c>
      <ns0:c r="J295" s="11" t="inlineStr">
        <ns0:is>
          <ns0:t>Planificat</ns0:t>
        </ns0:is>
      </ns0:c>
      <ns0:c r="K295" s="11" t="inlineStr">
        <ns0:is>
          <ns0:t>De desemnat</ns0:t>
        </ns0:is>
      </ns0:c>
      <ns0:c r="L295" s="8">
        <ns0:f>Catalog_100!I99</ns0:f>
        <ns0:v>30000</ns0:v>
      </ns0:c>
      <ns0:c r="M295" s="13">
        <ns0:f>Catalog_100!J99</ns0:f>
        <ns0:v>46305.0</ns0:v>
      </ns0:c>
      <ns0:c r="N295" s="13">
        <ns0:f>Catalog_100!K99</ns0:f>
        <ns0:v>46315.0</ns0:v>
      </ns0:c>
      <ns0:c r="O295" s="13">
        <ns0:f>Catalog_100!L99</ns0:f>
        <ns0:v>46317.0</ns0:v>
      </ns0:c>
      <ns0:c r="P295" s="13">
        <ns0:f>Catalog_100!M99</ns0:f>
        <ns0:v>46319.0</ns0:v>
      </ns0:c>
      <ns0:c r="Q295" s="11" t="inlineStr"/>
      <ns0:c r="R295" s="10" t="inlineStr"/>
      <ns0:c r="S295" s="11" t="inlineStr"/>
      <ns0:c r="T295" s="11" t="inlineStr"/>
      <ns0:c r="U295" s="11" t="inlineStr"/>
      <ns0:c r="V295" s="11" t="inlineStr">
        <ns0:is>
          <ns0:t>Neconfirmat</ns0:t>
        </ns0:is>
      </ns0:c>
      <ns0:c r="W295" s="11" t="inlineStr">
        <ns0:is>
          <ns0:t>Fără ediție finală confirmată</ns0:t>
        </ns0:is>
      </ns0:c>
      <ns0:c r="X295" s="7">
        <ns0:f>IF(AND(J295="Publicat",Q295&lt;&gt;"",ISNUMBER(R295),S295&lt;&gt;"",U295&lt;&gt;"",V295="Confirmat"),1,0)</ns0:f>
        <ns0:v>0</ns0:v>
      </ns0:c>
    </ns0:row>
    <ns0:row r="296" ht="46" customHeight="1">
      <ns0:c r="A296" s="7" t="inlineStr">
        <ns0:is>
          <ns0:t>DB-099-EN</ns0:t>
        </ns0:is>
      </ns0:c>
      <ns0:c r="B296" s="7" t="inlineStr">
        <ns0:is>
          <ns0:t>DB-099</ns0:t>
        </ns0:is>
      </ns0:c>
      <ns0:c r="C296" s="7" t="inlineStr">
        <ns0:is>
          <ns0:t>AURORA</ns0:t>
        </ns0:is>
      </ns0:c>
      <ns0:c r="D296" s="7" t="inlineStr">
        <ns0:is>
          <ns0:t>Ciclul Aurora</ns0:t>
        </ns0:is>
      </ns0:c>
      <ns0:c r="E296" s="8" t="n">
        <ns0:v>9</ns0:v>
      </ns0:c>
      <ns0:c r="F296" s="7" t="inlineStr">
        <ns0:is>
          <ns0:t>Aurora Signal</ns0:t>
        </ns0:is>
      </ns0:c>
      <ns0:c r="G296" s="7" t="inlineStr">
        <ns0:is>
          <ns0:t>EN</ns0:t>
        </ns0:is>
      </ns0:c>
      <ns0:c r="H296" s="7" t="inlineStr">
        <ns0:is>
          <ns0:t>EN</ns0:t>
        </ns0:is>
      </ns0:c>
      <ns0:c r="I296" s="7" t="inlineStr">
        <ns0:is>
          <ns0:t>Editare fond</ns0:t>
        </ns0:is>
      </ns0:c>
      <ns0:c r="J296" s="11" t="inlineStr">
        <ns0:is>
          <ns0:t>Incomplet</ns0:t>
        </ns0:is>
      </ns0:c>
      <ns0:c r="K296" s="11" t="inlineStr">
        <ns0:is>
          <ns0:t>De desemnat</ns0:t>
        </ns0:is>
      </ns0:c>
      <ns0:c r="L296" s="8">
        <ns0:f>Catalog_100!I100</ns0:f>
        <ns0:v>45000</ns0:v>
      </ns0:c>
      <ns0:c r="M296" s="13">
        <ns0:f>Catalog_100!J100</ns0:f>
        <ns0:v>46305.0</ns0:v>
      </ns0:c>
      <ns0:c r="N296" s="13">
        <ns0:f>Catalog_100!K100</ns0:f>
        <ns0:v>46315.0</ns0:v>
      </ns0:c>
      <ns0:c r="O296" s="13">
        <ns0:f>Catalog_100!L100</ns0:f>
        <ns0:v>46317.0</ns0:v>
      </ns0:c>
      <ns0:c r="P296" s="13">
        <ns0:f>Catalog_100!M100</ns0:f>
        <ns0:v>46319.0</ns0:v>
      </ns0:c>
      <ns0:c r="Q296" s="11" t="inlineStr"/>
      <ns0:c r="R296" s="10" t="inlineStr"/>
      <ns0:c r="S296" s="11" t="inlineStr"/>
      <ns0:c r="T296" s="11" t="inlineStr"/>
      <ns0:c r="U296" s="11" t="inlineStr"/>
      <ns0:c r="V296" s="11" t="inlineStr">
        <ns0:is>
          <ns0:t>Neconfirmat</ns0:t>
        </ns0:is>
      </ns0:c>
      <ns0:c r="W296" s="11" t="inlineStr">
        <ns0:is>
          <ns0:t>36,3k brute includ plan/anexe; numai cap.1–6 proză, interior separat circa 21,8k.</ns0:t>
        </ns0:is>
      </ns0:c>
      <ns0:c r="X296" s="7">
        <ns0:f>IF(AND(J296="Publicat",Q296&lt;&gt;"",ISNUMBER(R296),S296&lt;&gt;"",U296&lt;&gt;"",V296="Confirmat"),1,0)</ns0:f>
        <ns0:v>0</ns0:v>
      </ns0:c>
    </ns0:row>
    <ns0:row r="297" ht="46" customHeight="1">
      <ns0:c r="A297" s="7" t="inlineStr">
        <ns0:is>
          <ns0:t>DB-099-RO</ns0:t>
        </ns0:is>
      </ns0:c>
      <ns0:c r="B297" s="7" t="inlineStr">
        <ns0:is>
          <ns0:t>DB-099</ns0:t>
        </ns0:is>
      </ns0:c>
      <ns0:c r="C297" s="7" t="inlineStr">
        <ns0:is>
          <ns0:t>AURORA</ns0:t>
        </ns0:is>
      </ns0:c>
      <ns0:c r="D297" s="7" t="inlineStr">
        <ns0:is>
          <ns0:t>Ciclul Aurora</ns0:t>
        </ns0:is>
      </ns0:c>
      <ns0:c r="E297" s="8" t="n">
        <ns0:v>9</ns0:v>
      </ns0:c>
      <ns0:c r="F297" s="7" t="inlineStr">
        <ns0:is>
          <ns0:t>Aurora Signal</ns0:t>
        </ns0:is>
      </ns0:c>
      <ns0:c r="G297" s="7" t="inlineStr">
        <ns0:is>
          <ns0:t>RO</ns0:t>
        </ns0:is>
      </ns0:c>
      <ns0:c r="H297" s="7" t="inlineStr">
        <ns0:is>
          <ns0:t>EN</ns0:t>
        </ns0:is>
      </ns0:c>
      <ns0:c r="I297" s="7" t="inlineStr">
        <ns0:is>
          <ns0:t>Traducere EN→RO</ns0:t>
        </ns0:is>
      </ns0:c>
      <ns0:c r="J297" s="11" t="inlineStr">
        <ns0:is>
          <ns0:t>Planificat</ns0:t>
        </ns0:is>
      </ns0:c>
      <ns0:c r="K297" s="11" t="inlineStr">
        <ns0:is>
          <ns0:t>De desemnat</ns0:t>
        </ns0:is>
      </ns0:c>
      <ns0:c r="L297" s="8">
        <ns0:f>Catalog_100!I100</ns0:f>
        <ns0:v>45000</ns0:v>
      </ns0:c>
      <ns0:c r="M297" s="13">
        <ns0:f>Catalog_100!J100</ns0:f>
        <ns0:v>46305.0</ns0:v>
      </ns0:c>
      <ns0:c r="N297" s="13">
        <ns0:f>Catalog_100!K100</ns0:f>
        <ns0:v>46315.0</ns0:v>
      </ns0:c>
      <ns0:c r="O297" s="13">
        <ns0:f>Catalog_100!L100</ns0:f>
        <ns0:v>46317.0</ns0:v>
      </ns0:c>
      <ns0:c r="P297" s="13">
        <ns0:f>Catalog_100!M100</ns0:f>
        <ns0:v>46319.0</ns0:v>
      </ns0:c>
      <ns0:c r="Q297" s="11" t="inlineStr"/>
      <ns0:c r="R297" s="10" t="inlineStr"/>
      <ns0:c r="S297" s="11" t="inlineStr"/>
      <ns0:c r="T297" s="11" t="inlineStr"/>
      <ns0:c r="U297" s="11" t="inlineStr"/>
      <ns0:c r="V297" s="11" t="inlineStr">
        <ns0:is>
          <ns0:t>Neconfirmat</ns0:t>
        </ns0:is>
      </ns0:c>
      <ns0:c r="W297" s="11" t="inlineStr">
        <ns0:is>
          <ns0:t>Fără ediție finală confirmată</ns0:t>
        </ns0:is>
      </ns0:c>
      <ns0:c r="X297" s="7">
        <ns0:f>IF(AND(J297="Publicat",Q297&lt;&gt;"",ISNUMBER(R297),S297&lt;&gt;"",U297&lt;&gt;"",V297="Confirmat"),1,0)</ns0:f>
        <ns0:v>0</ns0:v>
      </ns0:c>
    </ns0:row>
    <ns0:row r="298" ht="46" customHeight="1">
      <ns0:c r="A298" s="7" t="inlineStr">
        <ns0:is>
          <ns0:t>DB-099-DE</ns0:t>
        </ns0:is>
      </ns0:c>
      <ns0:c r="B298" s="7" t="inlineStr">
        <ns0:is>
          <ns0:t>DB-099</ns0:t>
        </ns0:is>
      </ns0:c>
      <ns0:c r="C298" s="7" t="inlineStr">
        <ns0:is>
          <ns0:t>AURORA</ns0:t>
        </ns0:is>
      </ns0:c>
      <ns0:c r="D298" s="7" t="inlineStr">
        <ns0:is>
          <ns0:t>Ciclul Aurora</ns0:t>
        </ns0:is>
      </ns0:c>
      <ns0:c r="E298" s="8" t="n">
        <ns0:v>9</ns0:v>
      </ns0:c>
      <ns0:c r="F298" s="7" t="inlineStr">
        <ns0:is>
          <ns0:t>Aurora Signal</ns0:t>
        </ns0:is>
      </ns0:c>
      <ns0:c r="G298" s="7" t="inlineStr">
        <ns0:is>
          <ns0:t>DE</ns0:t>
        </ns0:is>
      </ns0:c>
      <ns0:c r="H298" s="7" t="inlineStr">
        <ns0:is>
          <ns0:t>EN</ns0:t>
        </ns0:is>
      </ns0:c>
      <ns0:c r="I298" s="7" t="inlineStr">
        <ns0:is>
          <ns0:t>Traducere EN→DE</ns0:t>
        </ns0:is>
      </ns0:c>
      <ns0:c r="J298" s="11" t="inlineStr">
        <ns0:is>
          <ns0:t>Planificat</ns0:t>
        </ns0:is>
      </ns0:c>
      <ns0:c r="K298" s="11" t="inlineStr">
        <ns0:is>
          <ns0:t>De desemnat</ns0:t>
        </ns0:is>
      </ns0:c>
      <ns0:c r="L298" s="8">
        <ns0:f>Catalog_100!I100</ns0:f>
        <ns0:v>45000</ns0:v>
      </ns0:c>
      <ns0:c r="M298" s="13">
        <ns0:f>Catalog_100!J100</ns0:f>
        <ns0:v>46305.0</ns0:v>
      </ns0:c>
      <ns0:c r="N298" s="13">
        <ns0:f>Catalog_100!K100</ns0:f>
        <ns0:v>46315.0</ns0:v>
      </ns0:c>
      <ns0:c r="O298" s="13">
        <ns0:f>Catalog_100!L100</ns0:f>
        <ns0:v>46317.0</ns0:v>
      </ns0:c>
      <ns0:c r="P298" s="13">
        <ns0:f>Catalog_100!M100</ns0:f>
        <ns0:v>46319.0</ns0:v>
      </ns0:c>
      <ns0:c r="Q298" s="11" t="inlineStr"/>
      <ns0:c r="R298" s="10" t="inlineStr"/>
      <ns0:c r="S298" s="11" t="inlineStr"/>
      <ns0:c r="T298" s="11" t="inlineStr"/>
      <ns0:c r="U298" s="11" t="inlineStr"/>
      <ns0:c r="V298" s="11" t="inlineStr">
        <ns0:is>
          <ns0:t>Neconfirmat</ns0:t>
        </ns0:is>
      </ns0:c>
      <ns0:c r="W298" s="11" t="inlineStr">
        <ns0:is>
          <ns0:t>Fără ediție finală confirmată</ns0:t>
        </ns0:is>
      </ns0:c>
      <ns0:c r="X298" s="7">
        <ns0:f>IF(AND(J298="Publicat",Q298&lt;&gt;"",ISNUMBER(R298),S298&lt;&gt;"",U298&lt;&gt;"",V298="Confirmat"),1,0)</ns0:f>
        <ns0:v>0</ns0:v>
      </ns0:c>
    </ns0:row>
    <ns0:row r="299" ht="46" customHeight="1">
      <ns0:c r="A299" s="7" t="inlineStr">
        <ns0:is>
          <ns0:t>DB-100-EN</ns0:t>
        </ns0:is>
      </ns0:c>
      <ns0:c r="B299" s="7" t="inlineStr">
        <ns0:is>
          <ns0:t>DB-100</ns0:t>
        </ns0:is>
      </ns0:c>
      <ns0:c r="C299" s="7" t="inlineStr">
        <ns0:is>
          <ns0:t>AURORA</ns0:t>
        </ns0:is>
      </ns0:c>
      <ns0:c r="D299" s="7" t="inlineStr">
        <ns0:is>
          <ns0:t>Ciclul Aurora</ns0:t>
        </ns0:is>
      </ns0:c>
      <ns0:c r="E299" s="8" t="n">
        <ns0:v>10</ns0:v>
      </ns0:c>
      <ns0:c r="F299" s="7" t="inlineStr">
        <ns0:is>
          <ns0:t>Aurora Compass</ns0:t>
        </ns0:is>
      </ns0:c>
      <ns0:c r="G299" s="7" t="inlineStr">
        <ns0:is>
          <ns0:t>EN</ns0:t>
        </ns0:is>
      </ns0:c>
      <ns0:c r="H299" s="7" t="inlineStr">
        <ns0:is>
          <ns0:t>EN</ns0:t>
        </ns0:is>
      </ns0:c>
      <ns0:c r="I299" s="7" t="inlineStr">
        <ns0:is>
          <ns0:t>Editare fond</ns0:t>
        </ns0:is>
      </ns0:c>
      <ns0:c r="J299" s="11" t="inlineStr">
        <ns0:is>
          <ns0:t>Manuscris existent</ns0:t>
        </ns0:is>
      </ns0:c>
      <ns0:c r="K299" s="11" t="inlineStr">
        <ns0:is>
          <ns0:t>De desemnat</ns0:t>
        </ns0:is>
      </ns0:c>
      <ns0:c r="L299" s="8">
        <ns0:f>Catalog_100!I101</ns0:f>
        <ns0:v>30000</ns0:v>
      </ns0:c>
      <ns0:c r="M299" s="13">
        <ns0:f>Catalog_100!J101</ns0:f>
        <ns0:v>46305.0</ns0:v>
      </ns0:c>
      <ns0:c r="N299" s="13">
        <ns0:f>Catalog_100!K101</ns0:f>
        <ns0:v>46315.0</ns0:v>
      </ns0:c>
      <ns0:c r="O299" s="13">
        <ns0:f>Catalog_100!L101</ns0:f>
        <ns0:v>46317.0</ns0:v>
      </ns0:c>
      <ns0:c r="P299" s="13">
        <ns0:f>Catalog_100!M101</ns0:f>
        <ns0:v>46319.0</ns0:v>
      </ns0:c>
      <ns0:c r="Q299" s="11" t="inlineStr"/>
      <ns0:c r="R299" s="10" t="inlineStr"/>
      <ns0:c r="S299" s="11" t="inlineStr"/>
      <ns0:c r="T299" s="11" t="inlineStr"/>
      <ns0:c r="U299" s="11" t="inlineStr"/>
      <ns0:c r="V299" s="11" t="inlineStr">
        <ns0:is>
          <ns0:t>Neconfirmat</ns0:t>
        </ns0:is>
      </ns0:c>
      <ns0:c r="W299" s="11" t="inlineStr">
        <ns0:is>
          <ns0:t>Autor generic în sursă versus pseudonim comercial; metanote REVISED.</ns0:t>
        </ns0:is>
      </ns0:c>
      <ns0:c r="X299" s="7">
        <ns0:f>IF(AND(J299="Publicat",Q299&lt;&gt;"",ISNUMBER(R299),S299&lt;&gt;"",U299&lt;&gt;"",V299="Confirmat"),1,0)</ns0:f>
        <ns0:v>0</ns0:v>
      </ns0:c>
    </ns0:row>
    <ns0:row r="300" ht="46" customHeight="1">
      <ns0:c r="A300" s="7" t="inlineStr">
        <ns0:is>
          <ns0:t>DB-100-RO</ns0:t>
        </ns0:is>
      </ns0:c>
      <ns0:c r="B300" s="7" t="inlineStr">
        <ns0:is>
          <ns0:t>DB-100</ns0:t>
        </ns0:is>
      </ns0:c>
      <ns0:c r="C300" s="7" t="inlineStr">
        <ns0:is>
          <ns0:t>AURORA</ns0:t>
        </ns0:is>
      </ns0:c>
      <ns0:c r="D300" s="7" t="inlineStr">
        <ns0:is>
          <ns0:t>Ciclul Aurora</ns0:t>
        </ns0:is>
      </ns0:c>
      <ns0:c r="E300" s="8" t="n">
        <ns0:v>10</ns0:v>
      </ns0:c>
      <ns0:c r="F300" s="7" t="inlineStr">
        <ns0:is>
          <ns0:t>Aurora Compass</ns0:t>
        </ns0:is>
      </ns0:c>
      <ns0:c r="G300" s="7" t="inlineStr">
        <ns0:is>
          <ns0:t>RO</ns0:t>
        </ns0:is>
      </ns0:c>
      <ns0:c r="H300" s="7" t="inlineStr">
        <ns0:is>
          <ns0:t>EN</ns0:t>
        </ns0:is>
      </ns0:c>
      <ns0:c r="I300" s="7" t="inlineStr">
        <ns0:is>
          <ns0:t>Traducere EN→RO</ns0:t>
        </ns0:is>
      </ns0:c>
      <ns0:c r="J300" s="11" t="inlineStr">
        <ns0:is>
          <ns0:t>Planificat</ns0:t>
        </ns0:is>
      </ns0:c>
      <ns0:c r="K300" s="11" t="inlineStr">
        <ns0:is>
          <ns0:t>De desemnat</ns0:t>
        </ns0:is>
      </ns0:c>
      <ns0:c r="L300" s="8">
        <ns0:f>Catalog_100!I101</ns0:f>
        <ns0:v>30000</ns0:v>
      </ns0:c>
      <ns0:c r="M300" s="13">
        <ns0:f>Catalog_100!J101</ns0:f>
        <ns0:v>46305.0</ns0:v>
      </ns0:c>
      <ns0:c r="N300" s="13">
        <ns0:f>Catalog_100!K101</ns0:f>
        <ns0:v>46315.0</ns0:v>
      </ns0:c>
      <ns0:c r="O300" s="13">
        <ns0:f>Catalog_100!L101</ns0:f>
        <ns0:v>46317.0</ns0:v>
      </ns0:c>
      <ns0:c r="P300" s="13">
        <ns0:f>Catalog_100!M101</ns0:f>
        <ns0:v>46319.0</ns0:v>
      </ns0:c>
      <ns0:c r="Q300" s="11" t="inlineStr"/>
      <ns0:c r="R300" s="10" t="inlineStr"/>
      <ns0:c r="S300" s="11" t="inlineStr"/>
      <ns0:c r="T300" s="11" t="inlineStr"/>
      <ns0:c r="U300" s="11" t="inlineStr"/>
      <ns0:c r="V300" s="11" t="inlineStr">
        <ns0:is>
          <ns0:t>Neconfirmat</ns0:t>
        </ns0:is>
      </ns0:c>
      <ns0:c r="W300" s="11" t="inlineStr">
        <ns0:is>
          <ns0:t>Fără ediție finală confirmată</ns0:t>
        </ns0:is>
      </ns0:c>
      <ns0:c r="X300" s="7">
        <ns0:f>IF(AND(J300="Publicat",Q300&lt;&gt;"",ISNUMBER(R300),S300&lt;&gt;"",U300&lt;&gt;"",V300="Confirmat"),1,0)</ns0:f>
        <ns0:v>0</ns0:v>
      </ns0:c>
    </ns0:row>
    <ns0:row r="301" ht="46" customHeight="1">
      <ns0:c r="A301" s="7" t="inlineStr">
        <ns0:is>
          <ns0:t>DB-100-DE</ns0:t>
        </ns0:is>
      </ns0:c>
      <ns0:c r="B301" s="7" t="inlineStr">
        <ns0:is>
          <ns0:t>DB-100</ns0:t>
        </ns0:is>
      </ns0:c>
      <ns0:c r="C301" s="7" t="inlineStr">
        <ns0:is>
          <ns0:t>AURORA</ns0:t>
        </ns0:is>
      </ns0:c>
      <ns0:c r="D301" s="7" t="inlineStr">
        <ns0:is>
          <ns0:t>Ciclul Aurora</ns0:t>
        </ns0:is>
      </ns0:c>
      <ns0:c r="E301" s="8" t="n">
        <ns0:v>10</ns0:v>
      </ns0:c>
      <ns0:c r="F301" s="7" t="inlineStr">
        <ns0:is>
          <ns0:t>Aurora Compass</ns0:t>
        </ns0:is>
      </ns0:c>
      <ns0:c r="G301" s="7" t="inlineStr">
        <ns0:is>
          <ns0:t>DE</ns0:t>
        </ns0:is>
      </ns0:c>
      <ns0:c r="H301" s="7" t="inlineStr">
        <ns0:is>
          <ns0:t>EN</ns0:t>
        </ns0:is>
      </ns0:c>
      <ns0:c r="I301" s="7" t="inlineStr">
        <ns0:is>
          <ns0:t>Traducere EN→DE</ns0:t>
        </ns0:is>
      </ns0:c>
      <ns0:c r="J301" s="11" t="inlineStr">
        <ns0:is>
          <ns0:t>Planificat</ns0:t>
        </ns0:is>
      </ns0:c>
      <ns0:c r="K301" s="11" t="inlineStr">
        <ns0:is>
          <ns0:t>De desemnat</ns0:t>
        </ns0:is>
      </ns0:c>
      <ns0:c r="L301" s="8">
        <ns0:f>Catalog_100!I101</ns0:f>
        <ns0:v>30000</ns0:v>
      </ns0:c>
      <ns0:c r="M301" s="13">
        <ns0:f>Catalog_100!J101</ns0:f>
        <ns0:v>46305.0</ns0:v>
      </ns0:c>
      <ns0:c r="N301" s="13">
        <ns0:f>Catalog_100!K101</ns0:f>
        <ns0:v>46315.0</ns0:v>
      </ns0:c>
      <ns0:c r="O301" s="13">
        <ns0:f>Catalog_100!L101</ns0:f>
        <ns0:v>46317.0</ns0:v>
      </ns0:c>
      <ns0:c r="P301" s="13">
        <ns0:f>Catalog_100!M101</ns0:f>
        <ns0:v>46319.0</ns0:v>
      </ns0:c>
      <ns0:c r="Q301" s="11" t="inlineStr"/>
      <ns0:c r="R301" s="10" t="inlineStr"/>
      <ns0:c r="S301" s="11" t="inlineStr"/>
      <ns0:c r="T301" s="11" t="inlineStr"/>
      <ns0:c r="U301" s="11" t="inlineStr"/>
      <ns0:c r="V301" s="11" t="inlineStr">
        <ns0:is>
          <ns0:t>Neconfirmat</ns0:t>
        </ns0:is>
      </ns0:c>
      <ns0:c r="W301" s="11" t="inlineStr">
        <ns0:is>
          <ns0:t>Fără ediție finală confirmată</ns0:t>
        </ns0:is>
      </ns0:c>
      <ns0:c r="X301" s="7">
        <ns0:f>IF(AND(J301="Publicat",Q301&lt;&gt;"",ISNUMBER(R301),S301&lt;&gt;"",U301&lt;&gt;"",V301="Confirmat"),1,0)</ns0:f>
        <ns0:v>0</ns0:v>
      </ns0:c>
    </ns0:row>
  </ns0:sheetData>
  <ns0:dataValidations count="2">
    <ns0:dataValidation sqref="J2:J301" showDropDown="0" showInputMessage="0" showErrorMessage="1" allowBlank="0" errorTitle="Valoare nepermisă" error="Alege o valoare din listă." type="list" errorStyle="stop">
      <ns0:formula1>"Planificat,Manuscris existent,Incomplet,În scriere,În traducere,În revizie,Aprobat,Publicat,Blocat"</ns0:formula1>
    </ns0:dataValidation>
    <ns0:dataValidation sqref="V2:V301" showDropDown="0" showInputMessage="0" showErrorMessage="1" allowBlank="0" errorTitle="Valoare nepermisă" error="Alege o valoare din listă." type="list" errorStyle="stop">
      <ns0:formula1>"Neconfirmat,Confirmat"</ns0:formula1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2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52" customWidth="1" min="2" max="2"/>
    <ns0:col width="23" customWidth="1" min="3" max="3"/>
    <ns0:col width="25" customWidth="1" min="4" max="4"/>
    <ns0:col width="18" customWidth="1" min="5" max="5"/>
    <ns0:col width="23" customWidth="1" min="6" max="6"/>
    <ns0:col width="25" customWidth="1" min="7" max="7"/>
    <ns0:col width="60" customWidth="1" min="8" max="8"/>
  </ns0:cols>
  <ns0:sheetData>
    <ns0:row r="1" ht="36" customHeight="1">
      <ns0:c r="A1" s="6" t="inlineStr">
        <ns0:is>
          <ns0:t>Interval</ns0:t>
        </ns0:is>
      </ns0:c>
      <ns0:c r="B1" s="6" t="inlineStr">
        <ns0:is>
          <ns0:t>Livrabil</ns0:t>
        </ns0:is>
      </ns0:c>
      <ns0:c r="C1" s="6" t="inlineStr">
        <ns0:is>
          <ns0:t>Mastere EN cumulative</ns0:t>
        </ns0:is>
      </ns0:c>
      <ns0:c r="D1" s="6" t="inlineStr">
        <ns0:is>
          <ns0:t>Titluri trilingve cumulative</ns0:t>
        </ns0:is>
      </ns0:c>
      <ns0:c r="E1" s="6" t="inlineStr">
        <ns0:is>
          <ns0:t>Deadline</ns0:t>
        </ns0:is>
      </ns0:c>
      <ns0:c r="F1" s="6" t="inlineStr">
        <ns0:is>
          <ns0:t>Realizat — de completat</ns0:t>
        </ns0:is>
      </ns0:c>
      <ns0:c r="G1" s="6" t="inlineStr">
        <ns0:is>
          <ns0:t>Responsabil</ns0:t>
        </ns0:is>
      </ns0:c>
      <ns0:c r="H1" s="6" t="inlineStr">
        <ns0:is>
          <ns0:t>Observații</ns0:t>
        </ns0:is>
      </ns0:c>
    </ns0:row>
    <ns0:row r="2" ht="50" customHeight="1">
      <ns0:c r="A2" s="7" t="inlineStr">
        <ns0:is>
          <ns0:t>23–27 sept.</ns0:t>
        </ns0:is>
      </ns0:c>
      <ns0:c r="B2" s="7" t="inlineStr">
        <ns0:is>
          <ns0:t>Audit, canon, echipă, probe, finanțare</ns0:t>
        </ns0:is>
      </ns0:c>
      <ns0:c r="C2" s="8" t="n">
        <ns0:v>0</ns0:v>
      </ns0:c>
      <ns0:c r="D2" s="8" t="n">
        <ns0:v>0</ns0:v>
      </ns0:c>
      <ns0:c r="E2" s="13" t="n">
        <ns0:v>46292</ns0:v>
      </ns0:c>
      <ns0:c r="F2" s="11" t="inlineStr"/>
      <ns0:c r="G2" s="7" t="inlineStr">
        <ns0:is>
          <ns0:t>De desemnat</ns0:t>
        </ns0:is>
      </ns0:c>
      <ns0:c r="H2" s="7" t="inlineStr">
        <ns0:is>
          <ns0:t>Scenariu condiționat de capacitate și finanțare</ns0:t>
        </ns0:is>
      </ns0:c>
    </ns0:row>
    <ns0:row r="3" ht="50" customHeight="1">
      <ns0:c r="A3" s="7" t="inlineStr">
        <ns0:is>
          <ns0:t>28 sept.–4 oct.</ns0:t>
        </ns0:is>
      </ns0:c>
      <ns0:c r="B3" s="7" t="inlineStr">
        <ns0:is>
          <ns0:t>4 mastere pilot; scriere în paralel</ns0:t>
        </ns0:is>
      </ns0:c>
      <ns0:c r="C3" s="8" t="n">
        <ns0:v>4</ns0:v>
      </ns0:c>
      <ns0:c r="D3" s="8" t="n">
        <ns0:v>0</ns0:v>
      </ns0:c>
      <ns0:c r="E3" s="13" t="n">
        <ns0:v>46299</ns0:v>
      </ns0:c>
      <ns0:c r="F3" s="11" t="inlineStr"/>
      <ns0:c r="G3" s="7" t="inlineStr">
        <ns0:is>
          <ns0:t>De desemnat</ns0:t>
        </ns0:is>
      </ns0:c>
      <ns0:c r="H3" s="7" t="inlineStr">
        <ns0:is>
          <ns0:t>Scenariu condiționat de capacitate și finanțare</ns0:t>
        </ns0:is>
      </ns0:c>
    </ns0:row>
    <ns0:row r="4" ht="50" customHeight="1">
      <ns0:c r="A4" s="7" t="inlineStr">
        <ns0:is>
          <ns0:t>5–11 oct.</ns0:t>
        </ns0:is>
      </ns0:c>
      <ns0:c r="B4" s="7" t="inlineStr">
        <ns0:is>
          <ns0:t>17 existente + 20 noi; pilot trilingv</ns0:t>
        </ns0:is>
      </ns0:c>
      <ns0:c r="C4" s="8" t="n">
        <ns0:v>37</ns0:v>
      </ns0:c>
      <ns0:c r="D4" s="8" t="n">
        <ns0:v>4</ns0:v>
      </ns0:c>
      <ns0:c r="E4" s="13" t="n">
        <ns0:v>46306</ns0:v>
      </ns0:c>
      <ns0:c r="F4" s="11" t="inlineStr"/>
      <ns0:c r="G4" s="7" t="inlineStr">
        <ns0:is>
          <ns0:t>De desemnat</ns0:t>
        </ns0:is>
      </ns0:c>
      <ns0:c r="H4" s="7" t="inlineStr">
        <ns0:is>
          <ns0:t>Scenariu condiționat de capacitate și finanțare</ns0:t>
        </ns0:is>
      </ns0:c>
    </ns0:row>
    <ns0:row r="5" ht="50" customHeight="1">
      <ns0:c r="A5" s="7" t="inlineStr">
        <ns0:is>
          <ns0:t>12–18 oct.</ns0:t>
        </ns0:is>
      </ns0:c>
      <ns0:c r="B5" s="7" t="inlineStr">
        <ns0:is>
          <ns0:t>20 mastere noi; fond în traducere</ns0:t>
        </ns0:is>
      </ns0:c>
      <ns0:c r="C5" s="8" t="n">
        <ns0:v>57</ns0:v>
      </ns0:c>
      <ns0:c r="D5" s="8" t="n">
        <ns0:v>4</ns0:v>
      </ns0:c>
      <ns0:c r="E5" s="13" t="n">
        <ns0:v>46313</ns0:v>
      </ns0:c>
      <ns0:c r="F5" s="11" t="inlineStr"/>
      <ns0:c r="G5" s="7" t="inlineStr">
        <ns0:is>
          <ns0:t>De desemnat</ns0:t>
        </ns0:is>
      </ns0:c>
      <ns0:c r="H5" s="7" t="inlineStr">
        <ns0:is>
          <ns0:t>Scenariu condiționat de capacitate și finanțare</ns0:t>
        </ns0:is>
      </ns0:c>
    </ns0:row>
    <ns0:row r="6" ht="50" customHeight="1">
      <ns0:c r="A6" s="7" t="inlineStr">
        <ns0:is>
          <ns0:t>19–25 oct.</ns0:t>
        </ns0:is>
      </ns0:c>
      <ns0:c r="B6" s="7" t="inlineStr">
        <ns0:is>
          <ns0:t>77 mastere; 17 titluri trilingve</ns0:t>
        </ns0:is>
      </ns0:c>
      <ns0:c r="C6" s="8" t="n">
        <ns0:v>77</ns0:v>
      </ns0:c>
      <ns0:c r="D6" s="8" t="n">
        <ns0:v>17</ns0:v>
      </ns0:c>
      <ns0:c r="E6" s="13" t="n">
        <ns0:v>46320</ns0:v>
      </ns0:c>
      <ns0:c r="F6" s="11" t="inlineStr"/>
      <ns0:c r="G6" s="7" t="inlineStr">
        <ns0:is>
          <ns0:t>De desemnat</ns0:t>
        </ns0:is>
      </ns0:c>
      <ns0:c r="H6" s="7" t="inlineStr">
        <ns0:is>
          <ns0:t>Scenariu condiționat de capacitate și finanțare</ns0:t>
        </ns0:is>
      </ns0:c>
    </ns0:row>
    <ns0:row r="7" ht="50" customHeight="1">
      <ns0:c r="A7" s="7" t="inlineStr">
        <ns0:is>
          <ns0:t>26 oct.–1 nov.</ns0:t>
        </ns0:is>
      </ns0:c>
      <ns0:c r="B7" s="7" t="inlineStr">
        <ns0:is>
          <ns0:t>100 mastere; lot A disponibil</ns0:t>
        </ns0:is>
      </ns0:c>
      <ns0:c r="C7" s="8" t="n">
        <ns0:v>100</ns0:v>
      </ns0:c>
      <ns0:c r="D7" s="8" t="n">
        <ns0:v>37</ns0:v>
      </ns0:c>
      <ns0:c r="E7" s="13" t="n">
        <ns0:v>46327</ns0:v>
      </ns0:c>
      <ns0:c r="F7" s="11" t="inlineStr"/>
      <ns0:c r="G7" s="7" t="inlineStr">
        <ns0:is>
          <ns0:t>De desemnat</ns0:t>
        </ns0:is>
      </ns0:c>
      <ns0:c r="H7" s="7" t="inlineStr">
        <ns0:is>
          <ns0:t>Scenariu condiționat de capacitate și finanțare</ns0:t>
        </ns0:is>
      </ns0:c>
    </ns0:row>
    <ns0:row r="8" ht="50" customHeight="1">
      <ns0:c r="A8" s="7" t="inlineStr">
        <ns0:is>
          <ns0:t>2–8 nov.</ns0:t>
        </ns0:is>
      </ns0:c>
      <ns0:c r="B8" s="7" t="inlineStr">
        <ns0:is>
          <ns0:t>Lot B trilingv</ns0:t>
        </ns0:is>
      </ns0:c>
      <ns0:c r="C8" s="8" t="n">
        <ns0:v>100</ns0:v>
      </ns0:c>
      <ns0:c r="D8" s="8" t="n">
        <ns0:v>57</ns0:v>
      </ns0:c>
      <ns0:c r="E8" s="13" t="n">
        <ns0:v>46334</ns0:v>
      </ns0:c>
      <ns0:c r="F8" s="11" t="inlineStr"/>
      <ns0:c r="G8" s="7" t="inlineStr">
        <ns0:is>
          <ns0:t>De desemnat</ns0:t>
        </ns0:is>
      </ns0:c>
      <ns0:c r="H8" s="7" t="inlineStr">
        <ns0:is>
          <ns0:t>Scenariu condiționat de capacitate și finanțare</ns0:t>
        </ns0:is>
      </ns0:c>
    </ns0:row>
    <ns0:row r="9" ht="50" customHeight="1">
      <ns0:c r="A9" s="7" t="inlineStr">
        <ns0:is>
          <ns0:t>9–15 nov.</ns0:t>
        </ns0:is>
      </ns0:c>
      <ns0:c r="B9" s="7" t="inlineStr">
        <ns0:is>
          <ns0:t>Lot C trilingv</ns0:t>
        </ns0:is>
      </ns0:c>
      <ns0:c r="C9" s="8" t="n">
        <ns0:v>100</ns0:v>
      </ns0:c>
      <ns0:c r="D9" s="8" t="n">
        <ns0:v>77</ns0:v>
      </ns0:c>
      <ns0:c r="E9" s="13" t="n">
        <ns0:v>46341</ns0:v>
      </ns0:c>
      <ns0:c r="F9" s="11" t="inlineStr"/>
      <ns0:c r="G9" s="7" t="inlineStr">
        <ns0:is>
          <ns0:t>De desemnat</ns0:t>
        </ns0:is>
      </ns0:c>
      <ns0:c r="H9" s="7" t="inlineStr">
        <ns0:is>
          <ns0:t>Scenariu condiționat de capacitate și finanțare</ns0:t>
        </ns0:is>
      </ns0:c>
    </ns0:row>
    <ns0:row r="10" ht="50" customHeight="1">
      <ns0:c r="A10" s="7" t="inlineStr">
        <ns0:is>
          <ns0:t>16–22 nov.</ns0:t>
        </ns0:is>
      </ns0:c>
      <ns0:c r="B10" s="7" t="inlineStr">
        <ns0:is>
          <ns0:t>Lot D trilingv</ns0:t>
        </ns0:is>
      </ns0:c>
      <ns0:c r="C10" s="8" t="n">
        <ns0:v>100</ns0:v>
      </ns0:c>
      <ns0:c r="D10" s="8" t="n">
        <ns0:v>92</ns0:v>
      </ns0:c>
      <ns0:c r="E10" s="13" t="n">
        <ns0:v>46348</ns0:v>
      </ns0:c>
      <ns0:c r="F10" s="11" t="inlineStr"/>
      <ns0:c r="G10" s="7" t="inlineStr">
        <ns0:is>
          <ns0:t>De desemnat</ns0:t>
        </ns0:is>
      </ns0:c>
      <ns0:c r="H10" s="7" t="inlineStr">
        <ns0:is>
          <ns0:t>Scenariu condiționat de capacitate și finanțare</ns0:t>
        </ns0:is>
      </ns0:c>
    </ns0:row>
    <ns0:row r="11" ht="50" customHeight="1">
      <ns0:c r="A11" s="7" t="inlineStr">
        <ns0:is>
          <ns0:t>23–29 nov.</ns0:t>
        </ns0:is>
      </ns0:c>
      <ns0:c r="B11" s="7" t="inlineStr">
        <ns0:is>
          <ns0:t>100 titluri până la 28.11</ns0:t>
        </ns0:is>
      </ns0:c>
      <ns0:c r="C11" s="8" t="n">
        <ns0:v>100</ns0:v>
      </ns0:c>
      <ns0:c r="D11" s="8" t="n">
        <ns0:v>100</ns0:v>
      </ns0:c>
      <ns0:c r="E11" s="13" t="n">
        <ns0:v>46355</ns0:v>
      </ns0:c>
      <ns0:c r="F11" s="11" t="inlineStr"/>
      <ns0:c r="G11" s="7" t="inlineStr">
        <ns0:is>
          <ns0:t>De desemnat</ns0:t>
        </ns0:is>
      </ns0:c>
      <ns0:c r="H11" s="7" t="inlineStr">
        <ns0:is>
          <ns0:t>Scenariu condiționat de capacitate și finanțare</ns0:t>
        </ns0:is>
      </ns0:c>
    </ns0:row>
    <ns0:row r="12" ht="50" customHeight="1">
      <ns0:c r="A12" s="7" t="inlineStr">
        <ns0:is>
          <ns0:t>30 nov.–1 dec.</ns0:t>
        </ns0:is>
      </ns0:c>
      <ns0:c r="B12" s="7" t="inlineStr">
        <ns0:is>
          <ns0:t>Audit și acceptare finală</ns0:t>
        </ns0:is>
      </ns0:c>
      <ns0:c r="C12" s="8" t="n">
        <ns0:v>100</ns0:v>
      </ns0:c>
      <ns0:c r="D12" s="8" t="n">
        <ns0:v>100</ns0:v>
      </ns0:c>
      <ns0:c r="E12" s="13" t="n">
        <ns0:v>46357</ns0:v>
      </ns0:c>
      <ns0:c r="F12" s="11" t="inlineStr"/>
      <ns0:c r="G12" s="7" t="inlineStr">
        <ns0:is>
          <ns0:t>De desemnat</ns0:t>
        </ns0:is>
      </ns0:c>
      <ns0:c r="H12" s="7" t="inlineStr">
        <ns0:is>
          <ns0:t>Scenariu condiționat de capacitate și finanțare</ns0:t>
        </ns0:is>
      </ns0:c>
    </ns0:row>
  </ns0:sheetData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20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20" customWidth="1" min="2" max="2"/>
    <ns0:col width="20" customWidth="1" min="3" max="3"/>
    <ns0:col width="26" customWidth="1" min="4" max="4"/>
    <ns0:col width="28" customWidth="1" min="5" max="5"/>
    <ns0:col width="24" customWidth="1" min="6" max="6"/>
    <ns0:col width="21" customWidth="1" min="7" max="7"/>
    <ns0:col width="21" customWidth="1" min="8" max="8"/>
  </ns0:cols>
  <ns0:sheetData>
    <ns0:row r="1" ht="36" customHeight="1">
      <ns0:c r="A1" s="6" t="inlineStr">
        <ns0:is>
          <ns0:t>Activitate</ns0:t>
        </ns0:is>
      </ns0:c>
      <ns0:c r="B1" s="6" t="inlineStr">
        <ns0:is>
          <ns0:t>Volum</ns0:t>
        </ns0:is>
      </ns0:c>
      <ns0:c r="C1" s="6" t="inlineStr">
        <ns0:is>
          <ns0:t>Unitate</ns0:t>
        </ns0:is>
      </ns0:c>
      <ns0:c r="D1" s="6" t="inlineStr">
        <ns0:is>
          <ns0:t>Unități acceptate / oră</ns0:t>
        </ns0:is>
      </ns0:c>
      <ns0:c r="E1" s="6" t="inlineStr">
        <ns0:is>
          <ns0:t>Zile productive / persoană</ns0:t>
        </ns0:is>
      </ns0:c>
      <ns0:c r="F1" s="6" t="inlineStr">
        <ns0:is>
          <ns0:t>Ore productive / zi</ns0:t>
        </ns0:is>
      </ns0:c>
      <ns0:c r="G1" s="6" t="inlineStr">
        <ns0:is>
          <ns0:t>Ore necesare</ns0:t>
        </ns0:is>
      </ns0:c>
      <ns0:c r="H1" s="6" t="inlineStr">
        <ns0:is>
          <ns0:t>Echiv. persoane</ns0:t>
        </ns0:is>
      </ns0:c>
    </ns0:row>
    <ns0:row r="2" ht="42" customHeight="1">
      <ns0:c r="A2" s="7" t="inlineStr">
        <ns0:is>
          <ns0:t>Scriere nouă acceptată</ns0:t>
        </ns0:is>
      </ns0:c>
      <ns0:c r="B2" s="8">
        <ns0:f>SUMIF(Catalog_100!F2:F101,"Nou",Catalog_100!I2:I101)</ns0:f>
        <ns0:v>4440000</ns0:v>
      </ns0:c>
      <ns0:c r="C2" s="7" t="inlineStr">
        <ns0:is>
          <ns0:t>cuvinte</ns0:t>
        </ns0:is>
      </ns0:c>
      <ns0:c r="D2" s="14" t="n">
        <ns0:v>700</ns0:v>
      </ns0:c>
      <ns0:c r="E2" s="9" t="n">
        <ns0:v>25</ns0:v>
      </ns0:c>
      <ns0:c r="F2" s="9" t="n">
        <ns0:v>5</ns0:v>
      </ns0:c>
      <ns0:c r="G2" s="15">
        <ns0:f>B2/D2</ns0:f>
        <ns0:v>6342.857142857143</ns0:v>
      </ns0:c>
      <ns0:c r="H2" s="7">
        <ns0:f>ROUNDUP(G2/(E2*F2),0)</ns0:f>
        <ns0:v>51</ns0:v>
      </ns0:c>
    </ns0:row>
    <ns0:row r="3" ht="42" customHeight="1">
      <ns0:c r="A3" s="7" t="inlineStr">
        <ns0:is>
          <ns0:t>Restructurare fond</ns0:t>
        </ns0:is>
      </ns0:c>
      <ns0:c r="B3" s="8">
        <ns0:f>SUMIF(Catalog_100!F2:F101,"Fond",Catalog_100!I2:I101)</ns0:f>
        <ns0:v>979000</ns0:v>
      </ns0:c>
      <ns0:c r="C3" s="7" t="inlineStr">
        <ns0:is>
          <ns0:t>cuvinte</ns0:t>
        </ns0:is>
      </ns0:c>
      <ns0:c r="D3" s="14" t="n">
        <ns0:v>1000</ns0:v>
      </ns0:c>
      <ns0:c r="E3" s="9" t="n">
        <ns0:v>20</ns0:v>
      </ns0:c>
      <ns0:c r="F3" s="9" t="n">
        <ns0:v>5</ns0:v>
      </ns0:c>
      <ns0:c r="G3" s="15">
        <ns0:f>B3/D3</ns0:f>
        <ns0:v>979.0</ns0:v>
      </ns0:c>
      <ns0:c r="H3" s="7">
        <ns0:f>ROUNDUP(G3/(E3*F3),0)</ns0:f>
        <ns0:v>10</ns0:v>
      </ns0:c>
    </ns0:row>
    <ns0:row r="4" ht="42" customHeight="1">
      <ns0:c r="A4" s="7" t="inlineStr">
        <ns0:is>
          <ns0:t>Editare EN</ns0:t>
        </ns0:is>
      </ns0:c>
      <ns0:c r="B4" s="8">
        <ns0:f>SUM(Catalog_100!I2:I101)</ns0:f>
        <ns0:v>5419000</ns0:v>
      </ns0:c>
      <ns0:c r="C4" s="7" t="inlineStr">
        <ns0:is>
          <ns0:t>cuvinte</ns0:t>
        </ns0:is>
      </ns0:c>
      <ns0:c r="D4" s="14" t="n">
        <ns0:v>1500</ns0:v>
      </ns0:c>
      <ns0:c r="E4" s="9" t="n">
        <ns0:v>35</ns0:v>
      </ns0:c>
      <ns0:c r="F4" s="9" t="n">
        <ns0:v>5</ns0:v>
      </ns0:c>
      <ns0:c r="G4" s="15">
        <ns0:f>B4/D4</ns0:f>
        <ns0:v>3612.6666666666665</ns0:v>
      </ns0:c>
      <ns0:c r="H4" s="7">
        <ns0:f>ROUNDUP(G4/(E4*F4),0)</ns0:f>
        <ns0:v>21</ns0:v>
      </ns0:c>
    </ns0:row>
    <ns0:row r="5" ht="42" customHeight="1">
      <ns0:c r="A5" s="7" t="inlineStr">
        <ns0:is>
          <ns0:t>Corectură EN</ns0:t>
        </ns0:is>
      </ns0:c>
      <ns0:c r="B5" s="8">
        <ns0:f>SUM(Catalog_100!I2:I101)</ns0:f>
        <ns0:v>5419000</ns0:v>
      </ns0:c>
      <ns0:c r="C5" s="7" t="inlineStr">
        <ns0:is>
          <ns0:t>cuvinte</ns0:t>
        </ns0:is>
      </ns0:c>
      <ns0:c r="D5" s="14" t="n">
        <ns0:v>2500</ns0:v>
      </ns0:c>
      <ns0:c r="E5" s="9" t="n">
        <ns0:v>35</ns0:v>
      </ns0:c>
      <ns0:c r="F5" s="9" t="n">
        <ns0:v>5</ns0:v>
      </ns0:c>
      <ns0:c r="G5" s="15">
        <ns0:f>B5/D5</ns0:f>
        <ns0:v>2167.6</ns0:v>
      </ns0:c>
      <ns0:c r="H5" s="7">
        <ns0:f>ROUNDUP(G5/(E5*F5),0)</ns0:f>
        <ns0:v>13</ns0:v>
      </ns0:c>
    </ns0:row>
    <ns0:row r="6" ht="42" customHeight="1">
      <ns0:c r="A6" s="7" t="inlineStr">
        <ns0:is>
          <ns0:t>Traducere/posteditare</ns0:t>
        </ns0:is>
      </ns0:c>
      <ns0:c r="B6" s="8">
        <ns0:f>SUM(Catalog_100!I2:I101)*2</ns0:f>
        <ns0:v>10838000</ns0:v>
      </ns0:c>
      <ns0:c r="C6" s="7" t="inlineStr">
        <ns0:is>
          <ns0:t>cuvinte sursă</ns0:t>
        </ns0:is>
      </ns0:c>
      <ns0:c r="D6" s="14" t="n">
        <ns0:v>1000</ns0:v>
      </ns0:c>
      <ns0:c r="E6" s="9" t="n">
        <ns0:v>35</ns0:v>
      </ns0:c>
      <ns0:c r="F6" s="9" t="n">
        <ns0:v>5</ns0:v>
      </ns0:c>
      <ns0:c r="G6" s="15">
        <ns0:f>B6/D6</ns0:f>
        <ns0:v>10838.0</ns0:v>
      </ns0:c>
      <ns0:c r="H6" s="7">
        <ns0:f>ROUNDUP(G6/(E6*F6),0)</ns0:f>
        <ns0:v>62</ns0:v>
      </ns0:c>
    </ns0:row>
    <ns0:row r="7" ht="42" customHeight="1">
      <ns0:c r="A7" s="7" t="inlineStr">
        <ns0:is>
          <ns0:t>Corectură traduceri</ns0:t>
        </ns0:is>
      </ns0:c>
      <ns0:c r="B7" s="8">
        <ns0:f>SUM(Catalog_100!I2:I101)*2</ns0:f>
        <ns0:v>10838000</ns0:v>
      </ns0:c>
      <ns0:c r="C7" s="7" t="inlineStr">
        <ns0:is>
          <ns0:t>cuvinte sursă</ns0:t>
        </ns0:is>
      </ns0:c>
      <ns0:c r="D7" s="14" t="n">
        <ns0:v>2500</ns0:v>
      </ns0:c>
      <ns0:c r="E7" s="9" t="n">
        <ns0:v>30</ns0:v>
      </ns0:c>
      <ns0:c r="F7" s="9" t="n">
        <ns0:v>5</ns0:v>
      </ns0:c>
      <ns0:c r="G7" s="15">
        <ns0:f>B7/D7</ns0:f>
        <ns0:v>4335.2</ns0:v>
      </ns0:c>
      <ns0:c r="H7" s="7">
        <ns0:f>ROUNDUP(G7/(E7*F7),0)</ns0:f>
        <ns0:v>29</ns0:v>
      </ns0:c>
    </ns0:row>
    <ns0:row r="8" ht="42" customHeight="1">
      <ns0:c r="A8" s="7" t="inlineStr">
        <ns0:is>
          <ns0:t>Producție digitală</ns0:t>
        </ns0:is>
      </ns0:c>
      <ns0:c r="B8" s="8">
        <ns0:f>COUNTA(Editii_300!A2:A301)</ns0:f>
        <ns0:v>300</ns0:v>
      </ns0:c>
      <ns0:c r="C8" s="7" t="inlineStr">
        <ns0:is>
          <ns0:t>ediții</ns0:t>
        </ns0:is>
      </ns0:c>
      <ns0:c r="D8" s="14" t="n">
        <ns0:v>0.1666666666666667</ns0:v>
      </ns0:c>
      <ns0:c r="E8" s="9" t="n">
        <ns0:v>30</ns0:v>
      </ns0:c>
      <ns0:c r="F8" s="9" t="n">
        <ns0:v>5</ns0:v>
      </ns0:c>
      <ns0:c r="G8" s="15">
        <ns0:f>B8/D8</ns0:f>
        <ns0:v>1800.0</ns0:v>
      </ns0:c>
      <ns0:c r="H8" s="7">
        <ns0:f>ROUNDUP(G8/(E8*F8),0)</ns0:f>
        <ns0:v>12</ns0:v>
      </ns0:c>
    </ns0:row>
    <ns0:row r="9" ht="42" customHeight="1">
      <ns0:c r="A9" s="7" t="inlineStr">
        <ns0:is>
          <ns0:t>QA final</ns0:t>
        </ns0:is>
      </ns0:c>
      <ns0:c r="B9" s="8">
        <ns0:f>COUNTA(Editii_300!A2:A301)</ns0:f>
        <ns0:v>300</ns0:v>
      </ns0:c>
      <ns0:c r="C9" s="7" t="inlineStr">
        <ns0:is>
          <ns0:t>ediții</ns0:t>
        </ns0:is>
      </ns0:c>
      <ns0:c r="D9" s="14" t="n">
        <ns0:v>0.5</ns0:v>
      </ns0:c>
      <ns0:c r="E9" s="9" t="n">
        <ns0:v>25</ns0:v>
      </ns0:c>
      <ns0:c r="F9" s="9" t="n">
        <ns0:v>5</ns0:v>
      </ns0:c>
      <ns0:c r="G9" s="15">
        <ns0:f>B9/D9</ns0:f>
        <ns0:v>600.0</ns0:v>
      </ns0:c>
      <ns0:c r="H9" s="7">
        <ns0:f>ROUNDUP(G9/(E9*F9),0)</ns0:f>
        <ns0:v>5</ns0:v>
      </ns0:c>
    </ns0:row>
    <ns0:row r="11">
      <ns0:c r="A11" t="inlineStr">
        <ns0:is>
          <ns0:t>TOTAL EXECUȚIE</ns0:t>
        </ns0:is>
      </ns0:c>
      <ns0:c r="H11" s="16">
        <ns0:f>SUM(H2:H9)</ns0:f>
        <ns0:v>203</ns0:v>
      </ns0:c>
    </ns0:row>
    <ns0:row r="13">
      <ns0:c r="A13" t="inlineStr">
        <ns0:is>
          <ns0:t>Coordonare/design/marketing</ns0:t>
        </ns0:is>
      </ns0:c>
      <ns0:c r="H13" s="17" t="n">
        <ns0:v>12</ns0:v>
      </ns0:c>
    </ns0:row>
    <ns0:row r="14">
      <ns0:c r="A14" t="inlineStr">
        <ns0:is>
          <ns0:t>Total orientativ</ns0:t>
        </ns0:is>
      </ns0:c>
      <ns0:c r="H14" s="16">
        <ns0:f>H11+H13</ns0:f>
        <ns0:v>215</ns0:v>
      </ns0:c>
    </ns0:row>
    <ns0:row r="16">
      <ns0:c r="A16" s="18" t="inlineStr">
        <ns0:is>
          <ns0:t>Vitezele sunt ipoteze, nu standarde. Validare prin probe plătite. Persoanele nu pot fi numărate simultan în două roluri.</ns0:t>
        </ns0:is>
      </ns0:c>
    </ns0:row>
    <ns0:row r="17"/>
    <ns0:row r="19">
      <ns0:c r="A19" s="18" t="inlineStr">
        <ns0:is>
          <ns0:t>Capacitate editorială. Dezvoltarea site-ului este un proiect separat; bugetul are doar o rezervă de integrare.</ns0:t>
        </ns0:is>
      </ns0:c>
    </ns0:row>
    <ns0:row r="20"/>
  </ns0:sheetData>
  <ns0:mergeCells count="2">
    <ns0:mergeCell ref="A19:H20"/>
    <ns0:mergeCell ref="A16:H17"/>
  </ns0:mergeCell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22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0" customWidth="1" min="1" max="1"/>
    <ns0:col width="19" customWidth="1" min="2" max="2"/>
    <ns0:col width="20" customWidth="1" min="3" max="3"/>
    <ns0:col width="20" customWidth="1" min="4" max="4"/>
    <ns0:col width="23" customWidth="1" min="5" max="5"/>
    <ns0:col width="22" customWidth="1" min="6" max="6"/>
    <ns0:col width="22" customWidth="1" min="7" max="7"/>
    <ns0:col width="24" customWidth="1" min="8" max="8"/>
    <ns0:col width="48" customWidth="1" min="9" max="9"/>
  </ns0:cols>
  <ns0:sheetData>
    <ns0:row r="1" ht="36" customHeight="1">
      <ns0:c r="A1" s="6" t="inlineStr">
        <ns0:is>
          <ns0:t>Activitate</ns0:t>
        </ns0:is>
      </ns0:c>
      <ns0:c r="B1" s="6" t="inlineStr">
        <ns0:is>
          <ns0:t>Cantitate</ns0:t>
        </ns0:is>
      </ns0:c>
      <ns0:c r="C1" s="6" t="inlineStr">
        <ns0:is>
          <ns0:t>Tarif jos EUR</ns0:t>
        </ns0:is>
      </ns0:c>
      <ns0:c r="D1" s="6" t="inlineStr">
        <ns0:is>
          <ns0:t>Tarif bază EUR</ns0:t>
        </ns0:is>
      </ns0:c>
      <ns0:c r="E1" s="6" t="inlineStr">
        <ns0:is>
          <ns0:t>Tarif ridicat EUR</ns0:t>
        </ns0:is>
      </ns0:c>
      <ns0:c r="F1" s="6" t="inlineStr">
        <ns0:is>
          <ns0:t>Cost jos EUR</ns0:t>
        </ns0:is>
      </ns0:c>
      <ns0:c r="G1" s="6" t="inlineStr">
        <ns0:is>
          <ns0:t>Cost bază EUR</ns0:t>
        </ns0:is>
      </ns0:c>
      <ns0:c r="H1" s="6" t="inlineStr">
        <ns0:is>
          <ns0:t>Cost ridicat EUR</ns0:t>
        </ns0:is>
      </ns0:c>
      <ns0:c r="I1" s="6" t="inlineStr">
        <ns0:is>
          <ns0:t>Observație</ns0:t>
        </ns0:is>
      </ns0:c>
    </ns0:row>
    <ns0:row r="2" ht="35" customHeight="1">
      <ns0:c r="A2" s="7" t="inlineStr">
        <ns0:is>
          <ns0:t>Scriere 83 titluri</ns0:t>
        </ns0:is>
      </ns0:c>
      <ns0:c r="B2" s="8">
        <ns0:f>SUMIF(Catalog_100!F2:F101,"Nou",Catalog_100!I2:I101)</ns0:f>
        <ns0:v>4440000</ns0:v>
      </ns0:c>
      <ns0:c r="C2" s="14" t="n">
        <ns0:v>0.03</ns0:v>
      </ns0:c>
      <ns0:c r="D2" s="14" t="n">
        <ns0:v>0.06</ns0:v>
      </ns0:c>
      <ns0:c r="E2" s="14" t="n">
        <ns0:v>0.09</ns0:v>
      </ns0:c>
      <ns0:c r="F2" s="19">
        <ns0:f>B2*C2</ns0:f>
        <ns0:v>133200.0</ns0:v>
      </ns0:c>
      <ns0:c r="G2" s="19">
        <ns0:f>B2*D2</ns0:f>
        <ns0:v>266400.0</ns0:v>
      </ns0:c>
      <ns0:c r="H2" s="19">
        <ns0:f>B2*E2</ns0:f>
        <ns0:v>399600.0</ns0:v>
      </ns0:c>
      <ns0:c r="I2" s="7" t="inlineStr">
        <ns0:is>
          <ns0:t>Ipoteză; de înlocuit cu oferte</ns0:t>
        </ns0:is>
      </ns0:c>
    </ns0:row>
    <ns0:row r="3" ht="35" customHeight="1">
      <ns0:c r="A3" s="7" t="inlineStr">
        <ns0:is>
          <ns0:t>Restructurare fond existent</ns0:t>
        </ns0:is>
      </ns0:c>
      <ns0:c r="B3" s="8">
        <ns0:f>SUMIF(Catalog_100!F2:F101,"Fond",Catalog_100!I2:I101)</ns0:f>
        <ns0:v>979000</ns0:v>
      </ns0:c>
      <ns0:c r="C3" s="14" t="n">
        <ns0:v>0.006</ns0:v>
      </ns0:c>
      <ns0:c r="D3" s="14" t="n">
        <ns0:v>0.012</ns0:v>
      </ns0:c>
      <ns0:c r="E3" s="14" t="n">
        <ns0:v>0.02</ns0:v>
      </ns0:c>
      <ns0:c r="F3" s="19">
        <ns0:f>B3*C3</ns0:f>
        <ns0:v>5874.0</ns0:v>
      </ns0:c>
      <ns0:c r="G3" s="19">
        <ns0:f>B3*D3</ns0:f>
        <ns0:v>11748.0</ns0:v>
      </ns0:c>
      <ns0:c r="H3" s="19">
        <ns0:f>B3*E3</ns0:f>
        <ns0:v>19580.0</ns0:v>
      </ns0:c>
      <ns0:c r="I3" s="7" t="inlineStr">
        <ns0:is>
          <ns0:t>Ipoteză; de înlocuit cu oferte</ns0:t>
        </ns0:is>
      </ns0:c>
    </ns0:row>
    <ns0:row r="4" ht="35" customHeight="1">
      <ns0:c r="A4" s="7" t="inlineStr">
        <ns0:is>
          <ns0:t>Editare EN</ns0:t>
        </ns0:is>
      </ns0:c>
      <ns0:c r="B4" s="8">
        <ns0:f>SUM(Catalog_100!I2:I101)</ns0:f>
        <ns0:v>5419000</ns0:v>
      </ns0:c>
      <ns0:c r="C4" s="14" t="n">
        <ns0:v>0.01</ns0:v>
      </ns0:c>
      <ns0:c r="D4" s="14" t="n">
        <ns0:v>0.02</ns0:v>
      </ns0:c>
      <ns0:c r="E4" s="14" t="n">
        <ns0:v>0.03</ns0:v>
      </ns0:c>
      <ns0:c r="F4" s="19">
        <ns0:f>B4*C4</ns0:f>
        <ns0:v>54190.0</ns0:v>
      </ns0:c>
      <ns0:c r="G4" s="19">
        <ns0:f>B4*D4</ns0:f>
        <ns0:v>108380.0</ns0:v>
      </ns0:c>
      <ns0:c r="H4" s="19">
        <ns0:f>B4*E4</ns0:f>
        <ns0:v>162570.0</ns0:v>
      </ns0:c>
      <ns0:c r="I4" s="7" t="inlineStr">
        <ns0:is>
          <ns0:t>Ipoteză; de înlocuit cu oferte</ns0:t>
        </ns0:is>
      </ns0:c>
    </ns0:row>
    <ns0:row r="5" ht="35" customHeight="1">
      <ns0:c r="A5" s="7" t="inlineStr">
        <ns0:is>
          <ns0:t>Corectură EN</ns0:t>
        </ns0:is>
      </ns0:c>
      <ns0:c r="B5" s="8">
        <ns0:f>SUM(Catalog_100!I2:I101)</ns0:f>
        <ns0:v>5419000</ns0:v>
      </ns0:c>
      <ns0:c r="C5" s="14" t="n">
        <ns0:v>0.004</ns0:v>
      </ns0:c>
      <ns0:c r="D5" s="14" t="n">
        <ns0:v>0.008</ns0:v>
      </ns0:c>
      <ns0:c r="E5" s="14" t="n">
        <ns0:v>0.012</ns0:v>
      </ns0:c>
      <ns0:c r="F5" s="19">
        <ns0:f>B5*C5</ns0:f>
        <ns0:v>21676.0</ns0:v>
      </ns0:c>
      <ns0:c r="G5" s="19">
        <ns0:f>B5*D5</ns0:f>
        <ns0:v>43352.0</ns0:v>
      </ns0:c>
      <ns0:c r="H5" s="19">
        <ns0:f>B5*E5</ns0:f>
        <ns0:v>65028.0</ns0:v>
      </ns0:c>
      <ns0:c r="I5" s="7" t="inlineStr">
        <ns0:is>
          <ns0:t>Ipoteză; de înlocuit cu oferte</ns0:t>
        </ns0:is>
      </ns0:c>
    </ns0:row>
    <ns0:row r="6" ht="35" customHeight="1">
      <ns0:c r="A6" s="7" t="inlineStr">
        <ns0:is>
          <ns0:t>Traducere / posteditare integrală</ns0:t>
        </ns0:is>
      </ns0:c>
      <ns0:c r="B6" s="8">
        <ns0:f>SUM(Catalog_100!I2:I101)*2</ns0:f>
        <ns0:v>10838000</ns0:v>
      </ns0:c>
      <ns0:c r="C6" s="14" t="n">
        <ns0:v>0.025</ns0:v>
      </ns0:c>
      <ns0:c r="D6" s="14" t="n">
        <ns0:v>0.05</ns0:v>
      </ns0:c>
      <ns0:c r="E6" s="14" t="n">
        <ns0:v>0.09</ns0:v>
      </ns0:c>
      <ns0:c r="F6" s="19">
        <ns0:f>B6*C6</ns0:f>
        <ns0:v>270950.0</ns0:v>
      </ns0:c>
      <ns0:c r="G6" s="19">
        <ns0:f>B6*D6</ns0:f>
        <ns0:v>541900.0</ns0:v>
      </ns0:c>
      <ns0:c r="H6" s="19">
        <ns0:f>B6*E6</ns0:f>
        <ns0:v>975420.0</ns0:v>
      </ns0:c>
      <ns0:c r="I6" s="7" t="inlineStr">
        <ns0:is>
          <ns0:t>Ipoteză; de înlocuit cu oferte</ns0:t>
        </ns0:is>
      </ns0:c>
    </ns0:row>
    <ns0:row r="7" ht="35" customHeight="1">
      <ns0:c r="A7" s="7" t="inlineStr">
        <ns0:is>
          <ns0:t>Corectură independentă traduceri</ns0:t>
        </ns0:is>
      </ns0:c>
      <ns0:c r="B7" s="8">
        <ns0:f>SUM(Catalog_100!I2:I101)*2</ns0:f>
        <ns0:v>10838000</ns0:v>
      </ns0:c>
      <ns0:c r="C7" s="14" t="n">
        <ns0:v>0.006</ns0:v>
      </ns0:c>
      <ns0:c r="D7" s="14" t="n">
        <ns0:v>0.012</ns0:v>
      </ns0:c>
      <ns0:c r="E7" s="14" t="n">
        <ns0:v>0.018</ns0:v>
      </ns0:c>
      <ns0:c r="F7" s="19">
        <ns0:f>B7*C7</ns0:f>
        <ns0:v>65028.0</ns0:v>
      </ns0:c>
      <ns0:c r="G7" s="19">
        <ns0:f>B7*D7</ns0:f>
        <ns0:v>130056.0</ns0:v>
      </ns0:c>
      <ns0:c r="H7" s="19">
        <ns0:f>B7*E7</ns0:f>
        <ns0:v>195083.99999999997</ns0:v>
      </ns0:c>
      <ns0:c r="I7" s="7" t="inlineStr">
        <ns0:is>
          <ns0:t>Ipoteză; de înlocuit cu oferte</ns0:t>
        </ns0:is>
      </ns0:c>
    </ns0:row>
    <ns0:row r="8" ht="35" customHeight="1">
      <ns0:c r="A8" s="7" t="inlineStr">
        <ns0:is>
          <ns0:t>Design coperte originale</ns0:t>
        </ns0:is>
      </ns0:c>
      <ns0:c r="B8" s="8">
        <ns0:f>COUNTA(Catalog_100!A2:A101)</ns0:f>
        <ns0:v>100</ns0:v>
      </ns0:c>
      <ns0:c r="C8" s="14" t="n">
        <ns0:v>200</ns0:v>
      </ns0:c>
      <ns0:c r="D8" s="14" t="n">
        <ns0:v>400</ns0:v>
      </ns0:c>
      <ns0:c r="E8" s="14" t="n">
        <ns0:v>700</ns0:v>
      </ns0:c>
      <ns0:c r="F8" s="19">
        <ns0:f>B8*C8</ns0:f>
        <ns0:v>20000</ns0:v>
      </ns0:c>
      <ns0:c r="G8" s="19">
        <ns0:f>B8*D8</ns0:f>
        <ns0:v>40000</ns0:v>
      </ns0:c>
      <ns0:c r="H8" s="19">
        <ns0:f>B8*E8</ns0:f>
        <ns0:v>70000</ns0:v>
      </ns0:c>
      <ns0:c r="I8" s="7" t="inlineStr">
        <ns0:is>
          <ns0:t>Ipoteză; de înlocuit cu oferte</ns0:t>
        </ns0:is>
      </ns0:c>
    </ns0:row>
    <ns0:row r="9" ht="35" customHeight="1">
      <ns0:c r="A9" s="7" t="inlineStr">
        <ns0:is>
          <ns0:t>Localizare coperte</ns0:t>
        </ns0:is>
      </ns0:c>
      <ns0:c r="B9" s="8">
        <ns0:f>COUNTA(Catalog_100!A2:A101)*2</ns0:f>
        <ns0:v>200</ns0:v>
      </ns0:c>
      <ns0:c r="C9" s="14" t="n">
        <ns0:v>40</ns0:v>
      </ns0:c>
      <ns0:c r="D9" s="14" t="n">
        <ns0:v>75</ns0:v>
      </ns0:c>
      <ns0:c r="E9" s="14" t="n">
        <ns0:v>120</ns0:v>
      </ns0:c>
      <ns0:c r="F9" s="19">
        <ns0:f>B9*C9</ns0:f>
        <ns0:v>8000</ns0:v>
      </ns0:c>
      <ns0:c r="G9" s="19">
        <ns0:f>B9*D9</ns0:f>
        <ns0:v>15000</ns0:v>
      </ns0:c>
      <ns0:c r="H9" s="19">
        <ns0:f>B9*E9</ns0:f>
        <ns0:v>24000</ns0:v>
      </ns0:c>
      <ns0:c r="I9" s="7" t="inlineStr">
        <ns0:is>
          <ns0:t>Ipoteză; de înlocuit cu oferte</ns0:t>
        </ns0:is>
      </ns0:c>
    </ns0:row>
    <ns0:row r="10" ht="35" customHeight="1">
      <ns0:c r="A10" s="7" t="inlineStr">
        <ns0:is>
          <ns0:t>EPUB și metadate</ns0:t>
        </ns0:is>
      </ns0:c>
      <ns0:c r="B10" s="8">
        <ns0:f>COUNTA(Editii_300!A2:A301)</ns0:f>
        <ns0:v>300</ns0:v>
      </ns0:c>
      <ns0:c r="C10" s="14" t="n">
        <ns0:v>60</ns0:v>
      </ns0:c>
      <ns0:c r="D10" s="14" t="n">
        <ns0:v>120</ns0:v>
      </ns0:c>
      <ns0:c r="E10" s="14" t="n">
        <ns0:v>180</ns0:v>
      </ns0:c>
      <ns0:c r="F10" s="19">
        <ns0:f>B10*C10</ns0:f>
        <ns0:v>18000</ns0:v>
      </ns0:c>
      <ns0:c r="G10" s="19">
        <ns0:f>B10*D10</ns0:f>
        <ns0:v>36000</ns0:v>
      </ns0:c>
      <ns0:c r="H10" s="19">
        <ns0:f>B10*E10</ns0:f>
        <ns0:v>54000</ns0:v>
      </ns0:c>
      <ns0:c r="I10" s="7" t="inlineStr">
        <ns0:is>
          <ns0:t>Ipoteză; de înlocuit cu oferte</ns0:t>
        </ns0:is>
      </ns0:c>
    </ns0:row>
    <ns0:row r="11" ht="35" customHeight="1">
      <ns0:c r="A11" s="7" t="inlineStr">
        <ns0:is>
          <ns0:t>QA final</ns0:t>
        </ns0:is>
      </ns0:c>
      <ns0:c r="B11" s="8">
        <ns0:f>COUNTA(Editii_300!A2:A301)</ns0:f>
        <ns0:v>300</ns0:v>
      </ns0:c>
      <ns0:c r="C11" s="14" t="n">
        <ns0:v>20</ns0:v>
      </ns0:c>
      <ns0:c r="D11" s="14" t="n">
        <ns0:v>40</ns0:v>
      </ns0:c>
      <ns0:c r="E11" s="14" t="n">
        <ns0:v>60</ns0:v>
      </ns0:c>
      <ns0:c r="F11" s="19">
        <ns0:f>B11*C11</ns0:f>
        <ns0:v>6000</ns0:v>
      </ns0:c>
      <ns0:c r="G11" s="19">
        <ns0:f>B11*D11</ns0:f>
        <ns0:v>12000</ns0:v>
      </ns0:c>
      <ns0:c r="H11" s="19">
        <ns0:f>B11*E11</ns0:f>
        <ns0:v>18000</ns0:v>
      </ns0:c>
      <ns0:c r="I11" s="7" t="inlineStr">
        <ns0:is>
          <ns0:t>Ipoteză; de înlocuit cu oferte</ns0:t>
        </ns0:is>
      </ns0:c>
    </ns0:row>
    <ns0:row r="12" ht="35" customHeight="1">
      <ns0:c r="A12" s="7" t="inlineStr">
        <ns0:is>
          <ns0:t>Coordonare/drepturi/administrare</ns0:t>
        </ns0:is>
      </ns0:c>
      <ns0:c r="B12" s="8" t="n">
        <ns0:v>1</ns0:v>
      </ns0:c>
      <ns0:c r="C12" s="14" t="n">
        <ns0:v>18000</ns0:v>
      </ns0:c>
      <ns0:c r="D12" s="14" t="n">
        <ns0:v>35000</ns0:v>
      </ns0:c>
      <ns0:c r="E12" s="14" t="n">
        <ns0:v>60000</ns0:v>
      </ns0:c>
      <ns0:c r="F12" s="19">
        <ns0:f>B12*C12</ns0:f>
        <ns0:v>18000</ns0:v>
      </ns0:c>
      <ns0:c r="G12" s="19">
        <ns0:f>B12*D12</ns0:f>
        <ns0:v>35000</ns0:v>
      </ns0:c>
      <ns0:c r="H12" s="19">
        <ns0:f>B12*E12</ns0:f>
        <ns0:v>60000</ns0:v>
      </ns0:c>
      <ns0:c r="I12" s="7" t="inlineStr">
        <ns0:is>
          <ns0:t>Ipoteză; de înlocuit cu oferte</ns0:t>
        </ns0:is>
      </ns0:c>
    </ns0:row>
    <ns0:row r="13" ht="35" customHeight="1">
      <ns0:c r="A13" s="7" t="inlineStr">
        <ns0:is>
          <ns0:t>Comerț online și infrastructură</ns0:t>
        </ns0:is>
      </ns0:c>
      <ns0:c r="B13" s="8" t="n">
        <ns0:v>1</ns0:v>
      </ns0:c>
      <ns0:c r="C13" s="14" t="n">
        <ns0:v>5000</ns0:v>
      </ns0:c>
      <ns0:c r="D13" s="14" t="n">
        <ns0:v>12000</ns0:v>
      </ns0:c>
      <ns0:c r="E13" s="14" t="n">
        <ns0:v>20000</ns0:v>
      </ns0:c>
      <ns0:c r="F13" s="19">
        <ns0:f>B13*C13</ns0:f>
        <ns0:v>5000</ns0:v>
      </ns0:c>
      <ns0:c r="G13" s="19">
        <ns0:f>B13*D13</ns0:f>
        <ns0:v>12000</ns0:v>
      </ns0:c>
      <ns0:c r="H13" s="19">
        <ns0:f>B13*E13</ns0:f>
        <ns0:v>20000</ns0:v>
      </ns0:c>
      <ns0:c r="I13" s="7" t="inlineStr">
        <ns0:is>
          <ns0:t>Ipoteză; de înlocuit cu oferte</ns0:t>
        </ns0:is>
      </ns0:c>
    </ns0:row>
    <ns0:row r="14" ht="35" customHeight="1">
      <ns0:c r="A14" s="7" t="inlineStr">
        <ns0:is>
          <ns0:t>Marketing test și lansare</ns0:t>
        </ns0:is>
      </ns0:c>
      <ns0:c r="B14" s="8" t="n">
        <ns0:v>1</ns0:v>
      </ns0:c>
      <ns0:c r="C14" s="14" t="n">
        <ns0:v>10000</ns0:v>
      </ns0:c>
      <ns0:c r="D14" s="14" t="n">
        <ns0:v>25000</ns0:v>
      </ns0:c>
      <ns0:c r="E14" s="14" t="n">
        <ns0:v>50000</ns0:v>
      </ns0:c>
      <ns0:c r="F14" s="19">
        <ns0:f>B14*C14</ns0:f>
        <ns0:v>10000</ns0:v>
      </ns0:c>
      <ns0:c r="G14" s="19">
        <ns0:f>B14*D14</ns0:f>
        <ns0:v>25000</ns0:v>
      </ns0:c>
      <ns0:c r="H14" s="19">
        <ns0:f>B14*E14</ns0:f>
        <ns0:v>50000</ns0:v>
      </ns0:c>
      <ns0:c r="I14" s="7" t="inlineStr">
        <ns0:is>
          <ns0:t>Ipoteză; de înlocuit cu oferte</ns0:t>
        </ns0:is>
      </ns0:c>
    </ns0:row>
    <ns0:row r="16">
      <ns0:c r="A16" t="inlineStr">
        <ns0:is>
          <ns0:t>SUBTOTAL</ns0:t>
        </ns0:is>
      </ns0:c>
      <ns0:c r="F16" s="20">
        <ns0:f>SUM(F2:F14)</ns0:f>
        <ns0:v>635918.0</ns0:v>
      </ns0:c>
      <ns0:c r="G16" s="20">
        <ns0:f>SUM(G2:G14)</ns0:f>
        <ns0:v>1276836.0</ns0:v>
      </ns0:c>
      <ns0:c r="H16" s="20">
        <ns0:f>SUM(H2:H14)</ns0:f>
        <ns0:v>2113282.0</ns0:v>
      </ns0:c>
    </ns0:row>
    <ns0:row r="17">
      <ns0:c r="A17" t="inlineStr">
        <ns0:is>
          <ns0:t>Rezervă</ns0:t>
        </ns0:is>
      </ns0:c>
      <ns0:c r="B17" s="21" t="n">
        <ns0:v>0.2</ns0:v>
      </ns0:c>
      <ns0:c r="F17" s="20">
        <ns0:f>F16*$B$17</ns0:f>
        <ns0:v>127183.6</ns0:v>
      </ns0:c>
      <ns0:c r="G17" s="20">
        <ns0:f>G16*$B$17</ns0:f>
        <ns0:v>255367.2</ns0:v>
      </ns0:c>
      <ns0:c r="H17" s="20">
        <ns0:f>H16*$B$17</ns0:f>
        <ns0:v>422656.4</ns0:v>
      </ns0:c>
    </ns0:row>
    <ns0:row r="18">
      <ns0:c r="A18" t="inlineStr">
        <ns0:is>
          <ns0:t>TOTAL CU REZERVĂ</ns0:t>
        </ns0:is>
      </ns0:c>
      <ns0:c r="F18" s="20">
        <ns0:f>F16+F17</ns0:f>
        <ns0:v>763101.6</ns0:v>
      </ns0:c>
      <ns0:c r="G18" s="20">
        <ns0:f>G16+G17</ns0:f>
        <ns0:v>1532203.2</ns0:v>
      </ns0:c>
      <ns0:c r="H18" s="20">
        <ns0:f>H16+H17</ns0:f>
        <ns0:v>2535938.4</ns0:v>
      </ns0:c>
    </ns0:row>
    <ns0:row r="21">
      <ns0:c r="A21" s="18" t="inlineStr">
        <ns0:is>
          <ns0:t>Fără taxe pe facturi, print/stoc sau audio. Rate ipotetice, nu oferte. Nu adăugați salariile aceleiași prestații peste tariful pe cuvânt.</ns0:t>
        </ns0:is>
      </ns0:c>
    </ns0:row>
    <ns0:row r="22"/>
  </ns0:sheetData>
  <ns0:mergeCells count="1">
    <ns0:mergeCell ref="A21:I22"/>
  </ns0:mergeCell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28"/>
  <ns0:sheetViews>
    <ns0:sheetView showGridLines="0" workbookViewId="0">
      <ns0:selection activeCell="A1" sqref="A1"/>
    </ns0:sheetView>
  </ns0:sheetViews>
  <ns0:sheetFormatPr baseColWidth="8" defaultRowHeight="15"/>
  <ns0:cols>
    <ns0:col width="45" customWidth="1" min="1" max="1"/>
    <ns0:col width="24" customWidth="1" min="2" max="2"/>
    <ns0:col width="82" customWidth="1" min="3" max="3"/>
    <ns0:col width="24" customWidth="1" min="4" max="4"/>
    <ns0:col width="38" customWidth="1" min="5" max="5"/>
  </ns0:cols>
  <ns0:sheetData>
    <ns0:row r="1">
      <ns0:c r="A1" s="22" t="inlineStr">
        <ns0:is>
          <ns0:t>MODEL DE ABONAMENT — IPOTEZE, NU PROGNOZE</ns0:t>
        </ns0:is>
      </ns0:c>
      <ns0:c r="B1" s="22" t="n"/>
      <ns0:c r="C1" s="22" t="n"/>
      <ns0:c r="D1" s="22" t="n"/>
      <ns0:c r="E1" s="22" t="n"/>
    </ns0:row>
    <ns0:row r="2" ht="35" customHeight="1">
      <ns0:c r="A2" s="22" t="inlineStr">
        <ns0:is>
          <ns0:t>Preț brut RON / lună</ns0:t>
        </ns0:is>
      </ns0:c>
      <ns0:c r="B2" s="11" t="n">
        <ns0:v>100</ns0:v>
      </ns0:c>
      <ns0:c r="C2" s="22" t="inlineStr">
        <ns0:is>
          <ns0:t>Tarif comunicat de beneficiar; Reader 10.</ns0:t>
        </ns0:is>
      </ns0:c>
      <ns0:c r="D2" s="22" t="n"/>
      <ns0:c r="E2" s="22" t="n"/>
    </ns0:row>
    <ns0:row r="3" ht="35" customHeight="1">
      <ns0:c r="A3" s="22" t="inlineStr">
        <ns0:is>
          <ns0:t>Titluri deblocate lunar</ns0:t>
        </ns0:is>
      </ns0:c>
      <ns0:c r="B3" s="11" t="n">
        <ns0:v>10</ns0:v>
      </ns0:c>
      <ns0:c r="C3" s="22" t="inlineStr">
        <ns0:is>
          <ns0:t>Acces cât abonamentul este activ.</ns0:t>
        </ns0:is>
      </ns0:c>
      <ns0:c r="D3" s="22" t="n"/>
      <ns0:c r="E3" s="22" t="n"/>
    </ns0:row>
    <ns0:row r="4" ht="35" customHeight="1">
      <ns0:c r="A4" s="22" t="inlineStr">
        <ns0:is>
          <ns0:t>Cotă taxă ipotetică</ns0:t>
        </ns0:is>
      </ns0:c>
      <ns0:c r="B4" s="23" t="n">
        <ns0:v>0.21</ns0:v>
      </ns0:c>
      <ns0:c r="C4" s="22" t="inlineStr">
        <ns0:is>
          <ns0:t>Sensibilitate, NU încadrare fiscală. Confirmați cu contabilul.</ns0:t>
        </ns0:is>
      </ns0:c>
      <ns0:c r="D4" s="22" t="n"/>
      <ns0:c r="E4" s="22" t="n"/>
    </ns0:row>
    <ns0:row r="5" ht="35" customHeight="1">
      <ns0:c r="A5" s="22" t="inlineStr">
        <ns0:is>
          <ns0:t>Procesare plată RON</ns0:t>
        </ns0:is>
      </ns0:c>
      <ns0:c r="B5" s="11" t="n">
        <ns0:v>3</ns0:v>
      </ns0:c>
      <ns0:c r="C5" s="22" t="inlineStr">
        <ns0:is>
          <ns0:t>Ipoteză, nu ofertă de procesator.</ns0:t>
        </ns0:is>
      </ns0:c>
      <ns0:c r="D5" s="22" t="n"/>
      <ns0:c r="E5" s="22" t="n"/>
    </ns0:row>
    <ns0:row r="6" ht="35" customHeight="1">
      <ns0:c r="A6" s="22" t="inlineStr">
        <ns0:is>
          <ns0:t>Cost variabil RON</ns0:t>
        </ns0:is>
      </ns0:c>
      <ns0:c r="B6" s="11" t="n">
        <ns0:v>8</ns0:v>
      </ns0:c>
      <ns0:c r="C6" s="22" t="inlineStr">
        <ns0:is>
          <ns0:t>Suport/infrastructură; de măsurat.</ns0:t>
        </ns0:is>
      </ns0:c>
      <ns0:c r="D6" s="22" t="n"/>
      <ns0:c r="E6" s="22" t="n"/>
    </ns0:row>
    <ns0:row r="7" ht="35" customHeight="1">
      <ns0:c r="A7" s="22" t="inlineStr">
        <ns0:is>
          <ns0:t>Rezervă drepturi / net</ns0:t>
        </ns0:is>
      </ns0:c>
      <ns0:c r="B7" s="23" t="n">
        <ns0:v>0.1</ns0:v>
      </ns0:c>
      <ns0:c r="C7" s="22" t="inlineStr">
        <ns0:is>
          <ns0:t>Ipoteză contractuală.</ns0:t>
        </ns0:is>
      </ns0:c>
      <ns0:c r="D7" s="22" t="n"/>
      <ns0:c r="E7" s="22" t="n"/>
    </ns0:row>
    <ns0:row r="8" ht="35" customHeight="1">
      <ns0:c r="A8" s="22" t="inlineStr">
        <ns0:is>
          <ns0:t>Cost fix lunar RON</ns0:t>
        </ns0:is>
      </ns0:c>
      <ns0:c r="B8" s="11" t="n">
        <ns0:v>30000</ns0:v>
      </ns0:c>
      <ns0:c r="C8" s="22" t="inlineStr">
        <ns0:is>
          <ns0:t>Nu include producția catalogului, marketingul sau noile titluri.</ns0:t>
        </ns0:is>
      </ns0:c>
      <ns0:c r="D8" s="22" t="n"/>
      <ns0:c r="E8" s="22" t="n"/>
    </ns0:row>
    <ns0:row r="9" ht="35" customHeight="1">
      <ns0:c r="A9" s="22" t="inlineStr">
        <ns0:is>
          <ns0:t>Retenție lunară ipotetică</ns0:t>
        </ns0:is>
      </ns0:c>
      <ns0:c r="B9" s="23" t="n">
        <ns0:v>0.9</ns0:v>
      </ns0:c>
      <ns0:c r="C9" s="22" t="inlineStr">
        <ns0:is>
          <ns0:t>Se înlocuiește cu date de cohortă.</ns0:t>
        </ns0:is>
      </ns0:c>
      <ns0:c r="D9" s="22" t="n"/>
      <ns0:c r="E9" s="22" t="n"/>
    </ns0:row>
    <ns0:row r="10" ht="35" customHeight="1">
      <ns0:c r="A10" s="22" t="inlineStr">
        <ns0:is>
          <ns0:t>Plafon CAC de test RON</ns0:t>
        </ns0:is>
      </ns0:c>
      <ns0:c r="B10" s="11" t="n">
        <ns0:v>60</ns0:v>
      </ns0:c>
      <ns0:c r="C10" s="22" t="inlineStr">
        <ns0:is>
          <ns0:t>Regulă conservatoare inițială, nu cost măsurat.</ns0:t>
        </ns0:is>
      </ns0:c>
      <ns0:c r="D10" s="22" t="n"/>
      <ns0:c r="E10" s="22" t="n"/>
    </ns0:row>
    <ns0:row r="11" ht="35" customHeight="1">
      <ns0:c r="A11" s="22" t="inlineStr">
        <ns0:is>
          <ns0:t>Curs de planificare RON/EUR</ns0:t>
        </ns0:is>
      </ns0:c>
      <ns0:c r="B11" s="11" t="n">
        <ns0:v>5</ns0:v>
      </ns0:c>
      <ns0:c r="C11" s="22" t="inlineStr">
        <ns0:is>
          <ns0:t>NU cotație live și nu tarif de conversie pentru site.</ns0:t>
        </ns0:is>
      </ns0:c>
      <ns0:c r="D11" s="22" t="n"/>
      <ns0:c r="E11" s="22" t="n"/>
    </ns0:row>
    <ns0:row r="12" ht="35" customHeight="1">
      <ns0:c r="A12" s="22" t="n"/>
      <ns0:c r="B12" s="22" t="n"/>
      <ns0:c r="C12" s="22" t="n"/>
      <ns0:c r="D12" s="22" t="n"/>
      <ns0:c r="E12" s="22" t="n"/>
    </ns0:row>
    <ns0:row r="13" ht="35" customHeight="1">
      <ns0:c r="A13" s="22" t="inlineStr">
        <ns0:is>
          <ns0:t>Venit net RON</ns0:t>
        </ns0:is>
      </ns0:c>
      <ns0:c r="B13" s="19">
        <ns0:f>B2/(1+B4)</ns0:f>
        <ns0:v>82.64462809917356</ns0:v>
      </ns0:c>
      <ns0:c r="C13" s="22" t="n"/>
      <ns0:c r="D13" s="22" t="n"/>
      <ns0:c r="E13" s="22" t="n"/>
    </ns0:row>
    <ns0:row r="14" ht="35" customHeight="1">
      <ns0:c r="A14" s="22" t="inlineStr">
        <ns0:is>
          <ns0:t>Contribuție / abonat RON</ns0:t>
        </ns0:is>
      </ns0:c>
      <ns0:c r="B14" s="19">
        <ns0:f>B13*(1-B7)-B5-B6</ns0:f>
        <ns0:v>63.38016528925621</ns0:v>
      </ns0:c>
      <ns0:c r="C14" s="22" t="n"/>
      <ns0:c r="D14" s="22" t="n"/>
      <ns0:c r="E14" s="22" t="n"/>
    </ns0:row>
    <ns0:row r="15" ht="35" customHeight="1">
      <ns0:c r="A15" s="22" t="inlineStr">
        <ns0:is>
          <ns0:t>Prag operațional abonați</ns0:t>
        </ns0:is>
      </ns0:c>
      <ns0:c r="B15" s="19">
        <ns0:f>IF(B14&gt;0,ROUNDUP(B8/B14,0),0)</ns0:f>
        <ns0:v>474</ns0:v>
      </ns0:c>
      <ns0:c r="C15" s="22" t="inlineStr">
        <ns0:is>
          <ns0:t>Fără marketing, recuperarea catalogului și investiții viitoare; zero dacă marja este negativă nu înseamnă fezabilitate.</ns0:t>
        </ns0:is>
      </ns0:c>
      <ns0:c r="D15" s="22" t="n"/>
      <ns0:c r="E15" s="22" t="n"/>
    </ns0:row>
    <ns0:row r="16" ht="35" customHeight="1">
      <ns0:c r="A16" s="22" t="inlineStr">
        <ns0:is>
          <ns0:t>Contribuție 6 luni estimată</ns0:t>
        </ns0:is>
      </ns0:c>
      <ns0:c r="B16" s="19">
        <ns0:f>B14*(1+B9+B9^2+B9^3+B9^4+B9^5)</ns0:f>
        <ns0:v>296.973468677686</ns0:v>
      </ns0:c>
      <ns0:c r="C16" s="22" t="n"/>
      <ns0:c r="D16" s="22" t="n"/>
      <ns0:c r="E16" s="22" t="n"/>
    </ns0:row>
    <ns0:row r="17" ht="35" customHeight="1">
      <ns0:c r="A17" s="22" t="inlineStr">
        <ns0:is>
          <ns0:t>O treime din contribuția 6 luni</ns0:t>
        </ns0:is>
      </ns0:c>
      <ns0:c r="B17" s="19">
        <ns0:f>B16/3</ns0:f>
        <ns0:v>98.99115622589534</ns0:v>
      </ns0:c>
      <ns0:c r="C17" s="22" t="n"/>
      <ns0:c r="D17" s="22" t="n"/>
      <ns0:c r="E17" s="22" t="n"/>
    </ns0:row>
    <ns0:row r="18" ht="35" customHeight="1">
      <ns0:c r="A18" s="22" t="inlineStr">
        <ns0:is>
          <ns0:t>Catalog bază RON</ns0:t>
        </ns0:is>
      </ns0:c>
      <ns0:c r="B18" s="19">
        <ns0:f>Buget!G18*B11</ns0:f>
        <ns0:v>7661016.0</ns0:v>
      </ns0:c>
      <ns0:c r="C18" s="22" t="n"/>
      <ns0:c r="D18" s="22" t="n"/>
      <ns0:c r="E18" s="22" t="n"/>
    </ns0:row>
    <ns0:row r="19" ht="35" customHeight="1">
      <ns0:c r="A19" s="22" t="inlineStr">
        <ns0:is>
          <ns0:t>Luni-abonat pentru catalog</ns0:t>
        </ns0:is>
      </ns0:c>
      <ns0:c r="B19" s="19">
        <ns0:f>IF(B14&gt;0,B18/B14,0)</ns0:f>
        <ns0:v>120874.02999087232</ns0:v>
      </ns0:c>
      <ns0:c r="C19" s="22" t="inlineStr">
        <ns0:is>
          <ns0:t>Înainte de cost fix și achiziție. NU durată de recuperare și NU abonați existenți.</ns0:t>
        </ns0:is>
      </ns0:c>
      <ns0:c r="D19" s="22" t="n"/>
      <ns0:c r="E19" s="22" t="n"/>
    </ns0:row>
    <ns0:row r="20">
      <ns0:c r="A20" s="22" t="n"/>
      <ns0:c r="B20" s="22" t="n"/>
      <ns0:c r="C20" s="22" t="n"/>
      <ns0:c r="D20" s="22" t="n"/>
      <ns0:c r="E20" s="22" t="n"/>
    </ns0:row>
    <ns0:row r="21">
      <ns0:c r="A21" s="22" t="inlineStr">
        <ns0:is>
          <ns0:t>Abonați activi</ns0:t>
        </ns0:is>
      </ns0:c>
      <ns0:c r="B21" s="22" t="inlineStr">
        <ns0:is>
          <ns0:t>Încasări brute</ns0:t>
        </ns0:is>
      </ns0:c>
      <ns0:c r="C21" s="22" t="inlineStr">
        <ns0:is>
          <ns0:t>Contribuție</ns0:t>
        </ns0:is>
      </ns0:c>
      <ns0:c r="D21" s="22" t="inlineStr">
        <ns0:is>
          <ns0:t>După cost fix</ns0:t>
        </ns0:is>
      </ns0:c>
      <ns0:c r="E21" s="22" t="inlineStr">
        <ns0:is>
          <ns0:t>Luni recuperare înainte de CAC/noi cărți</ns0:t>
        </ns0:is>
      </ns0:c>
    </ns0:row>
    <ns0:row r="22">
      <ns0:c r="A22" s="11" t="n">
        <ns0:v>200</ns0:v>
      </ns0:c>
      <ns0:c r="B22" s="19">
        <ns0:f>A22*$B$2</ns0:f>
        <ns0:v>20000</ns0:v>
      </ns0:c>
      <ns0:c r="C22" s="19">
        <ns0:f>A22*$B$14</ns0:f>
        <ns0:v>12676.033057851242</ns0:v>
      </ns0:c>
      <ns0:c r="D22" s="19">
        <ns0:f>C22-$B$8</ns0:f>
        <ns0:v>-17323.966942148756</ns0:v>
      </ns0:c>
      <ns0:c r="E22" s="19">
        <ns0:f>IF(D22&gt;0,$B$18/D22,0)</ns0:f>
        <ns0:v>0</ns0:v>
      </ns0:c>
    </ns0:row>
    <ns0:row r="23">
      <ns0:c r="A23" s="11" t="n">
        <ns0:v>1000</ns0:v>
      </ns0:c>
      <ns0:c r="B23" s="19">
        <ns0:f>A23*$B$2</ns0:f>
        <ns0:v>100000</ns0:v>
      </ns0:c>
      <ns0:c r="C23" s="19">
        <ns0:f>A23*$B$14</ns0:f>
        <ns0:v>63380.16528925621</ns0:v>
      </ns0:c>
      <ns0:c r="D23" s="19">
        <ns0:f>C23-$B$8</ns0:f>
        <ns0:v>33380.16528925621</ns0:v>
      </ns0:c>
      <ns0:c r="E23" s="19">
        <ns0:f>IF(D23&gt;0,$B$18/D23,0)</ns0:f>
        <ns0:v>229.5080307006684</ns0:v>
      </ns0:c>
    </ns0:row>
    <ns0:row r="24">
      <ns0:c r="A24" s="11" t="n">
        <ns0:v>3000</ns0:v>
      </ns0:c>
      <ns0:c r="B24" s="19">
        <ns0:f>A24*$B$2</ns0:f>
        <ns0:v>300000</ns0:v>
      </ns0:c>
      <ns0:c r="C24" s="19">
        <ns0:f>A24*$B$14</ns0:f>
        <ns0:v>190140.49586776862</ns0:v>
      </ns0:c>
      <ns0:c r="D24" s="19">
        <ns0:f>C24-$B$8</ns0:f>
        <ns0:v>160140.49586776862</ns0:v>
      </ns0:c>
      <ns0:c r="E24" s="19">
        <ns0:f>IF(D24&gt;0,$B$18/D24,0)</ns0:f>
        <ns0:v>47.839342313051546</ns0:v>
      </ns0:c>
    </ns0:row>
    <ns0:row r="25">
      <ns0:c r="A25" s="11" t="n">
        <ns0:v>10000</ns0:v>
      </ns0:c>
      <ns0:c r="B25" s="19">
        <ns0:f>A25*$B$2</ns0:f>
        <ns0:v>1000000</ns0:v>
      </ns0:c>
      <ns0:c r="C25" s="19">
        <ns0:f>A25*$B$14</ns0:f>
        <ns0:v>633801.6528925621</ns0:v>
      </ns0:c>
      <ns0:c r="D25" s="19">
        <ns0:f>C25-$B$8</ns0:f>
        <ns0:v>603801.6528925621</ns0:v>
      </ns0:c>
      <ns0:c r="E25" s="19">
        <ns0:f>IF(D25&gt;0,$B$18/D25,0)</ns0:f>
        <ns0:v>12.687967916780726</ns0:v>
      </ns0:c>
    </ns0:row>
    <ns0:row r="26">
      <ns0:c r="A26" s="22" t="n"/>
      <ns0:c r="B26" s="22" t="n"/>
      <ns0:c r="C26" s="22" t="n"/>
      <ns0:c r="D26" s="22" t="n"/>
      <ns0:c r="E26" s="22" t="n"/>
    </ns0:row>
    <ns0:row r="27">
      <ns0:c r="A27" s="22" t="inlineStr">
        <ns0:is>
          <ns0:t>0 la recuperare = nerecuperabil în scenariul cu marjă operațională &lt;= 0; nu înseamnă recuperare instantanee.</ns0:t>
        </ns0:is>
      </ns0:c>
      <ns0:c r="B27" s="22" t="n"/>
      <ns0:c r="C27" s="22" t="n"/>
      <ns0:c r="D27" s="22" t="n"/>
      <ns0:c r="E27" s="22" t="n"/>
    </ns0:row>
    <ns0:row r="28">
      <ns0:c r="A28" s="22" t="n"/>
      <ns0:c r="B28" s="22" t="n"/>
      <ns0:c r="C28" s="22" t="n"/>
      <ns0:c r="D28" s="22" t="n"/>
      <ns0:c r="E28" s="22" t="n"/>
    </ns0:row>
  </ns0:sheetData>
  <ns0:mergeCells count="1">
    <ns0:mergeCell ref="A27:E28"/>
  </ns0:mergeCell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7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8" customWidth="1" min="1" max="1"/>
    <ns0:col width="62" customWidth="1" min="2" max="2"/>
    <ns0:col width="24" customWidth="1" min="3" max="3"/>
    <ns0:col width="75" customWidth="1" min="4" max="4"/>
    <ns0:col width="24" customWidth="1" min="5" max="5"/>
  </ns0:cols>
  <ns0:sheetData>
    <ns0:row r="1" ht="36" customHeight="1">
      <ns0:c r="A1" s="6" t="inlineStr">
        <ns0:is>
          <ns0:t>Indicator</ns0:t>
        </ns0:is>
      </ns0:c>
      <ns0:c r="B1" s="6" t="inlineStr">
        <ns0:is>
          <ns0:t>Definiție</ns0:t>
        </ns0:is>
      </ns0:c>
      <ns0:c r="C1" s="6" t="inlineStr">
        <ns0:is>
          <ns0:t>Ipoteză / prag</ns0:t>
        </ns0:is>
      </ns0:c>
      <ns0:c r="D1" s="6" t="inlineStr">
        <ns0:is>
          <ns0:t>Interpretare</ns0:t>
        </ns0:is>
      </ns0:c>
      <ns0:c r="E1" s="6" t="inlineStr">
        <ns0:is>
          <ns0:t>Realizat</ns0:t>
        </ns0:is>
      </ns0:c>
    </ns0:row>
    <ns0:row r="2" ht="50" customHeight="1">
      <ns0:c r="A2" s="7" t="inlineStr">
        <ns0:is>
          <ns0:t>Conversie abonat</ns0:t>
        </ns0:is>
      </ns0:c>
      <ns0:c r="B2" s="7" t="inlineStr">
        <ns0:is>
          <ns0:t>Plătitori noi / vizite calificate</ns0:t>
        </ns0:is>
      </ns0:c>
      <ns0:c r="C2" s="24" t="n">
        <ns0:v>0.02</ns0:v>
      </ns0:c>
      <ns0:c r="D2" s="7" t="inlineStr">
        <ns0:is>
          <ns0:t>Ipoteză, per limbă/canal</ns0:t>
        </ns0:is>
      </ns0:c>
      <ns0:c r="E2" s="11" t="inlineStr"/>
    </ns0:row>
    <ns0:row r="3" ht="50" customHeight="1">
      <ns0:c r="A3" s="7" t="inlineStr">
        <ns0:is>
          <ns0:t>Activare 72h</ns0:t>
        </ns0:is>
      </ns0:c>
      <ns0:c r="B3" s="7" t="inlineStr">
        <ns0:is>
          <ns0:t>Abonați care încep prima carte / abonați noi</ns0:t>
        </ns0:is>
      </ns0:c>
      <ns0:c r="C3" s="24" t="n">
        <ns0:v>0.6</ns0:v>
      </ns0:c>
      <ns0:c r="D3" s="7" t="inlineStr">
        <ns0:is>
          <ns0:t>Obiectiv de test</ns0:t>
        </ns0:is>
      </ns0:c>
      <ns0:c r="E3" s="11" t="inlineStr"/>
    </ns0:row>
    <ns0:row r="4" ht="50" customHeight="1">
      <ns0:c r="A4" s="7" t="inlineStr">
        <ns0:is>
          <ns0:t>Trecere vol.1→vol.2</ns0:t>
        </ns0:is>
      </ns0:c>
      <ns0:c r="B4" s="7" t="inlineStr">
        <ns0:is>
          <ns0:t>Cititori vol.1 care încep vol.2</ns0:t>
        </ns0:is>
      </ns0:c>
      <ns0:c r="C4" s="24" t="n">
        <ns0:v>0.35</ns0:v>
      </ns0:c>
      <ns0:c r="D4" s="7" t="inlineStr">
        <ns0:is>
          <ns0:t>Obiectiv de test; definiție cohortă consecventă</ns0:t>
        </ns0:is>
      </ns0:c>
      <ns0:c r="E4" s="11" t="inlineStr"/>
    </ns0:row>
    <ns0:row r="5" ht="50" customHeight="1">
      <ns0:c r="A5" s="7" t="inlineStr">
        <ns0:is>
          <ns0:t>Retenție lunară</ns0:t>
        </ns0:is>
      </ns0:c>
      <ns0:c r="B5" s="7" t="inlineStr">
        <ns0:is>
          <ns0:t>Reînnoiri / abonamente eligibile</ns0:t>
        </ns0:is>
      </ns0:c>
      <ns0:c r="C5" s="24" t="n">
        <ns0:v>0.9</ns0:v>
      </ns0:c>
      <ns0:c r="D5" s="7" t="inlineStr">
        <ns0:is>
          <ns0:t>Ipoteză; primul semnal abia la sfârșit de noiembrie</ns0:t>
        </ns0:is>
      </ns0:c>
      <ns0:c r="E5" s="11" t="inlineStr"/>
    </ns0:row>
    <ns0:row r="6" ht="50" customHeight="1">
      <ns0:c r="A6" s="7" t="inlineStr">
        <ns0:is>
          <ns0:t>CAC</ns0:t>
        </ns0:is>
      </ns0:c>
      <ns0:c r="B6" s="7" t="inlineStr">
        <ns0:is>
          <ns0:t>Cheltuieli de achiziție / abonați noi</ns0:t>
        </ns0:is>
      </ns0:c>
      <ns0:c r="C6" s="8" t="n">
        <ns0:v>60</ns0:v>
      </ns0:c>
      <ns0:c r="D6" s="7" t="inlineStr">
        <ns0:is>
          <ns0:t>RON; plafon inițial, nu rezultat</ns0:t>
        </ns0:is>
      </ns0:c>
      <ns0:c r="E6" s="11" t="inlineStr"/>
    </ns0:row>
    <ns0:row r="7" ht="50" customHeight="1">
      <ns0:c r="A7" s="7" t="inlineStr">
        <ns0:is>
          <ns0:t>Defecte critice</ns0:t>
        </ns0:is>
      </ns0:c>
      <ns0:c r="B7" s="7" t="inlineStr">
        <ns0:is>
          <ns0:t>Capitole lipsă / drepturi / traducere / acces</ns0:t>
        </ns0:is>
      </ns0:c>
      <ns0:c r="C7" s="8" t="n">
        <ns0:v>0</ns0:v>
      </ns0:c>
      <ns0:c r="D7" s="7" t="inlineStr">
        <ns0:is>
          <ns0:t>Prag obligatoriu înainte de lansare</ns0:t>
        </ns0:is>
      </ns0:c>
      <ns0:c r="E7" s="11" t="inlineStr"/>
    </ns0:row>
  </ns0:sheetData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D19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" customWidth="1" min="1" max="1"/>
    <ns0:col width="58" customWidth="1" min="2" max="2"/>
    <ns0:col width="105" customWidth="1" min="3" max="3"/>
    <ns0:col width="90" customWidth="1" min="4" max="4"/>
  </ns0:cols>
  <ns0:sheetData>
    <ns0:row r="1" ht="36" customHeight="1">
      <ns0:c r="A1" s="6" t="inlineStr">
        <ns0:is>
          <ns0:t>ID</ns0:t>
        </ns0:is>
      </ns0:c>
      <ns0:c r="B1" s="6" t="inlineStr">
        <ns0:is>
          <ns0:t>Sursă</ns0:t>
        </ns0:is>
      </ns0:c>
      <ns0:c r="C1" s="6" t="inlineStr">
        <ns0:is>
          <ns0:t>URL</ns0:t>
        </ns0:is>
      </ns0:c>
      <ns0:c r="D1" s="6" t="inlineStr">
        <ns0:is>
          <ns0:t>Utilizare / limită</ns0:t>
        </ns0:is>
      </ns0:c>
    </ns0:row>
    <ns0:row r="2" ht="55" customHeight="1">
      <ns0:c r="A2" s="7" t="inlineStr">
        <ns0:is>
          <ns0:t>S1</ns0:t>
        </ns0:is>
      </ns0:c>
      <ns0:c r="B2" s="7" t="inlineStr">
        <ns0:is>
          <ns0:t>AAP — StatShot Annual 2025 (10.08.2026)</ns0:t>
        </ns0:is>
      </ns0:c>
      <ns0:c r="C2" s="12" t="inlineStr">
        <ns0:is>
          <ns0:t>https://publishers.org/news/aap-statshot-annual-report-publishing-revenues-totaled-33-4-billion-for-calendar-year-2025/</ns0:t>
        </ns0:is>
      </ns0:c>
      <ns0:c r="D2" s="7" t="inlineStr">
        <ns0:is>
          <ns0:t>Piața SUA: venituri, ficțiune adulți, copii/YA.</ns0:t>
        </ns0:is>
      </ns0:c>
    </ns0:row>
    <ns0:row r="3" ht="55" customHeight="1">
      <ns0:c r="A3" s="7" t="inlineStr">
        <ns0:is>
          <ns0:t>S2</ns0:t>
        </ns0:is>
      </ns0:c>
      <ns0:c r="B3" s="7" t="inlineStr">
        <ns0:is>
          <ns0:t>Börsenverein — bilanț 2025 (09.07.2026)</ns0:t>
        </ns0:is>
      </ns0:c>
      <ns0:c r="C3" s="12" t="inlineStr">
        <ns0:is>
          <ns0:t>https://www.boersenverein.de/presse/pressemitteilungen/detailseite/lesekompetenz-sinkt-handlungsbedarf-waechst-junge-menschen-kaufen-weniger-buecher/</ns0:t>
        </ns0:is>
      </ns0:c>
      <ns0:c r="D3" s="7" t="inlineStr">
        <ns0:is>
          <ns0:t>Piața germană și dinamica genurilor.</ns0:t>
        </ns0:is>
      </ns0:c>
    </ns0:row>
    <ns0:row r="4" ht="55" customHeight="1">
      <ns0:c r="A4" s="7" t="inlineStr">
        <ns0:is>
          <ns0:t>S3</ns0:t>
        </ns0:is>
      </ns0:c>
      <ns0:c r="B4" s="7" t="inlineStr">
        <ns0:is>
          <ns0:t>Circana — Romance with a Dark Twist (iunie 2025)</ns0:t>
        </ns0:is>
      </ns0:c>
      <ns0:c r="C4" s="12" t="inlineStr">
        <ns0:is>
          <ns0:t>https://www.circana.com/post/another-year-of-romance-with-a-dark-twist-circana-bookscan-reports</ns0:t>
        </ns0:is>
      </ns0:c>
      <ns0:c r="D4" s="7" t="inlineStr">
        <ns0:is>
          <ns0:t>Date de print romance SUA; nu prognoză pentru 2026.</ns0:t>
        </ns0:is>
      </ns0:c>
    </ns0:row>
    <ns0:row r="5" ht="55" customHeight="1">
      <ns0:c r="A5" s="7" t="inlineStr">
        <ns0:is>
          <ns0:t>S4</ns0:t>
        </ns0:is>
      </ns0:c>
      <ns0:c r="B5" s="7" t="inlineStr">
        <ns0:is>
          <ns0:t>Publishers Association — Publishing in 2025</ns0:t>
        </ns0:is>
      </ns0:c>
      <ns0:c r="C5" s="12" t="inlineStr">
        <ns0:is>
          <ns0:t>https://www.publishers.org.uk/publications/publishing-in-2025/</ns0:t>
        </ns0:is>
      </ns0:c>
      <ns0:c r="D5" s="7" t="inlineStr">
        <ns0:is>
          <ns0:t>Structura pieței britanice; print consumer 79%.</ns0:t>
        </ns0:is>
      </ns0:c>
    </ns0:row>
    <ns0:row r="6" ht="55" customHeight="1">
      <ns0:c r="A6" s="7" t="inlineStr">
        <ns0:is>
          <ns0:t>S5</ns0:t>
        </ns0:is>
      </ns0:c>
      <ns0:c r="B6" s="7" t="inlineStr">
        <ns0:is>
          <ns0:t>Forbes România — Top 101 edituri, bilanțuri 2025</ns0:t>
        </ns0:is>
      </ns0:c>
      <ns0:c r="C6" s="12" t="inlineStr">
        <ns0:is>
          <ns0:t>https://www.forbes.ro/exclusiv-top-101-edituri-din-romania-cu-bilanturile-financiare-in-anul-2025-508709</ns0:t>
        </ns0:is>
      </ns0:c>
      <ns0:c r="D6" s="7" t="inlineStr">
        <ns0:is>
          <ns0:t>Sursă secundară; eșantion de edituri, nu întreaga piață retail.</ns0:t>
        </ns0:is>
      </ns0:c>
    </ns0:row>
    <ns0:row r="7" ht="55" customHeight="1">
      <ns0:c r="A7" s="7" t="inlineStr">
        <ns0:is>
          <ns0:t>S6</ns0:t>
        </ns0:is>
      </ns0:c>
      <ns0:c r="B7" s="7" t="inlineStr">
        <ns0:is>
          <ns0:t>Eurostat — reading books in the EU (09.08.2024)</ns0:t>
        </ns0:is>
      </ns0:c>
      <ns0:c r="C7" s="12" t="inlineStr">
        <ns0:is>
          <ns0:t>https://ec.europa.eu/eurostat/web/products-eurostat-news/w/ddn-20240809-2</ns0:t>
        </ns0:is>
      </ns0:c>
      <ns0:c r="D7" s="7" t="inlineStr">
        <ns0:is>
          <ns0:t>Date pentru anul 2022; comportament de lectură, nu abonare.</ns0:t>
        </ns0:is>
      </ns0:c>
    </ns0:row>
    <ns0:row r="8" ht="55" customHeight="1">
      <ns0:c r="A8" s="7" t="inlineStr">
        <ns0:is>
          <ns0:t>S7</ns0:t>
        </ns0:is>
      </ns0:c>
      <ns0:c r="B8" s="7" t="inlineStr">
        <ns0:is>
          <ns0:t>Freida McFadden — The Housemaid series</ns0:t>
        </ns0:is>
      </ns0:c>
      <ns0:c r="C8" s="12" t="inlineStr">
        <ns0:is>
          <ns0:t>https://www.freidamcfadden.com/books/the-housemaid-series/</ns0:t>
        </ns0:is>
      </ns0:c>
      <ns0:c r="D8" s="7" t="inlineStr">
        <ns0:is>
          <ns0:t>Reper oficial de prezentare a seriei, nu date de conversie.</ns0:t>
        </ns0:is>
      </ns0:c>
    </ns0:row>
    <ns0:row r="9" ht="55" customHeight="1">
      <ns0:c r="A9" s="7" t="inlineStr">
        <ns0:is>
          <ns0:t>S8</ns0:t>
        </ns0:is>
      </ns0:c>
      <ns0:c r="B9" s="7" t="inlineStr">
        <ns0:is>
          <ns0:t>Penguin Random House — Funny Story</ns0:t>
        </ns0:is>
      </ns0:c>
      <ns0:c r="C9" s="12" t="inlineStr">
        <ns0:is>
          <ns0:t>https://www.penguinrandomhouse.com/books/704945/funny-story-by-emily-henry/</ns0:t>
        </ns0:is>
      </ns0:c>
      <ns0:c r="D9" s="7" t="inlineStr">
        <ns0:is>
          <ns0:t>Reper oficial de prezentare a premisei.</ns0:t>
        </ns0:is>
      </ns0:c>
    </ns0:row>
    <ns0:row r="10" ht="55" customHeight="1">
      <ns0:c r="A10" s="7" t="inlineStr">
        <ns0:is>
          <ns0:t>S9</ns0:t>
        </ns0:is>
      </ns0:c>
      <ns0:c r="B10" s="7" t="inlineStr">
        <ns0:is>
          <ns0:t>Pan Macmillan — Crowns of Nyaxia</ns0:t>
        </ns0:is>
      </ns0:c>
      <ns0:c r="C10" s="12" t="inlineStr">
        <ns0:is>
          <ns0:t>https://www.panmacmillan.com/series/crowns-of-nyaxia/panmac84652</ns0:t>
        </ns0:is>
      </ns0:c>
      <ns0:c r="D10" s="7" t="inlineStr">
        <ns0:is>
          <ns0:t>Reper oficial de structurare a universului.</ns0:t>
        </ns0:is>
      </ns0:c>
    </ns0:row>
    <ns0:row r="11" ht="55" customHeight="1">
      <ns0:c r="A11" s="7" t="inlineStr">
        <ns0:is>
          <ns0:t>S10</ns0:t>
        </ns0:is>
      </ns0:c>
      <ns0:c r="B11" s="7" t="inlineStr">
        <ns0:is>
          <ns0:t>KDP — Content Guidelines / AI-generated content</ns0:t>
        </ns0:is>
      </ns0:c>
      <ns0:c r="C11" s="12" t="inlineStr">
        <ns0:is>
          <ns0:t>https://kdp.amazon.com/en_US/help/topic/G200672390</ns0:t>
        </ns0:is>
      </ns0:c>
      <ns0:c r="D11" s="7" t="inlineStr">
        <ns0:is>
          <ns0:t>Declararea conținutului generat AI.</ns0:t>
        </ns0:is>
      </ns0:c>
    </ns0:row>
    <ns0:row r="12" ht="55" customHeight="1">
      <ns0:c r="A12" s="7" t="inlineStr">
        <ns0:is>
          <ns0:t>S11</ns0:t>
        </ns0:is>
      </ns0:c>
      <ns0:c r="B12" s="7" t="inlineStr">
        <ns0:is>
          <ns0:t>KDP — Create a Book / title creation limits</ns0:t>
        </ns0:is>
      </ns0:c>
      <ns0:c r="C12" s="12" t="inlineStr">
        <ns0:is>
          <ns0:t>https://kdp.amazon.com/en_US/help/topic/G202172740</ns0:t>
        </ns0:is>
      </ns0:c>
      <ns0:c r="D12" s="7" t="inlineStr">
        <ns0:is>
          <ns0:t>Verificare directă 23.09: 2 titluri/format/săptămână; versiuni indexate contradictorii.</ns0:t>
        </ns0:is>
      </ns0:c>
    </ns0:row>
    <ns0:row r="13" ht="55" customHeight="1">
      <ns0:c r="A13" s="7" t="inlineStr">
        <ns0:is>
          <ns0:t>S12</ns0:t>
        </ns0:is>
      </ns0:c>
      <ns0:c r="B13" s="7" t="inlineStr">
        <ns0:is>
          <ns0:t>Draft2Digital — Content Guidelines</ns0:t>
        </ns0:is>
      </ns0:c>
      <ns0:c r="C13" s="12" t="inlineStr">
        <ns0:is>
          <ns0:t>https://draft2digital.com/content-guidelines/</ns0:t>
        </ns0:is>
      </ns0:c>
      <ns0:c r="D13" s="7" t="inlineStr">
        <ns0:is>
          <ns0:t>Politică privind editarea umană a conținutului generat.</ns0:t>
        </ns0:is>
      </ns0:c>
    </ns0:row>
    <ns0:row r="14" ht="55" customHeight="1">
      <ns0:c r="A14" s="7" t="inlineStr">
        <ns0:is>
          <ns0:t>S13</ns0:t>
        </ns0:is>
      </ns0:c>
      <ns0:c r="B14" s="7" t="inlineStr">
        <ns0:is>
          <ns0:t>KDP — Supported Languages</ns0:t>
        </ns0:is>
      </ns0:c>
      <ns0:c r="C14" s="12" t="inlineStr">
        <ns0:is>
          <ns0:t>https://kdp.amazon.com/en_US/help/topic/G200673300</ns0:t>
        </ns0:is>
      </ns0:c>
      <ns0:c r="D14" s="7" t="inlineStr">
        <ns0:is>
          <ns0:t>Româna nu este în lista consultată.</ns0:t>
        </ns0:is>
      </ns0:c>
    </ns0:row>
    <ns0:row r="15" ht="55" customHeight="1">
      <ns0:c r="A15" s="7" t="inlineStr">
        <ns0:is>
          <ns0:t>S14</ns0:t>
        </ns0:is>
      </ns0:c>
      <ns0:c r="B15" s="7" t="inlineStr">
        <ns0:is>
          <ns0:t>Germania — Buchpreisbindungsgesetz §3</ns0:t>
        </ns0:is>
      </ns0:c>
      <ns0:c r="C15" s="12" t="inlineStr">
        <ns0:is>
          <ns0:t>https://www.gesetze-im-internet.de/buchprg/__3.html</ns0:t>
        </ns0:is>
      </ns0:c>
      <ns0:c r="D15" s="7" t="inlineStr">
        <ns0:is>
          <ns0:t>Prețul cărții; tratamentul concret al abonamentului cere aviz specializat.</ns0:t>
        </ns0:is>
      </ns0:c>
    </ns0:row>
    <ns0:row r="16" ht="55" customHeight="1">
      <ns0:c r="A16" s="7" t="inlineStr">
        <ns0:is>
          <ns0:t>S15</ns0:t>
        </ns0:is>
      </ns0:c>
      <ns0:c r="B16" s="7" t="inlineStr">
        <ns0:is>
          <ns0:t>KDP Select — exclusivitate digitală</ns0:t>
        </ns0:is>
      </ns0:c>
      <ns0:c r="C16" s="12" t="inlineStr">
        <ns0:is>
          <ns0:t>https://kdp.amazon.com/en_US/help/topic/G200798990</ns0:t>
        </ns0:is>
      </ns0:c>
      <ns0:c r="D16" s="7" t="inlineStr">
        <ns0:is>
          <ns0:t>Incompatibilități cu distribuția integrală digitală proprie.</ns0:t>
        </ns0:is>
      </ns0:c>
    </ns0:row>
    <ns0:row r="17" ht="55" customHeight="1">
      <ns0:c r="A17" s="7" t="inlineStr">
        <ns0:is>
          <ns0:t>S16</ns0:t>
        </ns0:is>
      </ns0:c>
      <ns0:c r="B17" s="7" t="inlineStr">
        <ns0:is>
          <ns0:t>Biblioteca Națională — ISBN / ISSN / ISMN / CIP</ns0:t>
        </ns0:is>
      </ns0:c>
      <ns0:c r="C17" s="12" t="inlineStr">
        <ns0:is>
          <ns0:t>https://bibnat.ro/centrul-national-isbn-issn-ismn-cip/</ns0:t>
        </ns0:is>
      </ns0:c>
      <ns0:c r="D17" s="7" t="inlineStr">
        <ns0:is>
          <ns0:t>Identificarea edițiilor și proceduri oficiale.</ns0:t>
        </ns0:is>
      </ns0:c>
    </ns0:row>
    <ns0:row r="18" ht="55" customHeight="1">
      <ns0:c r="A18" s="7" t="inlineStr">
        <ns0:is>
          <ns0:t>S22</ns0:t>
        </ns0:is>
      </ns0:c>
      <ns0:c r="B18" s="7" t="inlineStr">
        <ns0:is>
          <ns0:t>Amazon.de — Kindle Unlimited, tarif afișat</ns0:t>
        </ns0:is>
      </ns0:c>
      <ns0:c r="C18" s="12" t="inlineStr">
        <ns0:is>
          <ns0:t>https://partnernet.amazon.de/promotion/kindleunlimited</ns0:t>
        </ns0:is>
      </ns0:c>
      <ns0:c r="D18" s="7" t="inlineStr">
        <ns0:is>
          <ns0:t>11,75 EUR/lună; comparator de abonament.</ns0:t>
        </ns0:is>
      </ns0:c>
    </ns0:row>
    <ns0:row r="19" ht="55" customHeight="1">
      <ns0:c r="A19" s="7" t="inlineStr">
        <ns0:is>
          <ns0:t>S23</ns0:t>
        </ns0:is>
      </ns0:c>
      <ns0:c r="B19" s="7" t="inlineStr">
        <ns0:is>
          <ns0:t>Skoobe — Wie viel kostet ein Skoobe-Abo? (07.09.2026)</ns0:t>
        </ns0:is>
      </ns0:c>
      <ns0:c r="C19" s="12" t="inlineStr">
        <ns0:is>
          <ns0:t>https://support.skoobe.de/hc/de/articles/360015307380-Wie-viel-kostet-ein-Skoobe-Abo</ns0:t>
        </ns0:is>
      </ns0:c>
      <ns0:c r="D19" s="7" t="inlineStr">
        <ns0:is>
          <ns0:t>Basic 12,99 EUR/30 zile; Standard 14,99.</ns0:t>
        </ns0:is>
      </ns0:c>
    </ns0:row>
  </ns0:sheetData>
  <ns0:hyperlinks>
    <ns0:hyperlink ref="C2" ns1:id="rId1"/>
    <ns0:hyperlink ref="C3" ns1:id="rId2"/>
    <ns0:hyperlink ref="C4" ns1:id="rId3"/>
    <ns0:hyperlink ref="C5" ns1:id="rId4"/>
    <ns0:hyperlink ref="C6" ns1:id="rId5"/>
    <ns0:hyperlink ref="C7" ns1:id="rId6"/>
    <ns0:hyperlink ref="C8" ns1:id="rId7"/>
    <ns0:hyperlink ref="C9" ns1:id="rId8"/>
    <ns0:hyperlink ref="C10" ns1:id="rId9"/>
    <ns0:hyperlink ref="C11" ns1:id="rId10"/>
    <ns0:hyperlink ref="C12" ns1:id="rId11"/>
    <ns0:hyperlink ref="C13" ns1:id="rId12"/>
    <ns0:hyperlink ref="C14" ns1:id="rId13"/>
    <ns0:hyperlink ref="C15" ns1:id="rId14"/>
    <ns0:hyperlink ref="C16" ns1:id="rId15"/>
    <ns0:hyperlink ref="C17" ns1:id="rId16"/>
    <ns0:hyperlink ref="C18" ns1:id="rId17"/>
    <ns0:hyperlink ref="C19" ns1:id="rId18"/>
  </ns0:hyperlinks>
  <ns0:pageMargins left="0.75" right="0.75" top="1" bottom="1" header="0.5" footer="0.5"/>
  <ns0:pageSetup orientation="landscape" paperSize="9" fitToHeight="0" fitToWidth="1"/>
  <ns0:headerFooter>
    <ns0:oddHeader/>
    <ns0:oddFooter>&amp;CDracula Book | 23.09.2026&amp;R&amp;P / &amp;N</ns0:oddFooter>
    <ns0:evenHeader/>
    <ns0:evenFooter/>
    <ns0:firstHeader/>
    <ns0:firstFooter/>
  </ns0:headerFooter>
  <ns0:tableParts count="1">
    <ns0:tablePart ns1:id="rId19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2026-09-23T16:03:27Z</dcterms:created>
  <dcterms:modified xmlns:dcterms="http://purl.org/dc/terms/" xmlns:xsi="http://www.w3.org/2001/XMLSchema-instance" xsi:type="dcterms:W3CDTF">2026-09-23T16:03:28Z</dcterms:modified>
</cp:coreProperties>
</file>