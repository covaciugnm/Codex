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et – personal (bază CDI)" sheetId="1" state="visible" r:id="rId1"/>
    <sheet xmlns:r="http://schemas.openxmlformats.org/officeDocument/2006/relationships" name="Buget total" sheetId="2" state="visible" r:id="rId2"/>
    <sheet xmlns:r="http://schemas.openxmlformats.org/officeDocument/2006/relationships" name="Verificare pragu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222222"/>
      <sz val="11"/>
    </font>
    <font>
      <name val="Calibri"/>
      <b val="1"/>
      <color rgb="00222222"/>
      <sz val="10"/>
    </font>
    <font>
      <name val="Calibri"/>
      <b val="1"/>
      <color rgb="001E5B1E"/>
      <sz val="10"/>
    </font>
    <font>
      <name val="Calibri"/>
      <b val="1"/>
      <color rgb="009C57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8EE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3" fontId="5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  <col width="7" customWidth="1" min="4" max="4"/>
    <col width="14" customWidth="1" min="5" max="5"/>
    <col width="13" customWidth="1" min="6" max="6"/>
    <col width="13" customWidth="1" min="7" max="7"/>
  </cols>
  <sheetData>
    <row r="1">
      <c r="A1" s="1" t="inlineStr">
        <is>
          <t>EVA-AGRI · robot de recoltare căpșuni &amp; roșii (indoor farming) · BUGET PERSONAL — activitate de bază CDI 80%</t>
        </is>
      </c>
    </row>
    <row r="2">
      <c r="A2" s="2" t="inlineStr">
        <is>
          <t>Cercetare industrială &amp; dezvoltare experimentală, personal tehnic propriu. Intensitate 80% → cofinanțare 20%. Plafoane salariale conform Anexei 9.</t>
        </is>
      </c>
    </row>
    <row r="3">
      <c r="A3" s="3" t="inlineStr">
        <is>
          <t>Rol în proiect</t>
        </is>
      </c>
      <c r="B3" s="3" t="inlineStr">
        <is>
          <t>Responsabilitate tehnică</t>
        </is>
      </c>
      <c r="C3" s="3" t="inlineStr">
        <is>
          <t>€/lună</t>
        </is>
      </c>
      <c r="D3" s="3" t="inlineStr">
        <is>
          <t>Luni</t>
        </is>
      </c>
      <c r="E3" s="3" t="inlineStr">
        <is>
          <t>Cost € (bază)</t>
        </is>
      </c>
      <c r="F3" s="3" t="inlineStr">
        <is>
          <t>Grant € (80%)</t>
        </is>
      </c>
      <c r="G3" s="3" t="inlineStr">
        <is>
          <t>Cofin. € (20%)</t>
        </is>
      </c>
    </row>
    <row r="4">
      <c r="A4" s="4" t="inlineStr">
        <is>
          <t>Coordonator tehnic robotică-AI</t>
        </is>
      </c>
      <c r="B4" s="4" t="inlineStr">
        <is>
          <t>Arhitectură sistem, integrare percepție-manipulare-navigație, conducere R&amp;D</t>
        </is>
      </c>
      <c r="C4" s="5" t="n">
        <v>7000</v>
      </c>
      <c r="D4" s="6" t="n">
        <v>24</v>
      </c>
      <c r="E4" s="5" t="n">
        <v>168000</v>
      </c>
      <c r="F4" s="5" t="n">
        <v>134400</v>
      </c>
      <c r="G4" s="5" t="n">
        <v>33600</v>
      </c>
    </row>
    <row r="5">
      <c r="A5" s="4" t="inlineStr">
        <is>
          <t>Expert Computer Vision / AI</t>
        </is>
      </c>
      <c r="B5" s="4" t="inlineStr">
        <is>
          <t>Detecție fruct + estimare grad de coacere (RGB-D, 6D pose), antrenare modele pe Isaac Sim/Lab</t>
        </is>
      </c>
      <c r="C5" s="5" t="n">
        <v>5500</v>
      </c>
      <c r="D5" s="6" t="n">
        <v>24</v>
      </c>
      <c r="E5" s="5" t="n">
        <v>132000</v>
      </c>
      <c r="F5" s="5" t="n">
        <v>105600</v>
      </c>
      <c r="G5" s="5" t="n">
        <v>26400</v>
      </c>
    </row>
    <row r="6">
      <c r="A6" s="4" t="inlineStr">
        <is>
          <t>Expert manipulare / soft-robotics</t>
        </is>
      </c>
      <c r="B6" s="4" t="inlineStr">
        <is>
          <t>Gripper delicat anti-vătămare, control forță, desprindere selectivă a fructului</t>
        </is>
      </c>
      <c r="C6" s="5" t="n">
        <v>4500</v>
      </c>
      <c r="D6" s="6" t="n">
        <v>24</v>
      </c>
      <c r="E6" s="5" t="n">
        <v>108000</v>
      </c>
      <c r="F6" s="5" t="n">
        <v>86400</v>
      </c>
      <c r="G6" s="5" t="n">
        <v>21600</v>
      </c>
    </row>
    <row r="7">
      <c r="A7" s="4" t="inlineStr">
        <is>
          <t>Expert navigație &amp; integrare agronomică</t>
        </is>
      </c>
      <c r="B7" s="4" t="inlineStr">
        <is>
          <t>Platformă mobilă ROS2/Nav2 pe rânduri, cartografiere randament, integrare cu ferma</t>
        </is>
      </c>
      <c r="C7" s="5" t="n">
        <v>4000</v>
      </c>
      <c r="D7" s="6" t="n">
        <v>23</v>
      </c>
      <c r="E7" s="5" t="n">
        <v>92000</v>
      </c>
      <c r="F7" s="5" t="n">
        <v>73600</v>
      </c>
      <c r="G7" s="5" t="n">
        <v>18400</v>
      </c>
    </row>
    <row r="8">
      <c r="A8" s="7" t="inlineStr">
        <is>
          <t>TOTAL PERSONAL (activitate de bază)</t>
        </is>
      </c>
      <c r="E8" s="8">
        <f>SUM(E4:E7)</f>
        <v/>
      </c>
      <c r="F8" s="8">
        <f>SUM(F4:F7)</f>
        <v/>
      </c>
      <c r="G8" s="8">
        <f>SUM(G4:G7)</f>
        <v/>
      </c>
    </row>
    <row r="10">
      <c r="A10" s="2" t="inlineStr">
        <is>
          <t>Echipa îndeplinește criteriul 4.1 (coordonator + minim 2 experți) cu marjă — 1 coordonator + 3 experți, toți normă întreagă 23-24 luni.</t>
        </is>
      </c>
    </row>
  </sheetData>
  <mergeCells count="4">
    <mergeCell ref="A8:D8"/>
    <mergeCell ref="A2:G2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15" customWidth="1" min="3" max="3"/>
    <col width="9" customWidth="1" min="4" max="4"/>
    <col width="13" customWidth="1" min="5" max="5"/>
    <col width="14" customWidth="1" min="6" max="6"/>
  </cols>
  <sheetData>
    <row r="1">
      <c r="A1" s="1" t="inlineStr">
        <is>
          <t>EVA-AGRI · BUGET TOTAL 600.000 € · focus maxim pe salarii</t>
        </is>
      </c>
    </row>
    <row r="2">
      <c r="A2" s="2" t="inlineStr">
        <is>
          <t>Grant 500.000 € · Cost eligibil 600.000 € · Cofinanțare 100.000 € (20% din grant, minimul structural). Minimis la maxim (100.000 = 20% conexe).</t>
        </is>
      </c>
    </row>
    <row r="3">
      <c r="A3" s="3" t="inlineStr">
        <is>
          <t>Categorie</t>
        </is>
      </c>
      <c r="B3" s="3" t="inlineStr">
        <is>
          <t>Tip ajutor</t>
        </is>
      </c>
      <c r="C3" s="3" t="inlineStr">
        <is>
          <t>Cost eligibil €</t>
        </is>
      </c>
      <c r="D3" s="3" t="inlineStr">
        <is>
          <t>Intensit.</t>
        </is>
      </c>
      <c r="E3" s="3" t="inlineStr">
        <is>
          <t>Grant €</t>
        </is>
      </c>
      <c r="F3" s="3" t="inlineStr">
        <is>
          <t>Cofinanțare €</t>
        </is>
      </c>
    </row>
    <row r="4">
      <c r="A4" s="9" t="inlineStr">
        <is>
          <t>Personal tehnic propriu (1 coord + 3 experți, 24 luni)</t>
        </is>
      </c>
      <c r="B4" s="9" t="inlineStr">
        <is>
          <t>CDI cercetare industrială 80%</t>
        </is>
      </c>
      <c r="C4" s="5" t="n">
        <v>500000</v>
      </c>
      <c r="D4" s="10" t="n">
        <v>0.8</v>
      </c>
      <c r="E4" s="5" t="n">
        <v>400000</v>
      </c>
      <c r="F4" s="5" t="n">
        <v>100000</v>
      </c>
    </row>
    <row r="5">
      <c r="A5" s="11" t="inlineStr">
        <is>
          <t>Promovare / go-to-market (demo la ferme, târguri agri)</t>
        </is>
      </c>
      <c r="B5" s="11" t="inlineStr">
        <is>
          <t>Minimis 100%</t>
        </is>
      </c>
      <c r="C5" s="5" t="n">
        <v>40000</v>
      </c>
      <c r="D5" s="10" t="n">
        <v>1</v>
      </c>
      <c r="E5" s="5" t="n">
        <v>40000</v>
      </c>
      <c r="F5" s="5" t="n">
        <v>0</v>
      </c>
    </row>
    <row r="6">
      <c r="A6" s="11" t="inlineStr">
        <is>
          <t>Management de proiect</t>
        </is>
      </c>
      <c r="B6" s="11" t="inlineStr">
        <is>
          <t>Minimis 100%</t>
        </is>
      </c>
      <c r="C6" s="5" t="n">
        <v>30000</v>
      </c>
      <c r="D6" s="10" t="n">
        <v>1</v>
      </c>
      <c r="E6" s="5" t="n">
        <v>30000</v>
      </c>
      <c r="F6" s="5" t="n">
        <v>0</v>
      </c>
    </row>
    <row r="7">
      <c r="A7" s="11" t="inlineStr">
        <is>
          <t>Informare și publicitate (obligatoriu)</t>
        </is>
      </c>
      <c r="B7" s="11" t="inlineStr">
        <is>
          <t>Minimis 100%</t>
        </is>
      </c>
      <c r="C7" s="5" t="n">
        <v>15000</v>
      </c>
      <c r="D7" s="10" t="n">
        <v>1</v>
      </c>
      <c r="E7" s="5" t="n">
        <v>15000</v>
      </c>
      <c r="F7" s="5" t="n">
        <v>0</v>
      </c>
    </row>
    <row r="8">
      <c r="A8" s="11" t="inlineStr">
        <is>
          <t>Audit tehnic</t>
        </is>
      </c>
      <c r="B8" s="11" t="inlineStr">
        <is>
          <t>Minimis 100%</t>
        </is>
      </c>
      <c r="C8" s="5" t="n">
        <v>15000</v>
      </c>
      <c r="D8" s="10" t="n">
        <v>1</v>
      </c>
      <c r="E8" s="5" t="n">
        <v>15000</v>
      </c>
      <c r="F8" s="5" t="n">
        <v>0</v>
      </c>
    </row>
    <row r="9">
      <c r="A9" s="7" t="inlineStr">
        <is>
          <t>TOTAL</t>
        </is>
      </c>
      <c r="C9" s="8">
        <f>SUM(C4:C8)</f>
        <v/>
      </c>
      <c r="E9" s="8">
        <f>SUM(E4:E8)</f>
        <v/>
      </c>
      <c r="F9" s="8">
        <f>SUM(F4:F8)</f>
        <v/>
      </c>
    </row>
    <row r="11">
      <c r="A11" s="12" t="inlineStr">
        <is>
          <t>Grant total</t>
        </is>
      </c>
      <c r="C11" s="13">
        <f>E9</f>
        <v/>
      </c>
      <c r="D11" s="2">
        <f> 500.000 €</f>
        <v/>
      </c>
    </row>
    <row r="12">
      <c r="A12" s="12" t="inlineStr">
        <is>
          <t>Cost eligibil total</t>
        </is>
      </c>
      <c r="C12" s="13">
        <f>C9</f>
        <v/>
      </c>
      <c r="D12" s="2">
        <f> 600.000 €</f>
        <v/>
      </c>
    </row>
    <row r="13">
      <c r="A13" s="12" t="inlineStr">
        <is>
          <t>Cofinanțare totală</t>
        </is>
      </c>
      <c r="C13" s="13">
        <f>F9</f>
        <v/>
      </c>
      <c r="D13" s="2" t="inlineStr">
        <is>
          <t>20% din grant</t>
        </is>
      </c>
    </row>
    <row r="14">
      <c r="A14" s="12" t="inlineStr">
        <is>
          <t>Cofinanțare în lei (×5,0981)</t>
        </is>
      </c>
      <c r="C14" s="13">
        <f>F9*5.0981</f>
        <v/>
      </c>
      <c r="D14" s="2" t="inlineStr">
        <is>
          <t>de asigurat de asociat</t>
        </is>
      </c>
    </row>
    <row r="15">
      <c r="A15" s="12" t="inlineStr">
        <is>
          <t>Pondere activitate de bază</t>
        </is>
      </c>
      <c r="C15" s="14">
        <f>E4/E9</f>
        <v/>
      </c>
      <c r="D15" s="2" t="inlineStr">
        <is>
          <t>≥80%</t>
        </is>
      </c>
    </row>
    <row r="16">
      <c r="A16" s="12" t="inlineStr">
        <is>
          <t>Personal propriu / bază</t>
        </is>
      </c>
      <c r="C16" s="14">
        <f>E4/E4</f>
        <v/>
      </c>
      <c r="D16" s="2" t="inlineStr">
        <is>
          <t>≥20% (aici 100%)</t>
        </is>
      </c>
    </row>
    <row r="17">
      <c r="A17" s="12" t="inlineStr">
        <is>
          <t>Minimis total</t>
        </is>
      </c>
      <c r="C17" s="13">
        <f>SUM(E5:E8)</f>
        <v/>
      </c>
      <c r="D17" s="2" t="inlineStr">
        <is>
          <t>≤300.000; aici la max = 100.000</t>
        </is>
      </c>
    </row>
    <row r="18">
      <c r="A18" s="12" t="inlineStr">
        <is>
          <t>Consultanță + management</t>
        </is>
      </c>
      <c r="C18" s="13">
        <f>30000</f>
        <v/>
      </c>
      <c r="D18" s="2" t="inlineStr">
        <is>
          <t>≤10% din eligibil (60.000)</t>
        </is>
      </c>
    </row>
    <row r="19">
      <c r="A19" s="12" t="inlineStr">
        <is>
          <t>Cheltuieli neeligibile</t>
        </is>
      </c>
      <c r="C19" s="13" t="n">
        <v>0</v>
      </c>
      <c r="D19" s="2" t="inlineStr">
        <is>
          <t>0</t>
        </is>
      </c>
    </row>
  </sheetData>
  <mergeCells count="11">
    <mergeCell ref="A2:F2"/>
    <mergeCell ref="D19:F19"/>
    <mergeCell ref="D11:F11"/>
    <mergeCell ref="D13:F13"/>
    <mergeCell ref="D14:F14"/>
    <mergeCell ref="A1:F1"/>
    <mergeCell ref="D12:F12"/>
    <mergeCell ref="D18:F18"/>
    <mergeCell ref="D17:F17"/>
    <mergeCell ref="D15:F15"/>
    <mergeCell ref="D16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8" customWidth="1" min="3" max="3"/>
    <col width="12" customWidth="1" min="4" max="4"/>
  </cols>
  <sheetData>
    <row r="1">
      <c r="A1" s="1" t="inlineStr">
        <is>
          <t>VERIFICARE CONFORMITATE CU GHIDUL</t>
        </is>
      </c>
    </row>
    <row r="3">
      <c r="A3" s="3" t="inlineStr">
        <is>
          <t>Regulă din ghid</t>
        </is>
      </c>
      <c r="B3" s="3" t="inlineStr">
        <is>
          <t>Prag</t>
        </is>
      </c>
      <c r="C3" s="3" t="inlineStr">
        <is>
          <t>Valoare proiect</t>
        </is>
      </c>
      <c r="D3" s="3" t="inlineStr">
        <is>
          <t>Status</t>
        </is>
      </c>
    </row>
    <row r="4">
      <c r="A4" s="4" t="inlineStr">
        <is>
          <t>Grant nerambursabil</t>
        </is>
      </c>
      <c r="B4" s="4" t="inlineStr">
        <is>
          <t>200.000 – 3.000.000 €</t>
        </is>
      </c>
      <c r="C4" s="15" t="inlineStr">
        <is>
          <t>500.000 €</t>
        </is>
      </c>
      <c r="D4" s="16" t="inlineStr">
        <is>
          <t>OK</t>
        </is>
      </c>
    </row>
    <row r="5">
      <c r="A5" s="17" t="inlineStr">
        <is>
          <t>Activitate de bază (CDI)</t>
        </is>
      </c>
      <c r="B5" s="17" t="inlineStr">
        <is>
          <t>≥ 80% din grant</t>
        </is>
      </c>
      <c r="C5" s="18" t="inlineStr">
        <is>
          <t>80,0%</t>
        </is>
      </c>
      <c r="D5" s="16" t="inlineStr">
        <is>
          <t>OK</t>
        </is>
      </c>
    </row>
    <row r="6">
      <c r="A6" s="4" t="inlineStr">
        <is>
          <t>Personal propriu / grant bază</t>
        </is>
      </c>
      <c r="B6" s="4" t="inlineStr">
        <is>
          <t>≥ 20%</t>
        </is>
      </c>
      <c r="C6" s="15" t="inlineStr">
        <is>
          <t>100%</t>
        </is>
      </c>
      <c r="D6" s="16" t="inlineStr">
        <is>
          <t>OK</t>
        </is>
      </c>
    </row>
    <row r="7">
      <c r="A7" s="17" t="inlineStr">
        <is>
          <t>Minimis total</t>
        </is>
      </c>
      <c r="B7" s="17" t="inlineStr">
        <is>
          <t>≤ 300.000 €</t>
        </is>
      </c>
      <c r="C7" s="18" t="inlineStr">
        <is>
          <t>100.000 €</t>
        </is>
      </c>
      <c r="D7" s="16" t="inlineStr">
        <is>
          <t>OK</t>
        </is>
      </c>
    </row>
    <row r="8">
      <c r="A8" s="4" t="inlineStr">
        <is>
          <t>Consultanță + management</t>
        </is>
      </c>
      <c r="B8" s="4" t="inlineStr">
        <is>
          <t>≤ 10% din eligibil</t>
        </is>
      </c>
      <c r="C8" s="15" t="inlineStr">
        <is>
          <t>30.000 (5%)</t>
        </is>
      </c>
      <c r="D8" s="16" t="inlineStr">
        <is>
          <t>OK</t>
        </is>
      </c>
    </row>
    <row r="9">
      <c r="A9" s="17" t="inlineStr">
        <is>
          <t>Cofinanțare</t>
        </is>
      </c>
      <c r="B9" s="17" t="inlineStr">
        <is>
          <t>minim structural</t>
        </is>
      </c>
      <c r="C9" s="18" t="inlineStr">
        <is>
          <t>100.000 € (20%)</t>
        </is>
      </c>
      <c r="D9" s="16" t="inlineStr">
        <is>
          <t>OK</t>
        </is>
      </c>
    </row>
    <row r="10">
      <c r="A10" s="4" t="inlineStr">
        <is>
          <t>Cheltuieli indirecte (forfait 7%)</t>
        </is>
      </c>
      <c r="B10" s="4" t="inlineStr">
        <is>
          <t>opțional, pe lângă</t>
        </is>
      </c>
      <c r="C10" s="15" t="inlineStr">
        <is>
          <t>neincluse</t>
        </is>
      </c>
      <c r="D10" s="15" t="inlineStr">
        <is>
          <t>—</t>
        </is>
      </c>
    </row>
    <row r="11">
      <c r="A11" s="17" t="inlineStr">
        <is>
          <t>Echipă (4.1)</t>
        </is>
      </c>
      <c r="B11" s="17" t="inlineStr">
        <is>
          <t>1 coord + ≥2 experți</t>
        </is>
      </c>
      <c r="C11" s="18" t="inlineStr">
        <is>
          <t>1 + 3</t>
        </is>
      </c>
      <c r="D11" s="16" t="inlineStr">
        <is>
          <t>OK</t>
        </is>
      </c>
    </row>
    <row r="12">
      <c r="A12" s="4" t="inlineStr">
        <is>
          <t>Cheltuieli neeligibile</t>
        </is>
      </c>
      <c r="B12" s="4" t="inlineStr">
        <is>
          <t>minimizate</t>
        </is>
      </c>
      <c r="C12" s="15" t="inlineStr">
        <is>
          <t>0 €</t>
        </is>
      </c>
      <c r="D12" s="16" t="inlineStr">
        <is>
          <t>OK</t>
        </is>
      </c>
    </row>
    <row r="14">
      <c r="A14" s="19" t="inlineStr">
        <is>
          <t>NOTA: cofinantarea de 100.000 EUR (~509.810 lei) rezolva si incadrarea de firma in dificultate a SRM DESIGN (injectia depaseste mult pragul de iesire). TVA (~19% x 600.000 = ~114.000 EUR) se prefinanteaza, recuperabil daca firma e platitoare cu drept de deducere.</t>
        </is>
      </c>
    </row>
    <row r="15"/>
  </sheetData>
  <mergeCells count="2">
    <mergeCell ref="A1:D1"/>
    <mergeCell ref="A14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2026-08-12T14:48:32Z</dcterms:created>
  <dcterms:modified xmlns:dcterms="http://purl.org/dc/terms/" xmlns:xsi="http://www.w3.org/2001/XMLSchema-instance" xsi:type="dcterms:W3CDTF">2026-08-12T14:48:34Z</dcterms:modified>
</cp:coreProperties>
</file>