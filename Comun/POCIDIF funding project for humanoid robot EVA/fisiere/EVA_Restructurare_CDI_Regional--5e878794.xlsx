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incipiu si regula" sheetId="1" state="visible" r:id="rId1"/>
    <sheet xmlns:r="http://schemas.openxmlformats.org/officeDocument/2006/relationships" name="2. Clasificare echipamente" sheetId="2" state="visible" r:id="rId2"/>
    <sheet xmlns:r="http://schemas.openxmlformats.org/officeDocument/2006/relationships" name="3. Scenarii A-B-C" sheetId="3" state="visible" r:id="rId3"/>
    <sheet xmlns:r="http://schemas.openxmlformats.org/officeDocument/2006/relationships" name="4. Buget consolidat (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1F3864"/>
      <sz val="11"/>
    </font>
    <font>
      <name val="Calibri"/>
      <b val="1"/>
      <color rgb="00222222"/>
      <sz val="10"/>
    </font>
    <font>
      <name val="Calibri"/>
      <color rgb="00222222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222222"/>
      <sz val="8"/>
    </font>
    <font>
      <name val="Calibri"/>
      <color rgb="00595959"/>
      <sz val="8"/>
    </font>
    <font>
      <name val="Calibri"/>
      <b val="1"/>
      <color rgb="001E5B1E"/>
      <sz val="11"/>
    </font>
    <font>
      <name val="Calibri"/>
      <color rgb="00595959"/>
      <sz val="9"/>
    </font>
    <font>
      <name val="Calibri"/>
      <b val="1"/>
      <color rgb="00222222"/>
      <sz val="11"/>
    </font>
    <font>
      <name val="Calibri"/>
      <b val="1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6" borderId="1" pivotButton="0" quotePrefix="0" xfId="0"/>
    <xf numFmtId="0" fontId="8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9" fontId="4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3" fontId="11" fillId="6" borderId="1" pivotButton="0" quotePrefix="0" xfId="0"/>
    <xf numFmtId="0" fontId="4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95" customWidth="1" min="2" max="2"/>
  </cols>
  <sheetData>
    <row r="1">
      <c r="A1" s="1" t="inlineStr">
        <is>
          <t>RESTRUCTURARE CDI → AJUTOR REGIONAL · principiul contabil-fiscal</t>
        </is>
      </c>
    </row>
    <row r="3">
      <c r="A3" s="2" t="inlineStr">
        <is>
          <t>REGULA CHEIE (Ghid cap. B.b, GBER art. 25)</t>
        </is>
      </c>
      <c r="B3" s="3" t="inlineStr"/>
    </row>
    <row r="4">
      <c r="A4" s="4" t="inlineStr">
        <is>
          <t>Echipamente pe AJUTOR CDI</t>
        </is>
      </c>
      <c r="B4" s="5" t="inlineStr">
        <is>
          <t>Eligibilă DOAR AMORTIZAREA aferentă duratei de utilizare în proiect (nu valoarea integrală). Dacă echipamentul nu e folosit pe întreaga durată de viață în proiect → eligibilă doar amortizarea pe durata proiectului.</t>
        </is>
      </c>
    </row>
    <row r="5">
      <c r="A5" s="4" t="inlineStr">
        <is>
          <t>Echipamente pe AJUTOR REGIONAL</t>
        </is>
      </c>
      <c r="B5" s="5" t="inlineStr">
        <is>
          <t>Eligibilă VALOAREA INTEGRALĂ de achiziție (active noi, investiție inițială: unitate nouă/extindere/diversificare/schimbare proces). Intensitate 70%.</t>
        </is>
      </c>
    </row>
    <row r="6">
      <c r="A6" s="4" t="inlineStr"/>
      <c r="B6" s="5" t="inlineStr"/>
    </row>
    <row r="7">
      <c r="A7" s="2" t="inlineStr">
        <is>
          <t>CONSECINȚA MATEMATICĂ</t>
        </is>
      </c>
      <c r="B7" s="3" t="inlineStr"/>
    </row>
    <row r="8">
      <c r="A8" s="4" t="inlineStr">
        <is>
          <t>CDI 80% pe amortizare vs Regional 70% pe valoare integrală</t>
        </is>
      </c>
      <c r="B8" s="5" t="inlineStr">
        <is>
          <t>CDI avantajos DOAR dacă: amortizare% × 80% &gt; 70% → amortizare% &gt; 87,5%. Adică DOAR pentru active cu durată de amortizare 2 ani (cod 2.2.9) puse în funcțiune în luna 1 și folosite integral 24 luni.</t>
        </is>
      </c>
    </row>
    <row r="9">
      <c r="A9" s="4" t="inlineStr">
        <is>
          <t>Activ cu durată 2 ani pus în funcțiune luna 1</t>
        </is>
      </c>
      <c r="B9" s="5" t="inlineStr">
        <is>
          <t>24/24 = 100% amortizat → CDI 80% &gt; regional 70% (avantaj 10 pp).</t>
        </is>
      </c>
    </row>
    <row r="10">
      <c r="A10" s="4" t="inlineStr">
        <is>
          <t>Același activ pus în funcțiune luna 3</t>
        </is>
      </c>
      <c r="B10" s="5" t="inlineStr">
        <is>
          <t>22/24 = 91,7% → CDI 80%×0,917 = 73,4% ≈ regional 70% (avantaj minim).</t>
        </is>
      </c>
    </row>
    <row r="11">
      <c r="A11" s="4" t="inlineStr">
        <is>
          <t>Același activ pus în funcțiune luna 4</t>
        </is>
      </c>
      <c r="B11" s="5" t="inlineStr">
        <is>
          <t>21/24 = 87,5% → CDI 80%×0,875 = 70% = regional (fără avantaj).</t>
        </is>
      </c>
    </row>
    <row r="12">
      <c r="A12" s="4" t="inlineStr">
        <is>
          <t>Activ cu durată 4 ani (2.2.9 max) folosit 24 luni</t>
        </is>
      </c>
      <c r="B12" s="5" t="inlineStr">
        <is>
          <t>24/48 = 50% → CDI 80%×0,50 = 40% &lt;&lt; 70% regional (regional MULT mai bun + fără risc).</t>
        </is>
      </c>
    </row>
    <row r="13">
      <c r="A13" s="4" t="inlineStr">
        <is>
          <t>Utilaje/cuptoare/metrologie (durată 6-12 ani)</t>
        </is>
      </c>
      <c r="B13" s="5" t="inlineStr">
        <is>
          <t>amortizare în 24 luni = 17-33% → pe CDI ar fi masiv neeligibile. OBLIGATORIU regional.</t>
        </is>
      </c>
    </row>
    <row r="14">
      <c r="A14" s="4" t="inlineStr"/>
      <c r="B14" s="5" t="inlineStr"/>
    </row>
    <row r="15">
      <c r="A15" s="4" t="inlineStr">
        <is>
          <t>CONCLUZIA</t>
        </is>
      </c>
      <c r="B15" s="5" t="inlineStr">
        <is>
          <t>Mutarea echipamentelor de pe CDI pe REGIONAL (valoare integrală 70%) elimină riscul de neeligibilitate a amortizării și, pentru majoritatea echipamentelor, dă și grant mai mare. CDI rămâne avantajos doar marginal, pentru servere/laptopuri de 2 ani puse în funcțiune în luna 1 (risc de audit).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13" customWidth="1" min="4" max="4"/>
    <col width="9" customWidth="1" min="5" max="5"/>
    <col width="8" customWidth="1" min="6" max="6"/>
    <col width="7" customWidth="1" min="7" max="7"/>
    <col width="8" customWidth="1" min="8" max="8"/>
    <col width="12" customWidth="1" min="9" max="9"/>
    <col width="8" customWidth="1" min="10" max="10"/>
    <col width="12" customWidth="1" min="11" max="11"/>
    <col width="11" customWidth="1" min="12" max="12"/>
    <col width="30" customWidth="1" min="13" max="13"/>
    <col width="10" customWidth="1" min="14" max="14"/>
  </cols>
  <sheetData>
    <row r="1">
      <c r="A1" s="1" t="inlineStr">
        <is>
          <t>CLASIFICARE ECHIPAMENTE – situație actuală vs propusă (recomandat: REGIONAL valoare integrală)</t>
        </is>
      </c>
    </row>
    <row r="3">
      <c r="A3" s="6" t="inlineStr">
        <is>
          <t>Echipament</t>
        </is>
      </c>
      <c r="B3" s="6" t="inlineStr">
        <is>
          <t>Valoare €</t>
        </is>
      </c>
      <c r="C3" s="6" t="inlineStr">
        <is>
          <t>Încadrare actuală</t>
        </is>
      </c>
      <c r="D3" s="6" t="inlineStr">
        <is>
          <t>Încadrare PROPUSĂ</t>
        </is>
      </c>
      <c r="E3" s="6" t="inlineStr">
        <is>
          <t>Cod amortiz.</t>
        </is>
      </c>
      <c r="F3" s="6" t="inlineStr">
        <is>
          <t>Durată (ani)</t>
        </is>
      </c>
      <c r="G3" s="6" t="inlineStr">
        <is>
          <t>Luna PIF</t>
        </is>
      </c>
      <c r="H3" s="6" t="inlineStr">
        <is>
          <t>Luni în proiect</t>
        </is>
      </c>
      <c r="I3" s="6" t="inlineStr">
        <is>
          <t>Val. eligibilă €</t>
        </is>
      </c>
      <c r="J3" s="6" t="inlineStr">
        <is>
          <t>Intens.</t>
        </is>
      </c>
      <c r="K3" s="6" t="inlineStr">
        <is>
          <t>Grant €</t>
        </is>
      </c>
      <c r="L3" s="6" t="inlineStr">
        <is>
          <t>Cofin €</t>
        </is>
      </c>
      <c r="M3" s="6" t="inlineStr">
        <is>
          <t>Justificare</t>
        </is>
      </c>
      <c r="N3" s="6" t="inlineStr">
        <is>
          <t>Risc</t>
        </is>
      </c>
    </row>
    <row r="4">
      <c r="A4" s="7" t="inlineStr">
        <is>
          <t>A. CLUSTER HPC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9" t="inlineStr">
        <is>
          <t>Nod GPU 4×H100</t>
        </is>
      </c>
      <c r="B5" s="10" t="n">
        <v>165000</v>
      </c>
      <c r="C5" s="9" t="inlineStr">
        <is>
          <t>CDI</t>
        </is>
      </c>
      <c r="D5" s="11" t="inlineStr">
        <is>
          <t>Regional</t>
        </is>
      </c>
      <c r="E5" s="9" t="inlineStr">
        <is>
          <t>2.2.9</t>
        </is>
      </c>
      <c r="F5" s="12" t="inlineStr">
        <is>
          <t>2</t>
        </is>
      </c>
      <c r="G5" s="12" t="inlineStr">
        <is>
          <t>3</t>
        </is>
      </c>
      <c r="H5" s="12" t="n">
        <v>22</v>
      </c>
      <c r="I5" s="10" t="n">
        <v>165000</v>
      </c>
      <c r="J5" s="13" t="n">
        <v>0.7</v>
      </c>
      <c r="K5" s="10" t="n">
        <v>115500</v>
      </c>
      <c r="L5" s="10" t="n">
        <v>49500</v>
      </c>
      <c r="M5" s="9" t="inlineStr">
        <is>
          <t>Antrenare + validare + operare comercială post-proiect</t>
        </is>
      </c>
      <c r="N5" s="14" t="inlineStr">
        <is>
          <t>MEDIU</t>
        </is>
      </c>
    </row>
    <row r="6">
      <c r="A6" s="9" t="inlineStr">
        <is>
          <t>Nod GPU 4×L40S</t>
        </is>
      </c>
      <c r="B6" s="10" t="n">
        <v>95000</v>
      </c>
      <c r="C6" s="9" t="inlineStr">
        <is>
          <t>CDI</t>
        </is>
      </c>
      <c r="D6" s="11" t="inlineStr">
        <is>
          <t>Regional</t>
        </is>
      </c>
      <c r="E6" s="9" t="inlineStr">
        <is>
          <t>2.2.9</t>
        </is>
      </c>
      <c r="F6" s="12" t="inlineStr">
        <is>
          <t>2</t>
        </is>
      </c>
      <c r="G6" s="12" t="inlineStr">
        <is>
          <t>3</t>
        </is>
      </c>
      <c r="H6" s="12" t="n">
        <v>22</v>
      </c>
      <c r="I6" s="10" t="n">
        <v>95000</v>
      </c>
      <c r="J6" s="13" t="n">
        <v>0.7</v>
      </c>
      <c r="K6" s="10" t="n">
        <v>66500</v>
      </c>
      <c r="L6" s="10" t="n">
        <v>28500</v>
      </c>
      <c r="M6" s="9" t="inlineStr">
        <is>
          <t>Idem – utilizat permanent post-proiect</t>
        </is>
      </c>
      <c r="N6" s="14" t="inlineStr">
        <is>
          <t>MEDIU</t>
        </is>
      </c>
    </row>
    <row r="7">
      <c r="A7" s="9" t="inlineStr">
        <is>
          <t>Nod 2×RTX 6000 Ada</t>
        </is>
      </c>
      <c r="B7" s="10" t="n">
        <v>40000</v>
      </c>
      <c r="C7" s="9" t="inlineStr">
        <is>
          <t>CDI</t>
        </is>
      </c>
      <c r="D7" s="11" t="inlineStr">
        <is>
          <t>Regional</t>
        </is>
      </c>
      <c r="E7" s="9" t="inlineStr">
        <is>
          <t>2.2.9</t>
        </is>
      </c>
      <c r="F7" s="12" t="inlineStr">
        <is>
          <t>2</t>
        </is>
      </c>
      <c r="G7" s="12" t="inlineStr">
        <is>
          <t>3</t>
        </is>
      </c>
      <c r="H7" s="12" t="n">
        <v>22</v>
      </c>
      <c r="I7" s="10" t="n">
        <v>40000</v>
      </c>
      <c r="J7" s="13" t="n">
        <v>0.7</v>
      </c>
      <c r="K7" s="10" t="n">
        <v>28000</v>
      </c>
      <c r="L7" s="10" t="n">
        <v>12000</v>
      </c>
      <c r="M7" s="9" t="inlineStr">
        <is>
          <t>Inferență/validare, folosit în producție</t>
        </is>
      </c>
      <c r="N7" s="14" t="inlineStr">
        <is>
          <t>MEDIU</t>
        </is>
      </c>
    </row>
    <row r="8">
      <c r="A8" s="9" t="inlineStr">
        <is>
          <t>Nod head/management</t>
        </is>
      </c>
      <c r="B8" s="10" t="n">
        <v>18000</v>
      </c>
      <c r="C8" s="9" t="inlineStr">
        <is>
          <t>CDI</t>
        </is>
      </c>
      <c r="D8" s="11" t="inlineStr">
        <is>
          <t>Regional</t>
        </is>
      </c>
      <c r="E8" s="9" t="inlineStr">
        <is>
          <t>2.2.9</t>
        </is>
      </c>
      <c r="F8" s="12" t="inlineStr">
        <is>
          <t>3</t>
        </is>
      </c>
      <c r="G8" s="12" t="inlineStr">
        <is>
          <t>2</t>
        </is>
      </c>
      <c r="H8" s="12" t="n">
        <v>23</v>
      </c>
      <c r="I8" s="10" t="n">
        <v>18000</v>
      </c>
      <c r="J8" s="13" t="n">
        <v>0.7</v>
      </c>
      <c r="K8" s="10" t="n">
        <v>12600</v>
      </c>
      <c r="L8" s="10" t="n">
        <v>5400</v>
      </c>
      <c r="M8" s="9" t="inlineStr">
        <is>
          <t>Infrastructură cluster permanentă</t>
        </is>
      </c>
      <c r="N8" s="15" t="inlineStr">
        <is>
          <t>MIC</t>
        </is>
      </c>
    </row>
    <row r="9">
      <c r="A9" s="9" t="inlineStr">
        <is>
          <t>Stocare NVMe ~100TB</t>
        </is>
      </c>
      <c r="B9" s="10" t="n">
        <v>55000</v>
      </c>
      <c r="C9" s="9" t="inlineStr">
        <is>
          <t>CDI</t>
        </is>
      </c>
      <c r="D9" s="11" t="inlineStr">
        <is>
          <t>Regional</t>
        </is>
      </c>
      <c r="E9" s="9" t="inlineStr">
        <is>
          <t>2.2.9</t>
        </is>
      </c>
      <c r="F9" s="12" t="inlineStr">
        <is>
          <t>4</t>
        </is>
      </c>
      <c r="G9" s="12" t="inlineStr">
        <is>
          <t>2</t>
        </is>
      </c>
      <c r="H9" s="12" t="n">
        <v>23</v>
      </c>
      <c r="I9" s="10" t="n">
        <v>55000</v>
      </c>
      <c r="J9" s="13" t="n">
        <v>0.7</v>
      </c>
      <c r="K9" s="10" t="n">
        <v>38500</v>
      </c>
      <c r="L9" s="10" t="n">
        <v>16500</v>
      </c>
      <c r="M9" s="9" t="inlineStr">
        <is>
          <t>Infrastructură de date, viață &gt;2 ani</t>
        </is>
      </c>
      <c r="N9" s="15" t="inlineStr">
        <is>
          <t>MIC</t>
        </is>
      </c>
    </row>
    <row r="10">
      <c r="A10" s="9" t="inlineStr">
        <is>
          <t>Rețea InfiniBand/200GbE</t>
        </is>
      </c>
      <c r="B10" s="10" t="n">
        <v>35000</v>
      </c>
      <c r="C10" s="9" t="inlineStr">
        <is>
          <t>CDI</t>
        </is>
      </c>
      <c r="D10" s="11" t="inlineStr">
        <is>
          <t>Regional</t>
        </is>
      </c>
      <c r="E10" s="9" t="inlineStr">
        <is>
          <t>2.2.9</t>
        </is>
      </c>
      <c r="F10" s="12" t="inlineStr">
        <is>
          <t>4</t>
        </is>
      </c>
      <c r="G10" s="12" t="inlineStr">
        <is>
          <t>2</t>
        </is>
      </c>
      <c r="H10" s="12" t="n">
        <v>23</v>
      </c>
      <c r="I10" s="10" t="n">
        <v>35000</v>
      </c>
      <c r="J10" s="13" t="n">
        <v>0.7</v>
      </c>
      <c r="K10" s="10" t="n">
        <v>24500</v>
      </c>
      <c r="L10" s="10" t="n">
        <v>10500</v>
      </c>
      <c r="M10" s="9" t="inlineStr">
        <is>
          <t>Infrastructură rețea, viață &gt;2 ani</t>
        </is>
      </c>
      <c r="N10" s="15" t="inlineStr">
        <is>
          <t>MIC</t>
        </is>
      </c>
    </row>
    <row r="11">
      <c r="A11" s="9" t="inlineStr">
        <is>
          <t>Kituri Jetson AGX Thor</t>
        </is>
      </c>
      <c r="B11" s="10" t="n">
        <v>30000</v>
      </c>
      <c r="C11" s="9" t="inlineStr">
        <is>
          <t>CDI</t>
        </is>
      </c>
      <c r="D11" s="11" t="inlineStr">
        <is>
          <t>Regional</t>
        </is>
      </c>
      <c r="E11" s="9" t="inlineStr">
        <is>
          <t>2.2.9</t>
        </is>
      </c>
      <c r="F11" s="12" t="inlineStr">
        <is>
          <t>2</t>
        </is>
      </c>
      <c r="G11" s="12" t="inlineStr">
        <is>
          <t>4</t>
        </is>
      </c>
      <c r="H11" s="12" t="n">
        <v>21</v>
      </c>
      <c r="I11" s="10" t="n">
        <v>30000</v>
      </c>
      <c r="J11" s="13" t="n">
        <v>0.7</v>
      </c>
      <c r="K11" s="10" t="n">
        <v>21000</v>
      </c>
      <c r="L11" s="10" t="n">
        <v>9000</v>
      </c>
      <c r="M11" s="9" t="inlineStr">
        <is>
          <t>Componente de dezvoltare/prototip – vezi nota</t>
        </is>
      </c>
      <c r="N11" s="14" t="inlineStr">
        <is>
          <t>MEDIU</t>
        </is>
      </c>
    </row>
    <row r="12">
      <c r="A12" s="9" t="inlineStr">
        <is>
          <t>Plăci FPGA Versal VEK280</t>
        </is>
      </c>
      <c r="B12" s="10" t="n">
        <v>36000</v>
      </c>
      <c r="C12" s="9" t="inlineStr">
        <is>
          <t>CDI</t>
        </is>
      </c>
      <c r="D12" s="11" t="inlineStr">
        <is>
          <t>Regional</t>
        </is>
      </c>
      <c r="E12" s="9" t="inlineStr">
        <is>
          <t>2.2.9</t>
        </is>
      </c>
      <c r="F12" s="12" t="inlineStr">
        <is>
          <t>2</t>
        </is>
      </c>
      <c r="G12" s="12" t="inlineStr">
        <is>
          <t>4</t>
        </is>
      </c>
      <c r="H12" s="12" t="n">
        <v>21</v>
      </c>
      <c r="I12" s="10" t="n">
        <v>36000</v>
      </c>
      <c r="J12" s="13" t="n">
        <v>0.7</v>
      </c>
      <c r="K12" s="10" t="n">
        <v>25200</v>
      </c>
      <c r="L12" s="10" t="n">
        <v>10800</v>
      </c>
      <c r="M12" s="9" t="inlineStr">
        <is>
          <t>Componente pipeline viziune – vezi nota</t>
        </is>
      </c>
      <c r="N12" s="14" t="inlineStr">
        <is>
          <t>MEDIU</t>
        </is>
      </c>
    </row>
    <row r="13">
      <c r="A13" s="9" t="inlineStr">
        <is>
          <t>Rack, PDU, UPS, răcire</t>
        </is>
      </c>
      <c r="B13" s="10" t="n">
        <v>25000</v>
      </c>
      <c r="C13" s="9" t="inlineStr">
        <is>
          <t>CDI</t>
        </is>
      </c>
      <c r="D13" s="11" t="inlineStr">
        <is>
          <t>Regional</t>
        </is>
      </c>
      <c r="E13" s="9" t="inlineStr">
        <is>
          <t>2.1.x</t>
        </is>
      </c>
      <c r="F13" s="12" t="inlineStr">
        <is>
          <t>9</t>
        </is>
      </c>
      <c r="G13" s="12" t="inlineStr">
        <is>
          <t>2</t>
        </is>
      </c>
      <c r="H13" s="12" t="n">
        <v>23</v>
      </c>
      <c r="I13" s="10" t="n">
        <v>25000</v>
      </c>
      <c r="J13" s="13" t="n">
        <v>0.7</v>
      </c>
      <c r="K13" s="10" t="n">
        <v>17500</v>
      </c>
      <c r="L13" s="10" t="n">
        <v>7500</v>
      </c>
      <c r="M13" s="9" t="inlineStr">
        <is>
          <t>Instalație, viață lungă → integral regional</t>
        </is>
      </c>
      <c r="N13" s="15" t="inlineStr">
        <is>
          <t>MIC</t>
        </is>
      </c>
    </row>
    <row r="14">
      <c r="A14" s="9" t="inlineStr">
        <is>
          <t>Licențe AI/MLOps + simulare</t>
        </is>
      </c>
      <c r="B14" s="10" t="n">
        <v>7850</v>
      </c>
      <c r="C14" s="9" t="inlineStr">
        <is>
          <t>CDI</t>
        </is>
      </c>
      <c r="D14" s="11" t="inlineStr">
        <is>
          <t>Regional</t>
        </is>
      </c>
      <c r="E14" s="9" t="inlineStr">
        <is>
          <t>imob.necorp</t>
        </is>
      </c>
      <c r="F14" s="12" t="inlineStr">
        <is>
          <t>variabil</t>
        </is>
      </c>
      <c r="G14" s="12" t="inlineStr">
        <is>
          <t>2</t>
        </is>
      </c>
      <c r="H14" s="12" t="n">
        <v>23</v>
      </c>
      <c r="I14" s="10" t="n">
        <v>7850</v>
      </c>
      <c r="J14" s="13" t="n">
        <v>0.7</v>
      </c>
      <c r="K14" s="10" t="n">
        <v>5495</v>
      </c>
      <c r="L14" s="10" t="n">
        <v>2355</v>
      </c>
      <c r="M14" s="9" t="inlineStr">
        <is>
          <t>În funcție de abonament (24 luni) → CDI posibil</t>
        </is>
      </c>
      <c r="N14" s="14" t="inlineStr">
        <is>
          <t>MEDIU</t>
        </is>
      </c>
    </row>
    <row r="15">
      <c r="A15" s="9" t="inlineStr">
        <is>
          <t>Laptopuri / stații mobile echipă</t>
        </is>
      </c>
      <c r="B15" s="10" t="n">
        <v>30000</v>
      </c>
      <c r="C15" s="9" t="inlineStr">
        <is>
          <t>—</t>
        </is>
      </c>
      <c r="D15" s="11" t="inlineStr">
        <is>
          <t>Regional</t>
        </is>
      </c>
      <c r="E15" s="9" t="inlineStr">
        <is>
          <t>2.2.9</t>
        </is>
      </c>
      <c r="F15" s="12" t="inlineStr">
        <is>
          <t>2</t>
        </is>
      </c>
      <c r="G15" s="12" t="inlineStr">
        <is>
          <t>1</t>
        </is>
      </c>
      <c r="H15" s="12" t="n">
        <v>24</v>
      </c>
      <c r="I15" s="10" t="n">
        <v>30000</v>
      </c>
      <c r="J15" s="13" t="n">
        <v>0.7</v>
      </c>
      <c r="K15" s="10" t="n">
        <v>21000</v>
      </c>
      <c r="L15" s="10" t="n">
        <v>9000</v>
      </c>
      <c r="M15" s="9" t="inlineStr">
        <is>
          <t>Puse în funcțiune luna 1 → amortizare integrală 24 luni</t>
        </is>
      </c>
      <c r="N15" s="15" t="inlineStr">
        <is>
          <t>MIC</t>
        </is>
      </c>
    </row>
    <row r="16">
      <c r="A16" s="7" t="inlineStr">
        <is>
          <t>B. LABORATOR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9" t="inlineStr">
        <is>
          <t>Osciloscoape/analizoare/generatoare</t>
        </is>
      </c>
      <c r="B17" s="10" t="n">
        <v>60000</v>
      </c>
      <c r="C17" s="9" t="inlineStr">
        <is>
          <t>CDI</t>
        </is>
      </c>
      <c r="D17" s="11" t="inlineStr">
        <is>
          <t>Regional</t>
        </is>
      </c>
      <c r="E17" s="9" t="inlineStr">
        <is>
          <t>2.1.16</t>
        </is>
      </c>
      <c r="F17" s="12" t="inlineStr">
        <is>
          <t>6</t>
        </is>
      </c>
      <c r="G17" s="12" t="inlineStr">
        <is>
          <t>6</t>
        </is>
      </c>
      <c r="H17" s="12" t="n">
        <v>19</v>
      </c>
      <c r="I17" s="10" t="n">
        <v>60000</v>
      </c>
      <c r="J17" s="13" t="n">
        <v>0.7</v>
      </c>
      <c r="K17" s="10" t="n">
        <v>42000</v>
      </c>
      <c r="L17" s="10" t="n">
        <v>18000</v>
      </c>
      <c r="M17" s="9" t="inlineStr">
        <is>
          <t>Control calitate permanent post-proiect</t>
        </is>
      </c>
      <c r="N17" s="15" t="inlineStr">
        <is>
          <t>MIC</t>
        </is>
      </c>
    </row>
    <row r="18">
      <c r="A18" s="9" t="inlineStr">
        <is>
          <t>Analizor spectru + VNA</t>
        </is>
      </c>
      <c r="B18" s="10" t="n">
        <v>60000</v>
      </c>
      <c r="C18" s="9" t="inlineStr">
        <is>
          <t>CDI</t>
        </is>
      </c>
      <c r="D18" s="11" t="inlineStr">
        <is>
          <t>Regional</t>
        </is>
      </c>
      <c r="E18" s="9" t="inlineStr">
        <is>
          <t>2.1.16</t>
        </is>
      </c>
      <c r="F18" s="12" t="inlineStr">
        <is>
          <t>6</t>
        </is>
      </c>
      <c r="G18" s="12" t="inlineStr">
        <is>
          <t>6</t>
        </is>
      </c>
      <c r="H18" s="12" t="n">
        <v>19</v>
      </c>
      <c r="I18" s="10" t="n">
        <v>60000</v>
      </c>
      <c r="J18" s="13" t="n">
        <v>0.7</v>
      </c>
      <c r="K18" s="10" t="n">
        <v>42000</v>
      </c>
      <c r="L18" s="10" t="n">
        <v>18000</v>
      </c>
      <c r="M18" s="9" t="inlineStr">
        <is>
          <t>Idem</t>
        </is>
      </c>
      <c r="N18" s="15" t="inlineStr">
        <is>
          <t>MIC</t>
        </is>
      </c>
    </row>
    <row r="19">
      <c r="A19" s="9" t="inlineStr">
        <is>
          <t>Surse/sarcini/multimetre</t>
        </is>
      </c>
      <c r="B19" s="10" t="n">
        <v>30000</v>
      </c>
      <c r="C19" s="9" t="inlineStr">
        <is>
          <t>CDI</t>
        </is>
      </c>
      <c r="D19" s="11" t="inlineStr">
        <is>
          <t>Regional</t>
        </is>
      </c>
      <c r="E19" s="9" t="inlineStr">
        <is>
          <t>2.1.16</t>
        </is>
      </c>
      <c r="F19" s="12" t="inlineStr">
        <is>
          <t>6</t>
        </is>
      </c>
      <c r="G19" s="12" t="inlineStr">
        <is>
          <t>6</t>
        </is>
      </c>
      <c r="H19" s="12" t="n">
        <v>19</v>
      </c>
      <c r="I19" s="10" t="n">
        <v>30000</v>
      </c>
      <c r="J19" s="13" t="n">
        <v>0.7</v>
      </c>
      <c r="K19" s="10" t="n">
        <v>21000</v>
      </c>
      <c r="L19" s="10" t="n">
        <v>9000</v>
      </c>
      <c r="M19" s="9" t="inlineStr">
        <is>
          <t>Idem</t>
        </is>
      </c>
      <c r="N19" s="15" t="inlineStr">
        <is>
          <t>MIC</t>
        </is>
      </c>
    </row>
    <row r="20">
      <c r="A20" s="9" t="inlineStr">
        <is>
          <t>Stații lipire SMD + reflow + microscop</t>
        </is>
      </c>
      <c r="B20" s="10" t="n">
        <v>40000</v>
      </c>
      <c r="C20" s="9" t="inlineStr">
        <is>
          <t>CDI</t>
        </is>
      </c>
      <c r="D20" s="11" t="inlineStr">
        <is>
          <t>Regional</t>
        </is>
      </c>
      <c r="E20" s="9" t="inlineStr">
        <is>
          <t>2.1.16</t>
        </is>
      </c>
      <c r="F20" s="12" t="inlineStr">
        <is>
          <t>8</t>
        </is>
      </c>
      <c r="G20" s="12" t="inlineStr">
        <is>
          <t>6</t>
        </is>
      </c>
      <c r="H20" s="12" t="n">
        <v>19</v>
      </c>
      <c r="I20" s="10" t="n">
        <v>40000</v>
      </c>
      <c r="J20" s="13" t="n">
        <v>0.7</v>
      </c>
      <c r="K20" s="10" t="n">
        <v>28000</v>
      </c>
      <c r="L20" s="10" t="n">
        <v>12000</v>
      </c>
      <c r="M20" s="9" t="inlineStr">
        <is>
          <t>Producție PCB permanentă</t>
        </is>
      </c>
      <c r="N20" s="15" t="inlineStr">
        <is>
          <t>MIC</t>
        </is>
      </c>
    </row>
    <row r="21">
      <c r="A21" s="9" t="inlineStr">
        <is>
          <t>Prototipare PCB</t>
        </is>
      </c>
      <c r="B21" s="10" t="n">
        <v>30000</v>
      </c>
      <c r="C21" s="9" t="inlineStr">
        <is>
          <t>CDI</t>
        </is>
      </c>
      <c r="D21" s="11" t="inlineStr">
        <is>
          <t>Regional</t>
        </is>
      </c>
      <c r="E21" s="9" t="inlineStr">
        <is>
          <t>2.1.16</t>
        </is>
      </c>
      <c r="F21" s="12" t="inlineStr">
        <is>
          <t>8</t>
        </is>
      </c>
      <c r="G21" s="12" t="inlineStr">
        <is>
          <t>6</t>
        </is>
      </c>
      <c r="H21" s="12" t="n">
        <v>19</v>
      </c>
      <c r="I21" s="10" t="n">
        <v>30000</v>
      </c>
      <c r="J21" s="13" t="n">
        <v>0.7</v>
      </c>
      <c r="K21" s="10" t="n">
        <v>21000</v>
      </c>
      <c r="L21" s="10" t="n">
        <v>9000</v>
      </c>
      <c r="M21" s="9" t="inlineStr">
        <is>
          <t>Fabricație PCB permanentă</t>
        </is>
      </c>
      <c r="N21" s="15" t="inlineStr">
        <is>
          <t>MIC</t>
        </is>
      </c>
    </row>
    <row r="22">
      <c r="A22" s="9" t="inlineStr">
        <is>
          <t>Cameră climatică + vibrații</t>
        </is>
      </c>
      <c r="B22" s="10" t="n">
        <v>90000</v>
      </c>
      <c r="C22" s="9" t="inlineStr">
        <is>
          <t>CDI</t>
        </is>
      </c>
      <c r="D22" s="11" t="inlineStr">
        <is>
          <t>Regional</t>
        </is>
      </c>
      <c r="E22" s="9" t="inlineStr">
        <is>
          <t>2.1.16</t>
        </is>
      </c>
      <c r="F22" s="12" t="inlineStr">
        <is>
          <t>8</t>
        </is>
      </c>
      <c r="G22" s="12" t="inlineStr">
        <is>
          <t>8</t>
        </is>
      </c>
      <c r="H22" s="12" t="n">
        <v>17</v>
      </c>
      <c r="I22" s="10" t="n">
        <v>90000</v>
      </c>
      <c r="J22" s="13" t="n">
        <v>0.7</v>
      </c>
      <c r="K22" s="10" t="n">
        <v>63000</v>
      </c>
      <c r="L22" s="10" t="n">
        <v>27000</v>
      </c>
      <c r="M22" s="9" t="inlineStr">
        <is>
          <t>Testare produs permanentă</t>
        </is>
      </c>
      <c r="N22" s="15" t="inlineStr">
        <is>
          <t>MIC</t>
        </is>
      </c>
    </row>
    <row r="23">
      <c r="A23" s="9" t="inlineStr">
        <is>
          <t>Încercări materiale + durimetru</t>
        </is>
      </c>
      <c r="B23" s="10" t="n">
        <v>90000</v>
      </c>
      <c r="C23" s="9" t="inlineStr">
        <is>
          <t>CDI</t>
        </is>
      </c>
      <c r="D23" s="11" t="inlineStr">
        <is>
          <t>Regional</t>
        </is>
      </c>
      <c r="E23" s="9" t="inlineStr">
        <is>
          <t>2.1.16</t>
        </is>
      </c>
      <c r="F23" s="12" t="inlineStr">
        <is>
          <t>10</t>
        </is>
      </c>
      <c r="G23" s="12" t="inlineStr">
        <is>
          <t>8</t>
        </is>
      </c>
      <c r="H23" s="12" t="n">
        <v>17</v>
      </c>
      <c r="I23" s="10" t="n">
        <v>90000</v>
      </c>
      <c r="J23" s="13" t="n">
        <v>0.7</v>
      </c>
      <c r="K23" s="10" t="n">
        <v>63000</v>
      </c>
      <c r="L23" s="10" t="n">
        <v>27000</v>
      </c>
      <c r="M23" s="9" t="inlineStr">
        <is>
          <t>Control calitate permanent</t>
        </is>
      </c>
      <c r="N23" s="15" t="inlineStr">
        <is>
          <t>MIC</t>
        </is>
      </c>
    </row>
    <row r="24">
      <c r="A24" s="9" t="inlineStr">
        <is>
          <t>Stații CAD/CAM/CAE + licențe</t>
        </is>
      </c>
      <c r="B24" s="10" t="n">
        <v>70000</v>
      </c>
      <c r="C24" s="9" t="inlineStr">
        <is>
          <t>CDI</t>
        </is>
      </c>
      <c r="D24" s="11" t="inlineStr">
        <is>
          <t>Regional</t>
        </is>
      </c>
      <c r="E24" s="9" t="inlineStr">
        <is>
          <t>2.2.9/imob</t>
        </is>
      </c>
      <c r="F24" s="12" t="inlineStr">
        <is>
          <t>4</t>
        </is>
      </c>
      <c r="G24" s="12" t="inlineStr">
        <is>
          <t>4</t>
        </is>
      </c>
      <c r="H24" s="12" t="n">
        <v>21</v>
      </c>
      <c r="I24" s="10" t="n">
        <v>70000</v>
      </c>
      <c r="J24" s="13" t="n">
        <v>0.7</v>
      </c>
      <c r="K24" s="10" t="n">
        <v>49000</v>
      </c>
      <c r="L24" s="10" t="n">
        <v>21000</v>
      </c>
      <c r="M24" s="9" t="inlineStr">
        <is>
          <t>Flux permanent de proiectare/fabricație</t>
        </is>
      </c>
      <c r="N24" s="15" t="inlineStr">
        <is>
          <t>MIC</t>
        </is>
      </c>
    </row>
    <row r="25">
      <c r="A25" s="7" t="inlineStr">
        <is>
          <t>C. PRODUCȚIE + METROLOGIE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9" t="inlineStr">
        <is>
          <t>Utilaje prelucrări (CNC, danturat, EDM, rectif.)</t>
        </is>
      </c>
      <c r="B26" s="10" t="n">
        <v>1045000</v>
      </c>
      <c r="C26" s="9" t="inlineStr">
        <is>
          <t>Regional</t>
        </is>
      </c>
      <c r="D26" s="11" t="inlineStr">
        <is>
          <t>Regional</t>
        </is>
      </c>
      <c r="E26" s="9" t="inlineStr">
        <is>
          <t>2.3.2</t>
        </is>
      </c>
      <c r="F26" s="12" t="inlineStr">
        <is>
          <t>10</t>
        </is>
      </c>
      <c r="G26" s="12" t="inlineStr">
        <is>
          <t>10</t>
        </is>
      </c>
      <c r="H26" s="12" t="n">
        <v>15</v>
      </c>
      <c r="I26" s="10" t="n">
        <v>1045000</v>
      </c>
      <c r="J26" s="13" t="n">
        <v>0.7</v>
      </c>
      <c r="K26" s="10" t="n">
        <v>731500</v>
      </c>
      <c r="L26" s="10" t="n">
        <v>313500</v>
      </c>
      <c r="M26" s="9" t="inlineStr">
        <is>
          <t>Investiție inițială – linie de producție</t>
        </is>
      </c>
      <c r="N26" s="15" t="inlineStr">
        <is>
          <t>MIC</t>
        </is>
      </c>
    </row>
    <row r="27">
      <c r="A27" s="9" t="inlineStr">
        <is>
          <t>Printare 3D metal + cuptoare + ATEX</t>
        </is>
      </c>
      <c r="B27" s="10" t="n">
        <v>1275000</v>
      </c>
      <c r="C27" s="9" t="inlineStr">
        <is>
          <t>Regional</t>
        </is>
      </c>
      <c r="D27" s="11" t="inlineStr">
        <is>
          <t>Regional</t>
        </is>
      </c>
      <c r="E27" s="9" t="inlineStr">
        <is>
          <t>2.3.x</t>
        </is>
      </c>
      <c r="F27" s="12" t="inlineStr">
        <is>
          <t>10</t>
        </is>
      </c>
      <c r="G27" s="12" t="inlineStr">
        <is>
          <t>12</t>
        </is>
      </c>
      <c r="H27" s="12" t="n">
        <v>13</v>
      </c>
      <c r="I27" s="10" t="n">
        <v>1275000</v>
      </c>
      <c r="J27" s="13" t="n">
        <v>0.7</v>
      </c>
      <c r="K27" s="10" t="n">
        <v>892500</v>
      </c>
      <c r="L27" s="10" t="n">
        <v>382500</v>
      </c>
      <c r="M27" s="9" t="inlineStr">
        <is>
          <t>Investiție inițială – producție</t>
        </is>
      </c>
      <c r="N27" s="15" t="inlineStr">
        <is>
          <t>MIC</t>
        </is>
      </c>
    </row>
    <row r="28">
      <c r="A28" s="9" t="inlineStr">
        <is>
          <t>Metrologie (CMM, scanner, rugozimetru, aux.)</t>
        </is>
      </c>
      <c r="B28" s="10" t="n">
        <v>180000</v>
      </c>
      <c r="C28" s="9" t="inlineStr">
        <is>
          <t>Regional</t>
        </is>
      </c>
      <c r="D28" s="11" t="inlineStr">
        <is>
          <t>Regional</t>
        </is>
      </c>
      <c r="E28" s="9" t="inlineStr">
        <is>
          <t>2.1.16</t>
        </is>
      </c>
      <c r="F28" s="12" t="inlineStr">
        <is>
          <t>7</t>
        </is>
      </c>
      <c r="G28" s="12" t="inlineStr">
        <is>
          <t>12</t>
        </is>
      </c>
      <c r="H28" s="12" t="n">
        <v>13</v>
      </c>
      <c r="I28" s="10" t="n">
        <v>180000</v>
      </c>
      <c r="J28" s="13" t="n">
        <v>0.7</v>
      </c>
      <c r="K28" s="10" t="n">
        <v>126000</v>
      </c>
      <c r="L28" s="10" t="n">
        <v>54000</v>
      </c>
      <c r="M28" s="9" t="inlineStr">
        <is>
          <t>Control calitate producție</t>
        </is>
      </c>
      <c r="N28" s="15" t="inlineStr">
        <is>
          <t>MIC</t>
        </is>
      </c>
    </row>
    <row r="29">
      <c r="A29" s="16" t="inlineStr">
        <is>
          <t>TOTAL echipamente (valoare integrală, toate regional)</t>
        </is>
      </c>
      <c r="B29" s="17">
        <f>SUM(B4:B28)</f>
        <v/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17">
        <f>SUM(K4:K28)</f>
        <v/>
      </c>
      <c r="L29" s="17">
        <f>SUM(L4:L28)</f>
        <v/>
      </c>
      <c r="M29" s="8" t="n"/>
      <c r="N29" s="8" t="n"/>
    </row>
    <row r="31">
      <c r="A31" s="18" t="inlineStr">
        <is>
          <t>NOTĂ Jetson AGX Thor + FPGA Versal: recomandat încadrare ca REGIONAL (echipamente de calcul integrate în procesul de dezvoltare/producție) SAU ca materiale ale prototipului (consumate) – NU pe CDI-amortizare. Decizia se ia după rolul efectiv.</t>
        </is>
      </c>
    </row>
  </sheetData>
  <mergeCells count="5">
    <mergeCell ref="A31:N31"/>
    <mergeCell ref="A4:N4"/>
    <mergeCell ref="A16:N16"/>
    <mergeCell ref="A25:N2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3 SCENARII – grant 3.000.000 · comparație cofinanțare vs risc</t>
        </is>
      </c>
    </row>
    <row r="3">
      <c r="A3" s="6" t="inlineStr">
        <is>
          <t>Element</t>
        </is>
      </c>
      <c r="B3" s="6" t="inlineStr">
        <is>
          <t>Scenariu A (prudent)</t>
        </is>
      </c>
      <c r="C3" s="6" t="inlineStr">
        <is>
          <t>Scenariu B (echilibrat)</t>
        </is>
      </c>
      <c r="D3" s="6" t="inlineStr">
        <is>
          <t>Scenariu C (min cofin.)</t>
        </is>
      </c>
    </row>
    <row r="4">
      <c r="A4" s="19" t="inlineStr">
        <is>
          <t>Echipamente pe REGIONAL – valoare (70%)</t>
        </is>
      </c>
      <c r="B4" s="20" t="n">
        <v>3006857</v>
      </c>
      <c r="C4" s="20" t="n">
        <v>2642286</v>
      </c>
      <c r="D4" s="20" t="n">
        <v>2506286</v>
      </c>
    </row>
    <row r="5">
      <c r="A5" s="19" t="inlineStr">
        <is>
          <t>Echipamente pe CDI – amortizare eligibilă (80%)</t>
        </is>
      </c>
      <c r="B5" s="20" t="n">
        <v>0</v>
      </c>
      <c r="C5" s="20" t="n">
        <v>319000</v>
      </c>
      <c r="D5" s="20" t="n">
        <v>438000</v>
      </c>
    </row>
    <row r="6">
      <c r="A6" s="19" t="inlineStr">
        <is>
          <t xml:space="preserve">  → factor amortizare CDI</t>
        </is>
      </c>
      <c r="B6" s="21" t="inlineStr">
        <is>
          <t>—</t>
        </is>
      </c>
      <c r="C6" s="21" t="inlineStr">
        <is>
          <t>91,7% (luna 3)</t>
        </is>
      </c>
      <c r="D6" s="21" t="inlineStr">
        <is>
          <t>100% (luna 1 – agresiv)</t>
        </is>
      </c>
    </row>
    <row r="7">
      <c r="A7" s="19" t="inlineStr">
        <is>
          <t>Grant regional</t>
        </is>
      </c>
      <c r="B7" s="20" t="n">
        <v>2104800</v>
      </c>
      <c r="C7" s="20" t="n">
        <v>1849600</v>
      </c>
      <c r="D7" s="20" t="n">
        <v>1754400</v>
      </c>
    </row>
    <row r="8">
      <c r="A8" s="19" t="inlineStr">
        <is>
          <t>Grant CDI echipamente</t>
        </is>
      </c>
      <c r="B8" s="20" t="n">
        <v>0</v>
      </c>
      <c r="C8" s="20" t="n">
        <v>255200</v>
      </c>
      <c r="D8" s="20" t="n">
        <v>350400</v>
      </c>
    </row>
    <row r="9">
      <c r="A9" s="19" t="inlineStr">
        <is>
          <t>Grant personal CDI</t>
        </is>
      </c>
      <c r="B9" s="20" t="n">
        <v>595200</v>
      </c>
      <c r="C9" s="20" t="n">
        <v>595200</v>
      </c>
      <c r="D9" s="20" t="n">
        <v>595200</v>
      </c>
    </row>
    <row r="10">
      <c r="A10" s="19" t="inlineStr">
        <is>
          <t>Grant minimis</t>
        </is>
      </c>
      <c r="B10" s="20" t="n">
        <v>300000</v>
      </c>
      <c r="C10" s="20" t="n">
        <v>300000</v>
      </c>
      <c r="D10" s="20" t="n">
        <v>300000</v>
      </c>
    </row>
    <row r="11">
      <c r="A11" s="16" t="inlineStr">
        <is>
          <t>GRANT TOTAL</t>
        </is>
      </c>
      <c r="B11" s="22" t="n">
        <v>3000000</v>
      </c>
      <c r="C11" s="22" t="n">
        <v>3000000</v>
      </c>
      <c r="D11" s="22" t="n">
        <v>3000000</v>
      </c>
    </row>
    <row r="12">
      <c r="A12" s="19" t="inlineStr">
        <is>
          <t>Cost eligibil total</t>
        </is>
      </c>
      <c r="B12" s="20" t="n">
        <v>4050857</v>
      </c>
      <c r="C12" s="20" t="n">
        <v>4005286</v>
      </c>
      <c r="D12" s="20" t="n">
        <v>3988286</v>
      </c>
    </row>
    <row r="13">
      <c r="A13" s="16" t="inlineStr">
        <is>
          <t>COFINANȚARE (pe eligibil)</t>
        </is>
      </c>
      <c r="B13" s="23" t="n">
        <v>1050857</v>
      </c>
      <c r="C13" s="23" t="n">
        <v>1005286</v>
      </c>
      <c r="D13" s="23" t="n">
        <v>988286</v>
      </c>
    </row>
    <row r="14">
      <c r="A14" s="19" t="inlineStr">
        <is>
          <t>Neeligibil (amortizare nerecuperată)</t>
        </is>
      </c>
      <c r="B14" s="20" t="n">
        <v>0</v>
      </c>
      <c r="C14" s="20" t="n">
        <v>29000</v>
      </c>
      <c r="D14" s="20" t="n">
        <v>0</v>
      </c>
    </row>
    <row r="15">
      <c r="A15" s="16" t="inlineStr">
        <is>
          <t>EFORT PROPRIU TOTAL (cofin+neelig)</t>
        </is>
      </c>
      <c r="B15" s="23" t="n">
        <v>1050857</v>
      </c>
      <c r="C15" s="23" t="n">
        <v>1034286</v>
      </c>
      <c r="D15" s="23" t="n">
        <v>988286</v>
      </c>
    </row>
    <row r="16">
      <c r="A16" s="19" t="inlineStr">
        <is>
          <t>Risc de corecție financiară</t>
        </is>
      </c>
      <c r="B16" s="24" t="inlineStr">
        <is>
          <t>MINIM</t>
        </is>
      </c>
      <c r="C16" s="25" t="inlineStr">
        <is>
          <t>MODERAT</t>
        </is>
      </c>
      <c r="D16" s="26" t="inlineStr">
        <is>
          <t>RIDICAT</t>
        </is>
      </c>
    </row>
    <row r="18">
      <c r="A18" s="27" t="inlineStr">
        <is>
          <t>RECOMANDARE: Scenariul A (prudent) – tot hardware pe regional, valoare integrală 70%.</t>
        </is>
      </c>
    </row>
    <row r="19">
      <c r="A19" s="28" t="inlineStr">
        <is>
          <t>Motiv: grant exact 3.000.000; cofinanțare 1.050.857 € = MINIMUL REALIST (fără riscul amortizării); risc de corecție MINIM; economia CDI (B: efort propriu 1.034.286. doar ~16.571 € mai puțin) NU justifică riscul de audit. Prag 20% personal respectat.</t>
        </is>
      </c>
    </row>
  </sheetData>
  <mergeCells count="3">
    <mergeCell ref="A18:D18"/>
    <mergeCell ref="A1:G1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5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BUGET CONSOLIDAT RECOMANDAT (Scenariul A) · grant 3.000.000 · cofinanțare minimă realistă</t>
        </is>
      </c>
    </row>
    <row r="3">
      <c r="A3" s="6" t="inlineStr">
        <is>
          <t>Categorie</t>
        </is>
      </c>
      <c r="B3" s="6" t="inlineStr">
        <is>
          <t>Tip ajutor</t>
        </is>
      </c>
      <c r="C3" s="6" t="inlineStr">
        <is>
          <t>Cost eligibil €</t>
        </is>
      </c>
      <c r="D3" s="6" t="inlineStr">
        <is>
          <t>Intensitate</t>
        </is>
      </c>
      <c r="E3" s="6" t="inlineStr">
        <is>
          <t>Grant €</t>
        </is>
      </c>
      <c r="F3" s="6" t="inlineStr">
        <is>
          <t>Cofinanțare €</t>
        </is>
      </c>
    </row>
    <row r="4">
      <c r="A4" s="5" t="inlineStr">
        <is>
          <t>Echipamente (producție + HPC + laborator + metrologie) – VALOARE INTEGRALĂ</t>
        </is>
      </c>
      <c r="B4" s="5" t="inlineStr">
        <is>
          <t>Ajutor regional</t>
        </is>
      </c>
      <c r="C4" s="20" t="n">
        <v>3006857</v>
      </c>
      <c r="D4" s="29" t="n">
        <v>0.7</v>
      </c>
      <c r="E4" s="20" t="n">
        <v>2104800</v>
      </c>
      <c r="F4" s="20" t="n">
        <v>902057</v>
      </c>
    </row>
    <row r="5">
      <c r="A5" s="5" t="inlineStr">
        <is>
          <t>Personal tehnic propriu CDI (coord + experți)</t>
        </is>
      </c>
      <c r="B5" s="5" t="inlineStr">
        <is>
          <t>CDI cerc.ind.</t>
        </is>
      </c>
      <c r="C5" s="20" t="n">
        <v>744000</v>
      </c>
      <c r="D5" s="29" t="n">
        <v>0.8</v>
      </c>
      <c r="E5" s="20" t="n">
        <v>595200</v>
      </c>
      <c r="F5" s="20" t="n">
        <v>148800</v>
      </c>
    </row>
    <row r="6">
      <c r="A6" s="5" t="inlineStr">
        <is>
          <t>Promovare / go-to-market</t>
        </is>
      </c>
      <c r="B6" s="5" t="inlineStr">
        <is>
          <t>Minimis</t>
        </is>
      </c>
      <c r="C6" s="20" t="n">
        <v>120000</v>
      </c>
      <c r="D6" s="29" t="n">
        <v>1</v>
      </c>
      <c r="E6" s="20" t="n">
        <v>120000</v>
      </c>
      <c r="F6" s="20" t="n">
        <v>0</v>
      </c>
    </row>
    <row r="7">
      <c r="A7" s="5" t="inlineStr">
        <is>
          <t>Informare și publicitate</t>
        </is>
      </c>
      <c r="B7" s="5" t="inlineStr">
        <is>
          <t>Minimis</t>
        </is>
      </c>
      <c r="C7" s="20" t="n">
        <v>30000</v>
      </c>
      <c r="D7" s="29" t="n">
        <v>1</v>
      </c>
      <c r="E7" s="20" t="n">
        <v>30000</v>
      </c>
      <c r="F7" s="20" t="n">
        <v>0</v>
      </c>
    </row>
    <row r="8">
      <c r="A8" s="5" t="inlineStr">
        <is>
          <t>Management de proiect</t>
        </is>
      </c>
      <c r="B8" s="5" t="inlineStr">
        <is>
          <t>Minimis</t>
        </is>
      </c>
      <c r="C8" s="20" t="n">
        <v>90000</v>
      </c>
      <c r="D8" s="29" t="n">
        <v>1</v>
      </c>
      <c r="E8" s="20" t="n">
        <v>90000</v>
      </c>
      <c r="F8" s="20" t="n">
        <v>0</v>
      </c>
    </row>
    <row r="9">
      <c r="A9" s="5" t="inlineStr">
        <is>
          <t>Audit tehnic</t>
        </is>
      </c>
      <c r="B9" s="5" t="inlineStr">
        <is>
          <t>Minimis</t>
        </is>
      </c>
      <c r="C9" s="20" t="n">
        <v>60000</v>
      </c>
      <c r="D9" s="29" t="n">
        <v>1</v>
      </c>
      <c r="E9" s="20" t="n">
        <v>60000</v>
      </c>
      <c r="F9" s="20" t="n">
        <v>0</v>
      </c>
    </row>
    <row r="10">
      <c r="A10" s="30" t="inlineStr">
        <is>
          <t>TOTAL</t>
        </is>
      </c>
      <c r="C10" s="31">
        <f>SUM(C4:C9)</f>
        <v/>
      </c>
      <c r="E10" s="31">
        <f>SUM(E4:E9)</f>
        <v/>
      </c>
      <c r="F10" s="31">
        <f>SUM(F4:F9)</f>
        <v/>
      </c>
    </row>
    <row r="12">
      <c r="A12" s="32" t="inlineStr">
        <is>
          <t>Total ajutor REGIONAL (grant)</t>
        </is>
      </c>
      <c r="C12" s="33" t="n">
        <v>2104800</v>
      </c>
      <c r="E12" s="28" t="inlineStr">
        <is>
          <t>valoare integrală, fără risc amortizare</t>
        </is>
      </c>
    </row>
    <row r="13">
      <c r="A13" s="32" t="inlineStr">
        <is>
          <t>Total CDI – personal (grant)</t>
        </is>
      </c>
      <c r="C13" s="33" t="n">
        <v>595200</v>
      </c>
      <c r="E13" s="28" t="inlineStr"/>
    </row>
    <row r="14">
      <c r="A14" s="32" t="inlineStr">
        <is>
          <t>Total CDI – amortizare echipamente (grant)</t>
        </is>
      </c>
      <c r="C14" s="33" t="n">
        <v>0</v>
      </c>
      <c r="E14" s="28" t="inlineStr">
        <is>
          <t>0 → risc eliminat</t>
        </is>
      </c>
    </row>
    <row r="15">
      <c r="A15" s="32" t="inlineStr">
        <is>
          <t>Total minimis (grant)</t>
        </is>
      </c>
      <c r="C15" s="33" t="n">
        <v>300000</v>
      </c>
      <c r="E15" s="28" t="inlineStr"/>
    </row>
    <row r="16">
      <c r="A16" s="32" t="inlineStr">
        <is>
          <t>GRANT TOTAL</t>
        </is>
      </c>
      <c r="C16" s="33" t="n">
        <v>3000000</v>
      </c>
      <c r="E16" s="28" t="inlineStr"/>
    </row>
    <row r="17">
      <c r="A17" s="32" t="inlineStr">
        <is>
          <t>COFINANȚARE totală (credit 10 ani)</t>
        </is>
      </c>
      <c r="C17" s="33" t="n">
        <v>1050857</v>
      </c>
      <c r="E17" s="28" t="inlineStr"/>
    </row>
    <row r="18">
      <c r="A18" s="32" t="inlineStr">
        <is>
          <t>Pondere activitate de bază</t>
        </is>
      </c>
      <c r="C18" s="34" t="n">
        <v>0.9</v>
      </c>
      <c r="E18" s="28" t="inlineStr">
        <is>
          <t>≥80% (regional+CDI personal)</t>
        </is>
      </c>
    </row>
    <row r="19">
      <c r="A19" s="32" t="inlineStr">
        <is>
          <t>Personal propriu / bază</t>
        </is>
      </c>
      <c r="C19" s="34" t="n">
        <v>0.2204444444444444</v>
      </c>
      <c r="E19" s="28" t="inlineStr">
        <is>
          <t>≥20%</t>
        </is>
      </c>
    </row>
    <row r="20">
      <c r="A20" s="32" t="inlineStr">
        <is>
          <t>Cheltuieli NEELIGIBILE (amortizare)</t>
        </is>
      </c>
      <c r="C20" s="33" t="n">
        <v>0</v>
      </c>
      <c r="E20" s="28" t="inlineStr">
        <is>
          <t>0 în scenariul A</t>
        </is>
      </c>
    </row>
    <row r="21">
      <c r="A21" s="32" t="inlineStr">
        <is>
          <t>TVA (dacă nedeductibil) – de clarificat</t>
        </is>
      </c>
      <c r="C21" s="35" t="inlineStr">
        <is>
          <t>[de completat]</t>
        </is>
      </c>
      <c r="E21" s="28" t="inlineStr"/>
    </row>
    <row r="22">
      <c r="A22" s="32" t="inlineStr">
        <is>
          <t>Necesar cash până la rambursare (estimat)</t>
        </is>
      </c>
      <c r="C22" s="35" t="inlineStr">
        <is>
          <t>[de dimensionat pe grafic tranșe]</t>
        </is>
      </c>
      <c r="E22" s="28" t="inlineStr"/>
    </row>
  </sheetData>
  <mergeCells count="12">
    <mergeCell ref="E12:F12"/>
    <mergeCell ref="E20:F20"/>
    <mergeCell ref="E16:F16"/>
    <mergeCell ref="E15:F15"/>
    <mergeCell ref="A1:F1"/>
    <mergeCell ref="E19:F19"/>
    <mergeCell ref="E13:F13"/>
    <mergeCell ref="E14:F14"/>
    <mergeCell ref="E22:F22"/>
    <mergeCell ref="E17:F17"/>
    <mergeCell ref="E18:F18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2026-07-13T14:11:23Z</dcterms:created>
  <dcterms:modified xmlns:dcterms="http://purl.org/dc/terms/" xmlns:xsi="http://www.w3.org/2001/XMLSchema-instance" xsi:type="dcterms:W3CDTF">2026-07-13T14:11:23Z</dcterms:modified>
</cp:coreProperties>
</file>