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00.169\Comun\00. Proiecte 2026 - SCRIEM\2026.09.30 Acțiunea 2.1 POCIDIF\"/>
    </mc:Choice>
  </mc:AlternateContent>
  <xr:revisionPtr revIDLastSave="0" documentId="13_ncr:1_{4445ACEC-D98B-4F49-B401-50B2CE5C71DC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Dashboard" sheetId="1" r:id="rId1"/>
    <sheet name="Ipoteze" sheetId="2" r:id="rId2"/>
    <sheet name="Buget_eligibil" sheetId="3" r:id="rId3"/>
    <sheet name="Echipa" sheetId="4" r:id="rId4"/>
    <sheet name="Proiectii_financiare" sheetId="5" r:id="rId5"/>
    <sheet name="Punctaj_ETF" sheetId="6" r:id="rId6"/>
    <sheet name="Surse" sheetId="7" r:id="rId7"/>
    <sheet name="Salari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8" l="1"/>
  <c r="H9" i="8"/>
  <c r="H8" i="8"/>
  <c r="H7" i="8"/>
  <c r="F9" i="8"/>
  <c r="F8" i="8"/>
  <c r="G6" i="8"/>
  <c r="F10" i="8"/>
  <c r="G10" i="8" s="1"/>
  <c r="F7" i="8"/>
  <c r="C13" i="6"/>
  <c r="D13" i="6" s="1"/>
  <c r="B13" i="6"/>
  <c r="C12" i="6"/>
  <c r="D12" i="6" s="1"/>
  <c r="C9" i="6"/>
  <c r="D9" i="6" s="1"/>
  <c r="B9" i="6"/>
  <c r="B6" i="6"/>
  <c r="B17" i="5"/>
  <c r="D13" i="5"/>
  <c r="G11" i="5"/>
  <c r="G12" i="5" s="1"/>
  <c r="G16" i="5" s="1"/>
  <c r="E11" i="5"/>
  <c r="E12" i="5" s="1"/>
  <c r="D11" i="5"/>
  <c r="D12" i="5" s="1"/>
  <c r="D16" i="5" s="1"/>
  <c r="C11" i="5"/>
  <c r="C12" i="5" s="1"/>
  <c r="C16" i="5" s="1"/>
  <c r="C18" i="5" s="1"/>
  <c r="B11" i="5"/>
  <c r="B12" i="5" s="1"/>
  <c r="B16" i="5" s="1"/>
  <c r="B18" i="5" s="1"/>
  <c r="G10" i="5"/>
  <c r="F10" i="5"/>
  <c r="E10" i="5"/>
  <c r="D10" i="5"/>
  <c r="C10" i="5"/>
  <c r="B10" i="5"/>
  <c r="G9" i="5"/>
  <c r="F9" i="5"/>
  <c r="E9" i="5"/>
  <c r="D9" i="5"/>
  <c r="C9" i="5"/>
  <c r="B9" i="5"/>
  <c r="G6" i="5"/>
  <c r="F6" i="5"/>
  <c r="F11" i="5" s="1"/>
  <c r="F12" i="5" s="1"/>
  <c r="F16" i="5" s="1"/>
  <c r="E6" i="5"/>
  <c r="D6" i="5"/>
  <c r="C6" i="5"/>
  <c r="B6" i="5"/>
  <c r="F18" i="4"/>
  <c r="E16" i="4"/>
  <c r="F13" i="4"/>
  <c r="F15" i="4" s="1"/>
  <c r="E12" i="4"/>
  <c r="G10" i="4"/>
  <c r="H10" i="4" s="1"/>
  <c r="G9" i="4"/>
  <c r="H9" i="4" s="1"/>
  <c r="H8" i="4"/>
  <c r="G8" i="4"/>
  <c r="G7" i="4"/>
  <c r="H7" i="4" s="1"/>
  <c r="G6" i="4"/>
  <c r="H6" i="4" s="1"/>
  <c r="G5" i="4"/>
  <c r="H5" i="4" s="1"/>
  <c r="H4" i="4"/>
  <c r="G4" i="4"/>
  <c r="H23" i="3"/>
  <c r="H21" i="3"/>
  <c r="B9" i="1" s="1"/>
  <c r="D9" i="1" s="1"/>
  <c r="H20" i="3"/>
  <c r="H19" i="3"/>
  <c r="H18" i="3"/>
  <c r="B20" i="1" s="1"/>
  <c r="H16" i="3"/>
  <c r="H15" i="3"/>
  <c r="B4" i="1" s="1"/>
  <c r="D4" i="1" s="1"/>
  <c r="H14" i="3"/>
  <c r="E14" i="3"/>
  <c r="B12" i="6" s="1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I14" i="3" s="1"/>
  <c r="H24" i="3" s="1"/>
  <c r="G4" i="3"/>
  <c r="G14" i="3" s="1"/>
  <c r="B19" i="1"/>
  <c r="B18" i="1"/>
  <c r="B12" i="1"/>
  <c r="D12" i="1" s="1"/>
  <c r="B10" i="1"/>
  <c r="D10" i="1" s="1"/>
  <c r="B5" i="1"/>
  <c r="G9" i="8" l="1"/>
  <c r="G7" i="8"/>
  <c r="G8" i="8"/>
  <c r="F12" i="4"/>
  <c r="F14" i="4" s="1"/>
  <c r="D15" i="5"/>
  <c r="C15" i="5"/>
  <c r="B6" i="1"/>
  <c r="C10" i="6"/>
  <c r="E16" i="5"/>
  <c r="E17" i="5" s="1"/>
  <c r="B21" i="1"/>
  <c r="C6" i="6"/>
  <c r="D6" i="6" s="1"/>
  <c r="H17" i="3"/>
  <c r="B7" i="6"/>
  <c r="C7" i="6"/>
  <c r="D7" i="6" s="1"/>
  <c r="H22" i="3"/>
  <c r="H25" i="3"/>
  <c r="H26" i="3" s="1"/>
  <c r="I27" i="3" s="1"/>
  <c r="I28" i="3" s="1"/>
  <c r="I29" i="3" s="1"/>
  <c r="D6" i="1" s="1"/>
  <c r="B10" i="6"/>
  <c r="C13" i="5"/>
  <c r="B4" i="6"/>
  <c r="C4" i="6"/>
  <c r="D4" i="6" s="1"/>
  <c r="C14" i="5"/>
  <c r="D14" i="5"/>
  <c r="C5" i="6" l="1"/>
  <c r="D5" i="6" s="1"/>
  <c r="B5" i="6"/>
  <c r="B8" i="1"/>
  <c r="D8" i="1" s="1"/>
  <c r="F18" i="5"/>
  <c r="F17" i="5"/>
  <c r="B7" i="1"/>
  <c r="D7" i="1" s="1"/>
  <c r="C8" i="6"/>
  <c r="D8" i="6" s="1"/>
  <c r="B8" i="6"/>
  <c r="C17" i="5"/>
  <c r="D18" i="5" s="1"/>
  <c r="C19" i="1"/>
  <c r="C18" i="1"/>
  <c r="C20" i="1"/>
  <c r="D17" i="5"/>
  <c r="E18" i="5" s="1"/>
  <c r="D10" i="6"/>
  <c r="B11" i="1"/>
  <c r="D11" i="1" s="1"/>
  <c r="C21" i="1" l="1"/>
  <c r="G18" i="5"/>
  <c r="G17" i="5"/>
  <c r="B11" i="6" l="1"/>
  <c r="C11" i="6"/>
  <c r="B13" i="1" l="1"/>
  <c r="D13" i="1" s="1"/>
  <c r="D11" i="6"/>
</calcChain>
</file>

<file path=xl/sharedStrings.xml><?xml version="1.0" encoding="utf-8"?>
<sst xmlns="http://schemas.openxmlformats.org/spreadsheetml/2006/main" count="529" uniqueCount="403">
  <si>
    <t>Dashboard - Proiecție financiară PoCIDIF 2.1, grant 3.000.000 EUR</t>
  </si>
  <si>
    <t>KPI</t>
  </si>
  <si>
    <t>Valoare</t>
  </si>
  <si>
    <t>Țintă/limită</t>
  </si>
  <si>
    <t>Status</t>
  </si>
  <si>
    <t>Grant nerambursabil</t>
  </si>
  <si>
    <t>3.000.000 EUR</t>
  </si>
  <si>
    <t>Cost eligibil total fără TVA</t>
  </si>
  <si>
    <t>model</t>
  </si>
  <si>
    <t>informativ</t>
  </si>
  <si>
    <t>Cofinanțare totală fără TVA</t>
  </si>
  <si>
    <t>&gt; minim + 5%</t>
  </si>
  <si>
    <t>Pondere echipamente în grant</t>
  </si>
  <si>
    <t>maximizată</t>
  </si>
  <si>
    <t>Pondere activitate de bază</t>
  </si>
  <si>
    <t>&gt;=80%</t>
  </si>
  <si>
    <t>Pondere personal tehnic propriu / bază</t>
  </si>
  <si>
    <t>&gt;=20%</t>
  </si>
  <si>
    <t>Minimis total</t>
  </si>
  <si>
    <t>&lt;=300.000 EUR</t>
  </si>
  <si>
    <t>RI mediu post-implementare</t>
  </si>
  <si>
    <t>&gt;2%</t>
  </si>
  <si>
    <t>PI_D</t>
  </si>
  <si>
    <t>&gt;0,5x</t>
  </si>
  <si>
    <t>Flux numerar cumulat minim durabilitate</t>
  </si>
  <si>
    <t>&gt;0</t>
  </si>
  <si>
    <t>Structură grant propus</t>
  </si>
  <si>
    <t>Categorie</t>
  </si>
  <si>
    <t>Grant EUR</t>
  </si>
  <si>
    <t>Pondere grant</t>
  </si>
  <si>
    <t>Echipamente linie producție + HPC</t>
  </si>
  <si>
    <t>Personal tehnic propriu CDI</t>
  </si>
  <si>
    <t>Minimis conex/comercializare/audit</t>
  </si>
  <si>
    <t>Total</t>
  </si>
  <si>
    <t>Ipoteze principale - proiecție proiect hardware inovativ PoCIDIF 2.1</t>
  </si>
  <si>
    <t>Parametru</t>
  </si>
  <si>
    <t>Unitate</t>
  </si>
  <si>
    <t>Comentariu</t>
  </si>
  <si>
    <t>Curs InforEuro</t>
  </si>
  <si>
    <t>RON/EUR</t>
  </si>
  <si>
    <t>Curs ghid mai 2026</t>
  </si>
  <si>
    <t>Finanțare nerambursabilă țintă</t>
  </si>
  <si>
    <t>EUR</t>
  </si>
  <si>
    <t>Maxim pentru produs hardware inovativ</t>
  </si>
  <si>
    <t>Intensitate ajutor regional - micro/mică Alba</t>
  </si>
  <si>
    <t>%</t>
  </si>
  <si>
    <t>Pentru echipamente/linie producție</t>
  </si>
  <si>
    <t>Intensitate CDI - cercetare industrială cu diseminare/licențiere</t>
  </si>
  <si>
    <t>Pentru personal tehnic propriu / activități CDI</t>
  </si>
  <si>
    <t>Intensitate minimis</t>
  </si>
  <si>
    <t>Plafon 300.000 EUR / întreprindere unică / 3 ani</t>
  </si>
  <si>
    <t>Plafon minimis</t>
  </si>
  <si>
    <t>Limită de minimis</t>
  </si>
  <si>
    <t>Prag activitate de bază din grant total</t>
  </si>
  <si>
    <t>Minim 80%</t>
  </si>
  <si>
    <t>Prag personal tehnic propriu din activitate de bază</t>
  </si>
  <si>
    <t>Minim 20%</t>
  </si>
  <si>
    <t>Durată implementare</t>
  </si>
  <si>
    <t>luni</t>
  </si>
  <si>
    <t>Ipoteză model</t>
  </si>
  <si>
    <t>Durabilitate post-implementare</t>
  </si>
  <si>
    <t>ani</t>
  </si>
  <si>
    <t>Obligatoriu în proiecții</t>
  </si>
  <si>
    <t>Marjă minimă pentru punctaj RI maxim</t>
  </si>
  <si>
    <t>RI &gt; 2%</t>
  </si>
  <si>
    <t>Performanță investiție minimă</t>
  </si>
  <si>
    <t>x</t>
  </si>
  <si>
    <t>PI_D &gt; 0,5</t>
  </si>
  <si>
    <t>Cofinanțare peste minim pentru punctaj maxim</t>
  </si>
  <si>
    <t>Țintă &gt;5% peste minim</t>
  </si>
  <si>
    <t>Buget eligibil orientativ - finanțare 3.000.000 EUR, maxim echipamente, respectare praguri</t>
  </si>
  <si>
    <t>Tip ajutor</t>
  </si>
  <si>
    <t>Activitate</t>
  </si>
  <si>
    <t>Domeniu intervenție</t>
  </si>
  <si>
    <t>Cost eligibil EUR</t>
  </si>
  <si>
    <t>Intensitate maximă</t>
  </si>
  <si>
    <t>Grant maxim EUR</t>
  </si>
  <si>
    <t>Grant propus EUR</t>
  </si>
  <si>
    <t>Cofinanțare EUR</t>
  </si>
  <si>
    <t>Observații</t>
  </si>
  <si>
    <t>Linie producție robotică / asamblare pilot hardware AI-edge</t>
  </si>
  <si>
    <t>Ajutor regional</t>
  </si>
  <si>
    <t>Introducere în producție</t>
  </si>
  <si>
    <t>002</t>
  </si>
  <si>
    <t>Echipamente principale; justifică depășirea pragului 1,5 mil. EUR</t>
  </si>
  <si>
    <t>Cluster HPC/GPU pentru antrenare și testare modele AI</t>
  </si>
  <si>
    <t>Servere GPU, stocare, rețea, securitate</t>
  </si>
  <si>
    <t>Personal tehnic propriu CDI - coordonator + experți</t>
  </si>
  <si>
    <t>CDI / cercetare industrială</t>
  </si>
  <si>
    <t>Activitate de bază CDI</t>
  </si>
  <si>
    <t>010</t>
  </si>
  <si>
    <t>Exact 20% din grantul activității de bază</t>
  </si>
  <si>
    <t>Cercetare contractuală / testare certificare preliminară</t>
  </si>
  <si>
    <t>CDI / dezvoltare experimentală</t>
  </si>
  <si>
    <t>Ținut ca rezervă eligibilă cu finanțare proprie pentru cofinanțare suplimentară</t>
  </si>
  <si>
    <t>Promovare/comercializare produs; go-to-market</t>
  </si>
  <si>
    <t>Minimis</t>
  </si>
  <si>
    <t>Introducere în piață</t>
  </si>
  <si>
    <t>Obligatoriu pentru introducere în piață</t>
  </si>
  <si>
    <t>Audit tehnic, securitate, GDPR, testare nivele securitate</t>
  </si>
  <si>
    <t>Audit tehnic</t>
  </si>
  <si>
    <t>Obligatoriu la final</t>
  </si>
  <si>
    <t>Informare și publicitate finanțare</t>
  </si>
  <si>
    <t>Informare/publicitate</t>
  </si>
  <si>
    <t>Conform ghid vizibilitate</t>
  </si>
  <si>
    <t>Management proiect / consultanță implementare</t>
  </si>
  <si>
    <t>Management proiect</t>
  </si>
  <si>
    <t>Sub prag 10%</t>
  </si>
  <si>
    <t>Accesibilizare produs pentru persoane cu dizabilități</t>
  </si>
  <si>
    <t>Accesibilizare</t>
  </si>
  <si>
    <t>Inclusă tehnic în module, fără buget separat în variantă limită</t>
  </si>
  <si>
    <t>TOTALURI ȘI TESTE LIMITĂ</t>
  </si>
  <si>
    <t>Grant total propus</t>
  </si>
  <si>
    <t>Trebuie să fie 3.000.000 EUR</t>
  </si>
  <si>
    <t>Grant activitate de bază</t>
  </si>
  <si>
    <t>Minim 80% din grant total</t>
  </si>
  <si>
    <t>Pondere activitate de bază în grant total</t>
  </si>
  <si>
    <t>OK dacă &gt;=80%</t>
  </si>
  <si>
    <t>Grant minimis total</t>
  </si>
  <si>
    <t>Maxim 300.000 EUR</t>
  </si>
  <si>
    <t>Consultanță + management minimis B2+B5</t>
  </si>
  <si>
    <t>Maxim 10% din valoarea eligibilă/maxim eligibilă</t>
  </si>
  <si>
    <t>Personal tehnic propriu grant</t>
  </si>
  <si>
    <t>Minim 20% din grant activitate bază</t>
  </si>
  <si>
    <t>Pondere personal tehnic propriu / activitate bază</t>
  </si>
  <si>
    <t>OK dacă &gt;=20%</t>
  </si>
  <si>
    <t>Pondere echipamente / grant total</t>
  </si>
  <si>
    <t>Maximizare echipamente</t>
  </si>
  <si>
    <t>Grant echipamente regional</t>
  </si>
  <si>
    <t>Linie producție + HPC/GPU</t>
  </si>
  <si>
    <t>Cofinanțare totală propusă</t>
  </si>
  <si>
    <t>Fără TVA</t>
  </si>
  <si>
    <t>Grant maxim teoretic pe buget</t>
  </si>
  <si>
    <t>Pentru calcul depășire cofinanțare minimă</t>
  </si>
  <si>
    <t>Cofinanțare minimă conform intensități</t>
  </si>
  <si>
    <t>Dacă s-ar cere maximul permis</t>
  </si>
  <si>
    <t>Excedent cofinanțare peste minim</t>
  </si>
  <si>
    <t>Procent excedent peste cofinanțare minimă</t>
  </si>
  <si>
    <t>Status punctaj cofinanțare</t>
  </si>
  <si>
    <t>Echipă minimă optimizată pentru punctaj maxim - ETF capacitate operațională</t>
  </si>
  <si>
    <t>Rol</t>
  </si>
  <si>
    <t>Tip</t>
  </si>
  <si>
    <t>Nr. persoane</t>
  </si>
  <si>
    <t>Experiență minimă țintă</t>
  </si>
  <si>
    <t>Cost/lună/pers EUR</t>
  </si>
  <si>
    <t>Luni</t>
  </si>
  <si>
    <t>Cost total EUR</t>
  </si>
  <si>
    <t>Grant alocat EUR</t>
  </si>
  <si>
    <t>Motiv punctaj</t>
  </si>
  <si>
    <t>Coordonator tehnic / arhitect robotică AI-edge</t>
  </si>
  <si>
    <t>tehnic propriu</t>
  </si>
  <si>
    <t>&gt;5 ani sau 2 proiecte similare</t>
  </si>
  <si>
    <t>Cerință max: coordonator calificat cu experiență &gt;5 ani</t>
  </si>
  <si>
    <t>Expert AI/ML &amp; perception</t>
  </si>
  <si>
    <t>&gt;2 ani</t>
  </si>
  <si>
    <t>Expert tehnic 1</t>
  </si>
  <si>
    <t>Expert embedded/edge/firmware</t>
  </si>
  <si>
    <t>Expert tehnic 2</t>
  </si>
  <si>
    <t>Expert robotică/integrare senzori</t>
  </si>
  <si>
    <t>&gt;3 ani sector vizat</t>
  </si>
  <si>
    <t>Expert sectorial/tehnic pentru validare relevanță produs</t>
  </si>
  <si>
    <t>QA/Security engineer</t>
  </si>
  <si>
    <t>Testare, securitate, calitate</t>
  </si>
  <si>
    <t>Manager proiect</t>
  </si>
  <si>
    <t>management minimis</t>
  </si>
  <si>
    <t>&gt;5 ani fonduri/IT</t>
  </si>
  <si>
    <t>Responsabil financiar/achiziții</t>
  </si>
  <si>
    <t>&gt;3 ani</t>
  </si>
  <si>
    <t>Achiziții, raportare, eligibilitate</t>
  </si>
  <si>
    <t>Total echipă tehnică proprie</t>
  </si>
  <si>
    <t>Grant tehnic propriu bugetat în Buget_eligibil</t>
  </si>
  <si>
    <t>Diferență grant tehnic</t>
  </si>
  <si>
    <t>Status minim 20% activitate de bază</t>
  </si>
  <si>
    <t>Număr total persoane tehnice proprii</t>
  </si>
  <si>
    <t>Număr minim ghid: coordonator + 2 experți</t>
  </si>
  <si>
    <t>3</t>
  </si>
  <si>
    <t>Status echipă ETF</t>
  </si>
  <si>
    <t>Proiecții financiare proiect hardware inovativ - 24 luni implementare + 3 ani durabilitate</t>
  </si>
  <si>
    <t>Linie</t>
  </si>
  <si>
    <t>Preimplementare An 0</t>
  </si>
  <si>
    <t>Implementare An 1</t>
  </si>
  <si>
    <t>Implementare An 2</t>
  </si>
  <si>
    <t>Durabilitate An 1</t>
  </si>
  <si>
    <t>Durabilitate An 2</t>
  </si>
  <si>
    <t>Durabilitate An 3</t>
  </si>
  <si>
    <t>Venituri fără proiect</t>
  </si>
  <si>
    <t>Ipoteză de bază societate</t>
  </si>
  <si>
    <t>Venituri generate de proiect</t>
  </si>
  <si>
    <t>Contracte pilot, licențe, vânzări hardware + SaaS</t>
  </si>
  <si>
    <t>Venituri totale cu proiect</t>
  </si>
  <si>
    <t>Cheltuieli exploatare fără proiect</t>
  </si>
  <si>
    <t>Costuri curente</t>
  </si>
  <si>
    <t>Cheltuieli operare proiect</t>
  </si>
  <si>
    <t>Personal operare, cloud, service, vânzări</t>
  </si>
  <si>
    <t>Cheltuieli totale exploatare cu proiect</t>
  </si>
  <si>
    <t>Profit exploatare fără proiect</t>
  </si>
  <si>
    <t>Profit exploatare cu proiect</t>
  </si>
  <si>
    <t>Profit exploatare incremental</t>
  </si>
  <si>
    <t>Folosit pentru RI</t>
  </si>
  <si>
    <t>Cost investiție eligibil proiect</t>
  </si>
  <si>
    <t>Implementare 24 luni</t>
  </si>
  <si>
    <t>Grant încasat estimat</t>
  </si>
  <si>
    <t>Tranșe rambursare/plată</t>
  </si>
  <si>
    <t>Cofinanțare și neeligibile plătite</t>
  </si>
  <si>
    <t>Flux numerar operațional proiect</t>
  </si>
  <si>
    <t>Flux numerar net anual proiect</t>
  </si>
  <si>
    <t>Simplificat: include investiție, grant, operare</t>
  </si>
  <si>
    <t>Flux numerar net cumulat</t>
  </si>
  <si>
    <t>Trebuie pozitiv în anii de durabilitate</t>
  </si>
  <si>
    <t>Dovezi comercializare cumulative</t>
  </si>
  <si>
    <t>Țintă minimă: 3 dovezi</t>
  </si>
  <si>
    <t>Indicatori de conformare și punctaj maxim - ETF</t>
  </si>
  <si>
    <t>Criteriu / Limită</t>
  </si>
  <si>
    <t>Formula / Test</t>
  </si>
  <si>
    <t>Rezultat</t>
  </si>
  <si>
    <t>Punctaj țintă</t>
  </si>
  <si>
    <t>Justificare de inclus în Planul de afaceri</t>
  </si>
  <si>
    <t>Risc</t>
  </si>
  <si>
    <t>Acțiune</t>
  </si>
  <si>
    <t>Grant maxim hardware</t>
  </si>
  <si>
    <t>Max permis</t>
  </si>
  <si>
    <t>Produs hardware inovativ + linie de producție</t>
  </si>
  <si>
    <t>Dacă produsul e încadrat software, plafonul scade la 1,5 mil. EUR</t>
  </si>
  <si>
    <t>Documentație tehnică hardware clară</t>
  </si>
  <si>
    <t>Activitate bază &gt;=80% grant</t>
  </si>
  <si>
    <t>Eligibilitate</t>
  </si>
  <si>
    <t>Baza conține echipamente + CDI + introducere producție</t>
  </si>
  <si>
    <t>Încadrare greșită a activităților conexe</t>
  </si>
  <si>
    <t>Corelare Anexa 6 cu activități</t>
  </si>
  <si>
    <t>Minimis &lt;=300.000 EUR</t>
  </si>
  <si>
    <t>Minimis folosit exact pe publicitate, go-to-market, audit, management</t>
  </si>
  <si>
    <t>Depășire la nivel întreprindere unică</t>
  </si>
  <si>
    <t>Verificare ajutoare anterioare</t>
  </si>
  <si>
    <t>Personal tehnic propriu &gt;=20% bază</t>
  </si>
  <si>
    <t>Eligibilitate + capacitate</t>
  </si>
  <si>
    <t>5 persoane tehnice proprii; grant 540k = 20% din bază</t>
  </si>
  <si>
    <t>CV-uri slabe / necorelate</t>
  </si>
  <si>
    <t>CV + certificări + proiecte relevante</t>
  </si>
  <si>
    <t>Echipamente / grant total</t>
  </si>
  <si>
    <t>Max echipamente</t>
  </si>
  <si>
    <t>72% din grant merge în echipamente și linie producție</t>
  </si>
  <si>
    <t>Echipamente nejustificate sau prețuri nerezonabile</t>
  </si>
  <si>
    <t>2 oferte solide + studii piață</t>
  </si>
  <si>
    <t>Cofinanțare peste minim &gt;5%</t>
  </si>
  <si>
    <t>5/5</t>
  </si>
  <si>
    <t>Bugetul include contribuție proprie suplimentară pentru punctaj</t>
  </si>
  <si>
    <t>Cash insuficient la contractare</t>
  </si>
  <si>
    <t>Extras cont/linie credit</t>
  </si>
  <si>
    <t>RI &gt;2%</t>
  </si>
  <si>
    <t>Profit incremental mediu &gt;2% din valoarea proiectului</t>
  </si>
  <si>
    <t>Venituri nefundamentate</t>
  </si>
  <si>
    <t>Contracte pilot, LOI, studii piață</t>
  </si>
  <si>
    <t>Flux numerar cumulat pozitiv durabilitate</t>
  </si>
  <si>
    <t>Cash pozitiv pe toată durabilitatea</t>
  </si>
  <si>
    <t>Subestimare operare</t>
  </si>
  <si>
    <t>Buget mentenanță realist</t>
  </si>
  <si>
    <t>PI_D &gt;0,5</t>
  </si>
  <si>
    <t>Indicator rezultat</t>
  </si>
  <si>
    <t>Venituri directe/indirecte suficiente vs dezvoltare + exploatare</t>
  </si>
  <si>
    <t>Neatingere indicator</t>
  </si>
  <si>
    <t>Minimum 3 contracte/facturi în primul an</t>
  </si>
  <si>
    <t>Dovezi comercializare &gt;=3</t>
  </si>
  <si>
    <t>Eligibilitate rezultat</t>
  </si>
  <si>
    <t>3 dovezi în anul 1 durabilitate; 10 până în anul 3</t>
  </si>
  <si>
    <t>Proforme/LOI nu sunt dovezi</t>
  </si>
  <si>
    <t>Contracte/facturi reale</t>
  </si>
  <si>
    <t>Sursă</t>
  </si>
  <si>
    <t>Referință internă</t>
  </si>
  <si>
    <t>Element folosit în model</t>
  </si>
  <si>
    <t>Ghid Acțiunea 2.1 PoCIDIF.pdf</t>
  </si>
  <si>
    <t>secțiunea 5.3.2 / pag. 41-44</t>
  </si>
  <si>
    <t>Categorii cheltuieli eligibile; hardware TIC, HPC, AI, edge, IoT, sisteme autonome/robotizate; praguri 80%, minimis 300.000 EUR, 20% personal tehnic propriu</t>
  </si>
  <si>
    <t>Document încărcat de utilizator</t>
  </si>
  <si>
    <t>secțiunea 5.4 / pag. 47</t>
  </si>
  <si>
    <t>Finanțare maximă 3.000.000 EUR pentru produs hardware inovativ; peste 1.500.000 EUR justificare prin linie de producție</t>
  </si>
  <si>
    <t>secțiunea 8.4 / pag. 59-70</t>
  </si>
  <si>
    <t>Criterii ETF: inovație, PMF, calitatea bugetului, echipă, RI, sustenabilitate, scalare</t>
  </si>
  <si>
    <t>Anexa 4 - Model Plan de afaceri.docx</t>
  </si>
  <si>
    <t>secțiunea D</t>
  </si>
  <si>
    <t>Proiecții financiare pe 3 ani, flux de numerar, RI și sustenabilitate</t>
  </si>
  <si>
    <t>Anexa 1 - Cerere finanțare.docx</t>
  </si>
  <si>
    <t>secțiunea Buget / Indicatori / ETF</t>
  </si>
  <si>
    <t>Structura MySMIS: buget, domenii intervenție 002/006/010, autoevaluare ETF</t>
  </si>
  <si>
    <t>Ipoteză de lucru</t>
  </si>
  <si>
    <t>n/a</t>
  </si>
  <si>
    <t>Solicitant micro/întreprindere mică, județ Alba, produs hardware inovativ, intensitate regională 70%, CDI 80%, minimis 100%</t>
  </si>
  <si>
    <t>Ipoteză ajustabilă</t>
  </si>
  <si>
    <t>Valorile sunt fără TVA; TVA se tratează separat în funcție de deductibilitate</t>
  </si>
  <si>
    <r>
      <t xml:space="preserve">                                                                                                                      </t>
    </r>
    <r>
      <rPr>
        <sz val="11"/>
        <color rgb="FF000000"/>
        <rFont val="Trebuchet MS"/>
        <family val="2"/>
      </rPr>
      <t>ANEXA 9</t>
    </r>
  </si>
  <si>
    <t>HOTĂRÂRE  Nr. 8/2018 din 10 ianuarie 2018 privind modificarea și completarea Hotărârii Guvernului nr. 583/2015 actualizată</t>
  </si>
  <si>
    <t>Nr.crt.</t>
  </si>
  <si>
    <t>Categoria de activități</t>
  </si>
  <si>
    <t>Nivel studii</t>
  </si>
  <si>
    <t>Funcția</t>
  </si>
  <si>
    <t>Limita maxima euro/ora</t>
  </si>
  <si>
    <t>Echivalare</t>
  </si>
  <si>
    <t>Activități ce presupun nivelul înalt al creativitătii si/sau experiența și abilitate de conducere/management</t>
  </si>
  <si>
    <t>superioare</t>
  </si>
  <si>
    <t>sau</t>
  </si>
  <si>
    <t>Activități ce presupun cunoașterea aprofundata a metodelor de analiza și sinteza, precum și abilități de utilizare a acestora</t>
  </si>
  <si>
    <t>Activități ce presupun cunoașterea metodelor de analiza și sinteza a metodologiilor cercetarii, precum și abilitati de utilizare a acestora</t>
  </si>
  <si>
    <t>Asistent de cercetare, doctorand, masterand</t>
  </si>
  <si>
    <t>Activități suport</t>
  </si>
  <si>
    <t>Superioare sau medii</t>
  </si>
  <si>
    <t>Tehnicieni, studenți, altele</t>
  </si>
  <si>
    <t>Experiența minimă în domeniul țintă</t>
  </si>
  <si>
    <t xml:space="preserve">NOTE: </t>
  </si>
  <si>
    <t xml:space="preserve">1. Limita maximă cuprinde toate taxele și impozitele datorate de angajat și se aplică tuturor veniturilor realizate de către o persoană pentru participarea la unul sau mai multe proiecte în cadrul PNCDI III, cu respectarea prevederilor legislației muncii. </t>
  </si>
  <si>
    <t>2. Sumele în lei reprezentând costurile salariale directe se stabilesc la data perfectării sau actualizării contractului, în funcție de ultimul curs de schimb valutar comunicat de Banca Națională a României pentru 1 euro.</t>
  </si>
  <si>
    <t>Echivalențe :</t>
  </si>
  <si>
    <t>CSI- Doctorat+ experiența extensivă ( Coordonator științific, expert senior)</t>
  </si>
  <si>
    <t>CSII- Doctorat+ experiența avansată ( Coordonator activități, expert cercetare)</t>
  </si>
  <si>
    <t>IDTI- Inginer cu experiență de nivel înalt ( arhitect soluție/inginer senior/manager tehnic)</t>
  </si>
  <si>
    <t>IDTII- inginer cu experiența medie ( inginer software/hardware/developer specialist)</t>
  </si>
  <si>
    <t>CSIII – doctorand, nivel experiența medie ( cercetător junior)</t>
  </si>
  <si>
    <t>IDTIII- Inginer cu experiența 1-3 ani, medie ( inginer implementare, dezvoltator junior)</t>
  </si>
  <si>
    <t>CS – asistent cercetare, suport științific ( absolvent master/doctorand - experiența începător)</t>
  </si>
  <si>
    <t>IDT- absolvent licența/ dezvoltator junior/suport tehnic</t>
  </si>
  <si>
    <t>Numărul maxim de ore lucrătoare pentru personalul din proiect este de 12 ore/zi, fără a se depăși 60 de ore/ săptămână fără suprapuneri ale programului de muncă, cu respectarea prevederilor Instrucțiunii nr. 13/20.02.2026 AM PoCIDIF11. Aceste limite vizează întreaga activitate desfășurată de un angajat, luându-se în considerare toate contractele sale individuale de muncă pe care le are încheiate cu unul sau mai mulți angajatori;</t>
  </si>
  <si>
    <t>1 euro = 5,0981</t>
  </si>
  <si>
    <t>Curs valutar</t>
  </si>
  <si>
    <t>1 Euro</t>
  </si>
  <si>
    <t>Introduceti</t>
  </si>
  <si>
    <r>
      <t>Salariu Brut:</t>
    </r>
    <r>
      <rPr>
        <sz val="6"/>
        <color rgb="FF666666"/>
        <rFont val="Arial"/>
        <family val="2"/>
      </rPr>
      <t>?</t>
    </r>
  </si>
  <si>
    <r>
      <t>Salariu Complet:</t>
    </r>
    <r>
      <rPr>
        <sz val="6"/>
        <color rgb="FF666666"/>
        <rFont val="Arial"/>
        <family val="2"/>
      </rPr>
      <t>?</t>
    </r>
  </si>
  <si>
    <r>
      <t>Anul:</t>
    </r>
    <r>
      <rPr>
        <sz val="6"/>
        <color rgb="FF666666"/>
        <rFont val="Arial"/>
        <family val="2"/>
      </rPr>
      <t>?</t>
    </r>
  </si>
  <si>
    <t>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                                                                                                                                                                                                                                   </t>
  </si>
  <si>
    <r>
      <t>Nr. tichete de masa:</t>
    </r>
    <r>
      <rPr>
        <sz val="6"/>
        <color rgb="FF666666"/>
        <rFont val="Arial"/>
        <family val="2"/>
      </rPr>
      <t>?</t>
    </r>
  </si>
  <si>
    <r>
      <t>Valoarea unui tichet:</t>
    </r>
    <r>
      <rPr>
        <sz val="6"/>
        <color rgb="FF666666"/>
        <rFont val="Arial"/>
        <family val="2"/>
      </rPr>
      <t>?</t>
    </r>
  </si>
  <si>
    <r>
      <t>Functie de baza:</t>
    </r>
    <r>
      <rPr>
        <sz val="6"/>
        <color rgb="FF666666"/>
        <rFont val="Arial"/>
        <family val="2"/>
      </rPr>
      <t>?</t>
    </r>
  </si>
  <si>
    <r>
      <t>Varsta sub 26 ani:</t>
    </r>
    <r>
      <rPr>
        <sz val="6"/>
        <color rgb="FF666666"/>
        <rFont val="Arial"/>
        <family val="2"/>
      </rPr>
      <t>?</t>
    </r>
  </si>
  <si>
    <t>Persoane in intretinere:</t>
  </si>
  <si>
    <t>                                                                                 </t>
  </si>
  <si>
    <r>
      <t>Din care copii:</t>
    </r>
    <r>
      <rPr>
        <sz val="6"/>
        <color rgb="FF666666"/>
        <rFont val="Arial"/>
        <family val="2"/>
      </rPr>
      <t>?</t>
    </r>
  </si>
  <si>
    <r>
      <t>Scutit impozit:</t>
    </r>
    <r>
      <rPr>
        <sz val="6"/>
        <color rgb="FF666666"/>
        <rFont val="Arial"/>
        <family val="2"/>
      </rPr>
      <t>?</t>
    </r>
  </si>
  <si>
    <r>
      <t>Salariu minim:</t>
    </r>
    <r>
      <rPr>
        <sz val="6"/>
        <color rgb="FF666666"/>
        <rFont val="Arial"/>
        <family val="2"/>
      </rPr>
      <t>?</t>
    </r>
  </si>
  <si>
    <t>                                                                                                                                                                       lei</t>
  </si>
  <si>
    <t>1 Euro = 5.2346 lei</t>
  </si>
  <si>
    <t>Anul 2026 - iulie</t>
  </si>
  <si>
    <t>ANGAJAT</t>
  </si>
  <si>
    <t>Lei</t>
  </si>
  <si>
    <t>Euro</t>
  </si>
  <si>
    <t>Salariu Brut</t>
  </si>
  <si>
    <t>8375.62</t>
  </si>
  <si>
    <t>Asigurari Sociale (CAS)</t>
  </si>
  <si>
    <t>2093.95</t>
  </si>
  <si>
    <t>Asigurari Sociale de Sanatate (CASS)</t>
  </si>
  <si>
    <t>837.5</t>
  </si>
  <si>
    <t>Deducere personala (DP)</t>
  </si>
  <si>
    <t>Impozit pe venit (IV)</t>
  </si>
  <si>
    <t>544.45</t>
  </si>
  <si>
    <t>Salariu Net</t>
  </si>
  <si>
    <t>4899.71</t>
  </si>
  <si>
    <t>ANGAJATOR</t>
  </si>
  <si>
    <t>Contributie Asiguratorie pentru Munca (CAM)</t>
  </si>
  <si>
    <t>2.25%</t>
  </si>
  <si>
    <t>188.36</t>
  </si>
  <si>
    <t>Salariu Complet</t>
  </si>
  <si>
    <t>8563.98</t>
  </si>
  <si>
    <t>TOTAL TAXE</t>
  </si>
  <si>
    <t>Angajatul plateste statului</t>
  </si>
  <si>
    <t>3475.91</t>
  </si>
  <si>
    <t>Angajatorul plateste statului</t>
  </si>
  <si>
    <t>Total taxe incasate de stat</t>
  </si>
  <si>
    <t>3664.27</t>
  </si>
  <si>
    <r>
      <t>Pentru a plati un salariu net de </t>
    </r>
    <r>
      <rPr>
        <b/>
        <sz val="7"/>
        <rFont val="Arial"/>
        <family val="2"/>
      </rPr>
      <t>25648 lei</t>
    </r>
    <r>
      <rPr>
        <sz val="7"/>
        <rFont val="Arial"/>
        <family val="2"/>
      </rPr>
      <t>, angajatorul cheltuie </t>
    </r>
    <r>
      <rPr>
        <b/>
        <sz val="7"/>
        <rFont val="Arial"/>
        <family val="2"/>
      </rPr>
      <t>44829 lei</t>
    </r>
  </si>
  <si>
    <t>5863.02</t>
  </si>
  <si>
    <t>1465.85</t>
  </si>
  <si>
    <t>586.3</t>
  </si>
  <si>
    <t>381.13</t>
  </si>
  <si>
    <t>3429.74</t>
  </si>
  <si>
    <t>132.01</t>
  </si>
  <si>
    <t>5995.03</t>
  </si>
  <si>
    <t>2433.28</t>
  </si>
  <si>
    <t>2565.29</t>
  </si>
  <si>
    <r>
      <t>Pentru a plati un salariu net de </t>
    </r>
    <r>
      <rPr>
        <b/>
        <sz val="7"/>
        <color rgb="FF2B2B2B"/>
        <rFont val="Arial"/>
        <family val="2"/>
      </rPr>
      <t>17953 lei</t>
    </r>
    <r>
      <rPr>
        <sz val="7"/>
        <color rgb="FF2B2B2B"/>
        <rFont val="Arial"/>
        <family val="2"/>
      </rPr>
      <t>, angajatorul cheltuie </t>
    </r>
    <r>
      <rPr>
        <b/>
        <sz val="7"/>
        <color rgb="FF2B2B2B"/>
        <rFont val="Arial"/>
        <family val="2"/>
      </rPr>
      <t>31381 lei</t>
    </r>
  </si>
  <si>
    <t>4187.79</t>
  </si>
  <si>
    <t>1046.9</t>
  </si>
  <si>
    <t>418.76</t>
  </si>
  <si>
    <t>272.23</t>
  </si>
  <si>
    <t>2449.9</t>
  </si>
  <si>
    <t>94.18</t>
  </si>
  <si>
    <t>4281.98</t>
  </si>
  <si>
    <t>1737.89</t>
  </si>
  <si>
    <t>1832.08</t>
  </si>
  <si>
    <r>
      <t>Pentru a plati un salariu net de </t>
    </r>
    <r>
      <rPr>
        <b/>
        <sz val="7"/>
        <color rgb="FF2B2B2B"/>
        <rFont val="Arial"/>
        <family val="2"/>
      </rPr>
      <t>12824 lei</t>
    </r>
    <r>
      <rPr>
        <sz val="7"/>
        <color rgb="FF2B2B2B"/>
        <rFont val="Arial"/>
        <family val="2"/>
      </rPr>
      <t>, angajatorul cheltuie </t>
    </r>
    <r>
      <rPr>
        <b/>
        <sz val="7"/>
        <color rgb="FF2B2B2B"/>
        <rFont val="Arial"/>
        <family val="2"/>
      </rPr>
      <t>22414 lei</t>
    </r>
  </si>
  <si>
    <t>42.79% Stat</t>
  </si>
  <si>
    <t>2512.75</t>
  </si>
  <si>
    <t>628.14</t>
  </si>
  <si>
    <t>251.22</t>
  </si>
  <si>
    <t>163.34</t>
  </si>
  <si>
    <t>1470.05</t>
  </si>
  <si>
    <t>56.55</t>
  </si>
  <si>
    <t>2569.3</t>
  </si>
  <si>
    <t>1042.7</t>
  </si>
  <si>
    <t>1099.25</t>
  </si>
  <si>
    <r>
      <t>Pentru a plati un salariu net de </t>
    </r>
    <r>
      <rPr>
        <b/>
        <sz val="7"/>
        <color rgb="FF2B2B2B"/>
        <rFont val="Arial"/>
        <family val="2"/>
      </rPr>
      <t>7695 lei</t>
    </r>
    <r>
      <rPr>
        <sz val="7"/>
        <color rgb="FF2B2B2B"/>
        <rFont val="Arial"/>
        <family val="2"/>
      </rPr>
      <t>, angajatorul cheltuie </t>
    </r>
    <r>
      <rPr>
        <b/>
        <sz val="7"/>
        <color rgb="FF2B2B2B"/>
        <rFont val="Arial"/>
        <family val="2"/>
      </rPr>
      <t>13449 lei</t>
    </r>
  </si>
  <si>
    <t>42.78% Stat</t>
  </si>
  <si>
    <t>Director, membru în echipa de management pe funcțiile definite în cererea de finanțare CS I, CS II, IDT I, IDT II,</t>
  </si>
  <si>
    <t>Absolvent in domeniul țintă sau în unul din domeniile principale ale proiectului țintă  +  peste 5 ani de experiența în domeniul țintă</t>
  </si>
  <si>
    <t xml:space="preserve">Doctorat sau doctorand în faza finală (cu lucrarea depusa in vederea publicării)  +  peste 10 ani de experiența în unul din domeniile principale ale proiectului țintă sau Director proiect cu experiența de peste 15 ani în unul din domeniile principale ale proiectului ținta </t>
  </si>
  <si>
    <t>Master în Științe în unul din domeniile principale ale proiectului ținta sau peste 10 ani de experiența în unul din domeniile principale ale proiectului țintă</t>
  </si>
  <si>
    <t>Șef proiect, responsabil juridic/tehnic/achiziții/financiar proiect CS III, IDT III, CS, 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</si>
</sst>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0"/>
    <numFmt numFmtId="166" formatCode="#,##0;[Red]\(#,##0\);\-"/>
    <numFmt numFmtId="167" formatCode="0.0%"/>
    <numFmt numFmtId="168" formatCode="0.0\x"/>
  </numFmts>
  <fonts count="21">
    <font>
      <sz val="11"/>
      <name val="Carlito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sz val="11"/>
      <color rgb="FF0000FF"/>
      <name val="Carlito"/>
      <family val="2"/>
    </font>
    <font>
      <b/>
      <sz val="11"/>
      <color rgb="FF000000"/>
      <name val="Carlito"/>
      <family val="2"/>
    </font>
    <font>
      <sz val="11"/>
      <name val="Carlito"/>
      <family val="2"/>
    </font>
    <font>
      <i/>
      <sz val="11"/>
      <color rgb="FF000000"/>
      <name val="Trebuchet MS"/>
      <family val="2"/>
    </font>
    <font>
      <sz val="11"/>
      <color rgb="FF000000"/>
      <name val="Trebuchet MS"/>
      <family val="2"/>
    </font>
    <font>
      <sz val="11"/>
      <name val="Trebuchet MS"/>
      <family val="2"/>
    </font>
    <font>
      <sz val="7"/>
      <color rgb="FF2B2B2B"/>
      <name val="Arial"/>
      <family val="2"/>
    </font>
    <font>
      <b/>
      <sz val="9"/>
      <color rgb="FF2B2B2B"/>
      <name val="Arial"/>
      <family val="2"/>
    </font>
    <font>
      <sz val="6"/>
      <color rgb="FF666666"/>
      <name val="Arial"/>
      <family val="2"/>
    </font>
    <font>
      <sz val="8"/>
      <color rgb="FF2B2B2B"/>
      <name val="Arial"/>
      <family val="2"/>
    </font>
    <font>
      <b/>
      <sz val="7"/>
      <color rgb="FF2B2B2B"/>
      <name val="Arial"/>
      <family val="2"/>
    </font>
    <font>
      <b/>
      <sz val="7"/>
      <name val="Arial"/>
      <family val="2"/>
    </font>
    <font>
      <sz val="7"/>
      <color rgb="FF666666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rgb="FF666666"/>
      <name val="Arial"/>
      <family val="2"/>
    </font>
    <font>
      <b/>
      <sz val="8"/>
      <color rgb="FF2B2B2B"/>
      <name val="Arial"/>
      <family val="2"/>
    </font>
    <font>
      <b/>
      <sz val="7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5E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2FFBF"/>
        <bgColor indexed="64"/>
      </patternFill>
    </fill>
    <fill>
      <patternFill patternType="solid">
        <fgColor rgb="FFFFFCCB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AEC7DF"/>
      </top>
      <bottom/>
      <diagonal/>
    </border>
    <border>
      <left style="medium">
        <color rgb="FF2E80CD"/>
      </left>
      <right style="medium">
        <color rgb="FF2E80CD"/>
      </right>
      <top style="medium">
        <color rgb="FF2E80CD"/>
      </top>
      <bottom style="medium">
        <color rgb="FF2E80CD"/>
      </bottom>
      <diagonal/>
    </border>
    <border>
      <left/>
      <right/>
      <top style="medium">
        <color rgb="FF0B7B8F"/>
      </top>
      <bottom/>
      <diagonal/>
    </border>
    <border>
      <left style="medium">
        <color rgb="FF2E80CD"/>
      </left>
      <right/>
      <top style="medium">
        <color rgb="FF2E80CD"/>
      </top>
      <bottom/>
      <diagonal/>
    </border>
    <border>
      <left/>
      <right/>
      <top style="medium">
        <color rgb="FF2E80CD"/>
      </top>
      <bottom/>
      <diagonal/>
    </border>
    <border>
      <left/>
      <right style="medium">
        <color rgb="FF2E80CD"/>
      </right>
      <top style="medium">
        <color rgb="FF2E80CD"/>
      </top>
      <bottom/>
      <diagonal/>
    </border>
    <border>
      <left style="medium">
        <color rgb="FF2E80CD"/>
      </left>
      <right/>
      <top style="medium">
        <color rgb="FF0B7B8F"/>
      </top>
      <bottom/>
      <diagonal/>
    </border>
    <border>
      <left/>
      <right style="medium">
        <color rgb="FF2E80CD"/>
      </right>
      <top style="medium">
        <color rgb="FF0B7B8F"/>
      </top>
      <bottom/>
      <diagonal/>
    </border>
    <border>
      <left style="medium">
        <color rgb="FF2E80CD"/>
      </left>
      <right/>
      <top style="medium">
        <color rgb="FF0B7B8F"/>
      </top>
      <bottom style="medium">
        <color rgb="FF2E80CD"/>
      </bottom>
      <diagonal/>
    </border>
    <border>
      <left/>
      <right/>
      <top style="medium">
        <color rgb="FF0B7B8F"/>
      </top>
      <bottom style="medium">
        <color rgb="FF2E80CD"/>
      </bottom>
      <diagonal/>
    </border>
    <border>
      <left/>
      <right style="medium">
        <color rgb="FF2E80CD"/>
      </right>
      <top style="medium">
        <color rgb="FF0B7B8F"/>
      </top>
      <bottom style="medium">
        <color rgb="FF2E80CD"/>
      </bottom>
      <diagonal/>
    </border>
    <border>
      <left style="medium">
        <color rgb="FF2E80CD"/>
      </left>
      <right/>
      <top style="medium">
        <color rgb="FF0B7B8F"/>
      </top>
      <bottom style="medium">
        <color rgb="FF0B7B8F"/>
      </bottom>
      <diagonal/>
    </border>
    <border>
      <left/>
      <right/>
      <top style="medium">
        <color rgb="FF0B7B8F"/>
      </top>
      <bottom style="medium">
        <color rgb="FF0B7B8F"/>
      </bottom>
      <diagonal/>
    </border>
    <border>
      <left style="medium">
        <color rgb="FF2E80CD"/>
      </left>
      <right/>
      <top/>
      <bottom style="medium">
        <color rgb="FF2E80CD"/>
      </bottom>
      <diagonal/>
    </border>
    <border>
      <left/>
      <right/>
      <top/>
      <bottom style="medium">
        <color rgb="FF2E80CD"/>
      </bottom>
      <diagonal/>
    </border>
    <border>
      <left/>
      <right style="medium">
        <color rgb="FF2E80CD"/>
      </right>
      <top/>
      <bottom style="medium">
        <color rgb="FF2E80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0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3" fillId="4" borderId="0" xfId="0" applyNumberFormat="1" applyFont="1" applyFill="1" applyAlignment="1">
      <alignment wrapText="1"/>
    </xf>
    <xf numFmtId="166" fontId="3" fillId="4" borderId="0" xfId="0" applyNumberFormat="1" applyFont="1" applyFill="1" applyAlignment="1">
      <alignment wrapText="1"/>
    </xf>
    <xf numFmtId="167" fontId="3" fillId="4" borderId="0" xfId="0" applyNumberFormat="1" applyFont="1" applyFill="1" applyAlignment="1">
      <alignment wrapText="1"/>
    </xf>
    <xf numFmtId="1" fontId="3" fillId="4" borderId="0" xfId="0" applyNumberFormat="1" applyFont="1" applyFill="1" applyAlignment="1">
      <alignment wrapText="1"/>
    </xf>
    <xf numFmtId="168" fontId="3" fillId="4" borderId="0" xfId="0" applyNumberFormat="1" applyFont="1" applyFill="1" applyAlignment="1">
      <alignment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right" vertical="top" wrapText="1"/>
    </xf>
    <xf numFmtId="0" fontId="14" fillId="6" borderId="5" xfId="0" applyFont="1" applyFill="1" applyBorder="1" applyAlignment="1">
      <alignment horizontal="right" vertical="top" wrapText="1"/>
    </xf>
    <xf numFmtId="9" fontId="15" fillId="7" borderId="5" xfId="0" applyNumberFormat="1" applyFont="1" applyFill="1" applyBorder="1" applyAlignment="1">
      <alignment horizontal="right" vertical="top" wrapText="1"/>
    </xf>
    <xf numFmtId="0" fontId="16" fillId="7" borderId="5" xfId="0" applyFont="1" applyFill="1" applyBorder="1" applyAlignment="1">
      <alignment horizontal="right" vertical="top" wrapText="1"/>
    </xf>
    <xf numFmtId="9" fontId="15" fillId="6" borderId="5" xfId="0" applyNumberFormat="1" applyFont="1" applyFill="1" applyBorder="1" applyAlignment="1">
      <alignment horizontal="right" vertical="top" wrapText="1"/>
    </xf>
    <xf numFmtId="0" fontId="16" fillId="6" borderId="5" xfId="0" applyFont="1" applyFill="1" applyBorder="1" applyAlignment="1">
      <alignment horizontal="right" vertical="top" wrapText="1"/>
    </xf>
    <xf numFmtId="0" fontId="15" fillId="7" borderId="5" xfId="0" applyFont="1" applyFill="1" applyBorder="1" applyAlignment="1">
      <alignment horizontal="right" vertical="top" wrapText="1"/>
    </xf>
    <xf numFmtId="0" fontId="14" fillId="7" borderId="6" xfId="0" applyFont="1" applyFill="1" applyBorder="1" applyAlignment="1">
      <alignment horizontal="left" vertical="top" wrapText="1"/>
    </xf>
    <xf numFmtId="0" fontId="15" fillId="7" borderId="7" xfId="0" applyFont="1" applyFill="1" applyBorder="1" applyAlignment="1">
      <alignment horizontal="right" vertical="top" wrapText="1"/>
    </xf>
    <xf numFmtId="0" fontId="14" fillId="7" borderId="7" xfId="0" applyFont="1" applyFill="1" applyBorder="1" applyAlignment="1">
      <alignment horizontal="right" vertical="top" wrapText="1"/>
    </xf>
    <xf numFmtId="0" fontId="14" fillId="7" borderId="8" xfId="0" applyFont="1" applyFill="1" applyBorder="1" applyAlignment="1">
      <alignment horizontal="right" vertical="top" wrapText="1"/>
    </xf>
    <xf numFmtId="0" fontId="14" fillId="6" borderId="9" xfId="0" applyFont="1" applyFill="1" applyBorder="1" applyAlignment="1">
      <alignment vertical="top" wrapText="1"/>
    </xf>
    <xf numFmtId="0" fontId="14" fillId="6" borderId="10" xfId="0" applyFont="1" applyFill="1" applyBorder="1" applyAlignment="1">
      <alignment horizontal="right" vertical="top" wrapText="1"/>
    </xf>
    <xf numFmtId="0" fontId="16" fillId="7" borderId="9" xfId="0" applyFont="1" applyFill="1" applyBorder="1" applyAlignment="1">
      <alignment vertical="top" wrapText="1" indent="1"/>
    </xf>
    <xf numFmtId="0" fontId="16" fillId="7" borderId="10" xfId="0" applyFont="1" applyFill="1" applyBorder="1" applyAlignment="1">
      <alignment horizontal="right" vertical="top" wrapText="1"/>
    </xf>
    <xf numFmtId="0" fontId="16" fillId="6" borderId="9" xfId="0" applyFont="1" applyFill="1" applyBorder="1" applyAlignment="1">
      <alignment vertical="top" wrapText="1" indent="1"/>
    </xf>
    <xf numFmtId="0" fontId="16" fillId="6" borderId="10" xfId="0" applyFont="1" applyFill="1" applyBorder="1" applyAlignment="1">
      <alignment horizontal="right" vertical="top" wrapText="1"/>
    </xf>
    <xf numFmtId="0" fontId="15" fillId="7" borderId="10" xfId="0" applyFont="1" applyFill="1" applyBorder="1" applyAlignment="1">
      <alignment horizontal="right" vertical="top" wrapText="1"/>
    </xf>
    <xf numFmtId="0" fontId="17" fillId="8" borderId="11" xfId="0" applyFont="1" applyFill="1" applyBorder="1" applyAlignment="1">
      <alignment vertical="top" wrapText="1"/>
    </xf>
    <xf numFmtId="0" fontId="18" fillId="8" borderId="12" xfId="0" applyFont="1" applyFill="1" applyBorder="1" applyAlignment="1">
      <alignment horizontal="right" vertical="top" wrapText="1"/>
    </xf>
    <xf numFmtId="0" fontId="17" fillId="8" borderId="12" xfId="0" applyFont="1" applyFill="1" applyBorder="1" applyAlignment="1">
      <alignment horizontal="right" vertical="top" wrapText="1"/>
    </xf>
    <xf numFmtId="0" fontId="17" fillId="8" borderId="13" xfId="0" applyFont="1" applyFill="1" applyBorder="1" applyAlignment="1">
      <alignment horizontal="right" vertical="top" wrapText="1"/>
    </xf>
    <xf numFmtId="0" fontId="14" fillId="7" borderId="11" xfId="0" applyFont="1" applyFill="1" applyBorder="1" applyAlignment="1">
      <alignment vertical="top" wrapText="1"/>
    </xf>
    <xf numFmtId="0" fontId="15" fillId="7" borderId="12" xfId="0" applyFont="1" applyFill="1" applyBorder="1" applyAlignment="1">
      <alignment horizontal="right" vertical="top" wrapText="1"/>
    </xf>
    <xf numFmtId="0" fontId="14" fillId="7" borderId="13" xfId="0" applyFont="1" applyFill="1" applyBorder="1" applyAlignment="1">
      <alignment horizontal="right" vertical="top" wrapText="1"/>
    </xf>
    <xf numFmtId="0" fontId="13" fillId="7" borderId="4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right" vertical="top" wrapText="1"/>
    </xf>
    <xf numFmtId="0" fontId="9" fillId="7" borderId="5" xfId="0" applyFont="1" applyFill="1" applyBorder="1" applyAlignment="1">
      <alignment horizontal="right" vertical="top" wrapText="1"/>
    </xf>
    <xf numFmtId="0" fontId="9" fillId="6" borderId="5" xfId="0" applyFont="1" applyFill="1" applyBorder="1" applyAlignment="1">
      <alignment horizontal="right" vertical="top" wrapText="1"/>
    </xf>
    <xf numFmtId="0" fontId="13" fillId="9" borderId="6" xfId="0" applyFont="1" applyFill="1" applyBorder="1" applyAlignment="1">
      <alignment horizontal="left" vertical="top" wrapText="1"/>
    </xf>
    <xf numFmtId="0" fontId="15" fillId="9" borderId="7" xfId="0" applyFont="1" applyFill="1" applyBorder="1" applyAlignment="1">
      <alignment horizontal="right" vertical="top" wrapText="1"/>
    </xf>
    <xf numFmtId="0" fontId="13" fillId="9" borderId="7" xfId="0" applyFont="1" applyFill="1" applyBorder="1" applyAlignment="1">
      <alignment horizontal="right" vertical="top" wrapText="1"/>
    </xf>
    <xf numFmtId="0" fontId="13" fillId="9" borderId="8" xfId="0" applyFont="1" applyFill="1" applyBorder="1" applyAlignment="1">
      <alignment horizontal="right" vertical="top" wrapText="1"/>
    </xf>
    <xf numFmtId="0" fontId="13" fillId="6" borderId="9" xfId="0" applyFont="1" applyFill="1" applyBorder="1" applyAlignment="1">
      <alignment vertical="top" wrapText="1"/>
    </xf>
    <xf numFmtId="0" fontId="13" fillId="6" borderId="10" xfId="0" applyFont="1" applyFill="1" applyBorder="1" applyAlignment="1">
      <alignment horizontal="right" vertical="top" wrapText="1"/>
    </xf>
    <xf numFmtId="0" fontId="9" fillId="7" borderId="9" xfId="0" applyFont="1" applyFill="1" applyBorder="1" applyAlignment="1">
      <alignment vertical="top" wrapText="1" indent="1"/>
    </xf>
    <xf numFmtId="0" fontId="9" fillId="7" borderId="10" xfId="0" applyFont="1" applyFill="1" applyBorder="1" applyAlignment="1">
      <alignment horizontal="right" vertical="top" wrapText="1"/>
    </xf>
    <xf numFmtId="0" fontId="9" fillId="6" borderId="9" xfId="0" applyFont="1" applyFill="1" applyBorder="1" applyAlignment="1">
      <alignment vertical="top" wrapText="1" indent="1"/>
    </xf>
    <xf numFmtId="0" fontId="9" fillId="6" borderId="10" xfId="0" applyFont="1" applyFill="1" applyBorder="1" applyAlignment="1">
      <alignment horizontal="right" vertical="top" wrapText="1"/>
    </xf>
    <xf numFmtId="0" fontId="19" fillId="8" borderId="11" xfId="0" applyFont="1" applyFill="1" applyBorder="1" applyAlignment="1">
      <alignment vertical="top" wrapText="1"/>
    </xf>
    <xf numFmtId="0" fontId="19" fillId="8" borderId="12" xfId="0" applyFont="1" applyFill="1" applyBorder="1" applyAlignment="1">
      <alignment horizontal="right" vertical="top" wrapText="1"/>
    </xf>
    <xf numFmtId="0" fontId="19" fillId="8" borderId="13" xfId="0" applyFont="1" applyFill="1" applyBorder="1" applyAlignment="1">
      <alignment horizontal="right" vertical="top" wrapText="1"/>
    </xf>
    <xf numFmtId="0" fontId="13" fillId="7" borderId="6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right" vertical="top" wrapText="1"/>
    </xf>
    <xf numFmtId="0" fontId="13" fillId="7" borderId="8" xfId="0" applyFont="1" applyFill="1" applyBorder="1" applyAlignment="1">
      <alignment horizontal="right" vertical="top" wrapText="1"/>
    </xf>
    <xf numFmtId="0" fontId="13" fillId="7" borderId="11" xfId="0" applyFont="1" applyFill="1" applyBorder="1" applyAlignment="1">
      <alignment vertical="top" wrapText="1"/>
    </xf>
    <xf numFmtId="0" fontId="13" fillId="7" borderId="13" xfId="0" applyFont="1" applyFill="1" applyBorder="1" applyAlignment="1">
      <alignment horizontal="right" vertical="top" wrapText="1"/>
    </xf>
    <xf numFmtId="0" fontId="13" fillId="9" borderId="4" xfId="0" applyFont="1" applyFill="1" applyBorder="1" applyAlignment="1">
      <alignment horizontal="center" vertical="top" wrapText="1"/>
    </xf>
    <xf numFmtId="0" fontId="13" fillId="10" borderId="12" xfId="0" applyFont="1" applyFill="1" applyBorder="1" applyAlignment="1">
      <alignment horizontal="right" vertical="top" wrapText="1"/>
    </xf>
    <xf numFmtId="0" fontId="14" fillId="10" borderId="12" xfId="0" applyFont="1" applyFill="1" applyBorder="1" applyAlignment="1">
      <alignment horizontal="right" vertical="top" wrapText="1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164" fontId="6" fillId="0" borderId="19" xfId="1" applyFont="1" applyBorder="1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/>
    <xf numFmtId="0" fontId="4" fillId="5" borderId="0" xfId="0" applyFont="1" applyFill="1"/>
    <xf numFmtId="0" fontId="2" fillId="3" borderId="0" xfId="0" applyFont="1" applyFill="1" applyAlignment="1">
      <alignment horizontal="center"/>
    </xf>
    <xf numFmtId="0" fontId="9" fillId="6" borderId="14" xfId="0" applyFont="1" applyFill="1" applyBorder="1" applyAlignment="1">
      <alignment vertical="top" wrapText="1" indent="1"/>
    </xf>
    <xf numFmtId="0" fontId="9" fillId="6" borderId="15" xfId="0" applyFont="1" applyFill="1" applyBorder="1" applyAlignment="1">
      <alignment vertical="top" wrapText="1" indent="1"/>
    </xf>
    <xf numFmtId="0" fontId="9" fillId="7" borderId="14" xfId="0" applyFont="1" applyFill="1" applyBorder="1" applyAlignment="1">
      <alignment vertical="top" wrapText="1" indent="1"/>
    </xf>
    <xf numFmtId="0" fontId="9" fillId="7" borderId="15" xfId="0" applyFont="1" applyFill="1" applyBorder="1" applyAlignment="1">
      <alignment vertical="top" wrapText="1" indent="1"/>
    </xf>
    <xf numFmtId="0" fontId="13" fillId="6" borderId="14" xfId="0" applyFont="1" applyFill="1" applyBorder="1" applyAlignment="1">
      <alignment vertical="top" wrapText="1"/>
    </xf>
    <xf numFmtId="0" fontId="13" fillId="6" borderId="15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top" wrapText="1"/>
    </xf>
    <xf numFmtId="0" fontId="9" fillId="7" borderId="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20" fillId="7" borderId="16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9" fillId="7" borderId="13" xfId="0" applyFont="1" applyFill="1" applyBorder="1" applyAlignment="1">
      <alignment horizontal="center" vertical="top" wrapText="1"/>
    </xf>
    <xf numFmtId="0" fontId="16" fillId="7" borderId="14" xfId="0" applyFont="1" applyFill="1" applyBorder="1" applyAlignment="1">
      <alignment vertical="top" wrapText="1" indent="1"/>
    </xf>
    <xf numFmtId="0" fontId="16" fillId="7" borderId="15" xfId="0" applyFont="1" applyFill="1" applyBorder="1" applyAlignment="1">
      <alignment vertical="top" wrapText="1" indent="1"/>
    </xf>
    <xf numFmtId="0" fontId="14" fillId="6" borderId="14" xfId="0" applyFont="1" applyFill="1" applyBorder="1" applyAlignment="1">
      <alignment vertical="top" wrapText="1"/>
    </xf>
    <xf numFmtId="0" fontId="14" fillId="6" borderId="15" xfId="0" applyFont="1" applyFill="1" applyBorder="1" applyAlignment="1">
      <alignment vertical="top" wrapText="1"/>
    </xf>
    <xf numFmtId="0" fontId="16" fillId="9" borderId="11" xfId="0" applyFont="1" applyFill="1" applyBorder="1" applyAlignment="1">
      <alignment horizontal="center" vertical="top" wrapText="1"/>
    </xf>
    <xf numFmtId="0" fontId="16" fillId="9" borderId="12" xfId="0" applyFont="1" applyFill="1" applyBorder="1" applyAlignment="1">
      <alignment horizontal="center" vertical="top" wrapText="1"/>
    </xf>
    <xf numFmtId="0" fontId="16" fillId="9" borderId="13" xfId="0" applyFont="1" applyFill="1" applyBorder="1" applyAlignment="1">
      <alignment horizontal="center" vertical="top" wrapText="1"/>
    </xf>
    <xf numFmtId="0" fontId="16" fillId="6" borderId="14" xfId="0" applyFont="1" applyFill="1" applyBorder="1" applyAlignment="1">
      <alignment vertical="top" wrapText="1" indent="1"/>
    </xf>
    <xf numFmtId="0" fontId="16" fillId="6" borderId="15" xfId="0" applyFont="1" applyFill="1" applyBorder="1" applyAlignment="1">
      <alignment vertical="top" wrapText="1" indent="1"/>
    </xf>
  </cellXfs>
  <cellStyles count="2">
    <cellStyle name="Normal" xfId="0" builtinId="0"/>
    <cellStyle name="Virgulă" xfId="1" builtinId="3"/>
  </cellStyles>
  <dxfs count="4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c:style val="2"/>
  <c:chart>
    <c:title>
      <c:tx>
        <c:rich>
          <a:bodyPr/>
          <a:lstStyle/>
          <a:p>
            <a:r>
              <a:rPr lang="ro-RO"/>
              <a:t>Distribuție grant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Series 1</c:v>
          </c:tx>
          <c:cat>
            <c:strRef>
              <c:f>Dashboard!$A$18:$A$20</c:f>
              <c:strCache>
                <c:ptCount val="3"/>
                <c:pt idx="0">
                  <c:v>Echipamente linie producție + HPC</c:v>
                </c:pt>
                <c:pt idx="1">
                  <c:v>Personal tehnic propriu CDI</c:v>
                </c:pt>
                <c:pt idx="2">
                  <c:v>Minimis conex/comercializare/audit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2160000</c:v>
                </c:pt>
                <c:pt idx="1">
                  <c:v>540000</c:v>
                </c:pt>
                <c:pt idx="2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4-499E-86DC-A94C3FCC7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Table" displayName="BudgetTable" ref="A3:J12">
  <tableColumns count="10">
    <tableColumn id="1" xr3:uid="{00000000-0010-0000-0000-000001000000}" name="Categorie"/>
    <tableColumn id="2" xr3:uid="{00000000-0010-0000-0000-000002000000}" name="Tip ajutor"/>
    <tableColumn id="3" xr3:uid="{00000000-0010-0000-0000-000003000000}" name="Activitate"/>
    <tableColumn id="4" xr3:uid="{00000000-0010-0000-0000-000004000000}" name="Domeniu intervenție"/>
    <tableColumn id="5" xr3:uid="{00000000-0010-0000-0000-000005000000}" name="Cost eligibil EUR"/>
    <tableColumn id="6" xr3:uid="{00000000-0010-0000-0000-000006000000}" name="Intensitate maximă"/>
    <tableColumn id="7" xr3:uid="{00000000-0010-0000-0000-000007000000}" name="Grant maxim EUR"/>
    <tableColumn id="8" xr3:uid="{00000000-0010-0000-0000-000008000000}" name="Grant propus EUR"/>
    <tableColumn id="9" xr3:uid="{00000000-0010-0000-0000-000009000000}" name="Cofinanțare EUR"/>
    <tableColumn id="10" xr3:uid="{00000000-0010-0000-0000-00000A000000}" name="Observați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Table" displayName="TeamTable" ref="A3:I10">
  <tableColumns count="9">
    <tableColumn id="1" xr3:uid="{00000000-0010-0000-0100-000001000000}" name="Rol"/>
    <tableColumn id="2" xr3:uid="{00000000-0010-0000-0100-000002000000}" name="Tip"/>
    <tableColumn id="3" xr3:uid="{00000000-0010-0000-0100-000003000000}" name="Nr. persoane"/>
    <tableColumn id="4" xr3:uid="{00000000-0010-0000-0100-000004000000}" name="Experiență minimă țintă"/>
    <tableColumn id="5" xr3:uid="{00000000-0010-0000-0100-000005000000}" name="Cost/lună/pers EUR"/>
    <tableColumn id="6" xr3:uid="{00000000-0010-0000-0100-000006000000}" name="Luni"/>
    <tableColumn id="7" xr3:uid="{00000000-0010-0000-0100-000007000000}" name="Cost total EUR"/>
    <tableColumn id="8" xr3:uid="{00000000-0010-0000-0100-000008000000}" name="Grant alocat EUR"/>
    <tableColumn id="9" xr3:uid="{00000000-0010-0000-0100-000009000000}" name="Motiv punctaj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ionTable" displayName="ProjectionTable" ref="A3:H21">
  <tableColumns count="8">
    <tableColumn id="1" xr3:uid="{00000000-0010-0000-0200-000001000000}" name="Linie"/>
    <tableColumn id="2" xr3:uid="{00000000-0010-0000-0200-000002000000}" name="Preimplementare An 0"/>
    <tableColumn id="3" xr3:uid="{00000000-0010-0000-0200-000003000000}" name="Implementare An 1"/>
    <tableColumn id="4" xr3:uid="{00000000-0010-0000-0200-000004000000}" name="Implementare An 2"/>
    <tableColumn id="5" xr3:uid="{00000000-0010-0000-0200-000005000000}" name="Durabilitate An 1"/>
    <tableColumn id="6" xr3:uid="{00000000-0010-0000-0200-000006000000}" name="Durabilitate An 2"/>
    <tableColumn id="7" xr3:uid="{00000000-0010-0000-0200-000007000000}" name="Durabilitate An 3"/>
    <tableColumn id="8" xr3:uid="{00000000-0010-0000-0200-000008000000}" name="Observați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Table" displayName="ScoreTable" ref="A3:H13">
  <tableColumns count="8">
    <tableColumn id="1" xr3:uid="{00000000-0010-0000-0300-000001000000}" name="Criteriu / Limită"/>
    <tableColumn id="2" xr3:uid="{00000000-0010-0000-0300-000002000000}" name="Formula / Test"/>
    <tableColumn id="3" xr3:uid="{00000000-0010-0000-0300-000003000000}" name="Rezultat"/>
    <tableColumn id="4" xr3:uid="{00000000-0010-0000-0300-000004000000}" name="Status"/>
    <tableColumn id="5" xr3:uid="{00000000-0010-0000-0300-000005000000}" name="Punctaj țintă"/>
    <tableColumn id="6" xr3:uid="{00000000-0010-0000-0300-000006000000}" name="Justificare de inclus în Planul de afaceri"/>
    <tableColumn id="7" xr3:uid="{00000000-0010-0000-0300-000007000000}" name="Risc"/>
    <tableColumn id="8" xr3:uid="{00000000-0010-0000-0300-000008000000}" name="Acțiu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D8">
  <tableColumns count="4">
    <tableColumn id="1" xr3:uid="{00000000-0010-0000-0400-000001000000}" name="Sursă"/>
    <tableColumn id="2" xr3:uid="{00000000-0010-0000-0400-000002000000}" name="Referință internă"/>
    <tableColumn id="3" xr3:uid="{00000000-0010-0000-0400-000003000000}" name="Element folosit în model"/>
    <tableColumn id="4" xr3:uid="{00000000-0010-0000-0400-000004000000}" name="Observaț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D19" sqref="D19"/>
    </sheetView>
  </sheetViews>
  <sheetFormatPr defaultRowHeight="14.25"/>
  <cols>
    <col min="1" max="1" width="36" customWidth="1"/>
    <col min="2" max="2" width="18" customWidth="1"/>
    <col min="3" max="3" width="20" customWidth="1"/>
    <col min="4" max="4" width="18" customWidth="1"/>
    <col min="5" max="8" width="12" customWidth="1"/>
  </cols>
  <sheetData>
    <row r="1" spans="1:8" ht="18.600000000000001" customHeight="1">
      <c r="A1" s="80" t="s">
        <v>0</v>
      </c>
      <c r="B1" s="81"/>
      <c r="C1" s="81"/>
      <c r="D1" s="81"/>
      <c r="E1" s="82"/>
      <c r="F1" s="82"/>
      <c r="G1" s="82"/>
      <c r="H1" s="82"/>
    </row>
    <row r="3" spans="1:8" ht="18.600000000000001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8">
      <c r="A4" t="s">
        <v>5</v>
      </c>
      <c r="B4" s="8">
        <f>Buget_eligibil!H15</f>
        <v>3000000</v>
      </c>
      <c r="C4" t="s">
        <v>6</v>
      </c>
      <c r="D4" t="str">
        <f>IF(B4=3000000,"OK","REVIZUIRE")</f>
        <v>OK</v>
      </c>
    </row>
    <row r="5" spans="1:8">
      <c r="A5" t="s">
        <v>7</v>
      </c>
      <c r="B5" s="8">
        <f>Buget_eligibil!E14</f>
        <v>4210715</v>
      </c>
      <c r="C5" t="s">
        <v>8</v>
      </c>
      <c r="D5" t="s">
        <v>9</v>
      </c>
    </row>
    <row r="6" spans="1:8">
      <c r="A6" t="s">
        <v>10</v>
      </c>
      <c r="B6" s="8">
        <f>Buget_eligibil!H24</f>
        <v>1210715</v>
      </c>
      <c r="C6" t="s">
        <v>11</v>
      </c>
      <c r="D6" t="str">
        <f>Buget_eligibil!I29</f>
        <v>OK - peste 5%</v>
      </c>
    </row>
    <row r="7" spans="1:8">
      <c r="A7" t="s">
        <v>12</v>
      </c>
      <c r="B7" s="9">
        <f>Buget_eligibil!H22</f>
        <v>0.72</v>
      </c>
      <c r="C7" t="s">
        <v>13</v>
      </c>
      <c r="D7" t="str">
        <f>IF(B7&gt;=70%,"OK","OPTIMIZARE")</f>
        <v>OK</v>
      </c>
    </row>
    <row r="8" spans="1:8">
      <c r="A8" t="s">
        <v>14</v>
      </c>
      <c r="B8" s="9">
        <f>Buget_eligibil!H17</f>
        <v>0.9</v>
      </c>
      <c r="C8" t="s">
        <v>15</v>
      </c>
      <c r="D8" t="str">
        <f>IF(B8&gt;=80%,"OK","NU")</f>
        <v>OK</v>
      </c>
    </row>
    <row r="9" spans="1:8">
      <c r="A9" t="s">
        <v>16</v>
      </c>
      <c r="B9" s="9">
        <f>Buget_eligibil!H21</f>
        <v>0.2</v>
      </c>
      <c r="C9" t="s">
        <v>17</v>
      </c>
      <c r="D9" t="str">
        <f>IF(B9&gt;=20%,"OK","NU")</f>
        <v>OK</v>
      </c>
    </row>
    <row r="10" spans="1:8">
      <c r="A10" t="s">
        <v>18</v>
      </c>
      <c r="B10" s="8">
        <f>Buget_eligibil!H18</f>
        <v>300000</v>
      </c>
      <c r="C10" t="s">
        <v>19</v>
      </c>
      <c r="D10" t="str">
        <f>IF(B10&lt;=300000,"OK","NU")</f>
        <v>OK</v>
      </c>
    </row>
    <row r="11" spans="1:8">
      <c r="A11" t="s">
        <v>20</v>
      </c>
      <c r="B11" s="9">
        <f>Punctaj_ETF!C10</f>
        <v>0.18761659243145168</v>
      </c>
      <c r="C11" t="s">
        <v>21</v>
      </c>
      <c r="D11" t="str">
        <f>IF(B11&gt;2%,"OK","NU")</f>
        <v>OK</v>
      </c>
    </row>
    <row r="12" spans="1:8">
      <c r="A12" t="s">
        <v>22</v>
      </c>
      <c r="B12" s="10">
        <f>Punctaj_ETF!C12</f>
        <v>0.70739176707258233</v>
      </c>
      <c r="C12" t="s">
        <v>23</v>
      </c>
      <c r="D12" t="str">
        <f>IF(B12&gt;0.5,"OK","NU")</f>
        <v>OK</v>
      </c>
    </row>
    <row r="13" spans="1:8">
      <c r="A13" t="s">
        <v>24</v>
      </c>
      <c r="B13" s="8">
        <f>Punctaj_ETF!C11</f>
        <v>480000</v>
      </c>
      <c r="C13" t="s">
        <v>25</v>
      </c>
      <c r="D13" t="str">
        <f>IF(B13&gt;0,"OK","NU")</f>
        <v>OK</v>
      </c>
    </row>
    <row r="16" spans="1:8" ht="15">
      <c r="A16" s="83" t="s">
        <v>26</v>
      </c>
      <c r="B16" s="82"/>
      <c r="C16" s="82"/>
      <c r="D16" s="82"/>
      <c r="E16" s="82"/>
      <c r="F16" s="82"/>
      <c r="G16" s="82"/>
      <c r="H16" s="82"/>
    </row>
    <row r="17" spans="1:3" ht="15">
      <c r="A17" s="1" t="s">
        <v>27</v>
      </c>
      <c r="B17" s="1" t="s">
        <v>28</v>
      </c>
      <c r="C17" s="1" t="s">
        <v>29</v>
      </c>
    </row>
    <row r="18" spans="1:3">
      <c r="A18" t="s">
        <v>30</v>
      </c>
      <c r="B18" s="8">
        <f>Buget_eligibil!H4+Buget_eligibil!H5</f>
        <v>2160000</v>
      </c>
      <c r="C18" s="9">
        <f>B18/$B$21</f>
        <v>0.72</v>
      </c>
    </row>
    <row r="19" spans="1:3">
      <c r="A19" t="s">
        <v>31</v>
      </c>
      <c r="B19" s="8">
        <f>Buget_eligibil!H6</f>
        <v>540000</v>
      </c>
      <c r="C19" s="9">
        <f>B19/$B$21</f>
        <v>0.18</v>
      </c>
    </row>
    <row r="20" spans="1:3">
      <c r="A20" t="s">
        <v>32</v>
      </c>
      <c r="B20" s="8">
        <f>Buget_eligibil!H18</f>
        <v>300000</v>
      </c>
      <c r="C20" s="9">
        <f>B20/$B$21</f>
        <v>0.1</v>
      </c>
    </row>
    <row r="21" spans="1:3">
      <c r="A21" t="s">
        <v>33</v>
      </c>
      <c r="B21" s="8">
        <f>SUM(B18:B20)</f>
        <v>3000000</v>
      </c>
      <c r="C21" s="9">
        <f>SUM(C18:C20)</f>
        <v>0.99999999999999989</v>
      </c>
    </row>
    <row r="22" spans="1:3">
      <c r="B22" s="8"/>
      <c r="C22" s="9"/>
    </row>
    <row r="24" spans="1:3" ht="15">
      <c r="A24" s="1" t="s">
        <v>320</v>
      </c>
      <c r="B24" s="1" t="s">
        <v>321</v>
      </c>
      <c r="C24" s="1"/>
    </row>
    <row r="25" spans="1:3">
      <c r="A25" t="s">
        <v>319</v>
      </c>
      <c r="B25">
        <v>5.0980999999999996</v>
      </c>
    </row>
  </sheetData>
  <mergeCells count="2">
    <mergeCell ref="A1:H1"/>
    <mergeCell ref="A16:H16"/>
  </mergeCells>
  <conditionalFormatting sqref="D4:D13">
    <cfRule type="expression" dxfId="3" priority="1">
      <formula>D4="OK"</formula>
    </cfRule>
    <cfRule type="expression" dxfId="2" priority="2">
      <formula>D4="NU"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H1"/>
    </sheetView>
  </sheetViews>
  <sheetFormatPr defaultRowHeight="14.25"/>
  <cols>
    <col min="1" max="1" width="48" customWidth="1"/>
    <col min="2" max="2" width="14.125" customWidth="1"/>
    <col min="3" max="3" width="7.75" customWidth="1"/>
    <col min="4" max="4" width="60" customWidth="1"/>
  </cols>
  <sheetData>
    <row r="1" spans="1:8" ht="18.600000000000001" customHeight="1">
      <c r="A1" s="84" t="s">
        <v>34</v>
      </c>
      <c r="B1" s="82"/>
      <c r="C1" s="82"/>
      <c r="D1" s="82"/>
      <c r="E1" s="82"/>
      <c r="F1" s="82"/>
      <c r="G1" s="82"/>
      <c r="H1" s="82"/>
    </row>
    <row r="3" spans="1:8" ht="18.600000000000001" customHeight="1">
      <c r="A3" s="1" t="s">
        <v>35</v>
      </c>
      <c r="B3" s="1" t="s">
        <v>2</v>
      </c>
      <c r="C3" s="1" t="s">
        <v>36</v>
      </c>
      <c r="D3" s="1" t="s">
        <v>37</v>
      </c>
    </row>
    <row r="4" spans="1:8" ht="28.5">
      <c r="A4" s="2" t="s">
        <v>38</v>
      </c>
      <c r="B4" s="3">
        <v>5.0980999999999996</v>
      </c>
      <c r="C4" s="2" t="s">
        <v>39</v>
      </c>
      <c r="D4" s="2" t="s">
        <v>40</v>
      </c>
    </row>
    <row r="5" spans="1:8">
      <c r="A5" s="2" t="s">
        <v>41</v>
      </c>
      <c r="B5" s="4">
        <v>3000000</v>
      </c>
      <c r="C5" s="2" t="s">
        <v>42</v>
      </c>
      <c r="D5" s="2" t="s">
        <v>43</v>
      </c>
    </row>
    <row r="6" spans="1:8">
      <c r="A6" s="2" t="s">
        <v>44</v>
      </c>
      <c r="B6" s="5">
        <v>0.7</v>
      </c>
      <c r="C6" s="2" t="s">
        <v>45</v>
      </c>
      <c r="D6" s="2" t="s">
        <v>46</v>
      </c>
    </row>
    <row r="7" spans="1:8" ht="28.5">
      <c r="A7" s="2" t="s">
        <v>47</v>
      </c>
      <c r="B7" s="5">
        <v>0.8</v>
      </c>
      <c r="C7" s="2" t="s">
        <v>45</v>
      </c>
      <c r="D7" s="2" t="s">
        <v>48</v>
      </c>
    </row>
    <row r="8" spans="1:8">
      <c r="A8" s="2" t="s">
        <v>49</v>
      </c>
      <c r="B8" s="5">
        <v>1</v>
      </c>
      <c r="C8" s="2" t="s">
        <v>45</v>
      </c>
      <c r="D8" s="2" t="s">
        <v>50</v>
      </c>
    </row>
    <row r="9" spans="1:8">
      <c r="A9" s="2" t="s">
        <v>51</v>
      </c>
      <c r="B9" s="4">
        <v>300000</v>
      </c>
      <c r="C9" s="2" t="s">
        <v>42</v>
      </c>
      <c r="D9" s="2" t="s">
        <v>52</v>
      </c>
    </row>
    <row r="10" spans="1:8">
      <c r="A10" s="2" t="s">
        <v>53</v>
      </c>
      <c r="B10" s="5">
        <v>0.8</v>
      </c>
      <c r="C10" s="2" t="s">
        <v>45</v>
      </c>
      <c r="D10" s="2" t="s">
        <v>54</v>
      </c>
    </row>
    <row r="11" spans="1:8">
      <c r="A11" s="2" t="s">
        <v>55</v>
      </c>
      <c r="B11" s="5">
        <v>0.2</v>
      </c>
      <c r="C11" s="2" t="s">
        <v>45</v>
      </c>
      <c r="D11" s="2" t="s">
        <v>56</v>
      </c>
    </row>
    <row r="12" spans="1:8">
      <c r="A12" s="2" t="s">
        <v>57</v>
      </c>
      <c r="B12" s="6">
        <v>24</v>
      </c>
      <c r="C12" s="2" t="s">
        <v>58</v>
      </c>
      <c r="D12" s="2" t="s">
        <v>59</v>
      </c>
    </row>
    <row r="13" spans="1:8">
      <c r="A13" s="2" t="s">
        <v>60</v>
      </c>
      <c r="B13" s="6">
        <v>3</v>
      </c>
      <c r="C13" s="2" t="s">
        <v>61</v>
      </c>
      <c r="D13" s="2" t="s">
        <v>62</v>
      </c>
    </row>
    <row r="14" spans="1:8">
      <c r="A14" s="2" t="s">
        <v>63</v>
      </c>
      <c r="B14" s="5">
        <v>0.02</v>
      </c>
      <c r="C14" s="2" t="s">
        <v>45</v>
      </c>
      <c r="D14" s="2" t="s">
        <v>64</v>
      </c>
    </row>
    <row r="15" spans="1:8">
      <c r="A15" s="2" t="s">
        <v>65</v>
      </c>
      <c r="B15" s="7">
        <v>0.5</v>
      </c>
      <c r="C15" s="2" t="s">
        <v>66</v>
      </c>
      <c r="D15" s="2" t="s">
        <v>67</v>
      </c>
    </row>
    <row r="16" spans="1:8">
      <c r="A16" s="2" t="s">
        <v>68</v>
      </c>
      <c r="B16" s="5">
        <v>0.05</v>
      </c>
      <c r="C16" s="2" t="s">
        <v>45</v>
      </c>
      <c r="D16" s="2" t="s">
        <v>69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topLeftCell="B1" workbookViewId="0">
      <selection activeCell="I26" sqref="I26"/>
    </sheetView>
  </sheetViews>
  <sheetFormatPr defaultRowHeight="14.25"/>
  <cols>
    <col min="1" max="1" width="58.625" customWidth="1"/>
    <col min="2" max="2" width="35.75" customWidth="1"/>
    <col min="3" max="3" width="26" customWidth="1"/>
    <col min="4" max="9" width="16" customWidth="1"/>
    <col min="10" max="10" width="48" customWidth="1"/>
  </cols>
  <sheetData>
    <row r="1" spans="1:10" ht="18.600000000000001" customHeight="1">
      <c r="A1" s="80" t="s">
        <v>70</v>
      </c>
      <c r="B1" s="81"/>
      <c r="C1" s="81"/>
      <c r="D1" s="81"/>
      <c r="E1" s="81"/>
      <c r="F1" s="81"/>
      <c r="G1" s="81"/>
      <c r="H1" s="81"/>
      <c r="I1" s="81"/>
      <c r="J1" s="81"/>
    </row>
    <row r="3" spans="1:10" ht="39.75" customHeight="1">
      <c r="A3" s="1" t="s">
        <v>27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</row>
    <row r="4" spans="1:10">
      <c r="A4" t="s">
        <v>80</v>
      </c>
      <c r="B4" t="s">
        <v>81</v>
      </c>
      <c r="C4" t="s">
        <v>82</v>
      </c>
      <c r="D4" t="s">
        <v>83</v>
      </c>
      <c r="E4" s="8">
        <v>2571429</v>
      </c>
      <c r="F4" s="9">
        <v>0.7</v>
      </c>
      <c r="G4" s="8">
        <f t="shared" ref="G4:G12" si="0">E4*F4</f>
        <v>1800000.2999999998</v>
      </c>
      <c r="H4" s="8">
        <v>1800000</v>
      </c>
      <c r="I4" s="8">
        <f t="shared" ref="I4:I12" si="1">E4-H4</f>
        <v>771429</v>
      </c>
      <c r="J4" t="s">
        <v>84</v>
      </c>
    </row>
    <row r="5" spans="1:10">
      <c r="A5" t="s">
        <v>85</v>
      </c>
      <c r="B5" t="s">
        <v>81</v>
      </c>
      <c r="C5" t="s">
        <v>82</v>
      </c>
      <c r="D5" t="s">
        <v>83</v>
      </c>
      <c r="E5" s="8">
        <v>514286</v>
      </c>
      <c r="F5" s="9">
        <v>0.7</v>
      </c>
      <c r="G5" s="8">
        <f t="shared" si="0"/>
        <v>360000.19999999995</v>
      </c>
      <c r="H5" s="8">
        <v>360000</v>
      </c>
      <c r="I5" s="8">
        <f t="shared" si="1"/>
        <v>154286</v>
      </c>
      <c r="J5" t="s">
        <v>86</v>
      </c>
    </row>
    <row r="6" spans="1:10">
      <c r="A6" t="s">
        <v>87</v>
      </c>
      <c r="B6" t="s">
        <v>88</v>
      </c>
      <c r="C6" t="s">
        <v>89</v>
      </c>
      <c r="D6" t="s">
        <v>90</v>
      </c>
      <c r="E6" s="8">
        <v>675000</v>
      </c>
      <c r="F6" s="9">
        <v>0.8</v>
      </c>
      <c r="G6" s="8">
        <f t="shared" si="0"/>
        <v>540000</v>
      </c>
      <c r="H6" s="8">
        <v>540000</v>
      </c>
      <c r="I6" s="8">
        <f t="shared" si="1"/>
        <v>135000</v>
      </c>
      <c r="J6" t="s">
        <v>91</v>
      </c>
    </row>
    <row r="7" spans="1:10">
      <c r="A7" t="s">
        <v>92</v>
      </c>
      <c r="B7" t="s">
        <v>93</v>
      </c>
      <c r="C7" t="s">
        <v>89</v>
      </c>
      <c r="D7" t="s">
        <v>90</v>
      </c>
      <c r="E7" s="8">
        <v>150000</v>
      </c>
      <c r="F7" s="9">
        <v>0.6</v>
      </c>
      <c r="G7" s="8">
        <f t="shared" si="0"/>
        <v>90000</v>
      </c>
      <c r="H7" s="8">
        <v>0</v>
      </c>
      <c r="I7" s="8">
        <f t="shared" si="1"/>
        <v>150000</v>
      </c>
      <c r="J7" t="s">
        <v>94</v>
      </c>
    </row>
    <row r="8" spans="1:10">
      <c r="A8" t="s">
        <v>95</v>
      </c>
      <c r="B8" t="s">
        <v>96</v>
      </c>
      <c r="C8" t="s">
        <v>97</v>
      </c>
      <c r="D8" t="s">
        <v>90</v>
      </c>
      <c r="E8" s="8">
        <v>120000</v>
      </c>
      <c r="F8" s="9">
        <v>1</v>
      </c>
      <c r="G8" s="8">
        <f t="shared" si="0"/>
        <v>120000</v>
      </c>
      <c r="H8" s="8">
        <v>120000</v>
      </c>
      <c r="I8" s="8">
        <f t="shared" si="1"/>
        <v>0</v>
      </c>
      <c r="J8" t="s">
        <v>98</v>
      </c>
    </row>
    <row r="9" spans="1:10">
      <c r="A9" t="s">
        <v>99</v>
      </c>
      <c r="B9" t="s">
        <v>96</v>
      </c>
      <c r="C9" t="s">
        <v>100</v>
      </c>
      <c r="D9" t="s">
        <v>90</v>
      </c>
      <c r="E9" s="8">
        <v>60000</v>
      </c>
      <c r="F9" s="9">
        <v>1</v>
      </c>
      <c r="G9" s="8">
        <f t="shared" si="0"/>
        <v>60000</v>
      </c>
      <c r="H9" s="8">
        <v>60000</v>
      </c>
      <c r="I9" s="8">
        <f t="shared" si="1"/>
        <v>0</v>
      </c>
      <c r="J9" t="s">
        <v>101</v>
      </c>
    </row>
    <row r="10" spans="1:10">
      <c r="A10" t="s">
        <v>102</v>
      </c>
      <c r="B10" t="s">
        <v>96</v>
      </c>
      <c r="C10" t="s">
        <v>103</v>
      </c>
      <c r="D10" t="s">
        <v>90</v>
      </c>
      <c r="E10" s="8">
        <v>30000</v>
      </c>
      <c r="F10" s="9">
        <v>1</v>
      </c>
      <c r="G10" s="8">
        <f t="shared" si="0"/>
        <v>30000</v>
      </c>
      <c r="H10" s="8">
        <v>30000</v>
      </c>
      <c r="I10" s="8">
        <f t="shared" si="1"/>
        <v>0</v>
      </c>
      <c r="J10" t="s">
        <v>104</v>
      </c>
    </row>
    <row r="11" spans="1:10">
      <c r="A11" t="s">
        <v>105</v>
      </c>
      <c r="B11" t="s">
        <v>96</v>
      </c>
      <c r="C11" t="s">
        <v>106</v>
      </c>
      <c r="D11" t="s">
        <v>90</v>
      </c>
      <c r="E11" s="8">
        <v>90000</v>
      </c>
      <c r="F11" s="9">
        <v>1</v>
      </c>
      <c r="G11" s="8">
        <f t="shared" si="0"/>
        <v>90000</v>
      </c>
      <c r="H11" s="8">
        <v>90000</v>
      </c>
      <c r="I11" s="8">
        <f t="shared" si="1"/>
        <v>0</v>
      </c>
      <c r="J11" t="s">
        <v>107</v>
      </c>
    </row>
    <row r="12" spans="1:10">
      <c r="A12" t="s">
        <v>108</v>
      </c>
      <c r="B12" t="s">
        <v>96</v>
      </c>
      <c r="C12" t="s">
        <v>109</v>
      </c>
      <c r="D12" t="s">
        <v>90</v>
      </c>
      <c r="E12" s="8">
        <v>0</v>
      </c>
      <c r="F12" s="9">
        <v>1</v>
      </c>
      <c r="G12" s="8">
        <f t="shared" si="0"/>
        <v>0</v>
      </c>
      <c r="H12" s="8">
        <v>0</v>
      </c>
      <c r="I12" s="8">
        <f t="shared" si="1"/>
        <v>0</v>
      </c>
      <c r="J12" t="s">
        <v>110</v>
      </c>
    </row>
    <row r="13" spans="1:10">
      <c r="E13" s="8"/>
      <c r="G13" s="8"/>
      <c r="H13" s="8"/>
      <c r="I13" s="8"/>
    </row>
    <row r="14" spans="1:10" ht="15">
      <c r="A14" s="83" t="s">
        <v>111</v>
      </c>
      <c r="B14" s="82"/>
      <c r="C14" s="82"/>
      <c r="D14" s="82"/>
      <c r="E14" s="8">
        <f>SUM(E4:E12)</f>
        <v>4210715</v>
      </c>
      <c r="G14" s="8">
        <f>SUM(G4:G12)</f>
        <v>3090000.5</v>
      </c>
      <c r="H14" s="8">
        <f>SUM(H4:H12)</f>
        <v>3000000</v>
      </c>
      <c r="I14" s="8">
        <f>SUM(I4:I12)</f>
        <v>1210715</v>
      </c>
    </row>
    <row r="15" spans="1:10">
      <c r="A15" t="s">
        <v>112</v>
      </c>
      <c r="E15" s="8"/>
      <c r="G15" s="8"/>
      <c r="H15" s="8">
        <f>H14</f>
        <v>3000000</v>
      </c>
      <c r="I15" s="8"/>
      <c r="J15" t="s">
        <v>113</v>
      </c>
    </row>
    <row r="16" spans="1:10">
      <c r="A16" t="s">
        <v>114</v>
      </c>
      <c r="E16" s="8"/>
      <c r="G16" s="8"/>
      <c r="H16" s="8">
        <f>H4+H5+H6+H7</f>
        <v>2700000</v>
      </c>
      <c r="I16" s="8"/>
      <c r="J16" t="s">
        <v>115</v>
      </c>
    </row>
    <row r="17" spans="1:10">
      <c r="A17" t="s">
        <v>116</v>
      </c>
      <c r="E17" s="8"/>
      <c r="G17" s="8"/>
      <c r="H17" s="9">
        <f>H16/H15</f>
        <v>0.9</v>
      </c>
      <c r="I17" s="8"/>
      <c r="J17" t="s">
        <v>117</v>
      </c>
    </row>
    <row r="18" spans="1:10">
      <c r="A18" t="s">
        <v>118</v>
      </c>
      <c r="E18" s="8"/>
      <c r="G18" s="8"/>
      <c r="H18" s="8">
        <f>SUM(H8:H12)</f>
        <v>300000</v>
      </c>
      <c r="I18" s="8"/>
      <c r="J18" t="s">
        <v>119</v>
      </c>
    </row>
    <row r="19" spans="1:10">
      <c r="A19" t="s">
        <v>120</v>
      </c>
      <c r="E19" s="8"/>
      <c r="G19" s="8"/>
      <c r="H19" s="8">
        <f>H11</f>
        <v>90000</v>
      </c>
      <c r="I19" s="8"/>
      <c r="J19" t="s">
        <v>121</v>
      </c>
    </row>
    <row r="20" spans="1:10">
      <c r="A20" t="s">
        <v>122</v>
      </c>
      <c r="E20" s="8"/>
      <c r="G20" s="8"/>
      <c r="H20" s="8">
        <f>H6</f>
        <v>540000</v>
      </c>
      <c r="I20" s="8"/>
      <c r="J20" t="s">
        <v>123</v>
      </c>
    </row>
    <row r="21" spans="1:10">
      <c r="A21" t="s">
        <v>124</v>
      </c>
      <c r="E21" s="8"/>
      <c r="G21" s="8"/>
      <c r="H21" s="9">
        <f>H20/H16</f>
        <v>0.2</v>
      </c>
      <c r="I21" s="8"/>
      <c r="J21" t="s">
        <v>125</v>
      </c>
    </row>
    <row r="22" spans="1:10">
      <c r="A22" t="s">
        <v>126</v>
      </c>
      <c r="E22" s="8"/>
      <c r="G22" s="8"/>
      <c r="H22" s="9">
        <f>(H4+H5)/H15</f>
        <v>0.72</v>
      </c>
      <c r="I22" s="8"/>
      <c r="J22" t="s">
        <v>127</v>
      </c>
    </row>
    <row r="23" spans="1:10">
      <c r="A23" t="s">
        <v>128</v>
      </c>
      <c r="E23" s="8"/>
      <c r="G23" s="8"/>
      <c r="H23" s="8">
        <f>H4+H5</f>
        <v>2160000</v>
      </c>
      <c r="I23" s="8"/>
      <c r="J23" t="s">
        <v>129</v>
      </c>
    </row>
    <row r="24" spans="1:10">
      <c r="A24" t="s">
        <v>130</v>
      </c>
      <c r="E24" s="8"/>
      <c r="G24" s="8"/>
      <c r="H24" s="8">
        <f>I14</f>
        <v>1210715</v>
      </c>
      <c r="I24" s="8"/>
      <c r="J24" t="s">
        <v>131</v>
      </c>
    </row>
    <row r="25" spans="1:10">
      <c r="A25" t="s">
        <v>132</v>
      </c>
      <c r="E25" s="8"/>
      <c r="G25" s="8"/>
      <c r="H25" s="8">
        <f>SUM(G4:G12)</f>
        <v>3090000.5</v>
      </c>
      <c r="I25" s="8"/>
      <c r="J25" t="s">
        <v>133</v>
      </c>
    </row>
    <row r="26" spans="1:10">
      <c r="A26" t="s">
        <v>134</v>
      </c>
      <c r="E26" s="8"/>
      <c r="G26" s="8"/>
      <c r="H26" s="8">
        <f>E14-H25</f>
        <v>1120714.5</v>
      </c>
      <c r="I26" s="8"/>
      <c r="J26" t="s">
        <v>135</v>
      </c>
    </row>
    <row r="27" spans="1:10">
      <c r="E27" s="8"/>
      <c r="G27" s="8"/>
      <c r="H27" s="8" t="s">
        <v>136</v>
      </c>
      <c r="I27" s="8">
        <f>H24-H26</f>
        <v>90000.5</v>
      </c>
      <c r="J27" t="s">
        <v>42</v>
      </c>
    </row>
    <row r="28" spans="1:10">
      <c r="E28" s="8"/>
      <c r="G28" s="8"/>
      <c r="H28" s="9" t="s">
        <v>137</v>
      </c>
      <c r="I28" s="9">
        <f>I27/H26</f>
        <v>8.0306358131352812E-2</v>
      </c>
      <c r="J28" t="s">
        <v>45</v>
      </c>
    </row>
    <row r="29" spans="1:10">
      <c r="E29" s="8"/>
      <c r="G29" s="8"/>
      <c r="H29" s="8" t="s">
        <v>138</v>
      </c>
      <c r="I29" s="8" t="str">
        <f>IF(I28&gt;Ipoteze!B16,"OK - peste 5%","INSUFICIENT")</f>
        <v>OK - peste 5%</v>
      </c>
    </row>
  </sheetData>
  <mergeCells count="2">
    <mergeCell ref="A1:J1"/>
    <mergeCell ref="A14:D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E10" sqref="E10"/>
    </sheetView>
  </sheetViews>
  <sheetFormatPr defaultRowHeight="14.25"/>
  <cols>
    <col min="1" max="1" width="34" customWidth="1"/>
    <col min="2" max="2" width="20" customWidth="1"/>
    <col min="3" max="3" width="14" customWidth="1"/>
    <col min="4" max="4" width="25" customWidth="1"/>
    <col min="5" max="5" width="21.125" customWidth="1"/>
    <col min="6" max="6" width="10" customWidth="1"/>
    <col min="7" max="8" width="16" customWidth="1"/>
    <col min="9" max="9" width="45" customWidth="1"/>
  </cols>
  <sheetData>
    <row r="1" spans="1:9" ht="18.600000000000001" customHeight="1">
      <c r="A1" s="80" t="s">
        <v>139</v>
      </c>
      <c r="B1" s="81"/>
      <c r="C1" s="81"/>
      <c r="D1" s="81"/>
      <c r="E1" s="81"/>
      <c r="F1" s="81"/>
      <c r="G1" s="81"/>
      <c r="H1" s="81"/>
      <c r="I1" s="81"/>
    </row>
    <row r="3" spans="1:9" ht="18.600000000000001" customHeight="1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</row>
    <row r="4" spans="1:9">
      <c r="A4" t="s">
        <v>149</v>
      </c>
      <c r="B4" t="s">
        <v>150</v>
      </c>
      <c r="C4">
        <v>1</v>
      </c>
      <c r="D4" t="s">
        <v>151</v>
      </c>
      <c r="E4" s="8">
        <v>10000</v>
      </c>
      <c r="F4" s="8">
        <v>24</v>
      </c>
      <c r="G4" s="8">
        <f t="shared" ref="G4:G10" si="0">C4*E4*F4</f>
        <v>240000</v>
      </c>
      <c r="H4" s="8">
        <f>G4*0.8</f>
        <v>192000</v>
      </c>
      <c r="I4" t="s">
        <v>152</v>
      </c>
    </row>
    <row r="5" spans="1:9">
      <c r="A5" t="s">
        <v>153</v>
      </c>
      <c r="B5" t="s">
        <v>150</v>
      </c>
      <c r="C5">
        <v>1</v>
      </c>
      <c r="D5" t="s">
        <v>154</v>
      </c>
      <c r="E5" s="8">
        <v>7500</v>
      </c>
      <c r="F5" s="8">
        <v>24</v>
      </c>
      <c r="G5" s="8">
        <f t="shared" si="0"/>
        <v>180000</v>
      </c>
      <c r="H5" s="8">
        <f>G5*0.8</f>
        <v>144000</v>
      </c>
      <c r="I5" t="s">
        <v>155</v>
      </c>
    </row>
    <row r="6" spans="1:9">
      <c r="A6" t="s">
        <v>156</v>
      </c>
      <c r="B6" t="s">
        <v>150</v>
      </c>
      <c r="C6">
        <v>1</v>
      </c>
      <c r="D6" t="s">
        <v>154</v>
      </c>
      <c r="E6" s="8">
        <v>7500</v>
      </c>
      <c r="F6" s="8">
        <v>24</v>
      </c>
      <c r="G6" s="8">
        <f t="shared" si="0"/>
        <v>180000</v>
      </c>
      <c r="H6" s="8">
        <f>G6*0.8</f>
        <v>144000</v>
      </c>
      <c r="I6" t="s">
        <v>157</v>
      </c>
    </row>
    <row r="7" spans="1:9">
      <c r="A7" t="s">
        <v>158</v>
      </c>
      <c r="B7" t="s">
        <v>150</v>
      </c>
      <c r="C7">
        <v>1</v>
      </c>
      <c r="D7" t="s">
        <v>159</v>
      </c>
      <c r="E7" s="8">
        <v>5000</v>
      </c>
      <c r="F7" s="8">
        <v>24</v>
      </c>
      <c r="G7" s="8">
        <f t="shared" si="0"/>
        <v>120000</v>
      </c>
      <c r="H7" s="8">
        <f>G7*0.8</f>
        <v>96000</v>
      </c>
      <c r="I7" t="s">
        <v>160</v>
      </c>
    </row>
    <row r="8" spans="1:9">
      <c r="A8" t="s">
        <v>161</v>
      </c>
      <c r="B8" t="s">
        <v>150</v>
      </c>
      <c r="C8">
        <v>1</v>
      </c>
      <c r="D8" t="s">
        <v>154</v>
      </c>
      <c r="E8" s="8">
        <v>2500</v>
      </c>
      <c r="F8" s="8">
        <v>24</v>
      </c>
      <c r="G8" s="8">
        <f t="shared" si="0"/>
        <v>60000</v>
      </c>
      <c r="H8" s="8">
        <f>G8*0.8</f>
        <v>48000</v>
      </c>
      <c r="I8" t="s">
        <v>162</v>
      </c>
    </row>
    <row r="9" spans="1:9">
      <c r="A9" t="s">
        <v>163</v>
      </c>
      <c r="B9" t="s">
        <v>164</v>
      </c>
      <c r="C9">
        <v>1</v>
      </c>
      <c r="D9" t="s">
        <v>165</v>
      </c>
      <c r="E9" s="8">
        <v>4000</v>
      </c>
      <c r="F9" s="8">
        <v>18</v>
      </c>
      <c r="G9" s="8">
        <f t="shared" si="0"/>
        <v>72000</v>
      </c>
      <c r="H9" s="8">
        <f>G9</f>
        <v>72000</v>
      </c>
      <c r="I9" t="s">
        <v>106</v>
      </c>
    </row>
    <row r="10" spans="1:9">
      <c r="A10" t="s">
        <v>166</v>
      </c>
      <c r="B10" t="s">
        <v>164</v>
      </c>
      <c r="C10">
        <v>1</v>
      </c>
      <c r="D10" t="s">
        <v>167</v>
      </c>
      <c r="E10" s="8">
        <v>1000</v>
      </c>
      <c r="F10" s="8">
        <v>18</v>
      </c>
      <c r="G10" s="8">
        <f t="shared" si="0"/>
        <v>18000</v>
      </c>
      <c r="H10" s="8">
        <f>G10</f>
        <v>18000</v>
      </c>
      <c r="I10" t="s">
        <v>168</v>
      </c>
    </row>
    <row r="11" spans="1:9">
      <c r="E11" s="8"/>
      <c r="F11" s="8"/>
      <c r="G11" s="8"/>
      <c r="H11" s="8"/>
    </row>
    <row r="12" spans="1:9">
      <c r="A12" t="s">
        <v>169</v>
      </c>
      <c r="E12" s="8">
        <f>SUM(G4:G8)</f>
        <v>780000</v>
      </c>
      <c r="F12" s="8">
        <f>SUM(H4:H8)</f>
        <v>624000</v>
      </c>
      <c r="G12" s="8"/>
      <c r="H12" s="8"/>
    </row>
    <row r="13" spans="1:9">
      <c r="A13" t="s">
        <v>170</v>
      </c>
      <c r="E13" s="8"/>
      <c r="F13" s="8">
        <f>Buget_eligibil!H6</f>
        <v>540000</v>
      </c>
      <c r="G13" s="8"/>
      <c r="H13" s="8"/>
    </row>
    <row r="14" spans="1:9">
      <c r="A14" t="s">
        <v>171</v>
      </c>
      <c r="E14" s="8"/>
      <c r="F14" s="8">
        <f>F12-F13</f>
        <v>84000</v>
      </c>
      <c r="G14" s="8"/>
      <c r="H14" s="8"/>
    </row>
    <row r="15" spans="1:9">
      <c r="A15" t="s">
        <v>172</v>
      </c>
      <c r="E15" s="8"/>
      <c r="F15" s="8" t="str">
        <f>IF(F13&gt;=Buget_eligibil!H16*Ipoteze!B11,"OK", "INSUFICIENT")</f>
        <v>OK</v>
      </c>
      <c r="G15" s="8"/>
      <c r="H15" s="8"/>
    </row>
    <row r="16" spans="1:9">
      <c r="A16" t="s">
        <v>173</v>
      </c>
      <c r="E16" s="8">
        <f>SUM(C4:C8)</f>
        <v>5</v>
      </c>
      <c r="F16" s="8"/>
      <c r="G16" s="8"/>
      <c r="H16" s="8"/>
    </row>
    <row r="17" spans="1:8">
      <c r="A17" t="s">
        <v>174</v>
      </c>
      <c r="E17" s="8" t="s">
        <v>175</v>
      </c>
      <c r="F17" s="8"/>
      <c r="G17" s="8"/>
      <c r="H17" s="8"/>
    </row>
    <row r="18" spans="1:8">
      <c r="A18" t="s">
        <v>176</v>
      </c>
      <c r="E18" s="8"/>
      <c r="F18" s="8" t="str">
        <f>IF(E16&gt;=3,"OK - peste minim", "INSUFICIENT")</f>
        <v>OK - peste minim</v>
      </c>
      <c r="G18" s="8"/>
      <c r="H18" s="8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A7" sqref="A7"/>
    </sheetView>
  </sheetViews>
  <sheetFormatPr defaultRowHeight="14.25"/>
  <cols>
    <col min="1" max="1" width="38" customWidth="1"/>
    <col min="2" max="7" width="18" customWidth="1"/>
    <col min="8" max="8" width="40" customWidth="1"/>
  </cols>
  <sheetData>
    <row r="1" spans="1:8" ht="18.600000000000001" customHeight="1">
      <c r="A1" s="80" t="s">
        <v>177</v>
      </c>
      <c r="B1" s="81"/>
      <c r="C1" s="81"/>
      <c r="D1" s="81"/>
      <c r="E1" s="81"/>
      <c r="F1" s="81"/>
      <c r="G1" s="81"/>
      <c r="H1" s="81"/>
    </row>
    <row r="3" spans="1:8" ht="18" customHeight="1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79</v>
      </c>
    </row>
    <row r="4" spans="1:8">
      <c r="A4" t="s">
        <v>185</v>
      </c>
      <c r="B4" s="8">
        <v>500000</v>
      </c>
      <c r="C4" s="8">
        <v>520000</v>
      </c>
      <c r="D4" s="8">
        <v>540000</v>
      </c>
      <c r="E4" s="8">
        <v>560000</v>
      </c>
      <c r="F4" s="8">
        <v>580000</v>
      </c>
      <c r="G4" s="8">
        <v>600000</v>
      </c>
      <c r="H4" t="s">
        <v>186</v>
      </c>
    </row>
    <row r="5" spans="1:8">
      <c r="A5" t="s">
        <v>187</v>
      </c>
      <c r="B5" s="8">
        <v>0</v>
      </c>
      <c r="C5" s="8">
        <v>0</v>
      </c>
      <c r="D5" s="8">
        <v>150000</v>
      </c>
      <c r="E5" s="8">
        <v>900000</v>
      </c>
      <c r="F5" s="8">
        <v>1450000</v>
      </c>
      <c r="G5" s="8">
        <v>2100000</v>
      </c>
      <c r="H5" t="s">
        <v>188</v>
      </c>
    </row>
    <row r="6" spans="1:8">
      <c r="A6" t="s">
        <v>189</v>
      </c>
      <c r="B6" s="8">
        <f t="shared" ref="B6:G6" si="0">B4+B5</f>
        <v>500000</v>
      </c>
      <c r="C6" s="8">
        <f t="shared" si="0"/>
        <v>520000</v>
      </c>
      <c r="D6" s="8">
        <f t="shared" si="0"/>
        <v>690000</v>
      </c>
      <c r="E6" s="8">
        <f t="shared" si="0"/>
        <v>1460000</v>
      </c>
      <c r="F6" s="8">
        <f t="shared" si="0"/>
        <v>2030000</v>
      </c>
      <c r="G6" s="8">
        <f t="shared" si="0"/>
        <v>2700000</v>
      </c>
    </row>
    <row r="7" spans="1:8">
      <c r="A7" t="s">
        <v>190</v>
      </c>
      <c r="B7" s="8">
        <v>420000</v>
      </c>
      <c r="C7" s="8">
        <v>430000</v>
      </c>
      <c r="D7" s="8">
        <v>440000</v>
      </c>
      <c r="E7" s="8">
        <v>455000</v>
      </c>
      <c r="F7" s="8">
        <v>470000</v>
      </c>
      <c r="G7" s="8">
        <v>485000</v>
      </c>
      <c r="H7" t="s">
        <v>191</v>
      </c>
    </row>
    <row r="8" spans="1:8">
      <c r="A8" t="s">
        <v>192</v>
      </c>
      <c r="B8" s="8">
        <v>0</v>
      </c>
      <c r="C8" s="8">
        <v>30000</v>
      </c>
      <c r="D8" s="8">
        <v>80000</v>
      </c>
      <c r="E8" s="8">
        <v>420000</v>
      </c>
      <c r="F8" s="8">
        <v>680000</v>
      </c>
      <c r="G8" s="8">
        <v>980000</v>
      </c>
      <c r="H8" t="s">
        <v>193</v>
      </c>
    </row>
    <row r="9" spans="1:8">
      <c r="A9" t="s">
        <v>194</v>
      </c>
      <c r="B9" s="8">
        <f t="shared" ref="B9:G9" si="1">B7+B8</f>
        <v>420000</v>
      </c>
      <c r="C9" s="8">
        <f t="shared" si="1"/>
        <v>460000</v>
      </c>
      <c r="D9" s="8">
        <f t="shared" si="1"/>
        <v>520000</v>
      </c>
      <c r="E9" s="8">
        <f t="shared" si="1"/>
        <v>875000</v>
      </c>
      <c r="F9" s="8">
        <f t="shared" si="1"/>
        <v>1150000</v>
      </c>
      <c r="G9" s="8">
        <f t="shared" si="1"/>
        <v>1465000</v>
      </c>
    </row>
    <row r="10" spans="1:8">
      <c r="A10" t="s">
        <v>195</v>
      </c>
      <c r="B10" s="8">
        <f t="shared" ref="B10:G10" si="2">B4-B7</f>
        <v>80000</v>
      </c>
      <c r="C10" s="8">
        <f t="shared" si="2"/>
        <v>90000</v>
      </c>
      <c r="D10" s="8">
        <f t="shared" si="2"/>
        <v>100000</v>
      </c>
      <c r="E10" s="8">
        <f t="shared" si="2"/>
        <v>105000</v>
      </c>
      <c r="F10" s="8">
        <f t="shared" si="2"/>
        <v>110000</v>
      </c>
      <c r="G10" s="8">
        <f t="shared" si="2"/>
        <v>115000</v>
      </c>
    </row>
    <row r="11" spans="1:8">
      <c r="A11" t="s">
        <v>196</v>
      </c>
      <c r="B11" s="8">
        <f t="shared" ref="B11:G11" si="3">B6-B9</f>
        <v>80000</v>
      </c>
      <c r="C11" s="8">
        <f t="shared" si="3"/>
        <v>60000</v>
      </c>
      <c r="D11" s="8">
        <f t="shared" si="3"/>
        <v>170000</v>
      </c>
      <c r="E11" s="8">
        <f t="shared" si="3"/>
        <v>585000</v>
      </c>
      <c r="F11" s="8">
        <f t="shared" si="3"/>
        <v>880000</v>
      </c>
      <c r="G11" s="8">
        <f t="shared" si="3"/>
        <v>1235000</v>
      </c>
    </row>
    <row r="12" spans="1:8">
      <c r="A12" t="s">
        <v>197</v>
      </c>
      <c r="B12" s="8">
        <f t="shared" ref="B12:G12" si="4">B11-B10</f>
        <v>0</v>
      </c>
      <c r="C12" s="8">
        <f t="shared" si="4"/>
        <v>-30000</v>
      </c>
      <c r="D12" s="8">
        <f t="shared" si="4"/>
        <v>70000</v>
      </c>
      <c r="E12" s="8">
        <f t="shared" si="4"/>
        <v>480000</v>
      </c>
      <c r="F12" s="8">
        <f t="shared" si="4"/>
        <v>770000</v>
      </c>
      <c r="G12" s="8">
        <f t="shared" si="4"/>
        <v>1120000</v>
      </c>
      <c r="H12" t="s">
        <v>198</v>
      </c>
    </row>
    <row r="13" spans="1:8">
      <c r="A13" t="s">
        <v>199</v>
      </c>
      <c r="B13" s="8"/>
      <c r="C13" s="8">
        <f>Buget_eligibil!E14/2</f>
        <v>2105357.5</v>
      </c>
      <c r="D13" s="8">
        <f>Buget_eligibil!E14/2</f>
        <v>2105357.5</v>
      </c>
      <c r="E13" s="8">
        <v>0</v>
      </c>
      <c r="F13" s="8">
        <v>0</v>
      </c>
      <c r="G13" s="8">
        <v>0</v>
      </c>
      <c r="H13" t="s">
        <v>200</v>
      </c>
    </row>
    <row r="14" spans="1:8">
      <c r="A14" t="s">
        <v>201</v>
      </c>
      <c r="B14" s="8"/>
      <c r="C14" s="8">
        <f>Buget_eligibil!H15*45%</f>
        <v>1350000</v>
      </c>
      <c r="D14" s="8">
        <f>Buget_eligibil!H15*55%</f>
        <v>1650000.0000000002</v>
      </c>
      <c r="E14" s="8">
        <v>0</v>
      </c>
      <c r="F14" s="8">
        <v>0</v>
      </c>
      <c r="G14" s="8">
        <v>0</v>
      </c>
      <c r="H14" t="s">
        <v>202</v>
      </c>
    </row>
    <row r="15" spans="1:8">
      <c r="A15" t="s">
        <v>203</v>
      </c>
      <c r="B15" s="8"/>
      <c r="C15" s="8">
        <f>Buget_eligibil!H24*50%</f>
        <v>605357.5</v>
      </c>
      <c r="D15" s="8">
        <f>Buget_eligibil!H24*50%</f>
        <v>605357.5</v>
      </c>
      <c r="E15" s="8">
        <v>0</v>
      </c>
      <c r="F15" s="8">
        <v>0</v>
      </c>
      <c r="G15" s="8">
        <v>0</v>
      </c>
      <c r="H15" t="s">
        <v>131</v>
      </c>
    </row>
    <row r="16" spans="1:8">
      <c r="A16" t="s">
        <v>204</v>
      </c>
      <c r="B16" s="8">
        <f t="shared" ref="B16:G16" si="5">B12</f>
        <v>0</v>
      </c>
      <c r="C16" s="8">
        <f t="shared" si="5"/>
        <v>-30000</v>
      </c>
      <c r="D16" s="8">
        <f t="shared" si="5"/>
        <v>70000</v>
      </c>
      <c r="E16" s="8">
        <f t="shared" si="5"/>
        <v>480000</v>
      </c>
      <c r="F16" s="8">
        <f t="shared" si="5"/>
        <v>770000</v>
      </c>
      <c r="G16" s="8">
        <f t="shared" si="5"/>
        <v>1120000</v>
      </c>
    </row>
    <row r="17" spans="1:8">
      <c r="A17" t="s">
        <v>205</v>
      </c>
      <c r="B17" s="8">
        <f>B15</f>
        <v>0</v>
      </c>
      <c r="C17" s="8">
        <f>C15+C14-C13-C8</f>
        <v>-180000</v>
      </c>
      <c r="D17" s="8">
        <f>D15+D14-D13-D8</f>
        <v>70000</v>
      </c>
      <c r="E17" s="8">
        <f>E16</f>
        <v>480000</v>
      </c>
      <c r="F17" s="8">
        <f>E17+F16</f>
        <v>1250000</v>
      </c>
      <c r="G17" s="8">
        <f>F17+G16</f>
        <v>2370000</v>
      </c>
      <c r="H17" t="s">
        <v>206</v>
      </c>
    </row>
    <row r="18" spans="1:8">
      <c r="A18" t="s">
        <v>207</v>
      </c>
      <c r="B18" s="8">
        <f>B16</f>
        <v>0</v>
      </c>
      <c r="C18" s="8">
        <f>B17+C16</f>
        <v>-30000</v>
      </c>
      <c r="D18" s="8">
        <f>C17+D16</f>
        <v>-110000</v>
      </c>
      <c r="E18" s="8">
        <f>D17+E16</f>
        <v>550000</v>
      </c>
      <c r="F18" s="8">
        <f>E17+F16</f>
        <v>1250000</v>
      </c>
      <c r="G18" s="8">
        <f>F17+G16</f>
        <v>2370000</v>
      </c>
      <c r="H18" t="s">
        <v>208</v>
      </c>
    </row>
    <row r="19" spans="1:8">
      <c r="A19" t="s">
        <v>209</v>
      </c>
      <c r="B19" s="8">
        <v>0</v>
      </c>
      <c r="C19" s="8">
        <v>0</v>
      </c>
      <c r="D19" s="8">
        <v>1</v>
      </c>
      <c r="E19" s="8">
        <v>3</v>
      </c>
      <c r="F19" s="8">
        <v>6</v>
      </c>
      <c r="G19" s="8">
        <v>10</v>
      </c>
      <c r="H19" t="s">
        <v>210</v>
      </c>
    </row>
    <row r="20" spans="1:8">
      <c r="B20" s="8"/>
      <c r="C20" s="8"/>
      <c r="D20" s="8"/>
      <c r="E20" s="8"/>
      <c r="F20" s="8"/>
      <c r="G20" s="8"/>
    </row>
    <row r="21" spans="1:8">
      <c r="B21" s="8"/>
      <c r="C21" s="8"/>
      <c r="D21" s="8"/>
      <c r="E21" s="8"/>
      <c r="F21" s="8"/>
      <c r="G21" s="8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sqref="A1:H1"/>
    </sheetView>
  </sheetViews>
  <sheetFormatPr defaultRowHeight="14.25"/>
  <cols>
    <col min="1" max="2" width="32" customWidth="1"/>
    <col min="3" max="3" width="18" customWidth="1"/>
    <col min="4" max="5" width="14" customWidth="1"/>
    <col min="6" max="6" width="52" customWidth="1"/>
    <col min="7" max="7" width="36" customWidth="1"/>
    <col min="8" max="8" width="40" customWidth="1"/>
  </cols>
  <sheetData>
    <row r="1" spans="1:8" ht="18.600000000000001" customHeight="1">
      <c r="A1" s="80" t="s">
        <v>211</v>
      </c>
      <c r="B1" s="81"/>
      <c r="C1" s="81"/>
      <c r="D1" s="81"/>
      <c r="E1" s="81"/>
      <c r="F1" s="81"/>
      <c r="G1" s="81"/>
      <c r="H1" s="81"/>
    </row>
    <row r="3" spans="1:8" ht="18.600000000000001" customHeight="1">
      <c r="A3" s="1" t="s">
        <v>212</v>
      </c>
      <c r="B3" s="1" t="s">
        <v>213</v>
      </c>
      <c r="C3" s="1" t="s">
        <v>214</v>
      </c>
      <c r="D3" s="1" t="s">
        <v>4</v>
      </c>
      <c r="E3" s="1" t="s">
        <v>215</v>
      </c>
      <c r="F3" s="1" t="s">
        <v>216</v>
      </c>
      <c r="G3" s="1" t="s">
        <v>217</v>
      </c>
      <c r="H3" s="1" t="s">
        <v>218</v>
      </c>
    </row>
    <row r="4" spans="1:8">
      <c r="A4" t="s">
        <v>219</v>
      </c>
      <c r="B4">
        <f>Buget_eligibil!H15</f>
        <v>3000000</v>
      </c>
      <c r="C4" s="8">
        <f>Buget_eligibil!H15</f>
        <v>3000000</v>
      </c>
      <c r="D4" t="str">
        <f>IF(C4=3000000,"OK","REVIZUIRE")</f>
        <v>OK</v>
      </c>
      <c r="E4" t="s">
        <v>220</v>
      </c>
      <c r="F4" t="s">
        <v>221</v>
      </c>
      <c r="G4" t="s">
        <v>222</v>
      </c>
      <c r="H4" t="s">
        <v>223</v>
      </c>
    </row>
    <row r="5" spans="1:8">
      <c r="A5" t="s">
        <v>224</v>
      </c>
      <c r="B5">
        <f>Buget_eligibil!H17</f>
        <v>0.9</v>
      </c>
      <c r="C5" s="9">
        <f>Buget_eligibil!H17</f>
        <v>0.9</v>
      </c>
      <c r="D5" t="str">
        <f>IF(C5&gt;=80%,"OK","NU")</f>
        <v>OK</v>
      </c>
      <c r="E5" t="s">
        <v>225</v>
      </c>
      <c r="F5" t="s">
        <v>226</v>
      </c>
      <c r="G5" t="s">
        <v>227</v>
      </c>
      <c r="H5" t="s">
        <v>228</v>
      </c>
    </row>
    <row r="6" spans="1:8">
      <c r="A6" t="s">
        <v>229</v>
      </c>
      <c r="B6">
        <f>Buget_eligibil!H18</f>
        <v>300000</v>
      </c>
      <c r="C6" s="8">
        <f>Buget_eligibil!H18</f>
        <v>300000</v>
      </c>
      <c r="D6" t="str">
        <f>IF(C6&lt;=300000,"OK","NU")</f>
        <v>OK</v>
      </c>
      <c r="E6" t="s">
        <v>225</v>
      </c>
      <c r="F6" t="s">
        <v>230</v>
      </c>
      <c r="G6" t="s">
        <v>231</v>
      </c>
      <c r="H6" t="s">
        <v>232</v>
      </c>
    </row>
    <row r="7" spans="1:8">
      <c r="A7" t="s">
        <v>233</v>
      </c>
      <c r="B7">
        <f>Buget_eligibil!H21</f>
        <v>0.2</v>
      </c>
      <c r="C7" s="9">
        <f>Buget_eligibil!H21</f>
        <v>0.2</v>
      </c>
      <c r="D7" t="str">
        <f>IF(C7&gt;=20%,"OK","NU")</f>
        <v>OK</v>
      </c>
      <c r="E7" t="s">
        <v>234</v>
      </c>
      <c r="F7" t="s">
        <v>235</v>
      </c>
      <c r="G7" t="s">
        <v>236</v>
      </c>
      <c r="H7" t="s">
        <v>237</v>
      </c>
    </row>
    <row r="8" spans="1:8">
      <c r="A8" t="s">
        <v>238</v>
      </c>
      <c r="B8">
        <f>Buget_eligibil!H22</f>
        <v>0.72</v>
      </c>
      <c r="C8" s="9">
        <f>Buget_eligibil!H22</f>
        <v>0.72</v>
      </c>
      <c r="D8" t="str">
        <f>IF(C8&gt;=70%,"OK","OPTIMIZARE")</f>
        <v>OK</v>
      </c>
      <c r="E8" t="s">
        <v>239</v>
      </c>
      <c r="F8" t="s">
        <v>240</v>
      </c>
      <c r="G8" t="s">
        <v>241</v>
      </c>
      <c r="H8" t="s">
        <v>242</v>
      </c>
    </row>
    <row r="9" spans="1:8">
      <c r="A9" t="s">
        <v>243</v>
      </c>
      <c r="B9" t="str">
        <f>Buget_eligibil!H28</f>
        <v>Procent excedent peste cofinanțare minimă</v>
      </c>
      <c r="C9" s="9" t="str">
        <f>Buget_eligibil!H28</f>
        <v>Procent excedent peste cofinanțare minimă</v>
      </c>
      <c r="D9" t="str">
        <f>IF(C9&gt;5%,"OK","NU")</f>
        <v>OK</v>
      </c>
      <c r="E9" t="s">
        <v>244</v>
      </c>
      <c r="F9" t="s">
        <v>245</v>
      </c>
      <c r="G9" t="s">
        <v>246</v>
      </c>
      <c r="H9" t="s">
        <v>247</v>
      </c>
    </row>
    <row r="10" spans="1:8">
      <c r="A10" t="s">
        <v>248</v>
      </c>
      <c r="B10">
        <f>AVERAGE(Proiectii_financiare!E12:G12)/Buget_eligibil!E14</f>
        <v>0.18761659243145168</v>
      </c>
      <c r="C10" s="9">
        <f>AVERAGE(Proiectii_financiare!E12:G12)/Buget_eligibil!E14</f>
        <v>0.18761659243145168</v>
      </c>
      <c r="D10" t="str">
        <f>IF(C10&gt;2%,"OK","NU")</f>
        <v>OK</v>
      </c>
      <c r="E10" t="s">
        <v>244</v>
      </c>
      <c r="F10" t="s">
        <v>249</v>
      </c>
      <c r="G10" t="s">
        <v>250</v>
      </c>
      <c r="H10" t="s">
        <v>251</v>
      </c>
    </row>
    <row r="11" spans="1:8">
      <c r="A11" t="s">
        <v>252</v>
      </c>
      <c r="B11">
        <f>MIN(Proiectii_financiare!E17:G17)</f>
        <v>480000</v>
      </c>
      <c r="C11" s="8">
        <f>MIN(Proiectii_financiare!E17:G17)</f>
        <v>480000</v>
      </c>
      <c r="D11" t="str">
        <f>IF(C11&gt;0,"OK","NU")</f>
        <v>OK</v>
      </c>
      <c r="E11" t="s">
        <v>244</v>
      </c>
      <c r="F11" t="s">
        <v>253</v>
      </c>
      <c r="G11" t="s">
        <v>254</v>
      </c>
      <c r="H11" t="s">
        <v>255</v>
      </c>
    </row>
    <row r="12" spans="1:8">
      <c r="A12" t="s">
        <v>256</v>
      </c>
      <c r="B12">
        <f>SUM(Proiectii_financiare!E5:G5)/(Buget_eligibil!E14+SUM(Proiectii_financiare!E8:G8))</f>
        <v>0.70739176707258233</v>
      </c>
      <c r="C12" s="10">
        <f>SUM(Proiectii_financiare!E5:G5)/(Buget_eligibil!E14+SUM(Proiectii_financiare!E8:G8))</f>
        <v>0.70739176707258233</v>
      </c>
      <c r="D12" t="str">
        <f>IF(C12&gt;0.5,"OK","NU")</f>
        <v>OK</v>
      </c>
      <c r="E12" t="s">
        <v>257</v>
      </c>
      <c r="F12" t="s">
        <v>258</v>
      </c>
      <c r="G12" t="s">
        <v>259</v>
      </c>
      <c r="H12" t="s">
        <v>260</v>
      </c>
    </row>
    <row r="13" spans="1:8">
      <c r="A13" t="s">
        <v>261</v>
      </c>
      <c r="B13">
        <f>MAX(Proiectii_financiare!E21:G21)</f>
        <v>0</v>
      </c>
      <c r="C13" s="11">
        <f>MAX(Proiectii_financiare!E21:G21)</f>
        <v>0</v>
      </c>
      <c r="D13" t="str">
        <f>IF(C13&gt;=3,"OK","NU")</f>
        <v>NU</v>
      </c>
      <c r="E13" t="s">
        <v>262</v>
      </c>
      <c r="F13" t="s">
        <v>263</v>
      </c>
      <c r="G13" t="s">
        <v>264</v>
      </c>
      <c r="H13" t="s">
        <v>265</v>
      </c>
    </row>
  </sheetData>
  <mergeCells count="1">
    <mergeCell ref="A1:H1"/>
  </mergeCells>
  <conditionalFormatting sqref="D4:D13">
    <cfRule type="expression" dxfId="1" priority="1">
      <formula>D4="OK"</formula>
    </cfRule>
    <cfRule type="expression" dxfId="0" priority="2">
      <formula>D4="NU"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25"/>
  <cols>
    <col min="1" max="1" width="30" customWidth="1"/>
    <col min="2" max="2" width="34" customWidth="1"/>
    <col min="3" max="3" width="60" customWidth="1"/>
    <col min="4" max="4" width="30" customWidth="1"/>
  </cols>
  <sheetData>
    <row r="1" spans="1:4" ht="18.600000000000001" customHeight="1">
      <c r="A1" s="1" t="s">
        <v>266</v>
      </c>
      <c r="B1" s="1" t="s">
        <v>267</v>
      </c>
      <c r="C1" s="1" t="s">
        <v>268</v>
      </c>
      <c r="D1" s="1" t="s">
        <v>79</v>
      </c>
    </row>
    <row r="2" spans="1:4">
      <c r="A2" t="s">
        <v>269</v>
      </c>
      <c r="B2" t="s">
        <v>270</v>
      </c>
      <c r="C2" t="s">
        <v>271</v>
      </c>
      <c r="D2" t="s">
        <v>272</v>
      </c>
    </row>
    <row r="3" spans="1:4" ht="18.600000000000001" customHeight="1">
      <c r="A3" t="s">
        <v>269</v>
      </c>
      <c r="B3" t="s">
        <v>273</v>
      </c>
      <c r="C3" t="s">
        <v>274</v>
      </c>
      <c r="D3" t="s">
        <v>272</v>
      </c>
    </row>
    <row r="4" spans="1:4">
      <c r="A4" t="s">
        <v>269</v>
      </c>
      <c r="B4" t="s">
        <v>275</v>
      </c>
      <c r="C4" t="s">
        <v>276</v>
      </c>
      <c r="D4" t="s">
        <v>272</v>
      </c>
    </row>
    <row r="5" spans="1:4">
      <c r="A5" t="s">
        <v>277</v>
      </c>
      <c r="B5" t="s">
        <v>278</v>
      </c>
      <c r="C5" t="s">
        <v>279</v>
      </c>
      <c r="D5" t="s">
        <v>272</v>
      </c>
    </row>
    <row r="6" spans="1:4">
      <c r="A6" t="s">
        <v>280</v>
      </c>
      <c r="B6" t="s">
        <v>281</v>
      </c>
      <c r="C6" t="s">
        <v>282</v>
      </c>
      <c r="D6" t="s">
        <v>272</v>
      </c>
    </row>
    <row r="7" spans="1:4">
      <c r="A7" t="s">
        <v>283</v>
      </c>
      <c r="B7" t="s">
        <v>284</v>
      </c>
      <c r="C7" t="s">
        <v>285</v>
      </c>
      <c r="D7" t="s">
        <v>286</v>
      </c>
    </row>
    <row r="8" spans="1:4">
      <c r="A8" t="s">
        <v>283</v>
      </c>
      <c r="B8" t="s">
        <v>284</v>
      </c>
      <c r="C8" t="s">
        <v>287</v>
      </c>
      <c r="D8" t="s">
        <v>286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7C20-AB65-4DCE-AC83-6E6AC2CBB0CA}">
  <dimension ref="A2:I116"/>
  <sheetViews>
    <sheetView topLeftCell="B1" workbookViewId="0">
      <selection activeCell="H13" sqref="H13"/>
    </sheetView>
  </sheetViews>
  <sheetFormatPr defaultRowHeight="14.25"/>
  <cols>
    <col min="1" max="1" width="73.125" customWidth="1"/>
    <col min="2" max="2" width="54.125" customWidth="1"/>
    <col min="3" max="3" width="8.375" bestFit="1" customWidth="1"/>
    <col min="4" max="4" width="31.125" customWidth="1"/>
    <col min="5" max="5" width="8.625" bestFit="1" customWidth="1"/>
    <col min="6" max="8" width="12.75" customWidth="1"/>
    <col min="9" max="9" width="86" customWidth="1"/>
  </cols>
  <sheetData>
    <row r="2" spans="1:9" ht="33">
      <c r="A2" s="12" t="s">
        <v>288</v>
      </c>
    </row>
    <row r="3" spans="1:9" ht="16.5">
      <c r="A3" s="12"/>
    </row>
    <row r="4" spans="1:9" ht="16.5">
      <c r="A4" s="13" t="s">
        <v>289</v>
      </c>
    </row>
    <row r="5" spans="1:9" ht="17.25" thickBot="1">
      <c r="A5" s="14"/>
    </row>
    <row r="6" spans="1:9" ht="66">
      <c r="A6" s="19" t="s">
        <v>290</v>
      </c>
      <c r="B6" s="76" t="s">
        <v>291</v>
      </c>
      <c r="C6" s="76" t="s">
        <v>292</v>
      </c>
      <c r="D6" s="76" t="s">
        <v>293</v>
      </c>
      <c r="E6" s="76" t="s">
        <v>294</v>
      </c>
      <c r="F6" s="76">
        <v>172</v>
      </c>
      <c r="G6" s="76">
        <f>Dashboard!B25</f>
        <v>5.0980999999999996</v>
      </c>
      <c r="H6" s="76" t="s">
        <v>357</v>
      </c>
      <c r="I6" s="77" t="s">
        <v>295</v>
      </c>
    </row>
    <row r="7" spans="1:9" ht="66.599999999999994" customHeight="1">
      <c r="A7" s="78">
        <v>1</v>
      </c>
      <c r="B7" s="78" t="s">
        <v>296</v>
      </c>
      <c r="C7" s="78" t="s">
        <v>297</v>
      </c>
      <c r="D7" s="78" t="s">
        <v>398</v>
      </c>
      <c r="E7" s="78">
        <v>50</v>
      </c>
      <c r="F7" s="79">
        <f>E7*F6</f>
        <v>8600</v>
      </c>
      <c r="G7" s="79">
        <f>F7*G6</f>
        <v>43843.659999999996</v>
      </c>
      <c r="H7" s="79">
        <f>C58</f>
        <v>44829</v>
      </c>
      <c r="I7" s="78" t="s">
        <v>400</v>
      </c>
    </row>
    <row r="8" spans="1:9" ht="49.5">
      <c r="A8" s="78">
        <v>2</v>
      </c>
      <c r="B8" s="78" t="s">
        <v>299</v>
      </c>
      <c r="C8" s="78" t="s">
        <v>297</v>
      </c>
      <c r="D8" s="78" t="s">
        <v>402</v>
      </c>
      <c r="E8" s="78">
        <v>35</v>
      </c>
      <c r="F8" s="79">
        <f>E8*F6</f>
        <v>6020</v>
      </c>
      <c r="G8" s="79">
        <f>F8*G6</f>
        <v>30690.561999999998</v>
      </c>
      <c r="H8" s="79">
        <f>C75</f>
        <v>31381</v>
      </c>
      <c r="I8" s="78" t="s">
        <v>401</v>
      </c>
    </row>
    <row r="9" spans="1:9" ht="49.5">
      <c r="A9" s="78">
        <v>3</v>
      </c>
      <c r="B9" s="78" t="s">
        <v>300</v>
      </c>
      <c r="C9" s="78" t="s">
        <v>297</v>
      </c>
      <c r="D9" s="78" t="s">
        <v>301</v>
      </c>
      <c r="E9" s="78">
        <v>25</v>
      </c>
      <c r="F9" s="79">
        <f>E9*F6</f>
        <v>4300</v>
      </c>
      <c r="G9" s="79">
        <f>F9*G6</f>
        <v>21921.829999999998</v>
      </c>
      <c r="H9" s="79">
        <f>C92</f>
        <v>22414</v>
      </c>
      <c r="I9" s="78" t="s">
        <v>399</v>
      </c>
    </row>
    <row r="10" spans="1:9" ht="49.5">
      <c r="A10" s="78">
        <v>4</v>
      </c>
      <c r="B10" s="78" t="s">
        <v>302</v>
      </c>
      <c r="C10" s="78" t="s">
        <v>303</v>
      </c>
      <c r="D10" s="78" t="s">
        <v>304</v>
      </c>
      <c r="E10" s="78">
        <v>15</v>
      </c>
      <c r="F10" s="79">
        <f>E10*F6</f>
        <v>2580</v>
      </c>
      <c r="G10" s="79">
        <f>F10*G6</f>
        <v>13153.098</v>
      </c>
      <c r="H10" s="79">
        <f>C110</f>
        <v>13449</v>
      </c>
      <c r="I10" s="78" t="s">
        <v>305</v>
      </c>
    </row>
    <row r="11" spans="1:9" ht="16.5">
      <c r="A11" s="14"/>
    </row>
    <row r="12" spans="1:9" ht="16.5">
      <c r="A12" s="15" t="s">
        <v>306</v>
      </c>
    </row>
    <row r="13" spans="1:9" ht="66">
      <c r="A13" s="16" t="s">
        <v>307</v>
      </c>
    </row>
    <row r="14" spans="1:9" ht="49.5">
      <c r="A14" s="17" t="s">
        <v>308</v>
      </c>
    </row>
    <row r="15" spans="1:9" ht="16.5">
      <c r="A15" s="18"/>
    </row>
    <row r="16" spans="1:9" ht="16.5">
      <c r="A16" s="17" t="s">
        <v>309</v>
      </c>
    </row>
    <row r="17" spans="1:1" ht="16.5">
      <c r="A17" s="17" t="s">
        <v>310</v>
      </c>
    </row>
    <row r="18" spans="1:1" ht="16.5">
      <c r="A18" s="17" t="s">
        <v>311</v>
      </c>
    </row>
    <row r="19" spans="1:1" ht="33">
      <c r="A19" s="17" t="s">
        <v>312</v>
      </c>
    </row>
    <row r="20" spans="1:1" ht="33">
      <c r="A20" s="17" t="s">
        <v>313</v>
      </c>
    </row>
    <row r="21" spans="1:1" ht="16.5">
      <c r="A21" s="17" t="s">
        <v>314</v>
      </c>
    </row>
    <row r="22" spans="1:1" ht="33">
      <c r="A22" s="17" t="s">
        <v>315</v>
      </c>
    </row>
    <row r="23" spans="1:1" ht="33">
      <c r="A23" s="17" t="s">
        <v>316</v>
      </c>
    </row>
    <row r="24" spans="1:1" ht="16.5">
      <c r="A24" s="17" t="s">
        <v>317</v>
      </c>
    </row>
    <row r="26" spans="1:1" ht="99">
      <c r="A26" s="17" t="s">
        <v>318</v>
      </c>
    </row>
    <row r="28" spans="1:1" ht="15" thickBot="1">
      <c r="A28" s="20" t="s">
        <v>322</v>
      </c>
    </row>
    <row r="29" spans="1:1">
      <c r="A29" s="21" t="s">
        <v>323</v>
      </c>
    </row>
    <row r="30" spans="1:1" ht="15" thickBot="1">
      <c r="A30" s="22"/>
    </row>
    <row r="31" spans="1:1" ht="15" thickBot="1">
      <c r="A31" s="23" t="s">
        <v>298</v>
      </c>
    </row>
    <row r="32" spans="1:1">
      <c r="A32" s="21" t="s">
        <v>324</v>
      </c>
    </row>
    <row r="33" spans="1:1" ht="15" thickBot="1">
      <c r="A33" s="22"/>
    </row>
    <row r="34" spans="1:1">
      <c r="A34" s="21" t="s">
        <v>325</v>
      </c>
    </row>
    <row r="35" spans="1:1" ht="27.75" thickBot="1">
      <c r="A35" s="22" t="s">
        <v>326</v>
      </c>
    </row>
    <row r="36" spans="1:1" ht="15" thickBot="1">
      <c r="A36" s="21" t="s">
        <v>327</v>
      </c>
    </row>
    <row r="37" spans="1:1">
      <c r="A37" s="21" t="s">
        <v>328</v>
      </c>
    </row>
    <row r="38" spans="1:1" ht="15" thickBot="1">
      <c r="A38" s="22"/>
    </row>
    <row r="39" spans="1:1">
      <c r="A39" s="21" t="s">
        <v>329</v>
      </c>
    </row>
    <row r="40" spans="1:1" ht="15" thickBot="1">
      <c r="A40" s="22" t="s">
        <v>330</v>
      </c>
    </row>
    <row r="41" spans="1:1">
      <c r="A41" s="21" t="s">
        <v>331</v>
      </c>
    </row>
    <row r="42" spans="1:1">
      <c r="A42" s="22" t="s">
        <v>332</v>
      </c>
    </row>
    <row r="43" spans="1:1" ht="15" thickBot="1">
      <c r="A43" s="22" t="s">
        <v>333</v>
      </c>
    </row>
    <row r="44" spans="1:1" ht="15" thickBot="1">
      <c r="A44" s="21" t="s">
        <v>334</v>
      </c>
    </row>
    <row r="45" spans="1:1">
      <c r="A45" s="21" t="s">
        <v>335</v>
      </c>
    </row>
    <row r="46" spans="1:1" ht="15" thickBot="1">
      <c r="A46" s="22" t="s">
        <v>336</v>
      </c>
    </row>
    <row r="47" spans="1:1" ht="15" thickBot="1">
      <c r="A47" s="24" t="s">
        <v>337</v>
      </c>
    </row>
    <row r="48" spans="1:1" ht="15" thickBot="1">
      <c r="A48" s="25" t="s">
        <v>338</v>
      </c>
    </row>
    <row r="49" spans="1:4" ht="15" thickBot="1">
      <c r="A49" s="33" t="s">
        <v>339</v>
      </c>
      <c r="B49" s="34"/>
      <c r="C49" s="35" t="s">
        <v>340</v>
      </c>
      <c r="D49" s="36" t="s">
        <v>341</v>
      </c>
    </row>
    <row r="50" spans="1:4" ht="15" thickBot="1">
      <c r="A50" s="37" t="s">
        <v>342</v>
      </c>
      <c r="B50" s="26"/>
      <c r="C50" s="27">
        <v>43843</v>
      </c>
      <c r="D50" s="38" t="s">
        <v>343</v>
      </c>
    </row>
    <row r="51" spans="1:4" ht="15" thickBot="1">
      <c r="A51" s="39" t="s">
        <v>344</v>
      </c>
      <c r="B51" s="28">
        <v>0.25</v>
      </c>
      <c r="C51" s="29">
        <v>10961</v>
      </c>
      <c r="D51" s="40" t="s">
        <v>345</v>
      </c>
    </row>
    <row r="52" spans="1:4" ht="15" thickBot="1">
      <c r="A52" s="41" t="s">
        <v>346</v>
      </c>
      <c r="B52" s="30">
        <v>0.1</v>
      </c>
      <c r="C52" s="31">
        <v>4384</v>
      </c>
      <c r="D52" s="42" t="s">
        <v>347</v>
      </c>
    </row>
    <row r="53" spans="1:4" ht="15" thickBot="1">
      <c r="A53" s="39" t="s">
        <v>348</v>
      </c>
      <c r="B53" s="32"/>
      <c r="C53" s="32">
        <v>0</v>
      </c>
      <c r="D53" s="43">
        <v>0</v>
      </c>
    </row>
    <row r="54" spans="1:4" ht="15" thickBot="1">
      <c r="A54" s="41" t="s">
        <v>349</v>
      </c>
      <c r="B54" s="30">
        <v>0.1</v>
      </c>
      <c r="C54" s="31">
        <v>2850</v>
      </c>
      <c r="D54" s="42" t="s">
        <v>350</v>
      </c>
    </row>
    <row r="55" spans="1:4" ht="15" thickBot="1">
      <c r="A55" s="44" t="s">
        <v>351</v>
      </c>
      <c r="B55" s="45"/>
      <c r="C55" s="46">
        <v>25648</v>
      </c>
      <c r="D55" s="47" t="s">
        <v>352</v>
      </c>
    </row>
    <row r="56" spans="1:4" ht="15" thickBot="1">
      <c r="A56" s="33" t="s">
        <v>353</v>
      </c>
      <c r="B56" s="34"/>
      <c r="C56" s="35" t="s">
        <v>340</v>
      </c>
      <c r="D56" s="36" t="s">
        <v>341</v>
      </c>
    </row>
    <row r="57" spans="1:4" ht="15" thickBot="1">
      <c r="A57" s="41" t="s">
        <v>354</v>
      </c>
      <c r="B57" s="26" t="s">
        <v>355</v>
      </c>
      <c r="C57" s="31">
        <v>986</v>
      </c>
      <c r="D57" s="42" t="s">
        <v>356</v>
      </c>
    </row>
    <row r="58" spans="1:4" ht="15" thickBot="1">
      <c r="A58" s="48" t="s">
        <v>357</v>
      </c>
      <c r="B58" s="49"/>
      <c r="C58" s="75">
        <v>44829</v>
      </c>
      <c r="D58" s="50" t="s">
        <v>358</v>
      </c>
    </row>
    <row r="59" spans="1:4" ht="15" thickBot="1">
      <c r="A59" s="33" t="s">
        <v>359</v>
      </c>
      <c r="B59" s="34"/>
      <c r="C59" s="35" t="s">
        <v>340</v>
      </c>
      <c r="D59" s="36" t="s">
        <v>341</v>
      </c>
    </row>
    <row r="60" spans="1:4" ht="15" thickBot="1">
      <c r="A60" s="107" t="s">
        <v>360</v>
      </c>
      <c r="B60" s="108"/>
      <c r="C60" s="31">
        <v>18195</v>
      </c>
      <c r="D60" s="42" t="s">
        <v>361</v>
      </c>
    </row>
    <row r="61" spans="1:4" ht="15" thickBot="1">
      <c r="A61" s="100" t="s">
        <v>362</v>
      </c>
      <c r="B61" s="101"/>
      <c r="C61" s="29">
        <v>986</v>
      </c>
      <c r="D61" s="40" t="s">
        <v>356</v>
      </c>
    </row>
    <row r="62" spans="1:4" ht="15" thickBot="1">
      <c r="A62" s="102" t="s">
        <v>363</v>
      </c>
      <c r="B62" s="103"/>
      <c r="C62" s="27">
        <v>19181</v>
      </c>
      <c r="D62" s="38" t="s">
        <v>364</v>
      </c>
    </row>
    <row r="63" spans="1:4" ht="15" thickBot="1">
      <c r="A63" s="104" t="s">
        <v>365</v>
      </c>
      <c r="B63" s="105"/>
      <c r="C63" s="105"/>
      <c r="D63" s="106"/>
    </row>
    <row r="64" spans="1:4" ht="15" thickBot="1"/>
    <row r="65" spans="1:4" ht="15" thickBot="1">
      <c r="A65" s="51" t="s">
        <v>338</v>
      </c>
    </row>
    <row r="66" spans="1:4" ht="15" thickBot="1">
      <c r="A66" s="55" t="s">
        <v>339</v>
      </c>
      <c r="B66" s="56"/>
      <c r="C66" s="57" t="s">
        <v>340</v>
      </c>
      <c r="D66" s="58" t="s">
        <v>341</v>
      </c>
    </row>
    <row r="67" spans="1:4" ht="15" thickBot="1">
      <c r="A67" s="59" t="s">
        <v>342</v>
      </c>
      <c r="B67" s="26"/>
      <c r="C67" s="52">
        <v>30690</v>
      </c>
      <c r="D67" s="60" t="s">
        <v>366</v>
      </c>
    </row>
    <row r="68" spans="1:4" ht="15" thickBot="1">
      <c r="A68" s="61" t="s">
        <v>344</v>
      </c>
      <c r="B68" s="28">
        <v>0.25</v>
      </c>
      <c r="C68" s="53">
        <v>7673</v>
      </c>
      <c r="D68" s="62" t="s">
        <v>367</v>
      </c>
    </row>
    <row r="69" spans="1:4" ht="15" thickBot="1">
      <c r="A69" s="63" t="s">
        <v>346</v>
      </c>
      <c r="B69" s="30">
        <v>0.1</v>
      </c>
      <c r="C69" s="54">
        <v>3069</v>
      </c>
      <c r="D69" s="64" t="s">
        <v>368</v>
      </c>
    </row>
    <row r="70" spans="1:4" ht="15" thickBot="1">
      <c r="A70" s="61" t="s">
        <v>348</v>
      </c>
      <c r="B70" s="32"/>
      <c r="C70" s="32">
        <v>0</v>
      </c>
      <c r="D70" s="43">
        <v>0</v>
      </c>
    </row>
    <row r="71" spans="1:4" ht="15" thickBot="1">
      <c r="A71" s="63" t="s">
        <v>349</v>
      </c>
      <c r="B71" s="30">
        <v>0.1</v>
      </c>
      <c r="C71" s="54">
        <v>1995</v>
      </c>
      <c r="D71" s="64" t="s">
        <v>369</v>
      </c>
    </row>
    <row r="72" spans="1:4" ht="15" thickBot="1">
      <c r="A72" s="65" t="s">
        <v>351</v>
      </c>
      <c r="B72" s="45"/>
      <c r="C72" s="66">
        <v>17953</v>
      </c>
      <c r="D72" s="67" t="s">
        <v>370</v>
      </c>
    </row>
    <row r="73" spans="1:4" ht="15" thickBot="1">
      <c r="A73" s="68" t="s">
        <v>353</v>
      </c>
      <c r="B73" s="34"/>
      <c r="C73" s="69" t="s">
        <v>340</v>
      </c>
      <c r="D73" s="70" t="s">
        <v>341</v>
      </c>
    </row>
    <row r="74" spans="1:4" ht="15" thickBot="1">
      <c r="A74" s="63" t="s">
        <v>354</v>
      </c>
      <c r="B74" s="26" t="s">
        <v>355</v>
      </c>
      <c r="C74" s="54">
        <v>691</v>
      </c>
      <c r="D74" s="64" t="s">
        <v>371</v>
      </c>
    </row>
    <row r="75" spans="1:4" ht="15" thickBot="1">
      <c r="A75" s="71" t="s">
        <v>357</v>
      </c>
      <c r="B75" s="49"/>
      <c r="C75" s="74">
        <v>31381</v>
      </c>
      <c r="D75" s="72" t="s">
        <v>372</v>
      </c>
    </row>
    <row r="76" spans="1:4" ht="15" thickBot="1">
      <c r="A76" s="68" t="s">
        <v>359</v>
      </c>
      <c r="B76" s="34"/>
      <c r="C76" s="69" t="s">
        <v>340</v>
      </c>
      <c r="D76" s="70" t="s">
        <v>341</v>
      </c>
    </row>
    <row r="77" spans="1:4" ht="15" thickBot="1">
      <c r="A77" s="85" t="s">
        <v>360</v>
      </c>
      <c r="B77" s="86"/>
      <c r="C77" s="54">
        <v>12737</v>
      </c>
      <c r="D77" s="64" t="s">
        <v>373</v>
      </c>
    </row>
    <row r="78" spans="1:4" ht="15" thickBot="1">
      <c r="A78" s="87" t="s">
        <v>362</v>
      </c>
      <c r="B78" s="88"/>
      <c r="C78" s="53">
        <v>691</v>
      </c>
      <c r="D78" s="62" t="s">
        <v>371</v>
      </c>
    </row>
    <row r="79" spans="1:4" ht="15" thickBot="1">
      <c r="A79" s="89" t="s">
        <v>363</v>
      </c>
      <c r="B79" s="90"/>
      <c r="C79" s="52">
        <v>13428</v>
      </c>
      <c r="D79" s="60" t="s">
        <v>374</v>
      </c>
    </row>
    <row r="80" spans="1:4" ht="15" thickBot="1">
      <c r="A80" s="97" t="s">
        <v>375</v>
      </c>
      <c r="B80" s="98"/>
      <c r="C80" s="98"/>
      <c r="D80" s="99"/>
    </row>
    <row r="81" spans="1:4" ht="15" thickBot="1"/>
    <row r="82" spans="1:4" ht="15" thickBot="1">
      <c r="A82" s="73" t="s">
        <v>338</v>
      </c>
    </row>
    <row r="83" spans="1:4" ht="15" thickBot="1">
      <c r="A83" s="68" t="s">
        <v>339</v>
      </c>
      <c r="B83" s="34"/>
      <c r="C83" s="69" t="s">
        <v>340</v>
      </c>
      <c r="D83" s="70" t="s">
        <v>341</v>
      </c>
    </row>
    <row r="84" spans="1:4" ht="15" thickBot="1">
      <c r="A84" s="59" t="s">
        <v>342</v>
      </c>
      <c r="B84" s="26"/>
      <c r="C84" s="52">
        <v>21921</v>
      </c>
      <c r="D84" s="60" t="s">
        <v>376</v>
      </c>
    </row>
    <row r="85" spans="1:4" ht="15" thickBot="1">
      <c r="A85" s="61" t="s">
        <v>344</v>
      </c>
      <c r="B85" s="28">
        <v>0.25</v>
      </c>
      <c r="C85" s="53">
        <v>5480</v>
      </c>
      <c r="D85" s="62" t="s">
        <v>377</v>
      </c>
    </row>
    <row r="86" spans="1:4" ht="15" thickBot="1">
      <c r="A86" s="63" t="s">
        <v>346</v>
      </c>
      <c r="B86" s="30">
        <v>0.1</v>
      </c>
      <c r="C86" s="54">
        <v>2192</v>
      </c>
      <c r="D86" s="64" t="s">
        <v>378</v>
      </c>
    </row>
    <row r="87" spans="1:4" ht="15" thickBot="1">
      <c r="A87" s="61" t="s">
        <v>348</v>
      </c>
      <c r="B87" s="32"/>
      <c r="C87" s="32">
        <v>0</v>
      </c>
      <c r="D87" s="43">
        <v>0</v>
      </c>
    </row>
    <row r="88" spans="1:4" ht="15" thickBot="1">
      <c r="A88" s="63" t="s">
        <v>349</v>
      </c>
      <c r="B88" s="30">
        <v>0.1</v>
      </c>
      <c r="C88" s="54">
        <v>1425</v>
      </c>
      <c r="D88" s="64" t="s">
        <v>379</v>
      </c>
    </row>
    <row r="89" spans="1:4" ht="15" thickBot="1">
      <c r="A89" s="65" t="s">
        <v>351</v>
      </c>
      <c r="B89" s="45"/>
      <c r="C89" s="66">
        <v>12824</v>
      </c>
      <c r="D89" s="67" t="s">
        <v>380</v>
      </c>
    </row>
    <row r="90" spans="1:4" ht="15" thickBot="1">
      <c r="A90" s="68" t="s">
        <v>353</v>
      </c>
      <c r="B90" s="34"/>
      <c r="C90" s="69" t="s">
        <v>340</v>
      </c>
      <c r="D90" s="70" t="s">
        <v>341</v>
      </c>
    </row>
    <row r="91" spans="1:4" ht="15" thickBot="1">
      <c r="A91" s="63" t="s">
        <v>354</v>
      </c>
      <c r="B91" s="26" t="s">
        <v>355</v>
      </c>
      <c r="C91" s="54">
        <v>493</v>
      </c>
      <c r="D91" s="64" t="s">
        <v>381</v>
      </c>
    </row>
    <row r="92" spans="1:4" ht="15" thickBot="1">
      <c r="A92" s="71" t="s">
        <v>357</v>
      </c>
      <c r="B92" s="49"/>
      <c r="C92" s="74">
        <v>22414</v>
      </c>
      <c r="D92" s="72" t="s">
        <v>382</v>
      </c>
    </row>
    <row r="93" spans="1:4" ht="15" thickBot="1">
      <c r="A93" s="68" t="s">
        <v>359</v>
      </c>
      <c r="B93" s="34"/>
      <c r="C93" s="69" t="s">
        <v>340</v>
      </c>
      <c r="D93" s="70" t="s">
        <v>341</v>
      </c>
    </row>
    <row r="94" spans="1:4" ht="15" thickBot="1">
      <c r="A94" s="85" t="s">
        <v>360</v>
      </c>
      <c r="B94" s="86"/>
      <c r="C94" s="54">
        <v>9097</v>
      </c>
      <c r="D94" s="64" t="s">
        <v>383</v>
      </c>
    </row>
    <row r="95" spans="1:4" ht="15" thickBot="1">
      <c r="A95" s="87" t="s">
        <v>362</v>
      </c>
      <c r="B95" s="88"/>
      <c r="C95" s="53">
        <v>493</v>
      </c>
      <c r="D95" s="62" t="s">
        <v>381</v>
      </c>
    </row>
    <row r="96" spans="1:4" ht="15" thickBot="1">
      <c r="A96" s="89" t="s">
        <v>363</v>
      </c>
      <c r="B96" s="90"/>
      <c r="C96" s="52">
        <v>9590</v>
      </c>
      <c r="D96" s="60" t="s">
        <v>384</v>
      </c>
    </row>
    <row r="97" spans="1:4">
      <c r="A97" s="91" t="s">
        <v>385</v>
      </c>
      <c r="B97" s="92"/>
      <c r="C97" s="92"/>
      <c r="D97" s="93"/>
    </row>
    <row r="98" spans="1:4" ht="15" thickBot="1">
      <c r="A98" s="94" t="s">
        <v>386</v>
      </c>
      <c r="B98" s="95"/>
      <c r="C98" s="95"/>
      <c r="D98" s="96"/>
    </row>
    <row r="99" spans="1:4" ht="15" thickBot="1"/>
    <row r="100" spans="1:4" ht="15" thickBot="1">
      <c r="A100" s="73" t="s">
        <v>338</v>
      </c>
    </row>
    <row r="101" spans="1:4" ht="15" thickBot="1">
      <c r="A101" s="68" t="s">
        <v>339</v>
      </c>
      <c r="B101" s="34"/>
      <c r="C101" s="69" t="s">
        <v>340</v>
      </c>
      <c r="D101" s="70" t="s">
        <v>341</v>
      </c>
    </row>
    <row r="102" spans="1:4" ht="15" thickBot="1">
      <c r="A102" s="59" t="s">
        <v>342</v>
      </c>
      <c r="B102" s="26"/>
      <c r="C102" s="52">
        <v>13153</v>
      </c>
      <c r="D102" s="60" t="s">
        <v>387</v>
      </c>
    </row>
    <row r="103" spans="1:4" ht="15" thickBot="1">
      <c r="A103" s="61" t="s">
        <v>344</v>
      </c>
      <c r="B103" s="28">
        <v>0.25</v>
      </c>
      <c r="C103" s="53">
        <v>3288</v>
      </c>
      <c r="D103" s="62" t="s">
        <v>388</v>
      </c>
    </row>
    <row r="104" spans="1:4" ht="15" thickBot="1">
      <c r="A104" s="63" t="s">
        <v>346</v>
      </c>
      <c r="B104" s="30">
        <v>0.1</v>
      </c>
      <c r="C104" s="54">
        <v>1315</v>
      </c>
      <c r="D104" s="64" t="s">
        <v>389</v>
      </c>
    </row>
    <row r="105" spans="1:4" ht="15" thickBot="1">
      <c r="A105" s="61" t="s">
        <v>348</v>
      </c>
      <c r="B105" s="32"/>
      <c r="C105" s="32">
        <v>0</v>
      </c>
      <c r="D105" s="43">
        <v>0</v>
      </c>
    </row>
    <row r="106" spans="1:4" ht="15" thickBot="1">
      <c r="A106" s="63" t="s">
        <v>349</v>
      </c>
      <c r="B106" s="30">
        <v>0.1</v>
      </c>
      <c r="C106" s="54">
        <v>855</v>
      </c>
      <c r="D106" s="64" t="s">
        <v>390</v>
      </c>
    </row>
    <row r="107" spans="1:4" ht="15" thickBot="1">
      <c r="A107" s="65" t="s">
        <v>351</v>
      </c>
      <c r="B107" s="45"/>
      <c r="C107" s="66">
        <v>7695</v>
      </c>
      <c r="D107" s="67" t="s">
        <v>391</v>
      </c>
    </row>
    <row r="108" spans="1:4" ht="15" thickBot="1">
      <c r="A108" s="68" t="s">
        <v>353</v>
      </c>
      <c r="B108" s="34"/>
      <c r="C108" s="69" t="s">
        <v>340</v>
      </c>
      <c r="D108" s="70" t="s">
        <v>341</v>
      </c>
    </row>
    <row r="109" spans="1:4" ht="15" thickBot="1">
      <c r="A109" s="63" t="s">
        <v>354</v>
      </c>
      <c r="B109" s="26" t="s">
        <v>355</v>
      </c>
      <c r="C109" s="54">
        <v>296</v>
      </c>
      <c r="D109" s="64" t="s">
        <v>392</v>
      </c>
    </row>
    <row r="110" spans="1:4" ht="15" thickBot="1">
      <c r="A110" s="71" t="s">
        <v>357</v>
      </c>
      <c r="B110" s="49"/>
      <c r="C110" s="74">
        <v>13449</v>
      </c>
      <c r="D110" s="72" t="s">
        <v>393</v>
      </c>
    </row>
    <row r="111" spans="1:4" ht="15" thickBot="1">
      <c r="A111" s="68" t="s">
        <v>359</v>
      </c>
      <c r="B111" s="34"/>
      <c r="C111" s="69" t="s">
        <v>340</v>
      </c>
      <c r="D111" s="70" t="s">
        <v>341</v>
      </c>
    </row>
    <row r="112" spans="1:4" ht="15" thickBot="1">
      <c r="A112" s="85" t="s">
        <v>360</v>
      </c>
      <c r="B112" s="86"/>
      <c r="C112" s="54">
        <v>5458</v>
      </c>
      <c r="D112" s="64" t="s">
        <v>394</v>
      </c>
    </row>
    <row r="113" spans="1:4" ht="15" thickBot="1">
      <c r="A113" s="87" t="s">
        <v>362</v>
      </c>
      <c r="B113" s="88"/>
      <c r="C113" s="53">
        <v>296</v>
      </c>
      <c r="D113" s="62" t="s">
        <v>392</v>
      </c>
    </row>
    <row r="114" spans="1:4" ht="15" thickBot="1">
      <c r="A114" s="89" t="s">
        <v>363</v>
      </c>
      <c r="B114" s="90"/>
      <c r="C114" s="52">
        <v>5754</v>
      </c>
      <c r="D114" s="60" t="s">
        <v>395</v>
      </c>
    </row>
    <row r="115" spans="1:4">
      <c r="A115" s="91" t="s">
        <v>396</v>
      </c>
      <c r="B115" s="92"/>
      <c r="C115" s="92"/>
      <c r="D115" s="93"/>
    </row>
    <row r="116" spans="1:4" ht="15" thickBot="1">
      <c r="A116" s="94" t="s">
        <v>397</v>
      </c>
      <c r="B116" s="95"/>
      <c r="C116" s="95"/>
      <c r="D116" s="96"/>
    </row>
  </sheetData>
  <mergeCells count="18">
    <mergeCell ref="A60:B60"/>
    <mergeCell ref="A98:D98"/>
    <mergeCell ref="A61:B61"/>
    <mergeCell ref="A62:B62"/>
    <mergeCell ref="A63:D63"/>
    <mergeCell ref="A77:B77"/>
    <mergeCell ref="A78:B78"/>
    <mergeCell ref="A79:B79"/>
    <mergeCell ref="A80:D80"/>
    <mergeCell ref="A94:B94"/>
    <mergeCell ref="A95:B95"/>
    <mergeCell ref="A96:B96"/>
    <mergeCell ref="A97:D97"/>
    <mergeCell ref="A112:B112"/>
    <mergeCell ref="A113:B113"/>
    <mergeCell ref="A114:B114"/>
    <mergeCell ref="A115:D115"/>
    <mergeCell ref="A116:D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8</vt:i4>
      </vt:variant>
    </vt:vector>
  </HeadingPairs>
  <TitlesOfParts>
    <vt:vector size="8" baseType="lpstr">
      <vt:lpstr>Dashboard</vt:lpstr>
      <vt:lpstr>Ipoteze</vt:lpstr>
      <vt:lpstr>Buget_eligibil</vt:lpstr>
      <vt:lpstr>Echipa</vt:lpstr>
      <vt:lpstr>Proiectii_financiare</vt:lpstr>
      <vt:lpstr>Punctaj_ETF</vt:lpstr>
      <vt:lpstr>Surse</vt:lpstr>
      <vt:lpstr>Salarii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2026-07-08T12:08:08Z</dcterms:modified>
</cp:coreProperties>
</file>