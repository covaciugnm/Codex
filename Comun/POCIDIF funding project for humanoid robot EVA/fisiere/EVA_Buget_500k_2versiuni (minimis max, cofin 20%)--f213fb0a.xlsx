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 comparativ" sheetId="1" state="visible" r:id="rId1"/>
    <sheet xmlns:r="http://schemas.openxmlformats.org/officeDocument/2006/relationships" name="V1 - Salarii" sheetId="2" state="visible" r:id="rId2"/>
    <sheet xmlns:r="http://schemas.openxmlformats.org/officeDocument/2006/relationships" name="V2 - Echilibr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9C5700"/>
      <sz val="9"/>
    </font>
    <font>
      <name val="Calibri"/>
      <b val="1"/>
      <color rgb="009C0006"/>
      <sz val="9"/>
    </font>
    <font>
      <name val="Calibri"/>
      <b val="1"/>
      <color rgb="001F3864"/>
      <sz val="10"/>
    </font>
    <font>
      <name val="Calibri"/>
      <b val="1"/>
      <color rgb="00222222"/>
      <sz val="11"/>
    </font>
    <font>
      <name val="Calibri"/>
      <b val="1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8EEF7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0" fillId="3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8" fillId="0" borderId="0" pivotButton="0" quotePrefix="0" xfId="0"/>
    <xf numFmtId="3" fontId="8" fillId="6" borderId="1" pivotButton="0" quotePrefix="0" xfId="0"/>
    <xf numFmtId="0" fontId="4" fillId="0" borderId="0" pivotButton="0" quotePrefix="0" xfId="0"/>
    <xf numFmtId="3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2" customWidth="1" min="4" max="4"/>
    <col width="12" customWidth="1" min="5" max="5"/>
  </cols>
  <sheetData>
    <row r="1">
      <c r="A1" s="1" t="inlineStr">
        <is>
          <t>EVA · BUGET 500.000 € GRANT · cofinanțare minimă 20% · minimis la maxim — 2 versiuni</t>
        </is>
      </c>
    </row>
    <row r="2">
      <c r="A2" s="2" t="inlineStr">
        <is>
          <t>Ambele versiuni: grant 500.000 €, cost eligibil 600.000 €, cofinanțare 100.000 € (20% din grant), minimis 100.000 € (maximul permis de regula conexe ≤20% la un grant de 500k).</t>
        </is>
      </c>
    </row>
    <row r="4">
      <c r="A4" s="3" t="inlineStr">
        <is>
          <t>Indicator</t>
        </is>
      </c>
      <c r="B4" s="3" t="inlineStr">
        <is>
          <t>V1 – Salarii</t>
        </is>
      </c>
      <c r="C4" s="3" t="inlineStr">
        <is>
          <t>V2 – Echilibrat</t>
        </is>
      </c>
      <c r="D4" s="3" t="inlineStr">
        <is>
          <t>Prag / regulă</t>
        </is>
      </c>
      <c r="E4" s="3" t="inlineStr">
        <is>
          <t>Status</t>
        </is>
      </c>
    </row>
    <row r="5">
      <c r="A5" s="4" t="inlineStr">
        <is>
          <t>Grant nerambursabil €</t>
        </is>
      </c>
      <c r="B5" s="5" t="n">
        <v>500000</v>
      </c>
      <c r="C5" s="5" t="n">
        <v>500000</v>
      </c>
      <c r="D5" s="6" t="inlineStr">
        <is>
          <t>200.000 – 3.000.000</t>
        </is>
      </c>
      <c r="E5" s="7" t="inlineStr">
        <is>
          <t>OK</t>
        </is>
      </c>
    </row>
    <row r="6">
      <c r="A6" s="8" t="inlineStr">
        <is>
          <t>Cost eligibil €</t>
        </is>
      </c>
      <c r="B6" s="9" t="n">
        <v>600000</v>
      </c>
      <c r="C6" s="9" t="n">
        <v>600000</v>
      </c>
      <c r="D6" s="10" t="inlineStr">
        <is>
          <t>model</t>
        </is>
      </c>
      <c r="E6" s="11" t="inlineStr">
        <is>
          <t>—</t>
        </is>
      </c>
    </row>
    <row r="7">
      <c r="A7" s="4" t="inlineStr">
        <is>
          <t>Cofinanțare € (20% din grant)</t>
        </is>
      </c>
      <c r="B7" s="5" t="n">
        <v>100000</v>
      </c>
      <c r="C7" s="5" t="n">
        <v>100000</v>
      </c>
      <c r="D7" s="6" t="inlineStr">
        <is>
          <t>minim structural</t>
        </is>
      </c>
      <c r="E7" s="7" t="inlineStr">
        <is>
          <t>OK</t>
        </is>
      </c>
    </row>
    <row r="8">
      <c r="A8" s="8" t="inlineStr">
        <is>
          <t>Cofinanțare lei (×5,0981)</t>
        </is>
      </c>
      <c r="B8" s="9" t="n">
        <v>509810</v>
      </c>
      <c r="C8" s="9" t="n">
        <v>509810</v>
      </c>
      <c r="D8" s="10" t="inlineStr">
        <is>
          <t>de asigurat</t>
        </is>
      </c>
      <c r="E8" s="11" t="inlineStr">
        <is>
          <t>—</t>
        </is>
      </c>
    </row>
    <row r="9">
      <c r="A9" s="4" t="inlineStr">
        <is>
          <t>Activitate de bază (CDI)</t>
        </is>
      </c>
      <c r="B9" s="5" t="n">
        <v>400000</v>
      </c>
      <c r="C9" s="5" t="n">
        <v>400000</v>
      </c>
      <c r="D9" s="6" t="inlineStr">
        <is>
          <t>≥80% din grant</t>
        </is>
      </c>
      <c r="E9" s="7" t="inlineStr">
        <is>
          <t>OK</t>
        </is>
      </c>
    </row>
    <row r="10">
      <c r="A10" s="8" t="inlineStr">
        <is>
          <t xml:space="preserve">   pondere bază</t>
        </is>
      </c>
      <c r="B10" s="12" t="n">
        <v>0.8</v>
      </c>
      <c r="C10" s="12" t="n">
        <v>0.8</v>
      </c>
      <c r="D10" s="10" t="inlineStr">
        <is>
          <t>≥80%</t>
        </is>
      </c>
      <c r="E10" s="11" t="inlineStr">
        <is>
          <t>OK</t>
        </is>
      </c>
    </row>
    <row r="11">
      <c r="A11" s="4" t="inlineStr">
        <is>
          <t>Personal propriu – grant €</t>
        </is>
      </c>
      <c r="B11" s="5" t="n">
        <v>400000</v>
      </c>
      <c r="C11" s="5" t="n">
        <v>200000</v>
      </c>
      <c r="D11" s="6" t="inlineStr">
        <is>
          <t>≥20% din grant bază</t>
        </is>
      </c>
      <c r="E11" s="7" t="inlineStr">
        <is>
          <t>OK</t>
        </is>
      </c>
    </row>
    <row r="12">
      <c r="A12" s="8" t="inlineStr">
        <is>
          <t xml:space="preserve">   personal propriu / bază</t>
        </is>
      </c>
      <c r="B12" s="12" t="n">
        <v>1</v>
      </c>
      <c r="C12" s="12" t="n">
        <v>0.5</v>
      </c>
      <c r="D12" s="10" t="inlineStr">
        <is>
          <t>≥20%</t>
        </is>
      </c>
      <c r="E12" s="11" t="inlineStr">
        <is>
          <t>OK</t>
        </is>
      </c>
    </row>
    <row r="13">
      <c r="A13" s="4" t="inlineStr">
        <is>
          <t>Echipamente (CDI, amortizare) €</t>
        </is>
      </c>
      <c r="B13" s="5" t="n">
        <v>0</v>
      </c>
      <c r="C13" s="5" t="n">
        <v>250000</v>
      </c>
      <c r="D13" s="6" t="inlineStr">
        <is>
          <t>la amortizare</t>
        </is>
      </c>
      <c r="E13" s="7" t="inlineStr">
        <is>
          <t>—</t>
        </is>
      </c>
    </row>
    <row r="14">
      <c r="A14" s="8" t="inlineStr">
        <is>
          <t>Minimis total €</t>
        </is>
      </c>
      <c r="B14" s="9" t="n">
        <v>100000</v>
      </c>
      <c r="C14" s="9" t="n">
        <v>100000</v>
      </c>
      <c r="D14" s="10" t="inlineStr">
        <is>
          <t>≤300.000 (aici max=20%)</t>
        </is>
      </c>
      <c r="E14" s="11" t="inlineStr">
        <is>
          <t>OK</t>
        </is>
      </c>
    </row>
    <row r="15">
      <c r="A15" s="4" t="inlineStr">
        <is>
          <t xml:space="preserve">   consultanță+management €</t>
        </is>
      </c>
      <c r="B15" s="5" t="n">
        <v>30000</v>
      </c>
      <c r="C15" s="5" t="n">
        <v>30000</v>
      </c>
      <c r="D15" s="6" t="inlineStr">
        <is>
          <t>≤10% din eligibil (60.000)</t>
        </is>
      </c>
      <c r="E15" s="7" t="inlineStr">
        <is>
          <t>OK</t>
        </is>
      </c>
    </row>
    <row r="16">
      <c r="A16" s="8" t="inlineStr">
        <is>
          <t>Cheltuieli neeligibile €</t>
        </is>
      </c>
      <c r="B16" s="9" t="n">
        <v>0</v>
      </c>
      <c r="C16" s="9" t="n">
        <v>0</v>
      </c>
      <c r="D16" s="10" t="inlineStr">
        <is>
          <t>0</t>
        </is>
      </c>
      <c r="E16" s="11" t="inlineStr">
        <is>
          <t>OK</t>
        </is>
      </c>
    </row>
    <row r="18">
      <c r="A18" s="2" t="inlineStr">
        <is>
          <t>V1 (Salarii): toată baza de 500.000 € este personal tehnic propriu (cercetare industrială 80%). Cofinanțare 100.000 € = 20% pe personal.</t>
        </is>
      </c>
    </row>
    <row r="19">
      <c r="A19" s="13" t="inlineStr">
        <is>
          <t>V2 (Echilibrat): baza = 250.000 € personal + 250.000 € echipamente pe CDI (eligibile la AMORTIZARE — de aceea alese active de 2 ani, cod 2.2.9, complet amortizate în 24 luni). Pt echipamente de producție la valoare integrală ar trebui ajutor regional 70% → cofinanțarea ar crește peste 20%.</t>
        </is>
      </c>
    </row>
    <row r="20"/>
    <row r="22">
      <c r="A22" s="14" t="inlineStr">
        <is>
          <t>ATENȚIE: minimis la maxim (100.000 = 20%) pune baza exact la pragul de 80% (marjă zero). Pt siguranță la evaluare, se poate reduce minimis la ~90.000 € (bază 82%).</t>
        </is>
      </c>
    </row>
  </sheetData>
  <mergeCells count="5">
    <mergeCell ref="A2:E2"/>
    <mergeCell ref="A19:E20"/>
    <mergeCell ref="A1:E1"/>
    <mergeCell ref="A22:E2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5" customWidth="1" min="3" max="3"/>
    <col width="9" customWidth="1" min="4" max="4"/>
    <col width="13" customWidth="1" min="5" max="5"/>
    <col width="14" customWidth="1" min="6" max="6"/>
  </cols>
  <sheetData>
    <row r="1">
      <c r="A1" s="1" t="inlineStr">
        <is>
          <t>VERSIUNEA 1 — FOCUS PE SALARII (bază 100% personal propriu)</t>
        </is>
      </c>
    </row>
    <row r="2">
      <c r="A2" s="2" t="inlineStr">
        <is>
          <t>Intensități: cercetare industrială 80% (cofinanțare 20%) · minimis 100% (cofinanțare 0%). Curs 5,0981 lei/€.</t>
        </is>
      </c>
    </row>
    <row r="3">
      <c r="A3" s="3" t="inlineStr">
        <is>
          <t>Categorie / linie</t>
        </is>
      </c>
      <c r="B3" s="3" t="inlineStr">
        <is>
          <t>Tip ajutor</t>
        </is>
      </c>
      <c r="C3" s="3" t="inlineStr">
        <is>
          <t>Cost eligibil €</t>
        </is>
      </c>
      <c r="D3" s="3" t="inlineStr">
        <is>
          <t>Intensit.</t>
        </is>
      </c>
      <c r="E3" s="3" t="inlineStr">
        <is>
          <t>Grant €</t>
        </is>
      </c>
      <c r="F3" s="3" t="inlineStr">
        <is>
          <t>Cofinanțare €</t>
        </is>
      </c>
    </row>
    <row r="4">
      <c r="A4" s="15" t="inlineStr">
        <is>
          <t>ACTIVITATE DE BAZĂ (CDI, cercetare industrială 80%)</t>
        </is>
      </c>
      <c r="B4" s="16" t="n"/>
      <c r="C4" s="16" t="n"/>
      <c r="D4" s="16" t="n"/>
      <c r="E4" s="16" t="n"/>
      <c r="F4" s="16" t="n"/>
    </row>
    <row r="5">
      <c r="A5" s="17" t="inlineStr">
        <is>
          <t>Coordonator tehnic (cercetare industrială)</t>
        </is>
      </c>
      <c r="B5" s="17" t="inlineStr">
        <is>
          <t>Personal propriu · CDI 80%</t>
        </is>
      </c>
      <c r="C5" s="18" t="n">
        <v>192000</v>
      </c>
      <c r="D5" s="19" t="n">
        <v>0.8</v>
      </c>
      <c r="E5" s="18" t="n">
        <v>153600</v>
      </c>
      <c r="F5" s="18" t="n">
        <v>38400</v>
      </c>
    </row>
    <row r="6">
      <c r="A6" s="17" t="inlineStr">
        <is>
          <t>Expert AI/ML &amp; software</t>
        </is>
      </c>
      <c r="B6" s="17" t="inlineStr">
        <is>
          <t>Personal propriu · CDI 80%</t>
        </is>
      </c>
      <c r="C6" s="18" t="n">
        <v>144000</v>
      </c>
      <c r="D6" s="19" t="n">
        <v>0.8</v>
      </c>
      <c r="E6" s="18" t="n">
        <v>115200</v>
      </c>
      <c r="F6" s="18" t="n">
        <v>28800</v>
      </c>
    </row>
    <row r="7">
      <c r="A7" s="17" t="inlineStr">
        <is>
          <t>Expert sisteme &amp; robotică</t>
        </is>
      </c>
      <c r="B7" s="17" t="inlineStr">
        <is>
          <t>Personal propriu · CDI 80%</t>
        </is>
      </c>
      <c r="C7" s="18" t="n">
        <v>120000</v>
      </c>
      <c r="D7" s="19" t="n">
        <v>0.8</v>
      </c>
      <c r="E7" s="18" t="n">
        <v>96000</v>
      </c>
      <c r="F7" s="18" t="n">
        <v>24000</v>
      </c>
    </row>
    <row r="8">
      <c r="A8" s="17" t="inlineStr">
        <is>
          <t>Inginer cercetare</t>
        </is>
      </c>
      <c r="B8" s="17" t="inlineStr">
        <is>
          <t>Personal propriu · CDI 80%</t>
        </is>
      </c>
      <c r="C8" s="18" t="n">
        <v>44000</v>
      </c>
      <c r="D8" s="19" t="n">
        <v>0.8</v>
      </c>
      <c r="E8" s="18" t="n">
        <v>35200</v>
      </c>
      <c r="F8" s="18" t="n">
        <v>8800</v>
      </c>
    </row>
    <row r="9">
      <c r="A9" s="20" t="inlineStr">
        <is>
          <t>ACTIVITĂȚI CONEXE / MINIMIS (100%)</t>
        </is>
      </c>
      <c r="B9" s="21" t="n"/>
      <c r="C9" s="21" t="n"/>
      <c r="D9" s="21" t="n"/>
      <c r="E9" s="21" t="n"/>
      <c r="F9" s="21" t="n"/>
    </row>
    <row r="10">
      <c r="A10" s="17" t="inlineStr">
        <is>
          <t>Informare și publicitate</t>
        </is>
      </c>
      <c r="B10" s="17" t="inlineStr">
        <is>
          <t>Minimis</t>
        </is>
      </c>
      <c r="C10" s="18" t="n">
        <v>15000</v>
      </c>
      <c r="D10" s="19" t="n">
        <v>1</v>
      </c>
      <c r="E10" s="18" t="n">
        <v>15000</v>
      </c>
      <c r="F10" s="18" t="n">
        <v>0</v>
      </c>
    </row>
    <row r="11">
      <c r="A11" s="17" t="inlineStr">
        <is>
          <t>Promovare / introducere în piață (go-to-market)</t>
        </is>
      </c>
      <c r="B11" s="17" t="inlineStr">
        <is>
          <t>Minimis</t>
        </is>
      </c>
      <c r="C11" s="18" t="n">
        <v>40000</v>
      </c>
      <c r="D11" s="19" t="n">
        <v>1</v>
      </c>
      <c r="E11" s="18" t="n">
        <v>40000</v>
      </c>
      <c r="F11" s="18" t="n">
        <v>0</v>
      </c>
    </row>
    <row r="12">
      <c r="A12" s="17" t="inlineStr">
        <is>
          <t>Management de proiect</t>
        </is>
      </c>
      <c r="B12" s="17" t="inlineStr">
        <is>
          <t>Minimis</t>
        </is>
      </c>
      <c r="C12" s="18" t="n">
        <v>30000</v>
      </c>
      <c r="D12" s="19" t="n">
        <v>1</v>
      </c>
      <c r="E12" s="18" t="n">
        <v>30000</v>
      </c>
      <c r="F12" s="18" t="n">
        <v>0</v>
      </c>
    </row>
    <row r="13">
      <c r="A13" s="17" t="inlineStr">
        <is>
          <t>Audit tehnic</t>
        </is>
      </c>
      <c r="B13" s="17" t="inlineStr">
        <is>
          <t>Minimis</t>
        </is>
      </c>
      <c r="C13" s="18" t="n">
        <v>15000</v>
      </c>
      <c r="D13" s="19" t="n">
        <v>1</v>
      </c>
      <c r="E13" s="18" t="n">
        <v>15000</v>
      </c>
      <c r="F13" s="18" t="n">
        <v>0</v>
      </c>
    </row>
    <row r="14">
      <c r="A14" s="22" t="inlineStr">
        <is>
          <t>TOTAL PROIECT</t>
        </is>
      </c>
      <c r="C14" s="23">
        <f>SUM(C5:C13)</f>
        <v/>
      </c>
      <c r="E14" s="23">
        <f>SUM(E5:E13)</f>
        <v/>
      </c>
      <c r="F14" s="23">
        <f>SUM(F5:F13)</f>
        <v/>
      </c>
    </row>
    <row r="16">
      <c r="A16" s="24" t="inlineStr">
        <is>
          <t>Grant total</t>
        </is>
      </c>
      <c r="C16" s="25">
        <f>E14</f>
        <v/>
      </c>
      <c r="D16" s="2" t="inlineStr">
        <is>
          <t>țintă 500.000 €</t>
        </is>
      </c>
    </row>
    <row r="17">
      <c r="A17" s="24" t="inlineStr">
        <is>
          <t>Cost eligibil total</t>
        </is>
      </c>
      <c r="C17" s="25">
        <f>C14</f>
        <v/>
      </c>
      <c r="D17" s="2" t="inlineStr"/>
    </row>
    <row r="18">
      <c r="A18" s="24" t="inlineStr">
        <is>
          <t>Cofinanțare totală</t>
        </is>
      </c>
      <c r="C18" s="25">
        <f>F14</f>
        <v/>
      </c>
      <c r="D18" s="2" t="inlineStr">
        <is>
          <t>20% din grant</t>
        </is>
      </c>
    </row>
    <row r="19">
      <c r="A19" s="24" t="inlineStr">
        <is>
          <t>Grant activitate de bază</t>
        </is>
      </c>
      <c r="C19" s="25">
        <f>SUM(E5:E8)</f>
        <v/>
      </c>
      <c r="D19" s="2" t="inlineStr"/>
    </row>
    <row r="20">
      <c r="A20" s="24" t="inlineStr">
        <is>
          <t>Pondere activitate de bază</t>
        </is>
      </c>
      <c r="C20" s="26">
        <f>SUM(E5:E8)/E14</f>
        <v/>
      </c>
      <c r="D20" s="2" t="inlineStr">
        <is>
          <t>≥80%</t>
        </is>
      </c>
    </row>
    <row r="21">
      <c r="A21" s="24" t="inlineStr">
        <is>
          <t>Grant personal propriu</t>
        </is>
      </c>
      <c r="C21" s="25">
        <f>SUMIF(B5:B13,"Personal*",E5:E13)</f>
        <v/>
      </c>
      <c r="D21" s="2" t="inlineStr"/>
    </row>
    <row r="22">
      <c r="A22" s="24" t="inlineStr">
        <is>
          <t>Personal propriu / bază</t>
        </is>
      </c>
      <c r="C22" s="26">
        <f>SUMIF(B5:B13,"Personal*",E5:E13)/SUM(E5:E8)</f>
        <v/>
      </c>
      <c r="D22" s="2" t="inlineStr">
        <is>
          <t>≥20%</t>
        </is>
      </c>
    </row>
    <row r="23">
      <c r="A23" s="24" t="inlineStr">
        <is>
          <t>Minimis total</t>
        </is>
      </c>
      <c r="C23" s="25">
        <f>SUM(E10:E13)</f>
        <v/>
      </c>
      <c r="D23" s="2" t="inlineStr">
        <is>
          <t>≤300.000; aici la max = 20% conexe</t>
        </is>
      </c>
    </row>
    <row r="24">
      <c r="A24" s="24" t="inlineStr">
        <is>
          <t>Consultanță + management</t>
        </is>
      </c>
      <c r="C24" s="25">
        <f>30000</f>
        <v/>
      </c>
      <c r="D24" s="2" t="inlineStr">
        <is>
          <t>≤10% din eligibil (=60.000)</t>
        </is>
      </c>
    </row>
    <row r="25">
      <c r="A25" s="24" t="inlineStr">
        <is>
          <t>Cofinanțare în lei (×5,0981)</t>
        </is>
      </c>
      <c r="C25" s="25">
        <f>F14*5.0981</f>
        <v/>
      </c>
      <c r="D25" s="2" t="inlineStr">
        <is>
          <t>lei de asigurat</t>
        </is>
      </c>
    </row>
  </sheetData>
  <mergeCells count="12">
    <mergeCell ref="A2:F2"/>
    <mergeCell ref="D19:F19"/>
    <mergeCell ref="D23:F23"/>
    <mergeCell ref="A1:F1"/>
    <mergeCell ref="D22:F22"/>
    <mergeCell ref="D18:F18"/>
    <mergeCell ref="D17:F17"/>
    <mergeCell ref="D21:F21"/>
    <mergeCell ref="D25:F25"/>
    <mergeCell ref="D20:F20"/>
    <mergeCell ref="D16:F16"/>
    <mergeCell ref="D24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5" customWidth="1" min="3" max="3"/>
    <col width="9" customWidth="1" min="4" max="4"/>
    <col width="13" customWidth="1" min="5" max="5"/>
    <col width="14" customWidth="1" min="6" max="6"/>
  </cols>
  <sheetData>
    <row r="1">
      <c r="A1" s="1" t="inlineStr">
        <is>
          <t>VERSIUNEA 2 — ECHILIBRAT (personal + echipamente CDI)</t>
        </is>
      </c>
    </row>
    <row r="2">
      <c r="A2" s="2" t="inlineStr">
        <is>
          <t>Intensități: cercetare industrială 80% (cofinanțare 20%) · minimis 100% (cofinanțare 0%). Curs 5,0981 lei/€.</t>
        </is>
      </c>
    </row>
    <row r="3">
      <c r="A3" s="3" t="inlineStr">
        <is>
          <t>Categorie / linie</t>
        </is>
      </c>
      <c r="B3" s="3" t="inlineStr">
        <is>
          <t>Tip ajutor</t>
        </is>
      </c>
      <c r="C3" s="3" t="inlineStr">
        <is>
          <t>Cost eligibil €</t>
        </is>
      </c>
      <c r="D3" s="3" t="inlineStr">
        <is>
          <t>Intensit.</t>
        </is>
      </c>
      <c r="E3" s="3" t="inlineStr">
        <is>
          <t>Grant €</t>
        </is>
      </c>
      <c r="F3" s="3" t="inlineStr">
        <is>
          <t>Cofinanțare €</t>
        </is>
      </c>
    </row>
    <row r="4">
      <c r="A4" s="15" t="inlineStr">
        <is>
          <t>ACTIVITATE DE BAZĂ (CDI, cercetare industrială 80%)</t>
        </is>
      </c>
      <c r="B4" s="16" t="n"/>
      <c r="C4" s="16" t="n"/>
      <c r="D4" s="16" t="n"/>
      <c r="E4" s="16" t="n"/>
      <c r="F4" s="16" t="n"/>
    </row>
    <row r="5">
      <c r="A5" s="17" t="inlineStr">
        <is>
          <t>Coordonator tehnic (cercetare industrială)</t>
        </is>
      </c>
      <c r="B5" s="17" t="inlineStr">
        <is>
          <t>Personal propriu · CDI 80%</t>
        </is>
      </c>
      <c r="C5" s="18" t="n">
        <v>144000</v>
      </c>
      <c r="D5" s="19" t="n">
        <v>0.8</v>
      </c>
      <c r="E5" s="18" t="n">
        <v>115200</v>
      </c>
      <c r="F5" s="18" t="n">
        <v>28800</v>
      </c>
    </row>
    <row r="6">
      <c r="A6" s="17" t="inlineStr">
        <is>
          <t>Expert AI &amp; robotică</t>
        </is>
      </c>
      <c r="B6" s="17" t="inlineStr">
        <is>
          <t>Personal propriu · CDI 80%</t>
        </is>
      </c>
      <c r="C6" s="18" t="n">
        <v>106000</v>
      </c>
      <c r="D6" s="19" t="n">
        <v>0.8</v>
      </c>
      <c r="E6" s="18" t="n">
        <v>84800</v>
      </c>
      <c r="F6" s="18" t="n">
        <v>21200</v>
      </c>
    </row>
    <row r="7">
      <c r="A7" s="17" t="inlineStr">
        <is>
          <t>Cluster/stație GPU pentru dezvoltare AI (cod 2.2.9, 2 ani)</t>
        </is>
      </c>
      <c r="B7" s="17" t="inlineStr">
        <is>
          <t>Echipamente CDI 80% (amortizare)</t>
        </is>
      </c>
      <c r="C7" s="18" t="n">
        <v>120000</v>
      </c>
      <c r="D7" s="19" t="n">
        <v>0.8</v>
      </c>
      <c r="E7" s="18" t="n">
        <v>96000</v>
      </c>
      <c r="F7" s="18" t="n">
        <v>24000</v>
      </c>
    </row>
    <row r="8">
      <c r="A8" s="17" t="inlineStr">
        <is>
          <t>Senzori, camere, module de prototipare (2 ani)</t>
        </is>
      </c>
      <c r="B8" s="17" t="inlineStr">
        <is>
          <t>Echipamente CDI 80% (amortizare)</t>
        </is>
      </c>
      <c r="C8" s="18" t="n">
        <v>60000</v>
      </c>
      <c r="D8" s="19" t="n">
        <v>0.8</v>
      </c>
      <c r="E8" s="18" t="n">
        <v>48000</v>
      </c>
      <c r="F8" s="18" t="n">
        <v>12000</v>
      </c>
    </row>
    <row r="9">
      <c r="A9" s="17" t="inlineStr">
        <is>
          <t>Banc de test + aparate de măsură (2 ani)</t>
        </is>
      </c>
      <c r="B9" s="17" t="inlineStr">
        <is>
          <t>Echipamente CDI 80% (amortizare)</t>
        </is>
      </c>
      <c r="C9" s="18" t="n">
        <v>50000</v>
      </c>
      <c r="D9" s="19" t="n">
        <v>0.8</v>
      </c>
      <c r="E9" s="18" t="n">
        <v>40000</v>
      </c>
      <c r="F9" s="18" t="n">
        <v>10000</v>
      </c>
    </row>
    <row r="10">
      <c r="A10" s="17" t="inlineStr">
        <is>
          <t>Laptopuri / stații mobile (2 ani)</t>
        </is>
      </c>
      <c r="B10" s="17" t="inlineStr">
        <is>
          <t>Echipamente CDI 80% (amortizare)</t>
        </is>
      </c>
      <c r="C10" s="18" t="n">
        <v>20000</v>
      </c>
      <c r="D10" s="19" t="n">
        <v>0.8</v>
      </c>
      <c r="E10" s="18" t="n">
        <v>16000</v>
      </c>
      <c r="F10" s="18" t="n">
        <v>4000</v>
      </c>
    </row>
    <row r="11">
      <c r="A11" s="20" t="inlineStr">
        <is>
          <t>ACTIVITĂȚI CONEXE / MINIMIS (100%)</t>
        </is>
      </c>
      <c r="B11" s="21" t="n"/>
      <c r="C11" s="21" t="n"/>
      <c r="D11" s="21" t="n"/>
      <c r="E11" s="21" t="n"/>
      <c r="F11" s="21" t="n"/>
    </row>
    <row r="12">
      <c r="A12" s="17" t="inlineStr">
        <is>
          <t>Informare și publicitate</t>
        </is>
      </c>
      <c r="B12" s="17" t="inlineStr">
        <is>
          <t>Minimis</t>
        </is>
      </c>
      <c r="C12" s="18" t="n">
        <v>15000</v>
      </c>
      <c r="D12" s="19" t="n">
        <v>1</v>
      </c>
      <c r="E12" s="18" t="n">
        <v>15000</v>
      </c>
      <c r="F12" s="18" t="n">
        <v>0</v>
      </c>
    </row>
    <row r="13">
      <c r="A13" s="17" t="inlineStr">
        <is>
          <t>Promovare / introducere în piață (go-to-market)</t>
        </is>
      </c>
      <c r="B13" s="17" t="inlineStr">
        <is>
          <t>Minimis</t>
        </is>
      </c>
      <c r="C13" s="18" t="n">
        <v>40000</v>
      </c>
      <c r="D13" s="19" t="n">
        <v>1</v>
      </c>
      <c r="E13" s="18" t="n">
        <v>40000</v>
      </c>
      <c r="F13" s="18" t="n">
        <v>0</v>
      </c>
    </row>
    <row r="14">
      <c r="A14" s="17" t="inlineStr">
        <is>
          <t>Management de proiect</t>
        </is>
      </c>
      <c r="B14" s="17" t="inlineStr">
        <is>
          <t>Minimis</t>
        </is>
      </c>
      <c r="C14" s="18" t="n">
        <v>30000</v>
      </c>
      <c r="D14" s="19" t="n">
        <v>1</v>
      </c>
      <c r="E14" s="18" t="n">
        <v>30000</v>
      </c>
      <c r="F14" s="18" t="n">
        <v>0</v>
      </c>
    </row>
    <row r="15">
      <c r="A15" s="17" t="inlineStr">
        <is>
          <t>Audit tehnic</t>
        </is>
      </c>
      <c r="B15" s="17" t="inlineStr">
        <is>
          <t>Minimis</t>
        </is>
      </c>
      <c r="C15" s="18" t="n">
        <v>15000</v>
      </c>
      <c r="D15" s="19" t="n">
        <v>1</v>
      </c>
      <c r="E15" s="18" t="n">
        <v>15000</v>
      </c>
      <c r="F15" s="18" t="n">
        <v>0</v>
      </c>
    </row>
    <row r="16">
      <c r="A16" s="22" t="inlineStr">
        <is>
          <t>TOTAL PROIECT</t>
        </is>
      </c>
      <c r="C16" s="23">
        <f>SUM(C5:C15)</f>
        <v/>
      </c>
      <c r="E16" s="23">
        <f>SUM(E5:E15)</f>
        <v/>
      </c>
      <c r="F16" s="23">
        <f>SUM(F5:F15)</f>
        <v/>
      </c>
    </row>
    <row r="18">
      <c r="A18" s="24" t="inlineStr">
        <is>
          <t>Grant total</t>
        </is>
      </c>
      <c r="C18" s="25">
        <f>E16</f>
        <v/>
      </c>
      <c r="D18" s="2" t="inlineStr">
        <is>
          <t>țintă 500.000 €</t>
        </is>
      </c>
    </row>
    <row r="19">
      <c r="A19" s="24" t="inlineStr">
        <is>
          <t>Cost eligibil total</t>
        </is>
      </c>
      <c r="C19" s="25">
        <f>C16</f>
        <v/>
      </c>
      <c r="D19" s="2" t="inlineStr"/>
    </row>
    <row r="20">
      <c r="A20" s="24" t="inlineStr">
        <is>
          <t>Cofinanțare totală</t>
        </is>
      </c>
      <c r="C20" s="25">
        <f>F16</f>
        <v/>
      </c>
      <c r="D20" s="2" t="inlineStr">
        <is>
          <t>20% din grant</t>
        </is>
      </c>
    </row>
    <row r="21">
      <c r="A21" s="24" t="inlineStr">
        <is>
          <t>Grant activitate de bază</t>
        </is>
      </c>
      <c r="C21" s="25">
        <f>SUM(E5:E10)</f>
        <v/>
      </c>
      <c r="D21" s="2" t="inlineStr"/>
    </row>
    <row r="22">
      <c r="A22" s="24" t="inlineStr">
        <is>
          <t>Pondere activitate de bază</t>
        </is>
      </c>
      <c r="C22" s="26">
        <f>SUM(E5:E10)/E16</f>
        <v/>
      </c>
      <c r="D22" s="2" t="inlineStr">
        <is>
          <t>≥80%</t>
        </is>
      </c>
    </row>
    <row r="23">
      <c r="A23" s="24" t="inlineStr">
        <is>
          <t>Grant personal propriu</t>
        </is>
      </c>
      <c r="C23" s="25">
        <f>SUMIF(B5:B15,"Personal*",E5:E15)</f>
        <v/>
      </c>
      <c r="D23" s="2" t="inlineStr"/>
    </row>
    <row r="24">
      <c r="A24" s="24" t="inlineStr">
        <is>
          <t>Personal propriu / bază</t>
        </is>
      </c>
      <c r="C24" s="26">
        <f>SUMIF(B5:B15,"Personal*",E5:E15)/SUM(E5:E10)</f>
        <v/>
      </c>
      <c r="D24" s="2" t="inlineStr">
        <is>
          <t>≥20%</t>
        </is>
      </c>
    </row>
    <row r="25">
      <c r="A25" s="24" t="inlineStr">
        <is>
          <t>Minimis total</t>
        </is>
      </c>
      <c r="C25" s="25">
        <f>SUM(E12:E15)</f>
        <v/>
      </c>
      <c r="D25" s="2" t="inlineStr">
        <is>
          <t>≤300.000; aici la max = 20% conexe</t>
        </is>
      </c>
    </row>
    <row r="26">
      <c r="A26" s="24" t="inlineStr">
        <is>
          <t>Consultanță + management</t>
        </is>
      </c>
      <c r="C26" s="25">
        <f>30000</f>
        <v/>
      </c>
      <c r="D26" s="2" t="inlineStr">
        <is>
          <t>≤10% din eligibil (=60.000)</t>
        </is>
      </c>
    </row>
    <row r="27">
      <c r="A27" s="24" t="inlineStr">
        <is>
          <t>Cofinanțare în lei (×5,0981)</t>
        </is>
      </c>
      <c r="C27" s="25">
        <f>F16*5.0981</f>
        <v/>
      </c>
      <c r="D27" s="2" t="inlineStr">
        <is>
          <t>lei de asigurat</t>
        </is>
      </c>
    </row>
  </sheetData>
  <mergeCells count="12">
    <mergeCell ref="A2:F2"/>
    <mergeCell ref="D19:F19"/>
    <mergeCell ref="D27:F27"/>
    <mergeCell ref="D23:F23"/>
    <mergeCell ref="A1:F1"/>
    <mergeCell ref="D22:F22"/>
    <mergeCell ref="D18:F18"/>
    <mergeCell ref="D26:F26"/>
    <mergeCell ref="D21:F21"/>
    <mergeCell ref="D25:F25"/>
    <mergeCell ref="D20:F20"/>
    <mergeCell ref="D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2026-08-12T14:27:25Z</dcterms:created>
  <dcterms:modified xmlns:dcterms="http://purl.org/dc/terms/" xmlns:xsi="http://www.w3.org/2001/XMLSchema-instance" xsi:type="dcterms:W3CDTF">2026-08-12T14:27:27Z</dcterms:modified>
</cp:coreProperties>
</file>