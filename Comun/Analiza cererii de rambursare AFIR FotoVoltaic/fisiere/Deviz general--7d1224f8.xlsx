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0. Proiecte\AFIR FotoVoltaic 1\3. Deviz\"/>
    </mc:Choice>
  </mc:AlternateContent>
  <xr:revisionPtr revIDLastSave="0" documentId="13_ncr:1_{9097650B-6E98-4C96-975A-54ACDEFA386C}" xr6:coauthVersionLast="47" xr6:coauthVersionMax="47" xr10:uidLastSave="{00000000-0000-0000-0000-000000000000}"/>
  <bookViews>
    <workbookView xWindow="2205" yWindow="2205" windowWidth="26175" windowHeight="18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5" i="1" l="1"/>
  <c r="H44" i="1"/>
  <c r="E37" i="1"/>
  <c r="D35" i="1"/>
  <c r="X21" i="1"/>
  <c r="D15" i="1"/>
  <c r="D61" i="1"/>
  <c r="E52" i="1"/>
  <c r="E50" i="1"/>
  <c r="D48" i="1"/>
  <c r="E44" i="1"/>
  <c r="E43" i="1"/>
  <c r="F43" i="1" s="1"/>
  <c r="F37" i="1"/>
  <c r="E38" i="1"/>
  <c r="E36" i="1"/>
  <c r="E34" i="1"/>
  <c r="F34" i="1" s="1"/>
  <c r="E33" i="1"/>
  <c r="D32" i="1"/>
  <c r="E30" i="1"/>
  <c r="F30" i="1" s="1"/>
  <c r="E29" i="1"/>
  <c r="E28" i="1"/>
  <c r="F28" i="1" s="1"/>
  <c r="E27" i="1"/>
  <c r="D24" i="1"/>
  <c r="E22" i="1"/>
  <c r="F22" i="1" s="1"/>
  <c r="E21" i="1"/>
  <c r="E14" i="1"/>
  <c r="F14" i="1" s="1"/>
  <c r="F36" i="1" l="1"/>
  <c r="F44" i="1"/>
  <c r="F50" i="1"/>
  <c r="F27" i="1"/>
  <c r="F52" i="1"/>
  <c r="E61" i="1"/>
  <c r="E15" i="1"/>
  <c r="D71" i="1"/>
  <c r="E48" i="1"/>
  <c r="F15" i="1"/>
  <c r="F48" i="1"/>
  <c r="F38" i="1"/>
  <c r="F21" i="1"/>
  <c r="E35" i="1"/>
  <c r="D40" i="1"/>
  <c r="F33" i="1"/>
  <c r="F29" i="1"/>
  <c r="F24" i="1" s="1"/>
  <c r="F61" i="1"/>
  <c r="E24" i="1"/>
  <c r="E71" i="1"/>
  <c r="F71" i="1" s="1"/>
  <c r="E32" i="1"/>
  <c r="F35" i="1" l="1"/>
  <c r="D70" i="1"/>
  <c r="E40" i="1"/>
  <c r="F40" i="1" s="1"/>
  <c r="F32" i="1"/>
  <c r="E70" i="1" l="1"/>
  <c r="F70" i="1" l="1"/>
</calcChain>
</file>

<file path=xl/sharedStrings.xml><?xml version="1.0" encoding="utf-8"?>
<sst xmlns="http://schemas.openxmlformats.org/spreadsheetml/2006/main" count="75" uniqueCount="73">
  <si>
    <t>DEVIZ GENERAL</t>
  </si>
  <si>
    <t>Parc Fotovoltaic CESIRO PRODUCTION SRL</t>
  </si>
  <si>
    <t>Nr. crt.</t>
  </si>
  <si>
    <t>Denumirea capitolelor şi subcapitolelor de cheltuieli</t>
  </si>
  <si>
    <t>Valoare fără TVA</t>
  </si>
  <si>
    <t>TVA</t>
  </si>
  <si>
    <t>Valoare cu TVA</t>
  </si>
  <si>
    <t>lei</t>
  </si>
  <si>
    <t>CAPITOLUL 1 Cheltuieli pentru obţinerea şi amenajarea terenului</t>
  </si>
  <si>
    <t>Obţinerea terenului</t>
  </si>
  <si>
    <t>Amenajarea terenului</t>
  </si>
  <si>
    <t>Amenajări pentru protecţia mediului şi aducerea terenului la starea iniţială</t>
  </si>
  <si>
    <t>Cheltuieli pentru relocarea/protecţia utilităţilor</t>
  </si>
  <si>
    <t>Total capitol 1</t>
  </si>
  <si>
    <t>CAPITOLUL 2 Cheltuieli pentru asigurarea utilităţilor necesare obiectivului de investiţii</t>
  </si>
  <si>
    <t>Bransament electric</t>
  </si>
  <si>
    <t>Total capitol 2</t>
  </si>
  <si>
    <t>CAPITOLUL 3 Cheltuieli pentru proiectare şi asistenţă tehnică</t>
  </si>
  <si>
    <t>Studii</t>
  </si>
  <si>
    <t>3.1.1. Studii de teren</t>
  </si>
  <si>
    <t>3.1.2. Raport privind impactul asupra mediului</t>
  </si>
  <si>
    <t>3.1.3. Alte studii specifice</t>
  </si>
  <si>
    <t>Expertizare tehnică</t>
  </si>
  <si>
    <t>Certificarea performanţei energetice şi auditul energetic al clădirilor</t>
  </si>
  <si>
    <t>Proiectare</t>
  </si>
  <si>
    <t>3.5.1. Temă de proiectare</t>
  </si>
  <si>
    <t>3.5.2. Studiu de prefezabilitate</t>
  </si>
  <si>
    <t>3.5.3. Studiu de fezabilitate/documentaţie de avizare a lucrărilor de intervenţii şi deviz general</t>
  </si>
  <si>
    <t>3.5.6. Proiect tehnic şi detalii de execuţie</t>
  </si>
  <si>
    <t>Organizarea procedurilor de achiziţie</t>
  </si>
  <si>
    <t>Consultanţă</t>
  </si>
  <si>
    <t>3.7.1. Managementul de proiect pentru obiectivul de investiţii</t>
  </si>
  <si>
    <t>3.7.2. Auditul financiar</t>
  </si>
  <si>
    <t>Asistenţă tehnică</t>
  </si>
  <si>
    <t>3.8.1. Asistenţă tehnică din partea proiectantului</t>
  </si>
  <si>
    <t>3.8.1.1. pe perioada de execuţie a lucrărilor</t>
  </si>
  <si>
    <t>3.8.2. Dirigenţie de şantier</t>
  </si>
  <si>
    <t>Total capitol 3</t>
  </si>
  <si>
    <t>CAPITOLUL 4 Cheltuieli pentru investiţia de bază</t>
  </si>
  <si>
    <t>Construcţii şi instalaţii</t>
  </si>
  <si>
    <t>Montaj utilaje, echipamente tehnologice şi funcţionale</t>
  </si>
  <si>
    <t>Utilaje, echipamente tehnologice şi funcţionale care necesită montaj</t>
  </si>
  <si>
    <t>Utilaje, echipamente tehnologice şi funcţionale care nu necesită montaj şi echipamente de transport</t>
  </si>
  <si>
    <t>Dotări</t>
  </si>
  <si>
    <t>Active necorporale</t>
  </si>
  <si>
    <t>Total capitol 4</t>
  </si>
  <si>
    <t>CAPITOLUL 5 Alte cheltuieli</t>
  </si>
  <si>
    <t>Organizare de şantier</t>
  </si>
  <si>
    <t>5.1.1. Lucrări de construcţii şi instalaţii aferente organizării de şantier</t>
  </si>
  <si>
    <t>5.1.2. Cheltuieli conexe organizării şantierului</t>
  </si>
  <si>
    <t>Comisioane, cote, taxe, costul creditului</t>
  </si>
  <si>
    <t>5.2.4. Cota aferentă Casei Sociale a Constructorilor - CSC</t>
  </si>
  <si>
    <t>Cheltuieli diverse şi neprevăzute</t>
  </si>
  <si>
    <t>Cheltuieli pentru informare şi publicitate</t>
  </si>
  <si>
    <t>Total capitol 5</t>
  </si>
  <si>
    <t>CAPITOLUL 6 Cheltuieli pentru probe tehnologice şi teste</t>
  </si>
  <si>
    <t>Pregătirea personalului de exploatare</t>
  </si>
  <si>
    <t>Probe tehnologice şi teste</t>
  </si>
  <si>
    <t>Total capitol 6</t>
  </si>
  <si>
    <t>CAPITOLUL 7 Cheltuieli aferente marjei de buget şi pentru constituirea rezervei de implementare pentru ajustarea de preţ</t>
  </si>
  <si>
    <t>Cheltuieli aferente marjei de buget</t>
  </si>
  <si>
    <t>Cheltuieli pentru constituirea rezervei de implementare</t>
  </si>
  <si>
    <t>Total capitol 7</t>
  </si>
  <si>
    <t>TOTAL GENERAL</t>
  </si>
  <si>
    <t>din care: C + M (1.2 + 1.3 +1.4 + 2 + 4.1 + 4.2 + 5.1.1)</t>
  </si>
  <si>
    <t>Documentaţii-suport şi cheltuieli pentru obţinerea de avize, acorduri şi autorizaţii</t>
  </si>
  <si>
    <t>3.5.4. Documentaţiile tehnice necesare în vederea obţinerii avizelor/acordurilor/autorizaţiilor</t>
  </si>
  <si>
    <t>3.5.5. Verificarea tehnică de calitate a proiectului tehnic şi a detaliilor de execuţie</t>
  </si>
  <si>
    <t>3.8.1.2. pentru participarea proiectantului la fazele incluse în programul de control al lucrărilor de execuţie, avizat de către Inspectoratul de Stat în Construcţii</t>
  </si>
  <si>
    <t>5.2.1. Comisioanele şi dobânzile aferente creditului băncii finanţatoare</t>
  </si>
  <si>
    <t>5.2.3. Cota aferentă ISC pentru controlul statului în amenajarea teritoriului, urbanism şi pentru autorizarea lucrărilor de construcţii</t>
  </si>
  <si>
    <t>5.2.2. Cota aferentă ISC pentru controlul calităţii lucrărilor de construcţii</t>
  </si>
  <si>
    <t>5.2.5. Taxe pentru acorduri, avize conforme şi autorizaţia de construire/desfiinţare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</si>
</sst>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000_);_(* \(#,##0.0000\);_(* &quot;-&quot;??_);_(@_)"/>
    <numFmt numFmtId="166" formatCode="_-* #,##0.0000\ _l_e_i_-;\-* #,##0.0000\ _l_e_i_-;_-* &quot;-&quot;????\ _l_e_i_-;_-@_-"/>
    <numFmt numFmtId="167" formatCode="_-* #,##0.00\ _l_e_i_-;\-* #,##0.00\ _l_e_i_-;_-* &quot;-&quot;??\ _l_e_i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2" borderId="13" xfId="0" applyFont="1" applyFill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5" fillId="2" borderId="16" xfId="0" applyFont="1" applyFill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4" fontId="0" fillId="0" borderId="0" xfId="0" applyNumberFormat="1"/>
    <xf numFmtId="4" fontId="4" fillId="2" borderId="10" xfId="0" applyNumberFormat="1" applyFont="1" applyFill="1" applyBorder="1" applyAlignment="1">
      <alignment horizontal="right" vertical="center"/>
    </xf>
    <xf numFmtId="4" fontId="4" fillId="0" borderId="10" xfId="0" applyNumberFormat="1" applyFont="1" applyBorder="1" applyAlignment="1">
      <alignment horizontal="right" vertical="center"/>
    </xf>
    <xf numFmtId="4" fontId="5" fillId="2" borderId="10" xfId="0" applyNumberFormat="1" applyFont="1" applyFill="1" applyBorder="1" applyAlignment="1">
      <alignment horizontal="right" vertical="center"/>
    </xf>
    <xf numFmtId="4" fontId="2" fillId="0" borderId="10" xfId="0" applyNumberFormat="1" applyFont="1" applyBorder="1" applyAlignment="1">
      <alignment horizontal="right" vertical="center"/>
    </xf>
    <xf numFmtId="0" fontId="4" fillId="0" borderId="10" xfId="0" applyFont="1" applyBorder="1" applyAlignment="1">
      <alignment vertical="center"/>
    </xf>
    <xf numFmtId="0" fontId="5" fillId="2" borderId="10" xfId="0" applyFont="1" applyFill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4" fontId="4" fillId="0" borderId="13" xfId="0" applyNumberFormat="1" applyFont="1" applyBorder="1" applyAlignment="1">
      <alignment horizontal="right" vertical="center"/>
    </xf>
    <xf numFmtId="4" fontId="5" fillId="0" borderId="10" xfId="0" applyNumberFormat="1" applyFont="1" applyBorder="1" applyAlignment="1">
      <alignment horizontal="right" vertical="center"/>
    </xf>
    <xf numFmtId="0" fontId="4" fillId="0" borderId="10" xfId="0" applyFont="1" applyBorder="1" applyAlignment="1">
      <alignment vertical="center" wrapText="1"/>
    </xf>
    <xf numFmtId="4" fontId="4" fillId="2" borderId="13" xfId="0" applyNumberFormat="1" applyFont="1" applyFill="1" applyBorder="1" applyAlignment="1">
      <alignment horizontal="right" vertical="center"/>
    </xf>
    <xf numFmtId="4" fontId="5" fillId="2" borderId="16" xfId="0" applyNumberFormat="1" applyFont="1" applyFill="1" applyBorder="1" applyAlignment="1">
      <alignment horizontal="right" vertical="center"/>
    </xf>
    <xf numFmtId="4" fontId="5" fillId="0" borderId="16" xfId="0" applyNumberFormat="1" applyFont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4" fillId="0" borderId="16" xfId="0" applyFont="1" applyBorder="1" applyAlignment="1">
      <alignment vertical="center"/>
    </xf>
    <xf numFmtId="4" fontId="5" fillId="2" borderId="11" xfId="0" applyNumberFormat="1" applyFont="1" applyFill="1" applyBorder="1" applyAlignment="1">
      <alignment horizontal="right" vertical="center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1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2" borderId="21" xfId="0" applyFont="1" applyFill="1" applyBorder="1" applyAlignment="1">
      <alignment horizontal="right" vertical="center"/>
    </xf>
    <xf numFmtId="4" fontId="4" fillId="0" borderId="21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vertical="center"/>
    </xf>
    <xf numFmtId="4" fontId="4" fillId="2" borderId="18" xfId="0" applyNumberFormat="1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0" fontId="4" fillId="0" borderId="21" xfId="0" applyFont="1" applyBorder="1" applyAlignment="1">
      <alignment vertical="center" wrapText="1"/>
    </xf>
    <xf numFmtId="4" fontId="4" fillId="2" borderId="21" xfId="0" applyNumberFormat="1" applyFont="1" applyFill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4" fillId="0" borderId="21" xfId="0" applyFont="1" applyBorder="1" applyAlignment="1">
      <alignment horizontal="right" vertical="center"/>
    </xf>
    <xf numFmtId="0" fontId="4" fillId="0" borderId="1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3" fontId="4" fillId="2" borderId="21" xfId="1" applyFont="1" applyFill="1" applyBorder="1" applyAlignment="1">
      <alignment horizontal="right" vertical="center"/>
    </xf>
    <xf numFmtId="43" fontId="4" fillId="2" borderId="13" xfId="1" applyFont="1" applyFill="1" applyBorder="1" applyAlignment="1">
      <alignment horizontal="right" vertical="center"/>
    </xf>
    <xf numFmtId="43" fontId="4" fillId="2" borderId="10" xfId="1" applyFont="1" applyFill="1" applyBorder="1" applyAlignment="1">
      <alignment horizontal="right" vertical="center"/>
    </xf>
    <xf numFmtId="43" fontId="4" fillId="2" borderId="18" xfId="1" applyFont="1" applyFill="1" applyBorder="1" applyAlignment="1">
      <alignment horizontal="right" vertical="center"/>
    </xf>
    <xf numFmtId="43" fontId="5" fillId="2" borderId="10" xfId="0" applyNumberFormat="1" applyFont="1" applyFill="1" applyBorder="1" applyAlignment="1">
      <alignment horizontal="right" vertical="center"/>
    </xf>
    <xf numFmtId="43" fontId="4" fillId="2" borderId="16" xfId="1" applyFont="1" applyFill="1" applyBorder="1" applyAlignment="1">
      <alignment horizontal="right" vertical="center"/>
    </xf>
    <xf numFmtId="4" fontId="4" fillId="0" borderId="16" xfId="0" applyNumberFormat="1" applyFont="1" applyBorder="1" applyAlignment="1">
      <alignment horizontal="right" vertical="center"/>
    </xf>
    <xf numFmtId="43" fontId="5" fillId="2" borderId="10" xfId="1" applyFont="1" applyFill="1" applyBorder="1" applyAlignment="1">
      <alignment horizontal="right" vertical="center"/>
    </xf>
    <xf numFmtId="43" fontId="5" fillId="2" borderId="16" xfId="1" applyFont="1" applyFill="1" applyBorder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4" fillId="2" borderId="16" xfId="0" applyNumberFormat="1" applyFont="1" applyFill="1" applyBorder="1" applyAlignment="1">
      <alignment horizontal="right" vertical="center"/>
    </xf>
    <xf numFmtId="164" fontId="0" fillId="0" borderId="0" xfId="0" applyNumberFormat="1"/>
    <xf numFmtId="0" fontId="0" fillId="0" borderId="20" xfId="0" applyBorder="1"/>
    <xf numFmtId="43" fontId="0" fillId="0" borderId="20" xfId="1" applyFont="1" applyBorder="1"/>
    <xf numFmtId="43" fontId="0" fillId="0" borderId="20" xfId="0" applyNumberFormat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43" fontId="0" fillId="0" borderId="25" xfId="1" applyFont="1" applyBorder="1"/>
    <xf numFmtId="43" fontId="0" fillId="0" borderId="26" xfId="0" applyNumberFormat="1" applyBorder="1"/>
    <xf numFmtId="43" fontId="0" fillId="0" borderId="25" xfId="0" applyNumberFormat="1" applyBorder="1"/>
    <xf numFmtId="43" fontId="0" fillId="0" borderId="22" xfId="1" applyFont="1" applyBorder="1"/>
    <xf numFmtId="43" fontId="0" fillId="0" borderId="23" xfId="1" applyFont="1" applyBorder="1"/>
    <xf numFmtId="43" fontId="0" fillId="0" borderId="24" xfId="1" applyFont="1" applyBorder="1"/>
    <xf numFmtId="43" fontId="0" fillId="0" borderId="26" xfId="1" applyFont="1" applyBorder="1"/>
    <xf numFmtId="43" fontId="0" fillId="0" borderId="27" xfId="1" applyFont="1" applyBorder="1"/>
    <xf numFmtId="43" fontId="0" fillId="0" borderId="28" xfId="1" applyFont="1" applyBorder="1"/>
    <xf numFmtId="43" fontId="0" fillId="0" borderId="29" xfId="1" applyFon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43" fontId="0" fillId="0" borderId="25" xfId="1" applyFont="1" applyBorder="1" applyAlignment="1">
      <alignment vertical="center"/>
    </xf>
    <xf numFmtId="43" fontId="0" fillId="0" borderId="20" xfId="1" applyFont="1" applyBorder="1" applyAlignment="1">
      <alignment vertical="center"/>
    </xf>
    <xf numFmtId="43" fontId="0" fillId="0" borderId="26" xfId="1" applyFont="1" applyBorder="1" applyAlignment="1">
      <alignment vertical="center"/>
    </xf>
    <xf numFmtId="43" fontId="0" fillId="0" borderId="25" xfId="1" applyFont="1" applyBorder="1" applyAlignment="1">
      <alignment horizontal="right" vertical="center"/>
    </xf>
    <xf numFmtId="43" fontId="0" fillId="0" borderId="20" xfId="1" applyFont="1" applyBorder="1" applyAlignment="1">
      <alignment horizontal="right" vertical="center"/>
    </xf>
    <xf numFmtId="43" fontId="0" fillId="0" borderId="26" xfId="1" applyFont="1" applyBorder="1" applyAlignment="1">
      <alignment horizontal="right" vertical="center"/>
    </xf>
    <xf numFmtId="43" fontId="0" fillId="0" borderId="27" xfId="1" applyFont="1" applyBorder="1" applyAlignment="1">
      <alignment vertical="center"/>
    </xf>
    <xf numFmtId="43" fontId="0" fillId="0" borderId="28" xfId="1" applyFont="1" applyBorder="1" applyAlignment="1">
      <alignment vertical="center"/>
    </xf>
    <xf numFmtId="43" fontId="0" fillId="0" borderId="29" xfId="1" applyFont="1" applyBorder="1" applyAlignment="1">
      <alignment vertical="center"/>
    </xf>
    <xf numFmtId="165" fontId="0" fillId="0" borderId="0" xfId="1" applyNumberFormat="1" applyFont="1"/>
    <xf numFmtId="166" fontId="0" fillId="0" borderId="0" xfId="0" applyNumberFormat="1"/>
    <xf numFmtId="167" fontId="0" fillId="0" borderId="25" xfId="0" applyNumberForma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2" borderId="14" xfId="0" applyFont="1" applyFill="1" applyBorder="1" applyAlignment="1">
      <alignment vertical="center" wrapText="1"/>
    </xf>
    <xf numFmtId="0" fontId="5" fillId="2" borderId="19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14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79"/>
  <sheetViews>
    <sheetView tabSelected="1" topLeftCell="A15" zoomScale="145" zoomScaleNormal="145" workbookViewId="0">
      <selection activeCell="B2" sqref="B2:F2"/>
    </sheetView>
  </sheetViews>
  <sheetFormatPr defaultRowHeight="15" x14ac:dyDescent="0.25"/>
  <cols>
    <col min="3" max="3" width="46.5703125" customWidth="1"/>
    <col min="4" max="4" width="12.5703125" bestFit="1" customWidth="1"/>
    <col min="5" max="5" width="11" bestFit="1" customWidth="1"/>
    <col min="6" max="6" width="12.5703125" bestFit="1" customWidth="1"/>
    <col min="8" max="8" width="13.28515625" bestFit="1" customWidth="1"/>
    <col min="9" max="9" width="11.42578125" customWidth="1"/>
    <col min="10" max="10" width="12.85546875" customWidth="1"/>
    <col min="11" max="11" width="20.140625" style="72" customWidth="1"/>
    <col min="12" max="12" width="12.5703125" bestFit="1" customWidth="1"/>
    <col min="13" max="13" width="11.140625" bestFit="1" customWidth="1"/>
    <col min="14" max="14" width="12.5703125" bestFit="1" customWidth="1"/>
    <col min="15" max="15" width="20.85546875" customWidth="1"/>
    <col min="16" max="16" width="13.85546875" bestFit="1" customWidth="1"/>
    <col min="17" max="17" width="11.85546875" customWidth="1"/>
    <col min="18" max="18" width="12.5703125" customWidth="1"/>
    <col min="23" max="23" width="10.140625" bestFit="1" customWidth="1"/>
    <col min="24" max="24" width="13.85546875" bestFit="1" customWidth="1"/>
  </cols>
  <sheetData>
    <row r="1" spans="2:18" ht="15.75" thickBot="1" x14ac:dyDescent="0.3">
      <c r="E1">
        <v>0.19</v>
      </c>
      <c r="F1">
        <v>4.9705000000000004</v>
      </c>
    </row>
    <row r="2" spans="2:18" ht="18.75" x14ac:dyDescent="0.25">
      <c r="B2" s="104" t="s">
        <v>0</v>
      </c>
      <c r="C2" s="105"/>
      <c r="D2" s="105"/>
      <c r="E2" s="105"/>
      <c r="F2" s="106"/>
    </row>
    <row r="3" spans="2:18" ht="15.75" thickBot="1" x14ac:dyDescent="0.3">
      <c r="B3" s="107" t="s">
        <v>1</v>
      </c>
      <c r="C3" s="108"/>
      <c r="D3" s="108"/>
      <c r="E3" s="108"/>
      <c r="F3" s="109"/>
    </row>
    <row r="4" spans="2:18" ht="30.75" thickBot="1" x14ac:dyDescent="0.3">
      <c r="B4" s="110" t="s">
        <v>2</v>
      </c>
      <c r="C4" s="112" t="s">
        <v>3</v>
      </c>
      <c r="D4" s="1" t="s">
        <v>4</v>
      </c>
      <c r="E4" s="2" t="s">
        <v>5</v>
      </c>
      <c r="F4" s="1" t="s">
        <v>6</v>
      </c>
    </row>
    <row r="5" spans="2:18" ht="15.75" thickBot="1" x14ac:dyDescent="0.3">
      <c r="B5" s="111"/>
      <c r="C5" s="113"/>
      <c r="D5" s="1" t="s">
        <v>7</v>
      </c>
      <c r="E5" s="2" t="s">
        <v>7</v>
      </c>
      <c r="F5" s="1" t="s">
        <v>7</v>
      </c>
    </row>
    <row r="6" spans="2:18" ht="15.75" thickBot="1" x14ac:dyDescent="0.3">
      <c r="B6" s="3">
        <v>1</v>
      </c>
      <c r="C6" s="4">
        <v>2</v>
      </c>
      <c r="D6" s="4">
        <v>3</v>
      </c>
      <c r="E6" s="4">
        <v>4</v>
      </c>
      <c r="F6" s="4">
        <v>5</v>
      </c>
      <c r="H6" s="121"/>
      <c r="I6" s="121"/>
      <c r="J6" s="121"/>
      <c r="L6" s="121"/>
      <c r="M6" s="121"/>
      <c r="N6" s="121"/>
      <c r="P6" s="122"/>
      <c r="Q6" s="122"/>
      <c r="R6" s="122"/>
    </row>
    <row r="7" spans="2:18" ht="15.75" thickBot="1" x14ac:dyDescent="0.3">
      <c r="B7" s="114" t="s">
        <v>8</v>
      </c>
      <c r="C7" s="115"/>
      <c r="D7" s="115"/>
      <c r="E7" s="115"/>
      <c r="F7" s="116"/>
      <c r="H7" s="82"/>
      <c r="I7" s="83"/>
      <c r="J7" s="84"/>
      <c r="L7" s="82"/>
      <c r="M7" s="83"/>
      <c r="N7" s="84"/>
      <c r="O7" s="72"/>
      <c r="P7" s="74"/>
      <c r="Q7" s="75"/>
      <c r="R7" s="76"/>
    </row>
    <row r="8" spans="2:18" ht="15.75" thickBot="1" x14ac:dyDescent="0.3">
      <c r="B8" s="6">
        <v>1.1000000000000001</v>
      </c>
      <c r="C8" s="7" t="s">
        <v>9</v>
      </c>
      <c r="D8" s="8">
        <v>0</v>
      </c>
      <c r="E8" s="8">
        <v>0</v>
      </c>
      <c r="F8" s="9">
        <v>0</v>
      </c>
      <c r="H8" s="92"/>
      <c r="I8" s="93"/>
      <c r="J8" s="94"/>
      <c r="L8" s="79"/>
      <c r="M8" s="70"/>
      <c r="N8" s="85"/>
      <c r="O8" s="72"/>
      <c r="P8" s="77"/>
      <c r="Q8" s="69"/>
      <c r="R8" s="78"/>
    </row>
    <row r="9" spans="2:18" ht="16.5" thickTop="1" thickBot="1" x14ac:dyDescent="0.3">
      <c r="B9" s="6">
        <v>1.2</v>
      </c>
      <c r="C9" s="7" t="s">
        <v>10</v>
      </c>
      <c r="D9" s="8">
        <v>0</v>
      </c>
      <c r="E9" s="8">
        <v>0</v>
      </c>
      <c r="F9" s="9">
        <v>0</v>
      </c>
      <c r="H9" s="92"/>
      <c r="I9" s="93"/>
      <c r="J9" s="94"/>
      <c r="L9" s="79"/>
      <c r="M9" s="70"/>
      <c r="N9" s="85"/>
      <c r="O9" s="72"/>
      <c r="P9" s="77"/>
      <c r="Q9" s="69"/>
      <c r="R9" s="78"/>
    </row>
    <row r="10" spans="2:18" ht="27" customHeight="1" thickTop="1" thickBot="1" x14ac:dyDescent="0.3">
      <c r="B10" s="6">
        <v>1.3</v>
      </c>
      <c r="C10" s="10" t="s">
        <v>11</v>
      </c>
      <c r="D10" s="8">
        <v>0</v>
      </c>
      <c r="E10" s="8">
        <v>0</v>
      </c>
      <c r="F10" s="9">
        <v>0</v>
      </c>
      <c r="H10" s="92"/>
      <c r="I10" s="93"/>
      <c r="J10" s="94"/>
      <c r="L10" s="79"/>
      <c r="M10" s="70"/>
      <c r="N10" s="85"/>
      <c r="O10" s="72"/>
      <c r="P10" s="77"/>
      <c r="Q10" s="69"/>
      <c r="R10" s="78"/>
    </row>
    <row r="11" spans="2:18" ht="16.5" thickTop="1" thickBot="1" x14ac:dyDescent="0.3">
      <c r="B11" s="11">
        <v>1.4</v>
      </c>
      <c r="C11" s="12" t="s">
        <v>12</v>
      </c>
      <c r="D11" s="13">
        <v>0</v>
      </c>
      <c r="E11" s="13">
        <v>0</v>
      </c>
      <c r="F11" s="14">
        <v>0</v>
      </c>
      <c r="H11" s="92"/>
      <c r="I11" s="93"/>
      <c r="J11" s="94"/>
      <c r="K11" s="73"/>
      <c r="L11" s="79"/>
      <c r="M11" s="70"/>
      <c r="N11" s="85"/>
      <c r="O11" s="73"/>
      <c r="P11" s="77"/>
      <c r="Q11" s="69"/>
      <c r="R11" s="78"/>
    </row>
    <row r="12" spans="2:18" ht="15.75" thickBot="1" x14ac:dyDescent="0.3">
      <c r="B12" s="114" t="s">
        <v>13</v>
      </c>
      <c r="C12" s="116"/>
      <c r="D12" s="15">
        <v>0</v>
      </c>
      <c r="E12" s="15">
        <v>0</v>
      </c>
      <c r="F12" s="16">
        <v>0</v>
      </c>
      <c r="H12" s="92"/>
      <c r="I12" s="93"/>
      <c r="J12" s="94"/>
      <c r="L12" s="79"/>
      <c r="M12" s="70"/>
      <c r="N12" s="85"/>
      <c r="O12" s="72"/>
      <c r="P12" s="77"/>
      <c r="Q12" s="69"/>
      <c r="R12" s="78"/>
    </row>
    <row r="13" spans="2:18" ht="18" customHeight="1" thickBot="1" x14ac:dyDescent="0.3">
      <c r="B13" s="118" t="s">
        <v>14</v>
      </c>
      <c r="C13" s="126"/>
      <c r="D13" s="119"/>
      <c r="E13" s="119"/>
      <c r="F13" s="120"/>
      <c r="H13" s="92"/>
      <c r="I13" s="93"/>
      <c r="J13" s="94"/>
      <c r="L13" s="79"/>
      <c r="M13" s="70"/>
      <c r="N13" s="85"/>
      <c r="O13" s="72"/>
      <c r="P13" s="77"/>
      <c r="Q13" s="69"/>
      <c r="R13" s="78"/>
    </row>
    <row r="14" spans="2:18" ht="15.75" thickBot="1" x14ac:dyDescent="0.3">
      <c r="B14" s="44">
        <v>2.1</v>
      </c>
      <c r="C14" s="45" t="s">
        <v>15</v>
      </c>
      <c r="D14" s="20">
        <v>10000</v>
      </c>
      <c r="E14" s="20">
        <f>D14*E1</f>
        <v>1900</v>
      </c>
      <c r="F14" s="21">
        <f>D14+E14</f>
        <v>11900</v>
      </c>
      <c r="H14" s="95"/>
      <c r="I14" s="96"/>
      <c r="J14" s="97"/>
      <c r="L14" s="79"/>
      <c r="M14" s="70"/>
      <c r="N14" s="85"/>
      <c r="O14" s="72"/>
      <c r="P14" s="81"/>
      <c r="Q14" s="71"/>
      <c r="R14" s="80"/>
    </row>
    <row r="15" spans="2:18" ht="15.75" thickBot="1" x14ac:dyDescent="0.3">
      <c r="B15" s="127" t="s">
        <v>16</v>
      </c>
      <c r="C15" s="128"/>
      <c r="D15" s="22">
        <f>D14</f>
        <v>10000</v>
      </c>
      <c r="E15" s="22">
        <f>E14</f>
        <v>1900</v>
      </c>
      <c r="F15" s="23">
        <f>F14</f>
        <v>11900</v>
      </c>
      <c r="H15" s="95"/>
      <c r="I15" s="96"/>
      <c r="J15" s="97"/>
      <c r="L15" s="79"/>
      <c r="M15" s="70"/>
      <c r="N15" s="85"/>
      <c r="O15" s="72"/>
      <c r="P15" s="81"/>
      <c r="Q15" s="71"/>
      <c r="R15" s="80"/>
    </row>
    <row r="16" spans="2:18" ht="14.1" customHeight="1" thickBot="1" x14ac:dyDescent="0.3">
      <c r="B16" s="118" t="s">
        <v>17</v>
      </c>
      <c r="C16" s="119"/>
      <c r="D16" s="119"/>
      <c r="E16" s="119"/>
      <c r="F16" s="120"/>
      <c r="H16" s="95"/>
      <c r="I16" s="96"/>
      <c r="J16" s="97"/>
      <c r="L16" s="79"/>
      <c r="M16" s="70"/>
      <c r="N16" s="85"/>
      <c r="O16" s="72"/>
      <c r="P16" s="77"/>
      <c r="Q16" s="69"/>
      <c r="R16" s="78"/>
    </row>
    <row r="17" spans="2:24" ht="15.75" thickBot="1" x14ac:dyDescent="0.3">
      <c r="B17" s="17">
        <v>3.1</v>
      </c>
      <c r="C17" s="24" t="s">
        <v>18</v>
      </c>
      <c r="D17" s="25">
        <v>0</v>
      </c>
      <c r="E17" s="25">
        <v>0</v>
      </c>
      <c r="F17" s="26">
        <v>0</v>
      </c>
      <c r="H17" s="95"/>
      <c r="I17" s="96"/>
      <c r="J17" s="97"/>
      <c r="L17" s="79"/>
      <c r="M17" s="70"/>
      <c r="N17" s="85"/>
      <c r="O17" s="72"/>
      <c r="P17" s="77"/>
      <c r="Q17" s="69"/>
      <c r="R17" s="78"/>
    </row>
    <row r="18" spans="2:24" ht="15.75" thickBot="1" x14ac:dyDescent="0.3">
      <c r="B18" s="17"/>
      <c r="C18" s="24" t="s">
        <v>19</v>
      </c>
      <c r="D18" s="27">
        <v>0</v>
      </c>
      <c r="E18" s="27">
        <v>0</v>
      </c>
      <c r="F18" s="28">
        <v>0</v>
      </c>
      <c r="H18" s="95"/>
      <c r="I18" s="96"/>
      <c r="J18" s="97"/>
      <c r="L18" s="79"/>
      <c r="M18" s="70"/>
      <c r="N18" s="85"/>
      <c r="O18" s="72"/>
      <c r="P18" s="77"/>
      <c r="Q18" s="69"/>
      <c r="R18" s="78"/>
    </row>
    <row r="19" spans="2:24" ht="15.75" thickBot="1" x14ac:dyDescent="0.3">
      <c r="B19" s="17"/>
      <c r="C19" s="24" t="s">
        <v>20</v>
      </c>
      <c r="D19" s="27">
        <v>0</v>
      </c>
      <c r="E19" s="27">
        <v>0</v>
      </c>
      <c r="F19" s="28">
        <v>0</v>
      </c>
      <c r="H19" s="95"/>
      <c r="I19" s="96"/>
      <c r="J19" s="97"/>
      <c r="L19" s="79"/>
      <c r="M19" s="70"/>
      <c r="N19" s="85"/>
      <c r="O19" s="72"/>
      <c r="P19" s="77"/>
      <c r="Q19" s="69"/>
      <c r="R19" s="78"/>
    </row>
    <row r="20" spans="2:24" ht="15.75" thickBot="1" x14ac:dyDescent="0.3">
      <c r="B20" s="11"/>
      <c r="C20" s="12" t="s">
        <v>21</v>
      </c>
      <c r="D20" s="13">
        <v>0</v>
      </c>
      <c r="E20" s="13">
        <v>0</v>
      </c>
      <c r="F20" s="14">
        <v>0</v>
      </c>
      <c r="H20" s="95"/>
      <c r="I20" s="96"/>
      <c r="J20" s="97"/>
      <c r="L20" s="79"/>
      <c r="M20" s="70"/>
      <c r="N20" s="85"/>
      <c r="O20" s="72"/>
      <c r="P20" s="77"/>
      <c r="Q20" s="69"/>
      <c r="R20" s="78"/>
    </row>
    <row r="21" spans="2:24" ht="27.95" customHeight="1" thickBot="1" x14ac:dyDescent="0.3">
      <c r="B21" s="45">
        <v>3.2</v>
      </c>
      <c r="C21" s="40" t="s">
        <v>65</v>
      </c>
      <c r="D21" s="57">
        <v>3000</v>
      </c>
      <c r="E21" s="57">
        <f>D21*E1</f>
        <v>570</v>
      </c>
      <c r="F21" s="47">
        <f>D21+E21</f>
        <v>3570</v>
      </c>
      <c r="H21" s="95"/>
      <c r="I21" s="96"/>
      <c r="J21" s="97"/>
      <c r="L21" s="79"/>
      <c r="M21" s="70"/>
      <c r="N21" s="85"/>
      <c r="O21" s="72"/>
      <c r="P21" s="81"/>
      <c r="Q21" s="71"/>
      <c r="R21" s="80"/>
      <c r="W21" s="101"/>
      <c r="X21" s="102" t="e">
        <f>V21/W21</f>
        <v>#DIV/0!</v>
      </c>
    </row>
    <row r="22" spans="2:24" ht="15.75" thickBot="1" x14ac:dyDescent="0.3">
      <c r="B22" s="6">
        <v>3.3</v>
      </c>
      <c r="C22" s="7" t="s">
        <v>22</v>
      </c>
      <c r="D22" s="58">
        <v>2000</v>
      </c>
      <c r="E22" s="58">
        <f>D22*E1</f>
        <v>380</v>
      </c>
      <c r="F22" s="31">
        <f>D22+E22</f>
        <v>2380</v>
      </c>
      <c r="H22" s="95"/>
      <c r="I22" s="96"/>
      <c r="J22" s="97"/>
      <c r="L22" s="79"/>
      <c r="M22" s="70"/>
      <c r="N22" s="85"/>
      <c r="O22" s="72"/>
      <c r="P22" s="81"/>
      <c r="Q22" s="71"/>
      <c r="R22" s="80"/>
    </row>
    <row r="23" spans="2:24" ht="27.95" customHeight="1" thickTop="1" thickBot="1" x14ac:dyDescent="0.3">
      <c r="B23" s="6">
        <v>3.4</v>
      </c>
      <c r="C23" s="10" t="s">
        <v>23</v>
      </c>
      <c r="D23" s="8">
        <v>0</v>
      </c>
      <c r="E23" s="8">
        <v>0</v>
      </c>
      <c r="F23" s="9">
        <v>0</v>
      </c>
      <c r="H23" s="95"/>
      <c r="I23" s="96"/>
      <c r="J23" s="97"/>
      <c r="L23" s="79"/>
      <c r="M23" s="70"/>
      <c r="N23" s="85"/>
      <c r="O23" s="72"/>
      <c r="P23" s="77"/>
      <c r="Q23" s="69"/>
      <c r="R23" s="78"/>
    </row>
    <row r="24" spans="2:24" ht="16.5" thickTop="1" thickBot="1" x14ac:dyDescent="0.3">
      <c r="B24" s="17">
        <v>3.5</v>
      </c>
      <c r="C24" s="24" t="s">
        <v>24</v>
      </c>
      <c r="D24" s="22">
        <f>SUM(D25:D30)</f>
        <v>12000</v>
      </c>
      <c r="E24" s="22">
        <f>SUM(E25:E30)</f>
        <v>2280</v>
      </c>
      <c r="F24" s="32">
        <f>SUM(F25:F30)</f>
        <v>14280</v>
      </c>
      <c r="H24" s="95"/>
      <c r="I24" s="96"/>
      <c r="J24" s="97"/>
      <c r="L24" s="79"/>
      <c r="M24" s="70"/>
      <c r="N24" s="85"/>
      <c r="O24" s="72"/>
      <c r="P24" s="81"/>
      <c r="Q24" s="71"/>
      <c r="R24" s="80"/>
    </row>
    <row r="25" spans="2:24" ht="13.5" customHeight="1" thickBot="1" x14ac:dyDescent="0.3">
      <c r="B25" s="17"/>
      <c r="C25" s="33" t="s">
        <v>25</v>
      </c>
      <c r="D25" s="27">
        <v>0</v>
      </c>
      <c r="E25" s="27">
        <v>0</v>
      </c>
      <c r="F25" s="28">
        <v>0</v>
      </c>
      <c r="H25" s="92"/>
      <c r="I25" s="93"/>
      <c r="J25" s="94"/>
      <c r="L25" s="79"/>
      <c r="M25" s="70"/>
      <c r="N25" s="85"/>
      <c r="O25" s="72"/>
      <c r="P25" s="77"/>
      <c r="Q25" s="69"/>
      <c r="R25" s="78"/>
    </row>
    <row r="26" spans="2:24" ht="15.6" customHeight="1" thickBot="1" x14ac:dyDescent="0.3">
      <c r="B26" s="17"/>
      <c r="C26" s="33" t="s">
        <v>26</v>
      </c>
      <c r="D26" s="27">
        <v>0</v>
      </c>
      <c r="E26" s="27">
        <v>0</v>
      </c>
      <c r="F26" s="28">
        <v>0</v>
      </c>
      <c r="H26" s="92"/>
      <c r="I26" s="93"/>
      <c r="J26" s="94"/>
      <c r="L26" s="79"/>
      <c r="M26" s="70"/>
      <c r="N26" s="85"/>
      <c r="O26" s="72"/>
      <c r="P26" s="77"/>
      <c r="Q26" s="69"/>
      <c r="R26" s="78"/>
    </row>
    <row r="27" spans="2:24" ht="30" customHeight="1" thickBot="1" x14ac:dyDescent="0.3">
      <c r="B27" s="17"/>
      <c r="C27" s="33" t="s">
        <v>27</v>
      </c>
      <c r="D27" s="20">
        <v>5000</v>
      </c>
      <c r="E27" s="59">
        <f>D27*E1</f>
        <v>950</v>
      </c>
      <c r="F27" s="21">
        <f>SUM(D27:E27)</f>
        <v>5950</v>
      </c>
      <c r="H27" s="92"/>
      <c r="I27" s="93"/>
      <c r="J27" s="94"/>
      <c r="L27" s="79"/>
      <c r="M27" s="70"/>
      <c r="N27" s="85"/>
      <c r="O27" s="72"/>
      <c r="P27" s="81"/>
      <c r="Q27" s="71"/>
      <c r="R27" s="80"/>
    </row>
    <row r="28" spans="2:24" ht="30.75" thickBot="1" x14ac:dyDescent="0.3">
      <c r="B28" s="48"/>
      <c r="C28" s="51" t="s">
        <v>66</v>
      </c>
      <c r="D28" s="49">
        <v>1000</v>
      </c>
      <c r="E28" s="60">
        <f>D28*E1</f>
        <v>190</v>
      </c>
      <c r="F28" s="21">
        <f t="shared" ref="F28:F30" si="0">SUM(D28:E28)</f>
        <v>1190</v>
      </c>
      <c r="H28" s="92"/>
      <c r="I28" s="93"/>
      <c r="J28" s="94"/>
      <c r="L28" s="79"/>
      <c r="M28" s="70"/>
      <c r="N28" s="85"/>
      <c r="O28" s="72"/>
      <c r="P28" s="81"/>
      <c r="Q28" s="71"/>
      <c r="R28" s="80"/>
    </row>
    <row r="29" spans="2:24" ht="30.75" thickBot="1" x14ac:dyDescent="0.3">
      <c r="B29" s="45"/>
      <c r="C29" s="40" t="s">
        <v>67</v>
      </c>
      <c r="D29" s="52">
        <v>1000</v>
      </c>
      <c r="E29" s="57">
        <f>D29*E1</f>
        <v>190</v>
      </c>
      <c r="F29" s="21">
        <f t="shared" si="0"/>
        <v>1190</v>
      </c>
      <c r="H29" s="92"/>
      <c r="I29" s="93"/>
      <c r="J29" s="94"/>
      <c r="L29" s="79"/>
      <c r="M29" s="70"/>
      <c r="N29" s="85"/>
      <c r="O29" s="72"/>
      <c r="P29" s="81"/>
      <c r="Q29" s="71"/>
      <c r="R29" s="80"/>
    </row>
    <row r="30" spans="2:24" ht="15.75" thickBot="1" x14ac:dyDescent="0.3">
      <c r="B30" s="6"/>
      <c r="C30" s="10" t="s">
        <v>28</v>
      </c>
      <c r="D30" s="34">
        <v>5000</v>
      </c>
      <c r="E30" s="58">
        <f>D30*E1</f>
        <v>950</v>
      </c>
      <c r="F30" s="21">
        <f t="shared" si="0"/>
        <v>5950</v>
      </c>
      <c r="H30" s="92"/>
      <c r="I30" s="93"/>
      <c r="J30" s="94"/>
      <c r="L30" s="79"/>
      <c r="M30" s="70"/>
      <c r="N30" s="85"/>
      <c r="O30" s="72"/>
      <c r="P30" s="81"/>
      <c r="Q30" s="71"/>
      <c r="R30" s="80"/>
    </row>
    <row r="31" spans="2:24" ht="17.45" customHeight="1" thickTop="1" thickBot="1" x14ac:dyDescent="0.3">
      <c r="B31" s="6">
        <v>3.6</v>
      </c>
      <c r="C31" s="10" t="s">
        <v>29</v>
      </c>
      <c r="D31" s="8">
        <v>0</v>
      </c>
      <c r="E31" s="8">
        <v>0</v>
      </c>
      <c r="F31" s="9">
        <v>0</v>
      </c>
      <c r="H31" s="92"/>
      <c r="I31" s="93"/>
      <c r="J31" s="94"/>
      <c r="K31" s="73"/>
      <c r="L31" s="79"/>
      <c r="M31" s="70"/>
      <c r="N31" s="85"/>
      <c r="O31" s="73"/>
      <c r="P31" s="77"/>
      <c r="Q31" s="69"/>
      <c r="R31" s="78"/>
    </row>
    <row r="32" spans="2:24" ht="17.100000000000001" customHeight="1" thickTop="1" thickBot="1" x14ac:dyDescent="0.3">
      <c r="B32" s="17">
        <v>3.7</v>
      </c>
      <c r="C32" s="33" t="s">
        <v>30</v>
      </c>
      <c r="D32" s="22">
        <f>SUM(D33:D34)</f>
        <v>10000</v>
      </c>
      <c r="E32" s="22">
        <f>SUM(E33:E34)</f>
        <v>1900</v>
      </c>
      <c r="F32" s="32">
        <f>SUM(F33:F34)</f>
        <v>11900</v>
      </c>
      <c r="H32" s="92"/>
      <c r="I32" s="93"/>
      <c r="J32" s="94"/>
      <c r="K32" s="73"/>
      <c r="L32" s="79"/>
      <c r="M32" s="70"/>
      <c r="N32" s="85"/>
      <c r="O32" s="73"/>
      <c r="P32" s="81"/>
      <c r="Q32" s="71"/>
      <c r="R32" s="80"/>
    </row>
    <row r="33" spans="2:18" ht="29.45" customHeight="1" thickBot="1" x14ac:dyDescent="0.3">
      <c r="B33" s="17"/>
      <c r="C33" s="33" t="s">
        <v>31</v>
      </c>
      <c r="D33" s="20">
        <v>5000</v>
      </c>
      <c r="E33" s="59">
        <f>D33*E1</f>
        <v>950</v>
      </c>
      <c r="F33" s="21">
        <f>SUM(D33:E33)</f>
        <v>5950</v>
      </c>
      <c r="H33" s="92"/>
      <c r="I33" s="93"/>
      <c r="J33" s="94"/>
      <c r="K33" s="73"/>
      <c r="L33" s="79"/>
      <c r="M33" s="70"/>
      <c r="N33" s="85"/>
      <c r="O33" s="73"/>
      <c r="P33" s="81"/>
      <c r="Q33" s="71"/>
      <c r="R33" s="80"/>
    </row>
    <row r="34" spans="2:18" ht="15.75" thickBot="1" x14ac:dyDescent="0.3">
      <c r="B34" s="6"/>
      <c r="C34" s="51" t="s">
        <v>32</v>
      </c>
      <c r="D34" s="52">
        <v>5000</v>
      </c>
      <c r="E34" s="62">
        <f>D34*E1</f>
        <v>950</v>
      </c>
      <c r="F34" s="63">
        <f>SUM(D34:E34)</f>
        <v>5950</v>
      </c>
      <c r="H34" s="92"/>
      <c r="I34" s="93"/>
      <c r="J34" s="94"/>
      <c r="K34" s="73"/>
      <c r="L34" s="79"/>
      <c r="M34" s="70"/>
      <c r="N34" s="85"/>
      <c r="O34" s="73"/>
      <c r="P34" s="81"/>
      <c r="Q34" s="71"/>
      <c r="R34" s="80"/>
    </row>
    <row r="35" spans="2:18" ht="16.5" customHeight="1" thickTop="1" thickBot="1" x14ac:dyDescent="0.3">
      <c r="B35" s="17">
        <v>3.8</v>
      </c>
      <c r="C35" s="33" t="s">
        <v>33</v>
      </c>
      <c r="D35" s="22">
        <f>D36</f>
        <v>10000</v>
      </c>
      <c r="E35" s="61">
        <f>SUM(E36:E38)</f>
        <v>3800</v>
      </c>
      <c r="F35" s="32">
        <f>SUM(F36:F38)</f>
        <v>23800</v>
      </c>
      <c r="H35" s="92"/>
      <c r="I35" s="93"/>
      <c r="J35" s="94"/>
      <c r="K35" s="73"/>
      <c r="L35" s="79"/>
      <c r="M35" s="70"/>
      <c r="N35" s="85"/>
      <c r="O35" s="73"/>
      <c r="P35" s="81"/>
      <c r="Q35" s="71"/>
      <c r="R35" s="80"/>
    </row>
    <row r="36" spans="2:18" ht="15.75" thickBot="1" x14ac:dyDescent="0.3">
      <c r="B36" s="17"/>
      <c r="C36" s="24" t="s">
        <v>34</v>
      </c>
      <c r="D36" s="20">
        <v>10000</v>
      </c>
      <c r="E36" s="59">
        <f>D36*E1</f>
        <v>1900</v>
      </c>
      <c r="F36" s="47">
        <f>SUM(D36:E36)</f>
        <v>11900</v>
      </c>
      <c r="H36" s="92"/>
      <c r="I36" s="93"/>
      <c r="J36" s="94"/>
      <c r="K36" s="73"/>
      <c r="L36" s="79"/>
      <c r="M36" s="70"/>
      <c r="N36" s="85"/>
      <c r="O36" s="73"/>
      <c r="P36" s="81"/>
      <c r="Q36" s="71"/>
      <c r="R36" s="80"/>
    </row>
    <row r="37" spans="2:18" ht="14.45" customHeight="1" thickBot="1" x14ac:dyDescent="0.3">
      <c r="B37" s="45"/>
      <c r="C37" s="45" t="s">
        <v>35</v>
      </c>
      <c r="D37" s="67">
        <v>5000</v>
      </c>
      <c r="E37" s="62">
        <f>D37*E1</f>
        <v>950</v>
      </c>
      <c r="F37" s="47">
        <f t="shared" ref="F37:F38" si="1">SUM(D37:E37)</f>
        <v>5950</v>
      </c>
      <c r="H37" s="92"/>
      <c r="I37" s="93"/>
      <c r="J37" s="94"/>
      <c r="K37" s="73"/>
      <c r="L37" s="79"/>
      <c r="M37" s="70"/>
      <c r="N37" s="85"/>
      <c r="O37" s="73"/>
      <c r="P37" s="81"/>
      <c r="Q37" s="71"/>
      <c r="R37" s="80"/>
    </row>
    <row r="38" spans="2:18" ht="42.95" customHeight="1" thickBot="1" x14ac:dyDescent="0.3">
      <c r="B38" s="45"/>
      <c r="C38" s="51" t="s">
        <v>68</v>
      </c>
      <c r="D38" s="52">
        <v>5000</v>
      </c>
      <c r="E38" s="57">
        <f>D38*E1</f>
        <v>950</v>
      </c>
      <c r="F38" s="47">
        <f t="shared" si="1"/>
        <v>5950</v>
      </c>
      <c r="H38" s="92"/>
      <c r="I38" s="93"/>
      <c r="J38" s="94"/>
      <c r="K38" s="73"/>
      <c r="L38" s="79"/>
      <c r="M38" s="70"/>
      <c r="N38" s="85"/>
      <c r="O38" s="73"/>
      <c r="P38" s="81"/>
      <c r="Q38" s="71"/>
      <c r="R38" s="80"/>
    </row>
    <row r="39" spans="2:18" ht="15.75" thickBot="1" x14ac:dyDescent="0.3">
      <c r="B39" s="11"/>
      <c r="C39" s="30" t="s">
        <v>36</v>
      </c>
      <c r="D39" s="13">
        <v>0</v>
      </c>
      <c r="E39" s="13">
        <v>0</v>
      </c>
      <c r="F39" s="14">
        <v>0</v>
      </c>
      <c r="H39" s="92"/>
      <c r="I39" s="93"/>
      <c r="J39" s="94"/>
      <c r="K39" s="73"/>
      <c r="L39" s="79"/>
      <c r="M39" s="70"/>
      <c r="N39" s="85"/>
      <c r="O39" s="73"/>
      <c r="P39" s="77"/>
      <c r="Q39" s="69"/>
      <c r="R39" s="78"/>
    </row>
    <row r="40" spans="2:18" ht="15.75" thickBot="1" x14ac:dyDescent="0.3">
      <c r="B40" s="114" t="s">
        <v>37</v>
      </c>
      <c r="C40" s="116"/>
      <c r="D40" s="35">
        <f>D17+D21+D22+D23+D24+D31+D32+D35</f>
        <v>37000</v>
      </c>
      <c r="E40" s="35">
        <f>D40*E1</f>
        <v>7030</v>
      </c>
      <c r="F40" s="36">
        <f>D40+E40</f>
        <v>44030</v>
      </c>
      <c r="H40" s="92"/>
      <c r="I40" s="93"/>
      <c r="J40" s="94"/>
      <c r="L40" s="79"/>
      <c r="M40" s="70"/>
      <c r="N40" s="85"/>
      <c r="O40" s="72"/>
      <c r="P40" s="81"/>
      <c r="Q40" s="71"/>
      <c r="R40" s="80"/>
    </row>
    <row r="41" spans="2:18" ht="15.75" thickBot="1" x14ac:dyDescent="0.3">
      <c r="B41" s="123" t="s">
        <v>38</v>
      </c>
      <c r="C41" s="124"/>
      <c r="D41" s="124"/>
      <c r="E41" s="124"/>
      <c r="F41" s="125"/>
      <c r="H41" s="92"/>
      <c r="I41" s="93"/>
      <c r="J41" s="94"/>
      <c r="L41" s="79"/>
      <c r="M41" s="70"/>
      <c r="N41" s="85"/>
      <c r="O41" s="72"/>
      <c r="P41" s="77"/>
      <c r="Q41" s="69"/>
      <c r="R41" s="78"/>
    </row>
    <row r="42" spans="2:18" ht="15.75" thickBot="1" x14ac:dyDescent="0.3">
      <c r="B42" s="17">
        <v>4.0999999999999996</v>
      </c>
      <c r="C42" s="18" t="s">
        <v>39</v>
      </c>
      <c r="D42" s="37">
        <v>0</v>
      </c>
      <c r="E42" s="27">
        <v>0</v>
      </c>
      <c r="F42" s="28">
        <v>0</v>
      </c>
      <c r="H42" s="92"/>
      <c r="I42" s="93"/>
      <c r="J42" s="94"/>
      <c r="L42" s="79"/>
      <c r="M42" s="70"/>
      <c r="N42" s="85"/>
      <c r="O42" s="72"/>
      <c r="P42" s="77"/>
      <c r="Q42" s="69"/>
      <c r="R42" s="78"/>
    </row>
    <row r="43" spans="2:18" ht="15.75" thickBot="1" x14ac:dyDescent="0.3">
      <c r="B43" s="17">
        <v>4.2</v>
      </c>
      <c r="C43" s="38" t="s">
        <v>40</v>
      </c>
      <c r="D43" s="20">
        <v>1984000</v>
      </c>
      <c r="E43" s="20">
        <f>D43*E1</f>
        <v>376960</v>
      </c>
      <c r="F43" s="21">
        <f>D43+E43</f>
        <v>2360960</v>
      </c>
      <c r="H43" s="92"/>
      <c r="I43" s="93"/>
      <c r="J43" s="94"/>
      <c r="L43" s="79"/>
      <c r="M43" s="70"/>
      <c r="N43" s="85"/>
      <c r="O43" s="72"/>
      <c r="P43" s="81"/>
      <c r="Q43" s="71"/>
      <c r="R43" s="80"/>
    </row>
    <row r="44" spans="2:18" ht="27.6" customHeight="1" thickBot="1" x14ac:dyDescent="0.3">
      <c r="B44" s="17">
        <v>4.3</v>
      </c>
      <c r="C44" s="33" t="s">
        <v>41</v>
      </c>
      <c r="D44" s="20">
        <v>2983406.49</v>
      </c>
      <c r="E44" s="20">
        <f>D44*E1</f>
        <v>566847.23310000007</v>
      </c>
      <c r="F44" s="21">
        <f>D44+E44</f>
        <v>3550253.7231000001</v>
      </c>
      <c r="H44" s="92">
        <f>SUM(D43:D44)</f>
        <v>4967406.49</v>
      </c>
      <c r="I44" s="93"/>
      <c r="J44" s="94"/>
      <c r="L44" s="79"/>
      <c r="M44" s="70"/>
      <c r="N44" s="85"/>
      <c r="O44" s="72"/>
      <c r="P44" s="81"/>
      <c r="Q44" s="71"/>
      <c r="R44" s="80"/>
    </row>
    <row r="45" spans="2:18" ht="45.75" thickBot="1" x14ac:dyDescent="0.3">
      <c r="B45" s="17">
        <v>4.4000000000000004</v>
      </c>
      <c r="C45" s="33" t="s">
        <v>42</v>
      </c>
      <c r="D45" s="27">
        <v>0</v>
      </c>
      <c r="E45" s="27">
        <v>0</v>
      </c>
      <c r="F45" s="28">
        <v>0</v>
      </c>
      <c r="H45" s="92">
        <f>H44*0.5</f>
        <v>2483703.2450000001</v>
      </c>
      <c r="I45" s="93"/>
      <c r="J45" s="94"/>
      <c r="L45" s="79"/>
      <c r="M45" s="70"/>
      <c r="N45" s="85"/>
      <c r="O45" s="72"/>
      <c r="P45" s="77"/>
      <c r="Q45" s="69"/>
      <c r="R45" s="78"/>
    </row>
    <row r="46" spans="2:18" ht="15.75" thickBot="1" x14ac:dyDescent="0.3">
      <c r="B46" s="17">
        <v>4.5</v>
      </c>
      <c r="C46" s="33" t="s">
        <v>43</v>
      </c>
      <c r="D46" s="27">
        <v>0</v>
      </c>
      <c r="E46" s="27">
        <v>0</v>
      </c>
      <c r="F46" s="28">
        <v>0</v>
      </c>
      <c r="H46" s="92"/>
      <c r="I46" s="93"/>
      <c r="J46" s="94"/>
      <c r="L46" s="79"/>
      <c r="M46" s="70"/>
      <c r="N46" s="85"/>
      <c r="O46" s="72"/>
      <c r="P46" s="77"/>
      <c r="Q46" s="69"/>
      <c r="R46" s="78"/>
    </row>
    <row r="47" spans="2:18" ht="15.95" customHeight="1" thickBot="1" x14ac:dyDescent="0.3">
      <c r="B47" s="11">
        <v>4.5999999999999996</v>
      </c>
      <c r="C47" s="30" t="s">
        <v>44</v>
      </c>
      <c r="D47" s="13">
        <v>0</v>
      </c>
      <c r="E47" s="13">
        <v>0</v>
      </c>
      <c r="F47" s="14">
        <v>0</v>
      </c>
      <c r="H47" s="92"/>
      <c r="I47" s="93"/>
      <c r="J47" s="94"/>
      <c r="L47" s="79"/>
      <c r="M47" s="70"/>
      <c r="N47" s="85"/>
      <c r="O47" s="72"/>
      <c r="P47" s="103"/>
      <c r="Q47" s="69"/>
      <c r="R47" s="78"/>
    </row>
    <row r="48" spans="2:18" ht="15.75" thickBot="1" x14ac:dyDescent="0.3">
      <c r="B48" s="114" t="s">
        <v>45</v>
      </c>
      <c r="C48" s="116"/>
      <c r="D48" s="35">
        <f>SUM(D42:D47)</f>
        <v>4967406.49</v>
      </c>
      <c r="E48" s="35">
        <f>SUM(E42:E47)</f>
        <v>943807.23310000007</v>
      </c>
      <c r="F48" s="35">
        <f>SUM(F42:F47)</f>
        <v>5911213.7231000001</v>
      </c>
      <c r="H48" s="92"/>
      <c r="I48" s="93"/>
      <c r="J48" s="94"/>
      <c r="L48" s="79"/>
      <c r="M48" s="70"/>
      <c r="N48" s="85"/>
      <c r="O48" s="72"/>
      <c r="P48" s="81"/>
      <c r="Q48" s="71"/>
      <c r="R48" s="80"/>
    </row>
    <row r="49" spans="2:18" ht="15.75" thickBot="1" x14ac:dyDescent="0.3">
      <c r="B49" s="123" t="s">
        <v>46</v>
      </c>
      <c r="C49" s="124"/>
      <c r="D49" s="124"/>
      <c r="E49" s="124"/>
      <c r="F49" s="125"/>
      <c r="H49" s="92"/>
      <c r="I49" s="93"/>
      <c r="J49" s="94"/>
      <c r="L49" s="79"/>
      <c r="M49" s="70"/>
      <c r="N49" s="85"/>
      <c r="O49" s="72"/>
      <c r="P49" s="77"/>
      <c r="Q49" s="69"/>
      <c r="R49" s="78"/>
    </row>
    <row r="50" spans="2:18" ht="17.45" customHeight="1" thickBot="1" x14ac:dyDescent="0.3">
      <c r="B50" s="17">
        <v>5.0999999999999996</v>
      </c>
      <c r="C50" s="29" t="s">
        <v>47</v>
      </c>
      <c r="D50" s="39">
        <v>2000</v>
      </c>
      <c r="E50" s="64">
        <f>D50*E1</f>
        <v>380</v>
      </c>
      <c r="F50" s="32">
        <f>SUM(D50:E50)</f>
        <v>2380</v>
      </c>
      <c r="H50" s="92"/>
      <c r="I50" s="93"/>
      <c r="J50" s="94"/>
      <c r="L50" s="79"/>
      <c r="M50" s="70"/>
      <c r="N50" s="85"/>
      <c r="O50" s="72"/>
      <c r="P50" s="81"/>
      <c r="Q50" s="71"/>
      <c r="R50" s="80"/>
    </row>
    <row r="51" spans="2:18" ht="30.6" customHeight="1" thickBot="1" x14ac:dyDescent="0.3">
      <c r="B51" s="17"/>
      <c r="C51" s="40" t="s">
        <v>48</v>
      </c>
      <c r="D51" s="27">
        <v>0</v>
      </c>
      <c r="E51" s="27">
        <v>0</v>
      </c>
      <c r="F51" s="28">
        <v>0</v>
      </c>
      <c r="H51" s="79"/>
      <c r="I51" s="70"/>
      <c r="J51" s="85"/>
      <c r="L51" s="79"/>
      <c r="M51" s="70"/>
      <c r="N51" s="85"/>
      <c r="O51" s="72"/>
      <c r="P51" s="77"/>
      <c r="Q51" s="69"/>
      <c r="R51" s="78"/>
    </row>
    <row r="52" spans="2:18" ht="15.75" thickBot="1" x14ac:dyDescent="0.3">
      <c r="B52" s="6"/>
      <c r="C52" s="7" t="s">
        <v>49</v>
      </c>
      <c r="D52" s="34">
        <v>2000</v>
      </c>
      <c r="E52" s="59">
        <f>D52*E1</f>
        <v>380</v>
      </c>
      <c r="F52" s="21">
        <f>SUM(D52:E52)</f>
        <v>2380</v>
      </c>
      <c r="H52" s="92"/>
      <c r="I52" s="93"/>
      <c r="J52" s="94"/>
      <c r="L52" s="79"/>
      <c r="M52" s="70"/>
      <c r="N52" s="85"/>
      <c r="O52" s="72"/>
      <c r="P52" s="81"/>
      <c r="Q52" s="71"/>
      <c r="R52" s="80"/>
    </row>
    <row r="53" spans="2:18" ht="18" customHeight="1" thickTop="1" thickBot="1" x14ac:dyDescent="0.3">
      <c r="B53" s="17">
        <v>5.2</v>
      </c>
      <c r="C53" s="33" t="s">
        <v>50</v>
      </c>
      <c r="D53" s="25">
        <v>0</v>
      </c>
      <c r="E53" s="25">
        <v>0</v>
      </c>
      <c r="F53" s="26">
        <v>0</v>
      </c>
      <c r="H53" s="79"/>
      <c r="I53" s="70"/>
      <c r="J53" s="85"/>
      <c r="L53" s="79"/>
      <c r="M53" s="70"/>
      <c r="N53" s="85"/>
      <c r="O53" s="72"/>
      <c r="P53" s="77"/>
      <c r="Q53" s="69"/>
      <c r="R53" s="78"/>
    </row>
    <row r="54" spans="2:18" ht="30.75" thickBot="1" x14ac:dyDescent="0.3">
      <c r="B54" s="48"/>
      <c r="C54" s="55" t="s">
        <v>69</v>
      </c>
      <c r="D54" s="50">
        <v>0</v>
      </c>
      <c r="E54" s="50">
        <v>0</v>
      </c>
      <c r="F54" s="53">
        <v>0</v>
      </c>
      <c r="H54" s="79"/>
      <c r="I54" s="70"/>
      <c r="J54" s="85"/>
      <c r="L54" s="79"/>
      <c r="M54" s="70"/>
      <c r="N54" s="85"/>
      <c r="O54" s="72"/>
      <c r="P54" s="77"/>
      <c r="Q54" s="69"/>
      <c r="R54" s="78"/>
    </row>
    <row r="55" spans="2:18" ht="30.75" thickBot="1" x14ac:dyDescent="0.3">
      <c r="B55" s="48"/>
      <c r="C55" s="51" t="s">
        <v>71</v>
      </c>
      <c r="D55" s="50">
        <v>0</v>
      </c>
      <c r="E55" s="50">
        <v>0</v>
      </c>
      <c r="F55" s="53">
        <v>0</v>
      </c>
      <c r="H55" s="79"/>
      <c r="I55" s="70"/>
      <c r="J55" s="85"/>
      <c r="L55" s="79"/>
      <c r="M55" s="70"/>
      <c r="N55" s="85"/>
      <c r="O55" s="72"/>
      <c r="P55" s="77"/>
      <c r="Q55" s="69"/>
      <c r="R55" s="78"/>
    </row>
    <row r="56" spans="2:18" ht="45.75" thickBot="1" x14ac:dyDescent="0.3">
      <c r="B56" s="45"/>
      <c r="C56" s="56" t="s">
        <v>70</v>
      </c>
      <c r="D56" s="46">
        <v>0</v>
      </c>
      <c r="E56" s="46">
        <v>0</v>
      </c>
      <c r="F56" s="54">
        <v>0</v>
      </c>
      <c r="H56" s="79"/>
      <c r="I56" s="70"/>
      <c r="J56" s="85"/>
      <c r="L56" s="79"/>
      <c r="M56" s="70"/>
      <c r="N56" s="85"/>
      <c r="O56" s="72"/>
      <c r="P56" s="77"/>
      <c r="Q56" s="69"/>
      <c r="R56" s="78"/>
    </row>
    <row r="57" spans="2:18" ht="18.600000000000001" customHeight="1" thickBot="1" x14ac:dyDescent="0.3">
      <c r="B57" s="17"/>
      <c r="C57" s="33" t="s">
        <v>51</v>
      </c>
      <c r="D57" s="27">
        <v>0</v>
      </c>
      <c r="E57" s="27">
        <v>0</v>
      </c>
      <c r="F57" s="28">
        <v>0</v>
      </c>
      <c r="H57" s="79"/>
      <c r="I57" s="70"/>
      <c r="J57" s="85"/>
      <c r="L57" s="79"/>
      <c r="M57" s="70"/>
      <c r="N57" s="85"/>
      <c r="O57" s="72"/>
      <c r="P57" s="77"/>
      <c r="Q57" s="69"/>
      <c r="R57" s="78"/>
    </row>
    <row r="58" spans="2:18" ht="27" customHeight="1" thickBot="1" x14ac:dyDescent="0.3">
      <c r="B58" s="45"/>
      <c r="C58" s="40" t="s">
        <v>72</v>
      </c>
      <c r="D58" s="46">
        <v>0</v>
      </c>
      <c r="E58" s="46">
        <v>0</v>
      </c>
      <c r="F58" s="54">
        <v>0</v>
      </c>
      <c r="H58" s="79"/>
      <c r="I58" s="70"/>
      <c r="J58" s="85"/>
      <c r="L58" s="79"/>
      <c r="M58" s="70"/>
      <c r="N58" s="85"/>
      <c r="O58" s="72"/>
      <c r="P58" s="77"/>
      <c r="Q58" s="69"/>
      <c r="R58" s="78"/>
    </row>
    <row r="59" spans="2:18" ht="15.75" thickBot="1" x14ac:dyDescent="0.3">
      <c r="B59" s="6">
        <v>5.3</v>
      </c>
      <c r="C59" s="10" t="s">
        <v>52</v>
      </c>
      <c r="D59" s="8">
        <v>0</v>
      </c>
      <c r="E59" s="8">
        <v>0</v>
      </c>
      <c r="F59" s="9">
        <v>0</v>
      </c>
      <c r="H59" s="79"/>
      <c r="I59" s="70"/>
      <c r="J59" s="85"/>
      <c r="L59" s="79"/>
      <c r="M59" s="70"/>
      <c r="N59" s="85"/>
      <c r="O59" s="72"/>
      <c r="P59" s="77"/>
      <c r="Q59" s="69"/>
      <c r="R59" s="78"/>
    </row>
    <row r="60" spans="2:18" ht="16.5" thickTop="1" thickBot="1" x14ac:dyDescent="0.3">
      <c r="B60" s="11">
        <v>5.4</v>
      </c>
      <c r="C60" s="30" t="s">
        <v>53</v>
      </c>
      <c r="D60" s="13">
        <v>0</v>
      </c>
      <c r="E60" s="13">
        <v>0</v>
      </c>
      <c r="F60" s="14">
        <v>0</v>
      </c>
      <c r="H60" s="79"/>
      <c r="I60" s="70"/>
      <c r="J60" s="85"/>
      <c r="L60" s="79"/>
      <c r="M60" s="70"/>
      <c r="N60" s="85"/>
      <c r="O60" s="72"/>
      <c r="P60" s="77"/>
      <c r="Q60" s="69"/>
      <c r="R60" s="78"/>
    </row>
    <row r="61" spans="2:18" ht="15.75" thickBot="1" x14ac:dyDescent="0.3">
      <c r="B61" s="114" t="s">
        <v>54</v>
      </c>
      <c r="C61" s="116"/>
      <c r="D61" s="35">
        <f>D50</f>
        <v>2000</v>
      </c>
      <c r="E61" s="65">
        <f>E50</f>
        <v>380</v>
      </c>
      <c r="F61" s="36">
        <f>F50</f>
        <v>2380</v>
      </c>
      <c r="H61" s="92"/>
      <c r="I61" s="93"/>
      <c r="J61" s="94"/>
      <c r="L61" s="79"/>
      <c r="M61" s="70"/>
      <c r="N61" s="85"/>
      <c r="O61" s="72"/>
      <c r="P61" s="81"/>
      <c r="Q61" s="71"/>
      <c r="R61" s="80"/>
    </row>
    <row r="62" spans="2:18" ht="17.100000000000001" customHeight="1" thickBot="1" x14ac:dyDescent="0.3">
      <c r="B62" s="118" t="s">
        <v>55</v>
      </c>
      <c r="C62" s="119"/>
      <c r="D62" s="119"/>
      <c r="E62" s="119"/>
      <c r="F62" s="120"/>
      <c r="H62" s="92"/>
      <c r="I62" s="93"/>
      <c r="J62" s="94"/>
      <c r="L62" s="79"/>
      <c r="M62" s="70"/>
      <c r="N62" s="85"/>
      <c r="O62" s="72"/>
      <c r="P62" s="77"/>
      <c r="Q62" s="69"/>
      <c r="R62" s="78"/>
    </row>
    <row r="63" spans="2:18" ht="15.75" thickBot="1" x14ac:dyDescent="0.3">
      <c r="B63" s="17">
        <v>6.1</v>
      </c>
      <c r="C63" s="29" t="s">
        <v>56</v>
      </c>
      <c r="D63" s="37">
        <v>0</v>
      </c>
      <c r="E63" s="27">
        <v>0</v>
      </c>
      <c r="F63" s="28">
        <v>0</v>
      </c>
      <c r="H63" s="79"/>
      <c r="I63" s="70"/>
      <c r="J63" s="85"/>
      <c r="L63" s="79"/>
      <c r="M63" s="70"/>
      <c r="N63" s="85"/>
      <c r="O63" s="72"/>
      <c r="P63" s="77"/>
      <c r="Q63" s="69"/>
      <c r="R63" s="78"/>
    </row>
    <row r="64" spans="2:18" ht="15.75" thickBot="1" x14ac:dyDescent="0.3">
      <c r="B64" s="11">
        <v>6.2</v>
      </c>
      <c r="C64" s="41" t="s">
        <v>57</v>
      </c>
      <c r="D64" s="13">
        <v>0</v>
      </c>
      <c r="E64" s="13">
        <v>0</v>
      </c>
      <c r="F64" s="14">
        <v>0</v>
      </c>
      <c r="H64" s="79"/>
      <c r="I64" s="70"/>
      <c r="J64" s="85"/>
      <c r="L64" s="79"/>
      <c r="M64" s="70"/>
      <c r="N64" s="85"/>
      <c r="O64" s="72"/>
      <c r="P64" s="77"/>
      <c r="Q64" s="69"/>
      <c r="R64" s="78"/>
    </row>
    <row r="65" spans="2:18" ht="15.75" thickBot="1" x14ac:dyDescent="0.3">
      <c r="B65" s="114" t="s">
        <v>58</v>
      </c>
      <c r="C65" s="116"/>
      <c r="D65" s="15">
        <v>0</v>
      </c>
      <c r="E65" s="15">
        <v>0</v>
      </c>
      <c r="F65" s="16">
        <v>0</v>
      </c>
      <c r="H65" s="79"/>
      <c r="I65" s="70"/>
      <c r="J65" s="85"/>
      <c r="L65" s="79"/>
      <c r="M65" s="70"/>
      <c r="N65" s="85"/>
      <c r="O65" s="72"/>
      <c r="P65" s="77"/>
      <c r="Q65" s="69"/>
      <c r="R65" s="78"/>
    </row>
    <row r="66" spans="2:18" ht="30.6" customHeight="1" thickBot="1" x14ac:dyDescent="0.3">
      <c r="B66" s="118" t="s">
        <v>59</v>
      </c>
      <c r="C66" s="119"/>
      <c r="D66" s="119"/>
      <c r="E66" s="119"/>
      <c r="F66" s="120"/>
      <c r="H66" s="79"/>
      <c r="I66" s="70"/>
      <c r="J66" s="85"/>
      <c r="L66" s="79"/>
      <c r="M66" s="70"/>
      <c r="N66" s="85"/>
      <c r="O66" s="72"/>
      <c r="P66" s="77"/>
      <c r="Q66" s="69"/>
      <c r="R66" s="78"/>
    </row>
    <row r="67" spans="2:18" ht="16.5" customHeight="1" thickBot="1" x14ac:dyDescent="0.3">
      <c r="B67" s="42">
        <v>7.1</v>
      </c>
      <c r="C67" s="29" t="s">
        <v>60</v>
      </c>
      <c r="D67" s="37">
        <v>0</v>
      </c>
      <c r="E67" s="27">
        <v>0</v>
      </c>
      <c r="F67" s="28">
        <v>0</v>
      </c>
      <c r="H67" s="79"/>
      <c r="I67" s="70"/>
      <c r="J67" s="85"/>
      <c r="L67" s="79"/>
      <c r="M67" s="70"/>
      <c r="N67" s="85"/>
      <c r="O67" s="72"/>
      <c r="P67" s="77"/>
      <c r="Q67" s="69"/>
      <c r="R67" s="78"/>
    </row>
    <row r="68" spans="2:18" ht="15.75" thickBot="1" x14ac:dyDescent="0.3">
      <c r="B68" s="43">
        <v>7.2</v>
      </c>
      <c r="C68" s="41" t="s">
        <v>61</v>
      </c>
      <c r="D68" s="13">
        <v>0</v>
      </c>
      <c r="E68" s="13">
        <v>0</v>
      </c>
      <c r="F68" s="14">
        <v>0</v>
      </c>
      <c r="H68" s="79"/>
      <c r="I68" s="70"/>
      <c r="J68" s="85"/>
      <c r="L68" s="79"/>
      <c r="M68" s="70"/>
      <c r="N68" s="85"/>
      <c r="O68" s="72"/>
      <c r="P68" s="77"/>
      <c r="Q68" s="69"/>
      <c r="R68" s="78"/>
    </row>
    <row r="69" spans="2:18" ht="15.75" thickBot="1" x14ac:dyDescent="0.3">
      <c r="B69" s="114" t="s">
        <v>62</v>
      </c>
      <c r="C69" s="116"/>
      <c r="D69" s="15">
        <v>0</v>
      </c>
      <c r="E69" s="15">
        <v>0</v>
      </c>
      <c r="F69" s="16">
        <v>0</v>
      </c>
      <c r="H69" s="79"/>
      <c r="I69" s="70"/>
      <c r="J69" s="85"/>
      <c r="L69" s="79"/>
      <c r="M69" s="70"/>
      <c r="N69" s="85"/>
      <c r="O69" s="72"/>
      <c r="P69" s="77"/>
      <c r="Q69" s="69"/>
      <c r="R69" s="78"/>
    </row>
    <row r="70" spans="2:18" ht="15.75" thickBot="1" x14ac:dyDescent="0.3">
      <c r="B70" s="114" t="s">
        <v>63</v>
      </c>
      <c r="C70" s="117"/>
      <c r="D70" s="23">
        <f>D12+D15+D40+D48+D61</f>
        <v>5016406.49</v>
      </c>
      <c r="E70" s="23">
        <f>D70*E1</f>
        <v>953117.23310000007</v>
      </c>
      <c r="F70" s="23">
        <f>D70+E70</f>
        <v>5969523.7231000001</v>
      </c>
      <c r="H70" s="98"/>
      <c r="I70" s="99"/>
      <c r="J70" s="100"/>
      <c r="L70" s="86"/>
      <c r="M70" s="87"/>
      <c r="N70" s="88"/>
      <c r="O70" s="72"/>
      <c r="P70" s="89"/>
      <c r="Q70" s="90"/>
      <c r="R70" s="91"/>
    </row>
    <row r="71" spans="2:18" ht="15.75" thickBot="1" x14ac:dyDescent="0.3">
      <c r="B71" s="114" t="s">
        <v>64</v>
      </c>
      <c r="C71" s="117"/>
      <c r="D71" s="23">
        <f>D15+D43</f>
        <v>1994000</v>
      </c>
      <c r="E71" s="23">
        <f>D71*E1</f>
        <v>378860</v>
      </c>
      <c r="F71" s="23">
        <f>D71+E71</f>
        <v>2372860</v>
      </c>
      <c r="H71" s="5"/>
      <c r="I71" s="5"/>
      <c r="J71" s="5"/>
    </row>
    <row r="73" spans="2:18" x14ac:dyDescent="0.25">
      <c r="D73" s="19"/>
    </row>
    <row r="77" spans="2:18" x14ac:dyDescent="0.25">
      <c r="L77" s="68"/>
    </row>
    <row r="79" spans="2:18" x14ac:dyDescent="0.25">
      <c r="L79" s="66"/>
    </row>
  </sheetData>
  <mergeCells count="23">
    <mergeCell ref="H6:J6"/>
    <mergeCell ref="L6:N6"/>
    <mergeCell ref="P6:R6"/>
    <mergeCell ref="B65:C65"/>
    <mergeCell ref="B66:F66"/>
    <mergeCell ref="B48:C48"/>
    <mergeCell ref="B49:F49"/>
    <mergeCell ref="B40:C40"/>
    <mergeCell ref="B41:F41"/>
    <mergeCell ref="B13:F13"/>
    <mergeCell ref="B15:C15"/>
    <mergeCell ref="B16:F16"/>
    <mergeCell ref="B12:C12"/>
    <mergeCell ref="B69:C69"/>
    <mergeCell ref="B70:C70"/>
    <mergeCell ref="B71:C71"/>
    <mergeCell ref="B61:C61"/>
    <mergeCell ref="B62:F62"/>
    <mergeCell ref="B2:F2"/>
    <mergeCell ref="B3:F3"/>
    <mergeCell ref="B4:B5"/>
    <mergeCell ref="C4:C5"/>
    <mergeCell ref="B7:F7"/>
  </mergeCells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Nicolae Feniser</dc:creator>
  <cp:lastModifiedBy>Zanfir</cp:lastModifiedBy>
  <cp:lastPrinted>2024-02-10T19:55:40Z</cp:lastPrinted>
  <dcterms:created xsi:type="dcterms:W3CDTF">2015-06-05T18:17:20Z</dcterms:created>
  <dcterms:modified xsi:type="dcterms:W3CDTF">2026-04-02T07:49:31Z</dcterms:modified>
</cp:coreProperties>
</file>