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teze &amp; Necesar" sheetId="1" state="visible" r:id="rId1"/>
    <sheet xmlns:r="http://schemas.openxmlformats.org/officeDocument/2006/relationships" name="1.K2Systems" sheetId="2" state="visible" r:id="rId2"/>
    <sheet xmlns:r="http://schemas.openxmlformats.org/officeDocument/2006/relationships" name="2.Schletter" sheetId="3" state="visible" r:id="rId3"/>
    <sheet xmlns:r="http://schemas.openxmlformats.org/officeDocument/2006/relationships" name="3.Renusol" sheetId="4" state="visible" r:id="rId4"/>
    <sheet xmlns:r="http://schemas.openxmlformats.org/officeDocument/2006/relationships" name="4.VanderValk" sheetId="5" state="visible" r:id="rId5"/>
    <sheet xmlns:r="http://schemas.openxmlformats.org/officeDocument/2006/relationships" name="5.Esdec" sheetId="6" state="visible" r:id="rId6"/>
    <sheet xmlns:r="http://schemas.openxmlformats.org/officeDocument/2006/relationships" name="6.Aerocompact" sheetId="7" state="visible" r:id="rId7"/>
    <sheet xmlns:r="http://schemas.openxmlformats.org/officeDocument/2006/relationships" name="7.MountingSystems" sheetId="8" state="visible" r:id="rId8"/>
    <sheet xmlns:r="http://schemas.openxmlformats.org/officeDocument/2006/relationships" name="8.Alumero" sheetId="9" state="visible" r:id="rId9"/>
    <sheet xmlns:r="http://schemas.openxmlformats.org/officeDocument/2006/relationships" name="9.Novotegra" sheetId="10" state="visible" r:id="rId10"/>
    <sheet xmlns:r="http://schemas.openxmlformats.org/officeDocument/2006/relationships" name="10.Sunfer" sheetId="11" state="visible" r:id="rId11"/>
    <sheet xmlns:r="http://schemas.openxmlformats.org/officeDocument/2006/relationships" name="Comparativ" sheetId="12" state="visible" r:id="rId12"/>
    <sheet xmlns:r="http://schemas.openxmlformats.org/officeDocument/2006/relationships" name="Stoc panour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000 &quot;€&quot;"/>
    <numFmt numFmtId="166" formatCode="#,##0 &quot;€&quot;"/>
    <numFmt numFmtId="167" formatCode="0.0"/>
    <numFmt numFmtId="168" formatCode="0.0 &quot;kWp&quot;"/>
  </numFmts>
  <fonts count="12">
    <font>
      <name val="Calibri"/>
      <family val="2"/>
      <color theme="1"/>
      <sz val="11"/>
      <scheme val="minor"/>
    </font>
    <font>
      <b val="1"/>
      <color rgb="001F4E79"/>
      <sz val="15"/>
    </font>
    <font>
      <color rgb="00808080"/>
      <sz val="10"/>
    </font>
    <font>
      <b val="1"/>
    </font>
    <font>
      <b val="1"/>
      <color rgb="00C00000"/>
      <sz val="10"/>
    </font>
    <font>
      <b val="1"/>
      <color rgb="00FFFFFF"/>
      <sz val="11"/>
    </font>
    <font>
      <b val="1"/>
      <color rgb="001F4E79"/>
      <sz val="14"/>
    </font>
    <font>
      <i val="1"/>
      <color rgb="00808080"/>
      <sz val="9"/>
    </font>
    <font>
      <i val="1"/>
      <color rgb="00C00000"/>
      <sz val="9"/>
    </font>
    <font>
      <b val="1"/>
      <sz val="11"/>
    </font>
    <font>
      <color rgb="00808080"/>
      <sz val="9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4" borderId="1" pivotButton="0" quotePrefix="0" xfId="0"/>
    <xf numFmtId="0" fontId="9" fillId="4" borderId="1" pivotButton="0" quotePrefix="0" xfId="0"/>
    <xf numFmtId="164" fontId="9" fillId="4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6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3" fontId="3" fillId="3" borderId="1" pivotButton="0" quotePrefix="0" xfId="0"/>
    <xf numFmtId="3" fontId="11" fillId="3" borderId="1" pivotButton="0" quotePrefix="0" xfId="0"/>
    <xf numFmtId="168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 recomandare pe producător (/5)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'Comparativ'!$C$6:$C$15</f>
            </numRef>
          </cat>
          <val>
            <numRef>
              <f>'Comparativ'!$I$6:$I$15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3" customWidth="1" min="5" max="5"/>
    <col width="20" customWidth="1" min="6" max="6"/>
    <col width="18" customWidth="1" min="7" max="7"/>
  </cols>
  <sheetData>
    <row r="2">
      <c r="B2" s="1" t="inlineStr">
        <is>
          <t>ESTIMARE STRUCTURĂ MONTAJ PANOURI FOTOVOLTAICE</t>
        </is>
      </c>
    </row>
    <row r="3">
      <c r="B3" s="2" t="inlineStr">
        <is>
          <t>Proiect: Parc Fotovoltaic RED INTERNET SALES  |  cod SMIS 332037  |  Albești (Sighișoara), jud. Mureș</t>
        </is>
      </c>
    </row>
    <row r="5">
      <c r="B5" s="3" t="inlineStr">
        <is>
          <t>Configurație:</t>
        </is>
      </c>
      <c r="C5" t="inlineStr">
        <is>
          <t>C4 + C6, 4 fețe, coplanar 27,5° (module eficiente pe sud)</t>
        </is>
      </c>
    </row>
    <row r="6">
      <c r="B6" s="3" t="inlineStr">
        <is>
          <t>C4-Nord:</t>
        </is>
      </c>
      <c r="C6" t="inlineStr">
        <is>
          <t>H48 450W · 618 buc (103×6 portret)  [fibrociment]</t>
        </is>
      </c>
    </row>
    <row r="7">
      <c r="B7" s="3" t="inlineStr">
        <is>
          <t>C4-Sud:</t>
        </is>
      </c>
      <c r="C7" t="inlineStr">
        <is>
          <t>D66 710W · 392 buc (49×8 landscape)  [fibrociment]</t>
        </is>
      </c>
    </row>
    <row r="8">
      <c r="B8" s="3" t="inlineStr">
        <is>
          <t>C6-Nord:</t>
        </is>
      </c>
      <c r="C8" t="inlineStr">
        <is>
          <t>H54 500W · 309 buc (103×3 din 5 — parțial)  [beton]</t>
        </is>
      </c>
    </row>
    <row r="9">
      <c r="B9" s="3" t="inlineStr">
        <is>
          <t>C6-Sud:</t>
        </is>
      </c>
      <c r="C9" t="inlineStr">
        <is>
          <t>H48 450W · 618 buc (103×6 portret)  [beton]</t>
        </is>
      </c>
    </row>
    <row r="10">
      <c r="B10" s="3" t="inlineStr">
        <is>
          <t>Total module:</t>
        </is>
      </c>
      <c r="C10" t="inlineStr">
        <is>
          <t>1937 buc  ·  989 kWp (≤ 1 MW instalat)</t>
        </is>
      </c>
    </row>
    <row r="11">
      <c r="B11" s="3" t="inlineStr">
        <is>
          <t>Fixare:</t>
        </is>
      </c>
      <c r="C11" t="inlineStr">
        <is>
          <t>C4 = prezoane fibrociment (1010 mod.) · C6 = ancore beton (927 mod.)</t>
        </is>
      </c>
    </row>
    <row r="12">
      <c r="B12" s="3" t="inlineStr">
        <is>
          <t>Rezervă liberă:</t>
        </is>
      </c>
      <c r="C12" t="inlineStr">
        <is>
          <t>C6-Nord 2 rânduri + 3 hale mici + ~3490 panouri</t>
        </is>
      </c>
    </row>
    <row r="13">
      <c r="B13" s="4" t="inlineStr">
        <is>
          <t>⚠ PREȚURI ORIENTATIVE / ESTIMATIVE — nu sunt oferte ferme (buget comparativ). Fără TVA.</t>
        </is>
      </c>
    </row>
    <row r="15">
      <c r="B15" s="5" t="inlineStr">
        <is>
          <t>Nr.</t>
        </is>
      </c>
      <c r="C15" s="5" t="inlineStr">
        <is>
          <t>Componentă / poziție</t>
        </is>
      </c>
      <c r="D15" s="5" t="inlineStr">
        <is>
          <t>UM</t>
        </is>
      </c>
      <c r="E15" s="5" t="inlineStr">
        <is>
          <t>Cantitate</t>
        </is>
      </c>
      <c r="F15" s="5" t="inlineStr">
        <is>
          <t>Preț unitar bază (orient.) €</t>
        </is>
      </c>
      <c r="G15" s="5" t="inlineStr">
        <is>
          <t>Valoare bază €</t>
        </is>
      </c>
    </row>
    <row r="16">
      <c r="B16" s="6" t="n">
        <v>1</v>
      </c>
      <c r="C16" s="7" t="inlineStr">
        <is>
          <t>Șină de montaj, aluminiu anodizat</t>
        </is>
      </c>
      <c r="D16" s="6" t="inlineStr">
        <is>
          <t>m</t>
        </is>
      </c>
      <c r="E16" s="8" t="n">
        <v>5430</v>
      </c>
      <c r="F16" s="9" t="n">
        <v>5</v>
      </c>
      <c r="G16" s="9">
        <f>E16*F16</f>
        <v/>
      </c>
    </row>
    <row r="17">
      <c r="B17" s="6" t="n">
        <v>2</v>
      </c>
      <c r="C17" s="7" t="inlineStr">
        <is>
          <t>Îmbinare (eclisă) șină</t>
        </is>
      </c>
      <c r="D17" s="6" t="inlineStr">
        <is>
          <t>buc</t>
        </is>
      </c>
      <c r="E17" s="8" t="n">
        <v>1190</v>
      </c>
      <c r="F17" s="9" t="n">
        <v>3.5</v>
      </c>
      <c r="G17" s="9">
        <f>E17*F17</f>
        <v/>
      </c>
    </row>
    <row r="18">
      <c r="B18" s="6" t="n">
        <v>3</v>
      </c>
      <c r="C18" s="7" t="inlineStr">
        <is>
          <t>Clemă intermediară (mid clamp)</t>
        </is>
      </c>
      <c r="D18" s="6" t="inlineStr">
        <is>
          <t>buc</t>
        </is>
      </c>
      <c r="E18" s="8" t="n">
        <v>3830</v>
      </c>
      <c r="F18" s="9" t="n">
        <v>2</v>
      </c>
      <c r="G18" s="9">
        <f>E18*F18</f>
        <v/>
      </c>
    </row>
    <row r="19">
      <c r="B19" s="6" t="n">
        <v>4</v>
      </c>
      <c r="C19" s="7" t="inlineStr">
        <is>
          <t>Clemă de capăt (end clamp)</t>
        </is>
      </c>
      <c r="D19" s="6" t="inlineStr">
        <is>
          <t>buc</t>
        </is>
      </c>
      <c r="E19" s="8" t="n">
        <v>92</v>
      </c>
      <c r="F19" s="9" t="n">
        <v>2.5</v>
      </c>
      <c r="G19" s="9">
        <f>E19*F19</f>
        <v/>
      </c>
    </row>
    <row r="20">
      <c r="B20" s="6" t="n">
        <v>5</v>
      </c>
      <c r="C20" s="7" t="inlineStr">
        <is>
          <t>Prezon fibrociment cu etanșare EPDM  (hala C4: D66+H48, 1010 mod.)</t>
        </is>
      </c>
      <c r="D20" s="6" t="inlineStr">
        <is>
          <t>buc</t>
        </is>
      </c>
      <c r="E20" s="8" t="n">
        <v>2750</v>
      </c>
      <c r="F20" s="9" t="n">
        <v>5.5</v>
      </c>
      <c r="G20" s="9">
        <f>E20*F20</f>
        <v/>
      </c>
    </row>
    <row r="21">
      <c r="B21" s="6" t="n">
        <v>6</v>
      </c>
      <c r="C21" s="7" t="inlineStr">
        <is>
          <t>Ancoră în beton + bază etanșată pe membrană (hala C6: H48+H54, 927 mod.)</t>
        </is>
      </c>
      <c r="D21" s="6" t="inlineStr">
        <is>
          <t>buc</t>
        </is>
      </c>
      <c r="E21" s="8" t="n">
        <v>1420</v>
      </c>
      <c r="F21" s="9" t="n">
        <v>7</v>
      </c>
      <c r="G21" s="9">
        <f>E21*F21</f>
        <v/>
      </c>
    </row>
    <row r="22">
      <c r="B22" s="6" t="n">
        <v>7</v>
      </c>
      <c r="C22" s="7" t="inlineStr">
        <is>
          <t>Set șuruburi/piulițe T + accesorii inox A2/A4</t>
        </is>
      </c>
      <c r="D22" s="6" t="inlineStr">
        <is>
          <t>set/modul</t>
        </is>
      </c>
      <c r="E22" s="8" t="n">
        <v>1937</v>
      </c>
      <c r="F22" s="9" t="n">
        <v>1.5</v>
      </c>
      <c r="G22" s="9">
        <f>E22*F22</f>
        <v/>
      </c>
    </row>
    <row r="23">
      <c r="B23" s="6" t="n">
        <v>8</v>
      </c>
      <c r="C23" s="7" t="inlineStr">
        <is>
          <t>Set împământare / legături echipotențiale</t>
        </is>
      </c>
      <c r="D23" s="6" t="inlineStr">
        <is>
          <t>lot</t>
        </is>
      </c>
      <c r="E23" s="8" t="n">
        <v>1</v>
      </c>
      <c r="F23" s="9" t="n">
        <v>2000</v>
      </c>
      <c r="G23" s="9">
        <f>E23*F23</f>
        <v/>
      </c>
    </row>
    <row r="24">
      <c r="B24" s="6" t="n">
        <v>9</v>
      </c>
      <c r="C24" s="7" t="inlineStr">
        <is>
          <t>Transport la amplasament (Albești, Mureș)</t>
        </is>
      </c>
      <c r="D24" s="6" t="inlineStr">
        <is>
          <t>lot</t>
        </is>
      </c>
      <c r="E24" s="8" t="n">
        <v>1</v>
      </c>
      <c r="F24" s="9" t="n">
        <v>2500</v>
      </c>
      <c r="G24" s="9">
        <f>E24*F24</f>
        <v/>
      </c>
    </row>
    <row r="25">
      <c r="B25" s="10" t="n"/>
      <c r="C25" s="11" t="inlineStr">
        <is>
          <t>TOTAL bază (orientativ)</t>
        </is>
      </c>
      <c r="D25" s="10" t="n"/>
      <c r="E25" s="10" t="n"/>
      <c r="F25" s="10" t="n"/>
      <c r="G25" s="12">
        <f>SUM(G16:G24)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K2 Systems (DE)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Premium; cea mai bună investiție pe termen lung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5.4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3.78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2.16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2.7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5.94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7.56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1.62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Schletter (DE)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Cel mai robust; premium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5.75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4.02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2.3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2.88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6.32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8.050000000000001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1.72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Renusol (DE)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Raport calitate/preț foarte bun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4.6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3.22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1.84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2.3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5.06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6.44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1.38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Van der Valk (NL)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Foarte bun, mai rar în RO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5.1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3.57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2.04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2.55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5.61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7.14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1.53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Esdec/Enstall (NL)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Cel mai rapid montaj (ClickFit EVO)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3.5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2.5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5.5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7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1.5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Aerocompact (AT)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Competitiv; bun pt. zăpadă/vânt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4.75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3.32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1.9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2.38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5.22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6.65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1.42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Mounting Systems (DE)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Solid, gamă completă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3.5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2.5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5.5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7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1.5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Alumero (AT)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Economic, componente puține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4.5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3.15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1.8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2.25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4.95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6.3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1.35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novotegra / BayWa r.e. (DE)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Calitate DE, prin BayWa r.e.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5.25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3.68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2.1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2.62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5.78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7.35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1.58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1" customWidth="1" min="4" max="4"/>
    <col width="15" customWidth="1" min="5" max="5"/>
    <col width="16" customWidth="1" min="6" max="6"/>
    <col width="16" customWidth="1" min="7" max="7"/>
  </cols>
  <sheetData>
    <row r="2">
      <c r="B2" s="13" t="inlineStr">
        <is>
          <t>Sunfer (ES)</t>
        </is>
      </c>
    </row>
    <row r="3">
      <c r="B3" s="2" t="inlineStr">
        <is>
          <t>Estimare structură montaj  |  1937 module  |  989.0 kWp  (C4+C6)</t>
        </is>
      </c>
    </row>
    <row r="4">
      <c r="B4" s="14" t="inlineStr">
        <is>
          <t>Poziționare: Cel mai economic; 100% fabricat UE</t>
        </is>
      </c>
    </row>
    <row r="5">
      <c r="B5" s="15" t="inlineStr">
        <is>
          <t>Prețuri ESTIMATIVE (fără TVA) — de confirmat prin ofertă fermă.</t>
        </is>
      </c>
    </row>
    <row r="7">
      <c r="B7" s="5" t="inlineStr">
        <is>
          <t>Nr.</t>
        </is>
      </c>
      <c r="C7" s="5" t="inlineStr">
        <is>
          <t>Componentă / poziție</t>
        </is>
      </c>
      <c r="D7" s="5" t="inlineStr">
        <is>
          <t>UM</t>
        </is>
      </c>
      <c r="E7" s="5" t="inlineStr">
        <is>
          <t>Cantitate</t>
        </is>
      </c>
      <c r="F7" s="5" t="inlineStr">
        <is>
          <t>Preț unitar est. €</t>
        </is>
      </c>
      <c r="G7" s="5" t="inlineStr">
        <is>
          <t>Valoare €</t>
        </is>
      </c>
    </row>
    <row r="8">
      <c r="B8" s="6" t="n">
        <v>1</v>
      </c>
      <c r="C8" s="7" t="inlineStr">
        <is>
          <t>Șină de montaj, aluminiu anodizat</t>
        </is>
      </c>
      <c r="D8" s="6" t="inlineStr">
        <is>
          <t>m</t>
        </is>
      </c>
      <c r="E8" s="8">
        <f>'Ipoteze &amp; Necesar'!$E$16</f>
        <v/>
      </c>
      <c r="F8" s="9" t="n">
        <v>4.1</v>
      </c>
      <c r="G8" s="9">
        <f>E8*F8</f>
        <v/>
      </c>
    </row>
    <row r="9">
      <c r="B9" s="6" t="n">
        <v>2</v>
      </c>
      <c r="C9" s="7" t="inlineStr">
        <is>
          <t>Îmbinare (eclisă) șină</t>
        </is>
      </c>
      <c r="D9" s="6" t="inlineStr">
        <is>
          <t>buc</t>
        </is>
      </c>
      <c r="E9" s="8">
        <f>'Ipoteze &amp; Necesar'!$E$17</f>
        <v/>
      </c>
      <c r="F9" s="9" t="n">
        <v>2.87</v>
      </c>
      <c r="G9" s="9">
        <f>E9*F9</f>
        <v/>
      </c>
    </row>
    <row r="10">
      <c r="B10" s="6" t="n">
        <v>3</v>
      </c>
      <c r="C10" s="7" t="inlineStr">
        <is>
          <t>Clemă intermediară (mid clamp)</t>
        </is>
      </c>
      <c r="D10" s="6" t="inlineStr">
        <is>
          <t>buc</t>
        </is>
      </c>
      <c r="E10" s="8">
        <f>'Ipoteze &amp; Necesar'!$E$18</f>
        <v/>
      </c>
      <c r="F10" s="9" t="n">
        <v>1.64</v>
      </c>
      <c r="G10" s="9">
        <f>E10*F10</f>
        <v/>
      </c>
    </row>
    <row r="11">
      <c r="B11" s="6" t="n">
        <v>4</v>
      </c>
      <c r="C11" s="7" t="inlineStr">
        <is>
          <t>Clemă de capăt (end clamp)</t>
        </is>
      </c>
      <c r="D11" s="6" t="inlineStr">
        <is>
          <t>buc</t>
        </is>
      </c>
      <c r="E11" s="8">
        <f>'Ipoteze &amp; Necesar'!$E$19</f>
        <v/>
      </c>
      <c r="F11" s="9" t="n">
        <v>2.05</v>
      </c>
      <c r="G11" s="9">
        <f>E11*F11</f>
        <v/>
      </c>
    </row>
    <row r="12">
      <c r="B12" s="6" t="n">
        <v>5</v>
      </c>
      <c r="C12" s="7" t="inlineStr">
        <is>
          <t>Prezon fibrociment cu etanșare EPDM  (hala C4: D66+H48, 1010 mod.)</t>
        </is>
      </c>
      <c r="D12" s="6" t="inlineStr">
        <is>
          <t>buc</t>
        </is>
      </c>
      <c r="E12" s="8">
        <f>'Ipoteze &amp; Necesar'!$E$20</f>
        <v/>
      </c>
      <c r="F12" s="9" t="n">
        <v>4.51</v>
      </c>
      <c r="G12" s="9">
        <f>E12*F12</f>
        <v/>
      </c>
    </row>
    <row r="13">
      <c r="B13" s="6" t="n">
        <v>6</v>
      </c>
      <c r="C13" s="7" t="inlineStr">
        <is>
          <t>Ancoră în beton + bază etanșată pe membrană (hala C6: H48+H54, 927 mod.)</t>
        </is>
      </c>
      <c r="D13" s="6" t="inlineStr">
        <is>
          <t>buc</t>
        </is>
      </c>
      <c r="E13" s="8">
        <f>'Ipoteze &amp; Necesar'!$E$21</f>
        <v/>
      </c>
      <c r="F13" s="9" t="n">
        <v>5.74</v>
      </c>
      <c r="G13" s="9">
        <f>E13*F13</f>
        <v/>
      </c>
    </row>
    <row r="14">
      <c r="B14" s="6" t="n">
        <v>7</v>
      </c>
      <c r="C14" s="7" t="inlineStr">
        <is>
          <t>Set șuruburi/piulițe T + accesorii inox A2/A4</t>
        </is>
      </c>
      <c r="D14" s="6" t="inlineStr">
        <is>
          <t>set/modul</t>
        </is>
      </c>
      <c r="E14" s="8">
        <f>'Ipoteze &amp; Necesar'!$E$22</f>
        <v/>
      </c>
      <c r="F14" s="9" t="n">
        <v>1.23</v>
      </c>
      <c r="G14" s="9">
        <f>E14*F14</f>
        <v/>
      </c>
    </row>
    <row r="15">
      <c r="B15" s="6" t="n">
        <v>8</v>
      </c>
      <c r="C15" s="7" t="inlineStr">
        <is>
          <t>Set împământare / legături echipotențiale</t>
        </is>
      </c>
      <c r="D15" s="6" t="inlineStr">
        <is>
          <t>lot</t>
        </is>
      </c>
      <c r="E15" s="8">
        <f>'Ipoteze &amp; Necesar'!$E$23</f>
        <v/>
      </c>
      <c r="F15" s="9" t="n">
        <v>2000</v>
      </c>
      <c r="G15" s="9">
        <f>E15*F15</f>
        <v/>
      </c>
    </row>
    <row r="16">
      <c r="B16" s="6" t="n">
        <v>9</v>
      </c>
      <c r="C16" s="7" t="inlineStr">
        <is>
          <t>Transport la amplasament (Albești, Mureș)</t>
        </is>
      </c>
      <c r="D16" s="6" t="inlineStr">
        <is>
          <t>lot</t>
        </is>
      </c>
      <c r="E16" s="8">
        <f>'Ipoteze &amp; Necesar'!$E$24</f>
        <v/>
      </c>
      <c r="F16" s="9" t="n">
        <v>2500</v>
      </c>
      <c r="G16" s="9">
        <f>E16*F16</f>
        <v/>
      </c>
    </row>
    <row r="17">
      <c r="B17" s="16" t="n"/>
      <c r="C17" s="17" t="inlineStr">
        <is>
          <t>TOTAL ESTIMATIV (fără TVA)</t>
        </is>
      </c>
      <c r="D17" s="16" t="n"/>
      <c r="E17" s="16" t="n"/>
      <c r="F17" s="16" t="n"/>
      <c r="G17" s="18">
        <f>SUM(G8:G16)</f>
        <v/>
      </c>
    </row>
    <row r="19">
      <c r="C19" s="3" t="inlineStr">
        <is>
          <t>€/modul:</t>
        </is>
      </c>
      <c r="G19" s="19">
        <f>G17/1937</f>
        <v/>
      </c>
    </row>
    <row r="20">
      <c r="C20" s="3" t="inlineStr">
        <is>
          <t>€/Wp:</t>
        </is>
      </c>
      <c r="G20" s="20">
        <f>G17/989020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12" customWidth="1" min="4" max="4"/>
    <col width="10" customWidth="1" min="5" max="5"/>
    <col width="8" customWidth="1" min="6" max="6"/>
    <col width="10" customWidth="1" min="7" max="7"/>
    <col width="12" customWidth="1" min="8" max="8"/>
    <col width="13" customWidth="1" min="9" max="9"/>
    <col width="44" customWidth="1" min="10" max="10"/>
  </cols>
  <sheetData>
    <row r="2">
      <c r="B2" s="13" t="inlineStr">
        <is>
          <t>COMPARATIV &amp; RECOMANDARE — structură montaj (estimativ, fără TVA)</t>
        </is>
      </c>
    </row>
    <row r="3">
      <c r="B3" s="2" t="inlineStr">
        <is>
          <t>Ordonat după scorul de recomandare = 40% preț/Wp + 35% calitate + 25% ușor de montat  |  1937 module, 989.0 kWp</t>
        </is>
      </c>
    </row>
    <row r="5">
      <c r="B5" s="5" t="inlineStr">
        <is>
          <t>Rang</t>
        </is>
      </c>
      <c r="C5" s="5" t="inlineStr">
        <is>
          <t>Producător</t>
        </is>
      </c>
      <c r="D5" s="5" t="inlineStr">
        <is>
          <t>Total est. €</t>
        </is>
      </c>
      <c r="E5" s="5" t="inlineStr">
        <is>
          <t>€/Wp</t>
        </is>
      </c>
      <c r="F5" s="5" t="inlineStr">
        <is>
          <t>Preț /5</t>
        </is>
      </c>
      <c r="G5" s="5" t="inlineStr">
        <is>
          <t>Calitate /5</t>
        </is>
      </c>
      <c r="H5" s="5" t="inlineStr">
        <is>
          <t>Ușor montat /5</t>
        </is>
      </c>
      <c r="I5" s="5" t="inlineStr">
        <is>
          <t>SCOR recom. /5</t>
        </is>
      </c>
      <c r="J5" s="5" t="inlineStr">
        <is>
          <t>Poziționare</t>
        </is>
      </c>
    </row>
    <row r="6">
      <c r="B6" s="21" t="n">
        <v>1</v>
      </c>
      <c r="C6" s="22" t="inlineStr">
        <is>
          <t>Sunfer (ES)</t>
        </is>
      </c>
      <c r="D6" s="23">
        <f>'10.Sunfer'!G17</f>
        <v/>
      </c>
      <c r="E6" s="24">
        <f>'10.Sunfer'!G17/989020</f>
        <v/>
      </c>
      <c r="F6" s="25" t="n">
        <v>5</v>
      </c>
      <c r="G6" s="25" t="n">
        <v>4</v>
      </c>
      <c r="H6" s="25" t="n">
        <v>4</v>
      </c>
      <c r="I6" s="26" t="n">
        <v>4.4</v>
      </c>
      <c r="J6" s="27" t="inlineStr">
        <is>
          <t>Cel mai economic; 100% fabricat UE</t>
        </is>
      </c>
    </row>
    <row r="7">
      <c r="B7" s="28" t="n">
        <v>2</v>
      </c>
      <c r="C7" s="7" t="inlineStr">
        <is>
          <t>Renusol (DE)</t>
        </is>
      </c>
      <c r="D7" s="29">
        <f>'3.Renusol'!G17</f>
        <v/>
      </c>
      <c r="E7" s="30">
        <f>'3.Renusol'!G17/989020</f>
        <v/>
      </c>
      <c r="F7" s="31" t="n">
        <v>4.09</v>
      </c>
      <c r="G7" s="31" t="n">
        <v>4.5</v>
      </c>
      <c r="H7" s="31" t="n">
        <v>4.5</v>
      </c>
      <c r="I7" s="32" t="n">
        <v>4.34</v>
      </c>
      <c r="J7" s="33" t="inlineStr">
        <is>
          <t>Raport calitate/preț foarte bun</t>
        </is>
      </c>
    </row>
    <row r="8">
      <c r="B8" s="28" t="n">
        <v>3</v>
      </c>
      <c r="C8" s="7" t="inlineStr">
        <is>
          <t>Aerocompact (AT)</t>
        </is>
      </c>
      <c r="D8" s="29">
        <f>'6.Aerocompact'!G17</f>
        <v/>
      </c>
      <c r="E8" s="30">
        <f>'6.Aerocompact'!G17/989020</f>
        <v/>
      </c>
      <c r="F8" s="31" t="n">
        <v>3.82</v>
      </c>
      <c r="G8" s="31" t="n">
        <v>4.5</v>
      </c>
      <c r="H8" s="31" t="n">
        <v>4.5</v>
      </c>
      <c r="I8" s="32" t="n">
        <v>4.23</v>
      </c>
      <c r="J8" s="33" t="inlineStr">
        <is>
          <t>Competitiv; bun pt. zăpadă/vânt</t>
        </is>
      </c>
    </row>
    <row r="9">
      <c r="B9" s="28" t="n">
        <v>4</v>
      </c>
      <c r="C9" s="7" t="inlineStr">
        <is>
          <t>Alumero (AT)</t>
        </is>
      </c>
      <c r="D9" s="29">
        <f>'8.Alumero'!G17</f>
        <v/>
      </c>
      <c r="E9" s="30">
        <f>'8.Alumero'!G17/989020</f>
        <v/>
      </c>
      <c r="F9" s="31" t="n">
        <v>4.27</v>
      </c>
      <c r="G9" s="31" t="n">
        <v>4</v>
      </c>
      <c r="H9" s="31" t="n">
        <v>4.5</v>
      </c>
      <c r="I9" s="32" t="n">
        <v>4.23</v>
      </c>
      <c r="J9" s="33" t="inlineStr">
        <is>
          <t>Economic, componente puține</t>
        </is>
      </c>
    </row>
    <row r="10">
      <c r="B10" s="28" t="n">
        <v>5</v>
      </c>
      <c r="C10" s="7" t="inlineStr">
        <is>
          <t>Esdec/Enstall (NL)</t>
        </is>
      </c>
      <c r="D10" s="29">
        <f>'5.Esdec'!G17</f>
        <v/>
      </c>
      <c r="E10" s="30">
        <f>'5.Esdec'!G17/989020</f>
        <v/>
      </c>
      <c r="F10" s="31" t="n">
        <v>3.36</v>
      </c>
      <c r="G10" s="31" t="n">
        <v>4</v>
      </c>
      <c r="H10" s="31" t="n">
        <v>5</v>
      </c>
      <c r="I10" s="32" t="n">
        <v>3.99</v>
      </c>
      <c r="J10" s="33" t="inlineStr">
        <is>
          <t>Cel mai rapid montaj (ClickFit EVO)</t>
        </is>
      </c>
    </row>
    <row r="11">
      <c r="B11" s="28" t="n">
        <v>6</v>
      </c>
      <c r="C11" s="7" t="inlineStr">
        <is>
          <t>Van der Valk (NL)</t>
        </is>
      </c>
      <c r="D11" s="29">
        <f>'4.VanderValk'!G17</f>
        <v/>
      </c>
      <c r="E11" s="30">
        <f>'4.VanderValk'!G17/989020</f>
        <v/>
      </c>
      <c r="F11" s="31" t="n">
        <v>3.18</v>
      </c>
      <c r="G11" s="31" t="n">
        <v>4.5</v>
      </c>
      <c r="H11" s="31" t="n">
        <v>4.5</v>
      </c>
      <c r="I11" s="32" t="n">
        <v>3.97</v>
      </c>
      <c r="J11" s="33" t="inlineStr">
        <is>
          <t>Foarte bun, mai rar în RO</t>
        </is>
      </c>
    </row>
    <row r="12">
      <c r="B12" s="28" t="n">
        <v>7</v>
      </c>
      <c r="C12" s="7" t="inlineStr">
        <is>
          <t>K2 Systems (DE)</t>
        </is>
      </c>
      <c r="D12" s="29">
        <f>'1.K2Systems'!G17</f>
        <v/>
      </c>
      <c r="E12" s="30">
        <f>'1.K2Systems'!G17/989020</f>
        <v/>
      </c>
      <c r="F12" s="31" t="n">
        <v>2.64</v>
      </c>
      <c r="G12" s="31" t="n">
        <v>5</v>
      </c>
      <c r="H12" s="31" t="n">
        <v>4.5</v>
      </c>
      <c r="I12" s="32" t="n">
        <v>3.93</v>
      </c>
      <c r="J12" s="33" t="inlineStr">
        <is>
          <t>Premium; cea mai bună investiție pe termen lung</t>
        </is>
      </c>
    </row>
    <row r="13">
      <c r="B13" s="28" t="n">
        <v>8</v>
      </c>
      <c r="C13" s="7" t="inlineStr">
        <is>
          <t>Mounting Systems (DE)</t>
        </is>
      </c>
      <c r="D13" s="29">
        <f>'7.MountingSystems'!G17</f>
        <v/>
      </c>
      <c r="E13" s="30">
        <f>'7.MountingSystems'!G17/989020</f>
        <v/>
      </c>
      <c r="F13" s="31" t="n">
        <v>3.36</v>
      </c>
      <c r="G13" s="31" t="n">
        <v>4</v>
      </c>
      <c r="H13" s="31" t="n">
        <v>4</v>
      </c>
      <c r="I13" s="32" t="n">
        <v>3.74</v>
      </c>
      <c r="J13" s="33" t="inlineStr">
        <is>
          <t>Solid, gamă completă</t>
        </is>
      </c>
    </row>
    <row r="14">
      <c r="B14" s="28" t="n">
        <v>9</v>
      </c>
      <c r="C14" s="7" t="inlineStr">
        <is>
          <t>novotegra / BayWa r.e. (DE)</t>
        </is>
      </c>
      <c r="D14" s="29">
        <f>'9.Novotegra'!G17</f>
        <v/>
      </c>
      <c r="E14" s="30">
        <f>'9.Novotegra'!G17/989020</f>
        <v/>
      </c>
      <c r="F14" s="31" t="n">
        <v>2.91</v>
      </c>
      <c r="G14" s="31" t="n">
        <v>4.5</v>
      </c>
      <c r="H14" s="31" t="n">
        <v>4</v>
      </c>
      <c r="I14" s="32" t="n">
        <v>3.74</v>
      </c>
      <c r="J14" s="33" t="inlineStr">
        <is>
          <t>Calitate DE, prin BayWa r.e.</t>
        </is>
      </c>
    </row>
    <row r="15">
      <c r="B15" s="28" t="n">
        <v>10</v>
      </c>
      <c r="C15" s="7" t="inlineStr">
        <is>
          <t>Schletter (DE)</t>
        </is>
      </c>
      <c r="D15" s="29">
        <f>'2.Schletter'!G17</f>
        <v/>
      </c>
      <c r="E15" s="30">
        <f>'2.Schletter'!G17/989020</f>
        <v/>
      </c>
      <c r="F15" s="31" t="n">
        <v>2</v>
      </c>
      <c r="G15" s="31" t="n">
        <v>5</v>
      </c>
      <c r="H15" s="31" t="n">
        <v>4</v>
      </c>
      <c r="I15" s="32" t="n">
        <v>3.55</v>
      </c>
      <c r="J15" s="33" t="inlineStr">
        <is>
          <t>Cel mai robust; premium</t>
        </is>
      </c>
    </row>
    <row r="17">
      <c r="C17" s="14" t="inlineStr">
        <is>
          <t>Metodologie scor: Preț/5 = normalizat (cel mai mic €/Wp = 5). Ponderi: preț 40% · calitate 35% · montaj 25%.</t>
        </is>
      </c>
    </row>
    <row r="18">
      <c r="C18" s="14" t="inlineStr">
        <is>
          <t>Rândul 1 (auriu) = recomandarea de top pe echilibru. Notă: pt. prioritate CALITATE/durabilitate 30+ ani, K2 și Schletter urcă în top.</t>
        </is>
      </c>
    </row>
    <row r="19">
      <c r="C19" s="15" t="inlineStr">
        <is>
          <t>Prețuri estimative — de confirmat prin ofertele reale.</t>
        </is>
      </c>
    </row>
  </sheetData>
  <conditionalFormatting sqref="I6:I15">
    <cfRule type="colorScale" priority="1">
      <colorScale>
        <cfvo type="min"/>
        <cfvo type="max"/>
        <color rgb="00F8CBAD"/>
        <color rgb="00C6EFCE"/>
      </colorScale>
    </cfRule>
  </conditionalFormatting>
  <conditionalFormatting sqref="F6:H15">
    <cfRule type="colorScale" priority="2">
      <colorScale>
        <cfvo type="num" val="3.5"/>
        <cfvo type="num" val="5"/>
        <color rgb="00F8CBAD"/>
        <color rgb="00C6EFC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" customWidth="1" min="3" max="3"/>
    <col width="16" customWidth="1" min="4" max="4"/>
    <col width="14" customWidth="1" min="5" max="5"/>
    <col width="13" customWidth="1" min="6" max="6"/>
    <col width="14" customWidth="1" min="7" max="7"/>
    <col width="34" customWidth="1" min="8" max="8"/>
  </cols>
  <sheetData>
    <row r="2">
      <c r="B2" s="13" t="inlineStr">
        <is>
          <t>STOC PANOURI — ce avem / ce folosim / ce rămâne</t>
        </is>
      </c>
    </row>
    <row r="3">
      <c r="B3" s="2" t="inlineStr">
        <is>
          <t>Utilizare conform planului de montaj C4 + C6 (1937 module · 989 kWp · ≤ 1 MW)</t>
        </is>
      </c>
    </row>
    <row r="5">
      <c r="B5" s="5" t="inlineStr">
        <is>
          <t>Model</t>
        </is>
      </c>
      <c r="C5" s="5" t="inlineStr">
        <is>
          <t>Putere (W)</t>
        </is>
      </c>
      <c r="D5" s="5" t="inlineStr">
        <is>
          <t>Stoc actual (buc)</t>
        </is>
      </c>
      <c r="E5" s="5" t="inlineStr">
        <is>
          <t>Utilizat (buc)</t>
        </is>
      </c>
      <c r="F5" s="5" t="inlineStr">
        <is>
          <t>Rămân (buc)</t>
        </is>
      </c>
      <c r="G5" s="5" t="inlineStr">
        <is>
          <t>kWp utilizați</t>
        </is>
      </c>
      <c r="H5" s="5" t="inlineStr">
        <is>
          <t>Unde se montează</t>
        </is>
      </c>
    </row>
    <row r="6">
      <c r="B6" s="7" t="inlineStr">
        <is>
          <t>STP450S-H48-Nth+</t>
        </is>
      </c>
      <c r="C6" s="6" t="n">
        <v>450</v>
      </c>
      <c r="D6" s="8" t="n">
        <v>2556</v>
      </c>
      <c r="E6" s="34" t="n">
        <v>1236</v>
      </c>
      <c r="F6" s="35">
        <f>D6-E6</f>
        <v/>
      </c>
      <c r="G6" s="36">
        <f>E6*C6/1000</f>
        <v/>
      </c>
      <c r="H6" s="33" t="inlineStr">
        <is>
          <t>C4-Nord (618) + C6-Sud (618)</t>
        </is>
      </c>
    </row>
    <row r="7">
      <c r="B7" s="7" t="inlineStr">
        <is>
          <t>STP500S-H54-Nfb+</t>
        </is>
      </c>
      <c r="C7" s="6" t="n">
        <v>500</v>
      </c>
      <c r="D7" s="8" t="n">
        <v>1728</v>
      </c>
      <c r="E7" s="34" t="n">
        <v>309</v>
      </c>
      <c r="F7" s="35">
        <f>D7-E7</f>
        <v/>
      </c>
      <c r="G7" s="36">
        <f>E7*C7/1000</f>
        <v/>
      </c>
      <c r="H7" s="33" t="inlineStr">
        <is>
          <t>C6-Nord parțial (309 din 515)</t>
        </is>
      </c>
    </row>
    <row r="8">
      <c r="B8" s="7" t="inlineStr">
        <is>
          <t>STP450S-H48-Nkh+  („H45”)</t>
        </is>
      </c>
      <c r="C8" s="6" t="n">
        <v>450</v>
      </c>
      <c r="D8" s="8" t="n">
        <v>549</v>
      </c>
      <c r="E8" s="34" t="n">
        <v>0</v>
      </c>
      <c r="F8" s="35">
        <f>D8-E8</f>
        <v/>
      </c>
      <c r="G8" s="36">
        <f>E8*C8/1000</f>
        <v/>
      </c>
      <c r="H8" s="33" t="inlineStr">
        <is>
          <t>rezervă (nu umple o față de 618)</t>
        </is>
      </c>
    </row>
    <row r="9">
      <c r="B9" s="7" t="inlineStr">
        <is>
          <t>STP710S-D66-Nsh+</t>
        </is>
      </c>
      <c r="C9" s="6" t="n">
        <v>710</v>
      </c>
      <c r="D9" s="8" t="n">
        <v>594</v>
      </c>
      <c r="E9" s="34" t="n">
        <v>392</v>
      </c>
      <c r="F9" s="35">
        <f>D9-E9</f>
        <v/>
      </c>
      <c r="G9" s="36">
        <f>E9*C9/1000</f>
        <v/>
      </c>
      <c r="H9" s="33" t="inlineStr">
        <is>
          <t>C4-Sud (392)</t>
        </is>
      </c>
    </row>
    <row r="10">
      <c r="B10" s="11" t="inlineStr">
        <is>
          <t>TOTAL</t>
        </is>
      </c>
      <c r="C10" s="10" t="n"/>
      <c r="D10" s="37">
        <f>SUM(D6:D9)</f>
        <v/>
      </c>
      <c r="E10" s="37">
        <f>SUM(E6:E9)</f>
        <v/>
      </c>
      <c r="F10" s="38">
        <f>SUM(F6:F9)</f>
        <v/>
      </c>
      <c r="G10" s="39">
        <f>SUM(G6:G9)</f>
        <v/>
      </c>
      <c r="H10" s="10" t="n"/>
    </row>
    <row r="12">
      <c r="B12" s="14" t="inlineStr">
        <is>
          <t>Rămân ~3490 panouri (~1,7 MW) — pentru halele mici (2×35×20 + 20×20) sau rezervă/înlocuiri.</t>
        </is>
      </c>
    </row>
    <row r="13">
      <c r="B13" s="14" t="inlineStr">
        <is>
          <t>H48 luat integral din Nth+; Nkh+ rămâne rezervă (nu umple singur o față). Un tip per față = string-uri uniforme.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2026-08-05T08:33:32Z</dcterms:created>
  <dcterms:modified xmlns:dcterms="http://purl.org/dc/terms/" xmlns:xsi="http://www.w3.org/2001/XMLSchema-instance" xsi:type="dcterms:W3CDTF">2026-08-05T08:33:33Z</dcterms:modified>
</cp:coreProperties>
</file>