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0. Downloads\Apartamente Viena\00. Cladire 1 Schallergasse 35, 1120 Wien (Meidling)\00.Proiect\07. Kosten + Ausschreibung\Deviz General 2026.09.21\Versiunea MIN (budget 1.0M)\"/>
    </mc:Choice>
  </mc:AlternateContent>
  <xr:revisionPtr revIDLastSave="0" documentId="13_ncr:1_{99C6510A-259E-48BB-8DC9-A8F61C5F1260}" xr6:coauthVersionLast="47" xr6:coauthVersionMax="47" xr10:uidLastSave="{00000000-0000-0000-0000-000000000000}"/>
  <bookViews>
    <workbookView xWindow="41172" yWindow="-108" windowWidth="41496" windowHeight="16776" xr2:uid="{00000000-000D-0000-FFFF-FFFF00000000}"/>
  </bookViews>
  <sheets>
    <sheet name="DEVIZ MIN" sheetId="1" r:id="rId1"/>
    <sheet name="REDUCERI SI RISCURI" sheetId="2" r:id="rId2"/>
    <sheet name="MATERIALE DEDEMAN (ref)" sheetId="3" r:id="rId3"/>
    <sheet name="IPOTEZE SI SUR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19" i="3" s="1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F66" i="1"/>
  <c r="F65" i="1"/>
  <c r="F64" i="1"/>
  <c r="F61" i="1"/>
  <c r="F60" i="1"/>
  <c r="F59" i="1"/>
  <c r="F58" i="1"/>
  <c r="F57" i="1"/>
  <c r="F56" i="1"/>
  <c r="F55" i="1"/>
  <c r="F62" i="1" s="1"/>
  <c r="F77" i="1" s="1"/>
  <c r="F52" i="1"/>
  <c r="F51" i="1"/>
  <c r="F53" i="1" s="1"/>
  <c r="F76" i="1" s="1"/>
  <c r="F48" i="1"/>
  <c r="F47" i="1"/>
  <c r="F46" i="1"/>
  <c r="F45" i="1"/>
  <c r="F44" i="1"/>
  <c r="F43" i="1"/>
  <c r="F40" i="1"/>
  <c r="F39" i="1"/>
  <c r="F38" i="1"/>
  <c r="F37" i="1"/>
  <c r="F36" i="1"/>
  <c r="F41" i="1" s="1"/>
  <c r="F74" i="1" s="1"/>
  <c r="F33" i="1"/>
  <c r="F32" i="1"/>
  <c r="F31" i="1"/>
  <c r="F30" i="1"/>
  <c r="F29" i="1"/>
  <c r="F28" i="1"/>
  <c r="F34" i="1" s="1"/>
  <c r="F73" i="1" s="1"/>
  <c r="F25" i="1"/>
  <c r="F24" i="1"/>
  <c r="F23" i="1"/>
  <c r="F22" i="1"/>
  <c r="F21" i="1"/>
  <c r="F20" i="1"/>
  <c r="F19" i="1"/>
  <c r="F18" i="1"/>
  <c r="F15" i="1"/>
  <c r="F14" i="1"/>
  <c r="F13" i="1"/>
  <c r="F12" i="1"/>
  <c r="F16" i="1" s="1"/>
  <c r="F71" i="1" s="1"/>
  <c r="F9" i="1"/>
  <c r="F8" i="1"/>
  <c r="F7" i="1"/>
  <c r="F6" i="1"/>
  <c r="F67" i="1" l="1"/>
  <c r="F78" i="1" s="1"/>
  <c r="F10" i="1"/>
  <c r="F70" i="1" s="1"/>
  <c r="F26" i="1"/>
  <c r="F72" i="1" s="1"/>
  <c r="F49" i="1"/>
  <c r="F75" i="1" s="1"/>
  <c r="F79" i="1"/>
  <c r="F82" i="1" l="1"/>
  <c r="F83" i="1"/>
  <c r="F81" i="1"/>
</calcChain>
</file>

<file path=xl/sharedStrings.xml><?xml version="1.0" encoding="utf-8"?>
<sst xmlns="http://schemas.openxmlformats.org/spreadsheetml/2006/main" count="332" uniqueCount="251">
  <si>
    <t>DEVIZ GENERAL ESTIMATIV — VARIANTA BUDGET (țintă: 1.000.000 EUR net)</t>
  </si>
  <si>
    <t>Schallergasse 35, 1120 Wien · A&amp;C Wohnart Immobilien GmbH · Revizuit: 21.09.2026 · Prețuri MINIME estimative, nenegociate, nete EUR · FĂRĂ rezervă de neprevăzute (decizie beneficiar — vezi riscuri în sheet REDUCERI)</t>
  </si>
  <si>
    <t>Poz.</t>
  </si>
  <si>
    <t>Denumire lucrare / serviciu</t>
  </si>
  <si>
    <t>UM</t>
  </si>
  <si>
    <t>Cant.</t>
  </si>
  <si>
    <t>PU net (EUR)</t>
  </si>
  <si>
    <t>Valoare net (EUR)</t>
  </si>
  <si>
    <t>Sursă</t>
  </si>
  <si>
    <t>Observații / cum s-a obținut minimul</t>
  </si>
  <si>
    <t>CAP. A — ORGANIZARE DE ȘANTIER</t>
  </si>
  <si>
    <t>A.1</t>
  </si>
  <si>
    <t>Organizare de șantier slim: 1 container, utilități provizorii, împrejmuire minimă — restul în prețurile unitare ale GU</t>
  </si>
  <si>
    <t>pauschal</t>
  </si>
  <si>
    <t>E</t>
  </si>
  <si>
    <t>redus de la 38.000: pachetul mare se negociază INCLUS la GU (condiție de atribuire)</t>
  </si>
  <si>
    <t>A.2</t>
  </si>
  <si>
    <t>Schelă fațadă curte, montaj/demontaj + 3 luni staționare (fără extindere)</t>
  </si>
  <si>
    <t>m²</t>
  </si>
  <si>
    <t>redus la P10 standard; staționarea peste 3 luni = pe săptămână, doar dacă e nevoie</t>
  </si>
  <si>
    <t>A.3</t>
  </si>
  <si>
    <t>Macara mobilă doar la montajul structurii DG (zile punctuale, nu pauschal lung)</t>
  </si>
  <si>
    <t>redus de la 22.000: închiriere pe zile + GU cu Bauaufzug propriu (criteriu chestionar B5/B6)</t>
  </si>
  <si>
    <t>A.4</t>
  </si>
  <si>
    <t>Protecții colective BauKG minime cf. SiGe</t>
  </si>
  <si>
    <t>redus de la 8.000</t>
  </si>
  <si>
    <t>SUBTOTAL A</t>
  </si>
  <si>
    <t>CAP. B — DEMOLĂRI, DESFACERI, EVACUARE</t>
  </si>
  <si>
    <t>B.1</t>
  </si>
  <si>
    <t>Demolare acoperiș existent complet</t>
  </si>
  <si>
    <t>redus 72→55 €/m²: echipă specializată demolări, nu GU-ul scump</t>
  </si>
  <si>
    <t>B.2</t>
  </si>
  <si>
    <t>Demolări interioare selective (doar ce cer planurile, fără desfaceri de confort)</t>
  </si>
  <si>
    <t>redus 55→38: păstrăm tot ce se poate păstra (pardoseli bune, tencuieli sănătoase)</t>
  </si>
  <si>
    <t>B.3</t>
  </si>
  <si>
    <t>Goluri planșee (lift, scări TOP 23), buiandrugi</t>
  </si>
  <si>
    <t>redus de la 14.000</t>
  </si>
  <si>
    <t>B.4</t>
  </si>
  <si>
    <t>Evacuare + deponare cf. RBV (sortare la sursă pentru taxe minime)</t>
  </si>
  <si>
    <t>redus de la 26.000: sortarea la sursă înjumătățește taxele de deponie</t>
  </si>
  <si>
    <t>SUBTOTAL B</t>
  </si>
  <si>
    <t>CAP. C — STRUCTURĂ / ROHBAU</t>
  </si>
  <si>
    <t>C.1</t>
  </si>
  <si>
    <t>Placă fundare STB C25/30 d=30 cm, subsol</t>
  </si>
  <si>
    <t>redus 190→165: beton de la stație cu pompare o singură mobilizare, armare optimizată de statică</t>
  </si>
  <si>
    <t>C.2</t>
  </si>
  <si>
    <t>Groapă + cuvă lift</t>
  </si>
  <si>
    <t>B</t>
  </si>
  <si>
    <t>redus de la 19.000: cuvă minimă cf. furnizor lift ales</t>
  </si>
  <si>
    <t>C.3</t>
  </si>
  <si>
    <t>Structură metalică HEB S235 livrată+montată</t>
  </si>
  <si>
    <t>kg</t>
  </si>
  <si>
    <t>redus 14t→11t și 4,20→3,80 €/kg: TEMĂ PENTRU STATICĂ (Toms) — optimizarea tonajului e cerință de proiectare</t>
  </si>
  <si>
    <t>C.4</t>
  </si>
  <si>
    <t>Suprabeton armat 7 cm pe planșee existente</t>
  </si>
  <si>
    <t>redus 98→82</t>
  </si>
  <si>
    <t>C.5</t>
  </si>
  <si>
    <t>Zidărie portantă Porotherm 25 cm + buiandrugi</t>
  </si>
  <si>
    <t>D</t>
  </si>
  <si>
    <t>redus 148→125: manoperă echipă proprie GU</t>
  </si>
  <si>
    <t>C.6</t>
  </si>
  <si>
    <t>Structură mansardă lemn KVH (2 niveluri), livrată+montată</t>
  </si>
  <si>
    <t>m³</t>
  </si>
  <si>
    <t>redus 1.450→1.100: KVH standard (nu BSH decât unde cere statica), montaj în serie</t>
  </si>
  <si>
    <t>C.7</t>
  </si>
  <si>
    <t>Puț lift peste cotă (zidărie armată unde statica permite, STB doar unde e obligatoriu)</t>
  </si>
  <si>
    <t>redus de la 34.000: soluția mixtă — de validat cu Toms</t>
  </si>
  <si>
    <t>C.8</t>
  </si>
  <si>
    <t>Balcoane hofseitig fertigteil + HEB 120</t>
  </si>
  <si>
    <t>buc</t>
  </si>
  <si>
    <t>redus 6.500→4.200: fertigteil standard de catalog, nu unicate</t>
  </si>
  <si>
    <t>SUBTOTAL C</t>
  </si>
  <si>
    <t>CAP. D — ANVELOPĂ</t>
  </si>
  <si>
    <t>D.1</t>
  </si>
  <si>
    <t>Învelitoare completă DA01–DA04 (astereală, folii, termo, tablă fălțuită, spengler)</t>
  </si>
  <si>
    <t>redus 245→185: tablă fălțuită standard (nu premium), spengler în pachet</t>
  </si>
  <si>
    <t>D.2</t>
  </si>
  <si>
    <t>Terase DG + terasa lift (hidro 2 straturi, termo, dale)</t>
  </si>
  <si>
    <t>redus 215→175</t>
  </si>
  <si>
    <t>D.3</t>
  </si>
  <si>
    <t>Lucarne/Gaupen complete cf. D-02/D-03</t>
  </si>
  <si>
    <t>redus 3.900→3.100: tipizare — toate 6 identice constructiv</t>
  </si>
  <si>
    <t>D.4</t>
  </si>
  <si>
    <t>Tâmplărie exterioară cf. Tablou (34 poz.) — lemn standard/PVC premium cu aspect aprobat</t>
  </si>
  <si>
    <t>redus 1.380→880: PVC clasa A cu folie sau lemn standard; ATENȚIE aspect fațadă stradală de păstrat</t>
  </si>
  <si>
    <t>D.5</t>
  </si>
  <si>
    <t>Fațade curte: reparații + zugrăveală silicatică (FĂRĂ termosistem extins)</t>
  </si>
  <si>
    <t>redus 88→62: termosistemul extins amânat (nu e condiție din Bescheid)</t>
  </si>
  <si>
    <t>D.6</t>
  </si>
  <si>
    <t>Fațada principală: doar reparații punctuale obligatorii + glafuri + șorț</t>
  </si>
  <si>
    <t>redus de la 16.000</t>
  </si>
  <si>
    <t>SUBTOTAL D</t>
  </si>
  <si>
    <t>CAP. E — FINISAJE INTERIOARE (materiale nivel Dedeman + manoperă optimizată)</t>
  </si>
  <si>
    <t>E.1</t>
  </si>
  <si>
    <t>Pereți gips-carton, ghene, măști (sisteme cf. planuri)</t>
  </si>
  <si>
    <t>redus 61.000→48.000: manoperă echipe est-EU supervizate; materiale identice [D]</t>
  </si>
  <si>
    <t>E.2</t>
  </si>
  <si>
    <t>Șape + pardoseli finite (parchet stratificat cl. medie, gresie/faianță Dedeman)</t>
  </si>
  <si>
    <t>redus 88.000→66.000: parchet 140 lei/m² în loc de 194 (există în oferta Dedeman), gresie standard</t>
  </si>
  <si>
    <t>E.3</t>
  </si>
  <si>
    <t>Gleturi + zugrăveli + hidroizolații băi</t>
  </si>
  <si>
    <t>redus 39.000→30.000</t>
  </si>
  <si>
    <t>E.4</t>
  </si>
  <si>
    <t>Tâmplărie interioară (uși cf. planuri) + montaj</t>
  </si>
  <si>
    <t>redus 23.000→19.500: uși din gama medie Dedeman</t>
  </si>
  <si>
    <t>E.5</t>
  </si>
  <si>
    <t>Confecții metalice (scară demisol, podest, balustrade)</t>
  </si>
  <si>
    <t>redus 9.500→7.000</t>
  </si>
  <si>
    <t>SUBTOTAL E</t>
  </si>
  <si>
    <t>CAP. F — INSTALAȚII (cf. PTh 08.09.2026, varianta economică)</t>
  </si>
  <si>
    <t>F.1</t>
  </si>
  <si>
    <t>Electrice complete (13 tablouri, tuburi/cabluri cf. liste, aparataj standard alb, LED)</t>
  </si>
  <si>
    <t>redus 84.000→63.000: aparataj gama standard (nu design), corpuri LED economice cf. spec.</t>
  </si>
  <si>
    <t>F.2</t>
  </si>
  <si>
    <t>Curenți slabi (UTP, TV, interfon)</t>
  </si>
  <si>
    <t>redus 12.500→9.000</t>
  </si>
  <si>
    <t>F.3</t>
  </si>
  <si>
    <t>Sanitare complete (obiecte entry-level bune cf. listă: 20+13+7+7+11, conducte, canalizare, 2 Hebeanlagen)</t>
  </si>
  <si>
    <t>redus 69.000→50.000: obiecte sanitare gama economică solidă (Cersanit/Ideal Standard basic)</t>
  </si>
  <si>
    <t>F.4</t>
  </si>
  <si>
    <t>Termice — VARIANTA ECONOMICĂ: doar centrale gaz condensare (FĂRĂ cele 4 pompe de căldură), 52 radiatoare, UFH 210 m² cf. liste</t>
  </si>
  <si>
    <t>redus 98.000→52.000: eliminarea WP economisește ~38.000; DECIZIE DE CONCEPT — închide contradicția UFH/radiatoare pe varianta gaz</t>
  </si>
  <si>
    <t>F.5</t>
  </si>
  <si>
    <t>Ventilare băi (16 ventilatoare + tubulatură)</t>
  </si>
  <si>
    <t>F.6</t>
  </si>
  <si>
    <t>Branșamente utilități (electric, gaz, apă-canal)</t>
  </si>
  <si>
    <t>redus 18.000→14.000</t>
  </si>
  <si>
    <t>SUBTOTAL F</t>
  </si>
  <si>
    <t>CAP. G — ASCENSOR (plafonat de beneficiar la 75.000)</t>
  </si>
  <si>
    <t>G.1</t>
  </si>
  <si>
    <t>Ascensor 6 opriri, model economic (MRL, uși telescopice) — livrare+montaj+PIF</t>
  </si>
  <si>
    <t>plafon beneficiar; realizabil cu producători non-premium (Orona/KLEEMANN/etc.) — shortlistul din raportul 21.09; ATENȚIE: sub media pieței pentru 6 opriri — de confirmat cu oferte reale</t>
  </si>
  <si>
    <t>G.2</t>
  </si>
  <si>
    <t>Abnahmeprüfung organism acreditat + documentație</t>
  </si>
  <si>
    <t>obligatoriu legal</t>
  </si>
  <si>
    <t>SUBTOTAL G</t>
  </si>
  <si>
    <t>CAP. H — SERVICII ȘI ROLURI LEGALE (strict minimul legal + ofertele Toms/Lechner)</t>
  </si>
  <si>
    <t>H.1</t>
  </si>
  <si>
    <t>Ausführungsstatik + Konstruktionspläne + statische Betreuung</t>
  </si>
  <si>
    <t>O</t>
  </si>
  <si>
    <t>[O] Toms ANG 855 — cea mai bună ofertă existentă (Berger: 35.000)</t>
  </si>
  <si>
    <t>H.2</t>
  </si>
  <si>
    <t>Prüfingenieur §127/§128</t>
  </si>
  <si>
    <t>[O] Toms ANG 839</t>
  </si>
  <si>
    <t>H.3</t>
  </si>
  <si>
    <t>BauKG complet (Planungs+Baustellenkoordinator, 12 luni)</t>
  </si>
  <si>
    <t>[O] Lechner 26-0094</t>
  </si>
  <si>
    <t>H.4</t>
  </si>
  <si>
    <t>Beweissicherung vecini — limitată la nr. 36 + stradă</t>
  </si>
  <si>
    <t>redus 7.000→3.500 prin limitarea scopului; NU se elimină (vecin ostil)</t>
  </si>
  <si>
    <t>H.5</t>
  </si>
  <si>
    <t>Bauwerksbuch §128a</t>
  </si>
  <si>
    <t>obligatoriu; ofertă Lechner în curs</t>
  </si>
  <si>
    <t>H.6</t>
  </si>
  <si>
    <t>Schad-/Störstofferkundung (rückbaukundige Person)</t>
  </si>
  <si>
    <t>obligatorie înainte de demolări; redus 4.500→3.000 (scop limitat la zonele de intervenție)</t>
  </si>
  <si>
    <t>H.7</t>
  </si>
  <si>
    <t>Bauphysik: doar Energieausweis actualizat la finalizare</t>
  </si>
  <si>
    <t>redus 5.000→3.000</t>
  </si>
  <si>
    <t>SUBTOTAL H</t>
  </si>
  <si>
    <t>CAP. I — ASIGURĂRI ȘI TAXE</t>
  </si>
  <si>
    <t>I.1</t>
  </si>
  <si>
    <t>Bauwesenversicherung</t>
  </si>
  <si>
    <t>redus: corelare cu polița DONAU existentă a clădirii</t>
  </si>
  <si>
    <t>I.2</t>
  </si>
  <si>
    <t>Taxe MA37 + Gebrauchsabgabe (schelă/trotuar)</t>
  </si>
  <si>
    <t>I.3</t>
  </si>
  <si>
    <t>Utilități șantier + diverse</t>
  </si>
  <si>
    <t>SUBTOTAL I</t>
  </si>
  <si>
    <t>RECAPITULAȚIE — VARIANTA BUDGET</t>
  </si>
  <si>
    <t>Cap. A — Organizare de șantier</t>
  </si>
  <si>
    <t>Cap. B — Demolări și evacuare</t>
  </si>
  <si>
    <t>Cap. C — Structură / Rohbau</t>
  </si>
  <si>
    <t>Cap. D — Anvelopă</t>
  </si>
  <si>
    <t>Cap. E — Finisaje interioare</t>
  </si>
  <si>
    <t>Cap. F — Instalații</t>
  </si>
  <si>
    <t>Cap. G — Ascensor</t>
  </si>
  <si>
    <t>Cap. H — Servicii și roluri legale</t>
  </si>
  <si>
    <t>Cap. I — Asigurări și taxe</t>
  </si>
  <si>
    <t>TOTAL GENERAL NET (EUR) — fără neprevăzute (eliminate la decizia beneficiarului)</t>
  </si>
  <si>
    <t>ȚINTA BENEFICIARULUI</t>
  </si>
  <si>
    <t>Marjă față de țintă (pozitiv = sub țintă)</t>
  </si>
  <si>
    <t>TVA Austria 20%</t>
  </si>
  <si>
    <t>TOTAL GENERAL BRUT (EUR, cu TVA 20%)</t>
  </si>
  <si>
    <t>CE S-A TĂIAT FAȚĂ DE VARIANTA DE BAZĂ (1.729.460 net) — ȘI CE RISC ADUCE FIECARE TĂIERE</t>
  </si>
  <si>
    <t>Reducere</t>
  </si>
  <si>
    <t>V. Bază (net €)</t>
  </si>
  <si>
    <t>Budget (net €)</t>
  </si>
  <si>
    <t>Riscul asumat</t>
  </si>
  <si>
    <t>Neprevăzute (Cap. J) ELIMINATE</t>
  </si>
  <si>
    <t>RISCUL PRINCIPAL: la Gründerzeit din 1905, dezvelirea planșeelor/fundațiilor aduce aproape întotdeauna surprize (Bescheid pct. 7–8 cere verificare la fața locului). Orice depășire lovește direct cash-flow-ul. Recomandare fermă: păstrați măcar o rezervă mentală de 8–10% în finanțare, chiar dacă nu apare în deviz.</t>
  </si>
  <si>
    <t>ÖBA (supraveghere execuție) ELIMINATĂ</t>
  </si>
  <si>
    <t>Beneficiarul (Cosmin) preia supravegherea, sprijinit de: statische Betreuung Toms, Prüfingenieur (controale legale), BauKG Lechner (săptămânal pe șantier). Fără ÖBA profesionistă, controlul cantităților/facturilor și al calității zilnice cade pe beneficiar — cere prezență regulată la Viena.</t>
  </si>
  <si>
    <t>LV/Ausschreibung (Mattes) ELIMINAT</t>
  </si>
  <si>
    <t>Licitarea se face cu formularele proprii (Richtpreisliste + Fragebogen deja trimise la 17 GU) — deja funcționează.</t>
  </si>
  <si>
    <t>Planwechsel (Mattes) ELIMINAT</t>
  </si>
  <si>
    <t>Premisa proiectului e execuția STRICT pe autorizația existentă. Dacă MA37 impune totuși Planwechsel la recompartimentări, costul revine (+9.500–13.000).</t>
  </si>
  <si>
    <t>Pompe de căldură (4×6 kW) ELIMINATE — concept doar gaz</t>
  </si>
  <si>
    <t>Închide contradicția UFH/radiatoare pe varianta gaz. Risc: performanță energetică mai slabă (Energieausweis), expunere la prețul gazului, eventuale cerințe viitoare de decarbonizare (Wien: EWG — gaz interzis în NEUBAU, la Bestand deocamdată permis).</t>
  </si>
  <si>
    <t>Lift plafonat 148.500 → 75.000</t>
  </si>
  <si>
    <t>PLAFONUL BENEFICIARULUI. Realizabil doar cu producători economici și cabină standard; ofertele reale din shortlist (raport 21.09) vor arăta dacă 72.000 e fezabil pentru 6 opriri în clădire existentă — piața tipică e 90.000–140.000. Poziția cu cel mai mare risc de depășire din deviz.</t>
  </si>
  <si>
    <t>Structură optimizată (HEB 14t→11t, KVH nu BSH, puț mixt)</t>
  </si>
  <si>
    <t>Condiționată de proiectarea statică: se transmite ca TEMĂ DE OPTIMIZARE lui Toms (au primit misiunea exact pentru asta). Dacă statica nu confirmă, pozițiile revin parțial.</t>
  </si>
  <si>
    <t>Finisaje/materiale la gama economică</t>
  </si>
  <si>
    <t>Parchet 140 lei/m², obiecte sanitare entry, aparataj standard — calitate onestă dar nu premium; impact direct pe chiria/prețul de vânzare obtenabil. Alternativele premium rămân documentate în Materiale_Alternative_Premium.xlsx.</t>
  </si>
  <si>
    <t>Fațade: fără termosistem extins, ferestre PVC/lemn standard</t>
  </si>
  <si>
    <t>Amânare, nu anulare — se poate face ulterior pe apartamente. Aspectul fațadei stradale trebuie păstrat cf. Bescheid — verificați PVC-ul la fațada stradală cu MA19 (Stadtbildpflege)!</t>
  </si>
  <si>
    <t>Servicii diverse reduse la scop minim</t>
  </si>
  <si>
    <t>Beweissicherung doar nr. 36+stradă; Schadstoffe pe zonele de intervenție; Bauphysik doar Energieausweis.</t>
  </si>
  <si>
    <t>SINTEZĂ: V. Bază 1.729.460 → V. Budget ≈ 999.800 net (−42%). Tăierile NU sunt gratuite — sunt decizii de risc/calitate asumate de beneficiar, listate mai sus. Pozițiile-cheie de validat cu oferte reale: liftul (G.1), optimizarea structurii (C.3–C.7), varianta gaz (F.4).</t>
  </si>
  <si>
    <t>REFERINȚĂ MATERIALE — nivel prețuri Dedeman (livrabile 05.08.2026, baza: Centralizator cantități 23.07 + planstand ulterior)</t>
  </si>
  <si>
    <t>Curs de calcul:</t>
  </si>
  <si>
    <t>RON/EUR (BNR, medie sept. 2026 — MODIFICABIL; toate valorile EUR se recalculează)</t>
  </si>
  <si>
    <t>Capitol materiale (cf. Deviz_General_pe_Incaperi.xlsx)</t>
  </si>
  <si>
    <t>Valoare cu TVA RO (lei)</t>
  </si>
  <si>
    <t>Valoare (EUR)</t>
  </si>
  <si>
    <t>Confectii metalice</t>
  </si>
  <si>
    <t>Fatade</t>
  </si>
  <si>
    <t>Ghene VS01+VS02+VS04</t>
  </si>
  <si>
    <t>Gleturi/vopsele</t>
  </si>
  <si>
    <t>Hidroizolatii</t>
  </si>
  <si>
    <t>Inaltare pardoseala baie</t>
  </si>
  <si>
    <t>Invelitoare</t>
  </si>
  <si>
    <t>Pardoseli finite</t>
  </si>
  <si>
    <t>Pereti speciali (AW/IW/SW/WTW)</t>
  </si>
  <si>
    <t>Pereti gips-carton</t>
  </si>
  <si>
    <t>Plansee</t>
  </si>
  <si>
    <t>Sape/pardoseli</t>
  </si>
  <si>
    <t>Tamplarie interioara</t>
  </si>
  <si>
    <t>TOTAL MATERIALE (nivel Dedeman, cu TVA RO)</t>
  </si>
  <si>
    <t>Notă: valorile de mai sus sunt DOAR materialele (fără manoperă, utilaje, transport AT). În devizul general, capitolele D–E înglobează aceste materiale + manoperă/execuție Viena. Alternativele premium: Materiale_Alternative_Premium.xlsx.</t>
  </si>
  <si>
    <t>CARACTER</t>
  </si>
  <si>
    <t>Deviz ESTIMATIV, NENEGOCIAT, pentru bugetare și comparație cu ofertele GU. Nu este ofertă și nu înlocuiește devizele ofertanților. Prețuri nete EUR; TVA Austria 20% aplicat la final.</t>
  </si>
  <si>
    <t>BAZA CANTITĂȚI</t>
  </si>
  <si>
    <t>Planstand arhitectură + PTh instalații 08.09.2026 (A.01–A.10, IE00–IE21, IS01–IS07, IT01–IT07); Centralizator cantități Mădălina; liste cantități electrice/sanitare/termice; Tablou tâmplărie (34 poz.).</t>
  </si>
  <si>
    <t>SURSE PREȚ [O] oferte reale</t>
  </si>
  <si>
    <t>Toms ANG 855 (statică 26.500) și ANG 839 (Prüfingenieur 8.000); Lechner 26-0094 (BauKG 8.250); Mattes (Planwechsel 9.500, LV 17.000, ÖBA 115.500 — ofertă expirată, valori de reconfirmat); repere LVR/Gschirtz din Analiza_Defalcata_Oferte.</t>
  </si>
  <si>
    <t>SURSE PREȚ [B] benchmark</t>
  </si>
  <si>
    <t>Berger (Baumeister, autor Vorbemessung): Herstellpreis 2.064.715 € net = 100.000 lift + 609,22 m²×1.500 (Bestand) + 233,53 m²×4.500 (DG) — folosit ca verificare încrucișată și pentru pozițiile de lift/puț.</t>
  </si>
  <si>
    <t>SURSE PREȚ [D] materiale</t>
  </si>
  <si>
    <t>Lista_Materiale_Dedeman.xlsx + Deviz_General_pe_Incaperi.xlsx (05.08.2026): 838.214 lei cu TVA RO pe zone / 868.214 pe capitole. Curs 1 EUR = 4,98 RON (modificabil în sheet MATERIALE). Manopera adăugată la nivel Viena 2026.</t>
  </si>
  <si>
    <t>SURSE PREȚ [E] estimări</t>
  </si>
  <si>
    <t>Prețuri de piață Viena 2026 pentru poziții fără ofertă (demolări, structură, instalații, lift, anvelopă), calibrate pe Richtpreisliste P01–P10 și pe benchmarkul Berger.</t>
  </si>
  <si>
    <t>EXCLUDERI</t>
  </si>
  <si>
    <t>Bucătării/mobilier; onorariu arhitectură Mădălina (contract separat existent); costuri finanțare; marketing/închiriere; îmbunătățiri suplimentare față de planstand 08.09; creșteri de preț post-2026 (Valorizare).</t>
  </si>
  <si>
    <t>RISCURI MAJORE</t>
  </si>
  <si>
    <t>1) Contradicția UFH vs. radiatoare + concept 8 Gastherme/4 WP — de închis înainte de contractarea instalațiilor (F.4/F.6 pot varia ±20%). 2) Starea reală a planșeelor/fundațiilor la dezvelire (Bescheid pct. 7–8). 3) Lift: model de referință ieșit din fabricație — ofertele reale pot devia. 4) Duplicarea potențială H.5 cu serviciile GU. 5) ÖBA (H.6) — decizie strategică, 115.500 €.</t>
  </si>
  <si>
    <t>RECONCILIERE</t>
  </si>
  <si>
    <t>Execuția A–G + 10% neprevăzute ≈ benchmarkul Berger (2,06 mil. net) − diferența reflectă: fațada stradală păstrată, finisaje la nivel material Dedeman, instalațiile pe listele reale PTh.</t>
  </si>
  <si>
    <t>ÎNTOCMIT</t>
  </si>
  <si>
    <t>21.09.2026, pe baza documentelor din proiect. Actualizare recomandată după primirea Richtpreise de la GU (formularele Anlage A) — atunci pozițiile [E] devin [O].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</si>
</sst>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1"/>
      <name val="Arial"/>
    </font>
    <font>
      <b/>
      <sz val="11"/>
      <color rgb="FF0000FF"/>
      <name val="Arial"/>
    </font>
    <font>
      <i/>
      <sz val="9"/>
      <color rgb="FFC00000"/>
      <name val="Arial"/>
    </font>
    <font>
      <b/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/>
    </xf>
    <xf numFmtId="3" fontId="5" fillId="0" borderId="1" xfId="0" applyNumberFormat="1" applyFont="1" applyBorder="1" applyAlignment="1">
      <alignment vertical="top"/>
    </xf>
    <xf numFmtId="0" fontId="7" fillId="3" borderId="1" xfId="0" applyFont="1" applyFill="1" applyBorder="1"/>
    <xf numFmtId="3" fontId="7" fillId="3" borderId="1" xfId="0" applyNumberFormat="1" applyFont="1" applyFill="1" applyBorder="1"/>
    <xf numFmtId="0" fontId="7" fillId="0" borderId="0" xfId="0" applyFont="1"/>
    <xf numFmtId="0" fontId="8" fillId="4" borderId="0" xfId="0" applyFont="1" applyFill="1"/>
    <xf numFmtId="0" fontId="6" fillId="0" borderId="0" xfId="0" applyFont="1"/>
    <xf numFmtId="0" fontId="5" fillId="0" borderId="0" xfId="0" applyFont="1" applyAlignment="1">
      <alignment vertical="top" wrapText="1"/>
    </xf>
    <xf numFmtId="0" fontId="9" fillId="0" borderId="0" xfId="0" applyFont="1"/>
    <xf numFmtId="0" fontId="10" fillId="5" borderId="2" xfId="0" applyFont="1" applyFill="1" applyBorder="1" applyAlignment="1">
      <alignment vertical="center" wrapText="1"/>
    </xf>
    <xf numFmtId="0" fontId="4" fillId="6" borderId="2" xfId="0" applyFont="1" applyFill="1" applyBorder="1"/>
    <xf numFmtId="0" fontId="5" fillId="0" borderId="2" xfId="0" applyFont="1" applyBorder="1" applyAlignment="1">
      <alignment vertical="top" wrapText="1"/>
    </xf>
    <xf numFmtId="4" fontId="5" fillId="0" borderId="2" xfId="0" applyNumberFormat="1" applyFont="1" applyBorder="1" applyAlignment="1">
      <alignment vertical="top" wrapText="1"/>
    </xf>
    <xf numFmtId="3" fontId="5" fillId="0" borderId="2" xfId="0" applyNumberFormat="1" applyFont="1" applyBorder="1" applyAlignment="1">
      <alignment vertical="top" wrapText="1"/>
    </xf>
    <xf numFmtId="0" fontId="6" fillId="7" borderId="2" xfId="0" applyFont="1" applyFill="1" applyBorder="1"/>
    <xf numFmtId="3" fontId="6" fillId="7" borderId="2" xfId="0" applyNumberFormat="1" applyFont="1" applyFill="1" applyBorder="1"/>
    <xf numFmtId="0" fontId="5" fillId="0" borderId="2" xfId="0" applyFont="1" applyBorder="1" applyAlignment="1">
      <alignment vertical="top"/>
    </xf>
    <xf numFmtId="3" fontId="5" fillId="0" borderId="2" xfId="0" applyNumberFormat="1" applyFont="1" applyBorder="1" applyAlignment="1">
      <alignment vertical="top"/>
    </xf>
    <xf numFmtId="0" fontId="7" fillId="8" borderId="2" xfId="0" applyFont="1" applyFill="1" applyBorder="1"/>
    <xf numFmtId="3" fontId="7" fillId="8" borderId="2" xfId="0" applyNumberFormat="1" applyFont="1" applyFill="1" applyBorder="1"/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7" customWidth="1"/>
    <col min="2" max="2" width="50" customWidth="1"/>
    <col min="3" max="3" width="7" customWidth="1"/>
    <col min="4" max="4" width="9" customWidth="1"/>
    <col min="5" max="5" width="11" customWidth="1"/>
    <col min="6" max="6" width="13" customWidth="1"/>
    <col min="7" max="7" width="6" customWidth="1"/>
    <col min="8" max="8" width="56" customWidth="1"/>
  </cols>
  <sheetData>
    <row r="1" spans="1:8" ht="17.399999999999999" x14ac:dyDescent="0.3">
      <c r="A1" s="1" t="s">
        <v>0</v>
      </c>
    </row>
    <row r="2" spans="1:8" x14ac:dyDescent="0.3">
      <c r="A2" s="12" t="s">
        <v>1</v>
      </c>
    </row>
    <row r="4" spans="1:8" ht="26.4" x14ac:dyDescent="0.3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</row>
    <row r="5" spans="1:8" x14ac:dyDescent="0.3">
      <c r="A5" s="14" t="s">
        <v>10</v>
      </c>
      <c r="B5" s="14"/>
      <c r="C5" s="14"/>
      <c r="D5" s="14"/>
      <c r="E5" s="14"/>
      <c r="F5" s="14"/>
      <c r="G5" s="14"/>
      <c r="H5" s="14"/>
    </row>
    <row r="6" spans="1:8" ht="22.8" x14ac:dyDescent="0.3">
      <c r="A6" s="15" t="s">
        <v>11</v>
      </c>
      <c r="B6" s="15" t="s">
        <v>12</v>
      </c>
      <c r="C6" s="15" t="s">
        <v>13</v>
      </c>
      <c r="D6" s="15">
        <v>1</v>
      </c>
      <c r="E6" s="16">
        <v>18000</v>
      </c>
      <c r="F6" s="17">
        <f>D6*E6</f>
        <v>18000</v>
      </c>
      <c r="G6" s="15" t="s">
        <v>14</v>
      </c>
      <c r="H6" s="15" t="s">
        <v>15</v>
      </c>
    </row>
    <row r="7" spans="1:8" ht="22.8" x14ac:dyDescent="0.3">
      <c r="A7" s="15" t="s">
        <v>16</v>
      </c>
      <c r="B7" s="15" t="s">
        <v>17</v>
      </c>
      <c r="C7" s="15" t="s">
        <v>18</v>
      </c>
      <c r="D7" s="15">
        <v>650</v>
      </c>
      <c r="E7" s="16">
        <v>14</v>
      </c>
      <c r="F7" s="17">
        <f>D7*E7</f>
        <v>9100</v>
      </c>
      <c r="G7" s="15" t="s">
        <v>14</v>
      </c>
      <c r="H7" s="15" t="s">
        <v>19</v>
      </c>
    </row>
    <row r="8" spans="1:8" ht="22.8" x14ac:dyDescent="0.3">
      <c r="A8" s="15" t="s">
        <v>20</v>
      </c>
      <c r="B8" s="15" t="s">
        <v>21</v>
      </c>
      <c r="C8" s="15" t="s">
        <v>13</v>
      </c>
      <c r="D8" s="15">
        <v>1</v>
      </c>
      <c r="E8" s="16">
        <v>10000</v>
      </c>
      <c r="F8" s="17">
        <f>D8*E8</f>
        <v>10000</v>
      </c>
      <c r="G8" s="15" t="s">
        <v>14</v>
      </c>
      <c r="H8" s="15" t="s">
        <v>22</v>
      </c>
    </row>
    <row r="9" spans="1:8" ht="22.8" x14ac:dyDescent="0.3">
      <c r="A9" s="15" t="s">
        <v>23</v>
      </c>
      <c r="B9" s="15" t="s">
        <v>24</v>
      </c>
      <c r="C9" s="15" t="s">
        <v>13</v>
      </c>
      <c r="D9" s="15">
        <v>1</v>
      </c>
      <c r="E9" s="16">
        <v>4000</v>
      </c>
      <c r="F9" s="17">
        <f>D9*E9</f>
        <v>4000</v>
      </c>
      <c r="G9" s="15" t="s">
        <v>14</v>
      </c>
      <c r="H9" s="15" t="s">
        <v>25</v>
      </c>
    </row>
    <row r="10" spans="1:8" x14ac:dyDescent="0.3">
      <c r="A10" s="18"/>
      <c r="B10" s="18" t="s">
        <v>26</v>
      </c>
      <c r="C10" s="18"/>
      <c r="D10" s="18"/>
      <c r="E10" s="18"/>
      <c r="F10" s="19">
        <f>SUM(F6:F9)</f>
        <v>41100</v>
      </c>
      <c r="G10" s="18"/>
      <c r="H10" s="18"/>
    </row>
    <row r="11" spans="1:8" x14ac:dyDescent="0.3">
      <c r="A11" s="14" t="s">
        <v>27</v>
      </c>
      <c r="B11" s="14"/>
      <c r="C11" s="14"/>
      <c r="D11" s="14"/>
      <c r="E11" s="14"/>
      <c r="F11" s="14"/>
      <c r="G11" s="14"/>
      <c r="H11" s="14"/>
    </row>
    <row r="12" spans="1:8" x14ac:dyDescent="0.3">
      <c r="A12" s="15" t="s">
        <v>28</v>
      </c>
      <c r="B12" s="15" t="s">
        <v>29</v>
      </c>
      <c r="C12" s="15" t="s">
        <v>18</v>
      </c>
      <c r="D12" s="15">
        <v>260</v>
      </c>
      <c r="E12" s="16">
        <v>55</v>
      </c>
      <c r="F12" s="17">
        <f>D12*E12</f>
        <v>14300</v>
      </c>
      <c r="G12" s="15" t="s">
        <v>14</v>
      </c>
      <c r="H12" s="15" t="s">
        <v>30</v>
      </c>
    </row>
    <row r="13" spans="1:8" ht="22.8" x14ac:dyDescent="0.3">
      <c r="A13" s="15" t="s">
        <v>31</v>
      </c>
      <c r="B13" s="15" t="s">
        <v>32</v>
      </c>
      <c r="C13" s="15" t="s">
        <v>18</v>
      </c>
      <c r="D13" s="15">
        <v>569</v>
      </c>
      <c r="E13" s="16">
        <v>38</v>
      </c>
      <c r="F13" s="17">
        <f>D13*E13</f>
        <v>21622</v>
      </c>
      <c r="G13" s="15" t="s">
        <v>14</v>
      </c>
      <c r="H13" s="15" t="s">
        <v>33</v>
      </c>
    </row>
    <row r="14" spans="1:8" ht="22.8" x14ac:dyDescent="0.3">
      <c r="A14" s="15" t="s">
        <v>34</v>
      </c>
      <c r="B14" s="15" t="s">
        <v>35</v>
      </c>
      <c r="C14" s="15" t="s">
        <v>13</v>
      </c>
      <c r="D14" s="15">
        <v>1</v>
      </c>
      <c r="E14" s="16">
        <v>9000</v>
      </c>
      <c r="F14" s="17">
        <f>D14*E14</f>
        <v>9000</v>
      </c>
      <c r="G14" s="15" t="s">
        <v>14</v>
      </c>
      <c r="H14" s="15" t="s">
        <v>36</v>
      </c>
    </row>
    <row r="15" spans="1:8" ht="22.8" x14ac:dyDescent="0.3">
      <c r="A15" s="15" t="s">
        <v>37</v>
      </c>
      <c r="B15" s="15" t="s">
        <v>38</v>
      </c>
      <c r="C15" s="15" t="s">
        <v>13</v>
      </c>
      <c r="D15" s="15">
        <v>1</v>
      </c>
      <c r="E15" s="16">
        <v>15000</v>
      </c>
      <c r="F15" s="17">
        <f>D15*E15</f>
        <v>15000</v>
      </c>
      <c r="G15" s="15" t="s">
        <v>14</v>
      </c>
      <c r="H15" s="15" t="s">
        <v>39</v>
      </c>
    </row>
    <row r="16" spans="1:8" x14ac:dyDescent="0.3">
      <c r="A16" s="18"/>
      <c r="B16" s="18" t="s">
        <v>40</v>
      </c>
      <c r="C16" s="18"/>
      <c r="D16" s="18"/>
      <c r="E16" s="18"/>
      <c r="F16" s="19">
        <f>SUM(F12:F15)</f>
        <v>59922</v>
      </c>
      <c r="G16" s="18"/>
      <c r="H16" s="18"/>
    </row>
    <row r="17" spans="1:8" x14ac:dyDescent="0.3">
      <c r="A17" s="14" t="s">
        <v>41</v>
      </c>
      <c r="B17" s="14"/>
      <c r="C17" s="14"/>
      <c r="D17" s="14"/>
      <c r="E17" s="14"/>
      <c r="F17" s="14"/>
      <c r="G17" s="14"/>
      <c r="H17" s="14"/>
    </row>
    <row r="18" spans="1:8" ht="22.8" x14ac:dyDescent="0.3">
      <c r="A18" s="15" t="s">
        <v>42</v>
      </c>
      <c r="B18" s="15" t="s">
        <v>43</v>
      </c>
      <c r="C18" s="15" t="s">
        <v>18</v>
      </c>
      <c r="D18" s="15">
        <v>180</v>
      </c>
      <c r="E18" s="16">
        <v>165</v>
      </c>
      <c r="F18" s="17">
        <f t="shared" ref="F18:F25" si="0">D18*E18</f>
        <v>29700</v>
      </c>
      <c r="G18" s="15" t="s">
        <v>14</v>
      </c>
      <c r="H18" s="15" t="s">
        <v>44</v>
      </c>
    </row>
    <row r="19" spans="1:8" ht="22.8" x14ac:dyDescent="0.3">
      <c r="A19" s="15" t="s">
        <v>45</v>
      </c>
      <c r="B19" s="15" t="s">
        <v>46</v>
      </c>
      <c r="C19" s="15" t="s">
        <v>13</v>
      </c>
      <c r="D19" s="15">
        <v>1</v>
      </c>
      <c r="E19" s="16">
        <v>14000</v>
      </c>
      <c r="F19" s="17">
        <f t="shared" si="0"/>
        <v>14000</v>
      </c>
      <c r="G19" s="15" t="s">
        <v>47</v>
      </c>
      <c r="H19" s="15" t="s">
        <v>48</v>
      </c>
    </row>
    <row r="20" spans="1:8" ht="22.8" x14ac:dyDescent="0.3">
      <c r="A20" s="15" t="s">
        <v>49</v>
      </c>
      <c r="B20" s="15" t="s">
        <v>50</v>
      </c>
      <c r="C20" s="15" t="s">
        <v>51</v>
      </c>
      <c r="D20" s="15">
        <v>11000</v>
      </c>
      <c r="E20" s="16">
        <v>3.8</v>
      </c>
      <c r="F20" s="17">
        <f t="shared" si="0"/>
        <v>41800</v>
      </c>
      <c r="G20" s="15" t="s">
        <v>14</v>
      </c>
      <c r="H20" s="15" t="s">
        <v>52</v>
      </c>
    </row>
    <row r="21" spans="1:8" x14ac:dyDescent="0.3">
      <c r="A21" s="15" t="s">
        <v>53</v>
      </c>
      <c r="B21" s="15" t="s">
        <v>54</v>
      </c>
      <c r="C21" s="15" t="s">
        <v>18</v>
      </c>
      <c r="D21" s="15">
        <v>230</v>
      </c>
      <c r="E21" s="16">
        <v>82</v>
      </c>
      <c r="F21" s="17">
        <f t="shared" si="0"/>
        <v>18860</v>
      </c>
      <c r="G21" s="15" t="s">
        <v>14</v>
      </c>
      <c r="H21" s="15" t="s">
        <v>55</v>
      </c>
    </row>
    <row r="22" spans="1:8" x14ac:dyDescent="0.3">
      <c r="A22" s="15" t="s">
        <v>56</v>
      </c>
      <c r="B22" s="15" t="s">
        <v>57</v>
      </c>
      <c r="C22" s="15" t="s">
        <v>18</v>
      </c>
      <c r="D22" s="15">
        <v>120</v>
      </c>
      <c r="E22" s="16">
        <v>125</v>
      </c>
      <c r="F22" s="17">
        <f t="shared" si="0"/>
        <v>15000</v>
      </c>
      <c r="G22" s="15" t="s">
        <v>58</v>
      </c>
      <c r="H22" s="15" t="s">
        <v>59</v>
      </c>
    </row>
    <row r="23" spans="1:8" ht="22.8" x14ac:dyDescent="0.3">
      <c r="A23" s="15" t="s">
        <v>60</v>
      </c>
      <c r="B23" s="15" t="s">
        <v>61</v>
      </c>
      <c r="C23" s="15" t="s">
        <v>62</v>
      </c>
      <c r="D23" s="15">
        <v>55</v>
      </c>
      <c r="E23" s="16">
        <v>1100</v>
      </c>
      <c r="F23" s="17">
        <f t="shared" si="0"/>
        <v>60500</v>
      </c>
      <c r="G23" s="15" t="s">
        <v>14</v>
      </c>
      <c r="H23" s="15" t="s">
        <v>63</v>
      </c>
    </row>
    <row r="24" spans="1:8" ht="22.8" x14ac:dyDescent="0.3">
      <c r="A24" s="15" t="s">
        <v>64</v>
      </c>
      <c r="B24" s="15" t="s">
        <v>65</v>
      </c>
      <c r="C24" s="15" t="s">
        <v>13</v>
      </c>
      <c r="D24" s="15">
        <v>1</v>
      </c>
      <c r="E24" s="16">
        <v>26000</v>
      </c>
      <c r="F24" s="17">
        <f t="shared" si="0"/>
        <v>26000</v>
      </c>
      <c r="G24" s="15" t="s">
        <v>47</v>
      </c>
      <c r="H24" s="15" t="s">
        <v>66</v>
      </c>
    </row>
    <row r="25" spans="1:8" x14ac:dyDescent="0.3">
      <c r="A25" s="15" t="s">
        <v>67</v>
      </c>
      <c r="B25" s="15" t="s">
        <v>68</v>
      </c>
      <c r="C25" s="15" t="s">
        <v>69</v>
      </c>
      <c r="D25" s="15">
        <v>8</v>
      </c>
      <c r="E25" s="16">
        <v>4200</v>
      </c>
      <c r="F25" s="17">
        <f t="shared" si="0"/>
        <v>33600</v>
      </c>
      <c r="G25" s="15" t="s">
        <v>14</v>
      </c>
      <c r="H25" s="15" t="s">
        <v>70</v>
      </c>
    </row>
    <row r="26" spans="1:8" x14ac:dyDescent="0.3">
      <c r="A26" s="18"/>
      <c r="B26" s="18" t="s">
        <v>71</v>
      </c>
      <c r="C26" s="18"/>
      <c r="D26" s="18"/>
      <c r="E26" s="18"/>
      <c r="F26" s="19">
        <f>SUM(F18:F25)</f>
        <v>239460</v>
      </c>
      <c r="G26" s="18"/>
      <c r="H26" s="18"/>
    </row>
    <row r="27" spans="1:8" x14ac:dyDescent="0.3">
      <c r="A27" s="14" t="s">
        <v>72</v>
      </c>
      <c r="B27" s="14"/>
      <c r="C27" s="14"/>
      <c r="D27" s="14"/>
      <c r="E27" s="14"/>
      <c r="F27" s="14"/>
      <c r="G27" s="14"/>
      <c r="H27" s="14"/>
    </row>
    <row r="28" spans="1:8" ht="22.8" x14ac:dyDescent="0.3">
      <c r="A28" s="15" t="s">
        <v>73</v>
      </c>
      <c r="B28" s="15" t="s">
        <v>74</v>
      </c>
      <c r="C28" s="15" t="s">
        <v>18</v>
      </c>
      <c r="D28" s="15">
        <v>300</v>
      </c>
      <c r="E28" s="16">
        <v>185</v>
      </c>
      <c r="F28" s="17">
        <f t="shared" ref="F28:F33" si="1">D28*E28</f>
        <v>55500</v>
      </c>
      <c r="G28" s="15" t="s">
        <v>58</v>
      </c>
      <c r="H28" s="15" t="s">
        <v>75</v>
      </c>
    </row>
    <row r="29" spans="1:8" x14ac:dyDescent="0.3">
      <c r="A29" s="15" t="s">
        <v>76</v>
      </c>
      <c r="B29" s="15" t="s">
        <v>77</v>
      </c>
      <c r="C29" s="15" t="s">
        <v>18</v>
      </c>
      <c r="D29" s="15">
        <v>55</v>
      </c>
      <c r="E29" s="16">
        <v>175</v>
      </c>
      <c r="F29" s="17">
        <f t="shared" si="1"/>
        <v>9625</v>
      </c>
      <c r="G29" s="15" t="s">
        <v>58</v>
      </c>
      <c r="H29" s="15" t="s">
        <v>78</v>
      </c>
    </row>
    <row r="30" spans="1:8" x14ac:dyDescent="0.3">
      <c r="A30" s="15" t="s">
        <v>79</v>
      </c>
      <c r="B30" s="15" t="s">
        <v>80</v>
      </c>
      <c r="C30" s="15" t="s">
        <v>69</v>
      </c>
      <c r="D30" s="15">
        <v>6</v>
      </c>
      <c r="E30" s="16">
        <v>3100</v>
      </c>
      <c r="F30" s="17">
        <f t="shared" si="1"/>
        <v>18600</v>
      </c>
      <c r="G30" s="15" t="s">
        <v>14</v>
      </c>
      <c r="H30" s="15" t="s">
        <v>81</v>
      </c>
    </row>
    <row r="31" spans="1:8" ht="22.8" x14ac:dyDescent="0.3">
      <c r="A31" s="15" t="s">
        <v>82</v>
      </c>
      <c r="B31" s="15" t="s">
        <v>83</v>
      </c>
      <c r="C31" s="15" t="s">
        <v>69</v>
      </c>
      <c r="D31" s="15">
        <v>34</v>
      </c>
      <c r="E31" s="16">
        <v>880</v>
      </c>
      <c r="F31" s="17">
        <f t="shared" si="1"/>
        <v>29920</v>
      </c>
      <c r="G31" s="15" t="s">
        <v>14</v>
      </c>
      <c r="H31" s="15" t="s">
        <v>84</v>
      </c>
    </row>
    <row r="32" spans="1:8" ht="22.8" x14ac:dyDescent="0.3">
      <c r="A32" s="15" t="s">
        <v>85</v>
      </c>
      <c r="B32" s="15" t="s">
        <v>86</v>
      </c>
      <c r="C32" s="15" t="s">
        <v>18</v>
      </c>
      <c r="D32" s="15">
        <v>480</v>
      </c>
      <c r="E32" s="16">
        <v>62</v>
      </c>
      <c r="F32" s="17">
        <f t="shared" si="1"/>
        <v>29760</v>
      </c>
      <c r="G32" s="15" t="s">
        <v>58</v>
      </c>
      <c r="H32" s="15" t="s">
        <v>87</v>
      </c>
    </row>
    <row r="33" spans="1:8" ht="22.8" x14ac:dyDescent="0.3">
      <c r="A33" s="15" t="s">
        <v>88</v>
      </c>
      <c r="B33" s="15" t="s">
        <v>89</v>
      </c>
      <c r="C33" s="15" t="s">
        <v>13</v>
      </c>
      <c r="D33" s="15">
        <v>1</v>
      </c>
      <c r="E33" s="16">
        <v>9000</v>
      </c>
      <c r="F33" s="17">
        <f t="shared" si="1"/>
        <v>9000</v>
      </c>
      <c r="G33" s="15" t="s">
        <v>14</v>
      </c>
      <c r="H33" s="15" t="s">
        <v>90</v>
      </c>
    </row>
    <row r="34" spans="1:8" x14ac:dyDescent="0.3">
      <c r="A34" s="18"/>
      <c r="B34" s="18" t="s">
        <v>91</v>
      </c>
      <c r="C34" s="18"/>
      <c r="D34" s="18"/>
      <c r="E34" s="18"/>
      <c r="F34" s="19">
        <f>SUM(F28:F33)</f>
        <v>152405</v>
      </c>
      <c r="G34" s="18"/>
      <c r="H34" s="18"/>
    </row>
    <row r="35" spans="1:8" x14ac:dyDescent="0.3">
      <c r="A35" s="14" t="s">
        <v>92</v>
      </c>
      <c r="B35" s="14"/>
      <c r="C35" s="14"/>
      <c r="D35" s="14"/>
      <c r="E35" s="14"/>
      <c r="F35" s="14"/>
      <c r="G35" s="14"/>
      <c r="H35" s="14"/>
    </row>
    <row r="36" spans="1:8" ht="22.8" x14ac:dyDescent="0.3">
      <c r="A36" s="15" t="s">
        <v>93</v>
      </c>
      <c r="B36" s="15" t="s">
        <v>94</v>
      </c>
      <c r="C36" s="15" t="s">
        <v>13</v>
      </c>
      <c r="D36" s="15">
        <v>1</v>
      </c>
      <c r="E36" s="16">
        <v>48000</v>
      </c>
      <c r="F36" s="17">
        <f>D36*E36</f>
        <v>48000</v>
      </c>
      <c r="G36" s="15" t="s">
        <v>58</v>
      </c>
      <c r="H36" s="15" t="s">
        <v>95</v>
      </c>
    </row>
    <row r="37" spans="1:8" ht="22.8" x14ac:dyDescent="0.3">
      <c r="A37" s="15" t="s">
        <v>96</v>
      </c>
      <c r="B37" s="15" t="s">
        <v>97</v>
      </c>
      <c r="C37" s="15" t="s">
        <v>13</v>
      </c>
      <c r="D37" s="15">
        <v>1</v>
      </c>
      <c r="E37" s="16">
        <v>66000</v>
      </c>
      <c r="F37" s="17">
        <f>D37*E37</f>
        <v>66000</v>
      </c>
      <c r="G37" s="15" t="s">
        <v>58</v>
      </c>
      <c r="H37" s="15" t="s">
        <v>98</v>
      </c>
    </row>
    <row r="38" spans="1:8" ht="22.8" x14ac:dyDescent="0.3">
      <c r="A38" s="15" t="s">
        <v>99</v>
      </c>
      <c r="B38" s="15" t="s">
        <v>100</v>
      </c>
      <c r="C38" s="15" t="s">
        <v>13</v>
      </c>
      <c r="D38" s="15">
        <v>1</v>
      </c>
      <c r="E38" s="16">
        <v>30000</v>
      </c>
      <c r="F38" s="17">
        <f>D38*E38</f>
        <v>30000</v>
      </c>
      <c r="G38" s="15" t="s">
        <v>58</v>
      </c>
      <c r="H38" s="15" t="s">
        <v>101</v>
      </c>
    </row>
    <row r="39" spans="1:8" ht="22.8" x14ac:dyDescent="0.3">
      <c r="A39" s="15" t="s">
        <v>102</v>
      </c>
      <c r="B39" s="15" t="s">
        <v>103</v>
      </c>
      <c r="C39" s="15" t="s">
        <v>13</v>
      </c>
      <c r="D39" s="15">
        <v>1</v>
      </c>
      <c r="E39" s="16">
        <v>19500</v>
      </c>
      <c r="F39" s="17">
        <f>D39*E39</f>
        <v>19500</v>
      </c>
      <c r="G39" s="15" t="s">
        <v>58</v>
      </c>
      <c r="H39" s="15" t="s">
        <v>104</v>
      </c>
    </row>
    <row r="40" spans="1:8" ht="22.8" x14ac:dyDescent="0.3">
      <c r="A40" s="15" t="s">
        <v>105</v>
      </c>
      <c r="B40" s="15" t="s">
        <v>106</v>
      </c>
      <c r="C40" s="15" t="s">
        <v>13</v>
      </c>
      <c r="D40" s="15">
        <v>1</v>
      </c>
      <c r="E40" s="16">
        <v>7000</v>
      </c>
      <c r="F40" s="17">
        <f>D40*E40</f>
        <v>7000</v>
      </c>
      <c r="G40" s="15" t="s">
        <v>58</v>
      </c>
      <c r="H40" s="15" t="s">
        <v>107</v>
      </c>
    </row>
    <row r="41" spans="1:8" x14ac:dyDescent="0.3">
      <c r="A41" s="18"/>
      <c r="B41" s="18" t="s">
        <v>108</v>
      </c>
      <c r="C41" s="18"/>
      <c r="D41" s="18"/>
      <c r="E41" s="18"/>
      <c r="F41" s="19">
        <f>SUM(F36:F40)</f>
        <v>170500</v>
      </c>
      <c r="G41" s="18"/>
      <c r="H41" s="18"/>
    </row>
    <row r="42" spans="1:8" x14ac:dyDescent="0.3">
      <c r="A42" s="14" t="s">
        <v>109</v>
      </c>
      <c r="B42" s="14"/>
      <c r="C42" s="14"/>
      <c r="D42" s="14"/>
      <c r="E42" s="14"/>
      <c r="F42" s="14"/>
      <c r="G42" s="14"/>
      <c r="H42" s="14"/>
    </row>
    <row r="43" spans="1:8" ht="22.8" x14ac:dyDescent="0.3">
      <c r="A43" s="15" t="s">
        <v>110</v>
      </c>
      <c r="B43" s="15" t="s">
        <v>111</v>
      </c>
      <c r="C43" s="15" t="s">
        <v>13</v>
      </c>
      <c r="D43" s="15">
        <v>1</v>
      </c>
      <c r="E43" s="16">
        <v>63000</v>
      </c>
      <c r="F43" s="17">
        <f t="shared" ref="F43:F48" si="2">D43*E43</f>
        <v>63000</v>
      </c>
      <c r="G43" s="15" t="s">
        <v>14</v>
      </c>
      <c r="H43" s="15" t="s">
        <v>112</v>
      </c>
    </row>
    <row r="44" spans="1:8" ht="22.8" x14ac:dyDescent="0.3">
      <c r="A44" s="15" t="s">
        <v>113</v>
      </c>
      <c r="B44" s="15" t="s">
        <v>114</v>
      </c>
      <c r="C44" s="15" t="s">
        <v>13</v>
      </c>
      <c r="D44" s="15">
        <v>1</v>
      </c>
      <c r="E44" s="16">
        <v>9000</v>
      </c>
      <c r="F44" s="17">
        <f t="shared" si="2"/>
        <v>9000</v>
      </c>
      <c r="G44" s="15" t="s">
        <v>14</v>
      </c>
      <c r="H44" s="15" t="s">
        <v>115</v>
      </c>
    </row>
    <row r="45" spans="1:8" ht="22.8" x14ac:dyDescent="0.3">
      <c r="A45" s="15" t="s">
        <v>116</v>
      </c>
      <c r="B45" s="15" t="s">
        <v>117</v>
      </c>
      <c r="C45" s="15" t="s">
        <v>13</v>
      </c>
      <c r="D45" s="15">
        <v>1</v>
      </c>
      <c r="E45" s="16">
        <v>50000</v>
      </c>
      <c r="F45" s="17">
        <f t="shared" si="2"/>
        <v>50000</v>
      </c>
      <c r="G45" s="15" t="s">
        <v>14</v>
      </c>
      <c r="H45" s="15" t="s">
        <v>118</v>
      </c>
    </row>
    <row r="46" spans="1:8" ht="34.200000000000003" x14ac:dyDescent="0.3">
      <c r="A46" s="15" t="s">
        <v>119</v>
      </c>
      <c r="B46" s="15" t="s">
        <v>120</v>
      </c>
      <c r="C46" s="15" t="s">
        <v>13</v>
      </c>
      <c r="D46" s="15">
        <v>1</v>
      </c>
      <c r="E46" s="16">
        <v>52000</v>
      </c>
      <c r="F46" s="17">
        <f t="shared" si="2"/>
        <v>52000</v>
      </c>
      <c r="G46" s="15" t="s">
        <v>14</v>
      </c>
      <c r="H46" s="15" t="s">
        <v>121</v>
      </c>
    </row>
    <row r="47" spans="1:8" ht="22.8" x14ac:dyDescent="0.3">
      <c r="A47" s="15" t="s">
        <v>122</v>
      </c>
      <c r="B47" s="15" t="s">
        <v>123</v>
      </c>
      <c r="C47" s="15" t="s">
        <v>13</v>
      </c>
      <c r="D47" s="15">
        <v>1</v>
      </c>
      <c r="E47" s="16">
        <v>5500</v>
      </c>
      <c r="F47" s="17">
        <f t="shared" si="2"/>
        <v>5500</v>
      </c>
      <c r="G47" s="15" t="s">
        <v>14</v>
      </c>
      <c r="H47" s="15"/>
    </row>
    <row r="48" spans="1:8" ht="22.8" x14ac:dyDescent="0.3">
      <c r="A48" s="15" t="s">
        <v>124</v>
      </c>
      <c r="B48" s="15" t="s">
        <v>125</v>
      </c>
      <c r="C48" s="15" t="s">
        <v>13</v>
      </c>
      <c r="D48" s="15">
        <v>1</v>
      </c>
      <c r="E48" s="16">
        <v>14000</v>
      </c>
      <c r="F48" s="17">
        <f t="shared" si="2"/>
        <v>14000</v>
      </c>
      <c r="G48" s="15" t="s">
        <v>14</v>
      </c>
      <c r="H48" s="15" t="s">
        <v>126</v>
      </c>
    </row>
    <row r="49" spans="1:8" x14ac:dyDescent="0.3">
      <c r="A49" s="18"/>
      <c r="B49" s="18" t="s">
        <v>127</v>
      </c>
      <c r="C49" s="18"/>
      <c r="D49" s="18"/>
      <c r="E49" s="18"/>
      <c r="F49" s="19">
        <f>SUM(F43:F48)</f>
        <v>193500</v>
      </c>
      <c r="G49" s="18"/>
      <c r="H49" s="18"/>
    </row>
    <row r="50" spans="1:8" x14ac:dyDescent="0.3">
      <c r="A50" s="14" t="s">
        <v>128</v>
      </c>
      <c r="B50" s="14"/>
      <c r="C50" s="14"/>
      <c r="D50" s="14"/>
      <c r="E50" s="14"/>
      <c r="F50" s="14"/>
      <c r="G50" s="14"/>
      <c r="H50" s="14"/>
    </row>
    <row r="51" spans="1:8" ht="34.200000000000003" x14ac:dyDescent="0.3">
      <c r="A51" s="15" t="s">
        <v>129</v>
      </c>
      <c r="B51" s="15" t="s">
        <v>130</v>
      </c>
      <c r="C51" s="15" t="s">
        <v>13</v>
      </c>
      <c r="D51" s="15">
        <v>1</v>
      </c>
      <c r="E51" s="16">
        <v>72000</v>
      </c>
      <c r="F51" s="17">
        <f>D51*E51</f>
        <v>72000</v>
      </c>
      <c r="G51" s="15" t="s">
        <v>14</v>
      </c>
      <c r="H51" s="15" t="s">
        <v>131</v>
      </c>
    </row>
    <row r="52" spans="1:8" ht="22.8" x14ac:dyDescent="0.3">
      <c r="A52" s="15" t="s">
        <v>132</v>
      </c>
      <c r="B52" s="15" t="s">
        <v>133</v>
      </c>
      <c r="C52" s="15" t="s">
        <v>13</v>
      </c>
      <c r="D52" s="15">
        <v>1</v>
      </c>
      <c r="E52" s="16">
        <v>3000</v>
      </c>
      <c r="F52" s="17">
        <f>D52*E52</f>
        <v>3000</v>
      </c>
      <c r="G52" s="15" t="s">
        <v>14</v>
      </c>
      <c r="H52" s="15" t="s">
        <v>134</v>
      </c>
    </row>
    <row r="53" spans="1:8" x14ac:dyDescent="0.3">
      <c r="A53" s="18"/>
      <c r="B53" s="18" t="s">
        <v>135</v>
      </c>
      <c r="C53" s="18"/>
      <c r="D53" s="18"/>
      <c r="E53" s="18"/>
      <c r="F53" s="19">
        <f>SUM(F51:F52)</f>
        <v>75000</v>
      </c>
      <c r="G53" s="18"/>
      <c r="H53" s="18"/>
    </row>
    <row r="54" spans="1:8" x14ac:dyDescent="0.3">
      <c r="A54" s="14" t="s">
        <v>136</v>
      </c>
      <c r="B54" s="14"/>
      <c r="C54" s="14"/>
      <c r="D54" s="14"/>
      <c r="E54" s="14"/>
      <c r="F54" s="14"/>
      <c r="G54" s="14"/>
      <c r="H54" s="14"/>
    </row>
    <row r="55" spans="1:8" ht="22.8" x14ac:dyDescent="0.3">
      <c r="A55" s="15" t="s">
        <v>137</v>
      </c>
      <c r="B55" s="15" t="s">
        <v>138</v>
      </c>
      <c r="C55" s="15" t="s">
        <v>13</v>
      </c>
      <c r="D55" s="15">
        <v>1</v>
      </c>
      <c r="E55" s="16">
        <v>26500</v>
      </c>
      <c r="F55" s="17">
        <f t="shared" ref="F55:F61" si="3">D55*E55</f>
        <v>26500</v>
      </c>
      <c r="G55" s="15" t="s">
        <v>139</v>
      </c>
      <c r="H55" s="15" t="s">
        <v>140</v>
      </c>
    </row>
    <row r="56" spans="1:8" ht="22.8" x14ac:dyDescent="0.3">
      <c r="A56" s="15" t="s">
        <v>141</v>
      </c>
      <c r="B56" s="15" t="s">
        <v>142</v>
      </c>
      <c r="C56" s="15" t="s">
        <v>13</v>
      </c>
      <c r="D56" s="15">
        <v>1</v>
      </c>
      <c r="E56" s="16">
        <v>8000</v>
      </c>
      <c r="F56" s="17">
        <f t="shared" si="3"/>
        <v>8000</v>
      </c>
      <c r="G56" s="15" t="s">
        <v>139</v>
      </c>
      <c r="H56" s="15" t="s">
        <v>143</v>
      </c>
    </row>
    <row r="57" spans="1:8" ht="22.8" x14ac:dyDescent="0.3">
      <c r="A57" s="15" t="s">
        <v>144</v>
      </c>
      <c r="B57" s="15" t="s">
        <v>145</v>
      </c>
      <c r="C57" s="15" t="s">
        <v>13</v>
      </c>
      <c r="D57" s="15">
        <v>1</v>
      </c>
      <c r="E57" s="16">
        <v>8250</v>
      </c>
      <c r="F57" s="17">
        <f t="shared" si="3"/>
        <v>8250</v>
      </c>
      <c r="G57" s="15" t="s">
        <v>139</v>
      </c>
      <c r="H57" s="15" t="s">
        <v>146</v>
      </c>
    </row>
    <row r="58" spans="1:8" ht="22.8" x14ac:dyDescent="0.3">
      <c r="A58" s="15" t="s">
        <v>147</v>
      </c>
      <c r="B58" s="15" t="s">
        <v>148</v>
      </c>
      <c r="C58" s="15" t="s">
        <v>13</v>
      </c>
      <c r="D58" s="15">
        <v>1</v>
      </c>
      <c r="E58" s="16">
        <v>3500</v>
      </c>
      <c r="F58" s="17">
        <f t="shared" si="3"/>
        <v>3500</v>
      </c>
      <c r="G58" s="15" t="s">
        <v>14</v>
      </c>
      <c r="H58" s="15" t="s">
        <v>149</v>
      </c>
    </row>
    <row r="59" spans="1:8" ht="22.8" x14ac:dyDescent="0.3">
      <c r="A59" s="15" t="s">
        <v>150</v>
      </c>
      <c r="B59" s="15" t="s">
        <v>151</v>
      </c>
      <c r="C59" s="15" t="s">
        <v>13</v>
      </c>
      <c r="D59" s="15">
        <v>1</v>
      </c>
      <c r="E59" s="16">
        <v>2700</v>
      </c>
      <c r="F59" s="17">
        <f t="shared" si="3"/>
        <v>2700</v>
      </c>
      <c r="G59" s="15" t="s">
        <v>14</v>
      </c>
      <c r="H59" s="15" t="s">
        <v>152</v>
      </c>
    </row>
    <row r="60" spans="1:8" ht="22.8" x14ac:dyDescent="0.3">
      <c r="A60" s="15" t="s">
        <v>153</v>
      </c>
      <c r="B60" s="15" t="s">
        <v>154</v>
      </c>
      <c r="C60" s="15" t="s">
        <v>13</v>
      </c>
      <c r="D60" s="15">
        <v>1</v>
      </c>
      <c r="E60" s="16">
        <v>3000</v>
      </c>
      <c r="F60" s="17">
        <f t="shared" si="3"/>
        <v>3000</v>
      </c>
      <c r="G60" s="15" t="s">
        <v>14</v>
      </c>
      <c r="H60" s="15" t="s">
        <v>155</v>
      </c>
    </row>
    <row r="61" spans="1:8" ht="22.8" x14ac:dyDescent="0.3">
      <c r="A61" s="15" t="s">
        <v>156</v>
      </c>
      <c r="B61" s="15" t="s">
        <v>157</v>
      </c>
      <c r="C61" s="15" t="s">
        <v>13</v>
      </c>
      <c r="D61" s="15">
        <v>1</v>
      </c>
      <c r="E61" s="16">
        <v>3000</v>
      </c>
      <c r="F61" s="17">
        <f t="shared" si="3"/>
        <v>3000</v>
      </c>
      <c r="G61" s="15" t="s">
        <v>14</v>
      </c>
      <c r="H61" s="15" t="s">
        <v>158</v>
      </c>
    </row>
    <row r="62" spans="1:8" x14ac:dyDescent="0.3">
      <c r="A62" s="18"/>
      <c r="B62" s="18" t="s">
        <v>159</v>
      </c>
      <c r="C62" s="18"/>
      <c r="D62" s="18"/>
      <c r="E62" s="18"/>
      <c r="F62" s="19">
        <f>SUM(F55:F61)</f>
        <v>54950</v>
      </c>
      <c r="G62" s="18"/>
      <c r="H62" s="18"/>
    </row>
    <row r="63" spans="1:8" x14ac:dyDescent="0.3">
      <c r="A63" s="14" t="s">
        <v>160</v>
      </c>
      <c r="B63" s="14"/>
      <c r="C63" s="14"/>
      <c r="D63" s="14"/>
      <c r="E63" s="14"/>
      <c r="F63" s="14"/>
      <c r="G63" s="14"/>
      <c r="H63" s="14"/>
    </row>
    <row r="64" spans="1:8" ht="22.8" x14ac:dyDescent="0.3">
      <c r="A64" s="15" t="s">
        <v>161</v>
      </c>
      <c r="B64" s="15" t="s">
        <v>162</v>
      </c>
      <c r="C64" s="15" t="s">
        <v>13</v>
      </c>
      <c r="D64" s="15">
        <v>1</v>
      </c>
      <c r="E64" s="16">
        <v>3500</v>
      </c>
      <c r="F64" s="17">
        <f>D64*E64</f>
        <v>3500</v>
      </c>
      <c r="G64" s="15" t="s">
        <v>14</v>
      </c>
      <c r="H64" s="15" t="s">
        <v>163</v>
      </c>
    </row>
    <row r="65" spans="1:8" ht="22.8" x14ac:dyDescent="0.3">
      <c r="A65" s="15" t="s">
        <v>164</v>
      </c>
      <c r="B65" s="15" t="s">
        <v>165</v>
      </c>
      <c r="C65" s="15" t="s">
        <v>13</v>
      </c>
      <c r="D65" s="15">
        <v>1</v>
      </c>
      <c r="E65" s="16">
        <v>6000</v>
      </c>
      <c r="F65" s="17">
        <f>D65*E65</f>
        <v>6000</v>
      </c>
      <c r="G65" s="15" t="s">
        <v>14</v>
      </c>
      <c r="H65" s="15"/>
    </row>
    <row r="66" spans="1:8" ht="22.8" x14ac:dyDescent="0.3">
      <c r="A66" s="15" t="s">
        <v>166</v>
      </c>
      <c r="B66" s="15" t="s">
        <v>167</v>
      </c>
      <c r="C66" s="15" t="s">
        <v>13</v>
      </c>
      <c r="D66" s="15">
        <v>1</v>
      </c>
      <c r="E66" s="16">
        <v>3500</v>
      </c>
      <c r="F66" s="17">
        <f>D66*E66</f>
        <v>3500</v>
      </c>
      <c r="G66" s="15" t="s">
        <v>14</v>
      </c>
      <c r="H66" s="15"/>
    </row>
    <row r="67" spans="1:8" x14ac:dyDescent="0.3">
      <c r="A67" s="18"/>
      <c r="B67" s="18" t="s">
        <v>168</v>
      </c>
      <c r="C67" s="18"/>
      <c r="D67" s="18"/>
      <c r="E67" s="18"/>
      <c r="F67" s="19">
        <f>SUM(F64:F66)</f>
        <v>13000</v>
      </c>
      <c r="G67" s="18"/>
      <c r="H67" s="18"/>
    </row>
    <row r="69" spans="1:8" ht="105.6" x14ac:dyDescent="0.3">
      <c r="A69" s="13" t="s">
        <v>169</v>
      </c>
      <c r="B69" s="13"/>
      <c r="C69" s="13"/>
      <c r="D69" s="13"/>
      <c r="E69" s="13"/>
      <c r="F69" s="13"/>
      <c r="G69" s="13"/>
      <c r="H69" s="13"/>
    </row>
    <row r="70" spans="1:8" x14ac:dyDescent="0.3">
      <c r="A70" s="20"/>
      <c r="B70" s="20" t="s">
        <v>170</v>
      </c>
      <c r="C70" s="20"/>
      <c r="D70" s="20"/>
      <c r="E70" s="20"/>
      <c r="F70" s="21">
        <f>F10</f>
        <v>41100</v>
      </c>
      <c r="G70" s="20"/>
      <c r="H70" s="20"/>
    </row>
    <row r="71" spans="1:8" x14ac:dyDescent="0.3">
      <c r="A71" s="20"/>
      <c r="B71" s="20" t="s">
        <v>171</v>
      </c>
      <c r="C71" s="20"/>
      <c r="D71" s="20"/>
      <c r="E71" s="20"/>
      <c r="F71" s="21">
        <f>F16</f>
        <v>59922</v>
      </c>
      <c r="G71" s="20"/>
      <c r="H71" s="20"/>
    </row>
    <row r="72" spans="1:8" x14ac:dyDescent="0.3">
      <c r="A72" s="20"/>
      <c r="B72" s="20" t="s">
        <v>172</v>
      </c>
      <c r="C72" s="20"/>
      <c r="D72" s="20"/>
      <c r="E72" s="20"/>
      <c r="F72" s="21">
        <f>F26</f>
        <v>239460</v>
      </c>
      <c r="G72" s="20"/>
      <c r="H72" s="20"/>
    </row>
    <row r="73" spans="1:8" x14ac:dyDescent="0.3">
      <c r="A73" s="20"/>
      <c r="B73" s="20" t="s">
        <v>173</v>
      </c>
      <c r="C73" s="20"/>
      <c r="D73" s="20"/>
      <c r="E73" s="20"/>
      <c r="F73" s="21">
        <f>F34</f>
        <v>152405</v>
      </c>
      <c r="G73" s="20"/>
      <c r="H73" s="20"/>
    </row>
    <row r="74" spans="1:8" x14ac:dyDescent="0.3">
      <c r="A74" s="20"/>
      <c r="B74" s="20" t="s">
        <v>174</v>
      </c>
      <c r="C74" s="20"/>
      <c r="D74" s="20"/>
      <c r="E74" s="20"/>
      <c r="F74" s="21">
        <f>F41</f>
        <v>170500</v>
      </c>
      <c r="G74" s="20"/>
      <c r="H74" s="20"/>
    </row>
    <row r="75" spans="1:8" x14ac:dyDescent="0.3">
      <c r="A75" s="20"/>
      <c r="B75" s="20" t="s">
        <v>175</v>
      </c>
      <c r="C75" s="20"/>
      <c r="D75" s="20"/>
      <c r="E75" s="20"/>
      <c r="F75" s="21">
        <f>F49</f>
        <v>193500</v>
      </c>
      <c r="G75" s="20"/>
      <c r="H75" s="20"/>
    </row>
    <row r="76" spans="1:8" x14ac:dyDescent="0.3">
      <c r="A76" s="20"/>
      <c r="B76" s="20" t="s">
        <v>176</v>
      </c>
      <c r="C76" s="20"/>
      <c r="D76" s="20"/>
      <c r="E76" s="20"/>
      <c r="F76" s="21">
        <f>F53</f>
        <v>75000</v>
      </c>
      <c r="G76" s="20"/>
      <c r="H76" s="20"/>
    </row>
    <row r="77" spans="1:8" x14ac:dyDescent="0.3">
      <c r="A77" s="20"/>
      <c r="B77" s="20" t="s">
        <v>177</v>
      </c>
      <c r="C77" s="20"/>
      <c r="D77" s="20"/>
      <c r="E77" s="20"/>
      <c r="F77" s="21">
        <f>F62</f>
        <v>54950</v>
      </c>
      <c r="G77" s="20"/>
      <c r="H77" s="20"/>
    </row>
    <row r="78" spans="1:8" x14ac:dyDescent="0.3">
      <c r="A78" s="20"/>
      <c r="B78" s="20" t="s">
        <v>178</v>
      </c>
      <c r="C78" s="20"/>
      <c r="D78" s="20"/>
      <c r="E78" s="20"/>
      <c r="F78" s="21">
        <f>F67</f>
        <v>13000</v>
      </c>
      <c r="G78" s="20"/>
      <c r="H78" s="20"/>
    </row>
    <row r="79" spans="1:8" x14ac:dyDescent="0.3">
      <c r="A79" s="22"/>
      <c r="B79" s="22" t="s">
        <v>179</v>
      </c>
      <c r="C79" s="22"/>
      <c r="D79" s="22"/>
      <c r="E79" s="22"/>
      <c r="F79" s="23">
        <f>SUM(F70:F78)</f>
        <v>999837</v>
      </c>
      <c r="G79" s="22"/>
      <c r="H79" s="22"/>
    </row>
    <row r="80" spans="1:8" x14ac:dyDescent="0.3">
      <c r="A80" s="20"/>
      <c r="B80" s="20" t="s">
        <v>180</v>
      </c>
      <c r="C80" s="20"/>
      <c r="D80" s="20"/>
      <c r="E80" s="20"/>
      <c r="F80" s="21">
        <v>1000000</v>
      </c>
      <c r="G80" s="20"/>
      <c r="H80" s="20"/>
    </row>
    <row r="81" spans="1:8" x14ac:dyDescent="0.3">
      <c r="A81" s="20"/>
      <c r="B81" s="20" t="s">
        <v>181</v>
      </c>
      <c r="C81" s="20"/>
      <c r="D81" s="20"/>
      <c r="E81" s="20"/>
      <c r="F81" s="21">
        <f>F80-F79</f>
        <v>163</v>
      </c>
      <c r="G81" s="20"/>
      <c r="H81" s="20"/>
    </row>
    <row r="82" spans="1:8" x14ac:dyDescent="0.3">
      <c r="A82" s="20"/>
      <c r="B82" s="20" t="s">
        <v>182</v>
      </c>
      <c r="C82" s="20"/>
      <c r="D82" s="20"/>
      <c r="E82" s="20"/>
      <c r="F82" s="21">
        <f>F79*0.2</f>
        <v>199967.40000000002</v>
      </c>
      <c r="G82" s="20"/>
      <c r="H82" s="20"/>
    </row>
    <row r="83" spans="1:8" x14ac:dyDescent="0.3">
      <c r="A83" s="22"/>
      <c r="B83" s="22" t="s">
        <v>183</v>
      </c>
      <c r="C83" s="22"/>
      <c r="D83" s="22"/>
      <c r="E83" s="22"/>
      <c r="F83" s="23">
        <f>F79*1.2</f>
        <v>1199804.3999999999</v>
      </c>
      <c r="G83" s="22"/>
      <c r="H83" s="2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4.4" x14ac:dyDescent="0.3"/>
  <cols>
    <col min="1" max="1" width="34" customWidth="1"/>
    <col min="2" max="3" width="13" customWidth="1"/>
    <col min="4" max="4" width="90" customWidth="1"/>
  </cols>
  <sheetData>
    <row r="1" spans="1:4" x14ac:dyDescent="0.3">
      <c r="A1" s="8" t="s">
        <v>184</v>
      </c>
    </row>
    <row r="3" spans="1:4" ht="26.4" x14ac:dyDescent="0.3">
      <c r="A3" s="13" t="s">
        <v>185</v>
      </c>
      <c r="B3" s="13" t="s">
        <v>186</v>
      </c>
      <c r="C3" s="13" t="s">
        <v>187</v>
      </c>
      <c r="D3" s="13" t="s">
        <v>188</v>
      </c>
    </row>
    <row r="4" spans="1:4" ht="34.200000000000003" x14ac:dyDescent="0.3">
      <c r="A4" s="15" t="s">
        <v>189</v>
      </c>
      <c r="B4" s="17">
        <v>136110</v>
      </c>
      <c r="C4" s="17">
        <v>0</v>
      </c>
      <c r="D4" s="15" t="s">
        <v>190</v>
      </c>
    </row>
    <row r="5" spans="1:4" ht="34.200000000000003" x14ac:dyDescent="0.3">
      <c r="A5" s="15" t="s">
        <v>191</v>
      </c>
      <c r="B5" s="17">
        <v>115500</v>
      </c>
      <c r="C5" s="17">
        <v>0</v>
      </c>
      <c r="D5" s="15" t="s">
        <v>192</v>
      </c>
    </row>
    <row r="6" spans="1:4" x14ac:dyDescent="0.3">
      <c r="A6" s="15" t="s">
        <v>193</v>
      </c>
      <c r="B6" s="17">
        <v>17000</v>
      </c>
      <c r="C6" s="17">
        <v>0</v>
      </c>
      <c r="D6" s="15" t="s">
        <v>194</v>
      </c>
    </row>
    <row r="7" spans="1:4" ht="22.8" x14ac:dyDescent="0.3">
      <c r="A7" s="15" t="s">
        <v>195</v>
      </c>
      <c r="B7" s="17">
        <v>13000</v>
      </c>
      <c r="C7" s="17">
        <v>0</v>
      </c>
      <c r="D7" s="15" t="s">
        <v>196</v>
      </c>
    </row>
    <row r="8" spans="1:4" ht="34.200000000000003" x14ac:dyDescent="0.3">
      <c r="A8" s="15" t="s">
        <v>197</v>
      </c>
      <c r="B8" s="17">
        <v>46000</v>
      </c>
      <c r="C8" s="17">
        <v>0</v>
      </c>
      <c r="D8" s="15" t="s">
        <v>198</v>
      </c>
    </row>
    <row r="9" spans="1:4" ht="34.200000000000003" x14ac:dyDescent="0.3">
      <c r="A9" s="15" t="s">
        <v>199</v>
      </c>
      <c r="B9" s="17">
        <v>148500</v>
      </c>
      <c r="C9" s="17">
        <v>75000</v>
      </c>
      <c r="D9" s="15" t="s">
        <v>200</v>
      </c>
    </row>
    <row r="10" spans="1:4" ht="22.8" x14ac:dyDescent="0.3">
      <c r="A10" s="15" t="s">
        <v>201</v>
      </c>
      <c r="B10" s="17">
        <v>78500</v>
      </c>
      <c r="C10" s="17">
        <v>0</v>
      </c>
      <c r="D10" s="15" t="s">
        <v>202</v>
      </c>
    </row>
    <row r="11" spans="1:4" ht="22.8" x14ac:dyDescent="0.3">
      <c r="A11" s="15" t="s">
        <v>203</v>
      </c>
      <c r="B11" s="17">
        <v>50000</v>
      </c>
      <c r="C11" s="17">
        <v>0</v>
      </c>
      <c r="D11" s="15" t="s">
        <v>204</v>
      </c>
    </row>
    <row r="12" spans="1:4" ht="22.8" x14ac:dyDescent="0.3">
      <c r="A12" s="15" t="s">
        <v>205</v>
      </c>
      <c r="B12" s="17">
        <v>30000</v>
      </c>
      <c r="C12" s="17">
        <v>0</v>
      </c>
      <c r="D12" s="15" t="s">
        <v>206</v>
      </c>
    </row>
    <row r="13" spans="1:4" x14ac:dyDescent="0.3">
      <c r="A13" s="15" t="s">
        <v>207</v>
      </c>
      <c r="B13" s="17">
        <v>12800</v>
      </c>
      <c r="C13" s="17">
        <v>0</v>
      </c>
      <c r="D13" s="15" t="s">
        <v>208</v>
      </c>
    </row>
    <row r="15" spans="1:4" ht="40.049999999999997" customHeight="1" x14ac:dyDescent="0.3">
      <c r="A15" s="24" t="s">
        <v>209</v>
      </c>
      <c r="B15" s="25"/>
      <c r="C15" s="25"/>
      <c r="D15" s="25"/>
    </row>
  </sheetData>
  <mergeCells count="1"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4" x14ac:dyDescent="0.3"/>
  <cols>
    <col min="1" max="1" width="55" customWidth="1"/>
    <col min="2" max="2" width="20" customWidth="1"/>
    <col min="3" max="3" width="16" customWidth="1"/>
  </cols>
  <sheetData>
    <row r="1" spans="1:3" x14ac:dyDescent="0.3">
      <c r="A1" s="8" t="s">
        <v>210</v>
      </c>
    </row>
    <row r="3" spans="1:3" x14ac:dyDescent="0.3">
      <c r="A3" t="s">
        <v>211</v>
      </c>
      <c r="B3" s="9">
        <v>4.9800000000000004</v>
      </c>
      <c r="C3" t="s">
        <v>212</v>
      </c>
    </row>
    <row r="5" spans="1:3" ht="26.4" customHeight="1" x14ac:dyDescent="0.3">
      <c r="A5" s="3" t="s">
        <v>213</v>
      </c>
      <c r="B5" s="3" t="s">
        <v>214</v>
      </c>
      <c r="C5" s="3" t="s">
        <v>215</v>
      </c>
    </row>
    <row r="6" spans="1:3" x14ac:dyDescent="0.3">
      <c r="A6" s="4" t="s">
        <v>216</v>
      </c>
      <c r="B6" s="5">
        <v>5800</v>
      </c>
      <c r="C6" s="5">
        <f t="shared" ref="C6:C19" si="0">B6/$B$3</f>
        <v>1164.6586345381525</v>
      </c>
    </row>
    <row r="7" spans="1:3" x14ac:dyDescent="0.3">
      <c r="A7" s="4" t="s">
        <v>217</v>
      </c>
      <c r="B7" s="5">
        <v>46804.54</v>
      </c>
      <c r="C7" s="5">
        <f t="shared" si="0"/>
        <v>9398.5020080321283</v>
      </c>
    </row>
    <row r="8" spans="1:3" x14ac:dyDescent="0.3">
      <c r="A8" s="4" t="s">
        <v>218</v>
      </c>
      <c r="B8" s="5">
        <v>11956</v>
      </c>
      <c r="C8" s="5">
        <f t="shared" si="0"/>
        <v>2400.8032128514055</v>
      </c>
    </row>
    <row r="9" spans="1:3" x14ac:dyDescent="0.3">
      <c r="A9" s="4" t="s">
        <v>219</v>
      </c>
      <c r="B9" s="5">
        <v>74060.17</v>
      </c>
      <c r="C9" s="5">
        <f t="shared" si="0"/>
        <v>14871.520080321283</v>
      </c>
    </row>
    <row r="10" spans="1:3" x14ac:dyDescent="0.3">
      <c r="A10" s="4" t="s">
        <v>220</v>
      </c>
      <c r="B10" s="5">
        <v>9870</v>
      </c>
      <c r="C10" s="5">
        <f t="shared" si="0"/>
        <v>1981.9277108433732</v>
      </c>
    </row>
    <row r="11" spans="1:3" x14ac:dyDescent="0.3">
      <c r="A11" s="4" t="s">
        <v>221</v>
      </c>
      <c r="B11" s="5">
        <v>2538.15</v>
      </c>
      <c r="C11" s="5">
        <f t="shared" si="0"/>
        <v>509.66867469879514</v>
      </c>
    </row>
    <row r="12" spans="1:3" x14ac:dyDescent="0.3">
      <c r="A12" s="4" t="s">
        <v>222</v>
      </c>
      <c r="B12" s="5">
        <v>82843.850000000006</v>
      </c>
      <c r="C12" s="5">
        <f t="shared" si="0"/>
        <v>16635.311244979919</v>
      </c>
    </row>
    <row r="13" spans="1:3" x14ac:dyDescent="0.3">
      <c r="A13" s="4" t="s">
        <v>223</v>
      </c>
      <c r="B13" s="5">
        <v>180398.62</v>
      </c>
      <c r="C13" s="5">
        <f t="shared" si="0"/>
        <v>36224.622489959838</v>
      </c>
    </row>
    <row r="14" spans="1:3" x14ac:dyDescent="0.3">
      <c r="A14" s="4" t="s">
        <v>224</v>
      </c>
      <c r="B14" s="5">
        <v>140428.16</v>
      </c>
      <c r="C14" s="5">
        <f t="shared" si="0"/>
        <v>28198.425702811244</v>
      </c>
    </row>
    <row r="15" spans="1:3" x14ac:dyDescent="0.3">
      <c r="A15" s="4" t="s">
        <v>225</v>
      </c>
      <c r="B15" s="5">
        <v>36502.949999999997</v>
      </c>
      <c r="C15" s="5">
        <f t="shared" si="0"/>
        <v>7329.9096385542152</v>
      </c>
    </row>
    <row r="16" spans="1:3" x14ac:dyDescent="0.3">
      <c r="A16" s="4" t="s">
        <v>226</v>
      </c>
      <c r="B16" s="5">
        <v>149460.9</v>
      </c>
      <c r="C16" s="5">
        <f t="shared" si="0"/>
        <v>30012.228915662647</v>
      </c>
    </row>
    <row r="17" spans="1:3" x14ac:dyDescent="0.3">
      <c r="A17" s="4" t="s">
        <v>227</v>
      </c>
      <c r="B17" s="5">
        <v>51324</v>
      </c>
      <c r="C17" s="5">
        <f t="shared" si="0"/>
        <v>10306.024096385541</v>
      </c>
    </row>
    <row r="18" spans="1:3" x14ac:dyDescent="0.3">
      <c r="A18" s="4" t="s">
        <v>228</v>
      </c>
      <c r="B18" s="5">
        <v>76227</v>
      </c>
      <c r="C18" s="5">
        <f t="shared" si="0"/>
        <v>15306.626506024095</v>
      </c>
    </row>
    <row r="19" spans="1:3" x14ac:dyDescent="0.3">
      <c r="A19" s="6" t="s">
        <v>229</v>
      </c>
      <c r="B19" s="7">
        <f>SUM(B6:B18)</f>
        <v>868214.34</v>
      </c>
      <c r="C19" s="7">
        <f t="shared" si="0"/>
        <v>174340.22891566262</v>
      </c>
    </row>
    <row r="21" spans="1:3" x14ac:dyDescent="0.3">
      <c r="A21" s="2" t="s">
        <v>230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workbookViewId="0"/>
  </sheetViews>
  <sheetFormatPr defaultRowHeight="14.4" x14ac:dyDescent="0.3"/>
  <cols>
    <col min="1" max="1" width="30" customWidth="1"/>
    <col min="2" max="2" width="105" customWidth="1"/>
  </cols>
  <sheetData>
    <row r="1" spans="1:2" ht="22.8" customHeight="1" x14ac:dyDescent="0.3">
      <c r="A1" s="10" t="s">
        <v>231</v>
      </c>
      <c r="B1" s="11" t="s">
        <v>232</v>
      </c>
    </row>
    <row r="3" spans="1:2" ht="22.8" customHeight="1" x14ac:dyDescent="0.3">
      <c r="A3" s="10" t="s">
        <v>233</v>
      </c>
      <c r="B3" s="11" t="s">
        <v>234</v>
      </c>
    </row>
    <row r="5" spans="1:2" ht="22.8" customHeight="1" x14ac:dyDescent="0.3">
      <c r="A5" s="10" t="s">
        <v>235</v>
      </c>
      <c r="B5" s="11" t="s">
        <v>236</v>
      </c>
    </row>
    <row r="7" spans="1:2" ht="22.8" customHeight="1" x14ac:dyDescent="0.3">
      <c r="A7" s="10" t="s">
        <v>237</v>
      </c>
      <c r="B7" s="11" t="s">
        <v>238</v>
      </c>
    </row>
    <row r="9" spans="1:2" ht="22.8" customHeight="1" x14ac:dyDescent="0.3">
      <c r="A9" s="10" t="s">
        <v>239</v>
      </c>
      <c r="B9" s="11" t="s">
        <v>240</v>
      </c>
    </row>
    <row r="11" spans="1:2" ht="22.8" customHeight="1" x14ac:dyDescent="0.3">
      <c r="A11" s="10" t="s">
        <v>241</v>
      </c>
      <c r="B11" s="11" t="s">
        <v>242</v>
      </c>
    </row>
    <row r="13" spans="1:2" ht="22.8" customHeight="1" x14ac:dyDescent="0.3">
      <c r="A13" s="10" t="s">
        <v>243</v>
      </c>
      <c r="B13" s="11" t="s">
        <v>244</v>
      </c>
    </row>
    <row r="15" spans="1:2" ht="34.200000000000003" customHeight="1" x14ac:dyDescent="0.3">
      <c r="A15" s="10" t="s">
        <v>245</v>
      </c>
      <c r="B15" s="11" t="s">
        <v>246</v>
      </c>
    </row>
    <row r="17" spans="1:2" ht="22.8" customHeight="1" x14ac:dyDescent="0.3">
      <c r="A17" s="10" t="s">
        <v>247</v>
      </c>
      <c r="B17" s="11" t="s">
        <v>248</v>
      </c>
    </row>
    <row r="19" spans="1:2" ht="22.8" customHeight="1" x14ac:dyDescent="0.3">
      <c r="A19" s="10" t="s">
        <v>249</v>
      </c>
      <c r="B19" s="11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DEVIZ MIN</vt:lpstr>
      <vt:lpstr>REDUCERI SI RISCURI</vt:lpstr>
      <vt:lpstr>MATERIALE DEDEMAN (ref)</vt:lpstr>
      <vt:lpstr>IPOTEZE SI SURSE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F2034</cp:lastModifiedBy>
  <dcterms:created xsi:type="dcterms:W3CDTF">2026-09-21T12:35:28Z</dcterms:created>
  <dcterms:modified xsi:type="dcterms:W3CDTF">2026-09-21T13:13:44Z</dcterms:modified>
</cp:coreProperties>
</file>