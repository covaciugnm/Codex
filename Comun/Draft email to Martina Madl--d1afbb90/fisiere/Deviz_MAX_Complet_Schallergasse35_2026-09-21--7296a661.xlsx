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0. Downloads\Apartamente Viena\00. Cladire 1 Schallergasse 35, 1120 Wien (Meidling)\00.Proiect\07. Kosten + Ausschreibung\Deviz General 2026.09.21\Versiunea MAX (completa)\"/>
    </mc:Choice>
  </mc:AlternateContent>
  <xr:revisionPtr revIDLastSave="0" documentId="13_ncr:1_{6597F101-FC21-4110-B607-6AA648937D6C}" xr6:coauthVersionLast="47" xr6:coauthVersionMax="47" xr10:uidLastSave="{00000000-0000-0000-0000-000000000000}"/>
  <bookViews>
    <workbookView xWindow="41172" yWindow="-108" windowWidth="41496" windowHeight="16776" xr2:uid="{00000000-000D-0000-FFFF-FFFF00000000}"/>
  </bookViews>
  <sheets>
    <sheet name="DEVIZ MAX" sheetId="1" r:id="rId1"/>
    <sheet name="MATERIALE DEDEMAN (ref)" sheetId="2" r:id="rId2"/>
    <sheet name="IPOTEZE SI SUR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C19" i="2" s="1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F90" i="1"/>
  <c r="F71" i="1"/>
  <c r="F70" i="1"/>
  <c r="F69" i="1"/>
  <c r="F72" i="1" s="1"/>
  <c r="F83" i="1" s="1"/>
  <c r="F66" i="1"/>
  <c r="F65" i="1"/>
  <c r="F64" i="1"/>
  <c r="F63" i="1"/>
  <c r="F62" i="1"/>
  <c r="F61" i="1"/>
  <c r="F60" i="1"/>
  <c r="F59" i="1"/>
  <c r="F58" i="1"/>
  <c r="F57" i="1"/>
  <c r="F56" i="1"/>
  <c r="F53" i="1"/>
  <c r="F52" i="1"/>
  <c r="F54" i="1" s="1"/>
  <c r="F81" i="1" s="1"/>
  <c r="F49" i="1"/>
  <c r="F48" i="1"/>
  <c r="F47" i="1"/>
  <c r="F46" i="1"/>
  <c r="F45" i="1"/>
  <c r="F44" i="1"/>
  <c r="F50" i="1" s="1"/>
  <c r="F80" i="1" s="1"/>
  <c r="F41" i="1"/>
  <c r="F40" i="1"/>
  <c r="F39" i="1"/>
  <c r="F38" i="1"/>
  <c r="F37" i="1"/>
  <c r="F42" i="1" s="1"/>
  <c r="F79" i="1" s="1"/>
  <c r="F34" i="1"/>
  <c r="F33" i="1"/>
  <c r="F32" i="1"/>
  <c r="F31" i="1"/>
  <c r="F30" i="1"/>
  <c r="F29" i="1"/>
  <c r="F26" i="1"/>
  <c r="F25" i="1"/>
  <c r="F24" i="1"/>
  <c r="F23" i="1"/>
  <c r="F22" i="1"/>
  <c r="F21" i="1"/>
  <c r="F20" i="1"/>
  <c r="F19" i="1"/>
  <c r="F16" i="1"/>
  <c r="F15" i="1"/>
  <c r="F14" i="1"/>
  <c r="F13" i="1"/>
  <c r="F17" i="1" s="1"/>
  <c r="F76" i="1" s="1"/>
  <c r="F10" i="1"/>
  <c r="F9" i="1"/>
  <c r="F8" i="1"/>
  <c r="F7" i="1"/>
  <c r="F11" i="1" s="1"/>
  <c r="F35" i="1" l="1"/>
  <c r="F78" i="1" s="1"/>
  <c r="F67" i="1"/>
  <c r="F82" i="1" s="1"/>
  <c r="F27" i="1"/>
  <c r="F77" i="1" s="1"/>
  <c r="F85" i="1"/>
  <c r="F75" i="1"/>
  <c r="F84" i="1" s="1"/>
  <c r="F86" i="1" s="1"/>
  <c r="F91" i="1"/>
  <c r="F87" i="1" l="1"/>
  <c r="F88" i="1"/>
</calcChain>
</file>

<file path=xl/sharedStrings.xml><?xml version="1.0" encoding="utf-8"?>
<sst xmlns="http://schemas.openxmlformats.org/spreadsheetml/2006/main" count="331" uniqueCount="242">
  <si>
    <t>DEVIZ GENERAL ESTIMATIV — Umbau, statische Ertüchtigung und Dachgeschossausbau</t>
  </si>
  <si>
    <t>Wohnhaus Schallergasse 35, 1120 Wien · A&amp;C Wohnart Immobilien GmbH · Întocmit: 21.09.2026 · Prețuri ESTIMATIVE, NENEGOCIATE, nete (EUR, fără TVA AT 20%) · Planstand arhitectură+instalații: 08.09.2026</t>
  </si>
  <si>
    <t>Surse de preț: [D] = nivel materiale Dedeman (livrabile 05.08.2026, curs 1 EUR = 4,98 RON — vezi sheet Ipoteze); [O] = ofertă reală primită (nr. în Observații); [B] = benchmark Baumeister (Berger: 1.500 €/m² Bestand, 4.500 €/m² DG, calc. 08/2026); [E] = estimare de piață Viena 2026</t>
  </si>
  <si>
    <t>Poz.</t>
  </si>
  <si>
    <t>Denumire lucrare / serviciu</t>
  </si>
  <si>
    <t>UM</t>
  </si>
  <si>
    <t>Cant.</t>
  </si>
  <si>
    <t>PU net (EUR)</t>
  </si>
  <si>
    <t>Valoare net (EUR)</t>
  </si>
  <si>
    <t>Sursă</t>
  </si>
  <si>
    <t>Observații / baza de calcul</t>
  </si>
  <si>
    <t>CAP. A — ORGANIZARE DE ȘANTIER (Baustelleneinrichtung)</t>
  </si>
  <si>
    <t>A.1</t>
  </si>
  <si>
    <t>Organizare de șantier completă: containere birou/vestiar/depozit, împrejmuire, utilități provizorii (curent, apă), logistică, curățenie finală, pază acces — 12 luni</t>
  </si>
  <si>
    <t>pauschal</t>
  </si>
  <si>
    <t>E</t>
  </si>
  <si>
    <t>~3% din costul de execuție; uzual 2,5–4% la Umbau în oraș</t>
  </si>
  <si>
    <t>A.2</t>
  </si>
  <si>
    <t>Schelă fațadă curte + casa scării, montaj/demontaj + staționare 6 luni</t>
  </si>
  <si>
    <t>m²</t>
  </si>
  <si>
    <t>ref. poz. P10 Richtpreisliste; include extindere staționare peste 3 luni</t>
  </si>
  <si>
    <t>A.3</t>
  </si>
  <si>
    <t>Macara mobilă/autokran pentru structura mansardei (lemn+oțel) + lift materiale</t>
  </si>
  <si>
    <t>mobilizări multiple pe durata DG-Ausbau; soluția finală per GU (chestionar B5)</t>
  </si>
  <si>
    <t>A.4</t>
  </si>
  <si>
    <t>Protecții colective BauKG: plase, balustrade provizorii, copertine, semnalizare</t>
  </si>
  <si>
    <t>cf. SiGe-Plan (Lechner)</t>
  </si>
  <si>
    <t>SUBTOTAL A — Organizare de șantier</t>
  </si>
  <si>
    <t>CAP. B — DEMOLĂRI, DESFACERI, EVACUARE</t>
  </si>
  <si>
    <t>B.1</t>
  </si>
  <si>
    <t>Demolare acoperiș existent complet (învelitoare + șarpantă + astereală), incl. sprijiniri provizorii</t>
  </si>
  <si>
    <t>premisă pentru DG-Ausbau; sprijinirile cf. statică (Bauzustände)</t>
  </si>
  <si>
    <t>B.2</t>
  </si>
  <si>
    <t>Demolări/desfaceri interioare: pereți neportanți, băi existente, pardoseli, uși, instalații vechi (KG+EG+3 OG)</t>
  </si>
  <si>
    <t>ref. poz. P01 Richtpreisliste (perete) extinsă la pachet/m² util</t>
  </si>
  <si>
    <t>B.3</t>
  </si>
  <si>
    <t>Desfacere planșee parțiale / goluri noi (lift, scări interioare TOP 23), buiandrugi</t>
  </si>
  <si>
    <t>goluri planșeu lift pe 6 niveluri + goluri uși în ziduri portante</t>
  </si>
  <si>
    <t>B.4</t>
  </si>
  <si>
    <t>Evacuare moloz, containere, taxe depozitare cf. Recycling-BaustoffVO, transport</t>
  </si>
  <si>
    <t>~450–550 t deșeuri estimate; sortare obligatorie</t>
  </si>
  <si>
    <t>SUBTOTAL B — Demolări și evacuare</t>
  </si>
  <si>
    <t>CAP. C — STRUCTURĂ / ROHBAU (cf. Vorbemessung Berger 01/2022 + statică de execuție)</t>
  </si>
  <si>
    <t>C.1</t>
  </si>
  <si>
    <t>Placă de fundare STB C25/30, d=30 cm, în subsolul existent, incl. cofraj, armare ~90 kg/m³, pompare (Fundierungskonzept)</t>
  </si>
  <si>
    <t>ref. poz. P03; presiuni 494–813 kN/m² &gt; 270 admisibil → placa obligatorie</t>
  </si>
  <si>
    <t>C.2</t>
  </si>
  <si>
    <t>Groapă + cuvă lift (fundare puț 186×160, hidroizolare cuvă, străpungeri planșee)</t>
  </si>
  <si>
    <t>B</t>
  </si>
  <si>
    <t>Berger a bugetat 100.000 € tot capitolul lift-schacht; aici doar lucrările de fundare/cuvă</t>
  </si>
  <si>
    <t>C.3</t>
  </si>
  <si>
    <t>Structură metalică ertüchtigung: grinzi HEB 120–180 S235 livrate+montate, incl. protecție anticorozivă și subturnări (planșee FB02, FB03, balcoane)</t>
  </si>
  <si>
    <t>kg</t>
  </si>
  <si>
    <t>ref. poz. P04; tonaj estimat din Vorbemessung (HEB la 1.DG/2.DG + balcoane)</t>
  </si>
  <si>
    <t>C.4</t>
  </si>
  <si>
    <t>Suprabeton armat 7 cm pe planșee existente, pe strat separare, incl. conectori</t>
  </si>
  <si>
    <t>cf. alcătuire planșee din Vorbemessung</t>
  </si>
  <si>
    <t>C.5</t>
  </si>
  <si>
    <t>Zidărie portantă nouă Porotherm 25 cm + buiandrugi (recompartimentări, atice)</t>
  </si>
  <si>
    <t>D</t>
  </si>
  <si>
    <t>material [D] caramida porotherm + manoperă; cf. Centralizator 'Extindere pereti'</t>
  </si>
  <si>
    <t>C.6</t>
  </si>
  <si>
    <t>Structură mansardă lemn KVH/BSH (2 niveluri), livrată + montată, incl. conectori metalici</t>
  </si>
  <si>
    <t>m³</t>
  </si>
  <si>
    <t>ref. poz. P05; sparren/träger cf. VorKonzept (10/20, e_max 0,8 m)</t>
  </si>
  <si>
    <t>C.7</t>
  </si>
  <si>
    <t>Puț lift — pereți STB/zidărie armată peste cotă (6 opriri), incl. cofraj+armare</t>
  </si>
  <si>
    <t>parte din pachetul 100k Berger pentru Aufzugsschacht</t>
  </si>
  <si>
    <t>C.8</t>
  </si>
  <si>
    <t>Balcoane hofseitig: fertigteil beton + structură HEB 120, montaj complet</t>
  </si>
  <si>
    <t>buc</t>
  </si>
  <si>
    <t>cf. planșe A.03 (Ap.1/Ap.2 pe 3 etaje + DG); Betonstein cf. Vorbemessung</t>
  </si>
  <si>
    <t>SUBTOTAL C — Structură / Rohbau</t>
  </si>
  <si>
    <t>CAP. D — ANVELOPĂ: ACOPERIȘ, TERASE, FAȚADE, TÂMPLĂRIE EXTERIOARĂ</t>
  </si>
  <si>
    <t>D.1</t>
  </si>
  <si>
    <t>Învelitoare completă cf. detalii DA01–DA04: astereală, folii, termoizolație 20+6 cm, tablă fălțuită, spenglerarbeiten, opritori zăpadă</t>
  </si>
  <si>
    <t>materiale [D] cap. Invelitoare 82.844 lei + manoperă; REI30–REI90 cf. detalii</t>
  </si>
  <si>
    <t>D.2</t>
  </si>
  <si>
    <t>Terase DG (AD01) + terasa lift (DA04): hidroizolație bituminoasă 2 straturi ridicată pe atic, termo EPS/XPS în pantă, dale pe plots</t>
  </si>
  <si>
    <t>materiale [D] AD01+DA04; recomandare FPO/TPO din Centralizator preluată ca alternativă</t>
  </si>
  <si>
    <t>D.3</t>
  </si>
  <si>
    <t>Lucarne/Gaupen complete cf. D-02/D-03 (structură, placare, fereastră, spengler)</t>
  </si>
  <si>
    <t>cf. planșe A.07–A.09 și detalii lucarnă</t>
  </si>
  <si>
    <t>D.4</t>
  </si>
  <si>
    <t>Tâmplărie exterioară: ferestre lemn/lemn-alu cf. Tablou tâmplărie (34 poziții F01–F34, dimensiuni 0,34×0,90…2,70×2,10) + Skylights, montaj RAL</t>
  </si>
  <si>
    <t>Tablou tamplarie Viena.xlsx; OBS: geamurile demisol NU sunt incluse (cf. tablou)</t>
  </si>
  <si>
    <t>D.5</t>
  </si>
  <si>
    <t>Fațade curte NE+SV: reparații tencuială, termosistem parțial, tencuială decorativă, glafuri</t>
  </si>
  <si>
    <t>materiale [D] cap. Fatade 46.805 lei + manoperă; fațada stradală se PĂSTREAZĂ</t>
  </si>
  <si>
    <t>D.6</t>
  </si>
  <si>
    <t>Fațadă principală: reparații punctuale, bosaje, ancadramente, șorț tablă, glafuri (fără modificare aspect)</t>
  </si>
  <si>
    <t>obligație menținere aspect cf. Bescheid</t>
  </si>
  <si>
    <t>SUBTOTAL D — Anvelopă</t>
  </si>
  <si>
    <t>CAP. E — AMENAJĂRI INTERIOARE / FINISAJE (toate nivelurile, 11 unități + spațiu yoga)</t>
  </si>
  <si>
    <t>E.1</t>
  </si>
  <si>
    <t>Pereți gips-carton + compartimentări (sisteme 15 cm cf. Z.1/IW/WTW, ghene VS, măști Geberit, placări), incl. vată bazaltică</t>
  </si>
  <si>
    <t>materiale [D] ~144.000 lei (pereti+ghene+placari) ≈ 28.900 € + manoperă ×~1,1</t>
  </si>
  <si>
    <t>E.2</t>
  </si>
  <si>
    <t>Șape (egalizare, slab armate, autonivelante, șapă încălzită 7 cm la FBH) + pardoseli finite (parchet stratificat, gresie/faianță 60×60–60×120, plinte)</t>
  </si>
  <si>
    <t>materiale [D] 231.723 lei ≈ 46.500 € + manoperă; parchet 194 lei/m², gresie 118 lei/m² Dedeman</t>
  </si>
  <si>
    <t>E.3</t>
  </si>
  <si>
    <t>Gleturi, zugrăveli lavabile (incl. texturată), hidroizolații băi pensulabile, colțare, plase</t>
  </si>
  <si>
    <t>materiale [D] 83.930 lei ≈ 16.900 € + manoperă ×~1,3</t>
  </si>
  <si>
    <t>E.4</t>
  </si>
  <si>
    <t>Tâmplărie interioară: uși lemn 80/90/100×210, uși glisante+casete, uși intrare apartament EI2-30, montaj</t>
  </si>
  <si>
    <t>materiale [D] cap. Tamplarie 76.227 lei ≈ 15.300 € + montaj</t>
  </si>
  <si>
    <t>E.5</t>
  </si>
  <si>
    <t>Confecții metalice interioare: scară metalică demisol 7 trepte, podest, balustrade metalice</t>
  </si>
  <si>
    <t>materiale [D] 5.800 lei + execuție/montaj; balustrade cf. planșe</t>
  </si>
  <si>
    <t>SUBTOTAL E — Finisaje interioare</t>
  </si>
  <si>
    <t>CAP. F — INSTALAȚII (cf. PTh 08.09.2026: IE00–IE21, IS01–IS07, IT01–IT07 + liste cantități)</t>
  </si>
  <si>
    <t>F.1</t>
  </si>
  <si>
    <t>Instalații electrice complete: 13 tablouri (FDCP13, TE SC, TE Yoga, TE TOP1–11), 2.530 m tub, ~2.590 m cablu CYYF/N2XH, aparataj (127 întrerupătoare, ~200 prize), iluminat LED, iluminat siguranță, paratrăsnet/împământare</t>
  </si>
  <si>
    <t>liste cantități electrice; ~6.200 €/apartament + părți comune; incl. verificări+PIF</t>
  </si>
  <si>
    <t>F.2</t>
  </si>
  <si>
    <t>Curenți slabi: UTP cat.6, coaxial RG6, interfon cu yale electromagnetice, distribuție (IE16–IE21)</t>
  </si>
  <si>
    <t>cutii furnizor voce-date cf. nota 7 din listă (tabloul CS = furnizor)</t>
  </si>
  <si>
    <t>F.3</t>
  </si>
  <si>
    <t>Instalații sanitare: obiecte (20 lavoare, 13 WC, 7 căzi, 7 dușuri, 11 spălătoare inox), 16 racorduri MS, distribuție PE-Xa/PPR ~405 m, canalizare PP/PEHD ~286 m, 2 ministații pompare Sololift2, contorizare (12 contoare + 6 cutii)</t>
  </si>
  <si>
    <t>liste cantități sanitare; obiectele cf. spec. arhitect (nivel mediu-bun)</t>
  </si>
  <si>
    <t>F.4</t>
  </si>
  <si>
    <t>Instalații termice: 8 centrale murale condensare 24 kW + 4 pompe căldură aer-apă 6 kW (Altherma 3 R, 180 l), 52 radiatoare (tip 22 + baie), încălzire în pardoseală 210 m² (1.790 m PE-Xa 17×2, plăci nuturi, 7 distribuitoare 3–5 circuite în dulapuri UP), distribuție, termostate</t>
  </si>
  <si>
    <t>liste cantități termice; ATENȚIE nota contradicție UFH/radiatoare din 08/2026 — de închis înainte de contractare</t>
  </si>
  <si>
    <t>F.5</t>
  </si>
  <si>
    <t>Ventilare: 16 ventilatoare băi cu temporizare + clapete, tubulatură, căciuli/grile DN110, schema IT07</t>
  </si>
  <si>
    <t>cf. IT07 + liste</t>
  </si>
  <si>
    <t>F.6</t>
  </si>
  <si>
    <t>Racorduri utilități: branșament electric (Wiener Netze, FDCP13 4×35+16), gaz (8 centrale!), apă-canal adaptări</t>
  </si>
  <si>
    <t>taxe operator + lucrări; gaz de confirmat cu concept energetic final</t>
  </si>
  <si>
    <t>SUBTOTAL F — Instalații</t>
  </si>
  <si>
    <t>CAP. G — ASCENSOR (6 opriri, hofseitig, cf. planșe — Schindler 3300 ieșit din fabricație → echivalent)</t>
  </si>
  <si>
    <t>G.1</t>
  </si>
  <si>
    <t>Ascensor complet 6 opriri, kabină ~140×110 cm, 675 kg/9 pers., uși telescopice, livrare + montaj + PIF</t>
  </si>
  <si>
    <t>shortlist furnizori Wien în lucru (raport 21.09); puț/fundare în C.2+C.7</t>
  </si>
  <si>
    <t>G.2</t>
  </si>
  <si>
    <t>Abnahmeprüfung organism acreditat (TÜV/eq.) + documentație + Aufzugsbuch</t>
  </si>
  <si>
    <t>obligatoriu la PIF cf. Hebeanlagen-recht</t>
  </si>
  <si>
    <t>SUBTOTAL G — Ascensor</t>
  </si>
  <si>
    <t>CAP. H — SERVICII, PROIECTARE, ROLURI LEGALE (oferte REALE unde există)</t>
  </si>
  <si>
    <t>H.1</t>
  </si>
  <si>
    <t>Ausführungsstatik + planuri cofraj/armare + Führungsplanung oțel/lemn + statische Betreuung</t>
  </si>
  <si>
    <t>O</t>
  </si>
  <si>
    <t>[O] Toms ANG 855 din 03.09.2026 (25.000 + 1.500); alternativ Berger 35.000 (ANG 17.08)</t>
  </si>
  <si>
    <t>H.2</t>
  </si>
  <si>
    <t>Prüfingenieur §127/§128 BO Wien (toate Beschauen + ZT-Bestätigung)</t>
  </si>
  <si>
    <t>[O] Toms ANG 839 din 20.08.2026; independență confirmată; alternativ Berger 10.000</t>
  </si>
  <si>
    <t>H.3</t>
  </si>
  <si>
    <t>BauKG: Planungs- + Baustellenkoordinator, SiGe-Plan, USP, Vorankündigung, vizite săptămânale 12 luni</t>
  </si>
  <si>
    <t>[O] Lechner/BAU-WERTE 26-0094 din 11.08.2026 (750+7.500); &gt;12 luni aliquot 625/lună</t>
  </si>
  <si>
    <t>H.4</t>
  </si>
  <si>
    <t>Planwechsel/Einreichung etaje + planuri Fertigstellungsanzeige</t>
  </si>
  <si>
    <t>[O] Mattes poz. 2.1+2.3 (9.500+3.500) — ofertă expirată, de reconfirmat; DOAR dacă devine necesar (intenția: FĂRĂ Planwechsel)</t>
  </si>
  <si>
    <t>H.5</t>
  </si>
  <si>
    <t>Caiete de sarcini + licitare meserii + contracte (constructiv + funcțional instalații)</t>
  </si>
  <si>
    <t>[O] Mattes poz. 3+4 (12.500+4.500); economisibil parțial dacă GU preia</t>
  </si>
  <si>
    <t>H.6</t>
  </si>
  <si>
    <t>ÖBA — supraveghere execuție în numele beneficiarului, 14 luni Hochbau + 7 luni instalații</t>
  </si>
  <si>
    <t>[O] Mattes poz. 5.1+5.2 (98.000+17.500); OPȚIONAL dar puternic recomandat; prelungire definită 3.000/1.500 pe lună</t>
  </si>
  <si>
    <t>H.7</t>
  </si>
  <si>
    <t>Beweissicherung imobile vecine (nr. 33/36 + stradă) înainte de lucrări</t>
  </si>
  <si>
    <t>ref. LVR poz. 6 (6.900 ****); vecinul 36 deja ostil în autorizare</t>
  </si>
  <si>
    <t>H.8</t>
  </si>
  <si>
    <t>Bauwerksbuch §128a (clădire 1905 — obligatoriu oricum până 31.12.2027)</t>
  </si>
  <si>
    <t>ref. LVR 2.700; Lechner e Bauwerksbuchersteller — ofertă cerută la întâlnirea 10.09</t>
  </si>
  <si>
    <t>H.9</t>
  </si>
  <si>
    <t>Schad-/Störstofferkundung înainte de demolări (rückbaukundige Person, RBV)</t>
  </si>
  <si>
    <t>obligatorie la volumele estimate; Lechner certificat BRV</t>
  </si>
  <si>
    <t>H.10</t>
  </si>
  <si>
    <t>Vermessung/geometru (control cote, eventual releveu de verificare)</t>
  </si>
  <si>
    <t>ref. discuții Mattes/LVR</t>
  </si>
  <si>
    <t>H.11</t>
  </si>
  <si>
    <t>Bauphysik: actualizare calcule termice/fonice + Energieausweis la finalizare</t>
  </si>
  <si>
    <t>Energieausweis existent 2022 (12S35); actualizare la predare</t>
  </si>
  <si>
    <t>SUBTOTAL H — Servicii și onorarii</t>
  </si>
  <si>
    <t>CAP. I — ASIGURĂRI, TAXE, DIVERSE</t>
  </si>
  <si>
    <t>I.1</t>
  </si>
  <si>
    <t>Bauwesenversicherung (asigurare lucrări) ~0,35% din costul de execuție</t>
  </si>
  <si>
    <t>de corelat cu polița DONAU existentă a clădirii (2044001194)</t>
  </si>
  <si>
    <t>I.2</t>
  </si>
  <si>
    <t>Taxe și avize: MA37 (Baubeginnsanzeige, Fertigstellung), Gebrauchsabgabe trotuar/schelă, parcare șantier</t>
  </si>
  <si>
    <t>taxele orașului Viena pe durata șantierului</t>
  </si>
  <si>
    <t>I.3</t>
  </si>
  <si>
    <t>Utilități șantier pe durata execuției (curent, apă) + diverse mărunte</t>
  </si>
  <si>
    <t>SUBTOTAL I — Asigurări și taxe</t>
  </si>
  <si>
    <t>RECAPITULAȚIE</t>
  </si>
  <si>
    <t>Cap. A — Organizare de șantier</t>
  </si>
  <si>
    <t>Cap. B — Demolări și evacuare</t>
  </si>
  <si>
    <t>Cap. C — Structură / Rohbau</t>
  </si>
  <si>
    <t>Cap. D — Anvelopă (acoperiș, fațade, tâmplărie ext.)</t>
  </si>
  <si>
    <t>Cap. E — Finisaje interioare</t>
  </si>
  <si>
    <t>Cap. F — Instalații</t>
  </si>
  <si>
    <t>Cap. G — Ascensor</t>
  </si>
  <si>
    <t>Cap. H — Servicii și onorarii</t>
  </si>
  <si>
    <t>Cap. I — Asigurări și taxe</t>
  </si>
  <si>
    <t>Subtotal execuție + servicii (Cap. A–I), net</t>
  </si>
  <si>
    <t>Cap. J — Neprevăzute / rezervă de proiect 10% (aplicată la Cap. A–G execuție)</t>
  </si>
  <si>
    <t>TOTAL GENERAL NET (EUR, fără TVA)</t>
  </si>
  <si>
    <t>TVA Austria 20%</t>
  </si>
  <si>
    <t>TOTAL GENERAL BRUT (EUR, cu TVA 20%)</t>
  </si>
  <si>
    <t>VERIFICARE ÎNCRUCIȘATĂ (benchmark Baumeister Berger, calc. 08/2026): 100.000 (lift) + 609,22 m² × 1.500 (Bestand) + 233,53 m² × 4.500 (DG) =</t>
  </si>
  <si>
    <t>Execuția din prezentul deviz (A–G + neprevăzute J), comparabilă cu benchmarkul de mai sus:</t>
  </si>
  <si>
    <t>REFERINȚĂ MATERIALE — nivel prețuri Dedeman (livrabile 05.08.2026, baza: Centralizator cantități 23.07 + planstand ulterior)</t>
  </si>
  <si>
    <t>Curs de calcul:</t>
  </si>
  <si>
    <t>RON/EUR (BNR, medie sept. 2026 — MODIFICABIL; toate valorile EUR se recalculează)</t>
  </si>
  <si>
    <t>Capitol materiale (cf. Deviz_General_pe_Incaperi.xlsx)</t>
  </si>
  <si>
    <t>Valoare cu TVA RO (lei)</t>
  </si>
  <si>
    <t>Valoare (EUR)</t>
  </si>
  <si>
    <t>Confectii metalice</t>
  </si>
  <si>
    <t>Fatade</t>
  </si>
  <si>
    <t>Ghene VS01+VS02+VS04</t>
  </si>
  <si>
    <t>Gleturi/vopsele</t>
  </si>
  <si>
    <t>Hidroizolatii</t>
  </si>
  <si>
    <t>Inaltare pardoseala baie</t>
  </si>
  <si>
    <t>Invelitoare</t>
  </si>
  <si>
    <t>Pardoseli finite</t>
  </si>
  <si>
    <t>Pereti speciali (AW/IW/SW/WTW)</t>
  </si>
  <si>
    <t>Pereti gips-carton</t>
  </si>
  <si>
    <t>Plansee</t>
  </si>
  <si>
    <t>Sape/pardoseli</t>
  </si>
  <si>
    <t>Tamplarie interioara</t>
  </si>
  <si>
    <t>TOTAL MATERIALE (nivel Dedeman, cu TVA RO)</t>
  </si>
  <si>
    <t>Notă: valorile de mai sus sunt DOAR materialele (fără manoperă, utilaje, transport AT). În devizul general, capitolele D–E înglobează aceste materiale + manoperă/execuție Viena. Alternativele premium: Materiale_Alternative_Premium.xlsx.</t>
  </si>
  <si>
    <t>CARACTER</t>
  </si>
  <si>
    <t>Deviz ESTIMATIV, NENEGOCIAT, pentru bugetare și comparație cu ofertele GU. Nu este ofertă și nu înlocuiește devizele ofertanților. Prețuri nete EUR; TVA Austria 20% aplicat la final.</t>
  </si>
  <si>
    <t>BAZA CANTITĂȚI</t>
  </si>
  <si>
    <t>Planstand arhitectură + PTh instalații 08.09.2026 (A.01–A.10, IE00–IE21, IS01–IS07, IT01–IT07); Centralizator cantități Mădălina; liste cantități electrice/sanitare/termice; Tablou tâmplărie (34 poz.).</t>
  </si>
  <si>
    <t>SURSE PREȚ [O] oferte reale</t>
  </si>
  <si>
    <t>Toms ANG 855 (statică 26.500) și ANG 839 (Prüfingenieur 8.000); Lechner 26-0094 (BauKG 8.250); Mattes (Planwechsel 9.500, LV 17.000, ÖBA 115.500 — ofertă expirată, valori de reconfirmat); repere LVR/Gschirtz din Analiza_Defalcata_Oferte.</t>
  </si>
  <si>
    <t>SURSE PREȚ [B] benchmark</t>
  </si>
  <si>
    <t>Berger (Baumeister, autor Vorbemessung): Herstellpreis 2.064.715 € net = 100.000 lift + 609,22 m²×1.500 (Bestand) + 233,53 m²×4.500 (DG) — folosit ca verificare încrucișată și pentru pozițiile de lift/puț.</t>
  </si>
  <si>
    <t>SURSE PREȚ [D] materiale</t>
  </si>
  <si>
    <t>Lista_Materiale_Dedeman.xlsx + Deviz_General_pe_Incaperi.xlsx (05.08.2026): 838.214 lei cu TVA RO pe zone / 868.214 pe capitole. Curs 1 EUR = 4,98 RON (modificabil în sheet MATERIALE). Manopera adăugată la nivel Viena 2026.</t>
  </si>
  <si>
    <t>SURSE PREȚ [E] estimări</t>
  </si>
  <si>
    <t>Prețuri de piață Viena 2026 pentru poziții fără ofertă (demolări, structură, instalații, lift, anvelopă), calibrate pe Richtpreisliste P01–P10 și pe benchmarkul Berger.</t>
  </si>
  <si>
    <t>EXCLUDERI</t>
  </si>
  <si>
    <t>Bucătării/mobilier; onorariu arhitectură Mădălina (contract separat existent); costuri finanțare; marketing/închiriere; îmbunătățiri suplimentare față de planstand 08.09; creșteri de preț post-2026 (Valorizare).</t>
  </si>
  <si>
    <t>RISCURI MAJORE</t>
  </si>
  <si>
    <t>1) Contradicția UFH vs. radiatoare + concept 8 Gastherme/4 WP — de închis înainte de contractarea instalațiilor (F.4/F.6 pot varia ±20%). 2) Starea reală a planșeelor/fundațiilor la dezvelire (Bescheid pct. 7–8). 3) Lift: model de referință ieșit din fabricație — ofertele reale pot devia. 4) Duplicarea potențială H.5 cu serviciile GU. 5) ÖBA (H.6) — decizie strategică, 115.500 €.</t>
  </si>
  <si>
    <t>RECONCILIERE</t>
  </si>
  <si>
    <t>Execuția A–G + 10% neprevăzute ≈ benchmarkul Berger (2,06 mil. net) − diferența reflectă: fațada stradală păstrată, finisaje la nivel material Dedeman, instalațiile pe listele reale PTh.</t>
  </si>
  <si>
    <t>ÎNTOCMIT</t>
  </si>
  <si>
    <t>21.09.2026, pe baza documentelor din proiect. Actualizare recomandată după primirea Richtpreise de la GU (formularele Anlage A) — atunci pozițiile [E] devin [O].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</si>
</sst>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i/>
      <sz val="8"/>
      <color rgb="FF808080"/>
      <name val="Arial"/>
    </font>
    <font>
      <b/>
      <sz val="10"/>
      <color rgb="FFFFFFFF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1"/>
      <name val="Arial"/>
    </font>
    <font>
      <b/>
      <sz val="11"/>
      <color rgb="FF0000FF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0" fontId="7" fillId="4" borderId="1" xfId="0" applyFont="1" applyFill="1" applyBorder="1"/>
    <xf numFmtId="3" fontId="7" fillId="4" borderId="1" xfId="0" applyNumberFormat="1" applyFont="1" applyFill="1" applyBorder="1"/>
    <xf numFmtId="0" fontId="6" fillId="0" borderId="1" xfId="0" applyFont="1" applyBorder="1" applyAlignment="1">
      <alignment vertical="top"/>
    </xf>
    <xf numFmtId="3" fontId="6" fillId="0" borderId="1" xfId="0" applyNumberFormat="1" applyFont="1" applyBorder="1" applyAlignment="1">
      <alignment vertical="top"/>
    </xf>
    <xf numFmtId="0" fontId="8" fillId="5" borderId="1" xfId="0" applyFont="1" applyFill="1" applyBorder="1"/>
    <xf numFmtId="3" fontId="8" fillId="5" borderId="1" xfId="0" applyNumberFormat="1" applyFont="1" applyFill="1" applyBorder="1"/>
    <xf numFmtId="0" fontId="8" fillId="0" borderId="0" xfId="0" applyFont="1"/>
    <xf numFmtId="0" fontId="9" fillId="6" borderId="0" xfId="0" applyFont="1" applyFill="1"/>
    <xf numFmtId="0" fontId="7" fillId="0" borderId="0" xfId="0" applyFont="1"/>
    <xf numFmtId="0" fontId="6" fillId="0" borderId="0" xfId="0" applyFont="1" applyAlignment="1">
      <alignment vertical="top" wrapText="1"/>
    </xf>
    <xf numFmtId="0" fontId="5" fillId="3" borderId="1" xfId="0" applyFont="1" applyFill="1" applyBorder="1"/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7" customWidth="1"/>
    <col min="2" max="2" width="52" customWidth="1"/>
    <col min="3" max="3" width="7" customWidth="1"/>
    <col min="4" max="4" width="9" customWidth="1"/>
    <col min="5" max="5" width="12" customWidth="1"/>
    <col min="6" max="6" width="14" customWidth="1"/>
    <col min="7" max="7" width="7" customWidth="1"/>
    <col min="8" max="8" width="52" customWidth="1"/>
  </cols>
  <sheetData>
    <row r="1" spans="1:8" ht="17.399999999999999" customHeight="1" x14ac:dyDescent="0.3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ht="26.4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3">
      <c r="A6" s="18" t="s">
        <v>11</v>
      </c>
      <c r="B6" s="19"/>
      <c r="C6" s="19"/>
      <c r="D6" s="19"/>
      <c r="E6" s="19"/>
      <c r="F6" s="19"/>
      <c r="G6" s="19"/>
      <c r="H6" s="20"/>
    </row>
    <row r="7" spans="1:8" ht="34.200000000000003" customHeight="1" x14ac:dyDescent="0.3">
      <c r="A7" s="5" t="s">
        <v>12</v>
      </c>
      <c r="B7" s="5" t="s">
        <v>13</v>
      </c>
      <c r="C7" s="5" t="s">
        <v>14</v>
      </c>
      <c r="D7" s="5">
        <v>1</v>
      </c>
      <c r="E7" s="6">
        <v>38000</v>
      </c>
      <c r="F7" s="7">
        <f>D7*E7</f>
        <v>38000</v>
      </c>
      <c r="G7" s="5" t="s">
        <v>15</v>
      </c>
      <c r="H7" s="5" t="s">
        <v>16</v>
      </c>
    </row>
    <row r="8" spans="1:8" x14ac:dyDescent="0.3">
      <c r="A8" s="5" t="s">
        <v>17</v>
      </c>
      <c r="B8" s="5" t="s">
        <v>18</v>
      </c>
      <c r="C8" s="5" t="s">
        <v>19</v>
      </c>
      <c r="D8" s="5">
        <v>650</v>
      </c>
      <c r="E8" s="6">
        <v>21</v>
      </c>
      <c r="F8" s="7">
        <f>D8*E8</f>
        <v>13650</v>
      </c>
      <c r="G8" s="5" t="s">
        <v>15</v>
      </c>
      <c r="H8" s="5" t="s">
        <v>20</v>
      </c>
    </row>
    <row r="9" spans="1:8" ht="22.8" customHeight="1" x14ac:dyDescent="0.3">
      <c r="A9" s="5" t="s">
        <v>21</v>
      </c>
      <c r="B9" s="5" t="s">
        <v>22</v>
      </c>
      <c r="C9" s="5" t="s">
        <v>14</v>
      </c>
      <c r="D9" s="5">
        <v>1</v>
      </c>
      <c r="E9" s="6">
        <v>22000</v>
      </c>
      <c r="F9" s="7">
        <f>D9*E9</f>
        <v>22000</v>
      </c>
      <c r="G9" s="5" t="s">
        <v>15</v>
      </c>
      <c r="H9" s="5" t="s">
        <v>23</v>
      </c>
    </row>
    <row r="10" spans="1:8" ht="22.8" customHeight="1" x14ac:dyDescent="0.3">
      <c r="A10" s="5" t="s">
        <v>24</v>
      </c>
      <c r="B10" s="5" t="s">
        <v>25</v>
      </c>
      <c r="C10" s="5" t="s">
        <v>14</v>
      </c>
      <c r="D10" s="5">
        <v>1</v>
      </c>
      <c r="E10" s="6">
        <v>8000</v>
      </c>
      <c r="F10" s="7">
        <f>D10*E10</f>
        <v>8000</v>
      </c>
      <c r="G10" s="5" t="s">
        <v>15</v>
      </c>
      <c r="H10" s="5" t="s">
        <v>26</v>
      </c>
    </row>
    <row r="11" spans="1:8" x14ac:dyDescent="0.3">
      <c r="A11" s="8"/>
      <c r="B11" s="8" t="s">
        <v>27</v>
      </c>
      <c r="C11" s="8"/>
      <c r="D11" s="8"/>
      <c r="E11" s="8"/>
      <c r="F11" s="9">
        <f>SUM(F7:F10)</f>
        <v>81650</v>
      </c>
      <c r="G11" s="8"/>
      <c r="H11" s="8"/>
    </row>
    <row r="12" spans="1:8" x14ac:dyDescent="0.3">
      <c r="A12" s="18" t="s">
        <v>28</v>
      </c>
      <c r="B12" s="19"/>
      <c r="C12" s="19"/>
      <c r="D12" s="19"/>
      <c r="E12" s="19"/>
      <c r="F12" s="19"/>
      <c r="G12" s="19"/>
      <c r="H12" s="20"/>
    </row>
    <row r="13" spans="1:8" ht="22.8" customHeight="1" x14ac:dyDescent="0.3">
      <c r="A13" s="5" t="s">
        <v>29</v>
      </c>
      <c r="B13" s="5" t="s">
        <v>30</v>
      </c>
      <c r="C13" s="5" t="s">
        <v>19</v>
      </c>
      <c r="D13" s="5">
        <v>260</v>
      </c>
      <c r="E13" s="6">
        <v>72</v>
      </c>
      <c r="F13" s="7">
        <f>D13*E13</f>
        <v>18720</v>
      </c>
      <c r="G13" s="5" t="s">
        <v>15</v>
      </c>
      <c r="H13" s="5" t="s">
        <v>31</v>
      </c>
    </row>
    <row r="14" spans="1:8" ht="22.8" customHeight="1" x14ac:dyDescent="0.3">
      <c r="A14" s="5" t="s">
        <v>32</v>
      </c>
      <c r="B14" s="5" t="s">
        <v>33</v>
      </c>
      <c r="C14" s="5" t="s">
        <v>19</v>
      </c>
      <c r="D14" s="5">
        <v>569</v>
      </c>
      <c r="E14" s="6">
        <v>55</v>
      </c>
      <c r="F14" s="7">
        <f>D14*E14</f>
        <v>31295</v>
      </c>
      <c r="G14" s="5" t="s">
        <v>15</v>
      </c>
      <c r="H14" s="5" t="s">
        <v>34</v>
      </c>
    </row>
    <row r="15" spans="1:8" ht="22.8" customHeight="1" x14ac:dyDescent="0.3">
      <c r="A15" s="5" t="s">
        <v>35</v>
      </c>
      <c r="B15" s="5" t="s">
        <v>36</v>
      </c>
      <c r="C15" s="5" t="s">
        <v>14</v>
      </c>
      <c r="D15" s="5">
        <v>1</v>
      </c>
      <c r="E15" s="6">
        <v>14000</v>
      </c>
      <c r="F15" s="7">
        <f>D15*E15</f>
        <v>14000</v>
      </c>
      <c r="G15" s="5" t="s">
        <v>15</v>
      </c>
      <c r="H15" s="5" t="s">
        <v>37</v>
      </c>
    </row>
    <row r="16" spans="1:8" ht="22.8" customHeight="1" x14ac:dyDescent="0.3">
      <c r="A16" s="5" t="s">
        <v>38</v>
      </c>
      <c r="B16" s="5" t="s">
        <v>39</v>
      </c>
      <c r="C16" s="5" t="s">
        <v>14</v>
      </c>
      <c r="D16" s="5">
        <v>1</v>
      </c>
      <c r="E16" s="6">
        <v>26000</v>
      </c>
      <c r="F16" s="7">
        <f>D16*E16</f>
        <v>26000</v>
      </c>
      <c r="G16" s="5" t="s">
        <v>15</v>
      </c>
      <c r="H16" s="5" t="s">
        <v>40</v>
      </c>
    </row>
    <row r="17" spans="1:8" x14ac:dyDescent="0.3">
      <c r="A17" s="8"/>
      <c r="B17" s="8" t="s">
        <v>41</v>
      </c>
      <c r="C17" s="8"/>
      <c r="D17" s="8"/>
      <c r="E17" s="8"/>
      <c r="F17" s="9">
        <f>SUM(F13:F16)</f>
        <v>90015</v>
      </c>
      <c r="G17" s="8"/>
      <c r="H17" s="8"/>
    </row>
    <row r="18" spans="1:8" x14ac:dyDescent="0.3">
      <c r="A18" s="18" t="s">
        <v>42</v>
      </c>
      <c r="B18" s="19"/>
      <c r="C18" s="19"/>
      <c r="D18" s="19"/>
      <c r="E18" s="19"/>
      <c r="F18" s="19"/>
      <c r="G18" s="19"/>
      <c r="H18" s="20"/>
    </row>
    <row r="19" spans="1:8" ht="22.8" customHeight="1" x14ac:dyDescent="0.3">
      <c r="A19" s="5" t="s">
        <v>43</v>
      </c>
      <c r="B19" s="5" t="s">
        <v>44</v>
      </c>
      <c r="C19" s="5" t="s">
        <v>19</v>
      </c>
      <c r="D19" s="5">
        <v>180</v>
      </c>
      <c r="E19" s="6">
        <v>190</v>
      </c>
      <c r="F19" s="7">
        <f t="shared" ref="F19:F26" si="0">D19*E19</f>
        <v>34200</v>
      </c>
      <c r="G19" s="5" t="s">
        <v>15</v>
      </c>
      <c r="H19" s="5" t="s">
        <v>45</v>
      </c>
    </row>
    <row r="20" spans="1:8" ht="22.8" customHeight="1" x14ac:dyDescent="0.3">
      <c r="A20" s="5" t="s">
        <v>46</v>
      </c>
      <c r="B20" s="5" t="s">
        <v>47</v>
      </c>
      <c r="C20" s="5" t="s">
        <v>14</v>
      </c>
      <c r="D20" s="5">
        <v>1</v>
      </c>
      <c r="E20" s="6">
        <v>19000</v>
      </c>
      <c r="F20" s="7">
        <f t="shared" si="0"/>
        <v>19000</v>
      </c>
      <c r="G20" s="5" t="s">
        <v>48</v>
      </c>
      <c r="H20" s="5" t="s">
        <v>49</v>
      </c>
    </row>
    <row r="21" spans="1:8" ht="34.200000000000003" customHeight="1" x14ac:dyDescent="0.3">
      <c r="A21" s="5" t="s">
        <v>50</v>
      </c>
      <c r="B21" s="5" t="s">
        <v>51</v>
      </c>
      <c r="C21" s="5" t="s">
        <v>52</v>
      </c>
      <c r="D21" s="5">
        <v>14000</v>
      </c>
      <c r="E21" s="6">
        <v>4.2</v>
      </c>
      <c r="F21" s="7">
        <f t="shared" si="0"/>
        <v>58800</v>
      </c>
      <c r="G21" s="5" t="s">
        <v>15</v>
      </c>
      <c r="H21" s="5" t="s">
        <v>53</v>
      </c>
    </row>
    <row r="22" spans="1:8" ht="22.8" customHeight="1" x14ac:dyDescent="0.3">
      <c r="A22" s="5" t="s">
        <v>54</v>
      </c>
      <c r="B22" s="5" t="s">
        <v>55</v>
      </c>
      <c r="C22" s="5" t="s">
        <v>19</v>
      </c>
      <c r="D22" s="5">
        <v>230</v>
      </c>
      <c r="E22" s="6">
        <v>98</v>
      </c>
      <c r="F22" s="7">
        <f t="shared" si="0"/>
        <v>22540</v>
      </c>
      <c r="G22" s="5" t="s">
        <v>15</v>
      </c>
      <c r="H22" s="5" t="s">
        <v>56</v>
      </c>
    </row>
    <row r="23" spans="1:8" ht="22.8" customHeight="1" x14ac:dyDescent="0.3">
      <c r="A23" s="5" t="s">
        <v>57</v>
      </c>
      <c r="B23" s="5" t="s">
        <v>58</v>
      </c>
      <c r="C23" s="5" t="s">
        <v>19</v>
      </c>
      <c r="D23" s="5">
        <v>120</v>
      </c>
      <c r="E23" s="6">
        <v>148</v>
      </c>
      <c r="F23" s="7">
        <f t="shared" si="0"/>
        <v>17760</v>
      </c>
      <c r="G23" s="5" t="s">
        <v>59</v>
      </c>
      <c r="H23" s="5" t="s">
        <v>60</v>
      </c>
    </row>
    <row r="24" spans="1:8" ht="22.8" customHeight="1" x14ac:dyDescent="0.3">
      <c r="A24" s="5" t="s">
        <v>61</v>
      </c>
      <c r="B24" s="5" t="s">
        <v>62</v>
      </c>
      <c r="C24" s="5" t="s">
        <v>63</v>
      </c>
      <c r="D24" s="5">
        <v>55</v>
      </c>
      <c r="E24" s="6">
        <v>1450</v>
      </c>
      <c r="F24" s="7">
        <f t="shared" si="0"/>
        <v>79750</v>
      </c>
      <c r="G24" s="5" t="s">
        <v>15</v>
      </c>
      <c r="H24" s="5" t="s">
        <v>64</v>
      </c>
    </row>
    <row r="25" spans="1:8" ht="22.8" customHeight="1" x14ac:dyDescent="0.3">
      <c r="A25" s="5" t="s">
        <v>65</v>
      </c>
      <c r="B25" s="5" t="s">
        <v>66</v>
      </c>
      <c r="C25" s="5" t="s">
        <v>14</v>
      </c>
      <c r="D25" s="5">
        <v>1</v>
      </c>
      <c r="E25" s="6">
        <v>34000</v>
      </c>
      <c r="F25" s="7">
        <f t="shared" si="0"/>
        <v>34000</v>
      </c>
      <c r="G25" s="5" t="s">
        <v>48</v>
      </c>
      <c r="H25" s="5" t="s">
        <v>67</v>
      </c>
    </row>
    <row r="26" spans="1:8" ht="22.8" customHeight="1" x14ac:dyDescent="0.3">
      <c r="A26" s="5" t="s">
        <v>68</v>
      </c>
      <c r="B26" s="5" t="s">
        <v>69</v>
      </c>
      <c r="C26" s="5" t="s">
        <v>70</v>
      </c>
      <c r="D26" s="5">
        <v>8</v>
      </c>
      <c r="E26" s="6">
        <v>6500</v>
      </c>
      <c r="F26" s="7">
        <f t="shared" si="0"/>
        <v>52000</v>
      </c>
      <c r="G26" s="5" t="s">
        <v>15</v>
      </c>
      <c r="H26" s="5" t="s">
        <v>71</v>
      </c>
    </row>
    <row r="27" spans="1:8" x14ac:dyDescent="0.3">
      <c r="A27" s="8"/>
      <c r="B27" s="8" t="s">
        <v>72</v>
      </c>
      <c r="C27" s="8"/>
      <c r="D27" s="8"/>
      <c r="E27" s="8"/>
      <c r="F27" s="9">
        <f>SUM(F19:F26)</f>
        <v>318050</v>
      </c>
      <c r="G27" s="8"/>
      <c r="H27" s="8"/>
    </row>
    <row r="28" spans="1:8" x14ac:dyDescent="0.3">
      <c r="A28" s="18" t="s">
        <v>73</v>
      </c>
      <c r="B28" s="19"/>
      <c r="C28" s="19"/>
      <c r="D28" s="19"/>
      <c r="E28" s="19"/>
      <c r="F28" s="19"/>
      <c r="G28" s="19"/>
      <c r="H28" s="20"/>
    </row>
    <row r="29" spans="1:8" ht="22.8" customHeight="1" x14ac:dyDescent="0.3">
      <c r="A29" s="5" t="s">
        <v>74</v>
      </c>
      <c r="B29" s="5" t="s">
        <v>75</v>
      </c>
      <c r="C29" s="5" t="s">
        <v>19</v>
      </c>
      <c r="D29" s="5">
        <v>300</v>
      </c>
      <c r="E29" s="6">
        <v>245</v>
      </c>
      <c r="F29" s="7">
        <f t="shared" ref="F29:F34" si="1">D29*E29</f>
        <v>73500</v>
      </c>
      <c r="G29" s="5" t="s">
        <v>59</v>
      </c>
      <c r="H29" s="5" t="s">
        <v>76</v>
      </c>
    </row>
    <row r="30" spans="1:8" ht="22.8" customHeight="1" x14ac:dyDescent="0.3">
      <c r="A30" s="5" t="s">
        <v>77</v>
      </c>
      <c r="B30" s="5" t="s">
        <v>78</v>
      </c>
      <c r="C30" s="5" t="s">
        <v>19</v>
      </c>
      <c r="D30" s="5">
        <v>55</v>
      </c>
      <c r="E30" s="6">
        <v>215</v>
      </c>
      <c r="F30" s="7">
        <f t="shared" si="1"/>
        <v>11825</v>
      </c>
      <c r="G30" s="5" t="s">
        <v>59</v>
      </c>
      <c r="H30" s="5" t="s">
        <v>79</v>
      </c>
    </row>
    <row r="31" spans="1:8" ht="22.8" customHeight="1" x14ac:dyDescent="0.3">
      <c r="A31" s="5" t="s">
        <v>80</v>
      </c>
      <c r="B31" s="5" t="s">
        <v>81</v>
      </c>
      <c r="C31" s="5" t="s">
        <v>70</v>
      </c>
      <c r="D31" s="5">
        <v>6</v>
      </c>
      <c r="E31" s="6">
        <v>3900</v>
      </c>
      <c r="F31" s="7">
        <f t="shared" si="1"/>
        <v>23400</v>
      </c>
      <c r="G31" s="5" t="s">
        <v>15</v>
      </c>
      <c r="H31" s="5" t="s">
        <v>82</v>
      </c>
    </row>
    <row r="32" spans="1:8" ht="34.200000000000003" customHeight="1" x14ac:dyDescent="0.3">
      <c r="A32" s="5" t="s">
        <v>83</v>
      </c>
      <c r="B32" s="5" t="s">
        <v>84</v>
      </c>
      <c r="C32" s="5" t="s">
        <v>70</v>
      </c>
      <c r="D32" s="5">
        <v>34</v>
      </c>
      <c r="E32" s="6">
        <v>1380</v>
      </c>
      <c r="F32" s="7">
        <f t="shared" si="1"/>
        <v>46920</v>
      </c>
      <c r="G32" s="5" t="s">
        <v>15</v>
      </c>
      <c r="H32" s="5" t="s">
        <v>85</v>
      </c>
    </row>
    <row r="33" spans="1:8" ht="22.8" customHeight="1" x14ac:dyDescent="0.3">
      <c r="A33" s="5" t="s">
        <v>86</v>
      </c>
      <c r="B33" s="5" t="s">
        <v>87</v>
      </c>
      <c r="C33" s="5" t="s">
        <v>19</v>
      </c>
      <c r="D33" s="5">
        <v>480</v>
      </c>
      <c r="E33" s="6">
        <v>88</v>
      </c>
      <c r="F33" s="7">
        <f t="shared" si="1"/>
        <v>42240</v>
      </c>
      <c r="G33" s="5" t="s">
        <v>59</v>
      </c>
      <c r="H33" s="5" t="s">
        <v>88</v>
      </c>
    </row>
    <row r="34" spans="1:8" ht="22.8" customHeight="1" x14ac:dyDescent="0.3">
      <c r="A34" s="5" t="s">
        <v>89</v>
      </c>
      <c r="B34" s="5" t="s">
        <v>90</v>
      </c>
      <c r="C34" s="5" t="s">
        <v>14</v>
      </c>
      <c r="D34" s="5">
        <v>1</v>
      </c>
      <c r="E34" s="6">
        <v>16000</v>
      </c>
      <c r="F34" s="7">
        <f t="shared" si="1"/>
        <v>16000</v>
      </c>
      <c r="G34" s="5" t="s">
        <v>15</v>
      </c>
      <c r="H34" s="5" t="s">
        <v>91</v>
      </c>
    </row>
    <row r="35" spans="1:8" x14ac:dyDescent="0.3">
      <c r="A35" s="8"/>
      <c r="B35" s="8" t="s">
        <v>92</v>
      </c>
      <c r="C35" s="8"/>
      <c r="D35" s="8"/>
      <c r="E35" s="8"/>
      <c r="F35" s="9">
        <f>SUM(F29:F34)</f>
        <v>213885</v>
      </c>
      <c r="G35" s="8"/>
      <c r="H35" s="8"/>
    </row>
    <row r="36" spans="1:8" x14ac:dyDescent="0.3">
      <c r="A36" s="18" t="s">
        <v>93</v>
      </c>
      <c r="B36" s="19"/>
      <c r="C36" s="19"/>
      <c r="D36" s="19"/>
      <c r="E36" s="19"/>
      <c r="F36" s="19"/>
      <c r="G36" s="19"/>
      <c r="H36" s="20"/>
    </row>
    <row r="37" spans="1:8" ht="22.8" customHeight="1" x14ac:dyDescent="0.3">
      <c r="A37" s="5" t="s">
        <v>94</v>
      </c>
      <c r="B37" s="5" t="s">
        <v>95</v>
      </c>
      <c r="C37" s="5" t="s">
        <v>14</v>
      </c>
      <c r="D37" s="5">
        <v>1</v>
      </c>
      <c r="E37" s="6">
        <v>61000</v>
      </c>
      <c r="F37" s="7">
        <f>D37*E37</f>
        <v>61000</v>
      </c>
      <c r="G37" s="5" t="s">
        <v>59</v>
      </c>
      <c r="H37" s="5" t="s">
        <v>96</v>
      </c>
    </row>
    <row r="38" spans="1:8" ht="34.200000000000003" customHeight="1" x14ac:dyDescent="0.3">
      <c r="A38" s="5" t="s">
        <v>97</v>
      </c>
      <c r="B38" s="5" t="s">
        <v>98</v>
      </c>
      <c r="C38" s="5" t="s">
        <v>14</v>
      </c>
      <c r="D38" s="5">
        <v>1</v>
      </c>
      <c r="E38" s="6">
        <v>88000</v>
      </c>
      <c r="F38" s="7">
        <f>D38*E38</f>
        <v>88000</v>
      </c>
      <c r="G38" s="5" t="s">
        <v>59</v>
      </c>
      <c r="H38" s="5" t="s">
        <v>99</v>
      </c>
    </row>
    <row r="39" spans="1:8" ht="22.8" customHeight="1" x14ac:dyDescent="0.3">
      <c r="A39" s="5" t="s">
        <v>100</v>
      </c>
      <c r="B39" s="5" t="s">
        <v>101</v>
      </c>
      <c r="C39" s="5" t="s">
        <v>14</v>
      </c>
      <c r="D39" s="5">
        <v>1</v>
      </c>
      <c r="E39" s="6">
        <v>39000</v>
      </c>
      <c r="F39" s="7">
        <f>D39*E39</f>
        <v>39000</v>
      </c>
      <c r="G39" s="5" t="s">
        <v>59</v>
      </c>
      <c r="H39" s="5" t="s">
        <v>102</v>
      </c>
    </row>
    <row r="40" spans="1:8" ht="22.8" customHeight="1" x14ac:dyDescent="0.3">
      <c r="A40" s="5" t="s">
        <v>103</v>
      </c>
      <c r="B40" s="5" t="s">
        <v>104</v>
      </c>
      <c r="C40" s="5" t="s">
        <v>14</v>
      </c>
      <c r="D40" s="5">
        <v>1</v>
      </c>
      <c r="E40" s="6">
        <v>23000</v>
      </c>
      <c r="F40" s="7">
        <f>D40*E40</f>
        <v>23000</v>
      </c>
      <c r="G40" s="5" t="s">
        <v>59</v>
      </c>
      <c r="H40" s="5" t="s">
        <v>105</v>
      </c>
    </row>
    <row r="41" spans="1:8" ht="22.8" customHeight="1" x14ac:dyDescent="0.3">
      <c r="A41" s="5" t="s">
        <v>106</v>
      </c>
      <c r="B41" s="5" t="s">
        <v>107</v>
      </c>
      <c r="C41" s="5" t="s">
        <v>14</v>
      </c>
      <c r="D41" s="5">
        <v>1</v>
      </c>
      <c r="E41" s="6">
        <v>9500</v>
      </c>
      <c r="F41" s="7">
        <f>D41*E41</f>
        <v>9500</v>
      </c>
      <c r="G41" s="5" t="s">
        <v>59</v>
      </c>
      <c r="H41" s="5" t="s">
        <v>108</v>
      </c>
    </row>
    <row r="42" spans="1:8" x14ac:dyDescent="0.3">
      <c r="A42" s="8"/>
      <c r="B42" s="8" t="s">
        <v>109</v>
      </c>
      <c r="C42" s="8"/>
      <c r="D42" s="8"/>
      <c r="E42" s="8"/>
      <c r="F42" s="9">
        <f>SUM(F37:F41)</f>
        <v>220500</v>
      </c>
      <c r="G42" s="8"/>
      <c r="H42" s="8"/>
    </row>
    <row r="43" spans="1:8" x14ac:dyDescent="0.3">
      <c r="A43" s="18" t="s">
        <v>110</v>
      </c>
      <c r="B43" s="19"/>
      <c r="C43" s="19"/>
      <c r="D43" s="19"/>
      <c r="E43" s="19"/>
      <c r="F43" s="19"/>
      <c r="G43" s="19"/>
      <c r="H43" s="20"/>
    </row>
    <row r="44" spans="1:8" ht="45.6" customHeight="1" x14ac:dyDescent="0.3">
      <c r="A44" s="5" t="s">
        <v>111</v>
      </c>
      <c r="B44" s="5" t="s">
        <v>112</v>
      </c>
      <c r="C44" s="5" t="s">
        <v>14</v>
      </c>
      <c r="D44" s="5">
        <v>1</v>
      </c>
      <c r="E44" s="6">
        <v>84000</v>
      </c>
      <c r="F44" s="7">
        <f t="shared" ref="F44:F49" si="2">D44*E44</f>
        <v>84000</v>
      </c>
      <c r="G44" s="5" t="s">
        <v>15</v>
      </c>
      <c r="H44" s="5" t="s">
        <v>113</v>
      </c>
    </row>
    <row r="45" spans="1:8" ht="22.8" customHeight="1" x14ac:dyDescent="0.3">
      <c r="A45" s="5" t="s">
        <v>114</v>
      </c>
      <c r="B45" s="5" t="s">
        <v>115</v>
      </c>
      <c r="C45" s="5" t="s">
        <v>14</v>
      </c>
      <c r="D45" s="5">
        <v>1</v>
      </c>
      <c r="E45" s="6">
        <v>12500</v>
      </c>
      <c r="F45" s="7">
        <f t="shared" si="2"/>
        <v>12500</v>
      </c>
      <c r="G45" s="5" t="s">
        <v>15</v>
      </c>
      <c r="H45" s="5" t="s">
        <v>116</v>
      </c>
    </row>
    <row r="46" spans="1:8" ht="45.6" customHeight="1" x14ac:dyDescent="0.3">
      <c r="A46" s="5" t="s">
        <v>117</v>
      </c>
      <c r="B46" s="5" t="s">
        <v>118</v>
      </c>
      <c r="C46" s="5" t="s">
        <v>14</v>
      </c>
      <c r="D46" s="5">
        <v>1</v>
      </c>
      <c r="E46" s="6">
        <v>69000</v>
      </c>
      <c r="F46" s="7">
        <f t="shared" si="2"/>
        <v>69000</v>
      </c>
      <c r="G46" s="5" t="s">
        <v>15</v>
      </c>
      <c r="H46" s="5" t="s">
        <v>119</v>
      </c>
    </row>
    <row r="47" spans="1:8" ht="57" customHeight="1" x14ac:dyDescent="0.3">
      <c r="A47" s="5" t="s">
        <v>120</v>
      </c>
      <c r="B47" s="5" t="s">
        <v>121</v>
      </c>
      <c r="C47" s="5" t="s">
        <v>14</v>
      </c>
      <c r="D47" s="5">
        <v>1</v>
      </c>
      <c r="E47" s="6">
        <v>98000</v>
      </c>
      <c r="F47" s="7">
        <f t="shared" si="2"/>
        <v>98000</v>
      </c>
      <c r="G47" s="5" t="s">
        <v>15</v>
      </c>
      <c r="H47" s="5" t="s">
        <v>122</v>
      </c>
    </row>
    <row r="48" spans="1:8" ht="22.8" customHeight="1" x14ac:dyDescent="0.3">
      <c r="A48" s="5" t="s">
        <v>123</v>
      </c>
      <c r="B48" s="5" t="s">
        <v>124</v>
      </c>
      <c r="C48" s="5" t="s">
        <v>14</v>
      </c>
      <c r="D48" s="5">
        <v>1</v>
      </c>
      <c r="E48" s="6">
        <v>7000</v>
      </c>
      <c r="F48" s="7">
        <f t="shared" si="2"/>
        <v>7000</v>
      </c>
      <c r="G48" s="5" t="s">
        <v>15</v>
      </c>
      <c r="H48" s="5" t="s">
        <v>125</v>
      </c>
    </row>
    <row r="49" spans="1:8" ht="22.8" customHeight="1" x14ac:dyDescent="0.3">
      <c r="A49" s="5" t="s">
        <v>126</v>
      </c>
      <c r="B49" s="5" t="s">
        <v>127</v>
      </c>
      <c r="C49" s="5" t="s">
        <v>14</v>
      </c>
      <c r="D49" s="5">
        <v>1</v>
      </c>
      <c r="E49" s="6">
        <v>18000</v>
      </c>
      <c r="F49" s="7">
        <f t="shared" si="2"/>
        <v>18000</v>
      </c>
      <c r="G49" s="5" t="s">
        <v>15</v>
      </c>
      <c r="H49" s="5" t="s">
        <v>128</v>
      </c>
    </row>
    <row r="50" spans="1:8" x14ac:dyDescent="0.3">
      <c r="A50" s="8"/>
      <c r="B50" s="8" t="s">
        <v>129</v>
      </c>
      <c r="C50" s="8"/>
      <c r="D50" s="8"/>
      <c r="E50" s="8"/>
      <c r="F50" s="9">
        <f>SUM(F44:F49)</f>
        <v>288500</v>
      </c>
      <c r="G50" s="8"/>
      <c r="H50" s="8"/>
    </row>
    <row r="51" spans="1:8" x14ac:dyDescent="0.3">
      <c r="A51" s="18" t="s">
        <v>130</v>
      </c>
      <c r="B51" s="19"/>
      <c r="C51" s="19"/>
      <c r="D51" s="19"/>
      <c r="E51" s="19"/>
      <c r="F51" s="19"/>
      <c r="G51" s="19"/>
      <c r="H51" s="20"/>
    </row>
    <row r="52" spans="1:8" ht="22.8" customHeight="1" x14ac:dyDescent="0.3">
      <c r="A52" s="5" t="s">
        <v>131</v>
      </c>
      <c r="B52" s="5" t="s">
        <v>132</v>
      </c>
      <c r="C52" s="5" t="s">
        <v>14</v>
      </c>
      <c r="D52" s="5">
        <v>1</v>
      </c>
      <c r="E52" s="6">
        <v>145000</v>
      </c>
      <c r="F52" s="7">
        <f>D52*E52</f>
        <v>145000</v>
      </c>
      <c r="G52" s="5" t="s">
        <v>15</v>
      </c>
      <c r="H52" s="5" t="s">
        <v>133</v>
      </c>
    </row>
    <row r="53" spans="1:8" ht="22.8" customHeight="1" x14ac:dyDescent="0.3">
      <c r="A53" s="5" t="s">
        <v>134</v>
      </c>
      <c r="B53" s="5" t="s">
        <v>135</v>
      </c>
      <c r="C53" s="5" t="s">
        <v>14</v>
      </c>
      <c r="D53" s="5">
        <v>1</v>
      </c>
      <c r="E53" s="6">
        <v>3500</v>
      </c>
      <c r="F53" s="7">
        <f>D53*E53</f>
        <v>3500</v>
      </c>
      <c r="G53" s="5" t="s">
        <v>15</v>
      </c>
      <c r="H53" s="5" t="s">
        <v>136</v>
      </c>
    </row>
    <row r="54" spans="1:8" x14ac:dyDescent="0.3">
      <c r="A54" s="8"/>
      <c r="B54" s="8" t="s">
        <v>137</v>
      </c>
      <c r="C54" s="8"/>
      <c r="D54" s="8"/>
      <c r="E54" s="8"/>
      <c r="F54" s="9">
        <f>SUM(F52:F53)</f>
        <v>148500</v>
      </c>
      <c r="G54" s="8"/>
      <c r="H54" s="8"/>
    </row>
    <row r="55" spans="1:8" x14ac:dyDescent="0.3">
      <c r="A55" s="18" t="s">
        <v>138</v>
      </c>
      <c r="B55" s="19"/>
      <c r="C55" s="19"/>
      <c r="D55" s="19"/>
      <c r="E55" s="19"/>
      <c r="F55" s="19"/>
      <c r="G55" s="19"/>
      <c r="H55" s="20"/>
    </row>
    <row r="56" spans="1:8" ht="22.8" customHeight="1" x14ac:dyDescent="0.3">
      <c r="A56" s="5" t="s">
        <v>139</v>
      </c>
      <c r="B56" s="5" t="s">
        <v>140</v>
      </c>
      <c r="C56" s="5" t="s">
        <v>14</v>
      </c>
      <c r="D56" s="5">
        <v>1</v>
      </c>
      <c r="E56" s="6">
        <v>26500</v>
      </c>
      <c r="F56" s="7">
        <f t="shared" ref="F56:F66" si="3">D56*E56</f>
        <v>26500</v>
      </c>
      <c r="G56" s="5" t="s">
        <v>141</v>
      </c>
      <c r="H56" s="5" t="s">
        <v>142</v>
      </c>
    </row>
    <row r="57" spans="1:8" ht="22.8" customHeight="1" x14ac:dyDescent="0.3">
      <c r="A57" s="5" t="s">
        <v>143</v>
      </c>
      <c r="B57" s="5" t="s">
        <v>144</v>
      </c>
      <c r="C57" s="5" t="s">
        <v>14</v>
      </c>
      <c r="D57" s="5">
        <v>1</v>
      </c>
      <c r="E57" s="6">
        <v>8000</v>
      </c>
      <c r="F57" s="7">
        <f t="shared" si="3"/>
        <v>8000</v>
      </c>
      <c r="G57" s="5" t="s">
        <v>141</v>
      </c>
      <c r="H57" s="5" t="s">
        <v>145</v>
      </c>
    </row>
    <row r="58" spans="1:8" ht="22.8" customHeight="1" x14ac:dyDescent="0.3">
      <c r="A58" s="5" t="s">
        <v>146</v>
      </c>
      <c r="B58" s="5" t="s">
        <v>147</v>
      </c>
      <c r="C58" s="5" t="s">
        <v>14</v>
      </c>
      <c r="D58" s="5">
        <v>1</v>
      </c>
      <c r="E58" s="6">
        <v>8250</v>
      </c>
      <c r="F58" s="7">
        <f t="shared" si="3"/>
        <v>8250</v>
      </c>
      <c r="G58" s="5" t="s">
        <v>141</v>
      </c>
      <c r="H58" s="5" t="s">
        <v>148</v>
      </c>
    </row>
    <row r="59" spans="1:8" ht="34.200000000000003" customHeight="1" x14ac:dyDescent="0.3">
      <c r="A59" s="5" t="s">
        <v>149</v>
      </c>
      <c r="B59" s="5" t="s">
        <v>150</v>
      </c>
      <c r="C59" s="5" t="s">
        <v>14</v>
      </c>
      <c r="D59" s="5">
        <v>1</v>
      </c>
      <c r="E59" s="6">
        <v>13000</v>
      </c>
      <c r="F59" s="7">
        <f t="shared" si="3"/>
        <v>13000</v>
      </c>
      <c r="G59" s="5" t="s">
        <v>141</v>
      </c>
      <c r="H59" s="5" t="s">
        <v>151</v>
      </c>
    </row>
    <row r="60" spans="1:8" ht="22.8" customHeight="1" x14ac:dyDescent="0.3">
      <c r="A60" s="5" t="s">
        <v>152</v>
      </c>
      <c r="B60" s="5" t="s">
        <v>153</v>
      </c>
      <c r="C60" s="5" t="s">
        <v>14</v>
      </c>
      <c r="D60" s="5">
        <v>1</v>
      </c>
      <c r="E60" s="6">
        <v>17000</v>
      </c>
      <c r="F60" s="7">
        <f t="shared" si="3"/>
        <v>17000</v>
      </c>
      <c r="G60" s="5" t="s">
        <v>141</v>
      </c>
      <c r="H60" s="5" t="s">
        <v>154</v>
      </c>
    </row>
    <row r="61" spans="1:8" ht="22.8" customHeight="1" x14ac:dyDescent="0.3">
      <c r="A61" s="5" t="s">
        <v>155</v>
      </c>
      <c r="B61" s="5" t="s">
        <v>156</v>
      </c>
      <c r="C61" s="5" t="s">
        <v>14</v>
      </c>
      <c r="D61" s="5">
        <v>1</v>
      </c>
      <c r="E61" s="6">
        <v>115500</v>
      </c>
      <c r="F61" s="7">
        <f t="shared" si="3"/>
        <v>115500</v>
      </c>
      <c r="G61" s="5" t="s">
        <v>141</v>
      </c>
      <c r="H61" s="5" t="s">
        <v>157</v>
      </c>
    </row>
    <row r="62" spans="1:8" ht="22.8" customHeight="1" x14ac:dyDescent="0.3">
      <c r="A62" s="5" t="s">
        <v>158</v>
      </c>
      <c r="B62" s="5" t="s">
        <v>159</v>
      </c>
      <c r="C62" s="5" t="s">
        <v>14</v>
      </c>
      <c r="D62" s="5">
        <v>1</v>
      </c>
      <c r="E62" s="6">
        <v>7000</v>
      </c>
      <c r="F62" s="7">
        <f t="shared" si="3"/>
        <v>7000</v>
      </c>
      <c r="G62" s="5" t="s">
        <v>15</v>
      </c>
      <c r="H62" s="5" t="s">
        <v>160</v>
      </c>
    </row>
    <row r="63" spans="1:8" ht="22.8" customHeight="1" x14ac:dyDescent="0.3">
      <c r="A63" s="5" t="s">
        <v>161</v>
      </c>
      <c r="B63" s="5" t="s">
        <v>162</v>
      </c>
      <c r="C63" s="5" t="s">
        <v>14</v>
      </c>
      <c r="D63" s="5">
        <v>1</v>
      </c>
      <c r="E63" s="6">
        <v>2700</v>
      </c>
      <c r="F63" s="7">
        <f t="shared" si="3"/>
        <v>2700</v>
      </c>
      <c r="G63" s="5" t="s">
        <v>15</v>
      </c>
      <c r="H63" s="5" t="s">
        <v>163</v>
      </c>
    </row>
    <row r="64" spans="1:8" ht="22.8" customHeight="1" x14ac:dyDescent="0.3">
      <c r="A64" s="5" t="s">
        <v>164</v>
      </c>
      <c r="B64" s="5" t="s">
        <v>165</v>
      </c>
      <c r="C64" s="5" t="s">
        <v>14</v>
      </c>
      <c r="D64" s="5">
        <v>1</v>
      </c>
      <c r="E64" s="6">
        <v>4500</v>
      </c>
      <c r="F64" s="7">
        <f t="shared" si="3"/>
        <v>4500</v>
      </c>
      <c r="G64" s="5" t="s">
        <v>15</v>
      </c>
      <c r="H64" s="5" t="s">
        <v>166</v>
      </c>
    </row>
    <row r="65" spans="1:8" ht="22.8" customHeight="1" x14ac:dyDescent="0.3">
      <c r="A65" s="5" t="s">
        <v>167</v>
      </c>
      <c r="B65" s="5" t="s">
        <v>168</v>
      </c>
      <c r="C65" s="5" t="s">
        <v>14</v>
      </c>
      <c r="D65" s="5">
        <v>1</v>
      </c>
      <c r="E65" s="6">
        <v>3500</v>
      </c>
      <c r="F65" s="7">
        <f t="shared" si="3"/>
        <v>3500</v>
      </c>
      <c r="G65" s="5" t="s">
        <v>15</v>
      </c>
      <c r="H65" s="5" t="s">
        <v>169</v>
      </c>
    </row>
    <row r="66" spans="1:8" ht="22.8" customHeight="1" x14ac:dyDescent="0.3">
      <c r="A66" s="5" t="s">
        <v>170</v>
      </c>
      <c r="B66" s="5" t="s">
        <v>171</v>
      </c>
      <c r="C66" s="5" t="s">
        <v>14</v>
      </c>
      <c r="D66" s="5">
        <v>1</v>
      </c>
      <c r="E66" s="6">
        <v>5000</v>
      </c>
      <c r="F66" s="7">
        <f t="shared" si="3"/>
        <v>5000</v>
      </c>
      <c r="G66" s="5" t="s">
        <v>15</v>
      </c>
      <c r="H66" s="5" t="s">
        <v>172</v>
      </c>
    </row>
    <row r="67" spans="1:8" x14ac:dyDescent="0.3">
      <c r="A67" s="8"/>
      <c r="B67" s="8" t="s">
        <v>173</v>
      </c>
      <c r="C67" s="8"/>
      <c r="D67" s="8"/>
      <c r="E67" s="8"/>
      <c r="F67" s="9">
        <f>SUM(F56:F66)</f>
        <v>210950</v>
      </c>
      <c r="G67" s="8"/>
      <c r="H67" s="8"/>
    </row>
    <row r="68" spans="1:8" x14ac:dyDescent="0.3">
      <c r="A68" s="18" t="s">
        <v>174</v>
      </c>
      <c r="B68" s="19"/>
      <c r="C68" s="19"/>
      <c r="D68" s="19"/>
      <c r="E68" s="19"/>
      <c r="F68" s="19"/>
      <c r="G68" s="19"/>
      <c r="H68" s="20"/>
    </row>
    <row r="69" spans="1:8" ht="22.8" customHeight="1" x14ac:dyDescent="0.3">
      <c r="A69" s="5" t="s">
        <v>175</v>
      </c>
      <c r="B69" s="5" t="s">
        <v>176</v>
      </c>
      <c r="C69" s="5" t="s">
        <v>14</v>
      </c>
      <c r="D69" s="5">
        <v>1</v>
      </c>
      <c r="E69" s="6">
        <v>4800</v>
      </c>
      <c r="F69" s="7">
        <f>D69*E69</f>
        <v>4800</v>
      </c>
      <c r="G69" s="5" t="s">
        <v>15</v>
      </c>
      <c r="H69" s="5" t="s">
        <v>177</v>
      </c>
    </row>
    <row r="70" spans="1:8" ht="22.8" customHeight="1" x14ac:dyDescent="0.3">
      <c r="A70" s="5" t="s">
        <v>178</v>
      </c>
      <c r="B70" s="5" t="s">
        <v>179</v>
      </c>
      <c r="C70" s="5" t="s">
        <v>14</v>
      </c>
      <c r="D70" s="5">
        <v>1</v>
      </c>
      <c r="E70" s="6">
        <v>9000</v>
      </c>
      <c r="F70" s="7">
        <f>D70*E70</f>
        <v>9000</v>
      </c>
      <c r="G70" s="5" t="s">
        <v>15</v>
      </c>
      <c r="H70" s="5" t="s">
        <v>180</v>
      </c>
    </row>
    <row r="71" spans="1:8" ht="22.8" customHeight="1" x14ac:dyDescent="0.3">
      <c r="A71" s="5" t="s">
        <v>181</v>
      </c>
      <c r="B71" s="5" t="s">
        <v>182</v>
      </c>
      <c r="C71" s="5" t="s">
        <v>14</v>
      </c>
      <c r="D71" s="5">
        <v>1</v>
      </c>
      <c r="E71" s="6">
        <v>7500</v>
      </c>
      <c r="F71" s="7">
        <f>D71*E71</f>
        <v>7500</v>
      </c>
      <c r="G71" s="5" t="s">
        <v>15</v>
      </c>
      <c r="H71" s="5"/>
    </row>
    <row r="72" spans="1:8" x14ac:dyDescent="0.3">
      <c r="A72" s="8"/>
      <c r="B72" s="8" t="s">
        <v>183</v>
      </c>
      <c r="C72" s="8"/>
      <c r="D72" s="8"/>
      <c r="E72" s="8"/>
      <c r="F72" s="9">
        <f>SUM(F69:F71)</f>
        <v>21300</v>
      </c>
      <c r="G72" s="8"/>
      <c r="H72" s="8"/>
    </row>
    <row r="74" spans="1:8" x14ac:dyDescent="0.3">
      <c r="A74" s="21" t="s">
        <v>184</v>
      </c>
      <c r="B74" s="19"/>
      <c r="C74" s="19"/>
      <c r="D74" s="19"/>
      <c r="E74" s="19"/>
      <c r="F74" s="19"/>
      <c r="G74" s="19"/>
      <c r="H74" s="20"/>
    </row>
    <row r="75" spans="1:8" x14ac:dyDescent="0.3">
      <c r="A75" s="10"/>
      <c r="B75" s="10" t="s">
        <v>185</v>
      </c>
      <c r="C75" s="10"/>
      <c r="D75" s="10"/>
      <c r="E75" s="10"/>
      <c r="F75" s="11">
        <f>F11</f>
        <v>81650</v>
      </c>
      <c r="G75" s="10"/>
      <c r="H75" s="10"/>
    </row>
    <row r="76" spans="1:8" x14ac:dyDescent="0.3">
      <c r="A76" s="10"/>
      <c r="B76" s="10" t="s">
        <v>186</v>
      </c>
      <c r="C76" s="10"/>
      <c r="D76" s="10"/>
      <c r="E76" s="10"/>
      <c r="F76" s="11">
        <f>F17</f>
        <v>90015</v>
      </c>
      <c r="G76" s="10"/>
      <c r="H76" s="10"/>
    </row>
    <row r="77" spans="1:8" x14ac:dyDescent="0.3">
      <c r="A77" s="10"/>
      <c r="B77" s="10" t="s">
        <v>187</v>
      </c>
      <c r="C77" s="10"/>
      <c r="D77" s="10"/>
      <c r="E77" s="10"/>
      <c r="F77" s="11">
        <f>F27</f>
        <v>318050</v>
      </c>
      <c r="G77" s="10"/>
      <c r="H77" s="10"/>
    </row>
    <row r="78" spans="1:8" x14ac:dyDescent="0.3">
      <c r="A78" s="10"/>
      <c r="B78" s="10" t="s">
        <v>188</v>
      </c>
      <c r="C78" s="10"/>
      <c r="D78" s="10"/>
      <c r="E78" s="10"/>
      <c r="F78" s="11">
        <f>F35</f>
        <v>213885</v>
      </c>
      <c r="G78" s="10"/>
      <c r="H78" s="10"/>
    </row>
    <row r="79" spans="1:8" x14ac:dyDescent="0.3">
      <c r="A79" s="10"/>
      <c r="B79" s="10" t="s">
        <v>189</v>
      </c>
      <c r="C79" s="10"/>
      <c r="D79" s="10"/>
      <c r="E79" s="10"/>
      <c r="F79" s="11">
        <f>F42</f>
        <v>220500</v>
      </c>
      <c r="G79" s="10"/>
      <c r="H79" s="10"/>
    </row>
    <row r="80" spans="1:8" x14ac:dyDescent="0.3">
      <c r="A80" s="10"/>
      <c r="B80" s="10" t="s">
        <v>190</v>
      </c>
      <c r="C80" s="10"/>
      <c r="D80" s="10"/>
      <c r="E80" s="10"/>
      <c r="F80" s="11">
        <f>F50</f>
        <v>288500</v>
      </c>
      <c r="G80" s="10"/>
      <c r="H80" s="10"/>
    </row>
    <row r="81" spans="1:8" x14ac:dyDescent="0.3">
      <c r="A81" s="10"/>
      <c r="B81" s="10" t="s">
        <v>191</v>
      </c>
      <c r="C81" s="10"/>
      <c r="D81" s="10"/>
      <c r="E81" s="10"/>
      <c r="F81" s="11">
        <f>F54</f>
        <v>148500</v>
      </c>
      <c r="G81" s="10"/>
      <c r="H81" s="10"/>
    </row>
    <row r="82" spans="1:8" x14ac:dyDescent="0.3">
      <c r="A82" s="10"/>
      <c r="B82" s="10" t="s">
        <v>192</v>
      </c>
      <c r="C82" s="10"/>
      <c r="D82" s="10"/>
      <c r="E82" s="10"/>
      <c r="F82" s="11">
        <f>F67</f>
        <v>210950</v>
      </c>
      <c r="G82" s="10"/>
      <c r="H82" s="10"/>
    </row>
    <row r="83" spans="1:8" x14ac:dyDescent="0.3">
      <c r="A83" s="10"/>
      <c r="B83" s="10" t="s">
        <v>193</v>
      </c>
      <c r="C83" s="10"/>
      <c r="D83" s="10"/>
      <c r="E83" s="10"/>
      <c r="F83" s="11">
        <f>F72</f>
        <v>21300</v>
      </c>
      <c r="G83" s="10"/>
      <c r="H83" s="10"/>
    </row>
    <row r="84" spans="1:8" x14ac:dyDescent="0.3">
      <c r="A84" s="8"/>
      <c r="B84" s="8" t="s">
        <v>194</v>
      </c>
      <c r="C84" s="8"/>
      <c r="D84" s="8"/>
      <c r="E84" s="8"/>
      <c r="F84" s="9">
        <f>SUM(F75:F83)</f>
        <v>1593350</v>
      </c>
      <c r="G84" s="8"/>
      <c r="H84" s="8"/>
    </row>
    <row r="85" spans="1:8" x14ac:dyDescent="0.3">
      <c r="A85" s="10"/>
      <c r="B85" s="10" t="s">
        <v>195</v>
      </c>
      <c r="C85" s="10"/>
      <c r="D85" s="10"/>
      <c r="E85" s="10"/>
      <c r="F85" s="11">
        <f>0.1*(F11+F17+F27+F35+F42+F50+F54)</f>
        <v>136110</v>
      </c>
      <c r="G85" s="10"/>
      <c r="H85" s="10"/>
    </row>
    <row r="86" spans="1:8" x14ac:dyDescent="0.3">
      <c r="A86" s="12"/>
      <c r="B86" s="12" t="s">
        <v>196</v>
      </c>
      <c r="C86" s="12"/>
      <c r="D86" s="12"/>
      <c r="E86" s="12"/>
      <c r="F86" s="13">
        <f>F84+F85</f>
        <v>1729460</v>
      </c>
      <c r="G86" s="12"/>
      <c r="H86" s="12"/>
    </row>
    <row r="87" spans="1:8" x14ac:dyDescent="0.3">
      <c r="A87" s="10"/>
      <c r="B87" s="10" t="s">
        <v>197</v>
      </c>
      <c r="C87" s="10"/>
      <c r="D87" s="10"/>
      <c r="E87" s="10"/>
      <c r="F87" s="11">
        <f>F86*0.2</f>
        <v>345892</v>
      </c>
      <c r="G87" s="10"/>
      <c r="H87" s="10"/>
    </row>
    <row r="88" spans="1:8" x14ac:dyDescent="0.3">
      <c r="A88" s="12"/>
      <c r="B88" s="12" t="s">
        <v>198</v>
      </c>
      <c r="C88" s="12"/>
      <c r="D88" s="12"/>
      <c r="E88" s="12"/>
      <c r="F88" s="13">
        <f>F86*1.2</f>
        <v>2075352</v>
      </c>
      <c r="G88" s="12"/>
      <c r="H88" s="12"/>
    </row>
    <row r="90" spans="1:8" ht="34.200000000000003" customHeight="1" x14ac:dyDescent="0.3">
      <c r="A90" s="5"/>
      <c r="B90" s="5" t="s">
        <v>199</v>
      </c>
      <c r="C90" s="5"/>
      <c r="D90" s="5"/>
      <c r="E90" s="5"/>
      <c r="F90" s="7">
        <f>100000+609.22*1500+233.53*4500</f>
        <v>2064715</v>
      </c>
      <c r="G90" s="5"/>
      <c r="H90" s="5"/>
    </row>
    <row r="91" spans="1:8" ht="22.8" customHeight="1" x14ac:dyDescent="0.3">
      <c r="A91" s="5"/>
      <c r="B91" s="5" t="s">
        <v>200</v>
      </c>
      <c r="C91" s="5"/>
      <c r="D91" s="5"/>
      <c r="E91" s="5"/>
      <c r="F91" s="7">
        <f>F11+F17+F27+F35+F42+F50+F54+F85</f>
        <v>1497210</v>
      </c>
      <c r="G91" s="5"/>
      <c r="H91" s="5"/>
    </row>
  </sheetData>
  <mergeCells count="10">
    <mergeCell ref="A68:H68"/>
    <mergeCell ref="A36:H36"/>
    <mergeCell ref="A6:H6"/>
    <mergeCell ref="A74:H74"/>
    <mergeCell ref="A12:H12"/>
    <mergeCell ref="A18:H18"/>
    <mergeCell ref="A55:H55"/>
    <mergeCell ref="A43:H43"/>
    <mergeCell ref="A51:H51"/>
    <mergeCell ref="A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cols>
    <col min="1" max="1" width="55" customWidth="1"/>
    <col min="2" max="2" width="20" customWidth="1"/>
    <col min="3" max="3" width="16" customWidth="1"/>
  </cols>
  <sheetData>
    <row r="1" spans="1:3" x14ac:dyDescent="0.3">
      <c r="A1" s="14" t="s">
        <v>201</v>
      </c>
    </row>
    <row r="3" spans="1:3" x14ac:dyDescent="0.3">
      <c r="A3" t="s">
        <v>202</v>
      </c>
      <c r="B3" s="15">
        <v>4.9800000000000004</v>
      </c>
      <c r="C3" t="s">
        <v>203</v>
      </c>
    </row>
    <row r="5" spans="1:3" ht="26.4" customHeight="1" x14ac:dyDescent="0.3">
      <c r="A5" s="4" t="s">
        <v>204</v>
      </c>
      <c r="B5" s="4" t="s">
        <v>205</v>
      </c>
      <c r="C5" s="4" t="s">
        <v>206</v>
      </c>
    </row>
    <row r="6" spans="1:3" x14ac:dyDescent="0.3">
      <c r="A6" s="10" t="s">
        <v>207</v>
      </c>
      <c r="B6" s="11">
        <v>5800</v>
      </c>
      <c r="C6" s="11">
        <f t="shared" ref="C6:C19" si="0">B6/$B$3</f>
        <v>1164.6586345381525</v>
      </c>
    </row>
    <row r="7" spans="1:3" x14ac:dyDescent="0.3">
      <c r="A7" s="10" t="s">
        <v>208</v>
      </c>
      <c r="B7" s="11">
        <v>46804.54</v>
      </c>
      <c r="C7" s="11">
        <f t="shared" si="0"/>
        <v>9398.5020080321283</v>
      </c>
    </row>
    <row r="8" spans="1:3" x14ac:dyDescent="0.3">
      <c r="A8" s="10" t="s">
        <v>209</v>
      </c>
      <c r="B8" s="11">
        <v>11956</v>
      </c>
      <c r="C8" s="11">
        <f t="shared" si="0"/>
        <v>2400.8032128514055</v>
      </c>
    </row>
    <row r="9" spans="1:3" x14ac:dyDescent="0.3">
      <c r="A9" s="10" t="s">
        <v>210</v>
      </c>
      <c r="B9" s="11">
        <v>74060.17</v>
      </c>
      <c r="C9" s="11">
        <f t="shared" si="0"/>
        <v>14871.520080321283</v>
      </c>
    </row>
    <row r="10" spans="1:3" x14ac:dyDescent="0.3">
      <c r="A10" s="10" t="s">
        <v>211</v>
      </c>
      <c r="B10" s="11">
        <v>9870</v>
      </c>
      <c r="C10" s="11">
        <f t="shared" si="0"/>
        <v>1981.9277108433732</v>
      </c>
    </row>
    <row r="11" spans="1:3" x14ac:dyDescent="0.3">
      <c r="A11" s="10" t="s">
        <v>212</v>
      </c>
      <c r="B11" s="11">
        <v>2538.15</v>
      </c>
      <c r="C11" s="11">
        <f t="shared" si="0"/>
        <v>509.66867469879514</v>
      </c>
    </row>
    <row r="12" spans="1:3" x14ac:dyDescent="0.3">
      <c r="A12" s="10" t="s">
        <v>213</v>
      </c>
      <c r="B12" s="11">
        <v>82843.850000000006</v>
      </c>
      <c r="C12" s="11">
        <f t="shared" si="0"/>
        <v>16635.311244979919</v>
      </c>
    </row>
    <row r="13" spans="1:3" x14ac:dyDescent="0.3">
      <c r="A13" s="10" t="s">
        <v>214</v>
      </c>
      <c r="B13" s="11">
        <v>180398.62</v>
      </c>
      <c r="C13" s="11">
        <f t="shared" si="0"/>
        <v>36224.622489959838</v>
      </c>
    </row>
    <row r="14" spans="1:3" x14ac:dyDescent="0.3">
      <c r="A14" s="10" t="s">
        <v>215</v>
      </c>
      <c r="B14" s="11">
        <v>140428.16</v>
      </c>
      <c r="C14" s="11">
        <f t="shared" si="0"/>
        <v>28198.425702811244</v>
      </c>
    </row>
    <row r="15" spans="1:3" x14ac:dyDescent="0.3">
      <c r="A15" s="10" t="s">
        <v>216</v>
      </c>
      <c r="B15" s="11">
        <v>36502.949999999997</v>
      </c>
      <c r="C15" s="11">
        <f t="shared" si="0"/>
        <v>7329.9096385542152</v>
      </c>
    </row>
    <row r="16" spans="1:3" x14ac:dyDescent="0.3">
      <c r="A16" s="10" t="s">
        <v>217</v>
      </c>
      <c r="B16" s="11">
        <v>149460.9</v>
      </c>
      <c r="C16" s="11">
        <f t="shared" si="0"/>
        <v>30012.228915662647</v>
      </c>
    </row>
    <row r="17" spans="1:3" x14ac:dyDescent="0.3">
      <c r="A17" s="10" t="s">
        <v>218</v>
      </c>
      <c r="B17" s="11">
        <v>51324</v>
      </c>
      <c r="C17" s="11">
        <f t="shared" si="0"/>
        <v>10306.024096385541</v>
      </c>
    </row>
    <row r="18" spans="1:3" x14ac:dyDescent="0.3">
      <c r="A18" s="10" t="s">
        <v>219</v>
      </c>
      <c r="B18" s="11">
        <v>76227</v>
      </c>
      <c r="C18" s="11">
        <f t="shared" si="0"/>
        <v>15306.626506024095</v>
      </c>
    </row>
    <row r="19" spans="1:3" x14ac:dyDescent="0.3">
      <c r="A19" s="12" t="s">
        <v>220</v>
      </c>
      <c r="B19" s="13">
        <f>SUM(B6:B18)</f>
        <v>868214.34</v>
      </c>
      <c r="C19" s="13">
        <f t="shared" si="0"/>
        <v>174340.22891566262</v>
      </c>
    </row>
    <row r="21" spans="1:3" x14ac:dyDescent="0.3">
      <c r="A21" s="2" t="s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4.4" x14ac:dyDescent="0.3"/>
  <cols>
    <col min="1" max="1" width="30" customWidth="1"/>
    <col min="2" max="2" width="105" customWidth="1"/>
  </cols>
  <sheetData>
    <row r="1" spans="1:2" ht="22.8" customHeight="1" x14ac:dyDescent="0.3">
      <c r="A1" s="16" t="s">
        <v>222</v>
      </c>
      <c r="B1" s="17" t="s">
        <v>223</v>
      </c>
    </row>
    <row r="3" spans="1:2" ht="22.8" customHeight="1" x14ac:dyDescent="0.3">
      <c r="A3" s="16" t="s">
        <v>224</v>
      </c>
      <c r="B3" s="17" t="s">
        <v>225</v>
      </c>
    </row>
    <row r="5" spans="1:2" ht="22.8" customHeight="1" x14ac:dyDescent="0.3">
      <c r="A5" s="16" t="s">
        <v>226</v>
      </c>
      <c r="B5" s="17" t="s">
        <v>227</v>
      </c>
    </row>
    <row r="7" spans="1:2" ht="22.8" customHeight="1" x14ac:dyDescent="0.3">
      <c r="A7" s="16" t="s">
        <v>228</v>
      </c>
      <c r="B7" s="17" t="s">
        <v>229</v>
      </c>
    </row>
    <row r="9" spans="1:2" ht="22.8" customHeight="1" x14ac:dyDescent="0.3">
      <c r="A9" s="16" t="s">
        <v>230</v>
      </c>
      <c r="B9" s="17" t="s">
        <v>231</v>
      </c>
    </row>
    <row r="11" spans="1:2" ht="22.8" customHeight="1" x14ac:dyDescent="0.3">
      <c r="A11" s="16" t="s">
        <v>232</v>
      </c>
      <c r="B11" s="17" t="s">
        <v>233</v>
      </c>
    </row>
    <row r="13" spans="1:2" ht="22.8" customHeight="1" x14ac:dyDescent="0.3">
      <c r="A13" s="16" t="s">
        <v>234</v>
      </c>
      <c r="B13" s="17" t="s">
        <v>235</v>
      </c>
    </row>
    <row r="15" spans="1:2" ht="34.200000000000003" customHeight="1" x14ac:dyDescent="0.3">
      <c r="A15" s="16" t="s">
        <v>236</v>
      </c>
      <c r="B15" s="17" t="s">
        <v>237</v>
      </c>
    </row>
    <row r="17" spans="1:2" ht="22.8" customHeight="1" x14ac:dyDescent="0.3">
      <c r="A17" s="16" t="s">
        <v>238</v>
      </c>
      <c r="B17" s="17" t="s">
        <v>239</v>
      </c>
    </row>
    <row r="19" spans="1:2" ht="22.8" customHeight="1" x14ac:dyDescent="0.3">
      <c r="A19" s="16" t="s">
        <v>240</v>
      </c>
      <c r="B19" s="17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DEVIZ MAX</vt:lpstr>
      <vt:lpstr>MATERIALE DEDEMAN (ref)</vt:lpstr>
      <vt:lpstr>IPOTEZE SI SURSE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F2034</cp:lastModifiedBy>
  <dcterms:created xsi:type="dcterms:W3CDTF">2026-09-21T12:35:28Z</dcterms:created>
  <dcterms:modified xsi:type="dcterms:W3CDTF">2026-09-21T13:13:43Z</dcterms:modified>
</cp:coreProperties>
</file>