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. Downloads\Apartamente Viena\00. Cladire 1 Schallergasse 35, 1120 Wien (Meidling)\"/>
    </mc:Choice>
  </mc:AlternateContent>
  <xr:revisionPtr revIDLastSave="0" documentId="13_ncr:1_{DE2A8772-D737-4B66-AC0A-1A3D1CE8E60F}" xr6:coauthVersionLast="47" xr6:coauthVersionMax="47" xr10:uidLastSave="{00000000-0000-0000-0000-000000000000}"/>
  <bookViews>
    <workbookView xWindow="34290" yWindow="-110" windowWidth="34620" windowHeight="13900" xr2:uid="{068FDE34-5F60-44B8-B99A-EA0E2F31FBF8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29" i="1"/>
  <c r="F38" i="1"/>
  <c r="E38" i="1"/>
  <c r="E37" i="1"/>
  <c r="E36" i="1"/>
  <c r="E32" i="1"/>
  <c r="E31" i="1"/>
  <c r="E29" i="1"/>
  <c r="E28" i="1"/>
  <c r="Q19" i="1"/>
  <c r="Q23" i="1"/>
  <c r="O21" i="1"/>
  <c r="O23" i="1"/>
  <c r="M23" i="1"/>
  <c r="L20" i="1"/>
  <c r="L21" i="1"/>
  <c r="L22" i="1"/>
  <c r="L23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12" i="1"/>
  <c r="L14" i="1"/>
  <c r="L15" i="1"/>
  <c r="L16" i="1"/>
  <c r="L17" i="1"/>
  <c r="L18" i="1"/>
  <c r="L19" i="1"/>
  <c r="L12" i="1"/>
  <c r="I13" i="1"/>
  <c r="L13" i="1" s="1"/>
  <c r="I12" i="1"/>
  <c r="C29" i="1"/>
  <c r="C26" i="1"/>
  <c r="C22" i="1"/>
  <c r="C28" i="1" s="1"/>
  <c r="C19" i="1"/>
  <c r="C16" i="1"/>
  <c r="C13" i="1"/>
  <c r="Q21" i="1" l="1"/>
  <c r="C30" i="1"/>
  <c r="M19" i="1"/>
  <c r="O19" i="1" s="1"/>
</calcChain>
</file>

<file path=xl/sharedStrings.xml><?xml version="1.0" encoding="utf-8"?>
<sst xmlns="http://schemas.openxmlformats.org/spreadsheetml/2006/main" count="2" uniqueCount="1">
  <si>
    <t>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</si>
</sst>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l_e_i_-;\-* #,##0.00\ _l_e_i_-;_-* &quot;-&quot;??\ _l_e_i_-;_-@_-"/>
  </numFmts>
  <fonts count="2" x14ac:knownFonts="1">
    <font>
      <sz val="14"/>
      <color theme="1"/>
      <name val="Times New Roman"/>
      <family val="2"/>
      <charset val="238"/>
    </font>
    <font>
      <sz val="14"/>
      <color theme="1"/>
      <name val="Times New Roman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64" fontId="0" fillId="0" borderId="0" xfId="0" applyNumberFormat="1"/>
  </cellXfs>
  <cellStyles count="2">
    <cellStyle name="Normal" xfId="0" builtinId="0"/>
    <cellStyle name="Virgulă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379818</xdr:colOff>
      <xdr:row>0</xdr:row>
      <xdr:rowOff>165101</xdr:rowOff>
    </xdr:from>
    <xdr:to>
      <xdr:col>28</xdr:col>
      <xdr:colOff>14120</xdr:colOff>
      <xdr:row>19</xdr:row>
      <xdr:rowOff>44451</xdr:rowOff>
    </xdr:to>
    <xdr:pic>
      <xdr:nvPicPr>
        <xdr:cNvPr id="2" name="Imagine 1">
          <a:extLst>
            <a:ext uri="{FF2B5EF4-FFF2-40B4-BE49-F238E27FC236}">
              <a16:creationId xmlns:a16="http://schemas.microsoft.com/office/drawing/2014/main" id="{A4101EDB-9C04-8DB7-595B-CDB79FC87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32568" y="165101"/>
          <a:ext cx="7762302" cy="4222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5FA0-9D6A-4B54-B1BE-342278BA2B13}">
  <dimension ref="A12:Q38"/>
  <sheetViews>
    <sheetView tabSelected="1" topLeftCell="A4" workbookViewId="0">
      <selection activeCell="H31" sqref="H31"/>
    </sheetView>
  </sheetViews>
  <sheetFormatPr defaultRowHeight="18" x14ac:dyDescent="0.4"/>
  <cols>
    <col min="13" max="13" width="12.5703125" bestFit="1" customWidth="1"/>
    <col min="15" max="15" width="13.78515625" customWidth="1"/>
    <col min="17" max="17" width="12.5703125" bestFit="1" customWidth="1"/>
  </cols>
  <sheetData>
    <row r="12" spans="1:12" x14ac:dyDescent="0.4">
      <c r="A12" t="s">
        <v>0</v>
      </c>
      <c r="B12">
        <v>61.09</v>
      </c>
      <c r="E12">
        <v>21.29</v>
      </c>
      <c r="F12">
        <f>B12+D12+E12</f>
        <v>82.38</v>
      </c>
      <c r="I12">
        <f>B12</f>
        <v>61.09</v>
      </c>
      <c r="K12">
        <v>21.29</v>
      </c>
      <c r="L12">
        <f>I12+J12+K12</f>
        <v>82.38</v>
      </c>
    </row>
    <row r="13" spans="1:12" x14ac:dyDescent="0.4">
      <c r="A13" t="s">
        <v>0</v>
      </c>
      <c r="B13">
        <v>32.869999999999997</v>
      </c>
      <c r="C13">
        <f>B12+B13</f>
        <v>93.960000000000008</v>
      </c>
      <c r="F13">
        <f t="shared" ref="F13:F26" si="0">B13+D13+E13</f>
        <v>32.869999999999997</v>
      </c>
      <c r="I13">
        <f>B13</f>
        <v>32.869999999999997</v>
      </c>
      <c r="L13">
        <f t="shared" ref="L13:L23" si="1">I13+J13+K13</f>
        <v>32.869999999999997</v>
      </c>
    </row>
    <row r="14" spans="1:12" x14ac:dyDescent="0.4">
      <c r="A14">
        <v>1</v>
      </c>
      <c r="B14">
        <v>54.74</v>
      </c>
      <c r="D14">
        <v>4.5999999999999996</v>
      </c>
      <c r="F14">
        <f t="shared" si="0"/>
        <v>59.34</v>
      </c>
      <c r="I14">
        <v>93.8</v>
      </c>
      <c r="J14">
        <v>4.5999999999999996</v>
      </c>
      <c r="L14">
        <f t="shared" si="1"/>
        <v>98.399999999999991</v>
      </c>
    </row>
    <row r="15" spans="1:12" x14ac:dyDescent="0.4">
      <c r="A15">
        <v>1</v>
      </c>
      <c r="B15">
        <v>34.5</v>
      </c>
      <c r="D15">
        <v>6.13</v>
      </c>
      <c r="F15">
        <f t="shared" si="0"/>
        <v>40.630000000000003</v>
      </c>
      <c r="I15">
        <v>63.96</v>
      </c>
      <c r="J15">
        <v>6.13</v>
      </c>
      <c r="L15">
        <f t="shared" si="1"/>
        <v>70.09</v>
      </c>
    </row>
    <row r="16" spans="1:12" x14ac:dyDescent="0.4">
      <c r="A16">
        <v>1</v>
      </c>
      <c r="B16">
        <v>63.07</v>
      </c>
      <c r="C16">
        <f>B14+B15+B16</f>
        <v>152.31</v>
      </c>
      <c r="F16">
        <f t="shared" si="0"/>
        <v>63.07</v>
      </c>
      <c r="I16">
        <v>97.96</v>
      </c>
      <c r="J16">
        <v>4.5999999999999996</v>
      </c>
      <c r="L16">
        <f t="shared" si="1"/>
        <v>102.55999999999999</v>
      </c>
    </row>
    <row r="17" spans="1:17" x14ac:dyDescent="0.4">
      <c r="A17">
        <v>2</v>
      </c>
      <c r="B17">
        <v>56.58</v>
      </c>
      <c r="D17">
        <v>4.5999999999999996</v>
      </c>
      <c r="F17">
        <f t="shared" si="0"/>
        <v>61.18</v>
      </c>
      <c r="I17">
        <v>65.959999999999994</v>
      </c>
      <c r="J17">
        <v>6.13</v>
      </c>
      <c r="L17">
        <f t="shared" si="1"/>
        <v>72.089999999999989</v>
      </c>
    </row>
    <row r="18" spans="1:17" x14ac:dyDescent="0.4">
      <c r="A18">
        <v>2</v>
      </c>
      <c r="B18">
        <v>36.130000000000003</v>
      </c>
      <c r="D18">
        <v>6.13</v>
      </c>
      <c r="F18">
        <f t="shared" si="0"/>
        <v>42.260000000000005</v>
      </c>
      <c r="I18">
        <v>97.96</v>
      </c>
      <c r="J18">
        <v>4.5999999999999996</v>
      </c>
      <c r="L18">
        <f t="shared" si="1"/>
        <v>102.55999999999999</v>
      </c>
    </row>
    <row r="19" spans="1:17" x14ac:dyDescent="0.4">
      <c r="A19">
        <v>2</v>
      </c>
      <c r="B19">
        <v>66.06</v>
      </c>
      <c r="C19">
        <f>B17+B18+B19</f>
        <v>158.77000000000001</v>
      </c>
      <c r="F19">
        <f t="shared" si="0"/>
        <v>66.06</v>
      </c>
      <c r="I19">
        <v>66.17</v>
      </c>
      <c r="J19">
        <v>6.13</v>
      </c>
      <c r="L19">
        <f t="shared" si="1"/>
        <v>72.3</v>
      </c>
      <c r="M19">
        <f>SUM(L12:L19)</f>
        <v>633.24999999999989</v>
      </c>
      <c r="N19">
        <v>4500</v>
      </c>
      <c r="O19" s="1">
        <f>N19*M19</f>
        <v>2849624.9999999995</v>
      </c>
      <c r="P19">
        <v>500</v>
      </c>
      <c r="Q19" s="1">
        <f>P19*M19</f>
        <v>316624.99999999994</v>
      </c>
    </row>
    <row r="20" spans="1:17" x14ac:dyDescent="0.4">
      <c r="A20">
        <v>3</v>
      </c>
      <c r="B20">
        <v>56.83</v>
      </c>
      <c r="D20">
        <v>4.5999999999999996</v>
      </c>
      <c r="F20">
        <f t="shared" si="0"/>
        <v>61.43</v>
      </c>
      <c r="I20">
        <v>54.11</v>
      </c>
      <c r="K20">
        <v>7.56</v>
      </c>
      <c r="L20">
        <f t="shared" si="1"/>
        <v>61.67</v>
      </c>
      <c r="O20" s="1">
        <v>1750000</v>
      </c>
      <c r="Q20" s="1"/>
    </row>
    <row r="21" spans="1:17" x14ac:dyDescent="0.4">
      <c r="A21">
        <v>3</v>
      </c>
      <c r="B21">
        <v>36.46</v>
      </c>
      <c r="D21">
        <v>6.13</v>
      </c>
      <c r="F21">
        <f t="shared" si="0"/>
        <v>42.59</v>
      </c>
      <c r="I21">
        <v>57.76</v>
      </c>
      <c r="K21">
        <v>12.37</v>
      </c>
      <c r="L21">
        <f t="shared" si="1"/>
        <v>70.13</v>
      </c>
      <c r="O21" s="1">
        <f>O19-O20</f>
        <v>1099624.9999999995</v>
      </c>
      <c r="Q21" s="1">
        <f>Q19+Q23</f>
        <v>994350</v>
      </c>
    </row>
    <row r="22" spans="1:17" x14ac:dyDescent="0.4">
      <c r="A22">
        <v>3</v>
      </c>
      <c r="B22">
        <v>66.16</v>
      </c>
      <c r="C22">
        <f>B20+B21+B22</f>
        <v>159.44999999999999</v>
      </c>
      <c r="E22">
        <v>7.56</v>
      </c>
      <c r="F22">
        <f t="shared" si="0"/>
        <v>73.72</v>
      </c>
      <c r="I22">
        <v>43.52</v>
      </c>
      <c r="J22">
        <v>4.5999999999999996</v>
      </c>
      <c r="L22">
        <f t="shared" si="1"/>
        <v>48.120000000000005</v>
      </c>
      <c r="Q22" s="1"/>
    </row>
    <row r="23" spans="1:17" x14ac:dyDescent="0.4">
      <c r="A23">
        <v>4</v>
      </c>
      <c r="B23">
        <v>54.11</v>
      </c>
      <c r="E23">
        <v>12.37</v>
      </c>
      <c r="F23">
        <f t="shared" si="0"/>
        <v>66.48</v>
      </c>
      <c r="I23">
        <v>78.64</v>
      </c>
      <c r="J23">
        <v>7.13</v>
      </c>
      <c r="K23">
        <v>5.4</v>
      </c>
      <c r="L23">
        <f t="shared" si="1"/>
        <v>91.17</v>
      </c>
      <c r="M23">
        <f>L20+L21+L22+L23</f>
        <v>271.09000000000003</v>
      </c>
      <c r="N23">
        <v>15</v>
      </c>
      <c r="O23" s="1">
        <f>N23*M23</f>
        <v>4066.3500000000004</v>
      </c>
      <c r="P23">
        <v>2500</v>
      </c>
      <c r="Q23" s="1">
        <f>P23*M23</f>
        <v>677725.00000000012</v>
      </c>
    </row>
    <row r="24" spans="1:17" x14ac:dyDescent="0.4">
      <c r="A24">
        <v>4</v>
      </c>
      <c r="B24">
        <v>57.76</v>
      </c>
      <c r="D24">
        <v>4.5999999999999996</v>
      </c>
      <c r="F24">
        <f t="shared" si="0"/>
        <v>62.36</v>
      </c>
      <c r="O24" s="2"/>
    </row>
    <row r="25" spans="1:17" x14ac:dyDescent="0.4">
      <c r="A25">
        <v>4</v>
      </c>
      <c r="B25">
        <v>43.52</v>
      </c>
      <c r="D25">
        <v>7.13</v>
      </c>
      <c r="E25">
        <v>5.4</v>
      </c>
      <c r="F25">
        <f t="shared" si="0"/>
        <v>56.050000000000004</v>
      </c>
    </row>
    <row r="26" spans="1:17" x14ac:dyDescent="0.4">
      <c r="A26">
        <v>4</v>
      </c>
      <c r="B26">
        <v>78.64</v>
      </c>
      <c r="C26">
        <f>B23+B24+B25+B26</f>
        <v>234.03000000000003</v>
      </c>
      <c r="F26">
        <f t="shared" si="0"/>
        <v>78.64</v>
      </c>
    </row>
    <row r="28" spans="1:17" x14ac:dyDescent="0.4">
      <c r="C28">
        <f>C22+C19+C16+C13</f>
        <v>564.49</v>
      </c>
      <c r="D28">
        <v>500</v>
      </c>
      <c r="E28">
        <f>D28*C28</f>
        <v>282245</v>
      </c>
    </row>
    <row r="29" spans="1:17" x14ac:dyDescent="0.4">
      <c r="C29">
        <f>C26</f>
        <v>234.03000000000003</v>
      </c>
      <c r="D29">
        <v>2500</v>
      </c>
      <c r="E29">
        <f>D29*C29</f>
        <v>585075.00000000012</v>
      </c>
      <c r="G29">
        <v>6500</v>
      </c>
      <c r="H29">
        <f>G29*C29</f>
        <v>1521195.0000000002</v>
      </c>
    </row>
    <row r="30" spans="1:17" x14ac:dyDescent="0.4">
      <c r="C30">
        <f>C29+C28</f>
        <v>798.52</v>
      </c>
    </row>
    <row r="31" spans="1:17" x14ac:dyDescent="0.4">
      <c r="C31">
        <v>150</v>
      </c>
      <c r="D31">
        <v>500</v>
      </c>
      <c r="E31">
        <f>D31*C31</f>
        <v>75000</v>
      </c>
      <c r="G31">
        <v>3000</v>
      </c>
      <c r="H31">
        <f>G31*C31</f>
        <v>450000</v>
      </c>
    </row>
    <row r="32" spans="1:17" x14ac:dyDescent="0.4">
      <c r="E32">
        <f>SUM(E28:E31)</f>
        <v>942320.00000000012</v>
      </c>
    </row>
    <row r="34" spans="5:6" x14ac:dyDescent="0.4">
      <c r="E34">
        <v>1650000</v>
      </c>
    </row>
    <row r="35" spans="5:6" x14ac:dyDescent="0.4">
      <c r="E35">
        <v>100000</v>
      </c>
    </row>
    <row r="36" spans="5:6" x14ac:dyDescent="0.4">
      <c r="E36">
        <f>E35+E34+E32</f>
        <v>2692320</v>
      </c>
    </row>
    <row r="37" spans="5:6" x14ac:dyDescent="0.4">
      <c r="E37">
        <f>E28*10</f>
        <v>2822450</v>
      </c>
    </row>
    <row r="38" spans="5:6" x14ac:dyDescent="0.4">
      <c r="E38">
        <f>E37-E36</f>
        <v>130130</v>
      </c>
      <c r="F38">
        <f>E38/E36</f>
        <v>4.8333779045581504E-2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F2034</dc:creator>
  <cp:lastModifiedBy>F2034</cp:lastModifiedBy>
  <dcterms:created xsi:type="dcterms:W3CDTF">2026-01-15T10:46:39Z</dcterms:created>
  <dcterms:modified xsi:type="dcterms:W3CDTF">2026-01-29T11:17:48Z</dcterms:modified>
</cp:coreProperties>
</file>