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30fd72440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teza" sheetId="1" r:id="Rb4da2d12f9a94e24"/>
    <x:sheet xmlns:r="http://schemas.openxmlformats.org/officeDocument/2006/relationships" name="Parametri" sheetId="2" r:id="R0679440b30d84ae5"/>
    <x:sheet xmlns:r="http://schemas.openxmlformats.org/officeDocument/2006/relationships" name="Buget" sheetId="3" r:id="Rb84addefb14b49b9"/>
    <x:sheet xmlns:r="http://schemas.openxmlformats.org/officeDocument/2006/relationships" name="Personal" sheetId="4" r:id="R38dd71ca48e14632"/>
    <x:sheet xmlns:r="http://schemas.openxmlformats.org/officeDocument/2006/relationships" name="Salarizare" sheetId="5" r:id="Rfbe19794ddd74a26"/>
    <x:sheet xmlns:r="http://schemas.openxmlformats.org/officeDocument/2006/relationships" name="Achizitii" sheetId="6" r:id="Re4d5f708d24e4e6d"/>
    <x:sheet xmlns:r="http://schemas.openxmlformats.org/officeDocument/2006/relationships" name="Activitati" sheetId="7" r:id="Rbce8add5496a43e3"/>
    <x:sheet xmlns:r="http://schemas.openxmlformats.org/officeDocument/2006/relationships" name="Verificari" sheetId="8" r:id="R6f0d0514dc7048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0.0%"/>
    <x:numFmt numFmtId="202" formatCode="#,##0.00;(#,##0.00);&quot;-&quot;"/>
    <x:numFmt numFmtId="203" formatCode="0.0000"/>
    <x:numFmt numFmtId="204" formatCode="0"/>
    <x:numFmt numFmtId="205" formatCode="#,##0"/>
    <x:numFmt numFmtId="206" formatCode="0.00"/>
  </x:numFmts>
  <x:fonts count="11">
    <x:font>
      <x:sz val="11"/>
      <x:name val="Carlito"/>
    </x:font>
    <x:font>
      <x:sz val="10"/>
      <x:name val="Arial"/>
    </x:font>
    <x:font>
      <x:b/>
      <x:sz val="15"/>
      <x:color rgb="FF19364F"/>
      <x:name val="Arial"/>
    </x:font>
    <x:font>
      <x:b/>
      <x:sz val="10"/>
      <x:color rgb="FFFFFFFF"/>
      <x:name val="Arial"/>
    </x:font>
    <x:font>
      <x:sz val="10"/>
      <x:color rgb="FF111111"/>
      <x:name val="Arial"/>
    </x:font>
    <x:font>
      <x:sz val="10"/>
      <x:color rgb="FF1643A0"/>
      <x:name val="Arial"/>
    </x:font>
    <x:font>
      <x:sz val="10"/>
      <x:color rgb="FF14714C"/>
      <x:name val="Arial"/>
    </x:font>
    <x:font>
      <x:sz val="10"/>
      <x:color rgb="FF172B3A"/>
      <x:name val="Arial"/>
    </x:font>
    <x:font>
      <x:b/>
      <x:sz val="10"/>
      <x:color rgb="FF172B3A"/>
      <x:name val="Arial"/>
    </x:font>
    <x:font>
      <x:b/>
      <x:sz val="10"/>
      <x:color rgb="FF7F4700"/>
      <x:name val="Arial"/>
    </x:font>
    <x:font>
      <x:sz val="11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9364F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5" fillId="3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2" fontId="8" fillId="2" borderId="0" xfId="0" applyNumberFormat="1" applyFont="1" applyFill="1" applyBorder="1" applyAlignment="1">
      <x:alignment vertical="center" wrapText="1"/>
    </x:xf>
    <x:xf numFmtId="205" fontId="6" fillId="0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A4262C"/>
      </x:font>
      <x:fill>
        <x:patternFill patternType="solid">
          <x:bgColor rgb="FFFDE9E7"/>
        </x:patternFill>
      </x:fill>
    </x:dxf>
    <x:dxf>
      <x:font>
        <x:b/>
        <x:color rgb="FFA4262C"/>
      </x:font>
      <x:fill>
        <x:patternFill patternType="solid">
          <x:bgColor rgb="FFFDE9E7"/>
        </x:patternFill>
      </x:fill>
    </x:dxf>
    <x:dxf>
      <x:font>
        <x:b/>
        <x:color rgb="FFA4262C"/>
      </x:font>
      <x:fill>
        <x:patternFill patternType="solid">
          <x:bgColor rgb="FFFDE9E7"/>
        </x:patternFill>
      </x:fill>
    </x:dxf>
    <x:dxf>
      <x:font>
        <x:b/>
        <x:color rgb="FFA4262C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3bb6dabe44580" /><Relationship Type="http://schemas.openxmlformats.org/officeDocument/2006/relationships/theme" Target="/xl/theme/theme1.xml" Id="Re9dc08047a5948bd" /><Relationship Type="http://schemas.openxmlformats.org/officeDocument/2006/relationships/sharedStrings" Target="/xl/sharedStrings.xml" Id="R4e711825a33048b0" /><Relationship Type="http://schemas.openxmlformats.org/officeDocument/2006/relationships/worksheet" Target="/xl/worksheets/sheet1.xml" Id="Rb4da2d12f9a94e24" /><Relationship Type="http://schemas.openxmlformats.org/officeDocument/2006/relationships/worksheet" Target="/xl/worksheets/sheet2.xml" Id="R0679440b30d84ae5" /><Relationship Type="http://schemas.openxmlformats.org/officeDocument/2006/relationships/worksheet" Target="/xl/worksheets/sheet3.xml" Id="Rb84addefb14b49b9" /><Relationship Type="http://schemas.openxmlformats.org/officeDocument/2006/relationships/worksheet" Target="/xl/worksheets/sheet4.xml" Id="R38dd71ca48e14632" /><Relationship Type="http://schemas.openxmlformats.org/officeDocument/2006/relationships/worksheet" Target="/xl/worksheets/sheet5.xml" Id="Rfbe19794ddd74a26" /><Relationship Type="http://schemas.openxmlformats.org/officeDocument/2006/relationships/worksheet" Target="/xl/worksheets/sheet6.xml" Id="Re4d5f708d24e4e6d" /><Relationship Type="http://schemas.openxmlformats.org/officeDocument/2006/relationships/worksheet" Target="/xl/worksheets/sheet7.xml" Id="Rbce8add5496a43e3" /><Relationship Type="http://schemas.openxmlformats.org/officeDocument/2006/relationships/worksheet" Target="/xl/worksheets/sheet8.xml" Id="R6f0d0514dc7048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3" hidden="0" customWidth="1"/>
    <x:col min="3" max="3" width="23" hidden="0" customWidth="1"/>
    <x:col min="4" max="4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Școli pentru viitor – buget maxim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PROIECTARE IDEALĂ CONDIȚIONATĂ. ONG partener; școlile și probele se selectează conform fișelor de condiții.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Indicator</x:v>
      </x:c>
      <x:c r="B5" s="6" t="str">
        <x:v>Valoare</x:v>
      </x:c>
      <x:c r="C5" s="6" t="str">
        <x:v>Unitate</x:v>
      </x:c>
      <x:c r="D5" s="6" t="str">
        <x:v>Interpretare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4" customHeight="1">
      <x:c r="A6" s="2" t="str">
        <x:v>Total eligibil</x:v>
      </x:c>
      <x:c r="B6" s="40" t="n">
        <x:f>Buget!F33</x:f>
        <x:v>5258400</x:v>
      </x:c>
      <x:c r="C6" s="40" t="str">
        <x:v>lei</x:v>
      </x:c>
      <x:c r="D6" s="14" t="str">
        <x:v>Buget de proiectare la limita apelului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4" customHeight="1">
      <x:c r="A7" s="2" t="str">
        <x:v>Echivalent EUR</x:v>
      </x:c>
      <x:c r="B7" s="40" t="n">
        <x:f>B6/Parametri!B7</x:f>
        <x:v>1000000</x:v>
      </x:c>
      <x:c r="C7" s="40" t="str">
        <x:v>EUR</x:v>
      </x:c>
      <x:c r="D7" s="14" t="str">
        <x:v>Grant + contribuții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34" customHeight="1">
      <x:c r="A8" s="2" t="str">
        <x:v>Buget lider</x:v>
      </x:c>
      <x:c r="B8" s="40" t="n">
        <x:f>Buget!F31</x:f>
        <x:v>5014993.87</x:v>
      </x:c>
      <x:c r="C8" s="40" t="str">
        <x:v>lei</x:v>
      </x:c>
      <x:c r="D8" s="14" t="str">
        <x:v>Lider eligibil de confirmat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34" customHeight="1">
      <x:c r="A9" s="2" t="str">
        <x:v>Buget ONG</x:v>
      </x:c>
      <x:c r="B9" s="40" t="n">
        <x:f>Buget!F32</x:f>
        <x:v>243406.13</x:v>
      </x:c>
      <x:c r="C9" s="40" t="str">
        <x:v>lei</x:v>
      </x:c>
      <x:c r="D9" s="14" t="str">
        <x:v>ROSE ca serviciu; entitatea fiscală este asociațiaCUI29433614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34" customHeight="1">
      <x:c r="A10" s="2" t="str">
        <x:v>Personal direct</x:v>
      </x:c>
      <x:c r="B10" s="40" t="n">
        <x:f>SUM(Personal!H15,Buget!B10)</x:f>
        <x:v>1065342.75</x:v>
      </x:c>
      <x:c r="C10" s="40" t="str">
        <x:v>lei</x:v>
      </x:c>
      <x:c r="D10" s="14" t="str">
        <x:v>Include componenta externă numai după introducerea și validarea ei în Buget!P.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34" customHeight="1">
      <x:c r="A11" s="2" t="str">
        <x:v>Personal / total</x:v>
      </x:c>
      <x:c r="B11" s="41" t="n">
        <x:f>B10/B6</x:f>
        <x:v>0.20259827133728892</x:v>
      </x:c>
      <x:c r="C11" s="40" t="str"/>
      <x:c r="D11" s="14" t="str">
        <x:v>Fără personal externalizat neidentificat în oferte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34" customHeight="1">
      <x:c r="A12" s="2" t="str">
        <x:v>Elevi unici</x:v>
      </x:c>
      <x:c r="B12" s="42" t="n">
        <x:f>Parametri!B10</x:f>
        <x:v>720</x:v>
      </x:c>
      <x:c r="C12" s="40" t="str">
        <x:v>persoane</x:v>
      </x:c>
      <x:c r="D12" s="14" t="str">
        <x:v>Ipoteză, nu beneficiari confirmați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34" customHeight="1">
      <x:c r="A13" s="2" t="str">
        <x:v>Cost total/elev</x:v>
      </x:c>
      <x:c r="B13" s="40" t="n">
        <x:f>B6/B12</x:f>
        <x:v>7303.333333333333</x:v>
      </x:c>
      <x:c r="C13" s="40" t="str">
        <x:v>lei/elev</x:v>
      </x:c>
      <x:c r="D13" s="14" t="str">
        <x:v>Nu este plafon ghid sau preț de piață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34" customHeight="1">
      <x:c r="A14" s="2" t="str">
        <x:v>Scenariu selectat</x:v>
      </x:c>
      <x:c r="B14" s="35" t="str">
        <x:f>CHOOSE(Parametri!B22,"Minim acceptat","Optimizare punctaj")</x:f>
        <x:v>Minim acceptat</x:v>
      </x:c>
      <x:c r="C14" s="40" t="str"/>
      <x:c r="D14" s="14" t="str">
        <x:v>Scenariile au aceleași cote; contribuția suplimentară nu aduce puncte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40"/>
      <x:c r="C15" s="40"/>
      <x:c r="D15" s="14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/>
      <x:c r="B16" s="40"/>
      <x:c r="C16" s="40"/>
      <x:c r="D16" s="14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32" customHeight="1">
      <x:c r="A17" s="6" t="str">
        <x:v>Contribuție / finanțare</x:v>
      </x:c>
      <x:c r="B17" s="36" t="str">
        <x:v>V1 minim acceptat</x:v>
      </x:c>
      <x:c r="C17" s="36" t="str">
        <x:v>V2 optimizare punctaj</x:v>
      </x:c>
      <x:c r="D17" s="6" t="str">
        <x:v>Regula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36" customHeight="1">
      <x:c r="A18" s="2" t="str">
        <x:v>Cotă ONG</x:v>
      </x:c>
      <x:c r="B18" s="41" t="n">
        <x:f>Parametri!B15</x:f>
        <x:v>0</x:v>
      </x:c>
      <x:c r="C18" s="41" t="n">
        <x:f>Parametri!B15</x:f>
        <x:v>0</x:v>
      </x:c>
      <x:c r="D18" s="14" t="str">
        <x:v>0%; nu există prag superior pentru punctaj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36" customHeight="1">
      <x:c r="A19" s="2" t="str">
        <x:v>Cotă lider</x:v>
      </x:c>
      <x:c r="B19" s="41" t="n">
        <x:f>Parametri!B16</x:f>
        <x:v>0.02</x:v>
      </x:c>
      <x:c r="C19" s="41" t="n">
        <x:f>Parametri!B16</x:f>
        <x:v>0.02</x:v>
      </x:c>
      <x:c r="D19" s="14" t="str">
        <x:v>2% ipoteză; categoria juridică poate impune 15%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36" customHeight="1">
      <x:c r="A20" s="2" t="str">
        <x:v>Contribuție ONG</x:v>
      </x:c>
      <x:c r="B20" s="40" t="n">
        <x:f>ROUND(B9*B18,2)</x:f>
        <x:v>0</x:v>
      </x:c>
      <x:c r="C20" s="40" t="n">
        <x:f>ROUND(B9*C18,2)</x:f>
        <x:v>0</x:v>
      </x:c>
      <x:c r="D20" s="14" t="str">
        <x:v>Din bugetul propriu ONG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36" customHeight="1">
      <x:c r="A21" s="2" t="str">
        <x:v>Contribuție lider</x:v>
      </x:c>
      <x:c r="B21" s="40" t="n">
        <x:f>ROUND(B8*B19,2)</x:f>
        <x:v>100299.88</x:v>
      </x:c>
      <x:c r="C21" s="40" t="n">
        <x:f>ROUND(B8*C19,2)</x:f>
        <x:v>100299.88</x:v>
      </x:c>
      <x:c r="D21" s="14" t="str">
        <x:v>Liderul suportă propria cotă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36" customHeight="1">
      <x:c r="A22" s="2" t="str">
        <x:v>Contribuție totală</x:v>
      </x:c>
      <x:c r="B22" s="40" t="n">
        <x:f>SUM(B20:B21)</x:f>
        <x:v>100299.88</x:v>
      </x:c>
      <x:c r="C22" s="40" t="n">
        <x:f>SUM(C20:C21)</x:f>
        <x:v>100299.88</x:v>
      </x:c>
      <x:c r="D22" s="14" t="str">
        <x:v>Suma contribuțiilor membrilor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36" customHeight="1">
      <x:c r="A23" s="2" t="str">
        <x:v>AFN totală</x:v>
      </x:c>
      <x:c r="B23" s="40" t="n">
        <x:f>B6-B22</x:f>
        <x:v>5158100.12</x:v>
      </x:c>
      <x:c r="C23" s="40" t="n">
        <x:f>B6-C22</x:f>
        <x:v>5158100.12</x:v>
      </x:c>
      <x:c r="D23" s="14" t="str">
        <x:v>Finanțare nerambursabilă estimată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36" customHeight="1">
      <x:c r="A24" s="2" t="str">
        <x:v>AFN ONG</x:v>
      </x:c>
      <x:c r="B24" s="40" t="n">
        <x:f>B9-B20</x:f>
        <x:v>243406.13</x:v>
      </x:c>
      <x:c r="C24" s="40" t="n">
        <x:f>B9-C20</x:f>
        <x:v>243406.13</x:v>
      </x:c>
      <x:c r="D24" s="14" t="str">
        <x:v>Comparată cu capacitatea ANAF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36" customHeight="1">
      <x:c r="A25" s="2" t="str">
        <x:v>Bonus punctaj contribuție</x:v>
      </x:c>
      <x:c r="B25" s="40" t="n">
        <x:v>0</x:v>
      </x:c>
      <x:c r="C25" s="40" t="n">
        <x:v>0</x:v>
      </x:c>
      <x:c r="D25" s="14" t="str">
        <x:v>Anexa3 nu acordă acest bonus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36" customHeight="1">
      <x:c r="A26" s="2"/>
      <x:c r="B26" s="40"/>
      <x:c r="C26" s="40"/>
      <x:c r="D26" s="14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36" customHeight="1">
      <x:c r="A27" s="2"/>
      <x:c r="B27" s="40"/>
      <x:c r="C27" s="40"/>
      <x:c r="D27" s="14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36" customHeight="1">
      <x:c r="A28" s="2" t="str">
        <x:v>Decizia de proiectare</x:v>
      </x:c>
      <x:c r="B28" s="40"/>
      <x:c r="C28" s="40"/>
      <x:c r="D28" s="14" t="str">
        <x:v>Preferință preliminară: varianta minimă dacă acoperă nevoile reale. Bugetul maxim nu aduce automat punctaj.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36" customHeight="1">
      <x:c r="A29" s="2" t="str">
        <x:v>Țintă ideală punctaj ITI</x:v>
      </x:c>
      <x:c r="B29" s="42" t="n">
        <x:v>100</x:v>
      </x:c>
      <x:c r="C29" s="40"/>
      <x:c r="D29" s="14" t="str">
        <x:v>100 condiționat de criteriul ITI și toate probele; plafon99 fără ITI. Nu este punctaj acordat.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36" customHeight="1">
      <x:c r="A30" s="2" t="str">
        <x:v>Disponibil ANAF31.12.2025</x:v>
      </x:c>
      <x:c r="B30" s="40" t="n">
        <x:v>35819</x:v>
      </x:c>
      <x:c r="C30" s="40"/>
      <x:c r="D30" s="14" t="str">
        <x:v>Istoric. Utilizatorul declară fonduri actuale suficiente și niciun alt proiect PEO aprobat.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36" customHeight="1">
      <x:c r="A31" s="2" t="str">
        <x:v>Rezervă numerar ONG – 3luni</x:v>
      </x:c>
      <x:c r="B31" s="40" t="n">
        <x:f>B9/Parametri!B9*3</x:f>
        <x:v>24340.613</x:v>
      </x:c>
      <x:c r="C31" s="40"/>
      <x:c r="D31" s="14" t="str">
        <x:v>Test simplificat de lichiditate, nu flux de numerar și nu condiție legală.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14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34" customHeight="1">
      <x:c r="A33" s="2" t="str">
        <x:v>Persoane dacă roluri distincte</x:v>
      </x:c>
      <x:c r="B33" s="46" t="n">
        <x:f>SUM(Personal!D6:D13)</x:f>
        <x:v>19</x:v>
      </x:c>
      <x:c r="C33" s="2"/>
      <x:c r="D33" s="14" t="str">
        <x:v>15 /19 persoane, majoritatea cu timp parțial; personalul furnizorilor nu este inclus.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34" customHeight="1">
      <x:c r="A34" s="2" t="str">
        <x:v>Ore totale personal</x:v>
      </x:c>
      <x:c r="B34" s="46" t="n">
        <x:f>SUM(Personal!E6:E13)</x:f>
        <x:v>10293</x:v>
      </x:c>
      <x:c r="C34" s="2"/>
      <x:c r="D34" s="14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34" customHeight="1">
      <x:c r="A35" s="2" t="str">
        <x:v>Norme echivalente medii</x:v>
      </x:c>
      <x:c r="B35" s="47" t="n">
        <x:f>B34/Parametri!B9/Parametri!B31</x:f>
        <x:v>2.042261904761905</x:v>
      </x:c>
      <x:c r="C35" s="2"/>
      <x:c r="D35" s="14" t="str">
        <x:v>Media pe proiect nu înlocuiește controlul orelor zilnice și al lunilor de vârf.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19" hidden="0" customWidth="1"/>
    <x:col min="3" max="3" width="24" hidden="0" customWidth="1"/>
    <x:col min="4" max="4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Ipoteze și reguli de calcul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Parametru</x:v>
      </x:c>
      <x:c r="B5" s="6" t="str">
        <x:v>Valoare</x:v>
      </x:c>
      <x:c r="C5" s="6" t="str">
        <x:v>Statut</x:v>
      </x:c>
      <x:c r="D5" s="6" t="str">
        <x:v>Sursă / regulă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3" customHeight="1">
      <x:c r="A6" s="14" t="str">
        <x:v>Buget eligibil țintă (EUR)</x:v>
      </x:c>
      <x:c r="B6" s="15" t="n">
        <x:v>1000000</x:v>
      </x:c>
      <x:c r="C6" s="14" t="str">
        <x:v>Limită ghid</x:v>
      </x:c>
      <x:c r="D6" s="14" t="str">
        <x:v>GSCS §5.4 p.46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3" customHeight="1">
      <x:c r="A7" s="14" t="str">
        <x:v>Curs lei/EUR</x:v>
      </x:c>
      <x:c r="B7" s="16" t="n">
        <x:v>5.2584</x:v>
      </x:c>
      <x:c r="C7" s="14" t="str">
        <x:v>Fix în apel</x:v>
      </x:c>
      <x:c r="D7" s="14" t="str">
        <x:v>GSCS §5.4 p.46; InforEuro septembrie 2026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3" customHeight="1">
      <x:c r="A8" s="14" t="str">
        <x:v>Buget țintă (lei)</x:v>
      </x:c>
      <x:c r="B8" s="17" t="n">
        <x:f>B6*B7</x:f>
        <x:v>5258400</x:v>
      </x:c>
      <x:c r="C8" s="14" t="str">
        <x:v>Calcul</x:v>
      </x:c>
      <x:c r="D8" s="14" t="str">
        <x:v>Include toate contribuțiile, nu doar grantul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43" customHeight="1">
      <x:c r="A9" s="14" t="str">
        <x:v>Durată (luni)</x:v>
      </x:c>
      <x:c r="B9" s="18" t="n">
        <x:v>30</x:v>
      </x:c>
      <x:c r="C9" s="14" t="str">
        <x:v>Ipoteză</x:v>
      </x:c>
      <x:c r="D9" s="14" t="str">
        <x:v>Maximum30 luni, finalizare până la31.12.2029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43" customHeight="1">
      <x:c r="A10" s="14" t="str">
        <x:v>Elevi unici</x:v>
      </x:c>
      <x:c r="B10" s="18" t="n">
        <x:v>720</x:v>
      </x:c>
      <x:c r="C10" s="14" t="str">
        <x:v>Ipoteză</x:v>
      </x:c>
      <x:c r="D10" s="14" t="str">
        <x:v>Minimum400; &gt;456 pentru3 puncte; fără dublă numărare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43" customHeight="1">
      <x:c r="A11" s="14" t="str">
        <x:v>Profesori în formare</x:v>
      </x:c>
      <x:c r="B11" s="18" t="n">
        <x:v>48</x:v>
      </x:c>
      <x:c r="C11" s="14" t="str">
        <x:v>Ipoteză</x:v>
      </x:c>
      <x:c r="D11" s="14" t="str">
        <x:v>EECO05; certificat valid, fără dublă finanțare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43" customHeight="1">
      <x:c r="A12" s="14" t="str">
        <x:v>Rata indirectelor</x:v>
      </x:c>
      <x:c r="B12" s="19" t="n">
        <x:v>0.15</x:v>
      </x:c>
      <x:c r="C12" s="14" t="str">
        <x:v>Regulă</x:v>
      </x:c>
      <x:c r="D12" s="14" t="str">
        <x:v>GSCS §5.3.2: personal direct per membru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43" customHeight="1">
      <x:c r="A13" s="14" t="str">
        <x:v>Plafon FEDR / directe</x:v>
      </x:c>
      <x:c r="B13" s="19" t="n">
        <x:v>0.15</x:v>
      </x:c>
      <x:c r="C13" s="14" t="str">
        <x:v>Regulă</x:v>
      </x:c>
      <x:c r="D13" s="14" t="str">
        <x:v>GSCS §5.3.2 p.43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43" customHeight="1">
      <x:c r="A14" s="14" t="str">
        <x:v>Minim A1+A2 / total</x:v>
      </x:c>
      <x:c r="B14" s="19" t="n">
        <x:v>0.5</x:v>
      </x:c>
      <x:c r="C14" s="14" t="str">
        <x:v>Regulă</x:v>
      </x:c>
      <x:c r="D14" s="14" t="str">
        <x:v>GSCS §5.2.3 p.36–37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43" customHeight="1">
      <x:c r="A15" s="14" t="str">
        <x:v>Contribuție ONG</x:v>
      </x:c>
      <x:c r="B15" s="19" t="n">
        <x:v>0</x:v>
      </x:c>
      <x:c r="C15" s="14" t="str">
        <x:v>Regulă</x:v>
      </x:c>
      <x:c r="D15" s="14" t="str">
        <x:v>GSCG §2.2 tabel11 P7: ONG fără scop patrimonial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43" customHeight="1">
      <x:c r="A16" s="14" t="str">
        <x:v>Contribuție lider</x:v>
      </x:c>
      <x:c r="B16" s="19" t="n">
        <x:v>0.02</x:v>
      </x:c>
      <x:c r="C16" s="14" t="str">
        <x:v>DE CONFIRMAT</x:v>
      </x:c>
      <x:c r="D16" s="14" t="str">
        <x:v>Ipoteză2%: instituție din categoria publică locală/finanțare parțială. Categoria integral buget stat:15% în regiuni mai puțin dezvoltate.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43" customHeight="1">
      <x:c r="A17" s="14" t="str">
        <x:v>CAS salariat</x:v>
      </x:c>
      <x:c r="B17" s="19" t="n">
        <x:v>0.25</x:v>
      </x:c>
      <x:c r="C17" s="14" t="str">
        <x:v>Ipoteză fiscală standard</x:v>
      </x:c>
      <x:c r="D17" s="14" t="str">
        <x:v>Cod fiscal art.138; recalculare la angajare, fără deduceri/scutiri în model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43" customHeight="1">
      <x:c r="A18" s="14" t="str">
        <x:v>CASS salariat</x:v>
      </x:c>
      <x:c r="B18" s="19" t="n">
        <x:v>0.1</x:v>
      </x:c>
      <x:c r="C18" s="14" t="str">
        <x:v>Ipoteză fiscală standard</x:v>
      </x:c>
      <x:c r="D18" s="14" t="str">
        <x:v>Cod fiscal art.156; verificare situație individuală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43" customHeight="1">
      <x:c r="A19" s="14" t="str">
        <x:v>Impozit pe salariu</x:v>
      </x:c>
      <x:c r="B19" s="19" t="n">
        <x:v>0.1</x:v>
      </x:c>
      <x:c r="C19" s="14" t="str">
        <x:v>Ipoteză fiscală standard</x:v>
      </x:c>
      <x:c r="D19" s="14" t="str">
        <x:v>Cod fiscal art.78; baza după CAS/CASS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43" customHeight="1">
      <x:c r="A20" s="14" t="str">
        <x:v>CAM angajator</x:v>
      </x:c>
      <x:c r="B20" s="19" t="n">
        <x:v>0.0225</x:v>
      </x:c>
      <x:c r="C20" s="14" t="str">
        <x:v>Ipoteză fiscală standard</x:v>
      </x:c>
      <x:c r="D20" s="14" t="str">
        <x:v>Cod fiscal art.220^3; condiții normale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43" customHeight="1">
      <x:c r="A21" s="14" t="str">
        <x:v>Capacitate AFN ONG (lei)</x:v>
      </x:c>
      <x:c r="B21" s="15" t="n">
        <x:v>2013707</x:v>
      </x:c>
      <x:c r="C21" s="14" t="str">
        <x:v>Calcul ANAF2022–2025</x:v>
      </x:c>
      <x:c r="D21" s="14" t="str">
        <x:v>316590+674835+127710+894572; confirmare bilanțuri integrale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43" customHeight="1">
      <x:c r="A22" s="14" t="str">
        <x:v>Scenariu contribuție</x:v>
      </x:c>
      <x:c r="B22" s="18" t="n">
        <x:v>1</x:v>
      </x:c>
      <x:c r="C22" s="14" t="str">
        <x:v>Selectabil1 sau2</x:v>
      </x:c>
      <x:c r="D22" s="14" t="str">
        <x:v>1=Minim acceptat;2=Optimizare punctaj. Aceleași cote: grila nu punctează contribuția suplimentară.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43" customHeight="1">
      <x:c r="A23" s="14" t="str">
        <x:v>Elevi/grupă</x:v>
      </x:c>
      <x:c r="B23" s="18" t="n">
        <x:v>15</x:v>
      </x:c>
      <x:c r="C23" s="14" t="str">
        <x:v>Ipoteză</x:v>
      </x:c>
      <x:c r="D23" s="14" t="str">
        <x:v>Dimensionare specialist educație; nu prag din ghid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43" customHeight="1">
      <x:c r="A24" s="14" t="str">
        <x:v>Număr grupe</x:v>
      </x:c>
      <x:c r="B24" s="18" t="n">
        <x:f>ROUNDUP(B10/B23,0)</x:f>
        <x:v>48</x:v>
      </x:c>
      <x:c r="C24" s="14" t="str">
        <x:v>Ipoteză</x:v>
      </x:c>
      <x:c r="D24" s="14" t="str">
        <x:v>Grupe de15 pentru A1.1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43" customHeight="1">
      <x:c r="A25" s="14" t="str">
        <x:v>Porții catering/elev</x:v>
      </x:c>
      <x:c r="B25" s="18" t="n">
        <x:v>60</x:v>
      </x:c>
      <x:c r="C25" s="14" t="str">
        <x:v>Ipoteză</x:v>
      </x:c>
      <x:c r="D25" s="14" t="str">
        <x:v>60 întâlniri eligibile, maximum o porție/elev/întâlnire; fără suprapunere cu alt program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43" customHeight="1">
      <x:c r="A26" s="14" t="str">
        <x:v>Elevi cu transport</x:v>
      </x:c>
      <x:c r="B26" s="18" t="n">
        <x:f>ROUNDUP(B10/2,0)</x:f>
        <x:v>360</x:v>
      </x:c>
      <x:c r="C26" s="14" t="str">
        <x:v>Ipoteză</x:v>
      </x:c>
      <x:c r="D26" s="14" t="str">
        <x:v>50% cu nevoie; de verificat domiciliu/rute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43" customHeight="1">
      <x:c r="A27" s="14" t="str">
        <x:v>Deplasări dus-întors/elev</x:v>
      </x:c>
      <x:c r="B27" s="18" t="n">
        <x:v>60</x:v>
      </x:c>
      <x:c r="C27" s="14" t="str">
        <x:v>Ipoteză</x:v>
      </x:c>
      <x:c r="D27" s="14" t="str">
        <x:v>Numai întâlniri efective; liste și rute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43" customHeight="1">
      <x:c r="A28" s="14" t="str">
        <x:v>Elevi STEAM</x:v>
      </x:c>
      <x:c r="B28" s="18" t="n">
        <x:f>ROUNDUP(B10/4,0)</x:f>
        <x:v>180</x:v>
      </x:c>
      <x:c r="C28" s="14" t="str">
        <x:v>Ipoteză</x:v>
      </x:c>
      <x:c r="D28" s="14" t="str">
        <x:v>Subgrup inclus în elevii unici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43" customHeight="1">
      <x:c r="A29" s="14" t="str">
        <x:v>Plafon net/oră utilizat</x:v>
      </x:c>
      <x:c r="B29" s="18" t="n">
        <x:v>70</x:v>
      </x:c>
      <x:c r="C29" s="14" t="str">
        <x:v>Regulă prudentă</x:v>
      </x:c>
      <x:c r="D29" s="14" t="str">
        <x:v>GSCG tabel15: &lt;5 ani70,5–10ani80,&gt;10ani90; pentru personal eligibil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43" customHeight="1">
      <x:c r="A30" s="14" t="str">
        <x:v>Luni de activitate didactică</x:v>
      </x:c>
      <x:c r="B30" s="18" t="n">
        <x:v>24</x:v>
      </x:c>
      <x:c r="C30" s="14" t="str">
        <x:v>Ipoteză</x:v>
      </x:c>
      <x:c r="D30" s="14" t="str">
        <x:v>Orele se planifică pe săptămâni și discipline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43" customHeight="1">
      <x:c r="A31" s="14" t="str">
        <x:v>Ore/lună pentru echivalent normă</x:v>
      </x:c>
      <x:c r="B31" s="18" t="n">
        <x:v>168</x:v>
      </x:c>
      <x:c r="C31" s="14" t="str">
        <x:v>Referință GSCG</x:v>
      </x:c>
      <x:c r="D31" s="14" t="str">
        <x:v>8ore×21zile; nu aprobă depășiri Codul muncii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43" customHeight="1">
      <x:c r="A32" s="14" t="str">
        <x:v>Tema verde / directe – minim</x:v>
      </x:c>
      <x:c r="B32" s="20" t="n">
        <x:v>0.04</x:v>
      </x:c>
      <x:c r="C32" s="14" t="str">
        <x:v>Regulă</x:v>
      </x:c>
      <x:c r="D32" s="14" t="str">
        <x:v>Anexa3 criteriul1.6: minimum4% directe; urmărit și la total prudent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 t="str">
        <x:v>Surse principale</x:v>
      </x:c>
      <x:c r="B35" s="2"/>
      <x:c r="C35" s="2"/>
      <x:c r="D35" s="2" t="str">
        <x:v>Ghid final OMIPE1517/2026 și GSCG consolidat Corr4, arhivate în 1. DOCUMENTE OFICIALE.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 t="str">
        <x:v>https://mfe.gov.ro/wp-content/uploads/2026/03/a6d051aa4c909ac6bdd802d6a9f94890.7z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dataValidations count="1">
    <x:dataValidation type="list" sqref="B22">
      <x:formula1>"1,2"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6" max="16" width="25" hidden="0" customWidth="1"/>
    <x:col min="13" max="13" width="23" hidden="0" customWidth="1"/>
    <x:col min="14" max="14" width="55" hidden="0" customWidth="1"/>
    <x:col min="15" max="15" width="22" hidden="0" customWidth="1"/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6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Buget maxim – alocări de proiectare (lei)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Costurile de achiziție sunt PLAFOANE DE PLANIFICARE, repartizate transparent; nu sunt prețuri de piață validate.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Calcul de alocare</x:v>
      </x:c>
      <x:c r="B5" s="6"/>
      <x:c r="C5" s="6" t="str">
        <x:v>Statut</x:v>
      </x:c>
      <x:c r="D5" s="6" t="str">
        <x:v>Sens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A6" s="2" t="str">
        <x:v>Personal direct</x:v>
      </x:c>
      <x:c r="B6" s="35" t="n">
        <x:f>Personal!H15</x:f>
        <x:v>1065342.75</x:v>
      </x:c>
      <x:c r="C6" s="2" t="str">
        <x:v>Din ore și tarife</x:v>
      </x:c>
      <x:c r="D6" s="2" t="str">
        <x:v>Detalii în Personal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>
      <x:c r="A7" s="2" t="str">
        <x:v>Indirecte</x:v>
      </x:c>
      <x:c r="B7" s="35" t="n">
        <x:f>ROUND((Personal!H16+SUMIFS(P13:P25,B13:B25,"Lider"))*Parametri!B12,2)+ROUND((Personal!H17+SUMIFS(P13:P25,B13:B25,"ONG"))*Parametri!B12,2)</x:f>
        <x:v>159801.41999999998</x:v>
      </x:c>
      <x:c r="C7" s="2" t="str">
        <x:v>15% personal direct</x:v>
      </x:c>
      <x:c r="D7" s="2" t="str">
        <x:v>Rotunjire la bani separat per membru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>
      <x:c r="A8" s="2" t="str">
        <x:v>Premii și subvenții</x:v>
      </x:c>
      <x:c r="B8" s="12" t="n">
        <x:f>4*2*(1000+700+500+2*300)</x:f>
        <x:v>22400</x:v>
      </x:c>
      <x:c r="C8" s="2" t="str">
        <x:v>Plafoane ghid</x:v>
      </x:c>
      <x:c r="D8" s="2" t="str">
        <x:v>3/4 competiții × distincții/elev, profesori diferiți conform metodologiei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A9" s="2" t="str">
        <x:v>Disponibil bunuri/servicii</x:v>
      </x:c>
      <x:c r="B9" s="35" t="n">
        <x:f>Parametri!B8-SUM(B6:B8)</x:f>
        <x:v>4010855.83</x:v>
      </x:c>
      <x:c r="C9" s="2" t="str">
        <x:v>Buget țintă minus categoriile de mai sus</x:v>
      </x:c>
      <x:c r="D9" s="2" t="str">
        <x:v>Ponderile următoare distribuie integral acest plafon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A10" s="2" t="str">
        <x:v>Bază personal extern din oferte</x:v>
      </x:c>
      <x:c r="B10" s="7" t="n">
        <x:f>SUM(P13:P25)</x:f>
        <x:v>0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32" customHeight="1">
      <x:c r="A12" s="6" t="str">
        <x:v>Cheltuială / livrabil</x:v>
      </x:c>
      <x:c r="B12" s="6" t="str">
        <x:v>Entitate</x:v>
      </x:c>
      <x:c r="C12" s="6" t="str">
        <x:v>Activitate</x:v>
      </x:c>
      <x:c r="D12" s="6" t="str">
        <x:v>Pondere disponibil</x:v>
      </x:c>
      <x:c r="E12" s="6" t="str">
        <x:v>Cantitate</x:v>
      </x:c>
      <x:c r="F12" s="6" t="str">
        <x:v>UM</x:v>
      </x:c>
      <x:c r="G12" s="6" t="str">
        <x:v>Plafon unitar lei</x:v>
      </x:c>
      <x:c r="H12" s="6" t="str">
        <x:v>Buget lei</x:v>
      </x:c>
      <x:c r="I12" s="6" t="str">
        <x:v>FEDR</x:v>
      </x:c>
      <x:c r="J12" s="6" t="str">
        <x:v>Pondere verde</x:v>
      </x:c>
      <x:c r="K12" s="6" t="str">
        <x:v>Verde lei</x:v>
      </x:c>
      <x:c r="L12" s="6" t="str">
        <x:v>Fundamentare de completat</x:v>
      </x:c>
      <x:c r="M12" s="6" t="str">
        <x:v>Ofertă unitară lei (editabil)</x:v>
      </x:c>
      <x:c r="N12" s="6" t="str">
        <x:v>Sursă ofertă / dată</x:v>
      </x:c>
      <x:c r="O12" s="6" t="str">
        <x:v>Alocare inițială lei</x:v>
      </x:c>
      <x:c r="P12" s="6" t="str">
        <x:v>Personal extern eligibil din bugetul liniei</x:v>
      </x:c>
      <x:c r="Q12" t="str">
        <x:v>Ofertă fără sursă</x:v>
      </x:c>
    </x:row>
    <x:row r="13" ht="66" customHeight="1">
      <x:c r="A13" s="14" t="str">
        <x:v>Catering pentru întâlniri eligibile</x:v>
      </x:c>
      <x:c r="B13" s="14" t="str">
        <x:v>Lider</x:v>
      </x:c>
      <x:c r="C13" s="14" t="str">
        <x:v>A2</x:v>
      </x:c>
      <x:c r="D13" s="24" t="n">
        <x:v>0.31</x:v>
      </x:c>
      <x:c r="E13" s="27" t="n">
        <x:f>Parametri!B10*Parametri!B25</x:f>
        <x:v>43200</x:v>
      </x:c>
      <x:c r="F13" s="14" t="str">
        <x:v>porții</x:v>
      </x:c>
      <x:c r="G13" s="17" t="n">
        <x:f>O13/E13</x:f>
        <x:v>28.78160439814815</x:v>
      </x:c>
      <x:c r="H13" s="17" t="n">
        <x:f>IF(ISNUMBER(M13),ROUND(E13*M13,2),O13)</x:f>
        <x:v>1243365.31</x:v>
      </x:c>
      <x:c r="I13" s="14" t="n">
        <x:v>0</x:v>
      </x:c>
      <x:c r="J13" s="24" t="n">
        <x:v>0</x:v>
      </x:c>
      <x:c r="K13" s="17" t="n">
        <x:f>H13*J13</x:f>
        <x:v>0</x:v>
      </x:c>
      <x:c r="L13" s="14" t="str">
        <x:v>Prezență, orar complementar; ofertă pe porție cu TVA și alergeni; liderul contractează suportul școlar</x:v>
      </x:c>
      <x:c r="M13" s="32"/>
      <x:c r="N13" s="14" t="str">
        <x:v>Lipsă ofertă</x:v>
      </x:c>
      <x:c r="O13" s="12" t="n">
        <x:f>ROUND($B$9*D13,2)</x:f>
        <x:v>1243365.31</x:v>
      </x:c>
      <x:c r="P13" s="32"/>
      <x:c r="Q13" s="51" t="n">
        <x:f>IF(ISNUMBER(M13),IF(OR(N13="",N13="Lipsă ofertă"),1,0),0)</x:f>
        <x:v>0</x:v>
      </x:c>
    </x:row>
    <x:row r="14" ht="66" customHeight="1">
      <x:c r="A14" s="14" t="str">
        <x:v>Transport la activități</x:v>
      </x:c>
      <x:c r="B14" s="14" t="str">
        <x:v>Lider</x:v>
      </x:c>
      <x:c r="C14" s="14" t="str">
        <x:v>A2</x:v>
      </x:c>
      <x:c r="D14" s="24" t="n">
        <x:v>0.2</x:v>
      </x:c>
      <x:c r="E14" s="27" t="n">
        <x:f>Parametri!B26*Parametri!B27</x:f>
        <x:v>21600</x:v>
      </x:c>
      <x:c r="F14" s="14" t="str">
        <x:v>curse/elev</x:v>
      </x:c>
      <x:c r="G14" s="17" t="n">
        <x:f>O14/E14</x:f>
        <x:v>37.13755416666667</x:v>
      </x:c>
      <x:c r="H14" s="17" t="n">
        <x:f>IF(ISNUMBER(M14),ROUND(E14*M14,2),O14)</x:f>
        <x:v>802171.17</x:v>
      </x:c>
      <x:c r="I14" s="14" t="n">
        <x:v>0</x:v>
      </x:c>
      <x:c r="J14" s="24" t="n">
        <x:v>0</x:v>
      </x:c>
      <x:c r="K14" s="17" t="n">
        <x:f>H14*J14</x:f>
        <x:v>0</x:v>
      </x:c>
      <x:c r="L14" s="14" t="str">
        <x:v>Rute, distanțe, locuri; ofertă; nu buget per kilometru presupus</x:v>
      </x:c>
      <x:c r="M14" s="32"/>
      <x:c r="N14" s="14" t="str">
        <x:v>Lipsă ofertă</x:v>
      </x:c>
      <x:c r="O14" s="12" t="n">
        <x:f>ROUND($B$9*D14,2)</x:f>
        <x:v>802171.17</x:v>
      </x:c>
      <x:c r="P14" s="32"/>
      <x:c r="Q14" s="51" t="n">
        <x:f>IF(ISNUMBER(M14),IF(OR(N14="",N14="Lipsă ofertă"),1,0),0)</x:f>
        <x:v>0</x:v>
      </x:c>
    </x:row>
    <x:row r="15" ht="66" customHeight="1">
      <x:c r="A15" s="14" t="str">
        <x:v>Kituri robotică / laborator STEAM</x:v>
      </x:c>
      <x:c r="B15" s="14" t="str">
        <x:v>Lider</x:v>
      </x:c>
      <x:c r="C15" s="14" t="str">
        <x:v>A1</x:v>
      </x:c>
      <x:c r="D15" s="24" t="n">
        <x:v>0.09</x:v>
      </x:c>
      <x:c r="E15" s="27" t="n">
        <x:f>ROUNDUP(Parametri!B28/Parametri!B23,0)</x:f>
        <x:v>12</x:v>
      </x:c>
      <x:c r="F15" s="14" t="str">
        <x:v>kituri</x:v>
      </x:c>
      <x:c r="G15" s="17" t="n">
        <x:f>O15/E15</x:f>
        <x:v>30081.418333333335</x:v>
      </x:c>
      <x:c r="H15" s="17" t="n">
        <x:f>IF(ISNUMBER(M15),ROUND(E15*M15,2),O15)</x:f>
        <x:v>360977.02</x:v>
      </x:c>
      <x:c r="I15" s="14" t="n">
        <x:v>1</x:v>
      </x:c>
      <x:c r="J15" s="24" t="n">
        <x:v>0.5</x:v>
      </x:c>
      <x:c r="K15" s="17" t="n">
        <x:f>H15*J15</x:f>
        <x:v>180488.51</x:v>
      </x:c>
      <x:c r="L15" s="14" t="str">
        <x:v>Inventar existent, specificații și oferte; bunuri rămân școlii</x:v>
      </x:c>
      <x:c r="M15" s="32"/>
      <x:c r="N15" s="14" t="str">
        <x:v>Lipsă ofertă</x:v>
      </x:c>
      <x:c r="O15" s="12" t="n">
        <x:f>ROUND($B$9*D15,2)</x:f>
        <x:v>360977.02</x:v>
      </x:c>
      <x:c r="P15" s="32"/>
      <x:c r="Q15" s="51" t="n">
        <x:f>IF(ISNUMBER(M15),IF(OR(N15="",N15="Lipsă ofertă"),1,0),0)</x:f>
        <x:v>0</x:v>
      </x:c>
    </x:row>
    <x:row r="16" ht="66" customHeight="1">
      <x:c r="A16" s="14" t="str">
        <x:v>Dispozitive digitale și accesibilitate</x:v>
      </x:c>
      <x:c r="B16" s="14" t="str">
        <x:v>Lider</x:v>
      </x:c>
      <x:c r="C16" s="14" t="str">
        <x:v>A1</x:v>
      </x:c>
      <x:c r="D16" s="24" t="n">
        <x:v>0.05</x:v>
      </x:c>
      <x:c r="E16" s="27" t="n">
        <x:f>Parametri!B24</x:f>
        <x:v>48</x:v>
      </x:c>
      <x:c r="F16" s="14" t="str">
        <x:v>dispozitive</x:v>
      </x:c>
      <x:c r="G16" s="17" t="n">
        <x:f>O16/E16</x:f>
        <x:v>4177.9747916666665</x:v>
      </x:c>
      <x:c r="H16" s="17" t="n">
        <x:f>IF(ISNUMBER(M16),ROUND(E16*M16,2),O16)</x:f>
        <x:v>200542.79</x:v>
      </x:c>
      <x:c r="I16" s="14" t="n">
        <x:v>1</x:v>
      </x:c>
      <x:c r="J16" s="24" t="n">
        <x:v>0</x:v>
      </x:c>
      <x:c r="K16" s="17" t="n">
        <x:f>H16*J16</x:f>
        <x:v>0</x:v>
      </x:c>
      <x:c r="L16" s="14" t="str">
        <x:v>Maximum pe echipament din GSCG; configurație și inventar de verificat</x:v>
      </x:c>
      <x:c r="M16" s="32"/>
      <x:c r="N16" s="14" t="str">
        <x:v>Lipsă ofertă</x:v>
      </x:c>
      <x:c r="O16" s="12" t="n">
        <x:f>ROUND($B$9*D16,2)</x:f>
        <x:v>200542.79</x:v>
      </x:c>
      <x:c r="P16" s="32"/>
      <x:c r="Q16" s="51" t="n">
        <x:f>IF(ISNUMBER(M16),IF(OR(N16="",N16="Lipsă ofertă"),1,0),0)</x:f>
        <x:v>0</x:v>
      </x:c>
    </x:row>
    <x:row r="17" ht="66" customHeight="1">
      <x:c r="A17" s="14" t="str">
        <x:v>Materiale didactice și eco-STEAM</x:v>
      </x:c>
      <x:c r="B17" s="14" t="str">
        <x:v>Lider</x:v>
      </x:c>
      <x:c r="C17" s="14" t="str">
        <x:v>A1</x:v>
      </x:c>
      <x:c r="D17" s="24" t="n">
        <x:v>0.06</x:v>
      </x:c>
      <x:c r="E17" s="27" t="n">
        <x:f>Parametri!B10</x:f>
        <x:v>720</x:v>
      </x:c>
      <x:c r="F17" s="14" t="str">
        <x:v>pachete</x:v>
      </x:c>
      <x:c r="G17" s="17" t="n">
        <x:f>O17/E17</x:f>
        <x:v>334.2379861111111</x:v>
      </x:c>
      <x:c r="H17" s="17" t="n">
        <x:f>IF(ISNUMBER(M17),ROUND(E17*M17,2),O17)</x:f>
        <x:v>240651.35</x:v>
      </x:c>
      <x:c r="I17" s="14" t="n">
        <x:v>0</x:v>
      </x:c>
      <x:c r="J17" s="24" t="n">
        <x:v>1</x:v>
      </x:c>
      <x:c r="K17" s="17" t="n">
        <x:f>H17*J17</x:f>
        <x:v>240651.35</x:v>
      </x:c>
      <x:c r="L17" s="14" t="str">
        <x:v>Conținut și consum justificat pe sesiuni; diferențiați FEDR de consumabile</x:v>
      </x:c>
      <x:c r="M17" s="32"/>
      <x:c r="N17" s="14" t="str">
        <x:v>Lipsă ofertă</x:v>
      </x:c>
      <x:c r="O17" s="12" t="n">
        <x:f>ROUND($B$9*D17,2)</x:f>
        <x:v>240651.35</x:v>
      </x:c>
      <x:c r="P17" s="32"/>
      <x:c r="Q17" s="51" t="n">
        <x:f>IF(ISNUMBER(M17),IF(OR(N17="",N17="Lipsă ofertă"),1,0),0)</x:f>
        <x:v>0</x:v>
      </x:c>
    </x:row>
    <x:row r="18" ht="66" customHeight="1">
      <x:c r="A18" s="14" t="str">
        <x:v>Instrumente evaluare și licențe</x:v>
      </x:c>
      <x:c r="B18" s="14" t="str">
        <x:v>Lider</x:v>
      </x:c>
      <x:c r="C18" s="14" t="str">
        <x:v>A1</x:v>
      </x:c>
      <x:c r="D18" s="24" t="n">
        <x:v>0.055</x:v>
      </x:c>
      <x:c r="E18" s="27" t="n">
        <x:f>Parametri!B10</x:f>
        <x:v>720</x:v>
      </x:c>
      <x:c r="F18" s="14" t="str">
        <x:v>utilizatori</x:v>
      </x:c>
      <x:c r="G18" s="17" t="n">
        <x:f>O18/E18</x:f>
        <x:v>306.3848194444445</x:v>
      </x:c>
      <x:c r="H18" s="17" t="n">
        <x:f>IF(ISNUMBER(M18),ROUND(E18*M18,2),O18)</x:f>
        <x:v>220597.07</x:v>
      </x:c>
      <x:c r="I18" s="14" t="n">
        <x:v>0</x:v>
      </x:c>
      <x:c r="J18" s="24" t="n">
        <x:v>0</x:v>
      </x:c>
      <x:c r="K18" s="17" t="n">
        <x:f>H18*J18</x:f>
        <x:v>0</x:v>
      </x:c>
      <x:c r="L18" s="14" t="str">
        <x:v>Durată licență, testare T0/T1/T2; fără platformă nouă dacă există</x:v>
      </x:c>
      <x:c r="M18" s="32"/>
      <x:c r="N18" s="14" t="str">
        <x:v>Lipsă ofertă</x:v>
      </x:c>
      <x:c r="O18" s="12" t="n">
        <x:f>ROUND($B$9*D18,2)</x:f>
        <x:v>220597.07</x:v>
      </x:c>
      <x:c r="P18" s="32"/>
      <x:c r="Q18" s="51" t="n">
        <x:f>IF(ISNUMBER(M18),IF(OR(N18="",N18="Lipsă ofertă"),1,0),0)</x:f>
        <x:v>0</x:v>
      </x:c>
    </x:row>
    <x:row r="19" ht="66" customHeight="1">
      <x:c r="A19" s="14" t="str">
        <x:v>Logistică participare competiții</x:v>
      </x:c>
      <x:c r="B19" s="14" t="str">
        <x:v>Lider</x:v>
      </x:c>
      <x:c r="C19" s="14" t="str">
        <x:v>A1</x:v>
      </x:c>
      <x:c r="D19" s="24" t="n">
        <x:v>0.035</x:v>
      </x:c>
      <x:c r="E19" s="27" t="n">
        <x:f>Parametri!B28</x:f>
        <x:v>180</x:v>
      </x:c>
      <x:c r="F19" s="14" t="str">
        <x:v>elevi</x:v>
      </x:c>
      <x:c r="G19" s="17" t="n">
        <x:f>O19/E19</x:f>
        <x:v>779.8886111111112</x:v>
      </x:c>
      <x:c r="H19" s="17" t="n">
        <x:f>IF(ISNUMBER(M19),ROUND(E19*M19,2),O19)</x:f>
        <x:v>140379.95</x:v>
      </x:c>
      <x:c r="I19" s="14" t="n">
        <x:v>0</x:v>
      </x:c>
      <x:c r="J19" s="24" t="n">
        <x:v>0</x:v>
      </x:c>
      <x:c r="K19" s="17" t="n">
        <x:f>H19*J19</x:f>
        <x:v>0</x:v>
      </x:c>
      <x:c r="L19" s="14" t="str">
        <x:v>Calendar eligibil, deplasări distincte de transport A2, fără premii duplicate</x:v>
      </x:c>
      <x:c r="M19" s="32"/>
      <x:c r="N19" s="14" t="str">
        <x:v>Lipsă ofertă</x:v>
      </x:c>
      <x:c r="O19" s="12" t="n">
        <x:f>ROUND($B$9*D19,2)</x:f>
        <x:v>140379.95</x:v>
      </x:c>
      <x:c r="P19" s="32"/>
      <x:c r="Q19" s="51" t="n">
        <x:f>IF(ISNUMBER(M19),IF(OR(N19="",N19="Lipsă ofertă"),1,0),0)</x:f>
        <x:v>0</x:v>
      </x:c>
    </x:row>
    <x:row r="20" ht="66" customHeight="1">
      <x:c r="A20" s="14" t="str">
        <x:v>Formare profesori40h, certificare</x:v>
      </x:c>
      <x:c r="B20" s="14" t="str">
        <x:v>Lider</x:v>
      </x:c>
      <x:c r="C20" s="14" t="str">
        <x:v>A3</x:v>
      </x:c>
      <x:c r="D20" s="24" t="n">
        <x:v>0.05</x:v>
      </x:c>
      <x:c r="E20" s="27" t="n">
        <x:f>Parametri!B11</x:f>
        <x:v>48</x:v>
      </x:c>
      <x:c r="F20" s="14" t="str">
        <x:v>persoane</x:v>
      </x:c>
      <x:c r="G20" s="17" t="n">
        <x:f>O20/E20</x:f>
        <x:v>4177.9747916666665</x:v>
      </x:c>
      <x:c r="H20" s="17" t="n">
        <x:f>IF(ISNUMBER(M20),ROUND(E20*M20,2),O20)</x:f>
        <x:v>200542.79</x:v>
      </x:c>
      <x:c r="I20" s="14" t="n">
        <x:v>0</x:v>
      </x:c>
      <x:c r="J20" s="24" t="n">
        <x:v>0.5</x:v>
      </x:c>
      <x:c r="K20" s="17" t="n">
        <x:f>H20*J20</x:f>
        <x:v>100271.395</x:v>
      </x:c>
      <x:c r="L20" s="14" t="str">
        <x:v>Furnizor competent;40h/pers; tematici complementare; cost personal extern separat dacă identificabil</x:v>
      </x:c>
      <x:c r="M20" s="32"/>
      <x:c r="N20" s="14" t="str">
        <x:v>Lipsă ofertă</x:v>
      </x:c>
      <x:c r="O20" s="12" t="n">
        <x:f>ROUND($B$9*D20,2)</x:f>
        <x:v>200542.79</x:v>
      </x:c>
      <x:c r="P20" s="32"/>
      <x:c r="Q20" s="51" t="n">
        <x:f>IF(ISNUMBER(M20),IF(OR(N20="",N20="Lipsă ofertă"),1,0),0)</x:f>
        <x:v>0</x:v>
      </x:c>
    </x:row>
    <x:row r="21" ht="66" customHeight="1">
      <x:c r="A21" s="14" t="str">
        <x:v>Digitizare și accesibilizare resurse</x:v>
      </x:c>
      <x:c r="B21" s="14" t="str">
        <x:v>Lider</x:v>
      </x:c>
      <x:c r="C21" s="14" t="str">
        <x:v>A3</x:v>
      </x:c>
      <x:c r="D21" s="24" t="n">
        <x:v>0.04</x:v>
      </x:c>
      <x:c r="E21" s="27" t="n">
        <x:f>ROUNDUP(Parametri!B10/120,0)</x:f>
        <x:v>6</x:v>
      </x:c>
      <x:c r="F21" s="14" t="str">
        <x:v>module</x:v>
      </x:c>
      <x:c r="G21" s="17" t="n">
        <x:f>O21/E21</x:f>
        <x:v>26739.038333333334</x:v>
      </x:c>
      <x:c r="H21" s="17" t="n">
        <x:f>IF(ISNUMBER(M21),ROUND(E21*M21,2),O21)</x:f>
        <x:v>160434.23</x:v>
      </x:c>
      <x:c r="I21" s="14" t="n">
        <x:v>0</x:v>
      </x:c>
      <x:c r="J21" s="24" t="n">
        <x:v>0</x:v>
      </x:c>
      <x:c r="K21" s="17" t="n">
        <x:f>H21*J21</x:f>
        <x:v>0</x:v>
      </x:c>
      <x:c r="L21" s="14" t="str">
        <x:v>Producție multimedia; conținut realizat de profesori nu se plătește dublu</x:v>
      </x:c>
      <x:c r="M21" s="32"/>
      <x:c r="N21" s="14" t="str">
        <x:v>Lipsă ofertă</x:v>
      </x:c>
      <x:c r="O21" s="12" t="n">
        <x:f>ROUND($B$9*D21,2)</x:f>
        <x:v>160434.23</x:v>
      </x:c>
      <x:c r="P21" s="32"/>
      <x:c r="Q21" s="51" t="n">
        <x:f>IF(ISNUMBER(M21),IF(OR(N21="",N21="Lipsă ofertă"),1,0),0)</x:f>
        <x:v>0</x:v>
      </x:c>
    </x:row>
    <x:row r="22" ht="66" customHeight="1">
      <x:c r="A22" s="14" t="str">
        <x:v>Vizite și ateliere comunitare</x:v>
      </x:c>
      <x:c r="B22" s="14" t="str">
        <x:v>Lider</x:v>
      </x:c>
      <x:c r="C22" s="14" t="str">
        <x:v>A4</x:v>
      </x:c>
      <x:c r="D22" s="24" t="n">
        <x:v>0.04</x:v>
      </x:c>
      <x:c r="E22" s="27" t="n">
        <x:f>Parametri!B24</x:f>
        <x:v>48</x:v>
      </x:c>
      <x:c r="F22" s="14" t="str">
        <x:v>ateliere</x:v>
      </x:c>
      <x:c r="G22" s="17" t="n">
        <x:f>O22/E22</x:f>
        <x:v>3342.3797916666667</x:v>
      </x:c>
      <x:c r="H22" s="17" t="n">
        <x:f>IF(ISNUMBER(M22),ROUND(E22*M22,2),O22)</x:f>
        <x:v>160434.23</x:v>
      </x:c>
      <x:c r="I22" s="14" t="n">
        <x:v>0</x:v>
      </x:c>
      <x:c r="J22" s="24" t="n">
        <x:v>0.5</x:v>
      </x:c>
      <x:c r="K22" s="17" t="n">
        <x:f>H22*J22</x:f>
        <x:v>80217.115</x:v>
      </x:c>
      <x:c r="L22" s="14" t="str">
        <x:v>6h/grup; acces instituții și materiale; fără ore profesori duplicate</x:v>
      </x:c>
      <x:c r="M22" s="32"/>
      <x:c r="N22" s="14" t="str">
        <x:v>Lipsă ofertă</x:v>
      </x:c>
      <x:c r="O22" s="12" t="n">
        <x:f>ROUND($B$9*D22,2)</x:f>
        <x:v>160434.23</x:v>
      </x:c>
      <x:c r="P22" s="32"/>
      <x:c r="Q22" s="51" t="n">
        <x:f>IF(ISNUMBER(M22),IF(OR(N22="",N22="Lipsă ofertă"),1,0),0)</x:f>
        <x:v>0</x:v>
      </x:c>
    </x:row>
    <x:row r="23" ht="66" customHeight="1">
      <x:c r="A23" s="14" t="str">
        <x:v>Evaluare impact independentă</x:v>
      </x:c>
      <x:c r="B23" s="14" t="str">
        <x:v>Lider</x:v>
      </x:c>
      <x:c r="C23" s="14" t="str">
        <x:v>A5</x:v>
      </x:c>
      <x:c r="D23" s="24" t="n">
        <x:v>0.025</x:v>
      </x:c>
      <x:c r="E23" s="27" t="n">
        <x:f>40+Parametri!B10/3</x:f>
        <x:v>280</x:v>
      </x:c>
      <x:c r="F23" s="14" t="str">
        <x:v>ore-serviciu</x:v>
      </x:c>
      <x:c r="G23" s="17" t="n">
        <x:f>O23/E23</x:f>
        <x:v>358.1121428571428</x:v>
      </x:c>
      <x:c r="H23" s="17" t="n">
        <x:f>IF(ISNUMBER(M23),ROUND(E23*M23,2),O23)</x:f>
        <x:v>100271.4</x:v>
      </x:c>
      <x:c r="I23" s="14" t="n">
        <x:v>0</x:v>
      </x:c>
      <x:c r="J23" s="24" t="n">
        <x:v>0</x:v>
      </x:c>
      <x:c r="K23" s="17" t="n">
        <x:f>H23*J23</x:f>
        <x:v>0</x:v>
      </x:c>
      <x:c r="L23" s="14" t="str">
        <x:v>T0/T1/T2, analiză date, raport scalare; a se separa personal extern dacă identificabil</x:v>
      </x:c>
      <x:c r="M23" s="32"/>
      <x:c r="N23" s="14" t="str">
        <x:v>Lipsă ofertă</x:v>
      </x:c>
      <x:c r="O23" s="12" t="n">
        <x:f>ROUND($B$9*D23,2)</x:f>
        <x:v>100271.4</x:v>
      </x:c>
      <x:c r="P23" s="32"/>
      <x:c r="Q23" s="51" t="n">
        <x:f>IF(ISNUMBER(M23),IF(OR(N23="",N23="Lipsă ofertă"),1,0),0)</x:f>
        <x:v>0</x:v>
      </x:c>
    </x:row>
    <x:row r="24" ht="66" customHeight="1">
      <x:c r="A24" s="14" t="str">
        <x:v>Resurse incluzive adaptate</x:v>
      </x:c>
      <x:c r="B24" s="14" t="str">
        <x:v>Lider</x:v>
      </x:c>
      <x:c r="C24" s="14" t="str">
        <x:v>A2</x:v>
      </x:c>
      <x:c r="D24" s="24" t="n">
        <x:v>0.025</x:v>
      </x:c>
      <x:c r="E24" s="27" t="n">
        <x:f>Parametri!B10</x:f>
        <x:v>720</x:v>
      </x:c>
      <x:c r="F24" s="14" t="str">
        <x:v>pachete</x:v>
      </x:c>
      <x:c r="G24" s="17" t="n">
        <x:f>O24/E24</x:f>
        <x:v>139.26583333333332</x:v>
      </x:c>
      <x:c r="H24" s="17" t="n">
        <x:f>IF(ISNUMBER(M24),ROUND(E24*M24,2),O24)</x:f>
        <x:v>100271.4</x:v>
      </x:c>
      <x:c r="I24" s="14" t="n">
        <x:v>0</x:v>
      </x:c>
      <x:c r="J24" s="24" t="n">
        <x:v>0</x:v>
      </x:c>
      <x:c r="K24" s="17" t="n">
        <x:f>H24*J24</x:f>
        <x:v>0</x:v>
      </x:c>
      <x:c r="L24" s="14" t="str">
        <x:v>Accesibilitate, egalitate gen; probă nevoi și ofertă</x:v>
      </x:c>
      <x:c r="M24" s="32"/>
      <x:c r="N24" s="14" t="str">
        <x:v>Lipsă ofertă</x:v>
      </x:c>
      <x:c r="O24" s="12" t="n">
        <x:f>ROUND($B$9*D24,2)</x:f>
        <x:v>100271.4</x:v>
      </x:c>
      <x:c r="P24" s="32"/>
      <x:c r="Q24" s="51" t="n">
        <x:f>IF(ISNUMBER(M24),IF(OR(N24="",N24="Lipsă ofertă"),1,0),0)</x:f>
        <x:v>0</x:v>
      </x:c>
    </x:row>
    <x:row r="25" ht="66" customHeight="1">
      <x:c r="A25" s="14" t="str">
        <x:v>Ateliere practică și consumabile</x:v>
      </x:c>
      <x:c r="B25" s="14" t="str">
        <x:v>Lider</x:v>
      </x:c>
      <x:c r="C25" s="14" t="str">
        <x:v>A1</x:v>
      </x:c>
      <x:c r="D25" s="24" t="n">
        <x:v>0.02</x:v>
      </x:c>
      <x:c r="E25" s="27" t="n">
        <x:f>Parametri!B24</x:f>
        <x:v>48</x:v>
      </x:c>
      <x:c r="F25" s="14" t="str">
        <x:v>grupe</x:v>
      </x:c>
      <x:c r="G25" s="17" t="n">
        <x:f>O25/E25</x:f>
        <x:v>1671.1899999999998</x:v>
      </x:c>
      <x:c r="H25" s="17" t="n">
        <x:f>IF(ISNUMBER(M25),ROUND(E25*M25,2),O25)</x:f>
        <x:v>80217.12</x:v>
      </x:c>
      <x:c r="I25" s="14" t="n">
        <x:v>0</x:v>
      </x:c>
      <x:c r="J25" s="24" t="n">
        <x:v>1</x:v>
      </x:c>
      <x:c r="K25" s="17" t="n">
        <x:f>H25*J25</x:f>
        <x:v>80217.12</x:v>
      </x:c>
      <x:c r="L25" s="14" t="str">
        <x:v>Consum pe experimente. Pondere2%; ultima linie preia exclusiv diferența de rotunjire la bani a alocărilor.</x:v>
      </x:c>
      <x:c r="M25" s="32"/>
      <x:c r="N25" s="14" t="str">
        <x:v>Lipsă ofertă</x:v>
      </x:c>
      <x:c r="O25" s="12" t="n">
        <x:f>ROUND($B$9-SUM(O13:O24),2)</x:f>
        <x:v>80217.12</x:v>
      </x:c>
      <x:c r="P25" s="32"/>
      <x:c r="Q25" s="51" t="n">
        <x:f>IF(ISNUMBER(M25),IF(OR(N25="",N25="Lipsă ofertă"),1,0),0)</x:f>
        <x:v>0</x:v>
      </x:c>
    </x:row>
    <x:row r="26">
      <x:c r="A26" s="2"/>
      <x:c r="B26" s="2"/>
      <x:c r="C26" s="2"/>
      <x:c r="D26" s="33"/>
      <x:c r="E26" s="2"/>
      <x:c r="F26" s="2"/>
      <x:c r="G26" s="29"/>
      <x:c r="H26" s="29"/>
      <x:c r="I26" s="2"/>
      <x:c r="J26" s="2"/>
      <x:c r="K26" s="2"/>
      <x:c r="L26" s="2"/>
      <x:c r="M26" s="2"/>
      <x:c r="N26" s="2"/>
      <x:c r="O26" s="2"/>
      <x:c r="P26" s="2"/>
    </x:row>
    <x:row r="27">
      <x:c r="A27" s="2" t="str">
        <x:v>Total bunuri/servicii</x:v>
      </x:c>
      <x:c r="B27" s="2"/>
      <x:c r="C27" s="2"/>
      <x:c r="D27" s="34" t="n">
        <x:f>SUM(D13:D25)</x:f>
        <x:v>1.0000000000000002</x:v>
      </x:c>
      <x:c r="E27" s="2"/>
      <x:c r="F27" s="2"/>
      <x:c r="G27" s="29"/>
      <x:c r="H27" s="12" t="n">
        <x:f>SUM(H13:H25)</x:f>
        <x:v>4010855.83</x:v>
      </x:c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32" customHeight="1">
      <x:c r="A30" s="6" t="str">
        <x:v>Entitate</x:v>
      </x:c>
      <x:c r="B30" s="6" t="str">
        <x:v>Personal direct</x:v>
      </x:c>
      <x:c r="C30" s="6" t="str">
        <x:v>Bunuri/servicii + premii</x:v>
      </x:c>
      <x:c r="D30" s="6" t="str">
        <x:v>Total directe</x:v>
      </x:c>
      <x:c r="E30" s="6" t="str">
        <x:v>Indirecte15%</x:v>
      </x:c>
      <x:c r="F30" s="6" t="str">
        <x:v>Total eligibil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 t="str">
        <x:v>Lider</x:v>
      </x:c>
      <x:c r="B31" s="35" t="n">
        <x:f>SUMIFS(Personal!H6:H13,Personal!B6:B13,A31)</x:f>
        <x:v>853685.25</x:v>
      </x:c>
      <x:c r="C31" s="12" t="n">
        <x:f>SUMIFS(H13:H25,B13:B25,A31)+B8</x:f>
        <x:v>4033255.83</x:v>
      </x:c>
      <x:c r="D31" s="12" t="n">
        <x:f>SUM(B31:C31)</x:f>
        <x:v>4886941.08</x:v>
      </x:c>
      <x:c r="E31" s="35" t="n">
        <x:f>ROUND((B31+SUMIFS(P13:P25,B13:B25,A31))*Parametri!B12,2)</x:f>
        <x:v>128052.79</x:v>
      </x:c>
      <x:c r="F31" s="12" t="n">
        <x:f>SUM(D31:E31)</x:f>
        <x:v>5014993.87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 t="str">
        <x:v>ONG</x:v>
      </x:c>
      <x:c r="B32" s="35" t="n">
        <x:f>SUMIFS(Personal!H6:H13,Personal!B6:B13,A32)</x:f>
        <x:v>211657.5</x:v>
      </x:c>
      <x:c r="C32" s="12" t="n">
        <x:f>SUMIFS(H13:H25,B13:B25,A32)</x:f>
        <x:v>0</x:v>
      </x:c>
      <x:c r="D32" s="12" t="n">
        <x:f>SUM(B32:C32)</x:f>
        <x:v>211657.5</x:v>
      </x:c>
      <x:c r="E32" s="35" t="n">
        <x:f>ROUND((B32+SUMIFS(P13:P25,B13:B25,A32))*Parametri!B12,2)</x:f>
        <x:v>31748.63</x:v>
      </x:c>
      <x:c r="F32" s="12" t="n">
        <x:f>SUM(D32:E32)</x:f>
        <x:v>243406.13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 t="str">
        <x:v>TOTAL</x:v>
      </x:c>
      <x:c r="B33" s="12" t="n">
        <x:f>SUM(B31:B32)</x:f>
        <x:v>1065342.75</x:v>
      </x:c>
      <x:c r="C33" s="12" t="n">
        <x:f>SUM(C31:C32)</x:f>
        <x:v>4033255.83</x:v>
      </x:c>
      <x:c r="D33" s="12" t="n">
        <x:f>SUM(D31:D32)</x:f>
        <x:v>5098598.58</x:v>
      </x:c>
      <x:c r="E33" s="12" t="n">
        <x:f>SUM(E31:E32)</x:f>
        <x:v>159801.41999999998</x:v>
      </x:c>
      <x:c r="F33" s="12" t="n">
        <x:f>SUM(F31:F32)</x:f>
        <x:v>5258400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 t="str">
        <x:v>Premii/subvenții: per concurs1.000/700/500/300lei;5 distincții planificate, minimum17 participanți pentru limita30%.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 t="str">
        <x:v>Subvențiile profesorilor sunt condiționate de premii reale și documente; nu drept automat pentru întreaga echipă.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 t="str">
        <x:v>TVA: plafoane de planificare inclusiv TVA nerecuperabilă, dacă eligibilă. În bugetul de depunere se separă baza/TVA.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 t="str">
        <x:v>Completați oferta unitară în M și sursa în N. Bugetul devine cantitate×ofertă; totalul NU mai este forțat la limită.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 t="str">
        <x:v>P: introduceți numai componenta de personal extern eligibil confirmată din H, nu toată factura. Se actualizează indirectele.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 t="str">
        <x:v>Catering/transport la lider este recomandare de organizare; ONG execută direct consilierea și facilitarea comunitară.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5" hidden="0" customWidth="1"/>
    <x:col min="13" max="13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Personal minim propus – cost total și ore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Tarife brute ipotetice. Pentru personalul public din organigramă se aplică Legea153/2017, nu automat aceste tarife.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Rol</x:v>
      </x:c>
      <x:c r="B5" s="6" t="str">
        <x:v>Entitate</x:v>
      </x:c>
      <x:c r="C5" s="6" t="str">
        <x:v>Activitate</x:v>
      </x:c>
      <x:c r="D5" s="6" t="str">
        <x:v>Persoane</x:v>
      </x:c>
      <x:c r="E5" s="6" t="str">
        <x:v>Ore totale</x:v>
      </x:c>
      <x:c r="F5" s="6" t="str">
        <x:v>Brut lei/oră</x:v>
      </x:c>
      <x:c r="G5" s="6" t="str">
        <x:v>CAM</x:v>
      </x:c>
      <x:c r="H5" s="6" t="str">
        <x:v>Cost total lei</x:v>
      </x:c>
      <x:c r="I5" s="6" t="str">
        <x:v>Net lei/oră estimat</x:v>
      </x:c>
      <x:c r="J5" s="6" t="str">
        <x:v>Plafon net</x:v>
      </x:c>
      <x:c r="K5" s="6" t="str">
        <x:v>Ore medii/pers/lună</x:v>
      </x:c>
      <x:c r="L5" s="6" t="str">
        <x:v>Justificare ore</x:v>
      </x:c>
      <x:c r="M5" s="6" t="str">
        <x:v>Probă necesară</x:v>
      </x:c>
      <x:c r="N5" s="2"/>
      <x:c r="O5" s="2"/>
      <x:c r="P5" s="2"/>
    </x:row>
    <x:row r="6" ht="62" customHeight="1">
      <x:c r="A6" s="14" t="str">
        <x:v>Manager proiect</x:v>
      </x:c>
      <x:c r="B6" s="14" t="str">
        <x:v>Lider</x:v>
      </x:c>
      <x:c r="C6" s="14" t="str">
        <x:v>M</x:v>
      </x:c>
      <x:c r="D6" s="18" t="n">
        <x:v>1</x:v>
      </x:c>
      <x:c r="E6" s="18" t="n">
        <x:f>Parametri!B9*40</x:f>
        <x:v>1200</x:v>
      </x:c>
      <x:c r="F6" s="15" t="n">
        <x:f>Salarizare!H6</x:f>
        <x:v>110</x:v>
      </x:c>
      <x:c r="G6" s="28" t="n">
        <x:f>F6*Parametri!$B$20</x:f>
        <x:v>2.475</x:v>
      </x:c>
      <x:c r="H6" s="17" t="n">
        <x:f>ROUND(E6*(F6+G6),2)</x:f>
        <x:v>134970</x:v>
      </x:c>
      <x:c r="I6" s="28" t="n">
        <x:f>F6*(1-Parametri!$B$17-Parametri!$B$18)*(1-Parametri!$B$19)</x:f>
        <x:v>64.35000000000001</x:v>
      </x:c>
      <x:c r="J6" s="28" t="n">
        <x:f>Parametri!$B$29</x:f>
        <x:v>70</x:v>
      </x:c>
      <x:c r="K6" s="28" t="n">
        <x:f>E6/D6/Parametri!$B$9</x:f>
        <x:v>40</x:v>
      </x:c>
      <x:c r="L6" s="14" t="str">
        <x:v>Plan, contracte, raportare;40h/lună</x:v>
      </x:c>
      <x:c r="M6" s="14" t="str">
        <x:v>CV, experiență management, contract</x:v>
      </x:c>
      <x:c r="N6" s="2"/>
      <x:c r="O6" s="2"/>
      <x:c r="P6" s="2"/>
    </x:row>
    <x:row r="7" ht="62" customHeight="1">
      <x:c r="A7" s="14" t="str">
        <x:v>Responsabil financiar lider</x:v>
      </x:c>
      <x:c r="B7" s="14" t="str">
        <x:v>Lider</x:v>
      </x:c>
      <x:c r="C7" s="14" t="str">
        <x:v>M</x:v>
      </x:c>
      <x:c r="D7" s="18" t="n">
        <x:v>1</x:v>
      </x:c>
      <x:c r="E7" s="18" t="n">
        <x:f>Parametri!B9*24</x:f>
        <x:v>720</x:v>
      </x:c>
      <x:c r="F7" s="15" t="n">
        <x:f>Salarizare!H7</x:f>
        <x:v>100</x:v>
      </x:c>
      <x:c r="G7" s="28" t="n">
        <x:f>F7*Parametri!$B$20</x:f>
        <x:v>2.25</x:v>
      </x:c>
      <x:c r="H7" s="17" t="n">
        <x:f>ROUND(E7*(F7+G7),2)</x:f>
        <x:v>73620</x:v>
      </x:c>
      <x:c r="I7" s="28" t="n">
        <x:f>F7*(1-Parametri!$B$17-Parametri!$B$18)*(1-Parametri!$B$19)</x:f>
        <x:v>58.5</x:v>
      </x:c>
      <x:c r="J7" s="28" t="n">
        <x:f>Parametri!$B$29</x:f>
        <x:v>70</x:v>
      </x:c>
      <x:c r="K7" s="28" t="n">
        <x:f>E7/D7/Parametri!$B$9</x:f>
        <x:v>24</x:v>
      </x:c>
      <x:c r="L7" s="14" t="str">
        <x:v>Verificare cheltuieli și cereri;24h/lună</x:v>
      </x:c>
      <x:c r="M7" s="14" t="str">
        <x:v>Studii economice, experiență financiară</x:v>
      </x:c>
      <x:c r="N7" s="2"/>
      <x:c r="O7" s="2"/>
      <x:c r="P7" s="2"/>
    </x:row>
    <x:row r="8" ht="62" customHeight="1">
      <x:c r="A8" s="14" t="str">
        <x:v>Coordonator ONG</x:v>
      </x:c>
      <x:c r="B8" s="14" t="str">
        <x:v>ONG</x:v>
      </x:c>
      <x:c r="C8" s="14" t="str">
        <x:v>M</x:v>
      </x:c>
      <x:c r="D8" s="18" t="n">
        <x:v>1</x:v>
      </x:c>
      <x:c r="E8" s="18" t="n">
        <x:f>Parametri!B9*24</x:f>
        <x:v>720</x:v>
      </x:c>
      <x:c r="F8" s="15" t="n">
        <x:f>Salarizare!H8</x:f>
        <x:v>100</x:v>
      </x:c>
      <x:c r="G8" s="28" t="n">
        <x:f>F8*Parametri!$B$20</x:f>
        <x:v>2.25</x:v>
      </x:c>
      <x:c r="H8" s="17" t="n">
        <x:f>ROUND(E8*(F8+G8),2)</x:f>
        <x:v>73620</x:v>
      </x:c>
      <x:c r="I8" s="28" t="n">
        <x:f>F8*(1-Parametri!$B$17-Parametri!$B$18)*(1-Parametri!$B$19)</x:f>
        <x:v>58.5</x:v>
      </x:c>
      <x:c r="J8" s="28" t="n">
        <x:f>Parametri!$B$29</x:f>
        <x:v>70</x:v>
      </x:c>
      <x:c r="K8" s="28" t="n">
        <x:f>E8/D8/Parametri!$B$9</x:f>
        <x:v>24</x:v>
      </x:c>
      <x:c r="L8" s="14" t="str">
        <x:v>Coordonare A2/A4;24h/lună; fără dublarea facilitării</x:v>
      </x:c>
      <x:c r="M8" s="14" t="str">
        <x:v>CV, experiență relevantă</x:v>
      </x:c>
      <x:c r="N8" s="2"/>
      <x:c r="O8" s="2"/>
      <x:c r="P8" s="2"/>
    </x:row>
    <x:row r="9" ht="62" customHeight="1">
      <x:c r="A9" s="14" t="str">
        <x:v>Responsabil financiar ONG</x:v>
      </x:c>
      <x:c r="B9" s="14" t="str">
        <x:v>ONG</x:v>
      </x:c>
      <x:c r="C9" s="14" t="str">
        <x:v>M</x:v>
      </x:c>
      <x:c r="D9" s="18" t="n">
        <x:v>1</x:v>
      </x:c>
      <x:c r="E9" s="18" t="n">
        <x:f>Parametri!B9*12</x:f>
        <x:v>360</x:v>
      </x:c>
      <x:c r="F9" s="15" t="n">
        <x:f>Salarizare!H9</x:f>
        <x:v>90</x:v>
      </x:c>
      <x:c r="G9" s="28" t="n">
        <x:f>F9*Parametri!$B$20</x:f>
        <x:v>2.025</x:v>
      </x:c>
      <x:c r="H9" s="17" t="n">
        <x:f>ROUND(E9*(F9+G9),2)</x:f>
        <x:v>33129</x:v>
      </x:c>
      <x:c r="I9" s="28" t="n">
        <x:f>F9*(1-Parametri!$B$17-Parametri!$B$18)*(1-Parametri!$B$19)</x:f>
        <x:v>52.65</x:v>
      </x:c>
      <x:c r="J9" s="28" t="n">
        <x:f>Parametri!$B$29</x:f>
        <x:v>70</x:v>
      </x:c>
      <x:c r="K9" s="28" t="n">
        <x:f>E9/D9/Parametri!$B$9</x:f>
        <x:v>12</x:v>
      </x:c>
      <x:c r="L9" s="14" t="str">
        <x:v>Evidență proiect și deconturi ONG;12h/lună</x:v>
      </x:c>
      <x:c r="M9" s="14" t="str">
        <x:v>Studii economice și evidență separată</x:v>
      </x:c>
      <x:c r="N9" s="2"/>
      <x:c r="O9" s="2"/>
      <x:c r="P9" s="2"/>
    </x:row>
    <x:row r="10" ht="62" customHeight="1">
      <x:c r="A10" s="14" t="str">
        <x:v>Coordonator pedagogic</x:v>
      </x:c>
      <x:c r="B10" s="14" t="str">
        <x:v>Lider</x:v>
      </x:c>
      <x:c r="C10" s="14" t="str">
        <x:v>A1</x:v>
      </x:c>
      <x:c r="D10" s="18" t="n">
        <x:v>1</x:v>
      </x:c>
      <x:c r="E10" s="18" t="n">
        <x:f>Parametri!B9*20</x:f>
        <x:v>600</x:v>
      </x:c>
      <x:c r="F10" s="15" t="n">
        <x:f>Salarizare!H10</x:f>
        <x:v>110</x:v>
      </x:c>
      <x:c r="G10" s="28" t="n">
        <x:f>F10*Parametri!$B$20</x:f>
        <x:v>2.475</x:v>
      </x:c>
      <x:c r="H10" s="17" t="n">
        <x:f>ROUND(E10*(F10+G10),2)</x:f>
        <x:v>67485</x:v>
      </x:c>
      <x:c r="I10" s="28" t="n">
        <x:f>F10*(1-Parametri!$B$17-Parametri!$B$18)*(1-Parametri!$B$19)</x:f>
        <x:v>64.35000000000001</x:v>
      </x:c>
      <x:c r="J10" s="28" t="n">
        <x:f>Parametri!$B$29</x:f>
        <x:v>70</x:v>
      </x:c>
      <x:c r="K10" s="28" t="n">
        <x:f>E10/D10/Parametri!$B$9</x:f>
        <x:v>20</x:v>
      </x:c>
      <x:c r="L10" s="14" t="str">
        <x:v>Planuri diferențiate, instrumente, progres; exclude predarea</x:v>
      </x:c>
      <x:c r="M10" s="14" t="str">
        <x:v>Cadru didactic cu experiență și competențe</x:v>
      </x:c>
      <x:c r="N10" s="2"/>
      <x:c r="O10" s="2"/>
      <x:c r="P10" s="2"/>
    </x:row>
    <x:row r="11" ht="62" customHeight="1">
      <x:c r="A11" s="14" t="str">
        <x:v>Profesori și mentori</x:v>
      </x:c>
      <x:c r="B11" s="14" t="str">
        <x:v>Lider</x:v>
      </x:c>
      <x:c r="C11" s="14" t="str">
        <x:v>A1/A3/A4</x:v>
      </x:c>
      <x:c r="D11" s="18" t="n">
        <x:f>ROUNDUP(Parametri!B24/4,0)</x:f>
        <x:v>12</x:v>
      </x:c>
      <x:c r="E11" s="18" t="n">
        <x:f>SUM(B21:B25)</x:f>
        <x:v>5649</x:v>
      </x:c>
      <x:c r="F11" s="15" t="n">
        <x:f>Salarizare!H11</x:f>
        <x:v>100</x:v>
      </x:c>
      <x:c r="G11" s="28" t="n">
        <x:f>F11*Parametri!$B$20</x:f>
        <x:v>2.25</x:v>
      </x:c>
      <x:c r="H11" s="17" t="n">
        <x:f>ROUND(E11*(F11+G11),2)</x:f>
        <x:v>577610.25</x:v>
      </x:c>
      <x:c r="I11" s="28" t="n">
        <x:f>F11*(1-Parametri!$B$17-Parametri!$B$18)*(1-Parametri!$B$19)</x:f>
        <x:v>58.5</x:v>
      </x:c>
      <x:c r="J11" s="28" t="n">
        <x:f>Parametri!$B$29</x:f>
        <x:v>70</x:v>
      </x:c>
      <x:c r="K11" s="28" t="n">
        <x:f>E11/D11/Parametri!$B$9</x:f>
        <x:v>15.691666666666666</x:v>
      </x:c>
      <x:c r="L11" s="14" t="str">
        <x:v>Contact+p pregătire+evaluare+CDEOȘ; raport educație</x:v>
      </x:c>
      <x:c r="M11" s="14" t="str">
        <x:v>Calificări pe discipline; orar și pontaj fără suprapuneri</x:v>
      </x:c>
      <x:c r="N11" s="2"/>
      <x:c r="O11" s="2"/>
      <x:c r="P11" s="2"/>
    </x:row>
    <x:row r="12" ht="62" customHeight="1">
      <x:c r="A12" s="14" t="str">
        <x:v>Consilier educațional</x:v>
      </x:c>
      <x:c r="B12" s="14" t="str">
        <x:v>ONG</x:v>
      </x:c>
      <x:c r="C12" s="14" t="str">
        <x:v>A2</x:v>
      </x:c>
      <x:c r="D12" s="18" t="n">
        <x:v>1</x:v>
      </x:c>
      <x:c r="E12" s="18" t="n">
        <x:f>(Parametri!B24*12+Parametri!B10*0.2)*1.2</x:f>
        <x:v>864</x:v>
      </x:c>
      <x:c r="F12" s="15" t="n">
        <x:f>Salarizare!H12</x:f>
        <x:v>100</x:v>
      </x:c>
      <x:c r="G12" s="28" t="n">
        <x:f>F12*Parametri!$B$20</x:f>
        <x:v>2.25</x:v>
      </x:c>
      <x:c r="H12" s="17" t="n">
        <x:f>ROUND(E12*(F12+G12),2)</x:f>
        <x:v>88344</x:v>
      </x:c>
      <x:c r="I12" s="28" t="n">
        <x:f>F12*(1-Parametri!$B$17-Parametri!$B$18)*(1-Parametri!$B$19)</x:f>
        <x:v>58.5</x:v>
      </x:c>
      <x:c r="J12" s="28" t="n">
        <x:f>Parametri!$B$29</x:f>
        <x:v>70</x:v>
      </x:c>
      <x:c r="K12" s="28" t="n">
        <x:f>E12/D12/Parametri!$B$9</x:f>
        <x:v>28.8</x:v>
      </x:c>
      <x:c r="L12" s="14" t="str">
        <x:v>Contact individual/grup +20% pregătire/documentare</x:v>
      </x:c>
      <x:c r="M12" s="14" t="str">
        <x:v>Competență/atestare și statut ONG relevante</x:v>
      </x:c>
      <x:c r="N12" s="2"/>
      <x:c r="O12" s="2"/>
      <x:c r="P12" s="2"/>
    </x:row>
    <x:row r="13" ht="62" customHeight="1">
      <x:c r="A13" s="14" t="str">
        <x:v>Facilitator comunitar</x:v>
      </x:c>
      <x:c r="B13" s="14" t="str">
        <x:v>ONG</x:v>
      </x:c>
      <x:c r="C13" s="14" t="str">
        <x:v>A4</x:v>
      </x:c>
      <x:c r="D13" s="18" t="n">
        <x:v>1</x:v>
      </x:c>
      <x:c r="E13" s="18" t="n">
        <x:f>Parametri!B10*0.25</x:f>
        <x:v>180</x:v>
      </x:c>
      <x:c r="F13" s="15" t="n">
        <x:f>Salarizare!H13</x:f>
        <x:v>90</x:v>
      </x:c>
      <x:c r="G13" s="28" t="n">
        <x:f>F13*Parametri!$B$20</x:f>
        <x:v>2.025</x:v>
      </x:c>
      <x:c r="H13" s="17" t="n">
        <x:f>ROUND(E13*(F13+G13),2)</x:f>
        <x:v>16564.5</x:v>
      </x:c>
      <x:c r="I13" s="28" t="n">
        <x:f>F13*(1-Parametri!$B$17-Parametri!$B$18)*(1-Parametri!$B$19)</x:f>
        <x:v>52.65</x:v>
      </x:c>
      <x:c r="J13" s="28" t="n">
        <x:f>Parametri!$B$29</x:f>
        <x:v>70</x:v>
      </x:c>
      <x:c r="K13" s="28" t="n">
        <x:f>E13/D13/Parametri!$B$9</x:f>
        <x:v>6</x:v>
      </x:c>
      <x:c r="L13" s="14" t="str">
        <x:v>Consultări, acces și activități comunitare; livrabile distincte</x:v>
      </x:c>
      <x:c r="M13" s="14" t="str">
        <x:v>Foaie post distinctă; poate fi persoană existentă cu ore separate</x:v>
      </x:c>
      <x:c r="N13" s="2"/>
      <x:c r="O13" s="2"/>
      <x:c r="P13" s="2"/>
    </x:row>
    <x:row r="14">
      <x:c r="A14" s="2"/>
      <x:c r="B14" s="2"/>
      <x:c r="C14" s="2"/>
      <x:c r="D14" s="2"/>
      <x:c r="E14" s="2"/>
      <x:c r="F14" s="29"/>
      <x:c r="G14" s="29"/>
      <x:c r="H14" s="29"/>
      <x:c r="I14" s="29"/>
      <x:c r="J14" s="29"/>
      <x:c r="K14" s="29"/>
      <x:c r="L14" s="2"/>
      <x:c r="M14" s="2"/>
      <x:c r="N14" s="2"/>
      <x:c r="O14" s="2"/>
      <x:c r="P14" s="2"/>
    </x:row>
    <x:row r="15">
      <x:c r="A15" s="2" t="str">
        <x:v>TOTAL personal direct</x:v>
      </x:c>
      <x:c r="B15" s="2"/>
      <x:c r="C15" s="2"/>
      <x:c r="D15" s="2"/>
      <x:c r="E15" s="2"/>
      <x:c r="F15" s="29"/>
      <x:c r="G15" s="29"/>
      <x:c r="H15" s="12" t="n">
        <x:f>SUM(H6:H13)</x:f>
        <x:v>1065342.75</x:v>
      </x:c>
      <x:c r="I15" s="29"/>
      <x:c r="J15" s="29"/>
      <x:c r="K15" s="29"/>
      <x:c r="L15" s="2"/>
      <x:c r="M15" s="2"/>
      <x:c r="N15" s="2"/>
      <x:c r="O15" s="2"/>
      <x:c r="P15" s="2"/>
    </x:row>
    <x:row r="16">
      <x:c r="A16" s="2" t="str">
        <x:v>Lider</x:v>
      </x:c>
      <x:c r="B16" s="2"/>
      <x:c r="C16" s="2"/>
      <x:c r="D16" s="2"/>
      <x:c r="E16" s="2"/>
      <x:c r="F16" s="29"/>
      <x:c r="G16" s="29"/>
      <x:c r="H16" s="12" t="n">
        <x:f>SUMIFS(H6:H13,B6:B13,"Lider")</x:f>
        <x:v>853685.25</x:v>
      </x:c>
      <x:c r="I16" s="29"/>
      <x:c r="J16" s="29"/>
      <x:c r="K16" s="29"/>
      <x:c r="L16" s="2"/>
      <x:c r="M16" s="2"/>
      <x:c r="N16" s="2"/>
      <x:c r="O16" s="2"/>
      <x:c r="P16" s="2"/>
    </x:row>
    <x:row r="17">
      <x:c r="A17" s="2" t="str">
        <x:v>ONG</x:v>
      </x:c>
      <x:c r="B17" s="2"/>
      <x:c r="C17" s="2"/>
      <x:c r="D17" s="2"/>
      <x:c r="E17" s="2"/>
      <x:c r="F17" s="29"/>
      <x:c r="G17" s="29"/>
      <x:c r="H17" s="12" t="n">
        <x:f>SUMIFS(H6:H13,B6:B13,"ONG")</x:f>
        <x:v>211657.5</x:v>
      </x:c>
      <x:c r="I17" s="29"/>
      <x:c r="J17" s="29"/>
      <x:c r="K17" s="29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 t="str">
        <x:v>Orele profesorilor – repartizare fără dublare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32" customHeight="1">
      <x:c r="A20" s="6" t="str">
        <x:v>Componentă</x:v>
      </x:c>
      <x:c r="B20" s="6" t="str">
        <x:v>Minim / maxim selectat</x:v>
      </x:c>
      <x:c r="C20" s="6" t="str">
        <x:v>Activitate</x:v>
      </x:c>
      <x:c r="D20" s="6" t="str">
        <x:v>Observație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 t="str">
        <x:v>Contact alfabetizare</x:v>
      </x:c>
      <x:c r="B21" s="21" t="n">
        <x:f>Parametri!B24*60</x:f>
        <x:v>2880</x:v>
      </x:c>
      <x:c r="C21" s="2" t="str">
        <x:v>A1</x:v>
      </x:c>
      <x:c r="D21" s="2" t="str">
        <x:v>60h/grup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 t="str">
        <x:v>Contact STEAM</x:v>
      </x:c>
      <x:c r="B22" s="21" t="n">
        <x:f>ROUNDUP(Parametri!B28/Parametri!B23,0)*48</x:f>
        <x:v>576</x:v>
      </x:c>
      <x:c r="C22" s="2" t="str">
        <x:v>A1</x:v>
      </x:c>
      <x:c r="D22" s="2" t="str">
        <x:v>48h/grup subgrup STEAM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 t="str">
        <x:v>Pregătire și evaluare</x:v>
      </x:c>
      <x:c r="B23" s="21" t="n">
        <x:f>ROUNDUP((B21+B22+B25)*30%/5,0)*5+Parametri!B10*0.75</x:f>
        <x:v>1665</x:v>
      </x:c>
      <x:c r="C23" s="2" t="str">
        <x:v>A1</x:v>
      </x:c>
      <x:c r="D23" s="2" t="str">
        <x:v>30% contact, rotunjit la5h, plus0,75h/elev evaluare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 t="str">
        <x:v>CDEOȘ/resurse</x:v>
      </x:c>
      <x:c r="B24" s="21" t="n">
        <x:f>Parametri!B24*5</x:f>
        <x:v>240</x:v>
      </x:c>
      <x:c r="C24" s="2" t="str">
        <x:v>A3</x:v>
      </x:c>
      <x:c r="D24" s="2" t="str">
        <x:v>5h/grupă pentru CDEOȘ; fără dublare multimedia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 t="str">
        <x:v>Contact comunitate</x:v>
      </x:c>
      <x:c r="B25" s="21" t="n">
        <x:f>Parametri!B24*6</x:f>
        <x:v>288</x:v>
      </x:c>
      <x:c r="C25" s="2" t="str">
        <x:v>A4</x:v>
      </x:c>
      <x:c r="D25" s="2" t="str">
        <x:v>Profesor însoțitor și aplicații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 t="str">
        <x:v>Management obligatoriu:4 funcții pentru2 entități. Nu sunt bugetate funcții distincte de asistent manager/achiziții.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 t="str">
        <x:v>Juridic, suport IT, RU, publicitate obligatorie și administrație: în forfetar, fără linii directe duplicate.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4" hidden="0" customWidth="1"/>
    <x:col min="10" max="10" width="55" hidden="0" customWidth="1"/>
    <x:col min="11" max="11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Regim de salarizare și calculul tarifului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1 = ONG / post public în afara organigramei; 2 = personal public din organigramă. Alegerea necesită documente.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Rol</x:v>
      </x:c>
      <x:c r="B5" s="6" t="str">
        <x:v>Regim1/2</x:v>
      </x:c>
      <x:c r="C5" s="6" t="str">
        <x:v>Brut orar propus</x:v>
      </x:c>
      <x:c r="D5" s="6" t="str">
        <x:v>Salariu brut lunar de bază</x:v>
      </x:c>
      <x:c r="E5" s="6" t="str">
        <x:v>Majorare proiect %</x:v>
      </x:c>
      <x:c r="F5" s="6" t="str">
        <x:v>Ore referință/lună</x:v>
      </x:c>
      <x:c r="G5" s="6" t="str">
        <x:v>Decontare1/2</x:v>
      </x:c>
      <x:c r="H5" s="6" t="str">
        <x:v>Brut orar activ</x:v>
      </x:c>
      <x:c r="I5" s="6" t="str">
        <x:v>Statut bază</x:v>
      </x:c>
      <x:c r="J5" s="6" t="str">
        <x:v>Document justificativ</x:v>
      </x:c>
      <x:c r="K5" s="6" t="str">
        <x:v>Regulă</x:v>
      </x:c>
      <x:c r="L5" s="2"/>
      <x:c r="M5" s="2"/>
      <x:c r="N5" s="2"/>
      <x:c r="O5" s="2"/>
      <x:c r="P5" s="2"/>
    </x:row>
    <x:row r="6" ht="68" customHeight="1">
      <x:c r="A6" s="14" t="str">
        <x:v>Manager proiect</x:v>
      </x:c>
      <x:c r="B6" s="18" t="n">
        <x:v>1</x:v>
      </x:c>
      <x:c r="C6" s="15" t="n">
        <x:v>110</x:v>
      </x:c>
      <x:c r="D6" s="25"/>
      <x:c r="E6" s="26"/>
      <x:c r="F6" s="15" t="n">
        <x:v>168</x:v>
      </x:c>
      <x:c r="G6" s="18" t="n">
        <x:v>1</x:v>
      </x:c>
      <x:c r="H6" s="17" t="n">
        <x:f>IF(B6=1,C6,IF(OR(D6="",E6=""),"LIPSA_DATE",D6/F6*IF(G6=2,E6,1+E6)))</x:f>
        <x:v>110</x:v>
      </x:c>
      <x:c r="I6" s="22" t="str">
        <x:f>IF(B6=1,"IPOTEZA TARIF",IF(OR(D6="",E6=""),"NECESAR BAZA LEGALA","CALCUL CONDITIONAT"))</x:f>
        <x:v>IPOTEZA TARIF</x:v>
      </x:c>
      <x:c r="J6" s="14" t="str">
        <x:v>De completat după selecția instituției și postului</x:v>
      </x:c>
      <x:c r="K6" s="14" t="str">
        <x:v>Regim2: mod1 salariu+majorare; mod2 numai majorare pentru categoriile publice prevăzute de Manual.</x:v>
      </x:c>
      <x:c r="L6" s="2"/>
      <x:c r="M6" s="2"/>
      <x:c r="N6" s="2"/>
      <x:c r="O6" s="2"/>
      <x:c r="P6" s="2"/>
    </x:row>
    <x:row r="7" ht="68" customHeight="1">
      <x:c r="A7" s="14" t="str">
        <x:v>Responsabil financiar lider</x:v>
      </x:c>
      <x:c r="B7" s="18" t="n">
        <x:v>1</x:v>
      </x:c>
      <x:c r="C7" s="15" t="n">
        <x:v>100</x:v>
      </x:c>
      <x:c r="D7" s="25"/>
      <x:c r="E7" s="26"/>
      <x:c r="F7" s="15" t="n">
        <x:v>168</x:v>
      </x:c>
      <x:c r="G7" s="18" t="n">
        <x:v>1</x:v>
      </x:c>
      <x:c r="H7" s="17" t="n">
        <x:f>IF(B7=1,C7,IF(OR(D7="",E7=""),"LIPSA_DATE",D7/F7*IF(G7=2,E7,1+E7)))</x:f>
        <x:v>100</x:v>
      </x:c>
      <x:c r="I7" s="22" t="str">
        <x:f>IF(B7=1,"IPOTEZA TARIF",IF(OR(D7="",E7=""),"NECESAR BAZA LEGALA","CALCUL CONDITIONAT"))</x:f>
        <x:v>IPOTEZA TARIF</x:v>
      </x:c>
      <x:c r="J7" s="14" t="str">
        <x:v>De completat după selecția instituției și postului</x:v>
      </x:c>
      <x:c r="K7" s="14" t="str">
        <x:v>Regim2: mod1 salariu+majorare; mod2 numai majorare pentru categoriile publice prevăzute de Manual.</x:v>
      </x:c>
      <x:c r="L7" s="2"/>
      <x:c r="M7" s="2"/>
      <x:c r="N7" s="2"/>
      <x:c r="O7" s="2"/>
      <x:c r="P7" s="2"/>
    </x:row>
    <x:row r="8" ht="68" customHeight="1">
      <x:c r="A8" s="14" t="str">
        <x:v>Coordonator ONG</x:v>
      </x:c>
      <x:c r="B8" s="18" t="n">
        <x:v>1</x:v>
      </x:c>
      <x:c r="C8" s="15" t="n">
        <x:v>100</x:v>
      </x:c>
      <x:c r="D8" s="25"/>
      <x:c r="E8" s="26"/>
      <x:c r="F8" s="15" t="n">
        <x:v>168</x:v>
      </x:c>
      <x:c r="G8" s="18" t="n">
        <x:v>1</x:v>
      </x:c>
      <x:c r="H8" s="17" t="n">
        <x:f>IF(B8=1,C8,IF(OR(D8="",E8=""),"LIPSA_DATE",D8/F8*IF(G8=2,E8,1+E8)))</x:f>
        <x:v>100</x:v>
      </x:c>
      <x:c r="I8" s="22" t="str">
        <x:f>IF(B8=1,"IPOTEZA TARIF",IF(OR(D8="",E8=""),"NECESAR BAZA LEGALA","CALCUL CONDITIONAT"))</x:f>
        <x:v>IPOTEZA TARIF</x:v>
      </x:c>
      <x:c r="J8" s="14" t="str">
        <x:v>De completat după selecția instituției și postului</x:v>
      </x:c>
      <x:c r="K8" s="14" t="str">
        <x:v>Regim2: mod1 salariu+majorare; mod2 numai majorare pentru categoriile publice prevăzute de Manual.</x:v>
      </x:c>
      <x:c r="L8" s="2"/>
      <x:c r="M8" s="2"/>
      <x:c r="N8" s="2"/>
      <x:c r="O8" s="2"/>
      <x:c r="P8" s="2"/>
    </x:row>
    <x:row r="9" ht="68" customHeight="1">
      <x:c r="A9" s="14" t="str">
        <x:v>Responsabil financiar ONG</x:v>
      </x:c>
      <x:c r="B9" s="18" t="n">
        <x:v>1</x:v>
      </x:c>
      <x:c r="C9" s="15" t="n">
        <x:v>90</x:v>
      </x:c>
      <x:c r="D9" s="25"/>
      <x:c r="E9" s="26"/>
      <x:c r="F9" s="15" t="n">
        <x:v>168</x:v>
      </x:c>
      <x:c r="G9" s="18" t="n">
        <x:v>1</x:v>
      </x:c>
      <x:c r="H9" s="17" t="n">
        <x:f>IF(B9=1,C9,IF(OR(D9="",E9=""),"LIPSA_DATE",D9/F9*IF(G9=2,E9,1+E9)))</x:f>
        <x:v>90</x:v>
      </x:c>
      <x:c r="I9" s="22" t="str">
        <x:f>IF(B9=1,"IPOTEZA TARIF",IF(OR(D9="",E9=""),"NECESAR BAZA LEGALA","CALCUL CONDITIONAT"))</x:f>
        <x:v>IPOTEZA TARIF</x:v>
      </x:c>
      <x:c r="J9" s="14" t="str">
        <x:v>De completat după selecția instituției și postului</x:v>
      </x:c>
      <x:c r="K9" s="14" t="str">
        <x:v>Regim2: mod1 salariu+majorare; mod2 numai majorare pentru categoriile publice prevăzute de Manual.</x:v>
      </x:c>
      <x:c r="L9" s="2"/>
      <x:c r="M9" s="2"/>
      <x:c r="N9" s="2"/>
      <x:c r="O9" s="2"/>
      <x:c r="P9" s="2"/>
    </x:row>
    <x:row r="10" ht="68" customHeight="1">
      <x:c r="A10" s="14" t="str">
        <x:v>Coordonator pedagogic</x:v>
      </x:c>
      <x:c r="B10" s="18" t="n">
        <x:v>1</x:v>
      </x:c>
      <x:c r="C10" s="15" t="n">
        <x:v>110</x:v>
      </x:c>
      <x:c r="D10" s="25"/>
      <x:c r="E10" s="26"/>
      <x:c r="F10" s="15" t="n">
        <x:v>168</x:v>
      </x:c>
      <x:c r="G10" s="18" t="n">
        <x:v>1</x:v>
      </x:c>
      <x:c r="H10" s="17" t="n">
        <x:f>IF(B10=1,C10,IF(OR(D10="",E10=""),"LIPSA_DATE",D10/F10*IF(G10=2,E10,1+E10)))</x:f>
        <x:v>110</x:v>
      </x:c>
      <x:c r="I10" s="22" t="str">
        <x:f>IF(B10=1,"IPOTEZA TARIF",IF(OR(D10="",E10=""),"NECESAR BAZA LEGALA","CALCUL CONDITIONAT"))</x:f>
        <x:v>IPOTEZA TARIF</x:v>
      </x:c>
      <x:c r="J10" s="14" t="str">
        <x:v>De completat după selecția instituției și postului</x:v>
      </x:c>
      <x:c r="K10" s="14" t="str">
        <x:v>Regim2: mod1 salariu+majorare; mod2 numai majorare pentru categoriile publice prevăzute de Manual.</x:v>
      </x:c>
      <x:c r="L10" s="2"/>
      <x:c r="M10" s="2"/>
      <x:c r="N10" s="2"/>
      <x:c r="O10" s="2"/>
      <x:c r="P10" s="2"/>
    </x:row>
    <x:row r="11" ht="68" customHeight="1">
      <x:c r="A11" s="14" t="str">
        <x:v>Profesori și mentori</x:v>
      </x:c>
      <x:c r="B11" s="18" t="n">
        <x:v>1</x:v>
      </x:c>
      <x:c r="C11" s="15" t="n">
        <x:v>100</x:v>
      </x:c>
      <x:c r="D11" s="25"/>
      <x:c r="E11" s="26"/>
      <x:c r="F11" s="15" t="n">
        <x:v>168</x:v>
      </x:c>
      <x:c r="G11" s="18" t="n">
        <x:v>1</x:v>
      </x:c>
      <x:c r="H11" s="17" t="n">
        <x:f>IF(B11=1,C11,IF(OR(D11="",E11=""),"LIPSA_DATE",D11/F11*IF(G11=2,E11,1+E11)))</x:f>
        <x:v>100</x:v>
      </x:c>
      <x:c r="I11" s="22" t="str">
        <x:f>IF(B11=1,"IPOTEZA TARIF",IF(OR(D11="",E11=""),"NECESAR BAZA LEGALA","CALCUL CONDITIONAT"))</x:f>
        <x:v>IPOTEZA TARIF</x:v>
      </x:c>
      <x:c r="J11" s="14" t="str">
        <x:v>De completat după selecția instituției și postului</x:v>
      </x:c>
      <x:c r="K11" s="14" t="str">
        <x:v>Regim2: mod1 salariu+majorare; mod2 numai majorare pentru categoriile publice prevăzute de Manual.</x:v>
      </x:c>
      <x:c r="L11" s="2"/>
      <x:c r="M11" s="2"/>
      <x:c r="N11" s="2"/>
      <x:c r="O11" s="2"/>
      <x:c r="P11" s="2"/>
    </x:row>
    <x:row r="12" ht="68" customHeight="1">
      <x:c r="A12" s="14" t="str">
        <x:v>Consilier educațional</x:v>
      </x:c>
      <x:c r="B12" s="18" t="n">
        <x:v>1</x:v>
      </x:c>
      <x:c r="C12" s="15" t="n">
        <x:v>100</x:v>
      </x:c>
      <x:c r="D12" s="25"/>
      <x:c r="E12" s="26"/>
      <x:c r="F12" s="15" t="n">
        <x:v>168</x:v>
      </x:c>
      <x:c r="G12" s="18" t="n">
        <x:v>1</x:v>
      </x:c>
      <x:c r="H12" s="17" t="n">
        <x:f>IF(B12=1,C12,IF(OR(D12="",E12=""),"LIPSA_DATE",D12/F12*IF(G12=2,E12,1+E12)))</x:f>
        <x:v>100</x:v>
      </x:c>
      <x:c r="I12" s="22" t="str">
        <x:f>IF(B12=1,"IPOTEZA TARIF",IF(OR(D12="",E12=""),"NECESAR BAZA LEGALA","CALCUL CONDITIONAT"))</x:f>
        <x:v>IPOTEZA TARIF</x:v>
      </x:c>
      <x:c r="J12" s="14" t="str">
        <x:v>De completat după selecția instituției și postului</x:v>
      </x:c>
      <x:c r="K12" s="14" t="str">
        <x:v>Regim2: mod1 salariu+majorare; mod2 numai majorare pentru categoriile publice prevăzute de Manual.</x:v>
      </x:c>
      <x:c r="L12" s="2"/>
      <x:c r="M12" s="2"/>
      <x:c r="N12" s="2"/>
      <x:c r="O12" s="2"/>
      <x:c r="P12" s="2"/>
    </x:row>
    <x:row r="13" ht="68" customHeight="1">
      <x:c r="A13" s="14" t="str">
        <x:v>Facilitator comunitar</x:v>
      </x:c>
      <x:c r="B13" s="18" t="n">
        <x:v>1</x:v>
      </x:c>
      <x:c r="C13" s="15" t="n">
        <x:v>90</x:v>
      </x:c>
      <x:c r="D13" s="25"/>
      <x:c r="E13" s="26"/>
      <x:c r="F13" s="15" t="n">
        <x:v>168</x:v>
      </x:c>
      <x:c r="G13" s="18" t="n">
        <x:v>1</x:v>
      </x:c>
      <x:c r="H13" s="17" t="n">
        <x:f>IF(B13=1,C13,IF(OR(D13="",E13=""),"LIPSA_DATE",D13/F13*IF(G13=2,E13,1+E13)))</x:f>
        <x:v>90</x:v>
      </x:c>
      <x:c r="I13" s="22" t="str">
        <x:f>IF(B13=1,"IPOTEZA TARIF",IF(OR(D13="",E13=""),"NECESAR BAZA LEGALA","CALCUL CONDITIONAT"))</x:f>
        <x:v>IPOTEZA TARIF</x:v>
      </x:c>
      <x:c r="J13" s="14" t="str">
        <x:v>De completat după selecția instituției și postului</x:v>
      </x:c>
      <x:c r="K13" s="14" t="str">
        <x:v>Regim2: mod1 salariu+majorare; mod2 numai majorare pentru categoriile publice prevăzute de Manual.</x:v>
      </x:c>
      <x:c r="L13" s="2"/>
      <x:c r="M13" s="2"/>
      <x:c r="N13" s="2"/>
      <x:c r="O13" s="2"/>
      <x:c r="P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 t="str">
        <x:v>Surse: GSCG §3.6 / tabel15; Legea153/2017 art.16; HG234/2023 și HG1009/2025; Manual beneficiar PEO v5.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 t="str">
        <x:v>Majorarea până la40% nu este automată: se stabilește după ore, valoare, progres și actele de nominalizare.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 t="str">
        <x:v>Nu se cumulează în model plata aceleiași ore prin salariul obișnuit, majorare și contract distinct.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 t="str">
        <x:v>Regimul1 pentru posturi publice în afara organigramei presupune procedura legală de creare/recrutare a postului.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dataValidations count="2">
    <x:dataValidation type="list" sqref="B6:B13">
      <x:formula1>"1,2"</x:formula1>
    </x:dataValidation>
    <x:dataValidation type="list" sqref="G6:G13">
      <x:formula1>"1,2"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57" hidden="0" customWidth="1"/>
    <x:col min="4" max="4" width="57" hidden="0" customWidth="1"/>
    <x:col min="5" max="5" width="57" hidden="0" customWidth="1"/>
    <x:col min="6" max="6" width="5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Fișe de achiziție și comparația ofertelor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 t="str">
        <x:v>Specificații funcționale propuse de echipă, nu condiții suplimentare din ghid. Se adaptează diagnosticului și inventarului.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Linie buget</x:v>
      </x:c>
      <x:c r="B5" s="6" t="str">
        <x:v>Obiect</x:v>
      </x:c>
      <x:c r="C5" s="6" t="str">
        <x:v>Specificație minimă propusă</x:v>
      </x:c>
      <x:c r="D5" s="6" t="str">
        <x:v>Unitate comparabilă</x:v>
      </x:c>
      <x:c r="E5" s="6" t="str">
        <x:v>Probe necesare</x:v>
      </x:c>
      <x:c r="F5" s="6" t="str">
        <x:v>Condiție critică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83" customHeight="1">
      <x:c r="A6" s="14" t="str">
        <x:v>Buget rând13</x:v>
      </x:c>
      <x:c r="B6" s="14" t="str">
        <x:v>Catering pentru întâlniri eligibile</x:v>
      </x:c>
      <x:c r="C6" s="14" t="str">
        <x:v>Meniu adaptat vârstei, alergeni, livrare la orar și locații, trasabilitate și condiții alimentare legale</x:v>
      </x:c>
      <x:c r="D6" s="14" t="str">
        <x:v>Lei/porție livrată, același conținut și aceeași TVA</x:v>
      </x:c>
      <x:c r="E6" s="14" t="str">
        <x:v>Liste prezență, program masă existent, minimum surse comparabile motivate</x:v>
      </x:c>
      <x:c r="F6" s="14" t="str">
        <x:v>Fără dublă finanțare pentru aceeași persoană și interval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83" customHeight="1">
      <x:c r="A7" s="14" t="str">
        <x:v>Buget rând14</x:v>
      </x:c>
      <x:c r="B7" s="14" t="str">
        <x:v>Transport la activități</x:v>
      </x:c>
      <x:c r="C7" s="14" t="str">
        <x:v>Rute și kilometri reali, capacitate locuri, accesibilitate după nevoie, autorizări și asigurări</x:v>
      </x:c>
      <x:c r="D7" s="14" t="str">
        <x:v>Lei/cursă completă și lei/elev transportat</x:v>
      </x:c>
      <x:c r="E7" s="14" t="str">
        <x:v>Hartă rute, elevi, orar, ofertă cu costuri incluse</x:v>
      </x:c>
      <x:c r="F7" s="14" t="str">
        <x:v>Fără kilometri inventați; transport sigur al minorilor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83" customHeight="1">
      <x:c r="A8" s="14" t="str">
        <x:v>Buget rând15</x:v>
      </x:c>
      <x:c r="B8" s="14" t="str">
        <x:v>Kituri robotică / laborator STEAM</x:v>
      </x:c>
      <x:c r="C8" s="14" t="str">
        <x:v>Kit educațional complet, număr posturi utilizabile, senzori/controler, software, garanție, manuale</x:v>
      </x:c>
      <x:c r="D8" s="14" t="str">
        <x:v>Lei/kit cu aceeași listă componente și servicii</x:v>
      </x:c>
      <x:c r="E8" s="14" t="str">
        <x:v>Inventar existent;3 surse comparabile recomandate, fără impunere de marcă</x:v>
      </x:c>
      <x:c r="F8" s="14" t="str">
        <x:v>Descompunere FEDR/consumabile; proprietate școală și utilizare gratuită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83" customHeight="1">
      <x:c r="A9" s="14" t="str">
        <x:v>Buget rând16</x:v>
      </x:c>
      <x:c r="B9" s="14" t="str">
        <x:v>Dispozitive digitale și accesibilitate</x:v>
      </x:c>
      <x:c r="C9" s="14" t="str">
        <x:v>Dispozitiv compatibil cu aplicațiile alese, accesibilitate, garanție, licență și suport</x:v>
      </x:c>
      <x:c r="D9" s="14" t="str">
        <x:v>Lei/dispozitiv, configurație echivalentă, TVA separat</x:v>
      </x:c>
      <x:c r="E9" s="14" t="str">
        <x:v>Fișă tehnică; verificare plafon specific GSCG pentru tipul ales</x:v>
      </x:c>
      <x:c r="F9" s="14" t="str">
        <x:v>Nu înlocuiește dotări finanțate fără motiv; criterii ecologice verificabile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83" customHeight="1">
      <x:c r="A10" s="14" t="str">
        <x:v>Buget rând17</x:v>
      </x:c>
      <x:c r="B10" s="14" t="str">
        <x:v>Materiale didactice și eco-STEAM</x:v>
      </x:c>
      <x:c r="C10" s="14" t="str">
        <x:v>Materiale pe elev și consum pe activitate, reutilizare și componentă eco-STEAM descrisă</x:v>
      </x:c>
      <x:c r="D10" s="14" t="str">
        <x:v>Lei/pachet cu aceeași compoziție</x:v>
      </x:c>
      <x:c r="E10" s="14" t="str">
        <x:v>Listă consum pe sesiuni; cost atribuit temei verzi</x:v>
      </x:c>
      <x:c r="F10" s="14" t="str">
        <x:v>Denumirea eco nu justifică singură100% cost verde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83" customHeight="1">
      <x:c r="A11" s="14" t="str">
        <x:v>Buget rând18</x:v>
      </x:c>
      <x:c r="B11" s="14" t="str">
        <x:v>Instrumente evaluare și licențe</x:v>
      </x:c>
      <x:c r="C11" s="14" t="str">
        <x:v>Evaluare inițială/intermediară/finală, raportare pe competențe, accesibilitate și protecția datelor</x:v>
      </x:c>
      <x:c r="D11" s="14" t="str">
        <x:v>Lei/utilizator pe durata proiectului, toate funcțiile incluse</x:v>
      </x:c>
      <x:c r="E11" s="14" t="str">
        <x:v>Licențe existente; contract prelucrare date; cost suport separat</x:v>
      </x:c>
      <x:c r="F11" s="14" t="str">
        <x:v>Fără construcția unei platforme noi când resursele existente sunt suficiente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83" customHeight="1">
      <x:c r="A12" s="14" t="str">
        <x:v>Buget rând19</x:v>
      </x:c>
      <x:c r="B12" s="14" t="str">
        <x:v>Logistică participare competiții</x:v>
      </x:c>
      <x:c r="C12" s="14" t="str">
        <x:v>Calendar concurs, număr elevi, taxe, transport/cazare/masă eligibile distinct</x:v>
      </x:c>
      <x:c r="D12" s="14" t="str">
        <x:v>Lei/elev/deplasare cu aceleași servicii</x:v>
      </x:c>
      <x:c r="E12" s="14" t="str">
        <x:v>Calendar avizat și costuri detaliate, reguli concurs și jurizare</x:v>
      </x:c>
      <x:c r="F12" s="14" t="str">
        <x:v>Nu dublează A2; premiile/subvențiile au evidență separată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83" customHeight="1">
      <x:c r="A13" s="14" t="str">
        <x:v>Buget rând20</x:v>
      </x:c>
      <x:c r="B13" s="14" t="str">
        <x:v>Formare profesori40h, certificare</x:v>
      </x:c>
      <x:c r="C13" s="14" t="str">
        <x:v>40h/persoană, grupe16, curriculum complementar, evaluare și certificare recunoscută</x:v>
      </x:c>
      <x:c r="D13" s="14" t="str">
        <x:v>Lei/persoană și lei/grupă; defalcare personal extern</x:v>
      </x:c>
      <x:c r="E13" s="14" t="str">
        <x:v>Furnizor competent; rezultate învățare; declarații anti-dublă finanțare</x:v>
      </x:c>
      <x:c r="F13" s="14" t="str">
        <x:v>EECR03 minim80%; un certificat de simplă prezență poate fi insuficient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83" customHeight="1">
      <x:c r="A14" s="14" t="str">
        <x:v>Buget rând21</x:v>
      </x:c>
      <x:c r="B14" s="14" t="str">
        <x:v>Digitizare și accesibilizare resurse</x:v>
      </x:c>
      <x:c r="C14" s="14" t="str">
        <x:v>Module accesibile și reutilizabile, format editabil, drepturi de utilizare, testare</x:v>
      </x:c>
      <x:c r="D14" s="14" t="str">
        <x:v>Lei/modul cu aceeași listă livrabile</x:v>
      </x:c>
      <x:c r="E14" s="14" t="str">
        <x:v>Caiet sarcini, surse resurse, livrabile profesor vs furnizor</x:v>
      </x:c>
      <x:c r="F14" s="14" t="str">
        <x:v>Nu se plătește de două ori conținutul creat de profesor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83" customHeight="1">
      <x:c r="A15" s="14" t="str">
        <x:v>Buget rând22</x:v>
      </x:c>
      <x:c r="B15" s="14" t="str">
        <x:v>Vizite și ateliere comunitare</x:v>
      </x:c>
      <x:c r="C15" s="14" t="str">
        <x:v>Ateliere6h/grup, locație sigură, acord partener asociat, materiale și acces</x:v>
      </x:c>
      <x:c r="D15" s="14" t="str">
        <x:v>Lei/atelier pentru15elevi și6h; servicii delimitate</x:v>
      </x:c>
      <x:c r="E15" s="14" t="str">
        <x:v>Acord colaborare, plan pedagogic, acorduri necesare pentru minori</x:v>
      </x:c>
      <x:c r="F15" s="14" t="str">
        <x:v>Orele profesorilor sunt deja în Personal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83" customHeight="1">
      <x:c r="A16" s="14" t="str">
        <x:v>Buget rând23</x:v>
      </x:c>
      <x:c r="B16" s="14" t="str">
        <x:v>Evaluare impact independentă</x:v>
      </x:c>
      <x:c r="C16" s="14" t="str">
        <x:v>T0/T1/T2, metodologie, analiză A1–A4, date pseudonimizate, raport de scalare</x:v>
      </x:c>
      <x:c r="D16" s="14" t="str">
        <x:v>Lei/oră expert și lei/livrabil; personal extern separat</x:v>
      </x:c>
      <x:c r="E16" s="14" t="str">
        <x:v>Plan evaluare independentă, rezultate verificabile</x:v>
      </x:c>
      <x:c r="F16" s="14" t="str">
        <x:v>A5 nu este audit financiar; nu dublează evaluările de rutină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83" customHeight="1">
      <x:c r="A17" s="14" t="str">
        <x:v>Buget rând24</x:v>
      </x:c>
      <x:c r="B17" s="14" t="str">
        <x:v>Resurse incluzive adaptate</x:v>
      </x:c>
      <x:c r="C17" s="14" t="str">
        <x:v>Resurse accesibile adaptate nevoilor identificate, egalitate și incluziune</x:v>
      </x:c>
      <x:c r="D17" s="14" t="str">
        <x:v>Lei/pachet pe nevoie concretă, fără materiale decorative</x:v>
      </x:c>
      <x:c r="E17" s="14" t="str">
        <x:v>Diagnostic nevoi și adaptări, ofertă detaliată</x:v>
      </x:c>
      <x:c r="F17" s="14" t="str">
        <x:v>Nu se presupune automat existența unei dizabilități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83" customHeight="1">
      <x:c r="A18" s="14" t="str">
        <x:v>Buget rând25</x:v>
      </x:c>
      <x:c r="B18" s="14" t="str">
        <x:v>Ateliere practică și consumabile</x:v>
      </x:c>
      <x:c r="C18" s="14" t="str">
        <x:v>Consumabile pentru experimente și activități practice, cantitate per grupă/sesiune</x:v>
      </x:c>
      <x:c r="D18" s="14" t="str">
        <x:v>Lei/set pe aceeași listă materiale</x:v>
      </x:c>
      <x:c r="E18" s="14" t="str">
        <x:v>Fișă consum și justificare experimentală</x:v>
      </x:c>
      <x:c r="F18" s="14" t="str">
        <x:v>Activele reutilizabile se reclasifică după natura lor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 t="str">
        <x:v>Comparație recomandată: descriere identică, UM, cantitate, preț fără TVA, TVA, total, valabilitate, termen, garanție, sursă/date.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 t="str">
        <x:v>3 surse comparabile este recomandare de robustețe a echipei; numărul nu este prezentat drept obligație universală a acestui ghid.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3" hidden="0" customWidth="1"/>
    <x:col min="3" max="3" width="21" hidden="0" customWidth="1"/>
    <x:col min="4" max="4" width="21" hidden="0" customWidth="1"/>
    <x:col min="5" max="5" width="21" hidden="0" customWidth="1"/>
    <x:col min="6" max="6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Activități, rezultate și alocări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Activitate</x:v>
      </x:c>
      <x:c r="B5" s="6" t="str">
        <x:v>Conținut</x:v>
      </x:c>
      <x:c r="C5" s="6" t="str">
        <x:v>Cantitate / țintă</x:v>
      </x:c>
      <x:c r="D5" s="6" t="str">
        <x:v>Buget direct lei</x:v>
      </x:c>
      <x:c r="E5" s="6" t="str">
        <x:v>Calendar relativ</x:v>
      </x:c>
      <x:c r="F5" s="6" t="str">
        <x:v>Dovezi / condiții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55" customHeight="1">
      <x:c r="A6" s="14" t="str">
        <x:v>A1</x:v>
      </x:c>
      <x:c r="B6" s="14" t="str">
        <x:v>Alfabetizare60h/grup + STEAM48h/grup</x:v>
      </x:c>
      <x:c r="C6" s="27" t="n">
        <x:f>Parametri!B10</x:f>
        <x:v>720</x:v>
      </x:c>
      <x:c r="D6" s="28" t="n">
        <x:f>SUMIFS(Buget!H13:H25,Buget!C13:C25,"A1")+Personal!H10+Personal!H11*(Personal!B21+Personal!B22+Personal!B23)/Personal!E11+Buget!B8</x:f>
        <x:v>1856872.5499999998</x:v>
      </x:c>
      <x:c r="E6" s="27" t="str">
        <x:f>"L2 - L"&amp;(Parametri!B9-2)</x:f>
        <x:v>L2 - L28</x:v>
      </x:c>
      <x:c r="F6" s="14" t="str">
        <x:v>Diagnostic, planuri, programe, evaluări, concursuri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55" customHeight="1">
      <x:c r="A7" s="14" t="str">
        <x:v>A2</x:v>
      </x:c>
      <x:c r="B7" s="14" t="str">
        <x:v>Masă, transport, consiliere, abilități sociale</x:v>
      </x:c>
      <x:c r="C7" s="27" t="n">
        <x:f>Parametri!B10</x:f>
        <x:v>720</x:v>
      </x:c>
      <x:c r="D7" s="28" t="n">
        <x:f>SUMIFS(Buget!H13:H25,Buget!C13:C25,"A2")+Personal!H12</x:f>
        <x:v>2234151.88</x:v>
      </x:c>
      <x:c r="E7" s="27" t="str">
        <x:f>"L2 - L"&amp;(Parametri!B9-2)</x:f>
        <x:v>L2 - L28</x:v>
      </x:c>
      <x:c r="F7" s="14" t="str">
        <x:v>Nevoi individuale; fără dublă finanțare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55" customHeight="1">
      <x:c r="A8" s="14" t="str">
        <x:v>A3</x:v>
      </x:c>
      <x:c r="B8" s="14" t="str">
        <x:v>CDEOȘ, resurse digitale, formare40h</x:v>
      </x:c>
      <x:c r="C8" s="27" t="n">
        <x:f>Parametri!B11</x:f>
        <x:v>48</x:v>
      </x:c>
      <x:c r="D8" s="28" t="n">
        <x:f>SUMIFS(Buget!H13:H25,Buget!C13:C25,"A3")+Personal!H11*Personal!B24/Personal!E11</x:f>
        <x:v>385517.02</x:v>
      </x:c>
      <x:c r="E8" s="27" t="str">
        <x:f>"L3 - L"&amp;(Parametri!B9-3)</x:f>
        <x:v>L3 - L27</x:v>
      </x:c>
      <x:c r="F8" s="14" t="str">
        <x:v>Avizare, certificate, declarații complementaritate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55" customHeight="1">
      <x:c r="A9" s="14" t="str">
        <x:v>A4</x:v>
      </x:c>
      <x:c r="B9" s="14" t="str">
        <x:v>Programe comunitare6h/grup</x:v>
      </x:c>
      <x:c r="C9" s="27" t="n">
        <x:f>Parametri!B24</x:f>
        <x:v>48</x:v>
      </x:c>
      <x:c r="D9" s="28" t="n">
        <x:f>SUMIFS(Buget!H13:H25,Buget!C13:C25,"A4")+Personal!H13+Personal!H11*Personal!B25/Personal!E11</x:f>
        <x:v>206446.73</x:v>
      </x:c>
      <x:c r="E9" s="27" t="str">
        <x:f>"L4 - L"&amp;(Parametri!B9-2)</x:f>
        <x:v>L4 - L28</x:v>
      </x:c>
      <x:c r="F9" s="14" t="str">
        <x:v>Acorduri școală-muzee/antreprenori; protecție minori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55" customHeight="1">
      <x:c r="A10" s="14" t="str">
        <x:v>A5</x:v>
      </x:c>
      <x:c r="B10" s="14" t="str">
        <x:v>Evaluare impact T0/intermediar/final și scalare</x:v>
      </x:c>
      <x:c r="C10" s="14" t="n">
        <x:v>3</x:v>
      </x:c>
      <x:c r="D10" s="28" t="n">
        <x:f>SUMIFS(Buget!H13:H25,Buget!C13:C25,"A5")</x:f>
        <x:v>100271.4</x:v>
      </x:c>
      <x:c r="E10" s="27" t="str">
        <x:f>"L1 - L"&amp;(Parametri!B9-0)</x:f>
        <x:v>L1 - L30</x:v>
      </x:c>
      <x:c r="F10" s="14" t="str">
        <x:v>Standarde naționale; raport și resurse deschise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55" customHeight="1">
      <x:c r="A11" s="14" t="str">
        <x:v>M</x:v>
      </x:c>
      <x:c r="B11" s="14" t="str">
        <x:v>Management obligatoriu în2 entități</x:v>
      </x:c>
      <x:c r="C11" s="14" t="n">
        <x:v>4</x:v>
      </x:c>
      <x:c r="D11" s="28" t="n">
        <x:f>SUM(Personal!H6:H9)</x:f>
        <x:v>315339</x:v>
      </x:c>
      <x:c r="E11" s="27" t="str">
        <x:f>"L1 - L"&amp;(Parametri!B9-0)</x:f>
        <x:v>L1 - L30</x:v>
      </x:c>
      <x:c r="F11" s="14" t="str">
        <x:v>Fișe post, CV, pontaje; personal suport din indirecte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32" customHeight="1">
      <x:c r="A14" s="6" t="str">
        <x:v>Indicator</x:v>
      </x:c>
      <x:c r="B14" s="6" t="str">
        <x:v>Țintă planificată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 t="str">
        <x:v>EECO06+07</x:v>
      </x:c>
      <x:c r="B15" s="21" t="n">
        <x:f>Parametri!B10</x:f>
        <x:v>720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 t="str">
        <x:v>5SR09 minimum80%</x:v>
      </x:c>
      <x:c r="B16" s="7" t="n">
        <x:f>ROUNDUP(B15*80%,0)</x:f>
        <x:v>576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 t="str">
        <x:v>EECO05</x:v>
      </x:c>
      <x:c r="B17" s="21" t="n">
        <x:f>Parametri!B11</x:f>
        <x:v>48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 t="str">
        <x:v>EECR03 minimum80%</x:v>
      </x:c>
      <x:c r="B18" s="7" t="n">
        <x:f>ROUNDUP(B17*80%,0)</x:f>
        <x:v>39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4" hidden="0" customWidth="1"/>
    <x:col min="3" max="3" width="38" hidden="0" customWidth="1"/>
    <x:col min="4" max="4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Controale matematice și condiții de validare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6" t="str">
        <x:v>Control</x:v>
      </x:c>
      <x:c r="B5" s="6" t="str">
        <x:v>Valoare</x:v>
      </x:c>
      <x:c r="C5" s="6" t="str">
        <x:v>Prag / rezultat așteptat</x:v>
      </x:c>
      <x:c r="D5" s="6" t="str">
        <x:v>Interpretare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3" customHeight="1">
      <x:c r="A6" s="14" t="str">
        <x:v>Diferență total față de țintă</x:v>
      </x:c>
      <x:c r="B6" s="28" t="n">
        <x:f>ROUND(Buget!F33-Parametri!B8,2)</x:f>
        <x:v>0</x:v>
      </x:c>
      <x:c r="C6" s="14" t="str">
        <x:v>0 lei</x:v>
      </x:c>
      <x:c r="D6" s="14" t="str">
        <x:v>Rotunjirea poate genera diferențe de câțiva bani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3" customHeight="1">
      <x:c r="A7" s="14" t="str">
        <x:v>Suma ponderilor achizițiilor</x:v>
      </x:c>
      <x:c r="B7" s="48" t="n">
        <x:f>SUM(Buget!D13:D25)</x:f>
        <x:v>1.0000000000000002</x:v>
      </x:c>
      <x:c r="C7" s="14" t="str">
        <x:v>100%</x:v>
      </x:c>
      <x:c r="D7" s="14" t="str">
        <x:v>Nu constituie verificare prețuri de piață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3" customHeight="1">
      <x:c r="A8" s="14" t="str">
        <x:v>A1+A2 / total</x:v>
      </x:c>
      <x:c r="B8" s="48" t="n">
        <x:f>(Activitati!D6+Activitati!D7)/Buget!F33</x:f>
        <x:v>0.777997951848471</x:v>
      </x:c>
      <x:c r="C8" s="14" t="str">
        <x:v>&gt;=50%</x:v>
      </x:c>
      <x:c r="D8" s="14" t="str">
        <x:v>GSCS §5.2.3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43" customHeight="1">
      <x:c r="A9" s="14" t="str">
        <x:v>FEDR / directe</x:v>
      </x:c>
      <x:c r="B9" s="48" t="n">
        <x:f>SUMIFS(Buget!H13:H25,Buget!I13:I25,1)/Buget!D33</x:f>
        <x:v>0.1101321865586053</x:v>
      </x:c>
      <x:c r="C9" s="14" t="str">
        <x:v>&lt;=15%</x:v>
      </x:c>
      <x:c r="D9" s="14" t="str">
        <x:v>Verificare echipamente; reclasificare după specificații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43" customHeight="1">
      <x:c r="A10" s="14" t="str">
        <x:v>Verde / directe</x:v>
      </x:c>
      <x:c r="B10" s="48" t="n">
        <x:f>SUM(Buget!K13:K25)/Buget!D33</x:f>
        <x:v>0.13373194208201422</x:v>
      </x:c>
      <x:c r="C10" s="14" t="str">
        <x:v>&gt;=4%</x:v>
      </x:c>
      <x:c r="D10" s="14" t="str">
        <x:v>Doar dacă justificarea tematică și partea de cost sunt probate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43" customHeight="1">
      <x:c r="A11" s="14" t="str">
        <x:v>Verde / total</x:v>
      </x:c>
      <x:c r="B11" s="48" t="n">
        <x:f>SUM(Buget!K13:K25)/Buget!F33</x:f>
        <x:v>0.1296678628480146</x:v>
      </x:c>
      <x:c r="C11" s="14" t="str">
        <x:v>&gt;=4% prudent</x:v>
      </x:c>
      <x:c r="D11" s="14" t="str">
        <x:v>Acoperă și lectura mai conservatoare a ponderii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43" customHeight="1">
      <x:c r="A12" s="14" t="str">
        <x:v>Diferență lider minus ONG</x:v>
      </x:c>
      <x:c r="B12" s="28" t="n">
        <x:f>Buget!F31-Buget!F32</x:f>
        <x:v>4771587.74</x:v>
      </x:c>
      <x:c r="C12" s="14" t="str">
        <x:v>&gt;0 lei</x:v>
      </x:c>
      <x:c r="D12" s="14" t="str">
        <x:v>GSCS §5.1.4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43" customHeight="1">
      <x:c r="A13" s="14" t="str">
        <x:v>Marjă capacitate AFN ONG</x:v>
      </x:c>
      <x:c r="B13" s="28" t="n">
        <x:f>Parametri!B21-Sinteza!B24</x:f>
        <x:v>1770300.87</x:v>
      </x:c>
      <x:c r="C13" s="14" t="str">
        <x:v>&gt;=0 lei</x:v>
      </x:c>
      <x:c r="D13" s="14" t="str">
        <x:v>Metoda venituri2022–2025; nu certifică întreaga eligibilitate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43" customHeight="1">
      <x:c r="A14" s="14" t="str">
        <x:v>Reconciliere activități cu directe</x:v>
      </x:c>
      <x:c r="B14" s="28" t="n">
        <x:f>ROUND(SUM(Activitati!D6:D11)-Buget!D33,2)</x:f>
        <x:v>0</x:v>
      </x:c>
      <x:c r="C14" s="14" t="str">
        <x:v>0 lei</x:v>
      </x:c>
      <x:c r="D14" s="14" t="str">
        <x:v>Fără dublare personal profesori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43" customHeight="1">
      <x:c r="A15" s="14" t="str">
        <x:v>Reconciliere ore profesori</x:v>
      </x:c>
      <x:c r="B15" s="28" t="n">
        <x:f>SUM(Personal!B21:B25)-Personal!E11</x:f>
        <x:v>0</x:v>
      </x:c>
      <x:c r="C15" s="14" t="str">
        <x:v>0 ore</x:v>
      </x:c>
      <x:c r="D15" s="14" t="str">
        <x:v>Ore globale distribuite pe activități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43" customHeight="1">
      <x:c r="A16" s="14" t="str">
        <x:v>Net orar maxim estimat</x:v>
      </x:c>
      <x:c r="B16" s="28" t="n">
        <x:f>MAX(Personal!I6:I13)</x:f>
        <x:v>64.35000000000001</x:v>
      </x:c>
      <x:c r="C16" s="14" t="str">
        <x:v>&lt;=70 lei în ipoteza curentă</x:v>
      </x:c>
      <x:c r="D16" s="14" t="str">
        <x:v>Regimul public din organigramă necesită calcul separat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43" customHeight="1">
      <x:c r="A17" s="14" t="str">
        <x:v>Grup țintă</x:v>
      </x:c>
      <x:c r="B17" s="28" t="n">
        <x:f>Parametri!B10</x:f>
        <x:v>720</x:v>
      </x:c>
      <x:c r="C17" s="14" t="str">
        <x:v>&gt;=400;&gt;456 pentru3p</x:v>
      </x:c>
      <x:c r="D17" s="14" t="str">
        <x:v>Evidență unică pe elev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43" customHeight="1">
      <x:c r="A18" s="14" t="str">
        <x:v>Documente ONG</x:v>
      </x:c>
      <x:c r="B18" s="50" t="str">
        <x:v>NECONFIRMAT</x:v>
      </x:c>
      <x:c r="C18" s="14" t="str">
        <x:v>Proiect relevant în ultimii3ani</x:v>
      </x:c>
      <x:c r="D18" s="14" t="str">
        <x:v>Serviciile de vârstnici nu sunt dovadă suficientă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43" customHeight="1">
      <x:c r="A19" s="14" t="str">
        <x:v>Lider și contribuție</x:v>
      </x:c>
      <x:c r="B19" s="50" t="str">
        <x:v>NECONFIRMAT</x:v>
      </x:c>
      <x:c r="C19" s="14" t="str">
        <x:v>Tip exact și sursă finanțare</x:v>
      </x:c>
      <x:c r="D19" s="14" t="str">
        <x:v>2% este ipoteză; nu rată universală pentru instituții publice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43" customHeight="1">
      <x:c r="A20" s="14" t="str">
        <x:v>Analiză de piață</x:v>
      </x:c>
      <x:c r="B20" s="50" t="str">
        <x:v>NECONFIRMAT</x:v>
      </x:c>
      <x:c r="C20" s="14" t="str">
        <x:v>Oferte/surse pentru fiecare achiziție</x:v>
      </x:c>
      <x:c r="D20" s="14" t="str">
        <x:v>Alocările nu pot fi prezentate ca prețuri validate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43" customHeight="1">
      <x:c r="A21" s="14" t="str">
        <x:v>Flux de numerar</x:v>
      </x:c>
      <x:c r="B21" s="50" t="str">
        <x:v>NECONFIRMAT</x:v>
      </x:c>
      <x:c r="C21" s="14" t="str">
        <x:v>Sold actual și calendar rambursări</x:v>
      </x:c>
      <x:c r="D21" s="14" t="str">
        <x:v>Capitaluri negative2025; evaluare contabilă necesară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43" customHeight="1">
      <x:c r="A22" s="14" t="str">
        <x:v>Buget de depunere</x:v>
      </x:c>
      <x:c r="B22" s="50" t="str">
        <x:v>NEFINALIZAT</x:v>
      </x:c>
      <x:c r="C22" s="14" t="str">
        <x:v>Toate clarificările și probele</x:v>
      </x:c>
      <x:c r="D22" s="14" t="str">
        <x:v>Acest fișier este model de lucru, nu confirmare eligibilitate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42" customHeight="1">
      <x:c r="A24" s="14" t="str">
        <x:v>Peste pragul minim (lei)</x:v>
      </x:c>
      <x:c r="B24" s="28" t="n">
        <x:f>ROUND(Buget!F33-700000*Parametri!B7,2)</x:f>
        <x:v>1577520</x:v>
      </x:c>
      <x:c r="C24" s="14" t="str">
        <x:v>&gt;=0</x:v>
      </x:c>
      <x:c r="D24" s="14" t="str">
        <x:v>Eligibilitatea intervalului se verifică distinct de ținta variantei.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42" customHeight="1">
      <x:c r="A25" s="14" t="str">
        <x:v>Sub plafonul maxim (lei)</x:v>
      </x:c>
      <x:c r="B25" s="28" t="n">
        <x:f>ROUND(1000000*Parametri!B7-Buget!F33,2)</x:f>
        <x:v>0</x:v>
      </x:c>
      <x:c r="C25" s="14" t="str">
        <x:v>&gt;=0</x:v>
      </x:c>
      <x:c r="D25" s="14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42" customHeight="1">
      <x:c r="A26" s="14" t="str">
        <x:v>Oferte unitare introduse</x:v>
      </x:c>
      <x:c r="B26" s="27" t="n">
        <x:f>COUNT(Buget!M13:M25)</x:f>
        <x:v>0</x:v>
      </x:c>
      <x:c r="C26" s="14" t="str">
        <x:v>13 pentru acoperire completă</x:v>
      </x:c>
      <x:c r="D26" s="14" t="str">
        <x:v>Introducerea unui preț nu validează singură oferta sau eligibilitatea.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46" customHeight="1">
      <x:c r="A27" s="14" t="str">
        <x:v>Personal extern peste linia aferentă</x:v>
      </x:c>
      <x:c r="B27" s="27" t="n">
        <x:f>SUMPRODUCT(--(Buget!P13:P25&gt;Buget!H13:H25))</x:f>
        <x:v>0</x:v>
      </x:c>
      <x:c r="C27" s="14" t="str">
        <x:v>0 linii</x:v>
      </x:c>
      <x:c r="D27" s="14" t="str">
        <x:v>P este inclus în H, nu se adaugă a doua oară. Validați natura și documentele costului.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46" customHeight="1">
      <x:c r="A28" s="14" t="str">
        <x:v>Ipoteză de proiectare acceptată</x:v>
      </x:c>
      <x:c r="B28" s="14" t="str">
        <x:v>CONDIȚIONAT</x:v>
      </x:c>
      <x:c r="C28" s="14" t="str">
        <x:v>Condiții ideale, la cererea beneficiarului</x:v>
      </x:c>
      <x:c r="D28" s="14" t="str">
        <x:v>Lipsa actuală a probelor devine cerință de selecție, nu probă de neeligibilitate.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46" customHeight="1">
      <x:c r="A29" s="14" t="str">
        <x:v>Valori negative cantități/preț/personal</x:v>
      </x:c>
      <x:c r="B29" s="27" t="n">
        <x:f>COUNTIFS(Buget!E13:E25,"&lt;0")+COUNTIFS(Buget!M13:M25,"&lt;0")+COUNTIFS(Buget!P13:P25,"&lt;0")+COUNTIFS(Salarizare!C6:D13,"&lt;0")+COUNTIFS(Salarizare!F6:F13,"&lt;=0")+COUNTIFS(Personal!D6:D13,"&lt;=0")+IF(Parametri!B9&lt;=0,1,0)+IF(Parametri!B23&lt;=0,1,0)+IF(Parametri!B31&lt;=0,1,0)</x:f>
        <x:v>0</x:v>
      </x:c>
      <x:c r="C29" s="14" t="str">
        <x:v>0</x:v>
      </x:c>
      <x:c r="D29" s="14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46" customHeight="1">
      <x:c r="A30" s="14" t="str">
        <x:v>Oferte fără sursă completată</x:v>
      </x:c>
      <x:c r="B30" s="27" t="n">
        <x:f>SUM(Buget!Q13:Q25)</x:f>
        <x:v>0</x:v>
      </x:c>
      <x:c r="C30" s="14" t="str">
        <x:v>0 la validare</x:v>
      </x:c>
      <x:c r="D30" s="14" t="str">
        <x:v>Prețul numeric nu este suficient. Păstrați oferta, data și specificația comparabilă.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46" customHeight="1">
      <x:c r="A31" s="14" t="str">
        <x:v>Regim public fără bază de calcul</x:v>
      </x:c>
      <x:c r="B31" s="27" t="n">
        <x:f>COUNTIFS(Salarizare!I6:I13,"NECESAR BAZA LEGALA")</x:f>
        <x:v>0</x:v>
      </x:c>
      <x:c r="C31" s="14" t="str">
        <x:v>0</x:v>
      </x:c>
      <x:c r="D31" s="14" t="str">
        <x:v>Dacă regimul2 este ales fără salariu/majorare, erorile de calcul rămân vizibile până la completare.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46" customHeight="1">
      <x:c r="A32" s="14" t="str">
        <x:v>Majorări publice în afara0–40%</x:v>
      </x:c>
      <x:c r="B32" s="27" t="n">
        <x:f>COUNTIFS(Salarizare!E6:E13,"&gt;0.4")+COUNTIFS(Salarizare!E6:E13,"&lt;0")</x:f>
        <x:v>0</x:v>
      </x:c>
      <x:c r="C32" s="14" t="str">
        <x:v>0</x:v>
      </x:c>
      <x:c r="D32" s="14" t="str">
        <x:v>Plafonul nu validează procentul concret; se aplică grila și progresul proiectului.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</x:sheetData>
  <x:conditionalFormatting sqref="B6:B6">
    <x:cfRule type="cellIs" dxfId="0" priority="1" operator="notEqual">
      <x:formula>0</x:formula>
    </x:cfRule>
  </x:conditionalFormatting>
  <x:conditionalFormatting sqref="B13:B13">
    <x:cfRule type="cellIs" dxfId="1" priority="2" operator="lessThan">
      <x:formula>0</x:formula>
    </x:cfRule>
  </x:conditionalFormatting>
  <x:conditionalFormatting sqref="B24:B25">
    <x:cfRule type="cellIs" dxfId="2" priority="3" operator="lessThan">
      <x:formula>0</x:formula>
    </x:cfRule>
  </x:conditionalFormatting>
  <x:conditionalFormatting sqref="B27:B32">
    <x:cfRule type="cellIs" dxfId="3" priority="4" operator="greaterThan">
      <x:formula>0</x:formula>
    </x:cfRule>
  </x:conditionalFormatting>
  <x:pageMargins left="0.7" right="0.7" top="0.75" bottom="0.75" header="0.3" footer="0.3"/>
</x:worksheet>
</file>