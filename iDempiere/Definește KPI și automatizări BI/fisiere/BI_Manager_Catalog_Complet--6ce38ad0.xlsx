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c5c77cd11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a" sheetId="1" r:id="R6dcb1bed886a448a"/>
    <x:sheet xmlns:r="http://schemas.openxmlformats.org/officeDocument/2006/relationships" name="KPI" sheetId="2" r:id="Rd5e36e06c671461d"/>
    <x:sheet xmlns:r="http://schemas.openxmlformats.org/officeDocument/2006/relationships" name="Industrii_CAEN" sheetId="3" r:id="Re6ddb473f513494f"/>
    <x:sheet xmlns:r="http://schemas.openxmlformats.org/officeDocument/2006/relationships" name="Functii" sheetId="4" r:id="R1edb794e85c0452f"/>
    <x:sheet xmlns:r="http://schemas.openxmlformats.org/officeDocument/2006/relationships" name="Automatizari" sheetId="5" r:id="Rdf66596290ad4aec"/>
    <x:sheet xmlns:r="http://schemas.openxmlformats.org/officeDocument/2006/relationships" name="Platforme_AI" sheetId="6" r:id="R315340cec5e847fe"/>
    <x:sheet xmlns:r="http://schemas.openxmlformats.org/officeDocument/2006/relationships" name="Extract_help" sheetId="7" r:id="Ra0f607932c8f444f"/>
    <x:sheet xmlns:r="http://schemas.openxmlformats.org/officeDocument/2006/relationships" name="Nevoi_utilizatori" sheetId="8" r:id="R9dc91e3556e042f9"/>
    <x:sheet xmlns:r="http://schemas.openxmlformats.org/officeDocument/2006/relationships" name="Selectie" sheetId="9" r:id="R87dfa01083fc4d78"/>
    <x:sheet xmlns:r="http://schemas.openxmlformats.org/officeDocument/2006/relationships" name="Reguli" sheetId="10" r:id="R17ac5a49cb104b48"/>
    <x:sheet xmlns:r="http://schemas.openxmlformats.org/officeDocument/2006/relationships" name="Implementare" sheetId="11" r:id="R3e8449e7878c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%"/>
    <x:numFmt numFmtId="202" formatCode="#,##0"/>
  </x:numFmts>
  <x:fonts count="8">
    <x:font>
      <x:sz val="11"/>
      <x:name val="Carlito"/>
    </x:font>
    <x:font>
      <x:sz val="10"/>
      <x:color rgb="FF203647"/>
      <x:name val="Arial"/>
    </x:font>
    <x:font>
      <x:b/>
      <x:sz val="17"/>
      <x:color rgb="FF15334D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FFFFFF"/>
      <x:name val="Arial"/>
    </x:font>
    <x:font>
      <x:b/>
      <x:sz val="14"/>
      <x:color rgb="FF15334D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34D"/>
      </x:patternFill>
    </x:fill>
    <x:fill>
      <x:patternFill patternType="solid">
        <x:fgColor rgb="FFEEF4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4ff9c9645438f" /><Relationship Type="http://schemas.openxmlformats.org/officeDocument/2006/relationships/theme" Target="/xl/theme/theme1.xml" Id="R93b8256861aa464f" /><Relationship Type="http://schemas.openxmlformats.org/officeDocument/2006/relationships/sharedStrings" Target="/xl/sharedStrings.xml" Id="R29533ed51a8e405d" /><Relationship Type="http://schemas.openxmlformats.org/officeDocument/2006/relationships/worksheet" Target="/xl/worksheets/sheet1.xml" Id="R6dcb1bed886a448a" /><Relationship Type="http://schemas.openxmlformats.org/officeDocument/2006/relationships/worksheet" Target="/xl/worksheets/sheet2.xml" Id="Rd5e36e06c671461d" /><Relationship Type="http://schemas.openxmlformats.org/officeDocument/2006/relationships/worksheet" Target="/xl/worksheets/sheet3.xml" Id="Re6ddb473f513494f" /><Relationship Type="http://schemas.openxmlformats.org/officeDocument/2006/relationships/worksheet" Target="/xl/worksheets/sheet4.xml" Id="R1edb794e85c0452f" /><Relationship Type="http://schemas.openxmlformats.org/officeDocument/2006/relationships/worksheet" Target="/xl/worksheets/sheet5.xml" Id="Rdf66596290ad4aec" /><Relationship Type="http://schemas.openxmlformats.org/officeDocument/2006/relationships/worksheet" Target="/xl/worksheets/sheet6.xml" Id="R315340cec5e847fe" /><Relationship Type="http://schemas.openxmlformats.org/officeDocument/2006/relationships/worksheet" Target="/xl/worksheets/sheet7.xml" Id="Ra0f607932c8f444f" /><Relationship Type="http://schemas.openxmlformats.org/officeDocument/2006/relationships/worksheet" Target="/xl/worksheets/sheet8.xml" Id="R9dc91e3556e042f9" /><Relationship Type="http://schemas.openxmlformats.org/officeDocument/2006/relationships/worksheet" Target="/xl/worksheets/sheet9.xml" Id="R87dfa01083fc4d78" /><Relationship Type="http://schemas.openxmlformats.org/officeDocument/2006/relationships/worksheet" Target="/xl/worksheets/sheet10.xml" Id="R17ac5a49cb104b48" /><Relationship Type="http://schemas.openxmlformats.org/officeDocument/2006/relationships/worksheet" Target="/xl/worksheets/sheet11.xml" Id="R3e8449e7878c4ebc" /></Relationships>
</file>

<file path=xl/tables/table1.xml><?xml version="1.0" encoding="utf-8"?>
<x:table xmlns:x="http://schemas.openxmlformats.org/spreadsheetml/2006/main" id="1" name="T_Sinteza" displayName="T_Sinteza" ref="A4:D16" headerRowCount="1" totalsRowCount="0" totalsRowShown="0">
  <x:autoFilter ref="A4:D16"/>
  <x:tableColumns count="4">
    <x:tableColumn id="1" name="Indicator în panoul directorului"/>
    <x:tableColumn id="2" name="ID în catalog"/>
    <x:tableColumn id="3" name="Comparator"/>
    <x:tableColumn id="4" name="Întrebarea de deciz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KPI" displayName="T_KPI" ref="A4:J244" headerRowCount="1" totalsRowCount="0" totalsRowShown="0">
  <x:autoFilter ref="A4:J244"/>
  <x:tableColumns count="10">
    <x:tableColumn id="1" name="ID"/>
    <x:tableColumn id="2" name="Capitol"/>
    <x:tableColumn id="3" name="Indicator"/>
    <x:tableColumn id="4" name="Definiție / formulă propusă"/>
    <x:tableColumn id="5" name="Unitate"/>
    <x:tableColumn id="6" name="Responsabil"/>
    <x:tableColumn id="7" name="Date necesare"/>
    <x:tableColumn id="8" name="Frecvență"/>
    <x:tableColumn id="9" name="Dimensiuni"/>
    <x:tableColumn id="10" name="Priori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Industrii_CAEN" displayName="T_Industrii_CAEN" ref="A4:I38" headerRowCount="1" totalsRowCount="0" totalsRowShown="0">
  <x:autoFilter ref="A4:I38"/>
  <x:tableColumns count="9">
    <x:tableColumn id="1" name="ID"/>
    <x:tableColumn id="2" name="Secțiune"/>
    <x:tableColumn id="3" name="Diviziuni / exemple clase"/>
    <x:tableColumn id="4" name="Industrie"/>
    <x:tableColumn id="5" name="KPI de specialitate"/>
    <x:tableColumn id="6" name="Dimensiuni"/>
    <x:tableColumn id="7" name="Date necesare"/>
    <x:tableColumn id="8" name="Automatizare exemplu"/>
    <x:tableColumn id="9" name="Definiție sectorial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unctii" displayName="T_Functii" ref="A4:F82" headerRowCount="1" totalsRowCount="0" totalsRowShown="0">
  <x:autoFilter ref="A4:F82"/>
  <x:tableColumns count="6">
    <x:tableColumn id="1" name="ID"/>
    <x:tableColumn id="2" name="Categorie"/>
    <x:tableColumn id="3" name="Funcție"/>
    <x:tableColumn id="4" name="Cerință"/>
    <x:tableColumn id="5" name="Test de acceptanță"/>
    <x:tableColumn id="6" name="Priori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Automatizari" displayName="T_Automatizari" ref="A4:G64" headerRowCount="1" totalsRowCount="0" totalsRowShown="0">
  <x:autoFilter ref="A4:G64"/>
  <x:tableColumns count="7">
    <x:tableColumn id="1" name="ID"/>
    <x:tableColumn id="2" name="Domeniu"/>
    <x:tableColumn id="3" name="Declanșator"/>
    <x:tableColumn id="4" name="Acțiune propusă"/>
    <x:tableColumn id="5" name="Responsabil"/>
    <x:tableColumn id="6" name="Nivel"/>
    <x:tableColumn id="7" name="Dovada rezultatulu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latforme_AI" displayName="T_Platforme_AI" ref="A4:E14" headerRowCount="1" totalsRowCount="0" totalsRowShown="0">
  <x:autoFilter ref="A4:E14"/>
  <x:tableColumns count="5">
    <x:tableColumn id="1" name="Platformă"/>
    <x:tableColumn id="2" name="Potrivire principală"/>
    <x:tableColumn id="3" name="Limite / condiții"/>
    <x:tableColumn id="4" name="Prezentare oficială"/>
    <x:tableColumn id="5" name="Help ofici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xtract_help" displayName="T_Extract_help" ref="A4:F84" headerRowCount="1" totalsRowCount="0" totalsRowShown="0">
  <x:autoFilter ref="A4:F84"/>
  <x:tableColumns count="6">
    <x:tableColumn id="1" name="Platformă"/>
    <x:tableColumn id="2" name="Capabilitate"/>
    <x:tableColumn id="3" name="Stare"/>
    <x:tableColumn id="4" name="Condiție de disponibilitate"/>
    <x:tableColumn id="5" name="Sursă"/>
    <x:tableColumn id="6" name="Tip prob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Nevoi_utilizatori" displayName="T_Nevoi_utilizatori" ref="A4:F17" headerRowCount="1" totalsRowCount="0" totalsRowShown="0">
  <x:autoFilter ref="A4:F17"/>
  <x:tableColumns count="6">
    <x:tableColumn id="1" name="Nevoie"/>
    <x:tableColumn id="2" name="Semnal observat"/>
    <x:tableColumn id="3" name="Cerință derivată"/>
    <x:tableColumn id="4" name="Funcții"/>
    <x:tableColumn id="5" name="Limita dovezii"/>
    <x:tableColumn id="6" name="Sursă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electie" displayName="T_Selectie" ref="A4:C14" headerRowCount="1" totalsRowCount="0" totalsRowShown="0">
  <x:autoFilter ref="A4:C14"/>
  <x:tableColumns count="3">
    <x:tableColumn id="1" name="Criteriu"/>
    <x:tableColumn id="2" name="Pondere"/>
    <x:tableColumn id="3" name="Probă în pilo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eguli" displayName="T_Reguli" ref="A4:B20" headerRowCount="1" totalsRowCount="0" totalsRowShown="0">
  <x:autoFilter ref="A4:B20"/>
  <x:tableColumns count="2">
    <x:tableColumn id="1" name="Temă"/>
    <x:tableColumn id="2" name="Regulă de proiecta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Implementare" displayName="T_Implementare" ref="A4:C9" headerRowCount="1" totalsRowCount="0" totalsRowShown="0">
  <x:autoFilter ref="A4:C9"/>
  <x:tableColumns count="3">
    <x:tableColumn id="1" name="Etapă"/>
    <x:tableColumn id="2" name="Livrabil"/>
    <x:tableColumn id="3" name="Condiție de trece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4da241556f42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84dc06309048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418f233488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e8223d2004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361bc23158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fc470c31ca46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1494180a9f45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11ea7df09f443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55788f1246944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4c428b11df245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f8e78e693504a4b" /></Relationships>
</file>

<file path=xl/worksheets/sheet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.75" hidden="0" customWidth="1"/>
    <x:col min="2" max="2" width="18.1299991607666" hidden="0" customWidth="1"/>
    <x:col min="3" max="3" width="43.130001068115234" hidden="0" customWidth="1"/>
    <x:col min="4" max="4" width="45" hidden="0" customWidth="1"/>
  </x:cols>
  <x:sheetData>
    <x:row r="1">
      <x:c r="A1" s="3"/>
      <x:c r="B1" s="3"/>
      <x:c r="C1" s="3"/>
      <x:c r="D1" s="3"/>
    </x:row>
    <x:row r="2" ht="33" customHeight="1">
      <x:c r="A2" s="4" t="str">
        <x:v>BI managerial • Catalog de cerințe • 12 octombrie 2026</x:v>
      </x:c>
      <x:c r="B2" s="4"/>
      <x:c r="C2" s="4"/>
      <x:c r="D2" s="4"/>
    </x:row>
    <x:row r="3">
      <x:c r="A3" s="3"/>
      <x:c r="B3" s="3"/>
      <x:c r="C3" s="3"/>
      <x:c r="D3" s="3"/>
    </x:row>
    <x:row r="4" ht="33" customHeight="1">
      <x:c r="A4" s="6" t="str">
        <x:v>Indicator în panoul directorului</x:v>
      </x:c>
      <x:c r="B4" s="6" t="str">
        <x:v>ID în catalog</x:v>
      </x:c>
      <x:c r="C4" s="6" t="str">
        <x:v>Comparator</x:v>
      </x:c>
      <x:c r="D4" s="6" t="str">
        <x:v>Întrebarea de decizie</x:v>
      </x:c>
    </x:row>
    <x:row r="5" ht="33" customHeight="1">
      <x:c r="A5" s="7" t="str">
        <x:v>Venituri nete</x:v>
      </x:c>
      <x:c r="B5" s="7" t="str">
        <x:v>FIN-01</x:v>
      </x:c>
      <x:c r="C5" s="7" t="str">
        <x:v>Buget și an anterior comparabil</x:v>
      </x:c>
      <x:c r="D5" s="7" t="str">
        <x:v>Ce segment explică abaterea?</x:v>
      </x:c>
    </x:row>
    <x:row r="6" ht="33" customHeight="1">
      <x:c r="A6" s="3" t="str">
        <x:v>Marjă de contribuție</x:v>
      </x:c>
      <x:c r="B6" s="3" t="str">
        <x:v>FIN-03</x:v>
      </x:c>
      <x:c r="C6" s="3" t="str">
        <x:v>Buget și preț-volum-mix</x:v>
      </x:c>
      <x:c r="D6" s="3" t="str">
        <x:v>Ce produse ori clienți reduc profitul?</x:v>
      </x:c>
    </x:row>
    <x:row r="7" ht="33" customHeight="1">
      <x:c r="A7" s="7" t="str">
        <x:v>EBITDA managerial</x:v>
      </x:c>
      <x:c r="B7" s="7" t="str">
        <x:v>FIN-04</x:v>
      </x:c>
      <x:c r="C7" s="7" t="str">
        <x:v>Buget, an anterior și reconciliere EBIT</x:v>
      </x:c>
      <x:c r="D7" s="7" t="str">
        <x:v>Este abaterea recurentă?</x:v>
      </x:c>
    </x:row>
    <x:row r="8" ht="33" customHeight="1">
      <x:c r="A8" s="3" t="str">
        <x:v>Numerar utilizabil</x:v>
      </x:c>
      <x:c r="B8" s="3" t="str">
        <x:v>CASH-01</x:v>
      </x:c>
      <x:c r="C8" s="3" t="str">
        <x:v>Buffer minim aprobat</x:v>
      </x:c>
      <x:c r="D8" s="3" t="str">
        <x:v>Ce plăți pot fi susținute?</x:v>
      </x:c>
    </x:row>
    <x:row r="9" ht="33" customHeight="1">
      <x:c r="A9" s="7" t="str">
        <x:v>Minim cash în 13 săptămâni</x:v>
      </x:c>
      <x:c r="B9" s="7" t="str">
        <x:v>CASH-05</x:v>
      </x:c>
      <x:c r="C9" s="7" t="str">
        <x:v>Scenariu bază și nefavorabil</x:v>
      </x:c>
      <x:c r="D9" s="7" t="str">
        <x:v>Când apare nevoia de finanțare?</x:v>
      </x:c>
    </x:row>
    <x:row r="10" ht="33" customHeight="1">
      <x:c r="A10" s="3" t="str">
        <x:v>Creanțe restante</x:v>
      </x:c>
      <x:c r="B10" s="3" t="str">
        <x:v>AR-02</x:v>
      </x:c>
      <x:c r="C10" s="3" t="str">
        <x:v>Aging și concentrarea pe clienți</x:v>
      </x:c>
      <x:c r="D10" s="3" t="str">
        <x:v>Cine trebuie contactat și pentru ce sumă?</x:v>
      </x:c>
    </x:row>
    <x:row r="11" ht="33" customHeight="1">
      <x:c r="A11" s="7" t="str">
        <x:v>DSO</x:v>
      </x:c>
      <x:c r="B11" s="7" t="str">
        <x:v>AR-05</x:v>
      </x:c>
      <x:c r="C11" s="7" t="str">
        <x:v>Termene contractuale și trend</x:v>
      </x:c>
      <x:c r="D11" s="7" t="str">
        <x:v>Se deteriorează încasarea?</x:v>
      </x:c>
    </x:row>
    <x:row r="12" ht="33" customHeight="1">
      <x:c r="A12" s="3" t="str">
        <x:v>Portofoliu comenzi</x:v>
      </x:c>
      <x:c r="B12" s="3" t="str">
        <x:v>SAL-02</x:v>
      </x:c>
      <x:c r="C12" s="3" t="str">
        <x:v>Capacitate și termen promis</x:v>
      </x:c>
      <x:c r="D12" s="3" t="str">
        <x:v>Ce venit este susținut de comenzi?</x:v>
      </x:c>
    </x:row>
    <x:row r="13" ht="33" customHeight="1">
      <x:c r="A13" s="7" t="str">
        <x:v>Valoare și vechime stoc</x:v>
      </x:c>
      <x:c r="B13" s="7" t="str">
        <x:v>INV-01</x:v>
      </x:c>
      <x:c r="C13" s="7" t="str">
        <x:v>Stoc fără mișcare și cerere</x:v>
      </x:c>
      <x:c r="D13" s="7" t="str">
        <x:v>Unde este blocat numerarul?</x:v>
      </x:c>
    </x:row>
    <x:row r="14" ht="33" customHeight="1">
      <x:c r="A14" s="3" t="str">
        <x:v>OTIF ori SLA sectorial</x:v>
      </x:c>
      <x:c r="B14" s="3" t="str">
        <x:v>LOG-01</x:v>
      </x:c>
      <x:c r="C14" s="3" t="str">
        <x:v>Ținta contractuală</x:v>
      </x:c>
      <x:c r="D14" s="3" t="str">
        <x:v>Care clienți sunt afectați?</x:v>
      </x:c>
    </x:row>
    <x:row r="15" ht="33" customHeight="1">
      <x:c r="A15" s="7" t="str">
        <x:v>Buget disponibil</x:v>
      </x:c>
      <x:c r="B15" s="7" t="str">
        <x:v>PLAN-07</x:v>
      </x:c>
      <x:c r="C15" s="7" t="str">
        <x:v>Angajamente și realizat</x:v>
      </x:c>
      <x:c r="D15" s="7" t="str">
        <x:v>Ce cheltuieli noi pot fi aprobate?</x:v>
      </x:c>
    </x:row>
    <x:row r="16" ht="33" customHeight="1">
      <x:c r="A16" s="3" t="str">
        <x:v>Reconciliere și prospețime</x:v>
      </x:c>
      <x:c r="B16" s="3" t="str">
        <x:v>DATA-01; DATA-02</x:v>
      </x:c>
      <x:c r="C16" s="3" t="str">
        <x:v>Toleranță și SLA de date</x:v>
      </x:c>
      <x:c r="D16" s="3" t="str">
        <x:v>Sunt cifrele utilizabile pentru decizie?</x:v>
      </x:c>
    </x:row>
    <x:row r="19">
      <x:c r="A19" s="23" t="str">
        <x:v>Acoperirea catalogului</x:v>
      </x:c>
    </x:row>
    <x:row r="21" ht="34.5" customHeight="1">
      <x:c r="A21" s="25" t="str">
        <x:v>KPI și informații</x:v>
      </x:c>
      <x:c r="B21" s="27" t="n">
        <x:f>COUNTA('KPI'!A5:A244)</x:f>
        <x:v>240</x:v>
      </x:c>
      <x:c r="C21" s="25" t="str">
        <x:v>24 de capitole; formule de definiție, fără date financiare inventate</x:v>
      </x:c>
      <x:c r="D21" s="25"/>
    </x:row>
    <x:row r="22" ht="34.5" customHeight="1">
      <x:c r="A22" s="25" t="str">
        <x:v>Pachete CAEN</x:v>
      </x:c>
      <x:c r="B22" s="27" t="n">
        <x:f>COUNTA('Industrii_CAEN'!A5:A38)</x:f>
        <x:v>34</x:v>
      </x:c>
      <x:c r="C22" s="25" t="str">
        <x:v>Acoperire pe cele 22 de secțiuni A–V ale CAEN Rev.3</x:v>
      </x:c>
      <x:c r="D22" s="25"/>
    </x:row>
    <x:row r="23" ht="34.5" customHeight="1">
      <x:c r="A23" s="25" t="str">
        <x:v>Funcții</x:v>
      </x:c>
      <x:c r="B23" s="27" t="n">
        <x:f>COUNTA('Functii'!A5:A82)</x:f>
        <x:v>78</x:v>
      </x:c>
      <x:c r="C23" s="25" t="str">
        <x:v>Cerințe și teste de acceptanță</x:v>
      </x:c>
      <x:c r="D23" s="25"/>
    </x:row>
    <x:row r="24" ht="34.5" customHeight="1">
      <x:c r="A24" s="25" t="str">
        <x:v>Automatizări</x:v>
      </x:c>
      <x:c r="B24" s="27" t="n">
        <x:f>COUNTA('Automatizari'!A5:A64)</x:f>
        <x:v>60</x:v>
      </x:c>
      <x:c r="C24" s="25" t="str">
        <x:v>Propuneri; nu au fost activate în sisteme</x:v>
      </x:c>
      <x:c r="D24" s="25"/>
    </x:row>
    <x:row r="25" ht="34.5" customHeight="1">
      <x:c r="A25" s="25" t="str">
        <x:v>Platforme AI</x:v>
      </x:c>
      <x:c r="B25" s="27" t="n">
        <x:f>COUNTA('Platforme_AI'!A5:A14)</x:f>
        <x:v>10</x:v>
      </x:c>
      <x:c r="C25" s="25" t="str">
        <x:v>Selecție editorială; ordinea nu este clasament măsurat</x:v>
      </x:c>
      <x:c r="D25" s="25"/>
    </x:row>
    <x:row r="26" ht="34.5" customHeight="1">
      <x:c r="A26" s="25" t="str">
        <x:v>Capabilități documentate</x:v>
      </x:c>
      <x:c r="B26" s="27" t="n">
        <x:f>COUNTA('Extract_help'!A5:A84)</x:f>
        <x:v>80</x:v>
      </x:c>
      <x:c r="C26" s="25" t="str">
        <x:v>Extracție selectivă, cu surse și condiții</x:v>
      </x:c>
      <x:c r="D26" s="25"/>
    </x:row>
    <x:row r="27" ht="34.5" customHeight="1">
      <x:c r="A27" s="25" t="str">
        <x:v>Semnale de utilizare</x:v>
      </x:c>
      <x:c r="B27" s="27" t="n">
        <x:f>COUNTA('Nevoi_utilizatori'!A5:A17)</x:f>
        <x:v>13</x:v>
      </x:c>
      <x:c r="C27" s="25" t="str">
        <x:v>Review-uri și forumuri folosite calitativ</x:v>
      </x:c>
      <x:c r="D27" s="25"/>
    </x:row>
    <x:row r="29" ht="37.5" customHeight="1">
      <x:c r="A29" s="11" t="str">
        <x:v>Utilizare: filtrați KPI după capitol, selectați pachetul CAEN și prioritizați funcțiile P0. Țintele financiare se stabilesc pe firmă.</x:v>
      </x:c>
      <x:c r="B29" s="11"/>
      <x:c r="C29" s="11"/>
      <x:c r="D29" s="11"/>
    </x:row>
  </x:sheetData>
  <x:mergeCells>
    <x:mergeCell ref="A2:D2"/>
    <x:mergeCell ref="A19:D19"/>
    <x:mergeCell ref="C21:D21"/>
    <x:mergeCell ref="C22:D22"/>
    <x:mergeCell ref="C23:D23"/>
    <x:mergeCell ref="C24:D24"/>
    <x:mergeCell ref="C25:D25"/>
    <x:mergeCell ref="C26:D26"/>
    <x:mergeCell ref="C27:D27"/>
    <x:mergeCell ref="A29:D29"/>
  </x:mergeCells>
  <x:pageMargins left="0.7" right="0.7" top="0.75" bottom="0.75" header="0.3" footer="0.3"/>
  <x:tableParts count="1">
    <x:tablePart xmlns:r="http://schemas.openxmlformats.org/officeDocument/2006/relationships" r:id="R704da241556f42b4"/>
  </x:tableParts>
</x:worksheet>
</file>

<file path=xl/worksheets/sheet2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30" hidden="0" customWidth="1"/>
    <x:col min="3" max="3" width="32.5" hidden="0" customWidth="1"/>
    <x:col min="4" max="4" width="60" hidden="0" customWidth="1"/>
    <x:col min="5" max="5" width="12.5" hidden="0" customWidth="1"/>
    <x:col min="6" max="6" width="23.75" hidden="0" customWidth="1"/>
    <x:col min="7" max="7" width="33.75" hidden="0" customWidth="1"/>
    <x:col min="8" max="8" width="21.25" hidden="0" customWidth="1"/>
    <x:col min="9" max="9" width="32.5" hidden="0" customWidth="1"/>
    <x:col min="10" max="10" width="11.8800001144409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3" customHeight="1">
      <x:c r="A2" s="4" t="str">
        <x:v>240 de indicatori și informații • 24 de capitole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3" customHeight="1">
      <x:c r="A4" s="6" t="str">
        <x:v>ID</x:v>
      </x:c>
      <x:c r="B4" s="6" t="str">
        <x:v>Capitol</x:v>
      </x:c>
      <x:c r="C4" s="6" t="str">
        <x:v>Indicator</x:v>
      </x:c>
      <x:c r="D4" s="6" t="str">
        <x:v>Definiție / formulă propusă</x:v>
      </x:c>
      <x:c r="E4" s="6" t="str">
        <x:v>Unitate</x:v>
      </x:c>
      <x:c r="F4" s="6" t="str">
        <x:v>Responsabil</x:v>
      </x:c>
      <x:c r="G4" s="6" t="str">
        <x:v>Date necesare</x:v>
      </x:c>
      <x:c r="H4" s="6" t="str">
        <x:v>Frecvență</x:v>
      </x:c>
      <x:c r="I4" s="6" t="str">
        <x:v>Dimensiuni</x:v>
      </x:c>
      <x:c r="J4" s="6" t="str">
        <x:v>Prioritate</x:v>
      </x:c>
    </x:row>
    <x:row r="5" ht="34.5" customHeight="1">
      <x:c r="A5" s="7" t="str">
        <x:v>STR-01</x:v>
      </x:c>
      <x:c r="B5" s="7" t="str">
        <x:v>01 Strategie și conducere</x:v>
      </x:c>
      <x:c r="C5" s="7" t="str">
        <x:v>Realizare obiective strategice</x:v>
      </x:c>
      <x:c r="D5" s="7" t="str">
        <x:v>Obiective atinse / obiective scadente, cu ponderi aprobate</x:v>
      </x:c>
      <x:c r="E5" s="7" t="str">
        <x:v>%</x:v>
      </x:c>
      <x:c r="F5" s="7" t="str">
        <x:v>CEO / controlling</x:v>
      </x:c>
      <x:c r="G5" s="7" t="str">
        <x:v>ERP + buget + portofoliu obiective</x:v>
      </x:c>
      <x:c r="H5" s="7" t="str">
        <x:v>Săptămânal / lunar</x:v>
      </x:c>
      <x:c r="I5" s="7" t="str">
        <x:v>Grup, firmă, divizie, centru de profit</x:v>
      </x:c>
      <x:c r="J5" s="7" t="str">
        <x:v>P0</x:v>
      </x:c>
    </x:row>
    <x:row r="6" ht="34.5" customHeight="1">
      <x:c r="A6" s="3" t="str">
        <x:v>STR-02</x:v>
      </x:c>
      <x:c r="B6" s="3" t="str">
        <x:v>01 Strategie și conducere</x:v>
      </x:c>
      <x:c r="C6" s="3" t="str">
        <x:v>Creștere venituri comparabilă</x:v>
      </x:c>
      <x:c r="D6" s="3" t="str">
        <x:v>Venituri curente / venituri perioada comparabilă − 1; perimetru constant</x:v>
      </x:c>
      <x:c r="E6" s="3" t="str">
        <x:v>%</x:v>
      </x:c>
      <x:c r="F6" s="3" t="str">
        <x:v>CEO / controlling</x:v>
      </x:c>
      <x:c r="G6" s="3" t="str">
        <x:v>ERP + buget + portofoliu obiective</x:v>
      </x:c>
      <x:c r="H6" s="3" t="str">
        <x:v>Săptămânal / lunar</x:v>
      </x:c>
      <x:c r="I6" s="3" t="str">
        <x:v>Grup, firmă, divizie, centru de profit</x:v>
      </x:c>
      <x:c r="J6" s="3" t="str">
        <x:v>P0</x:v>
      </x:c>
    </x:row>
    <x:row r="7" ht="34.5" customHeight="1">
      <x:c r="A7" s="7" t="str">
        <x:v>STR-03</x:v>
      </x:c>
      <x:c r="B7" s="7" t="str">
        <x:v>01 Strategie și conducere</x:v>
      </x:c>
      <x:c r="C7" s="7" t="str">
        <x:v>Venituri față de buget</x:v>
      </x:c>
      <x:c r="D7" s="7" t="str">
        <x:v>Venituri efective − venituri bugetate; procent separat la buget nenul</x:v>
      </x:c>
      <x:c r="E7" s="7" t="str">
        <x:v>lei</x:v>
      </x:c>
      <x:c r="F7" s="7" t="str">
        <x:v>CEO / controlling</x:v>
      </x:c>
      <x:c r="G7" s="7" t="str">
        <x:v>ERP + buget + portofoliu obiective</x:v>
      </x:c>
      <x:c r="H7" s="7" t="str">
        <x:v>Săptămânal / lunar</x:v>
      </x:c>
      <x:c r="I7" s="7" t="str">
        <x:v>Grup, firmă, divizie, centru de profit</x:v>
      </x:c>
      <x:c r="J7" s="7" t="str">
        <x:v>P0</x:v>
      </x:c>
    </x:row>
    <x:row r="8" ht="34.5" customHeight="1">
      <x:c r="A8" s="3" t="str">
        <x:v>STR-04</x:v>
      </x:c>
      <x:c r="B8" s="3" t="str">
        <x:v>01 Strategie și conducere</x:v>
      </x:c>
      <x:c r="C8" s="3" t="str">
        <x:v>Profit operațional față de buget</x:v>
      </x:c>
      <x:c r="D8" s="3" t="str">
        <x:v>EBIT efectiv − EBIT bugetat</x:v>
      </x:c>
      <x:c r="E8" s="3" t="str">
        <x:v>lei</x:v>
      </x:c>
      <x:c r="F8" s="3" t="str">
        <x:v>CEO / controlling</x:v>
      </x:c>
      <x:c r="G8" s="3" t="str">
        <x:v>ERP + buget + portofoliu obiective</x:v>
      </x:c>
      <x:c r="H8" s="3" t="str">
        <x:v>Săptămânal / lunar</x:v>
      </x:c>
      <x:c r="I8" s="3" t="str">
        <x:v>Grup, firmă, divizie, centru de profit</x:v>
      </x:c>
      <x:c r="J8" s="3" t="str">
        <x:v>P0</x:v>
      </x:c>
    </x:row>
    <x:row r="9" ht="34.5" customHeight="1">
      <x:c r="A9" s="7" t="str">
        <x:v>STR-05</x:v>
      </x:c>
      <x:c r="B9" s="7" t="str">
        <x:v>01 Strategie și conducere</x:v>
      </x:c>
      <x:c r="C9" s="7" t="str">
        <x:v>Venituri pe angajat echivalent</x:v>
      </x:c>
      <x:c r="D9" s="7" t="str">
        <x:v>Venituri / FTE mediu în aceeași perioadă</x:v>
      </x:c>
      <x:c r="E9" s="7" t="str">
        <x:v>lei/FTE</x:v>
      </x:c>
      <x:c r="F9" s="7" t="str">
        <x:v>CEO / controlling</x:v>
      </x:c>
      <x:c r="G9" s="7" t="str">
        <x:v>ERP + buget + portofoliu obiective</x:v>
      </x:c>
      <x:c r="H9" s="7" t="str">
        <x:v>Săptămânal / lunar</x:v>
      </x:c>
      <x:c r="I9" s="7" t="str">
        <x:v>Grup, firmă, divizie, centru de profit</x:v>
      </x:c>
      <x:c r="J9" s="7" t="str">
        <x:v>P1</x:v>
      </x:c>
    </x:row>
    <x:row r="10" ht="34.5" customHeight="1">
      <x:c r="A10" s="3" t="str">
        <x:v>STR-06</x:v>
      </x:c>
      <x:c r="B10" s="3" t="str">
        <x:v>01 Strategie și conducere</x:v>
      </x:c>
      <x:c r="C10" s="3" t="str">
        <x:v>Concentrare top 5 clienți</x:v>
      </x:c>
      <x:c r="D10" s="3" t="str">
        <x:v>Venituri top 5 clienți / venituri totale</x:v>
      </x:c>
      <x:c r="E10" s="3" t="str">
        <x:v>%</x:v>
      </x:c>
      <x:c r="F10" s="3" t="str">
        <x:v>CEO / controlling</x:v>
      </x:c>
      <x:c r="G10" s="3" t="str">
        <x:v>ERP + buget + portofoliu obiective</x:v>
      </x:c>
      <x:c r="H10" s="3" t="str">
        <x:v>Săptămânal / lunar</x:v>
      </x:c>
      <x:c r="I10" s="3" t="str">
        <x:v>Grup, firmă, divizie, centru de profit</x:v>
      </x:c>
      <x:c r="J10" s="3" t="str">
        <x:v>P1</x:v>
      </x:c>
    </x:row>
    <x:row r="11" ht="34.5" customHeight="1">
      <x:c r="A11" s="7" t="str">
        <x:v>STR-07</x:v>
      </x:c>
      <x:c r="B11" s="7" t="str">
        <x:v>01 Strategie și conducere</x:v>
      </x:c>
      <x:c r="C11" s="7" t="str">
        <x:v>Expunere geografică</x:v>
      </x:c>
      <x:c r="D11" s="7" t="str">
        <x:v>Venituri și creanțe pe țări / totalul corespunzător</x:v>
      </x:c>
      <x:c r="E11" s="7" t="str">
        <x:v>%</x:v>
      </x:c>
      <x:c r="F11" s="7" t="str">
        <x:v>CEO / controlling</x:v>
      </x:c>
      <x:c r="G11" s="7" t="str">
        <x:v>ERP + buget + portofoliu obiective</x:v>
      </x:c>
      <x:c r="H11" s="7" t="str">
        <x:v>Săptămânal / lunar</x:v>
      </x:c>
      <x:c r="I11" s="7" t="str">
        <x:v>Grup, firmă, divizie, centru de profit</x:v>
      </x:c>
      <x:c r="J11" s="7" t="str">
        <x:v>P1</x:v>
      </x:c>
    </x:row>
    <x:row r="12" ht="34.5" customHeight="1">
      <x:c r="A12" s="3" t="str">
        <x:v>STR-08</x:v>
      </x:c>
      <x:c r="B12" s="3" t="str">
        <x:v>01 Strategie și conducere</x:v>
      </x:c>
      <x:c r="C12" s="3" t="str">
        <x:v>Inițiative strategice întârziate</x:v>
      </x:c>
      <x:c r="D12" s="3" t="str">
        <x:v>Număr de inițiative cu termen depășit și rezultat nelivrat</x:v>
      </x:c>
      <x:c r="E12" s="3" t="str">
        <x:v>nr.</x:v>
      </x:c>
      <x:c r="F12" s="3" t="str">
        <x:v>CEO / controlling</x:v>
      </x:c>
      <x:c r="G12" s="3" t="str">
        <x:v>ERP + buget + portofoliu obiective</x:v>
      </x:c>
      <x:c r="H12" s="3" t="str">
        <x:v>Săptămânal / lunar</x:v>
      </x:c>
      <x:c r="I12" s="3" t="str">
        <x:v>Grup, firmă, divizie, centru de profit</x:v>
      </x:c>
      <x:c r="J12" s="3" t="str">
        <x:v>P1</x:v>
      </x:c>
    </x:row>
    <x:row r="13" ht="34.5" customHeight="1">
      <x:c r="A13" s="7" t="str">
        <x:v>STR-09</x:v>
      </x:c>
      <x:c r="B13" s="7" t="str">
        <x:v>01 Strategie și conducere</x:v>
      </x:c>
      <x:c r="C13" s="7" t="str">
        <x:v>Beneficii realizate din inițiative</x:v>
      </x:c>
      <x:c r="D13" s="7" t="str">
        <x:v>Beneficii validate de controlling / beneficii aprobate</x:v>
      </x:c>
      <x:c r="E13" s="7" t="str">
        <x:v>%</x:v>
      </x:c>
      <x:c r="F13" s="7" t="str">
        <x:v>CEO / controlling</x:v>
      </x:c>
      <x:c r="G13" s="7" t="str">
        <x:v>ERP + buget + portofoliu obiective</x:v>
      </x:c>
      <x:c r="H13" s="7" t="str">
        <x:v>Săptămânal / lunar</x:v>
      </x:c>
      <x:c r="I13" s="7" t="str">
        <x:v>Grup, firmă, divizie, centru de profit</x:v>
      </x:c>
      <x:c r="J13" s="7" t="str">
        <x:v>P1</x:v>
      </x:c>
    </x:row>
    <x:row r="14" ht="34.5" customHeight="1">
      <x:c r="A14" s="3" t="str">
        <x:v>STR-10</x:v>
      </x:c>
      <x:c r="B14" s="3" t="str">
        <x:v>01 Strategie și conducere</x:v>
      </x:c>
      <x:c r="C14" s="3" t="str">
        <x:v>Decizii restante</x:v>
      </x:c>
      <x:c r="D14" s="3" t="str">
        <x:v>Decizii fără implementare la termen, cu responsabil și impact estimat</x:v>
      </x:c>
      <x:c r="E14" s="3" t="str">
        <x:v>nr.</x:v>
      </x:c>
      <x:c r="F14" s="3" t="str">
        <x:v>CEO / controlling</x:v>
      </x:c>
      <x:c r="G14" s="3" t="str">
        <x:v>ERP + buget + portofoliu obiective</x:v>
      </x:c>
      <x:c r="H14" s="3" t="str">
        <x:v>Săptămânal / lunar</x:v>
      </x:c>
      <x:c r="I14" s="3" t="str">
        <x:v>Grup, firmă, divizie, centru de profit</x:v>
      </x:c>
      <x:c r="J14" s="3" t="str">
        <x:v>P0</x:v>
      </x:c>
    </x:row>
    <x:row r="15" ht="34.5" customHeight="1">
      <x:c r="A15" s="7" t="str">
        <x:v>FIN-01</x:v>
      </x:c>
      <x:c r="B15" s="7" t="str">
        <x:v>02 Profitabilitate și costuri</x:v>
      </x:c>
      <x:c r="C15" s="7" t="str">
        <x:v>Cifră de afaceri netă</x:v>
      </x:c>
      <x:c r="D15" s="7" t="str">
        <x:v>Venituri recunoscute din vânzări, fără TVA, nete de reduceri și retururi</x:v>
      </x:c>
      <x:c r="E15" s="7" t="str">
        <x:v>lei</x:v>
      </x:c>
      <x:c r="F15" s="7" t="str">
        <x:v>CFO</x:v>
      </x:c>
      <x:c r="G15" s="7" t="str">
        <x:v>Carte mare + vânzări + costuri + reguli alocare</x:v>
      </x:c>
      <x:c r="H15" s="7" t="str">
        <x:v>Lunar, provizoriu zilnic</x:v>
      </x:c>
      <x:c r="I15" s="7" t="str">
        <x:v>Firmă, produs, client, proiect, canal</x:v>
      </x:c>
      <x:c r="J15" s="7" t="str">
        <x:v>P0</x:v>
      </x:c>
    </x:row>
    <x:row r="16" ht="34.5" customHeight="1">
      <x:c r="A16" s="3" t="str">
        <x:v>FIN-02</x:v>
      </x:c>
      <x:c r="B16" s="3" t="str">
        <x:v>02 Profitabilitate și costuri</x:v>
      </x:c>
      <x:c r="C16" s="3" t="str">
        <x:v>Marjă brută</x:v>
      </x:c>
      <x:c r="D16" s="3" t="str">
        <x:v>Venituri nete − costul bunurilor/serviciilor vândute; procent / venituri nete</x:v>
      </x:c>
      <x:c r="E16" s="3" t="str">
        <x:v>lei și %</x:v>
      </x:c>
      <x:c r="F16" s="3" t="str">
        <x:v>CFO</x:v>
      </x:c>
      <x:c r="G16" s="3" t="str">
        <x:v>Carte mare + vânzări + costuri + reguli alocare</x:v>
      </x:c>
      <x:c r="H16" s="3" t="str">
        <x:v>Lunar, provizoriu zilnic</x:v>
      </x:c>
      <x:c r="I16" s="3" t="str">
        <x:v>Firmă, produs, client, proiect, canal</x:v>
      </x:c>
      <x:c r="J16" s="3" t="str">
        <x:v>P0</x:v>
      </x:c>
    </x:row>
    <x:row r="17" ht="34.5" customHeight="1">
      <x:c r="A17" s="7" t="str">
        <x:v>FIN-03</x:v>
      </x:c>
      <x:c r="B17" s="7" t="str">
        <x:v>02 Profitabilitate și costuri</x:v>
      </x:c>
      <x:c r="C17" s="7" t="str">
        <x:v>Marjă de contribuție</x:v>
      </x:c>
      <x:c r="D17" s="7" t="str">
        <x:v>Venituri nete − costuri variabile convenite; procent / venituri nete</x:v>
      </x:c>
      <x:c r="E17" s="7" t="str">
        <x:v>lei și %</x:v>
      </x:c>
      <x:c r="F17" s="7" t="str">
        <x:v>CFO</x:v>
      </x:c>
      <x:c r="G17" s="7" t="str">
        <x:v>Carte mare + vânzări + costuri + reguli alocare</x:v>
      </x:c>
      <x:c r="H17" s="7" t="str">
        <x:v>Lunar, provizoriu zilnic</x:v>
      </x:c>
      <x:c r="I17" s="7" t="str">
        <x:v>Firmă, produs, client, proiect, canal</x:v>
      </x:c>
      <x:c r="J17" s="7" t="str">
        <x:v>P0</x:v>
      </x:c>
    </x:row>
    <x:row r="18" ht="34.5" customHeight="1">
      <x:c r="A18" s="3" t="str">
        <x:v>FIN-04</x:v>
      </x:c>
      <x:c r="B18" s="3" t="str">
        <x:v>02 Profitabilitate și costuri</x:v>
      </x:c>
      <x:c r="C18" s="3" t="str">
        <x:v>EBITDA managerial</x:v>
      </x:c>
      <x:c r="D18" s="3" t="str">
        <x:v>EBIT + amortizări incluse în EBIT; ajustările se arată separat</x:v>
      </x:c>
      <x:c r="E18" s="3" t="str">
        <x:v>lei și %</x:v>
      </x:c>
      <x:c r="F18" s="3" t="str">
        <x:v>CFO</x:v>
      </x:c>
      <x:c r="G18" s="3" t="str">
        <x:v>Carte mare + vânzări + costuri + reguli alocare</x:v>
      </x:c>
      <x:c r="H18" s="3" t="str">
        <x:v>Lunar, provizoriu zilnic</x:v>
      </x:c>
      <x:c r="I18" s="3" t="str">
        <x:v>Firmă, produs, client, proiect, canal</x:v>
      </x:c>
      <x:c r="J18" s="3" t="str">
        <x:v>P0</x:v>
      </x:c>
    </x:row>
    <x:row r="19" ht="34.5" customHeight="1">
      <x:c r="A19" s="7" t="str">
        <x:v>FIN-05</x:v>
      </x:c>
      <x:c r="B19" s="7" t="str">
        <x:v>02 Profitabilitate și costuri</x:v>
      </x:c>
      <x:c r="C19" s="7" t="str">
        <x:v>EBIT</x:v>
      </x:c>
      <x:c r="D19" s="7" t="str">
        <x:v>Rezultat operațional conform mapării contabile aprobate</x:v>
      </x:c>
      <x:c r="E19" s="7" t="str">
        <x:v>lei</x:v>
      </x:c>
      <x:c r="F19" s="7" t="str">
        <x:v>CFO</x:v>
      </x:c>
      <x:c r="G19" s="7" t="str">
        <x:v>Carte mare + vânzări + costuri + reguli alocare</x:v>
      </x:c>
      <x:c r="H19" s="7" t="str">
        <x:v>Lunar, provizoriu zilnic</x:v>
      </x:c>
      <x:c r="I19" s="7" t="str">
        <x:v>Firmă, produs, client, proiect, canal</x:v>
      </x:c>
      <x:c r="J19" s="7" t="str">
        <x:v>P1</x:v>
      </x:c>
    </x:row>
    <x:row r="20" ht="34.5" customHeight="1">
      <x:c r="A20" s="3" t="str">
        <x:v>FIN-06</x:v>
      </x:c>
      <x:c r="B20" s="3" t="str">
        <x:v>02 Profitabilitate și costuri</x:v>
      </x:c>
      <x:c r="C20" s="3" t="str">
        <x:v>Profit net</x:v>
      </x:c>
      <x:c r="D20" s="3" t="str">
        <x:v>Rezultat înainte de impozitare − cheltuiala cu impozitul pe rezultat, conform regimului și mapării aprobate</x:v>
      </x:c>
      <x:c r="E20" s="3" t="str">
        <x:v>lei</x:v>
      </x:c>
      <x:c r="F20" s="3" t="str">
        <x:v>CFO</x:v>
      </x:c>
      <x:c r="G20" s="3" t="str">
        <x:v>Carte mare + vânzări + costuri + reguli alocare</x:v>
      </x:c>
      <x:c r="H20" s="3" t="str">
        <x:v>Lunar, provizoriu zilnic</x:v>
      </x:c>
      <x:c r="I20" s="3" t="str">
        <x:v>Firmă, produs, client, proiect, canal</x:v>
      </x:c>
      <x:c r="J20" s="3" t="str">
        <x:v>P0</x:v>
      </x:c>
    </x:row>
    <x:row r="21" ht="34.5" customHeight="1">
      <x:c r="A21" s="7" t="str">
        <x:v>FIN-07</x:v>
      </x:c>
      <x:c r="B21" s="7" t="str">
        <x:v>02 Profitabilitate și costuri</x:v>
      </x:c>
      <x:c r="C21" s="7" t="str">
        <x:v>Cost-to-serve</x:v>
      </x:c>
      <x:c r="D21" s="7" t="str">
        <x:v>Costuri atribuibile servirii clientului, inclusiv logistică și suport</x:v>
      </x:c>
      <x:c r="E21" s="7" t="str">
        <x:v>lei/client</x:v>
      </x:c>
      <x:c r="F21" s="7" t="str">
        <x:v>CFO</x:v>
      </x:c>
      <x:c r="G21" s="7" t="str">
        <x:v>Carte mare + vânzări + costuri + reguli alocare</x:v>
      </x:c>
      <x:c r="H21" s="7" t="str">
        <x:v>Lunar, provizoriu zilnic</x:v>
      </x:c>
      <x:c r="I21" s="7" t="str">
        <x:v>Firmă, produs, client, proiect, canal</x:v>
      </x:c>
      <x:c r="J21" s="7" t="str">
        <x:v>P1</x:v>
      </x:c>
    </x:row>
    <x:row r="22" ht="34.5" customHeight="1">
      <x:c r="A22" s="3" t="str">
        <x:v>FIN-08</x:v>
      </x:c>
      <x:c r="B22" s="3" t="str">
        <x:v>02 Profitabilitate și costuri</x:v>
      </x:c>
      <x:c r="C22" s="3" t="str">
        <x:v>Cost unitar complet</x:v>
      </x:c>
      <x:c r="D22" s="3" t="str">
        <x:v>Costuri directe + indirecte alocate, împărțite la unități comparabile</x:v>
      </x:c>
      <x:c r="E22" s="3" t="str">
        <x:v>lei/unitate</x:v>
      </x:c>
      <x:c r="F22" s="3" t="str">
        <x:v>CFO</x:v>
      </x:c>
      <x:c r="G22" s="3" t="str">
        <x:v>Carte mare + vânzări + costuri + reguli alocare</x:v>
      </x:c>
      <x:c r="H22" s="3" t="str">
        <x:v>Lunar, provizoriu zilnic</x:v>
      </x:c>
      <x:c r="I22" s="3" t="str">
        <x:v>Firmă, produs, client, proiect, canal</x:v>
      </x:c>
      <x:c r="J22" s="3" t="str">
        <x:v>P1</x:v>
      </x:c>
    </x:row>
    <x:row r="23" ht="34.5" customHeight="1">
      <x:c r="A23" s="7" t="str">
        <x:v>FIN-09</x:v>
      </x:c>
      <x:c r="B23" s="7" t="str">
        <x:v>02 Profitabilitate și costuri</x:v>
      </x:c>
      <x:c r="C23" s="7" t="str">
        <x:v>Abatere preț-volum-mix</x:v>
      </x:c>
      <x:c r="D23" s="7" t="str">
        <x:v>Descompunere a variației veniturilor/marjei pe preț, volum, mix și curs</x:v>
      </x:c>
      <x:c r="E23" s="7" t="str">
        <x:v>lei</x:v>
      </x:c>
      <x:c r="F23" s="7" t="str">
        <x:v>CFO</x:v>
      </x:c>
      <x:c r="G23" s="7" t="str">
        <x:v>Carte mare + vânzări + costuri + reguli alocare</x:v>
      </x:c>
      <x:c r="H23" s="7" t="str">
        <x:v>Lunar, provizoriu zilnic</x:v>
      </x:c>
      <x:c r="I23" s="7" t="str">
        <x:v>Firmă, produs, client, proiect, canal</x:v>
      </x:c>
      <x:c r="J23" s="7" t="str">
        <x:v>P1</x:v>
      </x:c>
    </x:row>
    <x:row r="24" ht="34.5" customHeight="1">
      <x:c r="A24" s="3" t="str">
        <x:v>FIN-10</x:v>
      </x:c>
      <x:c r="B24" s="3" t="str">
        <x:v>02 Profitabilitate și costuri</x:v>
      </x:c>
      <x:c r="C24" s="3" t="str">
        <x:v>Prag de rentabilitate</x:v>
      </x:c>
      <x:c r="D24" s="3" t="str">
        <x:v>Costuri fixe / rata marjei de contribuție; indisponibil dacă rata ≤ 0</x:v>
      </x:c>
      <x:c r="E24" s="3" t="str">
        <x:v>lei</x:v>
      </x:c>
      <x:c r="F24" s="3" t="str">
        <x:v>CFO</x:v>
      </x:c>
      <x:c r="G24" s="3" t="str">
        <x:v>Carte mare + vânzări + costuri + reguli alocare</x:v>
      </x:c>
      <x:c r="H24" s="3" t="str">
        <x:v>Lunar, provizoriu zilnic</x:v>
      </x:c>
      <x:c r="I24" s="3" t="str">
        <x:v>Firmă, produs, client, proiect, canal</x:v>
      </x:c>
      <x:c r="J24" s="3" t="str">
        <x:v>P1</x:v>
      </x:c>
    </x:row>
    <x:row r="25" ht="34.5" customHeight="1">
      <x:c r="A25" s="7" t="str">
        <x:v>CASH-01</x:v>
      </x:c>
      <x:c r="B25" s="7" t="str">
        <x:v>03 Trezorerie și lichiditate</x:v>
      </x:c>
      <x:c r="C25" s="7" t="str">
        <x:v>Numerar disponibil</x:v>
      </x:c>
      <x:c r="D25" s="7" t="str">
        <x:v>Solduri bancare și casă utilizabile; numerar restricționat separat</x:v>
      </x:c>
      <x:c r="E25" s="7" t="str">
        <x:v>lei</x:v>
      </x:c>
      <x:c r="F25" s="7" t="str">
        <x:v>Trezorier / CFO</x:v>
      </x:c>
      <x:c r="G25" s="7" t="str">
        <x:v>Bănci + casă + scadențare AR/AP + plan plăți</x:v>
      </x:c>
      <x:c r="H25" s="7" t="str">
        <x:v>Zilnic; prognoză săptămânală</x:v>
      </x:c>
      <x:c r="I25" s="7" t="str">
        <x:v>Firmă, bancă, cont, valută, scenariu</x:v>
      </x:c>
      <x:c r="J25" s="7" t="str">
        <x:v>P0</x:v>
      </x:c>
    </x:row>
    <x:row r="26" ht="34.5" customHeight="1">
      <x:c r="A26" s="3" t="str">
        <x:v>CASH-02</x:v>
      </x:c>
      <x:c r="B26" s="3" t="str">
        <x:v>03 Trezorerie și lichiditate</x:v>
      </x:c>
      <x:c r="C26" s="3" t="str">
        <x:v>Cash-flow operațional</x:v>
      </x:c>
      <x:c r="D26" s="3" t="str">
        <x:v>Încasări operaționale − plăți operaționale, pe clasificare aprobată</x:v>
      </x:c>
      <x:c r="E26" s="3" t="str">
        <x:v>lei</x:v>
      </x:c>
      <x:c r="F26" s="3" t="str">
        <x:v>Trezorier / CFO</x:v>
      </x:c>
      <x:c r="G26" s="3" t="str">
        <x:v>Bănci + casă + scadențare AR/AP + plan plăți</x:v>
      </x:c>
      <x:c r="H26" s="3" t="str">
        <x:v>Zilnic; prognoză săptămânală</x:v>
      </x:c>
      <x:c r="I26" s="3" t="str">
        <x:v>Firmă, bancă, cont, valută, scenariu</x:v>
      </x:c>
      <x:c r="J26" s="3" t="str">
        <x:v>P0</x:v>
      </x:c>
    </x:row>
    <x:row r="27" ht="34.5" customHeight="1">
      <x:c r="A27" s="7" t="str">
        <x:v>CASH-03</x:v>
      </x:c>
      <x:c r="B27" s="7" t="str">
        <x:v>03 Trezorerie și lichiditate</x:v>
      </x:c>
      <x:c r="C27" s="7" t="str">
        <x:v>Cash-flow liber</x:v>
      </x:c>
      <x:c r="D27" s="7" t="str">
        <x:v>Cash-flow operațional − plăți pentru investiții; definiție consecventă</x:v>
      </x:c>
      <x:c r="E27" s="7" t="str">
        <x:v>lei</x:v>
      </x:c>
      <x:c r="F27" s="7" t="str">
        <x:v>Trezorier / CFO</x:v>
      </x:c>
      <x:c r="G27" s="7" t="str">
        <x:v>Bănci + casă + scadențare AR/AP + plan plăți</x:v>
      </x:c>
      <x:c r="H27" s="7" t="str">
        <x:v>Zilnic; prognoză săptămânală</x:v>
      </x:c>
      <x:c r="I27" s="7" t="str">
        <x:v>Firmă, bancă, cont, valută, scenariu</x:v>
      </x:c>
      <x:c r="J27" s="7" t="str">
        <x:v>P1</x:v>
      </x:c>
    </x:row>
    <x:row r="28" ht="34.5" customHeight="1">
      <x:c r="A28" s="3" t="str">
        <x:v>CASH-04</x:v>
      </x:c>
      <x:c r="B28" s="3" t="str">
        <x:v>03 Trezorerie și lichiditate</x:v>
      </x:c>
      <x:c r="C28" s="3" t="str">
        <x:v>Prognoză numerar 13 săptămâni</x:v>
      </x:c>
      <x:c r="D28" s="3" t="str">
        <x:v>Sold inițial + încasări estimate − plăți estimate pentru fiecare săptămână</x:v>
      </x:c>
      <x:c r="E28" s="3" t="str">
        <x:v>lei</x:v>
      </x:c>
      <x:c r="F28" s="3" t="str">
        <x:v>Trezorier / CFO</x:v>
      </x:c>
      <x:c r="G28" s="3" t="str">
        <x:v>Bănci + casă + scadențare AR/AP + plan plăți</x:v>
      </x:c>
      <x:c r="H28" s="3" t="str">
        <x:v>Zilnic; prognoză săptămânală</x:v>
      </x:c>
      <x:c r="I28" s="3" t="str">
        <x:v>Firmă, bancă, cont, valută, scenariu</x:v>
      </x:c>
      <x:c r="J28" s="3" t="str">
        <x:v>P0</x:v>
      </x:c>
    </x:row>
    <x:row r="29" ht="34.5" customHeight="1">
      <x:c r="A29" s="7" t="str">
        <x:v>CASH-05</x:v>
      </x:c>
      <x:c r="B29" s="7" t="str">
        <x:v>03 Trezorerie și lichiditate</x:v>
      </x:c>
      <x:c r="C29" s="7" t="str">
        <x:v>Minim de numerar prognozat</x:v>
      </x:c>
      <x:c r="D29" s="7" t="str">
        <x:v>Minimul soldurilor din cele 13 săptămâni, pe scenarii</x:v>
      </x:c>
      <x:c r="E29" s="7" t="str">
        <x:v>lei</x:v>
      </x:c>
      <x:c r="F29" s="7" t="str">
        <x:v>Trezorier / CFO</x:v>
      </x:c>
      <x:c r="G29" s="7" t="str">
        <x:v>Bănci + casă + scadențare AR/AP + plan plăți</x:v>
      </x:c>
      <x:c r="H29" s="7" t="str">
        <x:v>Zilnic; prognoză săptămânală</x:v>
      </x:c>
      <x:c r="I29" s="7" t="str">
        <x:v>Firmă, bancă, cont, valută, scenariu</x:v>
      </x:c>
      <x:c r="J29" s="7" t="str">
        <x:v>P0</x:v>
      </x:c>
    </x:row>
    <x:row r="30" ht="34.5" customHeight="1">
      <x:c r="A30" s="3" t="str">
        <x:v>CASH-06</x:v>
      </x:c>
      <x:c r="B30" s="3" t="str">
        <x:v>03 Trezorerie și lichiditate</x:v>
      </x:c>
      <x:c r="C30" s="3" t="str">
        <x:v>Necesar de finanțare</x:v>
      </x:c>
      <x:c r="D30" s="3" t="str">
        <x:v>Maxim dintre zero și bufferul aprobat minus numerarul prognozat disponibil</x:v>
      </x:c>
      <x:c r="E30" s="3" t="str">
        <x:v>lei</x:v>
      </x:c>
      <x:c r="F30" s="3" t="str">
        <x:v>Trezorier / CFO</x:v>
      </x:c>
      <x:c r="G30" s="3" t="str">
        <x:v>Bănci + casă + scadențare AR/AP + plan plăți</x:v>
      </x:c>
      <x:c r="H30" s="3" t="str">
        <x:v>Zilnic; prognoză săptămânală</x:v>
      </x:c>
      <x:c r="I30" s="3" t="str">
        <x:v>Firmă, bancă, cont, valută, scenariu</x:v>
      </x:c>
      <x:c r="J30" s="3" t="str">
        <x:v>P1</x:v>
      </x:c>
    </x:row>
    <x:row r="31" ht="34.5" customHeight="1">
      <x:c r="A31" s="7" t="str">
        <x:v>CASH-07</x:v>
      </x:c>
      <x:c r="B31" s="7" t="str">
        <x:v>03 Trezorerie și lichiditate</x:v>
      </x:c>
      <x:c r="C31" s="7" t="str">
        <x:v>Cash runway</x:v>
      </x:c>
      <x:c r="D31" s="7" t="str">
        <x:v>Numerar utilizabil / consum net mediu lunar pozitiv; altfel neaplicabil</x:v>
      </x:c>
      <x:c r="E31" s="7" t="str">
        <x:v>luni</x:v>
      </x:c>
      <x:c r="F31" s="7" t="str">
        <x:v>Trezorier / CFO</x:v>
      </x:c>
      <x:c r="G31" s="7" t="str">
        <x:v>Bănci + casă + scadențare AR/AP + plan plăți</x:v>
      </x:c>
      <x:c r="H31" s="7" t="str">
        <x:v>Zilnic; prognoză săptămânală</x:v>
      </x:c>
      <x:c r="I31" s="7" t="str">
        <x:v>Firmă, bancă, cont, valută, scenariu</x:v>
      </x:c>
      <x:c r="J31" s="7" t="str">
        <x:v>P1</x:v>
      </x:c>
    </x:row>
    <x:row r="32" ht="34.5" customHeight="1">
      <x:c r="A32" s="3" t="str">
        <x:v>CASH-08</x:v>
      </x:c>
      <x:c r="B32" s="3" t="str">
        <x:v>03 Trezorerie și lichiditate</x:v>
      </x:c>
      <x:c r="C32" s="3" t="str">
        <x:v>Lichiditate curentă</x:v>
      </x:c>
      <x:c r="D32" s="3" t="str">
        <x:v>Active curente / datorii curente</x:v>
      </x:c>
      <x:c r="E32" s="3" t="str">
        <x:v>x</x:v>
      </x:c>
      <x:c r="F32" s="3" t="str">
        <x:v>Trezorier / CFO</x:v>
      </x:c>
      <x:c r="G32" s="3" t="str">
        <x:v>Bănci + casă + scadențare AR/AP + plan plăți</x:v>
      </x:c>
      <x:c r="H32" s="3" t="str">
        <x:v>Zilnic; prognoză săptămânală</x:v>
      </x:c>
      <x:c r="I32" s="3" t="str">
        <x:v>Firmă, bancă, cont, valută, scenariu</x:v>
      </x:c>
      <x:c r="J32" s="3" t="str">
        <x:v>P1</x:v>
      </x:c>
    </x:row>
    <x:row r="33" ht="34.5" customHeight="1">
      <x:c r="A33" s="7" t="str">
        <x:v>CASH-09</x:v>
      </x:c>
      <x:c r="B33" s="7" t="str">
        <x:v>03 Trezorerie și lichiditate</x:v>
      </x:c>
      <x:c r="C33" s="7" t="str">
        <x:v>Lichiditate rapidă</x:v>
      </x:c>
      <x:c r="D33" s="7" t="str">
        <x:v>Numerar + investiții lichide + creanțe eligibile, împărțite la datorii curente</x:v>
      </x:c>
      <x:c r="E33" s="7" t="str">
        <x:v>x</x:v>
      </x:c>
      <x:c r="F33" s="7" t="str">
        <x:v>Trezorier / CFO</x:v>
      </x:c>
      <x:c r="G33" s="7" t="str">
        <x:v>Bănci + casă + scadențare AR/AP + plan plăți</x:v>
      </x:c>
      <x:c r="H33" s="7" t="str">
        <x:v>Zilnic; prognoză săptămânală</x:v>
      </x:c>
      <x:c r="I33" s="7" t="str">
        <x:v>Firmă, bancă, cont, valută, scenariu</x:v>
      </x:c>
      <x:c r="J33" s="7" t="str">
        <x:v>P1</x:v>
      </x:c>
    </x:row>
    <x:row r="34" ht="34.5" customHeight="1">
      <x:c r="A34" s="3" t="str">
        <x:v>CASH-10</x:v>
      </x:c>
      <x:c r="B34" s="3" t="str">
        <x:v>03 Trezorerie și lichiditate</x:v>
      </x:c>
      <x:c r="C34" s="3" t="str">
        <x:v>Expunere valutară netă</x:v>
      </x:c>
      <x:c r="D34" s="3" t="str">
        <x:v>Active monetare − datorii monetare ± acoperiri contractate, pe valută</x:v>
      </x:c>
      <x:c r="E34" s="3" t="str">
        <x:v>valută și lei</x:v>
      </x:c>
      <x:c r="F34" s="3" t="str">
        <x:v>Trezorier / CFO</x:v>
      </x:c>
      <x:c r="G34" s="3" t="str">
        <x:v>Bănci + casă + scadențare AR/AP + plan plăți</x:v>
      </x:c>
      <x:c r="H34" s="3" t="str">
        <x:v>Zilnic; prognoză săptămânală</x:v>
      </x:c>
      <x:c r="I34" s="3" t="str">
        <x:v>Firmă, bancă, cont, valută, scenariu</x:v>
      </x:c>
      <x:c r="J34" s="3" t="str">
        <x:v>P1</x:v>
      </x:c>
    </x:row>
    <x:row r="35" ht="34.5" customHeight="1">
      <x:c r="A35" s="7" t="str">
        <x:v>AR-01</x:v>
      </x:c>
      <x:c r="B35" s="7" t="str">
        <x:v>04 Creanțe și încasări</x:v>
      </x:c>
      <x:c r="C35" s="7" t="str">
        <x:v>Creanțe deschise</x:v>
      </x:c>
      <x:c r="D35" s="7" t="str">
        <x:v>Sold facturi nealocat, inclusiv parțiale; avansurile separat</x:v>
      </x:c>
      <x:c r="E35" s="7" t="str">
        <x:v>lei</x:v>
      </x:c>
      <x:c r="F35" s="7" t="str">
        <x:v>Credit control</x:v>
      </x:c>
      <x:c r="G35" s="7" t="str">
        <x:v>Facturi clienți + alocări plăți + litigii</x:v>
      </x:c>
      <x:c r="H35" s="7" t="str">
        <x:v>Zilnic</x:v>
      </x:c>
      <x:c r="I35" s="7" t="str">
        <x:v>Client, factură, agent, vechime, valută</x:v>
      </x:c>
      <x:c r="J35" s="7" t="str">
        <x:v>P0</x:v>
      </x:c>
    </x:row>
    <x:row r="36" ht="34.5" customHeight="1">
      <x:c r="A36" s="3" t="str">
        <x:v>AR-02</x:v>
      </x:c>
      <x:c r="B36" s="3" t="str">
        <x:v>04 Creanțe și încasări</x:v>
      </x:c>
      <x:c r="C36" s="3" t="str">
        <x:v>Creanțe restante</x:v>
      </x:c>
      <x:c r="D36" s="3" t="str">
        <x:v>Sold deschis cu scadența anterioară datei de referință</x:v>
      </x:c>
      <x:c r="E36" s="3" t="str">
        <x:v>lei</x:v>
      </x:c>
      <x:c r="F36" s="3" t="str">
        <x:v>Credit control</x:v>
      </x:c>
      <x:c r="G36" s="3" t="str">
        <x:v>Facturi clienți + alocări plăți + litigii</x:v>
      </x:c>
      <x:c r="H36" s="3" t="str">
        <x:v>Zilnic</x:v>
      </x:c>
      <x:c r="I36" s="3" t="str">
        <x:v>Client, factură, agent, vechime, valută</x:v>
      </x:c>
      <x:c r="J36" s="3" t="str">
        <x:v>P0</x:v>
      </x:c>
    </x:row>
    <x:row r="37" ht="34.5" customHeight="1">
      <x:c r="A37" s="7" t="str">
        <x:v>AR-03</x:v>
      </x:c>
      <x:c r="B37" s="7" t="str">
        <x:v>04 Creanțe și încasări</x:v>
      </x:c>
      <x:c r="C37" s="7" t="str">
        <x:v>Rata creanțelor restante</x:v>
      </x:c>
      <x:c r="D37" s="7" t="str">
        <x:v>Creanțe restante / creanțe comerciale deschise</x:v>
      </x:c>
      <x:c r="E37" s="7" t="str">
        <x:v>%</x:v>
      </x:c>
      <x:c r="F37" s="7" t="str">
        <x:v>Credit control</x:v>
      </x:c>
      <x:c r="G37" s="7" t="str">
        <x:v>Facturi clienți + alocări plăți + litigii</x:v>
      </x:c>
      <x:c r="H37" s="7" t="str">
        <x:v>Zilnic</x:v>
      </x:c>
      <x:c r="I37" s="7" t="str">
        <x:v>Client, factură, agent, vechime, valută</x:v>
      </x:c>
      <x:c r="J37" s="7" t="str">
        <x:v>P1</x:v>
      </x:c>
    </x:row>
    <x:row r="38" ht="34.5" customHeight="1">
      <x:c r="A38" s="3" t="str">
        <x:v>AR-04</x:v>
      </x:c>
      <x:c r="B38" s="3" t="str">
        <x:v>04 Creanțe și încasări</x:v>
      </x:c>
      <x:c r="C38" s="3" t="str">
        <x:v>Aging creanțe</x:v>
      </x:c>
      <x:c r="D38" s="3" t="str">
        <x:v>Sold pe benzi nescadent, 1–30, 31–60, 61–90, peste 90 zile</x:v>
      </x:c>
      <x:c r="E38" s="3" t="str">
        <x:v>lei</x:v>
      </x:c>
      <x:c r="F38" s="3" t="str">
        <x:v>Credit control</x:v>
      </x:c>
      <x:c r="G38" s="3" t="str">
        <x:v>Facturi clienți + alocări plăți + litigii</x:v>
      </x:c>
      <x:c r="H38" s="3" t="str">
        <x:v>Zilnic</x:v>
      </x:c>
      <x:c r="I38" s="3" t="str">
        <x:v>Client, factură, agent, vechime, valută</x:v>
      </x:c>
      <x:c r="J38" s="3" t="str">
        <x:v>P0</x:v>
      </x:c>
    </x:row>
    <x:row r="39" ht="34.5" customHeight="1">
      <x:c r="A39" s="7" t="str">
        <x:v>AR-05</x:v>
      </x:c>
      <x:c r="B39" s="7" t="str">
        <x:v>04 Creanțe și încasări</x:v>
      </x:c>
      <x:c r="C39" s="7" t="str">
        <x:v>DSO</x:v>
      </x:c>
      <x:c r="D39" s="7" t="str">
        <x:v>Creanțe comerciale medii / vânzări pe credit × zile perioadă; aceeași bază TVA</x:v>
      </x:c>
      <x:c r="E39" s="7" t="str">
        <x:v>zile</x:v>
      </x:c>
      <x:c r="F39" s="7" t="str">
        <x:v>Credit control</x:v>
      </x:c>
      <x:c r="G39" s="7" t="str">
        <x:v>Facturi clienți + alocări plăți + litigii</x:v>
      </x:c>
      <x:c r="H39" s="7" t="str">
        <x:v>Zilnic</x:v>
      </x:c>
      <x:c r="I39" s="7" t="str">
        <x:v>Client, factură, agent, vechime, valută</x:v>
      </x:c>
      <x:c r="J39" s="7" t="str">
        <x:v>P0</x:v>
      </x:c>
    </x:row>
    <x:row r="40" ht="34.5" customHeight="1">
      <x:c r="A40" s="3" t="str">
        <x:v>AR-06</x:v>
      </x:c>
      <x:c r="B40" s="3" t="str">
        <x:v>04 Creanțe și încasări</x:v>
      </x:c>
      <x:c r="C40" s="3" t="str">
        <x:v>Întârziere medie ponderată</x:v>
      </x:c>
      <x:c r="D40" s="3" t="str">
        <x:v>Suma sold × zile întârziere / suma sold restant</x:v>
      </x:c>
      <x:c r="E40" s="3" t="str">
        <x:v>zile</x:v>
      </x:c>
      <x:c r="F40" s="3" t="str">
        <x:v>Credit control</x:v>
      </x:c>
      <x:c r="G40" s="3" t="str">
        <x:v>Facturi clienți + alocări plăți + litigii</x:v>
      </x:c>
      <x:c r="H40" s="3" t="str">
        <x:v>Zilnic</x:v>
      </x:c>
      <x:c r="I40" s="3" t="str">
        <x:v>Client, factură, agent, vechime, valută</x:v>
      </x:c>
      <x:c r="J40" s="3" t="str">
        <x:v>P1</x:v>
      </x:c>
    </x:row>
    <x:row r="41" ht="34.5" customHeight="1">
      <x:c r="A41" s="7" t="str">
        <x:v>AR-07</x:v>
      </x:c>
      <x:c r="B41" s="7" t="str">
        <x:v>04 Creanțe și încasări</x:v>
      </x:c>
      <x:c r="C41" s="7" t="str">
        <x:v>Promisiuni de plată respectate</x:v>
      </x:c>
      <x:c r="D41" s="7" t="str">
        <x:v>Promisiuni achitate la termen / promisiuni scadente</x:v>
      </x:c>
      <x:c r="E41" s="7" t="str">
        <x:v>%</x:v>
      </x:c>
      <x:c r="F41" s="7" t="str">
        <x:v>Credit control</x:v>
      </x:c>
      <x:c r="G41" s="7" t="str">
        <x:v>Facturi clienți + alocări plăți + litigii</x:v>
      </x:c>
      <x:c r="H41" s="7" t="str">
        <x:v>Zilnic</x:v>
      </x:c>
      <x:c r="I41" s="7" t="str">
        <x:v>Client, factură, agent, vechime, valută</x:v>
      </x:c>
      <x:c r="J41" s="7" t="str">
        <x:v>P1</x:v>
      </x:c>
    </x:row>
    <x:row r="42" ht="34.5" customHeight="1">
      <x:c r="A42" s="3" t="str">
        <x:v>AR-08</x:v>
      </x:c>
      <x:c r="B42" s="3" t="str">
        <x:v>04 Creanțe și încasări</x:v>
      </x:c>
      <x:c r="C42" s="3" t="str">
        <x:v>Expunere peste limita de credit</x:v>
      </x:c>
      <x:c r="D42" s="3" t="str">
        <x:v>Maxim zero, creanțe + comenzi angajate − limita aprobată</x:v>
      </x:c>
      <x:c r="E42" s="3" t="str">
        <x:v>lei</x:v>
      </x:c>
      <x:c r="F42" s="3" t="str">
        <x:v>Credit control</x:v>
      </x:c>
      <x:c r="G42" s="3" t="str">
        <x:v>Facturi clienți + alocări plăți + litigii</x:v>
      </x:c>
      <x:c r="H42" s="3" t="str">
        <x:v>Zilnic</x:v>
      </x:c>
      <x:c r="I42" s="3" t="str">
        <x:v>Client, factură, agent, vechime, valută</x:v>
      </x:c>
      <x:c r="J42" s="3" t="str">
        <x:v>P1</x:v>
      </x:c>
    </x:row>
    <x:row r="43" ht="34.5" customHeight="1">
      <x:c r="A43" s="7" t="str">
        <x:v>AR-09</x:v>
      </x:c>
      <x:c r="B43" s="7" t="str">
        <x:v>04 Creanțe și încasări</x:v>
      </x:c>
      <x:c r="C43" s="7" t="str">
        <x:v>Creanțe disputate</x:v>
      </x:c>
      <x:c r="D43" s="7" t="str">
        <x:v>Soldul cu dispută documentată, fără a dubla aging-ul</x:v>
      </x:c>
      <x:c r="E43" s="7" t="str">
        <x:v>lei</x:v>
      </x:c>
      <x:c r="F43" s="7" t="str">
        <x:v>Credit control</x:v>
      </x:c>
      <x:c r="G43" s="7" t="str">
        <x:v>Facturi clienți + alocări plăți + litigii</x:v>
      </x:c>
      <x:c r="H43" s="7" t="str">
        <x:v>Zilnic</x:v>
      </x:c>
      <x:c r="I43" s="7" t="str">
        <x:v>Client, factură, agent, vechime, valută</x:v>
      </x:c>
      <x:c r="J43" s="7" t="str">
        <x:v>P1</x:v>
      </x:c>
    </x:row>
    <x:row r="44" ht="34.5" customHeight="1">
      <x:c r="A44" s="3" t="str">
        <x:v>AR-10</x:v>
      </x:c>
      <x:c r="B44" s="3" t="str">
        <x:v>04 Creanțe și încasări</x:v>
      </x:c>
      <x:c r="C44" s="3" t="str">
        <x:v>Pierderi din creanțe</x:v>
      </x:c>
      <x:c r="D44" s="3" t="str">
        <x:v>Creanțe scoase din evidență conform aprobărilor / vânzări pe credit</x:v>
      </x:c>
      <x:c r="E44" s="3" t="str">
        <x:v>%</x:v>
      </x:c>
      <x:c r="F44" s="3" t="str">
        <x:v>Credit control</x:v>
      </x:c>
      <x:c r="G44" s="3" t="str">
        <x:v>Facturi clienți + alocări plăți + litigii</x:v>
      </x:c>
      <x:c r="H44" s="3" t="str">
        <x:v>Zilnic</x:v>
      </x:c>
      <x:c r="I44" s="3" t="str">
        <x:v>Client, factură, agent, vechime, valută</x:v>
      </x:c>
      <x:c r="J44" s="3" t="str">
        <x:v>P1</x:v>
      </x:c>
    </x:row>
    <x:row r="45" ht="34.5" customHeight="1">
      <x:c r="A45" s="7" t="str">
        <x:v>AP-01</x:v>
      </x:c>
      <x:c r="B45" s="7" t="str">
        <x:v>05 Furnizori și datorii</x:v>
      </x:c>
      <x:c r="C45" s="7" t="str">
        <x:v>Datorii comerciale deschise</x:v>
      </x:c>
      <x:c r="D45" s="7" t="str">
        <x:v>Sold neachitat al facturilor furnizori</x:v>
      </x:c>
      <x:c r="E45" s="7" t="str">
        <x:v>lei</x:v>
      </x:c>
      <x:c r="F45" s="7" t="str">
        <x:v>Contabilitate furnizori</x:v>
      </x:c>
      <x:c r="G45" s="7" t="str">
        <x:v>Facturi furnizori + recepții + comenzi + plăți</x:v>
      </x:c>
      <x:c r="H45" s="7" t="str">
        <x:v>Zilnic</x:v>
      </x:c>
      <x:c r="I45" s="7" t="str">
        <x:v>Furnizor, scadență, contract, valută</x:v>
      </x:c>
      <x:c r="J45" s="7" t="str">
        <x:v>P0</x:v>
      </x:c>
    </x:row>
    <x:row r="46" ht="34.5" customHeight="1">
      <x:c r="A46" s="3" t="str">
        <x:v>AP-02</x:v>
      </x:c>
      <x:c r="B46" s="3" t="str">
        <x:v>05 Furnizori și datorii</x:v>
      </x:c>
      <x:c r="C46" s="3" t="str">
        <x:v>Datorii restante</x:v>
      </x:c>
      <x:c r="D46" s="3" t="str">
        <x:v>Sold furnizori cu scadență depășită</x:v>
      </x:c>
      <x:c r="E46" s="3" t="str">
        <x:v>lei</x:v>
      </x:c>
      <x:c r="F46" s="3" t="str">
        <x:v>Contabilitate furnizori</x:v>
      </x:c>
      <x:c r="G46" s="3" t="str">
        <x:v>Facturi furnizori + recepții + comenzi + plăți</x:v>
      </x:c>
      <x:c r="H46" s="3" t="str">
        <x:v>Zilnic</x:v>
      </x:c>
      <x:c r="I46" s="3" t="str">
        <x:v>Furnizor, scadență, contract, valută</x:v>
      </x:c>
      <x:c r="J46" s="3" t="str">
        <x:v>P0</x:v>
      </x:c>
    </x:row>
    <x:row r="47" ht="34.5" customHeight="1">
      <x:c r="A47" s="7" t="str">
        <x:v>AP-03</x:v>
      </x:c>
      <x:c r="B47" s="7" t="str">
        <x:v>05 Furnizori și datorii</x:v>
      </x:c>
      <x:c r="C47" s="7" t="str">
        <x:v>DPO</x:v>
      </x:c>
      <x:c r="D47" s="7" t="str">
        <x:v>Datorii comerciale medii / achiziții pe credit × zile; aceeași bază TVA</x:v>
      </x:c>
      <x:c r="E47" s="7" t="str">
        <x:v>zile</x:v>
      </x:c>
      <x:c r="F47" s="7" t="str">
        <x:v>Contabilitate furnizori</x:v>
      </x:c>
      <x:c r="G47" s="7" t="str">
        <x:v>Facturi furnizori + recepții + comenzi + plăți</x:v>
      </x:c>
      <x:c r="H47" s="7" t="str">
        <x:v>Zilnic</x:v>
      </x:c>
      <x:c r="I47" s="7" t="str">
        <x:v>Furnizor, scadență, contract, valută</x:v>
      </x:c>
      <x:c r="J47" s="7" t="str">
        <x:v>P1</x:v>
      </x:c>
    </x:row>
    <x:row r="48" ht="34.5" customHeight="1">
      <x:c r="A48" s="3" t="str">
        <x:v>AP-04</x:v>
      </x:c>
      <x:c r="B48" s="3" t="str">
        <x:v>05 Furnizori și datorii</x:v>
      </x:c>
      <x:c r="C48" s="3" t="str">
        <x:v>Plăți scadente 7/30 zile</x:v>
      </x:c>
      <x:c r="D48" s="3" t="str">
        <x:v>Solduri scadente în fereastra aleasă, fără dublare</x:v>
      </x:c>
      <x:c r="E48" s="3" t="str">
        <x:v>lei</x:v>
      </x:c>
      <x:c r="F48" s="3" t="str">
        <x:v>Contabilitate furnizori</x:v>
      </x:c>
      <x:c r="G48" s="3" t="str">
        <x:v>Facturi furnizori + recepții + comenzi + plăți</x:v>
      </x:c>
      <x:c r="H48" s="3" t="str">
        <x:v>Zilnic</x:v>
      </x:c>
      <x:c r="I48" s="3" t="str">
        <x:v>Furnizor, scadență, contract, valută</x:v>
      </x:c>
      <x:c r="J48" s="3" t="str">
        <x:v>P0</x:v>
      </x:c>
    </x:row>
    <x:row r="49" ht="34.5" customHeight="1">
      <x:c r="A49" s="7" t="str">
        <x:v>AP-05</x:v>
      </x:c>
      <x:c r="B49" s="7" t="str">
        <x:v>05 Furnizori și datorii</x:v>
      </x:c>
      <x:c r="C49" s="7" t="str">
        <x:v>Facturi fără recepție/comandă</x:v>
      </x:c>
      <x:c r="D49" s="7" t="str">
        <x:v>Număr și valoare facturi fără documente justificative cerute de flux</x:v>
      </x:c>
      <x:c r="E49" s="7" t="str">
        <x:v>nr. și lei</x:v>
      </x:c>
      <x:c r="F49" s="7" t="str">
        <x:v>Contabilitate furnizori</x:v>
      </x:c>
      <x:c r="G49" s="7" t="str">
        <x:v>Facturi furnizori + recepții + comenzi + plăți</x:v>
      </x:c>
      <x:c r="H49" s="7" t="str">
        <x:v>Zilnic</x:v>
      </x:c>
      <x:c r="I49" s="7" t="str">
        <x:v>Furnizor, scadență, contract, valută</x:v>
      </x:c>
      <x:c r="J49" s="7" t="str">
        <x:v>P1</x:v>
      </x:c>
    </x:row>
    <x:row r="50" ht="34.5" customHeight="1">
      <x:c r="A50" s="3" t="str">
        <x:v>AP-06</x:v>
      </x:c>
      <x:c r="B50" s="3" t="str">
        <x:v>05 Furnizori și datorii</x:v>
      </x:c>
      <x:c r="C50" s="3" t="str">
        <x:v>Potrivire automată în trei pași</x:v>
      </x:c>
      <x:c r="D50" s="3" t="str">
        <x:v>Facturi potrivite comandă–recepție–factură / facturi eligibile</x:v>
      </x:c>
      <x:c r="E50" s="3" t="str">
        <x:v>%</x:v>
      </x:c>
      <x:c r="F50" s="3" t="str">
        <x:v>Contabilitate furnizori</x:v>
      </x:c>
      <x:c r="G50" s="3" t="str">
        <x:v>Facturi furnizori + recepții + comenzi + plăți</x:v>
      </x:c>
      <x:c r="H50" s="3" t="str">
        <x:v>Zilnic</x:v>
      </x:c>
      <x:c r="I50" s="3" t="str">
        <x:v>Furnizor, scadență, contract, valută</x:v>
      </x:c>
      <x:c r="J50" s="3" t="str">
        <x:v>P1</x:v>
      </x:c>
    </x:row>
    <x:row r="51" ht="34.5" customHeight="1">
      <x:c r="A51" s="7" t="str">
        <x:v>AP-07</x:v>
      </x:c>
      <x:c r="B51" s="7" t="str">
        <x:v>05 Furnizori și datorii</x:v>
      </x:c>
      <x:c r="C51" s="7" t="str">
        <x:v>Discounturi de plată capturate</x:v>
      </x:c>
      <x:c r="D51" s="7" t="str">
        <x:v>Discount obținut / discount contractual eligibil</x:v>
      </x:c>
      <x:c r="E51" s="7" t="str">
        <x:v>%</x:v>
      </x:c>
      <x:c r="F51" s="7" t="str">
        <x:v>Contabilitate furnizori</x:v>
      </x:c>
      <x:c r="G51" s="7" t="str">
        <x:v>Facturi furnizori + recepții + comenzi + plăți</x:v>
      </x:c>
      <x:c r="H51" s="7" t="str">
        <x:v>Zilnic</x:v>
      </x:c>
      <x:c r="I51" s="7" t="str">
        <x:v>Furnizor, scadență, contract, valută</x:v>
      </x:c>
      <x:c r="J51" s="7" t="str">
        <x:v>P1</x:v>
      </x:c>
    </x:row>
    <x:row r="52" ht="34.5" customHeight="1">
      <x:c r="A52" s="3" t="str">
        <x:v>AP-08</x:v>
      </x:c>
      <x:c r="B52" s="3" t="str">
        <x:v>05 Furnizori și datorii</x:v>
      </x:c>
      <x:c r="C52" s="3" t="str">
        <x:v>Plăți potențial duplicate</x:v>
      </x:c>
      <x:c r="D52" s="3" t="str">
        <x:v>Cazuri semnalate după furnizor, document, sumă și referință</x:v>
      </x:c>
      <x:c r="E52" s="3" t="str">
        <x:v>nr. și lei</x:v>
      </x:c>
      <x:c r="F52" s="3" t="str">
        <x:v>Contabilitate furnizori</x:v>
      </x:c>
      <x:c r="G52" s="3" t="str">
        <x:v>Facturi furnizori + recepții + comenzi + plăți</x:v>
      </x:c>
      <x:c r="H52" s="3" t="str">
        <x:v>Zilnic</x:v>
      </x:c>
      <x:c r="I52" s="3" t="str">
        <x:v>Furnizor, scadență, contract, valută</x:v>
      </x:c>
      <x:c r="J52" s="3" t="str">
        <x:v>P1</x:v>
      </x:c>
    </x:row>
    <x:row r="53" ht="34.5" customHeight="1">
      <x:c r="A53" s="7" t="str">
        <x:v>AP-09</x:v>
      </x:c>
      <x:c r="B53" s="7" t="str">
        <x:v>05 Furnizori și datorii</x:v>
      </x:c>
      <x:c r="C53" s="7" t="str">
        <x:v>Concentrare furnizori critici</x:v>
      </x:c>
      <x:c r="D53" s="7" t="str">
        <x:v>Achiziții de la furnizori critici / total achiziții</x:v>
      </x:c>
      <x:c r="E53" s="7" t="str">
        <x:v>%</x:v>
      </x:c>
      <x:c r="F53" s="7" t="str">
        <x:v>Contabilitate furnizori</x:v>
      </x:c>
      <x:c r="G53" s="7" t="str">
        <x:v>Facturi furnizori + recepții + comenzi + plăți</x:v>
      </x:c>
      <x:c r="H53" s="7" t="str">
        <x:v>Zilnic</x:v>
      </x:c>
      <x:c r="I53" s="7" t="str">
        <x:v>Furnizor, scadență, contract, valută</x:v>
      </x:c>
      <x:c r="J53" s="7" t="str">
        <x:v>P1</x:v>
      </x:c>
    </x:row>
    <x:row r="54" ht="34.5" customHeight="1">
      <x:c r="A54" s="3" t="str">
        <x:v>AP-10</x:v>
      </x:c>
      <x:c r="B54" s="3" t="str">
        <x:v>05 Furnizori și datorii</x:v>
      </x:c>
      <x:c r="C54" s="3" t="str">
        <x:v>Timp aprobare factură</x:v>
      </x:c>
      <x:c r="D54" s="3" t="str">
        <x:v>Mediana și percentila 95 între recepționarea și aprobarea facturii</x:v>
      </x:c>
      <x:c r="E54" s="3" t="str">
        <x:v>ore</x:v>
      </x:c>
      <x:c r="F54" s="3" t="str">
        <x:v>Contabilitate furnizori</x:v>
      </x:c>
      <x:c r="G54" s="3" t="str">
        <x:v>Facturi furnizori + recepții + comenzi + plăți</x:v>
      </x:c>
      <x:c r="H54" s="3" t="str">
        <x:v>Zilnic</x:v>
      </x:c>
      <x:c r="I54" s="3" t="str">
        <x:v>Furnizor, scadență, contract, valută</x:v>
      </x:c>
      <x:c r="J54" s="3" t="str">
        <x:v>P1</x:v>
      </x:c>
    </x:row>
    <x:row r="55" ht="34.5" customHeight="1">
      <x:c r="A55" s="7" t="str">
        <x:v>ACC-01</x:v>
      </x:c>
      <x:c r="B55" s="7" t="str">
        <x:v>06 Contabilitate și închidere</x:v>
      </x:c>
      <x:c r="C55" s="7" t="str">
        <x:v>Durată închidere lunară</x:v>
      </x:c>
      <x:c r="D55" s="7" t="str">
        <x:v>Zile lucrătoare de la sfârșitul lunii la aprobarea închiderii</x:v>
      </x:c>
      <x:c r="E55" s="7" t="str">
        <x:v>zile</x:v>
      </x:c>
      <x:c r="F55" s="7" t="str">
        <x:v>Contabil-șef</x:v>
      </x:c>
      <x:c r="G55" s="7" t="str">
        <x:v>Carte mare + subregistre + balanță + calendar închidere</x:v>
      </x:c>
      <x:c r="H55" s="7" t="str">
        <x:v>Zilnic / la închidere</x:v>
      </x:c>
      <x:c r="I55" s="7" t="str">
        <x:v>Firmă, cont, centru de cost, perioadă</x:v>
      </x:c>
      <x:c r="J55" s="7" t="str">
        <x:v>P0</x:v>
      </x:c>
    </x:row>
    <x:row r="56" ht="34.5" customHeight="1">
      <x:c r="A56" s="3" t="str">
        <x:v>ACC-02</x:v>
      </x:c>
      <x:c r="B56" s="3" t="str">
        <x:v>06 Contabilitate și închidere</x:v>
      </x:c>
      <x:c r="C56" s="3" t="str">
        <x:v>Diferențe balanță–subregistre</x:v>
      </x:c>
      <x:c r="D56" s="3" t="str">
        <x:v>Diferențe absolute reconciliate pe AR, AP, stocuri, active și bancă</x:v>
      </x:c>
      <x:c r="E56" s="3" t="str">
        <x:v>lei</x:v>
      </x:c>
      <x:c r="F56" s="3" t="str">
        <x:v>Contabil-șef</x:v>
      </x:c>
      <x:c r="G56" s="3" t="str">
        <x:v>Carte mare + subregistre + balanță + calendar închidere</x:v>
      </x:c>
      <x:c r="H56" s="3" t="str">
        <x:v>Zilnic / la închidere</x:v>
      </x:c>
      <x:c r="I56" s="3" t="str">
        <x:v>Firmă, cont, centru de cost, perioadă</x:v>
      </x:c>
      <x:c r="J56" s="3" t="str">
        <x:v>P0</x:v>
      </x:c>
    </x:row>
    <x:row r="57" ht="34.5" customHeight="1">
      <x:c r="A57" s="7" t="str">
        <x:v>ACC-03</x:v>
      </x:c>
      <x:c r="B57" s="7" t="str">
        <x:v>06 Contabilitate și închidere</x:v>
      </x:c>
      <x:c r="C57" s="7" t="str">
        <x:v>Note contabile nepostate</x:v>
      </x:c>
      <x:c r="D57" s="7" t="str">
        <x:v>Număr și valoare documente contabile în așteptare</x:v>
      </x:c>
      <x:c r="E57" s="7" t="str">
        <x:v>nr. și lei</x:v>
      </x:c>
      <x:c r="F57" s="7" t="str">
        <x:v>Contabil-șef</x:v>
      </x:c>
      <x:c r="G57" s="7" t="str">
        <x:v>Carte mare + subregistre + balanță + calendar închidere</x:v>
      </x:c>
      <x:c r="H57" s="7" t="str">
        <x:v>Zilnic / la închidere</x:v>
      </x:c>
      <x:c r="I57" s="7" t="str">
        <x:v>Firmă, cont, centru de cost, perioadă</x:v>
      </x:c>
      <x:c r="J57" s="7" t="str">
        <x:v>P1</x:v>
      </x:c>
    </x:row>
    <x:row r="58" ht="34.5" customHeight="1">
      <x:c r="A58" s="3" t="str">
        <x:v>ACC-04</x:v>
      </x:c>
      <x:c r="B58" s="3" t="str">
        <x:v>06 Contabilitate și închidere</x:v>
      </x:c>
      <x:c r="C58" s="3" t="str">
        <x:v>Conturi tranzitorii vechi</x:v>
      </x:c>
      <x:c r="D58" s="3" t="str">
        <x:v>Solduri nereconciliate peste vechimea aprobată</x:v>
      </x:c>
      <x:c r="E58" s="3" t="str">
        <x:v>lei</x:v>
      </x:c>
      <x:c r="F58" s="3" t="str">
        <x:v>Contabil-șef</x:v>
      </x:c>
      <x:c r="G58" s="3" t="str">
        <x:v>Carte mare + subregistre + balanță + calendar închidere</x:v>
      </x:c>
      <x:c r="H58" s="3" t="str">
        <x:v>Zilnic / la închidere</x:v>
      </x:c>
      <x:c r="I58" s="3" t="str">
        <x:v>Firmă, cont, centru de cost, perioadă</x:v>
      </x:c>
      <x:c r="J58" s="3" t="str">
        <x:v>P1</x:v>
      </x:c>
    </x:row>
    <x:row r="59" ht="34.5" customHeight="1">
      <x:c r="A59" s="7" t="str">
        <x:v>ACC-05</x:v>
      </x:c>
      <x:c r="B59" s="7" t="str">
        <x:v>06 Contabilitate și închidere</x:v>
      </x:c>
      <x:c r="C59" s="7" t="str">
        <x:v>Documente justificative lipsă</x:v>
      </x:c>
      <x:c r="D59" s="7" t="str">
        <x:v>Înregistrări fără document cerut de proces / înregistrări verificate</x:v>
      </x:c>
      <x:c r="E59" s="7" t="str">
        <x:v>%</x:v>
      </x:c>
      <x:c r="F59" s="7" t="str">
        <x:v>Contabil-șef</x:v>
      </x:c>
      <x:c r="G59" s="7" t="str">
        <x:v>Carte mare + subregistre + balanță + calendar închidere</x:v>
      </x:c>
      <x:c r="H59" s="7" t="str">
        <x:v>Zilnic / la închidere</x:v>
      </x:c>
      <x:c r="I59" s="7" t="str">
        <x:v>Firmă, cont, centru de cost, perioadă</x:v>
      </x:c>
      <x:c r="J59" s="7" t="str">
        <x:v>P1</x:v>
      </x:c>
    </x:row>
    <x:row r="60" ht="34.5" customHeight="1">
      <x:c r="A60" s="3" t="str">
        <x:v>ACC-06</x:v>
      </x:c>
      <x:c r="B60" s="3" t="str">
        <x:v>06 Contabilitate și închidere</x:v>
      </x:c>
      <x:c r="C60" s="3" t="str">
        <x:v>Înregistrări manuale</x:v>
      </x:c>
      <x:c r="D60" s="3" t="str">
        <x:v>Note manuale / total note; separat valorile și autorii</x:v>
      </x:c>
      <x:c r="E60" s="3" t="str">
        <x:v>%</x:v>
      </x:c>
      <x:c r="F60" s="3" t="str">
        <x:v>Contabil-șef</x:v>
      </x:c>
      <x:c r="G60" s="3" t="str">
        <x:v>Carte mare + subregistre + balanță + calendar închidere</x:v>
      </x:c>
      <x:c r="H60" s="3" t="str">
        <x:v>Zilnic / la închidere</x:v>
      </x:c>
      <x:c r="I60" s="3" t="str">
        <x:v>Firmă, cont, centru de cost, perioadă</x:v>
      </x:c>
      <x:c r="J60" s="3" t="str">
        <x:v>P1</x:v>
      </x:c>
    </x:row>
    <x:row r="61" ht="34.5" customHeight="1">
      <x:c r="A61" s="7" t="str">
        <x:v>ACC-07</x:v>
      </x:c>
      <x:c r="B61" s="7" t="str">
        <x:v>06 Contabilitate și închidere</x:v>
      </x:c>
      <x:c r="C61" s="7" t="str">
        <x:v>Corecții după închidere</x:v>
      </x:c>
      <x:c r="D61" s="7" t="str">
        <x:v>Număr și impact al ajustărilor după data de înghețare</x:v>
      </x:c>
      <x:c r="E61" s="7" t="str">
        <x:v>nr. și lei</x:v>
      </x:c>
      <x:c r="F61" s="7" t="str">
        <x:v>Contabil-șef</x:v>
      </x:c>
      <x:c r="G61" s="7" t="str">
        <x:v>Carte mare + subregistre + balanță + calendar închidere</x:v>
      </x:c>
      <x:c r="H61" s="7" t="str">
        <x:v>Zilnic / la închidere</x:v>
      </x:c>
      <x:c r="I61" s="7" t="str">
        <x:v>Firmă, cont, centru de cost, perioadă</x:v>
      </x:c>
      <x:c r="J61" s="7" t="str">
        <x:v>P1</x:v>
      </x:c>
    </x:row>
    <x:row r="62" ht="34.5" customHeight="1">
      <x:c r="A62" s="3" t="str">
        <x:v>ACC-08</x:v>
      </x:c>
      <x:c r="B62" s="3" t="str">
        <x:v>06 Contabilitate și închidere</x:v>
      </x:c>
      <x:c r="C62" s="3" t="str">
        <x:v>Diferențe intercompany</x:v>
      </x:c>
      <x:c r="D62" s="3" t="str">
        <x:v>Solduri reciproce nepotrivite înaintea eliminărilor</x:v>
      </x:c>
      <x:c r="E62" s="3" t="str">
        <x:v>lei</x:v>
      </x:c>
      <x:c r="F62" s="3" t="str">
        <x:v>Contabil-șef</x:v>
      </x:c>
      <x:c r="G62" s="3" t="str">
        <x:v>Carte mare + subregistre + balanță + calendar închidere</x:v>
      </x:c>
      <x:c r="H62" s="3" t="str">
        <x:v>Zilnic / la închidere</x:v>
      </x:c>
      <x:c r="I62" s="3" t="str">
        <x:v>Firmă, cont, centru de cost, perioadă</x:v>
      </x:c>
      <x:c r="J62" s="3" t="str">
        <x:v>P1</x:v>
      </x:c>
    </x:row>
    <x:row r="63" ht="34.5" customHeight="1">
      <x:c r="A63" s="7" t="str">
        <x:v>ACC-09</x:v>
      </x:c>
      <x:c r="B63" s="7" t="str">
        <x:v>06 Contabilitate și închidere</x:v>
      </x:c>
      <x:c r="C63" s="7" t="str">
        <x:v>Acoperire reconcilieri</x:v>
      </x:c>
      <x:c r="D63" s="7" t="str">
        <x:v>Reconcilieri aprobate / reconcilieri scadente</x:v>
      </x:c>
      <x:c r="E63" s="7" t="str">
        <x:v>%</x:v>
      </x:c>
      <x:c r="F63" s="7" t="str">
        <x:v>Contabil-șef</x:v>
      </x:c>
      <x:c r="G63" s="7" t="str">
        <x:v>Carte mare + subregistre + balanță + calendar închidere</x:v>
      </x:c>
      <x:c r="H63" s="7" t="str">
        <x:v>Zilnic / la închidere</x:v>
      </x:c>
      <x:c r="I63" s="7" t="str">
        <x:v>Firmă, cont, centru de cost, perioadă</x:v>
      </x:c>
      <x:c r="J63" s="7" t="str">
        <x:v>P1</x:v>
      </x:c>
    </x:row>
    <x:row r="64" ht="34.5" customHeight="1">
      <x:c r="A64" s="3" t="str">
        <x:v>ACC-10</x:v>
      </x:c>
      <x:c r="B64" s="3" t="str">
        <x:v>06 Contabilitate și închidere</x:v>
      </x:c>
      <x:c r="C64" s="3" t="str">
        <x:v>Trasabilitate la document</x:v>
      </x:c>
      <x:c r="D64" s="3" t="str">
        <x:v>Valori raportate cu traseu verificabil până la document / valori testate</x:v>
      </x:c>
      <x:c r="E64" s="3" t="str">
        <x:v>%</x:v>
      </x:c>
      <x:c r="F64" s="3" t="str">
        <x:v>Contabil-șef</x:v>
      </x:c>
      <x:c r="G64" s="3" t="str">
        <x:v>Carte mare + subregistre + balanță + calendar închidere</x:v>
      </x:c>
      <x:c r="H64" s="3" t="str">
        <x:v>Zilnic / la închidere</x:v>
      </x:c>
      <x:c r="I64" s="3" t="str">
        <x:v>Firmă, cont, centru de cost, perioadă</x:v>
      </x:c>
      <x:c r="J64" s="3" t="str">
        <x:v>P0</x:v>
      </x:c>
    </x:row>
    <x:row r="65" ht="34.5" customHeight="1">
      <x:c r="A65" s="7" t="str">
        <x:v>TAX-01</x:v>
      </x:c>
      <x:c r="B65" s="7" t="str">
        <x:v>07 Fiscalitate și raportări România</x:v>
      </x:c>
      <x:c r="C65" s="7" t="str">
        <x:v>e-Facturi în așteptare</x:v>
      </x:c>
      <x:c r="D65" s="7" t="str">
        <x:v>Documente eligibile fără stare finală confirmată de sistemul fiscal</x:v>
      </x:c>
      <x:c r="E65" s="7" t="str">
        <x:v>nr.</x:v>
      </x:c>
      <x:c r="F65" s="7" t="str">
        <x:v>Responsabil fiscal</x:v>
      </x:c>
      <x:c r="G65" s="7" t="str">
        <x:v>ERP + conectori fiscali autorizați + recipise</x:v>
      </x:c>
      <x:c r="H65" s="7" t="str">
        <x:v>Zilnic / calendar configurat</x:v>
      </x:c>
      <x:c r="I65" s="7" t="str">
        <x:v>Firmă, document, obligație, perioadă fiscală</x:v>
      </x:c>
      <x:c r="J65" s="7" t="str">
        <x:v>P0</x:v>
      </x:c>
    </x:row>
    <x:row r="66" ht="34.5" customHeight="1">
      <x:c r="A66" s="3" t="str">
        <x:v>TAX-02</x:v>
      </x:c>
      <x:c r="B66" s="3" t="str">
        <x:v>07 Fiscalitate și raportări România</x:v>
      </x:c>
      <x:c r="C66" s="3" t="str">
        <x:v>e-Facturi respinse</x:v>
      </x:c>
      <x:c r="D66" s="3" t="str">
        <x:v>Documente cu eroare / documente transmise, pe cod de eroare</x:v>
      </x:c>
      <x:c r="E66" s="3" t="str">
        <x:v>%</x:v>
      </x:c>
      <x:c r="F66" s="3" t="str">
        <x:v>Responsabil fiscal</x:v>
      </x:c>
      <x:c r="G66" s="3" t="str">
        <x:v>ERP + conectori fiscali autorizați + recipise</x:v>
      </x:c>
      <x:c r="H66" s="3" t="str">
        <x:v>Zilnic / calendar configurat</x:v>
      </x:c>
      <x:c r="I66" s="3" t="str">
        <x:v>Firmă, document, obligație, perioadă fiscală</x:v>
      </x:c>
      <x:c r="J66" s="3" t="str">
        <x:v>P0</x:v>
      </x:c>
    </x:row>
    <x:row r="67" ht="34.5" customHeight="1">
      <x:c r="A67" s="7" t="str">
        <x:v>TAX-03</x:v>
      </x:c>
      <x:c r="B67" s="7" t="str">
        <x:v>07 Fiscalitate și raportări România</x:v>
      </x:c>
      <x:c r="C67" s="7" t="str">
        <x:v>Diferențe ERP–e-Factura</x:v>
      </x:c>
      <x:c r="D67" s="7" t="str">
        <x:v>Documente lipsă, duplicate sau cu sume diferite între registre</x:v>
      </x:c>
      <x:c r="E67" s="7" t="str">
        <x:v>nr. și lei</x:v>
      </x:c>
      <x:c r="F67" s="7" t="str">
        <x:v>Responsabil fiscal</x:v>
      </x:c>
      <x:c r="G67" s="7" t="str">
        <x:v>ERP + conectori fiscali autorizați + recipise</x:v>
      </x:c>
      <x:c r="H67" s="7" t="str">
        <x:v>Zilnic / calendar configurat</x:v>
      </x:c>
      <x:c r="I67" s="7" t="str">
        <x:v>Firmă, document, obligație, perioadă fiscală</x:v>
      </x:c>
      <x:c r="J67" s="7" t="str">
        <x:v>P0</x:v>
      </x:c>
    </x:row>
    <x:row r="68" ht="34.5" customHeight="1">
      <x:c r="A68" s="3" t="str">
        <x:v>TAX-04</x:v>
      </x:c>
      <x:c r="B68" s="3" t="str">
        <x:v>07 Fiscalitate și raportări România</x:v>
      </x:c>
      <x:c r="C68" s="3" t="str">
        <x:v>Latență validare e-Factura</x:v>
      </x:c>
      <x:c r="D68" s="3" t="str">
        <x:v>Timp dintre trimitere și răspuns final, mediană și percentila 95</x:v>
      </x:c>
      <x:c r="E68" s="3" t="str">
        <x:v>minute</x:v>
      </x:c>
      <x:c r="F68" s="3" t="str">
        <x:v>Responsabil fiscal</x:v>
      </x:c>
      <x:c r="G68" s="3" t="str">
        <x:v>ERP + conectori fiscali autorizați + recipise</x:v>
      </x:c>
      <x:c r="H68" s="3" t="str">
        <x:v>Zilnic / calendar configurat</x:v>
      </x:c>
      <x:c r="I68" s="3" t="str">
        <x:v>Firmă, document, obligație, perioadă fiscală</x:v>
      </x:c>
      <x:c r="J68" s="3" t="str">
        <x:v>P1</x:v>
      </x:c>
    </x:row>
    <x:row r="69" ht="34.5" customHeight="1">
      <x:c r="A69" s="7" t="str">
        <x:v>TAX-05</x:v>
      </x:c>
      <x:c r="B69" s="7" t="str">
        <x:v>07 Fiscalitate și raportări România</x:v>
      </x:c>
      <x:c r="C69" s="7" t="str">
        <x:v>Erori SAF-T</x:v>
      </x:c>
      <x:c r="D69" s="7" t="str">
        <x:v>Erori de schemă sau reguli și diferențe de reconciliere înainte de depunere</x:v>
      </x:c>
      <x:c r="E69" s="7" t="str">
        <x:v>nr.</x:v>
      </x:c>
      <x:c r="F69" s="7" t="str">
        <x:v>Responsabil fiscal</x:v>
      </x:c>
      <x:c r="G69" s="7" t="str">
        <x:v>ERP + conectori fiscali autorizați + recipise</x:v>
      </x:c>
      <x:c r="H69" s="7" t="str">
        <x:v>Zilnic / calendar configurat</x:v>
      </x:c>
      <x:c r="I69" s="7" t="str">
        <x:v>Firmă, document, obligație, perioadă fiscală</x:v>
      </x:c>
      <x:c r="J69" s="7" t="str">
        <x:v>P1</x:v>
      </x:c>
    </x:row>
    <x:row r="70" ht="34.5" customHeight="1">
      <x:c r="A70" s="3" t="str">
        <x:v>TAX-06</x:v>
      </x:c>
      <x:c r="B70" s="3" t="str">
        <x:v>07 Fiscalitate și raportări România</x:v>
      </x:c>
      <x:c r="C70" s="3" t="str">
        <x:v>TVA de reconciliat</x:v>
      </x:c>
      <x:c r="D70" s="3" t="str">
        <x:v>Diferențe jurnal TVA–decont–date fiscale disponibile, cu explicații</x:v>
      </x:c>
      <x:c r="E70" s="3" t="str">
        <x:v>lei</x:v>
      </x:c>
      <x:c r="F70" s="3" t="str">
        <x:v>Responsabil fiscal</x:v>
      </x:c>
      <x:c r="G70" s="3" t="str">
        <x:v>ERP + conectori fiscali autorizați + recipise</x:v>
      </x:c>
      <x:c r="H70" s="3" t="str">
        <x:v>Zilnic / calendar configurat</x:v>
      </x:c>
      <x:c r="I70" s="3" t="str">
        <x:v>Firmă, document, obligație, perioadă fiscală</x:v>
      </x:c>
      <x:c r="J70" s="3" t="str">
        <x:v>P1</x:v>
      </x:c>
    </x:row>
    <x:row r="71" ht="34.5" customHeight="1">
      <x:c r="A71" s="7" t="str">
        <x:v>TAX-07</x:v>
      </x:c>
      <x:c r="B71" s="7" t="str">
        <x:v>07 Fiscalitate și raportări România</x:v>
      </x:c>
      <x:c r="C71" s="7" t="str">
        <x:v>Obligații fiscale scadente</x:v>
      </x:c>
      <x:c r="D71" s="7" t="str">
        <x:v>Valori și termene configurate pentru profilul fiscal al firmei</x:v>
      </x:c>
      <x:c r="E71" s="7" t="str">
        <x:v>lei și dată</x:v>
      </x:c>
      <x:c r="F71" s="7" t="str">
        <x:v>Responsabil fiscal</x:v>
      </x:c>
      <x:c r="G71" s="7" t="str">
        <x:v>ERP + conectori fiscali autorizați + recipise</x:v>
      </x:c>
      <x:c r="H71" s="7" t="str">
        <x:v>Zilnic / calendar configurat</x:v>
      </x:c>
      <x:c r="I71" s="7" t="str">
        <x:v>Firmă, document, obligație, perioadă fiscală</x:v>
      </x:c>
      <x:c r="J71" s="7" t="str">
        <x:v>P0</x:v>
      </x:c>
    </x:row>
    <x:row r="72" ht="34.5" customHeight="1">
      <x:c r="A72" s="3" t="str">
        <x:v>TAX-08</x:v>
      </x:c>
      <x:c r="B72" s="3" t="str">
        <x:v>07 Fiscalitate și raportări România</x:v>
      </x:c>
      <x:c r="C72" s="3" t="str">
        <x:v>Declarații cu recipisă validă</x:v>
      </x:c>
      <x:c r="D72" s="3" t="str">
        <x:v>Depuneri acceptate / depuneri scadente aplicabile</x:v>
      </x:c>
      <x:c r="E72" s="3" t="str">
        <x:v>%</x:v>
      </x:c>
      <x:c r="F72" s="3" t="str">
        <x:v>Responsabil fiscal</x:v>
      </x:c>
      <x:c r="G72" s="3" t="str">
        <x:v>ERP + conectori fiscali autorizați + recipise</x:v>
      </x:c>
      <x:c r="H72" s="3" t="str">
        <x:v>Zilnic / calendar configurat</x:v>
      </x:c>
      <x:c r="I72" s="3" t="str">
        <x:v>Firmă, document, obligație, perioadă fiscală</x:v>
      </x:c>
      <x:c r="J72" s="3" t="str">
        <x:v>P1</x:v>
      </x:c>
    </x:row>
    <x:row r="73" ht="34.5" customHeight="1">
      <x:c r="A73" s="7" t="str">
        <x:v>TAX-09</x:v>
      </x:c>
      <x:c r="B73" s="7" t="str">
        <x:v>07 Fiscalitate și raportări România</x:v>
      </x:c>
      <x:c r="C73" s="7" t="str">
        <x:v>Transporturi fără date fiscale complete</x:v>
      </x:c>
      <x:c r="D73" s="7" t="str">
        <x:v>Transporturi eligibile cu identificatori sau date lipsă</x:v>
      </x:c>
      <x:c r="E73" s="7" t="str">
        <x:v>nr.</x:v>
      </x:c>
      <x:c r="F73" s="7" t="str">
        <x:v>Responsabil fiscal</x:v>
      </x:c>
      <x:c r="G73" s="7" t="str">
        <x:v>ERP + conectori fiscali autorizați + recipise</x:v>
      </x:c>
      <x:c r="H73" s="7" t="str">
        <x:v>Zilnic / calendar configurat</x:v>
      </x:c>
      <x:c r="I73" s="7" t="str">
        <x:v>Firmă, document, obligație, perioadă fiscală</x:v>
      </x:c>
      <x:c r="J73" s="7" t="str">
        <x:v>P1</x:v>
      </x:c>
    </x:row>
    <x:row r="74" ht="34.5" customHeight="1">
      <x:c r="A74" s="3" t="str">
        <x:v>TAX-10</x:v>
      </x:c>
      <x:c r="B74" s="3" t="str">
        <x:v>07 Fiscalitate și raportări România</x:v>
      </x:c>
      <x:c r="C74" s="3" t="str">
        <x:v>Certificate și autorizări aproape de expirare</x:v>
      </x:c>
      <x:c r="D74" s="3" t="str">
        <x:v>Conexiuni fiscale cu acces ori certificat ce expiră în fereastra aleasă</x:v>
      </x:c>
      <x:c r="E74" s="3" t="str">
        <x:v>nr.</x:v>
      </x:c>
      <x:c r="F74" s="3" t="str">
        <x:v>Responsabil fiscal</x:v>
      </x:c>
      <x:c r="G74" s="3" t="str">
        <x:v>ERP + conectori fiscali autorizați + recipise</x:v>
      </x:c>
      <x:c r="H74" s="3" t="str">
        <x:v>Zilnic / calendar configurat</x:v>
      </x:c>
      <x:c r="I74" s="3" t="str">
        <x:v>Firmă, document, obligație, perioadă fiscală</x:v>
      </x:c>
      <x:c r="J74" s="3" t="str">
        <x:v>P1</x:v>
      </x:c>
    </x:row>
    <x:row r="75" ht="34.5" customHeight="1">
      <x:c r="A75" s="7" t="str">
        <x:v>PLAN-01</x:v>
      </x:c>
      <x:c r="B75" s="7" t="str">
        <x:v>08 Bugetare și prognoze</x:v>
      </x:c>
      <x:c r="C75" s="7" t="str">
        <x:v>Abatere buget venituri</x:v>
      </x:c>
      <x:c r="D75" s="7" t="str">
        <x:v>Realizat − buget, în lei și procent dacă bugetul este nenul</x:v>
      </x:c>
      <x:c r="E75" s="7" t="str">
        <x:v>lei și %</x:v>
      </x:c>
      <x:c r="F75" s="7" t="str">
        <x:v>FP&amp;A / controlling</x:v>
      </x:c>
      <x:c r="G75" s="7" t="str">
        <x:v>Bugete versionate + actual + ipoteze</x:v>
      </x:c>
      <x:c r="H75" s="7" t="str">
        <x:v>Lunar / revizie săptămânală</x:v>
      </x:c>
      <x:c r="I75" s="7" t="str">
        <x:v>Scenariu, versiune, firmă, centru, perioadă</x:v>
      </x:c>
      <x:c r="J75" s="7" t="str">
        <x:v>P0</x:v>
      </x:c>
    </x:row>
    <x:row r="76" ht="34.5" customHeight="1">
      <x:c r="A76" s="3" t="str">
        <x:v>PLAN-02</x:v>
      </x:c>
      <x:c r="B76" s="3" t="str">
        <x:v>08 Bugetare și prognoze</x:v>
      </x:c>
      <x:c r="C76" s="3" t="str">
        <x:v>Abatere buget cheltuieli</x:v>
      </x:c>
      <x:c r="D76" s="3" t="str">
        <x:v>Realizat − buget, cu sens nefavorabil explicit pentru costuri</x:v>
      </x:c>
      <x:c r="E76" s="3" t="str">
        <x:v>lei și %</x:v>
      </x:c>
      <x:c r="F76" s="3" t="str">
        <x:v>FP&amp;A / controlling</x:v>
      </x:c>
      <x:c r="G76" s="3" t="str">
        <x:v>Bugete versionate + actual + ipoteze</x:v>
      </x:c>
      <x:c r="H76" s="3" t="str">
        <x:v>Lunar / revizie săptămânală</x:v>
      </x:c>
      <x:c r="I76" s="3" t="str">
        <x:v>Scenariu, versiune, firmă, centru, perioadă</x:v>
      </x:c>
      <x:c r="J76" s="3" t="str">
        <x:v>P0</x:v>
      </x:c>
    </x:row>
    <x:row r="77" ht="34.5" customHeight="1">
      <x:c r="A77" s="7" t="str">
        <x:v>PLAN-03</x:v>
      </x:c>
      <x:c r="B77" s="7" t="str">
        <x:v>08 Bugetare și prognoze</x:v>
      </x:c>
      <x:c r="C77" s="7" t="str">
        <x:v>Forecast la sfârșit de an</x:v>
      </x:c>
      <x:c r="D77" s="7" t="str">
        <x:v>Realizat până la data de referință + estimat pentru perioade viitoare</x:v>
      </x:c>
      <x:c r="E77" s="7" t="str">
        <x:v>lei</x:v>
      </x:c>
      <x:c r="F77" s="7" t="str">
        <x:v>FP&amp;A / controlling</x:v>
      </x:c>
      <x:c r="G77" s="7" t="str">
        <x:v>Bugete versionate + actual + ipoteze</x:v>
      </x:c>
      <x:c r="H77" s="7" t="str">
        <x:v>Lunar / revizie săptămânală</x:v>
      </x:c>
      <x:c r="I77" s="7" t="str">
        <x:v>Scenariu, versiune, firmă, centru, perioadă</x:v>
      </x:c>
      <x:c r="J77" s="7" t="str">
        <x:v>P1</x:v>
      </x:c>
    </x:row>
    <x:row r="78" ht="34.5" customHeight="1">
      <x:c r="A78" s="3" t="str">
        <x:v>PLAN-04</x:v>
      </x:c>
      <x:c r="B78" s="3" t="str">
        <x:v>08 Bugetare și prognoze</x:v>
      </x:c>
      <x:c r="C78" s="3" t="str">
        <x:v>Eroare prognoză WAPE</x:v>
      </x:c>
      <x:c r="D78" s="3" t="str">
        <x:v>Suma valorilor absolute actual − forecast / suma valorilor absolute actual</x:v>
      </x:c>
      <x:c r="E78" s="3" t="str">
        <x:v>%</x:v>
      </x:c>
      <x:c r="F78" s="3" t="str">
        <x:v>FP&amp;A / controlling</x:v>
      </x:c>
      <x:c r="G78" s="3" t="str">
        <x:v>Bugete versionate + actual + ipoteze</x:v>
      </x:c>
      <x:c r="H78" s="3" t="str">
        <x:v>Lunar / revizie săptămânală</x:v>
      </x:c>
      <x:c r="I78" s="3" t="str">
        <x:v>Scenariu, versiune, firmă, centru, perioadă</x:v>
      </x:c>
      <x:c r="J78" s="3" t="str">
        <x:v>P1</x:v>
      </x:c>
    </x:row>
    <x:row r="79" ht="34.5" customHeight="1">
      <x:c r="A79" s="7" t="str">
        <x:v>PLAN-05</x:v>
      </x:c>
      <x:c r="B79" s="7" t="str">
        <x:v>08 Bugetare și prognoze</x:v>
      </x:c>
      <x:c r="C79" s="7" t="str">
        <x:v>Bias prognoză</x:v>
      </x:c>
      <x:c r="D79" s="7" t="str">
        <x:v>Suma forecast − actual / suma valorilor absolute actual</x:v>
      </x:c>
      <x:c r="E79" s="7" t="str">
        <x:v>%</x:v>
      </x:c>
      <x:c r="F79" s="7" t="str">
        <x:v>FP&amp;A / controlling</x:v>
      </x:c>
      <x:c r="G79" s="7" t="str">
        <x:v>Bugete versionate + actual + ipoteze</x:v>
      </x:c>
      <x:c r="H79" s="7" t="str">
        <x:v>Lunar / revizie săptămânală</x:v>
      </x:c>
      <x:c r="I79" s="7" t="str">
        <x:v>Scenariu, versiune, firmă, centru, perioadă</x:v>
      </x:c>
      <x:c r="J79" s="7" t="str">
        <x:v>P1</x:v>
      </x:c>
    </x:row>
    <x:row r="80" ht="34.5" customHeight="1">
      <x:c r="A80" s="3" t="str">
        <x:v>PLAN-06</x:v>
      </x:c>
      <x:c r="B80" s="3" t="str">
        <x:v>08 Bugetare și prognoze</x:v>
      </x:c>
      <x:c r="C80" s="3" t="str">
        <x:v>Buget angajat</x:v>
      </x:c>
      <x:c r="D80" s="3" t="str">
        <x:v>Costuri efective + angajamente rămase, fără dublare</x:v>
      </x:c>
      <x:c r="E80" s="3" t="str">
        <x:v>lei</x:v>
      </x:c>
      <x:c r="F80" s="3" t="str">
        <x:v>FP&amp;A / controlling</x:v>
      </x:c>
      <x:c r="G80" s="3" t="str">
        <x:v>Bugete versionate + actual + ipoteze</x:v>
      </x:c>
      <x:c r="H80" s="3" t="str">
        <x:v>Lunar / revizie săptămânală</x:v>
      </x:c>
      <x:c r="I80" s="3" t="str">
        <x:v>Scenariu, versiune, firmă, centru, perioadă</x:v>
      </x:c>
      <x:c r="J80" s="3" t="str">
        <x:v>P1</x:v>
      </x:c>
    </x:row>
    <x:row r="81" ht="34.5" customHeight="1">
      <x:c r="A81" s="7" t="str">
        <x:v>PLAN-07</x:v>
      </x:c>
      <x:c r="B81" s="7" t="str">
        <x:v>08 Bugetare și prognoze</x:v>
      </x:c>
      <x:c r="C81" s="7" t="str">
        <x:v>Buget disponibil</x:v>
      </x:c>
      <x:c r="D81" s="7" t="str">
        <x:v>Buget aprobat − costuri efective − angajamente rămase</x:v>
      </x:c>
      <x:c r="E81" s="7" t="str">
        <x:v>lei</x:v>
      </x:c>
      <x:c r="F81" s="7" t="str">
        <x:v>FP&amp;A / controlling</x:v>
      </x:c>
      <x:c r="G81" s="7" t="str">
        <x:v>Bugete versionate + actual + ipoteze</x:v>
      </x:c>
      <x:c r="H81" s="7" t="str">
        <x:v>Lunar / revizie săptămânală</x:v>
      </x:c>
      <x:c r="I81" s="7" t="str">
        <x:v>Scenariu, versiune, firmă, centru, perioadă</x:v>
      </x:c>
      <x:c r="J81" s="7" t="str">
        <x:v>P0</x:v>
      </x:c>
    </x:row>
    <x:row r="82" ht="34.5" customHeight="1">
      <x:c r="A82" s="3" t="str">
        <x:v>PLAN-08</x:v>
      </x:c>
      <x:c r="B82" s="3" t="str">
        <x:v>08 Bugetare și prognoze</x:v>
      </x:c>
      <x:c r="C82" s="3" t="str">
        <x:v>Scenariu nefavorabil de numerar</x:v>
      </x:c>
      <x:c r="D82" s="3" t="str">
        <x:v>Sold proiectat cu ipotezele de stres aprobate</x:v>
      </x:c>
      <x:c r="E82" s="3" t="str">
        <x:v>lei</x:v>
      </x:c>
      <x:c r="F82" s="3" t="str">
        <x:v>FP&amp;A / controlling</x:v>
      </x:c>
      <x:c r="G82" s="3" t="str">
        <x:v>Bugete versionate + actual + ipoteze</x:v>
      </x:c>
      <x:c r="H82" s="3" t="str">
        <x:v>Lunar / revizie săptămânală</x:v>
      </x:c>
      <x:c r="I82" s="3" t="str">
        <x:v>Scenariu, versiune, firmă, centru, perioadă</x:v>
      </x:c>
      <x:c r="J82" s="3" t="str">
        <x:v>P1</x:v>
      </x:c>
    </x:row>
    <x:row r="83" ht="34.5" customHeight="1">
      <x:c r="A83" s="7" t="str">
        <x:v>PLAN-09</x:v>
      </x:c>
      <x:c r="B83" s="7" t="str">
        <x:v>08 Bugetare și prognoze</x:v>
      </x:c>
      <x:c r="C83" s="7" t="str">
        <x:v>Sensibilitate marjă</x:v>
      </x:c>
      <x:c r="D83" s="7" t="str">
        <x:v>Variație profit pentru schimbarea unei ipoteze, menținând restul explicit</x:v>
      </x:c>
      <x:c r="E83" s="7" t="str">
        <x:v>lei</x:v>
      </x:c>
      <x:c r="F83" s="7" t="str">
        <x:v>FP&amp;A / controlling</x:v>
      </x:c>
      <x:c r="G83" s="7" t="str">
        <x:v>Bugete versionate + actual + ipoteze</x:v>
      </x:c>
      <x:c r="H83" s="7" t="str">
        <x:v>Lunar / revizie săptămânală</x:v>
      </x:c>
      <x:c r="I83" s="7" t="str">
        <x:v>Scenariu, versiune, firmă, centru, perioadă</x:v>
      </x:c>
      <x:c r="J83" s="7" t="str">
        <x:v>P1</x:v>
      </x:c>
    </x:row>
    <x:row r="84" ht="34.5" customHeight="1">
      <x:c r="A84" s="3" t="str">
        <x:v>PLAN-10</x:v>
      </x:c>
      <x:c r="B84" s="3" t="str">
        <x:v>08 Bugetare și prognoze</x:v>
      </x:c>
      <x:c r="C84" s="3" t="str">
        <x:v>Durată ciclu bugetar</x:v>
      </x:c>
      <x:c r="D84" s="3" t="str">
        <x:v>Zile dintre deschiderea și aprobarea versiunii de buget</x:v>
      </x:c>
      <x:c r="E84" s="3" t="str">
        <x:v>zile</x:v>
      </x:c>
      <x:c r="F84" s="3" t="str">
        <x:v>FP&amp;A / controlling</x:v>
      </x:c>
      <x:c r="G84" s="3" t="str">
        <x:v>Bugete versionate + actual + ipoteze</x:v>
      </x:c>
      <x:c r="H84" s="3" t="str">
        <x:v>Lunar / revizie săptămânală</x:v>
      </x:c>
      <x:c r="I84" s="3" t="str">
        <x:v>Scenariu, versiune, firmă, centru, perioadă</x:v>
      </x:c>
      <x:c r="J84" s="3" t="str">
        <x:v>P1</x:v>
      </x:c>
    </x:row>
    <x:row r="85" ht="34.5" customHeight="1">
      <x:c r="A85" s="7" t="str">
        <x:v>SAL-01</x:v>
      </x:c>
      <x:c r="B85" s="7" t="str">
        <x:v>09 Vânzări și CRM</x:v>
      </x:c>
      <x:c r="C85" s="7" t="str">
        <x:v>Comenzi noi nete</x:v>
      </x:c>
      <x:c r="D85" s="7" t="str">
        <x:v>Comenzi confirmate − anulări, fără TVA</x:v>
      </x:c>
      <x:c r="E85" s="7" t="str">
        <x:v>lei</x:v>
      </x:c>
      <x:c r="F85" s="7" t="str">
        <x:v>Director comercial</x:v>
      </x:c>
      <x:c r="G85" s="7" t="str">
        <x:v>CRM + comenzi + facturi + retururi</x:v>
      </x:c>
      <x:c r="H85" s="7" t="str">
        <x:v>Zilnic</x:v>
      </x:c>
      <x:c r="I85" s="7" t="str">
        <x:v>Agent, client, produs, canal, teritoriu</x:v>
      </x:c>
      <x:c r="J85" s="7" t="str">
        <x:v>P0</x:v>
      </x:c>
    </x:row>
    <x:row r="86" ht="34.5" customHeight="1">
      <x:c r="A86" s="3" t="str">
        <x:v>SAL-02</x:v>
      </x:c>
      <x:c r="B86" s="3" t="str">
        <x:v>09 Vânzări și CRM</x:v>
      </x:c>
      <x:c r="C86" s="3" t="str">
        <x:v>Portofoliu comenzi nelivrate</x:v>
      </x:c>
      <x:c r="D86" s="3" t="str">
        <x:v>Valoare rămasă de livrat/facturat din comenzi confirmate</x:v>
      </x:c>
      <x:c r="E86" s="3" t="str">
        <x:v>lei</x:v>
      </x:c>
      <x:c r="F86" s="3" t="str">
        <x:v>Director comercial</x:v>
      </x:c>
      <x:c r="G86" s="3" t="str">
        <x:v>CRM + comenzi + facturi + retururi</x:v>
      </x:c>
      <x:c r="H86" s="3" t="str">
        <x:v>Zilnic</x:v>
      </x:c>
      <x:c r="I86" s="3" t="str">
        <x:v>Agent, client, produs, canal, teritoriu</x:v>
      </x:c>
      <x:c r="J86" s="3" t="str">
        <x:v>P0</x:v>
      </x:c>
    </x:row>
    <x:row r="87" ht="34.5" customHeight="1">
      <x:c r="A87" s="7" t="str">
        <x:v>SAL-03</x:v>
      </x:c>
      <x:c r="B87" s="7" t="str">
        <x:v>09 Vânzări și CRM</x:v>
      </x:c>
      <x:c r="C87" s="7" t="str">
        <x:v>Pipeline ponderat</x:v>
      </x:c>
      <x:c r="D87" s="7" t="str">
        <x:v>Suma oportunitate × probabilitate calibrată, pe data estimată a închiderii</x:v>
      </x:c>
      <x:c r="E87" s="7" t="str">
        <x:v>lei</x:v>
      </x:c>
      <x:c r="F87" s="7" t="str">
        <x:v>Director comercial</x:v>
      </x:c>
      <x:c r="G87" s="7" t="str">
        <x:v>CRM + comenzi + facturi + retururi</x:v>
      </x:c>
      <x:c r="H87" s="7" t="str">
        <x:v>Zilnic</x:v>
      </x:c>
      <x:c r="I87" s="7" t="str">
        <x:v>Agent, client, produs, canal, teritoriu</x:v>
      </x:c>
      <x:c r="J87" s="7" t="str">
        <x:v>P1</x:v>
      </x:c>
    </x:row>
    <x:row r="88" ht="34.5" customHeight="1">
      <x:c r="A88" s="3" t="str">
        <x:v>SAL-04</x:v>
      </x:c>
      <x:c r="B88" s="3" t="str">
        <x:v>09 Vânzări și CRM</x:v>
      </x:c>
      <x:c r="C88" s="3" t="str">
        <x:v>Acoperire pipeline</x:v>
      </x:c>
      <x:c r="D88" s="3" t="str">
        <x:v>Pipeline eligibil / ținta de vânzări rămasă în aceeași perioadă</x:v>
      </x:c>
      <x:c r="E88" s="3" t="str">
        <x:v>x</x:v>
      </x:c>
      <x:c r="F88" s="3" t="str">
        <x:v>Director comercial</x:v>
      </x:c>
      <x:c r="G88" s="3" t="str">
        <x:v>CRM + comenzi + facturi + retururi</x:v>
      </x:c>
      <x:c r="H88" s="3" t="str">
        <x:v>Zilnic</x:v>
      </x:c>
      <x:c r="I88" s="3" t="str">
        <x:v>Agent, client, produs, canal, teritoriu</x:v>
      </x:c>
      <x:c r="J88" s="3" t="str">
        <x:v>P1</x:v>
      </x:c>
    </x:row>
    <x:row r="89" ht="34.5" customHeight="1">
      <x:c r="A89" s="7" t="str">
        <x:v>SAL-05</x:v>
      </x:c>
      <x:c r="B89" s="7" t="str">
        <x:v>09 Vânzări și CRM</x:v>
      </x:c>
      <x:c r="C89" s="7" t="str">
        <x:v>Rată câștigare</x:v>
      </x:c>
      <x:c r="D89" s="7" t="str">
        <x:v>Oportunități câștigate / oportunități închise câștigate sau pierdute</x:v>
      </x:c>
      <x:c r="E89" s="7" t="str">
        <x:v>%</x:v>
      </x:c>
      <x:c r="F89" s="7" t="str">
        <x:v>Director comercial</x:v>
      </x:c>
      <x:c r="G89" s="7" t="str">
        <x:v>CRM + comenzi + facturi + retururi</x:v>
      </x:c>
      <x:c r="H89" s="7" t="str">
        <x:v>Zilnic</x:v>
      </x:c>
      <x:c r="I89" s="7" t="str">
        <x:v>Agent, client, produs, canal, teritoriu</x:v>
      </x:c>
      <x:c r="J89" s="7" t="str">
        <x:v>P1</x:v>
      </x:c>
    </x:row>
    <x:row r="90" ht="34.5" customHeight="1">
      <x:c r="A90" s="3" t="str">
        <x:v>SAL-06</x:v>
      </x:c>
      <x:c r="B90" s="3" t="str">
        <x:v>09 Vânzări și CRM</x:v>
      </x:c>
      <x:c r="C90" s="3" t="str">
        <x:v>Ciclu vânzare</x:v>
      </x:c>
      <x:c r="D90" s="3" t="str">
        <x:v>Mediana zilelor de la calificare la închidere</x:v>
      </x:c>
      <x:c r="E90" s="3" t="str">
        <x:v>zile</x:v>
      </x:c>
      <x:c r="F90" s="3" t="str">
        <x:v>Director comercial</x:v>
      </x:c>
      <x:c r="G90" s="3" t="str">
        <x:v>CRM + comenzi + facturi + retururi</x:v>
      </x:c>
      <x:c r="H90" s="3" t="str">
        <x:v>Zilnic</x:v>
      </x:c>
      <x:c r="I90" s="3" t="str">
        <x:v>Agent, client, produs, canal, teritoriu</x:v>
      </x:c>
      <x:c r="J90" s="3" t="str">
        <x:v>P1</x:v>
      </x:c>
    </x:row>
    <x:row r="91" ht="34.5" customHeight="1">
      <x:c r="A91" s="7" t="str">
        <x:v>SAL-07</x:v>
      </x:c>
      <x:c r="B91" s="7" t="str">
        <x:v>09 Vânzări și CRM</x:v>
      </x:c>
      <x:c r="C91" s="7" t="str">
        <x:v>Conversie ofertă–comandă</x:v>
      </x:c>
      <x:c r="D91" s="7" t="str">
        <x:v>Oferte convertite / oferte ajunse la rezultat</x:v>
      </x:c>
      <x:c r="E91" s="7" t="str">
        <x:v>%</x:v>
      </x:c>
      <x:c r="F91" s="7" t="str">
        <x:v>Director comercial</x:v>
      </x:c>
      <x:c r="G91" s="7" t="str">
        <x:v>CRM + comenzi + facturi + retururi</x:v>
      </x:c>
      <x:c r="H91" s="7" t="str">
        <x:v>Zilnic</x:v>
      </x:c>
      <x:c r="I91" s="7" t="str">
        <x:v>Agent, client, produs, canal, teritoriu</x:v>
      </x:c>
      <x:c r="J91" s="7" t="str">
        <x:v>P1</x:v>
      </x:c>
    </x:row>
    <x:row r="92" ht="34.5" customHeight="1">
      <x:c r="A92" s="3" t="str">
        <x:v>SAL-08</x:v>
      </x:c>
      <x:c r="B92" s="3" t="str">
        <x:v>09 Vânzări și CRM</x:v>
      </x:c>
      <x:c r="C92" s="3" t="str">
        <x:v>Preț realizat</x:v>
      </x:c>
      <x:c r="D92" s="3" t="str">
        <x:v>Venit net / cantitate comparabilă vândută</x:v>
      </x:c>
      <x:c r="E92" s="3" t="str">
        <x:v>lei/unitate</x:v>
      </x:c>
      <x:c r="F92" s="3" t="str">
        <x:v>Director comercial</x:v>
      </x:c>
      <x:c r="G92" s="3" t="str">
        <x:v>CRM + comenzi + facturi + retururi</x:v>
      </x:c>
      <x:c r="H92" s="3" t="str">
        <x:v>Zilnic</x:v>
      </x:c>
      <x:c r="I92" s="3" t="str">
        <x:v>Agent, client, produs, canal, teritoriu</x:v>
      </x:c>
      <x:c r="J92" s="3" t="str">
        <x:v>P1</x:v>
      </x:c>
    </x:row>
    <x:row r="93" ht="34.5" customHeight="1">
      <x:c r="A93" s="7" t="str">
        <x:v>SAL-09</x:v>
      </x:c>
      <x:c r="B93" s="7" t="str">
        <x:v>09 Vânzări și CRM</x:v>
      </x:c>
      <x:c r="C93" s="7" t="str">
        <x:v>Discount mediu ponderat</x:v>
      </x:c>
      <x:c r="D93" s="7" t="str">
        <x:v>Reducere totală / valoare la preț de listă, pe aceeași populație</x:v>
      </x:c>
      <x:c r="E93" s="7" t="str">
        <x:v>%</x:v>
      </x:c>
      <x:c r="F93" s="7" t="str">
        <x:v>Director comercial</x:v>
      </x:c>
      <x:c r="G93" s="7" t="str">
        <x:v>CRM + comenzi + facturi + retururi</x:v>
      </x:c>
      <x:c r="H93" s="7" t="str">
        <x:v>Zilnic</x:v>
      </x:c>
      <x:c r="I93" s="7" t="str">
        <x:v>Agent, client, produs, canal, teritoriu</x:v>
      </x:c>
      <x:c r="J93" s="7" t="str">
        <x:v>P1</x:v>
      </x:c>
    </x:row>
    <x:row r="94" ht="34.5" customHeight="1">
      <x:c r="A94" s="3" t="str">
        <x:v>SAL-10</x:v>
      </x:c>
      <x:c r="B94" s="3" t="str">
        <x:v>09 Vânzări și CRM</x:v>
      </x:c>
      <x:c r="C94" s="3" t="str">
        <x:v>Oportunități fără activitate</x:v>
      </x:c>
      <x:c r="D94" s="3" t="str">
        <x:v>Oportunități active fără interacțiune în intervalul configurat</x:v>
      </x:c>
      <x:c r="E94" s="3" t="str">
        <x:v>nr.</x:v>
      </x:c>
      <x:c r="F94" s="3" t="str">
        <x:v>Director comercial</x:v>
      </x:c>
      <x:c r="G94" s="3" t="str">
        <x:v>CRM + comenzi + facturi + retururi</x:v>
      </x:c>
      <x:c r="H94" s="3" t="str">
        <x:v>Zilnic</x:v>
      </x:c>
      <x:c r="I94" s="3" t="str">
        <x:v>Agent, client, produs, canal, teritoriu</x:v>
      </x:c>
      <x:c r="J94" s="3" t="str">
        <x:v>P1</x:v>
      </x:c>
    </x:row>
    <x:row r="95" ht="34.5" customHeight="1">
      <x:c r="A95" s="7" t="str">
        <x:v>MKT-01</x:v>
      </x:c>
      <x:c r="B95" s="7" t="str">
        <x:v>10 Marketing și canale digitale</x:v>
      </x:c>
      <x:c r="C95" s="7" t="str">
        <x:v>Cost achiziție client CAC</x:v>
      </x:c>
      <x:c r="D95" s="7" t="str">
        <x:v>Costuri de achiziție atribuite / clienți noi din aceeași cohortă</x:v>
      </x:c>
      <x:c r="E95" s="7" t="str">
        <x:v>lei/client</x:v>
      </x:c>
      <x:c r="F95" s="7" t="str">
        <x:v>Director marketing</x:v>
      </x:c>
      <x:c r="G95" s="7" t="str">
        <x:v>CRM + campanii + web analytics + costuri</x:v>
      </x:c>
      <x:c r="H95" s="7" t="str">
        <x:v>Zilnic / săptămânal</x:v>
      </x:c>
      <x:c r="I95" s="7" t="str">
        <x:v>Campanie, canal, segment, cohortă</x:v>
      </x:c>
      <x:c r="J95" s="7" t="str">
        <x:v>P1</x:v>
      </x:c>
    </x:row>
    <x:row r="96" ht="34.5" customHeight="1">
      <x:c r="A96" s="3" t="str">
        <x:v>MKT-02</x:v>
      </x:c>
      <x:c r="B96" s="3" t="str">
        <x:v>10 Marketing și canale digitale</x:v>
      </x:c>
      <x:c r="C96" s="3" t="str">
        <x:v>Cost per lead calificat</x:v>
      </x:c>
      <x:c r="D96" s="3" t="str">
        <x:v>Cheltuieli campanie / lead-uri calificate conform definiției aprobate</x:v>
      </x:c>
      <x:c r="E96" s="3" t="str">
        <x:v>lei/lead</x:v>
      </x:c>
      <x:c r="F96" s="3" t="str">
        <x:v>Director marketing</x:v>
      </x:c>
      <x:c r="G96" s="3" t="str">
        <x:v>CRM + campanii + web analytics + costuri</x:v>
      </x:c>
      <x:c r="H96" s="3" t="str">
        <x:v>Zilnic / săptămânal</x:v>
      </x:c>
      <x:c r="I96" s="3" t="str">
        <x:v>Campanie, canal, segment, cohortă</x:v>
      </x:c>
      <x:c r="J96" s="3" t="str">
        <x:v>P1</x:v>
      </x:c>
    </x:row>
    <x:row r="97" ht="34.5" customHeight="1">
      <x:c r="A97" s="7" t="str">
        <x:v>MKT-03</x:v>
      </x:c>
      <x:c r="B97" s="7" t="str">
        <x:v>10 Marketing și canale digitale</x:v>
      </x:c>
      <x:c r="C97" s="7" t="str">
        <x:v>Conversie lead–client</x:v>
      </x:c>
      <x:c r="D97" s="7" t="str">
        <x:v>Lead-uri convertite / lead-uri din cohorta analizată</x:v>
      </x:c>
      <x:c r="E97" s="7" t="str">
        <x:v>%</x:v>
      </x:c>
      <x:c r="F97" s="7" t="str">
        <x:v>Director marketing</x:v>
      </x:c>
      <x:c r="G97" s="7" t="str">
        <x:v>CRM + campanii + web analytics + costuri</x:v>
      </x:c>
      <x:c r="H97" s="7" t="str">
        <x:v>Zilnic / săptămânal</x:v>
      </x:c>
      <x:c r="I97" s="7" t="str">
        <x:v>Campanie, canal, segment, cohortă</x:v>
      </x:c>
      <x:c r="J97" s="7" t="str">
        <x:v>P1</x:v>
      </x:c>
    </x:row>
    <x:row r="98" ht="34.5" customHeight="1">
      <x:c r="A98" s="3" t="str">
        <x:v>MKT-04</x:v>
      </x:c>
      <x:c r="B98" s="3" t="str">
        <x:v>10 Marketing și canale digitale</x:v>
      </x:c>
      <x:c r="C98" s="3" t="str">
        <x:v>ROAS</x:v>
      </x:c>
      <x:c r="D98" s="3" t="str">
        <x:v>Venit atribuit publicității / cheltuială publicitară; nu reprezintă profit</x:v>
      </x:c>
      <x:c r="E98" s="3" t="str">
        <x:v>x</x:v>
      </x:c>
      <x:c r="F98" s="3" t="str">
        <x:v>Director marketing</x:v>
      </x:c>
      <x:c r="G98" s="3" t="str">
        <x:v>CRM + campanii + web analytics + costuri</x:v>
      </x:c>
      <x:c r="H98" s="3" t="str">
        <x:v>Zilnic / săptămânal</x:v>
      </x:c>
      <x:c r="I98" s="3" t="str">
        <x:v>Campanie, canal, segment, cohortă</x:v>
      </x:c>
      <x:c r="J98" s="3" t="str">
        <x:v>P1</x:v>
      </x:c>
    </x:row>
    <x:row r="99" ht="34.5" customHeight="1">
      <x:c r="A99" s="7" t="str">
        <x:v>MKT-05</x:v>
      </x:c>
      <x:c r="B99" s="7" t="str">
        <x:v>10 Marketing și canale digitale</x:v>
      </x:c>
      <x:c r="C99" s="7" t="str">
        <x:v>ROI marketing</x:v>
      </x:c>
      <x:c r="D99" s="7" t="str">
        <x:v>Contribuție incrementală estimată minus cost campanie, împărțit la cost</x:v>
      </x:c>
      <x:c r="E99" s="7" t="str">
        <x:v>%</x:v>
      </x:c>
      <x:c r="F99" s="7" t="str">
        <x:v>Director marketing</x:v>
      </x:c>
      <x:c r="G99" s="7" t="str">
        <x:v>CRM + campanii + web analytics + costuri</x:v>
      </x:c>
      <x:c r="H99" s="7" t="str">
        <x:v>Zilnic / săptămânal</x:v>
      </x:c>
      <x:c r="I99" s="7" t="str">
        <x:v>Campanie, canal, segment, cohortă</x:v>
      </x:c>
      <x:c r="J99" s="7" t="str">
        <x:v>P1</x:v>
      </x:c>
    </x:row>
    <x:row r="100" ht="34.5" customHeight="1">
      <x:c r="A100" s="3" t="str">
        <x:v>MKT-06</x:v>
      </x:c>
      <x:c r="B100" s="3" t="str">
        <x:v>10 Marketing și canale digitale</x:v>
      </x:c>
      <x:c r="C100" s="3" t="str">
        <x:v>LTV pe cohortă</x:v>
      </x:c>
      <x:c r="D100" s="3" t="str">
        <x:v>Valoarea actualizată a contribuției estimate pe durata relației</x:v>
      </x:c>
      <x:c r="E100" s="3" t="str">
        <x:v>lei/client</x:v>
      </x:c>
      <x:c r="F100" s="3" t="str">
        <x:v>Director marketing</x:v>
      </x:c>
      <x:c r="G100" s="3" t="str">
        <x:v>CRM + campanii + web analytics + costuri</x:v>
      </x:c>
      <x:c r="H100" s="3" t="str">
        <x:v>Zilnic / săptămânal</x:v>
      </x:c>
      <x:c r="I100" s="3" t="str">
        <x:v>Campanie, canal, segment, cohortă</x:v>
      </x:c>
      <x:c r="J100" s="3" t="str">
        <x:v>P1</x:v>
      </x:c>
    </x:row>
    <x:row r="101" ht="34.5" customHeight="1">
      <x:c r="A101" s="7" t="str">
        <x:v>MKT-07</x:v>
      </x:c>
      <x:c r="B101" s="7" t="str">
        <x:v>10 Marketing și canale digitale</x:v>
      </x:c>
      <x:c r="C101" s="7" t="str">
        <x:v>LTV/CAC</x:v>
      </x:c>
      <x:c r="D101" s="7" t="str">
        <x:v>LTV și CAC comparabile pentru aceeași cohortă și bază de cost</x:v>
      </x:c>
      <x:c r="E101" s="7" t="str">
        <x:v>x</x:v>
      </x:c>
      <x:c r="F101" s="7" t="str">
        <x:v>Director marketing</x:v>
      </x:c>
      <x:c r="G101" s="7" t="str">
        <x:v>CRM + campanii + web analytics + costuri</x:v>
      </x:c>
      <x:c r="H101" s="7" t="str">
        <x:v>Zilnic / săptămânal</x:v>
      </x:c>
      <x:c r="I101" s="7" t="str">
        <x:v>Campanie, canal, segment, cohortă</x:v>
      </x:c>
      <x:c r="J101" s="7" t="str">
        <x:v>P1</x:v>
      </x:c>
    </x:row>
    <x:row r="102" ht="34.5" customHeight="1">
      <x:c r="A102" s="3" t="str">
        <x:v>MKT-08</x:v>
      </x:c>
      <x:c r="B102" s="3" t="str">
        <x:v>10 Marketing și canale digitale</x:v>
      </x:c>
      <x:c r="C102" s="3" t="str">
        <x:v>Conversie website</x:v>
      </x:c>
      <x:c r="D102" s="3" t="str">
        <x:v>Sesiuni eligibile cu conversie / sesiuni eligibile</x:v>
      </x:c>
      <x:c r="E102" s="3" t="str">
        <x:v>%</x:v>
      </x:c>
      <x:c r="F102" s="3" t="str">
        <x:v>Director marketing</x:v>
      </x:c>
      <x:c r="G102" s="3" t="str">
        <x:v>CRM + campanii + web analytics + costuri</x:v>
      </x:c>
      <x:c r="H102" s="3" t="str">
        <x:v>Zilnic / săptămânal</x:v>
      </x:c>
      <x:c r="I102" s="3" t="str">
        <x:v>Campanie, canal, segment, cohortă</x:v>
      </x:c>
      <x:c r="J102" s="3" t="str">
        <x:v>P1</x:v>
      </x:c>
    </x:row>
    <x:row r="103" ht="34.5" customHeight="1">
      <x:c r="A103" s="7" t="str">
        <x:v>MKT-09</x:v>
      </x:c>
      <x:c r="B103" s="7" t="str">
        <x:v>10 Marketing și canale digitale</x:v>
      </x:c>
      <x:c r="C103" s="7" t="str">
        <x:v>Abandon coș</x:v>
      </x:c>
      <x:c r="D103" s="7" t="str">
        <x:v>Coșuri eligibile nefinalizate / coșuri eligibile inițiate</x:v>
      </x:c>
      <x:c r="E103" s="7" t="str">
        <x:v>%</x:v>
      </x:c>
      <x:c r="F103" s="7" t="str">
        <x:v>Director marketing</x:v>
      </x:c>
      <x:c r="G103" s="7" t="str">
        <x:v>CRM + campanii + web analytics + costuri</x:v>
      </x:c>
      <x:c r="H103" s="7" t="str">
        <x:v>Zilnic / săptămânal</x:v>
      </x:c>
      <x:c r="I103" s="7" t="str">
        <x:v>Campanie, canal, segment, cohortă</x:v>
      </x:c>
      <x:c r="J103" s="7" t="str">
        <x:v>P1</x:v>
      </x:c>
    </x:row>
    <x:row r="104" ht="34.5" customHeight="1">
      <x:c r="A104" s="3" t="str">
        <x:v>MKT-10</x:v>
      </x:c>
      <x:c r="B104" s="3" t="str">
        <x:v>10 Marketing și canale digitale</x:v>
      </x:c>
      <x:c r="C104" s="3" t="str">
        <x:v>Venit pe canal</x:v>
      </x:c>
      <x:c r="D104" s="3" t="str">
        <x:v>Venit atribuit conform modelului de atribuire afișat</x:v>
      </x:c>
      <x:c r="E104" s="3" t="str">
        <x:v>lei</x:v>
      </x:c>
      <x:c r="F104" s="3" t="str">
        <x:v>Director marketing</x:v>
      </x:c>
      <x:c r="G104" s="3" t="str">
        <x:v>CRM + campanii + web analytics + costuri</x:v>
      </x:c>
      <x:c r="H104" s="3" t="str">
        <x:v>Zilnic / săptămânal</x:v>
      </x:c>
      <x:c r="I104" s="3" t="str">
        <x:v>Campanie, canal, segment, cohortă</x:v>
      </x:c>
      <x:c r="J104" s="3" t="str">
        <x:v>P1</x:v>
      </x:c>
    </x:row>
    <x:row r="105" ht="34.5" customHeight="1">
      <x:c r="A105" s="7" t="str">
        <x:v>CUS-01</x:v>
      </x:c>
      <x:c r="B105" s="7" t="str">
        <x:v>11 Clienți și servicii</x:v>
      </x:c>
      <x:c r="C105" s="7" t="str">
        <x:v>Retenție clienți</x:v>
      </x:c>
      <x:c r="D105" s="7" t="str">
        <x:v>Clienți din cohorta inițială rămași activi / clienți inițiali eligibili</x:v>
      </x:c>
      <x:c r="E105" s="7" t="str">
        <x:v>%</x:v>
      </x:c>
      <x:c r="F105" s="7" t="str">
        <x:v>Customer success / suport</x:v>
      </x:c>
      <x:c r="G105" s="7" t="str">
        <x:v>CRM + tichete + contracte + sondaje</x:v>
      </x:c>
      <x:c r="H105" s="7" t="str">
        <x:v>Zilnic / lunar</x:v>
      </x:c>
      <x:c r="I105" s="7" t="str">
        <x:v>Client, cohortă, produs, categorie tichet</x:v>
      </x:c>
      <x:c r="J105" s="7" t="str">
        <x:v>P0</x:v>
      </x:c>
    </x:row>
    <x:row r="106" ht="34.5" customHeight="1">
      <x:c r="A106" s="3" t="str">
        <x:v>CUS-02</x:v>
      </x:c>
      <x:c r="B106" s="3" t="str">
        <x:v>11 Clienți și servicii</x:v>
      </x:c>
      <x:c r="C106" s="3" t="str">
        <x:v>Churn clienți</x:v>
      </x:c>
      <x:c r="D106" s="3" t="str">
        <x:v>Clienți pierduți / clienți inițiali eligibili, pe perioadă definită</x:v>
      </x:c>
      <x:c r="E106" s="3" t="str">
        <x:v>%</x:v>
      </x:c>
      <x:c r="F106" s="3" t="str">
        <x:v>Customer success / suport</x:v>
      </x:c>
      <x:c r="G106" s="3" t="str">
        <x:v>CRM + tichete + contracte + sondaje</x:v>
      </x:c>
      <x:c r="H106" s="3" t="str">
        <x:v>Zilnic / lunar</x:v>
      </x:c>
      <x:c r="I106" s="3" t="str">
        <x:v>Client, cohortă, produs, categorie tichet</x:v>
      </x:c>
      <x:c r="J106" s="3" t="str">
        <x:v>P1</x:v>
      </x:c>
    </x:row>
    <x:row r="107" ht="34.5" customHeight="1">
      <x:c r="A107" s="7" t="str">
        <x:v>CUS-03</x:v>
      </x:c>
      <x:c r="B107" s="7" t="str">
        <x:v>11 Clienți și servicii</x:v>
      </x:c>
      <x:c r="C107" s="7" t="str">
        <x:v>Net Revenue Retention</x:v>
      </x:c>
      <x:c r="D107" s="7" t="str">
        <x:v>Venit recurent inițial − churn − contracții + extinderi, / venit inițial; fără clienți noi</x:v>
      </x:c>
      <x:c r="E107" s="7" t="str">
        <x:v>%</x:v>
      </x:c>
      <x:c r="F107" s="7" t="str">
        <x:v>Customer success / suport</x:v>
      </x:c>
      <x:c r="G107" s="7" t="str">
        <x:v>CRM + tichete + contracte + sondaje</x:v>
      </x:c>
      <x:c r="H107" s="7" t="str">
        <x:v>Zilnic / lunar</x:v>
      </x:c>
      <x:c r="I107" s="7" t="str">
        <x:v>Client, cohortă, produs, categorie tichet</x:v>
      </x:c>
      <x:c r="J107" s="7" t="str">
        <x:v>P1</x:v>
      </x:c>
    </x:row>
    <x:row r="108" ht="34.5" customHeight="1">
      <x:c r="A108" s="3" t="str">
        <x:v>CUS-04</x:v>
      </x:c>
      <x:c r="B108" s="3" t="str">
        <x:v>11 Clienți și servicii</x:v>
      </x:c>
      <x:c r="C108" s="3" t="str">
        <x:v>Gross Revenue Retention</x:v>
      </x:c>
      <x:c r="D108" s="3" t="str">
        <x:v>Venit inițial − churn − contracții, / venit inițial; fără extinderi</x:v>
      </x:c>
      <x:c r="E108" s="3" t="str">
        <x:v>%</x:v>
      </x:c>
      <x:c r="F108" s="3" t="str">
        <x:v>Customer success / suport</x:v>
      </x:c>
      <x:c r="G108" s="3" t="str">
        <x:v>CRM + tichete + contracte + sondaje</x:v>
      </x:c>
      <x:c r="H108" s="3" t="str">
        <x:v>Zilnic / lunar</x:v>
      </x:c>
      <x:c r="I108" s="3" t="str">
        <x:v>Client, cohortă, produs, categorie tichet</x:v>
      </x:c>
      <x:c r="J108" s="3" t="str">
        <x:v>P1</x:v>
      </x:c>
    </x:row>
    <x:row r="109" ht="34.5" customHeight="1">
      <x:c r="A109" s="7" t="str">
        <x:v>CUS-05</x:v>
      </x:c>
      <x:c r="B109" s="7" t="str">
        <x:v>11 Clienți și servicii</x:v>
      </x:c>
      <x:c r="C109" s="7" t="str">
        <x:v>NPS</x:v>
      </x:c>
      <x:c r="D109" s="7" t="str">
        <x:v>Procent promotori minus procent detractori, dintre respondenții validați</x:v>
      </x:c>
      <x:c r="E109" s="7" t="str">
        <x:v>puncte</x:v>
      </x:c>
      <x:c r="F109" s="7" t="str">
        <x:v>Customer success / suport</x:v>
      </x:c>
      <x:c r="G109" s="7" t="str">
        <x:v>CRM + tichete + contracte + sondaje</x:v>
      </x:c>
      <x:c r="H109" s="7" t="str">
        <x:v>Zilnic / lunar</x:v>
      </x:c>
      <x:c r="I109" s="7" t="str">
        <x:v>Client, cohortă, produs, categorie tichet</x:v>
      </x:c>
      <x:c r="J109" s="7" t="str">
        <x:v>P1</x:v>
      </x:c>
    </x:row>
    <x:row r="110" ht="34.5" customHeight="1">
      <x:c r="A110" s="3" t="str">
        <x:v>CUS-06</x:v>
      </x:c>
      <x:c r="B110" s="3" t="str">
        <x:v>11 Clienți și servicii</x:v>
      </x:c>
      <x:c r="C110" s="3" t="str">
        <x:v>CSAT</x:v>
      </x:c>
      <x:c r="D110" s="3" t="str">
        <x:v>Răspunsuri satisfăcute / răspunsuri eligibile, cu scală afișată</x:v>
      </x:c>
      <x:c r="E110" s="3" t="str">
        <x:v>%</x:v>
      </x:c>
      <x:c r="F110" s="3" t="str">
        <x:v>Customer success / suport</x:v>
      </x:c>
      <x:c r="G110" s="3" t="str">
        <x:v>CRM + tichete + contracte + sondaje</x:v>
      </x:c>
      <x:c r="H110" s="3" t="str">
        <x:v>Zilnic / lunar</x:v>
      </x:c>
      <x:c r="I110" s="3" t="str">
        <x:v>Client, cohortă, produs, categorie tichet</x:v>
      </x:c>
      <x:c r="J110" s="3" t="str">
        <x:v>P1</x:v>
      </x:c>
    </x:row>
    <x:row r="111" ht="34.5" customHeight="1">
      <x:c r="A111" s="7" t="str">
        <x:v>CUS-07</x:v>
      </x:c>
      <x:c r="B111" s="7" t="str">
        <x:v>11 Clienți și servicii</x:v>
      </x:c>
      <x:c r="C111" s="7" t="str">
        <x:v>Timp prim răspuns</x:v>
      </x:c>
      <x:c r="D111" s="7" t="str">
        <x:v>Mediană și percentila 95 până la primul răspuns uman util</x:v>
      </x:c>
      <x:c r="E111" s="7" t="str">
        <x:v>minute</x:v>
      </x:c>
      <x:c r="F111" s="7" t="str">
        <x:v>Customer success / suport</x:v>
      </x:c>
      <x:c r="G111" s="7" t="str">
        <x:v>CRM + tichete + contracte + sondaje</x:v>
      </x:c>
      <x:c r="H111" s="7" t="str">
        <x:v>Zilnic / lunar</x:v>
      </x:c>
      <x:c r="I111" s="7" t="str">
        <x:v>Client, cohortă, produs, categorie tichet</x:v>
      </x:c>
      <x:c r="J111" s="7" t="str">
        <x:v>P1</x:v>
      </x:c>
    </x:row>
    <x:row r="112" ht="34.5" customHeight="1">
      <x:c r="A112" s="3" t="str">
        <x:v>CUS-08</x:v>
      </x:c>
      <x:c r="B112" s="3" t="str">
        <x:v>11 Clienți și servicii</x:v>
      </x:c>
      <x:c r="C112" s="3" t="str">
        <x:v>Rezolvare în SLA</x:v>
      </x:c>
      <x:c r="D112" s="3" t="str">
        <x:v>Tichete rezolvate în intervalul contractat / tichete eligibile</x:v>
      </x:c>
      <x:c r="E112" s="3" t="str">
        <x:v>%</x:v>
      </x:c>
      <x:c r="F112" s="3" t="str">
        <x:v>Customer success / suport</x:v>
      </x:c>
      <x:c r="G112" s="3" t="str">
        <x:v>CRM + tichete + contracte + sondaje</x:v>
      </x:c>
      <x:c r="H112" s="3" t="str">
        <x:v>Zilnic / lunar</x:v>
      </x:c>
      <x:c r="I112" s="3" t="str">
        <x:v>Client, cohortă, produs, categorie tichet</x:v>
      </x:c>
      <x:c r="J112" s="3" t="str">
        <x:v>P0</x:v>
      </x:c>
    </x:row>
    <x:row r="113" ht="34.5" customHeight="1">
      <x:c r="A113" s="7" t="str">
        <x:v>CUS-09</x:v>
      </x:c>
      <x:c r="B113" s="7" t="str">
        <x:v>11 Clienți și servicii</x:v>
      </x:c>
      <x:c r="C113" s="7" t="str">
        <x:v>Reclamații recurente</x:v>
      </x:c>
      <x:c r="D113" s="7" t="str">
        <x:v>Clienți cu reclamații repetate pentru aceeași cauză / clienți cu reclamații</x:v>
      </x:c>
      <x:c r="E113" s="7" t="str">
        <x:v>%</x:v>
      </x:c>
      <x:c r="F113" s="7" t="str">
        <x:v>Customer success / suport</x:v>
      </x:c>
      <x:c r="G113" s="7" t="str">
        <x:v>CRM + tichete + contracte + sondaje</x:v>
      </x:c>
      <x:c r="H113" s="7" t="str">
        <x:v>Zilnic / lunar</x:v>
      </x:c>
      <x:c r="I113" s="7" t="str">
        <x:v>Client, cohortă, produs, categorie tichet</x:v>
      </x:c>
      <x:c r="J113" s="7" t="str">
        <x:v>P1</x:v>
      </x:c>
    </x:row>
    <x:row r="114" ht="34.5" customHeight="1">
      <x:c r="A114" s="3" t="str">
        <x:v>CUS-10</x:v>
      </x:c>
      <x:c r="B114" s="3" t="str">
        <x:v>11 Clienți și servicii</x:v>
      </x:c>
      <x:c r="C114" s="3" t="str">
        <x:v>Cost pe tichet rezolvat</x:v>
      </x:c>
      <x:c r="D114" s="3" t="str">
        <x:v>Costuri suport atribuite / tichete rezolvate</x:v>
      </x:c>
      <x:c r="E114" s="3" t="str">
        <x:v>lei/tichet</x:v>
      </x:c>
      <x:c r="F114" s="3" t="str">
        <x:v>Customer success / suport</x:v>
      </x:c>
      <x:c r="G114" s="3" t="str">
        <x:v>CRM + tichete + contracte + sondaje</x:v>
      </x:c>
      <x:c r="H114" s="3" t="str">
        <x:v>Zilnic / lunar</x:v>
      </x:c>
      <x:c r="I114" s="3" t="str">
        <x:v>Client, cohortă, produs, categorie tichet</x:v>
      </x:c>
      <x:c r="J114" s="3" t="str">
        <x:v>P1</x:v>
      </x:c>
    </x:row>
    <x:row r="115" ht="34.5" customHeight="1">
      <x:c r="A115" s="7" t="str">
        <x:v>BUY-01</x:v>
      </x:c>
      <x:c r="B115" s="7" t="str">
        <x:v>12 Achiziții</x:v>
      </x:c>
      <x:c r="C115" s="7" t="str">
        <x:v>Cheltuială achiziții</x:v>
      </x:c>
      <x:c r="D115" s="7" t="str">
        <x:v>Valoare netă achiziționată, cu tratament separat al TVA nerecuperabile</x:v>
      </x:c>
      <x:c r="E115" s="7" t="str">
        <x:v>lei</x:v>
      </x:c>
      <x:c r="F115" s="7" t="str">
        <x:v>Director achiziții</x:v>
      </x:c>
      <x:c r="G115" s="7" t="str">
        <x:v>Cereri + comenzi furnizori + contracte + recepții</x:v>
      </x:c>
      <x:c r="H115" s="7" t="str">
        <x:v>Zilnic / săptămânal</x:v>
      </x:c>
      <x:c r="I115" s="7" t="str">
        <x:v>Categorie, furnizor, cumpărător, contract</x:v>
      </x:c>
      <x:c r="J115" s="7" t="str">
        <x:v>P1</x:v>
      </x:c>
    </x:row>
    <x:row r="116" ht="34.5" customHeight="1">
      <x:c r="A116" s="3" t="str">
        <x:v>BUY-02</x:v>
      </x:c>
      <x:c r="B116" s="3" t="str">
        <x:v>12 Achiziții</x:v>
      </x:c>
      <x:c r="C116" s="3" t="str">
        <x:v>Acoperire contractuală</x:v>
      </x:c>
      <x:c r="D116" s="3" t="str">
        <x:v>Achiziții acoperite de contract valabil / achiziții eligibile</x:v>
      </x:c>
      <x:c r="E116" s="3" t="str">
        <x:v>%</x:v>
      </x:c>
      <x:c r="F116" s="3" t="str">
        <x:v>Director achiziții</x:v>
      </x:c>
      <x:c r="G116" s="3" t="str">
        <x:v>Cereri + comenzi furnizori + contracte + recepții</x:v>
      </x:c>
      <x:c r="H116" s="3" t="str">
        <x:v>Zilnic / săptămânal</x:v>
      </x:c>
      <x:c r="I116" s="3" t="str">
        <x:v>Categorie, furnizor, cumpărător, contract</x:v>
      </x:c>
      <x:c r="J116" s="3" t="str">
        <x:v>P1</x:v>
      </x:c>
    </x:row>
    <x:row r="117" ht="34.5" customHeight="1">
      <x:c r="A117" s="7" t="str">
        <x:v>BUY-03</x:v>
      </x:c>
      <x:c r="B117" s="7" t="str">
        <x:v>12 Achiziții</x:v>
      </x:c>
      <x:c r="C117" s="7" t="str">
        <x:v>Economii validate</x:v>
      </x:c>
      <x:c r="D117" s="7" t="str">
        <x:v>Cost de referință comparabil − cost negociat, validat de controlling</x:v>
      </x:c>
      <x:c r="E117" s="7" t="str">
        <x:v>lei</x:v>
      </x:c>
      <x:c r="F117" s="7" t="str">
        <x:v>Director achiziții</x:v>
      </x:c>
      <x:c r="G117" s="7" t="str">
        <x:v>Cereri + comenzi furnizori + contracte + recepții</x:v>
      </x:c>
      <x:c r="H117" s="7" t="str">
        <x:v>Zilnic / săptămânal</x:v>
      </x:c>
      <x:c r="I117" s="7" t="str">
        <x:v>Categorie, furnizor, cumpărător, contract</x:v>
      </x:c>
      <x:c r="J117" s="7" t="str">
        <x:v>P1</x:v>
      </x:c>
    </x:row>
    <x:row r="118" ht="34.5" customHeight="1">
      <x:c r="A118" s="3" t="str">
        <x:v>BUY-04</x:v>
      </x:c>
      <x:c r="B118" s="3" t="str">
        <x:v>12 Achiziții</x:v>
      </x:c>
      <x:c r="C118" s="3" t="str">
        <x:v>Variație preț achiziție</x:v>
      </x:c>
      <x:c r="D118" s="3" t="str">
        <x:v>Preț efectiv − preț standard, înmulțit cu cantitatea comparabilă</x:v>
      </x:c>
      <x:c r="E118" s="3" t="str">
        <x:v>lei</x:v>
      </x:c>
      <x:c r="F118" s="3" t="str">
        <x:v>Director achiziții</x:v>
      </x:c>
      <x:c r="G118" s="3" t="str">
        <x:v>Cereri + comenzi furnizori + contracte + recepții</x:v>
      </x:c>
      <x:c r="H118" s="3" t="str">
        <x:v>Zilnic / săptămânal</x:v>
      </x:c>
      <x:c r="I118" s="3" t="str">
        <x:v>Categorie, furnizor, cumpărător, contract</x:v>
      </x:c>
      <x:c r="J118" s="3" t="str">
        <x:v>P1</x:v>
      </x:c>
    </x:row>
    <x:row r="119" ht="34.5" customHeight="1">
      <x:c r="A119" s="7" t="str">
        <x:v>BUY-05</x:v>
      </x:c>
      <x:c r="B119" s="7" t="str">
        <x:v>12 Achiziții</x:v>
      </x:c>
      <x:c r="C119" s="7" t="str">
        <x:v>Livrare furnizor la termen</x:v>
      </x:c>
      <x:c r="D119" s="7" t="str">
        <x:v>Recepții la termenul confirmat / recepții scadente</x:v>
      </x:c>
      <x:c r="E119" s="7" t="str">
        <x:v>%</x:v>
      </x:c>
      <x:c r="F119" s="7" t="str">
        <x:v>Director achiziții</x:v>
      </x:c>
      <x:c r="G119" s="7" t="str">
        <x:v>Cereri + comenzi furnizori + contracte + recepții</x:v>
      </x:c>
      <x:c r="H119" s="7" t="str">
        <x:v>Zilnic / săptămânal</x:v>
      </x:c>
      <x:c r="I119" s="7" t="str">
        <x:v>Categorie, furnizor, cumpărător, contract</x:v>
      </x:c>
      <x:c r="J119" s="7" t="str">
        <x:v>P0</x:v>
      </x:c>
    </x:row>
    <x:row r="120" ht="34.5" customHeight="1">
      <x:c r="A120" s="3" t="str">
        <x:v>BUY-06</x:v>
      </x:c>
      <x:c r="B120" s="3" t="str">
        <x:v>12 Achiziții</x:v>
      </x:c>
      <x:c r="C120" s="3" t="str">
        <x:v>Lead time aprovizionare</x:v>
      </x:c>
      <x:c r="D120" s="3" t="str">
        <x:v>Zile de la comandă aprobată la recepție disponibilă</x:v>
      </x:c>
      <x:c r="E120" s="3" t="str">
        <x:v>zile</x:v>
      </x:c>
      <x:c r="F120" s="3" t="str">
        <x:v>Director achiziții</x:v>
      </x:c>
      <x:c r="G120" s="3" t="str">
        <x:v>Cereri + comenzi furnizori + contracte + recepții</x:v>
      </x:c>
      <x:c r="H120" s="3" t="str">
        <x:v>Zilnic / săptămânal</x:v>
      </x:c>
      <x:c r="I120" s="3" t="str">
        <x:v>Categorie, furnizor, cumpărător, contract</x:v>
      </x:c>
      <x:c r="J120" s="3" t="str">
        <x:v>P1</x:v>
      </x:c>
    </x:row>
    <x:row r="121" ht="34.5" customHeight="1">
      <x:c r="A121" s="7" t="str">
        <x:v>BUY-07</x:v>
      </x:c>
      <x:c r="B121" s="7" t="str">
        <x:v>12 Achiziții</x:v>
      </x:c>
      <x:c r="C121" s="7" t="str">
        <x:v>Rată neconformitate furnizor</x:v>
      </x:c>
      <x:c r="D121" s="7" t="str">
        <x:v>Cantitate respinsă / cantitate recepționată</x:v>
      </x:c>
      <x:c r="E121" s="7" t="str">
        <x:v>%</x:v>
      </x:c>
      <x:c r="F121" s="7" t="str">
        <x:v>Director achiziții</x:v>
      </x:c>
      <x:c r="G121" s="7" t="str">
        <x:v>Cereri + comenzi furnizori + contracte + recepții</x:v>
      </x:c>
      <x:c r="H121" s="7" t="str">
        <x:v>Zilnic / săptămânal</x:v>
      </x:c>
      <x:c r="I121" s="7" t="str">
        <x:v>Categorie, furnizor, cumpărător, contract</x:v>
      </x:c>
      <x:c r="J121" s="7" t="str">
        <x:v>P1</x:v>
      </x:c>
    </x:row>
    <x:row r="122" ht="34.5" customHeight="1">
      <x:c r="A122" s="3" t="str">
        <x:v>BUY-08</x:v>
      </x:c>
      <x:c r="B122" s="3" t="str">
        <x:v>12 Achiziții</x:v>
      </x:c>
      <x:c r="C122" s="3" t="str">
        <x:v>Achiziții în afara procedurii</x:v>
      </x:c>
      <x:c r="D122" s="3" t="str">
        <x:v>Achiziții fără aprobări/contracte necesare / achiziții eligibile</x:v>
      </x:c>
      <x:c r="E122" s="3" t="str">
        <x:v>%</x:v>
      </x:c>
      <x:c r="F122" s="3" t="str">
        <x:v>Director achiziții</x:v>
      </x:c>
      <x:c r="G122" s="3" t="str">
        <x:v>Cereri + comenzi furnizori + contracte + recepții</x:v>
      </x:c>
      <x:c r="H122" s="3" t="str">
        <x:v>Zilnic / săptămânal</x:v>
      </x:c>
      <x:c r="I122" s="3" t="str">
        <x:v>Categorie, furnizor, cumpărător, contract</x:v>
      </x:c>
      <x:c r="J122" s="3" t="str">
        <x:v>P1</x:v>
      </x:c>
    </x:row>
    <x:row r="123" ht="34.5" customHeight="1">
      <x:c r="A123" s="7" t="str">
        <x:v>BUY-09</x:v>
      </x:c>
      <x:c r="B123" s="7" t="str">
        <x:v>12 Achiziții</x:v>
      </x:c>
      <x:c r="C123" s="7" t="str">
        <x:v>Dependență de sursă unică</x:v>
      </x:c>
      <x:c r="D123" s="7" t="str">
        <x:v>Articole critice cu un singur furnizor calificat / articole critice</x:v>
      </x:c>
      <x:c r="E123" s="7" t="str">
        <x:v>%</x:v>
      </x:c>
      <x:c r="F123" s="7" t="str">
        <x:v>Director achiziții</x:v>
      </x:c>
      <x:c r="G123" s="7" t="str">
        <x:v>Cereri + comenzi furnizori + contracte + recepții</x:v>
      </x:c>
      <x:c r="H123" s="7" t="str">
        <x:v>Zilnic / săptămânal</x:v>
      </x:c>
      <x:c r="I123" s="7" t="str">
        <x:v>Categorie, furnizor, cumpărător, contract</x:v>
      </x:c>
      <x:c r="J123" s="7" t="str">
        <x:v>P1</x:v>
      </x:c>
    </x:row>
    <x:row r="124" ht="34.5" customHeight="1">
      <x:c r="A124" s="3" t="str">
        <x:v>BUY-10</x:v>
      </x:c>
      <x:c r="B124" s="3" t="str">
        <x:v>12 Achiziții</x:v>
      </x:c>
      <x:c r="C124" s="3" t="str">
        <x:v>Acoperire furnizori alternativi</x:v>
      </x:c>
      <x:c r="D124" s="3" t="str">
        <x:v>Categorii critice cu alternativă validată / categorii critice</x:v>
      </x:c>
      <x:c r="E124" s="3" t="str">
        <x:v>%</x:v>
      </x:c>
      <x:c r="F124" s="3" t="str">
        <x:v>Director achiziții</x:v>
      </x:c>
      <x:c r="G124" s="3" t="str">
        <x:v>Cereri + comenzi furnizori + contracte + recepții</x:v>
      </x:c>
      <x:c r="H124" s="3" t="str">
        <x:v>Zilnic / săptămânal</x:v>
      </x:c>
      <x:c r="I124" s="3" t="str">
        <x:v>Categorie, furnizor, cumpărător, contract</x:v>
      </x:c>
      <x:c r="J124" s="3" t="str">
        <x:v>P1</x:v>
      </x:c>
    </x:row>
    <x:row r="125" ht="34.5" customHeight="1">
      <x:c r="A125" s="7" t="str">
        <x:v>INV-01</x:v>
      </x:c>
      <x:c r="B125" s="7" t="str">
        <x:v>13 Stocuri și depozite</x:v>
      </x:c>
      <x:c r="C125" s="7" t="str">
        <x:v>Valoare stoc</x:v>
      </x:c>
      <x:c r="D125" s="7" t="str">
        <x:v>Cantități deținute × cost conform metodei aprobate; rezervările separat</x:v>
      </x:c>
      <x:c r="E125" s="7" t="str">
        <x:v>lei</x:v>
      </x:c>
      <x:c r="F125" s="7" t="str">
        <x:v>Director logistică</x:v>
      </x:c>
      <x:c r="G125" s="7" t="str">
        <x:v>Stocuri + mișcări + costuri + rezervări</x:v>
      </x:c>
      <x:c r="H125" s="7" t="str">
        <x:v>Zilnic / intrazilnic</x:v>
      </x:c>
      <x:c r="I125" s="7" t="str">
        <x:v>SKU, depozit, lot, serie, vechime</x:v>
      </x:c>
      <x:c r="J125" s="7" t="str">
        <x:v>P0</x:v>
      </x:c>
    </x:row>
    <x:row r="126" ht="34.5" customHeight="1">
      <x:c r="A126" s="3" t="str">
        <x:v>INV-02</x:v>
      </x:c>
      <x:c r="B126" s="3" t="str">
        <x:v>13 Stocuri și depozite</x:v>
      </x:c>
      <x:c r="C126" s="3" t="str">
        <x:v>Rotație stoc</x:v>
      </x:c>
      <x:c r="D126" s="3" t="str">
        <x:v>Costul vânzărilor / stoc mediu la cost, pe aceeași perioadă</x:v>
      </x:c>
      <x:c r="E126" s="3" t="str">
        <x:v>x</x:v>
      </x:c>
      <x:c r="F126" s="3" t="str">
        <x:v>Director logistică</x:v>
      </x:c>
      <x:c r="G126" s="3" t="str">
        <x:v>Stocuri + mișcări + costuri + rezervări</x:v>
      </x:c>
      <x:c r="H126" s="3" t="str">
        <x:v>Zilnic / intrazilnic</x:v>
      </x:c>
      <x:c r="I126" s="3" t="str">
        <x:v>SKU, depozit, lot, serie, vechime</x:v>
      </x:c>
      <x:c r="J126" s="3" t="str">
        <x:v>P1</x:v>
      </x:c>
    </x:row>
    <x:row r="127" ht="34.5" customHeight="1">
      <x:c r="A127" s="7" t="str">
        <x:v>INV-03</x:v>
      </x:c>
      <x:c r="B127" s="7" t="str">
        <x:v>13 Stocuri și depozite</x:v>
      </x:c>
      <x:c r="C127" s="7" t="str">
        <x:v>DIO</x:v>
      </x:c>
      <x:c r="D127" s="7" t="str">
        <x:v>Stoc mediu / costul vânzărilor × zile perioadă</x:v>
      </x:c>
      <x:c r="E127" s="7" t="str">
        <x:v>zile</x:v>
      </x:c>
      <x:c r="F127" s="7" t="str">
        <x:v>Director logistică</x:v>
      </x:c>
      <x:c r="G127" s="7" t="str">
        <x:v>Stocuri + mișcări + costuri + rezervări</x:v>
      </x:c>
      <x:c r="H127" s="7" t="str">
        <x:v>Zilnic / intrazilnic</x:v>
      </x:c>
      <x:c r="I127" s="7" t="str">
        <x:v>SKU, depozit, lot, serie, vechime</x:v>
      </x:c>
      <x:c r="J127" s="7" t="str">
        <x:v>P0</x:v>
      </x:c>
    </x:row>
    <x:row r="128" ht="34.5" customHeight="1">
      <x:c r="A128" s="3" t="str">
        <x:v>INV-04</x:v>
      </x:c>
      <x:c r="B128" s="3" t="str">
        <x:v>13 Stocuri și depozite</x:v>
      </x:c>
      <x:c r="C128" s="3" t="str">
        <x:v>Acoperire stoc</x:v>
      </x:c>
      <x:c r="D128" s="3" t="str">
        <x:v>Stoc utilizabil / cerere zilnică estimată; indisponibil la cerere zero</x:v>
      </x:c>
      <x:c r="E128" s="3" t="str">
        <x:v>zile</x:v>
      </x:c>
      <x:c r="F128" s="3" t="str">
        <x:v>Director logistică</x:v>
      </x:c>
      <x:c r="G128" s="3" t="str">
        <x:v>Stocuri + mișcări + costuri + rezervări</x:v>
      </x:c>
      <x:c r="H128" s="3" t="str">
        <x:v>Zilnic / intrazilnic</x:v>
      </x:c>
      <x:c r="I128" s="3" t="str">
        <x:v>SKU, depozit, lot, serie, vechime</x:v>
      </x:c>
      <x:c r="J128" s="3" t="str">
        <x:v>P1</x:v>
      </x:c>
    </x:row>
    <x:row r="129" ht="34.5" customHeight="1">
      <x:c r="A129" s="7" t="str">
        <x:v>INV-05</x:v>
      </x:c>
      <x:c r="B129" s="7" t="str">
        <x:v>13 Stocuri și depozite</x:v>
      </x:c>
      <x:c r="C129" s="7" t="str">
        <x:v>Ruptură de stoc</x:v>
      </x:c>
      <x:c r="D129" s="7" t="str">
        <x:v>Linii de cerere neacoperite din stoc / linii eligibile</x:v>
      </x:c>
      <x:c r="E129" s="7" t="str">
        <x:v>%</x:v>
      </x:c>
      <x:c r="F129" s="7" t="str">
        <x:v>Director logistică</x:v>
      </x:c>
      <x:c r="G129" s="7" t="str">
        <x:v>Stocuri + mișcări + costuri + rezervări</x:v>
      </x:c>
      <x:c r="H129" s="7" t="str">
        <x:v>Zilnic / intrazilnic</x:v>
      </x:c>
      <x:c r="I129" s="7" t="str">
        <x:v>SKU, depozit, lot, serie, vechime</x:v>
      </x:c>
      <x:c r="J129" s="7" t="str">
        <x:v>P0</x:v>
      </x:c>
    </x:row>
    <x:row r="130" ht="34.5" customHeight="1">
      <x:c r="A130" s="3" t="str">
        <x:v>INV-06</x:v>
      </x:c>
      <x:c r="B130" s="3" t="str">
        <x:v>13 Stocuri și depozite</x:v>
      </x:c>
      <x:c r="C130" s="3" t="str">
        <x:v>Stoc fără mișcare</x:v>
      </x:c>
      <x:c r="D130" s="3" t="str">
        <x:v>Stoc fără consum/vânzare peste intervalul configurat</x:v>
      </x:c>
      <x:c r="E130" s="3" t="str">
        <x:v>lei</x:v>
      </x:c>
      <x:c r="F130" s="3" t="str">
        <x:v>Director logistică</x:v>
      </x:c>
      <x:c r="G130" s="3" t="str">
        <x:v>Stocuri + mișcări + costuri + rezervări</x:v>
      </x:c>
      <x:c r="H130" s="3" t="str">
        <x:v>Zilnic / intrazilnic</x:v>
      </x:c>
      <x:c r="I130" s="3" t="str">
        <x:v>SKU, depozit, lot, serie, vechime</x:v>
      </x:c>
      <x:c r="J130" s="3" t="str">
        <x:v>P1</x:v>
      </x:c>
    </x:row>
    <x:row r="131" ht="34.5" customHeight="1">
      <x:c r="A131" s="7" t="str">
        <x:v>INV-07</x:v>
      </x:c>
      <x:c r="B131" s="7" t="str">
        <x:v>13 Stocuri și depozite</x:v>
      </x:c>
      <x:c r="C131" s="7" t="str">
        <x:v>Stoc aproape de expirare</x:v>
      </x:c>
      <x:c r="D131" s="7" t="str">
        <x:v>Loturi cu expirare în fereastra aleasă, cantitate și valoare</x:v>
      </x:c>
      <x:c r="E131" s="7" t="str">
        <x:v>lei</x:v>
      </x:c>
      <x:c r="F131" s="7" t="str">
        <x:v>Director logistică</x:v>
      </x:c>
      <x:c r="G131" s="7" t="str">
        <x:v>Stocuri + mișcări + costuri + rezervări</x:v>
      </x:c>
      <x:c r="H131" s="7" t="str">
        <x:v>Zilnic / intrazilnic</x:v>
      </x:c>
      <x:c r="I131" s="7" t="str">
        <x:v>SKU, depozit, lot, serie, vechime</x:v>
      </x:c>
      <x:c r="J131" s="7" t="str">
        <x:v>P1</x:v>
      </x:c>
    </x:row>
    <x:row r="132" ht="34.5" customHeight="1">
      <x:c r="A132" s="3" t="str">
        <x:v>INV-08</x:v>
      </x:c>
      <x:c r="B132" s="3" t="str">
        <x:v>13 Stocuri și depozite</x:v>
      </x:c>
      <x:c r="C132" s="3" t="str">
        <x:v>Acuratețe inventar</x:v>
      </x:c>
      <x:c r="D132" s="3" t="str">
        <x:v>Poziții inventariate în toleranță / poziții inventariate</x:v>
      </x:c>
      <x:c r="E132" s="3" t="str">
        <x:v>%</x:v>
      </x:c>
      <x:c r="F132" s="3" t="str">
        <x:v>Director logistică</x:v>
      </x:c>
      <x:c r="G132" s="3" t="str">
        <x:v>Stocuri + mișcări + costuri + rezervări</x:v>
      </x:c>
      <x:c r="H132" s="3" t="str">
        <x:v>Zilnic / intrazilnic</x:v>
      </x:c>
      <x:c r="I132" s="3" t="str">
        <x:v>SKU, depozit, lot, serie, vechime</x:v>
      </x:c>
      <x:c r="J132" s="3" t="str">
        <x:v>P1</x:v>
      </x:c>
    </x:row>
    <x:row r="133" ht="34.5" customHeight="1">
      <x:c r="A133" s="7" t="str">
        <x:v>INV-09</x:v>
      </x:c>
      <x:c r="B133" s="7" t="str">
        <x:v>13 Stocuri și depozite</x:v>
      </x:c>
      <x:c r="C133" s="7" t="str">
        <x:v>Diferențe inventar</x:v>
      </x:c>
      <x:c r="D133" s="7" t="str">
        <x:v>Valoare fizică minus valoare scriptică, explicată pe cauze</x:v>
      </x:c>
      <x:c r="E133" s="7" t="str">
        <x:v>lei</x:v>
      </x:c>
      <x:c r="F133" s="7" t="str">
        <x:v>Director logistică</x:v>
      </x:c>
      <x:c r="G133" s="7" t="str">
        <x:v>Stocuri + mișcări + costuri + rezervări</x:v>
      </x:c>
      <x:c r="H133" s="7" t="str">
        <x:v>Zilnic / intrazilnic</x:v>
      </x:c>
      <x:c r="I133" s="7" t="str">
        <x:v>SKU, depozit, lot, serie, vechime</x:v>
      </x:c>
      <x:c r="J133" s="7" t="str">
        <x:v>P1</x:v>
      </x:c>
    </x:row>
    <x:row r="134" ht="34.5" customHeight="1">
      <x:c r="A134" s="3" t="str">
        <x:v>INV-10</x:v>
      </x:c>
      <x:c r="B134" s="3" t="str">
        <x:v>13 Stocuri și depozite</x:v>
      </x:c>
      <x:c r="C134" s="3" t="str">
        <x:v>Productivitate picking</x:v>
      </x:c>
      <x:c r="D134" s="3" t="str">
        <x:v>Linii pregătite corect / ore efective de pregătire</x:v>
      </x:c>
      <x:c r="E134" s="3" t="str">
        <x:v>linii/oră</x:v>
      </x:c>
      <x:c r="F134" s="3" t="str">
        <x:v>Director logistică</x:v>
      </x:c>
      <x:c r="G134" s="3" t="str">
        <x:v>Stocuri + mișcări + costuri + rezervări</x:v>
      </x:c>
      <x:c r="H134" s="3" t="str">
        <x:v>Zilnic / intrazilnic</x:v>
      </x:c>
      <x:c r="I134" s="3" t="str">
        <x:v>SKU, depozit, lot, serie, vechime</x:v>
      </x:c>
      <x:c r="J134" s="3" t="str">
        <x:v>P1</x:v>
      </x:c>
    </x:row>
    <x:row r="135" ht="34.5" customHeight="1">
      <x:c r="A135" s="7" t="str">
        <x:v>LOG-01</x:v>
      </x:c>
      <x:c r="B135" s="7" t="str">
        <x:v>14 Logistică și livrări</x:v>
      </x:c>
      <x:c r="C135" s="7" t="str">
        <x:v>OTIF</x:v>
      </x:c>
      <x:c r="D135" s="7" t="str">
        <x:v>Comenzi livrate integral și la termen / comenzi scadente; o singură bază de numărare</x:v>
      </x:c>
      <x:c r="E135" s="7" t="str">
        <x:v>%</x:v>
      </x:c>
      <x:c r="F135" s="7" t="str">
        <x:v>Director transport</x:v>
      </x:c>
      <x:c r="G135" s="7" t="str">
        <x:v>WMS + TMS + comenzi + tracking</x:v>
      </x:c>
      <x:c r="H135" s="7" t="str">
        <x:v>Intrazilnic / zilnic</x:v>
      </x:c>
      <x:c r="I135" s="7" t="str">
        <x:v>Rută, transportator, client, depozit</x:v>
      </x:c>
      <x:c r="J135" s="7" t="str">
        <x:v>P0</x:v>
      </x:c>
    </x:row>
    <x:row r="136" ht="34.5" customHeight="1">
      <x:c r="A136" s="3" t="str">
        <x:v>LOG-02</x:v>
      </x:c>
      <x:c r="B136" s="3" t="str">
        <x:v>14 Logistică și livrări</x:v>
      </x:c>
      <x:c r="C136" s="3" t="str">
        <x:v>Cost livrare</x:v>
      </x:c>
      <x:c r="D136" s="3" t="str">
        <x:v>Cost transport, manipulare și ambalare / livrări eligibile</x:v>
      </x:c>
      <x:c r="E136" s="3" t="str">
        <x:v>lei/livrare</x:v>
      </x:c>
      <x:c r="F136" s="3" t="str">
        <x:v>Director transport</x:v>
      </x:c>
      <x:c r="G136" s="3" t="str">
        <x:v>WMS + TMS + comenzi + tracking</x:v>
      </x:c>
      <x:c r="H136" s="3" t="str">
        <x:v>Intrazilnic / zilnic</x:v>
      </x:c>
      <x:c r="I136" s="3" t="str">
        <x:v>Rută, transportator, client, depozit</x:v>
      </x:c>
      <x:c r="J136" s="3" t="str">
        <x:v>P1</x:v>
      </x:c>
    </x:row>
    <x:row r="137" ht="34.5" customHeight="1">
      <x:c r="A137" s="7" t="str">
        <x:v>LOG-03</x:v>
      </x:c>
      <x:c r="B137" s="7" t="str">
        <x:v>14 Logistică și livrări</x:v>
      </x:c>
      <x:c r="C137" s="7" t="str">
        <x:v>Lead time comandă–livrare</x:v>
      </x:c>
      <x:c r="D137" s="7" t="str">
        <x:v>Timp dintre confirmarea comenzii și livrarea acceptată</x:v>
      </x:c>
      <x:c r="E137" s="7" t="str">
        <x:v>ore</x:v>
      </x:c>
      <x:c r="F137" s="7" t="str">
        <x:v>Director transport</x:v>
      </x:c>
      <x:c r="G137" s="7" t="str">
        <x:v>WMS + TMS + comenzi + tracking</x:v>
      </x:c>
      <x:c r="H137" s="7" t="str">
        <x:v>Intrazilnic / zilnic</x:v>
      </x:c>
      <x:c r="I137" s="7" t="str">
        <x:v>Rută, transportator, client, depozit</x:v>
      </x:c>
      <x:c r="J137" s="7" t="str">
        <x:v>P1</x:v>
      </x:c>
    </x:row>
    <x:row r="138" ht="34.5" customHeight="1">
      <x:c r="A138" s="3" t="str">
        <x:v>LOG-04</x:v>
      </x:c>
      <x:c r="B138" s="3" t="str">
        <x:v>14 Logistică și livrări</x:v>
      </x:c>
      <x:c r="C138" s="3" t="str">
        <x:v>Încărcare vehicul</x:v>
      </x:c>
      <x:c r="D138" s="3" t="str">
        <x:v>Capacitate folosită / capacitate disponibilă, separat greutate și volum</x:v>
      </x:c>
      <x:c r="E138" s="3" t="str">
        <x:v>%</x:v>
      </x:c>
      <x:c r="F138" s="3" t="str">
        <x:v>Director transport</x:v>
      </x:c>
      <x:c r="G138" s="3" t="str">
        <x:v>WMS + TMS + comenzi + tracking</x:v>
      </x:c>
      <x:c r="H138" s="3" t="str">
        <x:v>Intrazilnic / zilnic</x:v>
      </x:c>
      <x:c r="I138" s="3" t="str">
        <x:v>Rută, transportator, client, depozit</x:v>
      </x:c>
      <x:c r="J138" s="3" t="str">
        <x:v>P1</x:v>
      </x:c>
    </x:row>
    <x:row r="139" ht="34.5" customHeight="1">
      <x:c r="A139" s="7" t="str">
        <x:v>LOG-05</x:v>
      </x:c>
      <x:c r="B139" s="7" t="str">
        <x:v>14 Logistică și livrări</x:v>
      </x:c>
      <x:c r="C139" s="7" t="str">
        <x:v>Kilometri fără încărcătură</x:v>
      </x:c>
      <x:c r="D139" s="7" t="str">
        <x:v>Kilometri goi / kilometri totali</x:v>
      </x:c>
      <x:c r="E139" s="7" t="str">
        <x:v>%</x:v>
      </x:c>
      <x:c r="F139" s="7" t="str">
        <x:v>Director transport</x:v>
      </x:c>
      <x:c r="G139" s="7" t="str">
        <x:v>WMS + TMS + comenzi + tracking</x:v>
      </x:c>
      <x:c r="H139" s="7" t="str">
        <x:v>Intrazilnic / zilnic</x:v>
      </x:c>
      <x:c r="I139" s="7" t="str">
        <x:v>Rută, transportator, client, depozit</x:v>
      </x:c>
      <x:c r="J139" s="7" t="str">
        <x:v>P1</x:v>
      </x:c>
    </x:row>
    <x:row r="140" ht="34.5" customHeight="1">
      <x:c r="A140" s="3" t="str">
        <x:v>LOG-06</x:v>
      </x:c>
      <x:c r="B140" s="3" t="str">
        <x:v>14 Logistică și livrări</x:v>
      </x:c>
      <x:c r="C140" s="3" t="str">
        <x:v>Consum combustibil</x:v>
      </x:c>
      <x:c r="D140" s="3" t="str">
        <x:v>Litri consumați / kilometri × 100</x:v>
      </x:c>
      <x:c r="E140" s="3" t="str">
        <x:v>l/100 km</x:v>
      </x:c>
      <x:c r="F140" s="3" t="str">
        <x:v>Director transport</x:v>
      </x:c>
      <x:c r="G140" s="3" t="str">
        <x:v>WMS + TMS + comenzi + tracking</x:v>
      </x:c>
      <x:c r="H140" s="3" t="str">
        <x:v>Intrazilnic / zilnic</x:v>
      </x:c>
      <x:c r="I140" s="3" t="str">
        <x:v>Rută, transportator, client, depozit</x:v>
      </x:c>
      <x:c r="J140" s="3" t="str">
        <x:v>P1</x:v>
      </x:c>
    </x:row>
    <x:row r="141" ht="34.5" customHeight="1">
      <x:c r="A141" s="7" t="str">
        <x:v>LOG-07</x:v>
      </x:c>
      <x:c r="B141" s="7" t="str">
        <x:v>14 Logistică și livrări</x:v>
      </x:c>
      <x:c r="C141" s="7" t="str">
        <x:v>Livrări reușite prima încercare</x:v>
      </x:c>
      <x:c r="D141" s="7" t="str">
        <x:v>Livrări acceptate prima dată / livrări încercate</x:v>
      </x:c>
      <x:c r="E141" s="7" t="str">
        <x:v>%</x:v>
      </x:c>
      <x:c r="F141" s="7" t="str">
        <x:v>Director transport</x:v>
      </x:c>
      <x:c r="G141" s="7" t="str">
        <x:v>WMS + TMS + comenzi + tracking</x:v>
      </x:c>
      <x:c r="H141" s="7" t="str">
        <x:v>Intrazilnic / zilnic</x:v>
      </x:c>
      <x:c r="I141" s="7" t="str">
        <x:v>Rută, transportator, client, depozit</x:v>
      </x:c>
      <x:c r="J141" s="7" t="str">
        <x:v>P1</x:v>
      </x:c>
    </x:row>
    <x:row r="142" ht="34.5" customHeight="1">
      <x:c r="A142" s="3" t="str">
        <x:v>LOG-08</x:v>
      </x:c>
      <x:c r="B142" s="3" t="str">
        <x:v>14 Logistică și livrări</x:v>
      </x:c>
      <x:c r="C142" s="3" t="str">
        <x:v>Daune în transport</x:v>
      </x:c>
      <x:c r="D142" s="3" t="str">
        <x:v>Livrări cu daune / livrări totale; valoarea separat</x:v>
      </x:c>
      <x:c r="E142" s="3" t="str">
        <x:v>%</x:v>
      </x:c>
      <x:c r="F142" s="3" t="str">
        <x:v>Director transport</x:v>
      </x:c>
      <x:c r="G142" s="3" t="str">
        <x:v>WMS + TMS + comenzi + tracking</x:v>
      </x:c>
      <x:c r="H142" s="3" t="str">
        <x:v>Intrazilnic / zilnic</x:v>
      </x:c>
      <x:c r="I142" s="3" t="str">
        <x:v>Rută, transportator, client, depozit</x:v>
      </x:c>
      <x:c r="J142" s="3" t="str">
        <x:v>P1</x:v>
      </x:c>
    </x:row>
    <x:row r="143" ht="34.5" customHeight="1">
      <x:c r="A143" s="7" t="str">
        <x:v>LOG-09</x:v>
      </x:c>
      <x:c r="B143" s="7" t="str">
        <x:v>14 Logistică și livrări</x:v>
      </x:c>
      <x:c r="C143" s="7" t="str">
        <x:v>ETA depășit</x:v>
      </x:c>
      <x:c r="D143" s="7" t="str">
        <x:v>Expedieri cu sosire estimată peste termenul promis</x:v>
      </x:c>
      <x:c r="E143" s="7" t="str">
        <x:v>nr.</x:v>
      </x:c>
      <x:c r="F143" s="7" t="str">
        <x:v>Director transport</x:v>
      </x:c>
      <x:c r="G143" s="7" t="str">
        <x:v>WMS + TMS + comenzi + tracking</x:v>
      </x:c>
      <x:c r="H143" s="7" t="str">
        <x:v>Intrazilnic / zilnic</x:v>
      </x:c>
      <x:c r="I143" s="7" t="str">
        <x:v>Rută, transportator, client, depozit</x:v>
      </x:c>
      <x:c r="J143" s="7" t="str">
        <x:v>P1</x:v>
      </x:c>
    </x:row>
    <x:row r="144" ht="34.5" customHeight="1">
      <x:c r="A144" s="3" t="str">
        <x:v>LOG-10</x:v>
      </x:c>
      <x:c r="B144" s="3" t="str">
        <x:v>14 Logistică și livrări</x:v>
      </x:c>
      <x:c r="C144" s="3" t="str">
        <x:v>Retururi logistice</x:v>
      </x:c>
      <x:c r="D144" s="3" t="str">
        <x:v>Retururi din cauze de livrare / livrări, separat de retururi comerciale</x:v>
      </x:c>
      <x:c r="E144" s="3" t="str">
        <x:v>%</x:v>
      </x:c>
      <x:c r="F144" s="3" t="str">
        <x:v>Director transport</x:v>
      </x:c>
      <x:c r="G144" s="3" t="str">
        <x:v>WMS + TMS + comenzi + tracking</x:v>
      </x:c>
      <x:c r="H144" s="3" t="str">
        <x:v>Intrazilnic / zilnic</x:v>
      </x:c>
      <x:c r="I144" s="3" t="str">
        <x:v>Rută, transportator, client, depozit</x:v>
      </x:c>
      <x:c r="J144" s="3" t="str">
        <x:v>P1</x:v>
      </x:c>
    </x:row>
    <x:row r="145" ht="34.5" customHeight="1">
      <x:c r="A145" s="7" t="str">
        <x:v>OPS-01</x:v>
      </x:c>
      <x:c r="B145" s="7" t="str">
        <x:v>15 Producție și operațiuni</x:v>
      </x:c>
      <x:c r="C145" s="7" t="str">
        <x:v>OEE</x:v>
      </x:c>
      <x:c r="D145" s="7" t="str">
        <x:v>Disponibilitate × performanță × calitate, cu aceleași ferestre de timp</x:v>
      </x:c>
      <x:c r="E145" s="7" t="str">
        <x:v>%</x:v>
      </x:c>
      <x:c r="F145" s="7" t="str">
        <x:v>Director operațional</x:v>
      </x:c>
      <x:c r="G145" s="7" t="str">
        <x:v>MES + ERP producție + timpi + BOM</x:v>
      </x:c>
      <x:c r="H145" s="7" t="str">
        <x:v>Schimb / zilnic</x:v>
      </x:c>
      <x:c r="I145" s="7" t="str">
        <x:v>Linie, utilaj, produs, comandă, schimb</x:v>
      </x:c>
      <x:c r="J145" s="7" t="str">
        <x:v>P0</x:v>
      </x:c>
    </x:row>
    <x:row r="146" ht="34.5" customHeight="1">
      <x:c r="A146" s="3" t="str">
        <x:v>OPS-02</x:v>
      </x:c>
      <x:c r="B146" s="3" t="str">
        <x:v>15 Producție și operațiuni</x:v>
      </x:c>
      <x:c r="C146" s="3" t="str">
        <x:v>Realizare plan producție</x:v>
      </x:c>
      <x:c r="D146" s="3" t="str">
        <x:v>Cantitate bună realizată / cantitate planificată</x:v>
      </x:c>
      <x:c r="E146" s="3" t="str">
        <x:v>%</x:v>
      </x:c>
      <x:c r="F146" s="3" t="str">
        <x:v>Director operațional</x:v>
      </x:c>
      <x:c r="G146" s="3" t="str">
        <x:v>MES + ERP producție + timpi + BOM</x:v>
      </x:c>
      <x:c r="H146" s="3" t="str">
        <x:v>Schimb / zilnic</x:v>
      </x:c>
      <x:c r="I146" s="3" t="str">
        <x:v>Linie, utilaj, produs, comandă, schimb</x:v>
      </x:c>
      <x:c r="J146" s="3" t="str">
        <x:v>P0</x:v>
      </x:c>
    </x:row>
    <x:row r="147" ht="34.5" customHeight="1">
      <x:c r="A147" s="7" t="str">
        <x:v>OPS-03</x:v>
      </x:c>
      <x:c r="B147" s="7" t="str">
        <x:v>15 Producție și operațiuni</x:v>
      </x:c>
      <x:c r="C147" s="7" t="str">
        <x:v>Randament material</x:v>
      </x:c>
      <x:c r="D147" s="7" t="str">
        <x:v>Cantitate bună obținută / cantitate teoretică din intrări</x:v>
      </x:c>
      <x:c r="E147" s="7" t="str">
        <x:v>%</x:v>
      </x:c>
      <x:c r="F147" s="7" t="str">
        <x:v>Director operațional</x:v>
      </x:c>
      <x:c r="G147" s="7" t="str">
        <x:v>MES + ERP producție + timpi + BOM</x:v>
      </x:c>
      <x:c r="H147" s="7" t="str">
        <x:v>Schimb / zilnic</x:v>
      </x:c>
      <x:c r="I147" s="7" t="str">
        <x:v>Linie, utilaj, produs, comandă, schimb</x:v>
      </x:c>
      <x:c r="J147" s="7" t="str">
        <x:v>P1</x:v>
      </x:c>
    </x:row>
    <x:row r="148" ht="34.5" customHeight="1">
      <x:c r="A148" s="3" t="str">
        <x:v>OPS-04</x:v>
      </x:c>
      <x:c r="B148" s="3" t="str">
        <x:v>15 Producție și operațiuni</x:v>
      </x:c>
      <x:c r="C148" s="3" t="str">
        <x:v>Rebut</x:v>
      </x:c>
      <x:c r="D148" s="3" t="str">
        <x:v>Cantitate rebut / cantitate totală produsă</x:v>
      </x:c>
      <x:c r="E148" s="3" t="str">
        <x:v>%</x:v>
      </x:c>
      <x:c r="F148" s="3" t="str">
        <x:v>Director operațional</x:v>
      </x:c>
      <x:c r="G148" s="3" t="str">
        <x:v>MES + ERP producție + timpi + BOM</x:v>
      </x:c>
      <x:c r="H148" s="3" t="str">
        <x:v>Schimb / zilnic</x:v>
      </x:c>
      <x:c r="I148" s="3" t="str">
        <x:v>Linie, utilaj, produs, comandă, schimb</x:v>
      </x:c>
      <x:c r="J148" s="3" t="str">
        <x:v>P1</x:v>
      </x:c>
    </x:row>
    <x:row r="149" ht="34.5" customHeight="1">
      <x:c r="A149" s="7" t="str">
        <x:v>OPS-05</x:v>
      </x:c>
      <x:c r="B149" s="7" t="str">
        <x:v>15 Producție și operațiuni</x:v>
      </x:c>
      <x:c r="C149" s="7" t="str">
        <x:v>WIP</x:v>
      </x:c>
      <x:c r="D149" s="7" t="str">
        <x:v>Valoare și cantitate în curs de producție, pe faze</x:v>
      </x:c>
      <x:c r="E149" s="7" t="str">
        <x:v>lei și unități</x:v>
      </x:c>
      <x:c r="F149" s="7" t="str">
        <x:v>Director operațional</x:v>
      </x:c>
      <x:c r="G149" s="7" t="str">
        <x:v>MES + ERP producție + timpi + BOM</x:v>
      </x:c>
      <x:c r="H149" s="7" t="str">
        <x:v>Schimb / zilnic</x:v>
      </x:c>
      <x:c r="I149" s="7" t="str">
        <x:v>Linie, utilaj, produs, comandă, schimb</x:v>
      </x:c>
      <x:c r="J149" s="7" t="str">
        <x:v>P1</x:v>
      </x:c>
    </x:row>
    <x:row r="150" ht="34.5" customHeight="1">
      <x:c r="A150" s="3" t="str">
        <x:v>OPS-06</x:v>
      </x:c>
      <x:c r="B150" s="3" t="str">
        <x:v>15 Producție și operațiuni</x:v>
      </x:c>
      <x:c r="C150" s="3" t="str">
        <x:v>Timp de ciclu</x:v>
      </x:c>
      <x:c r="D150" s="3" t="str">
        <x:v>Timp efectiv / unități bune, cu mediana pe operațiune</x:v>
      </x:c>
      <x:c r="E150" s="3" t="str">
        <x:v>secunde/unitate</x:v>
      </x:c>
      <x:c r="F150" s="3" t="str">
        <x:v>Director operațional</x:v>
      </x:c>
      <x:c r="G150" s="3" t="str">
        <x:v>MES + ERP producție + timpi + BOM</x:v>
      </x:c>
      <x:c r="H150" s="3" t="str">
        <x:v>Schimb / zilnic</x:v>
      </x:c>
      <x:c r="I150" s="3" t="str">
        <x:v>Linie, utilaj, produs, comandă, schimb</x:v>
      </x:c>
      <x:c r="J150" s="3" t="str">
        <x:v>P1</x:v>
      </x:c>
    </x:row>
    <x:row r="151" ht="34.5" customHeight="1">
      <x:c r="A151" s="7" t="str">
        <x:v>OPS-07</x:v>
      </x:c>
      <x:c r="B151" s="7" t="str">
        <x:v>15 Producție și operațiuni</x:v>
      </x:c>
      <x:c r="C151" s="7" t="str">
        <x:v>Timp schimbare serie</x:v>
      </x:c>
      <x:c r="D151" s="7" t="str">
        <x:v>Timp de la ultima piesă bună la prima piesă bună din seria următoare</x:v>
      </x:c>
      <x:c r="E151" s="7" t="str">
        <x:v>minute</x:v>
      </x:c>
      <x:c r="F151" s="7" t="str">
        <x:v>Director operațional</x:v>
      </x:c>
      <x:c r="G151" s="7" t="str">
        <x:v>MES + ERP producție + timpi + BOM</x:v>
      </x:c>
      <x:c r="H151" s="7" t="str">
        <x:v>Schimb / zilnic</x:v>
      </x:c>
      <x:c r="I151" s="7" t="str">
        <x:v>Linie, utilaj, produs, comandă, schimb</x:v>
      </x:c>
      <x:c r="J151" s="7" t="str">
        <x:v>P1</x:v>
      </x:c>
    </x:row>
    <x:row r="152" ht="34.5" customHeight="1">
      <x:c r="A152" s="3" t="str">
        <x:v>OPS-08</x:v>
      </x:c>
      <x:c r="B152" s="3" t="str">
        <x:v>15 Producție și operațiuni</x:v>
      </x:c>
      <x:c r="C152" s="3" t="str">
        <x:v>Utilizare capacitate</x:v>
      </x:c>
      <x:c r="D152" s="3" t="str">
        <x:v>Ore productive / capacitate practică disponibilă</x:v>
      </x:c>
      <x:c r="E152" s="3" t="str">
        <x:v>%</x:v>
      </x:c>
      <x:c r="F152" s="3" t="str">
        <x:v>Director operațional</x:v>
      </x:c>
      <x:c r="G152" s="3" t="str">
        <x:v>MES + ERP producție + timpi + BOM</x:v>
      </x:c>
      <x:c r="H152" s="3" t="str">
        <x:v>Schimb / zilnic</x:v>
      </x:c>
      <x:c r="I152" s="3" t="str">
        <x:v>Linie, utilaj, produs, comandă, schimb</x:v>
      </x:c>
      <x:c r="J152" s="3" t="str">
        <x:v>P1</x:v>
      </x:c>
    </x:row>
    <x:row r="153" ht="34.5" customHeight="1">
      <x:c r="A153" s="7" t="str">
        <x:v>OPS-09</x:v>
      </x:c>
      <x:c r="B153" s="7" t="str">
        <x:v>15 Producție și operațiuni</x:v>
      </x:c>
      <x:c r="C153" s="7" t="str">
        <x:v>Respectare rețetă/BOM</x:v>
      </x:c>
      <x:c r="D153" s="7" t="str">
        <x:v>Abatere consum real față de consum normat la producția realizată</x:v>
      </x:c>
      <x:c r="E153" s="7" t="str">
        <x:v>%</x:v>
      </x:c>
      <x:c r="F153" s="7" t="str">
        <x:v>Director operațional</x:v>
      </x:c>
      <x:c r="G153" s="7" t="str">
        <x:v>MES + ERP producție + timpi + BOM</x:v>
      </x:c>
      <x:c r="H153" s="7" t="str">
        <x:v>Schimb / zilnic</x:v>
      </x:c>
      <x:c r="I153" s="7" t="str">
        <x:v>Linie, utilaj, produs, comandă, schimb</x:v>
      </x:c>
      <x:c r="J153" s="7" t="str">
        <x:v>P1</x:v>
      </x:c>
    </x:row>
    <x:row r="154" ht="34.5" customHeight="1">
      <x:c r="A154" s="3" t="str">
        <x:v>OPS-10</x:v>
      </x:c>
      <x:c r="B154" s="3" t="str">
        <x:v>15 Producție și operațiuni</x:v>
      </x:c>
      <x:c r="C154" s="3" t="str">
        <x:v>Comenzi în întârziere</x:v>
      </x:c>
      <x:c r="D154" s="3" t="str">
        <x:v>Comenzi de producție nelivrate intern până la termen</x:v>
      </x:c>
      <x:c r="E154" s="3" t="str">
        <x:v>nr.</x:v>
      </x:c>
      <x:c r="F154" s="3" t="str">
        <x:v>Director operațional</x:v>
      </x:c>
      <x:c r="G154" s="3" t="str">
        <x:v>MES + ERP producție + timpi + BOM</x:v>
      </x:c>
      <x:c r="H154" s="3" t="str">
        <x:v>Schimb / zilnic</x:v>
      </x:c>
      <x:c r="I154" s="3" t="str">
        <x:v>Linie, utilaj, produs, comandă, schimb</x:v>
      </x:c>
      <x:c r="J154" s="3" t="str">
        <x:v>P1</x:v>
      </x:c>
    </x:row>
    <x:row r="155" ht="34.5" customHeight="1">
      <x:c r="A155" s="7" t="str">
        <x:v>QLT-01</x:v>
      </x:c>
      <x:c r="B155" s="7" t="str">
        <x:v>16 Calitate și siguranță operațională</x:v>
      </x:c>
      <x:c r="C155" s="7" t="str">
        <x:v>First Pass Yield</x:v>
      </x:c>
      <x:c r="D155" s="7" t="str">
        <x:v>Unități conforme fără refacere / unități intrate în proces</x:v>
      </x:c>
      <x:c r="E155" s="7" t="str">
        <x:v>%</x:v>
      </x:c>
      <x:c r="F155" s="7" t="str">
        <x:v>Responsabil calitate</x:v>
      </x:c>
      <x:c r="G155" s="7" t="str">
        <x:v>QMS + recepții + teste + reclamații</x:v>
      </x:c>
      <x:c r="H155" s="7" t="str">
        <x:v>Zilnic / lunar</x:v>
      </x:c>
      <x:c r="I155" s="7" t="str">
        <x:v>Produs, lot, furnizor, proces, cauză</x:v>
      </x:c>
      <x:c r="J155" s="7" t="str">
        <x:v>P1</x:v>
      </x:c>
    </x:row>
    <x:row r="156" ht="34.5" customHeight="1">
      <x:c r="A156" s="3" t="str">
        <x:v>QLT-02</x:v>
      </x:c>
      <x:c r="B156" s="3" t="str">
        <x:v>16 Calitate și siguranță operațională</x:v>
      </x:c>
      <x:c r="C156" s="3" t="str">
        <x:v>Costul noncalității</x:v>
      </x:c>
      <x:c r="D156" s="3" t="str">
        <x:v>Rebut + refacere + garanții + retururi + alte costuri convenite</x:v>
      </x:c>
      <x:c r="E156" s="3" t="str">
        <x:v>lei</x:v>
      </x:c>
      <x:c r="F156" s="3" t="str">
        <x:v>Responsabil calitate</x:v>
      </x:c>
      <x:c r="G156" s="3" t="str">
        <x:v>QMS + recepții + teste + reclamații</x:v>
      </x:c>
      <x:c r="H156" s="3" t="str">
        <x:v>Zilnic / lunar</x:v>
      </x:c>
      <x:c r="I156" s="3" t="str">
        <x:v>Produs, lot, furnizor, proces, cauză</x:v>
      </x:c>
      <x:c r="J156" s="3" t="str">
        <x:v>P0</x:v>
      </x:c>
    </x:row>
    <x:row r="157" ht="34.5" customHeight="1">
      <x:c r="A157" s="7" t="str">
        <x:v>QLT-03</x:v>
      </x:c>
      <x:c r="B157" s="7" t="str">
        <x:v>16 Calitate și siguranță operațională</x:v>
      </x:c>
      <x:c r="C157" s="7" t="str">
        <x:v>Defecte PPM</x:v>
      </x:c>
      <x:c r="D157" s="7" t="str">
        <x:v>Unități defecte / unități inspectate × 1000000</x:v>
      </x:c>
      <x:c r="E157" s="7" t="str">
        <x:v>PPM</x:v>
      </x:c>
      <x:c r="F157" s="7" t="str">
        <x:v>Responsabil calitate</x:v>
      </x:c>
      <x:c r="G157" s="7" t="str">
        <x:v>QMS + recepții + teste + reclamații</x:v>
      </x:c>
      <x:c r="H157" s="7" t="str">
        <x:v>Zilnic / lunar</x:v>
      </x:c>
      <x:c r="I157" s="7" t="str">
        <x:v>Produs, lot, furnizor, proces, cauză</x:v>
      </x:c>
      <x:c r="J157" s="7" t="str">
        <x:v>P1</x:v>
      </x:c>
    </x:row>
    <x:row r="158" ht="34.5" customHeight="1">
      <x:c r="A158" s="3" t="str">
        <x:v>QLT-04</x:v>
      </x:c>
      <x:c r="B158" s="3" t="str">
        <x:v>16 Calitate și siguranță operațională</x:v>
      </x:c>
      <x:c r="C158" s="3" t="str">
        <x:v>Reclamații la 1000 unități</x:v>
      </x:c>
      <x:c r="D158" s="3" t="str">
        <x:v>Reclamații validate / unități vândute × 1000</x:v>
      </x:c>
      <x:c r="E158" s="3" t="str">
        <x:v>nr./1000</x:v>
      </x:c>
      <x:c r="F158" s="3" t="str">
        <x:v>Responsabil calitate</x:v>
      </x:c>
      <x:c r="G158" s="3" t="str">
        <x:v>QMS + recepții + teste + reclamații</x:v>
      </x:c>
      <x:c r="H158" s="3" t="str">
        <x:v>Zilnic / lunar</x:v>
      </x:c>
      <x:c r="I158" s="3" t="str">
        <x:v>Produs, lot, furnizor, proces, cauză</x:v>
      </x:c>
      <x:c r="J158" s="3" t="str">
        <x:v>P1</x:v>
      </x:c>
    </x:row>
    <x:row r="159" ht="34.5" customHeight="1">
      <x:c r="A159" s="7" t="str">
        <x:v>QLT-05</x:v>
      </x:c>
      <x:c r="B159" s="7" t="str">
        <x:v>16 Calitate și siguranță operațională</x:v>
      </x:c>
      <x:c r="C159" s="7" t="str">
        <x:v>Timp închidere neconformitate</x:v>
      </x:c>
      <x:c r="D159" s="7" t="str">
        <x:v>Zile între constatare și verificarea rezolvării</x:v>
      </x:c>
      <x:c r="E159" s="7" t="str">
        <x:v>zile</x:v>
      </x:c>
      <x:c r="F159" s="7" t="str">
        <x:v>Responsabil calitate</x:v>
      </x:c>
      <x:c r="G159" s="7" t="str">
        <x:v>QMS + recepții + teste + reclamații</x:v>
      </x:c>
      <x:c r="H159" s="7" t="str">
        <x:v>Zilnic / lunar</x:v>
      </x:c>
      <x:c r="I159" s="7" t="str">
        <x:v>Produs, lot, furnizor, proces, cauză</x:v>
      </x:c>
      <x:c r="J159" s="7" t="str">
        <x:v>P1</x:v>
      </x:c>
    </x:row>
    <x:row r="160" ht="34.5" customHeight="1">
      <x:c r="A160" s="3" t="str">
        <x:v>QLT-06</x:v>
      </x:c>
      <x:c r="B160" s="3" t="str">
        <x:v>16 Calitate și siguranță operațională</x:v>
      </x:c>
      <x:c r="C160" s="3" t="str">
        <x:v>Acțiuni corective restante</x:v>
      </x:c>
      <x:c r="D160" s="3" t="str">
        <x:v>Acțiuni CAPA neînchise după termen</x:v>
      </x:c>
      <x:c r="E160" s="3" t="str">
        <x:v>nr.</x:v>
      </x:c>
      <x:c r="F160" s="3" t="str">
        <x:v>Responsabil calitate</x:v>
      </x:c>
      <x:c r="G160" s="3" t="str">
        <x:v>QMS + recepții + teste + reclamații</x:v>
      </x:c>
      <x:c r="H160" s="3" t="str">
        <x:v>Zilnic / lunar</x:v>
      </x:c>
      <x:c r="I160" s="3" t="str">
        <x:v>Produs, lot, furnizor, proces, cauză</x:v>
      </x:c>
      <x:c r="J160" s="3" t="str">
        <x:v>P1</x:v>
      </x:c>
    </x:row>
    <x:row r="161" ht="34.5" customHeight="1">
      <x:c r="A161" s="7" t="str">
        <x:v>QLT-07</x:v>
      </x:c>
      <x:c r="B161" s="7" t="str">
        <x:v>16 Calitate și siguranță operațională</x:v>
      </x:c>
      <x:c r="C161" s="7" t="str">
        <x:v>Loturi blocate</x:v>
      </x:c>
      <x:c r="D161" s="7" t="str">
        <x:v>Cantitate și valoare indisponibilă din motive de calitate</x:v>
      </x:c>
      <x:c r="E161" s="7" t="str">
        <x:v>lei</x:v>
      </x:c>
      <x:c r="F161" s="7" t="str">
        <x:v>Responsabil calitate</x:v>
      </x:c>
      <x:c r="G161" s="7" t="str">
        <x:v>QMS + recepții + teste + reclamații</x:v>
      </x:c>
      <x:c r="H161" s="7" t="str">
        <x:v>Zilnic / lunar</x:v>
      </x:c>
      <x:c r="I161" s="7" t="str">
        <x:v>Produs, lot, furnizor, proces, cauză</x:v>
      </x:c>
      <x:c r="J161" s="7" t="str">
        <x:v>P1</x:v>
      </x:c>
    </x:row>
    <x:row r="162" ht="34.5" customHeight="1">
      <x:c r="A162" s="3" t="str">
        <x:v>QLT-08</x:v>
      </x:c>
      <x:c r="B162" s="3" t="str">
        <x:v>16 Calitate și siguranță operațională</x:v>
      </x:c>
      <x:c r="C162" s="3" t="str">
        <x:v>Trasabilitate loturi</x:v>
      </x:c>
      <x:c r="D162" s="3" t="str">
        <x:v>Loturi cu legătură completă intrare–proces–livrare / loturi testate</x:v>
      </x:c>
      <x:c r="E162" s="3" t="str">
        <x:v>%</x:v>
      </x:c>
      <x:c r="F162" s="3" t="str">
        <x:v>Responsabil calitate</x:v>
      </x:c>
      <x:c r="G162" s="3" t="str">
        <x:v>QMS + recepții + teste + reclamații</x:v>
      </x:c>
      <x:c r="H162" s="3" t="str">
        <x:v>Zilnic / lunar</x:v>
      </x:c>
      <x:c r="I162" s="3" t="str">
        <x:v>Produs, lot, furnizor, proces, cauză</x:v>
      </x:c>
      <x:c r="J162" s="3" t="str">
        <x:v>P1</x:v>
      </x:c>
    </x:row>
    <x:row r="163" ht="34.5" customHeight="1">
      <x:c r="A163" s="7" t="str">
        <x:v>QLT-09</x:v>
      </x:c>
      <x:c r="B163" s="7" t="str">
        <x:v>16 Calitate și siguranță operațională</x:v>
      </x:c>
      <x:c r="C163" s="7" t="str">
        <x:v>Incidente de muncă</x:v>
      </x:c>
      <x:c r="D163" s="7" t="str">
        <x:v>Număr incidente clasificate după severitate și expunere</x:v>
      </x:c>
      <x:c r="E163" s="7" t="str">
        <x:v>nr.</x:v>
      </x:c>
      <x:c r="F163" s="7" t="str">
        <x:v>Responsabil calitate</x:v>
      </x:c>
      <x:c r="G163" s="7" t="str">
        <x:v>QMS + recepții + teste + reclamații</x:v>
      </x:c>
      <x:c r="H163" s="7" t="str">
        <x:v>Zilnic / lunar</x:v>
      </x:c>
      <x:c r="I163" s="7" t="str">
        <x:v>Produs, lot, furnizor, proces, cauză</x:v>
      </x:c>
      <x:c r="J163" s="7" t="str">
        <x:v>P1</x:v>
      </x:c>
    </x:row>
    <x:row r="164" ht="34.5" customHeight="1">
      <x:c r="A164" s="3" t="str">
        <x:v>QLT-10</x:v>
      </x:c>
      <x:c r="B164" s="3" t="str">
        <x:v>16 Calitate și siguranță operațională</x:v>
      </x:c>
      <x:c r="C164" s="3" t="str">
        <x:v>Audituri fără neconformități majore</x:v>
      </x:c>
      <x:c r="D164" s="3" t="str">
        <x:v>Audituri fără constatări majore / audituri finalizate</x:v>
      </x:c>
      <x:c r="E164" s="3" t="str">
        <x:v>%</x:v>
      </x:c>
      <x:c r="F164" s="3" t="str">
        <x:v>Responsabil calitate</x:v>
      </x:c>
      <x:c r="G164" s="3" t="str">
        <x:v>QMS + recepții + teste + reclamații</x:v>
      </x:c>
      <x:c r="H164" s="3" t="str">
        <x:v>Zilnic / lunar</x:v>
      </x:c>
      <x:c r="I164" s="3" t="str">
        <x:v>Produs, lot, furnizor, proces, cauză</x:v>
      </x:c>
      <x:c r="J164" s="3" t="str">
        <x:v>P1</x:v>
      </x:c>
    </x:row>
    <x:row r="165" ht="34.5" customHeight="1">
      <x:c r="A165" s="7" t="str">
        <x:v>AST-01</x:v>
      </x:c>
      <x:c r="B165" s="7" t="str">
        <x:v>17 Active și mentenanță</x:v>
      </x:c>
      <x:c r="C165" s="7" t="str">
        <x:v>Disponibilitate tehnică</x:v>
      </x:c>
      <x:c r="D165" s="7" t="str">
        <x:v>Timp planificat minus opriri tehnice, / timp planificat</x:v>
      </x:c>
      <x:c r="E165" s="7" t="str">
        <x:v>%</x:v>
      </x:c>
      <x:c r="F165" s="7" t="str">
        <x:v>Responsabil mentenanță</x:v>
      </x:c>
      <x:c r="G165" s="7" t="str">
        <x:v>EAM/CMMS + active + senzori + ordine lucru</x:v>
      </x:c>
      <x:c r="H165" s="7" t="str">
        <x:v>Zilnic / la eveniment</x:v>
      </x:c>
      <x:c r="I165" s="7" t="str">
        <x:v>Activ, linie, tip defect, echipă</x:v>
      </x:c>
      <x:c r="J165" s="7" t="str">
        <x:v>P0</x:v>
      </x:c>
    </x:row>
    <x:row r="166" ht="34.5" customHeight="1">
      <x:c r="A166" s="3" t="str">
        <x:v>AST-02</x:v>
      </x:c>
      <x:c r="B166" s="3" t="str">
        <x:v>17 Active și mentenanță</x:v>
      </x:c>
      <x:c r="C166" s="3" t="str">
        <x:v>MTBF</x:v>
      </x:c>
      <x:c r="D166" s="3" t="str">
        <x:v>Timp de funcționare / defectări eligibile</x:v>
      </x:c>
      <x:c r="E166" s="3" t="str">
        <x:v>ore</x:v>
      </x:c>
      <x:c r="F166" s="3" t="str">
        <x:v>Responsabil mentenanță</x:v>
      </x:c>
      <x:c r="G166" s="3" t="str">
        <x:v>EAM/CMMS + active + senzori + ordine lucru</x:v>
      </x:c>
      <x:c r="H166" s="3" t="str">
        <x:v>Zilnic / la eveniment</x:v>
      </x:c>
      <x:c r="I166" s="3" t="str">
        <x:v>Activ, linie, tip defect, echipă</x:v>
      </x:c>
      <x:c r="J166" s="3" t="str">
        <x:v>P1</x:v>
      </x:c>
    </x:row>
    <x:row r="167" ht="34.5" customHeight="1">
      <x:c r="A167" s="7" t="str">
        <x:v>AST-03</x:v>
      </x:c>
      <x:c r="B167" s="7" t="str">
        <x:v>17 Active și mentenanță</x:v>
      </x:c>
      <x:c r="C167" s="7" t="str">
        <x:v>MTTR</x:v>
      </x:c>
      <x:c r="D167" s="7" t="str">
        <x:v>Timp reparație total / reparații eligibile</x:v>
      </x:c>
      <x:c r="E167" s="7" t="str">
        <x:v>ore</x:v>
      </x:c>
      <x:c r="F167" s="7" t="str">
        <x:v>Responsabil mentenanță</x:v>
      </x:c>
      <x:c r="G167" s="7" t="str">
        <x:v>EAM/CMMS + active + senzori + ordine lucru</x:v>
      </x:c>
      <x:c r="H167" s="7" t="str">
        <x:v>Zilnic / la eveniment</x:v>
      </x:c>
      <x:c r="I167" s="7" t="str">
        <x:v>Activ, linie, tip defect, echipă</x:v>
      </x:c>
      <x:c r="J167" s="7" t="str">
        <x:v>P1</x:v>
      </x:c>
    </x:row>
    <x:row r="168" ht="34.5" customHeight="1">
      <x:c r="A168" s="3" t="str">
        <x:v>AST-04</x:v>
      </x:c>
      <x:c r="B168" s="3" t="str">
        <x:v>17 Active și mentenanță</x:v>
      </x:c>
      <x:c r="C168" s="3" t="str">
        <x:v>Mentenanță preventivă executată</x:v>
      </x:c>
      <x:c r="D168" s="3" t="str">
        <x:v>Lucrări preventive la termen / lucrări preventive scadente</x:v>
      </x:c>
      <x:c r="E168" s="3" t="str">
        <x:v>%</x:v>
      </x:c>
      <x:c r="F168" s="3" t="str">
        <x:v>Responsabil mentenanță</x:v>
      </x:c>
      <x:c r="G168" s="3" t="str">
        <x:v>EAM/CMMS + active + senzori + ordine lucru</x:v>
      </x:c>
      <x:c r="H168" s="3" t="str">
        <x:v>Zilnic / la eveniment</x:v>
      </x:c>
      <x:c r="I168" s="3" t="str">
        <x:v>Activ, linie, tip defect, echipă</x:v>
      </x:c>
      <x:c r="J168" s="3" t="str">
        <x:v>P1</x:v>
      </x:c>
    </x:row>
    <x:row r="169" ht="34.5" customHeight="1">
      <x:c r="A169" s="7" t="str">
        <x:v>AST-05</x:v>
      </x:c>
      <x:c r="B169" s="7" t="str">
        <x:v>17 Active și mentenanță</x:v>
      </x:c>
      <x:c r="C169" s="7" t="str">
        <x:v>Cost mentenanță pe activ</x:v>
      </x:c>
      <x:c r="D169" s="7" t="str">
        <x:v>Manoperă + piese + servicii pentru activ și perioadă</x:v>
      </x:c>
      <x:c r="E169" s="7" t="str">
        <x:v>lei</x:v>
      </x:c>
      <x:c r="F169" s="7" t="str">
        <x:v>Responsabil mentenanță</x:v>
      </x:c>
      <x:c r="G169" s="7" t="str">
        <x:v>EAM/CMMS + active + senzori + ordine lucru</x:v>
      </x:c>
      <x:c r="H169" s="7" t="str">
        <x:v>Zilnic / la eveniment</x:v>
      </x:c>
      <x:c r="I169" s="7" t="str">
        <x:v>Activ, linie, tip defect, echipă</x:v>
      </x:c>
      <x:c r="J169" s="7" t="str">
        <x:v>P1</x:v>
      </x:c>
    </x:row>
    <x:row r="170" ht="34.5" customHeight="1">
      <x:c r="A170" s="3" t="str">
        <x:v>AST-06</x:v>
      </x:c>
      <x:c r="B170" s="3" t="str">
        <x:v>17 Active și mentenanță</x:v>
      </x:c>
      <x:c r="C170" s="3" t="str">
        <x:v>Opriri neplanificate</x:v>
      </x:c>
      <x:c r="D170" s="3" t="str">
        <x:v>Durata opririlor neplanificate în fereastra analizată</x:v>
      </x:c>
      <x:c r="E170" s="3" t="str">
        <x:v>ore</x:v>
      </x:c>
      <x:c r="F170" s="3" t="str">
        <x:v>Responsabil mentenanță</x:v>
      </x:c>
      <x:c r="G170" s="3" t="str">
        <x:v>EAM/CMMS + active + senzori + ordine lucru</x:v>
      </x:c>
      <x:c r="H170" s="3" t="str">
        <x:v>Zilnic / la eveniment</x:v>
      </x:c>
      <x:c r="I170" s="3" t="str">
        <x:v>Activ, linie, tip defect, echipă</x:v>
      </x:c>
      <x:c r="J170" s="3" t="str">
        <x:v>P0</x:v>
      </x:c>
    </x:row>
    <x:row r="171" ht="34.5" customHeight="1">
      <x:c r="A171" s="7" t="str">
        <x:v>AST-07</x:v>
      </x:c>
      <x:c r="B171" s="7" t="str">
        <x:v>17 Active și mentenanță</x:v>
      </x:c>
      <x:c r="C171" s="7" t="str">
        <x:v>Backlog mentenanță</x:v>
      </x:c>
      <x:c r="D171" s="7" t="str">
        <x:v>Ore de lucru estimate pentru lucrări deschise</x:v>
      </x:c>
      <x:c r="E171" s="7" t="str">
        <x:v>ore</x:v>
      </x:c>
      <x:c r="F171" s="7" t="str">
        <x:v>Responsabil mentenanță</x:v>
      </x:c>
      <x:c r="G171" s="7" t="str">
        <x:v>EAM/CMMS + active + senzori + ordine lucru</x:v>
      </x:c>
      <x:c r="H171" s="7" t="str">
        <x:v>Zilnic / la eveniment</x:v>
      </x:c>
      <x:c r="I171" s="7" t="str">
        <x:v>Activ, linie, tip defect, echipă</x:v>
      </x:c>
      <x:c r="J171" s="7" t="str">
        <x:v>P1</x:v>
      </x:c>
    </x:row>
    <x:row r="172" ht="34.5" customHeight="1">
      <x:c r="A172" s="3" t="str">
        <x:v>AST-08</x:v>
      </x:c>
      <x:c r="B172" s="3" t="str">
        <x:v>17 Active și mentenanță</x:v>
      </x:c>
      <x:c r="C172" s="3" t="str">
        <x:v>Piese critice indisponibile</x:v>
      </x:c>
      <x:c r="D172" s="3" t="str">
        <x:v>Piese fără acoperire pentru intervenții planificate sau probabile</x:v>
      </x:c>
      <x:c r="E172" s="3" t="str">
        <x:v>nr.</x:v>
      </x:c>
      <x:c r="F172" s="3" t="str">
        <x:v>Responsabil mentenanță</x:v>
      </x:c>
      <x:c r="G172" s="3" t="str">
        <x:v>EAM/CMMS + active + senzori + ordine lucru</x:v>
      </x:c>
      <x:c r="H172" s="3" t="str">
        <x:v>Zilnic / la eveniment</x:v>
      </x:c>
      <x:c r="I172" s="3" t="str">
        <x:v>Activ, linie, tip defect, echipă</x:v>
      </x:c>
      <x:c r="J172" s="3" t="str">
        <x:v>P1</x:v>
      </x:c>
    </x:row>
    <x:row r="173" ht="34.5" customHeight="1">
      <x:c r="A173" s="7" t="str">
        <x:v>AST-09</x:v>
      </x:c>
      <x:c r="B173" s="7" t="str">
        <x:v>17 Active și mentenanță</x:v>
      </x:c>
      <x:c r="C173" s="7" t="str">
        <x:v>Rată defect repetat</x:v>
      </x:c>
      <x:c r="D173" s="7" t="str">
        <x:v>Reparații cu aceeași defecțiune în fereastra definită / reparații</x:v>
      </x:c>
      <x:c r="E173" s="7" t="str">
        <x:v>%</x:v>
      </x:c>
      <x:c r="F173" s="7" t="str">
        <x:v>Responsabil mentenanță</x:v>
      </x:c>
      <x:c r="G173" s="7" t="str">
        <x:v>EAM/CMMS + active + senzori + ordine lucru</x:v>
      </x:c>
      <x:c r="H173" s="7" t="str">
        <x:v>Zilnic / la eveniment</x:v>
      </x:c>
      <x:c r="I173" s="7" t="str">
        <x:v>Activ, linie, tip defect, echipă</x:v>
      </x:c>
      <x:c r="J173" s="7" t="str">
        <x:v>P1</x:v>
      </x:c>
    </x:row>
    <x:row r="174" ht="34.5" customHeight="1">
      <x:c r="A174" s="3" t="str">
        <x:v>AST-10</x:v>
      </x:c>
      <x:c r="B174" s="3" t="str">
        <x:v>17 Active și mentenanță</x:v>
      </x:c>
      <x:c r="C174" s="3" t="str">
        <x:v>Active subutilizate</x:v>
      </x:c>
      <x:c r="D174" s="3" t="str">
        <x:v>Active cu utilizare sub pragul propriu aprobat</x:v>
      </x:c>
      <x:c r="E174" s="3" t="str">
        <x:v>nr. și lei</x:v>
      </x:c>
      <x:c r="F174" s="3" t="str">
        <x:v>Responsabil mentenanță</x:v>
      </x:c>
      <x:c r="G174" s="3" t="str">
        <x:v>EAM/CMMS + active + senzori + ordine lucru</x:v>
      </x:c>
      <x:c r="H174" s="3" t="str">
        <x:v>Zilnic / la eveniment</x:v>
      </x:c>
      <x:c r="I174" s="3" t="str">
        <x:v>Activ, linie, tip defect, echipă</x:v>
      </x:c>
      <x:c r="J174" s="3" t="str">
        <x:v>P1</x:v>
      </x:c>
    </x:row>
    <x:row r="175" ht="34.5" customHeight="1">
      <x:c r="A175" s="7" t="str">
        <x:v>HR-01</x:v>
      </x:c>
      <x:c r="B175" s="7" t="str">
        <x:v>18 Resurse umane</x:v>
      </x:c>
      <x:c r="C175" s="7" t="str">
        <x:v>FTE mediu</x:v>
      </x:c>
      <x:c r="D175" s="7" t="str">
        <x:v>Suma fracțiilor de normă active, mediată pe perioadă</x:v>
      </x:c>
      <x:c r="E175" s="7" t="str">
        <x:v>FTE</x:v>
      </x:c>
      <x:c r="F175" s="7" t="str">
        <x:v>Director HR</x:v>
      </x:c>
      <x:c r="G175" s="7" t="str">
        <x:v>HRIS + salarizare + pontaj + recrutare</x:v>
      </x:c>
      <x:c r="H175" s="7" t="str">
        <x:v>Lunar / săptămânal</x:v>
      </x:c>
      <x:c r="I175" s="7" t="str">
        <x:v>Departament, rol, locație; acces restrâns</x:v>
      </x:c>
      <x:c r="J175" s="7" t="str">
        <x:v>P1</x:v>
      </x:c>
    </x:row>
    <x:row r="176" ht="34.5" customHeight="1">
      <x:c r="A176" s="3" t="str">
        <x:v>HR-02</x:v>
      </x:c>
      <x:c r="B176" s="3" t="str">
        <x:v>18 Resurse umane</x:v>
      </x:c>
      <x:c r="C176" s="3" t="str">
        <x:v>Cost total personal</x:v>
      </x:c>
      <x:c r="D176" s="3" t="str">
        <x:v>Salarii + contribuții angajator + beneficii și alte costuri incluse explicit</x:v>
      </x:c>
      <x:c r="E176" s="3" t="str">
        <x:v>lei</x:v>
      </x:c>
      <x:c r="F176" s="3" t="str">
        <x:v>Director HR</x:v>
      </x:c>
      <x:c r="G176" s="3" t="str">
        <x:v>HRIS + salarizare + pontaj + recrutare</x:v>
      </x:c>
      <x:c r="H176" s="3" t="str">
        <x:v>Lunar / săptămânal</x:v>
      </x:c>
      <x:c r="I176" s="3" t="str">
        <x:v>Departament, rol, locație; acces restrâns</x:v>
      </x:c>
      <x:c r="J176" s="3" t="str">
        <x:v>P0</x:v>
      </x:c>
    </x:row>
    <x:row r="177" ht="34.5" customHeight="1">
      <x:c r="A177" s="7" t="str">
        <x:v>HR-03</x:v>
      </x:c>
      <x:c r="B177" s="7" t="str">
        <x:v>18 Resurse umane</x:v>
      </x:c>
      <x:c r="C177" s="7" t="str">
        <x:v>Cost personal / venituri</x:v>
      </x:c>
      <x:c r="D177" s="7" t="str">
        <x:v>Cost personal / venituri din aceeași perioadă</x:v>
      </x:c>
      <x:c r="E177" s="7" t="str">
        <x:v>%</x:v>
      </x:c>
      <x:c r="F177" s="7" t="str">
        <x:v>Director HR</x:v>
      </x:c>
      <x:c r="G177" s="7" t="str">
        <x:v>HRIS + salarizare + pontaj + recrutare</x:v>
      </x:c>
      <x:c r="H177" s="7" t="str">
        <x:v>Lunar / săptămânal</x:v>
      </x:c>
      <x:c r="I177" s="7" t="str">
        <x:v>Departament, rol, locație; acces restrâns</x:v>
      </x:c>
      <x:c r="J177" s="7" t="str">
        <x:v>P1</x:v>
      </x:c>
    </x:row>
    <x:row r="178" ht="34.5" customHeight="1">
      <x:c r="A178" s="3" t="str">
        <x:v>HR-04</x:v>
      </x:c>
      <x:c r="B178" s="3" t="str">
        <x:v>18 Resurse umane</x:v>
      </x:c>
      <x:c r="C178" s="3" t="str">
        <x:v>Fluctuație voluntară</x:v>
      </x:c>
      <x:c r="D178" s="3" t="str">
        <x:v>Plecări voluntare / efectiv mediu eligibil</x:v>
      </x:c>
      <x:c r="E178" s="3" t="str">
        <x:v>%</x:v>
      </x:c>
      <x:c r="F178" s="3" t="str">
        <x:v>Director HR</x:v>
      </x:c>
      <x:c r="G178" s="3" t="str">
        <x:v>HRIS + salarizare + pontaj + recrutare</x:v>
      </x:c>
      <x:c r="H178" s="3" t="str">
        <x:v>Lunar / săptămânal</x:v>
      </x:c>
      <x:c r="I178" s="3" t="str">
        <x:v>Departament, rol, locație; acces restrâns</x:v>
      </x:c>
      <x:c r="J178" s="3" t="str">
        <x:v>P1</x:v>
      </x:c>
    </x:row>
    <x:row r="179" ht="34.5" customHeight="1">
      <x:c r="A179" s="7" t="str">
        <x:v>HR-05</x:v>
      </x:c>
      <x:c r="B179" s="7" t="str">
        <x:v>18 Resurse umane</x:v>
      </x:c>
      <x:c r="C179" s="7" t="str">
        <x:v>Absenteism</x:v>
      </x:c>
      <x:c r="D179" s="7" t="str">
        <x:v>Ore absență definite / ore planificate eligibile</x:v>
      </x:c>
      <x:c r="E179" s="7" t="str">
        <x:v>%</x:v>
      </x:c>
      <x:c r="F179" s="7" t="str">
        <x:v>Director HR</x:v>
      </x:c>
      <x:c r="G179" s="7" t="str">
        <x:v>HRIS + salarizare + pontaj + recrutare</x:v>
      </x:c>
      <x:c r="H179" s="7" t="str">
        <x:v>Lunar / săptămânal</x:v>
      </x:c>
      <x:c r="I179" s="7" t="str">
        <x:v>Departament, rol, locație; acces restrâns</x:v>
      </x:c>
      <x:c r="J179" s="7" t="str">
        <x:v>P1</x:v>
      </x:c>
    </x:row>
    <x:row r="180" ht="34.5" customHeight="1">
      <x:c r="A180" s="3" t="str">
        <x:v>HR-06</x:v>
      </x:c>
      <x:c r="B180" s="3" t="str">
        <x:v>18 Resurse umane</x:v>
      </x:c>
      <x:c r="C180" s="3" t="str">
        <x:v>Ore suplimentare</x:v>
      </x:c>
      <x:c r="D180" s="3" t="str">
        <x:v>Ore suplimentare aprobate / ore lucrate</x:v>
      </x:c>
      <x:c r="E180" s="3" t="str">
        <x:v>%</x:v>
      </x:c>
      <x:c r="F180" s="3" t="str">
        <x:v>Director HR</x:v>
      </x:c>
      <x:c r="G180" s="3" t="str">
        <x:v>HRIS + salarizare + pontaj + recrutare</x:v>
      </x:c>
      <x:c r="H180" s="3" t="str">
        <x:v>Lunar / săptămânal</x:v>
      </x:c>
      <x:c r="I180" s="3" t="str">
        <x:v>Departament, rol, locație; acces restrâns</x:v>
      </x:c>
      <x:c r="J180" s="3" t="str">
        <x:v>P1</x:v>
      </x:c>
    </x:row>
    <x:row r="181" ht="34.5" customHeight="1">
      <x:c r="A181" s="7" t="str">
        <x:v>HR-07</x:v>
      </x:c>
      <x:c r="B181" s="7" t="str">
        <x:v>18 Resurse umane</x:v>
      </x:c>
      <x:c r="C181" s="7" t="str">
        <x:v>Timp ocupare post</x:v>
      </x:c>
      <x:c r="D181" s="7" t="str">
        <x:v>Zile între aprobarea cererii și acceptarea ofertei</x:v>
      </x:c>
      <x:c r="E181" s="7" t="str">
        <x:v>zile</x:v>
      </x:c>
      <x:c r="F181" s="7" t="str">
        <x:v>Director HR</x:v>
      </x:c>
      <x:c r="G181" s="7" t="str">
        <x:v>HRIS + salarizare + pontaj + recrutare</x:v>
      </x:c>
      <x:c r="H181" s="7" t="str">
        <x:v>Lunar / săptămânal</x:v>
      </x:c>
      <x:c r="I181" s="7" t="str">
        <x:v>Departament, rol, locație; acces restrâns</x:v>
      </x:c>
      <x:c r="J181" s="7" t="str">
        <x:v>P1</x:v>
      </x:c>
    </x:row>
    <x:row r="182" ht="34.5" customHeight="1">
      <x:c r="A182" s="3" t="str">
        <x:v>HR-08</x:v>
      </x:c>
      <x:c r="B182" s="3" t="str">
        <x:v>18 Resurse umane</x:v>
      </x:c>
      <x:c r="C182" s="3" t="str">
        <x:v>Cost recrutare</x:v>
      </x:c>
      <x:c r="D182" s="3" t="str">
        <x:v>Costuri interne și externe / angajări realizate</x:v>
      </x:c>
      <x:c r="E182" s="3" t="str">
        <x:v>lei/angajare</x:v>
      </x:c>
      <x:c r="F182" s="3" t="str">
        <x:v>Director HR</x:v>
      </x:c>
      <x:c r="G182" s="3" t="str">
        <x:v>HRIS + salarizare + pontaj + recrutare</x:v>
      </x:c>
      <x:c r="H182" s="3" t="str">
        <x:v>Lunar / săptămânal</x:v>
      </x:c>
      <x:c r="I182" s="3" t="str">
        <x:v>Departament, rol, locație; acces restrâns</x:v>
      </x:c>
      <x:c r="J182" s="3" t="str">
        <x:v>P1</x:v>
      </x:c>
    </x:row>
    <x:row r="183" ht="34.5" customHeight="1">
      <x:c r="A183" s="7" t="str">
        <x:v>HR-09</x:v>
      </x:c>
      <x:c r="B183" s="7" t="str">
        <x:v>18 Resurse umane</x:v>
      </x:c>
      <x:c r="C183" s="7" t="str">
        <x:v>Acoperire competențe critice</x:v>
      </x:c>
      <x:c r="D183" s="7" t="str">
        <x:v>Roluri critice cu competențe validate / roluri critice</x:v>
      </x:c>
      <x:c r="E183" s="7" t="str">
        <x:v>%</x:v>
      </x:c>
      <x:c r="F183" s="7" t="str">
        <x:v>Director HR</x:v>
      </x:c>
      <x:c r="G183" s="7" t="str">
        <x:v>HRIS + salarizare + pontaj + recrutare</x:v>
      </x:c>
      <x:c r="H183" s="7" t="str">
        <x:v>Lunar / săptămânal</x:v>
      </x:c>
      <x:c r="I183" s="7" t="str">
        <x:v>Departament, rol, locație; acces restrâns</x:v>
      </x:c>
      <x:c r="J183" s="7" t="str">
        <x:v>P1</x:v>
      </x:c>
    </x:row>
    <x:row r="184" ht="34.5" customHeight="1">
      <x:c r="A184" s="3" t="str">
        <x:v>HR-10</x:v>
      </x:c>
      <x:c r="B184" s="3" t="str">
        <x:v>18 Resurse umane</x:v>
      </x:c>
      <x:c r="C184" s="3" t="str">
        <x:v>Formări și autorizații expirate</x:v>
      </x:c>
      <x:c r="D184" s="3" t="str">
        <x:v>Persoane cu certificări necesare expirate sau apropiate de expirare</x:v>
      </x:c>
      <x:c r="E184" s="3" t="str">
        <x:v>nr.</x:v>
      </x:c>
      <x:c r="F184" s="3" t="str">
        <x:v>Director HR</x:v>
      </x:c>
      <x:c r="G184" s="3" t="str">
        <x:v>HRIS + salarizare + pontaj + recrutare</x:v>
      </x:c>
      <x:c r="H184" s="3" t="str">
        <x:v>Lunar / săptămânal</x:v>
      </x:c>
      <x:c r="I184" s="3" t="str">
        <x:v>Departament, rol, locație; acces restrâns</x:v>
      </x:c>
      <x:c r="J184" s="3" t="str">
        <x:v>P1</x:v>
      </x:c>
    </x:row>
    <x:row r="185" ht="34.5" customHeight="1">
      <x:c r="A185" s="7" t="str">
        <x:v>PRJ-01</x:v>
      </x:c>
      <x:c r="B185" s="7" t="str">
        <x:v>19 Proiecte, servicii și investiții</x:v>
      </x:c>
      <x:c r="C185" s="7" t="str">
        <x:v>Marjă proiect la finalizare</x:v>
      </x:c>
      <x:c r="D185" s="7" t="str">
        <x:v>Venit estimat final − cost estimat final, și procent din venit</x:v>
      </x:c>
      <x:c r="E185" s="7" t="str">
        <x:v>lei și %</x:v>
      </x:c>
      <x:c r="F185" s="7" t="str">
        <x:v>PMO / director servicii</x:v>
      </x:c>
      <x:c r="G185" s="7" t="str">
        <x:v>Proiecte + buget + pontaje + contracte</x:v>
      </x:c>
      <x:c r="H185" s="7" t="str">
        <x:v>Săptămânal</x:v>
      </x:c>
      <x:c r="I185" s="7" t="str">
        <x:v>Proiect, etapă, client, echipă</x:v>
      </x:c>
      <x:c r="J185" s="7" t="str">
        <x:v>P0</x:v>
      </x:c>
    </x:row>
    <x:row r="186" ht="34.5" customHeight="1">
      <x:c r="A186" s="3" t="str">
        <x:v>PRJ-02</x:v>
      </x:c>
      <x:c r="B186" s="3" t="str">
        <x:v>19 Proiecte, servicii și investiții</x:v>
      </x:c>
      <x:c r="C186" s="3" t="str">
        <x:v>EAC cost final</x:v>
      </x:c>
      <x:c r="D186" s="3" t="str">
        <x:v>Cost realizat + cost estimat pentru lucrările rămase</x:v>
      </x:c>
      <x:c r="E186" s="3" t="str">
        <x:v>lei</x:v>
      </x:c>
      <x:c r="F186" s="3" t="str">
        <x:v>PMO / director servicii</x:v>
      </x:c>
      <x:c r="G186" s="3" t="str">
        <x:v>Proiecte + buget + pontaje + contracte</x:v>
      </x:c>
      <x:c r="H186" s="3" t="str">
        <x:v>Săptămânal</x:v>
      </x:c>
      <x:c r="I186" s="3" t="str">
        <x:v>Proiect, etapă, client, echipă</x:v>
      </x:c>
      <x:c r="J186" s="3" t="str">
        <x:v>P1</x:v>
      </x:c>
    </x:row>
    <x:row r="187" ht="34.5" customHeight="1">
      <x:c r="A187" s="7" t="str">
        <x:v>PRJ-03</x:v>
      </x:c>
      <x:c r="B187" s="7" t="str">
        <x:v>19 Proiecte, servicii și investiții</x:v>
      </x:c>
      <x:c r="C187" s="7" t="str">
        <x:v>Abatere termen final</x:v>
      </x:c>
      <x:c r="D187" s="7" t="str">
        <x:v>Data estimată finalizare − data contractuală</x:v>
      </x:c>
      <x:c r="E187" s="7" t="str">
        <x:v>zile</x:v>
      </x:c>
      <x:c r="F187" s="7" t="str">
        <x:v>PMO / director servicii</x:v>
      </x:c>
      <x:c r="G187" s="7" t="str">
        <x:v>Proiecte + buget + pontaje + contracte</x:v>
      </x:c>
      <x:c r="H187" s="7" t="str">
        <x:v>Săptămânal</x:v>
      </x:c>
      <x:c r="I187" s="7" t="str">
        <x:v>Proiect, etapă, client, echipă</x:v>
      </x:c>
      <x:c r="J187" s="7" t="str">
        <x:v>P0</x:v>
      </x:c>
    </x:row>
    <x:row r="188" ht="34.5" customHeight="1">
      <x:c r="A188" s="3" t="str">
        <x:v>PRJ-04</x:v>
      </x:c>
      <x:c r="B188" s="3" t="str">
        <x:v>19 Proiecte, servicii și investiții</x:v>
      </x:c>
      <x:c r="C188" s="3" t="str">
        <x:v>CPI</x:v>
      </x:c>
      <x:c r="D188" s="3" t="str">
        <x:v>Valoare câștigată / cost real; necesită metodologie earned value</x:v>
      </x:c>
      <x:c r="E188" s="3" t="str">
        <x:v>x</x:v>
      </x:c>
      <x:c r="F188" s="3" t="str">
        <x:v>PMO / director servicii</x:v>
      </x:c>
      <x:c r="G188" s="3" t="str">
        <x:v>Proiecte + buget + pontaje + contracte</x:v>
      </x:c>
      <x:c r="H188" s="3" t="str">
        <x:v>Săptămânal</x:v>
      </x:c>
      <x:c r="I188" s="3" t="str">
        <x:v>Proiect, etapă, client, echipă</x:v>
      </x:c>
      <x:c r="J188" s="3" t="str">
        <x:v>P1</x:v>
      </x:c>
    </x:row>
    <x:row r="189" ht="34.5" customHeight="1">
      <x:c r="A189" s="7" t="str">
        <x:v>PRJ-05</x:v>
      </x:c>
      <x:c r="B189" s="7" t="str">
        <x:v>19 Proiecte, servicii și investiții</x:v>
      </x:c>
      <x:c r="C189" s="7" t="str">
        <x:v>SPI</x:v>
      </x:c>
      <x:c r="D189" s="7" t="str">
        <x:v>Valoare câștigată / valoare planificată</x:v>
      </x:c>
      <x:c r="E189" s="7" t="str">
        <x:v>x</x:v>
      </x:c>
      <x:c r="F189" s="7" t="str">
        <x:v>PMO / director servicii</x:v>
      </x:c>
      <x:c r="G189" s="7" t="str">
        <x:v>Proiecte + buget + pontaje + contracte</x:v>
      </x:c>
      <x:c r="H189" s="7" t="str">
        <x:v>Săptămânal</x:v>
      </x:c>
      <x:c r="I189" s="7" t="str">
        <x:v>Proiect, etapă, client, echipă</x:v>
      </x:c>
      <x:c r="J189" s="7" t="str">
        <x:v>P1</x:v>
      </x:c>
    </x:row>
    <x:row r="190" ht="34.5" customHeight="1">
      <x:c r="A190" s="3" t="str">
        <x:v>PRJ-06</x:v>
      </x:c>
      <x:c r="B190" s="3" t="str">
        <x:v>19 Proiecte, servicii și investiții</x:v>
      </x:c>
      <x:c r="C190" s="3" t="str">
        <x:v>Utilizare facturabilă</x:v>
      </x:c>
      <x:c r="D190" s="3" t="str">
        <x:v>Ore facturabile / ore disponibile conform politicii</x:v>
      </x:c>
      <x:c r="E190" s="3" t="str">
        <x:v>%</x:v>
      </x:c>
      <x:c r="F190" s="3" t="str">
        <x:v>PMO / director servicii</x:v>
      </x:c>
      <x:c r="G190" s="3" t="str">
        <x:v>Proiecte + buget + pontaje + contracte</x:v>
      </x:c>
      <x:c r="H190" s="3" t="str">
        <x:v>Săptămânal</x:v>
      </x:c>
      <x:c r="I190" s="3" t="str">
        <x:v>Proiect, etapă, client, echipă</x:v>
      </x:c>
      <x:c r="J190" s="3" t="str">
        <x:v>P1</x:v>
      </x:c>
    </x:row>
    <x:row r="191" ht="34.5" customHeight="1">
      <x:c r="A191" s="7" t="str">
        <x:v>PRJ-07</x:v>
      </x:c>
      <x:c r="B191" s="7" t="str">
        <x:v>19 Proiecte, servicii și investiții</x:v>
      </x:c>
      <x:c r="C191" s="7" t="str">
        <x:v>Realizare tarif</x:v>
      </x:c>
      <x:c r="D191" s="7" t="str">
        <x:v>Venit net aferent muncii / ore facturabile</x:v>
      </x:c>
      <x:c r="E191" s="7" t="str">
        <x:v>lei/oră</x:v>
      </x:c>
      <x:c r="F191" s="7" t="str">
        <x:v>PMO / director servicii</x:v>
      </x:c>
      <x:c r="G191" s="7" t="str">
        <x:v>Proiecte + buget + pontaje + contracte</x:v>
      </x:c>
      <x:c r="H191" s="7" t="str">
        <x:v>Săptămânal</x:v>
      </x:c>
      <x:c r="I191" s="7" t="str">
        <x:v>Proiect, etapă, client, echipă</x:v>
      </x:c>
      <x:c r="J191" s="7" t="str">
        <x:v>P1</x:v>
      </x:c>
    </x:row>
    <x:row r="192" ht="34.5" customHeight="1">
      <x:c r="A192" s="3" t="str">
        <x:v>PRJ-08</x:v>
      </x:c>
      <x:c r="B192" s="3" t="str">
        <x:v>19 Proiecte, servicii și investiții</x:v>
      </x:c>
      <x:c r="C192" s="3" t="str">
        <x:v>Muncă nefacturată</x:v>
      </x:c>
      <x:c r="D192" s="3" t="str">
        <x:v>Valoare lucrări eligibile livrate, încă nefacturate</x:v>
      </x:c>
      <x:c r="E192" s="3" t="str">
        <x:v>lei</x:v>
      </x:c>
      <x:c r="F192" s="3" t="str">
        <x:v>PMO / director servicii</x:v>
      </x:c>
      <x:c r="G192" s="3" t="str">
        <x:v>Proiecte + buget + pontaje + contracte</x:v>
      </x:c>
      <x:c r="H192" s="3" t="str">
        <x:v>Săptămânal</x:v>
      </x:c>
      <x:c r="I192" s="3" t="str">
        <x:v>Proiect, etapă, client, echipă</x:v>
      </x:c>
      <x:c r="J192" s="3" t="str">
        <x:v>P1</x:v>
      </x:c>
    </x:row>
    <x:row r="193" ht="34.5" customHeight="1">
      <x:c r="A193" s="7" t="str">
        <x:v>PRJ-09</x:v>
      </x:c>
      <x:c r="B193" s="7" t="str">
        <x:v>19 Proiecte, servicii și investiții</x:v>
      </x:c>
      <x:c r="C193" s="7" t="str">
        <x:v>Schimbări neaprobate</x:v>
      </x:c>
      <x:c r="D193" s="7" t="str">
        <x:v>Valoare lucrări suplimentare fără aprobare contractuală</x:v>
      </x:c>
      <x:c r="E193" s="7" t="str">
        <x:v>lei</x:v>
      </x:c>
      <x:c r="F193" s="7" t="str">
        <x:v>PMO / director servicii</x:v>
      </x:c>
      <x:c r="G193" s="7" t="str">
        <x:v>Proiecte + buget + pontaje + contracte</x:v>
      </x:c>
      <x:c r="H193" s="7" t="str">
        <x:v>Săptămânal</x:v>
      </x:c>
      <x:c r="I193" s="7" t="str">
        <x:v>Proiect, etapă, client, echipă</x:v>
      </x:c>
      <x:c r="J193" s="7" t="str">
        <x:v>P1</x:v>
      </x:c>
    </x:row>
    <x:row r="194" ht="34.5" customHeight="1">
      <x:c r="A194" s="3" t="str">
        <x:v>PRJ-10</x:v>
      </x:c>
      <x:c r="B194" s="3" t="str">
        <x:v>19 Proiecte, servicii și investiții</x:v>
      </x:c>
      <x:c r="C194" s="3" t="str">
        <x:v>NPV investiție</x:v>
      </x:c>
      <x:c r="D194" s="3" t="str">
        <x:v>Suma fluxurilor nete actualizate minus investiția inițială, la rata aprobată</x:v>
      </x:c>
      <x:c r="E194" s="3" t="str">
        <x:v>lei</x:v>
      </x:c>
      <x:c r="F194" s="3" t="str">
        <x:v>PMO / director servicii</x:v>
      </x:c>
      <x:c r="G194" s="3" t="str">
        <x:v>Proiecte + buget + pontaje + contracte</x:v>
      </x:c>
      <x:c r="H194" s="3" t="str">
        <x:v>Săptămânal</x:v>
      </x:c>
      <x:c r="I194" s="3" t="str">
        <x:v>Proiect, etapă, client, echipă</x:v>
      </x:c>
      <x:c r="J194" s="3" t="str">
        <x:v>P1</x:v>
      </x:c>
    </x:row>
    <x:row r="195" ht="34.5" customHeight="1">
      <x:c r="A195" s="7" t="str">
        <x:v>RISK-01</x:v>
      </x:c>
      <x:c r="B195" s="7" t="str">
        <x:v>20 Riscuri, contracte și control</x:v>
      </x:c>
      <x:c r="C195" s="7" t="str">
        <x:v>Riscuri critice deschise</x:v>
      </x:c>
      <x:c r="D195" s="7" t="str">
        <x:v>Riscuri peste toleranța aprobată, cu justificarea evaluării</x:v>
      </x:c>
      <x:c r="E195" s="7" t="str">
        <x:v>nr.</x:v>
      </x:c>
      <x:c r="F195" s="7" t="str">
        <x:v>CFO / juridic / control intern</x:v>
      </x:c>
      <x:c r="G195" s="7" t="str">
        <x:v>Registru riscuri + contracte + audit + acces</x:v>
      </x:c>
      <x:c r="H195" s="7" t="str">
        <x:v>Săptămânal / eveniment</x:v>
      </x:c>
      <x:c r="I195" s="7" t="str">
        <x:v>Firmă, contract, risc, responsabil</x:v>
      </x:c>
      <x:c r="J195" s="7" t="str">
        <x:v>P0</x:v>
      </x:c>
    </x:row>
    <x:row r="196" ht="34.5" customHeight="1">
      <x:c r="A196" s="3" t="str">
        <x:v>RISK-02</x:v>
      </x:c>
      <x:c r="B196" s="3" t="str">
        <x:v>20 Riscuri, contracte și control</x:v>
      </x:c>
      <x:c r="C196" s="3" t="str">
        <x:v>Expunere financiară pe risc</x:v>
      </x:c>
      <x:c r="D196" s="3" t="str">
        <x:v>Impact estimat și probabilitate; metodologia se afișează</x:v>
      </x:c>
      <x:c r="E196" s="3" t="str">
        <x:v>lei</x:v>
      </x:c>
      <x:c r="F196" s="3" t="str">
        <x:v>CFO / juridic / control intern</x:v>
      </x:c>
      <x:c r="G196" s="3" t="str">
        <x:v>Registru riscuri + contracte + audit + acces</x:v>
      </x:c>
      <x:c r="H196" s="3" t="str">
        <x:v>Săptămânal / eveniment</x:v>
      </x:c>
      <x:c r="I196" s="3" t="str">
        <x:v>Firmă, contract, risc, responsabil</x:v>
      </x:c>
      <x:c r="J196" s="3" t="str">
        <x:v>P1</x:v>
      </x:c>
    </x:row>
    <x:row r="197" ht="34.5" customHeight="1">
      <x:c r="A197" s="7" t="str">
        <x:v>RISK-03</x:v>
      </x:c>
      <x:c r="B197" s="7" t="str">
        <x:v>20 Riscuri, contracte și control</x:v>
      </x:c>
      <x:c r="C197" s="7" t="str">
        <x:v>Contracte aproape de expirare</x:v>
      </x:c>
      <x:c r="D197" s="7" t="str">
        <x:v>Contracte în fereastra de notificare/reînnoire</x:v>
      </x:c>
      <x:c r="E197" s="7" t="str">
        <x:v>nr. și lei</x:v>
      </x:c>
      <x:c r="F197" s="7" t="str">
        <x:v>CFO / juridic / control intern</x:v>
      </x:c>
      <x:c r="G197" s="7" t="str">
        <x:v>Registru riscuri + contracte + audit + acces</x:v>
      </x:c>
      <x:c r="H197" s="7" t="str">
        <x:v>Săptămânal / eveniment</x:v>
      </x:c>
      <x:c r="I197" s="7" t="str">
        <x:v>Firmă, contract, risc, responsabil</x:v>
      </x:c>
      <x:c r="J197" s="7" t="str">
        <x:v>P1</x:v>
      </x:c>
    </x:row>
    <x:row r="198" ht="34.5" customHeight="1">
      <x:c r="A198" s="3" t="str">
        <x:v>RISK-04</x:v>
      </x:c>
      <x:c r="B198" s="3" t="str">
        <x:v>20 Riscuri, contracte și control</x:v>
      </x:c>
      <x:c r="C198" s="3" t="str">
        <x:v>Penalități contractuale potențiale</x:v>
      </x:c>
      <x:c r="D198" s="3" t="str">
        <x:v>Expunere calculată din clauze validate, cu scenarii</x:v>
      </x:c>
      <x:c r="E198" s="3" t="str">
        <x:v>lei</x:v>
      </x:c>
      <x:c r="F198" s="3" t="str">
        <x:v>CFO / juridic / control intern</x:v>
      </x:c>
      <x:c r="G198" s="3" t="str">
        <x:v>Registru riscuri + contracte + audit + acces</x:v>
      </x:c>
      <x:c r="H198" s="3" t="str">
        <x:v>Săptămânal / eveniment</x:v>
      </x:c>
      <x:c r="I198" s="3" t="str">
        <x:v>Firmă, contract, risc, responsabil</x:v>
      </x:c>
      <x:c r="J198" s="3" t="str">
        <x:v>P1</x:v>
      </x:c>
    </x:row>
    <x:row r="199" ht="34.5" customHeight="1">
      <x:c r="A199" s="7" t="str">
        <x:v>RISK-05</x:v>
      </x:c>
      <x:c r="B199" s="7" t="str">
        <x:v>20 Riscuri, contracte și control</x:v>
      </x:c>
      <x:c r="C199" s="7" t="str">
        <x:v>Încălcări limite financiare</x:v>
      </x:c>
      <x:c r="D199" s="7" t="str">
        <x:v>Covenants în afara limitelor din contractele efective</x:v>
      </x:c>
      <x:c r="E199" s="7" t="str">
        <x:v>nr.</x:v>
      </x:c>
      <x:c r="F199" s="7" t="str">
        <x:v>CFO / juridic / control intern</x:v>
      </x:c>
      <x:c r="G199" s="7" t="str">
        <x:v>Registru riscuri + contracte + audit + acces</x:v>
      </x:c>
      <x:c r="H199" s="7" t="str">
        <x:v>Săptămânal / eveniment</x:v>
      </x:c>
      <x:c r="I199" s="7" t="str">
        <x:v>Firmă, contract, risc, responsabil</x:v>
      </x:c>
      <x:c r="J199" s="7" t="str">
        <x:v>P1</x:v>
      </x:c>
    </x:row>
    <x:row r="200" ht="34.5" customHeight="1">
      <x:c r="A200" s="3" t="str">
        <x:v>RISK-06</x:v>
      </x:c>
      <x:c r="B200" s="3" t="str">
        <x:v>20 Riscuri, contracte și control</x:v>
      </x:c>
      <x:c r="C200" s="3" t="str">
        <x:v>Controale interne restante</x:v>
      </x:c>
      <x:c r="D200" s="3" t="str">
        <x:v>Controale neexecutate sau neaprobate până la termen</x:v>
      </x:c>
      <x:c r="E200" s="3" t="str">
        <x:v>nr.</x:v>
      </x:c>
      <x:c r="F200" s="3" t="str">
        <x:v>CFO / juridic / control intern</x:v>
      </x:c>
      <x:c r="G200" s="3" t="str">
        <x:v>Registru riscuri + contracte + audit + acces</x:v>
      </x:c>
      <x:c r="H200" s="3" t="str">
        <x:v>Săptămânal / eveniment</x:v>
      </x:c>
      <x:c r="I200" s="3" t="str">
        <x:v>Firmă, contract, risc, responsabil</x:v>
      </x:c>
      <x:c r="J200" s="3" t="str">
        <x:v>P1</x:v>
      </x:c>
    </x:row>
    <x:row r="201" ht="34.5" customHeight="1">
      <x:c r="A201" s="7" t="str">
        <x:v>RISK-07</x:v>
      </x:c>
      <x:c r="B201" s="7" t="str">
        <x:v>20 Riscuri, contracte și control</x:v>
      </x:c>
      <x:c r="C201" s="7" t="str">
        <x:v>Conflicte segregare atribuții</x:v>
      </x:c>
      <x:c r="D201" s="7" t="str">
        <x:v>Utilizatori cu combinații de drepturi interzise de politica internă</x:v>
      </x:c>
      <x:c r="E201" s="7" t="str">
        <x:v>nr.</x:v>
      </x:c>
      <x:c r="F201" s="7" t="str">
        <x:v>CFO / juridic / control intern</x:v>
      </x:c>
      <x:c r="G201" s="7" t="str">
        <x:v>Registru riscuri + contracte + audit + acces</x:v>
      </x:c>
      <x:c r="H201" s="7" t="str">
        <x:v>Săptămânal / eveniment</x:v>
      </x:c>
      <x:c r="I201" s="7" t="str">
        <x:v>Firmă, contract, risc, responsabil</x:v>
      </x:c>
      <x:c r="J201" s="7" t="str">
        <x:v>P1</x:v>
      </x:c>
    </x:row>
    <x:row r="202" ht="34.5" customHeight="1">
      <x:c r="A202" s="3" t="str">
        <x:v>RISK-08</x:v>
      </x:c>
      <x:c r="B202" s="3" t="str">
        <x:v>20 Riscuri, contracte și control</x:v>
      </x:c>
      <x:c r="C202" s="3" t="str">
        <x:v>Excepții de acces</x:v>
      </x:c>
      <x:c r="D202" s="3" t="str">
        <x:v>Accesuri nejustificate sau nerevizuite la termen</x:v>
      </x:c>
      <x:c r="E202" s="3" t="str">
        <x:v>nr.</x:v>
      </x:c>
      <x:c r="F202" s="3" t="str">
        <x:v>CFO / juridic / control intern</x:v>
      </x:c>
      <x:c r="G202" s="3" t="str">
        <x:v>Registru riscuri + contracte + audit + acces</x:v>
      </x:c>
      <x:c r="H202" s="3" t="str">
        <x:v>Săptămânal / eveniment</x:v>
      </x:c>
      <x:c r="I202" s="3" t="str">
        <x:v>Firmă, contract, risc, responsabil</x:v>
      </x:c>
      <x:c r="J202" s="3" t="str">
        <x:v>P1</x:v>
      </x:c>
    </x:row>
    <x:row r="203" ht="34.5" customHeight="1">
      <x:c r="A203" s="7" t="str">
        <x:v>RISK-09</x:v>
      </x:c>
      <x:c r="B203" s="7" t="str">
        <x:v>20 Riscuri, contracte și control</x:v>
      </x:c>
      <x:c r="C203" s="7" t="str">
        <x:v>Acțiuni audit restante</x:v>
      </x:c>
      <x:c r="D203" s="7" t="str">
        <x:v>Constatări cu remediere depășită, pe severitate</x:v>
      </x:c>
      <x:c r="E203" s="7" t="str">
        <x:v>nr.</x:v>
      </x:c>
      <x:c r="F203" s="7" t="str">
        <x:v>CFO / juridic / control intern</x:v>
      </x:c>
      <x:c r="G203" s="7" t="str">
        <x:v>Registru riscuri + contracte + audit + acces</x:v>
      </x:c>
      <x:c r="H203" s="7" t="str">
        <x:v>Săptămânal / eveniment</x:v>
      </x:c>
      <x:c r="I203" s="7" t="str">
        <x:v>Firmă, contract, risc, responsabil</x:v>
      </x:c>
      <x:c r="J203" s="7" t="str">
        <x:v>P1</x:v>
      </x:c>
    </x:row>
    <x:row r="204" ht="34.5" customHeight="1">
      <x:c r="A204" s="3" t="str">
        <x:v>RISK-10</x:v>
      </x:c>
      <x:c r="B204" s="3" t="str">
        <x:v>20 Riscuri, contracte și control</x:v>
      </x:c>
      <x:c r="C204" s="3" t="str">
        <x:v>Asigurări insuficiente</x:v>
      </x:c>
      <x:c r="D204" s="3" t="str">
        <x:v>Diferență între expunere evaluată și acoperire confirmată, pe risc</x:v>
      </x:c>
      <x:c r="E204" s="3" t="str">
        <x:v>lei</x:v>
      </x:c>
      <x:c r="F204" s="3" t="str">
        <x:v>CFO / juridic / control intern</x:v>
      </x:c>
      <x:c r="G204" s="3" t="str">
        <x:v>Registru riscuri + contracte + audit + acces</x:v>
      </x:c>
      <x:c r="H204" s="3" t="str">
        <x:v>Săptămânal / eveniment</x:v>
      </x:c>
      <x:c r="I204" s="3" t="str">
        <x:v>Firmă, contract, risc, responsabil</x:v>
      </x:c>
      <x:c r="J204" s="3" t="str">
        <x:v>P1</x:v>
      </x:c>
    </x:row>
    <x:row r="205" ht="34.5" customHeight="1">
      <x:c r="A205" s="7" t="str">
        <x:v>ESG-01</x:v>
      </x:c>
      <x:c r="B205" s="7" t="str">
        <x:v>21 Energie, resurse și sustenabilitate</x:v>
      </x:c>
      <x:c r="C205" s="7" t="str">
        <x:v>Intensitate energetică</x:v>
      </x:c>
      <x:c r="D205" s="7" t="str">
        <x:v>Energie consumată / unități bune comparabile</x:v>
      </x:c>
      <x:c r="E205" s="7" t="str">
        <x:v>kWh/unitate</x:v>
      </x:c>
      <x:c r="F205" s="7" t="str">
        <x:v>Responsabil mediu / operațiuni</x:v>
      </x:c>
      <x:c r="G205" s="7" t="str">
        <x:v>Contoare + facturi + producție + factori documentați</x:v>
      </x:c>
      <x:c r="H205" s="7" t="str">
        <x:v>Zilnic / lunar</x:v>
      </x:c>
      <x:c r="I205" s="7" t="str">
        <x:v>Locație, proces, produs, sursă energie</x:v>
      </x:c>
      <x:c r="J205" s="7" t="str">
        <x:v>P1</x:v>
      </x:c>
    </x:row>
    <x:row r="206" ht="34.5" customHeight="1">
      <x:c r="A206" s="3" t="str">
        <x:v>ESG-02</x:v>
      </x:c>
      <x:c r="B206" s="3" t="str">
        <x:v>21 Energie, resurse și sustenabilitate</x:v>
      </x:c>
      <x:c r="C206" s="3" t="str">
        <x:v>Cost energie pe unitate</x:v>
      </x:c>
      <x:c r="D206" s="3" t="str">
        <x:v>Cost energie / unități bune comparabile</x:v>
      </x:c>
      <x:c r="E206" s="3" t="str">
        <x:v>lei/unitate</x:v>
      </x:c>
      <x:c r="F206" s="3" t="str">
        <x:v>Responsabil mediu / operațiuni</x:v>
      </x:c>
      <x:c r="G206" s="3" t="str">
        <x:v>Contoare + facturi + producție + factori documentați</x:v>
      </x:c>
      <x:c r="H206" s="3" t="str">
        <x:v>Zilnic / lunar</x:v>
      </x:c>
      <x:c r="I206" s="3" t="str">
        <x:v>Locație, proces, produs, sursă energie</x:v>
      </x:c>
      <x:c r="J206" s="3" t="str">
        <x:v>P1</x:v>
      </x:c>
    </x:row>
    <x:row r="207" ht="34.5" customHeight="1">
      <x:c r="A207" s="7" t="str">
        <x:v>ESG-03</x:v>
      </x:c>
      <x:c r="B207" s="7" t="str">
        <x:v>21 Energie, resurse și sustenabilitate</x:v>
      </x:c>
      <x:c r="C207" s="7" t="str">
        <x:v>Consum apă pe unitate</x:v>
      </x:c>
      <x:c r="D207" s="7" t="str">
        <x:v>Apă consumată / unități bune comparabile</x:v>
      </x:c>
      <x:c r="E207" s="7" t="str">
        <x:v>m³/unitate</x:v>
      </x:c>
      <x:c r="F207" s="7" t="str">
        <x:v>Responsabil mediu / operațiuni</x:v>
      </x:c>
      <x:c r="G207" s="7" t="str">
        <x:v>Contoare + facturi + producție + factori documentați</x:v>
      </x:c>
      <x:c r="H207" s="7" t="str">
        <x:v>Zilnic / lunar</x:v>
      </x:c>
      <x:c r="I207" s="7" t="str">
        <x:v>Locație, proces, produs, sursă energie</x:v>
      </x:c>
      <x:c r="J207" s="7" t="str">
        <x:v>P1</x:v>
      </x:c>
    </x:row>
    <x:row r="208" ht="34.5" customHeight="1">
      <x:c r="A208" s="3" t="str">
        <x:v>ESG-04</x:v>
      </x:c>
      <x:c r="B208" s="3" t="str">
        <x:v>21 Energie, resurse și sustenabilitate</x:v>
      </x:c>
      <x:c r="C208" s="3" t="str">
        <x:v>Deșeu pe unitate</x:v>
      </x:c>
      <x:c r="D208" s="3" t="str">
        <x:v>Masă deșeu / unități produse comparabile</x:v>
      </x:c>
      <x:c r="E208" s="3" t="str">
        <x:v>kg/unitate</x:v>
      </x:c>
      <x:c r="F208" s="3" t="str">
        <x:v>Responsabil mediu / operațiuni</x:v>
      </x:c>
      <x:c r="G208" s="3" t="str">
        <x:v>Contoare + facturi + producție + factori documentați</x:v>
      </x:c>
      <x:c r="H208" s="3" t="str">
        <x:v>Zilnic / lunar</x:v>
      </x:c>
      <x:c r="I208" s="3" t="str">
        <x:v>Locație, proces, produs, sursă energie</x:v>
      </x:c>
      <x:c r="J208" s="3" t="str">
        <x:v>P1</x:v>
      </x:c>
    </x:row>
    <x:row r="209" ht="34.5" customHeight="1">
      <x:c r="A209" s="7" t="str">
        <x:v>ESG-05</x:v>
      </x:c>
      <x:c r="B209" s="7" t="str">
        <x:v>21 Energie, resurse și sustenabilitate</x:v>
      </x:c>
      <x:c r="C209" s="7" t="str">
        <x:v>Rată valorificare deșeuri</x:v>
      </x:c>
      <x:c r="D209" s="7" t="str">
        <x:v>Deșeu valorificat documentat / deșeu total</x:v>
      </x:c>
      <x:c r="E209" s="7" t="str">
        <x:v>%</x:v>
      </x:c>
      <x:c r="F209" s="7" t="str">
        <x:v>Responsabil mediu / operațiuni</x:v>
      </x:c>
      <x:c r="G209" s="7" t="str">
        <x:v>Contoare + facturi + producție + factori documentați</x:v>
      </x:c>
      <x:c r="H209" s="7" t="str">
        <x:v>Zilnic / lunar</x:v>
      </x:c>
      <x:c r="I209" s="7" t="str">
        <x:v>Locație, proces, produs, sursă energie</x:v>
      </x:c>
      <x:c r="J209" s="7" t="str">
        <x:v>P1</x:v>
      </x:c>
    </x:row>
    <x:row r="210" ht="34.5" customHeight="1">
      <x:c r="A210" s="3" t="str">
        <x:v>ESG-06</x:v>
      </x:c>
      <x:c r="B210" s="3" t="str">
        <x:v>21 Energie, resurse și sustenabilitate</x:v>
      </x:c>
      <x:c r="C210" s="3" t="str">
        <x:v>Emisii Scope 1</x:v>
      </x:c>
      <x:c r="D210" s="3" t="str">
        <x:v>Date activitate × factori de emisie documentați pentru surse directe</x:v>
      </x:c>
      <x:c r="E210" s="3" t="str">
        <x:v>tCO2e</x:v>
      </x:c>
      <x:c r="F210" s="3" t="str">
        <x:v>Responsabil mediu / operațiuni</x:v>
      </x:c>
      <x:c r="G210" s="3" t="str">
        <x:v>Contoare + facturi + producție + factori documentați</x:v>
      </x:c>
      <x:c r="H210" s="3" t="str">
        <x:v>Zilnic / lunar</x:v>
      </x:c>
      <x:c r="I210" s="3" t="str">
        <x:v>Locație, proces, produs, sursă energie</x:v>
      </x:c>
      <x:c r="J210" s="3" t="str">
        <x:v>P1</x:v>
      </x:c>
    </x:row>
    <x:row r="211" ht="34.5" customHeight="1">
      <x:c r="A211" s="7" t="str">
        <x:v>ESG-07</x:v>
      </x:c>
      <x:c r="B211" s="7" t="str">
        <x:v>21 Energie, resurse și sustenabilitate</x:v>
      </x:c>
      <x:c r="C211" s="7" t="str">
        <x:v>Emisii Scope 2</x:v>
      </x:c>
      <x:c r="D211" s="7" t="str">
        <x:v>Consum energie achiziționată × factori documentați, metode separate</x:v>
      </x:c>
      <x:c r="E211" s="7" t="str">
        <x:v>tCO2e</x:v>
      </x:c>
      <x:c r="F211" s="7" t="str">
        <x:v>Responsabil mediu / operațiuni</x:v>
      </x:c>
      <x:c r="G211" s="7" t="str">
        <x:v>Contoare + facturi + producție + factori documentați</x:v>
      </x:c>
      <x:c r="H211" s="7" t="str">
        <x:v>Zilnic / lunar</x:v>
      </x:c>
      <x:c r="I211" s="7" t="str">
        <x:v>Locație, proces, produs, sursă energie</x:v>
      </x:c>
      <x:c r="J211" s="7" t="str">
        <x:v>P1</x:v>
      </x:c>
    </x:row>
    <x:row r="212" ht="34.5" customHeight="1">
      <x:c r="A212" s="3" t="str">
        <x:v>ESG-08</x:v>
      </x:c>
      <x:c r="B212" s="3" t="str">
        <x:v>21 Energie, resurse și sustenabilitate</x:v>
      </x:c>
      <x:c r="C212" s="3" t="str">
        <x:v>Acoperire date Scope 3</x:v>
      </x:c>
      <x:c r="D212" s="3" t="str">
        <x:v>Categorii relevante cu date utilizabile / categorii relevante</x:v>
      </x:c>
      <x:c r="E212" s="3" t="str">
        <x:v>%</x:v>
      </x:c>
      <x:c r="F212" s="3" t="str">
        <x:v>Responsabil mediu / operațiuni</x:v>
      </x:c>
      <x:c r="G212" s="3" t="str">
        <x:v>Contoare + facturi + producție + factori documentați</x:v>
      </x:c>
      <x:c r="H212" s="3" t="str">
        <x:v>Zilnic / lunar</x:v>
      </x:c>
      <x:c r="I212" s="3" t="str">
        <x:v>Locație, proces, produs, sursă energie</x:v>
      </x:c>
      <x:c r="J212" s="3" t="str">
        <x:v>P1</x:v>
      </x:c>
    </x:row>
    <x:row r="213" ht="34.5" customHeight="1">
      <x:c r="A213" s="7" t="str">
        <x:v>ESG-09</x:v>
      </x:c>
      <x:c r="B213" s="7" t="str">
        <x:v>21 Energie, resurse și sustenabilitate</x:v>
      </x:c>
      <x:c r="C213" s="7" t="str">
        <x:v>Pondere energie regenerabilă</x:v>
      </x:c>
      <x:c r="D213" s="7" t="str">
        <x:v>Consum cu origine regenerabilă documentată / consum total</x:v>
      </x:c>
      <x:c r="E213" s="7" t="str">
        <x:v>%</x:v>
      </x:c>
      <x:c r="F213" s="7" t="str">
        <x:v>Responsabil mediu / operațiuni</x:v>
      </x:c>
      <x:c r="G213" s="7" t="str">
        <x:v>Contoare + facturi + producție + factori documentați</x:v>
      </x:c>
      <x:c r="H213" s="7" t="str">
        <x:v>Zilnic / lunar</x:v>
      </x:c>
      <x:c r="I213" s="7" t="str">
        <x:v>Locație, proces, produs, sursă energie</x:v>
      </x:c>
      <x:c r="J213" s="7" t="str">
        <x:v>P1</x:v>
      </x:c>
    </x:row>
    <x:row r="214" ht="34.5" customHeight="1">
      <x:c r="A214" s="3" t="str">
        <x:v>ESG-10</x:v>
      </x:c>
      <x:c r="B214" s="3" t="str">
        <x:v>21 Energie, resurse și sustenabilitate</x:v>
      </x:c>
      <x:c r="C214" s="3" t="str">
        <x:v>Incidente de mediu</x:v>
      </x:c>
      <x:c r="D214" s="3" t="str">
        <x:v>Evenimente confirmate, pe severitate și durată de remediere</x:v>
      </x:c>
      <x:c r="E214" s="3" t="str">
        <x:v>nr.</x:v>
      </x:c>
      <x:c r="F214" s="3" t="str">
        <x:v>Responsabil mediu / operațiuni</x:v>
      </x:c>
      <x:c r="G214" s="3" t="str">
        <x:v>Contoare + facturi + producție + factori documentați</x:v>
      </x:c>
      <x:c r="H214" s="3" t="str">
        <x:v>Zilnic / lunar</x:v>
      </x:c>
      <x:c r="I214" s="3" t="str">
        <x:v>Locație, proces, produs, sursă energie</x:v>
      </x:c>
      <x:c r="J214" s="3" t="str">
        <x:v>P1</x:v>
      </x:c>
    </x:row>
    <x:row r="215" ht="34.5" customHeight="1">
      <x:c r="A215" s="7" t="str">
        <x:v>DATA-01</x:v>
      </x:c>
      <x:c r="B215" s="7" t="str">
        <x:v>22 IT, date, AI și automatizări</x:v>
      </x:c>
      <x:c r="C215" s="7" t="str">
        <x:v>Prospețime date</x:v>
      </x:c>
      <x:c r="D215" s="7" t="str">
        <x:v>Ora curentă minus ultimul eveniment sursă inclus cu succes</x:v>
      </x:c>
      <x:c r="E215" s="7" t="str">
        <x:v>minute</x:v>
      </x:c>
      <x:c r="F215" s="7" t="str">
        <x:v>CIO / responsabil date</x:v>
      </x:c>
      <x:c r="G215" s="7" t="str">
        <x:v>Jurnale platformă + catalog date + rezultate verificate</x:v>
      </x:c>
      <x:c r="H215" s="7" t="str">
        <x:v>Intrazilnic / săptămânal</x:v>
      </x:c>
      <x:c r="I215" s="7" t="str">
        <x:v>Sursă, model, raport, regulă, utilizator</x:v>
      </x:c>
      <x:c r="J215" s="7" t="str">
        <x:v>P0</x:v>
      </x:c>
    </x:row>
    <x:row r="216" ht="34.5" customHeight="1">
      <x:c r="A216" s="3" t="str">
        <x:v>DATA-02</x:v>
      </x:c>
      <x:c r="B216" s="3" t="str">
        <x:v>22 IT, date, AI și automatizări</x:v>
      </x:c>
      <x:c r="C216" s="3" t="str">
        <x:v>Reconciliere financiară BI–ERP</x:v>
      </x:c>
      <x:c r="D216" s="3" t="str">
        <x:v>Diferență agregate BI și control ERP, pe aceeași populație și dată</x:v>
      </x:c>
      <x:c r="E216" s="3" t="str">
        <x:v>lei</x:v>
      </x:c>
      <x:c r="F216" s="3" t="str">
        <x:v>CIO / responsabil date</x:v>
      </x:c>
      <x:c r="G216" s="3" t="str">
        <x:v>Jurnale platformă + catalog date + rezultate verificate</x:v>
      </x:c>
      <x:c r="H216" s="3" t="str">
        <x:v>Intrazilnic / săptămânal</x:v>
      </x:c>
      <x:c r="I216" s="3" t="str">
        <x:v>Sursă, model, raport, regulă, utilizator</x:v>
      </x:c>
      <x:c r="J216" s="3" t="str">
        <x:v>P0</x:v>
      </x:c>
    </x:row>
    <x:row r="217" ht="34.5" customHeight="1">
      <x:c r="A217" s="7" t="str">
        <x:v>DATA-03</x:v>
      </x:c>
      <x:c r="B217" s="7" t="str">
        <x:v>22 IT, date, AI și automatizări</x:v>
      </x:c>
      <x:c r="C217" s="7" t="str">
        <x:v>Calitate date</x:v>
      </x:c>
      <x:c r="D217" s="7" t="str">
        <x:v>Înregistrări conforme regulilor obligatorii / înregistrări testate</x:v>
      </x:c>
      <x:c r="E217" s="7" t="str">
        <x:v>%</x:v>
      </x:c>
      <x:c r="F217" s="7" t="str">
        <x:v>CIO / responsabil date</x:v>
      </x:c>
      <x:c r="G217" s="7" t="str">
        <x:v>Jurnale platformă + catalog date + rezultate verificate</x:v>
      </x:c>
      <x:c r="H217" s="7" t="str">
        <x:v>Intrazilnic / săptămânal</x:v>
      </x:c>
      <x:c r="I217" s="7" t="str">
        <x:v>Sursă, model, raport, regulă, utilizator</x:v>
      </x:c>
      <x:c r="J217" s="7" t="str">
        <x:v>P1</x:v>
      </x:c>
    </x:row>
    <x:row r="218" ht="34.5" customHeight="1">
      <x:c r="A218" s="3" t="str">
        <x:v>DATA-04</x:v>
      </x:c>
      <x:c r="B218" s="3" t="str">
        <x:v>22 IT, date, AI și automatizări</x:v>
      </x:c>
      <x:c r="C218" s="3" t="str">
        <x:v>Disponibilitate BI</x:v>
      </x:c>
      <x:c r="D218" s="3" t="str">
        <x:v>Minute serviciu disponibil / minute din intervalul SLA</x:v>
      </x:c>
      <x:c r="E218" s="3" t="str">
        <x:v>%</x:v>
      </x:c>
      <x:c r="F218" s="3" t="str">
        <x:v>CIO / responsabil date</x:v>
      </x:c>
      <x:c r="G218" s="3" t="str">
        <x:v>Jurnale platformă + catalog date + rezultate verificate</x:v>
      </x:c>
      <x:c r="H218" s="3" t="str">
        <x:v>Intrazilnic / săptămânal</x:v>
      </x:c>
      <x:c r="I218" s="3" t="str">
        <x:v>Sursă, model, raport, regulă, utilizator</x:v>
      </x:c>
      <x:c r="J218" s="3" t="str">
        <x:v>P1</x:v>
      </x:c>
    </x:row>
    <x:row r="219" ht="34.5" customHeight="1">
      <x:c r="A219" s="7" t="str">
        <x:v>DATA-05</x:v>
      </x:c>
      <x:c r="B219" s="7" t="str">
        <x:v>22 IT, date, AI și automatizări</x:v>
      </x:c>
      <x:c r="C219" s="7" t="str">
        <x:v>Latență panou p95</x:v>
      </x:c>
      <x:c r="D219" s="7" t="str">
        <x:v>Percentila 95 a timpului de răspuns, pe volum și concurență definite</x:v>
      </x:c>
      <x:c r="E219" s="7" t="str">
        <x:v>secunde</x:v>
      </x:c>
      <x:c r="F219" s="7" t="str">
        <x:v>CIO / responsabil date</x:v>
      </x:c>
      <x:c r="G219" s="7" t="str">
        <x:v>Jurnale platformă + catalog date + rezultate verificate</x:v>
      </x:c>
      <x:c r="H219" s="7" t="str">
        <x:v>Intrazilnic / săptămânal</x:v>
      </x:c>
      <x:c r="I219" s="7" t="str">
        <x:v>Sursă, model, raport, regulă, utilizator</x:v>
      </x:c>
      <x:c r="J219" s="7" t="str">
        <x:v>P1</x:v>
      </x:c>
    </x:row>
    <x:row r="220" ht="34.5" customHeight="1">
      <x:c r="A220" s="3" t="str">
        <x:v>DATA-06</x:v>
      </x:c>
      <x:c r="B220" s="3" t="str">
        <x:v>22 IT, date, AI și automatizări</x:v>
      </x:c>
      <x:c r="C220" s="3" t="str">
        <x:v>Adopție activă</x:v>
      </x:c>
      <x:c r="D220" s="3" t="str">
        <x:v>Utilizatori activi relevanți / utilizatori țintă, pe perioadă</x:v>
      </x:c>
      <x:c r="E220" s="3" t="str">
        <x:v>%</x:v>
      </x:c>
      <x:c r="F220" s="3" t="str">
        <x:v>CIO / responsabil date</x:v>
      </x:c>
      <x:c r="G220" s="3" t="str">
        <x:v>Jurnale platformă + catalog date + rezultate verificate</x:v>
      </x:c>
      <x:c r="H220" s="3" t="str">
        <x:v>Intrazilnic / săptămânal</x:v>
      </x:c>
      <x:c r="I220" s="3" t="str">
        <x:v>Sursă, model, raport, regulă, utilizator</x:v>
      </x:c>
      <x:c r="J220" s="3" t="str">
        <x:v>P1</x:v>
      </x:c>
    </x:row>
    <x:row r="221" ht="34.5" customHeight="1">
      <x:c r="A221" s="7" t="str">
        <x:v>DATA-07</x:v>
      </x:c>
      <x:c r="B221" s="7" t="str">
        <x:v>22 IT, date, AI și automatizări</x:v>
      </x:c>
      <x:c r="C221" s="7" t="str">
        <x:v>Acuratețe răspuns AI</x:v>
      </x:c>
      <x:c r="D221" s="7" t="str">
        <x:v>Întrebări din setul etalon rezolvate corect / întrebări testate</x:v>
      </x:c>
      <x:c r="E221" s="7" t="str">
        <x:v>%</x:v>
      </x:c>
      <x:c r="F221" s="7" t="str">
        <x:v>CIO / responsabil date</x:v>
      </x:c>
      <x:c r="G221" s="7" t="str">
        <x:v>Jurnale platformă + catalog date + rezultate verificate</x:v>
      </x:c>
      <x:c r="H221" s="7" t="str">
        <x:v>Intrazilnic / săptămânal</x:v>
      </x:c>
      <x:c r="I221" s="7" t="str">
        <x:v>Sursă, model, raport, regulă, utilizator</x:v>
      </x:c>
      <x:c r="J221" s="7" t="str">
        <x:v>P1</x:v>
      </x:c>
    </x:row>
    <x:row r="222" ht="34.5" customHeight="1">
      <x:c r="A222" s="3" t="str">
        <x:v>DATA-08</x:v>
      </x:c>
      <x:c r="B222" s="3" t="str">
        <x:v>22 IT, date, AI și automatizări</x:v>
      </x:c>
      <x:c r="C222" s="3" t="str">
        <x:v>Rată abținere AI corectă</x:v>
      </x:c>
      <x:c r="D222" s="3" t="str">
        <x:v>Întrebări imposibil de răspuns corect refuzate / întrebări neacoperite</x:v>
      </x:c>
      <x:c r="E222" s="3" t="str">
        <x:v>%</x:v>
      </x:c>
      <x:c r="F222" s="3" t="str">
        <x:v>CIO / responsabil date</x:v>
      </x:c>
      <x:c r="G222" s="3" t="str">
        <x:v>Jurnale platformă + catalog date + rezultate verificate</x:v>
      </x:c>
      <x:c r="H222" s="3" t="str">
        <x:v>Intrazilnic / săptămânal</x:v>
      </x:c>
      <x:c r="I222" s="3" t="str">
        <x:v>Sursă, model, raport, regulă, utilizator</x:v>
      </x:c>
      <x:c r="J222" s="3" t="str">
        <x:v>P1</x:v>
      </x:c>
    </x:row>
    <x:row r="223" ht="34.5" customHeight="1">
      <x:c r="A223" s="7" t="str">
        <x:v>DATA-09</x:v>
      </x:c>
      <x:c r="B223" s="7" t="str">
        <x:v>22 IT, date, AI și automatizări</x:v>
      </x:c>
      <x:c r="C223" s="7" t="str">
        <x:v>Automatizări reușite</x:v>
      </x:c>
      <x:c r="D223" s="7" t="str">
        <x:v>Execuții finalizate cu rezultat verificat / execuții eligibile</x:v>
      </x:c>
      <x:c r="E223" s="7" t="str">
        <x:v>%</x:v>
      </x:c>
      <x:c r="F223" s="7" t="str">
        <x:v>CIO / responsabil date</x:v>
      </x:c>
      <x:c r="G223" s="7" t="str">
        <x:v>Jurnale platformă + catalog date + rezultate verificate</x:v>
      </x:c>
      <x:c r="H223" s="7" t="str">
        <x:v>Intrazilnic / săptămânal</x:v>
      </x:c>
      <x:c r="I223" s="7" t="str">
        <x:v>Sursă, model, raport, regulă, utilizator</x:v>
      </x:c>
      <x:c r="J223" s="7" t="str">
        <x:v>P1</x:v>
      </x:c>
    </x:row>
    <x:row r="224" ht="34.5" customHeight="1">
      <x:c r="A224" s="3" t="str">
        <x:v>DATA-10</x:v>
      </x:c>
      <x:c r="B224" s="3" t="str">
        <x:v>22 IT, date, AI și automatizări</x:v>
      </x:c>
      <x:c r="C224" s="3" t="str">
        <x:v>Beneficiu net automatizări</x:v>
      </x:c>
      <x:c r="D224" s="3" t="str">
        <x:v>Valoarea timpului și erorilor evitate − costuri operare și control</x:v>
      </x:c>
      <x:c r="E224" s="3" t="str">
        <x:v>lei</x:v>
      </x:c>
      <x:c r="F224" s="3" t="str">
        <x:v>CIO / responsabil date</x:v>
      </x:c>
      <x:c r="G224" s="3" t="str">
        <x:v>Jurnale platformă + catalog date + rezultate verificate</x:v>
      </x:c>
      <x:c r="H224" s="3" t="str">
        <x:v>Intrazilnic / săptămânal</x:v>
      </x:c>
      <x:c r="I224" s="3" t="str">
        <x:v>Sursă, model, raport, regulă, utilizator</x:v>
      </x:c>
      <x:c r="J224" s="3" t="str">
        <x:v>P1</x:v>
      </x:c>
    </x:row>
    <x:row r="225" ht="34.5" customHeight="1">
      <x:c r="A225" s="7" t="str">
        <x:v>CAP-01</x:v>
      </x:c>
      <x:c r="B225" s="7" t="str">
        <x:v>23 Bilanț, capital și îndatorare</x:v>
      </x:c>
      <x:c r="C225" s="7" t="str">
        <x:v>Active și capitaluri proprii</x:v>
      </x:c>
      <x:c r="D225" s="7" t="str">
        <x:v>Solduri de active, datorii și capitaluri proprii; control active = datorii + capitaluri proprii</x:v>
      </x:c>
      <x:c r="E225" s="7" t="str">
        <x:v>lei</x:v>
      </x:c>
      <x:c r="F225" s="7" t="str">
        <x:v>CFO / trezorerie</x:v>
      </x:c>
      <x:c r="G225" s="7" t="str">
        <x:v>Bilanț + carte mare + credite + contracte</x:v>
      </x:c>
      <x:c r="H225" s="7" t="str">
        <x:v>Lunar</x:v>
      </x:c>
      <x:c r="I225" s="7" t="str">
        <x:v>Firmă, grup, valută, finanțator</x:v>
      </x:c>
      <x:c r="J225" s="7" t="str">
        <x:v>P0</x:v>
      </x:c>
    </x:row>
    <x:row r="226" ht="34.5" customHeight="1">
      <x:c r="A226" s="3" t="str">
        <x:v>CAP-02</x:v>
      </x:c>
      <x:c r="B226" s="3" t="str">
        <x:v>23 Bilanț, capital și îndatorare</x:v>
      </x:c>
      <x:c r="C226" s="3" t="str">
        <x:v>Capital de lucru operațional net</x:v>
      </x:c>
      <x:c r="D226" s="3" t="str">
        <x:v>Stocuri + creanțe operaționale − datorii operaționale, cu perimetru aprobat</x:v>
      </x:c>
      <x:c r="E226" s="3" t="str">
        <x:v>lei</x:v>
      </x:c>
      <x:c r="F226" s="3" t="str">
        <x:v>CFO / trezorerie</x:v>
      </x:c>
      <x:c r="G226" s="3" t="str">
        <x:v>Bilanț + carte mare + credite + contracte</x:v>
      </x:c>
      <x:c r="H226" s="3" t="str">
        <x:v>Lunar</x:v>
      </x:c>
      <x:c r="I226" s="3" t="str">
        <x:v>Firmă, grup, valută, finanțator</x:v>
      </x:c>
      <x:c r="J226" s="3" t="str">
        <x:v>P0</x:v>
      </x:c>
    </x:row>
    <x:row r="227" ht="34.5" customHeight="1">
      <x:c r="A227" s="7" t="str">
        <x:v>CAP-03</x:v>
      </x:c>
      <x:c r="B227" s="7" t="str">
        <x:v>23 Bilanț, capital și îndatorare</x:v>
      </x:c>
      <x:c r="C227" s="7" t="str">
        <x:v>Ciclul de conversie a numerarului</x:v>
      </x:c>
      <x:c r="D227" s="7" t="str">
        <x:v>DIO + DSO − DPO; baze și perioade comparabile</x:v>
      </x:c>
      <x:c r="E227" s="7" t="str">
        <x:v>zile</x:v>
      </x:c>
      <x:c r="F227" s="7" t="str">
        <x:v>CFO / trezorerie</x:v>
      </x:c>
      <x:c r="G227" s="7" t="str">
        <x:v>Bilanț + carte mare + credite + contracte</x:v>
      </x:c>
      <x:c r="H227" s="7" t="str">
        <x:v>Lunar</x:v>
      </x:c>
      <x:c r="I227" s="7" t="str">
        <x:v>Firmă, grup, valută, finanțator</x:v>
      </x:c>
      <x:c r="J227" s="7" t="str">
        <x:v>P0</x:v>
      </x:c>
    </x:row>
    <x:row r="228" ht="34.5" customHeight="1">
      <x:c r="A228" s="3" t="str">
        <x:v>CAP-04</x:v>
      </x:c>
      <x:c r="B228" s="3" t="str">
        <x:v>23 Bilanț, capital și îndatorare</x:v>
      </x:c>
      <x:c r="C228" s="3" t="str">
        <x:v>Datorie financiară brută</x:v>
      </x:c>
      <x:c r="D228" s="3" t="str">
        <x:v>Împrumuturi și alte datorii financiare incluse în politica aprobată; leasing separat</x:v>
      </x:c>
      <x:c r="E228" s="3" t="str">
        <x:v>lei</x:v>
      </x:c>
      <x:c r="F228" s="3" t="str">
        <x:v>CFO / trezorerie</x:v>
      </x:c>
      <x:c r="G228" s="3" t="str">
        <x:v>Bilanț + carte mare + credite + contracte</x:v>
      </x:c>
      <x:c r="H228" s="3" t="str">
        <x:v>Lunar</x:v>
      </x:c>
      <x:c r="I228" s="3" t="str">
        <x:v>Firmă, grup, valută, finanțator</x:v>
      </x:c>
      <x:c r="J228" s="3" t="str">
        <x:v>P0</x:v>
      </x:c>
    </x:row>
    <x:row r="229" ht="34.5" customHeight="1">
      <x:c r="A229" s="7" t="str">
        <x:v>CAP-05</x:v>
      </x:c>
      <x:c r="B229" s="7" t="str">
        <x:v>23 Bilanț, capital și îndatorare</x:v>
      </x:c>
      <x:c r="C229" s="7" t="str">
        <x:v>Datorie financiară netă</x:v>
      </x:c>
      <x:c r="D229" s="7" t="str">
        <x:v>Datorie financiară brută − numerar și echivalente eligibile</x:v>
      </x:c>
      <x:c r="E229" s="7" t="str">
        <x:v>lei</x:v>
      </x:c>
      <x:c r="F229" s="7" t="str">
        <x:v>CFO / trezorerie</x:v>
      </x:c>
      <x:c r="G229" s="7" t="str">
        <x:v>Bilanț + carte mare + credite + contracte</x:v>
      </x:c>
      <x:c r="H229" s="7" t="str">
        <x:v>Lunar</x:v>
      </x:c>
      <x:c r="I229" s="7" t="str">
        <x:v>Firmă, grup, valută, finanțator</x:v>
      </x:c>
      <x:c r="J229" s="7" t="str">
        <x:v>P0</x:v>
      </x:c>
    </x:row>
    <x:row r="230" ht="34.5" customHeight="1">
      <x:c r="A230" s="3" t="str">
        <x:v>CAP-06</x:v>
      </x:c>
      <x:c r="B230" s="3" t="str">
        <x:v>23 Bilanț, capital și îndatorare</x:v>
      </x:c>
      <x:c r="C230" s="3" t="str">
        <x:v>Datorie netă / EBITDA</x:v>
      </x:c>
      <x:c r="D230" s="3" t="str">
        <x:v>Datorie financiară netă / EBITDA comparabil pe 12 luni; neaplicabil dacă EBITDA ≤ 0</x:v>
      </x:c>
      <x:c r="E230" s="3" t="str">
        <x:v>x</x:v>
      </x:c>
      <x:c r="F230" s="3" t="str">
        <x:v>CFO / trezorerie</x:v>
      </x:c>
      <x:c r="G230" s="3" t="str">
        <x:v>Bilanț + carte mare + credite + contracte</x:v>
      </x:c>
      <x:c r="H230" s="3" t="str">
        <x:v>Lunar</x:v>
      </x:c>
      <x:c r="I230" s="3" t="str">
        <x:v>Firmă, grup, valută, finanțator</x:v>
      </x:c>
      <x:c r="J230" s="3" t="str">
        <x:v>P1</x:v>
      </x:c>
    </x:row>
    <x:row r="231" ht="34.5" customHeight="1">
      <x:c r="A231" s="7" t="str">
        <x:v>CAP-07</x:v>
      </x:c>
      <x:c r="B231" s="7" t="str">
        <x:v>23 Bilanț, capital și îndatorare</x:v>
      </x:c>
      <x:c r="C231" s="7" t="str">
        <x:v>Acoperire dobânzi</x:v>
      </x:c>
      <x:c r="D231" s="7" t="str">
        <x:v>EBIT / cheltuială cu dobânzile, pe aceeași perioadă și perimetru</x:v>
      </x:c>
      <x:c r="E231" s="7" t="str">
        <x:v>x</x:v>
      </x:c>
      <x:c r="F231" s="7" t="str">
        <x:v>CFO / trezorerie</x:v>
      </x:c>
      <x:c r="G231" s="7" t="str">
        <x:v>Bilanț + carte mare + credite + contracte</x:v>
      </x:c>
      <x:c r="H231" s="7" t="str">
        <x:v>Lunar</x:v>
      </x:c>
      <x:c r="I231" s="7" t="str">
        <x:v>Firmă, grup, valută, finanțator</x:v>
      </x:c>
      <x:c r="J231" s="7" t="str">
        <x:v>P1</x:v>
      </x:c>
    </x:row>
    <x:row r="232" ht="34.5" customHeight="1">
      <x:c r="A232" s="3" t="str">
        <x:v>CAP-08</x:v>
      </x:c>
      <x:c r="B232" s="3" t="str">
        <x:v>23 Bilanț, capital și îndatorare</x:v>
      </x:c>
      <x:c r="C232" s="3" t="str">
        <x:v>DSCR</x:v>
      </x:c>
      <x:c r="D232" s="3" t="str">
        <x:v>Numerar disponibil serviciului datoriei / principal și dobândă scadente; metodologie din contract</x:v>
      </x:c>
      <x:c r="E232" s="3" t="str">
        <x:v>x</x:v>
      </x:c>
      <x:c r="F232" s="3" t="str">
        <x:v>CFO / trezorerie</x:v>
      </x:c>
      <x:c r="G232" s="3" t="str">
        <x:v>Bilanț + carte mare + credite + contracte</x:v>
      </x:c>
      <x:c r="H232" s="3" t="str">
        <x:v>Lunar</x:v>
      </x:c>
      <x:c r="I232" s="3" t="str">
        <x:v>Firmă, grup, valută, finanțator</x:v>
      </x:c>
      <x:c r="J232" s="3" t="str">
        <x:v>P0</x:v>
      </x:c>
    </x:row>
    <x:row r="233" ht="34.5" customHeight="1">
      <x:c r="A233" s="7" t="str">
        <x:v>CAP-09</x:v>
      </x:c>
      <x:c r="B233" s="7" t="str">
        <x:v>23 Bilanț, capital și îndatorare</x:v>
      </x:c>
      <x:c r="C233" s="7" t="str">
        <x:v>ROIC</x:v>
      </x:c>
      <x:c r="D233" s="7" t="str">
        <x:v>NOPAT / capital investit mediu; NOPAT și capitalul se definesc consecvent</x:v>
      </x:c>
      <x:c r="E233" s="7" t="str">
        <x:v>%</x:v>
      </x:c>
      <x:c r="F233" s="7" t="str">
        <x:v>CFO / trezorerie</x:v>
      </x:c>
      <x:c r="G233" s="7" t="str">
        <x:v>Bilanț + carte mare + credite + contracte</x:v>
      </x:c>
      <x:c r="H233" s="7" t="str">
        <x:v>Lunar</x:v>
      </x:c>
      <x:c r="I233" s="7" t="str">
        <x:v>Firmă, grup, valută, finanțator</x:v>
      </x:c>
      <x:c r="J233" s="7" t="str">
        <x:v>P1</x:v>
      </x:c>
    </x:row>
    <x:row r="234" ht="34.5" customHeight="1">
      <x:c r="A234" s="3" t="str">
        <x:v>CAP-10</x:v>
      </x:c>
      <x:c r="B234" s="3" t="str">
        <x:v>23 Bilanț, capital și îndatorare</x:v>
      </x:c>
      <x:c r="C234" s="3" t="str">
        <x:v>ROE</x:v>
      </x:c>
      <x:c r="D234" s="3" t="str">
        <x:v>Profit net atribuibil / capitaluri proprii medii atribuibile; interpretare separată la capital negativ</x:v>
      </x:c>
      <x:c r="E234" s="3" t="str">
        <x:v>%</x:v>
      </x:c>
      <x:c r="F234" s="3" t="str">
        <x:v>CFO / trezorerie</x:v>
      </x:c>
      <x:c r="G234" s="3" t="str">
        <x:v>Bilanț + carte mare + credite + contracte</x:v>
      </x:c>
      <x:c r="H234" s="3" t="str">
        <x:v>Lunar</x:v>
      </x:c>
      <x:c r="I234" s="3" t="str">
        <x:v>Firmă, grup, valută, finanțator</x:v>
      </x:c>
      <x:c r="J234" s="3" t="str">
        <x:v>P1</x:v>
      </x:c>
    </x:row>
    <x:row r="235" ht="34.5" customHeight="1">
      <x:c r="A235" s="7" t="str">
        <x:v>DEV-01</x:v>
      </x:c>
      <x:c r="B235" s="7" t="str">
        <x:v>24 Investiții, dezvoltare și portofoliu</x:v>
      </x:c>
      <x:c r="C235" s="7" t="str">
        <x:v>CAPEX realizat</x:v>
      </x:c>
      <x:c r="D235" s="7" t="str">
        <x:v>Investiții recunoscute în perioada analizată; plățile se urmăresc separat</x:v>
      </x:c>
      <x:c r="E235" s="7" t="str">
        <x:v>lei</x:v>
      </x:c>
      <x:c r="F235" s="7" t="str">
        <x:v>CEO / CFO / director investiții</x:v>
      </x:c>
      <x:c r="G235" s="7" t="str">
        <x:v>Proiecte + bugete + contracte + active + vânzări</x:v>
      </x:c>
      <x:c r="H235" s="7" t="str">
        <x:v>Lunar / pe etapă</x:v>
      </x:c>
      <x:c r="I235" s="7" t="str">
        <x:v>Proiect, activ, produs, scenariu</x:v>
      </x:c>
      <x:c r="J235" s="7" t="str">
        <x:v>P0</x:v>
      </x:c>
    </x:row>
    <x:row r="236" ht="34.5" customHeight="1">
      <x:c r="A236" s="3" t="str">
        <x:v>DEV-02</x:v>
      </x:c>
      <x:c r="B236" s="3" t="str">
        <x:v>24 Investiții, dezvoltare și portofoliu</x:v>
      </x:c>
      <x:c r="C236" s="3" t="str">
        <x:v>CAPEX față de buget</x:v>
      </x:c>
      <x:c r="D236" s="3" t="str">
        <x:v>CAPEX realizat plus angajamente rămase versus buget aprobat, fără dublare</x:v>
      </x:c>
      <x:c r="E236" s="3" t="str">
        <x:v>lei și %</x:v>
      </x:c>
      <x:c r="F236" s="3" t="str">
        <x:v>CEO / CFO / director investiții</x:v>
      </x:c>
      <x:c r="G236" s="3" t="str">
        <x:v>Proiecte + bugete + contracte + active + vânzări</x:v>
      </x:c>
      <x:c r="H236" s="3" t="str">
        <x:v>Lunar / pe etapă</x:v>
      </x:c>
      <x:c r="I236" s="3" t="str">
        <x:v>Proiect, activ, produs, scenariu</x:v>
      </x:c>
      <x:c r="J236" s="3" t="str">
        <x:v>P0</x:v>
      </x:c>
    </x:row>
    <x:row r="237" ht="34.5" customHeight="1">
      <x:c r="A237" s="7" t="str">
        <x:v>DEV-03</x:v>
      </x:c>
      <x:c r="B237" s="7" t="str">
        <x:v>24 Investiții, dezvoltare și portofoliu</x:v>
      </x:c>
      <x:c r="C237" s="7" t="str">
        <x:v>Valoare actualizată netă a investiției</x:v>
      </x:c>
      <x:c r="D237" s="7" t="str">
        <x:v>Suma fluxurilor incrementale actualizate, inclusiv investiția inițială; rată și scenariu explicite</x:v>
      </x:c>
      <x:c r="E237" s="7" t="str">
        <x:v>lei</x:v>
      </x:c>
      <x:c r="F237" s="7" t="str">
        <x:v>CEO / CFO / director investiții</x:v>
      </x:c>
      <x:c r="G237" s="7" t="str">
        <x:v>Proiecte + bugete + contracte + active + vânzări</x:v>
      </x:c>
      <x:c r="H237" s="7" t="str">
        <x:v>Lunar / pe etapă</x:v>
      </x:c>
      <x:c r="I237" s="7" t="str">
        <x:v>Proiect, activ, produs, scenariu</x:v>
      </x:c>
      <x:c r="J237" s="7" t="str">
        <x:v>P1</x:v>
      </x:c>
    </x:row>
    <x:row r="238" ht="34.5" customHeight="1">
      <x:c r="A238" s="3" t="str">
        <x:v>DEV-04</x:v>
      </x:c>
      <x:c r="B238" s="3" t="str">
        <x:v>24 Investiții, dezvoltare și portofoliu</x:v>
      </x:c>
      <x:c r="C238" s="3" t="str">
        <x:v>Rata internă de rentabilitate</x:v>
      </x:c>
      <x:c r="D238" s="3" t="str">
        <x:v>Rata care anulează VAN; poate lipsi ori avea soluții multiple la fluxuri neconvenționale</x:v>
      </x:c>
      <x:c r="E238" s="3" t="str">
        <x:v>%</x:v>
      </x:c>
      <x:c r="F238" s="3" t="str">
        <x:v>CEO / CFO / director investiții</x:v>
      </x:c>
      <x:c r="G238" s="3" t="str">
        <x:v>Proiecte + bugete + contracte + active + vânzări</x:v>
      </x:c>
      <x:c r="H238" s="3" t="str">
        <x:v>Lunar / pe etapă</x:v>
      </x:c>
      <x:c r="I238" s="3" t="str">
        <x:v>Proiect, activ, produs, scenariu</x:v>
      </x:c>
      <x:c r="J238" s="3" t="str">
        <x:v>P1</x:v>
      </x:c>
    </x:row>
    <x:row r="239" ht="34.5" customHeight="1">
      <x:c r="A239" s="7" t="str">
        <x:v>DEV-05</x:v>
      </x:c>
      <x:c r="B239" s="7" t="str">
        <x:v>24 Investiții, dezvoltare și portofoliu</x:v>
      </x:c>
      <x:c r="C239" s="7" t="str">
        <x:v>Perioadă de recuperare</x:v>
      </x:c>
      <x:c r="D239" s="7" t="str">
        <x:v>Timp până când fluxurile cumulative acoperă investiția; indicați dacă sunt actualizate</x:v>
      </x:c>
      <x:c r="E239" s="7" t="str">
        <x:v>luni / ani</x:v>
      </x:c>
      <x:c r="F239" s="7" t="str">
        <x:v>CEO / CFO / director investiții</x:v>
      </x:c>
      <x:c r="G239" s="7" t="str">
        <x:v>Proiecte + bugete + contracte + active + vânzări</x:v>
      </x:c>
      <x:c r="H239" s="7" t="str">
        <x:v>Lunar / pe etapă</x:v>
      </x:c>
      <x:c r="I239" s="7" t="str">
        <x:v>Proiect, activ, produs, scenariu</x:v>
      </x:c>
      <x:c r="J239" s="7" t="str">
        <x:v>P1</x:v>
      </x:c>
    </x:row>
    <x:row r="240" ht="34.5" customHeight="1">
      <x:c r="A240" s="3" t="str">
        <x:v>DEV-06</x:v>
      </x:c>
      <x:c r="B240" s="3" t="str">
        <x:v>24 Investiții, dezvoltare și portofoliu</x:v>
      </x:c>
      <x:c r="C240" s="3" t="str">
        <x:v>Beneficii realizate post-investiție</x:v>
      </x:c>
      <x:c r="D240" s="3" t="str">
        <x:v>Beneficii validate după punerea în funcțiune / beneficii aprobate pentru aceeași perioadă</x:v>
      </x:c>
      <x:c r="E240" s="3" t="str">
        <x:v>%</x:v>
      </x:c>
      <x:c r="F240" s="3" t="str">
        <x:v>CEO / CFO / director investiții</x:v>
      </x:c>
      <x:c r="G240" s="3" t="str">
        <x:v>Proiecte + bugete + contracte + active + vânzări</x:v>
      </x:c>
      <x:c r="H240" s="3" t="str">
        <x:v>Lunar / pe etapă</x:v>
      </x:c>
      <x:c r="I240" s="3" t="str">
        <x:v>Proiect, activ, produs, scenariu</x:v>
      </x:c>
      <x:c r="J240" s="3" t="str">
        <x:v>P1</x:v>
      </x:c>
    </x:row>
    <x:row r="241" ht="34.5" customHeight="1">
      <x:c r="A241" s="7" t="str">
        <x:v>DEV-07</x:v>
      </x:c>
      <x:c r="B241" s="7" t="str">
        <x:v>24 Investiții, dezvoltare și portofoliu</x:v>
      </x:c>
      <x:c r="C241" s="7" t="str">
        <x:v>Întârziere punere în funcțiune</x:v>
      </x:c>
      <x:c r="D241" s="7" t="str">
        <x:v>Data efectivă sau estimată minus termenul aprobat, pe etapă</x:v>
      </x:c>
      <x:c r="E241" s="7" t="str">
        <x:v>zile</x:v>
      </x:c>
      <x:c r="F241" s="7" t="str">
        <x:v>CEO / CFO / director investiții</x:v>
      </x:c>
      <x:c r="G241" s="7" t="str">
        <x:v>Proiecte + bugete + contracte + active + vânzări</x:v>
      </x:c>
      <x:c r="H241" s="7" t="str">
        <x:v>Lunar / pe etapă</x:v>
      </x:c>
      <x:c r="I241" s="7" t="str">
        <x:v>Proiect, activ, produs, scenariu</x:v>
      </x:c>
      <x:c r="J241" s="7" t="str">
        <x:v>P0</x:v>
      </x:c>
    </x:row>
    <x:row r="242" ht="34.5" customHeight="1">
      <x:c r="A242" s="3" t="str">
        <x:v>DEV-08</x:v>
      </x:c>
      <x:c r="B242" s="3" t="str">
        <x:v>24 Investiții, dezvoltare și portofoliu</x:v>
      </x:c>
      <x:c r="C242" s="3" t="str">
        <x:v>Venit din produse noi</x:v>
      </x:c>
      <x:c r="D242" s="3" t="str">
        <x:v>Venit produse lansate în fereastra definită / venit total comparabil</x:v>
      </x:c>
      <x:c r="E242" s="3" t="str">
        <x:v>%</x:v>
      </x:c>
      <x:c r="F242" s="3" t="str">
        <x:v>CEO / CFO / director investiții</x:v>
      </x:c>
      <x:c r="G242" s="3" t="str">
        <x:v>Proiecte + bugete + contracte + active + vânzări</x:v>
      </x:c>
      <x:c r="H242" s="3" t="str">
        <x:v>Lunar / pe etapă</x:v>
      </x:c>
      <x:c r="I242" s="3" t="str">
        <x:v>Proiect, activ, produs, scenariu</x:v>
      </x:c>
      <x:c r="J242" s="3" t="str">
        <x:v>P1</x:v>
      </x:c>
    </x:row>
    <x:row r="243" ht="34.5" customHeight="1">
      <x:c r="A243" s="7" t="str">
        <x:v>DEV-09</x:v>
      </x:c>
      <x:c r="B243" s="7" t="str">
        <x:v>24 Investiții, dezvoltare și portofoliu</x:v>
      </x:c>
      <x:c r="C243" s="7" t="str">
        <x:v>Durată până la lansare</x:v>
      </x:c>
      <x:c r="D243" s="7" t="str">
        <x:v>Zile între aprobarea dezvoltării și lansarea comercială, aceeași cohortă</x:v>
      </x:c>
      <x:c r="E243" s="7" t="str">
        <x:v>zile</x:v>
      </x:c>
      <x:c r="F243" s="7" t="str">
        <x:v>CEO / CFO / director investiții</x:v>
      </x:c>
      <x:c r="G243" s="7" t="str">
        <x:v>Proiecte + bugete + contracte + active + vânzări</x:v>
      </x:c>
      <x:c r="H243" s="7" t="str">
        <x:v>Lunar / pe etapă</x:v>
      </x:c>
      <x:c r="I243" s="7" t="str">
        <x:v>Proiect, activ, produs, scenariu</x:v>
      </x:c>
      <x:c r="J243" s="7" t="str">
        <x:v>P1</x:v>
      </x:c>
    </x:row>
    <x:row r="244" ht="34.5" customHeight="1">
      <x:c r="A244" s="3" t="str">
        <x:v>DEV-10</x:v>
      </x:c>
      <x:c r="B244" s="3" t="str">
        <x:v>24 Investiții, dezvoltare și portofoliu</x:v>
      </x:c>
      <x:c r="C244" s="3" t="str">
        <x:v>Conversie portofoliu de inovare</x:v>
      </x:c>
      <x:c r="D244" s="3" t="str">
        <x:v>Inițiative ajunse la obiectiv / inițiative eligibile din aceeași cohortă</x:v>
      </x:c>
      <x:c r="E244" s="3" t="str">
        <x:v>%</x:v>
      </x:c>
      <x:c r="F244" s="3" t="str">
        <x:v>CEO / CFO / director investiții</x:v>
      </x:c>
      <x:c r="G244" s="3" t="str">
        <x:v>Proiecte + bugete + contracte + active + vânzări</x:v>
      </x:c>
      <x:c r="H244" s="3" t="str">
        <x:v>Lunar / pe etapă</x:v>
      </x:c>
      <x:c r="I244" s="3" t="str">
        <x:v>Proiect, activ, produs, scenariu</x:v>
      </x:c>
      <x:c r="J244" s="3" t="str">
        <x:v>P1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0084dc0630904818"/>
  </x:tableParts>
</x:worksheet>
</file>

<file path=xl/worksheets/sheet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0.630000114440918" hidden="0" customWidth="1"/>
    <x:col min="3" max="3" width="30" hidden="0" customWidth="1"/>
    <x:col min="4" max="4" width="30.6299991607666" hidden="0" customWidth="1"/>
    <x:col min="5" max="5" width="55" hidden="0" customWidth="1"/>
    <x:col min="6" max="6" width="28.1299991607666" hidden="0" customWidth="1"/>
    <x:col min="7" max="7" width="30" hidden="0" customWidth="1"/>
    <x:col min="8" max="8" width="38.75" hidden="0" customWidth="1"/>
    <x:col min="9" max="9" width="42.5" hidden="0" customWidth="1"/>
    <x:col min="11" max="11" width="50" hidden="0" customWidth="1"/>
    <x:col min="12" max="12" width="5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3" customHeight="1">
      <x:c r="A2" s="4" t="str">
        <x:v>34 de pachete sectoriale • CAEN Rev.3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3" customHeight="1">
      <x:c r="A4" s="6" t="str">
        <x:v>ID</x:v>
      </x:c>
      <x:c r="B4" s="6" t="str">
        <x:v>Secțiune</x:v>
      </x:c>
      <x:c r="C4" s="6" t="str">
        <x:v>Diviziuni / exemple clase</x:v>
      </x:c>
      <x:c r="D4" s="6" t="str">
        <x:v>Industrie</x:v>
      </x:c>
      <x:c r="E4" s="6" t="str">
        <x:v>KPI de specialitate</x:v>
      </x:c>
      <x:c r="F4" s="6" t="str">
        <x:v>Dimensiuni</x:v>
      </x:c>
      <x:c r="G4" s="6" t="str">
        <x:v>Date necesare</x:v>
      </x:c>
      <x:c r="H4" s="6" t="str">
        <x:v>Automatizare exemplu</x:v>
      </x:c>
      <x:c r="I4" s="6" t="str">
        <x:v>Definiție sectorială</x:v>
      </x:c>
      <x:c r="K4" s="11" t="str">
        <x:v>Sursă nomenclator</x:v>
      </x:c>
      <x:c r="L4" s="11" t="str">
        <x:v>Observație</x:v>
      </x:c>
    </x:row>
    <x:row r="5" ht="52.5" customHeight="1">
      <x:c r="A5" s="7" t="str">
        <x:v>IND-01</x:v>
      </x:c>
      <x:c r="B5" s="7" t="str">
        <x:v>A</x:v>
      </x:c>
      <x:c r="C5" s="9" t="str">
        <x:v>01</x:v>
      </x:c>
      <x:c r="D5" s="7" t="str">
        <x:v>Agricultură</x:v>
      </x:c>
      <x:c r="E5" s="7" t="str">
        <x:v>Randament t/ha; cost/ha; marjă/cultură; consum apă/ha; pierderi recoltă; necesar lucrări</x:v>
      </x:c>
      <x:c r="F5" s="7" t="str">
        <x:v>Parcelă, cultură, sezon, fermă</x:v>
      </x:c>
      <x:c r="G5" s="7" t="str">
        <x:v>Registru agricol, utilaje, cântare, meteo</x:v>
      </x:c>
      <x:c r="H5" s="7" t="str">
        <x:v>Prognoză recoltă și alertă abateri de consum</x:v>
      </x:c>
      <x:c r="I5" s="7" t="str">
        <x:v>Randament = producție recoltată / suprafață recoltată</x:v>
      </x:c>
      <x:c r="K5" s="11" t="str">
        <x:v>https://www.onrc.ro/documente/anunturi/CAEN-Rev.3_structura-completa.pdf</x:v>
      </x:c>
      <x:c r="L5" s="11" t="str">
        <x:v>Mapare orientativă pe CAEN Rev.3. Activitatea efectivă selectează indicatorii.</x:v>
      </x:c>
    </x:row>
    <x:row r="6" ht="34.5" customHeight="1">
      <x:c r="A6" s="3" t="str">
        <x:v>IND-02</x:v>
      </x:c>
      <x:c r="B6" s="3" t="str">
        <x:v>A</x:v>
      </x:c>
      <x:c r="C6" s="8" t="str">
        <x:v>014; 03</x:v>
      </x:c>
      <x:c r="D6" s="3" t="str">
        <x:v>Zootehnie și acvacultură</x:v>
      </x:c>
      <x:c r="E6" s="3" t="str">
        <x:v>Conversie furaje; producție/cap; mortalitate; spor în greutate; cost/kg; cicluri reproducție</x:v>
      </x:c>
      <x:c r="F6" s="3" t="str">
        <x:v>Lot, specie, fermă, ciclu</x:v>
      </x:c>
      <x:c r="G6" s="3" t="str">
        <x:v>Evidență efective, furaje, cântare</x:v>
      </x:c>
      <x:c r="H6" s="3" t="str">
        <x:v>Alertă consum anormal și lot cu abatere</x:v>
      </x:c>
      <x:c r="I6" s="3" t="str">
        <x:v>Conversie furaje = furaj consumat / spor masă, aceeași cohortă</x:v>
      </x:c>
    </x:row>
    <x:row r="7" ht="34.5" customHeight="1">
      <x:c r="A7" s="7" t="str">
        <x:v>IND-03</x:v>
      </x:c>
      <x:c r="B7" s="7" t="str">
        <x:v>A</x:v>
      </x:c>
      <x:c r="C7" s="9" t="str">
        <x:v>02</x:v>
      </x:c>
      <x:c r="D7" s="7" t="str">
        <x:v>Silvicultură</x:v>
      </x:c>
      <x:c r="E7" s="7" t="str">
        <x:v>Cost/m³; randament exploatare; volum pe sortimente; utilizare utilaje; pierderi; trasabilitate lot</x:v>
      </x:c>
      <x:c r="F7" s="7" t="str">
        <x:v>Parcelă, lot, sortiment</x:v>
      </x:c>
      <x:c r="G7" s="7" t="str">
        <x:v>Exploatare, transport, documente proveniență</x:v>
      </x:c>
      <x:c r="H7" s="7" t="str">
        <x:v>Reconciliere volum intrare–ieșire</x:v>
      </x:c>
      <x:c r="I7" s="7" t="str">
        <x:v>Randament = volum valorificat / volum intrat</x:v>
      </x:c>
    </x:row>
    <x:row r="8" ht="34.5" customHeight="1">
      <x:c r="A8" s="3" t="str">
        <x:v>IND-04</x:v>
      </x:c>
      <x:c r="B8" s="3" t="str">
        <x:v>B</x:v>
      </x:c>
      <x:c r="C8" s="8" t="str">
        <x:v>05–09</x:v>
      </x:c>
      <x:c r="D8" s="3" t="str">
        <x:v>Extracție</x:v>
      </x:c>
      <x:c r="E8" s="3" t="str">
        <x:v>Cost/tonă; recuperare; disponibilitate instalații; raport steril/util; energie/tonă; incidente</x:v>
      </x:c>
      <x:c r="F8" s="3" t="str">
        <x:v>Zăcământ, schimb, instalație</x:v>
      </x:c>
      <x:c r="G8" s="3" t="str">
        <x:v>Producție, laborator, mentenanță</x:v>
      </x:c>
      <x:c r="H8" s="3" t="str">
        <x:v>Alertă oprire și cost peste plan</x:v>
      </x:c>
      <x:c r="I8" s="3" t="str">
        <x:v>Cost/tonă = cost atribuibil / tone utile</x:v>
      </x:c>
    </x:row>
    <x:row r="9" ht="34.5" customHeight="1">
      <x:c r="A9" s="7" t="str">
        <x:v>IND-05</x:v>
      </x:c>
      <x:c r="B9" s="7" t="str">
        <x:v>C</x:v>
      </x:c>
      <x:c r="C9" s="9" t="str">
        <x:v>10–12</x:v>
      </x:c>
      <x:c r="D9" s="7" t="str">
        <x:v>Alimente și băuturi</x:v>
      </x:c>
      <x:c r="E9" s="7" t="str">
        <x:v>Randament rețetă; pierderi; trasabilitate lot; stoc cu expirare; cost/kg; retururi calitate</x:v>
      </x:c>
      <x:c r="F9" s="7" t="str">
        <x:v>Lot, rețetă, linie, SKU</x:v>
      </x:c>
      <x:c r="G9" s="7" t="str">
        <x:v>MES, laborator, WMS, temperaturi</x:v>
      </x:c>
      <x:c r="H9" s="7" t="str">
        <x:v>FEFO și alertă temperatură/expirare</x:v>
      </x:c>
      <x:c r="I9" s="7" t="str">
        <x:v>Randament = cantitate conformă / cantitate teoretică</x:v>
      </x:c>
    </x:row>
    <x:row r="10" ht="34.5" customHeight="1">
      <x:c r="A10" s="3" t="str">
        <x:v>IND-06</x:v>
      </x:c>
      <x:c r="B10" s="3" t="str">
        <x:v>C</x:v>
      </x:c>
      <x:c r="C10" s="8" t="str">
        <x:v>13–18; 31</x:v>
      </x:c>
      <x:c r="D10" s="3" t="str">
        <x:v>Textile, lemn, mobilă, tipar</x:v>
      </x:c>
      <x:c r="E10" s="3" t="str">
        <x:v>Consum normat versus real; randament debitare; rebut; cost/comandă; timp setare; marjă variantă</x:v>
      </x:c>
      <x:c r="F10" s="3" t="str">
        <x:v>Comandă, material, variantă</x:v>
      </x:c>
      <x:c r="G10" s="3" t="str">
        <x:v>BOM, operații, pontaj</x:v>
      </x:c>
      <x:c r="H10" s="3" t="str">
        <x:v>Propunere reducere pierderi și replanificare</x:v>
      </x:c>
      <x:c r="I10" s="3" t="str">
        <x:v>Randament debitare = material util / material consumat</x:v>
      </x:c>
    </x:row>
    <x:row r="11" ht="34.5" customHeight="1">
      <x:c r="A11" s="7" t="str">
        <x:v>IND-07</x:v>
      </x:c>
      <x:c r="B11" s="7" t="str">
        <x:v>C</x:v>
      </x:c>
      <x:c r="C11" s="9" t="str">
        <x:v>19–23</x:v>
      </x:c>
      <x:c r="D11" s="7" t="str">
        <x:v>Chimie, farmaceutice, materiale</x:v>
      </x:c>
      <x:c r="E11" s="7" t="str">
        <x:v>Yield lot; consum specific; loturi blocate; energie/tonă; neconformități; timp eliberare lot</x:v>
      </x:c>
      <x:c r="F11" s="7" t="str">
        <x:v>Rețetă, lot, reactor, test</x:v>
      </x:c>
      <x:c r="G11" s="7" t="str">
        <x:v>MES, QMS, laborator</x:v>
      </x:c>
      <x:c r="H11" s="7" t="str">
        <x:v>Alertă abatere proces și carantină conform regulilor validate</x:v>
      </x:c>
      <x:c r="I11" s="7" t="str">
        <x:v>Yield = cantitate conformă / cantitate teoretică</x:v>
      </x:c>
    </x:row>
    <x:row r="12" ht="34.5" customHeight="1">
      <x:c r="A12" s="3" t="str">
        <x:v>IND-08</x:v>
      </x:c>
      <x:c r="B12" s="3" t="str">
        <x:v>C</x:v>
      </x:c>
      <x:c r="C12" s="8" t="str">
        <x:v>24–30; 32–33</x:v>
      </x:c>
      <x:c r="D12" s="3" t="str">
        <x:v>Metal, echipamente, automotive</x:v>
      </x:c>
      <x:c r="E12" s="3" t="str">
        <x:v>OEE; PPM; cost unitar; first pass yield; OTIF; variație cost materiale</x:v>
      </x:c>
      <x:c r="F12" s="3" t="str">
        <x:v>Linie, piesă, client, schimb</x:v>
      </x:c>
      <x:c r="G12" s="3" t="str">
        <x:v>ERP, MES, QMS</x:v>
      </x:c>
      <x:c r="H12" s="3" t="str">
        <x:v>Predicție defect și aprovizionare piese critice</x:v>
      </x:c>
      <x:c r="I12" s="3" t="str">
        <x:v>OEE = disponibilitate × performanță × calitate</x:v>
      </x:c>
    </x:row>
    <x:row r="13" ht="34.5" customHeight="1">
      <x:c r="A13" s="7" t="str">
        <x:v>IND-09</x:v>
      </x:c>
      <x:c r="B13" s="7" t="str">
        <x:v>D</x:v>
      </x:c>
      <x:c r="C13" s="9" t="str">
        <x:v>35</x:v>
      </x:c>
      <x:c r="D13" s="7" t="str">
        <x:v>Energie și utilități energetice</x:v>
      </x:c>
      <x:c r="E13" s="7" t="str">
        <x:v>Producție MWh; disponibilitate; consum propriu; pierderi rețea; marjă/MWh; dezechilibre</x:v>
      </x:c>
      <x:c r="F13" s="7" t="str">
        <x:v>Centrală, punct, interval, contract</x:v>
      </x:c>
      <x:c r="G13" s="7" t="str">
        <x:v>SCADA, contoare, contracte</x:v>
      </x:c>
      <x:c r="H13" s="7" t="str">
        <x:v>Alertă dezechilibru și prognoză producție</x:v>
      </x:c>
      <x:c r="I13" s="7" t="str">
        <x:v>Marjă/MWh = contribuție / MWh livrați</x:v>
      </x:c>
    </x:row>
    <x:row r="14" ht="34.5" customHeight="1">
      <x:c r="A14" s="3" t="str">
        <x:v>IND-10</x:v>
      </x:c>
      <x:c r="B14" s="3" t="str">
        <x:v>E</x:v>
      </x:c>
      <x:c r="C14" s="8" t="str">
        <x:v>36–39</x:v>
      </x:c>
      <x:c r="D14" s="3" t="str">
        <x:v>Apă, deșeuri, mediu</x:v>
      </x:c>
      <x:c r="E14" s="3" t="str">
        <x:v>Apă nefacturată; cost/m³; energie/m³; reciclare; cost/tonă; incidente mediu</x:v>
      </x:c>
      <x:c r="F14" s="3" t="str">
        <x:v>Zonă, rută, instalație</x:v>
      </x:c>
      <x:c r="G14" s="3" t="str">
        <x:v>Contoare, cântare, dispecerat</x:v>
      </x:c>
      <x:c r="H14" s="3" t="str">
        <x:v>Detectare pierderi și optimizare rute</x:v>
      </x:c>
      <x:c r="I14" s="3" t="str">
        <x:v>Apă nefacturată = volum intrat în sistem − volum facturat; componente separate</x:v>
      </x:c>
    </x:row>
    <x:row r="15" ht="34.5" customHeight="1">
      <x:c r="A15" s="7" t="str">
        <x:v>IND-11</x:v>
      </x:c>
      <x:c r="B15" s="7" t="str">
        <x:v>F</x:v>
      </x:c>
      <x:c r="C15" s="9" t="str">
        <x:v>41–43; 4100</x:v>
      </x:c>
      <x:c r="D15" s="7" t="str">
        <x:v>Construcții</x:v>
      </x:c>
      <x:c r="E15" s="7" t="str">
        <x:v>Marjă șantier; EAC; lucrări nefacturate; productivitate echipă; progres fizic; garanții reținute</x:v>
      </x:c>
      <x:c r="F15" s="7" t="str">
        <x:v>Șantier, deviz, etapă</x:v>
      </x:c>
      <x:c r="G15" s="7" t="str">
        <x:v>Devize, situații lucrări, pontaje</x:v>
      </x:c>
      <x:c r="H15" s="7" t="str">
        <x:v>Alertă depășire cost și întârziere etapă</x:v>
      </x:c>
      <x:c r="I15" s="7" t="str">
        <x:v>EAC = cost realizat + cost pentru restul lucrărilor</x:v>
      </x:c>
    </x:row>
    <x:row r="16" ht="34.5" customHeight="1">
      <x:c r="A16" s="3" t="str">
        <x:v>IND-12</x:v>
      </x:c>
      <x:c r="B16" s="3" t="str">
        <x:v>G</x:v>
      </x:c>
      <x:c r="C16" s="8" t="str">
        <x:v>46</x:v>
      </x:c>
      <x:c r="D16" s="3" t="str">
        <x:v>Distribuție B2B</x:v>
      </x:c>
      <x:c r="E16" s="3" t="str">
        <x:v>Marjă/client; cost-to-serve; DSO; fill rate; rotație stoc; rebate furnizor</x:v>
      </x:c>
      <x:c r="F16" s="3" t="str">
        <x:v>Client, agent, SKU, rută</x:v>
      </x:c>
      <x:c r="G16" s="3" t="str">
        <x:v>ERP, CRM, WMS</x:v>
      </x:c>
      <x:c r="H16" s="3" t="str">
        <x:v>Credit control și reaprovizionare</x:v>
      </x:c>
      <x:c r="I16" s="3" t="str">
        <x:v>Fill rate = unități livrate inițial / unități solicitate</x:v>
      </x:c>
    </x:row>
    <x:row r="17" ht="34.5" customHeight="1">
      <x:c r="A17" s="7" t="str">
        <x:v>IND-13</x:v>
      </x:c>
      <x:c r="B17" s="7" t="str">
        <x:v>G</x:v>
      </x:c>
      <x:c r="C17" s="9" t="str">
        <x:v>47</x:v>
      </x:c>
      <x:c r="D17" s="7" t="str">
        <x:v>Retail fizic</x:v>
      </x:c>
      <x:c r="E17" s="7" t="str">
        <x:v>Vânzări/m²; marjă/SKU; bon mediu; conversie vizitatori; pierderi inventar; disponibilitate la raft</x:v>
      </x:c>
      <x:c r="F17" s="7" t="str">
        <x:v>Magazin, SKU, oră</x:v>
      </x:c>
      <x:c r="G17" s="7" t="str">
        <x:v>POS, WMS, trafic</x:v>
      </x:c>
      <x:c r="H17" s="7" t="str">
        <x:v>Alertă ruptură stoc și promoții sub marjă</x:v>
      </x:c>
      <x:c r="I17" s="7" t="str">
        <x:v>Bon mediu = vânzări nete / bonuri eligibile</x:v>
      </x:c>
    </x:row>
    <x:row r="18" ht="34.5" customHeight="1">
      <x:c r="A18" s="3" t="str">
        <x:v>IND-14</x:v>
      </x:c>
      <x:c r="B18" s="3" t="str">
        <x:v>G</x:v>
      </x:c>
      <x:c r="C18" s="8" t="str">
        <x:v>46–47, după bunuri și activitate</x:v>
      </x:c>
      <x:c r="D18" s="3" t="str">
        <x:v>Comerț electronic</x:v>
      </x:c>
      <x:c r="E18" s="3" t="str">
        <x:v>Conversie; abandon coș; CAC; marjă după livrare; retururi; valoare comandă</x:v>
      </x:c>
      <x:c r="F18" s="3" t="str">
        <x:v>Canal, cohortă, produs</x:v>
      </x:c>
      <x:c r="G18" s="3" t="str">
        <x:v>Magazin online, plăți, ERP, curier</x:v>
      </x:c>
      <x:c r="H18" s="3" t="str">
        <x:v>Recuperare internă excepții plată și retur</x:v>
      </x:c>
      <x:c r="I18" s="3" t="str">
        <x:v>Marjă/comandă include cost produs, plată, livrare și retur atribuit</x:v>
      </x:c>
    </x:row>
    <x:row r="19" ht="34.5" customHeight="1">
      <x:c r="A19" s="7" t="str">
        <x:v>IND-15</x:v>
      </x:c>
      <x:c r="B19" s="7" t="str">
        <x:v>H</x:v>
      </x:c>
      <x:c r="C19" s="9" t="str">
        <x:v>49–53</x:v>
      </x:c>
      <x:c r="D19" s="7" t="str">
        <x:v>Transport și logistică</x:v>
      </x:c>
      <x:c r="E19" s="7" t="str">
        <x:v>Venit/km; cost/km; kilometri goi; grad încărcare; OTIF; cost/expediere</x:v>
      </x:c>
      <x:c r="F19" s="7" t="str">
        <x:v>Vehicul, rută, client</x:v>
      </x:c>
      <x:c r="G19" s="7" t="str">
        <x:v>TMS, GPS, combustibil</x:v>
      </x:c>
      <x:c r="H19" s="7" t="str">
        <x:v>Replanificare rută și avertizare ETA</x:v>
      </x:c>
      <x:c r="I19" s="7" t="str">
        <x:v>Marjă cursă = venit cursă − cost direct și alocat</x:v>
      </x:c>
    </x:row>
    <x:row r="20" ht="34.5" customHeight="1">
      <x:c r="A20" s="3" t="str">
        <x:v>IND-16</x:v>
      </x:c>
      <x:c r="B20" s="3" t="str">
        <x:v>H</x:v>
      </x:c>
      <x:c r="C20" s="8" t="str">
        <x:v>52</x:v>
      </x:c>
      <x:c r="D20" s="3" t="str">
        <x:v>Depozitare pentru terți</x:v>
      </x:c>
      <x:c r="E20" s="3" t="str">
        <x:v>Ocupare locații; linii/oră; acuratețe picking; cost/palet; SLA; marjă/client</x:v>
      </x:c>
      <x:c r="F20" s="3" t="str">
        <x:v>Depozit, zonă, client</x:v>
      </x:c>
      <x:c r="G20" s="3" t="str">
        <x:v>WMS, pontaj, contracte</x:v>
      </x:c>
      <x:c r="H20" s="3" t="str">
        <x:v>Echilibrare capacitate și identificare erori</x:v>
      </x:c>
      <x:c r="I20" s="3" t="str">
        <x:v>Ocupare = locații ocupate / locații utilizabile</x:v>
      </x:c>
    </x:row>
    <x:row r="21" ht="34.5" customHeight="1">
      <x:c r="A21" s="7" t="str">
        <x:v>IND-17</x:v>
      </x:c>
      <x:c r="B21" s="7" t="str">
        <x:v>I</x:v>
      </x:c>
      <x:c r="C21" s="9" t="str">
        <x:v>55; 5510</x:v>
      </x:c>
      <x:c r="D21" s="7" t="str">
        <x:v>Hoteluri și cazare</x:v>
      </x:c>
      <x:c r="E21" s="7" t="str">
        <x:v>Ocupare; ADR; RevPAR; GOPPAR; anulări; cost distribuție</x:v>
      </x:c>
      <x:c r="F21" s="7" t="str">
        <x:v>Proprietate, tip cameră, canal</x:v>
      </x:c>
      <x:c r="G21" s="7" t="str">
        <x:v>PMS, rezervări, ERP</x:v>
      </x:c>
      <x:c r="H21" s="7" t="str">
        <x:v>Prognoză ocupare și propuneri tarif</x:v>
      </x:c>
      <x:c r="I21" s="7" t="str">
        <x:v>RevPAR = venit camere / camere disponibile în perioada analizată</x:v>
      </x:c>
    </x:row>
    <x:row r="22" ht="34.5" customHeight="1">
      <x:c r="A22" s="3" t="str">
        <x:v>IND-18</x:v>
      </x:c>
      <x:c r="B22" s="3" t="str">
        <x:v>I</x:v>
      </x:c>
      <x:c r="C22" s="8" t="str">
        <x:v>56; 5611; 5612</x:v>
      </x:c>
      <x:c r="D22" s="3" t="str">
        <x:v>Restaurante și catering</x:v>
      </x:c>
      <x:c r="E22" s="3" t="str">
        <x:v>Food cost; marjă preparat; bon mediu; rotație mese; risipă; cost personal/venit</x:v>
      </x:c>
      <x:c r="F22" s="3" t="str">
        <x:v>Locație, preparat, interval</x:v>
      </x:c>
      <x:c r="G22" s="3" t="str">
        <x:v>POS, rețete, rezervări</x:v>
      </x:c>
      <x:c r="H22" s="3" t="str">
        <x:v>Propunere producție și aprovizionare după cerere</x:v>
      </x:c>
      <x:c r="I22" s="3" t="str">
        <x:v>Food cost = cost ingrediente consumate / venit relevant fără TVA</x:v>
      </x:c>
    </x:row>
    <x:row r="23" ht="34.5" customHeight="1">
      <x:c r="A23" s="7" t="str">
        <x:v>IND-19</x:v>
      </x:c>
      <x:c r="B23" s="7" t="str">
        <x:v>J</x:v>
      </x:c>
      <x:c r="C23" s="9" t="str">
        <x:v>58–60</x:v>
      </x:c>
      <x:c r="D23" s="7" t="str">
        <x:v>Media și conținut</x:v>
      </x:c>
      <x:c r="E23" s="7" t="str">
        <x:v>ARPU; audiență; retenție abonat; venit/conținut; grad vânzare publicitate; cost producție</x:v>
      </x:c>
      <x:c r="F23" s="7" t="str">
        <x:v>Titlu, canal, abonament</x:v>
      </x:c>
      <x:c r="G23" s="7" t="str">
        <x:v>Ad server, abonamente, producție</x:v>
      </x:c>
      <x:c r="H23" s="7" t="str">
        <x:v>Alertă churn și optimizare programare</x:v>
      </x:c>
      <x:c r="I23" s="7" t="str">
        <x:v>ARPU = venit relevant / utilizatori plătitori medii</x:v>
      </x:c>
    </x:row>
    <x:row r="24" ht="34.5" customHeight="1">
      <x:c r="A24" s="3" t="str">
        <x:v>IND-20</x:v>
      </x:c>
      <x:c r="B24" s="3" t="str">
        <x:v>J/K</x:v>
      </x:c>
      <x:c r="C24" s="8" t="str">
        <x:v>582; 62–63</x:v>
      </x:c>
      <x:c r="D24" s="3" t="str">
        <x:v>Software și SaaS</x:v>
      </x:c>
      <x:c r="E24" s="3" t="str">
        <x:v>MRR; ARR; NRR; churn; CAC payback; marjă cloud</x:v>
      </x:c>
      <x:c r="F24" s="3" t="str">
        <x:v>Produs, client, cohortă</x:v>
      </x:c>
      <x:c r="G24" s="3" t="str">
        <x:v>Billing, CRM, telemetrie</x:v>
      </x:c>
      <x:c r="H24" s="3" t="str">
        <x:v>Scor risc churn și control cost infrastructură</x:v>
      </x:c>
      <x:c r="I24" s="3" t="str">
        <x:v>ARR = 12 × MRR doar pentru venit recurent comparabil; NRR exclude clienții noi</x:v>
      </x:c>
    </x:row>
    <x:row r="25" ht="34.5" customHeight="1">
      <x:c r="A25" s="7" t="str">
        <x:v>IND-21</x:v>
      </x:c>
      <x:c r="B25" s="7" t="str">
        <x:v>K</x:v>
      </x:c>
      <x:c r="C25" s="9" t="str">
        <x:v>61</x:v>
      </x:c>
      <x:c r="D25" s="7" t="str">
        <x:v>Telecom</x:v>
      </x:c>
      <x:c r="E25" s="7" t="str">
        <x:v>ARPU; churn; disponibilitate rețea; utilizare capacitate; cost instalare; tichete/1000 clienți</x:v>
      </x:c>
      <x:c r="F25" s="7" t="str">
        <x:v>Rețea, regiune, ofertă</x:v>
      </x:c>
      <x:c r="G25" s="7" t="str">
        <x:v>Billing, OSS/BSS, NMS</x:v>
      </x:c>
      <x:c r="H25" s="7" t="str">
        <x:v>Alertă degradare și prioritizare remediere</x:v>
      </x:c>
      <x:c r="I25" s="7" t="str">
        <x:v>Disponibilitate = minute serviciu funcțional / minute eligibile</x:v>
      </x:c>
    </x:row>
    <x:row r="26" ht="34.5" customHeight="1">
      <x:c r="A26" s="3" t="str">
        <x:v>IND-22</x:v>
      </x:c>
      <x:c r="B26" s="3" t="str">
        <x:v>K</x:v>
      </x:c>
      <x:c r="C26" s="8" t="str">
        <x:v>62; 6210; 6220</x:v>
      </x:c>
      <x:c r="D26" s="3" t="str">
        <x:v>Servicii IT</x:v>
      </x:c>
      <x:c r="E26" s="3" t="str">
        <x:v>Utilizare facturabilă; marjă proiect; backlog; SLA; timp livrare; defecte scăpate</x:v>
      </x:c>
      <x:c r="F26" s="3" t="str">
        <x:v>Proiect, contract, echipă</x:v>
      </x:c>
      <x:c r="G26" s="3" t="str">
        <x:v>Pontaje, proiecte, ticketing</x:v>
      </x:c>
      <x:c r="H26" s="3" t="str">
        <x:v>Alertă depășire estimare și SLA</x:v>
      </x:c>
      <x:c r="I26" s="3" t="str">
        <x:v>Utilizare = ore facturabile / ore disponibile definite</x:v>
      </x:c>
    </x:row>
    <x:row r="27" ht="34.5" customHeight="1">
      <x:c r="A27" s="7" t="str">
        <x:v>IND-23</x:v>
      </x:c>
      <x:c r="B27" s="7" t="str">
        <x:v>L</x:v>
      </x:c>
      <x:c r="C27" s="9" t="str">
        <x:v>64–66</x:v>
      </x:c>
      <x:c r="D27" s="7" t="str">
        <x:v>Financiar și asigurări</x:v>
      </x:c>
      <x:c r="E27" s="7" t="str">
        <x:v>Cost/venit; restanțe portofoliu; pierderi credit; lichiditate; rată daune; retenție polițe</x:v>
      </x:c>
      <x:c r="F27" s="7" t="str">
        <x:v>Produs, portofoliu, client</x:v>
      </x:c>
      <x:c r="G27" s="7" t="str">
        <x:v>Core banking/asigurări, risc</x:v>
      </x:c>
      <x:c r="H27" s="7" t="str">
        <x:v>Monitorizare abateri de portofoliu cu validare specialist</x:v>
      </x:c>
      <x:c r="I27" s="7" t="str">
        <x:v>Rata daune = daune suportate / prime câștigate; metodologia sectorială obligatorie</x:v>
      </x:c>
    </x:row>
    <x:row r="28" ht="34.5" customHeight="1">
      <x:c r="A28" s="3" t="str">
        <x:v>IND-24</x:v>
      </x:c>
      <x:c r="B28" s="3" t="str">
        <x:v>M</x:v>
      </x:c>
      <x:c r="C28" s="8" t="str">
        <x:v>68; 6812</x:v>
      </x:c>
      <x:c r="D28" s="3" t="str">
        <x:v>Imobiliare și dezvoltare</x:v>
      </x:c>
      <x:c r="E28" s="3" t="str">
        <x:v>Ocupare; NOI; rent collection; WAULT; cost/m²; precontractări</x:v>
      </x:c>
      <x:c r="F28" s="3" t="str">
        <x:v>Activ, chiriaș, proiect</x:v>
      </x:c>
      <x:c r="G28" s="3" t="str">
        <x:v>Contracte, property management, ERP</x:v>
      </x:c>
      <x:c r="H28" s="3" t="str">
        <x:v>Alertă expirare chirie și cash-flow proiect</x:v>
      </x:c>
      <x:c r="I28" s="3" t="str">
        <x:v>NOI = venit operațional proprietate − cheltuieli operaționale definite</x:v>
      </x:c>
    </x:row>
    <x:row r="29" ht="34.5" customHeight="1">
      <x:c r="A29" s="7" t="str">
        <x:v>IND-25</x:v>
      </x:c>
      <x:c r="B29" s="7" t="str">
        <x:v>N</x:v>
      </x:c>
      <x:c r="C29" s="9" t="str">
        <x:v>69; 6920</x:v>
      </x:c>
      <x:c r="D29" s="7" t="str">
        <x:v>Contabilitate, audit și juridic</x:v>
      </x:c>
      <x:c r="E29" s="7" t="str">
        <x:v>Marjă/client; documente/operator; dosare incomplete; închidere la termen; WIP; depuneri acceptate</x:v>
      </x:c>
      <x:c r="F29" s="7" t="str">
        <x:v>Client, specialist, obligație</x:v>
      </x:c>
      <x:c r="G29" s="7" t="str">
        <x:v>Dosare, pontaje, documente, ERP</x:v>
      </x:c>
      <x:c r="H29" s="7" t="str">
        <x:v>Listă documente lipsă și calendar de lucru</x:v>
      </x:c>
      <x:c r="I29" s="7" t="str">
        <x:v>Marjă/client = onorariu − cost serviciu atribuibil</x:v>
      </x:c>
    </x:row>
    <x:row r="30" ht="34.5" customHeight="1">
      <x:c r="A30" s="3" t="str">
        <x:v>IND-26</x:v>
      </x:c>
      <x:c r="B30" s="3" t="str">
        <x:v>N</x:v>
      </x:c>
      <x:c r="C30" s="8" t="str">
        <x:v>70–75; 7020</x:v>
      </x:c>
      <x:c r="D30" s="3" t="str">
        <x:v>Consultanță, inginerie, cercetare</x:v>
      </x:c>
      <x:c r="E30" s="3" t="str">
        <x:v>Utilizare; tarif realizat; marjă proiect; backlog; etape acceptate; venit/client</x:v>
      </x:c>
      <x:c r="F30" s="3" t="str">
        <x:v>Proiect, specialist, serviciu</x:v>
      </x:c>
      <x:c r="G30" s="3" t="str">
        <x:v>CRM, proiecte, pontaj</x:v>
      </x:c>
      <x:c r="H30" s="3" t="str">
        <x:v>Alertă lucrări nefacturate și depășire buget</x:v>
      </x:c>
      <x:c r="I30" s="3" t="str">
        <x:v>Tarif realizat = venit muncă / ore facturabile</x:v>
      </x:c>
    </x:row>
    <x:row r="31" ht="34.5" customHeight="1">
      <x:c r="A31" s="7" t="str">
        <x:v>IND-27</x:v>
      </x:c>
      <x:c r="B31" s="7" t="str">
        <x:v>O</x:v>
      </x:c>
      <x:c r="C31" s="9" t="str">
        <x:v>77–82</x:v>
      </x:c>
      <x:c r="D31" s="7" t="str">
        <x:v>Servicii suport și închirieri</x:v>
      </x:c>
      <x:c r="E31" s="7" t="str">
        <x:v>Utilizare echipamente; venit/activ; cost/intervenție; SLA; acoperire ture; marjă contract</x:v>
      </x:c>
      <x:c r="F31" s="7" t="str">
        <x:v>Activ, locație, contract</x:v>
      </x:c>
      <x:c r="G31" s="7" t="str">
        <x:v>Contracte, programări, pontaj</x:v>
      </x:c>
      <x:c r="H31" s="7" t="str">
        <x:v>Reînnoiri și planificare resurse</x:v>
      </x:c>
      <x:c r="I31" s="7" t="str">
        <x:v>Utilizare închiriere = zile închiriate / zile disponibile</x:v>
      </x:c>
    </x:row>
    <x:row r="32" ht="34.5" customHeight="1">
      <x:c r="A32" s="3" t="str">
        <x:v>IND-28</x:v>
      </x:c>
      <x:c r="B32" s="3" t="str">
        <x:v>P</x:v>
      </x:c>
      <x:c r="C32" s="8" t="str">
        <x:v>84</x:v>
      </x:c>
      <x:c r="D32" s="3" t="str">
        <x:v>Administrație publică</x:v>
      </x:c>
      <x:c r="E32" s="3" t="str">
        <x:v>Execuție buget; cost/serviciu; termen soluționare; cereri restante; achiziții în termen; satisfacție beneficiar</x:v>
      </x:c>
      <x:c r="F32" s="3" t="str">
        <x:v>Program, serviciu, instituție</x:v>
      </x:c>
      <x:c r="G32" s="3" t="str">
        <x:v>Buget, registratură, achiziții</x:v>
      </x:c>
      <x:c r="H32" s="3" t="str">
        <x:v>Alertă termen și depășire angajamente</x:v>
      </x:c>
      <x:c r="I32" s="3" t="str">
        <x:v>Execuție = cheltuieli efective / buget aprobat, pe bază definită</x:v>
      </x:c>
    </x:row>
    <x:row r="33" ht="34.5" customHeight="1">
      <x:c r="A33" s="7" t="str">
        <x:v>IND-29</x:v>
      </x:c>
      <x:c r="B33" s="7" t="str">
        <x:v>Q</x:v>
      </x:c>
      <x:c r="C33" s="9" t="str">
        <x:v>85</x:v>
      </x:c>
      <x:c r="D33" s="7" t="str">
        <x:v>Educație</x:v>
      </x:c>
      <x:c r="E33" s="7" t="str">
        <x:v>Ocupare cursuri; retenție cursanți; absolvire; cost/cursant; încasare taxe; utilizare săli</x:v>
      </x:c>
      <x:c r="F33" s="7" t="str">
        <x:v>Curs, cohortă, centru</x:v>
      </x:c>
      <x:c r="G33" s="7" t="str">
        <x:v>SIS/LMS, programări, ERP</x:v>
      </x:c>
      <x:c r="H33" s="7" t="str">
        <x:v>Alertă abandon și facturi restante</x:v>
      </x:c>
      <x:c r="I33" s="7" t="str">
        <x:v>Absolvire = absolvenți / cohortă eligibilă</x:v>
      </x:c>
    </x:row>
    <x:row r="34" ht="34.5" customHeight="1">
      <x:c r="A34" s="3" t="str">
        <x:v>IND-30</x:v>
      </x:c>
      <x:c r="B34" s="3" t="str">
        <x:v>R</x:v>
      </x:c>
      <x:c r="C34" s="8" t="str">
        <x:v>86–88</x:v>
      </x:c>
      <x:c r="D34" s="3" t="str">
        <x:v>Sănătate și asistență socială</x:v>
      </x:c>
      <x:c r="E34" s="3" t="str">
        <x:v>Timp așteptare; neprezentare; utilizare capacitate; cost/episod; deconturi respinse; satisfacție</x:v>
      </x:c>
      <x:c r="F34" s="3" t="str">
        <x:v>Unitate, serviciu, plătitor</x:v>
      </x:c>
      <x:c r="G34" s="3" t="str">
        <x:v>HIS, programări, ERP</x:v>
      </x:c>
      <x:c r="H34" s="3" t="str">
        <x:v>Confirmare operațională programări și tratare deconturi respinse</x:v>
      </x:c>
      <x:c r="I34" s="3" t="str">
        <x:v>Neprezentare = programări neprezentate / programări eligibile; datele clinice au acces separat</x:v>
      </x:c>
    </x:row>
    <x:row r="35" ht="34.5" customHeight="1">
      <x:c r="A35" s="7" t="str">
        <x:v>IND-31</x:v>
      </x:c>
      <x:c r="B35" s="7" t="str">
        <x:v>S</x:v>
      </x:c>
      <x:c r="C35" s="9" t="str">
        <x:v>90–93</x:v>
      </x:c>
      <x:c r="D35" s="7" t="str">
        <x:v>Cultură, sport și recreere</x:v>
      </x:c>
      <x:c r="E35" s="7" t="str">
        <x:v>Ocupare eveniment; venit/loc; utilizare facilități; retenție membri; cost/eveniment; anulări</x:v>
      </x:c>
      <x:c r="F35" s="7" t="str">
        <x:v>Eveniment, locație, abonament</x:v>
      </x:c>
      <x:c r="G35" s="7" t="str">
        <x:v>Ticketing, rezervări, ERP</x:v>
      </x:c>
      <x:c r="H35" s="7" t="str">
        <x:v>Prognoză cerere și alertă marjă eveniment</x:v>
      </x:c>
      <x:c r="I35" s="7" t="str">
        <x:v>Ocupare = locuri vândute / locuri disponibile</x:v>
      </x:c>
    </x:row>
    <x:row r="36" ht="34.5" customHeight="1">
      <x:c r="A36" s="3" t="str">
        <x:v>IND-32</x:v>
      </x:c>
      <x:c r="B36" s="3" t="str">
        <x:v>T</x:v>
      </x:c>
      <x:c r="C36" s="8" t="str">
        <x:v>94–96</x:v>
      </x:c>
      <x:c r="D36" s="3" t="str">
        <x:v>Servicii personale și reparații</x:v>
      </x:c>
      <x:c r="E36" s="3" t="str">
        <x:v>Utilizare programări; bon mediu; revenire clienți; first-time fix; cost lucrare; marjă serviciu</x:v>
      </x:c>
      <x:c r="F36" s="3" t="str">
        <x:v>Locație, specialist, lucrare</x:v>
      </x:c>
      <x:c r="G36" s="3" t="str">
        <x:v>Programări, service, POS</x:v>
      </x:c>
      <x:c r="H36" s="3" t="str">
        <x:v>Rechemare service propusă și aprovizionare piese</x:v>
      </x:c>
      <x:c r="I36" s="3" t="str">
        <x:v>First-time fix = lucrări rezolvate prima dată / lucrări închise</x:v>
      </x:c>
    </x:row>
    <x:row r="37" ht="34.5" customHeight="1">
      <x:c r="A37" s="7" t="str">
        <x:v>IND-33</x:v>
      </x:c>
      <x:c r="B37" s="7" t="str">
        <x:v>U</x:v>
      </x:c>
      <x:c r="C37" s="9" t="str">
        <x:v>97–98</x:v>
      </x:c>
      <x:c r="D37" s="7" t="str">
        <x:v>Gospodării private</x:v>
      </x:c>
      <x:c r="E37" s="7" t="str">
        <x:v>Cost resurse; ore lucrate; respectare buget; consum; programări; lucrări restante</x:v>
      </x:c>
      <x:c r="F37" s="7" t="str">
        <x:v>Activitate, perioadă</x:v>
      </x:c>
      <x:c r="G37" s="7" t="str">
        <x:v>Pontaje și evidențe proprii</x:v>
      </x:c>
      <x:c r="H37" s="7" t="str">
        <x:v>Alerte buget și programări</x:v>
      </x:c>
      <x:c r="I37" s="7" t="str">
        <x:v>Pachet simplificat; relevanță redusă pentru BI comercial</x:v>
      </x:c>
    </x:row>
    <x:row r="38" ht="34.5" customHeight="1">
      <x:c r="A38" s="3" t="str">
        <x:v>IND-34</x:v>
      </x:c>
      <x:c r="B38" s="3" t="str">
        <x:v>V</x:v>
      </x:c>
      <x:c r="C38" s="8" t="str">
        <x:v>99</x:v>
      </x:c>
      <x:c r="D38" s="3" t="str">
        <x:v>Organizații extrateritoriale</x:v>
      </x:c>
      <x:c r="E38" s="3" t="str">
        <x:v>Execuție buget program; cost/beneficiar; rezultate program; termene; angajamente; achiziții</x:v>
      </x:c>
      <x:c r="F38" s="3" t="str">
        <x:v>Program, proiect, finanțator</x:v>
      </x:c>
      <x:c r="G38" s="3" t="str">
        <x:v>Programe, buget, achiziții</x:v>
      </x:c>
      <x:c r="H38" s="3" t="str">
        <x:v>Raportare către finanțator și monitorizare termene</x:v>
      </x:c>
      <x:c r="I38" s="3" t="str">
        <x:v>Rezultate / resurse pe metodologia programului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d2418f2334884300"/>
  </x:tableParts>
</x:worksheet>
</file>

<file path=xl/worksheets/sheet4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27.5" hidden="0" customWidth="1"/>
    <x:col min="3" max="3" width="34.380001068115234" hidden="0" customWidth="1"/>
    <x:col min="4" max="4" width="55" hidden="0" customWidth="1"/>
    <x:col min="5" max="5" width="50" hidden="0" customWidth="1"/>
    <x:col min="6" max="6" width="11.880000114440918" hidden="0" customWidth="1"/>
  </x:cols>
  <x:sheetData>
    <x:row r="1">
      <x:c r="A1" s="3"/>
      <x:c r="B1" s="3"/>
      <x:c r="C1" s="3"/>
      <x:c r="D1" s="3"/>
      <x:c r="E1" s="3"/>
      <x:c r="F1" s="3"/>
    </x:row>
    <x:row r="2" ht="33" customHeight="1">
      <x:c r="A2" s="4" t="str">
        <x:v>78 de funcții pentru specificație și achiziție</x:v>
      </x:c>
      <x:c r="B2" s="4"/>
      <x:c r="C2" s="4"/>
      <x:c r="D2" s="4"/>
      <x:c r="E2" s="4"/>
      <x:c r="F2" s="4"/>
    </x:row>
    <x:row r="3">
      <x:c r="A3" s="3"/>
      <x:c r="B3" s="3"/>
      <x:c r="C3" s="3"/>
      <x:c r="D3" s="3"/>
      <x:c r="E3" s="3"/>
      <x:c r="F3" s="3"/>
    </x:row>
    <x:row r="4" ht="33" customHeight="1">
      <x:c r="A4" s="6" t="str">
        <x:v>ID</x:v>
      </x:c>
      <x:c r="B4" s="6" t="str">
        <x:v>Categorie</x:v>
      </x:c>
      <x:c r="C4" s="6" t="str">
        <x:v>Funcție</x:v>
      </x:c>
      <x:c r="D4" s="6" t="str">
        <x:v>Cerință</x:v>
      </x:c>
      <x:c r="E4" s="6" t="str">
        <x:v>Test de acceptanță</x:v>
      </x:c>
      <x:c r="F4" s="6" t="str">
        <x:v>Prioritate</x:v>
      </x:c>
    </x:row>
    <x:row r="5" ht="33" customHeight="1">
      <x:c r="A5" s="7" t="str">
        <x:v>F-001</x:v>
      </x:c>
      <x:c r="B5" s="7" t="str">
        <x:v>Date și integrare</x:v>
      </x:c>
      <x:c r="C5" s="7" t="str">
        <x:v>Conectori ERP și contabilitate</x:v>
      </x:c>
      <x:c r="D5" s="7" t="str">
        <x:v>API, baze de date și fișiere cu contract de date</x:v>
      </x:c>
      <x:c r="E5" s="7" t="str">
        <x:v>Un document nou apare o singură dată cu ID sursă</x:v>
      </x:c>
      <x:c r="F5" s="7" t="str">
        <x:v>P0</x:v>
      </x:c>
    </x:row>
    <x:row r="6" ht="33" customHeight="1">
      <x:c r="A6" s="3" t="str">
        <x:v>F-002</x:v>
      </x:c>
      <x:c r="B6" s="3" t="str">
        <x:v>Date și integrare</x:v>
      </x:c>
      <x:c r="C6" s="3" t="str">
        <x:v>Import incremental</x:v>
      </x:c>
      <x:c r="D6" s="3" t="str">
        <x:v>Capturarea modificărilor și ștergerilor logice</x:v>
      </x:c>
      <x:c r="E6" s="3" t="str">
        <x:v>Reîncărcarea nu dublează tranzacții</x:v>
      </x:c>
      <x:c r="F6" s="3" t="str">
        <x:v>P0</x:v>
      </x:c>
    </x:row>
    <x:row r="7" ht="33" customHeight="1">
      <x:c r="A7" s="7" t="str">
        <x:v>F-003</x:v>
      </x:c>
      <x:c r="B7" s="7" t="str">
        <x:v>Date și integrare</x:v>
      </x:c>
      <x:c r="C7" s="7" t="str">
        <x:v>Orchestrare încărcări</x:v>
      </x:c>
      <x:c r="D7" s="7" t="str">
        <x:v>Dependențe, reluări, istoric și ferestre de procesare</x:v>
      </x:c>
      <x:c r="E7" s="7" t="str">
        <x:v>O sursă indisponibilă generează incident identificabil</x:v>
      </x:c>
      <x:c r="F7" s="7" t="str">
        <x:v>P0</x:v>
      </x:c>
    </x:row>
    <x:row r="8" ht="33" customHeight="1">
      <x:c r="A8" s="3" t="str">
        <x:v>F-004</x:v>
      </x:c>
      <x:c r="B8" s="3" t="str">
        <x:v>Date și integrare</x:v>
      </x:c>
      <x:c r="C8" s="3" t="str">
        <x:v>Reconciliere la sursă</x:v>
      </x:c>
      <x:c r="D8" s="3" t="str">
        <x:v>Totaluri și număr înregistrări pe firmă și perioadă</x:v>
      </x:c>
      <x:c r="E8" s="3" t="str">
        <x:v>BI se potrivește cu extrasul ERP aprobat</x:v>
      </x:c>
      <x:c r="F8" s="3" t="str">
        <x:v>P0</x:v>
      </x:c>
    </x:row>
    <x:row r="9" ht="33" customHeight="1">
      <x:c r="A9" s="7" t="str">
        <x:v>F-005</x:v>
      </x:c>
      <x:c r="B9" s="7" t="str">
        <x:v>Date și integrare</x:v>
      </x:c>
      <x:c r="C9" s="7" t="str">
        <x:v>Calitate date</x:v>
      </x:c>
      <x:c r="D9" s="7" t="str">
        <x:v>Validare chei, tipuri, completitudine și relații</x:v>
      </x:c>
      <x:c r="E9" s="7" t="str">
        <x:v>O factură fără client intră în coada de excepții</x:v>
      </x:c>
      <x:c r="F9" s="7" t="str">
        <x:v>P0</x:v>
      </x:c>
    </x:row>
    <x:row r="10" ht="34.5" customHeight="1">
      <x:c r="A10" s="3" t="str">
        <x:v>F-006</x:v>
      </x:c>
      <x:c r="B10" s="3" t="str">
        <x:v>Date și integrare</x:v>
      </x:c>
      <x:c r="C10" s="3" t="str">
        <x:v>Istoric și versiuni</x:v>
      </x:c>
      <x:c r="D10" s="3" t="str">
        <x:v>Păstrarea stării istorice a clienților, produselor și bugetelor</x:v>
      </x:c>
      <x:c r="E10" s="3" t="str">
        <x:v>Raportul închis poate fi reprodus</x:v>
      </x:c>
      <x:c r="F10" s="3" t="str">
        <x:v>P0</x:v>
      </x:c>
    </x:row>
    <x:row r="11" ht="33" customHeight="1">
      <x:c r="A11" s="7" t="str">
        <x:v>F-007</x:v>
      </x:c>
      <x:c r="B11" s="7" t="str">
        <x:v>Date și integrare</x:v>
      </x:c>
      <x:c r="C11" s="7" t="str">
        <x:v>Catalog și proveniență</x:v>
      </x:c>
      <x:c r="D11" s="7" t="str">
        <x:v>Traseu sursă–transformare–indicator</x:v>
      </x:c>
      <x:c r="E11" s="7" t="str">
        <x:v>Utilizatorul identifică sursa unui total</x:v>
      </x:c>
      <x:c r="F11" s="7" t="str">
        <x:v>P0</x:v>
      </x:c>
    </x:row>
    <x:row r="12" ht="33" customHeight="1">
      <x:c r="A12" s="3" t="str">
        <x:v>F-008</x:v>
      </x:c>
      <x:c r="B12" s="3" t="str">
        <x:v>Date și integrare</x:v>
      </x:c>
      <x:c r="C12" s="3" t="str">
        <x:v>Monitorizare prospețime</x:v>
      </x:c>
      <x:c r="D12" s="3" t="str">
        <x:v>Ora evenimentului și ora încărcării afișate separat</x:v>
      </x:c>
      <x:c r="E12" s="3" t="str">
        <x:v>Încărcarea reușită cu date vechi nu apare ca proaspătă</x:v>
      </x:c>
      <x:c r="F12" s="3" t="str">
        <x:v>P0</x:v>
      </x:c>
    </x:row>
    <x:row r="13" ht="33" customHeight="1">
      <x:c r="A13" s="7" t="str">
        <x:v>F-009</x:v>
      </x:c>
      <x:c r="B13" s="7" t="str">
        <x:v>Definiții și control financiar</x:v>
      </x:c>
      <x:c r="C13" s="7" t="str">
        <x:v>Dicționar KPI</x:v>
      </x:c>
      <x:c r="D13" s="7" t="str">
        <x:v>Definiții și responsabil aprobate, cu versiune</x:v>
      </x:c>
      <x:c r="E13" s="7" t="str">
        <x:v>Venitul din AI este identic cu venitul din raport</x:v>
      </x:c>
      <x:c r="F13" s="7" t="str">
        <x:v>P0</x:v>
      </x:c>
    </x:row>
    <x:row r="14" ht="33" customHeight="1">
      <x:c r="A14" s="3" t="str">
        <x:v>F-010</x:v>
      </x:c>
      <x:c r="B14" s="3" t="str">
        <x:v>Definiții și control financiar</x:v>
      </x:c>
      <x:c r="C14" s="3" t="str">
        <x:v>Plan de conturi configurabil</x:v>
      </x:c>
      <x:c r="D14" s="3" t="str">
        <x:v>Mapări locale și de grup, reguli pe perioade</x:v>
      </x:c>
      <x:c r="E14" s="3" t="str">
        <x:v>Un cont nemapat este semnalat</x:v>
      </x:c>
      <x:c r="F14" s="3" t="str">
        <x:v>P0</x:v>
      </x:c>
    </x:row>
    <x:row r="15" ht="33" customHeight="1">
      <x:c r="A15" s="7" t="str">
        <x:v>F-011</x:v>
      </x:c>
      <x:c r="B15" s="7" t="str">
        <x:v>Definiții și control financiar</x:v>
      </x:c>
      <x:c r="C15" s="7" t="str">
        <x:v>Entități și consolidare</x:v>
      </x:c>
      <x:c r="D15" s="7" t="str">
        <x:v>Firme, sucursale și eliminări intercompany</x:v>
      </x:c>
      <x:c r="E15" s="7" t="str">
        <x:v>Vânzarea internă este eliminată o singură dată</x:v>
      </x:c>
      <x:c r="F15" s="7" t="str">
        <x:v>P0</x:v>
      </x:c>
    </x:row>
    <x:row r="16" ht="33" customHeight="1">
      <x:c r="A16" s="3" t="str">
        <x:v>F-012</x:v>
      </x:c>
      <x:c r="B16" s="3" t="str">
        <x:v>Definiții și control financiar</x:v>
      </x:c>
      <x:c r="C16" s="3" t="str">
        <x:v>Monede și cursuri</x:v>
      </x:c>
      <x:c r="D16" s="3" t="str">
        <x:v>Curs tranzacție, raportare și scenariu</x:v>
      </x:c>
      <x:c r="E16" s="3" t="str">
        <x:v>Raportul explică diferența de curs</x:v>
      </x:c>
      <x:c r="F16" s="3" t="str">
        <x:v>P0</x:v>
      </x:c>
    </x:row>
    <x:row r="17" ht="33" customHeight="1">
      <x:c r="A17" s="7" t="str">
        <x:v>F-013</x:v>
      </x:c>
      <x:c r="B17" s="7" t="str">
        <x:v>Definiții și control financiar</x:v>
      </x:c>
      <x:c r="C17" s="7" t="str">
        <x:v>Calendar și închidere</x:v>
      </x:c>
      <x:c r="D17" s="7" t="str">
        <x:v>Perioade fiscale, zile lucrătoare și stări provizoriu/final</x:v>
      </x:c>
      <x:c r="E17" s="7" t="str">
        <x:v>Raportul final rămâne reproductibil</x:v>
      </x:c>
      <x:c r="F17" s="7" t="str">
        <x:v>P0</x:v>
      </x:c>
    </x:row>
    <x:row r="18" ht="33" customHeight="1">
      <x:c r="A18" s="3" t="str">
        <x:v>F-014</x:v>
      </x:c>
      <x:c r="B18" s="3" t="str">
        <x:v>Definiții și control financiar</x:v>
      </x:c>
      <x:c r="C18" s="3" t="str">
        <x:v>Costuri și alocări</x:v>
      </x:c>
      <x:c r="D18" s="3" t="str">
        <x:v>Baze de alocare transparente, cu reconciliere</x:v>
      </x:c>
      <x:c r="E18" s="3" t="str">
        <x:v>Total cost alocat este egal cu baza distribuită</x:v>
      </x:c>
      <x:c r="F18" s="3" t="str">
        <x:v>P0</x:v>
      </x:c>
    </x:row>
    <x:row r="19" ht="33" customHeight="1">
      <x:c r="A19" s="7" t="str">
        <x:v>F-015</x:v>
      </x:c>
      <x:c r="B19" s="7" t="str">
        <x:v>Definiții și control financiar</x:v>
      </x:c>
      <x:c r="C19" s="7" t="str">
        <x:v>Solduri și rate corecte</x:v>
      </x:c>
      <x:c r="D19" s="7" t="str">
        <x:v>Agregare specifică tipului de măsură</x:v>
      </x:c>
      <x:c r="E19" s="7" t="str">
        <x:v>Soldul lunar nu însumează soldurile zilnice</x:v>
      </x:c>
      <x:c r="F19" s="7" t="str">
        <x:v>P0</x:v>
      </x:c>
    </x:row>
    <x:row r="20" ht="34.5" customHeight="1">
      <x:c r="A20" s="3" t="str">
        <x:v>F-016</x:v>
      </x:c>
      <x:c r="B20" s="3" t="str">
        <x:v>Definiții și control financiar</x:v>
      </x:c>
      <x:c r="C20" s="3" t="str">
        <x:v>Control ajustări</x:v>
      </x:c>
      <x:c r="D20" s="3" t="str">
        <x:v>Explicație, autor și aprobare pentru orice ajustare managerială</x:v>
      </x:c>
      <x:c r="E20" s="3" t="str">
        <x:v>EBITDA ajustat se reconciliază cu EBIT contabil</x:v>
      </x:c>
      <x:c r="F20" s="3" t="str">
        <x:v>P0</x:v>
      </x:c>
    </x:row>
    <x:row r="21" ht="33" customHeight="1">
      <x:c r="A21" s="7" t="str">
        <x:v>F-017</x:v>
      </x:c>
      <x:c r="B21" s="7" t="str">
        <x:v>Panouri și explorare</x:v>
      </x:c>
      <x:c r="C21" s="7" t="str">
        <x:v>Panou pe rol</x:v>
      </x:c>
      <x:c r="D21" s="7" t="str">
        <x:v>CEO, CFO, contabil, vânzări, operațiuni și HR</x:v>
      </x:c>
      <x:c r="E21" s="7" t="str">
        <x:v>Fiecare rol vede doar indicatorii și datele permise</x:v>
      </x:c>
      <x:c r="F21" s="7" t="str">
        <x:v>P0</x:v>
      </x:c>
    </x:row>
    <x:row r="22" ht="33" customHeight="1">
      <x:c r="A22" s="3" t="str">
        <x:v>F-018</x:v>
      </x:c>
      <x:c r="B22" s="3" t="str">
        <x:v>Panouri și explorare</x:v>
      </x:c>
      <x:c r="C22" s="3" t="str">
        <x:v>Comparații și trend</x:v>
      </x:c>
      <x:c r="D22" s="3" t="str">
        <x:v>Actual, buget, forecast și perioadă comparabilă</x:v>
      </x:c>
      <x:c r="E22" s="3" t="str">
        <x:v>Utilizatorul identifică perioada și comparatorul</x:v>
      </x:c>
      <x:c r="F22" s="3" t="str">
        <x:v>P0</x:v>
      </x:c>
    </x:row>
    <x:row r="23" ht="33" customHeight="1">
      <x:c r="A23" s="7" t="str">
        <x:v>F-019</x:v>
      </x:c>
      <x:c r="B23" s="7" t="str">
        <x:v>Panouri și explorare</x:v>
      </x:c>
      <x:c r="C23" s="7" t="str">
        <x:v>Drill-through</x:v>
      </x:c>
      <x:c r="D23" s="7" t="str">
        <x:v>Total până la client, tranzacție și document</x:v>
      </x:c>
      <x:c r="E23" s="7" t="str">
        <x:v>Suma detaliilor explică exact totalul selectat</x:v>
      </x:c>
      <x:c r="F23" s="7" t="str">
        <x:v>P0</x:v>
      </x:c>
    </x:row>
    <x:row r="24" ht="33" customHeight="1">
      <x:c r="A24" s="3" t="str">
        <x:v>F-020</x:v>
      </x:c>
      <x:c r="B24" s="3" t="str">
        <x:v>Panouri și explorare</x:v>
      </x:c>
      <x:c r="C24" s="3" t="str">
        <x:v>Analiză ad-hoc</x:v>
      </x:c>
      <x:c r="D24" s="3" t="str">
        <x:v>Dimensiuni și măsuri selectabile din modelul aprobat</x:v>
      </x:c>
      <x:c r="E24" s="3" t="str">
        <x:v>Managerul răspunde unei întrebări noi fără dezvoltare</x:v>
      </x:c>
      <x:c r="F24" s="3" t="str">
        <x:v>P0</x:v>
      </x:c>
    </x:row>
    <x:row r="25" ht="33" customHeight="1">
      <x:c r="A25" s="7" t="str">
        <x:v>F-021</x:v>
      </x:c>
      <x:c r="B25" s="7" t="str">
        <x:v>Panouri și explorare</x:v>
      </x:c>
      <x:c r="C25" s="7" t="str">
        <x:v>Filtre și bookmarks</x:v>
      </x:c>
      <x:c r="D25" s="7" t="str">
        <x:v>Filtre persistente, vizibile și ușor de resetat</x:v>
      </x:c>
      <x:c r="E25" s="7" t="str">
        <x:v>Exportul păstrează contextul filtrelor</x:v>
      </x:c>
      <x:c r="F25" s="7" t="str">
        <x:v>P0</x:v>
      </x:c>
    </x:row>
    <x:row r="26" ht="34.5" customHeight="1">
      <x:c r="A26" s="3" t="str">
        <x:v>F-022</x:v>
      </x:c>
      <x:c r="B26" s="3" t="str">
        <x:v>Panouri și explorare</x:v>
      </x:c>
      <x:c r="C26" s="3" t="str">
        <x:v>Vizualizări potrivite</x:v>
      </x:c>
      <x:c r="D26" s="3" t="str">
        <x:v>Tabele, waterfall, cohortă, hartă și distribuție după întrebare</x:v>
      </x:c>
      <x:c r="E26" s="3" t="str">
        <x:v>Graficul păstrează unitățile și arată lipsurile</x:v>
      </x:c>
      <x:c r="F26" s="3" t="str">
        <x:v>P0</x:v>
      </x:c>
    </x:row>
    <x:row r="27" ht="33" customHeight="1">
      <x:c r="A27" s="7" t="str">
        <x:v>F-023</x:v>
      </x:c>
      <x:c r="B27" s="7" t="str">
        <x:v>Panouri și explorare</x:v>
      </x:c>
      <x:c r="C27" s="7" t="str">
        <x:v>Mobile și accesibilitate</x:v>
      </x:c>
      <x:c r="D27" s="7" t="str">
        <x:v>Ecran adaptat, contrast și navigare cu tastatura</x:v>
      </x:c>
      <x:c r="E27" s="7" t="str">
        <x:v>KPI critice sunt lizibile pe telefon</x:v>
      </x:c>
      <x:c r="F27" s="7" t="str">
        <x:v>P0</x:v>
      </x:c>
    </x:row>
    <x:row r="28" ht="33" customHeight="1">
      <x:c r="A28" s="3" t="str">
        <x:v>F-024</x:v>
      </x:c>
      <x:c r="B28" s="3" t="str">
        <x:v>Panouri și explorare</x:v>
      </x:c>
      <x:c r="C28" s="3" t="str">
        <x:v>Listă de excepții</x:v>
      </x:c>
      <x:c r="D28" s="3" t="str">
        <x:v>Impact estimat, responsabil, termen, stare</x:v>
      </x:c>
      <x:c r="E28" s="3" t="str">
        <x:v>Excepția poate fi atribuită și închisă verificabil</x:v>
      </x:c>
      <x:c r="F28" s="3" t="str">
        <x:v>P0</x:v>
      </x:c>
    </x:row>
    <x:row r="29" ht="34.5" customHeight="1">
      <x:c r="A29" s="7" t="str">
        <x:v>F-025</x:v>
      </x:c>
      <x:c r="B29" s="7" t="str">
        <x:v>AI conversațional și explicații</x:v>
      </x:c>
      <x:c r="C29" s="7" t="str">
        <x:v>Întrebări în română</x:v>
      </x:c>
      <x:c r="D29" s="7" t="str">
        <x:v>Vocabular economic local și sinonime</x:v>
      </x:c>
      <x:c r="E29" s="7" t="str">
        <x:v>Setul românesc de întrebări etalon este trecut</x:v>
      </x:c>
      <x:c r="F29" s="7" t="str">
        <x:v>P1</x:v>
      </x:c>
    </x:row>
    <x:row r="30" ht="34.5" customHeight="1">
      <x:c r="A30" s="3" t="str">
        <x:v>F-026</x:v>
      </x:c>
      <x:c r="B30" s="3" t="str">
        <x:v>AI conversațional și explicații</x:v>
      </x:c>
      <x:c r="C30" s="3" t="str">
        <x:v>Răspuns cu proveniență</x:v>
      </x:c>
      <x:c r="D30" s="3" t="str">
        <x:v>Metrică, perioadă, filtre, sursă și calcul vizibile</x:v>
      </x:c>
      <x:c r="E30" s="3" t="str">
        <x:v>Utilizatorul poate reproduce suma răspunsului</x:v>
      </x:c>
      <x:c r="F30" s="3" t="str">
        <x:v>P1</x:v>
      </x:c>
    </x:row>
    <x:row r="31" ht="34.5" customHeight="1">
      <x:c r="A31" s="7" t="str">
        <x:v>F-027</x:v>
      </x:c>
      <x:c r="B31" s="7" t="str">
        <x:v>AI conversațional și explicații</x:v>
      </x:c>
      <x:c r="C31" s="7" t="str">
        <x:v>Clarificarea ambiguității</x:v>
      </x:c>
      <x:c r="D31" s="7" t="str">
        <x:v>Întrebări suplimentare pentru venit, profit sau client ambiguu</x:v>
      </x:c>
      <x:c r="E31" s="7" t="str">
        <x:v>AI cere baza și perioada înainte de calcul</x:v>
      </x:c>
      <x:c r="F31" s="7" t="str">
        <x:v>P1</x:v>
      </x:c>
    </x:row>
    <x:row r="32" ht="34.5" customHeight="1">
      <x:c r="A32" s="3" t="str">
        <x:v>F-028</x:v>
      </x:c>
      <x:c r="B32" s="3" t="str">
        <x:v>AI conversațional și explicații</x:v>
      </x:c>
      <x:c r="C32" s="3" t="str">
        <x:v>Răspunsuri verificate</x:v>
      </x:c>
      <x:c r="D32" s="3" t="str">
        <x:v>Bibliotecă de întrebări și rezultate certificate</x:v>
      </x:c>
      <x:c r="E32" s="3" t="str">
        <x:v>Întrebarea standard folosește definiția aprobată</x:v>
      </x:c>
      <x:c r="F32" s="3" t="str">
        <x:v>P1</x:v>
      </x:c>
    </x:row>
    <x:row r="33" ht="34.5" customHeight="1">
      <x:c r="A33" s="7" t="str">
        <x:v>F-029</x:v>
      </x:c>
      <x:c r="B33" s="7" t="str">
        <x:v>AI conversațional și explicații</x:v>
      </x:c>
      <x:c r="C33" s="7" t="str">
        <x:v>Rezumat managerial</x:v>
      </x:c>
      <x:c r="D33" s="7" t="str">
        <x:v>Abateri, factori asociați, implicații și acțiuni sugerate</x:v>
      </x:c>
      <x:c r="E33" s="7" t="str">
        <x:v>Fiecare număr din rezumat se regăsește în date</x:v>
      </x:c>
      <x:c r="F33" s="7" t="str">
        <x:v>P1</x:v>
      </x:c>
    </x:row>
    <x:row r="34" ht="34.5" customHeight="1">
      <x:c r="A34" s="3" t="str">
        <x:v>F-030</x:v>
      </x:c>
      <x:c r="B34" s="3" t="str">
        <x:v>AI conversațional și explicații</x:v>
      </x:c>
      <x:c r="C34" s="3" t="str">
        <x:v>Generare rapoarte</x:v>
      </x:c>
      <x:c r="D34" s="3" t="str">
        <x:v>Vizualizări și calcule propuse de AI</x:v>
      </x:c>
      <x:c r="E34" s="3" t="str">
        <x:v>Raportul se validează înainte de publicare</x:v>
      </x:c>
      <x:c r="F34" s="3" t="str">
        <x:v>P1</x:v>
      </x:c>
    </x:row>
    <x:row r="35" ht="34.5" customHeight="1">
      <x:c r="A35" s="7" t="str">
        <x:v>F-031</x:v>
      </x:c>
      <x:c r="B35" s="7" t="str">
        <x:v>AI conversațional și explicații</x:v>
      </x:c>
      <x:c r="C35" s="7" t="str">
        <x:v>Documente și date împreună</x:v>
      </x:c>
      <x:c r="D35" s="7" t="str">
        <x:v>Contracte și proceduri citate lângă datele ERP</x:v>
      </x:c>
      <x:c r="E35" s="7" t="str">
        <x:v>Clauza citată este din versiunea contractuală corectă</x:v>
      </x:c>
      <x:c r="F35" s="7" t="str">
        <x:v>P1</x:v>
      </x:c>
    </x:row>
    <x:row r="36" ht="34.5" customHeight="1">
      <x:c r="A36" s="3" t="str">
        <x:v>F-032</x:v>
      </x:c>
      <x:c r="B36" s="3" t="str">
        <x:v>AI conversațional și explicații</x:v>
      </x:c>
      <x:c r="C36" s="3" t="str">
        <x:v>Abținere și evaluare AI</x:v>
      </x:c>
      <x:c r="D36" s="3" t="str">
        <x:v>Răspuns indisponibil când dovezile lipsesc</x:v>
      </x:c>
      <x:c r="E36" s="3" t="str">
        <x:v>Întrebarea fără date nu produce cifre inventate</x:v>
      </x:c>
      <x:c r="F36" s="3" t="str">
        <x:v>P1</x:v>
      </x:c>
    </x:row>
    <x:row r="37" ht="34.5" customHeight="1">
      <x:c r="A37" s="7" t="str">
        <x:v>F-033</x:v>
      </x:c>
      <x:c r="B37" s="7" t="str">
        <x:v>Predicții și optimizare</x:v>
      </x:c>
      <x:c r="C37" s="7" t="str">
        <x:v>Forecast cerere</x:v>
      </x:c>
      <x:c r="D37" s="7" t="str">
        <x:v>Sezonalitate, promoții și evenimente</x:v>
      </x:c>
      <x:c r="E37" s="7" t="str">
        <x:v>Depășește o prognoză simplă pe date nefolosite la antrenare</x:v>
      </x:c>
      <x:c r="F37" s="7" t="str">
        <x:v>P2</x:v>
      </x:c>
    </x:row>
    <x:row r="38" ht="33" customHeight="1">
      <x:c r="A38" s="3" t="str">
        <x:v>F-034</x:v>
      </x:c>
      <x:c r="B38" s="3" t="str">
        <x:v>Predicții și optimizare</x:v>
      </x:c>
      <x:c r="C38" s="3" t="str">
        <x:v>Forecast numerar</x:v>
      </x:c>
      <x:c r="D38" s="3" t="str">
        <x:v>Scadențe, comportament de plată și scenarii</x:v>
      </x:c>
      <x:c r="E38" s="3" t="str">
        <x:v>Eroarea pe orizont este raportată săptămânal</x:v>
      </x:c>
      <x:c r="F38" s="3" t="str">
        <x:v>P2</x:v>
      </x:c>
    </x:row>
    <x:row r="39" ht="33" customHeight="1">
      <x:c r="A39" s="7" t="str">
        <x:v>F-035</x:v>
      </x:c>
      <x:c r="B39" s="7" t="str">
        <x:v>Predicții și optimizare</x:v>
      </x:c>
      <x:c r="C39" s="7" t="str">
        <x:v>Detectare anomalii</x:v>
      </x:c>
      <x:c r="D39" s="7" t="str">
        <x:v>Praguri statistice și reguli de business</x:v>
      </x:c>
      <x:c r="E39" s="7" t="str">
        <x:v>Alarmele au rată de fals pozitiv măsurată</x:v>
      </x:c>
      <x:c r="F39" s="7" t="str">
        <x:v>P2</x:v>
      </x:c>
    </x:row>
    <x:row r="40" ht="34.5" customHeight="1">
      <x:c r="A40" s="3" t="str">
        <x:v>F-036</x:v>
      </x:c>
      <x:c r="B40" s="3" t="str">
        <x:v>Predicții și optimizare</x:v>
      </x:c>
      <x:c r="C40" s="3" t="str">
        <x:v>Factori ai variației</x:v>
      </x:c>
      <x:c r="D40" s="3" t="str">
        <x:v>Descompuneri și asocieri explicate</x:v>
      </x:c>
      <x:c r="E40" s="3" t="str">
        <x:v>Corelația este etichetată și nu prezentată ca o cauză dovedită</x:v>
      </x:c>
      <x:c r="F40" s="3" t="str">
        <x:v>P2</x:v>
      </x:c>
    </x:row>
    <x:row r="41" ht="33" customHeight="1">
      <x:c r="A41" s="7" t="str">
        <x:v>F-037</x:v>
      </x:c>
      <x:c r="B41" s="7" t="str">
        <x:v>Predicții și optimizare</x:v>
      </x:c>
      <x:c r="C41" s="7" t="str">
        <x:v>Risc churn și neplată</x:v>
      </x:c>
      <x:c r="D41" s="7" t="str">
        <x:v>Scoruri calibrate pe cohorte</x:v>
      </x:c>
      <x:c r="E41" s="7" t="str">
        <x:v>Calibrarea și precizia sunt măsurate pe perioade noi</x:v>
      </x:c>
      <x:c r="F41" s="7" t="str">
        <x:v>P2</x:v>
      </x:c>
    </x:row>
    <x:row r="42" ht="33" customHeight="1">
      <x:c r="A42" s="3" t="str">
        <x:v>F-038</x:v>
      </x:c>
      <x:c r="B42" s="3" t="str">
        <x:v>Predicții și optimizare</x:v>
      </x:c>
      <x:c r="C42" s="3" t="str">
        <x:v>Simulare what-if</x:v>
      </x:c>
      <x:c r="D42" s="3" t="str">
        <x:v>Preț, volum, curs, cost și personal</x:v>
      </x:c>
      <x:c r="E42" s="3" t="str">
        <x:v>Ipotezele și efectele sunt reproductibile</x:v>
      </x:c>
      <x:c r="F42" s="3" t="str">
        <x:v>P2</x:v>
      </x:c>
    </x:row>
    <x:row r="43" ht="33" customHeight="1">
      <x:c r="A43" s="7" t="str">
        <x:v>F-039</x:v>
      </x:c>
      <x:c r="B43" s="7" t="str">
        <x:v>Predicții și optimizare</x:v>
      </x:c>
      <x:c r="C43" s="7" t="str">
        <x:v>Optimizare cu restricții</x:v>
      </x:c>
      <x:c r="D43" s="7" t="str">
        <x:v>Stoc, rute și capacitate în limite aprobate</x:v>
      </x:c>
      <x:c r="E43" s="7" t="str">
        <x:v>Soluția respectă capacitatea și limitele operaționale</x:v>
      </x:c>
      <x:c r="F43" s="7" t="str">
        <x:v>P2</x:v>
      </x:c>
    </x:row>
    <x:row r="44" ht="33" customHeight="1">
      <x:c r="A44" s="3" t="str">
        <x:v>F-040</x:v>
      </x:c>
      <x:c r="B44" s="3" t="str">
        <x:v>Predicții și optimizare</x:v>
      </x:c>
      <x:c r="C44" s="3" t="str">
        <x:v>Monitorizare modele</x:v>
      </x:c>
      <x:c r="D44" s="3" t="str">
        <x:v>Drift, erori, versiune și retragere model</x:v>
      </x:c>
      <x:c r="E44" s="3" t="str">
        <x:v>Modelul degradat revine la o regulă verificată</x:v>
      </x:c>
      <x:c r="F44" s="3" t="str">
        <x:v>P2</x:v>
      </x:c>
    </x:row>
    <x:row r="45" ht="33" customHeight="1">
      <x:c r="A45" s="7" t="str">
        <x:v>F-041</x:v>
      </x:c>
      <x:c r="B45" s="7" t="str">
        <x:v>Planificare și colaborare</x:v>
      </x:c>
      <x:c r="C45" s="7" t="str">
        <x:v>Bugete pe factori</x:v>
      </x:c>
      <x:c r="D45" s="7" t="str">
        <x:v>Cantitate, preț, salarii, termene și investiții</x:v>
      </x:c>
      <x:c r="E45" s="7" t="str">
        <x:v>Modificarea unui factor actualizează ieșirile relevante</x:v>
      </x:c>
      <x:c r="F45" s="7" t="str">
        <x:v>P1</x:v>
      </x:c>
    </x:row>
    <x:row r="46" ht="33" customHeight="1">
      <x:c r="A46" s="3" t="str">
        <x:v>F-042</x:v>
      </x:c>
      <x:c r="B46" s="3" t="str">
        <x:v>Planificare și colaborare</x:v>
      </x:c>
      <x:c r="C46" s="3" t="str">
        <x:v>Versiuni scenarii</x:v>
      </x:c>
      <x:c r="D46" s="3" t="str">
        <x:v>Bază, favorabil și nefavorabil cu ipoteze proprii</x:v>
      </x:c>
      <x:c r="E46" s="3" t="str">
        <x:v>Scenariile nu suprascriu realizatul</x:v>
      </x:c>
      <x:c r="F46" s="3" t="str">
        <x:v>P1</x:v>
      </x:c>
    </x:row>
    <x:row r="47" ht="33" customHeight="1">
      <x:c r="A47" s="7" t="str">
        <x:v>F-043</x:v>
      </x:c>
      <x:c r="B47" s="7" t="str">
        <x:v>Planificare și colaborare</x:v>
      </x:c>
      <x:c r="C47" s="7" t="str">
        <x:v>Write-back plan</x:v>
      </x:c>
      <x:c r="D47" s="7" t="str">
        <x:v>Scriere în tabele de plan autorizate și versionate</x:v>
      </x:c>
      <x:c r="E47" s="7" t="str">
        <x:v>Bugetul schimbat păstrează autorul și versiunea</x:v>
      </x:c>
      <x:c r="F47" s="7" t="str">
        <x:v>P1</x:v>
      </x:c>
    </x:row>
    <x:row r="48" ht="33" customHeight="1">
      <x:c r="A48" s="3" t="str">
        <x:v>F-044</x:v>
      </x:c>
      <x:c r="B48" s="3" t="str">
        <x:v>Planificare și colaborare</x:v>
      </x:c>
      <x:c r="C48" s="3" t="str">
        <x:v>Flux aprobare plan</x:v>
      </x:c>
      <x:c r="D48" s="3" t="str">
        <x:v>Responsabili, termene, delegări și blocare</x:v>
      </x:c>
      <x:c r="E48" s="3" t="str">
        <x:v>Versiunea aprobată nu se modifică fără revizie</x:v>
      </x:c>
      <x:c r="F48" s="3" t="str">
        <x:v>P1</x:v>
      </x:c>
    </x:row>
    <x:row r="49" ht="33" customHeight="1">
      <x:c r="A49" s="7" t="str">
        <x:v>F-045</x:v>
      </x:c>
      <x:c r="B49" s="7" t="str">
        <x:v>Planificare și colaborare</x:v>
      </x:c>
      <x:c r="C49" s="7" t="str">
        <x:v>Comentarii contextualizate</x:v>
      </x:c>
      <x:c r="D49" s="7" t="str">
        <x:v>Comentariu legat de KPI, perioadă și filtre</x:v>
      </x:c>
      <x:c r="E49" s="7" t="str">
        <x:v>Comentariul rămâne pe contextul original</x:v>
      </x:c>
      <x:c r="F49" s="7" t="str">
        <x:v>P1</x:v>
      </x:c>
    </x:row>
    <x:row r="50" ht="33" customHeight="1">
      <x:c r="A50" s="3" t="str">
        <x:v>F-046</x:v>
      </x:c>
      <x:c r="B50" s="3" t="str">
        <x:v>Planificare și colaborare</x:v>
      </x:c>
      <x:c r="C50" s="3" t="str">
        <x:v>Pachet ședință</x:v>
      </x:c>
      <x:c r="D50" s="3" t="str">
        <x:v>Raport periodic cu explicații și decizii</x:v>
      </x:c>
      <x:c r="E50" s="3" t="str">
        <x:v>Raportul poate fi refăcut la data de referință</x:v>
      </x:c>
      <x:c r="F50" s="3" t="str">
        <x:v>P1</x:v>
      </x:c>
    </x:row>
    <x:row r="51" ht="33" customHeight="1">
      <x:c r="A51" s="7" t="str">
        <x:v>F-047</x:v>
      </x:c>
      <x:c r="B51" s="7" t="str">
        <x:v>Planificare și colaborare</x:v>
      </x:c>
      <x:c r="C51" s="7" t="str">
        <x:v>Export Excel și PDF</x:v>
      </x:c>
      <x:c r="D51" s="7" t="str">
        <x:v>Date filtrate, unități și metadate incluse</x:v>
      </x:c>
      <x:c r="E51" s="7" t="str">
        <x:v>Exportul respectă drepturile și totalurile</x:v>
      </x:c>
      <x:c r="F51" s="7" t="str">
        <x:v>P1</x:v>
      </x:c>
    </x:row>
    <x:row r="52" ht="33" customHeight="1">
      <x:c r="A52" s="3" t="str">
        <x:v>F-048</x:v>
      </x:c>
      <x:c r="B52" s="3" t="str">
        <x:v>Planificare și colaborare</x:v>
      </x:c>
      <x:c r="C52" s="3" t="str">
        <x:v>Distribuție personalizată</x:v>
      </x:c>
      <x:c r="D52" s="3" t="str">
        <x:v>Abonamente pe rol și canal autorizat</x:v>
      </x:c>
      <x:c r="E52" s="3" t="str">
        <x:v>Destinatarul primește doar perimetrul permis</x:v>
      </x:c>
      <x:c r="F52" s="3" t="str">
        <x:v>P1</x:v>
      </x:c>
    </x:row>
    <x:row r="53" ht="33" customHeight="1">
      <x:c r="A53" s="7" t="str">
        <x:v>F-049</x:v>
      </x:c>
      <x:c r="B53" s="7" t="str">
        <x:v>Automatizări și acțiuni</x:v>
      </x:c>
      <x:c r="C53" s="7" t="str">
        <x:v>Motor de reguli</x:v>
      </x:c>
      <x:c r="D53" s="7" t="str">
        <x:v>Eveniment, condiție, prag, fereastră și responsabil</x:v>
      </x:c>
      <x:c r="E53" s="7" t="str">
        <x:v>Regula este testabilă pe date istorice</x:v>
      </x:c>
      <x:c r="F53" s="7" t="str">
        <x:v>P1</x:v>
      </x:c>
    </x:row>
    <x:row r="54" ht="33" customHeight="1">
      <x:c r="A54" s="3" t="str">
        <x:v>F-050</x:v>
      </x:c>
      <x:c r="B54" s="3" t="str">
        <x:v>Automatizări și acțiuni</x:v>
      </x:c>
      <x:c r="C54" s="3" t="str">
        <x:v>Fluxuri vizuale</x:v>
      </x:c>
      <x:c r="D54" s="3" t="str">
        <x:v>Pași, condiții, aprobări și tratare erori</x:v>
      </x:c>
      <x:c r="E54" s="3" t="str">
        <x:v>O eroare oprește numai pașii dependenți</x:v>
      </x:c>
      <x:c r="F54" s="3" t="str">
        <x:v>P1</x:v>
      </x:c>
    </x:row>
    <x:row r="55" ht="33" customHeight="1">
      <x:c r="A55" s="7" t="str">
        <x:v>F-051</x:v>
      </x:c>
      <x:c r="B55" s="7" t="str">
        <x:v>Automatizări și acțiuni</x:v>
      </x:c>
      <x:c r="C55" s="7" t="str">
        <x:v>Acțiuni prin API</x:v>
      </x:c>
      <x:c r="D55" s="7" t="str">
        <x:v>Creare sarcini și propuneri ERP/CRM</x:v>
      </x:c>
      <x:c r="E55" s="7" t="str">
        <x:v>Acțiunea produce ID și stare de confirmare</x:v>
      </x:c>
      <x:c r="F55" s="7" t="str">
        <x:v>P1</x:v>
      </x:c>
    </x:row>
    <x:row r="56" ht="33" customHeight="1">
      <x:c r="A56" s="3" t="str">
        <x:v>F-052</x:v>
      </x:c>
      <x:c r="B56" s="3" t="str">
        <x:v>Automatizări și acțiuni</x:v>
      </x:c>
      <x:c r="C56" s="3" t="str">
        <x:v>Idempotență</x:v>
      </x:c>
      <x:c r="D56" s="3" t="str">
        <x:v>Cheie unică pe eveniment și acțiune</x:v>
      </x:c>
      <x:c r="E56" s="3" t="str">
        <x:v>Reluarea nu produce o a doua comandă</x:v>
      </x:c>
      <x:c r="F56" s="3" t="str">
        <x:v>P1</x:v>
      </x:c>
    </x:row>
    <x:row r="57" ht="33" customHeight="1">
      <x:c r="A57" s="7" t="str">
        <x:v>F-053</x:v>
      </x:c>
      <x:c r="B57" s="7" t="str">
        <x:v>Automatizări și acțiuni</x:v>
      </x:c>
      <x:c r="C57" s="7" t="str">
        <x:v>Simulare înainte de activare</x:v>
      </x:c>
      <x:c r="D57" s="7" t="str">
        <x:v>Mod de observare fără efect operațional</x:v>
      </x:c>
      <x:c r="E57" s="7" t="str">
        <x:v>Operatorul vede acțiunile care s-ar fi executat</x:v>
      </x:c>
      <x:c r="F57" s="7" t="str">
        <x:v>P1</x:v>
      </x:c>
    </x:row>
    <x:row r="58" ht="33" customHeight="1">
      <x:c r="A58" s="3" t="str">
        <x:v>F-054</x:v>
      </x:c>
      <x:c r="B58" s="3" t="str">
        <x:v>Automatizări și acțiuni</x:v>
      </x:c>
      <x:c r="C58" s="3" t="str">
        <x:v>Aprobări și limite</x:v>
      </x:c>
      <x:c r="D58" s="3" t="str">
        <x:v>Plafoane valorice, roluri și listă acțiuni permise</x:v>
      </x:c>
      <x:c r="E58" s="3" t="str">
        <x:v>Acțiunea peste plafon așteaptă aprobarea</x:v>
      </x:c>
      <x:c r="F58" s="3" t="str">
        <x:v>P1</x:v>
      </x:c>
    </x:row>
    <x:row r="59" ht="33" customHeight="1">
      <x:c r="A59" s="7" t="str">
        <x:v>F-055</x:v>
      </x:c>
      <x:c r="B59" s="7" t="str">
        <x:v>Automatizări și acțiuni</x:v>
      </x:c>
      <x:c r="C59" s="7" t="str">
        <x:v>Escaladare și deduplicare</x:v>
      </x:c>
      <x:c r="D59" s="7" t="str">
        <x:v>Agregare alerte, interval de liniște și SLA</x:v>
      </x:c>
      <x:c r="E59" s="7" t="str">
        <x:v>Aceeași problemă nu generează avalanșă de mesaje</x:v>
      </x:c>
      <x:c r="F59" s="7" t="str">
        <x:v>P1</x:v>
      </x:c>
    </x:row>
    <x:row r="60" ht="34.5" customHeight="1">
      <x:c r="A60" s="3" t="str">
        <x:v>F-056</x:v>
      </x:c>
      <x:c r="B60" s="3" t="str">
        <x:v>Automatizări și acțiuni</x:v>
      </x:c>
      <x:c r="C60" s="3" t="str">
        <x:v>Rezultat și oprire</x:v>
      </x:c>
      <x:c r="D60" s="3" t="str">
        <x:v>Verificare efect, jurnal și mecanism de suspendare</x:v>
      </x:c>
      <x:c r="E60" s="3" t="str">
        <x:v>Administratorul oprește fluxul și vede execuțiile afectate</x:v>
      </x:c>
      <x:c r="F60" s="3" t="str">
        <x:v>P1</x:v>
      </x:c>
    </x:row>
    <x:row r="61" ht="33" customHeight="1">
      <x:c r="A61" s="7" t="str">
        <x:v>F-057</x:v>
      </x:c>
      <x:c r="B61" s="7" t="str">
        <x:v>Securitate și administrare</x:v>
      </x:c>
      <x:c r="C61" s="7" t="str">
        <x:v>Identitate unică</x:v>
      </x:c>
      <x:c r="D61" s="7" t="str">
        <x:v>SSO și autentificare conform politicii</x:v>
      </x:c>
      <x:c r="E61" s="7" t="str">
        <x:v>Revocarea utilizatorului oprește accesul</x:v>
      </x:c>
      <x:c r="F61" s="7" t="str">
        <x:v>P0</x:v>
      </x:c>
    </x:row>
    <x:row r="62" ht="33" customHeight="1">
      <x:c r="A62" s="3" t="str">
        <x:v>F-058</x:v>
      </x:c>
      <x:c r="B62" s="3" t="str">
        <x:v>Securitate și administrare</x:v>
      </x:c>
      <x:c r="C62" s="3" t="str">
        <x:v>Acces pe rând și coloană</x:v>
      </x:c>
      <x:c r="D62" s="3" t="str">
        <x:v>Separare firme, departamente și date sensibile</x:v>
      </x:c>
      <x:c r="E62" s="3" t="str">
        <x:v>Utilizatorul nu obține date interzise prin AI sau export</x:v>
      </x:c>
      <x:c r="F62" s="3" t="str">
        <x:v>P0</x:v>
      </x:c>
    </x:row>
    <x:row r="63" ht="33" customHeight="1">
      <x:c r="A63" s="7" t="str">
        <x:v>F-059</x:v>
      </x:c>
      <x:c r="B63" s="7" t="str">
        <x:v>Securitate și administrare</x:v>
      </x:c>
      <x:c r="C63" s="7" t="str">
        <x:v>Izolare clienți</x:v>
      </x:c>
      <x:c r="D63" s="7" t="str">
        <x:v>Separare tenant și context pentru produs oferit terților</x:v>
      </x:c>
      <x:c r="E63" s="7" t="str">
        <x:v>Testele nu detectează acces între clienți</x:v>
      </x:c>
      <x:c r="F63" s="7" t="str">
        <x:v>P0</x:v>
      </x:c>
    </x:row>
    <x:row r="64" ht="33" customHeight="1">
      <x:c r="A64" s="3" t="str">
        <x:v>F-060</x:v>
      </x:c>
      <x:c r="B64" s="3" t="str">
        <x:v>Securitate și administrare</x:v>
      </x:c>
      <x:c r="C64" s="3" t="str">
        <x:v>Jurnal audit</x:v>
      </x:c>
      <x:c r="D64" s="3" t="str">
        <x:v>Citire sensibilă, export, modificări și acțiuni</x:v>
      </x:c>
      <x:c r="E64" s="3" t="str">
        <x:v>O acțiune se reconstruiește cu autor și rezultat</x:v>
      </x:c>
      <x:c r="F64" s="3" t="str">
        <x:v>P0</x:v>
      </x:c>
    </x:row>
    <x:row r="65" ht="33" customHeight="1">
      <x:c r="A65" s="7" t="str">
        <x:v>F-061</x:v>
      </x:c>
      <x:c r="B65" s="7" t="str">
        <x:v>Securitate și administrare</x:v>
      </x:c>
      <x:c r="C65" s="7" t="str">
        <x:v>Politici de păstrare</x:v>
      </x:c>
      <x:c r="D65" s="7" t="str">
        <x:v>Retenție, ștergere și arhivare configurate</x:v>
      </x:c>
      <x:c r="E65" s="7" t="str">
        <x:v>Datele expirate urmează politica aprobată</x:v>
      </x:c>
      <x:c r="F65" s="7" t="str">
        <x:v>P0</x:v>
      </x:c>
    </x:row>
    <x:row r="66" ht="33" customHeight="1">
      <x:c r="A66" s="3" t="str">
        <x:v>F-062</x:v>
      </x:c>
      <x:c r="B66" s="3" t="str">
        <x:v>Securitate și administrare</x:v>
      </x:c>
      <x:c r="C66" s="3" t="str">
        <x:v>Control date trimise către AI</x:v>
      </x:c>
      <x:c r="D66" s="3" t="str">
        <x:v>Furnizor, regiune, conținut și utilizări documentate</x:v>
      </x:c>
      <x:c r="E66" s="3" t="str">
        <x:v>Administratorul vede exact clasele de date transmise</x:v>
      </x:c>
      <x:c r="F66" s="3" t="str">
        <x:v>P0</x:v>
      </x:c>
    </x:row>
    <x:row r="67" ht="33" customHeight="1">
      <x:c r="A67" s="7" t="str">
        <x:v>F-063</x:v>
      </x:c>
      <x:c r="B67" s="7" t="str">
        <x:v>Securitate și administrare</x:v>
      </x:c>
      <x:c r="C67" s="7" t="str">
        <x:v>Mediu test și producție</x:v>
      </x:c>
      <x:c r="D67" s="7" t="str">
        <x:v>Publicare controlată și revenire la versiune</x:v>
      </x:c>
      <x:c r="E67" s="7" t="str">
        <x:v>Schimbarea eronată poate fi retrasă</x:v>
      </x:c>
      <x:c r="F67" s="7" t="str">
        <x:v>P0</x:v>
      </x:c>
    </x:row>
    <x:row r="68" ht="33" customHeight="1">
      <x:c r="A68" s="3" t="str">
        <x:v>F-064</x:v>
      </x:c>
      <x:c r="B68" s="3" t="str">
        <x:v>Securitate și administrare</x:v>
      </x:c>
      <x:c r="C68" s="3" t="str">
        <x:v>Continuitate serviciu</x:v>
      </x:c>
      <x:c r="D68" s="3" t="str">
        <x:v>Backup, restaurare și plan de recuperare</x:v>
      </x:c>
      <x:c r="E68" s="3" t="str">
        <x:v>Restaurarea este demonstrată pe o copie de test</x:v>
      </x:c>
      <x:c r="F68" s="3" t="str">
        <x:v>P0</x:v>
      </x:c>
    </x:row>
    <x:row r="69" ht="33" customHeight="1">
      <x:c r="A69" s="7" t="str">
        <x:v>F-065</x:v>
      </x:c>
      <x:c r="B69" s="7" t="str">
        <x:v>Performanță și cost</x:v>
      </x:c>
      <x:c r="C69" s="7" t="str">
        <x:v>SLA de răspuns</x:v>
      </x:c>
      <x:c r="D69" s="7" t="str">
        <x:v>Ținte pe volum, concurență și complexitate</x:v>
      </x:c>
      <x:c r="E69" s="7" t="str">
        <x:v>Se măsoară p95 la încărcarea agreată</x:v>
      </x:c>
      <x:c r="F69" s="7" t="str">
        <x:v>P0</x:v>
      </x:c>
    </x:row>
    <x:row r="70" ht="33" customHeight="1">
      <x:c r="A70" s="3" t="str">
        <x:v>F-066</x:v>
      </x:c>
      <x:c r="B70" s="3" t="str">
        <x:v>Performanță și cost</x:v>
      </x:c>
      <x:c r="C70" s="3" t="str">
        <x:v>Scalare</x:v>
      </x:c>
      <x:c r="D70" s="3" t="str">
        <x:v>Cache, agregări și capacitate adaptată</x:v>
      </x:c>
      <x:c r="E70" s="3" t="str">
        <x:v>Testul concurent păstrează SLA-ul</x:v>
      </x:c>
      <x:c r="F70" s="3" t="str">
        <x:v>P0</x:v>
      </x:c>
    </x:row>
    <x:row r="71" ht="33" customHeight="1">
      <x:c r="A71" s="7" t="str">
        <x:v>F-067</x:v>
      </x:c>
      <x:c r="B71" s="7" t="str">
        <x:v>Performanță și cost</x:v>
      </x:c>
      <x:c r="C71" s="7" t="str">
        <x:v>Observabilitate</x:v>
      </x:c>
      <x:c r="D71" s="7" t="str">
        <x:v>Jurnale, metrici și urmărirea erorilor</x:v>
      </x:c>
      <x:c r="E71" s="7" t="str">
        <x:v>Incidentul poate fi localizat la sursa lui</x:v>
      </x:c>
      <x:c r="F71" s="7" t="str">
        <x:v>P0</x:v>
      </x:c>
    </x:row>
    <x:row r="72" ht="33" customHeight="1">
      <x:c r="A72" s="3" t="str">
        <x:v>F-068</x:v>
      </x:c>
      <x:c r="B72" s="3" t="str">
        <x:v>Performanță și cost</x:v>
      </x:c>
      <x:c r="C72" s="3" t="str">
        <x:v>Control cost cloud și AI</x:v>
      </x:c>
      <x:c r="D72" s="3" t="str">
        <x:v>Cost pe raport, întrebare și automatizare</x:v>
      </x:c>
      <x:c r="E72" s="3" t="str">
        <x:v>Consum peste buget produce alertă</x:v>
      </x:c>
      <x:c r="F72" s="3" t="str">
        <x:v>P0</x:v>
      </x:c>
    </x:row>
    <x:row r="73" ht="33" customHeight="1">
      <x:c r="A73" s="7" t="str">
        <x:v>F-069</x:v>
      </x:c>
      <x:c r="B73" s="7" t="str">
        <x:v>Performanță și cost</x:v>
      </x:c>
      <x:c r="C73" s="7" t="str">
        <x:v>Utilizare conținut</x:v>
      </x:c>
      <x:c r="D73" s="7" t="str">
        <x:v>Rapoarte nefolosite și KPI solicitați</x:v>
      </x:c>
      <x:c r="E73" s="7" t="str">
        <x:v>Echipa poate retrage conținut redundant</x:v>
      </x:c>
      <x:c r="F73" s="7" t="str">
        <x:v>P0</x:v>
      </x:c>
    </x:row>
    <x:row r="74" ht="33" customHeight="1">
      <x:c r="A74" s="3" t="str">
        <x:v>F-070</x:v>
      </x:c>
      <x:c r="B74" s="3" t="str">
        <x:v>Performanță și cost</x:v>
      </x:c>
      <x:c r="C74" s="3" t="str">
        <x:v>Portabilitate</x:v>
      </x:c>
      <x:c r="D74" s="3" t="str">
        <x:v>Export modele, definiții, date și configurații</x:v>
      </x:c>
      <x:c r="E74" s="3" t="str">
        <x:v>Datele pot fi recuperate la încetarea contractului</x:v>
      </x:c>
      <x:c r="F74" s="3" t="str">
        <x:v>P0</x:v>
      </x:c>
    </x:row>
    <x:row r="75" ht="33" customHeight="1">
      <x:c r="A75" s="7" t="str">
        <x:v>F-071</x:v>
      </x:c>
      <x:c r="B75" s="7" t="str">
        <x:v>Performanță și cost</x:v>
      </x:c>
      <x:c r="C75" s="7" t="str">
        <x:v>API și embed</x:v>
      </x:c>
      <x:c r="D75" s="7" t="str">
        <x:v>Integrare în ERP și portal cu identitate transmisă corect</x:v>
      </x:c>
      <x:c r="E75" s="7" t="str">
        <x:v>Raportul integrat respectă același acces</x:v>
      </x:c>
      <x:c r="F75" s="7" t="str">
        <x:v>P0</x:v>
      </x:c>
    </x:row>
    <x:row r="76" ht="33" customHeight="1">
      <x:c r="A76" s="3" t="str">
        <x:v>F-072</x:v>
      </x:c>
      <x:c r="B76" s="3" t="str">
        <x:v>Performanță și cost</x:v>
      </x:c>
      <x:c r="C76" s="3" t="str">
        <x:v>Management versiuni CAEN</x:v>
      </x:c>
      <x:c r="D76" s="3" t="str">
        <x:v>Revizie, corespondențe și pachete pe activități multiple</x:v>
      </x:c>
      <x:c r="E76" s="3" t="str">
        <x:v>Firma cu două activități primește ambele pachete</x:v>
      </x:c>
      <x:c r="F76" s="3" t="str">
        <x:v>P0</x:v>
      </x:c>
    </x:row>
    <x:row r="77" ht="33" customHeight="1">
      <x:c r="A77" s="7" t="str">
        <x:v>F-073</x:v>
      </x:c>
      <x:c r="B77" s="7" t="str">
        <x:v>Localizare România</x:v>
      </x:c>
      <x:c r="C77" s="7" t="str">
        <x:v>e-Factura monitorizare</x:v>
      </x:c>
      <x:c r="D77" s="7" t="str">
        <x:v>Stări, răspunsuri și diferențe față de ERP</x:v>
      </x:c>
      <x:c r="E77" s="7" t="str">
        <x:v>Trimiterea nu este confundată cu validarea</x:v>
      </x:c>
      <x:c r="F77" s="7" t="str">
        <x:v>P1</x:v>
      </x:c>
    </x:row>
    <x:row r="78" ht="33" customHeight="1">
      <x:c r="A78" s="3" t="str">
        <x:v>F-074</x:v>
      </x:c>
      <x:c r="B78" s="3" t="str">
        <x:v>Localizare România</x:v>
      </x:c>
      <x:c r="C78" s="3" t="str">
        <x:v>SAF-T control</x:v>
      </x:c>
      <x:c r="D78" s="3" t="str">
        <x:v>Mapări și verificări de completitudine și reconciliere</x:v>
      </x:c>
      <x:c r="E78" s="3" t="str">
        <x:v>Erorile sunt afișate înaintea fluxului de depunere</x:v>
      </x:c>
      <x:c r="F78" s="3" t="str">
        <x:v>P1</x:v>
      </x:c>
    </x:row>
    <x:row r="79" ht="33" customHeight="1">
      <x:c r="A79" s="7" t="str">
        <x:v>F-075</x:v>
      </x:c>
      <x:c r="B79" s="7" t="str">
        <x:v>Localizare România</x:v>
      </x:c>
      <x:c r="C79" s="7" t="str">
        <x:v>TVA reconciliere</x:v>
      </x:c>
      <x:c r="D79" s="7" t="str">
        <x:v>Jurnale și declarații comparate cu diferențe explicate</x:v>
      </x:c>
      <x:c r="E79" s="7" t="str">
        <x:v>Diferența are documente și responsabil</x:v>
      </x:c>
      <x:c r="F79" s="7" t="str">
        <x:v>P1</x:v>
      </x:c>
    </x:row>
    <x:row r="80" ht="33" customHeight="1">
      <x:c r="A80" s="3" t="str">
        <x:v>F-076</x:v>
      </x:c>
      <x:c r="B80" s="3" t="str">
        <x:v>Localizare România</x:v>
      </x:c>
      <x:c r="C80" s="3" t="str">
        <x:v>e-Transport monitorizare</x:v>
      </x:c>
      <x:c r="D80" s="3" t="str">
        <x:v>Identificatori și stări pentru transporturile eligibile</x:v>
      </x:c>
      <x:c r="E80" s="3" t="str">
        <x:v>Excepția indică expedierea și datele lipsă</x:v>
      </x:c>
      <x:c r="F80" s="3" t="str">
        <x:v>P1</x:v>
      </x:c>
    </x:row>
    <x:row r="81" ht="33" customHeight="1">
      <x:c r="A81" s="7" t="str">
        <x:v>F-077</x:v>
      </x:c>
      <x:c r="B81" s="7" t="str">
        <x:v>Localizare România</x:v>
      </x:c>
      <x:c r="C81" s="7" t="str">
        <x:v>Calendar fiscal configurabil</x:v>
      </x:c>
      <x:c r="D81" s="7" t="str">
        <x:v>Obligații după profil și reguli cu valabilitate</x:v>
      </x:c>
      <x:c r="E81" s="7" t="str">
        <x:v>Schimbarea regulii păstrează istoricul</x:v>
      </x:c>
      <x:c r="F81" s="7" t="str">
        <x:v>P1</x:v>
      </x:c>
    </x:row>
    <x:row r="82" ht="33" customHeight="1">
      <x:c r="A82" s="3" t="str">
        <x:v>F-078</x:v>
      </x:c>
      <x:c r="B82" s="3" t="str">
        <x:v>Localizare România</x:v>
      </x:c>
      <x:c r="C82" s="3" t="str">
        <x:v>Formate și vocabular local</x:v>
      </x:c>
      <x:c r="D82" s="3" t="str">
        <x:v>Lei, valute, diacritice, calendare și termeni contabili</x:v>
      </x:c>
      <x:c r="E82" s="3" t="str">
        <x:v>Exportul și AI folosesc aceleași definiții</x:v>
      </x:c>
      <x:c r="F82" s="3" t="str">
        <x:v>P1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7ee8223d200449ad"/>
  </x:tableParts>
</x:worksheet>
</file>

<file path=xl/worksheets/sheet5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23.75" hidden="0" customWidth="1"/>
    <x:col min="3" max="3" width="42.5" hidden="0" customWidth="1"/>
    <x:col min="4" max="4" width="58.130001068115234" hidden="0" customWidth="1"/>
    <x:col min="5" max="5" width="26.25" hidden="0" customWidth="1"/>
    <x:col min="6" max="6" width="11.25" hidden="0" customWidth="1"/>
    <x:col min="7" max="7" width="43.75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3" customHeight="1">
      <x:c r="A2" s="4" t="str">
        <x:v>60 de automatizări • declanșator, acțiune și dovadă</x:v>
      </x:c>
      <x:c r="B2" s="4"/>
      <x:c r="C2" s="4"/>
      <x:c r="D2" s="4"/>
      <x:c r="E2" s="4"/>
      <x:c r="F2" s="4"/>
      <x:c r="G2" s="4"/>
    </x:row>
    <x:row r="3">
      <x:c r="A3" s="3"/>
      <x:c r="B3" s="3"/>
      <x:c r="C3" s="3"/>
      <x:c r="D3" s="3"/>
      <x:c r="E3" s="3"/>
      <x:c r="F3" s="3"/>
      <x:c r="G3" s="3"/>
    </x:row>
    <x:row r="4" ht="33" customHeight="1">
      <x:c r="A4" s="6" t="str">
        <x:v>ID</x:v>
      </x:c>
      <x:c r="B4" s="6" t="str">
        <x:v>Domeniu</x:v>
      </x:c>
      <x:c r="C4" s="6" t="str">
        <x:v>Declanșator</x:v>
      </x:c>
      <x:c r="D4" s="6" t="str">
        <x:v>Acțiune propusă</x:v>
      </x:c>
      <x:c r="E4" s="6" t="str">
        <x:v>Responsabil</x:v>
      </x:c>
      <x:c r="F4" s="6" t="str">
        <x:v>Nivel</x:v>
      </x:c>
      <x:c r="G4" s="6" t="str">
        <x:v>Dovada rezultatului</x:v>
      </x:c>
    </x:row>
    <x:row r="5" ht="33" customHeight="1">
      <x:c r="A5" s="7" t="str">
        <x:v>A-001</x:v>
      </x:c>
      <x:c r="B5" s="7" t="str">
        <x:v>Conducere și financiar</x:v>
      </x:c>
      <x:c r="C5" s="7" t="str">
        <x:v>Ora raportului zilnic și date reconciliate</x:v>
      </x:c>
      <x:c r="D5" s="7" t="str">
        <x:v>Generează briefing cu 12 KPI, 5 excepții și acțiuni</x:v>
      </x:c>
      <x:c r="E5" s="7" t="str">
        <x:v>CEO / CFO</x:v>
      </x:c>
      <x:c r="F5" s="7" t="str">
        <x:v>L1</x:v>
      </x:c>
      <x:c r="G5" s="7" t="str">
        <x:v>Raport legat de data și versiunea surselor</x:v>
      </x:c>
    </x:row>
    <x:row r="6" ht="33" customHeight="1">
      <x:c r="A6" s="3" t="str">
        <x:v>A-002</x:v>
      </x:c>
      <x:c r="B6" s="3" t="str">
        <x:v>Conducere și financiar</x:v>
      </x:c>
      <x:c r="C6" s="3" t="str">
        <x:v>Abatere profit peste pragul propriu</x:v>
      </x:c>
      <x:c r="D6" s="3" t="str">
        <x:v>Descompune variația și deschide sarcină la controlling</x:v>
      </x:c>
      <x:c r="E6" s="3" t="str">
        <x:v>CEO / CFO</x:v>
      </x:c>
      <x:c r="F6" s="3" t="str">
        <x:v>L2</x:v>
      </x:c>
      <x:c r="G6" s="3" t="str">
        <x:v>Sarcină cu factori și sumă reconciliată</x:v>
      </x:c>
    </x:row>
    <x:row r="7" ht="33" customHeight="1">
      <x:c r="A7" s="7" t="str">
        <x:v>A-003</x:v>
      </x:c>
      <x:c r="B7" s="7" t="str">
        <x:v>Conducere și financiar</x:v>
      </x:c>
      <x:c r="C7" s="7" t="str">
        <x:v>Numerar proiectat sub buffer</x:v>
      </x:c>
      <x:c r="D7" s="7" t="str">
        <x:v>Produce scenarii de colectare și amânare plăți</x:v>
      </x:c>
      <x:c r="E7" s="7" t="str">
        <x:v>CEO / CFO</x:v>
      </x:c>
      <x:c r="F7" s="7" t="str">
        <x:v>L2</x:v>
      </x:c>
      <x:c r="G7" s="7" t="str">
        <x:v>Scenarii cu ipoteze și solduri pe 13 săptămâni</x:v>
      </x:c>
    </x:row>
    <x:row r="8" ht="33" customHeight="1">
      <x:c r="A8" s="3" t="str">
        <x:v>A-004</x:v>
      </x:c>
      <x:c r="B8" s="3" t="str">
        <x:v>Conducere și financiar</x:v>
      </x:c>
      <x:c r="C8" s="3" t="str">
        <x:v>Comandă depășește bugetul disponibil</x:v>
      </x:c>
      <x:c r="D8" s="3" t="str">
        <x:v>Propune blocare sau excepție pentru aprobare</x:v>
      </x:c>
      <x:c r="E8" s="3" t="str">
        <x:v>CEO / CFO</x:v>
      </x:c>
      <x:c r="F8" s="3" t="str">
        <x:v>L3</x:v>
      </x:c>
      <x:c r="G8" s="3" t="str">
        <x:v>Decizie aprobată și stare ERP confirmată</x:v>
      </x:c>
    </x:row>
    <x:row r="9" ht="33" customHeight="1">
      <x:c r="A9" s="7" t="str">
        <x:v>A-005</x:v>
      </x:c>
      <x:c r="B9" s="7" t="str">
        <x:v>Conducere și financiar</x:v>
      </x:c>
      <x:c r="C9" s="7" t="str">
        <x:v>Cost recurent crește anormal</x:v>
      </x:c>
      <x:c r="D9" s="7" t="str">
        <x:v>Identifică contractul și solicită verificare internă</x:v>
      </x:c>
      <x:c r="E9" s="7" t="str">
        <x:v>CEO / CFO</x:v>
      </x:c>
      <x:c r="F9" s="7" t="str">
        <x:v>L2</x:v>
      </x:c>
      <x:c r="G9" s="7" t="str">
        <x:v>Cost verificat și cauză înregistrată</x:v>
      </x:c>
    </x:row>
    <x:row r="10" ht="33" customHeight="1">
      <x:c r="A10" s="3" t="str">
        <x:v>A-006</x:v>
      </x:c>
      <x:c r="B10" s="3" t="str">
        <x:v>Conducere și financiar</x:v>
      </x:c>
      <x:c r="C10" s="3" t="str">
        <x:v>Indicator strategic sub țintă</x:v>
      </x:c>
      <x:c r="D10" s="3" t="str">
        <x:v>Deschide plan de remediere cu responsabil și termen</x:v>
      </x:c>
      <x:c r="E10" s="3" t="str">
        <x:v>CEO / CFO</x:v>
      </x:c>
      <x:c r="F10" s="3" t="str">
        <x:v>L2</x:v>
      </x:c>
      <x:c r="G10" s="3" t="str">
        <x:v>Plan și rezultat urmărit</x:v>
      </x:c>
    </x:row>
    <x:row r="11" ht="34.5" customHeight="1">
      <x:c r="A11" s="7" t="str">
        <x:v>A-007</x:v>
      </x:c>
      <x:c r="B11" s="7" t="str">
        <x:v>Creanțe și datorii</x:v>
      </x:c>
      <x:c r="C11" s="7" t="str">
        <x:v>Factură client devine restantă</x:v>
      </x:c>
      <x:c r="D11" s="7" t="str">
        <x:v>Pregătește notificarea și sarcina de colectare</x:v>
      </x:c>
      <x:c r="E11" s="7" t="str">
        <x:v>Credit control / trezorerie</x:v>
      </x:c>
      <x:c r="F11" s="7" t="str">
        <x:v>L2</x:v>
      </x:c>
      <x:c r="G11" s="7" t="str">
        <x:v>Ciornă și sarcină; trimiterea urmează politica autorizată</x:v>
      </x:c>
    </x:row>
    <x:row r="12" ht="33" customHeight="1">
      <x:c r="A12" s="3" t="str">
        <x:v>A-008</x:v>
      </x:c>
      <x:c r="B12" s="3" t="str">
        <x:v>Creanțe și datorii</x:v>
      </x:c>
      <x:c r="C12" s="3" t="str">
        <x:v>Promisiune de plată nerespectată</x:v>
      </x:c>
      <x:c r="D12" s="3" t="str">
        <x:v>Escaladează la responsabilul de client</x:v>
      </x:c>
      <x:c r="E12" s="3" t="str">
        <x:v>Credit control / trezorerie</x:v>
      </x:c>
      <x:c r="F12" s="3" t="str">
        <x:v>L2</x:v>
      </x:c>
      <x:c r="G12" s="3" t="str">
        <x:v>Promisiune și încasări verificate</x:v>
      </x:c>
    </x:row>
    <x:row r="13" ht="33" customHeight="1">
      <x:c r="A13" s="7" t="str">
        <x:v>A-009</x:v>
      </x:c>
      <x:c r="B13" s="7" t="str">
        <x:v>Creanțe și datorii</x:v>
      </x:c>
      <x:c r="C13" s="7" t="str">
        <x:v>Expunere depășește limita de credit</x:v>
      </x:c>
      <x:c r="D13" s="7" t="str">
        <x:v>Propune reținerea comenzii noi</x:v>
      </x:c>
      <x:c r="E13" s="7" t="str">
        <x:v>Credit control / trezorerie</x:v>
      </x:c>
      <x:c r="F13" s="7" t="str">
        <x:v>L3</x:v>
      </x:c>
      <x:c r="G13" s="7" t="str">
        <x:v>Aprobare și confirmarea stării comenzii</x:v>
      </x:c>
    </x:row>
    <x:row r="14" ht="33" customHeight="1">
      <x:c r="A14" s="3" t="str">
        <x:v>A-010</x:v>
      </x:c>
      <x:c r="B14" s="3" t="str">
        <x:v>Creanțe și datorii</x:v>
      </x:c>
      <x:c r="C14" s="3" t="str">
        <x:v>Extras bancar nou</x:v>
      </x:c>
      <x:c r="D14" s="3" t="str">
        <x:v>Propune potriviri între tranzacții și facturi</x:v>
      </x:c>
      <x:c r="E14" s="3" t="str">
        <x:v>Credit control / trezorerie</x:v>
      </x:c>
      <x:c r="F14" s="3" t="str">
        <x:v>L2</x:v>
      </x:c>
      <x:c r="G14" s="3" t="str">
        <x:v>Potriviri cu diferențe explicate</x:v>
      </x:c>
    </x:row>
    <x:row r="15" ht="33" customHeight="1">
      <x:c r="A15" s="7" t="str">
        <x:v>A-011</x:v>
      </x:c>
      <x:c r="B15" s="7" t="str">
        <x:v>Creanțe și datorii</x:v>
      </x:c>
      <x:c r="C15" s="7" t="str">
        <x:v>Potrivire bancară exactă și regulă aprobată</x:v>
      </x:c>
      <x:c r="D15" s="7" t="str">
        <x:v>Aplică alocarea prin fluxul autorizat</x:v>
      </x:c>
      <x:c r="E15" s="7" t="str">
        <x:v>Credit control / trezorerie</x:v>
      </x:c>
      <x:c r="F15" s="7" t="str">
        <x:v>L3</x:v>
      </x:c>
      <x:c r="G15" s="7" t="str">
        <x:v>Alocare unică, jurnal și reconciliere</x:v>
      </x:c>
    </x:row>
    <x:row r="16" ht="33" customHeight="1">
      <x:c r="A16" s="3" t="str">
        <x:v>A-012</x:v>
      </x:c>
      <x:c r="B16" s="3" t="str">
        <x:v>Creanțe și datorii</x:v>
      </x:c>
      <x:c r="C16" s="3" t="str">
        <x:v>Factură furnizor posibil duplicată</x:v>
      </x:c>
      <x:c r="D16" s="3" t="str">
        <x:v>Oprește fluxul propus și trimite la verificare</x:v>
      </x:c>
      <x:c r="E16" s="3" t="str">
        <x:v>Credit control / trezorerie</x:v>
      </x:c>
      <x:c r="F16" s="3" t="str">
        <x:v>L2</x:v>
      </x:c>
      <x:c r="G16" s="3" t="str">
        <x:v>Dublura confirmată ori respinsă documentat</x:v>
      </x:c>
    </x:row>
    <x:row r="17" ht="34.5" customHeight="1">
      <x:c r="A17" s="7" t="str">
        <x:v>A-013</x:v>
      </x:c>
      <x:c r="B17" s="7" t="str">
        <x:v>Creanțe și datorii</x:v>
      </x:c>
      <x:c r="C17" s="7" t="str">
        <x:v>Scadențe apropiate și cash insuficient</x:v>
      </x:c>
      <x:c r="D17" s="7" t="str">
        <x:v>Pregătește lot de plăți prioritizat</x:v>
      </x:c>
      <x:c r="E17" s="7" t="str">
        <x:v>Credit control / trezorerie</x:v>
      </x:c>
      <x:c r="F17" s="7" t="str">
        <x:v>L2</x:v>
      </x:c>
      <x:c r="G17" s="7" t="str">
        <x:v>Propunere de lot; autorizarea plății rămâne în sistemul financiar</x:v>
      </x:c>
    </x:row>
    <x:row r="18" ht="33" customHeight="1">
      <x:c r="A18" s="3" t="str">
        <x:v>A-014</x:v>
      </x:c>
      <x:c r="B18" s="3" t="str">
        <x:v>Creanțe și datorii</x:v>
      </x:c>
      <x:c r="C18" s="3" t="str">
        <x:v>Discount de plată eligibil</x:v>
      </x:c>
      <x:c r="D18" s="3" t="str">
        <x:v>Compară beneficiul cu costul lichidității</x:v>
      </x:c>
      <x:c r="E18" s="3" t="str">
        <x:v>Credit control / trezorerie</x:v>
      </x:c>
      <x:c r="F18" s="3" t="str">
        <x:v>L2</x:v>
      </x:c>
      <x:c r="G18" s="3" t="str">
        <x:v>Calcul și recomandare aprobabilă</x:v>
      </x:c>
    </x:row>
    <x:row r="19" ht="34.5" customHeight="1">
      <x:c r="A19" s="7" t="str">
        <x:v>A-015</x:v>
      </x:c>
      <x:c r="B19" s="7" t="str">
        <x:v>Contabilitate și fiscalitate</x:v>
      </x:c>
      <x:c r="C19" s="7" t="str">
        <x:v>Zi de închidere lunară</x:v>
      </x:c>
      <x:c r="D19" s="7" t="str">
        <x:v>Generează checklist din reconcilieri și documente lipsă</x:v>
      </x:c>
      <x:c r="E19" s="7" t="str">
        <x:v>Contabil-șef</x:v>
      </x:c>
      <x:c r="F19" s="7" t="str">
        <x:v>L2</x:v>
      </x:c>
      <x:c r="G19" s="7" t="str">
        <x:v>Checklist cu responsabili și stări</x:v>
      </x:c>
    </x:row>
    <x:row r="20" ht="34.5" customHeight="1">
      <x:c r="A20" s="3" t="str">
        <x:v>A-016</x:v>
      </x:c>
      <x:c r="B20" s="3" t="str">
        <x:v>Contabilitate și fiscalitate</x:v>
      </x:c>
      <x:c r="C20" s="3" t="str">
        <x:v>Diferență subregistru–carte mare</x:v>
      </x:c>
      <x:c r="D20" s="3" t="str">
        <x:v>Izolează documentele care explică diferența</x:v>
      </x:c>
      <x:c r="E20" s="3" t="str">
        <x:v>Contabil-șef</x:v>
      </x:c>
      <x:c r="F20" s="3" t="str">
        <x:v>L2</x:v>
      </x:c>
      <x:c r="G20" s="3" t="str">
        <x:v>Total diferențe egal cu abaterea raportată</x:v>
      </x:c>
    </x:row>
    <x:row r="21" ht="34.5" customHeight="1">
      <x:c r="A21" s="7" t="str">
        <x:v>A-017</x:v>
      </x:c>
      <x:c r="B21" s="7" t="str">
        <x:v>Contabilitate și fiscalitate</x:v>
      </x:c>
      <x:c r="C21" s="7" t="str">
        <x:v>e-Factură fără confirmare</x:v>
      </x:c>
      <x:c r="D21" s="7" t="str">
        <x:v>Reverifică starea după politica de reluare</x:v>
      </x:c>
      <x:c r="E21" s="7" t="str">
        <x:v>Contabil-șef</x:v>
      </x:c>
      <x:c r="F21" s="7" t="str">
        <x:v>L1</x:v>
      </x:c>
      <x:c r="G21" s="7" t="str">
        <x:v>Răspuns API păstrat; fără retransmitere oarbă</x:v>
      </x:c>
    </x:row>
    <x:row r="22" ht="34.5" customHeight="1">
      <x:c r="A22" s="3" t="str">
        <x:v>A-018</x:v>
      </x:c>
      <x:c r="B22" s="3" t="str">
        <x:v>Contabilitate și fiscalitate</x:v>
      </x:c>
      <x:c r="C22" s="3" t="str">
        <x:v>e-Factură respinsă</x:v>
      </x:c>
      <x:c r="D22" s="3" t="str">
        <x:v>Deschide sarcină cu eroarea și documentul sursă</x:v>
      </x:c>
      <x:c r="E22" s="3" t="str">
        <x:v>Contabil-șef</x:v>
      </x:c>
      <x:c r="F22" s="3" t="str">
        <x:v>L2</x:v>
      </x:c>
      <x:c r="G22" s="3" t="str">
        <x:v>Corecție în sistemul sursă și răspuns nou</x:v>
      </x:c>
    </x:row>
    <x:row r="23" ht="34.5" customHeight="1">
      <x:c r="A23" s="7" t="str">
        <x:v>A-019</x:v>
      </x:c>
      <x:c r="B23" s="7" t="str">
        <x:v>Contabilitate și fiscalitate</x:v>
      </x:c>
      <x:c r="C23" s="7" t="str">
        <x:v>Document prezent fiscal dar absent în ERP</x:v>
      </x:c>
      <x:c r="D23" s="7" t="str">
        <x:v>Propune verificare și înregistrare în coadă</x:v>
      </x:c>
      <x:c r="E23" s="7" t="str">
        <x:v>Contabil-șef</x:v>
      </x:c>
      <x:c r="F23" s="7" t="str">
        <x:v>L2</x:v>
      </x:c>
      <x:c r="G23" s="7" t="str">
        <x:v>Confirmare apartenență și document justificativ</x:v>
      </x:c>
    </x:row>
    <x:row r="24" ht="34.5" customHeight="1">
      <x:c r="A24" s="3" t="str">
        <x:v>A-020</x:v>
      </x:c>
      <x:c r="B24" s="3" t="str">
        <x:v>Contabilitate și fiscalitate</x:v>
      </x:c>
      <x:c r="C24" s="3" t="str">
        <x:v>Factura ERP și fiscală au același identificator</x:v>
      </x:c>
      <x:c r="D24" s="3" t="str">
        <x:v>Compară conținutul, păstrând ambele versiuni</x:v>
      </x:c>
      <x:c r="E24" s="3" t="str">
        <x:v>Contabil-șef</x:v>
      </x:c>
      <x:c r="F24" s="3" t="str">
        <x:v>L1</x:v>
      </x:c>
      <x:c r="G24" s="3" t="str">
        <x:v>Hash, identificatori și diferențe arhivate</x:v>
      </x:c>
    </x:row>
    <x:row r="25" ht="34.5" customHeight="1">
      <x:c r="A25" s="7" t="str">
        <x:v>A-021</x:v>
      </x:c>
      <x:c r="B25" s="7" t="str">
        <x:v>Contabilitate și fiscalitate</x:v>
      </x:c>
      <x:c r="C25" s="7" t="str">
        <x:v>Fișier SAF-T generat</x:v>
      </x:c>
      <x:c r="D25" s="7" t="str">
        <x:v>Rulează validări și reconcilieri</x:v>
      </x:c>
      <x:c r="E25" s="7" t="str">
        <x:v>Contabil-șef</x:v>
      </x:c>
      <x:c r="F25" s="7" t="str">
        <x:v>L1</x:v>
      </x:c>
      <x:c r="G25" s="7" t="str">
        <x:v>Raport de erori și controale, fără depunere automată implicită</x:v>
      </x:c>
    </x:row>
    <x:row r="26" ht="34.5" customHeight="1">
      <x:c r="A26" s="3" t="str">
        <x:v>A-022</x:v>
      </x:c>
      <x:c r="B26" s="3" t="str">
        <x:v>Contabilitate și fiscalitate</x:v>
      </x:c>
      <x:c r="C26" s="3" t="str">
        <x:v>Diferență de TVA identificată</x:v>
      </x:c>
      <x:c r="D26" s="3" t="str">
        <x:v>Construiește lista de documente de investigat</x:v>
      </x:c>
      <x:c r="E26" s="3" t="str">
        <x:v>Contabil-șef</x:v>
      </x:c>
      <x:c r="F26" s="3" t="str">
        <x:v>L2</x:v>
      </x:c>
      <x:c r="G26" s="3" t="str">
        <x:v>Explicație și rezoluție aprobate</x:v>
      </x:c>
    </x:row>
    <x:row r="27" ht="34.5" customHeight="1">
      <x:c r="A27" s="7" t="str">
        <x:v>A-023</x:v>
      </x:c>
      <x:c r="B27" s="7" t="str">
        <x:v>Contabilitate și fiscalitate</x:v>
      </x:c>
      <x:c r="C27" s="7" t="str">
        <x:v>Certificat sau acces aproape de expirare</x:v>
      </x:c>
      <x:c r="D27" s="7" t="str">
        <x:v>Creează sarcină de reînnoire</x:v>
      </x:c>
      <x:c r="E27" s="7" t="str">
        <x:v>Contabil-șef</x:v>
      </x:c>
      <x:c r="F27" s="7" t="str">
        <x:v>L2</x:v>
      </x:c>
      <x:c r="G27" s="7" t="str">
        <x:v>Acces retestat după reînnoire</x:v>
      </x:c>
    </x:row>
    <x:row r="28" ht="34.5" customHeight="1">
      <x:c r="A28" s="3" t="str">
        <x:v>A-024</x:v>
      </x:c>
      <x:c r="B28" s="3" t="str">
        <x:v>Contabilitate și fiscalitate</x:v>
      </x:c>
      <x:c r="C28" s="3" t="str">
        <x:v>Document fiscal nou disponibil</x:v>
      </x:c>
      <x:c r="D28" s="3" t="str">
        <x:v>Arhivează originalul și metadatele prin conector autorizat</x:v>
      </x:c>
      <x:c r="E28" s="3" t="str">
        <x:v>Contabil-șef</x:v>
      </x:c>
      <x:c r="F28" s="3" t="str">
        <x:v>L1</x:v>
      </x:c>
      <x:c r="G28" s="3" t="str">
        <x:v>Integritate și posibilitate de regăsire verificate</x:v>
      </x:c>
    </x:row>
    <x:row r="29" ht="33" customHeight="1">
      <x:c r="A29" s="7" t="str">
        <x:v>A-025</x:v>
      </x:c>
      <x:c r="B29" s="7" t="str">
        <x:v>Comercial și clienți</x:v>
      </x:c>
      <x:c r="C29" s="7" t="str">
        <x:v>Oportunitate fără activitate</x:v>
      </x:c>
      <x:c r="D29" s="7" t="str">
        <x:v>Creează sarcină pentru agent și sugerează pasul următor</x:v>
      </x:c>
      <x:c r="E29" s="7" t="str">
        <x:v>Vânzări / customer success</x:v>
      </x:c>
      <x:c r="F29" s="7" t="str">
        <x:v>L2</x:v>
      </x:c>
      <x:c r="G29" s="7" t="str">
        <x:v>Activitate înregistrată sau motiv închidere</x:v>
      </x:c>
    </x:row>
    <x:row r="30" ht="33" customHeight="1">
      <x:c r="A30" s="3" t="str">
        <x:v>A-026</x:v>
      </x:c>
      <x:c r="B30" s="3" t="str">
        <x:v>Comercial și clienți</x:v>
      </x:c>
      <x:c r="C30" s="3" t="str">
        <x:v>Ofertă sub marja minimă</x:v>
      </x:c>
      <x:c r="D30" s="3" t="str">
        <x:v>Solicită excepție comercială</x:v>
      </x:c>
      <x:c r="E30" s="3" t="str">
        <x:v>Vânzări / customer success</x:v>
      </x:c>
      <x:c r="F30" s="3" t="str">
        <x:v>L3</x:v>
      </x:c>
      <x:c r="G30" s="3" t="str">
        <x:v>Aprobare și marjă explicată</x:v>
      </x:c>
    </x:row>
    <x:row r="31" ht="33" customHeight="1">
      <x:c r="A31" s="7" t="str">
        <x:v>A-027</x:v>
      </x:c>
      <x:c r="B31" s="7" t="str">
        <x:v>Comercial și clienți</x:v>
      </x:c>
      <x:c r="C31" s="7" t="str">
        <x:v>Client cu risc churn ridicat</x:v>
      </x:c>
      <x:c r="D31" s="7" t="str">
        <x:v>Propune intervenție bazată pe semnale verificabile</x:v>
      </x:c>
      <x:c r="E31" s="7" t="str">
        <x:v>Vânzări / customer success</x:v>
      </x:c>
      <x:c r="F31" s="7" t="str">
        <x:v>L2</x:v>
      </x:c>
      <x:c r="G31" s="7" t="str">
        <x:v>Acțiune și evoluție retenție măsurată</x:v>
      </x:c>
    </x:row>
    <x:row r="32" ht="33" customHeight="1">
      <x:c r="A32" s="3" t="str">
        <x:v>A-028</x:v>
      </x:c>
      <x:c r="B32" s="3" t="str">
        <x:v>Comercial și clienți</x:v>
      </x:c>
      <x:c r="C32" s="3" t="str">
        <x:v>Contract se apropie de reînnoire</x:v>
      </x:c>
      <x:c r="D32" s="3" t="str">
        <x:v>Creează dosar cu utilizare, marjă și propunere</x:v>
      </x:c>
      <x:c r="E32" s="3" t="str">
        <x:v>Vânzări / customer success</x:v>
      </x:c>
      <x:c r="F32" s="3" t="str">
        <x:v>L2</x:v>
      </x:c>
      <x:c r="G32" s="3" t="str">
        <x:v>Decizie de reînnoire în CRM</x:v>
      </x:c>
    </x:row>
    <x:row r="33" ht="33" customHeight="1">
      <x:c r="A33" s="7" t="str">
        <x:v>A-029</x:v>
      </x:c>
      <x:c r="B33" s="7" t="str">
        <x:v>Comercial și clienți</x:v>
      </x:c>
      <x:c r="C33" s="7" t="str">
        <x:v>Campanie depășește costul țintă</x:v>
      </x:c>
      <x:c r="D33" s="7" t="str">
        <x:v>Propune modificare buget sau pauză</x:v>
      </x:c>
      <x:c r="E33" s="7" t="str">
        <x:v>Vânzări / customer success</x:v>
      </x:c>
      <x:c r="F33" s="7" t="str">
        <x:v>L3</x:v>
      </x:c>
      <x:c r="G33" s="7" t="str">
        <x:v>Aprobare înaintea schimbării bugetului extern</x:v>
      </x:c>
    </x:row>
    <x:row r="34" ht="33" customHeight="1">
      <x:c r="A34" s="3" t="str">
        <x:v>A-030</x:v>
      </x:c>
      <x:c r="B34" s="3" t="str">
        <x:v>Comercial și clienți</x:v>
      </x:c>
      <x:c r="C34" s="3" t="str">
        <x:v>Creștere retururi la produs</x:v>
      </x:c>
      <x:c r="D34" s="3" t="str">
        <x:v>Leagă vânzări, loturi și reclamații pentru analiză</x:v>
      </x:c>
      <x:c r="E34" s="3" t="str">
        <x:v>Vânzări / customer success</x:v>
      </x:c>
      <x:c r="F34" s="3" t="str">
        <x:v>L2</x:v>
      </x:c>
      <x:c r="G34" s="3" t="str">
        <x:v>Cauză verificată și acțiune atribuită</x:v>
      </x:c>
    </x:row>
    <x:row r="35" ht="33" customHeight="1">
      <x:c r="A35" s="7" t="str">
        <x:v>A-031</x:v>
      </x:c>
      <x:c r="B35" s="7" t="str">
        <x:v>Comercial și clienți</x:v>
      </x:c>
      <x:c r="C35" s="7" t="str">
        <x:v>Tichet se apropie de limita SLA</x:v>
      </x:c>
      <x:c r="D35" s="7" t="str">
        <x:v>Escaladează după severitate și responsabil</x:v>
      </x:c>
      <x:c r="E35" s="7" t="str">
        <x:v>Vânzări / customer success</x:v>
      </x:c>
      <x:c r="F35" s="7" t="str">
        <x:v>L2</x:v>
      </x:c>
      <x:c r="G35" s="7" t="str">
        <x:v>Tichet preluat și termen confirmat</x:v>
      </x:c>
    </x:row>
    <x:row r="36" ht="33" customHeight="1">
      <x:c r="A36" s="3" t="str">
        <x:v>A-032</x:v>
      </x:c>
      <x:c r="B36" s="3" t="str">
        <x:v>Comercial și clienți</x:v>
      </x:c>
      <x:c r="C36" s="3" t="str">
        <x:v>Vârf de cerere într-un canal</x:v>
      </x:c>
      <x:c r="D36" s="3" t="str">
        <x:v>Actualizează prognoza și propune realocare stoc</x:v>
      </x:c>
      <x:c r="E36" s="3" t="str">
        <x:v>Vânzări / customer success</x:v>
      </x:c>
      <x:c r="F36" s="3" t="str">
        <x:v>L2</x:v>
      </x:c>
      <x:c r="G36" s="3" t="str">
        <x:v>Plan verificat față de stoc și capacitate</x:v>
      </x:c>
    </x:row>
    <x:row r="37" ht="34.5" customHeight="1">
      <x:c r="A37" s="7" t="str">
        <x:v>A-033</x:v>
      </x:c>
      <x:c r="B37" s="7" t="str">
        <x:v>Achiziții, stoc și logistică</x:v>
      </x:c>
      <x:c r="C37" s="7" t="str">
        <x:v>Stoc proiectat sub necesar</x:v>
      </x:c>
      <x:c r="D37" s="7" t="str">
        <x:v>Pregătește cerere de aprovizionare</x:v>
      </x:c>
      <x:c r="E37" s="7" t="str">
        <x:v>Achiziții / logistică</x:v>
      </x:c>
      <x:c r="F37" s="7" t="str">
        <x:v>L2</x:v>
      </x:c>
      <x:c r="G37" s="7" t="str">
        <x:v>Cerere cu cerere estimată, lead time și stoc de siguranță</x:v>
      </x:c>
    </x:row>
    <x:row r="38" ht="34.5" customHeight="1">
      <x:c r="A38" s="3" t="str">
        <x:v>A-034</x:v>
      </x:c>
      <x:c r="B38" s="3" t="str">
        <x:v>Achiziții, stoc și logistică</x:v>
      </x:c>
      <x:c r="C38" s="3" t="str">
        <x:v>Cerere în limitele politicii aprobate</x:v>
      </x:c>
      <x:c r="D38" s="3" t="str">
        <x:v>Trimite spre fluxul de comandă autorizat</x:v>
      </x:c>
      <x:c r="E38" s="3" t="str">
        <x:v>Achiziții / logistică</x:v>
      </x:c>
      <x:c r="F38" s="3" t="str">
        <x:v>L3</x:v>
      </x:c>
      <x:c r="G38" s="3" t="str">
        <x:v>Comandă unică, aprobare și confirmare furnizor</x:v>
      </x:c>
    </x:row>
    <x:row r="39" ht="34.5" customHeight="1">
      <x:c r="A39" s="7" t="str">
        <x:v>A-035</x:v>
      </x:c>
      <x:c r="B39" s="7" t="str">
        <x:v>Achiziții, stoc și logistică</x:v>
      </x:c>
      <x:c r="C39" s="7" t="str">
        <x:v>Lot aproape de expirare</x:v>
      </x:c>
      <x:c r="D39" s="7" t="str">
        <x:v>Propune FEFO, transfer sau campanie</x:v>
      </x:c>
      <x:c r="E39" s="7" t="str">
        <x:v>Achiziții / logistică</x:v>
      </x:c>
      <x:c r="F39" s="7" t="str">
        <x:v>L2</x:v>
      </x:c>
      <x:c r="G39" s="7" t="str">
        <x:v>Plan și stoc afectat confirmate</x:v>
      </x:c>
    </x:row>
    <x:row r="40" ht="34.5" customHeight="1">
      <x:c r="A40" s="3" t="str">
        <x:v>A-036</x:v>
      </x:c>
      <x:c r="B40" s="3" t="str">
        <x:v>Achiziții, stoc și logistică</x:v>
      </x:c>
      <x:c r="C40" s="3" t="str">
        <x:v>Stoc fără mișcare</x:v>
      </x:c>
      <x:c r="D40" s="3" t="str">
        <x:v>Propune reducere achiziții ori lichidare</x:v>
      </x:c>
      <x:c r="E40" s="3" t="str">
        <x:v>Achiziții / logistică</x:v>
      </x:c>
      <x:c r="F40" s="3" t="str">
        <x:v>L2</x:v>
      </x:c>
      <x:c r="G40" s="3" t="str">
        <x:v>Valoare recuperabilă estimată și decizie</x:v>
      </x:c>
    </x:row>
    <x:row r="41" ht="34.5" customHeight="1">
      <x:c r="A41" s="7" t="str">
        <x:v>A-037</x:v>
      </x:c>
      <x:c r="B41" s="7" t="str">
        <x:v>Achiziții, stoc și logistică</x:v>
      </x:c>
      <x:c r="C41" s="7" t="str">
        <x:v>Întârziere furnizor</x:v>
      </x:c>
      <x:c r="D41" s="7" t="str">
        <x:v>Propune alternativă și reevaluează promisiunile de livrare</x:v>
      </x:c>
      <x:c r="E41" s="7" t="str">
        <x:v>Achiziții / logistică</x:v>
      </x:c>
      <x:c r="F41" s="7" t="str">
        <x:v>L2</x:v>
      </x:c>
      <x:c r="G41" s="7" t="str">
        <x:v>Impact pe comenzi calculat</x:v>
      </x:c>
    </x:row>
    <x:row r="42" ht="34.5" customHeight="1">
      <x:c r="A42" s="3" t="str">
        <x:v>A-038</x:v>
      </x:c>
      <x:c r="B42" s="3" t="str">
        <x:v>Achiziții, stoc și logistică</x:v>
      </x:c>
      <x:c r="C42" s="3" t="str">
        <x:v>ETA depășește termenul clientului</x:v>
      </x:c>
      <x:c r="D42" s="3" t="str">
        <x:v>Creează excepție logistică și ciornă de informare</x:v>
      </x:c>
      <x:c r="E42" s="3" t="str">
        <x:v>Achiziții / logistică</x:v>
      </x:c>
      <x:c r="F42" s="3" t="str">
        <x:v>L2</x:v>
      </x:c>
      <x:c r="G42" s="3" t="str">
        <x:v>Nou termen aprobat și expediere identificată</x:v>
      </x:c>
    </x:row>
    <x:row r="43" ht="34.5" customHeight="1">
      <x:c r="A43" s="7" t="str">
        <x:v>A-039</x:v>
      </x:c>
      <x:c r="B43" s="7" t="str">
        <x:v>Achiziții, stoc și logistică</x:v>
      </x:c>
      <x:c r="C43" s="7" t="str">
        <x:v>Vehicul sau rută subutilizată</x:v>
      </x:c>
      <x:c r="D43" s="7" t="str">
        <x:v>Propune consolidarea curselor</x:v>
      </x:c>
      <x:c r="E43" s="7" t="str">
        <x:v>Achiziții / logistică</x:v>
      </x:c>
      <x:c r="F43" s="7" t="str">
        <x:v>L2</x:v>
      </x:c>
      <x:c r="G43" s="7" t="str">
        <x:v>Capacitate, restricții și economii verificate</x:v>
      </x:c>
    </x:row>
    <x:row r="44" ht="34.5" customHeight="1">
      <x:c r="A44" s="3" t="str">
        <x:v>A-040</x:v>
      </x:c>
      <x:c r="B44" s="3" t="str">
        <x:v>Achiziții, stoc și logistică</x:v>
      </x:c>
      <x:c r="C44" s="3" t="str">
        <x:v>Transport eligibil cu date fiscale incomplete</x:v>
      </x:c>
      <x:c r="D44" s="3" t="str">
        <x:v>Cere completarea câmpurilor și verificarea responsabilului</x:v>
      </x:c>
      <x:c r="E44" s="3" t="str">
        <x:v>Achiziții / logistică</x:v>
      </x:c>
      <x:c r="F44" s="3" t="str">
        <x:v>L3</x:v>
      </x:c>
      <x:c r="G44" s="3" t="str">
        <x:v>Verificare în fluxul operațional înainte de expediere</x:v>
      </x:c>
    </x:row>
    <x:row r="45" ht="34.5" customHeight="1">
      <x:c r="A45" s="7" t="str">
        <x:v>A-041</x:v>
      </x:c>
      <x:c r="B45" s="7" t="str">
        <x:v>Producție, active și proiecte</x:v>
      </x:c>
      <x:c r="C45" s="7" t="str">
        <x:v>OEE sub pragul liniei</x:v>
      </x:c>
      <x:c r="D45" s="7" t="str">
        <x:v>Identifică pierderi de timp, viteză și calitate</x:v>
      </x:c>
      <x:c r="E45" s="7" t="str">
        <x:v>Operațiuni / PMO</x:v>
      </x:c>
      <x:c r="F45" s="7" t="str">
        <x:v>L2</x:v>
      </x:c>
      <x:c r="G45" s="7" t="str">
        <x:v>Sarcină cu pierderi reconciliate</x:v>
      </x:c>
    </x:row>
    <x:row r="46" ht="34.5" customHeight="1">
      <x:c r="A46" s="3" t="str">
        <x:v>A-042</x:v>
      </x:c>
      <x:c r="B46" s="3" t="str">
        <x:v>Producție, active și proiecte</x:v>
      </x:c>
      <x:c r="C46" s="3" t="str">
        <x:v>Senzor sau model indică degradare</x:v>
      </x:c>
      <x:c r="D46" s="3" t="str">
        <x:v>Propune inspecție de mentenanță</x:v>
      </x:c>
      <x:c r="E46" s="3" t="str">
        <x:v>Operațiuni / PMO</x:v>
      </x:c>
      <x:c r="F46" s="3" t="str">
        <x:v>L2</x:v>
      </x:c>
      <x:c r="G46" s="3" t="str">
        <x:v>Intervenție validată de tehnician</x:v>
      </x:c>
    </x:row>
    <x:row r="47" ht="34.5" customHeight="1">
      <x:c r="A47" s="7" t="str">
        <x:v>A-043</x:v>
      </x:c>
      <x:c r="B47" s="7" t="str">
        <x:v>Producție, active și proiecte</x:v>
      </x:c>
      <x:c r="C47" s="7" t="str">
        <x:v>Mentenanță preventivă scadentă</x:v>
      </x:c>
      <x:c r="D47" s="7" t="str">
        <x:v>Creează ordin de lucru conform planului aprobat</x:v>
      </x:c>
      <x:c r="E47" s="7" t="str">
        <x:v>Operațiuni / PMO</x:v>
      </x:c>
      <x:c r="F47" s="7" t="str">
        <x:v>L3</x:v>
      </x:c>
      <x:c r="G47" s="7" t="str">
        <x:v>Ordin unic și resurse rezervate</x:v>
      </x:c>
    </x:row>
    <x:row r="48" ht="34.5" customHeight="1">
      <x:c r="A48" s="3" t="str">
        <x:v>A-044</x:v>
      </x:c>
      <x:c r="B48" s="3" t="str">
        <x:v>Producție, active și proiecte</x:v>
      </x:c>
      <x:c r="C48" s="3" t="str">
        <x:v>Lot cu rezultat neconform</x:v>
      </x:c>
      <x:c r="D48" s="3" t="str">
        <x:v>Aplică fluxul de carantină validat</x:v>
      </x:c>
      <x:c r="E48" s="3" t="str">
        <x:v>Operațiuni / PMO</x:v>
      </x:c>
      <x:c r="F48" s="3" t="str">
        <x:v>L3</x:v>
      </x:c>
      <x:c r="G48" s="3" t="str">
        <x:v>Stare lot confirmată; eliberare doar prin rol autorizat</x:v>
      </x:c>
    </x:row>
    <x:row r="49" ht="34.5" customHeight="1">
      <x:c r="A49" s="7" t="str">
        <x:v>A-045</x:v>
      </x:c>
      <x:c r="B49" s="7" t="str">
        <x:v>Producție, active și proiecte</x:v>
      </x:c>
      <x:c r="C49" s="7" t="str">
        <x:v>Consum peste normă</x:v>
      </x:c>
      <x:c r="D49" s="7" t="str">
        <x:v>Deschide investigație BOM, măsurare sau pierdere</x:v>
      </x:c>
      <x:c r="E49" s="7" t="str">
        <x:v>Operațiuni / PMO</x:v>
      </x:c>
      <x:c r="F49" s="7" t="str">
        <x:v>L2</x:v>
      </x:c>
      <x:c r="G49" s="7" t="str">
        <x:v>Diferență explicată pe material</x:v>
      </x:c>
    </x:row>
    <x:row r="50" ht="34.5" customHeight="1">
      <x:c r="A50" s="3" t="str">
        <x:v>A-046</x:v>
      </x:c>
      <x:c r="B50" s="3" t="str">
        <x:v>Producție, active și proiecte</x:v>
      </x:c>
      <x:c r="C50" s="3" t="str">
        <x:v>EAC depășește bugetul proiectului</x:v>
      </x:c>
      <x:c r="D50" s="3" t="str">
        <x:v>Propune replanificare și solicitare de schimbare</x:v>
      </x:c>
      <x:c r="E50" s="3" t="str">
        <x:v>Operațiuni / PMO</x:v>
      </x:c>
      <x:c r="F50" s="3" t="str">
        <x:v>L2</x:v>
      </x:c>
      <x:c r="G50" s="3" t="str">
        <x:v>Nou scenariu și impact contractual</x:v>
      </x:c>
    </x:row>
    <x:row r="51" ht="34.5" customHeight="1">
      <x:c r="A51" s="7" t="str">
        <x:v>A-047</x:v>
      </x:c>
      <x:c r="B51" s="7" t="str">
        <x:v>Producție, active și proiecte</x:v>
      </x:c>
      <x:c r="C51" s="7" t="str">
        <x:v>Etapă proiect acceptată</x:v>
      </x:c>
      <x:c r="D51" s="7" t="str">
        <x:v>Pregătește propunerea de facturare</x:v>
      </x:c>
      <x:c r="E51" s="7" t="str">
        <x:v>Operațiuni / PMO</x:v>
      </x:c>
      <x:c r="F51" s="7" t="str">
        <x:v>L2</x:v>
      </x:c>
      <x:c r="G51" s="7" t="str">
        <x:v>Document acceptanță și bază de facturare atașate</x:v>
      </x:c>
    </x:row>
    <x:row r="52" ht="34.5" customHeight="1">
      <x:c r="A52" s="3" t="str">
        <x:v>A-048</x:v>
      </x:c>
      <x:c r="B52" s="3" t="str">
        <x:v>Producție, active și proiecte</x:v>
      </x:c>
      <x:c r="C52" s="3" t="str">
        <x:v>Schimbare contract fără aprobare</x:v>
      </x:c>
      <x:c r="D52" s="3" t="str">
        <x:v>Semnalează lucrările și impactul estimat</x:v>
      </x:c>
      <x:c r="E52" s="3" t="str">
        <x:v>Operațiuni / PMO</x:v>
      </x:c>
      <x:c r="F52" s="3" t="str">
        <x:v>L2</x:v>
      </x:c>
      <x:c r="G52" s="3" t="str">
        <x:v>Decizie comercială documentată</x:v>
      </x:c>
    </x:row>
    <x:row r="53" ht="33" customHeight="1">
      <x:c r="A53" s="7" t="str">
        <x:v>A-049</x:v>
      </x:c>
      <x:c r="B53" s="7" t="str">
        <x:v>HR, energie și control</x:v>
      </x:c>
      <x:c r="C53" s="7" t="str">
        <x:v>Autorizație profesională aproape de expirare</x:v>
      </x:c>
      <x:c r="D53" s="7" t="str">
        <x:v>Creează sarcină de reînnoire</x:v>
      </x:c>
      <x:c r="E53" s="7" t="str">
        <x:v>HR / mediu / control intern</x:v>
      </x:c>
      <x:c r="F53" s="7" t="str">
        <x:v>L2</x:v>
      </x:c>
      <x:c r="G53" s="7" t="str">
        <x:v>Certificat validat și dată actualizată</x:v>
      </x:c>
    </x:row>
    <x:row r="54" ht="33" customHeight="1">
      <x:c r="A54" s="3" t="str">
        <x:v>A-050</x:v>
      </x:c>
      <x:c r="B54" s="3" t="str">
        <x:v>HR, energie și control</x:v>
      </x:c>
      <x:c r="C54" s="3" t="str">
        <x:v>Ore suplimentare peste limita internă</x:v>
      </x:c>
      <x:c r="D54" s="3" t="str">
        <x:v>Semnalează echipa și propune redistribuire</x:v>
      </x:c>
      <x:c r="E54" s="3" t="str">
        <x:v>HR / mediu / control intern</x:v>
      </x:c>
      <x:c r="F54" s="3" t="str">
        <x:v>L2</x:v>
      </x:c>
      <x:c r="G54" s="3" t="str">
        <x:v>Plan aprobat, fără decizii automate de personal</x:v>
      </x:c>
    </x:row>
    <x:row r="55" ht="33" customHeight="1">
      <x:c r="A55" s="7" t="str">
        <x:v>A-051</x:v>
      </x:c>
      <x:c r="B55" s="7" t="str">
        <x:v>HR, energie și control</x:v>
      </x:c>
      <x:c r="C55" s="7" t="str">
        <x:v>Consum energie anormal</x:v>
      </x:c>
      <x:c r="D55" s="7" t="str">
        <x:v>Deschide inspecție pe echipament și interval</x:v>
      </x:c>
      <x:c r="E55" s="7" t="str">
        <x:v>HR / mediu / control intern</x:v>
      </x:c>
      <x:c r="F55" s="7" t="str">
        <x:v>L2</x:v>
      </x:c>
      <x:c r="G55" s="7" t="str">
        <x:v>Cauză verificată și economii ulterioare</x:v>
      </x:c>
    </x:row>
    <x:row r="56" ht="33" customHeight="1">
      <x:c r="A56" s="3" t="str">
        <x:v>A-052</x:v>
      </x:c>
      <x:c r="B56" s="3" t="str">
        <x:v>HR, energie și control</x:v>
      </x:c>
      <x:c r="C56" s="3" t="str">
        <x:v>Contract critic aproape de expirare</x:v>
      </x:c>
      <x:c r="D56" s="3" t="str">
        <x:v>Escaladează către juridic și titularul contractului</x:v>
      </x:c>
      <x:c r="E56" s="3" t="str">
        <x:v>HR / mediu / control intern</x:v>
      </x:c>
      <x:c r="F56" s="3" t="str">
        <x:v>L2</x:v>
      </x:c>
      <x:c r="G56" s="3" t="str">
        <x:v>Decizie și termen de notificare confirmate</x:v>
      </x:c>
    </x:row>
    <x:row r="57" ht="33" customHeight="1">
      <x:c r="A57" s="7" t="str">
        <x:v>A-053</x:v>
      </x:c>
      <x:c r="B57" s="7" t="str">
        <x:v>HR, energie și control</x:v>
      </x:c>
      <x:c r="C57" s="7" t="str">
        <x:v>Conflict de atribuții detectat</x:v>
      </x:c>
      <x:c r="D57" s="7" t="str">
        <x:v>Creează cerere de revizuire acces</x:v>
      </x:c>
      <x:c r="E57" s="7" t="str">
        <x:v>HR / mediu / control intern</x:v>
      </x:c>
      <x:c r="F57" s="7" t="str">
        <x:v>L2</x:v>
      </x:c>
      <x:c r="G57" s="7" t="str">
        <x:v>Revizuire documentată și test de acces</x:v>
      </x:c>
    </x:row>
    <x:row r="58" ht="33" customHeight="1">
      <x:c r="A58" s="3" t="str">
        <x:v>A-054</x:v>
      </x:c>
      <x:c r="B58" s="3" t="str">
        <x:v>HR, energie și control</x:v>
      </x:c>
      <x:c r="C58" s="3" t="str">
        <x:v>Acțiune audit restantă</x:v>
      </x:c>
      <x:c r="D58" s="3" t="str">
        <x:v>Escaladează conform politicii</x:v>
      </x:c>
      <x:c r="E58" s="3" t="str">
        <x:v>HR / mediu / control intern</x:v>
      </x:c>
      <x:c r="F58" s="3" t="str">
        <x:v>L2</x:v>
      </x:c>
      <x:c r="G58" s="3" t="str">
        <x:v>Responsabil și nou termen aprobat</x:v>
      </x:c>
    </x:row>
    <x:row r="59" ht="33" customHeight="1">
      <x:c r="A59" s="7" t="str">
        <x:v>A-055</x:v>
      </x:c>
      <x:c r="B59" s="7" t="str">
        <x:v>Platformă de date și AI</x:v>
      </x:c>
      <x:c r="C59" s="7" t="str">
        <x:v>Sursă nu a fost actualizată în SLA</x:v>
      </x:c>
      <x:c r="D59" s="7" t="str">
        <x:v>Marchează panoul ca întârziat și notifică responsabilul</x:v>
      </x:c>
      <x:c r="E59" s="7" t="str">
        <x:v>CIO / echipa BI</x:v>
      </x:c>
      <x:c r="F59" s="7" t="str">
        <x:v>L1</x:v>
      </x:c>
      <x:c r="G59" s="7" t="str">
        <x:v>Timestamp eveniment și incident vizibile</x:v>
      </x:c>
    </x:row>
    <x:row r="60" ht="34.5" customHeight="1">
      <x:c r="A60" s="3" t="str">
        <x:v>A-056</x:v>
      </x:c>
      <x:c r="B60" s="3" t="str">
        <x:v>Platformă de date și AI</x:v>
      </x:c>
      <x:c r="C60" s="3" t="str">
        <x:v>Control financiar eșuează</x:v>
      </x:c>
      <x:c r="D60" s="3" t="str">
        <x:v>Oprește publicarea indicatorului afectat și păstrează ultima versiune validă etichetată</x:v>
      </x:c>
      <x:c r="E60" s="3" t="str">
        <x:v>CIO / echipa BI</x:v>
      </x:c>
      <x:c r="F60" s="3" t="str">
        <x:v>L1</x:v>
      </x:c>
      <x:c r="G60" s="3" t="str">
        <x:v>Diferență și perimetru afectat în jurnal</x:v>
      </x:c>
    </x:row>
    <x:row r="61" ht="33" customHeight="1">
      <x:c r="A61" s="7" t="str">
        <x:v>A-057</x:v>
      </x:c>
      <x:c r="B61" s="7" t="str">
        <x:v>Platformă de date și AI</x:v>
      </x:c>
      <x:c r="C61" s="7" t="str">
        <x:v>Întrebare AI fără date suficiente</x:v>
      </x:c>
      <x:c r="D61" s="7" t="str">
        <x:v>Cere clarificare sau declară lipsa dovezii</x:v>
      </x:c>
      <x:c r="E61" s="7" t="str">
        <x:v>CIO / echipa BI</x:v>
      </x:c>
      <x:c r="F61" s="7" t="str">
        <x:v>L1</x:v>
      </x:c>
      <x:c r="G61" s="7" t="str">
        <x:v>Fără sumă inventată în răspuns</x:v>
      </x:c>
    </x:row>
    <x:row r="62" ht="33" customHeight="1">
      <x:c r="A62" s="3" t="str">
        <x:v>A-058</x:v>
      </x:c>
      <x:c r="B62" s="3" t="str">
        <x:v>Platformă de date și AI</x:v>
      </x:c>
      <x:c r="C62" s="3" t="str">
        <x:v>Eroare model peste pragul validat</x:v>
      </x:c>
      <x:c r="D62" s="3" t="str">
        <x:v>Propune retragerea modelului și fallback verificat</x:v>
      </x:c>
      <x:c r="E62" s="3" t="str">
        <x:v>CIO / echipa BI</x:v>
      </x:c>
      <x:c r="F62" s="3" t="str">
        <x:v>L2</x:v>
      </x:c>
      <x:c r="G62" s="3" t="str">
        <x:v>Versiune și rezultat backtest păstrate</x:v>
      </x:c>
    </x:row>
    <x:row r="63" ht="33" customHeight="1">
      <x:c r="A63" s="7" t="str">
        <x:v>A-059</x:v>
      </x:c>
      <x:c r="B63" s="7" t="str">
        <x:v>Platformă de date și AI</x:v>
      </x:c>
      <x:c r="C63" s="7" t="str">
        <x:v>Cost AI/cloud peste buget</x:v>
      </x:c>
      <x:c r="D63" s="7" t="str">
        <x:v>Limitează sarcini necritice conform politicii</x:v>
      </x:c>
      <x:c r="E63" s="7" t="str">
        <x:v>CIO / echipa BI</x:v>
      </x:c>
      <x:c r="F63" s="7" t="str">
        <x:v>L3</x:v>
      </x:c>
      <x:c r="G63" s="7" t="str">
        <x:v>Consum și aplicarea limitei înregistrate</x:v>
      </x:c>
    </x:row>
    <x:row r="64" ht="34.5" customHeight="1">
      <x:c r="A64" s="3" t="str">
        <x:v>A-060</x:v>
      </x:c>
      <x:c r="B64" s="3" t="str">
        <x:v>Platformă de date și AI</x:v>
      </x:c>
      <x:c r="C64" s="3" t="str">
        <x:v>Flux a eșuat după scriere parțială</x:v>
      </x:c>
      <x:c r="D64" s="3" t="str">
        <x:v>Verifică starea destinației înainte de reluare</x:v>
      </x:c>
      <x:c r="E64" s="3" t="str">
        <x:v>CIO / echipa BI</x:v>
      </x:c>
      <x:c r="F64" s="3" t="str">
        <x:v>L1</x:v>
      </x:c>
      <x:c r="G64" s="3" t="str">
        <x:v>Acțiune fără duplicat și compensare dacă este aplicabilă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85361bc231584544"/>
  </x:tableParts>
</x:worksheet>
</file>

<file path=xl/worksheets/sheet6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46.880001068115234" hidden="0" customWidth="1"/>
    <x:col min="3" max="3" width="62.5" hidden="0" customWidth="1"/>
    <x:col min="4" max="4" width="52.5" hidden="0" customWidth="1"/>
    <x:col min="5" max="5" width="52.5" hidden="0" customWidth="1"/>
  </x:cols>
  <x:sheetData>
    <x:row r="1">
      <x:c r="A1" s="3"/>
      <x:c r="B1" s="3"/>
      <x:c r="C1" s="3"/>
      <x:c r="D1" s="3"/>
      <x:c r="E1" s="3"/>
    </x:row>
    <x:row r="2" ht="33" customHeight="1">
      <x:c r="A2" s="4" t="str">
        <x:v>10 platforme BI cu AI • selecție editorială</x:v>
      </x:c>
      <x:c r="B2" s="4"/>
      <x:c r="C2" s="4"/>
      <x:c r="D2" s="4"/>
      <x:c r="E2" s="4"/>
    </x:row>
    <x:row r="3">
      <x:c r="A3" s="3"/>
      <x:c r="B3" s="3"/>
      <x:c r="C3" s="3"/>
      <x:c r="D3" s="3"/>
      <x:c r="E3" s="3"/>
    </x:row>
    <x:row r="4" ht="33" customHeight="1">
      <x:c r="A4" s="6" t="str">
        <x:v>Platformă</x:v>
      </x:c>
      <x:c r="B4" s="6" t="str">
        <x:v>Potrivire principală</x:v>
      </x:c>
      <x:c r="C4" s="6" t="str">
        <x:v>Limite / condiții</x:v>
      </x:c>
      <x:c r="D4" s="6" t="str">
        <x:v>Prezentare oficială</x:v>
      </x:c>
      <x:c r="E4" s="6" t="str">
        <x:v>Help oficial</x:v>
      </x:c>
    </x:row>
    <x:row r="5" ht="47.25" customHeight="1">
      <x:c r="A5" s="7" t="str">
        <x:v>Microsoft Power BI / Fabric + Copilot</x:v>
      </x:c>
      <x:c r="B5" s="7" t="str">
        <x:v>BI financiar și operațional în ecosistem Microsoft; model semantic și integrare largă</x:v>
      </x:c>
      <x:c r="C5" s="7" t="str">
        <x:v>Copilot cere capacitate eligibilă; Pro/PPU singure nu ajung. Unele experiențe sunt preview. Româna se testează explicit; documentația are restricții multilingve.</x:v>
      </x:c>
      <x:c r="D5" s="7" t="str">
        <x:v>https://www.microsoft.com/en-us/power-platform/products/power-bi</x:v>
      </x:c>
      <x:c r="E5" s="7" t="str">
        <x:v>https://learn.microsoft.com/en-us/power-bi/create-reports/copilot-introduction</x:v>
      </x:c>
    </x:row>
    <x:row r="6" ht="47.25" customHeight="1">
      <x:c r="A6" s="3" t="str">
        <x:v>Tableau Cloud + Tableau Agent / Pulse</x:v>
      </x:c>
      <x:c r="B6" s="3" t="str">
        <x:v>Explorare vizuală și monitorizare personalizată de metrici</x:v>
      </x:c>
      <x:c r="C6" s="3" t="str">
        <x:v>Pulse este documentat pentru Cloud. Agent in Pulse, corelațiile și forecast-ul premium țin de Tableau+. Verificați diferențele Cloud/Server/Desktop.</x:v>
      </x:c>
      <x:c r="D6" s="3" t="str">
        <x:v>https://www.tableau.com/sites/default/files/2024-12/Your-Guide-Moving-to-Tableau-Cloud.pdf</x:v>
      </x:c>
      <x:c r="E6" s="3" t="str">
        <x:v>https://help.tableau.com/current/tableau/en-us/tableau_gai_solutions.htm</x:v>
      </x:c>
    </x:row>
    <x:row r="7" ht="47.25" customHeight="1">
      <x:c r="A7" s="7" t="str">
        <x:v>Qlik Cloud Analytics + Answers / Predict / Automate</x:v>
      </x:c>
      <x:c r="B7" s="7" t="str">
        <x:v>Analize asociative, date și documente în același context, automatizări</x:v>
      </x:c>
      <x:c r="C7" s="7" t="str">
        <x:v>Experiența agentică Answers diferă de varianta legacy. Insight Advisor nu se utilizează simultan în tenantul cu experiența agentică; modulele și capacitatea se verifică separat.</x:v>
      </x:c>
      <x:c r="D7" s="7" t="str">
        <x:v>https://help.qlik.com/en-US/evaluation-guides/pdf/AI-in-Qlik-Cloud.pdf</x:v>
      </x:c>
      <x:c r="E7" s="7" t="str">
        <x:v>https://help.qlik.com/en-US/cloud-services/Subsystems/Hub/Content/Sense_Hub/QlikAnswers/Qlik-Answers.htm</x:v>
      </x:c>
    </x:row>
    <x:row r="8" ht="47.25" customHeight="1">
      <x:c r="A8" s="3" t="str">
        <x:v>Google Looker + Gemini</x:v>
      </x:c>
      <x:c r="B8" s="3" t="str">
        <x:v>Definiții comune în LookML, analytics integrat în aplicații și ecosistem Google</x:v>
      </x:c>
      <x:c r="C8" s="3" t="str">
        <x:v>Looker și Looker Studio sunt produse distincte. Gemini necesită activare; agenții de dashboard pot fi preview. Costul warehouse și licențele se includ în evaluare.</x:v>
      </x:c>
      <x:c r="D8" s="3" t="str">
        <x:v>https://cloud.google.com/looker</x:v>
      </x:c>
      <x:c r="E8" s="3" t="str">
        <x:v>https://docs.cloud.google.com/looker/docs/gemini-overview-looker?hl=en</x:v>
      </x:c>
    </x:row>
    <x:row r="9" ht="47.25" customHeight="1">
      <x:c r="A9" s="7" t="str">
        <x:v>Amazon Quick / Quick Sight</x:v>
      </x:c>
      <x:c r="B9" s="7" t="str">
        <x:v>BI pe AWS combinat cu agenți, cercetare și fluxuri între aplicații</x:v>
      </x:c>
      <x:c r="C9" s="7" t="str">
        <x:v>Documentația actuală folosește Amazon Quick; materiale mai vechi spun QuickSight sau Quick Suite. Componentele suitei nu sunt echivalente cu licența BI de bază.</x:v>
      </x:c>
      <x:c r="D9" s="7" t="str">
        <x:v>https://aws.amazon.com/blogs/aws/reimagine-the-way-you-work-with-ai-agents-in-amazon-quick-suite/</x:v>
      </x:c>
      <x:c r="E9" s="7" t="str">
        <x:v>https://docs.aws.amazon.com/quick/latest/userguide/how-quicksuite-works.html</x:v>
      </x:c>
    </x:row>
    <x:row r="10" ht="47.25" customHeight="1">
      <x:c r="A10" s="3" t="str">
        <x:v>SAP Analytics Cloud + Joule</x:v>
      </x:c>
      <x:c r="B10" s="3" t="str">
        <x:v>BI plus planificare financiară și operațională, în special în ecosistem SAP</x:v>
      </x:c>
      <x:c r="C10" s="3" t="str">
        <x:v>Funcțiile depind de licență, platformă și centru de date. Predicția pe modele de planning are restricții; funcții din alte produse SAP pot apărea în prezentări.</x:v>
      </x:c>
      <x:c r="D10" s="3" t="str">
        <x:v>https://www.sap.com/products/technology-platform/cloud-analytics/features.html</x:v>
      </x:c>
      <x:c r="E10" s="3" t="str">
        <x:v>https://help.sap.com/docs/SAP_ANALYTICS_CLOUD/18850a0e13944f53aa8a8b7c094ea29e/cd897576c3344475a208c2f7a52f151e.html</x:v>
      </x:c>
    </x:row>
    <x:row r="11" ht="47.25" customHeight="1">
      <x:c r="A11" s="7" t="str">
        <x:v>Oracle Analytics Cloud + AI Assistant</x:v>
      </x:c>
      <x:c r="B11" s="7" t="str">
        <x:v>Pregătire, analiză și vizualizare în mediul Oracle și surse mixte</x:v>
      </x:c>
      <x:c r="C11" s="7" t="str">
        <x:v>OAC, Oracle Analytics Server și produsele EPM au perimetre diferite. Crearea de data flows cu AI este indicată ca preview în catalogul consultat.</x:v>
      </x:c>
      <x:c r="D11" s="7" t="str">
        <x:v>https://www.oracle.com/analytics/capabilities/</x:v>
      </x:c>
      <x:c r="E11" s="7" t="str">
        <x:v>https://docs.oracle.com/en/cloud/paas/analytics-cloud/visualize-data.html</x:v>
      </x:c>
    </x:row>
    <x:row r="12" ht="47.25" customHeight="1">
      <x:c r="A12" s="3" t="str">
        <x:v>IBM Cognos Analytics + agentic AI</x:v>
      </x:c>
      <x:c r="B12" s="3" t="str">
        <x:v>Raportare enterprise, distribuție și control centralizat</x:v>
      </x:c>
      <x:c r="C12" s="3" t="str">
        <x:v>Funcțiile diferă între ofertele Cognos. AI on-premises presupune serviciu instalat și configurat; watsonx BI este prezentat ca add-on distinct.</x:v>
      </x:c>
      <x:c r="D12" s="3" t="str">
        <x:v>https://www.ibm.com/products/cognos-analytics/features</x:v>
      </x:c>
      <x:c r="E12" s="3" t="str">
        <x:v>https://www.ibm.com/docs/en/cognos-analytics/12.1.x?topic=ai-introduction-agentic</x:v>
      </x:c>
    </x:row>
    <x:row r="13" ht="47.25" customHeight="1">
      <x:c r="A13" s="7" t="str">
        <x:v>ThoughtSpot + Spotter</x:v>
      </x:c>
      <x:c r="B13" s="7" t="str">
        <x:v>Analiză prin conversație și integrare de analytics în produse</x:v>
      </x:c>
      <x:c r="C13" s="7" t="str">
        <x:v>Versiunile Spotter au diferențe. Unele planuri noi îl includ, iar planurile embedded sau legacy pot cere add-on. Prezentările despre acțiuni trebuie demonstrate în tenant.</x:v>
      </x:c>
      <x:c r="D13" s="7" t="str">
        <x:v>https://media.thoughtspot.com/pdf/ThoughtSpot-Customer-Insights-Hour-August-2025.pdf</x:v>
      </x:c>
      <x:c r="E13" s="7" t="str">
        <x:v>https://docs.thoughtspot.com/cloud/26.9.0.cl/spotter</x:v>
      </x:c>
    </x:row>
    <x:row r="14" ht="47.25" customHeight="1">
      <x:c r="A14" s="3" t="str">
        <x:v>Zoho Analytics + Ask Zia</x:v>
      </x:c>
      <x:c r="B14" s="3" t="str">
        <x:v>BI pentru echipe care vor analytics, pregătire și rapoarte asistate într-un pachet accesibil de evaluat</x:v>
      </x:c>
      <x:c r="C14" s="3" t="str">
        <x:v>GenAI este documentat pentru Premium/Enterprise. Zia Insights indică engleză, spaniolă și franceză; româna nu trebuie presupusă. Configurația LLM și datele transmise contează.</x:v>
      </x:c>
      <x:c r="D14" s="3" t="str">
        <x:v>https://www.zoho.com/sites/default/files/zoho_general_pages/zoho-bi-platform-analysis.pdf</x:v>
      </x:c>
      <x:c r="E14" s="3" t="str">
        <x:v>https://www.zoho.com/analytics/help/zia/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9ffc470c31ca466d"/>
  </x:tableParts>
</x:worksheet>
</file>

<file path=xl/worksheets/sheet7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.380001068115234" hidden="0" customWidth="1"/>
    <x:col min="2" max="2" width="44.380001068115234" hidden="0" customWidth="1"/>
    <x:col min="3" max="3" width="29.3799991607666" hidden="0" customWidth="1"/>
    <x:col min="4" max="4" width="45" hidden="0" customWidth="1"/>
    <x:col min="5" max="5" width="63.75" hidden="0" customWidth="1"/>
    <x:col min="6" max="6" width="23.75" hidden="0" customWidth="1"/>
  </x:cols>
  <x:sheetData>
    <x:row r="1">
      <x:c r="A1" s="3"/>
      <x:c r="B1" s="3"/>
      <x:c r="C1" s="3"/>
      <x:c r="D1" s="3"/>
      <x:c r="E1" s="3"/>
      <x:c r="F1" s="3"/>
    </x:row>
    <x:row r="2" ht="33" customHeight="1">
      <x:c r="A2" s="4" t="str">
        <x:v>80 de capabilități selectate din documentațiile oficiale</x:v>
      </x:c>
      <x:c r="B2" s="4"/>
      <x:c r="C2" s="4"/>
      <x:c r="D2" s="4"/>
      <x:c r="E2" s="4"/>
      <x:c r="F2" s="4"/>
    </x:row>
    <x:row r="3">
      <x:c r="A3" s="3"/>
      <x:c r="B3" s="3"/>
      <x:c r="C3" s="3"/>
      <x:c r="D3" s="3"/>
      <x:c r="E3" s="3"/>
      <x:c r="F3" s="3"/>
    </x:row>
    <x:row r="4" ht="33" customHeight="1">
      <x:c r="A4" s="6" t="str">
        <x:v>Platformă</x:v>
      </x:c>
      <x:c r="B4" s="6" t="str">
        <x:v>Capabilitate</x:v>
      </x:c>
      <x:c r="C4" s="6" t="str">
        <x:v>Stare</x:v>
      </x:c>
      <x:c r="D4" s="6" t="str">
        <x:v>Condiție de disponibilitate</x:v>
      </x:c>
      <x:c r="E4" s="6" t="str">
        <x:v>Sursă</x:v>
      </x:c>
      <x:c r="F4" s="6" t="str">
        <x:v>Tip probă</x:v>
      </x:c>
    </x:row>
    <x:row r="5" ht="34.5" customHeight="1">
      <x:c r="A5" s="7" t="str">
        <x:v>Microsoft Power BI / Fabric + Copilot</x:v>
      </x:c>
      <x:c r="B5" s="7" t="str">
        <x:v>Întrebări despre model și rapoarte</x:v>
      </x:c>
      <x:c r="C5" s="7" t="str">
        <x:v>Documentat</x:v>
      </x:c>
      <x:c r="D5" s="7" t="str">
        <x:v>Validare ediție, regiune și acces în ofertă</x:v>
      </x:c>
      <x:c r="E5" s="7" t="str">
        <x:v>https://learn.microsoft.com/en-us/power-bi/create-reports/copilot-introduction</x:v>
      </x:c>
      <x:c r="F5" s="7" t="str">
        <x:v>Help oficial</x:v>
      </x:c>
    </x:row>
    <x:row r="6" ht="34.5" customHeight="1">
      <x:c r="A6" s="3" t="str">
        <x:v>Microsoft Power BI / Fabric + Copilot</x:v>
      </x:c>
      <x:c r="B6" s="3" t="str">
        <x:v>Creare și modificare rapoarte cu AI</x:v>
      </x:c>
      <x:c r="C6" s="3" t="str">
        <x:v>Documentat</x:v>
      </x:c>
      <x:c r="D6" s="3" t="str">
        <x:v>Validare ediție, regiune și acces în ofertă</x:v>
      </x:c>
      <x:c r="E6" s="3" t="str">
        <x:v>https://learn.microsoft.com/en-us/power-bi/create-reports/copilot-introduction</x:v>
      </x:c>
      <x:c r="F6" s="3" t="str">
        <x:v>Help oficial</x:v>
      </x:c>
    </x:row>
    <x:row r="7" ht="34.5" customHeight="1">
      <x:c r="A7" s="7" t="str">
        <x:v>Microsoft Power BI / Fabric + Copilot</x:v>
      </x:c>
      <x:c r="B7" s="7" t="str">
        <x:v>Generare interogări DAX</x:v>
      </x:c>
      <x:c r="C7" s="7" t="str">
        <x:v>Documentat</x:v>
      </x:c>
      <x:c r="D7" s="7" t="str">
        <x:v>Validare ediție, regiune și acces în ofertă</x:v>
      </x:c>
      <x:c r="E7" s="7" t="str">
        <x:v>https://learn.microsoft.com/en-us/power-bi/create-reports/copilot-introduction</x:v>
      </x:c>
      <x:c r="F7" s="7" t="str">
        <x:v>Help oficial</x:v>
      </x:c>
    </x:row>
    <x:row r="8" ht="34.5" customHeight="1">
      <x:c r="A8" s="3" t="str">
        <x:v>Microsoft Power BI / Fabric + Copilot</x:v>
      </x:c>
      <x:c r="B8" s="3" t="str">
        <x:v>Rezumate în raport și abonamente</x:v>
      </x:c>
      <x:c r="C8" s="3" t="str">
        <x:v>Documentat</x:v>
      </x:c>
      <x:c r="D8" s="3" t="str">
        <x:v>Validare ediție, regiune și acces în ofertă</x:v>
      </x:c>
      <x:c r="E8" s="3" t="str">
        <x:v>https://learn.microsoft.com/en-us/power-bi/create-reports/copilot-introduction</x:v>
      </x:c>
      <x:c r="F8" s="3" t="str">
        <x:v>Help oficial</x:v>
      </x:c>
    </x:row>
    <x:row r="9" ht="34.5" customHeight="1">
      <x:c r="A9" s="7" t="str">
        <x:v>Microsoft Power BI / Fabric + Copilot</x:v>
      </x:c>
      <x:c r="B9" s="7" t="str">
        <x:v>Descrieri pentru măsuri</x:v>
      </x:c>
      <x:c r="C9" s="7" t="str">
        <x:v>Documentat</x:v>
      </x:c>
      <x:c r="D9" s="7" t="str">
        <x:v>Validare ediție, regiune și acces în ofertă</x:v>
      </x:c>
      <x:c r="E9" s="7" t="str">
        <x:v>https://learn.microsoft.com/en-us/power-bi/create-reports/copilot-introduction</x:v>
      </x:c>
      <x:c r="F9" s="7" t="str">
        <x:v>Help oficial</x:v>
      </x:c>
    </x:row>
    <x:row r="10" ht="34.5" customHeight="1">
      <x:c r="A10" s="3" t="str">
        <x:v>Microsoft Power BI / Fabric + Copilot</x:v>
      </x:c>
      <x:c r="B10" s="3" t="str">
        <x:v>Pregătire model, instrucțiuni și răspunsuri verificate</x:v>
      </x:c>
      <x:c r="C10" s="3" t="str">
        <x:v>Documentat</x:v>
      </x:c>
      <x:c r="D10" s="3" t="str">
        <x:v>Validare ediție, regiune și acces în ofertă</x:v>
      </x:c>
      <x:c r="E10" s="3" t="str">
        <x:v>https://learn.microsoft.com/en-us/power-bi/create-reports/tutorial-copilot-power-bi-introduction</x:v>
      </x:c>
      <x:c r="F10" s="3" t="str">
        <x:v>Tutorial oficial</x:v>
      </x:c>
    </x:row>
    <x:row r="11" ht="34.5" customHeight="1">
      <x:c r="A11" s="7" t="str">
        <x:v>Microsoft Power BI / Fabric + Copilot</x:v>
      </x:c>
      <x:c r="B11" s="7" t="str">
        <x:v>Căutare între rapoarte și modele</x:v>
      </x:c>
      <x:c r="C11" s="7" t="str">
        <x:v>Preview pentru experiența standalone</x:v>
      </x:c>
      <x:c r="D11" s="7" t="str">
        <x:v>Capacitate și setări tenant</x:v>
      </x:c>
      <x:c r="E11" s="7" t="str">
        <x:v>https://learn.microsoft.com/en-us/power-bi/create-reports/copilot-introduction</x:v>
      </x:c>
      <x:c r="F11" s="7" t="str">
        <x:v>Help oficial</x:v>
      </x:c>
    </x:row>
    <x:row r="12" ht="34.5" customHeight="1">
      <x:c r="A12" s="3" t="str">
        <x:v>Microsoft Power BI / Fabric + Copilot</x:v>
      </x:c>
      <x:c r="B12" s="3" t="str">
        <x:v>Asistență AI la modelare web</x:v>
      </x:c>
      <x:c r="C12" s="3" t="str">
        <x:v>Preview</x:v>
      </x:c>
      <x:c r="D12" s="3" t="str">
        <x:v>Drept de scriere și model pe capacitate eligibilă</x:v>
      </x:c>
      <x:c r="E12" s="3" t="str">
        <x:v>https://learn.microsoft.com/en-us/power-bi/create-reports/copilot-introduction</x:v>
      </x:c>
      <x:c r="F12" s="3" t="str">
        <x:v>Help oficial</x:v>
      </x:c>
    </x:row>
    <x:row r="13" ht="33" customHeight="1">
      <x:c r="A13" s="7" t="str">
        <x:v>Tableau Cloud + Tableau Agent / Pulse</x:v>
      </x:c>
      <x:c r="B13" s="7" t="str">
        <x:v>Asistență la creare vizualizări</x:v>
      </x:c>
      <x:c r="C13" s="7" t="str">
        <x:v>Documentat</x:v>
      </x:c>
      <x:c r="D13" s="7" t="str">
        <x:v>Validare ediție, regiune și acces în ofertă</x:v>
      </x:c>
      <x:c r="E13" s="7" t="str">
        <x:v>https://help.tableau.com/current/tableau/en-us/tableau_gai_solutions.htm</x:v>
      </x:c>
      <x:c r="F13" s="7" t="str">
        <x:v>Help oficial</x:v>
      </x:c>
    </x:row>
    <x:row r="14" ht="33" customHeight="1">
      <x:c r="A14" s="3" t="str">
        <x:v>Tableau Cloud + Tableau Agent / Pulse</x:v>
      </x:c>
      <x:c r="B14" s="3" t="str">
        <x:v>Creare și explicare câmpuri calculate</x:v>
      </x:c>
      <x:c r="C14" s="3" t="str">
        <x:v>Documentat</x:v>
      </x:c>
      <x:c r="D14" s="3" t="str">
        <x:v>Validare ediție, regiune și acces în ofertă</x:v>
      </x:c>
      <x:c r="E14" s="3" t="str">
        <x:v>https://help.tableau.com/current/tableau/en-us/tableau_gai_solutions.htm</x:v>
      </x:c>
      <x:c r="F14" s="3" t="str">
        <x:v>Help oficial</x:v>
      </x:c>
    </x:row>
    <x:row r="15" ht="33" customHeight="1">
      <x:c r="A15" s="7" t="str">
        <x:v>Tableau Cloud + Tableau Agent / Pulse</x:v>
      </x:c>
      <x:c r="B15" s="7" t="str">
        <x:v>Asistență pentru pregătirea datelor și descrieri</x:v>
      </x:c>
      <x:c r="C15" s="7" t="str">
        <x:v>Documentat</x:v>
      </x:c>
      <x:c r="D15" s="7" t="str">
        <x:v>Validare ediție, regiune și acces în ofertă</x:v>
      </x:c>
      <x:c r="E15" s="7" t="str">
        <x:v>https://help.tableau.com/current/tableau/en-us/tableau_gai_solutions.htm</x:v>
      </x:c>
      <x:c r="F15" s="7" t="str">
        <x:v>Help oficial</x:v>
      </x:c>
    </x:row>
    <x:row r="16" ht="33" customHeight="1">
      <x:c r="A16" s="3" t="str">
        <x:v>Tableau Cloud + Tableau Agent / Pulse</x:v>
      </x:c>
      <x:c r="B16" s="3" t="str">
        <x:v>Metrici urmărite de fiecare utilizator</x:v>
      </x:c>
      <x:c r="C16" s="3" t="str">
        <x:v>Documentat</x:v>
      </x:c>
      <x:c r="D16" s="3" t="str">
        <x:v>Validare ediție, regiune și acces în ofertă</x:v>
      </x:c>
      <x:c r="E16" s="3" t="str">
        <x:v>https://help.tableau.com/current/online/en-gb/pulse_about.htm</x:v>
      </x:c>
      <x:c r="F16" s="3" t="str">
        <x:v>Help oficial</x:v>
      </x:c>
    </x:row>
    <x:row r="17" ht="33" customHeight="1">
      <x:c r="A17" s="7" t="str">
        <x:v>Tableau Cloud + Tableau Agent / Pulse</x:v>
      </x:c>
      <x:c r="B17" s="7" t="str">
        <x:v>Digesturi prin email și Slack</x:v>
      </x:c>
      <x:c r="C17" s="7" t="str">
        <x:v>Documentat</x:v>
      </x:c>
      <x:c r="D17" s="7" t="str">
        <x:v>Validare ediție, regiune și acces în ofertă</x:v>
      </x:c>
      <x:c r="E17" s="7" t="str">
        <x:v>https://help.tableau.com/current/online/en-gb/pulse_about.htm</x:v>
      </x:c>
      <x:c r="F17" s="7" t="str">
        <x:v>Help oficial</x:v>
      </x:c>
    </x:row>
    <x:row r="18" ht="33" customHeight="1">
      <x:c r="A18" s="3" t="str">
        <x:v>Tableau Cloud + Tableau Agent / Pulse</x:v>
      </x:c>
      <x:c r="B18" s="3" t="str">
        <x:v>Întrebări conversaționale pe grupuri de metrici</x:v>
      </x:c>
      <x:c r="C18" s="3" t="str">
        <x:v>Documentat, premium</x:v>
      </x:c>
      <x:c r="D18" s="3" t="str">
        <x:v>Tableau+ și activare la nivel de site</x:v>
      </x:c>
      <x:c r="E18" s="3" t="str">
        <x:v>https://help.tableau.com/current/online/en-gb/pulse_ask_discover_qa.htm</x:v>
      </x:c>
      <x:c r="F18" s="3" t="str">
        <x:v>Help oficial</x:v>
      </x:c>
    </x:row>
    <x:row r="19" ht="33" customHeight="1">
      <x:c r="A19" s="7" t="str">
        <x:v>Tableau Cloud + Tableau Agent / Pulse</x:v>
      </x:c>
      <x:c r="B19" s="7" t="str">
        <x:v>Citarea metricilor în răspuns</x:v>
      </x:c>
      <x:c r="C19" s="7" t="str">
        <x:v>Documentat</x:v>
      </x:c>
      <x:c r="D19" s="7" t="str">
        <x:v>Validare ediție, regiune și acces în ofertă</x:v>
      </x:c>
      <x:c r="E19" s="7" t="str">
        <x:v>https://help.tableau.com/current/online/en-gb/pulse_ask_discover_qa.htm</x:v>
      </x:c>
      <x:c r="F19" s="7" t="str">
        <x:v>Help oficial</x:v>
      </x:c>
    </x:row>
    <x:row r="20" ht="33" customHeight="1">
      <x:c r="A20" s="3" t="str">
        <x:v>Tableau Cloud + Tableau Agent / Pulse</x:v>
      </x:c>
      <x:c r="B20" s="3" t="str">
        <x:v>Metrici corelate și prognoze Pulse</x:v>
      </x:c>
      <x:c r="C20" s="3" t="str">
        <x:v>Documentat, premium</x:v>
      </x:c>
      <x:c r="D20" s="3" t="str">
        <x:v>Disponibilitate Tableau+</x:v>
      </x:c>
      <x:c r="E20" s="3" t="str">
        <x:v>https://help.tableau.com/current/online/en-gb/pulse_capabilities.htm</x:v>
      </x:c>
      <x:c r="F20" s="3" t="str">
        <x:v>Help oficial</x:v>
      </x:c>
    </x:row>
    <x:row r="21" ht="34.5" customHeight="1">
      <x:c r="A21" s="7" t="str">
        <x:v>Qlik Cloud Analytics + Answers / Predict / Automate</x:v>
      </x:c>
      <x:c r="B21" s="7" t="str">
        <x:v>Conversație pe date structurate din aplicații</x:v>
      </x:c>
      <x:c r="C21" s="7" t="str">
        <x:v>Documentat</x:v>
      </x:c>
      <x:c r="D21" s="7" t="str">
        <x:v>Validare ediție, regiune și acces în ofertă</x:v>
      </x:c>
      <x:c r="E21" s="7" t="str">
        <x:v>https://help.qlik.com/en-US/cloud-services/Subsystems/Hub/Content/Sense_Hub/QlikAnswers/Qlik-Answers.htm</x:v>
      </x:c>
      <x:c r="F21" s="7" t="str">
        <x:v>Help oficial</x:v>
      </x:c>
    </x:row>
    <x:row r="22" ht="34.5" customHeight="1">
      <x:c r="A22" s="3" t="str">
        <x:v>Qlik Cloud Analytics + Answers / Predict / Automate</x:v>
      </x:c>
      <x:c r="B22" s="3" t="str">
        <x:v>Răspunsuri din baze de cunoștințe documentare</x:v>
      </x:c>
      <x:c r="C22" s="3" t="str">
        <x:v>Documentat</x:v>
      </x:c>
      <x:c r="D22" s="3" t="str">
        <x:v>Validare ediție, regiune și acces în ofertă</x:v>
      </x:c>
      <x:c r="E22" s="3" t="str">
        <x:v>https://help.qlik.com/en-US/cloud-services/Subsystems/Hub/Content/Sense_Hub/QlikAnswers/Qlik-Answers.htm</x:v>
      </x:c>
      <x:c r="F22" s="3" t="str">
        <x:v>Help oficial</x:v>
      </x:c>
    </x:row>
    <x:row r="23" ht="34.5" customHeight="1">
      <x:c r="A23" s="7" t="str">
        <x:v>Qlik Cloud Analytics + Answers / Predict / Automate</x:v>
      </x:c>
      <x:c r="B23" s="7" t="str">
        <x:v>Citarea surselor utilizate</x:v>
      </x:c>
      <x:c r="C23" s="7" t="str">
        <x:v>Documentat</x:v>
      </x:c>
      <x:c r="D23" s="7" t="str">
        <x:v>Validare ediție, regiune și acces în ofertă</x:v>
      </x:c>
      <x:c r="E23" s="7" t="str">
        <x:v>https://help.qlik.com/en-US/cloud-services/Subsystems/Hub/Content/Sense_Hub/QlikAnswers/Qlik-Answers.htm</x:v>
      </x:c>
      <x:c r="F23" s="7" t="str">
        <x:v>Help oficial</x:v>
      </x:c>
    </x:row>
    <x:row r="24" ht="34.5" customHeight="1">
      <x:c r="A24" s="3" t="str">
        <x:v>Qlik Cloud Analytics + Answers / Predict / Automate</x:v>
      </x:c>
      <x:c r="B24" s="3" t="str">
        <x:v>Asistenți cu date și documente curate</x:v>
      </x:c>
      <x:c r="C24" s="3" t="str">
        <x:v>Documentat</x:v>
      </x:c>
      <x:c r="D24" s="3" t="str">
        <x:v>Validare ediție, regiune și acces în ofertă</x:v>
      </x:c>
      <x:c r="E24" s="3" t="str">
        <x:v>https://help.qlik.com/en-US/cloud-services/Subsystems/Hub/Content/Sense_Hub/QlikAnswers/Qlik-Answers.htm</x:v>
      </x:c>
      <x:c r="F24" s="3" t="str">
        <x:v>Help oficial</x:v>
      </x:c>
    </x:row>
    <x:row r="25" ht="34.5" customHeight="1">
      <x:c r="A25" s="7" t="str">
        <x:v>Qlik Cloud Analytics + Answers / Predict / Automate</x:v>
      </x:c>
      <x:c r="B25" s="7" t="str">
        <x:v>Acțiuni prin automatizări conectate asistentului</x:v>
      </x:c>
      <x:c r="C25" s="7" t="str">
        <x:v>Documentat, configurabil</x:v>
      </x:c>
      <x:c r="D25" s="7" t="str">
        <x:v>Conectori, drepturi și automatizări pregătite</x:v>
      </x:c>
      <x:c r="E25" s="7" t="str">
        <x:v>https://help.qlik.com/en-US/cloud-services/Subsystems/Hub/Content/Sense_Hub/QlikAnswers/Qlik-Answers.htm</x:v>
      </x:c>
      <x:c r="F25" s="7" t="str">
        <x:v>Help oficial</x:v>
      </x:c>
    </x:row>
    <x:row r="26" ht="34.5" customHeight="1">
      <x:c r="A26" s="3" t="str">
        <x:v>Qlik Cloud Analytics + Answers / Predict / Automate</x:v>
      </x:c>
      <x:c r="B26" s="3" t="str">
        <x:v>Explorare și vizualizare asociativă</x:v>
      </x:c>
      <x:c r="C26" s="3" t="str">
        <x:v>Documentat</x:v>
      </x:c>
      <x:c r="D26" s="3" t="str">
        <x:v>Validare ediție, regiune și acces în ofertă</x:v>
      </x:c>
      <x:c r="E26" s="3" t="str">
        <x:v>https://help.qlik.com/en-US/evaluation-guides/pdf/Qlik-Cloud-Analytics.pdf</x:v>
      </x:c>
      <x:c r="F26" s="3" t="str">
        <x:v>Prezentare PDF</x:v>
      </x:c>
    </x:row>
    <x:row r="27" ht="34.5" customHeight="1">
      <x:c r="A27" s="7" t="str">
        <x:v>Qlik Cloud Analytics + Answers / Predict / Automate</x:v>
      </x:c>
      <x:c r="B27" s="7" t="str">
        <x:v>Modele predictive fără cod</x:v>
      </x:c>
      <x:c r="C27" s="7" t="str">
        <x:v>Documentat în Qlik Predict</x:v>
      </x:c>
      <x:c r="D27" s="7" t="str">
        <x:v>Entitlement și limite de consum de confirmat</x:v>
      </x:c>
      <x:c r="E27" s="7" t="str">
        <x:v>https://help.qlik.com/en-US/evaluation-guides/pdf/Qlik-Cloud-Analytics.pdf</x:v>
      </x:c>
      <x:c r="F27" s="7" t="str">
        <x:v>Prezentare PDF</x:v>
      </x:c>
    </x:row>
    <x:row r="28" ht="34.5" customHeight="1">
      <x:c r="A28" s="3" t="str">
        <x:v>Qlik Cloud Analytics + Answers / Predict / Automate</x:v>
      </x:c>
      <x:c r="B28" s="3" t="str">
        <x:v>Integrare AI prin mecanisme de conectare Qlik</x:v>
      </x:c>
      <x:c r="C28" s="3" t="str">
        <x:v>Documentat în ghid de evaluare</x:v>
      </x:c>
      <x:c r="D28" s="3" t="str">
        <x:v>Verificare a conectorului și a drepturilor efective</x:v>
      </x:c>
      <x:c r="E28" s="3" t="str">
        <x:v>https://help.qlik.com/en-US/evaluation-guides/pdf/AI-in-Qlik-Cloud.pdf</x:v>
      </x:c>
      <x:c r="F28" s="3" t="str">
        <x:v>Prezentare PDF</x:v>
      </x:c>
    </x:row>
    <x:row r="29" ht="34.5" customHeight="1">
      <x:c r="A29" s="7" t="str">
        <x:v>Google Looker + Gemini</x:v>
      </x:c>
      <x:c r="B29" s="7" t="str">
        <x:v>Întrebări în limbaj natural pe Explores</x:v>
      </x:c>
      <x:c r="C29" s="7" t="str">
        <x:v>Documentat</x:v>
      </x:c>
      <x:c r="D29" s="7" t="str">
        <x:v>Validare ediție, regiune și acces în ofertă</x:v>
      </x:c>
      <x:c r="E29" s="7" t="str">
        <x:v>https://docs.cloud.google.com/looker/docs/conversational-analytics-overview</x:v>
      </x:c>
      <x:c r="F29" s="7" t="str">
        <x:v>Help oficial</x:v>
      </x:c>
    </x:row>
    <x:row r="30" ht="34.5" customHeight="1">
      <x:c r="A30" s="3" t="str">
        <x:v>Google Looker + Gemini</x:v>
      </x:c>
      <x:c r="B30" s="3" t="str">
        <x:v>Agenți de date cu instrucțiuni proprii</x:v>
      </x:c>
      <x:c r="C30" s="3" t="str">
        <x:v>Documentat</x:v>
      </x:c>
      <x:c r="D30" s="3" t="str">
        <x:v>Validare ediție, regiune și acces în ofertă</x:v>
      </x:c>
      <x:c r="E30" s="3" t="str">
        <x:v>https://docs.cloud.google.com/looker/docs/conversational-analytics-overview</x:v>
      </x:c>
      <x:c r="F30" s="3" t="str">
        <x:v>Help oficial</x:v>
      </x:c>
    </x:row>
    <x:row r="31" ht="34.5" customHeight="1">
      <x:c r="A31" s="7" t="str">
        <x:v>Google Looker + Gemini</x:v>
      </x:c>
      <x:c r="B31" s="7" t="str">
        <x:v>Context din maximum cinci Explores pe agent</x:v>
      </x:c>
      <x:c r="C31" s="7" t="str">
        <x:v>Documentat</x:v>
      </x:c>
      <x:c r="D31" s="7" t="str">
        <x:v>Limita se reconfirmă pentru ediția ofertată</x:v>
      </x:c>
      <x:c r="E31" s="7" t="str">
        <x:v>https://docs.cloud.google.com/looker/docs/conversational-analytics-overview</x:v>
      </x:c>
      <x:c r="F31" s="7" t="str">
        <x:v>Help oficial</x:v>
      </x:c>
    </x:row>
    <x:row r="32" ht="34.5" customHeight="1">
      <x:c r="A32" s="3" t="str">
        <x:v>Google Looker + Gemini</x:v>
      </x:c>
      <x:c r="B32" s="3" t="str">
        <x:v>Întrebări verificate pentru contextul agentului</x:v>
      </x:c>
      <x:c r="C32" s="3" t="str">
        <x:v>Documentat</x:v>
      </x:c>
      <x:c r="D32" s="3" t="str">
        <x:v>Validare ediție, regiune și acces în ofertă</x:v>
      </x:c>
      <x:c r="E32" s="3" t="str">
        <x:v>https://docs.cloud.google.com/looker/docs/conversational-analytics-overview</x:v>
      </x:c>
      <x:c r="F32" s="3" t="str">
        <x:v>Help oficial</x:v>
      </x:c>
    </x:row>
    <x:row r="33" ht="33" customHeight="1">
      <x:c r="A33" s="7" t="str">
        <x:v>Google Looker + Gemini</x:v>
      </x:c>
      <x:c r="B33" s="7" t="str">
        <x:v>Analize avansate prin Python în conversație</x:v>
      </x:c>
      <x:c r="C33" s="7" t="str">
        <x:v>Documentat</x:v>
      </x:c>
      <x:c r="D33" s="7" t="str">
        <x:v>Validare ediție, regiune și acces în ofertă</x:v>
      </x:c>
      <x:c r="E33" s="7" t="str">
        <x:v>https://docs.cloud.google.com/looker/docs/gemini-overview-looker?hl=en</x:v>
      </x:c>
      <x:c r="F33" s="7" t="str">
        <x:v>Help oficial</x:v>
      </x:c>
    </x:row>
    <x:row r="34" ht="33" customHeight="1">
      <x:c r="A34" s="3" t="str">
        <x:v>Google Looker + Gemini</x:v>
      </x:c>
      <x:c r="B34" s="3" t="str">
        <x:v>Generare expresii și asistență LookML</x:v>
      </x:c>
      <x:c r="C34" s="3" t="str">
        <x:v>Documentat</x:v>
      </x:c>
      <x:c r="D34" s="3" t="str">
        <x:v>Validare ediție, regiune și acces în ofertă</x:v>
      </x:c>
      <x:c r="E34" s="3" t="str">
        <x:v>https://docs.cloud.google.com/looker/docs/gemini-overview-looker?hl=en</x:v>
      </x:c>
      <x:c r="F34" s="3" t="str">
        <x:v>Help oficial</x:v>
      </x:c>
    </x:row>
    <x:row r="35" ht="33" customHeight="1">
      <x:c r="A35" s="7" t="str">
        <x:v>Google Looker + Gemini</x:v>
      </x:c>
      <x:c r="B35" s="7" t="str">
        <x:v>Personalizare vizualizări prin limbaj natural</x:v>
      </x:c>
      <x:c r="C35" s="7" t="str">
        <x:v>Documentat</x:v>
      </x:c>
      <x:c r="D35" s="7" t="str">
        <x:v>Validare ediție, regiune și acces în ofertă</x:v>
      </x:c>
      <x:c r="E35" s="7" t="str">
        <x:v>https://docs.cloud.google.com/looker/docs/gemini-overview-looker?hl=en</x:v>
      </x:c>
      <x:c r="F35" s="7" t="str">
        <x:v>Help oficial</x:v>
      </x:c>
    </x:row>
    <x:row r="36" ht="33" customHeight="1">
      <x:c r="A36" s="3" t="str">
        <x:v>Google Looker + Gemini</x:v>
      </x:c>
      <x:c r="B36" s="3" t="str">
        <x:v>API și integrare în aplicații pentru conversații</x:v>
      </x:c>
      <x:c r="C36" s="3" t="str">
        <x:v>Prezentare oficială</x:v>
      </x:c>
      <x:c r="D36" s="3" t="str">
        <x:v>Validare drepturi, autentificare și costuri API</x:v>
      </x:c>
      <x:c r="E36" s="3" t="str">
        <x:v>https://cloud.google.com/looker</x:v>
      </x:c>
      <x:c r="F36" s="3" t="str">
        <x:v>Prezentare oficială</x:v>
      </x:c>
    </x:row>
    <x:row r="37" ht="34.5" customHeight="1">
      <x:c r="A37" s="7" t="str">
        <x:v>Amazon Quick / Quick Sight</x:v>
      </x:c>
      <x:c r="B37" s="7" t="str">
        <x:v>Dashboarduri și analytics prin Quick Sight</x:v>
      </x:c>
      <x:c r="C37" s="7" t="str">
        <x:v>Documentat</x:v>
      </x:c>
      <x:c r="D37" s="7" t="str">
        <x:v>Validare ediție, regiune și acces în ofertă</x:v>
      </x:c>
      <x:c r="E37" s="7" t="str">
        <x:v>https://docs.aws.amazon.com/quick/latest/userguide/how-quicksuite-works.html</x:v>
      </x:c>
      <x:c r="F37" s="7" t="str">
        <x:v>Help oficial</x:v>
      </x:c>
    </x:row>
    <x:row r="38" ht="34.5" customHeight="1">
      <x:c r="A38" s="3" t="str">
        <x:v>Amazon Quick / Quick Sight</x:v>
      </x:c>
      <x:c r="B38" s="3" t="str">
        <x:v>Seturi de date, conexiuni structurate și SPICE</x:v>
      </x:c>
      <x:c r="C38" s="3" t="str">
        <x:v>Documentat</x:v>
      </x:c>
      <x:c r="D38" s="3" t="str">
        <x:v>Validare ediție, regiune și acces în ofertă</x:v>
      </x:c>
      <x:c r="E38" s="3" t="str">
        <x:v>https://docs.aws.amazon.com/quick/latest/userguide/how-quicksuite-works.html</x:v>
      </x:c>
      <x:c r="F38" s="3" t="str">
        <x:v>Help oficial</x:v>
      </x:c>
    </x:row>
    <x:row r="39" ht="34.5" customHeight="1">
      <x:c r="A39" s="7" t="str">
        <x:v>Amazon Quick / Quick Sight</x:v>
      </x:c>
      <x:c r="B39" s="7" t="str">
        <x:v>Agenți cu instrucțiuni și surse configurate</x:v>
      </x:c>
      <x:c r="C39" s="7" t="str">
        <x:v>Documentat</x:v>
      </x:c>
      <x:c r="D39" s="7" t="str">
        <x:v>Validare ediție, regiune și acces în ofertă</x:v>
      </x:c>
      <x:c r="E39" s="7" t="str">
        <x:v>https://docs.aws.amazon.com/quick/latest/userguide/how-quicksuite-works.html</x:v>
      </x:c>
      <x:c r="F39" s="7" t="str">
        <x:v>Help oficial</x:v>
      </x:c>
    </x:row>
    <x:row r="40" ht="34.5" customHeight="1">
      <x:c r="A40" s="3" t="str">
        <x:v>Amazon Quick / Quick Sight</x:v>
      </x:c>
      <x:c r="B40" s="3" t="str">
        <x:v>Spaces pentru documente, dashboarduri și context comun</x:v>
      </x:c>
      <x:c r="C40" s="3" t="str">
        <x:v>Documentat</x:v>
      </x:c>
      <x:c r="D40" s="3" t="str">
        <x:v>Validare ediție, regiune și acces în ofertă</x:v>
      </x:c>
      <x:c r="E40" s="3" t="str">
        <x:v>https://docs.aws.amazon.com/quick/latest/userguide/how-quicksuite-works.html</x:v>
      </x:c>
      <x:c r="F40" s="3" t="str">
        <x:v>Help oficial</x:v>
      </x:c>
    </x:row>
    <x:row r="41" ht="34.5" customHeight="1">
      <x:c r="A41" s="7" t="str">
        <x:v>Amazon Quick / Quick Sight</x:v>
      </x:c>
      <x:c r="B41" s="7" t="str">
        <x:v>Quick Flows pentru sarcini repetitive</x:v>
      </x:c>
      <x:c r="C41" s="7" t="str">
        <x:v>Documentat</x:v>
      </x:c>
      <x:c r="D41" s="7" t="str">
        <x:v>Validare ediție, regiune și acces în ofertă</x:v>
      </x:c>
      <x:c r="E41" s="7" t="str">
        <x:v>https://docs.aws.amazon.com/quick/latest/userguide/using-amazon-quick-flows.html</x:v>
      </x:c>
      <x:c r="F41" s="7" t="str">
        <x:v>Help oficial</x:v>
      </x:c>
    </x:row>
    <x:row r="42" ht="34.5" customHeight="1">
      <x:c r="A42" s="3" t="str">
        <x:v>Amazon Quick / Quick Sight</x:v>
      </x:c>
      <x:c r="B42" s="3" t="str">
        <x:v>Quick Automate pentru procese cu intervenție umană</x:v>
      </x:c>
      <x:c r="C42" s="3" t="str">
        <x:v>Documentat</x:v>
      </x:c>
      <x:c r="D42" s="3" t="str">
        <x:v>Validare ediție, regiune și acces în ofertă</x:v>
      </x:c>
      <x:c r="E42" s="3" t="str">
        <x:v>https://docs.aws.amazon.com/quick/latest/userguide/how-quicksuite-works.html</x:v>
      </x:c>
      <x:c r="F42" s="3" t="str">
        <x:v>Help oficial</x:v>
      </x:c>
    </x:row>
    <x:row r="43" ht="34.5" customHeight="1">
      <x:c r="A43" s="7" t="str">
        <x:v>Amazon Quick / Quick Sight</x:v>
      </x:c>
      <x:c r="B43" s="7" t="str">
        <x:v>Quick Research pentru rapoarte cu surse</x:v>
      </x:c>
      <x:c r="C43" s="7" t="str">
        <x:v>Documentat</x:v>
      </x:c>
      <x:c r="D43" s="7" t="str">
        <x:v>Validare ediție, regiune și acces în ofertă</x:v>
      </x:c>
      <x:c r="E43" s="7" t="str">
        <x:v>https://docs.aws.amazon.com/quick/latest/userguide/how-quicksuite-works.html</x:v>
      </x:c>
      <x:c r="F43" s="7" t="str">
        <x:v>Help oficial</x:v>
      </x:c>
    </x:row>
    <x:row r="44" ht="34.5" customHeight="1">
      <x:c r="A44" s="3" t="str">
        <x:v>Amazon Quick / Quick Sight</x:v>
      </x:c>
      <x:c r="B44" s="3" t="str">
        <x:v>Conectori OpenAPI/MCP și extensii în aplicații</x:v>
      </x:c>
      <x:c r="C44" s="3" t="str">
        <x:v>Documentat, configurabil</x:v>
      </x:c>
      <x:c r="D44" s="3" t="str">
        <x:v>Validare autentificare, acțiuni și drepturi pe destinație</x:v>
      </x:c>
      <x:c r="E44" s="3" t="str">
        <x:v>https://docs.aws.amazon.com/quick/latest/userguide/how-quicksuite-works.html</x:v>
      </x:c>
      <x:c r="F44" s="3" t="str">
        <x:v>Help oficial</x:v>
      </x:c>
    </x:row>
    <x:row r="45" ht="34.5" customHeight="1">
      <x:c r="A45" s="7" t="str">
        <x:v>SAP Analytics Cloud + Joule</x:v>
      </x:c>
      <x:c r="B45" s="7" t="str">
        <x:v>Întrebări de business prin Just Ask</x:v>
      </x:c>
      <x:c r="C45" s="7" t="str">
        <x:v>Documentat</x:v>
      </x:c>
      <x:c r="D45" s="7" t="str">
        <x:v>Validare ediție, regiune și acces în ofertă</x:v>
      </x:c>
      <x:c r="E45" s="7" t="str">
        <x:v>https://help.sap.com/docs/SAP_ANALYTICS_CLOUD/18850a0e13944f53aa8a8b7c094ea29e/95dbe296761940c2bf4e18d54a20f3df.html?locale=en</x:v>
      </x:c>
      <x:c r="F45" s="7" t="str">
        <x:v>Help oficial</x:v>
      </x:c>
    </x:row>
    <x:row r="46" ht="34.5" customHeight="1">
      <x:c r="A46" s="3" t="str">
        <x:v>SAP Analytics Cloud + Joule</x:v>
      </x:c>
      <x:c r="B46" s="3" t="str">
        <x:v>Comparare actual versus forecast în interogări</x:v>
      </x:c>
      <x:c r="C46" s="3" t="str">
        <x:v>Documentat</x:v>
      </x:c>
      <x:c r="D46" s="3" t="str">
        <x:v>Validare ediție, regiune și acces în ofertă</x:v>
      </x:c>
      <x:c r="E46" s="3" t="str">
        <x:v>https://help.sap.com/docs/SAP_ANALYTICS_CLOUD/18850a0e13944f53aa8a8b7c094ea29e/95dbe296761940c2bf4e18d54a20f3df.html?locale=en</x:v>
      </x:c>
      <x:c r="F46" s="3" t="str">
        <x:v>Help oficial</x:v>
      </x:c>
    </x:row>
    <x:row r="47" ht="34.5" customHeight="1">
      <x:c r="A47" s="7" t="str">
        <x:v>SAP Analytics Cloud + Joule</x:v>
      </x:c>
      <x:c r="B47" s="7" t="str">
        <x:v>Analytical Insights prin Joule</x:v>
      </x:c>
      <x:c r="C47" s="7" t="str">
        <x:v>Documentat</x:v>
      </x:c>
      <x:c r="D47" s="7" t="str">
        <x:v>Validare ediție, regiune și acces în ofertă</x:v>
      </x:c>
      <x:c r="E47" s="7" t="str">
        <x:v>https://help.sap.com/docs/SAP_ANALYTICS_CLOUD/18850a0e13944f53aa8a8b7c094ea29e/cd897576c3344475a208c2f7a52f151e.html</x:v>
      </x:c>
      <x:c r="F47" s="7" t="str">
        <x:v>Help oficial</x:v>
      </x:c>
    </x:row>
    <x:row r="48" ht="34.5" customHeight="1">
      <x:c r="A48" s="3" t="str">
        <x:v>SAP Analytics Cloud + Joule</x:v>
      </x:c>
      <x:c r="B48" s="3" t="str">
        <x:v>Smart Insights pentru explicații</x:v>
      </x:c>
      <x:c r="C48" s="3" t="str">
        <x:v>Documentat</x:v>
      </x:c>
      <x:c r="D48" s="3" t="str">
        <x:v>Validare ediție, regiune și acces în ofertă</x:v>
      </x:c>
      <x:c r="E48" s="3" t="str">
        <x:v>https://help.sap.com/docs/SAP_ANALYTICS_CLOUD/18850a0e13944f53aa8a8b7c094ea29e/cd897576c3344475a208c2f7a52f151e.html</x:v>
      </x:c>
      <x:c r="F48" s="3" t="str">
        <x:v>Help oficial</x:v>
      </x:c>
    </x:row>
    <x:row r="49" ht="34.5" customHeight="1">
      <x:c r="A49" s="7" t="str">
        <x:v>SAP Analytics Cloud + Joule</x:v>
      </x:c>
      <x:c r="B49" s="7" t="str">
        <x:v>Smart Predict pentru scenarii predictive</x:v>
      </x:c>
      <x:c r="C49" s="7" t="str">
        <x:v>Documentat</x:v>
      </x:c>
      <x:c r="D49" s="7" t="str">
        <x:v>Validare ediție, regiune și acces în ofertă</x:v>
      </x:c>
      <x:c r="E49" s="7" t="str">
        <x:v>https://help.sap.com/docs/SAP_ANALYTICS_CLOUD/18850a0e13944f53aa8a8b7c094ea29e/cd897576c3344475a208c2f7a52f151e.html</x:v>
      </x:c>
      <x:c r="F49" s="7" t="str">
        <x:v>Help oficial</x:v>
      </x:c>
    </x:row>
    <x:row r="50" ht="34.5" customHeight="1">
      <x:c r="A50" s="3" t="str">
        <x:v>SAP Analytics Cloud + Joule</x:v>
      </x:c>
      <x:c r="B50" s="3" t="str">
        <x:v>Predicții în planificare pe serii temporale</x:v>
      </x:c>
      <x:c r="C50" s="3" t="str">
        <x:v>Documentat cu restricții</x:v>
      </x:c>
      <x:c r="D50" s="3" t="str">
        <x:v>Planning Predictive nu acoperă toate tipurile de model</x:v>
      </x:c>
      <x:c r="E50" s="3" t="str">
        <x:v>https://help.sap.com/docs/SAP_ANALYTICS_CLOUD/00f68c2e08b941f081002fd3691d86a7/1bbf118346bb4059b8bd068b4b91c943.html</x:v>
      </x:c>
      <x:c r="F50" s="3" t="str">
        <x:v>Help oficial</x:v>
      </x:c>
    </x:row>
    <x:row r="51" ht="34.5" customHeight="1">
      <x:c r="A51" s="7" t="str">
        <x:v>SAP Analytics Cloud + Joule</x:v>
      </x:c>
      <x:c r="B51" s="7" t="str">
        <x:v>Versiuni, bugete și simulări what-if</x:v>
      </x:c>
      <x:c r="C51" s="7" t="str">
        <x:v>Prezentare oficială</x:v>
      </x:c>
      <x:c r="D51" s="7" t="str">
        <x:v>Licență de planificare și drepturi corespunzătoare</x:v>
      </x:c>
      <x:c r="E51" s="7" t="str">
        <x:v>https://www.sap.com/products/financial-management/analytics-cloud-planning.html</x:v>
      </x:c>
      <x:c r="F51" s="7" t="str">
        <x:v>Prezentare oficială</x:v>
      </x:c>
    </x:row>
    <x:row r="52" ht="34.5" customHeight="1">
      <x:c r="A52" s="3" t="str">
        <x:v>SAP Analytics Cloud + Joule</x:v>
      </x:c>
      <x:c r="B52" s="3" t="str">
        <x:v>Conținut de business și scenarii de risc Compass</x:v>
      </x:c>
      <x:c r="C52" s="3" t="str">
        <x:v>Prezentare oficială</x:v>
      </x:c>
      <x:c r="D52" s="3" t="str">
        <x:v>Module și disponibilitate confirmate în probă</x:v>
      </x:c>
      <x:c r="E52" s="3" t="str">
        <x:v>https://www.sap.com/products/technology-platform/cloud-analytics/features.html</x:v>
      </x:c>
      <x:c r="F52" s="3" t="str">
        <x:v>Prezentare oficială</x:v>
      </x:c>
    </x:row>
    <x:row r="53" ht="34.5" customHeight="1">
      <x:c r="A53" s="7" t="str">
        <x:v>Oracle Analytics Cloud + AI Assistant</x:v>
      </x:c>
      <x:c r="B53" s="7" t="str">
        <x:v>Întrebări conversaționale prin AI Assistant</x:v>
      </x:c>
      <x:c r="C53" s="7" t="str">
        <x:v>Documentat</x:v>
      </x:c>
      <x:c r="D53" s="7" t="str">
        <x:v>Validare ediție, regiune și acces în ofertă</x:v>
      </x:c>
      <x:c r="E53" s="7" t="str">
        <x:v>https://docs.oracle.com/en/cloud/paas/analytics-cloud/acubi/oracle-analytics-ai-agents.html</x:v>
      </x:c>
      <x:c r="F53" s="7" t="str">
        <x:v>Help oficial</x:v>
      </x:c>
    </x:row>
    <x:row r="54" ht="34.5" customHeight="1">
      <x:c r="A54" s="3" t="str">
        <x:v>Oracle Analytics Cloud + AI Assistant</x:v>
      </x:c>
      <x:c r="B54" s="3" t="str">
        <x:v>Agenți cu context și surse de business</x:v>
      </x:c>
      <x:c r="C54" s="3" t="str">
        <x:v>Documentat</x:v>
      </x:c>
      <x:c r="D54" s="3" t="str">
        <x:v>Validare ediție, regiune și acces în ofertă</x:v>
      </x:c>
      <x:c r="E54" s="3" t="str">
        <x:v>https://docs.oracle.com/en/cloud/paas/analytics-cloud/acubi/oracle-analytics-ai-agents.html</x:v>
      </x:c>
      <x:c r="F54" s="3" t="str">
        <x:v>Help oficial</x:v>
      </x:c>
    </x:row>
    <x:row r="55" ht="34.5" customHeight="1">
      <x:c r="A55" s="7" t="str">
        <x:v>Oracle Analytics Cloud + AI Assistant</x:v>
      </x:c>
      <x:c r="B55" s="7" t="str">
        <x:v>Explain pentru a investiga o coloană sau măsură</x:v>
      </x:c>
      <x:c r="C55" s="7" t="str">
        <x:v>Documentat</x:v>
      </x:c>
      <x:c r="D55" s="7" t="str">
        <x:v>Validare ediție, regiune și acces în ofertă</x:v>
      </x:c>
      <x:c r="E55" s="7" t="str">
        <x:v>https://docs.oracle.com/en/cloud/paas/analytics-cloud/acubi/what-is-explain.html</x:v>
      </x:c>
      <x:c r="F55" s="7" t="str">
        <x:v>Help oficial</x:v>
      </x:c>
    </x:row>
    <x:row r="56" ht="34.5" customHeight="1">
      <x:c r="A56" s="3" t="str">
        <x:v>Oracle Analytics Cloud + AI Assistant</x:v>
      </x:c>
      <x:c r="B56" s="3" t="str">
        <x:v>Contextual insights pentru vizualizări</x:v>
      </x:c>
      <x:c r="C56" s="3" t="str">
        <x:v>Documentat</x:v>
      </x:c>
      <x:c r="D56" s="3" t="str">
        <x:v>Validare ediție, regiune și acces în ofertă</x:v>
      </x:c>
      <x:c r="E56" s="3" t="str">
        <x:v>https://docs.oracle.com/en/cloud/paas/analytics-cloud/visualize-data.html</x:v>
      </x:c>
      <x:c r="F56" s="3" t="str">
        <x:v>Help oficial</x:v>
      </x:c>
    </x:row>
    <x:row r="57" ht="34.5" customHeight="1">
      <x:c r="A57" s="7" t="str">
        <x:v>Oracle Analytics Cloud + AI Assistant</x:v>
      </x:c>
      <x:c r="B57" s="7" t="str">
        <x:v>Interacțiune AI pentru explorare și vizualizare</x:v>
      </x:c>
      <x:c r="C57" s="7" t="str">
        <x:v>Documentat</x:v>
      </x:c>
      <x:c r="D57" s="7" t="str">
        <x:v>Validare ediție, regiune și acces în ofertă</x:v>
      </x:c>
      <x:c r="E57" s="7" t="str">
        <x:v>https://docs.oracle.com/en/cloud/paas/analytics-cloud/visualize-data.html</x:v>
      </x:c>
      <x:c r="F57" s="7" t="str">
        <x:v>Help oficial</x:v>
      </x:c>
    </x:row>
    <x:row r="58" ht="33" customHeight="1">
      <x:c r="A58" s="3" t="str">
        <x:v>Oracle Analytics Cloud + AI Assistant</x:v>
      </x:c>
      <x:c r="B58" s="3" t="str">
        <x:v>Pregătirea și îmbogățirea datelor</x:v>
      </x:c>
      <x:c r="C58" s="3" t="str">
        <x:v>Prezentare oficială</x:v>
      </x:c>
      <x:c r="D58" s="3" t="str">
        <x:v>Validare ediție, regiune și acces în ofertă</x:v>
      </x:c>
      <x:c r="E58" s="3" t="str">
        <x:v>https://www.oracle.com/analytics/capabilities/</x:v>
      </x:c>
      <x:c r="F58" s="3" t="str">
        <x:v>Prezentare oficială</x:v>
      </x:c>
    </x:row>
    <x:row r="59" ht="34.5" customHeight="1">
      <x:c r="A59" s="7" t="str">
        <x:v>Oracle Analytics Cloud + AI Assistant</x:v>
      </x:c>
      <x:c r="B59" s="7" t="str">
        <x:v>Fluxuri de date create cu asistent AI</x:v>
      </x:c>
      <x:c r="C59" s="7" t="str">
        <x:v>Preview</x:v>
      </x:c>
      <x:c r="D59" s="7" t="str">
        <x:v>Verificare disponibilitate și limitări</x:v>
      </x:c>
      <x:c r="E59" s="7" t="str">
        <x:v>https://docs.oracle.com/en/cloud/paas/analytics-cloud/visualize-data.html</x:v>
      </x:c>
      <x:c r="F59" s="7" t="str">
        <x:v>Help oficial</x:v>
      </x:c>
    </x:row>
    <x:row r="60" ht="33" customHeight="1">
      <x:c r="A60" s="3" t="str">
        <x:v>Oracle Analytics Cloud + AI Assistant</x:v>
      </x:c>
      <x:c r="B60" s="3" t="str">
        <x:v>Colaborare și analiză pe surse cloud sau hibride</x:v>
      </x:c>
      <x:c r="C60" s="3" t="str">
        <x:v>Prezentare oficială</x:v>
      </x:c>
      <x:c r="D60" s="3" t="str">
        <x:v>Nu implică paritate între toate edițiile</x:v>
      </x:c>
      <x:c r="E60" s="3" t="str">
        <x:v>https://www.oracle.com/analytics/capabilities/</x:v>
      </x:c>
      <x:c r="F60" s="3" t="str">
        <x:v>Prezentare oficială</x:v>
      </x:c>
    </x:row>
    <x:row r="61" ht="33" customHeight="1">
      <x:c r="A61" s="7" t="str">
        <x:v>IBM Cognos Analytics + agentic AI</x:v>
      </x:c>
      <x:c r="B61" s="7" t="str">
        <x:v>Rapoarte multipagină în PDF, Excel, HTML și CSV</x:v>
      </x:c>
      <x:c r="C61" s="7" t="str">
        <x:v>Documentat</x:v>
      </x:c>
      <x:c r="D61" s="7" t="str">
        <x:v>Validare ediție, regiune și acces în ofertă</x:v>
      </x:c>
      <x:c r="E61" s="7" t="str">
        <x:v>https://www.ibm.com/products/cognos-analytics/features</x:v>
      </x:c>
      <x:c r="F61" s="7" t="str">
        <x:v>Prezentare oficială</x:v>
      </x:c>
    </x:row>
    <x:row r="62" ht="33" customHeight="1">
      <x:c r="A62" s="3" t="str">
        <x:v>IBM Cognos Analytics + agentic AI</x:v>
      </x:c>
      <x:c r="B62" s="3" t="str">
        <x:v>Dashboarduri interactive și explorare</x:v>
      </x:c>
      <x:c r="C62" s="3" t="str">
        <x:v>Documentat</x:v>
      </x:c>
      <x:c r="D62" s="3" t="str">
        <x:v>Validare ediție, regiune și acces în ofertă</x:v>
      </x:c>
      <x:c r="E62" s="3" t="str">
        <x:v>https://www.ibm.com/products/cognos-analytics/features</x:v>
      </x:c>
      <x:c r="F62" s="3" t="str">
        <x:v>Prezentare oficială</x:v>
      </x:c>
    </x:row>
    <x:row r="63" ht="33" customHeight="1">
      <x:c r="A63" s="7" t="str">
        <x:v>IBM Cognos Analytics + agentic AI</x:v>
      </x:c>
      <x:c r="B63" s="7" t="str">
        <x:v>Asistent pentru întrebări și vizualizări</x:v>
      </x:c>
      <x:c r="C63" s="7" t="str">
        <x:v>Documentat</x:v>
      </x:c>
      <x:c r="D63" s="7" t="str">
        <x:v>Validare ediție, regiune și acces în ofertă</x:v>
      </x:c>
      <x:c r="E63" s="7" t="str">
        <x:v>https://www.ibm.com/products/cognos-analytics/features</x:v>
      </x:c>
      <x:c r="F63" s="7" t="str">
        <x:v>Prezentare oficială</x:v>
      </x:c>
    </x:row>
    <x:row r="64" ht="34.5" customHeight="1">
      <x:c r="A64" s="3" t="str">
        <x:v>IBM Cognos Analytics + agentic AI</x:v>
      </x:c>
      <x:c r="B64" s="3" t="str">
        <x:v>Agenți specializați pentru lucru cu rapoarte</x:v>
      </x:c>
      <x:c r="C64" s="3" t="str">
        <x:v>Documentat</x:v>
      </x:c>
      <x:c r="D64" s="3" t="str">
        <x:v>Validare ediție, regiune și acces în ofertă</x:v>
      </x:c>
      <x:c r="E64" s="3" t="str">
        <x:v>https://www.ibm.com/docs/en/cognos-analytics/12.1.x?topic=ai-introduction-agentic</x:v>
      </x:c>
      <x:c r="F64" s="3" t="str">
        <x:v>Help oficial</x:v>
      </x:c>
    </x:row>
    <x:row r="65" ht="33" customHeight="1">
      <x:c r="A65" s="7" t="str">
        <x:v>IBM Cognos Analytics + agentic AI</x:v>
      </x:c>
      <x:c r="B65" s="7" t="str">
        <x:v>Recomandare rapoarte și rezumare</x:v>
      </x:c>
      <x:c r="C65" s="7" t="str">
        <x:v>Prezentare oficială</x:v>
      </x:c>
      <x:c r="D65" s="7" t="str">
        <x:v>Confirmare ediție, model și activare</x:v>
      </x:c>
      <x:c r="E65" s="7" t="str">
        <x:v>https://www.ibm.com/products/cognos-analytics/features</x:v>
      </x:c>
      <x:c r="F65" s="7" t="str">
        <x:v>Prezentare oficială</x:v>
      </x:c>
    </x:row>
    <x:row r="66" ht="34.5" customHeight="1">
      <x:c r="A66" s="3" t="str">
        <x:v>IBM Cognos Analytics + agentic AI</x:v>
      </x:c>
      <x:c r="B66" s="3" t="str">
        <x:v>Forecast cu intervale și detalii statistice</x:v>
      </x:c>
      <x:c r="C66" s="3" t="str">
        <x:v>Documentat</x:v>
      </x:c>
      <x:c r="D66" s="3" t="str">
        <x:v>Validare ediție, regiune și acces în ofertă</x:v>
      </x:c>
      <x:c r="E66" s="3" t="str">
        <x:v>https://www.ibm.com/docs/en/cognos-analytics/12.1.x?topic=dashboards-forecasting</x:v>
      </x:c>
      <x:c r="F66" s="3" t="str">
        <x:v>Help oficial</x:v>
      </x:c>
    </x:row>
    <x:row r="67" ht="34.5" customHeight="1">
      <x:c r="A67" s="7" t="str">
        <x:v>IBM Cognos Analytics + agentic AI</x:v>
      </x:c>
      <x:c r="B67" s="7" t="str">
        <x:v>Driver analysis pentru factori predictivi</x:v>
      </x:c>
      <x:c r="C67" s="7" t="str">
        <x:v>Documentat cu restricții</x:v>
      </x:c>
      <x:c r="D67" s="7" t="str">
        <x:v>Poate folosi eșantionare; filtrele nu sunt suportate pe vizualizarea descrisă</x:v>
      </x:c>
      <x:c r="E67" s="7" t="str">
        <x:v>https://www.ibm.com/docs/en/cognos-analytics/12.0.x?topic=types-driver-analysis</x:v>
      </x:c>
      <x:c r="F67" s="7" t="str">
        <x:v>Help oficial</x:v>
      </x:c>
    </x:row>
    <x:row r="68" ht="33" customHeight="1">
      <x:c r="A68" s="3" t="str">
        <x:v>IBM Cognos Analytics + agentic AI</x:v>
      </x:c>
      <x:c r="B68" s="3" t="str">
        <x:v>Extindere conversațională prin watsonx BI</x:v>
      </x:c>
      <x:c r="C68" s="3" t="str">
        <x:v>Add-on</x:v>
      </x:c>
      <x:c r="D68" s="3" t="str">
        <x:v>Licență și integrare separate</x:v>
      </x:c>
      <x:c r="E68" s="3" t="str">
        <x:v>https://www.ibm.com/products/cognos-analytics/addons</x:v>
      </x:c>
      <x:c r="F68" s="3" t="str">
        <x:v>Prezentare oficială</x:v>
      </x:c>
    </x:row>
    <x:row r="69" ht="33" customHeight="1">
      <x:c r="A69" s="7" t="str">
        <x:v>ThoughtSpot + Spotter</x:v>
      </x:c>
      <x:c r="B69" s="7" t="str">
        <x:v>Întrebări și răspunsuri pe modelul de date</x:v>
      </x:c>
      <x:c r="C69" s="7" t="str">
        <x:v>Documentat</x:v>
      </x:c>
      <x:c r="D69" s="7" t="str">
        <x:v>Validare ediție, regiune și acces în ofertă</x:v>
      </x:c>
      <x:c r="E69" s="7" t="str">
        <x:v>https://docs.thoughtspot.com/cloud/26.9.0.cl/spotter</x:v>
      </x:c>
      <x:c r="F69" s="7" t="str">
        <x:v>Help oficial</x:v>
      </x:c>
    </x:row>
    <x:row r="70" ht="33" customHeight="1">
      <x:c r="A70" s="3" t="str">
        <x:v>ThoughtSpot + Spotter</x:v>
      </x:c>
      <x:c r="B70" s="3" t="str">
        <x:v>Întrebări multiple și sugestii de aprofundare</x:v>
      </x:c>
      <x:c r="C70" s="3" t="str">
        <x:v>Documentat</x:v>
      </x:c>
      <x:c r="D70" s="3" t="str">
        <x:v>Validare ediție, regiune și acces în ofertă</x:v>
      </x:c>
      <x:c r="E70" s="3" t="str">
        <x:v>https://docs.thoughtspot.com/cloud/26.9.0.cl/spotter</x:v>
      </x:c>
      <x:c r="F70" s="3" t="str">
        <x:v>Help oficial</x:v>
      </x:c>
    </x:row>
    <x:row r="71" ht="33" customHeight="1">
      <x:c r="A71" s="7" t="str">
        <x:v>ThoughtSpot + Spotter</x:v>
      </x:c>
      <x:c r="B71" s="7" t="str">
        <x:v>Explicarea câmpurilor și formulelor</x:v>
      </x:c>
      <x:c r="C71" s="7" t="str">
        <x:v>Documentat</x:v>
      </x:c>
      <x:c r="D71" s="7" t="str">
        <x:v>Validare ediție, regiune și acces în ofertă</x:v>
      </x:c>
      <x:c r="E71" s="7" t="str">
        <x:v>https://docs.thoughtspot.com/cloud/26.9.0.cl/spotter</x:v>
      </x:c>
      <x:c r="F71" s="7" t="str">
        <x:v>Help oficial</x:v>
      </x:c>
    </x:row>
    <x:row r="72" ht="34.5" customHeight="1">
      <x:c r="A72" s="3" t="str">
        <x:v>ThoughtSpot + Spotter</x:v>
      </x:c>
      <x:c r="B72" s="3" t="str">
        <x:v>Pregătirea vocabularului și contextului de business</x:v>
      </x:c>
      <x:c r="C72" s="3" t="str">
        <x:v>Documentat</x:v>
      </x:c>
      <x:c r="D72" s="3" t="str">
        <x:v>Validare ediție, regiune și acces în ofertă</x:v>
      </x:c>
      <x:c r="E72" s="3" t="str">
        <x:v>https://docs.thoughtspot.com/cloud/26.9.0.cl/spotter</x:v>
      </x:c>
      <x:c r="F72" s="3" t="str">
        <x:v>Help oficial</x:v>
      </x:c>
    </x:row>
    <x:row r="73" ht="33" customHeight="1">
      <x:c r="A73" s="7" t="str">
        <x:v>ThoughtSpot + Spotter</x:v>
      </x:c>
      <x:c r="B73" s="7" t="str">
        <x:v>Monitorizare KPI și alerte email/Slack</x:v>
      </x:c>
      <x:c r="C73" s="7" t="str">
        <x:v>Documentat</x:v>
      </x:c>
      <x:c r="D73" s="7" t="str">
        <x:v>Validare ediție, regiune și acces în ofertă</x:v>
      </x:c>
      <x:c r="E73" s="7" t="str">
        <x:v>https://docs.thoughtspot.com/cloud/26.9.0.cl/monitor</x:v>
      </x:c>
      <x:c r="F73" s="7" t="str">
        <x:v>Help oficial</x:v>
      </x:c>
    </x:row>
    <x:row r="74" ht="33" customHeight="1">
      <x:c r="A74" s="3" t="str">
        <x:v>ThoughtSpot + Spotter</x:v>
      </x:c>
      <x:c r="B74" s="3" t="str">
        <x:v>SpotterModel pentru modele semantice</x:v>
      </x:c>
      <x:c r="C74" s="3" t="str">
        <x:v>Documentat în portal</x:v>
      </x:c>
      <x:c r="D74" s="3" t="str">
        <x:v>Confirmare versiune și entitlement</x:v>
      </x:c>
      <x:c r="E74" s="3" t="str">
        <x:v>https://docs.thoughtspot.com/</x:v>
      </x:c>
      <x:c r="F74" s="3" t="str">
        <x:v>Help oficial</x:v>
      </x:c>
    </x:row>
    <x:row r="75" ht="34.5" customHeight="1">
      <x:c r="A75" s="7" t="str">
        <x:v>ThoughtSpot + Spotter</x:v>
      </x:c>
      <x:c r="B75" s="7" t="str">
        <x:v>SpotterViz pentru Liveboards și SpotterCode pentru dezvoltare</x:v>
      </x:c>
      <x:c r="C75" s="7" t="str">
        <x:v>Documentat în portal</x:v>
      </x:c>
      <x:c r="D75" s="7" t="str">
        <x:v>Module distincte de confirmat</x:v>
      </x:c>
      <x:c r="E75" s="7" t="str">
        <x:v>https://docs.thoughtspot.com/</x:v>
      </x:c>
      <x:c r="F75" s="7" t="str">
        <x:v>Help oficial</x:v>
      </x:c>
    </x:row>
    <x:row r="76" ht="33" customHeight="1">
      <x:c r="A76" s="3" t="str">
        <x:v>ThoughtSpot + Spotter</x:v>
      </x:c>
      <x:c r="B76" s="3" t="str">
        <x:v>Acțiuni către aplicații și embed</x:v>
      </x:c>
      <x:c r="C76" s="3" t="str">
        <x:v>Prezentare oficială</x:v>
      </x:c>
      <x:c r="D76" s="3" t="str">
        <x:v>Necesită conectori, drepturi și validare în probă</x:v>
      </x:c>
      <x:c r="E76" s="3" t="str">
        <x:v>https://www.thoughtspot.com/product/agents/spotter</x:v>
      </x:c>
      <x:c r="F76" s="3" t="str">
        <x:v>Prezentare oficială</x:v>
      </x:c>
    </x:row>
    <x:row r="77" ht="33" customHeight="1">
      <x:c r="A77" s="7" t="str">
        <x:v>Zoho Analytics + Ask Zia</x:v>
      </x:c>
      <x:c r="B77" s="7" t="str">
        <x:v>Rapoarte și dashboarduri create prin conversație</x:v>
      </x:c>
      <x:c r="C77" s="7" t="str">
        <x:v>Documentat</x:v>
      </x:c>
      <x:c r="D77" s="7" t="str">
        <x:v>Validare ediție, regiune și acces în ofertă</x:v>
      </x:c>
      <x:c r="E77" s="7" t="str">
        <x:v>https://www.zoho.com/analytics/help/zia/</x:v>
      </x:c>
      <x:c r="F77" s="7" t="str">
        <x:v>Help oficial</x:v>
      </x:c>
    </x:row>
    <x:row r="78" ht="33" customHeight="1">
      <x:c r="A78" s="3" t="str">
        <x:v>Zoho Analytics + Ask Zia</x:v>
      </x:c>
      <x:c r="B78" s="3" t="str">
        <x:v>Pipeline-uri, formule și interogări sugerate</x:v>
      </x:c>
      <x:c r="C78" s="3" t="str">
        <x:v>Documentat</x:v>
      </x:c>
      <x:c r="D78" s="3" t="str">
        <x:v>Validare ediție, regiune și acces în ofertă</x:v>
      </x:c>
      <x:c r="E78" s="3" t="str">
        <x:v>https://www.zoho.com/analytics/help/ai-features-in-zoho-analytics.html</x:v>
      </x:c>
      <x:c r="F78" s="3" t="str">
        <x:v>Help oficial</x:v>
      </x:c>
    </x:row>
    <x:row r="79" ht="33" customHeight="1">
      <x:c r="A79" s="7" t="str">
        <x:v>Zoho Analytics + Ask Zia</x:v>
      </x:c>
      <x:c r="B79" s="7" t="str">
        <x:v>Rezumate narative și vizuale</x:v>
      </x:c>
      <x:c r="C79" s="7" t="str">
        <x:v>Documentat</x:v>
      </x:c>
      <x:c r="D79" s="7" t="str">
        <x:v>Validare ediție, regiune și acces în ofertă</x:v>
      </x:c>
      <x:c r="E79" s="7" t="str">
        <x:v>https://www.zoho.com/analytics/help/zia/insights.html</x:v>
      </x:c>
      <x:c r="F79" s="7" t="str">
        <x:v>Help oficial</x:v>
      </x:c>
    </x:row>
    <x:row r="80" ht="33" customHeight="1">
      <x:c r="A80" s="3" t="str">
        <x:v>Zoho Analytics + Ask Zia</x:v>
      </x:c>
      <x:c r="B80" s="3" t="str">
        <x:v>Analize trend, sezonalitate și anomalii</x:v>
      </x:c>
      <x:c r="C80" s="3" t="str">
        <x:v>Documentat</x:v>
      </x:c>
      <x:c r="D80" s="3" t="str">
        <x:v>Validare ediție, regiune și acces în ofertă</x:v>
      </x:c>
      <x:c r="E80" s="3" t="str">
        <x:v>https://www.zoho.com/analytics/help/zia/insights.html</x:v>
      </x:c>
      <x:c r="F80" s="3" t="str">
        <x:v>Help oficial</x:v>
      </x:c>
    </x:row>
    <x:row r="81" ht="33" customHeight="1">
      <x:c r="A81" s="7" t="str">
        <x:v>Zoho Analytics + Ask Zia</x:v>
      </x:c>
      <x:c r="B81" s="7" t="str">
        <x:v>Forecasting și clusterizare</x:v>
      </x:c>
      <x:c r="C81" s="7" t="str">
        <x:v>Documentat</x:v>
      </x:c>
      <x:c r="D81" s="7" t="str">
        <x:v>Validare ediție, regiune și acces în ofertă</x:v>
      </x:c>
      <x:c r="E81" s="7" t="str">
        <x:v>https://www.zoho.com/analytics/help/ai-features-in-zoho-analytics.html</x:v>
      </x:c>
      <x:c r="F81" s="7" t="str">
        <x:v>Help oficial</x:v>
      </x:c>
    </x:row>
    <x:row r="82" ht="33" customHeight="1">
      <x:c r="A82" s="3" t="str">
        <x:v>Zoho Analytics + Ask Zia</x:v>
      </x:c>
      <x:c r="B82" s="3" t="str">
        <x:v>Key Driver Analysis și explorare diagnostică</x:v>
      </x:c>
      <x:c r="C82" s="3" t="str">
        <x:v>Documentat</x:v>
      </x:c>
      <x:c r="D82" s="3" t="str">
        <x:v>Validare ediție, regiune și acces în ofertă</x:v>
      </x:c>
      <x:c r="E82" s="3" t="str">
        <x:v>https://www.zoho.com/analytics/help/zia/insights.html</x:v>
      </x:c>
      <x:c r="F82" s="3" t="str">
        <x:v>Help oficial</x:v>
      </x:c>
    </x:row>
    <x:row r="83" ht="33" customHeight="1">
      <x:c r="A83" s="7" t="str">
        <x:v>Zoho Analytics + Ask Zia</x:v>
      </x:c>
      <x:c r="B83" s="7" t="str">
        <x:v>Data stories și acțiuni de export/distribuție</x:v>
      </x:c>
      <x:c r="C83" s="7" t="str">
        <x:v>Documentat</x:v>
      </x:c>
      <x:c r="D83" s="7" t="str">
        <x:v>Validare ediție, regiune și acces în ofertă</x:v>
      </x:c>
      <x:c r="E83" s="7" t="str">
        <x:v>https://www.zoho.com/analytics/help/zia/</x:v>
      </x:c>
      <x:c r="F83" s="7" t="str">
        <x:v>Help oficial</x:v>
      </x:c>
    </x:row>
    <x:row r="84" ht="34.5" customHeight="1">
      <x:c r="A84" s="3" t="str">
        <x:v>Zoho Analytics + Ask Zia</x:v>
      </x:c>
      <x:c r="B84" s="3" t="str">
        <x:v>Integrarea Ask Zia în aplicații și configurare LLM</x:v>
      </x:c>
      <x:c r="C84" s="3" t="str">
        <x:v>Documentat, configurabil</x:v>
      </x:c>
      <x:c r="D84" s="3" t="str">
        <x:v>Permisiuni, plan și opțiuni de partajare date</x:v>
      </x:c>
      <x:c r="E84" s="3" t="str">
        <x:v>https://www.zoho.com/analytics/help/zia/</x:v>
      </x:c>
      <x:c r="F84" s="3" t="str">
        <x:v>Help oficial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a51494180a9f4592"/>
  </x:tableParts>
</x:worksheet>
</file>

<file path=xl/worksheets/sheet8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3799991607666" hidden="0" customWidth="1"/>
    <x:col min="2" max="2" width="50" hidden="0" customWidth="1"/>
    <x:col min="3" max="3" width="46.25" hidden="0" customWidth="1"/>
    <x:col min="4" max="4" width="18.1299991607666" hidden="0" customWidth="1"/>
    <x:col min="5" max="5" width="50" hidden="0" customWidth="1"/>
    <x:col min="6" max="6" width="60" hidden="0" customWidth="1"/>
  </x:cols>
  <x:sheetData>
    <x:row r="1">
      <x:c r="A1" s="3"/>
      <x:c r="B1" s="3"/>
      <x:c r="C1" s="3"/>
      <x:c r="D1" s="3"/>
      <x:c r="E1" s="3"/>
      <x:c r="F1" s="3"/>
    </x:row>
    <x:row r="2" ht="33" customHeight="1">
      <x:c r="A2" s="4" t="str">
        <x:v>13 semnale din studii, review-uri și forumuri</x:v>
      </x:c>
      <x:c r="B2" s="4"/>
      <x:c r="C2" s="4"/>
      <x:c r="D2" s="4"/>
      <x:c r="E2" s="4"/>
      <x:c r="F2" s="4"/>
    </x:row>
    <x:row r="3">
      <x:c r="A3" s="3"/>
      <x:c r="B3" s="3"/>
      <x:c r="C3" s="3"/>
      <x:c r="D3" s="3"/>
      <x:c r="E3" s="3"/>
      <x:c r="F3" s="3"/>
    </x:row>
    <x:row r="4" ht="33" customHeight="1">
      <x:c r="A4" s="6" t="str">
        <x:v>Nevoie</x:v>
      </x:c>
      <x:c r="B4" s="6" t="str">
        <x:v>Semnal observat</x:v>
      </x:c>
      <x:c r="C4" s="6" t="str">
        <x:v>Cerință derivată</x:v>
      </x:c>
      <x:c r="D4" s="6" t="str">
        <x:v>Funcții</x:v>
      </x:c>
      <x:c r="E4" s="6" t="str">
        <x:v>Limita dovezii</x:v>
      </x:c>
      <x:c r="F4" s="6" t="str">
        <x:v>Sursă</x:v>
      </x:c>
    </x:row>
    <x:row r="5" ht="34.5" customHeight="1">
      <x:c r="A5" s="7" t="str">
        <x:v>Încredere în cifre</x:v>
      </x:c>
      <x:c r="B5" s="7" t="str">
        <x:v>Prioritate acordată calității, securității și guvernanței</x:v>
      </x:c>
      <x:c r="C5" s="7" t="str">
        <x:v>Definiții aprobate și reconcilieri automate</x:v>
      </x:c>
      <x:c r="D5" s="7" t="str">
        <x:v>F-004; F-009</x:v>
      </x:c>
      <x:c r="E5" s="7" t="str">
        <x:v>Sondajul susține tema; nu un clasament al celor zece produse.</x:v>
      </x:c>
      <x:c r="F5" s="7" t="str">
        <x:v>https://barc.com/news/barc-publishes-the-data-bi-and-analytics-trend-monitor-2026/</x:v>
      </x:c>
    </x:row>
    <x:row r="6" ht="34.5" customHeight="1">
      <x:c r="A6" s="3" t="str">
        <x:v>Viteză și adoptare</x:v>
      </x:c>
      <x:c r="B6" s="3" t="str">
        <x:v>Performanța este o problemă recurentă în evaluările utilizatorilor</x:v>
      </x:c>
      <x:c r="C6" s="3" t="str">
        <x:v>Teste de concurență și p95 pe volumul firmei</x:v>
      </x:c>
      <x:c r="D6" s="3" t="str">
        <x:v>F-065; F-066</x:v>
      </x:c>
      <x:c r="E6" s="3" t="str">
        <x:v>Timpul acceptabil depinde de scenariu.</x:v>
      </x:c>
      <x:c r="F6" s="3" t="str">
        <x:v>https://barc.com/wp-content/uploads/2025/11/The-BI-Analytics-Survey-26-Sample-Products-Methodology-and-KPIs.pdf</x:v>
      </x:c>
    </x:row>
    <x:row r="7" ht="34.5" customHeight="1">
      <x:c r="A7" s="7" t="str">
        <x:v>Documente accesibile AI</x:v>
      </x:c>
      <x:c r="B7" s="7" t="str">
        <x:v>Datele nestructurate pot fi greu de descoperit și urmărit</x:v>
      </x:c>
      <x:c r="C7" s="7" t="str">
        <x:v>Catalog, permisiuni și citarea versiunii documentului</x:v>
      </x:c>
      <x:c r="D7" s="7" t="str">
        <x:v>F-031</x:v>
      </x:c>
      <x:c r="E7" s="7" t="str">
        <x:v>Studiu pe eșantion global, fără extrapolare la toate firmele.</x:v>
      </x:c>
      <x:c r="F7" s="7" t="str">
        <x:v>https://barc.com/news/unstructured-data-barc-study/</x:v>
      </x:c>
    </x:row>
    <x:row r="8" ht="34.5" customHeight="1">
      <x:c r="A8" s="3" t="str">
        <x:v>Ușurință versus complexitate</x:v>
      </x:c>
      <x:c r="B8" s="3" t="str">
        <x:v>Extrasul recenziilor menționează învățarea și performanța Power BI, integrarea Qlik</x:v>
      </x:c>
      <x:c r="C8" s="3" t="str">
        <x:v>Probe cu manageri, timp până la primul raport și cost total</x:v>
      </x:c>
      <x:c r="D8" s="3" t="str">
        <x:v>F-017; F-065</x:v>
      </x:c>
      <x:c r="E8" s="3" t="str">
        <x:v>Pagina directă a fost indisponibilă; folosit doar extrasul indexat, fără scoruri proprii.</x:v>
      </x:c>
      <x:c r="F8" s="3" t="str">
        <x:v>https://www.g2.com/compare/microsoft-microsoft-power-bi-vs-qlik-sense</x:v>
      </x:c>
    </x:row>
    <x:row r="9" ht="34.5" customHeight="1">
      <x:c r="A9" s="7" t="str">
        <x:v>Cost și rapoarte explicabile</x:v>
      </x:c>
      <x:c r="B9" s="7" t="str">
        <x:v>Recenziile laudă vizualizarea Tableau și reclamă costuri, latență sau explicații insuficiente</x:v>
      </x:c>
      <x:c r="C9" s="7" t="str">
        <x:v>Dicționar KPI, buget de cost și probe de volum</x:v>
      </x:c>
      <x:c r="D9" s="7" t="str">
        <x:v>F-009; F-068</x:v>
      </x:c>
      <x:c r="E9" s="7" t="str">
        <x:v>Unele recenzii sunt stimulate; experiențele diferă între versiuni.</x:v>
      </x:c>
      <x:c r="F9" s="7" t="str">
        <x:v>https://www.trustradius.com/products/tableau-desktop/reviews</x:v>
      </x:c>
    </x:row>
    <x:row r="10" ht="34.5" customHeight="1">
      <x:c r="A10" s="3" t="str">
        <x:v>De la P&amp;L la document</x:v>
      </x:c>
      <x:c r="B10" s="3" t="str">
        <x:v>Un utilizator cere detaliul valorilor dintr-o matrice financiară</x:v>
      </x:c>
      <x:c r="C10" s="3" t="str">
        <x:v>Drill-through reconciliat la tranzacții</x:v>
      </x:c>
      <x:c r="D10" s="3" t="str">
        <x:v>F-019</x:v>
      </x:c>
      <x:c r="E10" s="3" t="str">
        <x:v>Fir vechi, relevant pentru nevoie; soluțiile tehnice se verifică în versiunea actuală.</x:v>
      </x:c>
      <x:c r="F10" s="3" t="str">
        <x:v>https://community.fabric.microsoft.com/t5/Developer/How-to-create-drill-through-when-the-values-of-a-matrix-is-a/td-p/2817570</x:v>
      </x:c>
    </x:row>
    <x:row r="11" ht="34.5" customHeight="1">
      <x:c r="A11" s="7" t="str">
        <x:v>Excel pentru analiză proprie</x:v>
      </x:c>
      <x:c r="B11" s="7" t="str">
        <x:v>Un utilizator din finance explică nevoia de date granulare și modelare iterativă</x:v>
      </x:c>
      <x:c r="C11" s="7" t="str">
        <x:v>Export filtrat și explorare flexibilă cu definiții comune</x:v>
      </x:c>
      <x:c r="D11" s="7" t="str">
        <x:v>F-020; F-047</x:v>
      </x:c>
      <x:c r="E11" s="7" t="str">
        <x:v>Discuție calitativă, fără frecvență statistică.</x:v>
      </x:c>
      <x:c r="F11" s="7" t="str">
        <x:v>https://www.reddit.com/r/BusinessIntelligence/comments/1tlcys3/why_people_want_to_delve_into_the_data_not_just/</x:v>
      </x:c>
    </x:row>
    <x:row r="12" ht="34.5" customHeight="1">
      <x:c r="A12" s="3" t="str">
        <x:v>Adopția AI conversațional</x:v>
      </x:c>
      <x:c r="B12" s="3" t="str">
        <x:v>Discuția cere experiențe reale de introducere a conversațiilor cu datele</x:v>
      </x:c>
      <x:c r="C12" s="3" t="str">
        <x:v>Pilot cu set etalon și măsurarea utilizării</x:v>
      </x:c>
      <x:c r="D12" s="3" t="str">
        <x:v>F-025; F-032</x:v>
      </x:c>
      <x:c r="E12" s="3" t="str">
        <x:v>Nu se deduce o rată generală de succes.</x:v>
      </x:c>
      <x:c r="F12" s="3" t="str">
        <x:v>https://www.reddit.com/r/BusinessIntelligence/comments/1rc0arr/has_anyone_actually_rolled_out_talk_to_your_data/</x:v>
      </x:c>
    </x:row>
    <x:row r="13" ht="34.5" customHeight="1">
      <x:c r="A13" s="7" t="str">
        <x:v>Duplicate e-Factura</x:v>
      </x:c>
      <x:c r="B13" s="7" t="str">
        <x:v>Utilizatorul descrie retransmiterea unei facturi corectate</x:v>
      </x:c>
      <x:c r="C13" s="7" t="str">
        <x:v>Identificatori unici, versiuni și coadă de verificare</x:v>
      </x:c>
      <x:c r="D13" s="7" t="str">
        <x:v>F-052; F-073</x:v>
      </x:c>
      <x:c r="E13" s="7" t="str">
        <x:v>Relatarea nu stabilește tratamentul fiscal corect.</x:v>
      </x:c>
      <x:c r="F13" s="7" t="str">
        <x:v>https://www.reddit.com/r/RoFiscalitate2/comments/1ondcg6</x:v>
      </x:c>
    </x:row>
    <x:row r="14" ht="34.5" customHeight="1">
      <x:c r="A14" s="3" t="str">
        <x:v>Plăți fără document complet</x:v>
      </x:c>
      <x:c r="B14" s="3" t="str">
        <x:v>Utilizatorul reclamă facturi lipsă pentru plăți de ridesharing</x:v>
      </x:c>
      <x:c r="C14" s="3" t="str">
        <x:v>Reconciliere bancă–document–sistem fiscal</x:v>
      </x:c>
      <x:c r="D14" s="3" t="str">
        <x:v>F-004; F-073</x:v>
      </x:c>
      <x:c r="E14" s="3" t="str">
        <x:v>Opiniile fiscale ale participanților nu sunt preluate ca reguli.</x:v>
      </x:c>
      <x:c r="F14" s="3" t="str">
        <x:v>https://www.reddit.com/r/RoFiscalitate2/comments/1qwnga5/solutii_incadrare_cheltuieli_lipsa_facturi/</x:v>
      </x:c>
    </x:row>
    <x:row r="15" ht="34.5" customHeight="1">
      <x:c r="A15" s="7" t="str">
        <x:v>Alerte SPV utile</x:v>
      </x:c>
      <x:c r="B15" s="7" t="str">
        <x:v>Autorul propune notificări, iar comentariile întreabă ce valoare adaugă peste notificările existente</x:v>
      </x:c>
      <x:c r="C15" s="7" t="str">
        <x:v>Alertă cu acțiune, context, responsabil și deduplicare</x:v>
      </x:c>
      <x:c r="D15" s="7" t="str">
        <x:v>F-024; F-055</x:v>
      </x:c>
      <x:c r="E15" s="7" t="str">
        <x:v>Fir de validare comercială, potențial promoțional.</x:v>
      </x:c>
      <x:c r="F15" s="7" t="str">
        <x:v>https://www.reddit.com/r/RoFiscalitate2/comments/1txnz15/o_direc%C8%9Bie_noua_pentru_fiscalzen_de_la_termene/</x:v>
      </x:c>
    </x:row>
    <x:row r="16" ht="34.5" customHeight="1">
      <x:c r="A16" s="3" t="str">
        <x:v>Arhivare documente</x:v>
      </x:c>
      <x:c r="B16" s="3" t="str">
        <x:v>Utilizatorul nu mai găsește un document nedescărcat</x:v>
      </x:c>
      <x:c r="C16" s="3" t="str">
        <x:v>Arhivare original și metadate, cu căutare</x:v>
      </x:c>
      <x:c r="D16" s="3" t="str">
        <x:v>F-061; F-073</x:v>
      </x:c>
      <x:c r="E16" s="3" t="str">
        <x:v>Nu folosim termenul invocat în forum drept termen legal verificat.</x:v>
      </x:c>
      <x:c r="F16" s="3" t="str">
        <x:v>https://www.reddit.com/r/RoFiscalitate2/comments/1tjb2fl/am_uitat_sa_descarc_factura_din_spv/</x:v>
      </x:c>
    </x:row>
    <x:row r="17" ht="34.5" customHeight="1">
      <x:c r="A17" s="7" t="str">
        <x:v>Integrare cu contabilitatea</x:v>
      </x:c>
      <x:c r="B17" s="7" t="str">
        <x:v>Discuția descrie dificultăți între e-Factura și programe contabile</x:v>
      </x:c>
      <x:c r="C17" s="7" t="str">
        <x:v>Conector și reconciliere completă, monitorizare erori</x:v>
      </x:c>
      <x:c r="D17" s="7" t="str">
        <x:v>F-001; F-004</x:v>
      </x:c>
      <x:c r="E17" s="7" t="str">
        <x:v>Fir din 2023; conectorii existenți astăzi trebuie retestați.</x:v>
      </x:c>
      <x:c r="F17" s="7" t="str">
        <x:v>https://www.reddit.com/r/programare/comments/18lyue9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a11ea7df09f44395"/>
  </x:tableParts>
</x:worksheet>
</file>

<file path=xl/worksheets/sheet9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.380001068115234" hidden="0" customWidth="1"/>
    <x:col min="2" max="2" width="12.5" hidden="0" customWidth="1"/>
    <x:col min="3" max="3" width="78.75" hidden="0" customWidth="1"/>
  </x:cols>
  <x:sheetData>
    <x:row r="1">
      <x:c r="A1" s="3"/>
      <x:c r="B1" s="3"/>
      <x:c r="C1" s="3"/>
    </x:row>
    <x:row r="2" ht="33" customHeight="1">
      <x:c r="A2" s="4" t="str">
        <x:v>Grilă propusă pentru evaluarea ofertelor</x:v>
      </x:c>
      <x:c r="B2" s="4"/>
      <x:c r="C2" s="4"/>
    </x:row>
    <x:row r="3">
      <x:c r="A3" s="3"/>
      <x:c r="B3" s="3"/>
      <x:c r="C3" s="3"/>
    </x:row>
    <x:row r="4" ht="33" customHeight="1">
      <x:c r="A4" s="6" t="str">
        <x:v>Criteriu</x:v>
      </x:c>
      <x:c r="B4" s="6" t="str">
        <x:v>Pondere</x:v>
      </x:c>
      <x:c r="C4" s="6" t="str">
        <x:v>Probă în pilot</x:v>
      </x:c>
    </x:row>
    <x:row r="5" ht="33" customHeight="1">
      <x:c r="A5" s="7" t="str">
        <x:v>Corectitudinea financiară și trasabilitatea</x:v>
      </x:c>
      <x:c r="B5" s="14" t="n">
        <x:v>0.2</x:v>
      </x:c>
      <x:c r="C5" s="7" t="str">
        <x:v>Reconciliere pe perioadă închisă și navigare până la document</x:v>
      </x:c>
    </x:row>
    <x:row r="6" ht="33" customHeight="1">
      <x:c r="A6" s="3" t="str">
        <x:v>Integrarea cu ERP și sursele firmei</x:v>
      </x:c>
      <x:c r="B6" s="15" t="n">
        <x:v>0.15</x:v>
      </x:c>
      <x:c r="C6" s="3" t="str">
        <x:v>Probe de import, actualizare, ștergere logică și recuperare după eroare</x:v>
      </x:c>
    </x:row>
    <x:row r="7" ht="33" customHeight="1">
      <x:c r="A7" s="7" t="str">
        <x:v>Securitate și izolare</x:v>
      </x:c>
      <x:c r="B7" s="14" t="n">
        <x:v>0.15</x:v>
      </x:c>
      <x:c r="C7" s="7" t="str">
        <x:v>Teste negative pe rând, coloană, AI, export și clienți diferiți</x:v>
      </x:c>
    </x:row>
    <x:row r="8" ht="33" customHeight="1">
      <x:c r="A8" s="3" t="str">
        <x:v>Utilitate managerială și utilizare</x:v>
      </x:c>
      <x:c r="B8" s="15" t="n">
        <x:v>0.1</x:v>
      </x:c>
      <x:c r="C8" s="3" t="str">
        <x:v>CEO/CFO rezolvă scenariile fără ajutor de dezvoltare</x:v>
      </x:c>
    </x:row>
    <x:row r="9" ht="33" customHeight="1">
      <x:c r="A9" s="7" t="str">
        <x:v>AI în română și verificabilitate</x:v>
      </x:c>
      <x:c r="B9" s="14" t="n">
        <x:v>0.1</x:v>
      </x:c>
      <x:c r="C9" s="7" t="str">
        <x:v>Set de întrebări etalon, clarificări, citări și abținere</x:v>
      </x:c>
    </x:row>
    <x:row r="10" ht="33" customHeight="1">
      <x:c r="A10" s="3" t="str">
        <x:v>Automatizări și acțiuni</x:v>
      </x:c>
      <x:c r="B10" s="15" t="n">
        <x:v>0.1</x:v>
      </x:c>
      <x:c r="C10" s="3" t="str">
        <x:v>Aprobare, idempotență, audit și verificare destinație</x:v>
      </x:c>
    </x:row>
    <x:row r="11" ht="33" customHeight="1">
      <x:c r="A11" s="7" t="str">
        <x:v>Planificare și particularități sectoriale</x:v>
      </x:c>
      <x:c r="B11" s="14" t="n">
        <x:v>0.05</x:v>
      </x:c>
      <x:c r="C11" s="7" t="str">
        <x:v>Buget, scenarii și cinci cazuri specifice industriei</x:v>
      </x:c>
    </x:row>
    <x:row r="12" ht="33" customHeight="1">
      <x:c r="A12" s="3" t="str">
        <x:v>Performanță și disponibilitate</x:v>
      </x:c>
      <x:c r="B12" s="15" t="n">
        <x:v>0.05</x:v>
      </x:c>
      <x:c r="C12" s="3" t="str">
        <x:v>p95 la concurența și volumul contractate</x:v>
      </x:c>
    </x:row>
    <x:row r="13" ht="33" customHeight="1">
      <x:c r="A13" s="7" t="str">
        <x:v>Cost total pe 3 ani</x:v>
      </x:c>
      <x:c r="B13" s="14" t="n">
        <x:v>0.05</x:v>
      </x:c>
      <x:c r="C13" s="7" t="str">
        <x:v>Autori, cititori, AI, capacitate, conectori, implementare și mentenanță</x:v>
      </x:c>
    </x:row>
    <x:row r="14" ht="33" customHeight="1">
      <x:c r="A14" s="3" t="str">
        <x:v>Portabilitate și administrare</x:v>
      </x:c>
      <x:c r="B14" s="15" t="n">
        <x:v>0.05</x:v>
      </x:c>
      <x:c r="C14" s="3" t="str">
        <x:v>Export definiții/date, versionare, operare și ieșire din contract</x:v>
      </x:c>
    </x:row>
    <x:row r="15">
      <x:c r="B15" s="16"/>
    </x:row>
    <x:row r="16">
      <x:c r="A16" t="str">
        <x:v>Total ponderi</x:v>
      </x:c>
      <x:c r="B16" s="17" t="n">
        <x:f>SUM(B5:B14)</x:f>
        <x:v>1</x:v>
      </x:c>
    </x:row>
    <x:row r="18" ht="33" customHeight="1">
      <x:c r="A18" s="18" t="str">
        <x:v>Scor furnizor: 1–5 pe fiecare probă; total = SUMPRODUCT(ponderi, scoruri). Fără scoruri inventate.</x:v>
      </x:c>
      <x:c r="B18" s="18"/>
      <x:c r="C18" s="18"/>
    </x:row>
    <x:row r="21" ht="31.5" customHeight="1">
      <x:c r="A21" s="21" t="str">
        <x:v>Test</x:v>
      </x:c>
      <x:c r="B21" s="21" t="str">
        <x:v>Țintă propusă</x:v>
      </x:c>
      <x:c r="C21" s="21" t="str">
        <x:v>Condiții</x:v>
      </x:c>
    </x:row>
    <x:row r="22" ht="61.5" customHeight="1">
      <x:c r="A22" s="22" t="str">
        <x:v>Reconciliere</x:v>
      </x:c>
      <x:c r="B22" s="22" t="str">
        <x:v>Diferență zero la baza monetară agreată sau toleranță de rotunjire justificată</x:v>
      </x:c>
      <x:c r="C22" s="22" t="str">
        <x:v>Pe firmă, cont, perioadă și monedă; documente duplicate sau lipsă explicate</x:v>
      </x:c>
    </x:row>
    <x:row r="23" ht="61.5" customHeight="1">
      <x:c r="A23" s="22" t="str">
        <x:v>Acces</x:v>
      </x:c>
      <x:c r="B23" s="22" t="str">
        <x:v>Zero dezvăluiri neautorizate în probe</x:v>
      </x:c>
      <x:c r="C23" s="22" t="str">
        <x:v>Teste prin dashboard, AI, API, export și distribuție</x:v>
      </x:c>
    </x:row>
    <x:row r="24" ht="61.5" customHeight="1">
      <x:c r="A24" s="22" t="str">
        <x:v>Răspuns panou</x:v>
      </x:c>
      <x:c r="B24" s="22" t="str">
        <x:v>Țintă inițială p95 ≤ 3 secunde</x:v>
      </x:c>
      <x:c r="C24" s="22" t="str">
        <x:v>Propunere, nu benchmark de produs; volum și concurență stabilite în pilot</x:v>
      </x:c>
    </x:row>
    <x:row r="25" ht="61.5" customHeight="1">
      <x:c r="A25" s="22" t="str">
        <x:v>Prospețime</x:v>
      </x:c>
      <x:c r="B25" s="22" t="str">
        <x:v>Financiar zilnic; operațional 5–15 minute unde este util</x:v>
      </x:c>
      <x:c r="C25" s="22" t="str">
        <x:v>Propuneri; acceptate numai dacă sursa și costul susțin nevoia</x:v>
      </x:c>
    </x:row>
    <x:row r="26" ht="61.5" customHeight="1">
      <x:c r="A26" s="22" t="str">
        <x:v>AI critic</x:v>
      </x:c>
      <x:c r="B26" s="22" t="str">
        <x:v>100% corect pe setul financiar critic aprobat</x:v>
      </x:c>
      <x:c r="C26" s="22" t="str">
        <x:v>Set finit de test; nu înseamnă garanție pentru orice întrebare</x:v>
      </x:c>
    </x:row>
    <x:row r="27" ht="61.5" customHeight="1">
      <x:c r="A27" s="22" t="str">
        <x:v>AI general</x:v>
      </x:c>
      <x:c r="B27" s="22" t="str">
        <x:v>Țintă inițială ≥ 95% pe setul etalon general</x:v>
      </x:c>
      <x:c r="C27" s="22" t="str">
        <x:v>Separat se măsoară refuzurile corecte, erorile și costul</x:v>
      </x:c>
    </x:row>
    <x:row r="28" ht="61.5" customHeight="1">
      <x:c r="A28" s="22" t="str">
        <x:v>Automatizări</x:v>
      </x:c>
      <x:c r="B28" s="22" t="str">
        <x:v>Zero duplicate la reluări și verificare a rezultatului</x:v>
      </x:c>
      <x:c r="C28" s="22" t="str">
        <x:v>Simulare timeout după scriere, erori API, anulare și reexecutare</x:v>
      </x:c>
    </x:row>
    <x:row r="29" ht="61.5" customHeight="1">
      <x:c r="A29" s="22" t="str">
        <x:v>Forecast</x:v>
      </x:c>
      <x:c r="B29" s="22" t="str">
        <x:v>Rezultat mai bun decât prognoza simplă pentru orizontul util</x:v>
      </x:c>
      <x:c r="C29" s="22" t="str">
        <x:v>Test pe perioade nefolosite la antrenare, cu WAPE și bias</x:v>
      </x:c>
    </x:row>
    <x:row r="30" ht="61.5" customHeight="1">
      <x:c r="A30" s="22" t="str">
        <x:v>Utilitate</x:v>
      </x:c>
      <x:c r="B30" s="22" t="str">
        <x:v>Timp redus pentru pregătirea și explicarea raportului</x:v>
      </x:c>
      <x:c r="C30" s="22" t="str">
        <x:v>Comparație înainte/după, cu costul complet al operării</x:v>
      </x:c>
    </x:row>
    <x:row r="31" ht="61.5" customHeight="1">
      <x:c r="A31" s="22" t="str">
        <x:v>Preț și disponibilitate</x:v>
      </x:c>
      <x:c r="B31" s="22" t="str">
        <x:v>Ofertă scrisă cu module, regiune, limite și funcții preview</x:v>
      </x:c>
      <x:c r="C31" s="22" t="str">
        <x:v>Prețurile și scorurile comerciale nu au fost inventate în acest catalog</x:v>
      </x:c>
    </x:row>
  </x:sheetData>
  <x:mergeCells>
    <x:mergeCell ref="A2:C2"/>
    <x:mergeCell ref="A18:C18"/>
  </x:mergeCells>
  <x:pageMargins left="0.7" right="0.7" top="0.75" bottom="0.75" header="0.3" footer="0.3"/>
  <x:tableParts count="1">
    <x:tablePart xmlns:r="http://schemas.openxmlformats.org/officeDocument/2006/relationships" r:id="R055788f124694465"/>
  </x:tableParts>
</x:worksheet>
</file>

<file path=xl/worksheets/sheet10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5" hidden="0" customWidth="1"/>
    <x:col min="2" max="2" width="121.25" hidden="0" customWidth="1"/>
  </x:cols>
  <x:sheetData>
    <x:row r="1">
      <x:c r="A1" s="3"/>
      <x:c r="B1" s="3"/>
    </x:row>
    <x:row r="2" ht="33" customHeight="1">
      <x:c r="A2" s="4" t="str">
        <x:v>Definiții, convenții și limite ale cercetării</x:v>
      </x:c>
      <x:c r="B2" s="4"/>
    </x:row>
    <x:row r="3">
      <x:c r="A3" s="3"/>
      <x:c r="B3" s="3"/>
    </x:row>
    <x:row r="4" ht="33" customHeight="1">
      <x:c r="A4" s="6" t="str">
        <x:v>Temă</x:v>
      </x:c>
      <x:c r="B4" s="6" t="str">
        <x:v>Regulă de proiectare</x:v>
      </x:c>
    </x:row>
    <x:row r="5" ht="34.5" customHeight="1">
      <x:c r="A5" s="7" t="str">
        <x:v>KPI versus informație</x:v>
      </x:c>
      <x:c r="B5" s="7" t="str">
        <x:v>Un KPI are obiectiv, responsabil și decizie. O listă de facturi, un sold sau o alertă poate fi informație operațională fără țintă. Catalogul conține ambele, pentru a configura ulterior selecția.</x:v>
      </x:c>
    </x:row>
    <x:row r="6" ht="34.5" customHeight="1">
      <x:c r="A6" s="3" t="str">
        <x:v>Fișa fiecărui indicator</x:v>
      </x:c>
      <x:c r="B6" s="3" t="str">
        <x:v>ID stabil, denumire, definiție, formulă, unitate, granularitate, sursă, responsabil, frecvență, dimensiuni, țintă, praguri, sens favorabil, excluderi, versiune și dată de valabilitate.</x:v>
      </x:c>
    </x:row>
    <x:row r="7" ht="33" customHeight="1">
      <x:c r="A7" s="7" t="str">
        <x:v>Comparatoare</x:v>
      </x:c>
      <x:c r="B7" s="7" t="str">
        <x:v>Realizat, buget, prognoză, an anterior comparabil, perioadă precedentă, țintă și interval estimat; diferență absolută și relativă separate.</x:v>
      </x:c>
    </x:row>
    <x:row r="8" ht="34.5" customHeight="1">
      <x:c r="A8" s="3" t="str">
        <x:v>Ținte</x:v>
      </x:c>
      <x:c r="B8" s="3" t="str">
        <x:v>Pragurile nu sunt universale. Se stabilesc pe industrie, sezonalitate, mărime și model economic. P0 = nucleu; P1 = extindere; P2 = avansat, priorități propuse.</x:v>
      </x:c>
    </x:row>
    <x:row r="9" ht="34.5" customHeight="1">
      <x:c r="A9" s="7" t="str">
        <x:v>Agregare</x:v>
      </x:c>
      <x:c r="B9" s="7" t="str">
        <x:v>Sume pentru fluxuri; ultimul sold ori medie pentru stocuri; rate recalculate din numărător și numitor. Nu se însumează solduri zilnice sau procente.</x:v>
      </x:c>
    </x:row>
    <x:row r="10" ht="33" customHeight="1">
      <x:c r="A10" s="3" t="str">
        <x:v>Zero și lipsă</x:v>
      </x:c>
      <x:c r="B10" s="3" t="str">
        <x:v>Numitor zero, istoric insuficient sau sursă lipsă produce indisponibil/neaplicabil cu motiv, nu zero artificial.</x:v>
      </x:c>
    </x:row>
    <x:row r="11" ht="34.5" customHeight="1">
      <x:c r="A11" s="7" t="str">
        <x:v>Timp și valută</x:v>
      </x:c>
      <x:c r="B11" s="7" t="str">
        <x:v>Separați data documentului, înregistrării, prestării și scadenței. Păstrați moneda tranzacției și cursul folosit. Închiderile aprobate au versiuni înghețate.</x:v>
      </x:c>
    </x:row>
    <x:row r="12" ht="34.5" customHeight="1">
      <x:c r="A12" s="3" t="str">
        <x:v>Baza financiară</x:v>
      </x:c>
      <x:c r="B12" s="3" t="str">
        <x:v>Venituri recunoscute, comenzi, facturare și încasări sunt măsuri diferite. EBITDA nu este numerar. Soldurile cu TVA și vânzările fără TVA nu se amestecă în DSO/DPO.</x:v>
      </x:c>
    </x:row>
    <x:row r="13" ht="34.5" customHeight="1">
      <x:c r="A13" s="7" t="str">
        <x:v>Definiții de cost</x:v>
      </x:c>
      <x:c r="B13" s="7" t="str">
        <x:v>Costul mărfurilor, costul serviciilor și costurile variabile diferă. Cost-to-serve și alocările indirecte au politici explicite, reconciliate cu cartea mare.</x:v>
      </x:c>
    </x:row>
    <x:row r="14" ht="34.5" customHeight="1">
      <x:c r="A14" s="3" t="str">
        <x:v>Predicții</x:v>
      </x:c>
      <x:c r="B14" s="3" t="str">
        <x:v>Afișați orizont, versiune, interval de incertitudine, erori istorice și comparație cu o prognoză simplă. Explicațiile statistice nu demonstrează cauzalitate.</x:v>
      </x:c>
    </x:row>
    <x:row r="15" ht="34.5" customHeight="1">
      <x:c r="A15" s="7" t="str">
        <x:v>CAEN</x:v>
      </x:c>
      <x:c r="B15" s="7" t="str">
        <x:v>Revizia este obligatorie în registru. Maparea este pe secțiuni/diviziuni și exemple de clase, nu o clasificare legală a fiecărei firme. Modelul comercial și activitățile efective selectează pachetul KPI.</x:v>
      </x:c>
    </x:row>
    <x:row r="16" ht="34.5" customHeight="1">
      <x:c r="A16" s="3" t="str">
        <x:v>Fiscalitate România</x:v>
      </x:c>
      <x:c r="B16" s="3" t="str">
        <x:v>Cerințe de monitorizare propuse. Eligibilitatea și termenele e-Factura, SAF-T, TVA și e-Transport se configurează după profilul contribuabilului și regulile oficiale aplicabile. Nu se deduc automat doar din CAEN.</x:v>
      </x:c>
    </x:row>
    <x:row r="17" ht="34.5" customHeight="1">
      <x:c r="A17" s="7" t="str">
        <x:v>Limita cercetării</x:v>
      </x:c>
      <x:c r="B17" s="7" t="str">
        <x:v>Sinteză a funcțiilor relevante din paginile oficiale consultate la 11–12.10.2026. Nu reprezintă inventarierea fiecărei pagini din toate manualele, test de produs sau garanție contractuală de disponibilitate.</x:v>
      </x:c>
    </x:row>
    <x:row r="18" ht="34.5" customHeight="1">
      <x:c r="A18" s="3" t="str">
        <x:v>Top 10</x:v>
      </x:c>
      <x:c r="B18" s="3" t="str">
        <x:v>Selecție editorială de platforme BI cu AI, pentru diversitate de arhitecturi și scenarii. Ordinea nu reprezintă un clasament măsurat; alternative ca Domo, Sigma, Strategy, Sisense sau soluțiile open-source pot fi evaluate separat.</x:v>
      </x:c>
    </x:row>
    <x:row r="19" ht="34.5" customHeight="1">
      <x:c r="A19" s="7" t="str">
        <x:v>Recenzii și forumuri</x:v>
      </x:c>
      <x:c r="B19" s="7" t="str">
        <x:v>Relatări autoselectate, uneori stimulate sau promoționale. Sunt semnale pentru cerințe și teste de acceptanță; nu statistici reprezentative sau confirmări ale funcțiilor actuale.</x:v>
      </x:c>
    </x:row>
    <x:row r="20" ht="34.5" customHeight="1">
      <x:c r="A20" s="3" t="str">
        <x:v>Datele firmei</x:v>
      </x:c>
      <x:c r="B20" s="3" t="str">
        <x:v>Nu au fost furnizate baze de date, volum, număr utilizatori ori buget. Formulele, prioritățile și țintele tehnice sunt propuneri de specificație, fără rezultate financiare inventate.</x:v>
      </x:c>
    </x:row>
  </x:sheetData>
  <x:mergeCells>
    <x:mergeCell ref="A2:B2"/>
  </x:mergeCells>
  <x:pageMargins left="0.7" right="0.7" top="0.75" bottom="0.75" header="0.3" footer="0.3"/>
  <x:tableParts count="1">
    <x:tablePart xmlns:r="http://schemas.openxmlformats.org/officeDocument/2006/relationships" r:id="R64c428b11df24557"/>
  </x:tableParts>
</x:worksheet>
</file>

<file path=xl/worksheets/sheet1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.8799991607666" hidden="0" customWidth="1"/>
    <x:col min="2" max="2" width="72.5" hidden="0" customWidth="1"/>
    <x:col min="3" max="3" width="68.75" hidden="0" customWidth="1"/>
  </x:cols>
  <x:sheetData>
    <x:row r="1">
      <x:c r="A1" s="3"/>
      <x:c r="B1" s="3"/>
      <x:c r="C1" s="3"/>
    </x:row>
    <x:row r="2" ht="33" customHeight="1">
      <x:c r="A2" s="4" t="str">
        <x:v>Etape de implementare și criterii de trecere</x:v>
      </x:c>
      <x:c r="B2" s="4"/>
      <x:c r="C2" s="4"/>
    </x:row>
    <x:row r="3">
      <x:c r="A3" s="3"/>
      <x:c r="B3" s="3"/>
      <x:c r="C3" s="3"/>
    </x:row>
    <x:row r="4" ht="33" customHeight="1">
      <x:c r="A4" s="6" t="str">
        <x:v>Etapă</x:v>
      </x:c>
      <x:c r="B4" s="6" t="str">
        <x:v>Livrabil</x:v>
      </x:c>
      <x:c r="C4" s="6" t="str">
        <x:v>Condiție de trecere</x:v>
      </x:c>
    </x:row>
    <x:row r="5" ht="33" customHeight="1">
      <x:c r="A5" s="7" t="str">
        <x:v>Etapa 1: definiții și surse</x:v>
      </x:c>
      <x:c r="B5" s="7" t="str">
        <x:v>Inventar surse, dicționar, responsabilități, acces, profil fiscal și CAEN</x:v>
      </x:c>
      <x:c r="C5" s="7" t="str">
        <x:v>Aprobare definiții și reconciliere pe perioadă de referință</x:v>
      </x:c>
    </x:row>
    <x:row r="6" ht="33" customHeight="1">
      <x:c r="A6" s="3" t="str">
        <x:v>Etapa 2: nucleu managerial</x:v>
      </x:c>
      <x:c r="B6" s="3" t="str">
        <x:v>P&amp;L, numerar, creanțe, datorii, vânzări și stoc; 12 KPI și drill-through</x:v>
      </x:c>
      <x:c r="C6" s="3" t="str">
        <x:v>Cifre reconciliate, filtre corecte, acces și export validate</x:v>
      </x:c>
    </x:row>
    <x:row r="7" ht="33" customHeight="1">
      <x:c r="A7" s="7" t="str">
        <x:v>Etapa 3: operațiuni și alerte</x:v>
      </x:c>
      <x:c r="B7" s="7" t="str">
        <x:v>Pachet CAEN relevant, cozi de excepții și automatizări L1–L2</x:v>
      </x:c>
      <x:c r="C7" s="7" t="str">
        <x:v>Fiecare alertă are responsabil, SLA și rezultat măsurabil</x:v>
      </x:c>
    </x:row>
    <x:row r="8" ht="33" customHeight="1">
      <x:c r="A8" s="3" t="str">
        <x:v>Etapa 4: planificare și AI</x:v>
      </x:c>
      <x:c r="B8" s="3" t="str">
        <x:v>Bugete, scenarii, prognoze și conversație în română</x:v>
      </x:c>
      <x:c r="C8" s="3" t="str">
        <x:v>Set etalon trecut, abținere corectă și prognoze validate</x:v>
      </x:c>
    </x:row>
    <x:row r="9" ht="33" customHeight="1">
      <x:c r="A9" s="7" t="str">
        <x:v>Etapa 5: acțiuni în sisteme</x:v>
      </x:c>
      <x:c r="B9" s="7" t="str">
        <x:v>Automatizări L3 cu API, limite, aprobări și verificare rezultat</x:v>
      </x:c>
      <x:c r="C9" s="7" t="str">
        <x:v>Reluări fără duplicate și mecanism de oprire testat</x:v>
      </x:c>
    </x:row>
    <x:row r="12" ht="27" customHeight="1">
      <x:c r="A12" s="20" t="str">
        <x:v>Nivel</x:v>
      </x:c>
      <x:c r="B12" s="20" t="str">
        <x:v>Rol</x:v>
      </x:c>
      <x:c r="C12" s="20" t="str">
        <x:v>Control</x:v>
      </x:c>
    </x:row>
    <x:row r="13" ht="45" customHeight="1">
      <x:c r="A13" s="11" t="str">
        <x:v>L0</x:v>
      </x:c>
      <x:c r="B13" s="11" t="str">
        <x:v>Analiză și explicație</x:v>
      </x:c>
      <x:c r="C13" s="11" t="str">
        <x:v>Citire date și recomandări, fără acțiuni în sisteme</x:v>
      </x:c>
    </x:row>
    <x:row r="14" ht="45" customHeight="1">
      <x:c r="A14" s="11" t="str">
        <x:v>L1</x:v>
      </x:c>
      <x:c r="B14" s="11" t="str">
        <x:v>Monitorizare</x:v>
      </x:c>
      <x:c r="C14" s="11" t="str">
        <x:v>Alerte interne deduplicate, cu responsabil și termen</x:v>
      </x:c>
    </x:row>
    <x:row r="15" ht="45" customHeight="1">
      <x:c r="A15" s="11" t="str">
        <x:v>L2</x:v>
      </x:c>
      <x:c r="B15" s="11" t="str">
        <x:v>Pregătire acțiune</x:v>
      </x:c>
      <x:c r="C15" s="11" t="str">
        <x:v>Propunere, simulare, draft sau sarcină; aprobare unde este necesar</x:v>
      </x:c>
    </x:row>
    <x:row r="16" ht="45" customHeight="1">
      <x:c r="A16" s="11" t="str">
        <x:v>L3</x:v>
      </x:c>
      <x:c r="B16" s="11" t="str">
        <x:v>Execuție controlată</x:v>
      </x:c>
      <x:c r="C16" s="11" t="str">
        <x:v>API cu identitate, limite, aprobări, jurnal, reluare fără duplicate și verificarea efectului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1f8e78e693504a4b"/>
  </x:tableParts>
</x:worksheet>
</file>