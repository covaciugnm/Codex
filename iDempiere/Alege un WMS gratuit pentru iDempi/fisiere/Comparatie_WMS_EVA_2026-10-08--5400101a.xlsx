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9d9409d38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tie" sheetId="1" r:id="R52d4dfa5f85d40ad"/>
    <x:sheet xmlns:r="http://schemas.openxmlformats.org/officeDocument/2006/relationships" name="Detalii" sheetId="2" r:id="R0eddc91d4e4f41cd"/>
    <x:sheet xmlns:r="http://schemas.openxmlformats.org/officeDocument/2006/relationships" name="Versiuni" sheetId="3" r:id="R49b30ba09135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8">
    <x:font>
      <x:sz val="11"/>
      <x:name val="Carlito"/>
    </x:font>
    <x:font>
      <x:sz val="10"/>
      <x:color rgb="FF1B2733"/>
      <x:name val="Arial"/>
    </x:font>
    <x:font>
      <x:b/>
      <x:sz val="15"/>
      <x:color rgb="FF15344D"/>
      <x:name val="Arial"/>
    </x:font>
    <x:font>
      <x:i/>
      <x:sz val="10"/>
      <x:color rgb="FF596673"/>
      <x:name val="Arial"/>
    </x:font>
    <x:font>
      <x:b/>
      <x:sz val="10"/>
      <x:color rgb="FF1B2733"/>
      <x:name val="Arial"/>
    </x:font>
    <x:font>
      <x:sz val="10"/>
      <x:color rgb="FF245831"/>
      <x:name val="Arial"/>
    </x:font>
    <x:font>
      <x:b/>
      <x:sz val="10"/>
      <x:color rgb="FF245831"/>
      <x:name val="Arial"/>
    </x:font>
    <x:font>
      <x:sz val="10"/>
      <x:color rgb="FF7B5900"/>
      <x:name val="Arial"/>
    </x:font>
    <x:font>
      <x:b/>
      <x:sz val="10"/>
      <x:color rgb="FF7B5900"/>
      <x:name val="Arial"/>
    </x:font>
    <x:font>
      <x:sz val="10"/>
      <x:color rgb="FF9B2921"/>
      <x:name val="Arial"/>
    </x:font>
    <x:font>
      <x:b/>
      <x:sz val="10"/>
      <x:color rgb="FF9B2921"/>
      <x:name val="Arial"/>
    </x:font>
    <x:font>
      <x:sz val="10"/>
      <x:color rgb="FF505F70"/>
      <x:name val="Arial"/>
    </x:font>
    <x:font>
      <x:b/>
      <x:sz val="10"/>
      <x:color rgb="FF505F70"/>
      <x:name val="Arial"/>
    </x:font>
    <x:font>
      <x:sz val="10"/>
      <x:color rgb="FF727B85"/>
      <x:name val="Arial"/>
    </x:font>
    <x:font>
      <x:b/>
      <x:sz val="10"/>
      <x:color rgb="FF727B85"/>
      <x:name val="Arial"/>
    </x:font>
    <x:font>
      <x:sz val="10"/>
      <x:color rgb="FF596673"/>
      <x:name val="Arial"/>
    </x:font>
    <x:font>
      <x:b/>
      <x:sz val="10"/>
      <x:color rgb="FFFFFFFF"/>
      <x:name val="Arial"/>
    </x:font>
    <x:font>
      <x:sz val="10"/>
      <x:color rgb="FF185D8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AF4E8"/>
      </x:patternFill>
    </x:fill>
    <x:fill>
      <x:patternFill patternType="solid">
        <x:fgColor rgb="FFFFF2CD"/>
      </x:patternFill>
    </x:fill>
    <x:fill>
      <x:patternFill patternType="solid">
        <x:fgColor rgb="FFFBE8E5"/>
      </x:patternFill>
    </x:fill>
    <x:fill>
      <x:patternFill patternType="solid">
        <x:fgColor rgb="FFEDF0F4"/>
      </x:patternFill>
    </x:fill>
    <x:fill>
      <x:patternFill patternType="solid">
        <x:fgColor rgb="FFF7F8FA"/>
      </x:patternFill>
    </x:fill>
    <x:fill>
      <x:patternFill patternType="solid">
        <x:fgColor rgb="FFE8EEF3"/>
      </x:patternFill>
    </x:fill>
    <x:fill>
      <x:patternFill patternType="solid">
        <x:fgColor rgb="FF15344D"/>
      </x:patternFill>
    </x:fill>
  </x:fills>
  <x:borders count="5">
    <x:border/>
    <x:border>
      <x:right style="thin">
        <x:color rgb="FFFFFFFF"/>
      </x:right>
      <x:bottom style="thin">
        <x:color rgb="FF15344D"/>
      </x:bottom>
    </x:border>
    <x:border>
      <x:left style="thin">
        <x:color rgb="FFFFFFFF"/>
      </x:left>
      <x:right style="thin">
        <x:color rgb="FFFFFFFF"/>
      </x:right>
      <x:bottom style="thin">
        <x:color rgb="FF15344D"/>
      </x:bottom>
    </x:border>
    <x:border>
      <x:left style="thin">
        <x:color rgb="FFFFFFFF"/>
      </x:left>
      <x:bottom style="thin">
        <x:color rgb="FF15344D"/>
      </x:bottom>
    </x:border>
    <x:border>
      <x:top style="medium">
        <x:color rgb="FF8A9CA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16" fillId="8" borderId="0" xfId="0" applyNumberFormat="1" applyFont="1" applyFill="1" applyBorder="1" applyAlignment="1">
      <x:alignment vertical="center"/>
    </x:xf>
    <x:xf numFmtId="0" fontId="16" fillId="8" borderId="0" xfId="0" applyNumberFormat="1" applyFont="1" applyFill="1" applyBorder="1" applyAlignment="1">
      <x:alignment vertical="center" wrapText="1"/>
    </x:xf>
    <x:xf numFmtId="0" fontId="16" fillId="8" borderId="0" xfId="0" applyNumberFormat="1" applyFont="1" applyFill="1" applyBorder="1" applyAlignment="1">
      <x:alignment horizontal="center" vertical="center" wrapText="1"/>
    </x:xf>
    <x:xf numFmtId="0" fontId="16" fillId="8" borderId="1" xfId="0" applyNumberFormat="1" applyFont="1" applyFill="1" applyBorder="1" applyAlignment="1">
      <x:alignment horizontal="center" vertical="center" wrapText="1"/>
    </x:xf>
    <x:xf numFmtId="0" fontId="16" fillId="8" borderId="2" xfId="0" applyNumberFormat="1" applyFont="1" applyFill="1" applyBorder="1" applyAlignment="1">
      <x:alignment horizontal="center" vertical="center" wrapText="1"/>
    </x:xf>
    <x:xf numFmtId="0" fontId="16" fillId="8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ont>
        <x:b/>
        <x:color rgb="FF245831"/>
      </x:font>
      <x:fill>
        <x:patternFill patternType="solid">
          <x:bgColor rgb="FFEAF4E8"/>
        </x:patternFill>
      </x:fill>
    </x:dxf>
    <x:dxf>
      <x:font>
        <x:b/>
        <x:color rgb="FF7B5900"/>
      </x:font>
      <x:fill>
        <x:patternFill patternType="solid">
          <x:bgColor rgb="FFFFF2CD"/>
        </x:patternFill>
      </x:fill>
    </x:dxf>
    <x:dxf>
      <x:font>
        <x:b/>
        <x:color rgb="FF9B2921"/>
      </x:font>
      <x:fill>
        <x:patternFill patternType="solid">
          <x:bgColor rgb="FFFBE8E5"/>
        </x:patternFill>
      </x:fill>
    </x:dxf>
    <x:dxf>
      <x:font>
        <x:b/>
        <x:color rgb="FF505F70"/>
      </x:font>
      <x:fill>
        <x:patternFill patternType="solid">
          <x:bgColor rgb="FFEDF0F4"/>
        </x:patternFill>
      </x:fill>
    </x:dxf>
    <x:dxf>
      <x:font>
        <x:b/>
        <x:color rgb="FF727B85"/>
      </x:font>
      <x:fill>
        <x:patternFill patternType="solid">
          <x:bgColor rgb="FFF7F8FA"/>
        </x:patternFill>
      </x:fill>
    </x:dxf>
    <x:dxf>
      <x:font>
        <x:b/>
        <x:color rgb="FF245831"/>
      </x:font>
      <x:fill>
        <x:patternFill patternType="solid">
          <x:bgColor rgb="FFEAF4E8"/>
        </x:patternFill>
      </x:fill>
    </x:dxf>
    <x:dxf>
      <x:font>
        <x:b/>
        <x:color rgb="FF7B5900"/>
      </x:font>
      <x:fill>
        <x:patternFill patternType="solid">
          <x:bgColor rgb="FFFFF2CD"/>
        </x:patternFill>
      </x:fill>
    </x:dxf>
    <x:dxf>
      <x:font>
        <x:b/>
        <x:color rgb="FF9B2921"/>
      </x:font>
      <x:fill>
        <x:patternFill patternType="solid">
          <x:bgColor rgb="FFFBE8E5"/>
        </x:patternFill>
      </x:fill>
    </x:dxf>
    <x:dxf>
      <x:font>
        <x:b/>
        <x:color rgb="FF505F70"/>
      </x:font>
      <x:fill>
        <x:patternFill patternType="solid">
          <x:bgColor rgb="FFEDF0F4"/>
        </x:patternFill>
      </x:fill>
    </x:dxf>
    <x:dxf>
      <x:font>
        <x:b/>
        <x:color rgb="FF727B85"/>
      </x:font>
      <x:fill>
        <x:patternFill patternType="solid">
          <x:bgColor rgb="FFF7F8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eaedddce034494" /><Relationship Type="http://schemas.openxmlformats.org/officeDocument/2006/relationships/theme" Target="/xl/theme/theme1.xml" Id="Rdbdd930612bc4db2" /><Relationship Type="http://schemas.openxmlformats.org/officeDocument/2006/relationships/sharedStrings" Target="/xl/sharedStrings.xml" Id="Rb8e8a4561372457c" /><Relationship Type="http://schemas.openxmlformats.org/officeDocument/2006/relationships/worksheet" Target="/xl/worksheets/sheet1.xml" Id="R52d4dfa5f85d40ad" /><Relationship Type="http://schemas.openxmlformats.org/officeDocument/2006/relationships/worksheet" Target="/xl/worksheets/sheet2.xml" Id="R0eddc91d4e4f41cd" /><Relationship Type="http://schemas.openxmlformats.org/officeDocument/2006/relationships/worksheet" Target="/xl/worksheets/sheet3.xml" Id="R49b30ba091354dd4" /></Relationships>
</file>

<file path=xl/tables/table1.xml><?xml version="1.0" encoding="utf-8"?>
<x:table xmlns:x="http://schemas.openxmlformats.org/spreadsheetml/2006/main" id="1" name="ComparatieWMS" displayName="ComparatieWMS" ref="A7:P41" headerRowCount="1" totalsRowCount="0" totalsRowShown="0">
  <x:tableColumns count="16">
    <x:tableColumn id="1" name="ID"/>
    <x:tableColumn id="2" name="Capitol"/>
    <x:tableColumn id="3" name="Funcție"/>
    <x:tableColumn id="4" name="EVA nativă"/>
    <x:tableColumn id="5" name="EVA API"/>
    <x:tableColumn id="6" name="EVA portal"/>
    <x:tableColumn id="7" name="iDempiere standard"/>
    <x:tableColumn id="8" name="Red1 / SYSNOVA WMS"/>
    <x:tableColumn id="9" name="Libero Warehousing"/>
    <x:tableColumn id="10" name="myWMS Release 2"/>
    <x:tableColumn id="11" name="OpenBoxes"/>
    <x:tableColumn id="12" name="GreaterWMS"/>
    <x:tableColumn id="13" name="OpenWMS"/>
    <x:tableColumn id="14" name="Android Scan Write"/>
    <x:tableColumn id="15" name="TMS iDempiere"/>
    <x:tableColumn id="16" name="SCM iDempiere Mobil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etaliiWMS" displayName="DetaliiWMS" ref="A7:I449" headerRowCount="1" totalsRowCount="0" totalsRowShown="0">
  <x:tableColumns count="9">
    <x:tableColumn id="1" name="Cheie funcție / soluție"/>
    <x:tableColumn id="2" name="Capitol"/>
    <x:tableColumn id="3" name="Funcție"/>
    <x:tableColumn id="4" name="Soluție / modul"/>
    <x:tableColumn id="5" name="Statut"/>
    <x:tableColumn id="6" name="Explicație / limită"/>
    <x:tableColumn id="7" name="Sursa 1"/>
    <x:tableColumn id="8" name="Sursa 2"/>
    <x:tableColumn id="9" name="Sursa 3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VersiuniWMS" displayName="VersiuniWMS" ref="A7:I20" headerRowCount="1" totalsRowCount="0" totalsRowShown="0">
  <x:tableColumns count="9">
    <x:tableColumn id="1" name="ID"/>
    <x:tableColumn id="2" name="Soluție / modul"/>
    <x:tableColumn id="3" name="Tip"/>
    <x:tableColumn id="4" name="Versiune / reper complet"/>
    <x:tableColumn id="5" name="Data reperului"/>
    <x:tableColumn id="6" name="Licență"/>
    <x:tableColumn id="7" name="Limită importantă"/>
    <x:tableColumn id="8" name="Cod / pachet"/>
    <x:tableColumn id="9" name="Documentați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3d40db238d4885" /></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e1a53aa1cb634cd2" /><ns0:Relationship Id="wmsLink1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2" Type="http://schemas.openxmlformats.org/officeDocument/2006/relationships/hyperlink" Target="https://github.com/cesiroproduction/Eva-Accounting/blob/1c039193e0c1626cb03fb8ca37f9980a1703fd0c/idempiere/plugins/com.eva.ro.contab/src/com/eva/ro/contab/form/WSagaIntrariForm.java#L1-L20" TargetMode="External" /><ns0:Relationship Id="wmsLink3" Type="http://schemas.openxmlformats.org/officeDocument/2006/relationships/hyperlink" Target="https://github.com/cesiroproduction/Eva-Accounting/blob/1c039193e0c1626cb03fb8ca37f9980a1703fd0c/backend/app/routers/gestiune.py#L140-L183" TargetMode="External" /><ns0:Relationship Id="wmsLink4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5" Type="http://schemas.openxmlformats.org/officeDocument/2006/relationships/hyperlink" Target="https://wiki.idempiere.org/en/Material_Receipt_%28Window_ID-184%29" TargetMode="External" /><ns0:Relationship Id="wmsLink6" Type="http://schemas.openxmlformats.org/officeDocument/2006/relationships/hyperlink" Target="https://sourceforge.net/projects/red1/files/Warehousing/WMSGuide.pdf/download" TargetMode="External" /><ns0:Relationship Id="wmsLink7" Type="http://schemas.openxmlformats.org/officeDocument/2006/relationships/hyperlink" Target="https://wiki.idempiere.org/en/Plugin%3A_Libero_Warehousing" TargetMode="External" /><ns0:Relationship Id="wmsLink8" Type="http://schemas.openxmlformats.org/officeDocument/2006/relationships/hyperlink" Target="https://github.com/wms2/mywms/blob/master/doc/myWMS-GoodsIn_en.pdf" TargetMode="External" /><ns0:Relationship Id="wmsLink9" Type="http://schemas.openxmlformats.org/officeDocument/2006/relationships/hyperlink" Target="https://docs.openboxes.com/en/latest/api-guide/inbound/receiving/" TargetMode="External" /><ns0:Relationship Id="wmsLink10" Type="http://schemas.openxmlformats.org/officeDocument/2006/relationships/hyperlink" Target="https://github.com/GreaterWMS/GreaterWMS/blob/master/README.en.md" TargetMode="External" /><ns0:Relationship Id="wmsLink11" Type="http://schemas.openxmlformats.org/officeDocument/2006/relationships/hyperlink" Target="https://github.com/openwms/org.openwms" TargetMode="External" /><ns0:Relationship Id="wmsLink12" Type="http://schemas.openxmlformats.org/officeDocument/2006/relationships/hyperlink" Target="https://wiki.idempiere.org/en/Plugin%3A_Android_Scan_Write" TargetMode="External" /><ns0:Relationship Id="wmsLink13" Type="http://schemas.openxmlformats.org/officeDocument/2006/relationships/hyperlink" Target="https://wiki.idempiere.org/en/Plugin%3A_TMS" TargetMode="External" /><ns0:Relationship Id="wmsLink14" Type="http://schemas.openxmlformats.org/officeDocument/2006/relationships/hyperlink" Target="https://idempiere.scmsoftwarelab.com/idempiere-mobile-app.html" TargetMode="External" /><ns0:Relationship Id="wmsLink15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16" Type="http://schemas.openxmlformats.org/officeDocument/2006/relationships/hyperlink" Target="https://github.com/cesiroproduction/Eva-Accounting/blob/1c039193e0c1626cb03fb8ca37f9980a1703fd0c/backend/app/models.py#L378-L447" TargetMode="External" /><ns0:Relationship Id="wmsLink17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18" Type="http://schemas.openxmlformats.org/officeDocument/2006/relationships/hyperlink" Target="https://wiki.idempiere.org/en/Manual" TargetMode="External" /><ns0:Relationship Id="wmsLink19" Type="http://schemas.openxmlformats.org/officeDocument/2006/relationships/hyperlink" Target="https://sourceforge.net/projects/red1/files/Warehousing/WMSGuide.pdf/download" TargetMode="External" /><ns0:Relationship Id="wmsLink20" Type="http://schemas.openxmlformats.org/officeDocument/2006/relationships/hyperlink" Target="https://wiki.idempiere.org/en/Plugin%3A_Libero_Warehousing" TargetMode="External" /><ns0:Relationship Id="wmsLink21" Type="http://schemas.openxmlformats.org/officeDocument/2006/relationships/hyperlink" Target="https://github.com/wms2/mywms/blob/master/doc/myWMS-GoodsIn_en.pdf" TargetMode="External" /><ns0:Relationship Id="wmsLink22" Type="http://schemas.openxmlformats.org/officeDocument/2006/relationships/hyperlink" Target="https://www.openboxes.org/features/" TargetMode="External" /><ns0:Relationship Id="wmsLink23" Type="http://schemas.openxmlformats.org/officeDocument/2006/relationships/hyperlink" Target="https://github.com/GreaterWMS/GreaterWMS/blob/master/README.en.md" TargetMode="External" /><ns0:Relationship Id="wmsLink24" Type="http://schemas.openxmlformats.org/officeDocument/2006/relationships/hyperlink" Target="https://openwms.github.io/org.openwms/" TargetMode="External" /><ns0:Relationship Id="wmsLink25" Type="http://schemas.openxmlformats.org/officeDocument/2006/relationships/hyperlink" Target="https://wiki.idempiere.org/en/Plugin%3A_Android_Scan_Write" TargetMode="External" /><ns0:Relationship Id="wmsLink26" Type="http://schemas.openxmlformats.org/officeDocument/2006/relationships/hyperlink" Target="https://wiki.idempiere.org/en/Plugin%3A_TMS" TargetMode="External" /><ns0:Relationship Id="wmsLink27" Type="http://schemas.openxmlformats.org/officeDocument/2006/relationships/hyperlink" Target="https://idempiere.scmsoftwarelab.com/idempiere-mobile-app.html" TargetMode="External" /><ns0:Relationship Id="wmsLink28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29" Type="http://schemas.openxmlformats.org/officeDocument/2006/relationships/hyperlink" Target="https://github.com/cesiroproduction/Eva-Accounting/blob/1c039193e0c1626cb03fb8ca37f9980a1703fd0c/backend/app/models.py#L378-L447" TargetMode="External" /><ns0:Relationship Id="wmsLink30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31" Type="http://schemas.openxmlformats.org/officeDocument/2006/relationships/hyperlink" Target="https://wiki.idempiere.org/en/Template%3AWarehouse_%26_Locators_%28Window_ID-139_V1.0.0%29" TargetMode="External" /><ns0:Relationship Id="wmsLink32" Type="http://schemas.openxmlformats.org/officeDocument/2006/relationships/hyperlink" Target="https://sourceforge.net/projects/red1/files/Warehousing/WMSGuide.pdf/download" TargetMode="External" /><ns0:Relationship Id="wmsLink33" Type="http://schemas.openxmlformats.org/officeDocument/2006/relationships/hyperlink" Target="https://wiki.idempiere.org/en/Plugin%3A_Libero_Warehousing" TargetMode="External" /><ns0:Relationship Id="wmsLink34" Type="http://schemas.openxmlformats.org/officeDocument/2006/relationships/hyperlink" Target="https://github.com/wms2/mywms/blob/master/doc/myWMS-GoodsIn_en.pdf" TargetMode="External" /><ns0:Relationship Id="wmsLink35" Type="http://schemas.openxmlformats.org/officeDocument/2006/relationships/hyperlink" Target="https://help.openboxes.com/article/297-receiving-putaway" TargetMode="External" /><ns0:Relationship Id="wmsLink36" Type="http://schemas.openxmlformats.org/officeDocument/2006/relationships/hyperlink" Target="https://github.com/GreaterWMS/GreaterWMS/blob/master/README.en.md" TargetMode="External" /><ns0:Relationship Id="wmsLink37" Type="http://schemas.openxmlformats.org/officeDocument/2006/relationships/hyperlink" Target="https://github.com/openwms/org.openwms" TargetMode="External" /><ns0:Relationship Id="wmsLink38" Type="http://schemas.openxmlformats.org/officeDocument/2006/relationships/hyperlink" Target="https://wiki.idempiere.org/en/Plugin%3A_Android_Scan_Write" TargetMode="External" /><ns0:Relationship Id="wmsLink39" Type="http://schemas.openxmlformats.org/officeDocument/2006/relationships/hyperlink" Target="https://wiki.idempiere.org/en/Plugin%3A_TMS" TargetMode="External" /><ns0:Relationship Id="wmsLink40" Type="http://schemas.openxmlformats.org/officeDocument/2006/relationships/hyperlink" Target="https://idempiere.scmsoftwarelab.com/idempiere-mobile-app.html" TargetMode="External" /><ns0:Relationship Id="wmsLink41" Type="http://schemas.openxmlformats.org/officeDocument/2006/relationships/hyperlink" Target="https://github.com/cesiroproduction/Eva-Accounting/blob/1c039193e0c1626cb03fb8ca37f9980a1703fd0c/idempiere/plugins/com.eva.ro.contab/src/com/eva/ro/contab/form/WStocuriForm.java#L151-L263" TargetMode="External" /><ns0:Relationship Id="wmsLink42" Type="http://schemas.openxmlformats.org/officeDocument/2006/relationships/hyperlink" Target="https://github.com/cesiroproduction/Eva-Accounting/blob/1c039193e0c1626cb03fb8ca37f9980a1703fd0c/idempiere/plugins/com.eva.ro.contab/src/com/eva/ro/contab/form/WSagaTransferuriForm.java#L1372-L1560" TargetMode="External" /><ns0:Relationship Id="wmsLink43" Type="http://schemas.openxmlformats.org/officeDocument/2006/relationships/hyperlink" Target="https://github.com/cesiroproduction/Eva-Accounting/blob/1c039193e0c1626cb03fb8ca37f9980a1703fd0c/backend/app/routers/gestiune.py#L140-L183" TargetMode="External" /><ns0:Relationship Id="wmsLink44" Type="http://schemas.openxmlformats.org/officeDocument/2006/relationships/hyperlink" Target="https://github.com/cesiroproduction/Eva-Accounting/blob/1c039193e0c1626cb03fb8ca37f9980a1703fd0c/backend/app/models.py#L378-L447" TargetMode="External" /><ns0:Relationship Id="wmsLink45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46" Type="http://schemas.openxmlformats.org/officeDocument/2006/relationships/hyperlink" Target="https://wiki.idempiere.org/en/Template%3AWarehouse_%26_Locators_%28Window_ID-139_V1.0.0%29" TargetMode="External" /><ns0:Relationship Id="wmsLink47" Type="http://schemas.openxmlformats.org/officeDocument/2006/relationships/hyperlink" Target="https://sourceforge.net/projects/red1/files/Warehousing/WMSGuide.pdf/download" TargetMode="External" /><ns0:Relationship Id="wmsLink48" Type="http://schemas.openxmlformats.org/officeDocument/2006/relationships/hyperlink" Target="https://wiki.idempiere.org/en/Plugin%3A_Libero_Warehousing" TargetMode="External" /><ns0:Relationship Id="wmsLink49" Type="http://schemas.openxmlformats.org/officeDocument/2006/relationships/hyperlink" Target="https://wiki.idempiere.org/en/Template%3AWarehouse_%26_Locators_%28Window_ID-139_V1.0.0%29" TargetMode="External" /><ns0:Relationship Id="wmsLink50" Type="http://schemas.openxmlformats.org/officeDocument/2006/relationships/hyperlink" Target="https://github.com/wms2/mywms/blob/master/doc/myWMS-Masterdata_en.pdf" TargetMode="External" /><ns0:Relationship Id="wmsLink51" Type="http://schemas.openxmlformats.org/officeDocument/2006/relationships/hyperlink" Target="https://help.openboxes.com/article/39-electronic-stock-card" TargetMode="External" /><ns0:Relationship Id="wmsLink52" Type="http://schemas.openxmlformats.org/officeDocument/2006/relationships/hyperlink" Target="https://github.com/GreaterWMS/GreaterWMS/blob/master/README.en.md" TargetMode="External" /><ns0:Relationship Id="wmsLink53" Type="http://schemas.openxmlformats.org/officeDocument/2006/relationships/hyperlink" Target="https://github.com/openwms/org.openwms" TargetMode="External" /><ns0:Relationship Id="wmsLink54" Type="http://schemas.openxmlformats.org/officeDocument/2006/relationships/hyperlink" Target="https://wiki.idempiere.org/en/Plugin%3A_Android_Scan_Write" TargetMode="External" /><ns0:Relationship Id="wmsLink55" Type="http://schemas.openxmlformats.org/officeDocument/2006/relationships/hyperlink" Target="https://wiki.idempiere.org/en/Plugin%3A_TMS" TargetMode="External" /><ns0:Relationship Id="wmsLink56" Type="http://schemas.openxmlformats.org/officeDocument/2006/relationships/hyperlink" Target="https://idempiere.scmsoftwarelab.com/idempiere-mobile-app.html" TargetMode="External" /><ns0:Relationship Id="wmsLink57" Type="http://schemas.openxmlformats.org/officeDocument/2006/relationships/hyperlink" Target="https://github.com/cesiroproduction/Eva-Accounting/blob/1c039193e0c1626cb03fb8ca37f9980a1703fd0c/idempiere/plugins/com.eva.ro.contab/src/com/eva/ro/contab/form/WInventarForm.java#L1085-L1113" TargetMode="External" /><ns0:Relationship Id="wmsLink58" Type="http://schemas.openxmlformats.org/officeDocument/2006/relationships/hyperlink" Target="https://github.com/cesiroproduction/Eva-Accounting/blob/1c039193e0c1626cb03fb8ca37f9980a1703fd0c/backend/app/routers/gestiune.py#L140-L183" TargetMode="External" /><ns0:Relationship Id="wmsLink59" Type="http://schemas.openxmlformats.org/officeDocument/2006/relationships/hyperlink" Target="https://github.com/cesiroproduction/Eva-Accounting/blob/1c039193e0c1626cb03fb8ca37f9980a1703fd0c/backend/app/models.py#L378-L447" TargetMode="External" /><ns0:Relationship Id="wmsLink60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61" Type="http://schemas.openxmlformats.org/officeDocument/2006/relationships/hyperlink" Target="https://wiki.idempiere.org/en/Template%3AWarehouse_%26_Locators_%28Window_ID-139_V1.0.0%29" TargetMode="External" /><ns0:Relationship Id="wmsLink62" Type="http://schemas.openxmlformats.org/officeDocument/2006/relationships/hyperlink" Target="https://sourceforge.net/projects/red1/files/Warehousing/WMSGuide.pdf/download" TargetMode="External" /><ns0:Relationship Id="wmsLink63" Type="http://schemas.openxmlformats.org/officeDocument/2006/relationships/hyperlink" Target="https://wiki.idempiere.org/en/Template%3AWarehouse_%26_Locators_%28Window_ID-139_V1.0.0%29" TargetMode="External" /><ns0:Relationship Id="wmsLink64" Type="http://schemas.openxmlformats.org/officeDocument/2006/relationships/hyperlink" Target="https://wiki.idempiere.org/en/Plugin%3A_Libero_Warehousing" TargetMode="External" /><ns0:Relationship Id="wmsLink65" Type="http://schemas.openxmlformats.org/officeDocument/2006/relationships/hyperlink" Target="https://github.com/wms2/mywms/blob/master/doc/myWMS-Inventory_en.pdf" TargetMode="External" /><ns0:Relationship Id="wmsLink66" Type="http://schemas.openxmlformats.org/officeDocument/2006/relationships/hyperlink" Target="https://help.openboxes.com/article/39-electronic-stock-card" TargetMode="External" /><ns0:Relationship Id="wmsLink67" Type="http://schemas.openxmlformats.org/officeDocument/2006/relationships/hyperlink" Target="https://github.com/GreaterWMS/GreaterWMS/blob/master/README.en.md" TargetMode="External" /><ns0:Relationship Id="wmsLink68" Type="http://schemas.openxmlformats.org/officeDocument/2006/relationships/hyperlink" Target="https://github.com/openwms/org.openwms" TargetMode="External" /><ns0:Relationship Id="wmsLink69" Type="http://schemas.openxmlformats.org/officeDocument/2006/relationships/hyperlink" Target="https://wiki.idempiere.org/en/Plugin%3A_Android_Scan_Write" TargetMode="External" /><ns0:Relationship Id="wmsLink70" Type="http://schemas.openxmlformats.org/officeDocument/2006/relationships/hyperlink" Target="https://wiki.idempiere.org/en/Plugin%3A_TMS" TargetMode="External" /><ns0:Relationship Id="wmsLink71" Type="http://schemas.openxmlformats.org/officeDocument/2006/relationships/hyperlink" Target="https://idempiere.scmsoftwarelab.com/idempiere-mobile-app.html" TargetMode="External" /><ns0:Relationship Id="wmsLink72" Type="http://schemas.openxmlformats.org/officeDocument/2006/relationships/hyperlink" Target="https://github.com/cesiroproduction/Eva-Accounting/blob/1c039193e0c1626cb03fb8ca37f9980a1703fd0c/idempiere/plugins/com.eva.ro.contab/src/com/eva/ro/contab/form/WInventarForm.java#L1085-L1113" TargetMode="External" /><ns0:Relationship Id="wmsLink73" Type="http://schemas.openxmlformats.org/officeDocument/2006/relationships/hyperlink" Target="https://github.com/cesiroproduction/Eva-Accounting/blob/1c039193e0c1626cb03fb8ca37f9980a1703fd0c/idempiere/plugins/com.eva.ro.contab/src/com/eva/ro/contab/form/WSagaBonConsumForm.java#L2846-L3000" TargetMode="External" /><ns0:Relationship Id="wmsLink74" Type="http://schemas.openxmlformats.org/officeDocument/2006/relationships/hyperlink" Target="https://github.com/cesiroproduction/Eva-Accounting/blob/1c039193e0c1626cb03fb8ca37f9980a1703fd0c/backend/app/models.py#L378-L447" TargetMode="External" /><ns0:Relationship Id="wmsLink75" Type="http://schemas.openxmlformats.org/officeDocument/2006/relationships/hyperlink" Target="https://github.com/cesiroproduction/Eva-Accounting/blob/1c039193e0c1626cb03fb8ca37f9980a1703fd0c/backend/app/schemas.py#L180-L237" TargetMode="External" /><ns0:Relationship Id="wmsLink76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77" Type="http://schemas.openxmlformats.org/officeDocument/2006/relationships/hyperlink" Target="https://wiki.idempiere.org/en/Manual" TargetMode="External" /><ns0:Relationship Id="wmsLink78" Type="http://schemas.openxmlformats.org/officeDocument/2006/relationships/hyperlink" Target="https://sourceforge.net/projects/red1/files/Warehousing/WMSGuide.pdf/download" TargetMode="External" /><ns0:Relationship Id="wmsLink79" Type="http://schemas.openxmlformats.org/officeDocument/2006/relationships/hyperlink" Target="https://wiki.idempiere.org/en/Manual" TargetMode="External" /><ns0:Relationship Id="wmsLink80" Type="http://schemas.openxmlformats.org/officeDocument/2006/relationships/hyperlink" Target="https://wiki.idempiere.org/en/Plugin%3A_Libero_Warehousing" TargetMode="External" /><ns0:Relationship Id="wmsLink81" Type="http://schemas.openxmlformats.org/officeDocument/2006/relationships/hyperlink" Target="https://github.com/wms2/mywms/blob/master/doc/myWMS-GoodsIn_en.pdf" TargetMode="External" /><ns0:Relationship Id="wmsLink82" Type="http://schemas.openxmlformats.org/officeDocument/2006/relationships/hyperlink" Target="https://github.com/wms2/mywms/blob/master/doc/myWMS-Inventory_en.pdf" TargetMode="External" /><ns0:Relationship Id="wmsLink83" Type="http://schemas.openxmlformats.org/officeDocument/2006/relationships/hyperlink" Target="https://help.openboxes.com/article/39-electronic-stock-card" TargetMode="External" /><ns0:Relationship Id="wmsLink84" Type="http://schemas.openxmlformats.org/officeDocument/2006/relationships/hyperlink" Target="https://github.com/GreaterWMS/GreaterWMS/blob/master/README.en.md" TargetMode="External" /><ns0:Relationship Id="wmsLink85" Type="http://schemas.openxmlformats.org/officeDocument/2006/relationships/hyperlink" Target="https://github.com/openwms/org.openwms" TargetMode="External" /><ns0:Relationship Id="wmsLink86" Type="http://schemas.openxmlformats.org/officeDocument/2006/relationships/hyperlink" Target="https://wiki.idempiere.org/en/Plugin%3A_Android_Scan_Write" TargetMode="External" /><ns0:Relationship Id="wmsLink87" Type="http://schemas.openxmlformats.org/officeDocument/2006/relationships/hyperlink" Target="https://wiki.idempiere.org/en/Plugin%3A_TMS" TargetMode="External" /><ns0:Relationship Id="wmsLink88" Type="http://schemas.openxmlformats.org/officeDocument/2006/relationships/hyperlink" Target="https://idempiere.scmsoftwarelab.com/idempiere-mobile-app.html" TargetMode="External" /><ns0:Relationship Id="wmsLink89" Type="http://schemas.openxmlformats.org/officeDocument/2006/relationships/hyperlink" Target="https://github.com/cesiroproduction/Eva-Accounting/blob/1c039193e0c1626cb03fb8ca37f9980a1703fd0c/idempiere/plugins/com.eva.ro.contab/src/com/eva/ro/contab/form/WInventarForm.java#L1085-L1113" TargetMode="External" /><ns0:Relationship Id="wmsLink90" Type="http://schemas.openxmlformats.org/officeDocument/2006/relationships/hyperlink" Target="https://github.com/cesiroproduction/Eva-Accounting/blob/1c039193e0c1626cb03fb8ca37f9980a1703fd0c/idempiere/plugins/com.eva.ro.contab/src/com/eva/ro/contab/form/WSagaBonConsumForm.java#L2846-L3000" TargetMode="External" /><ns0:Relationship Id="wmsLink91" Type="http://schemas.openxmlformats.org/officeDocument/2006/relationships/hyperlink" Target="https://github.com/cesiroproduction/Eva-Accounting/blob/1c039193e0c1626cb03fb8ca37f9980a1703fd0c/backend/app/models.py#L378-L447" TargetMode="External" /><ns0:Relationship Id="wmsLink92" Type="http://schemas.openxmlformats.org/officeDocument/2006/relationships/hyperlink" Target="https://github.com/cesiroproduction/Eva-Accounting/blob/1c039193e0c1626cb03fb8ca37f9980a1703fd0c/backend/app/schemas.py#L180-L237" TargetMode="External" /><ns0:Relationship Id="wmsLink93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94" Type="http://schemas.openxmlformats.org/officeDocument/2006/relationships/hyperlink" Target="https://wiki.idempiere.org/en/Manual" TargetMode="External" /><ns0:Relationship Id="wmsLink95" Type="http://schemas.openxmlformats.org/officeDocument/2006/relationships/hyperlink" Target="https://sourceforge.net/projects/red1/files/Warehousing/WMSGuide.pdf/download" TargetMode="External" /><ns0:Relationship Id="wmsLink96" Type="http://schemas.openxmlformats.org/officeDocument/2006/relationships/hyperlink" Target="https://wiki.idempiere.org/en/Manual" TargetMode="External" /><ns0:Relationship Id="wmsLink97" Type="http://schemas.openxmlformats.org/officeDocument/2006/relationships/hyperlink" Target="https://wiki.idempiere.org/en/Plugin%3A_Libero_Warehousing" TargetMode="External" /><ns0:Relationship Id="wmsLink98" Type="http://schemas.openxmlformats.org/officeDocument/2006/relationships/hyperlink" Target="https://github.com/wms2/mywms/blob/master/doc/myWMS-GoodsOut_en.pdf" TargetMode="External" /><ns0:Relationship Id="wmsLink99" Type="http://schemas.openxmlformats.org/officeDocument/2006/relationships/hyperlink" Target="https://help.openboxes.com/article/302-outbound-shipment-documents" TargetMode="External" /><ns0:Relationship Id="wmsLink100" Type="http://schemas.openxmlformats.org/officeDocument/2006/relationships/hyperlink" Target="https://github.com/GreaterWMS/GreaterWMS/blob/master/README.en.md" TargetMode="External" /><ns0:Relationship Id="wmsLink101" Type="http://schemas.openxmlformats.org/officeDocument/2006/relationships/hyperlink" Target="https://openwms.github.io/org.openwms/" TargetMode="External" /><ns0:Relationship Id="wmsLink102" Type="http://schemas.openxmlformats.org/officeDocument/2006/relationships/hyperlink" Target="https://wiki.idempiere.org/en/Plugin%3A_Android_Scan_Write" TargetMode="External" /><ns0:Relationship Id="wmsLink103" Type="http://schemas.openxmlformats.org/officeDocument/2006/relationships/hyperlink" Target="https://wiki.idempiere.org/en/Plugin%3A_TMS" TargetMode="External" /><ns0:Relationship Id="wmsLink104" Type="http://schemas.openxmlformats.org/officeDocument/2006/relationships/hyperlink" Target="https://idempiere.scmsoftwarelab.com/idempiere-mobile-app.html" TargetMode="External" /><ns0:Relationship Id="wmsLink105" Type="http://schemas.openxmlformats.org/officeDocument/2006/relationships/hyperlink" Target="https://github.com/cesiroproduction/Eva-Accounting/blob/1c039193e0c1626cb03fb8ca37f9980a1703fd0c/idempiere/plugins/com.eva.ro.contab/src/com/eva/ro/contab/form/WInventarForm.java#L1085-L1113" TargetMode="External" /><ns0:Relationship Id="wmsLink106" Type="http://schemas.openxmlformats.org/officeDocument/2006/relationships/hyperlink" Target="https://github.com/cesiroproduction/Eva-Accounting/blob/1c039193e0c1626cb03fb8ca37f9980a1703fd0c/backend/app/models.py#L378-L447" TargetMode="External" /><ns0:Relationship Id="wmsLink107" Type="http://schemas.openxmlformats.org/officeDocument/2006/relationships/hyperlink" Target="https://github.com/cesiroproduction/Eva-Accounting/blob/1c039193e0c1626cb03fb8ca37f9980a1703fd0c/backend/app/schemas.py#L180-L237" TargetMode="External" /><ns0:Relationship Id="wmsLink108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109" Type="http://schemas.openxmlformats.org/officeDocument/2006/relationships/hyperlink" Target="https://wiki.idempiere.org/en/Manual" TargetMode="External" /><ns0:Relationship Id="wmsLink110" Type="http://schemas.openxmlformats.org/officeDocument/2006/relationships/hyperlink" Target="https://wiki.idempiere.org/en/Template%3AWarehouse_%26_Locators_%28Window_ID-139_V1.0.0%29" TargetMode="External" /><ns0:Relationship Id="wmsLink111" Type="http://schemas.openxmlformats.org/officeDocument/2006/relationships/hyperlink" Target="https://sourceforge.net/projects/red1/files/Warehousing/WMSGuide.pdf/download" TargetMode="External" /><ns0:Relationship Id="wmsLink112" Type="http://schemas.openxmlformats.org/officeDocument/2006/relationships/hyperlink" Target="https://wiki.idempiere.org/en/Manual" TargetMode="External" /><ns0:Relationship Id="wmsLink113" Type="http://schemas.openxmlformats.org/officeDocument/2006/relationships/hyperlink" Target="https://wiki.idempiere.org/en/Plugin%3A_Libero_Warehousing" TargetMode="External" /><ns0:Relationship Id="wmsLink114" Type="http://schemas.openxmlformats.org/officeDocument/2006/relationships/hyperlink" Target="https://github.com/wms2/mywms/blob/master/doc/myWMS-GoodsIn_en.pdf" TargetMode="External" /><ns0:Relationship Id="wmsLink115" Type="http://schemas.openxmlformats.org/officeDocument/2006/relationships/hyperlink" Target="https://github.com/wms2/mywms/blob/master/doc/myWMS-Inventory_en.pdf" TargetMode="External" /><ns0:Relationship Id="wmsLink116" Type="http://schemas.openxmlformats.org/officeDocument/2006/relationships/hyperlink" Target="https://help.openboxes.com/article/74-outbound-shipment-page-by-page-pick" TargetMode="External" /><ns0:Relationship Id="wmsLink117" Type="http://schemas.openxmlformats.org/officeDocument/2006/relationships/hyperlink" Target="https://help.openboxes.com/article/39-electronic-stock-card" TargetMode="External" /><ns0:Relationship Id="wmsLink118" Type="http://schemas.openxmlformats.org/officeDocument/2006/relationships/hyperlink" Target="https://github.com/GreaterWMS/GreaterWMS/blob/master/README.en.md" TargetMode="External" /><ns0:Relationship Id="wmsLink119" Type="http://schemas.openxmlformats.org/officeDocument/2006/relationships/hyperlink" Target="https://openwms.github.io/org.openwms/" TargetMode="External" /><ns0:Relationship Id="wmsLink120" Type="http://schemas.openxmlformats.org/officeDocument/2006/relationships/hyperlink" Target="https://wiki.idempiere.org/en/Plugin%3A_Android_Scan_Write" TargetMode="External" /><ns0:Relationship Id="wmsLink121" Type="http://schemas.openxmlformats.org/officeDocument/2006/relationships/hyperlink" Target="https://wiki.idempiere.org/en/Plugin%3A_TMS" TargetMode="External" /><ns0:Relationship Id="wmsLink122" Type="http://schemas.openxmlformats.org/officeDocument/2006/relationships/hyperlink" Target="https://idempiere.scmsoftwarelab.com/idempiere-mobile-app.html" TargetMode="External" /><ns0:Relationship Id="wmsLink123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124" Type="http://schemas.openxmlformats.org/officeDocument/2006/relationships/hyperlink" Target="https://github.com/cesiroproduction/Eva-Accounting/blob/1c039193e0c1626cb03fb8ca37f9980a1703fd0c/backend/app/schemas.py#L180-L237" TargetMode="External" /><ns0:Relationship Id="wmsLink125" Type="http://schemas.openxmlformats.org/officeDocument/2006/relationships/hyperlink" Target="https://github.com/cesiroproduction/Eva-Accounting/blob/1c039193e0c1626cb03fb8ca37f9980a1703fd0c/backend/app/stocuri.py#L70-L124" TargetMode="External" /><ns0:Relationship Id="wmsLink126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127" Type="http://schemas.openxmlformats.org/officeDocument/2006/relationships/hyperlink" Target="https://wiki.idempiere.org/en/Template%3AWarehouse_%26_Locators_%28Window_ID-139_V1.0.0%29" TargetMode="External" /><ns0:Relationship Id="wmsLink128" Type="http://schemas.openxmlformats.org/officeDocument/2006/relationships/hyperlink" Target="https://sourceforge.net/projects/red1/files/Warehousing/WMSGuide.pdf/download" TargetMode="External" /><ns0:Relationship Id="wmsLink129" Type="http://schemas.openxmlformats.org/officeDocument/2006/relationships/hyperlink" Target="https://wiki.idempiere.org/en/Plugin%3A_Libero_Warehousing" TargetMode="External" /><ns0:Relationship Id="wmsLink130" Type="http://schemas.openxmlformats.org/officeDocument/2006/relationships/hyperlink" Target="https://github.com/wms2/mywms/blob/master/doc/myWMS-Inventory_en.pdf" TargetMode="External" /><ns0:Relationship Id="wmsLink131" Type="http://schemas.openxmlformats.org/officeDocument/2006/relationships/hyperlink" Target="https://help.openboxes.com/article/74-outbound-shipment-page-by-page-pick" TargetMode="External" /><ns0:Relationship Id="wmsLink132" Type="http://schemas.openxmlformats.org/officeDocument/2006/relationships/hyperlink" Target="https://github.com/GreaterWMS/GreaterWMS/blob/master/README.en.md" TargetMode="External" /><ns0:Relationship Id="wmsLink133" Type="http://schemas.openxmlformats.org/officeDocument/2006/relationships/hyperlink" Target="https://openwms.github.io/org.openwms/" TargetMode="External" /><ns0:Relationship Id="wmsLink134" Type="http://schemas.openxmlformats.org/officeDocument/2006/relationships/hyperlink" Target="https://wiki.idempiere.org/en/Plugin%3A_Android_Scan_Write" TargetMode="External" /><ns0:Relationship Id="wmsLink135" Type="http://schemas.openxmlformats.org/officeDocument/2006/relationships/hyperlink" Target="https://wiki.idempiere.org/en/Plugin%3A_TMS" TargetMode="External" /><ns0:Relationship Id="wmsLink136" Type="http://schemas.openxmlformats.org/officeDocument/2006/relationships/hyperlink" Target="https://idempiere.scmsoftwarelab.com/idempiere-mobile-app.html" TargetMode="External" /><ns0:Relationship Id="wmsLink137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138" Type="http://schemas.openxmlformats.org/officeDocument/2006/relationships/hyperlink" Target="https://github.com/cesiroproduction/Eva-Accounting/blob/1c039193e0c1626cb03fb8ca37f9980a1703fd0c/backend/app/models.py#L378-L447" TargetMode="External" /><ns0:Relationship Id="wmsLink139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140" Type="http://schemas.openxmlformats.org/officeDocument/2006/relationships/hyperlink" Target="https://wiki.idempiere.org/en/Shipment_Details_%28Report_ID-294%29" TargetMode="External" /><ns0:Relationship Id="wmsLink141" Type="http://schemas.openxmlformats.org/officeDocument/2006/relationships/hyperlink" Target="https://sourceforge.net/projects/red1/files/Warehousing/WMSGuide.pdf/download" TargetMode="External" /><ns0:Relationship Id="wmsLink142" Type="http://schemas.openxmlformats.org/officeDocument/2006/relationships/hyperlink" Target="https://wiki.idempiere.org/en/Plugin%3A_Libero_Warehousing" TargetMode="External" /><ns0:Relationship Id="wmsLink143" Type="http://schemas.openxmlformats.org/officeDocument/2006/relationships/hyperlink" Target="https://github.com/wms2/mywms/blob/master/doc/myWMS-GoodsOut_en.pdf" TargetMode="External" /><ns0:Relationship Id="wmsLink144" Type="http://schemas.openxmlformats.org/officeDocument/2006/relationships/hyperlink" Target="https://help.openboxes.com/article/74-outbound-shipment-page-by-page-pick" TargetMode="External" /><ns0:Relationship Id="wmsLink145" Type="http://schemas.openxmlformats.org/officeDocument/2006/relationships/hyperlink" Target="https://help.openboxes.com/article/302-outbound-shipment-documents" TargetMode="External" /><ns0:Relationship Id="wmsLink146" Type="http://schemas.openxmlformats.org/officeDocument/2006/relationships/hyperlink" Target="https://github.com/GreaterWMS/GreaterWMS/blob/master/README.en.md" TargetMode="External" /><ns0:Relationship Id="wmsLink147" Type="http://schemas.openxmlformats.org/officeDocument/2006/relationships/hyperlink" Target="https://github.com/openwms/org.openwms" TargetMode="External" /><ns0:Relationship Id="wmsLink148" Type="http://schemas.openxmlformats.org/officeDocument/2006/relationships/hyperlink" Target="https://wiki.idempiere.org/en/Plugin%3A_Android_Scan_Write" TargetMode="External" /><ns0:Relationship Id="wmsLink149" Type="http://schemas.openxmlformats.org/officeDocument/2006/relationships/hyperlink" Target="https://wiki.idempiere.org/en/Plugin%3A_TMS" TargetMode="External" /><ns0:Relationship Id="wmsLink150" Type="http://schemas.openxmlformats.org/officeDocument/2006/relationships/hyperlink" Target="https://idempiere.scmsoftwarelab.com/idempiere-mobile-app.html" TargetMode="External" /><ns0:Relationship Id="wmsLink151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152" Type="http://schemas.openxmlformats.org/officeDocument/2006/relationships/hyperlink" Target="https://github.com/cesiroproduction/Eva-Accounting/blob/1c039193e0c1626cb03fb8ca37f9980a1703fd0c/backend/app/models.py#L378-L447" TargetMode="External" /><ns0:Relationship Id="wmsLink153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154" Type="http://schemas.openxmlformats.org/officeDocument/2006/relationships/hyperlink" Target="https://wiki.idempiere.org/en/Manual" TargetMode="External" /><ns0:Relationship Id="wmsLink155" Type="http://schemas.openxmlformats.org/officeDocument/2006/relationships/hyperlink" Target="https://sourceforge.net/projects/red1/files/Warehousing/WMSGuide.pdf/download" TargetMode="External" /><ns0:Relationship Id="wmsLink156" Type="http://schemas.openxmlformats.org/officeDocument/2006/relationships/hyperlink" Target="https://wiki.idempiere.org/en/Plugin%3A_Libero_Warehousing" TargetMode="External" /><ns0:Relationship Id="wmsLink157" Type="http://schemas.openxmlformats.org/officeDocument/2006/relationships/hyperlink" Target="https://github.com/wms2/mywms/blob/master/doc/myWMS-GoodsOut_en.pdf" TargetMode="External" /><ns0:Relationship Id="wmsLink158" Type="http://schemas.openxmlformats.org/officeDocument/2006/relationships/hyperlink" Target="https://www.openboxes.org/features/" TargetMode="External" /><ns0:Relationship Id="wmsLink159" Type="http://schemas.openxmlformats.org/officeDocument/2006/relationships/hyperlink" Target="https://github.com/GreaterWMS/GreaterWMS/blob/master/README.en.md" TargetMode="External" /><ns0:Relationship Id="wmsLink160" Type="http://schemas.openxmlformats.org/officeDocument/2006/relationships/hyperlink" Target="https://github.com/openwms/org.openwms" TargetMode="External" /><ns0:Relationship Id="wmsLink161" Type="http://schemas.openxmlformats.org/officeDocument/2006/relationships/hyperlink" Target="https://openwms.github.io/org.openwms/" TargetMode="External" /><ns0:Relationship Id="wmsLink162" Type="http://schemas.openxmlformats.org/officeDocument/2006/relationships/hyperlink" Target="https://wiki.idempiere.org/en/Plugin%3A_Android_Scan_Write" TargetMode="External" /><ns0:Relationship Id="wmsLink163" Type="http://schemas.openxmlformats.org/officeDocument/2006/relationships/hyperlink" Target="https://wiki.idempiere.org/en/Plugin%3A_TMS" TargetMode="External" /><ns0:Relationship Id="wmsLink164" Type="http://schemas.openxmlformats.org/officeDocument/2006/relationships/hyperlink" Target="https://idempiere.scmsoftwarelab.com/idempiere-mobile-app.html" TargetMode="External" /><ns0:Relationship Id="wmsLink165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166" Type="http://schemas.openxmlformats.org/officeDocument/2006/relationships/hyperlink" Target="https://github.com/cesiroproduction/Eva-Accounting/blob/1c039193e0c1626cb03fb8ca37f9980a1703fd0c/backend/app/models.py#L378-L447" TargetMode="External" /><ns0:Relationship Id="wmsLink167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168" Type="http://schemas.openxmlformats.org/officeDocument/2006/relationships/hyperlink" Target="https://wiki.idempiere.org/en/Manual" TargetMode="External" /><ns0:Relationship Id="wmsLink169" Type="http://schemas.openxmlformats.org/officeDocument/2006/relationships/hyperlink" Target="https://sourceforge.net/projects/red1/files/Warehousing/WMSGuide.pdf/download" TargetMode="External" /><ns0:Relationship Id="wmsLink170" Type="http://schemas.openxmlformats.org/officeDocument/2006/relationships/hyperlink" Target="https://wiki.idempiere.org/en/Plugin%3A_Libero_Warehousing" TargetMode="External" /><ns0:Relationship Id="wmsLink171" Type="http://schemas.openxmlformats.org/officeDocument/2006/relationships/hyperlink" Target="https://github.com/wms2/mywms/blob/master/doc/myWMS-GoodsOut_en.pdf" TargetMode="External" /><ns0:Relationship Id="wmsLink172" Type="http://schemas.openxmlformats.org/officeDocument/2006/relationships/hyperlink" Target="https://github.com/wms2/mywms/blob/master/doc/myWMS-Inventory_en.pdf" TargetMode="External" /><ns0:Relationship Id="wmsLink173" Type="http://schemas.openxmlformats.org/officeDocument/2006/relationships/hyperlink" Target="https://help.openboxes.com/article/33-location-type-and-supported-activities" TargetMode="External" /><ns0:Relationship Id="wmsLink174" Type="http://schemas.openxmlformats.org/officeDocument/2006/relationships/hyperlink" Target="https://help.openboxes.com/article/302-outbound-shipment-documents" TargetMode="External" /><ns0:Relationship Id="wmsLink175" Type="http://schemas.openxmlformats.org/officeDocument/2006/relationships/hyperlink" Target="https://github.com/GreaterWMS/GreaterWMS/blob/master/README.en.md" TargetMode="External" /><ns0:Relationship Id="wmsLink176" Type="http://schemas.openxmlformats.org/officeDocument/2006/relationships/hyperlink" Target="https://openwms.github.io/org.openwms/" TargetMode="External" /><ns0:Relationship Id="wmsLink177" Type="http://schemas.openxmlformats.org/officeDocument/2006/relationships/hyperlink" Target="https://wiki.idempiere.org/en/Plugin%3A_Android_Scan_Write" TargetMode="External" /><ns0:Relationship Id="wmsLink178" Type="http://schemas.openxmlformats.org/officeDocument/2006/relationships/hyperlink" Target="https://wiki.idempiere.org/en/Plugin%3A_TMS" TargetMode="External" /><ns0:Relationship Id="wmsLink179" Type="http://schemas.openxmlformats.org/officeDocument/2006/relationships/hyperlink" Target="https://idempiere.scmsoftwarelab.com/idempiere-mobile-app.html" TargetMode="External" /><ns0:Relationship Id="wmsLink180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181" Type="http://schemas.openxmlformats.org/officeDocument/2006/relationships/hyperlink" Target="https://github.com/cesiroproduction/Eva-Accounting/blob/1c039193e0c1626cb03fb8ca37f9980a1703fd0c/backend/app/models.py#L378-L447" TargetMode="External" /><ns0:Relationship Id="wmsLink182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183" Type="http://schemas.openxmlformats.org/officeDocument/2006/relationships/hyperlink" Target="https://wiki.idempiere.org/en/Manual" TargetMode="External" /><ns0:Relationship Id="wmsLink184" Type="http://schemas.openxmlformats.org/officeDocument/2006/relationships/hyperlink" Target="https://sourceforge.net/projects/red1/files/Warehousing/WMSGuide.pdf/download" TargetMode="External" /><ns0:Relationship Id="wmsLink185" Type="http://schemas.openxmlformats.org/officeDocument/2006/relationships/hyperlink" Target="https://wiki.idempiere.org/en/Plugin%3A_Libero_Warehousing" TargetMode="External" /><ns0:Relationship Id="wmsLink186" Type="http://schemas.openxmlformats.org/officeDocument/2006/relationships/hyperlink" Target="https://github.com/wms2/mywms/blob/master/doc/myWMS-GoodsOut_en.pdf" TargetMode="External" /><ns0:Relationship Id="wmsLink187" Type="http://schemas.openxmlformats.org/officeDocument/2006/relationships/hyperlink" Target="https://docs.openboxes.com/en/latest/" TargetMode="External" /><ns0:Relationship Id="wmsLink188" Type="http://schemas.openxmlformats.org/officeDocument/2006/relationships/hyperlink" Target="https://github.com/GreaterWMS/GreaterWMS/blob/master/README.en.md" TargetMode="External" /><ns0:Relationship Id="wmsLink189" Type="http://schemas.openxmlformats.org/officeDocument/2006/relationships/hyperlink" Target="https://openwms.github.io/org.openwms/" TargetMode="External" /><ns0:Relationship Id="wmsLink190" Type="http://schemas.openxmlformats.org/officeDocument/2006/relationships/hyperlink" Target="https://wiki.idempiere.org/en/Plugin%3A_Android_Scan_Write" TargetMode="External" /><ns0:Relationship Id="wmsLink191" Type="http://schemas.openxmlformats.org/officeDocument/2006/relationships/hyperlink" Target="https://wiki.idempiere.org/en/Plugin%3A_TMS" TargetMode="External" /><ns0:Relationship Id="wmsLink192" Type="http://schemas.openxmlformats.org/officeDocument/2006/relationships/hyperlink" Target="https://idempiere.scmsoftwarelab.com/idempiere-mobile-app.html" TargetMode="External" /><ns0:Relationship Id="wmsLink193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194" Type="http://schemas.openxmlformats.org/officeDocument/2006/relationships/hyperlink" Target="https://github.com/cesiroproduction/Eva-Accounting/blob/1c039193e0c1626cb03fb8ca37f9980a1703fd0c/backend/app/models.py#L378-L447" TargetMode="External" /><ns0:Relationship Id="wmsLink195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196" Type="http://schemas.openxmlformats.org/officeDocument/2006/relationships/hyperlink" Target="https://wiki.idempiere.org/en/Manual" TargetMode="External" /><ns0:Relationship Id="wmsLink197" Type="http://schemas.openxmlformats.org/officeDocument/2006/relationships/hyperlink" Target="https://sourceforge.net/projects/red1/files/Warehousing/WMSGuide.pdf/download" TargetMode="External" /><ns0:Relationship Id="wmsLink198" Type="http://schemas.openxmlformats.org/officeDocument/2006/relationships/hyperlink" Target="https://wiki.idempiere.org/en/Plugin%3A_Libero_Warehousing" TargetMode="External" /><ns0:Relationship Id="wmsLink199" Type="http://schemas.openxmlformats.org/officeDocument/2006/relationships/hyperlink" Target="https://github.com/wms2/mywms" TargetMode="External" /><ns0:Relationship Id="wmsLink200" Type="http://schemas.openxmlformats.org/officeDocument/2006/relationships/hyperlink" Target="https://docs.openboxes.com/en/latest/" TargetMode="External" /><ns0:Relationship Id="wmsLink201" Type="http://schemas.openxmlformats.org/officeDocument/2006/relationships/hyperlink" Target="https://github.com/GreaterWMS/GreaterWMS/blob/master/README.en.md" TargetMode="External" /><ns0:Relationship Id="wmsLink202" Type="http://schemas.openxmlformats.org/officeDocument/2006/relationships/hyperlink" Target="https://openwms.github.io/org.openwms/" TargetMode="External" /><ns0:Relationship Id="wmsLink203" Type="http://schemas.openxmlformats.org/officeDocument/2006/relationships/hyperlink" Target="https://wiki.idempiere.org/en/Plugin%3A_Android_Scan_Write" TargetMode="External" /><ns0:Relationship Id="wmsLink204" Type="http://schemas.openxmlformats.org/officeDocument/2006/relationships/hyperlink" Target="https://wiki.idempiere.org/en/Plugin%3A_TMS" TargetMode="External" /><ns0:Relationship Id="wmsLink205" Type="http://schemas.openxmlformats.org/officeDocument/2006/relationships/hyperlink" Target="https://idempiere.scmsoftwarelab.com/idempiere-mobile-app.html" TargetMode="External" /><ns0:Relationship Id="wmsLink206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207" Type="http://schemas.openxmlformats.org/officeDocument/2006/relationships/hyperlink" Target="https://github.com/cesiroproduction/Eva-Accounting/blob/1c039193e0c1626cb03fb8ca37f9980a1703fd0c/backend/app/models.py#L378-L447" TargetMode="External" /><ns0:Relationship Id="wmsLink208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209" Type="http://schemas.openxmlformats.org/officeDocument/2006/relationships/hyperlink" Target="https://wiki.idempiere.org/en/Manual" TargetMode="External" /><ns0:Relationship Id="wmsLink210" Type="http://schemas.openxmlformats.org/officeDocument/2006/relationships/hyperlink" Target="https://sourceforge.net/projects/red1/files/Warehousing/WMSGuide.pdf/download" TargetMode="External" /><ns0:Relationship Id="wmsLink211" Type="http://schemas.openxmlformats.org/officeDocument/2006/relationships/hyperlink" Target="https://wiki.idempiere.org/en/Plugin%3A_Libero_Warehousing" TargetMode="External" /><ns0:Relationship Id="wmsLink212" Type="http://schemas.openxmlformats.org/officeDocument/2006/relationships/hyperlink" Target="https://github.com/wms2/mywms" TargetMode="External" /><ns0:Relationship Id="wmsLink213" Type="http://schemas.openxmlformats.org/officeDocument/2006/relationships/hyperlink" Target="https://docs.openboxes.com/en/latest/" TargetMode="External" /><ns0:Relationship Id="wmsLink214" Type="http://schemas.openxmlformats.org/officeDocument/2006/relationships/hyperlink" Target="https://github.com/GreaterWMS/GreaterWMS/blob/master/README.en.md" TargetMode="External" /><ns0:Relationship Id="wmsLink215" Type="http://schemas.openxmlformats.org/officeDocument/2006/relationships/hyperlink" Target="https://openwms.github.io/org.openwms/" TargetMode="External" /><ns0:Relationship Id="wmsLink216" Type="http://schemas.openxmlformats.org/officeDocument/2006/relationships/hyperlink" Target="https://wiki.idempiere.org/en/Plugin%3A_Android_Scan_Write" TargetMode="External" /><ns0:Relationship Id="wmsLink217" Type="http://schemas.openxmlformats.org/officeDocument/2006/relationships/hyperlink" Target="https://wiki.idempiere.org/en/Plugin%3A_TMS" TargetMode="External" /><ns0:Relationship Id="wmsLink218" Type="http://schemas.openxmlformats.org/officeDocument/2006/relationships/hyperlink" Target="https://idempiere.scmsoftwarelab.com/idempiere-mobile-app.html" TargetMode="External" /><ns0:Relationship Id="wmsLink219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220" Type="http://schemas.openxmlformats.org/officeDocument/2006/relationships/hyperlink" Target="https://github.com/cesiroproduction/Eva-Accounting/blob/1c039193e0c1626cb03fb8ca37f9980a1703fd0c/backend/app/models.py#L378-L447" TargetMode="External" /><ns0:Relationship Id="wmsLink221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222" Type="http://schemas.openxmlformats.org/officeDocument/2006/relationships/hyperlink" Target="https://wiki.idempiere.org/en/Manual" TargetMode="External" /><ns0:Relationship Id="wmsLink223" Type="http://schemas.openxmlformats.org/officeDocument/2006/relationships/hyperlink" Target="https://sourceforge.net/projects/red1/files/Warehousing/WMSGuide.pdf/download" TargetMode="External" /><ns0:Relationship Id="wmsLink224" Type="http://schemas.openxmlformats.org/officeDocument/2006/relationships/hyperlink" Target="https://wiki.idempiere.org/en/Plugin%3A_Libero_Warehousing" TargetMode="External" /><ns0:Relationship Id="wmsLink225" Type="http://schemas.openxmlformats.org/officeDocument/2006/relationships/hyperlink" Target="https://github.com/wms2/mywms/blob/master/doc/myWMS-Inventory_en.pdf" TargetMode="External" /><ns0:Relationship Id="wmsLink226" Type="http://schemas.openxmlformats.org/officeDocument/2006/relationships/hyperlink" Target="https://help.openboxes.com/article/33-location-type-and-supported-activities" TargetMode="External" /><ns0:Relationship Id="wmsLink227" Type="http://schemas.openxmlformats.org/officeDocument/2006/relationships/hyperlink" Target="https://github.com/GreaterWMS/GreaterWMS/blob/master/README.en.md" TargetMode="External" /><ns0:Relationship Id="wmsLink228" Type="http://schemas.openxmlformats.org/officeDocument/2006/relationships/hyperlink" Target="https://github.com/openwms/org.openwms" TargetMode="External" /><ns0:Relationship Id="wmsLink229" Type="http://schemas.openxmlformats.org/officeDocument/2006/relationships/hyperlink" Target="https://wiki.idempiere.org/en/Plugin%3A_Android_Scan_Write" TargetMode="External" /><ns0:Relationship Id="wmsLink230" Type="http://schemas.openxmlformats.org/officeDocument/2006/relationships/hyperlink" Target="https://wiki.idempiere.org/en/Plugin%3A_TMS" TargetMode="External" /><ns0:Relationship Id="wmsLink231" Type="http://schemas.openxmlformats.org/officeDocument/2006/relationships/hyperlink" Target="https://idempiere.scmsoftwarelab.com/idempiere-mobile-app.html" TargetMode="External" /><ns0:Relationship Id="wmsLink232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233" Type="http://schemas.openxmlformats.org/officeDocument/2006/relationships/hyperlink" Target="https://github.com/cesiroproduction/Eva-Accounting/blob/1c039193e0c1626cb03fb8ca37f9980a1703fd0c/backend/app/models.py#L378-L447" TargetMode="External" /><ns0:Relationship Id="wmsLink234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235" Type="http://schemas.openxmlformats.org/officeDocument/2006/relationships/hyperlink" Target="https://wiki.idempiere.org/en/Manual" TargetMode="External" /><ns0:Relationship Id="wmsLink236" Type="http://schemas.openxmlformats.org/officeDocument/2006/relationships/hyperlink" Target="https://sourceforge.net/projects/red1/files/Warehousing/WMSGuide.pdf/download" TargetMode="External" /><ns0:Relationship Id="wmsLink237" Type="http://schemas.openxmlformats.org/officeDocument/2006/relationships/hyperlink" Target="https://wiki.idempiere.org/en/Plugin%3A_Libero_Warehousing" TargetMode="External" /><ns0:Relationship Id="wmsLink238" Type="http://schemas.openxmlformats.org/officeDocument/2006/relationships/hyperlink" Target="https://github.com/wms2/mywms/blob/master/doc/myWMS-GoodsIn_en.pdf" TargetMode="External" /><ns0:Relationship Id="wmsLink239" Type="http://schemas.openxmlformats.org/officeDocument/2006/relationships/hyperlink" Target="https://github.com/wms2/mywms/blob/master/doc/myWMS-Masterdata_en.pdf" TargetMode="External" /><ns0:Relationship Id="wmsLink240" Type="http://schemas.openxmlformats.org/officeDocument/2006/relationships/hyperlink" Target="https://docs.openboxes.com/en/latest/" TargetMode="External" /><ns0:Relationship Id="wmsLink241" Type="http://schemas.openxmlformats.org/officeDocument/2006/relationships/hyperlink" Target="https://github.com/GreaterWMS/GreaterWMS/blob/master/README.en.md" TargetMode="External" /><ns0:Relationship Id="wmsLink242" Type="http://schemas.openxmlformats.org/officeDocument/2006/relationships/hyperlink" Target="https://openwms.github.io/org.openwms/" TargetMode="External" /><ns0:Relationship Id="wmsLink243" Type="http://schemas.openxmlformats.org/officeDocument/2006/relationships/hyperlink" Target="https://wiki.idempiere.org/en/Plugin%3A_Android_Scan_Write" TargetMode="External" /><ns0:Relationship Id="wmsLink244" Type="http://schemas.openxmlformats.org/officeDocument/2006/relationships/hyperlink" Target="https://wiki.idempiere.org/en/Plugin%3A_TMS" TargetMode="External" /><ns0:Relationship Id="wmsLink245" Type="http://schemas.openxmlformats.org/officeDocument/2006/relationships/hyperlink" Target="https://idempiere.scmsoftwarelab.com/idempiere-mobile-app.html" TargetMode="External" /><ns0:Relationship Id="wmsLink246" Type="http://schemas.openxmlformats.org/officeDocument/2006/relationships/hyperlink" Target="https://github.com/cesiroproduction/Eva-Accounting/blob/1c039193e0c1626cb03fb8ca37f9980a1703fd0c/idempiere/plugins/com.eva.ro.contab/src/com/eva/ro/contab/form/WSagaTransferuriForm.java#L1372-L1560" TargetMode="External" /><ns0:Relationship Id="wmsLink247" Type="http://schemas.openxmlformats.org/officeDocument/2006/relationships/hyperlink" Target="https://github.com/cesiroproduction/Eva-Accounting/blob/1c039193e0c1626cb03fb8ca37f9980a1703fd0c/backend/app/routers/gestiune.py#L140-L183" TargetMode="External" /><ns0:Relationship Id="wmsLink248" Type="http://schemas.openxmlformats.org/officeDocument/2006/relationships/hyperlink" Target="https://github.com/cesiroproduction/Eva-Accounting/blob/1c039193e0c1626cb03fb8ca37f9980a1703fd0c/backend/app/models.py#L378-L447" TargetMode="External" /><ns0:Relationship Id="wmsLink249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250" Type="http://schemas.openxmlformats.org/officeDocument/2006/relationships/hyperlink" Target="https://wiki.idempiere.org/en/Manual" TargetMode="External" /><ns0:Relationship Id="wmsLink251" Type="http://schemas.openxmlformats.org/officeDocument/2006/relationships/hyperlink" Target="https://sourceforge.net/projects/red1/files/Warehousing/WMSGuide.pdf/download" TargetMode="External" /><ns0:Relationship Id="wmsLink252" Type="http://schemas.openxmlformats.org/officeDocument/2006/relationships/hyperlink" Target="https://wiki.idempiere.org/en/Manual" TargetMode="External" /><ns0:Relationship Id="wmsLink253" Type="http://schemas.openxmlformats.org/officeDocument/2006/relationships/hyperlink" Target="https://wiki.idempiere.org/en/Plugin%3A_Libero_Warehousing" TargetMode="External" /><ns0:Relationship Id="wmsLink254" Type="http://schemas.openxmlformats.org/officeDocument/2006/relationships/hyperlink" Target="https://github.com/wms2/mywms/blob/master/doc/myWMS-Internal_en.pdf" TargetMode="External" /><ns0:Relationship Id="wmsLink255" Type="http://schemas.openxmlformats.org/officeDocument/2006/relationships/hyperlink" Target="https://help.openboxes.com/article/39-electronic-stock-card" TargetMode="External" /><ns0:Relationship Id="wmsLink256" Type="http://schemas.openxmlformats.org/officeDocument/2006/relationships/hyperlink" Target="https://github.com/GreaterWMS/GreaterWMS/blob/master/README.en.md" TargetMode="External" /><ns0:Relationship Id="wmsLink257" Type="http://schemas.openxmlformats.org/officeDocument/2006/relationships/hyperlink" Target="https://github.com/openwms/org.openwms" TargetMode="External" /><ns0:Relationship Id="wmsLink258" Type="http://schemas.openxmlformats.org/officeDocument/2006/relationships/hyperlink" Target="https://wiki.idempiere.org/en/Plugin%3A_Android_Scan_Write" TargetMode="External" /><ns0:Relationship Id="wmsLink259" Type="http://schemas.openxmlformats.org/officeDocument/2006/relationships/hyperlink" Target="https://wiki.idempiere.org/en/Plugin%3A_TMS" TargetMode="External" /><ns0:Relationship Id="wmsLink260" Type="http://schemas.openxmlformats.org/officeDocument/2006/relationships/hyperlink" Target="https://idempiere.scmsoftwarelab.com/idempiere-mobile-app.html" TargetMode="External" /><ns0:Relationship Id="wmsLink261" Type="http://schemas.openxmlformats.org/officeDocument/2006/relationships/hyperlink" Target="https://github.com/cesiroproduction/Eva-Accounting/blob/1c039193e0c1626cb03fb8ca37f9980a1703fd0c/idempiere/plugins/com.eva.ro.contab/src/com/eva/ro/contab/form/WStocuriForm.java#L151-L263" TargetMode="External" /><ns0:Relationship Id="wmsLink262" Type="http://schemas.openxmlformats.org/officeDocument/2006/relationships/hyperlink" Target="https://github.com/cesiroproduction/Eva-Accounting/blob/1c039193e0c1626cb03fb8ca37f9980a1703fd0c/backend/app/models.py#L378-L447" TargetMode="External" /><ns0:Relationship Id="wmsLink263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264" Type="http://schemas.openxmlformats.org/officeDocument/2006/relationships/hyperlink" Target="https://wiki.idempiere.org/en/Manual" TargetMode="External" /><ns0:Relationship Id="wmsLink265" Type="http://schemas.openxmlformats.org/officeDocument/2006/relationships/hyperlink" Target="https://sourceforge.net/projects/red1/files/Warehousing/WMSGuide.pdf/download" TargetMode="External" /><ns0:Relationship Id="wmsLink266" Type="http://schemas.openxmlformats.org/officeDocument/2006/relationships/hyperlink" Target="https://wiki.idempiere.org/en/Plugin%3A_Libero_Warehousing" TargetMode="External" /><ns0:Relationship Id="wmsLink267" Type="http://schemas.openxmlformats.org/officeDocument/2006/relationships/hyperlink" Target="https://github.com/wms2/mywms/blob/master/doc/myWMS-Internal_en.pdf" TargetMode="External" /><ns0:Relationship Id="wmsLink268" Type="http://schemas.openxmlformats.org/officeDocument/2006/relationships/hyperlink" Target="https://help.openboxes.com/article/102-replenish-bins-feature" TargetMode="External" /><ns0:Relationship Id="wmsLink269" Type="http://schemas.openxmlformats.org/officeDocument/2006/relationships/hyperlink" Target="https://github.com/GreaterWMS/GreaterWMS/blob/master/README.en.md" TargetMode="External" /><ns0:Relationship Id="wmsLink270" Type="http://schemas.openxmlformats.org/officeDocument/2006/relationships/hyperlink" Target="https://openwms.github.io/org.openwms/" TargetMode="External" /><ns0:Relationship Id="wmsLink271" Type="http://schemas.openxmlformats.org/officeDocument/2006/relationships/hyperlink" Target="https://wiki.idempiere.org/en/Plugin%3A_Android_Scan_Write" TargetMode="External" /><ns0:Relationship Id="wmsLink272" Type="http://schemas.openxmlformats.org/officeDocument/2006/relationships/hyperlink" Target="https://wiki.idempiere.org/en/Plugin%3A_TMS" TargetMode="External" /><ns0:Relationship Id="wmsLink273" Type="http://schemas.openxmlformats.org/officeDocument/2006/relationships/hyperlink" Target="https://idempiere.scmsoftwarelab.com/idempiere-mobile-app.html" TargetMode="External" /><ns0:Relationship Id="wmsLink274" Type="http://schemas.openxmlformats.org/officeDocument/2006/relationships/hyperlink" Target="https://github.com/cesiroproduction/Eva-Accounting/blob/1c039193e0c1626cb03fb8ca37f9980a1703fd0c/idempiere/plugins/com.eva.ro.contab/src/com/eva/ro/contab/form/WInventarForm.java#L1085-L1113" TargetMode="External" /><ns0:Relationship Id="wmsLink275" Type="http://schemas.openxmlformats.org/officeDocument/2006/relationships/hyperlink" Target="https://github.com/cesiroproduction/Eva-Accounting/blob/1c039193e0c1626cb03fb8ca37f9980a1703fd0c/backend/app/routers/gestiune.py#L140-L183" TargetMode="External" /><ns0:Relationship Id="wmsLink276" Type="http://schemas.openxmlformats.org/officeDocument/2006/relationships/hyperlink" Target="https://github.com/cesiroproduction/Eva-Accounting/blob/1c039193e0c1626cb03fb8ca37f9980a1703fd0c/backend/app/models.py#L378-L447" TargetMode="External" /><ns0:Relationship Id="wmsLink277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278" Type="http://schemas.openxmlformats.org/officeDocument/2006/relationships/hyperlink" Target="https://wiki.idempiere.org/en/Manual" TargetMode="External" /><ns0:Relationship Id="wmsLink279" Type="http://schemas.openxmlformats.org/officeDocument/2006/relationships/hyperlink" Target="https://wiki.idempiere.org/en/Manual" TargetMode="External" /><ns0:Relationship Id="wmsLink280" Type="http://schemas.openxmlformats.org/officeDocument/2006/relationships/hyperlink" Target="https://sourceforge.net/projects/red1/files/Warehousing/WMSGuide.pdf/download" TargetMode="External" /><ns0:Relationship Id="wmsLink281" Type="http://schemas.openxmlformats.org/officeDocument/2006/relationships/hyperlink" Target="https://wiki.idempiere.org/en/Manual" TargetMode="External" /><ns0:Relationship Id="wmsLink282" Type="http://schemas.openxmlformats.org/officeDocument/2006/relationships/hyperlink" Target="https://wiki.idempiere.org/en/Plugin%3A_Libero_Warehousing" TargetMode="External" /><ns0:Relationship Id="wmsLink283" Type="http://schemas.openxmlformats.org/officeDocument/2006/relationships/hyperlink" Target="https://github.com/wms2/mywms/blob/master/doc/myWMS-Internal_en.pdf" TargetMode="External" /><ns0:Relationship Id="wmsLink284" Type="http://schemas.openxmlformats.org/officeDocument/2006/relationships/hyperlink" Target="https://www.openboxes.org/features/" TargetMode="External" /><ns0:Relationship Id="wmsLink285" Type="http://schemas.openxmlformats.org/officeDocument/2006/relationships/hyperlink" Target="https://github.com/GreaterWMS/GreaterWMS/blob/master/README.en.md" TargetMode="External" /><ns0:Relationship Id="wmsLink286" Type="http://schemas.openxmlformats.org/officeDocument/2006/relationships/hyperlink" Target="https://github.com/openwms/org.openwms" TargetMode="External" /><ns0:Relationship Id="wmsLink287" Type="http://schemas.openxmlformats.org/officeDocument/2006/relationships/hyperlink" Target="https://wiki.idempiere.org/en/Plugin%3A_Android_Scan_Write" TargetMode="External" /><ns0:Relationship Id="wmsLink288" Type="http://schemas.openxmlformats.org/officeDocument/2006/relationships/hyperlink" Target="https://wiki.idempiere.org/en/Plugin%3A_TMS" TargetMode="External" /><ns0:Relationship Id="wmsLink289" Type="http://schemas.openxmlformats.org/officeDocument/2006/relationships/hyperlink" Target="https://idempiere.scmsoftwarelab.com/idempiere-mobile-app.html" TargetMode="External" /><ns0:Relationship Id="wmsLink290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291" Type="http://schemas.openxmlformats.org/officeDocument/2006/relationships/hyperlink" Target="https://github.com/cesiroproduction/Eva-Accounting/blob/1c039193e0c1626cb03fb8ca37f9980a1703fd0c/backend/app/models.py#L378-L447" TargetMode="External" /><ns0:Relationship Id="wmsLink292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293" Type="http://schemas.openxmlformats.org/officeDocument/2006/relationships/hyperlink" Target="https://wiki.idempiere.org/en/Manual" TargetMode="External" /><ns0:Relationship Id="wmsLink294" Type="http://schemas.openxmlformats.org/officeDocument/2006/relationships/hyperlink" Target="https://sourceforge.net/projects/red1/files/Warehousing/WMSGuide.pdf/download" TargetMode="External" /><ns0:Relationship Id="wmsLink295" Type="http://schemas.openxmlformats.org/officeDocument/2006/relationships/hyperlink" Target="https://wiki.idempiere.org/en/Plugin%3A_Libero_Warehousing" TargetMode="External" /><ns0:Relationship Id="wmsLink296" Type="http://schemas.openxmlformats.org/officeDocument/2006/relationships/hyperlink" Target="https://github.com/wms2/mywms/blob/master/doc/myWMS-Internal_en.pdf" TargetMode="External" /><ns0:Relationship Id="wmsLink297" Type="http://schemas.openxmlformats.org/officeDocument/2006/relationships/hyperlink" Target="https://www.openboxes.org/features/" TargetMode="External" /><ns0:Relationship Id="wmsLink298" Type="http://schemas.openxmlformats.org/officeDocument/2006/relationships/hyperlink" Target="https://github.com/GreaterWMS/GreaterWMS/blob/master/README.en.md" TargetMode="External" /><ns0:Relationship Id="wmsLink299" Type="http://schemas.openxmlformats.org/officeDocument/2006/relationships/hyperlink" Target="https://openwms.github.io/org.openwms/" TargetMode="External" /><ns0:Relationship Id="wmsLink300" Type="http://schemas.openxmlformats.org/officeDocument/2006/relationships/hyperlink" Target="https://wiki.idempiere.org/en/Plugin%3A_Android_Scan_Write" TargetMode="External" /><ns0:Relationship Id="wmsLink301" Type="http://schemas.openxmlformats.org/officeDocument/2006/relationships/hyperlink" Target="https://wiki.idempiere.org/en/Plugin%3A_TMS" TargetMode="External" /><ns0:Relationship Id="wmsLink302" Type="http://schemas.openxmlformats.org/officeDocument/2006/relationships/hyperlink" Target="https://idempiere.scmsoftwarelab.com/idempiere-mobile-app.html" TargetMode="External" /><ns0:Relationship Id="wmsLink303" Type="http://schemas.openxmlformats.org/officeDocument/2006/relationships/hyperlink" Target="https://github.com/cesiroproduction/Eva-Accounting/blob/1c039193e0c1626cb03fb8ca37f9980a1703fd0c/idempiere/plugins/com.eva.ro.contab/src/com/eva/ro/contab/form/WInventarForm.java#L1085-L1113" TargetMode="External" /><ns0:Relationship Id="wmsLink304" Type="http://schemas.openxmlformats.org/officeDocument/2006/relationships/hyperlink" Target="https://github.com/cesiroproduction/Eva-Accounting/blob/1c039193e0c1626cb03fb8ca37f9980a1703fd0c/backend/app/models.py#L378-L447" TargetMode="External" /><ns0:Relationship Id="wmsLink305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306" Type="http://schemas.openxmlformats.org/officeDocument/2006/relationships/hyperlink" Target="https://wiki.idempiere.org/en/Manual" TargetMode="External" /><ns0:Relationship Id="wmsLink307" Type="http://schemas.openxmlformats.org/officeDocument/2006/relationships/hyperlink" Target="https://sourceforge.net/projects/red1/files/Warehousing/WMSGuide.pdf/download" TargetMode="External" /><ns0:Relationship Id="wmsLink308" Type="http://schemas.openxmlformats.org/officeDocument/2006/relationships/hyperlink" Target="https://wiki.idempiere.org/en/Plugin%3A_Libero_Warehousing" TargetMode="External" /><ns0:Relationship Id="wmsLink309" Type="http://schemas.openxmlformats.org/officeDocument/2006/relationships/hyperlink" Target="https://github.com/wms2/mywms" TargetMode="External" /><ns0:Relationship Id="wmsLink310" Type="http://schemas.openxmlformats.org/officeDocument/2006/relationships/hyperlink" Target="https://docs.openboxes.com/en/latest/" TargetMode="External" /><ns0:Relationship Id="wmsLink311" Type="http://schemas.openxmlformats.org/officeDocument/2006/relationships/hyperlink" Target="https://github.com/GreaterWMS/GreaterWMS/blob/master/README.en.md" TargetMode="External" /><ns0:Relationship Id="wmsLink312" Type="http://schemas.openxmlformats.org/officeDocument/2006/relationships/hyperlink" Target="https://openwms.github.io/org.openwms/" TargetMode="External" /><ns0:Relationship Id="wmsLink313" Type="http://schemas.openxmlformats.org/officeDocument/2006/relationships/hyperlink" Target="https://wiki.idempiere.org/en/Plugin%3A_Android_Scan_Write" TargetMode="External" /><ns0:Relationship Id="wmsLink314" Type="http://schemas.openxmlformats.org/officeDocument/2006/relationships/hyperlink" Target="https://wiki.idempiere.org/en/Plugin%3A_TMS" TargetMode="External" /><ns0:Relationship Id="wmsLink315" Type="http://schemas.openxmlformats.org/officeDocument/2006/relationships/hyperlink" Target="https://idempiere.scmsoftwarelab.com/idempiere-mobile-app.html" TargetMode="External" /><ns0:Relationship Id="wmsLink316" Type="http://schemas.openxmlformats.org/officeDocument/2006/relationships/hyperlink" Target="https://github.com/cesiroproduction/Eva-Accounting/blob/1c039193e0c1626cb03fb8ca37f9980a1703fd0c/idempiere/plugins/com.eva.ro.contab/src/com/eva/ro/contab/form/WInventarForm.java#L1085-L1113" TargetMode="External" /><ns0:Relationship Id="wmsLink317" Type="http://schemas.openxmlformats.org/officeDocument/2006/relationships/hyperlink" Target="https://github.com/cesiroproduction/Eva-Accounting/blob/1c039193e0c1626cb03fb8ca37f9980a1703fd0c/idempiere/plugins/com.eva.ro.contab/src/com/eva/ro/contab/form/WSagaTransferuriForm.java#L1372-L1560" TargetMode="External" /><ns0:Relationship Id="wmsLink318" Type="http://schemas.openxmlformats.org/officeDocument/2006/relationships/hyperlink" Target="https://github.com/cesiroproduction/Eva-Accounting/blob/1c039193e0c1626cb03fb8ca37f9980a1703fd0c/backend/app/routers/gestiune.py#L140-L183" TargetMode="External" /><ns0:Relationship Id="wmsLink319" Type="http://schemas.openxmlformats.org/officeDocument/2006/relationships/hyperlink" Target="https://github.com/cesiroproduction/Eva-Accounting/blob/1c039193e0c1626cb03fb8ca37f9980a1703fd0c/backend/app/models.py#L378-L447" TargetMode="External" /><ns0:Relationship Id="wmsLink320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321" Type="http://schemas.openxmlformats.org/officeDocument/2006/relationships/hyperlink" Target="https://wiki.idempiere.org/en/Manual" TargetMode="External" /><ns0:Relationship Id="wmsLink322" Type="http://schemas.openxmlformats.org/officeDocument/2006/relationships/hyperlink" Target="https://wiki.idempiere.org/en/Manual" TargetMode="External" /><ns0:Relationship Id="wmsLink323" Type="http://schemas.openxmlformats.org/officeDocument/2006/relationships/hyperlink" Target="https://sourceforge.net/projects/red1/files/Warehousing/WMSGuide.pdf/download" TargetMode="External" /><ns0:Relationship Id="wmsLink324" Type="http://schemas.openxmlformats.org/officeDocument/2006/relationships/hyperlink" Target="https://wiki.idempiere.org/en/Manual" TargetMode="External" /><ns0:Relationship Id="wmsLink325" Type="http://schemas.openxmlformats.org/officeDocument/2006/relationships/hyperlink" Target="https://wiki.idempiere.org/en/Plugin%3A_Libero_Warehousing" TargetMode="External" /><ns0:Relationship Id="wmsLink326" Type="http://schemas.openxmlformats.org/officeDocument/2006/relationships/hyperlink" Target="https://github.com/wms2/mywms" TargetMode="External" /><ns0:Relationship Id="wmsLink327" Type="http://schemas.openxmlformats.org/officeDocument/2006/relationships/hyperlink" Target="https://docs.openboxes.com/en/latest/" TargetMode="External" /><ns0:Relationship Id="wmsLink328" Type="http://schemas.openxmlformats.org/officeDocument/2006/relationships/hyperlink" Target="https://github.com/GreaterWMS/GreaterWMS/blob/master/README.en.md" TargetMode="External" /><ns0:Relationship Id="wmsLink329" Type="http://schemas.openxmlformats.org/officeDocument/2006/relationships/hyperlink" Target="https://openwms.github.io/org.openwms/" TargetMode="External" /><ns0:Relationship Id="wmsLink330" Type="http://schemas.openxmlformats.org/officeDocument/2006/relationships/hyperlink" Target="https://wiki.idempiere.org/en/Plugin%3A_Android_Scan_Write" TargetMode="External" /><ns0:Relationship Id="wmsLink331" Type="http://schemas.openxmlformats.org/officeDocument/2006/relationships/hyperlink" Target="https://wiki.idempiere.org/en/Plugin%3A_TMS" TargetMode="External" /><ns0:Relationship Id="wmsLink332" Type="http://schemas.openxmlformats.org/officeDocument/2006/relationships/hyperlink" Target="https://idempiere.scmsoftwarelab.com/idempiere-mobile-app.html" TargetMode="External" /><ns0:Relationship Id="wmsLink333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334" Type="http://schemas.openxmlformats.org/officeDocument/2006/relationships/hyperlink" Target="https://github.com/cesiroproduction/Eva-Accounting/blob/1c039193e0c1626cb03fb8ca37f9980a1703fd0c/idempiere/plugins/com.eva.ro.contab/src/com/eva/ro/contab/form/WSagaIntrariForm.java#L1-L20" TargetMode="External" /><ns0:Relationship Id="wmsLink335" Type="http://schemas.openxmlformats.org/officeDocument/2006/relationships/hyperlink" Target="https://github.com/cesiroproduction/Eva-Accounting/blob/1c039193e0c1626cb03fb8ca37f9980a1703fd0c/backend/app/routers/gestiune.py#L140-L183" TargetMode="External" /><ns0:Relationship Id="wmsLink336" Type="http://schemas.openxmlformats.org/officeDocument/2006/relationships/hyperlink" Target="https://github.com/cesiroproduction/Eva-Accounting/blob/1c039193e0c1626cb03fb8ca37f9980a1703fd0c/backend/app/models.py#L378-L447" TargetMode="External" /><ns0:Relationship Id="wmsLink337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338" Type="http://schemas.openxmlformats.org/officeDocument/2006/relationships/hyperlink" Target="https://wiki.idempiere.org/en/Material_Receipt_%28Window_ID-184%29" TargetMode="External" /><ns0:Relationship Id="wmsLink339" Type="http://schemas.openxmlformats.org/officeDocument/2006/relationships/hyperlink" Target="https://wiki.idempiere.org/en/Manual" TargetMode="External" /><ns0:Relationship Id="wmsLink340" Type="http://schemas.openxmlformats.org/officeDocument/2006/relationships/hyperlink" Target="https://sourceforge.net/projects/red1/files/Warehousing/WMSGuide.pdf/download" TargetMode="External" /><ns0:Relationship Id="wmsLink341" Type="http://schemas.openxmlformats.org/officeDocument/2006/relationships/hyperlink" Target="https://wiki.idempiere.org/en/Plugin%3A_Libero_Warehousing" TargetMode="External" /><ns0:Relationship Id="wmsLink342" Type="http://schemas.openxmlformats.org/officeDocument/2006/relationships/hyperlink" Target="https://github.com/wms2/mywms/blob/master/doc/los-doku-webservices_en.pdf" TargetMode="External" /><ns0:Relationship Id="wmsLink343" Type="http://schemas.openxmlformats.org/officeDocument/2006/relationships/hyperlink" Target="https://docs.openboxes.com/en/latest/api-guide/outbound/stockMovement/" TargetMode="External" /><ns0:Relationship Id="wmsLink344" Type="http://schemas.openxmlformats.org/officeDocument/2006/relationships/hyperlink" Target="https://docs.openboxes.com/en/latest/api-guide/inbound/receiving/" TargetMode="External" /><ns0:Relationship Id="wmsLink345" Type="http://schemas.openxmlformats.org/officeDocument/2006/relationships/hyperlink" Target="https://github.com/GreaterWMS/GreaterWMS/blob/master/README.en.md" TargetMode="External" /><ns0:Relationship Id="wmsLink346" Type="http://schemas.openxmlformats.org/officeDocument/2006/relationships/hyperlink" Target="https://github.com/openwms/org.openwms" TargetMode="External" /><ns0:Relationship Id="wmsLink347" Type="http://schemas.openxmlformats.org/officeDocument/2006/relationships/hyperlink" Target="https://wiki.idempiere.org/en/Plugin%3A_Android_Scan_Write" TargetMode="External" /><ns0:Relationship Id="wmsLink348" Type="http://schemas.openxmlformats.org/officeDocument/2006/relationships/hyperlink" Target="https://wiki.idempiere.org/en/Plugin%3A_TMS" TargetMode="External" /><ns0:Relationship Id="wmsLink349" Type="http://schemas.openxmlformats.org/officeDocument/2006/relationships/hyperlink" Target="https://idempiere.scmsoftwarelab.com/idempiere-mobile-app.html" TargetMode="External" /><ns0:Relationship Id="wmsLink350" Type="http://schemas.openxmlformats.org/officeDocument/2006/relationships/hyperlink" Target="https://github.com/cesiroproduction/Eva-Accounting/blob/1c039193e0c1626cb03fb8ca37f9980a1703fd0c/idempiere/plugins/com.eva.ro.contab/src/com/eva/ro/contab/form/WSagaBonConsumForm.java#L2846-L3000" TargetMode="External" /><ns0:Relationship Id="wmsLink351" Type="http://schemas.openxmlformats.org/officeDocument/2006/relationships/hyperlink" Target="https://github.com/cesiroproduction/Eva-Accounting/blob/1c039193e0c1626cb03fb8ca37f9980a1703fd0c/backend/app/routers/gestiune.py#L140-L183" TargetMode="External" /><ns0:Relationship Id="wmsLink352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353" Type="http://schemas.openxmlformats.org/officeDocument/2006/relationships/hyperlink" Target="https://wiki.idempiere.org/en/Manual" TargetMode="External" /><ns0:Relationship Id="wmsLink354" Type="http://schemas.openxmlformats.org/officeDocument/2006/relationships/hyperlink" Target="https://wiki.idempiere.org/en/Manual" TargetMode="External" /><ns0:Relationship Id="wmsLink355" Type="http://schemas.openxmlformats.org/officeDocument/2006/relationships/hyperlink" Target="https://sourceforge.net/projects/red1/files/Warehousing/WMSGuide.pdf/download" TargetMode="External" /><ns0:Relationship Id="wmsLink356" Type="http://schemas.openxmlformats.org/officeDocument/2006/relationships/hyperlink" Target="https://wiki.idempiere.org/en/Manual" TargetMode="External" /><ns0:Relationship Id="wmsLink357" Type="http://schemas.openxmlformats.org/officeDocument/2006/relationships/hyperlink" Target="https://wiki.idempiere.org/en/Plugin%3A_Libero_Warehousing" TargetMode="External" /><ns0:Relationship Id="wmsLink358" Type="http://schemas.openxmlformats.org/officeDocument/2006/relationships/hyperlink" Target="https://github.com/wms2/mywms" TargetMode="External" /><ns0:Relationship Id="wmsLink359" Type="http://schemas.openxmlformats.org/officeDocument/2006/relationships/hyperlink" Target="https://docs.openboxes.com/en/latest/" TargetMode="External" /><ns0:Relationship Id="wmsLink360" Type="http://schemas.openxmlformats.org/officeDocument/2006/relationships/hyperlink" Target="https://github.com/GreaterWMS/GreaterWMS/blob/master/README.en.md" TargetMode="External" /><ns0:Relationship Id="wmsLink361" Type="http://schemas.openxmlformats.org/officeDocument/2006/relationships/hyperlink" Target="https://openwms.github.io/org.openwms/" TargetMode="External" /><ns0:Relationship Id="wmsLink362" Type="http://schemas.openxmlformats.org/officeDocument/2006/relationships/hyperlink" Target="https://wiki.idempiere.org/en/Plugin%3A_Android_Scan_Write" TargetMode="External" /><ns0:Relationship Id="wmsLink363" Type="http://schemas.openxmlformats.org/officeDocument/2006/relationships/hyperlink" Target="https://wiki.idempiere.org/en/Plugin%3A_TMS" TargetMode="External" /><ns0:Relationship Id="wmsLink364" Type="http://schemas.openxmlformats.org/officeDocument/2006/relationships/hyperlink" Target="https://idempiere.scmsoftwarelab.com/idempiere-mobile-app.html" TargetMode="External" /><ns0:Relationship Id="wmsLink365" Type="http://schemas.openxmlformats.org/officeDocument/2006/relationships/hyperlink" Target="https://github.com/cesiroproduction/Eva-Accounting/blob/1c039193e0c1626cb03fb8ca37f9980a1703fd0c/idempiere/plugins/com.eva.ro.contab/src/com/eva/ro/contab/form/WSagaProductieForm.java#L2196-L2340" TargetMode="External" /><ns0:Relationship Id="wmsLink366" Type="http://schemas.openxmlformats.org/officeDocument/2006/relationships/hyperlink" Target="https://github.com/cesiroproduction/Eva-Accounting/blob/1c039193e0c1626cb03fb8ca37f9980a1703fd0c/backend/app/routers/gestiune.py#L140-L183" TargetMode="External" /><ns0:Relationship Id="wmsLink367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368" Type="http://schemas.openxmlformats.org/officeDocument/2006/relationships/hyperlink" Target="https://wiki.idempiere.org/en/Manual" TargetMode="External" /><ns0:Relationship Id="wmsLink369" Type="http://schemas.openxmlformats.org/officeDocument/2006/relationships/hyperlink" Target="https://wiki.idempiere.org/en/Manual" TargetMode="External" /><ns0:Relationship Id="wmsLink370" Type="http://schemas.openxmlformats.org/officeDocument/2006/relationships/hyperlink" Target="https://sourceforge.net/projects/red1/files/Warehousing/WMSGuide.pdf/download" TargetMode="External" /><ns0:Relationship Id="wmsLink371" Type="http://schemas.openxmlformats.org/officeDocument/2006/relationships/hyperlink" Target="https://wiki.idempiere.org/en/Plugin%3A_Libero_Warehousing" TargetMode="External" /><ns0:Relationship Id="wmsLink372" Type="http://schemas.openxmlformats.org/officeDocument/2006/relationships/hyperlink" Target="https://github.com/wms2/mywms" TargetMode="External" /><ns0:Relationship Id="wmsLink373" Type="http://schemas.openxmlformats.org/officeDocument/2006/relationships/hyperlink" Target="https://docs.openboxes.com/en/latest/" TargetMode="External" /><ns0:Relationship Id="wmsLink374" Type="http://schemas.openxmlformats.org/officeDocument/2006/relationships/hyperlink" Target="https://github.com/GreaterWMS/GreaterWMS/blob/master/README.en.md" TargetMode="External" /><ns0:Relationship Id="wmsLink375" Type="http://schemas.openxmlformats.org/officeDocument/2006/relationships/hyperlink" Target="https://openwms.github.io/org.openwms/" TargetMode="External" /><ns0:Relationship Id="wmsLink376" Type="http://schemas.openxmlformats.org/officeDocument/2006/relationships/hyperlink" Target="https://wiki.idempiere.org/en/Plugin%3A_Android_Scan_Write" TargetMode="External" /><ns0:Relationship Id="wmsLink377" Type="http://schemas.openxmlformats.org/officeDocument/2006/relationships/hyperlink" Target="https://wiki.idempiere.org/en/Plugin%3A_TMS" TargetMode="External" /><ns0:Relationship Id="wmsLink378" Type="http://schemas.openxmlformats.org/officeDocument/2006/relationships/hyperlink" Target="https://idempiere.scmsoftwarelab.com/idempiere-mobile-app.html" TargetMode="External" /><ns0:Relationship Id="wmsLink379" Type="http://schemas.openxmlformats.org/officeDocument/2006/relationships/hyperlink" Target="https://github.com/cesiroproduction/Eva-Accounting/blob/1c039193e0c1626cb03fb8ca37f9980a1703fd0c/idempiere/plugins/com.eva.ro.contab/src/com/eva/ro/contab/form/WStocuriForm.java#L151-L263" TargetMode="External" /><ns0:Relationship Id="wmsLink380" Type="http://schemas.openxmlformats.org/officeDocument/2006/relationships/hyperlink" Target="https://github.com/cesiroproduction/Eva-Accounting/blob/1c039193e0c1626cb03fb8ca37f9980a1703fd0c/backend/app/stocuri.py#L70-L124" TargetMode="External" /><ns0:Relationship Id="wmsLink381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382" Type="http://schemas.openxmlformats.org/officeDocument/2006/relationships/hyperlink" Target="https://wiki.idempiere.org/en/Product_Category_%28Window_ID-144%29" TargetMode="External" /><ns0:Relationship Id="wmsLink383" Type="http://schemas.openxmlformats.org/officeDocument/2006/relationships/hyperlink" Target="https://wiki.idempiere.org/en/Manual" TargetMode="External" /><ns0:Relationship Id="wmsLink384" Type="http://schemas.openxmlformats.org/officeDocument/2006/relationships/hyperlink" Target="https://sourceforge.net/projects/red1/files/Warehousing/WMSGuide.pdf/download" TargetMode="External" /><ns0:Relationship Id="wmsLink385" Type="http://schemas.openxmlformats.org/officeDocument/2006/relationships/hyperlink" Target="https://wiki.idempiere.org/en/Manual" TargetMode="External" /><ns0:Relationship Id="wmsLink386" Type="http://schemas.openxmlformats.org/officeDocument/2006/relationships/hyperlink" Target="https://wiki.idempiere.org/en/Plugin%3A_Libero_Warehousing" TargetMode="External" /><ns0:Relationship Id="wmsLink387" Type="http://schemas.openxmlformats.org/officeDocument/2006/relationships/hyperlink" Target="https://github.com/wms2/mywms" TargetMode="External" /><ns0:Relationship Id="wmsLink388" Type="http://schemas.openxmlformats.org/officeDocument/2006/relationships/hyperlink" Target="https://docs.openboxes.com/en/latest/" TargetMode="External" /><ns0:Relationship Id="wmsLink389" Type="http://schemas.openxmlformats.org/officeDocument/2006/relationships/hyperlink" Target="https://github.com/GreaterWMS/GreaterWMS/blob/master/README.en.md" TargetMode="External" /><ns0:Relationship Id="wmsLink390" Type="http://schemas.openxmlformats.org/officeDocument/2006/relationships/hyperlink" Target="https://openwms.github.io/org.openwms/" TargetMode="External" /><ns0:Relationship Id="wmsLink391" Type="http://schemas.openxmlformats.org/officeDocument/2006/relationships/hyperlink" Target="https://wiki.idempiere.org/en/Plugin%3A_Android_Scan_Write" TargetMode="External" /><ns0:Relationship Id="wmsLink392" Type="http://schemas.openxmlformats.org/officeDocument/2006/relationships/hyperlink" Target="https://wiki.idempiere.org/en/Plugin%3A_TMS" TargetMode="External" /><ns0:Relationship Id="wmsLink393" Type="http://schemas.openxmlformats.org/officeDocument/2006/relationships/hyperlink" Target="https://idempiere.scmsoftwarelab.com/idempiere-mobile-app.html" TargetMode="External" /><ns0:Relationship Id="wmsLink394" Type="http://schemas.openxmlformats.org/officeDocument/2006/relationships/hyperlink" Target="https://github.com/cesiroproduction/Eva-Accounting/blob/1c039193e0c1626cb03fb8ca37f9980a1703fd0c/idempiere/plugins/com.eva.ro.contab/src/com/eva/ro/contab/form/WInventarForm.java#L1085-L1113" TargetMode="External" /><ns0:Relationship Id="wmsLink395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396" Type="http://schemas.openxmlformats.org/officeDocument/2006/relationships/hyperlink" Target="https://github.com/cesiroproduction/Eva-Accounting/blob/1c039193e0c1626cb03fb8ca37f9980a1703fd0c/backend/app/routers/gestiune.py#L140-L183" TargetMode="External" /><ns0:Relationship Id="wmsLink397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398" Type="http://schemas.openxmlformats.org/officeDocument/2006/relationships/hyperlink" Target="https://idempiere.org/source-code/" TargetMode="External" /><ns0:Relationship Id="wmsLink399" Type="http://schemas.openxmlformats.org/officeDocument/2006/relationships/hyperlink" Target="https://wiki.idempiere.org/en/Plugin%3A_WMS" TargetMode="External" /><ns0:Relationship Id="wmsLink400" Type="http://schemas.openxmlformats.org/officeDocument/2006/relationships/hyperlink" Target="https://sourceforge.net/projects/red1/files/Warehousing/WMSGuide.pdf/download" TargetMode="External" /><ns0:Relationship Id="wmsLink401" Type="http://schemas.openxmlformats.org/officeDocument/2006/relationships/hyperlink" Target="https://wiki.idempiere.org/en/Plugin%3A_Libero_Warehousing" TargetMode="External" /><ns0:Relationship Id="wmsLink402" Type="http://schemas.openxmlformats.org/officeDocument/2006/relationships/hyperlink" Target="https://github.com/wms2/mywms" TargetMode="External" /><ns0:Relationship Id="wmsLink403" Type="http://schemas.openxmlformats.org/officeDocument/2006/relationships/hyperlink" Target="https://github.com/openboxes/openboxes" TargetMode="External" /><ns0:Relationship Id="wmsLink404" Type="http://schemas.openxmlformats.org/officeDocument/2006/relationships/hyperlink" Target="https://github.com/GreaterWMS/GreaterWMS/blob/master/README.en.md" TargetMode="External" /><ns0:Relationship Id="wmsLink405" Type="http://schemas.openxmlformats.org/officeDocument/2006/relationships/hyperlink" Target="https://github.com/openwms/org.openwms" TargetMode="External" /><ns0:Relationship Id="wmsLink406" Type="http://schemas.openxmlformats.org/officeDocument/2006/relationships/hyperlink" Target="https://wiki.idempiere.org/en/Plugin%3A_Android_Scan_Write" TargetMode="External" /><ns0:Relationship Id="wmsLink407" Type="http://schemas.openxmlformats.org/officeDocument/2006/relationships/hyperlink" Target="https://wiki.idempiere.org/en/Plugin%3A_TMS" TargetMode="External" /><ns0:Relationship Id="wmsLink408" Type="http://schemas.openxmlformats.org/officeDocument/2006/relationships/hyperlink" Target="https://idempiere.scmsoftwarelab.com/idempiere-mobile-app.html" TargetMode="External" /><ns0:Relationship Id="wmsLink409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410" Type="http://schemas.openxmlformats.org/officeDocument/2006/relationships/hyperlink" Target="https://github.com/cesiroproduction/Eva-Accounting/blob/1c039193e0c1626cb03fb8ca37f9980a1703fd0c/backend/app/routers/gestiune.py#L140-L183" TargetMode="External" /><ns0:Relationship Id="wmsLink411" Type="http://schemas.openxmlformats.org/officeDocument/2006/relationships/hyperlink" Target="https://github.com/cesiroproduction/Eva-Accounting/blob/1c039193e0c1626cb03fb8ca37f9980a1703fd0c/backend/app/schemas.py#L180-L237" TargetMode="External" /><ns0:Relationship Id="wmsLink412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413" Type="http://schemas.openxmlformats.org/officeDocument/2006/relationships/hyperlink" Target="https://github.com/bxservice/idempiere-rest" TargetMode="External" /><ns0:Relationship Id="wmsLink414" Type="http://schemas.openxmlformats.org/officeDocument/2006/relationships/hyperlink" Target="https://wiki.idempiere.org/en/Rest_API_Description" TargetMode="External" /><ns0:Relationship Id="wmsLink415" Type="http://schemas.openxmlformats.org/officeDocument/2006/relationships/hyperlink" Target="https://github.com/bxservice/idempiere-rest" TargetMode="External" /><ns0:Relationship Id="wmsLink416" Type="http://schemas.openxmlformats.org/officeDocument/2006/relationships/hyperlink" Target="https://sourceforge.net/projects/red1/files/Warehousing/WMSGuide.pdf/download" TargetMode="External" /><ns0:Relationship Id="wmsLink417" Type="http://schemas.openxmlformats.org/officeDocument/2006/relationships/hyperlink" Target="https://github.com/bxservice/idempiere-rest" TargetMode="External" /><ns0:Relationship Id="wmsLink418" Type="http://schemas.openxmlformats.org/officeDocument/2006/relationships/hyperlink" Target="https://wiki.idempiere.org/en/Plugin%3A_Libero_Warehousing" TargetMode="External" /><ns0:Relationship Id="wmsLink419" Type="http://schemas.openxmlformats.org/officeDocument/2006/relationships/hyperlink" Target="https://github.com/wms2/mywms/blob/master/doc/los-doku-webservices_en.pdf" TargetMode="External" /><ns0:Relationship Id="wmsLink420" Type="http://schemas.openxmlformats.org/officeDocument/2006/relationships/hyperlink" Target="https://docs.openboxes.com/en/latest/api-guide/outbound/stockMovement/" TargetMode="External" /><ns0:Relationship Id="wmsLink421" Type="http://schemas.openxmlformats.org/officeDocument/2006/relationships/hyperlink" Target="https://docs.openboxes.com/en/latest/api-guide/inbound/receiving/" TargetMode="External" /><ns0:Relationship Id="wmsLink422" Type="http://schemas.openxmlformats.org/officeDocument/2006/relationships/hyperlink" Target="https://github.com/GreaterWMS/GreaterWMS/blob/master/README.en.md" TargetMode="External" /><ns0:Relationship Id="wmsLink423" Type="http://schemas.openxmlformats.org/officeDocument/2006/relationships/hyperlink" Target="https://github.com/openwms/org.openwms" TargetMode="External" /><ns0:Relationship Id="wmsLink424" Type="http://schemas.openxmlformats.org/officeDocument/2006/relationships/hyperlink" Target="https://openwms.github.io/org.openwms/" TargetMode="External" /><ns0:Relationship Id="wmsLink425" Type="http://schemas.openxmlformats.org/officeDocument/2006/relationships/hyperlink" Target="https://wiki.idempiere.org/en/Plugin%3A_Android_Scan_Write" TargetMode="External" /><ns0:Relationship Id="wmsLink426" Type="http://schemas.openxmlformats.org/officeDocument/2006/relationships/hyperlink" Target="https://wiki.idempiere.org/en/Plugin%3A_TMS" TargetMode="External" /><ns0:Relationship Id="wmsLink427" Type="http://schemas.openxmlformats.org/officeDocument/2006/relationships/hyperlink" Target="https://idempiere.scmsoftwarelab.com/idempiere-mobile-app.html" TargetMode="External" /><ns0:Relationship Id="wmsLink428" Type="http://schemas.openxmlformats.org/officeDocument/2006/relationships/hyperlink" Target="https://github.com/cesiroproduction/Eva-Accounting/blob/1c039193e0c1626cb03fb8ca37f9980a1703fd0c/idempiere/plugins/com.eva.ro.contab/src/com/eva/ro/contab/form/WInventarForm.java#L1085-L1113" TargetMode="External" /><ns0:Relationship Id="wmsLink429" Type="http://schemas.openxmlformats.org/officeDocument/2006/relationships/hyperlink" Target="https://github.com/cesiroproduction/Eva-Accounting/blob/1c039193e0c1626cb03fb8ca37f9980a1703fd0c/backend/app/routers/gestiune.py#L140-L183" TargetMode="External" /><ns0:Relationship Id="wmsLink430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431" Type="http://schemas.openxmlformats.org/officeDocument/2006/relationships/hyperlink" Target="https://idempiere.org/source-code/" TargetMode="External" /><ns0:Relationship Id="wmsLink432" Type="http://schemas.openxmlformats.org/officeDocument/2006/relationships/hyperlink" Target="https://wiki.idempiere.org/en/Plugin%3A_WMS" TargetMode="External" /><ns0:Relationship Id="wmsLink433" Type="http://schemas.openxmlformats.org/officeDocument/2006/relationships/hyperlink" Target="https://wiki.idempiere.org/en/Plugin%3A_Libero_Warehousing" TargetMode="External" /><ns0:Relationship Id="wmsLink434" Type="http://schemas.openxmlformats.org/officeDocument/2006/relationships/hyperlink" Target="https://github.com/wms2/mywms" TargetMode="External" /><ns0:Relationship Id="wmsLink435" Type="http://schemas.openxmlformats.org/officeDocument/2006/relationships/hyperlink" Target="https://docs.openboxes.com/en/latest/" TargetMode="External" /><ns0:Relationship Id="wmsLink436" Type="http://schemas.openxmlformats.org/officeDocument/2006/relationships/hyperlink" Target="https://github.com/GreaterWMS/GreaterWMS/blob/master/README.en.md" TargetMode="External" /><ns0:Relationship Id="wmsLink437" Type="http://schemas.openxmlformats.org/officeDocument/2006/relationships/hyperlink" Target="https://openwms.github.io/org.openwms/" TargetMode="External" /><ns0:Relationship Id="wmsLink438" Type="http://schemas.openxmlformats.org/officeDocument/2006/relationships/hyperlink" Target="https://wiki.idempiere.org/en/Plugin%3A_Android_Scan_Write" TargetMode="External" /><ns0:Relationship Id="wmsLink439" Type="http://schemas.openxmlformats.org/officeDocument/2006/relationships/hyperlink" Target="https://wiki.idempiere.org/en/Plugin%3A_TMS" TargetMode="External" /><ns0:Relationship Id="wmsLink440" Type="http://schemas.openxmlformats.org/officeDocument/2006/relationships/hyperlink" Target="https://idempiere.scmsoftwarelab.com/idempiere-mobile-app.html" TargetMode="External" /><ns0:Relationship Id="wmsLink441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442" Type="http://schemas.openxmlformats.org/officeDocument/2006/relationships/hyperlink" Target="https://github.com/cesiroproduction/Eva-Accounting/blob/1c039193e0c1626cb03fb8ca37f9980a1703fd0c/backend/app/models.py#L378-L447" TargetMode="External" /><ns0:Relationship Id="wmsLink443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444" Type="http://schemas.openxmlformats.org/officeDocument/2006/relationships/hyperlink" Target="https://wiki.idempiere.org/en/Manual" TargetMode="External" /><ns0:Relationship Id="wmsLink445" Type="http://schemas.openxmlformats.org/officeDocument/2006/relationships/hyperlink" Target="https://sourceforge.net/projects/red1/files/Warehousing/WMSGuide.pdf/download" TargetMode="External" /><ns0:Relationship Id="wmsLink446" Type="http://schemas.openxmlformats.org/officeDocument/2006/relationships/hyperlink" Target="https://wiki.idempiere.org/en/Plugin%3A_Libero_Warehousing" TargetMode="External" /><ns0:Relationship Id="wmsLink447" Type="http://schemas.openxmlformats.org/officeDocument/2006/relationships/hyperlink" Target="https://github.com/wms2/mywms/blob/master/doc/myWMS-GoodsIn_en.pdf" TargetMode="External" /><ns0:Relationship Id="wmsLink448" Type="http://schemas.openxmlformats.org/officeDocument/2006/relationships/hyperlink" Target="https://github.com/wms2/mywms/blob/master/doc/myWMS-GoodsOut_en.pdf" TargetMode="External" /><ns0:Relationship Id="wmsLink449" Type="http://schemas.openxmlformats.org/officeDocument/2006/relationships/hyperlink" Target="https://www.openboxes.org/features/" TargetMode="External" /><ns0:Relationship Id="wmsLink450" Type="http://schemas.openxmlformats.org/officeDocument/2006/relationships/hyperlink" Target="https://github.com/GreaterWMS/GreaterWMS/blob/master/README.en.md" TargetMode="External" /><ns0:Relationship Id="wmsLink451" Type="http://schemas.openxmlformats.org/officeDocument/2006/relationships/hyperlink" Target="https://openwms.github.io/org.openwms/" TargetMode="External" /><ns0:Relationship Id="wmsLink452" Type="http://schemas.openxmlformats.org/officeDocument/2006/relationships/hyperlink" Target="https://wiki.idempiere.org/en/Plugin%3A_Android_Scan_Write" TargetMode="External" /><ns0:Relationship Id="wmsLink453" Type="http://schemas.openxmlformats.org/officeDocument/2006/relationships/hyperlink" Target="https://wiki.idempiere.org/en/Plugin%3A_TMS" TargetMode="External" /><ns0:Relationship Id="wmsLink454" Type="http://schemas.openxmlformats.org/officeDocument/2006/relationships/hyperlink" Target="https://idempiere.scmsoftwarelab.com/idempiere-mobile-app.html" TargetMode="External" /><ns0:Relationship Id="wmsLink455" Type="http://schemas.openxmlformats.org/officeDocument/2006/relationships/hyperlink" Target="https://github.com/cesiroproduction/Eva-Accounting/blob/1c039193e0c1626cb03fb8ca37f9980a1703fd0c/idempiere/plugins/com.eva.ro.contab/src/com/eva/ro/contab/form/WInventarForm.java#L1085-L1113" TargetMode="External" /><ns0:Relationship Id="wmsLink456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457" Type="http://schemas.openxmlformats.org/officeDocument/2006/relationships/hyperlink" Target="https://github.com/cesiroproduction/Eva-Accounting/blob/1c039193e0c1626cb03fb8ca37f9980a1703fd0c/backend/app/routers/gestiune.py#L140-L183" TargetMode="External" /><ns0:Relationship Id="wmsLink458" Type="http://schemas.openxmlformats.org/officeDocument/2006/relationships/hyperlink" Target="https://github.com/cesiroproduction/Eva-Accounting/blob/1c039193e0c1626cb03fb8ca37f9980a1703fd0c/backend/app/models.py#L378-L447" TargetMode="External" /><ns0:Relationship Id="wmsLink459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460" Type="http://schemas.openxmlformats.org/officeDocument/2006/relationships/hyperlink" Target="https://idempiere.org/source-code/" TargetMode="External" /><ns0:Relationship Id="wmsLink461" Type="http://schemas.openxmlformats.org/officeDocument/2006/relationships/hyperlink" Target="https://wiki.idempiere.org/en/Plugin%3A_WMS" TargetMode="External" /><ns0:Relationship Id="wmsLink462" Type="http://schemas.openxmlformats.org/officeDocument/2006/relationships/hyperlink" Target="https://sourceforge.net/projects/red1/files/Warehousing/" TargetMode="External" /><ns0:Relationship Id="wmsLink463" Type="http://schemas.openxmlformats.org/officeDocument/2006/relationships/hyperlink" Target="https://wiki.idempiere.org/en/Plugin%3A_Libero_Warehousing" TargetMode="External" /><ns0:Relationship Id="wmsLink464" Type="http://schemas.openxmlformats.org/officeDocument/2006/relationships/hyperlink" Target="https://sourceforge.net/projects/red1/files/p2/WMS/" TargetMode="External" /><ns0:Relationship Id="wmsLink465" Type="http://schemas.openxmlformats.org/officeDocument/2006/relationships/hyperlink" Target="https://github.com/wms2/mywms" TargetMode="External" /><ns0:Relationship Id="wmsLink466" Type="http://schemas.openxmlformats.org/officeDocument/2006/relationships/hyperlink" Target="https://github.com/openboxes/openboxes" TargetMode="External" /><ns0:Relationship Id="wmsLink467" Type="http://schemas.openxmlformats.org/officeDocument/2006/relationships/hyperlink" Target="https://github.com/GreaterWMS/GreaterWMS/blob/master/README.en.md" TargetMode="External" /><ns0:Relationship Id="wmsLink468" Type="http://schemas.openxmlformats.org/officeDocument/2006/relationships/hyperlink" Target="https://github.com/openwms/org.openwms" TargetMode="External" /><ns0:Relationship Id="wmsLink469" Type="http://schemas.openxmlformats.org/officeDocument/2006/relationships/hyperlink" Target="https://wiki.idempiere.org/en/Plugin%3A_Android_Scan_Write" TargetMode="External" /><ns0:Relationship Id="wmsLink470" Type="http://schemas.openxmlformats.org/officeDocument/2006/relationships/hyperlink" Target="https://wiki.idempiere.org/en/Plugin%3A_TMS" TargetMode="External" /><ns0:Relationship Id="wmsLink471" Type="http://schemas.openxmlformats.org/officeDocument/2006/relationships/hyperlink" Target="https://idempiere.scmsoftwarelab.com/idempiere-mobile-app.html" TargetMode="External" /><ns0:Relationship Id="wmsLink472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473" Type="http://schemas.openxmlformats.org/officeDocument/2006/relationships/hyperlink" Target="https://github.com/cesiroproduction/Eva-Accounting/blob/1c039193e0c1626cb03fb8ca37f9980a1703fd0c/backend/app/models.py#L378-L447" TargetMode="External" /><ns0:Relationship Id="wmsLink474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475" Type="http://schemas.openxmlformats.org/officeDocument/2006/relationships/hyperlink" Target="https://idempiere.org/source-code/" TargetMode="External" /><ns0:Relationship Id="wmsLink476" Type="http://schemas.openxmlformats.org/officeDocument/2006/relationships/hyperlink" Target="https://sourceforge.net/projects/red1/files/Warehousing/WMSGuide.pdf/download" TargetMode="External" /><ns0:Relationship Id="wmsLink477" Type="http://schemas.openxmlformats.org/officeDocument/2006/relationships/hyperlink" Target="https://wiki.idempiere.org/en/Plugin%3A_Libero_Warehousing" TargetMode="External" /><ns0:Relationship Id="wmsLink478" Type="http://schemas.openxmlformats.org/officeDocument/2006/relationships/hyperlink" Target="https://sourceforge.net/projects/red1/files/p2/WMS/" TargetMode="External" /><ns0:Relationship Id="wmsLink479" Type="http://schemas.openxmlformats.org/officeDocument/2006/relationships/hyperlink" Target="https://raw.githubusercontent.com/wms2/mywms/master/LICENSE" TargetMode="External" /><ns0:Relationship Id="wmsLink480" Type="http://schemas.openxmlformats.org/officeDocument/2006/relationships/hyperlink" Target="https://github.com/openboxes/openboxes" TargetMode="External" /><ns0:Relationship Id="wmsLink481" Type="http://schemas.openxmlformats.org/officeDocument/2006/relationships/hyperlink" Target="https://raw.githubusercontent.com/GreaterWMS/GreaterWMS/master/LICENSE" TargetMode="External" /><ns0:Relationship Id="wmsLink482" Type="http://schemas.openxmlformats.org/officeDocument/2006/relationships/hyperlink" Target="https://github.com/openwms/org.openwms" TargetMode="External" /><ns0:Relationship Id="wmsLink483" Type="http://schemas.openxmlformats.org/officeDocument/2006/relationships/hyperlink" Target="https://wiki.idempiere.org/en/Plugin%3A_Android_Scan_Write" TargetMode="External" /><ns0:Relationship Id="wmsLink484" Type="http://schemas.openxmlformats.org/officeDocument/2006/relationships/hyperlink" Target="https://wiki.idempiere.org/en/Plugin%3A_TMS" TargetMode="External" /><ns0:Relationship Id="wmsLink485" Type="http://schemas.openxmlformats.org/officeDocument/2006/relationships/hyperlink" Target="https://idempiere.scmsoftwarelab.com/idempiere-mobile-app.html" TargetMode="External" /><ns0:Relationship Id="wmsLink486" Type="http://schemas.openxmlformats.org/officeDocument/2006/relationships/hyperlink" Target="https://github.com/cesiroproduction/Eva-Accounting/blob/1c039193e0c1626cb03fb8ca37f9980a1703fd0c/idempiere/plugins/com.eva.ro.contab/src/com/eva/ro/contab/form/WInventarForm.java#L1085-L1113" TargetMode="External" /><ns0:Relationship Id="wmsLink487" Type="http://schemas.openxmlformats.org/officeDocument/2006/relationships/hyperlink" Target="https://github.com/cesiroproduction/Eva-Accounting/blob/1c039193e0c1626cb03fb8ca37f9980a1703fd0c/backend/app/routers/gestiune.py#L140-L183" TargetMode="External" /><ns0:Relationship Id="wmsLink488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489" Type="http://schemas.openxmlformats.org/officeDocument/2006/relationships/hyperlink" Target="https://wiki.idempiere.org/en/Manual" TargetMode="External" /><ns0:Relationship Id="wmsLink490" Type="http://schemas.openxmlformats.org/officeDocument/2006/relationships/hyperlink" Target="https://sourceforge.net/projects/red1/files/Warehousing/WMSGuide.pdf/download" TargetMode="External" /><ns0:Relationship Id="wmsLink491" Type="http://schemas.openxmlformats.org/officeDocument/2006/relationships/hyperlink" Target="https://wiki.idempiere.org/en/Plugin%3A_Libero_Warehousing" TargetMode="External" /><ns0:Relationship Id="wmsLink492" Type="http://schemas.openxmlformats.org/officeDocument/2006/relationships/hyperlink" Target="https://github.com/wms2/mywms" TargetMode="External" /><ns0:Relationship Id="wmsLink493" Type="http://schemas.openxmlformats.org/officeDocument/2006/relationships/hyperlink" Target="https://docs.openboxes.com/en/latest/" TargetMode="External" /><ns0:Relationship Id="wmsLink494" Type="http://schemas.openxmlformats.org/officeDocument/2006/relationships/hyperlink" Target="https://github.com/GreaterWMS/GreaterWMS/blob/master/README.en.md" TargetMode="External" /><ns0:Relationship Id="wmsLink495" Type="http://schemas.openxmlformats.org/officeDocument/2006/relationships/hyperlink" Target="https://openwms.github.io/org.openwms/" TargetMode="External" /><ns0:Relationship Id="wmsLink496" Type="http://schemas.openxmlformats.org/officeDocument/2006/relationships/hyperlink" Target="https://wiki.idempiere.org/en/Plugin%3A_Android_Scan_Write" TargetMode="External" /><ns0:Relationship Id="wmsLink497" Type="http://schemas.openxmlformats.org/officeDocument/2006/relationships/hyperlink" Target="https://wiki.idempiere.org/en/Plugin%3A_TMS" TargetMode="External" /><ns0:Relationship Id="wmsLink498" Type="http://schemas.openxmlformats.org/officeDocument/2006/relationships/hyperlink" Target="https://idempiere.scmsoftwarelab.com/idempiere-mobile-app.html" TargetMode="External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table" Target="/xl/tables/table3.xml" Id="R2653fd50c3cb4ea4" /><ns0:Relationship Id="wmsLink1" Type="http://schemas.openxmlformats.org/officeDocument/2006/relationships/hyperlink" Target="https://github.com/cesiroproduction/Eva-Accounting/blob/1c039193e0c1626cb03fb8ca37f9980a1703fd0c/idempiere/plugins/com.eva.ro.contab/src/com/eva/ro/contab/form/WInventarForm.java#L1085-L1113" TargetMode="External" /><ns0:Relationship Id="wmsLink2" Type="http://schemas.openxmlformats.org/officeDocument/2006/relationships/hyperlink" Target="https://github.com/cesiroproduction/Eva-Accounting/blob/1c039193e0c1626cb03fb8ca37f9980a1703fd0c/idempiere/plugins/com.eva.ro.contab/src/com/eva/ro/contab/form/WSagaIesiriForm.java#L5034-L5088" TargetMode="External" /><ns0:Relationship Id="wmsLink3" Type="http://schemas.openxmlformats.org/officeDocument/2006/relationships/hyperlink" Target="https://github.com/cesiroproduction/Eva-Accounting/blob/1c039193e0c1626cb03fb8ca37f9980a1703fd0c/backend/app/routers/gestiune.py#L140-L183" TargetMode="External" /><ns0:Relationship Id="wmsLink4" Type="http://schemas.openxmlformats.org/officeDocument/2006/relationships/hyperlink" Target="https://github.com/cesiroproduction/Eva-Accounting/blob/1c039193e0c1626cb03fb8ca37f9980a1703fd0c/backend/app/models.py#L378-L447" TargetMode="External" /><ns0:Relationship Id="wmsLink5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6" Type="http://schemas.openxmlformats.org/officeDocument/2006/relationships/hyperlink" Target="https://github.com/cesiroproduction/Eva-Accounting/blob/1c039193e0c1626cb03fb8ca37f9980a1703fd0c/frontend/portal/eva_stock.html#L49-L96" TargetMode="External" /><ns0:Relationship Id="wmsLink7" Type="http://schemas.openxmlformats.org/officeDocument/2006/relationships/hyperlink" Target="https://idempiere.org/source-code/" TargetMode="External" /><ns0:Relationship Id="wmsLink8" Type="http://schemas.openxmlformats.org/officeDocument/2006/relationships/hyperlink" Target="https://wiki.idempiere.org/en/Manual" TargetMode="External" /><ns0:Relationship Id="wmsLink9" Type="http://schemas.openxmlformats.org/officeDocument/2006/relationships/hyperlink" Target="https://sourceforge.net/projects/red1/files/Warehousing/" TargetMode="External" /><ns0:Relationship Id="wmsLink10" Type="http://schemas.openxmlformats.org/officeDocument/2006/relationships/hyperlink" Target="https://sourceforge.net/projects/red1/files/Warehousing/WMSGuide.pdf/download" TargetMode="External" /><ns0:Relationship Id="wmsLink11" Type="http://schemas.openxmlformats.org/officeDocument/2006/relationships/hyperlink" Target="https://sourceforge.net/projects/red1/files/p2/WMS/" TargetMode="External" /><ns0:Relationship Id="wmsLink12" Type="http://schemas.openxmlformats.org/officeDocument/2006/relationships/hyperlink" Target="https://wiki.idempiere.org/en/Plugin%3A_Libero_Warehousing" TargetMode="External" /><ns0:Relationship Id="wmsLink13" Type="http://schemas.openxmlformats.org/officeDocument/2006/relationships/hyperlink" Target="https://github.com/wms2/mywms/releases/tag/release-2.8.0" TargetMode="External" /><ns0:Relationship Id="wmsLink14" Type="http://schemas.openxmlformats.org/officeDocument/2006/relationships/hyperlink" Target="https://github.com/wms2/mywms" TargetMode="External" /><ns0:Relationship Id="wmsLink15" Type="http://schemas.openxmlformats.org/officeDocument/2006/relationships/hyperlink" Target="https://github.com/openboxes/openboxes/releases/tag/v0.9.8-hotfix1" TargetMode="External" /><ns0:Relationship Id="wmsLink16" Type="http://schemas.openxmlformats.org/officeDocument/2006/relationships/hyperlink" Target="https://docs.openboxes.com/en/latest/" TargetMode="External" /><ns0:Relationship Id="wmsLink17" Type="http://schemas.openxmlformats.org/officeDocument/2006/relationships/hyperlink" Target="https://github.com/GreaterWMS/GreaterWMS/releases/tag/V2.1.52" TargetMode="External" /><ns0:Relationship Id="wmsLink18" Type="http://schemas.openxmlformats.org/officeDocument/2006/relationships/hyperlink" Target="https://github.com/GreaterWMS/GreaterWMS/blob/master/README.en.md" TargetMode="External" /><ns0:Relationship Id="wmsLink19" Type="http://schemas.openxmlformats.org/officeDocument/2006/relationships/hyperlink" Target="https://github.com/openwms/org.openwms" TargetMode="External" /><ns0:Relationship Id="wmsLink20" Type="http://schemas.openxmlformats.org/officeDocument/2006/relationships/hyperlink" Target="https://openwms.github.io/org.openwms/" TargetMode="External" /><ns0:Relationship Id="wmsLink21" Type="http://schemas.openxmlformats.org/officeDocument/2006/relationships/hyperlink" Target="https://wiki.idempiere.org/en/Plugin%3A_Android_Scan_Write" TargetMode="External" /><ns0:Relationship Id="wmsLink22" Type="http://schemas.openxmlformats.org/officeDocument/2006/relationships/hyperlink" Target="https://wiki.idempiere.org/en/Plugin%3A_Android_Scan_Write" TargetMode="External" /><ns0:Relationship Id="wmsLink23" Type="http://schemas.openxmlformats.org/officeDocument/2006/relationships/hyperlink" Target="https://wiki.idempiere.org/en/Plugin%3A_TMS" TargetMode="External" /><ns0:Relationship Id="wmsLink24" Type="http://schemas.openxmlformats.org/officeDocument/2006/relationships/hyperlink" Target="https://wiki.idempiere.org/en/Plugin%3A_TMS" TargetMode="External" /><ns0:Relationship Id="wmsLink25" Type="http://schemas.openxmlformats.org/officeDocument/2006/relationships/hyperlink" Target="https://idempiere.scmsoftwarelab.com/idempiere-mobile-app.html" TargetMode="External" /><ns0:Relationship Id="wmsLink26" Type="http://schemas.openxmlformats.org/officeDocument/2006/relationships/hyperlink" Target="https://idempiere.scmsoftwarelab.com/idempiere-mobile-app.html" TargetMode="External" /></ns0:Relationships>
</file>

<file path=xl/worksheets/sheet1.xml><?xml version="1.0" encoding="utf-8"?>
<x:worksheet xmlns:x="http://schemas.openxmlformats.org/spreadsheetml/2006/main">
  <x:sheetPr>
    <x:tabColor rgb="FF15344D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9" hidden="0" customWidth="1"/>
    <x:col min="2" max="2" width="27" hidden="0" customWidth="1"/>
    <x:col min="3" max="3" width="46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7" customHeight="1">
      <x:c r="A2" s="3" t="str">
        <x:v>WMS și EVA: comparație pe funcții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3" customHeight="1">
      <x:c r="A3" s="4" t="str">
        <x:v>Evaluare: 08.10.2026. Marcajele indică dovezi din cod/documentație; versiunea instalată EVA nu a fost verificată.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3" customHeight="1">
      <x:c r="A4" s="5" t="str">
        <x:v>Legendă</x:v>
      </x:c>
      <x:c r="B4" s="8" t="str">
        <x:v>✓ Da</x:v>
      </x:c>
      <x:c r="C4" s="11" t="str">
        <x:v>◐ Parțial</x:v>
      </x:c>
      <x:c r="D4" s="14" t="str">
        <x:v>✗ Nu</x:v>
      </x:c>
      <x:c r="E4" s="17" t="str">
        <x:v>? Neconfirmat</x:v>
      </x:c>
      <x:c r="F4" s="20" t="str">
        <x:v>— N/A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3" customHeight="1">
      <x:c r="A5" s="21" t="str">
        <x:v>Da = cod/manual explicit. Parțial = limitat, condiționat sau doar declarat. Nu = absență explicită în varianta analizată. Neconfirmat ≠ Nu. Explicații și surse: Detalii.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5" customHeight="1">
      <x:c r="A6" s="22" t="str">
        <x:v>Versiuni</x:v>
      </x:c>
      <x:c r="B6" s="22" t="str"/>
      <x:c r="C6" s="22" t="str">
        <x:v>Reper găsit; detalii în Versiuni</x:v>
      </x:c>
      <x:c r="D6" s="24" t="str">
        <x:v>1c039193 (cod)</x:v>
      </x:c>
      <x:c r="E6" s="24" t="str">
        <x:v>1c039193 (cod)</x:v>
      </x:c>
      <x:c r="F6" s="24" t="str">
        <x:v>1c039193 (cod)</x:v>
      </x:c>
      <x:c r="G6" s="24" t="str">
        <x:v>Versiune neconfirmată</x:v>
      </x:c>
      <x:c r="H6" s="24" t="str">
        <x:v>6.1.0 / 2019</x:v>
      </x:c>
      <x:c r="I6" s="24" t="str">
        <x:v>1.0 ALPHA / 2015</x:v>
      </x:c>
      <x:c r="J6" s="24" t="str">
        <x:v>2.8.0 / 2021</x:v>
      </x:c>
      <x:c r="K6" s="24" t="str">
        <x:v>0.9.8-hotfix1</x:v>
      </x:c>
      <x:c r="L6" s="24" t="str">
        <x:v>V2.1.52</x:v>
      </x:c>
      <x:c r="M6" s="24" t="str">
        <x:v>3.0.0 (repo)</x:v>
      </x:c>
      <x:c r="N6" s="24" t="str">
        <x:v>Versiune neconfirmată</x:v>
      </x:c>
      <x:c r="O6" s="24" t="str">
        <x:v>Versiune neconfirmată</x:v>
      </x:c>
      <x:c r="P6" s="24" t="str">
        <x:v>Versiune neconfirmată</x:v>
      </x:c>
    </x:row>
    <x:row r="7" ht="43" customHeight="1">
      <x:c r="A7" s="31" t="str">
        <x:v>ID</x:v>
      </x:c>
      <x:c r="B7" s="32" t="str">
        <x:v>Capitol</x:v>
      </x:c>
      <x:c r="C7" s="32" t="str">
        <x:v>Funcție</x:v>
      </x:c>
      <x:c r="D7" s="32" t="str">
        <x:v>EVA nativă</x:v>
      </x:c>
      <x:c r="E7" s="32" t="str">
        <x:v>EVA API</x:v>
      </x:c>
      <x:c r="F7" s="32" t="str">
        <x:v>EVA portal</x:v>
      </x:c>
      <x:c r="G7" s="32" t="str">
        <x:v>iDempiere standard</x:v>
      </x:c>
      <x:c r="H7" s="32" t="str">
        <x:v>Red1 / SYSNOVA WMS</x:v>
      </x:c>
      <x:c r="I7" s="32" t="str">
        <x:v>Libero Warehousing</x:v>
      </x:c>
      <x:c r="J7" s="32" t="str">
        <x:v>myWMS Release 2</x:v>
      </x:c>
      <x:c r="K7" s="32" t="str">
        <x:v>OpenBoxes</x:v>
      </x:c>
      <x:c r="L7" s="32" t="str">
        <x:v>GreaterWMS</x:v>
      </x:c>
      <x:c r="M7" s="32" t="str">
        <x:v>OpenWMS</x:v>
      </x:c>
      <x:c r="N7" s="32" t="str">
        <x:v>Android Scan Write</x:v>
      </x:c>
      <x:c r="O7" s="32" t="str">
        <x:v>TMS iDempiere</x:v>
      </x:c>
      <x:c r="P7" s="33" t="str">
        <x:v>SCM iDempiere Mobile</x:v>
      </x:c>
    </x:row>
    <x:row r="8" ht="29" customHeight="1">
      <x:c r="A8" s="34" t="str">
        <x:v>IN01</x:v>
      </x:c>
      <x:c r="B8" s="36" t="str">
        <x:v>01 Recepție</x:v>
      </x:c>
      <x:c r="C8" s="34" t="str">
        <x:v>Recepție / NIR</x:v>
      </x:c>
      <x:c r="D8" s="35" t="str">
        <x:f>VLOOKUP($A8&amp;" / eva",'Detalii'!$A$8:$I$449,5,FALSE)</x:f>
        <x:v>✓ Da</x:v>
      </x:c>
      <x:c r="E8" s="35" t="str">
        <x:f>VLOOKUP($A8&amp;" / api",'Detalii'!$A$8:$I$449,5,FALSE)</x:f>
        <x:v>✓ Da</x:v>
      </x:c>
      <x:c r="F8" s="35" t="str">
        <x:f>VLOOKUP($A8&amp;" / portal",'Detalii'!$A$8:$I$449,5,FALSE)</x:f>
        <x:v>✗ Nu</x:v>
      </x:c>
      <x:c r="G8" s="35" t="str">
        <x:f>VLOOKUP($A8&amp;" / base",'Detalii'!$A$8:$I$449,5,FALSE)</x:f>
        <x:v>✓ Da</x:v>
      </x:c>
      <x:c r="H8" s="35" t="str">
        <x:f>VLOOKUP($A8&amp;" / red1",'Detalii'!$A$8:$I$449,5,FALSE)</x:f>
        <x:v>✓ Da</x:v>
      </x:c>
      <x:c r="I8" s="35" t="str">
        <x:f>VLOOKUP($A8&amp;" / libero",'Detalii'!$A$8:$I$449,5,FALSE)</x:f>
        <x:v>✗ Nu</x:v>
      </x:c>
      <x:c r="J8" s="35" t="str">
        <x:f>VLOOKUP($A8&amp;" / mywms",'Detalii'!$A$8:$I$449,5,FALSE)</x:f>
        <x:v>✓ Da</x:v>
      </x:c>
      <x:c r="K8" s="35" t="str">
        <x:f>VLOOKUP($A8&amp;" / openboxes",'Detalii'!$A$8:$I$449,5,FALSE)</x:f>
        <x:v>✓ Da</x:v>
      </x:c>
      <x:c r="L8" s="35" t="str">
        <x:f>VLOOKUP($A8&amp;" / greater",'Detalii'!$A$8:$I$449,5,FALSE)</x:f>
        <x:v>◐ Parțial</x:v>
      </x:c>
      <x:c r="M8" s="35" t="str">
        <x:f>VLOOKUP($A8&amp;" / openwms",'Detalii'!$A$8:$I$449,5,FALSE)</x:f>
        <x:v>◐ Parțial</x:v>
      </x:c>
      <x:c r="N8" s="35" t="str">
        <x:f>VLOOKUP($A8&amp;" / scan",'Detalii'!$A$8:$I$449,5,FALSE)</x:f>
        <x:v>? Neconfirmat</x:v>
      </x:c>
      <x:c r="O8" s="35" t="str">
        <x:f>VLOOKUP($A8&amp;" / tms",'Detalii'!$A$8:$I$449,5,FALSE)</x:f>
        <x:v>? Neconfirmat</x:v>
      </x:c>
      <x:c r="P8" s="35" t="str">
        <x:f>VLOOKUP($A8&amp;" / mobile",'Detalii'!$A$8:$I$449,5,FALSE)</x:f>
        <x:v>◐ Parțial</x:v>
      </x:c>
    </x:row>
    <x:row r="9" ht="29" customHeight="1">
      <x:c r="A9" s="26" t="str">
        <x:v>IN02</x:v>
      </x:c>
      <x:c r="B9" s="37" t="str">
        <x:v>01 Recepție</x:v>
      </x:c>
      <x:c r="C9" s="26" t="str">
        <x:v>Recepție mobilă cu validare</x:v>
      </x:c>
      <x:c r="D9" s="25" t="str">
        <x:f>VLOOKUP($A9&amp;" / eva",'Detalii'!$A$8:$I$449,5,FALSE)</x:f>
        <x:v>? Neconfirmat</x:v>
      </x:c>
      <x:c r="E9" s="25" t="str">
        <x:f>VLOOKUP($A9&amp;" / api",'Detalii'!$A$8:$I$449,5,FALSE)</x:f>
        <x:v>? Neconfirmat</x:v>
      </x:c>
      <x:c r="F9" s="25" t="str">
        <x:f>VLOOKUP($A9&amp;" / portal",'Detalii'!$A$8:$I$449,5,FALSE)</x:f>
        <x:v>? Neconfirmat</x:v>
      </x:c>
      <x:c r="G9" s="25" t="str">
        <x:f>VLOOKUP($A9&amp;" / base",'Detalii'!$A$8:$I$449,5,FALSE)</x:f>
        <x:v>? Neconfirmat</x:v>
      </x:c>
      <x:c r="H9" s="25" t="str">
        <x:f>VLOOKUP($A9&amp;" / red1",'Detalii'!$A$8:$I$449,5,FALSE)</x:f>
        <x:v>? Neconfirmat</x:v>
      </x:c>
      <x:c r="I9" s="25" t="str">
        <x:f>VLOOKUP($A9&amp;" / libero",'Detalii'!$A$8:$I$449,5,FALSE)</x:f>
        <x:v>? Neconfirmat</x:v>
      </x:c>
      <x:c r="J9" s="25" t="str">
        <x:f>VLOOKUP($A9&amp;" / mywms",'Detalii'!$A$8:$I$449,5,FALSE)</x:f>
        <x:v>✓ Da</x:v>
      </x:c>
      <x:c r="K9" s="25" t="str">
        <x:f>VLOOKUP($A9&amp;" / openboxes",'Detalii'!$A$8:$I$449,5,FALSE)</x:f>
        <x:v>◐ Parțial</x:v>
      </x:c>
      <x:c r="L9" s="25" t="str">
        <x:f>VLOOKUP($A9&amp;" / greater",'Detalii'!$A$8:$I$449,5,FALSE)</x:f>
        <x:v>◐ Parțial</x:v>
      </x:c>
      <x:c r="M9" s="25" t="str">
        <x:f>VLOOKUP($A9&amp;" / openwms",'Detalii'!$A$8:$I$449,5,FALSE)</x:f>
        <x:v>◐ Parțial</x:v>
      </x:c>
      <x:c r="N9" s="25" t="str">
        <x:f>VLOOKUP($A9&amp;" / scan",'Detalii'!$A$8:$I$449,5,FALSE)</x:f>
        <x:v>? Neconfirmat</x:v>
      </x:c>
      <x:c r="O9" s="25" t="str">
        <x:f>VLOOKUP($A9&amp;" / tms",'Detalii'!$A$8:$I$449,5,FALSE)</x:f>
        <x:v>? Neconfirmat</x:v>
      </x:c>
      <x:c r="P9" s="25" t="str">
        <x:f>VLOOKUP($A9&amp;" / mobile",'Detalii'!$A$8:$I$449,5,FALSE)</x:f>
        <x:v>◐ Parțial</x:v>
      </x:c>
    </x:row>
    <x:row r="10" ht="29" customHeight="1">
      <x:c r="A10" s="26" t="str">
        <x:v>IN03</x:v>
      </x:c>
      <x:c r="B10" s="37" t="str">
        <x:v>01 Recepție</x:v>
      </x:c>
      <x:c r="C10" s="26" t="str">
        <x:v>Putaway dirijat după reguli</x:v>
      </x:c>
      <x:c r="D10" s="25" t="str">
        <x:f>VLOOKUP($A10&amp;" / eva",'Detalii'!$A$8:$I$449,5,FALSE)</x:f>
        <x:v>◐ Parțial</x:v>
      </x:c>
      <x:c r="E10" s="25" t="str">
        <x:f>VLOOKUP($A10&amp;" / api",'Detalii'!$A$8:$I$449,5,FALSE)</x:f>
        <x:v>? Neconfirmat</x:v>
      </x:c>
      <x:c r="F10" s="25" t="str">
        <x:f>VLOOKUP($A10&amp;" / portal",'Detalii'!$A$8:$I$449,5,FALSE)</x:f>
        <x:v>? Neconfirmat</x:v>
      </x:c>
      <x:c r="G10" s="25" t="str">
        <x:f>VLOOKUP($A10&amp;" / base",'Detalii'!$A$8:$I$449,5,FALSE)</x:f>
        <x:v>◐ Parțial</x:v>
      </x:c>
      <x:c r="H10" s="25" t="str">
        <x:f>VLOOKUP($A10&amp;" / red1",'Detalii'!$A$8:$I$449,5,FALSE)</x:f>
        <x:v>✓ Da</x:v>
      </x:c>
      <x:c r="I10" s="25" t="str">
        <x:f>VLOOKUP($A10&amp;" / libero",'Detalii'!$A$8:$I$449,5,FALSE)</x:f>
        <x:v>✗ Nu</x:v>
      </x:c>
      <x:c r="J10" s="25" t="str">
        <x:f>VLOOKUP($A10&amp;" / mywms",'Detalii'!$A$8:$I$449,5,FALSE)</x:f>
        <x:v>✓ Da</x:v>
      </x:c>
      <x:c r="K10" s="25" t="str">
        <x:f>VLOOKUP($A10&amp;" / openboxes",'Detalii'!$A$8:$I$449,5,FALSE)</x:f>
        <x:v>✓ Da</x:v>
      </x:c>
      <x:c r="L10" s="25" t="str">
        <x:f>VLOOKUP($A10&amp;" / greater",'Detalii'!$A$8:$I$449,5,FALSE)</x:f>
        <x:v>? Neconfirmat</x:v>
      </x:c>
      <x:c r="M10" s="25" t="str">
        <x:f>VLOOKUP($A10&amp;" / openwms",'Detalii'!$A$8:$I$449,5,FALSE)</x:f>
        <x:v>◐ Parțial</x:v>
      </x:c>
      <x:c r="N10" s="25" t="str">
        <x:f>VLOOKUP($A10&amp;" / scan",'Detalii'!$A$8:$I$449,5,FALSE)</x:f>
        <x:v>? Neconfirmat</x:v>
      </x:c>
      <x:c r="O10" s="25" t="str">
        <x:f>VLOOKUP($A10&amp;" / tms",'Detalii'!$A$8:$I$449,5,FALSE)</x:f>
        <x:v>? Neconfirmat</x:v>
      </x:c>
      <x:c r="P10" s="25" t="str">
        <x:f>VLOOKUP($A10&amp;" / mobile",'Detalii'!$A$8:$I$449,5,FALSE)</x:f>
        <x:v>? Neconfirmat</x:v>
      </x:c>
    </x:row>
    <x:row r="11" ht="29" customHeight="1">
      <x:c r="A11" s="34" t="str">
        <x:v>ST01</x:v>
      </x:c>
      <x:c r="B11" s="36" t="str">
        <x:v>02 Stoc și trasabilitate</x:v>
      </x:c>
      <x:c r="C11" s="34" t="str">
        <x:v>Mai multe depozite / gestiuni</x:v>
      </x:c>
      <x:c r="D11" s="35" t="str">
        <x:f>VLOOKUP($A11&amp;" / eva",'Detalii'!$A$8:$I$449,5,FALSE)</x:f>
        <x:v>✓ Da</x:v>
      </x:c>
      <x:c r="E11" s="35" t="str">
        <x:f>VLOOKUP($A11&amp;" / api",'Detalii'!$A$8:$I$449,5,FALSE)</x:f>
        <x:v>✓ Da</x:v>
      </x:c>
      <x:c r="F11" s="35" t="str">
        <x:f>VLOOKUP($A11&amp;" / portal",'Detalii'!$A$8:$I$449,5,FALSE)</x:f>
        <x:v>? Neconfirmat</x:v>
      </x:c>
      <x:c r="G11" s="35" t="str">
        <x:f>VLOOKUP($A11&amp;" / base",'Detalii'!$A$8:$I$449,5,FALSE)</x:f>
        <x:v>✓ Da</x:v>
      </x:c>
      <x:c r="H11" s="35" t="str">
        <x:f>VLOOKUP($A11&amp;" / red1",'Detalii'!$A$8:$I$449,5,FALSE)</x:f>
        <x:v>✓ Da</x:v>
      </x:c>
      <x:c r="I11" s="35" t="str">
        <x:f>VLOOKUP($A11&amp;" / libero",'Detalii'!$A$8:$I$449,5,FALSE)</x:f>
        <x:v>◐ Parțial</x:v>
      </x:c>
      <x:c r="J11" s="35" t="str">
        <x:f>VLOOKUP($A11&amp;" / mywms",'Detalii'!$A$8:$I$449,5,FALSE)</x:f>
        <x:v>✓ Da</x:v>
      </x:c>
      <x:c r="K11" s="35" t="str">
        <x:f>VLOOKUP($A11&amp;" / openboxes",'Detalii'!$A$8:$I$449,5,FALSE)</x:f>
        <x:v>✓ Da</x:v>
      </x:c>
      <x:c r="L11" s="35" t="str">
        <x:f>VLOOKUP($A11&amp;" / greater",'Detalii'!$A$8:$I$449,5,FALSE)</x:f>
        <x:v>◐ Parțial</x:v>
      </x:c>
      <x:c r="M11" s="35" t="str">
        <x:f>VLOOKUP($A11&amp;" / openwms",'Detalii'!$A$8:$I$449,5,FALSE)</x:f>
        <x:v>◐ Parțial</x:v>
      </x:c>
      <x:c r="N11" s="35" t="str">
        <x:f>VLOOKUP($A11&amp;" / scan",'Detalii'!$A$8:$I$449,5,FALSE)</x:f>
        <x:v>? Neconfirmat</x:v>
      </x:c>
      <x:c r="O11" s="35" t="str">
        <x:f>VLOOKUP($A11&amp;" / tms",'Detalii'!$A$8:$I$449,5,FALSE)</x:f>
        <x:v>? Neconfirmat</x:v>
      </x:c>
      <x:c r="P11" s="35" t="str">
        <x:f>VLOOKUP($A11&amp;" / mobile",'Detalii'!$A$8:$I$449,5,FALSE)</x:f>
        <x:v>◐ Parțial</x:v>
      </x:c>
    </x:row>
    <x:row r="12" ht="29" customHeight="1">
      <x:c r="A12" s="26" t="str">
        <x:v>ST02</x:v>
      </x:c>
      <x:c r="B12" s="37" t="str">
        <x:v>02 Stoc și trasabilitate</x:v>
      </x:c>
      <x:c r="C12" s="26" t="str">
        <x:v>Stoc pe locații interne</x:v>
      </x:c>
      <x:c r="D12" s="25" t="str">
        <x:f>VLOOKUP($A12&amp;" / eva",'Detalii'!$A$8:$I$449,5,FALSE)</x:f>
        <x:v>✓ Da</x:v>
      </x:c>
      <x:c r="E12" s="25" t="str">
        <x:f>VLOOKUP($A12&amp;" / api",'Detalii'!$A$8:$I$449,5,FALSE)</x:f>
        <x:v>◐ Parțial</x:v>
      </x:c>
      <x:c r="F12" s="25" t="str">
        <x:f>VLOOKUP($A12&amp;" / portal",'Detalii'!$A$8:$I$449,5,FALSE)</x:f>
        <x:v>? Neconfirmat</x:v>
      </x:c>
      <x:c r="G12" s="25" t="str">
        <x:f>VLOOKUP($A12&amp;" / base",'Detalii'!$A$8:$I$449,5,FALSE)</x:f>
        <x:v>✓ Da</x:v>
      </x:c>
      <x:c r="H12" s="25" t="str">
        <x:f>VLOOKUP($A12&amp;" / red1",'Detalii'!$A$8:$I$449,5,FALSE)</x:f>
        <x:v>✓ Da</x:v>
      </x:c>
      <x:c r="I12" s="25" t="str">
        <x:f>VLOOKUP($A12&amp;" / libero",'Detalii'!$A$8:$I$449,5,FALSE)</x:f>
        <x:v>◐ Parțial</x:v>
      </x:c>
      <x:c r="J12" s="25" t="str">
        <x:f>VLOOKUP($A12&amp;" / mywms",'Detalii'!$A$8:$I$449,5,FALSE)</x:f>
        <x:v>✓ Da</x:v>
      </x:c>
      <x:c r="K12" s="25" t="str">
        <x:f>VLOOKUP($A12&amp;" / openboxes",'Detalii'!$A$8:$I$449,5,FALSE)</x:f>
        <x:v>✓ Da</x:v>
      </x:c>
      <x:c r="L12" s="25" t="str">
        <x:f>VLOOKUP($A12&amp;" / greater",'Detalii'!$A$8:$I$449,5,FALSE)</x:f>
        <x:v>◐ Parțial</x:v>
      </x:c>
      <x:c r="M12" s="25" t="str">
        <x:f>VLOOKUP($A12&amp;" / openwms",'Detalii'!$A$8:$I$449,5,FALSE)</x:f>
        <x:v>◐ Parțial</x:v>
      </x:c>
      <x:c r="N12" s="25" t="str">
        <x:f>VLOOKUP($A12&amp;" / scan",'Detalii'!$A$8:$I$449,5,FALSE)</x:f>
        <x:v>? Neconfirmat</x:v>
      </x:c>
      <x:c r="O12" s="25" t="str">
        <x:f>VLOOKUP($A12&amp;" / tms",'Detalii'!$A$8:$I$449,5,FALSE)</x:f>
        <x:v>? Neconfirmat</x:v>
      </x:c>
      <x:c r="P12" s="25" t="str">
        <x:f>VLOOKUP($A12&amp;" / mobile",'Detalii'!$A$8:$I$449,5,FALSE)</x:f>
        <x:v>◐ Parțial</x:v>
      </x:c>
    </x:row>
    <x:row r="13" ht="29" customHeight="1">
      <x:c r="A13" s="26" t="str">
        <x:v>ST03</x:v>
      </x:c>
      <x:c r="B13" s="37" t="str">
        <x:v>02 Stoc și trasabilitate</x:v>
      </x:c>
      <x:c r="C13" s="26" t="str">
        <x:v>Identificarea lotului fizic</x:v>
      </x:c>
      <x:c r="D13" s="25" t="str">
        <x:f>VLOOKUP($A13&amp;" / eva",'Detalii'!$A$8:$I$449,5,FALSE)</x:f>
        <x:v>◐ Parțial</x:v>
      </x:c>
      <x:c r="E13" s="25" t="str">
        <x:f>VLOOKUP($A13&amp;" / api",'Detalii'!$A$8:$I$449,5,FALSE)</x:f>
        <x:v>✗ Nu</x:v>
      </x:c>
      <x:c r="F13" s="25" t="str">
        <x:f>VLOOKUP($A13&amp;" / portal",'Detalii'!$A$8:$I$449,5,FALSE)</x:f>
        <x:v>? Neconfirmat</x:v>
      </x:c>
      <x:c r="G13" s="25" t="str">
        <x:f>VLOOKUP($A13&amp;" / base",'Detalii'!$A$8:$I$449,5,FALSE)</x:f>
        <x:v>✓ Da</x:v>
      </x:c>
      <x:c r="H13" s="25" t="str">
        <x:f>VLOOKUP($A13&amp;" / red1",'Detalii'!$A$8:$I$449,5,FALSE)</x:f>
        <x:v>◐ Parțial</x:v>
      </x:c>
      <x:c r="I13" s="25" t="str">
        <x:f>VLOOKUP($A13&amp;" / libero",'Detalii'!$A$8:$I$449,5,FALSE)</x:f>
        <x:v>◐ Parțial</x:v>
      </x:c>
      <x:c r="J13" s="25" t="str">
        <x:f>VLOOKUP($A13&amp;" / mywms",'Detalii'!$A$8:$I$449,5,FALSE)</x:f>
        <x:v>✓ Da</x:v>
      </x:c>
      <x:c r="K13" s="25" t="str">
        <x:f>VLOOKUP($A13&amp;" / openboxes",'Detalii'!$A$8:$I$449,5,FALSE)</x:f>
        <x:v>✓ Da</x:v>
      </x:c>
      <x:c r="L13" s="25" t="str">
        <x:f>VLOOKUP($A13&amp;" / greater",'Detalii'!$A$8:$I$449,5,FALSE)</x:f>
        <x:v>◐ Parțial</x:v>
      </x:c>
      <x:c r="M13" s="25" t="str">
        <x:f>VLOOKUP($A13&amp;" / openwms",'Detalii'!$A$8:$I$449,5,FALSE)</x:f>
        <x:v>◐ Parțial</x:v>
      </x:c>
      <x:c r="N13" s="25" t="str">
        <x:f>VLOOKUP($A13&amp;" / scan",'Detalii'!$A$8:$I$449,5,FALSE)</x:f>
        <x:v>? Neconfirmat</x:v>
      </x:c>
      <x:c r="O13" s="25" t="str">
        <x:f>VLOOKUP($A13&amp;" / tms",'Detalii'!$A$8:$I$449,5,FALSE)</x:f>
        <x:v>? Neconfirmat</x:v>
      </x:c>
      <x:c r="P13" s="25" t="str">
        <x:f>VLOOKUP($A13&amp;" / mobile",'Detalii'!$A$8:$I$449,5,FALSE)</x:f>
        <x:v>◐ Parțial</x:v>
      </x:c>
    </x:row>
    <x:row r="14" ht="29" customHeight="1">
      <x:c r="A14" s="26" t="str">
        <x:v>ST04</x:v>
      </x:c>
      <x:c r="B14" s="37" t="str">
        <x:v>02 Stoc și trasabilitate</x:v>
      </x:c>
      <x:c r="C14" s="26" t="str">
        <x:v>Serii individuale</x:v>
      </x:c>
      <x:c r="D14" s="25" t="str">
        <x:f>VLOOKUP($A14&amp;" / eva",'Detalii'!$A$8:$I$449,5,FALSE)</x:f>
        <x:v>◐ Parțial</x:v>
      </x:c>
      <x:c r="E14" s="25" t="str">
        <x:f>VLOOKUP($A14&amp;" / api",'Detalii'!$A$8:$I$449,5,FALSE)</x:f>
        <x:v>✗ Nu</x:v>
      </x:c>
      <x:c r="F14" s="25" t="str">
        <x:f>VLOOKUP($A14&amp;" / portal",'Detalii'!$A$8:$I$449,5,FALSE)</x:f>
        <x:v>? Neconfirmat</x:v>
      </x:c>
      <x:c r="G14" s="25" t="str">
        <x:f>VLOOKUP($A14&amp;" / base",'Detalii'!$A$8:$I$449,5,FALSE)</x:f>
        <x:v>✓ Da</x:v>
      </x:c>
      <x:c r="H14" s="25" t="str">
        <x:f>VLOOKUP($A14&amp;" / red1",'Detalii'!$A$8:$I$449,5,FALSE)</x:f>
        <x:v>◐ Parțial</x:v>
      </x:c>
      <x:c r="I14" s="25" t="str">
        <x:f>VLOOKUP($A14&amp;" / libero",'Detalii'!$A$8:$I$449,5,FALSE)</x:f>
        <x:v>◐ Parțial</x:v>
      </x:c>
      <x:c r="J14" s="25" t="str">
        <x:f>VLOOKUP($A14&amp;" / mywms",'Detalii'!$A$8:$I$449,5,FALSE)</x:f>
        <x:v>✓ Da</x:v>
      </x:c>
      <x:c r="K14" s="25" t="str">
        <x:f>VLOOKUP($A14&amp;" / openboxes",'Detalii'!$A$8:$I$449,5,FALSE)</x:f>
        <x:v>◐ Parțial</x:v>
      </x:c>
      <x:c r="L14" s="25" t="str">
        <x:f>VLOOKUP($A14&amp;" / greater",'Detalii'!$A$8:$I$449,5,FALSE)</x:f>
        <x:v>? Neconfirmat</x:v>
      </x:c>
      <x:c r="M14" s="25" t="str">
        <x:f>VLOOKUP($A14&amp;" / openwms",'Detalii'!$A$8:$I$449,5,FALSE)</x:f>
        <x:v>? Neconfirmat</x:v>
      </x:c>
      <x:c r="N14" s="25" t="str">
        <x:f>VLOOKUP($A14&amp;" / scan",'Detalii'!$A$8:$I$449,5,FALSE)</x:f>
        <x:v>? Neconfirmat</x:v>
      </x:c>
      <x:c r="O14" s="25" t="str">
        <x:f>VLOOKUP($A14&amp;" / tms",'Detalii'!$A$8:$I$449,5,FALSE)</x:f>
        <x:v>? Neconfirmat</x:v>
      </x:c>
      <x:c r="P14" s="25" t="str">
        <x:f>VLOOKUP($A14&amp;" / mobile",'Detalii'!$A$8:$I$449,5,FALSE)</x:f>
        <x:v>◐ Parțial</x:v>
      </x:c>
    </x:row>
    <x:row r="15" ht="29" customHeight="1">
      <x:c r="A15" s="26" t="str">
        <x:v>ST05</x:v>
      </x:c>
      <x:c r="B15" s="37" t="str">
        <x:v>02 Stoc și trasabilitate</x:v>
      </x:c>
      <x:c r="C15" s="26" t="str">
        <x:v>Dată de expirare / best-before</x:v>
      </x:c>
      <x:c r="D15" s="25" t="str">
        <x:f>VLOOKUP($A15&amp;" / eva",'Detalii'!$A$8:$I$449,5,FALSE)</x:f>
        <x:v>◐ Parțial</x:v>
      </x:c>
      <x:c r="E15" s="25" t="str">
        <x:f>VLOOKUP($A15&amp;" / api",'Detalii'!$A$8:$I$449,5,FALSE)</x:f>
        <x:v>✗ Nu</x:v>
      </x:c>
      <x:c r="F15" s="25" t="str">
        <x:f>VLOOKUP($A15&amp;" / portal",'Detalii'!$A$8:$I$449,5,FALSE)</x:f>
        <x:v>? Neconfirmat</x:v>
      </x:c>
      <x:c r="G15" s="25" t="str">
        <x:f>VLOOKUP($A15&amp;" / base",'Detalii'!$A$8:$I$449,5,FALSE)</x:f>
        <x:v>✓ Da</x:v>
      </x:c>
      <x:c r="H15" s="25" t="str">
        <x:f>VLOOKUP($A15&amp;" / red1",'Detalii'!$A$8:$I$449,5,FALSE)</x:f>
        <x:v>◐ Parțial</x:v>
      </x:c>
      <x:c r="I15" s="25" t="str">
        <x:f>VLOOKUP($A15&amp;" / libero",'Detalii'!$A$8:$I$449,5,FALSE)</x:f>
        <x:v>◐ Parțial</x:v>
      </x:c>
      <x:c r="J15" s="25" t="str">
        <x:f>VLOOKUP($A15&amp;" / mywms",'Detalii'!$A$8:$I$449,5,FALSE)</x:f>
        <x:v>✓ Da</x:v>
      </x:c>
      <x:c r="K15" s="25" t="str">
        <x:f>VLOOKUP($A15&amp;" / openboxes",'Detalii'!$A$8:$I$449,5,FALSE)</x:f>
        <x:v>✓ Da</x:v>
      </x:c>
      <x:c r="L15" s="25" t="str">
        <x:f>VLOOKUP($A15&amp;" / greater",'Detalii'!$A$8:$I$449,5,FALSE)</x:f>
        <x:v>◐ Parțial</x:v>
      </x:c>
      <x:c r="M15" s="25" t="str">
        <x:f>VLOOKUP($A15&amp;" / openwms",'Detalii'!$A$8:$I$449,5,FALSE)</x:f>
        <x:v>? Neconfirmat</x:v>
      </x:c>
      <x:c r="N15" s="25" t="str">
        <x:f>VLOOKUP($A15&amp;" / scan",'Detalii'!$A$8:$I$449,5,FALSE)</x:f>
        <x:v>? Neconfirmat</x:v>
      </x:c>
      <x:c r="O15" s="25" t="str">
        <x:f>VLOOKUP($A15&amp;" / tms",'Detalii'!$A$8:$I$449,5,FALSE)</x:f>
        <x:v>? Neconfirmat</x:v>
      </x:c>
      <x:c r="P15" s="25" t="str">
        <x:f>VLOOKUP($A15&amp;" / mobile",'Detalii'!$A$8:$I$449,5,FALSE)</x:f>
        <x:v>◐ Parțial</x:v>
      </x:c>
    </x:row>
    <x:row r="16" ht="29" customHeight="1">
      <x:c r="A16" s="26" t="str">
        <x:v>ST06</x:v>
      </x:c>
      <x:c r="B16" s="37" t="str">
        <x:v>02 Stoc și trasabilitate</x:v>
      </x:c>
      <x:c r="C16" s="26" t="str">
        <x:v>FEFO în selecția pentru livrare</x:v>
      </x:c>
      <x:c r="D16" s="25" t="str">
        <x:f>VLOOKUP($A16&amp;" / eva",'Detalii'!$A$8:$I$449,5,FALSE)</x:f>
        <x:v>? Neconfirmat</x:v>
      </x:c>
      <x:c r="E16" s="25" t="str">
        <x:f>VLOOKUP($A16&amp;" / api",'Detalii'!$A$8:$I$449,5,FALSE)</x:f>
        <x:v>✗ Nu</x:v>
      </x:c>
      <x:c r="F16" s="25" t="str">
        <x:f>VLOOKUP($A16&amp;" / portal",'Detalii'!$A$8:$I$449,5,FALSE)</x:f>
        <x:v>? Neconfirmat</x:v>
      </x:c>
      <x:c r="G16" s="25" t="str">
        <x:f>VLOOKUP($A16&amp;" / base",'Detalii'!$A$8:$I$449,5,FALSE)</x:f>
        <x:v>◐ Parțial</x:v>
      </x:c>
      <x:c r="H16" s="25" t="str">
        <x:f>VLOOKUP($A16&amp;" / red1",'Detalii'!$A$8:$I$449,5,FALSE)</x:f>
        <x:v>? Neconfirmat</x:v>
      </x:c>
      <x:c r="I16" s="25" t="str">
        <x:f>VLOOKUP($A16&amp;" / libero",'Detalii'!$A$8:$I$449,5,FALSE)</x:f>
        <x:v>? Neconfirmat</x:v>
      </x:c>
      <x:c r="J16" s="25" t="str">
        <x:f>VLOOKUP($A16&amp;" / mywms",'Detalii'!$A$8:$I$449,5,FALSE)</x:f>
        <x:v>✓ Da</x:v>
      </x:c>
      <x:c r="K16" s="25" t="str">
        <x:f>VLOOKUP($A16&amp;" / openboxes",'Detalii'!$A$8:$I$449,5,FALSE)</x:f>
        <x:v>✓ Da</x:v>
      </x:c>
      <x:c r="L16" s="25" t="str">
        <x:f>VLOOKUP($A16&amp;" / greater",'Detalii'!$A$8:$I$449,5,FALSE)</x:f>
        <x:v>? Neconfirmat</x:v>
      </x:c>
      <x:c r="M16" s="25" t="str">
        <x:f>VLOOKUP($A16&amp;" / openwms",'Detalii'!$A$8:$I$449,5,FALSE)</x:f>
        <x:v>? Neconfirmat</x:v>
      </x:c>
      <x:c r="N16" s="25" t="str">
        <x:f>VLOOKUP($A16&amp;" / scan",'Detalii'!$A$8:$I$449,5,FALSE)</x:f>
        <x:v>? Neconfirmat</x:v>
      </x:c>
      <x:c r="O16" s="25" t="str">
        <x:f>VLOOKUP($A16&amp;" / tms",'Detalii'!$A$8:$I$449,5,FALSE)</x:f>
        <x:v>? Neconfirmat</x:v>
      </x:c>
      <x:c r="P16" s="25" t="str">
        <x:f>VLOOKUP($A16&amp;" / mobile",'Detalii'!$A$8:$I$449,5,FALSE)</x:f>
        <x:v>? Neconfirmat</x:v>
      </x:c>
    </x:row>
    <x:row r="17" ht="29" customHeight="1">
      <x:c r="A17" s="34" t="str">
        <x:v>OU01</x:v>
      </x:c>
      <x:c r="B17" s="36" t="str">
        <x:v>03 Picking și expediere</x:v>
      </x:c>
      <x:c r="C17" s="34" t="str">
        <x:v>Listă de picking</x:v>
      </x:c>
      <x:c r="D17" s="35" t="str">
        <x:f>VLOOKUP($A17&amp;" / eva",'Detalii'!$A$8:$I$449,5,FALSE)</x:f>
        <x:v>? Neconfirmat</x:v>
      </x:c>
      <x:c r="E17" s="35" t="str">
        <x:f>VLOOKUP($A17&amp;" / api",'Detalii'!$A$8:$I$449,5,FALSE)</x:f>
        <x:v>? Neconfirmat</x:v>
      </x:c>
      <x:c r="F17" s="35" t="str">
        <x:f>VLOOKUP($A17&amp;" / portal",'Detalii'!$A$8:$I$449,5,FALSE)</x:f>
        <x:v>? Neconfirmat</x:v>
      </x:c>
      <x:c r="G17" s="35" t="str">
        <x:f>VLOOKUP($A17&amp;" / base",'Detalii'!$A$8:$I$449,5,FALSE)</x:f>
        <x:v>✓ Da</x:v>
      </x:c>
      <x:c r="H17" s="35" t="str">
        <x:f>VLOOKUP($A17&amp;" / red1",'Detalii'!$A$8:$I$449,5,FALSE)</x:f>
        <x:v>✓ Da</x:v>
      </x:c>
      <x:c r="I17" s="35" t="str">
        <x:f>VLOOKUP($A17&amp;" / libero",'Detalii'!$A$8:$I$449,5,FALSE)</x:f>
        <x:v>✓ Da</x:v>
      </x:c>
      <x:c r="J17" s="35" t="str">
        <x:f>VLOOKUP($A17&amp;" / mywms",'Detalii'!$A$8:$I$449,5,FALSE)</x:f>
        <x:v>✓ Da</x:v>
      </x:c>
      <x:c r="K17" s="35" t="str">
        <x:f>VLOOKUP($A17&amp;" / openboxes",'Detalii'!$A$8:$I$449,5,FALSE)</x:f>
        <x:v>✓ Da</x:v>
      </x:c>
      <x:c r="L17" s="35" t="str">
        <x:f>VLOOKUP($A17&amp;" / greater",'Detalii'!$A$8:$I$449,5,FALSE)</x:f>
        <x:v>◐ Parțial</x:v>
      </x:c>
      <x:c r="M17" s="35" t="str">
        <x:f>VLOOKUP($A17&amp;" / openwms",'Detalii'!$A$8:$I$449,5,FALSE)</x:f>
        <x:v>◐ Parțial</x:v>
      </x:c>
      <x:c r="N17" s="35" t="str">
        <x:f>VLOOKUP($A17&amp;" / scan",'Detalii'!$A$8:$I$449,5,FALSE)</x:f>
        <x:v>? Neconfirmat</x:v>
      </x:c>
      <x:c r="O17" s="35" t="str">
        <x:f>VLOOKUP($A17&amp;" / tms",'Detalii'!$A$8:$I$449,5,FALSE)</x:f>
        <x:v>? Neconfirmat</x:v>
      </x:c>
      <x:c r="P17" s="35" t="str">
        <x:f>VLOOKUP($A17&amp;" / mobile",'Detalii'!$A$8:$I$449,5,FALSE)</x:f>
        <x:v>◐ Parțial</x:v>
      </x:c>
    </x:row>
    <x:row r="18" ht="29" customHeight="1">
      <x:c r="A18" s="26" t="str">
        <x:v>OU02</x:v>
      </x:c>
      <x:c r="B18" s="37" t="str">
        <x:v>03 Picking și expediere</x:v>
      </x:c>
      <x:c r="C18" s="26" t="str">
        <x:v>Picking mobil cu pași validați</x:v>
      </x:c>
      <x:c r="D18" s="25" t="str">
        <x:f>VLOOKUP($A18&amp;" / eva",'Detalii'!$A$8:$I$449,5,FALSE)</x:f>
        <x:v>? Neconfirmat</x:v>
      </x:c>
      <x:c r="E18" s="25" t="str">
        <x:f>VLOOKUP($A18&amp;" / api",'Detalii'!$A$8:$I$449,5,FALSE)</x:f>
        <x:v>? Neconfirmat</x:v>
      </x:c>
      <x:c r="F18" s="25" t="str">
        <x:f>VLOOKUP($A18&amp;" / portal",'Detalii'!$A$8:$I$449,5,FALSE)</x:f>
        <x:v>? Neconfirmat</x:v>
      </x:c>
      <x:c r="G18" s="25" t="str">
        <x:f>VLOOKUP($A18&amp;" / base",'Detalii'!$A$8:$I$449,5,FALSE)</x:f>
        <x:v>? Neconfirmat</x:v>
      </x:c>
      <x:c r="H18" s="25" t="str">
        <x:f>VLOOKUP($A18&amp;" / red1",'Detalii'!$A$8:$I$449,5,FALSE)</x:f>
        <x:v>◐ Parțial</x:v>
      </x:c>
      <x:c r="I18" s="25" t="str">
        <x:f>VLOOKUP($A18&amp;" / libero",'Detalii'!$A$8:$I$449,5,FALSE)</x:f>
        <x:v>? Neconfirmat</x:v>
      </x:c>
      <x:c r="J18" s="25" t="str">
        <x:f>VLOOKUP($A18&amp;" / mywms",'Detalii'!$A$8:$I$449,5,FALSE)</x:f>
        <x:v>✓ Da</x:v>
      </x:c>
      <x:c r="K18" s="25" t="str">
        <x:f>VLOOKUP($A18&amp;" / openboxes",'Detalii'!$A$8:$I$449,5,FALSE)</x:f>
        <x:v>◐ Parțial</x:v>
      </x:c>
      <x:c r="L18" s="25" t="str">
        <x:f>VLOOKUP($A18&amp;" / greater",'Detalii'!$A$8:$I$449,5,FALSE)</x:f>
        <x:v>◐ Parțial</x:v>
      </x:c>
      <x:c r="M18" s="25" t="str">
        <x:f>VLOOKUP($A18&amp;" / openwms",'Detalii'!$A$8:$I$449,5,FALSE)</x:f>
        <x:v>◐ Parțial</x:v>
      </x:c>
      <x:c r="N18" s="25" t="str">
        <x:f>VLOOKUP($A18&amp;" / scan",'Detalii'!$A$8:$I$449,5,FALSE)</x:f>
        <x:v>? Neconfirmat</x:v>
      </x:c>
      <x:c r="O18" s="25" t="str">
        <x:f>VLOOKUP($A18&amp;" / tms",'Detalii'!$A$8:$I$449,5,FALSE)</x:f>
        <x:v>? Neconfirmat</x:v>
      </x:c>
      <x:c r="P18" s="25" t="str">
        <x:f>VLOOKUP($A18&amp;" / mobile",'Detalii'!$A$8:$I$449,5,FALSE)</x:f>
        <x:v>◐ Parțial</x:v>
      </x:c>
    </x:row>
    <x:row r="19" ht="29" customHeight="1">
      <x:c r="A19" s="26" t="str">
        <x:v>OU03</x:v>
      </x:c>
      <x:c r="B19" s="37" t="str">
        <x:v>03 Picking și expediere</x:v>
      </x:c>
      <x:c r="C19" s="26" t="str">
        <x:v>Ambalare în cutii / paleți</x:v>
      </x:c>
      <x:c r="D19" s="25" t="str">
        <x:f>VLOOKUP($A19&amp;" / eva",'Detalii'!$A$8:$I$449,5,FALSE)</x:f>
        <x:v>? Neconfirmat</x:v>
      </x:c>
      <x:c r="E19" s="25" t="str">
        <x:f>VLOOKUP($A19&amp;" / api",'Detalii'!$A$8:$I$449,5,FALSE)</x:f>
        <x:v>? Neconfirmat</x:v>
      </x:c>
      <x:c r="F19" s="25" t="str">
        <x:f>VLOOKUP($A19&amp;" / portal",'Detalii'!$A$8:$I$449,5,FALSE)</x:f>
        <x:v>? Neconfirmat</x:v>
      </x:c>
      <x:c r="G19" s="25" t="str">
        <x:f>VLOOKUP($A19&amp;" / base",'Detalii'!$A$8:$I$449,5,FALSE)</x:f>
        <x:v>◐ Parțial</x:v>
      </x:c>
      <x:c r="H19" s="25" t="str">
        <x:f>VLOOKUP($A19&amp;" / red1",'Detalii'!$A$8:$I$449,5,FALSE)</x:f>
        <x:v>◐ Parțial</x:v>
      </x:c>
      <x:c r="I19" s="25" t="str">
        <x:f>VLOOKUP($A19&amp;" / libero",'Detalii'!$A$8:$I$449,5,FALSE)</x:f>
        <x:v>? Neconfirmat</x:v>
      </x:c>
      <x:c r="J19" s="25" t="str">
        <x:f>VLOOKUP($A19&amp;" / mywms",'Detalii'!$A$8:$I$449,5,FALSE)</x:f>
        <x:v>◐ Parțial</x:v>
      </x:c>
      <x:c r="K19" s="25" t="str">
        <x:f>VLOOKUP($A19&amp;" / openboxes",'Detalii'!$A$8:$I$449,5,FALSE)</x:f>
        <x:v>✓ Da</x:v>
      </x:c>
      <x:c r="L19" s="25" t="str">
        <x:f>VLOOKUP($A19&amp;" / greater",'Detalii'!$A$8:$I$449,5,FALSE)</x:f>
        <x:v>? Neconfirmat</x:v>
      </x:c>
      <x:c r="M19" s="25" t="str">
        <x:f>VLOOKUP($A19&amp;" / openwms",'Detalii'!$A$8:$I$449,5,FALSE)</x:f>
        <x:v>? Neconfirmat</x:v>
      </x:c>
      <x:c r="N19" s="25" t="str">
        <x:f>VLOOKUP($A19&amp;" / scan",'Detalii'!$A$8:$I$449,5,FALSE)</x:f>
        <x:v>? Neconfirmat</x:v>
      </x:c>
      <x:c r="O19" s="25" t="str">
        <x:f>VLOOKUP($A19&amp;" / tms",'Detalii'!$A$8:$I$449,5,FALSE)</x:f>
        <x:v>? Neconfirmat</x:v>
      </x:c>
      <x:c r="P19" s="25" t="str">
        <x:f>VLOOKUP($A19&amp;" / mobile",'Detalii'!$A$8:$I$449,5,FALSE)</x:f>
        <x:v>◐ Parțial</x:v>
      </x:c>
    </x:row>
    <x:row r="20" ht="29" customHeight="1">
      <x:c r="A20" s="26" t="str">
        <x:v>OU04</x:v>
      </x:c>
      <x:c r="B20" s="37" t="str">
        <x:v>03 Picking și expediere</x:v>
      </x:c>
      <x:c r="C20" s="26" t="str">
        <x:v>Valuri / combinarea comenzilor</x:v>
      </x:c>
      <x:c r="D20" s="25" t="str">
        <x:f>VLOOKUP($A20&amp;" / eva",'Detalii'!$A$8:$I$449,5,FALSE)</x:f>
        <x:v>? Neconfirmat</x:v>
      </x:c>
      <x:c r="E20" s="25" t="str">
        <x:f>VLOOKUP($A20&amp;" / api",'Detalii'!$A$8:$I$449,5,FALSE)</x:f>
        <x:v>? Neconfirmat</x:v>
      </x:c>
      <x:c r="F20" s="25" t="str">
        <x:f>VLOOKUP($A20&amp;" / portal",'Detalii'!$A$8:$I$449,5,FALSE)</x:f>
        <x:v>? Neconfirmat</x:v>
      </x:c>
      <x:c r="G20" s="25" t="str">
        <x:f>VLOOKUP($A20&amp;" / base",'Detalii'!$A$8:$I$449,5,FALSE)</x:f>
        <x:v>? Neconfirmat</x:v>
      </x:c>
      <x:c r="H20" s="25" t="str">
        <x:f>VLOOKUP($A20&amp;" / red1",'Detalii'!$A$8:$I$449,5,FALSE)</x:f>
        <x:v>◐ Parțial</x:v>
      </x:c>
      <x:c r="I20" s="25" t="str">
        <x:f>VLOOKUP($A20&amp;" / libero",'Detalii'!$A$8:$I$449,5,FALSE)</x:f>
        <x:v>◐ Parțial</x:v>
      </x:c>
      <x:c r="J20" s="25" t="str">
        <x:f>VLOOKUP($A20&amp;" / mywms",'Detalii'!$A$8:$I$449,5,FALSE)</x:f>
        <x:v>◐ Parțial</x:v>
      </x:c>
      <x:c r="K20" s="25" t="str">
        <x:f>VLOOKUP($A20&amp;" / openboxes",'Detalii'!$A$8:$I$449,5,FALSE)</x:f>
        <x:v>? Neconfirmat</x:v>
      </x:c>
      <x:c r="L20" s="25" t="str">
        <x:f>VLOOKUP($A20&amp;" / greater",'Detalii'!$A$8:$I$449,5,FALSE)</x:f>
        <x:v>? Neconfirmat</x:v>
      </x:c>
      <x:c r="M20" s="25" t="str">
        <x:f>VLOOKUP($A20&amp;" / openwms",'Detalii'!$A$8:$I$449,5,FALSE)</x:f>
        <x:v>? Neconfirmat</x:v>
      </x:c>
      <x:c r="N20" s="25" t="str">
        <x:f>VLOOKUP($A20&amp;" / scan",'Detalii'!$A$8:$I$449,5,FALSE)</x:f>
        <x:v>? Neconfirmat</x:v>
      </x:c>
      <x:c r="O20" s="25" t="str">
        <x:f>VLOOKUP($A20&amp;" / tms",'Detalii'!$A$8:$I$449,5,FALSE)</x:f>
        <x:v>? Neconfirmat</x:v>
      </x:c>
      <x:c r="P20" s="25" t="str">
        <x:f>VLOOKUP($A20&amp;" / mobile",'Detalii'!$A$8:$I$449,5,FALSE)</x:f>
        <x:v>? Neconfirmat</x:v>
      </x:c>
    </x:row>
    <x:row r="21" ht="29" customHeight="1">
      <x:c r="A21" s="26" t="str">
        <x:v>OU05</x:v>
      </x:c>
      <x:c r="B21" s="37" t="str">
        <x:v>03 Picking și expediere</x:v>
      </x:c>
      <x:c r="C21" s="26" t="str">
        <x:v>Planificare / consolidare transporturi</x:v>
      </x:c>
      <x:c r="D21" s="25" t="str">
        <x:f>VLOOKUP($A21&amp;" / eva",'Detalii'!$A$8:$I$449,5,FALSE)</x:f>
        <x:v>? Neconfirmat</x:v>
      </x:c>
      <x:c r="E21" s="25" t="str">
        <x:f>VLOOKUP($A21&amp;" / api",'Detalii'!$A$8:$I$449,5,FALSE)</x:f>
        <x:v>? Neconfirmat</x:v>
      </x:c>
      <x:c r="F21" s="25" t="str">
        <x:f>VLOOKUP($A21&amp;" / portal",'Detalii'!$A$8:$I$449,5,FALSE)</x:f>
        <x:v>✗ Nu</x:v>
      </x:c>
      <x:c r="G21" s="25" t="str">
        <x:f>VLOOKUP($A21&amp;" / base",'Detalii'!$A$8:$I$449,5,FALSE)</x:f>
        <x:v>? Neconfirmat</x:v>
      </x:c>
      <x:c r="H21" s="25" t="str">
        <x:f>VLOOKUP($A21&amp;" / red1",'Detalii'!$A$8:$I$449,5,FALSE)</x:f>
        <x:v>? Neconfirmat</x:v>
      </x:c>
      <x:c r="I21" s="25" t="str">
        <x:f>VLOOKUP($A21&amp;" / libero",'Detalii'!$A$8:$I$449,5,FALSE)</x:f>
        <x:v>? Neconfirmat</x:v>
      </x:c>
      <x:c r="J21" s="25" t="str">
        <x:f>VLOOKUP($A21&amp;" / mywms",'Detalii'!$A$8:$I$449,5,FALSE)</x:f>
        <x:v>? Neconfirmat</x:v>
      </x:c>
      <x:c r="K21" s="25" t="str">
        <x:f>VLOOKUP($A21&amp;" / openboxes",'Detalii'!$A$8:$I$449,5,FALSE)</x:f>
        <x:v>? Neconfirmat</x:v>
      </x:c>
      <x:c r="L21" s="25" t="str">
        <x:f>VLOOKUP($A21&amp;" / greater",'Detalii'!$A$8:$I$449,5,FALSE)</x:f>
        <x:v>? Neconfirmat</x:v>
      </x:c>
      <x:c r="M21" s="25" t="str">
        <x:f>VLOOKUP($A21&amp;" / openwms",'Detalii'!$A$8:$I$449,5,FALSE)</x:f>
        <x:v>? Neconfirmat</x:v>
      </x:c>
      <x:c r="N21" s="25" t="str">
        <x:f>VLOOKUP($A21&amp;" / scan",'Detalii'!$A$8:$I$449,5,FALSE)</x:f>
        <x:v>? Neconfirmat</x:v>
      </x:c>
      <x:c r="O21" s="25" t="str">
        <x:f>VLOOKUP($A21&amp;" / tms",'Detalii'!$A$8:$I$449,5,FALSE)</x:f>
        <x:v>✓ Da</x:v>
      </x:c>
      <x:c r="P21" s="25" t="str">
        <x:f>VLOOKUP($A21&amp;" / mobile",'Detalii'!$A$8:$I$449,5,FALSE)</x:f>
        <x:v>? Neconfirmat</x:v>
      </x:c>
    </x:row>
    <x:row r="22" ht="29" customHeight="1">
      <x:c r="A22" s="26" t="str">
        <x:v>OU06</x:v>
      </x:c>
      <x:c r="B22" s="37" t="str">
        <x:v>03 Picking și expediere</x:v>
      </x:c>
      <x:c r="C22" s="26" t="str">
        <x:v>Consultare curieri / tracking</x:v>
      </x:c>
      <x:c r="D22" s="25" t="str">
        <x:f>VLOOKUP($A22&amp;" / eva",'Detalii'!$A$8:$I$449,5,FALSE)</x:f>
        <x:v>? Neconfirmat</x:v>
      </x:c>
      <x:c r="E22" s="25" t="str">
        <x:f>VLOOKUP($A22&amp;" / api",'Detalii'!$A$8:$I$449,5,FALSE)</x:f>
        <x:v>? Neconfirmat</x:v>
      </x:c>
      <x:c r="F22" s="25" t="str">
        <x:f>VLOOKUP($A22&amp;" / portal",'Detalii'!$A$8:$I$449,5,FALSE)</x:f>
        <x:v>✓ Da</x:v>
      </x:c>
      <x:c r="G22" s="25" t="str">
        <x:f>VLOOKUP($A22&amp;" / base",'Detalii'!$A$8:$I$449,5,FALSE)</x:f>
        <x:v>? Neconfirmat</x:v>
      </x:c>
      <x:c r="H22" s="25" t="str">
        <x:f>VLOOKUP($A22&amp;" / red1",'Detalii'!$A$8:$I$449,5,FALSE)</x:f>
        <x:v>? Neconfirmat</x:v>
      </x:c>
      <x:c r="I22" s="25" t="str">
        <x:f>VLOOKUP($A22&amp;" / libero",'Detalii'!$A$8:$I$449,5,FALSE)</x:f>
        <x:v>? Neconfirmat</x:v>
      </x:c>
      <x:c r="J22" s="25" t="str">
        <x:f>VLOOKUP($A22&amp;" / mywms",'Detalii'!$A$8:$I$449,5,FALSE)</x:f>
        <x:v>? Neconfirmat</x:v>
      </x:c>
      <x:c r="K22" s="25" t="str">
        <x:f>VLOOKUP($A22&amp;" / openboxes",'Detalii'!$A$8:$I$449,5,FALSE)</x:f>
        <x:v>? Neconfirmat</x:v>
      </x:c>
      <x:c r="L22" s="25" t="str">
        <x:f>VLOOKUP($A22&amp;" / greater",'Detalii'!$A$8:$I$449,5,FALSE)</x:f>
        <x:v>? Neconfirmat</x:v>
      </x:c>
      <x:c r="M22" s="25" t="str">
        <x:f>VLOOKUP($A22&amp;" / openwms",'Detalii'!$A$8:$I$449,5,FALSE)</x:f>
        <x:v>? Neconfirmat</x:v>
      </x:c>
      <x:c r="N22" s="25" t="str">
        <x:f>VLOOKUP($A22&amp;" / scan",'Detalii'!$A$8:$I$449,5,FALSE)</x:f>
        <x:v>? Neconfirmat</x:v>
      </x:c>
      <x:c r="O22" s="25" t="str">
        <x:f>VLOOKUP($A22&amp;" / tms",'Detalii'!$A$8:$I$449,5,FALSE)</x:f>
        <x:v>? Neconfirmat</x:v>
      </x:c>
      <x:c r="P22" s="25" t="str">
        <x:f>VLOOKUP($A22&amp;" / mobile",'Detalii'!$A$8:$I$449,5,FALSE)</x:f>
        <x:v>? Neconfirmat</x:v>
      </x:c>
    </x:row>
    <x:row r="23" ht="29" customHeight="1">
      <x:c r="A23" s="34" t="str">
        <x:v>MO01</x:v>
      </x:c>
      <x:c r="B23" s="36" t="str">
        <x:v>04 Mișcări și spațiu</x:v>
      </x:c>
      <x:c r="C23" s="34" t="str">
        <x:v>Palet / Handling Unit urmărit</x:v>
      </x:c>
      <x:c r="D23" s="35" t="str">
        <x:f>VLOOKUP($A23&amp;" / eva",'Detalii'!$A$8:$I$449,5,FALSE)</x:f>
        <x:v>? Neconfirmat</x:v>
      </x:c>
      <x:c r="E23" s="35" t="str">
        <x:f>VLOOKUP($A23&amp;" / api",'Detalii'!$A$8:$I$449,5,FALSE)</x:f>
        <x:v>? Neconfirmat</x:v>
      </x:c>
      <x:c r="F23" s="35" t="str">
        <x:f>VLOOKUP($A23&amp;" / portal",'Detalii'!$A$8:$I$449,5,FALSE)</x:f>
        <x:v>? Neconfirmat</x:v>
      </x:c>
      <x:c r="G23" s="35" t="str">
        <x:f>VLOOKUP($A23&amp;" / base",'Detalii'!$A$8:$I$449,5,FALSE)</x:f>
        <x:v>◐ Parțial</x:v>
      </x:c>
      <x:c r="H23" s="35" t="str">
        <x:f>VLOOKUP($A23&amp;" / red1",'Detalii'!$A$8:$I$449,5,FALSE)</x:f>
        <x:v>✓ Da</x:v>
      </x:c>
      <x:c r="I23" s="35" t="str">
        <x:f>VLOOKUP($A23&amp;" / libero",'Detalii'!$A$8:$I$449,5,FALSE)</x:f>
        <x:v>? Neconfirmat</x:v>
      </x:c>
      <x:c r="J23" s="35" t="str">
        <x:f>VLOOKUP($A23&amp;" / mywms",'Detalii'!$A$8:$I$449,5,FALSE)</x:f>
        <x:v>✓ Da</x:v>
      </x:c>
      <x:c r="K23" s="35" t="str">
        <x:f>VLOOKUP($A23&amp;" / openboxes",'Detalii'!$A$8:$I$449,5,FALSE)</x:f>
        <x:v>◐ Parțial</x:v>
      </x:c>
      <x:c r="L23" s="35" t="str">
        <x:f>VLOOKUP($A23&amp;" / greater",'Detalii'!$A$8:$I$449,5,FALSE)</x:f>
        <x:v>? Neconfirmat</x:v>
      </x:c>
      <x:c r="M23" s="35" t="str">
        <x:f>VLOOKUP($A23&amp;" / openwms",'Detalii'!$A$8:$I$449,5,FALSE)</x:f>
        <x:v>◐ Parțial</x:v>
      </x:c>
      <x:c r="N23" s="35" t="str">
        <x:f>VLOOKUP($A23&amp;" / scan",'Detalii'!$A$8:$I$449,5,FALSE)</x:f>
        <x:v>? Neconfirmat</x:v>
      </x:c>
      <x:c r="O23" s="35" t="str">
        <x:f>VLOOKUP($A23&amp;" / tms",'Detalii'!$A$8:$I$449,5,FALSE)</x:f>
        <x:v>? Neconfirmat</x:v>
      </x:c>
      <x:c r="P23" s="35" t="str">
        <x:f>VLOOKUP($A23&amp;" / mobile",'Detalii'!$A$8:$I$449,5,FALSE)</x:f>
        <x:v>? Neconfirmat</x:v>
      </x:c>
    </x:row>
    <x:row r="24" ht="29" customHeight="1">
      <x:c r="A24" s="26" t="str">
        <x:v>MO02</x:v>
      </x:c>
      <x:c r="B24" s="37" t="str">
        <x:v>04 Mișcări și spațiu</x:v>
      </x:c>
      <x:c r="C24" s="26" t="str">
        <x:v>Capacitate / ocupare locație</x:v>
      </x:c>
      <x:c r="D24" s="25" t="str">
        <x:f>VLOOKUP($A24&amp;" / eva",'Detalii'!$A$8:$I$449,5,FALSE)</x:f>
        <x:v>? Neconfirmat</x:v>
      </x:c>
      <x:c r="E24" s="25" t="str">
        <x:f>VLOOKUP($A24&amp;" / api",'Detalii'!$A$8:$I$449,5,FALSE)</x:f>
        <x:v>? Neconfirmat</x:v>
      </x:c>
      <x:c r="F24" s="25" t="str">
        <x:f>VLOOKUP($A24&amp;" / portal",'Detalii'!$A$8:$I$449,5,FALSE)</x:f>
        <x:v>? Neconfirmat</x:v>
      </x:c>
      <x:c r="G24" s="25" t="str">
        <x:f>VLOOKUP($A24&amp;" / base",'Detalii'!$A$8:$I$449,5,FALSE)</x:f>
        <x:v>? Neconfirmat</x:v>
      </x:c>
      <x:c r="H24" s="25" t="str">
        <x:f>VLOOKUP($A24&amp;" / red1",'Detalii'!$A$8:$I$449,5,FALSE)</x:f>
        <x:v>✓ Da</x:v>
      </x:c>
      <x:c r="I24" s="25" t="str">
        <x:f>VLOOKUP($A24&amp;" / libero",'Detalii'!$A$8:$I$449,5,FALSE)</x:f>
        <x:v>? Neconfirmat</x:v>
      </x:c>
      <x:c r="J24" s="25" t="str">
        <x:f>VLOOKUP($A24&amp;" / mywms",'Detalii'!$A$8:$I$449,5,FALSE)</x:f>
        <x:v>✓ Da</x:v>
      </x:c>
      <x:c r="K24" s="25" t="str">
        <x:f>VLOOKUP($A24&amp;" / openboxes",'Detalii'!$A$8:$I$449,5,FALSE)</x:f>
        <x:v>? Neconfirmat</x:v>
      </x:c>
      <x:c r="L24" s="25" t="str">
        <x:f>VLOOKUP($A24&amp;" / greater",'Detalii'!$A$8:$I$449,5,FALSE)</x:f>
        <x:v>? Neconfirmat</x:v>
      </x:c>
      <x:c r="M24" s="25" t="str">
        <x:f>VLOOKUP($A24&amp;" / openwms",'Detalii'!$A$8:$I$449,5,FALSE)</x:f>
        <x:v>? Neconfirmat</x:v>
      </x:c>
      <x:c r="N24" s="25" t="str">
        <x:f>VLOOKUP($A24&amp;" / scan",'Detalii'!$A$8:$I$449,5,FALSE)</x:f>
        <x:v>? Neconfirmat</x:v>
      </x:c>
      <x:c r="O24" s="25" t="str">
        <x:f>VLOOKUP($A24&amp;" / tms",'Detalii'!$A$8:$I$449,5,FALSE)</x:f>
        <x:v>? Neconfirmat</x:v>
      </x:c>
      <x:c r="P24" s="25" t="str">
        <x:f>VLOOKUP($A24&amp;" / mobile",'Detalii'!$A$8:$I$449,5,FALSE)</x:f>
        <x:v>? Neconfirmat</x:v>
      </x:c>
    </x:row>
    <x:row r="25" ht="29" customHeight="1">
      <x:c r="A25" s="26" t="str">
        <x:v>MO03</x:v>
      </x:c>
      <x:c r="B25" s="37" t="str">
        <x:v>04 Mișcări și spațiu</x:v>
      </x:c>
      <x:c r="C25" s="26" t="str">
        <x:v>Transfer între locații / gestiuni</x:v>
      </x:c>
      <x:c r="D25" s="25" t="str">
        <x:f>VLOOKUP($A25&amp;" / eva",'Detalii'!$A$8:$I$449,5,FALSE)</x:f>
        <x:v>✓ Da</x:v>
      </x:c>
      <x:c r="E25" s="25" t="str">
        <x:f>VLOOKUP($A25&amp;" / api",'Detalii'!$A$8:$I$449,5,FALSE)</x:f>
        <x:v>◐ Parțial</x:v>
      </x:c>
      <x:c r="F25" s="25" t="str">
        <x:f>VLOOKUP($A25&amp;" / portal",'Detalii'!$A$8:$I$449,5,FALSE)</x:f>
        <x:v>? Neconfirmat</x:v>
      </x:c>
      <x:c r="G25" s="25" t="str">
        <x:f>VLOOKUP($A25&amp;" / base",'Detalii'!$A$8:$I$449,5,FALSE)</x:f>
        <x:v>✓ Da</x:v>
      </x:c>
      <x:c r="H25" s="25" t="str">
        <x:f>VLOOKUP($A25&amp;" / red1",'Detalii'!$A$8:$I$449,5,FALSE)</x:f>
        <x:v>✓ Da</x:v>
      </x:c>
      <x:c r="I25" s="25" t="str">
        <x:f>VLOOKUP($A25&amp;" / libero",'Detalii'!$A$8:$I$449,5,FALSE)</x:f>
        <x:v>◐ Parțial</x:v>
      </x:c>
      <x:c r="J25" s="25" t="str">
        <x:f>VLOOKUP($A25&amp;" / mywms",'Detalii'!$A$8:$I$449,5,FALSE)</x:f>
        <x:v>✓ Da</x:v>
      </x:c>
      <x:c r="K25" s="25" t="str">
        <x:f>VLOOKUP($A25&amp;" / openboxes",'Detalii'!$A$8:$I$449,5,FALSE)</x:f>
        <x:v>✓ Da</x:v>
      </x:c>
      <x:c r="L25" s="25" t="str">
        <x:f>VLOOKUP($A25&amp;" / greater",'Detalii'!$A$8:$I$449,5,FALSE)</x:f>
        <x:v>◐ Parțial</x:v>
      </x:c>
      <x:c r="M25" s="25" t="str">
        <x:f>VLOOKUP($A25&amp;" / openwms",'Detalii'!$A$8:$I$449,5,FALSE)</x:f>
        <x:v>◐ Parțial</x:v>
      </x:c>
      <x:c r="N25" s="25" t="str">
        <x:f>VLOOKUP($A25&amp;" / scan",'Detalii'!$A$8:$I$449,5,FALSE)</x:f>
        <x:v>? Neconfirmat</x:v>
      </x:c>
      <x:c r="O25" s="25" t="str">
        <x:f>VLOOKUP($A25&amp;" / tms",'Detalii'!$A$8:$I$449,5,FALSE)</x:f>
        <x:v>? Neconfirmat</x:v>
      </x:c>
      <x:c r="P25" s="25" t="str">
        <x:f>VLOOKUP($A25&amp;" / mobile",'Detalii'!$A$8:$I$449,5,FALSE)</x:f>
        <x:v>? Neconfirmat</x:v>
      </x:c>
    </x:row>
    <x:row r="26" ht="29" customHeight="1">
      <x:c r="A26" s="26" t="str">
        <x:v>MO04</x:v>
      </x:c>
      <x:c r="B26" s="37" t="str">
        <x:v>04 Mișcări și spațiu</x:v>
      </x:c>
      <x:c r="C26" s="26" t="str">
        <x:v>Reaprovizionare locații de picking</x:v>
      </x:c>
      <x:c r="D26" s="25" t="str">
        <x:f>VLOOKUP($A26&amp;" / eva",'Detalii'!$A$8:$I$449,5,FALSE)</x:f>
        <x:v>◐ Parțial</x:v>
      </x:c>
      <x:c r="E26" s="25" t="str">
        <x:f>VLOOKUP($A26&amp;" / api",'Detalii'!$A$8:$I$449,5,FALSE)</x:f>
        <x:v>? Neconfirmat</x:v>
      </x:c>
      <x:c r="F26" s="25" t="str">
        <x:f>VLOOKUP($A26&amp;" / portal",'Detalii'!$A$8:$I$449,5,FALSE)</x:f>
        <x:v>? Neconfirmat</x:v>
      </x:c>
      <x:c r="G26" s="25" t="str">
        <x:f>VLOOKUP($A26&amp;" / base",'Detalii'!$A$8:$I$449,5,FALSE)</x:f>
        <x:v>◐ Parțial</x:v>
      </x:c>
      <x:c r="H26" s="25" t="str">
        <x:f>VLOOKUP($A26&amp;" / red1",'Detalii'!$A$8:$I$449,5,FALSE)</x:f>
        <x:v>? Neconfirmat</x:v>
      </x:c>
      <x:c r="I26" s="25" t="str">
        <x:f>VLOOKUP($A26&amp;" / libero",'Detalii'!$A$8:$I$449,5,FALSE)</x:f>
        <x:v>? Neconfirmat</x:v>
      </x:c>
      <x:c r="J26" s="25" t="str">
        <x:f>VLOOKUP($A26&amp;" / mywms",'Detalii'!$A$8:$I$449,5,FALSE)</x:f>
        <x:v>✓ Da</x:v>
      </x:c>
      <x:c r="K26" s="25" t="str">
        <x:f>VLOOKUP($A26&amp;" / openboxes",'Detalii'!$A$8:$I$449,5,FALSE)</x:f>
        <x:v>✓ Da</x:v>
      </x:c>
      <x:c r="L26" s="25" t="str">
        <x:f>VLOOKUP($A26&amp;" / greater",'Detalii'!$A$8:$I$449,5,FALSE)</x:f>
        <x:v>? Neconfirmat</x:v>
      </x:c>
      <x:c r="M26" s="25" t="str">
        <x:f>VLOOKUP($A26&amp;" / openwms",'Detalii'!$A$8:$I$449,5,FALSE)</x:f>
        <x:v>? Neconfirmat</x:v>
      </x:c>
      <x:c r="N26" s="25" t="str">
        <x:f>VLOOKUP($A26&amp;" / scan",'Detalii'!$A$8:$I$449,5,FALSE)</x:f>
        <x:v>? Neconfirmat</x:v>
      </x:c>
      <x:c r="O26" s="25" t="str">
        <x:f>VLOOKUP($A26&amp;" / tms",'Detalii'!$A$8:$I$449,5,FALSE)</x:f>
        <x:v>? Neconfirmat</x:v>
      </x:c>
      <x:c r="P26" s="25" t="str">
        <x:f>VLOOKUP($A26&amp;" / mobile",'Detalii'!$A$8:$I$449,5,FALSE)</x:f>
        <x:v>? Neconfirmat</x:v>
      </x:c>
    </x:row>
    <x:row r="27" ht="29" customHeight="1">
      <x:c r="A27" s="34" t="str">
        <x:v>IV01</x:v>
      </x:c>
      <x:c r="B27" s="36" t="str">
        <x:v>05 Inventariere</x:v>
      </x:c>
      <x:c r="C27" s="34" t="str">
        <x:v>Inventar fizic și diferențe</x:v>
      </x:c>
      <x:c r="D27" s="35" t="str">
        <x:f>VLOOKUP($A27&amp;" / eva",'Detalii'!$A$8:$I$449,5,FALSE)</x:f>
        <x:v>✓ Da</x:v>
      </x:c>
      <x:c r="E27" s="35" t="str">
        <x:f>VLOOKUP($A27&amp;" / api",'Detalii'!$A$8:$I$449,5,FALSE)</x:f>
        <x:v>✗ Nu</x:v>
      </x:c>
      <x:c r="F27" s="35" t="str">
        <x:f>VLOOKUP($A27&amp;" / portal",'Detalii'!$A$8:$I$449,5,FALSE)</x:f>
        <x:v>✗ Nu</x:v>
      </x:c>
      <x:c r="G27" s="35" t="str">
        <x:f>VLOOKUP($A27&amp;" / base",'Detalii'!$A$8:$I$449,5,FALSE)</x:f>
        <x:v>✓ Da</x:v>
      </x:c>
      <x:c r="H27" s="35" t="str">
        <x:f>VLOOKUP($A27&amp;" / red1",'Detalii'!$A$8:$I$449,5,FALSE)</x:f>
        <x:v>◐ Parțial</x:v>
      </x:c>
      <x:c r="I27" s="35" t="str">
        <x:f>VLOOKUP($A27&amp;" / libero",'Detalii'!$A$8:$I$449,5,FALSE)</x:f>
        <x:v>◐ Parțial</x:v>
      </x:c>
      <x:c r="J27" s="35" t="str">
        <x:f>VLOOKUP($A27&amp;" / mywms",'Detalii'!$A$8:$I$449,5,FALSE)</x:f>
        <x:v>✓ Da</x:v>
      </x:c>
      <x:c r="K27" s="35" t="str">
        <x:f>VLOOKUP($A27&amp;" / openboxes",'Detalii'!$A$8:$I$449,5,FALSE)</x:f>
        <x:v>◐ Parțial</x:v>
      </x:c>
      <x:c r="L27" s="35" t="str">
        <x:f>VLOOKUP($A27&amp;" / greater",'Detalii'!$A$8:$I$449,5,FALSE)</x:f>
        <x:v>? Neconfirmat</x:v>
      </x:c>
      <x:c r="M27" s="35" t="str">
        <x:f>VLOOKUP($A27&amp;" / openwms",'Detalii'!$A$8:$I$449,5,FALSE)</x:f>
        <x:v>◐ Parțial</x:v>
      </x:c>
      <x:c r="N27" s="35" t="str">
        <x:f>VLOOKUP($A27&amp;" / scan",'Detalii'!$A$8:$I$449,5,FALSE)</x:f>
        <x:v>? Neconfirmat</x:v>
      </x:c>
      <x:c r="O27" s="35" t="str">
        <x:f>VLOOKUP($A27&amp;" / tms",'Detalii'!$A$8:$I$449,5,FALSE)</x:f>
        <x:v>? Neconfirmat</x:v>
      </x:c>
      <x:c r="P27" s="35" t="str">
        <x:f>VLOOKUP($A27&amp;" / mobile",'Detalii'!$A$8:$I$449,5,FALSE)</x:f>
        <x:v>◐ Parțial</x:v>
      </x:c>
    </x:row>
    <x:row r="28" ht="29" customHeight="1">
      <x:c r="A28" s="26" t="str">
        <x:v>IV02</x:v>
      </x:c>
      <x:c r="B28" s="37" t="str">
        <x:v>05 Inventariere</x:v>
      </x:c>
      <x:c r="C28" s="26" t="str">
        <x:v>Numărare mobilă / cu scanner</x:v>
      </x:c>
      <x:c r="D28" s="25" t="str">
        <x:f>VLOOKUP($A28&amp;" / eva",'Detalii'!$A$8:$I$449,5,FALSE)</x:f>
        <x:v>? Neconfirmat</x:v>
      </x:c>
      <x:c r="E28" s="25" t="str">
        <x:f>VLOOKUP($A28&amp;" / api",'Detalii'!$A$8:$I$449,5,FALSE)</x:f>
        <x:v>? Neconfirmat</x:v>
      </x:c>
      <x:c r="F28" s="25" t="str">
        <x:f>VLOOKUP($A28&amp;" / portal",'Detalii'!$A$8:$I$449,5,FALSE)</x:f>
        <x:v>? Neconfirmat</x:v>
      </x:c>
      <x:c r="G28" s="25" t="str">
        <x:f>VLOOKUP($A28&amp;" / base",'Detalii'!$A$8:$I$449,5,FALSE)</x:f>
        <x:v>? Neconfirmat</x:v>
      </x:c>
      <x:c r="H28" s="25" t="str">
        <x:f>VLOOKUP($A28&amp;" / red1",'Detalii'!$A$8:$I$449,5,FALSE)</x:f>
        <x:v>? Neconfirmat</x:v>
      </x:c>
      <x:c r="I28" s="25" t="str">
        <x:f>VLOOKUP($A28&amp;" / libero",'Detalii'!$A$8:$I$449,5,FALSE)</x:f>
        <x:v>? Neconfirmat</x:v>
      </x:c>
      <x:c r="J28" s="25" t="str">
        <x:f>VLOOKUP($A28&amp;" / mywms",'Detalii'!$A$8:$I$449,5,FALSE)</x:f>
        <x:v>✓ Da</x:v>
      </x:c>
      <x:c r="K28" s="25" t="str">
        <x:f>VLOOKUP($A28&amp;" / openboxes",'Detalii'!$A$8:$I$449,5,FALSE)</x:f>
        <x:v>◐ Parțial</x:v>
      </x:c>
      <x:c r="L28" s="25" t="str">
        <x:f>VLOOKUP($A28&amp;" / greater",'Detalii'!$A$8:$I$449,5,FALSE)</x:f>
        <x:v>? Neconfirmat</x:v>
      </x:c>
      <x:c r="M28" s="25" t="str">
        <x:f>VLOOKUP($A28&amp;" / openwms",'Detalii'!$A$8:$I$449,5,FALSE)</x:f>
        <x:v>? Neconfirmat</x:v>
      </x:c>
      <x:c r="N28" s="25" t="str">
        <x:f>VLOOKUP($A28&amp;" / scan",'Detalii'!$A$8:$I$449,5,FALSE)</x:f>
        <x:v>◐ Parțial</x:v>
      </x:c>
      <x:c r="O28" s="25" t="str">
        <x:f>VLOOKUP($A28&amp;" / tms",'Detalii'!$A$8:$I$449,5,FALSE)</x:f>
        <x:v>? Neconfirmat</x:v>
      </x:c>
      <x:c r="P28" s="25" t="str">
        <x:f>VLOOKUP($A28&amp;" / mobile",'Detalii'!$A$8:$I$449,5,FALSE)</x:f>
        <x:v>◐ Parțial</x:v>
      </x:c>
    </x:row>
    <x:row r="29" ht="29" customHeight="1">
      <x:c r="A29" s="26" t="str">
        <x:v>IV03</x:v>
      </x:c>
      <x:c r="B29" s="37" t="str">
        <x:v>05 Inventariere</x:v>
      </x:c>
      <x:c r="C29" s="26" t="str">
        <x:v>Import stocuri faptice CSV / XLSX</x:v>
      </x:c>
      <x:c r="D29" s="25" t="str">
        <x:f>VLOOKUP($A29&amp;" / eva",'Detalii'!$A$8:$I$449,5,FALSE)</x:f>
        <x:v>◐ Parțial</x:v>
      </x:c>
      <x:c r="E29" s="25" t="str">
        <x:f>VLOOKUP($A29&amp;" / api",'Detalii'!$A$8:$I$449,5,FALSE)</x:f>
        <x:v>? Neconfirmat</x:v>
      </x:c>
      <x:c r="F29" s="25" t="str">
        <x:f>VLOOKUP($A29&amp;" / portal",'Detalii'!$A$8:$I$449,5,FALSE)</x:f>
        <x:v>? Neconfirmat</x:v>
      </x:c>
      <x:c r="G29" s="25" t="str">
        <x:f>VLOOKUP($A29&amp;" / base",'Detalii'!$A$8:$I$449,5,FALSE)</x:f>
        <x:v>? Neconfirmat</x:v>
      </x:c>
      <x:c r="H29" s="25" t="str">
        <x:f>VLOOKUP($A29&amp;" / red1",'Detalii'!$A$8:$I$449,5,FALSE)</x:f>
        <x:v>? Neconfirmat</x:v>
      </x:c>
      <x:c r="I29" s="25" t="str">
        <x:f>VLOOKUP($A29&amp;" / libero",'Detalii'!$A$8:$I$449,5,FALSE)</x:f>
        <x:v>? Neconfirmat</x:v>
      </x:c>
      <x:c r="J29" s="25" t="str">
        <x:f>VLOOKUP($A29&amp;" / mywms",'Detalii'!$A$8:$I$449,5,FALSE)</x:f>
        <x:v>? Neconfirmat</x:v>
      </x:c>
      <x:c r="K29" s="25" t="str">
        <x:f>VLOOKUP($A29&amp;" / openboxes",'Detalii'!$A$8:$I$449,5,FALSE)</x:f>
        <x:v>? Neconfirmat</x:v>
      </x:c>
      <x:c r="L29" s="25" t="str">
        <x:f>VLOOKUP($A29&amp;" / greater",'Detalii'!$A$8:$I$449,5,FALSE)</x:f>
        <x:v>? Neconfirmat</x:v>
      </x:c>
      <x:c r="M29" s="25" t="str">
        <x:f>VLOOKUP($A29&amp;" / openwms",'Detalii'!$A$8:$I$449,5,FALSE)</x:f>
        <x:v>? Neconfirmat</x:v>
      </x:c>
      <x:c r="N29" s="25" t="str">
        <x:f>VLOOKUP($A29&amp;" / scan",'Detalii'!$A$8:$I$449,5,FALSE)</x:f>
        <x:v>? Neconfirmat</x:v>
      </x:c>
      <x:c r="O29" s="25" t="str">
        <x:f>VLOOKUP($A29&amp;" / tms",'Detalii'!$A$8:$I$449,5,FALSE)</x:f>
        <x:v>? Neconfirmat</x:v>
      </x:c>
      <x:c r="P29" s="25" t="str">
        <x:f>VLOOKUP($A29&amp;" / mobile",'Detalii'!$A$8:$I$449,5,FALSE)</x:f>
        <x:v>? Neconfirmat</x:v>
      </x:c>
    </x:row>
    <x:row r="30" ht="29" customHeight="1">
      <x:c r="A30" s="26" t="str">
        <x:v>IV04</x:v>
      </x:c>
      <x:c r="B30" s="37" t="str">
        <x:v>05 Inventariere</x:v>
      </x:c>
      <x:c r="C30" s="26" t="str">
        <x:v>Storno inventar / mișcări native</x:v>
      </x:c>
      <x:c r="D30" s="25" t="str">
        <x:f>VLOOKUP($A30&amp;" / eva",'Detalii'!$A$8:$I$449,5,FALSE)</x:f>
        <x:v>✓ Da</x:v>
      </x:c>
      <x:c r="E30" s="25" t="str">
        <x:f>VLOOKUP($A30&amp;" / api",'Detalii'!$A$8:$I$449,5,FALSE)</x:f>
        <x:v>✗ Nu</x:v>
      </x:c>
      <x:c r="F30" s="25" t="str">
        <x:f>VLOOKUP($A30&amp;" / portal",'Detalii'!$A$8:$I$449,5,FALSE)</x:f>
        <x:v>? Neconfirmat</x:v>
      </x:c>
      <x:c r="G30" s="25" t="str">
        <x:f>VLOOKUP($A30&amp;" / base",'Detalii'!$A$8:$I$449,5,FALSE)</x:f>
        <x:v>✓ Da</x:v>
      </x:c>
      <x:c r="H30" s="25" t="str">
        <x:f>VLOOKUP($A30&amp;" / red1",'Detalii'!$A$8:$I$449,5,FALSE)</x:f>
        <x:v>◐ Parțial</x:v>
      </x:c>
      <x:c r="I30" s="25" t="str">
        <x:f>VLOOKUP($A30&amp;" / libero",'Detalii'!$A$8:$I$449,5,FALSE)</x:f>
        <x:v>◐ Parțial</x:v>
      </x:c>
      <x:c r="J30" s="25" t="str">
        <x:f>VLOOKUP($A30&amp;" / mywms",'Detalii'!$A$8:$I$449,5,FALSE)</x:f>
        <x:v>? Neconfirmat</x:v>
      </x:c>
      <x:c r="K30" s="25" t="str">
        <x:f>VLOOKUP($A30&amp;" / openboxes",'Detalii'!$A$8:$I$449,5,FALSE)</x:f>
        <x:v>? Neconfirmat</x:v>
      </x:c>
      <x:c r="L30" s="25" t="str">
        <x:f>VLOOKUP($A30&amp;" / greater",'Detalii'!$A$8:$I$449,5,FALSE)</x:f>
        <x:v>? Neconfirmat</x:v>
      </x:c>
      <x:c r="M30" s="25" t="str">
        <x:f>VLOOKUP($A30&amp;" / openwms",'Detalii'!$A$8:$I$449,5,FALSE)</x:f>
        <x:v>? Neconfirmat</x:v>
      </x:c>
      <x:c r="N30" s="25" t="str">
        <x:f>VLOOKUP($A30&amp;" / scan",'Detalii'!$A$8:$I$449,5,FALSE)</x:f>
        <x:v>? Neconfirmat</x:v>
      </x:c>
      <x:c r="O30" s="25" t="str">
        <x:f>VLOOKUP($A30&amp;" / tms",'Detalii'!$A$8:$I$449,5,FALSE)</x:f>
        <x:v>? Neconfirmat</x:v>
      </x:c>
      <x:c r="P30" s="25" t="str">
        <x:f>VLOOKUP($A30&amp;" / mobile",'Detalii'!$A$8:$I$449,5,FALSE)</x:f>
        <x:v>? Neconfirmat</x:v>
      </x:c>
    </x:row>
    <x:row r="31" ht="29" customHeight="1">
      <x:c r="A31" s="34" t="str">
        <x:v>ER01</x:v>
      </x:c>
      <x:c r="B31" s="36" t="str">
        <x:v>06 Procese ERP</x:v>
      </x:c>
      <x:c r="C31" s="34" t="str">
        <x:v>NIR / livrare legată de document ERP</x:v>
      </x:c>
      <x:c r="D31" s="35" t="str">
        <x:f>VLOOKUP($A31&amp;" / eva",'Detalii'!$A$8:$I$449,5,FALSE)</x:f>
        <x:v>✓ Da</x:v>
      </x:c>
      <x:c r="E31" s="35" t="str">
        <x:f>VLOOKUP($A31&amp;" / api",'Detalii'!$A$8:$I$449,5,FALSE)</x:f>
        <x:v>◐ Parțial</x:v>
      </x:c>
      <x:c r="F31" s="35" t="str">
        <x:f>VLOOKUP($A31&amp;" / portal",'Detalii'!$A$8:$I$449,5,FALSE)</x:f>
        <x:v>? Neconfirmat</x:v>
      </x:c>
      <x:c r="G31" s="35" t="str">
        <x:f>VLOOKUP($A31&amp;" / base",'Detalii'!$A$8:$I$449,5,FALSE)</x:f>
        <x:v>✓ Da</x:v>
      </x:c>
      <x:c r="H31" s="35" t="str">
        <x:f>VLOOKUP($A31&amp;" / red1",'Detalii'!$A$8:$I$449,5,FALSE)</x:f>
        <x:v>✓ Da</x:v>
      </x:c>
      <x:c r="I31" s="35" t="str">
        <x:f>VLOOKUP($A31&amp;" / libero",'Detalii'!$A$8:$I$449,5,FALSE)</x:f>
        <x:v>◐ Parțial</x:v>
      </x:c>
      <x:c r="J31" s="35" t="str">
        <x:f>VLOOKUP($A31&amp;" / mywms",'Detalii'!$A$8:$I$449,5,FALSE)</x:f>
        <x:v>◐ Parțial</x:v>
      </x:c>
      <x:c r="K31" s="35" t="str">
        <x:f>VLOOKUP($A31&amp;" / openboxes",'Detalii'!$A$8:$I$449,5,FALSE)</x:f>
        <x:v>◐ Parțial</x:v>
      </x:c>
      <x:c r="L31" s="35" t="str">
        <x:f>VLOOKUP($A31&amp;" / greater",'Detalii'!$A$8:$I$449,5,FALSE)</x:f>
        <x:v>◐ Parțial</x:v>
      </x:c>
      <x:c r="M31" s="35" t="str">
        <x:f>VLOOKUP($A31&amp;" / openwms",'Detalii'!$A$8:$I$449,5,FALSE)</x:f>
        <x:v>◐ Parțial</x:v>
      </x:c>
      <x:c r="N31" s="35" t="str">
        <x:f>VLOOKUP($A31&amp;" / scan",'Detalii'!$A$8:$I$449,5,FALSE)</x:f>
        <x:v>? Neconfirmat</x:v>
      </x:c>
      <x:c r="O31" s="35" t="str">
        <x:f>VLOOKUP($A31&amp;" / tms",'Detalii'!$A$8:$I$449,5,FALSE)</x:f>
        <x:v>? Neconfirmat</x:v>
      </x:c>
      <x:c r="P31" s="35" t="str">
        <x:f>VLOOKUP($A31&amp;" / mobile",'Detalii'!$A$8:$I$449,5,FALSE)</x:f>
        <x:v>◐ Parțial</x:v>
      </x:c>
    </x:row>
    <x:row r="32" ht="29" customHeight="1">
      <x:c r="A32" s="26" t="str">
        <x:v>ER02</x:v>
      </x:c>
      <x:c r="B32" s="37" t="str">
        <x:v>06 Procese ERP</x:v>
      </x:c>
      <x:c r="C32" s="26" t="str">
        <x:v>Bon de consum</x:v>
      </x:c>
      <x:c r="D32" s="25" t="str">
        <x:f>VLOOKUP($A32&amp;" / eva",'Detalii'!$A$8:$I$449,5,FALSE)</x:f>
        <x:v>✓ Da</x:v>
      </x:c>
      <x:c r="E32" s="25" t="str">
        <x:f>VLOOKUP($A32&amp;" / api",'Detalii'!$A$8:$I$449,5,FALSE)</x:f>
        <x:v>✓ Da</x:v>
      </x:c>
      <x:c r="F32" s="25" t="str">
        <x:f>VLOOKUP($A32&amp;" / portal",'Detalii'!$A$8:$I$449,5,FALSE)</x:f>
        <x:v>? Neconfirmat</x:v>
      </x:c>
      <x:c r="G32" s="25" t="str">
        <x:f>VLOOKUP($A32&amp;" / base",'Detalii'!$A$8:$I$449,5,FALSE)</x:f>
        <x:v>✓ Da</x:v>
      </x:c>
      <x:c r="H32" s="25" t="str">
        <x:f>VLOOKUP($A32&amp;" / red1",'Detalii'!$A$8:$I$449,5,FALSE)</x:f>
        <x:v>◐ Parțial</x:v>
      </x:c>
      <x:c r="I32" s="25" t="str">
        <x:f>VLOOKUP($A32&amp;" / libero",'Detalii'!$A$8:$I$449,5,FALSE)</x:f>
        <x:v>◐ Parțial</x:v>
      </x:c>
      <x:c r="J32" s="25" t="str">
        <x:f>VLOOKUP($A32&amp;" / mywms",'Detalii'!$A$8:$I$449,5,FALSE)</x:f>
        <x:v>? Neconfirmat</x:v>
      </x:c>
      <x:c r="K32" s="25" t="str">
        <x:f>VLOOKUP($A32&amp;" / openboxes",'Detalii'!$A$8:$I$449,5,FALSE)</x:f>
        <x:v>? Neconfirmat</x:v>
      </x:c>
      <x:c r="L32" s="25" t="str">
        <x:f>VLOOKUP($A32&amp;" / greater",'Detalii'!$A$8:$I$449,5,FALSE)</x:f>
        <x:v>? Neconfirmat</x:v>
      </x:c>
      <x:c r="M32" s="25" t="str">
        <x:f>VLOOKUP($A32&amp;" / openwms",'Detalii'!$A$8:$I$449,5,FALSE)</x:f>
        <x:v>? Neconfirmat</x:v>
      </x:c>
      <x:c r="N32" s="25" t="str">
        <x:f>VLOOKUP($A32&amp;" / scan",'Detalii'!$A$8:$I$449,5,FALSE)</x:f>
        <x:v>? Neconfirmat</x:v>
      </x:c>
      <x:c r="O32" s="25" t="str">
        <x:f>VLOOKUP($A32&amp;" / tms",'Detalii'!$A$8:$I$449,5,FALSE)</x:f>
        <x:v>? Neconfirmat</x:v>
      </x:c>
      <x:c r="P32" s="25" t="str">
        <x:f>VLOOKUP($A32&amp;" / mobile",'Detalii'!$A$8:$I$449,5,FALSE)</x:f>
        <x:v>? Neconfirmat</x:v>
      </x:c>
    </x:row>
    <x:row r="33" ht="29" customHeight="1">
      <x:c r="A33" s="26" t="str">
        <x:v>ER03</x:v>
      </x:c>
      <x:c r="B33" s="37" t="str">
        <x:v>06 Procese ERP</x:v>
      </x:c>
      <x:c r="C33" s="26" t="str">
        <x:v>Producție / predare produse finite</x:v>
      </x:c>
      <x:c r="D33" s="25" t="str">
        <x:f>VLOOKUP($A33&amp;" / eva",'Detalii'!$A$8:$I$449,5,FALSE)</x:f>
        <x:v>✓ Da</x:v>
      </x:c>
      <x:c r="E33" s="25" t="str">
        <x:f>VLOOKUP($A33&amp;" / api",'Detalii'!$A$8:$I$449,5,FALSE)</x:f>
        <x:v>◐ Parțial</x:v>
      </x:c>
      <x:c r="F33" s="25" t="str">
        <x:f>VLOOKUP($A33&amp;" / portal",'Detalii'!$A$8:$I$449,5,FALSE)</x:f>
        <x:v>? Neconfirmat</x:v>
      </x:c>
      <x:c r="G33" s="25" t="str">
        <x:f>VLOOKUP($A33&amp;" / base",'Detalii'!$A$8:$I$449,5,FALSE)</x:f>
        <x:v>✓ Da</x:v>
      </x:c>
      <x:c r="H33" s="25" t="str">
        <x:f>VLOOKUP($A33&amp;" / red1",'Detalii'!$A$8:$I$449,5,FALSE)</x:f>
        <x:v>◐ Parțial</x:v>
      </x:c>
      <x:c r="I33" s="25" t="str">
        <x:f>VLOOKUP($A33&amp;" / libero",'Detalii'!$A$8:$I$449,5,FALSE)</x:f>
        <x:v>◐ Parțial</x:v>
      </x:c>
      <x:c r="J33" s="25" t="str">
        <x:f>VLOOKUP($A33&amp;" / mywms",'Detalii'!$A$8:$I$449,5,FALSE)</x:f>
        <x:v>? Neconfirmat</x:v>
      </x:c>
      <x:c r="K33" s="25" t="str">
        <x:f>VLOOKUP($A33&amp;" / openboxes",'Detalii'!$A$8:$I$449,5,FALSE)</x:f>
        <x:v>? Neconfirmat</x:v>
      </x:c>
      <x:c r="L33" s="25" t="str">
        <x:f>VLOOKUP($A33&amp;" / greater",'Detalii'!$A$8:$I$449,5,FALSE)</x:f>
        <x:v>? Neconfirmat</x:v>
      </x:c>
      <x:c r="M33" s="25" t="str">
        <x:f>VLOOKUP($A33&amp;" / openwms",'Detalii'!$A$8:$I$449,5,FALSE)</x:f>
        <x:v>? Neconfirmat</x:v>
      </x:c>
      <x:c r="N33" s="25" t="str">
        <x:f>VLOOKUP($A33&amp;" / scan",'Detalii'!$A$8:$I$449,5,FALSE)</x:f>
        <x:v>? Neconfirmat</x:v>
      </x:c>
      <x:c r="O33" s="25" t="str">
        <x:f>VLOOKUP($A33&amp;" / tms",'Detalii'!$A$8:$I$449,5,FALSE)</x:f>
        <x:v>? Neconfirmat</x:v>
      </x:c>
      <x:c r="P33" s="25" t="str">
        <x:f>VLOOKUP($A33&amp;" / mobile",'Detalii'!$A$8:$I$449,5,FALSE)</x:f>
        <x:v>? Neconfirmat</x:v>
      </x:c>
    </x:row>
    <x:row r="34" ht="29" customHeight="1">
      <x:c r="A34" s="26" t="str">
        <x:v>ER04</x:v>
      </x:c>
      <x:c r="B34" s="37" t="str">
        <x:v>06 Procese ERP</x:v>
      </x:c>
      <x:c r="C34" s="26" t="str">
        <x:v>Evaluare stoc CMP / FIFO</x:v>
      </x:c>
      <x:c r="D34" s="25" t="str">
        <x:f>VLOOKUP($A34&amp;" / eva",'Detalii'!$A$8:$I$449,5,FALSE)</x:f>
        <x:v>◐ Parțial</x:v>
      </x:c>
      <x:c r="E34" s="25" t="str">
        <x:f>VLOOKUP($A34&amp;" / api",'Detalii'!$A$8:$I$449,5,FALSE)</x:f>
        <x:v>✓ Da</x:v>
      </x:c>
      <x:c r="F34" s="25" t="str">
        <x:f>VLOOKUP($A34&amp;" / portal",'Detalii'!$A$8:$I$449,5,FALSE)</x:f>
        <x:v>? Neconfirmat</x:v>
      </x:c>
      <x:c r="G34" s="25" t="str">
        <x:f>VLOOKUP($A34&amp;" / base",'Detalii'!$A$8:$I$449,5,FALSE)</x:f>
        <x:v>◐ Parțial</x:v>
      </x:c>
      <x:c r="H34" s="25" t="str">
        <x:f>VLOOKUP($A34&amp;" / red1",'Detalii'!$A$8:$I$449,5,FALSE)</x:f>
        <x:v>◐ Parțial</x:v>
      </x:c>
      <x:c r="I34" s="25" t="str">
        <x:f>VLOOKUP($A34&amp;" / libero",'Detalii'!$A$8:$I$449,5,FALSE)</x:f>
        <x:v>◐ Parțial</x:v>
      </x:c>
      <x:c r="J34" s="25" t="str">
        <x:f>VLOOKUP($A34&amp;" / mywms",'Detalii'!$A$8:$I$449,5,FALSE)</x:f>
        <x:v>? Neconfirmat</x:v>
      </x:c>
      <x:c r="K34" s="25" t="str">
        <x:f>VLOOKUP($A34&amp;" / openboxes",'Detalii'!$A$8:$I$449,5,FALSE)</x:f>
        <x:v>? Neconfirmat</x:v>
      </x:c>
      <x:c r="L34" s="25" t="str">
        <x:f>VLOOKUP($A34&amp;" / greater",'Detalii'!$A$8:$I$449,5,FALSE)</x:f>
        <x:v>? Neconfirmat</x:v>
      </x:c>
      <x:c r="M34" s="25" t="str">
        <x:f>VLOOKUP($A34&amp;" / openwms",'Detalii'!$A$8:$I$449,5,FALSE)</x:f>
        <x:v>? Neconfirmat</x:v>
      </x:c>
      <x:c r="N34" s="25" t="str">
        <x:f>VLOOKUP($A34&amp;" / scan",'Detalii'!$A$8:$I$449,5,FALSE)</x:f>
        <x:v>? Neconfirmat</x:v>
      </x:c>
      <x:c r="O34" s="25" t="str">
        <x:f>VLOOKUP($A34&amp;" / tms",'Detalii'!$A$8:$I$449,5,FALSE)</x:f>
        <x:v>? Neconfirmat</x:v>
      </x:c>
      <x:c r="P34" s="25" t="str">
        <x:f>VLOOKUP($A34&amp;" / mobile",'Detalii'!$A$8:$I$449,5,FALSE)</x:f>
        <x:v>? Neconfirmat</x:v>
      </x:c>
    </x:row>
    <x:row r="35" ht="29" customHeight="1">
      <x:c r="A35" s="34" t="str">
        <x:v>IT01</x:v>
      </x:c>
      <x:c r="B35" s="36" t="str">
        <x:v>07 Integrare și scanare</x:v>
      </x:c>
      <x:c r="C35" s="34" t="str">
        <x:v>Plugin nativ în iDempiere</x:v>
      </x:c>
      <x:c r="D35" s="35" t="str">
        <x:f>VLOOKUP($A35&amp;" / eva",'Detalii'!$A$8:$I$449,5,FALSE)</x:f>
        <x:v>✓ Da</x:v>
      </x:c>
      <x:c r="E35" s="35" t="str">
        <x:f>VLOOKUP($A35&amp;" / api",'Detalii'!$A$8:$I$449,5,FALSE)</x:f>
        <x:v>✗ Nu</x:v>
      </x:c>
      <x:c r="F35" s="35" t="str">
        <x:f>VLOOKUP($A35&amp;" / portal",'Detalii'!$A$8:$I$449,5,FALSE)</x:f>
        <x:v>✗ Nu</x:v>
      </x:c>
      <x:c r="G35" s="35" t="str">
        <x:f>VLOOKUP($A35&amp;" / base",'Detalii'!$A$8:$I$449,5,FALSE)</x:f>
        <x:v>— N/A</x:v>
      </x:c>
      <x:c r="H35" s="35" t="str">
        <x:f>VLOOKUP($A35&amp;" / red1",'Detalii'!$A$8:$I$449,5,FALSE)</x:f>
        <x:v>✓ Da</x:v>
      </x:c>
      <x:c r="I35" s="35" t="str">
        <x:f>VLOOKUP($A35&amp;" / libero",'Detalii'!$A$8:$I$449,5,FALSE)</x:f>
        <x:v>✓ Da</x:v>
      </x:c>
      <x:c r="J35" s="35" t="str">
        <x:f>VLOOKUP($A35&amp;" / mywms",'Detalii'!$A$8:$I$449,5,FALSE)</x:f>
        <x:v>✗ Nu</x:v>
      </x:c>
      <x:c r="K35" s="35" t="str">
        <x:f>VLOOKUP($A35&amp;" / openboxes",'Detalii'!$A$8:$I$449,5,FALSE)</x:f>
        <x:v>✗ Nu</x:v>
      </x:c>
      <x:c r="L35" s="35" t="str">
        <x:f>VLOOKUP($A35&amp;" / greater",'Detalii'!$A$8:$I$449,5,FALSE)</x:f>
        <x:v>✗ Nu</x:v>
      </x:c>
      <x:c r="M35" s="35" t="str">
        <x:f>VLOOKUP($A35&amp;" / openwms",'Detalii'!$A$8:$I$449,5,FALSE)</x:f>
        <x:v>✗ Nu</x:v>
      </x:c>
      <x:c r="N35" s="35" t="str">
        <x:f>VLOOKUP($A35&amp;" / scan",'Detalii'!$A$8:$I$449,5,FALSE)</x:f>
        <x:v>◐ Parțial</x:v>
      </x:c>
      <x:c r="O35" s="35" t="str">
        <x:f>VLOOKUP($A35&amp;" / tms",'Detalii'!$A$8:$I$449,5,FALSE)</x:f>
        <x:v>✓ Da</x:v>
      </x:c>
      <x:c r="P35" s="35" t="str">
        <x:f>VLOOKUP($A35&amp;" / mobile",'Detalii'!$A$8:$I$449,5,FALSE)</x:f>
        <x:v>✗ Nu</x:v>
      </x:c>
    </x:row>
    <x:row r="36" ht="29" customHeight="1">
      <x:c r="A36" s="26" t="str">
        <x:v>IT02</x:v>
      </x:c>
      <x:c r="B36" s="37" t="str">
        <x:v>07 Integrare și scanare</x:v>
      </x:c>
      <x:c r="C36" s="26" t="str">
        <x:v>API REST / SOAP documentat</x:v>
      </x:c>
      <x:c r="D36" s="25" t="str">
        <x:f>VLOOKUP($A36&amp;" / eva",'Detalii'!$A$8:$I$449,5,FALSE)</x:f>
        <x:v>? Neconfirmat</x:v>
      </x:c>
      <x:c r="E36" s="25" t="str">
        <x:f>VLOOKUP($A36&amp;" / api",'Detalii'!$A$8:$I$449,5,FALSE)</x:f>
        <x:v>✓ Da</x:v>
      </x:c>
      <x:c r="F36" s="25" t="str">
        <x:f>VLOOKUP($A36&amp;" / portal",'Detalii'!$A$8:$I$449,5,FALSE)</x:f>
        <x:v>◐ Parțial</x:v>
      </x:c>
      <x:c r="G36" s="25" t="str">
        <x:f>VLOOKUP($A36&amp;" / base",'Detalii'!$A$8:$I$449,5,FALSE)</x:f>
        <x:v>◐ Parțial</x:v>
      </x:c>
      <x:c r="H36" s="25" t="str">
        <x:f>VLOOKUP($A36&amp;" / red1",'Detalii'!$A$8:$I$449,5,FALSE)</x:f>
        <x:v>◐ Parțial</x:v>
      </x:c>
      <x:c r="I36" s="25" t="str">
        <x:f>VLOOKUP($A36&amp;" / libero",'Detalii'!$A$8:$I$449,5,FALSE)</x:f>
        <x:v>◐ Parțial</x:v>
      </x:c>
      <x:c r="J36" s="25" t="str">
        <x:f>VLOOKUP($A36&amp;" / mywms",'Detalii'!$A$8:$I$449,5,FALSE)</x:f>
        <x:v>✓ Da</x:v>
      </x:c>
      <x:c r="K36" s="25" t="str">
        <x:f>VLOOKUP($A36&amp;" / openboxes",'Detalii'!$A$8:$I$449,5,FALSE)</x:f>
        <x:v>✓ Da</x:v>
      </x:c>
      <x:c r="L36" s="25" t="str">
        <x:f>VLOOKUP($A36&amp;" / greater",'Detalii'!$A$8:$I$449,5,FALSE)</x:f>
        <x:v>◐ Parțial</x:v>
      </x:c>
      <x:c r="M36" s="25" t="str">
        <x:f>VLOOKUP($A36&amp;" / openwms",'Detalii'!$A$8:$I$449,5,FALSE)</x:f>
        <x:v>◐ Parțial</x:v>
      </x:c>
      <x:c r="N36" s="25" t="str">
        <x:f>VLOOKUP($A36&amp;" / scan",'Detalii'!$A$8:$I$449,5,FALSE)</x:f>
        <x:v>? Neconfirmat</x:v>
      </x:c>
      <x:c r="O36" s="25" t="str">
        <x:f>VLOOKUP($A36&amp;" / tms",'Detalii'!$A$8:$I$449,5,FALSE)</x:f>
        <x:v>? Neconfirmat</x:v>
      </x:c>
      <x:c r="P36" s="25" t="str">
        <x:f>VLOOKUP($A36&amp;" / mobile",'Detalii'!$A$8:$I$449,5,FALSE)</x:f>
        <x:v>◐ Parțial</x:v>
      </x:c>
    </x:row>
    <x:row r="37" ht="29" customHeight="1">
      <x:c r="A37" s="26" t="str">
        <x:v>IT03</x:v>
      </x:c>
      <x:c r="B37" s="37" t="str">
        <x:v>07 Integrare și scanare</x:v>
      </x:c>
      <x:c r="C37" s="26" t="str">
        <x:v>Conector iDempiere gata de utilizare</x:v>
      </x:c>
      <x:c r="D37" s="25" t="str">
        <x:f>VLOOKUP($A37&amp;" / eva",'Detalii'!$A$8:$I$449,5,FALSE)</x:f>
        <x:v>— N/A</x:v>
      </x:c>
      <x:c r="E37" s="25" t="str">
        <x:f>VLOOKUP($A37&amp;" / api",'Detalii'!$A$8:$I$449,5,FALSE)</x:f>
        <x:v>◐ Parțial</x:v>
      </x:c>
      <x:c r="F37" s="25" t="str">
        <x:f>VLOOKUP($A37&amp;" / portal",'Detalii'!$A$8:$I$449,5,FALSE)</x:f>
        <x:v>◐ Parțial</x:v>
      </x:c>
      <x:c r="G37" s="25" t="str">
        <x:f>VLOOKUP($A37&amp;" / base",'Detalii'!$A$8:$I$449,5,FALSE)</x:f>
        <x:v>— N/A</x:v>
      </x:c>
      <x:c r="H37" s="25" t="str">
        <x:f>VLOOKUP($A37&amp;" / red1",'Detalii'!$A$8:$I$449,5,FALSE)</x:f>
        <x:v>— N/A</x:v>
      </x:c>
      <x:c r="I37" s="25" t="str">
        <x:f>VLOOKUP($A37&amp;" / libero",'Detalii'!$A$8:$I$449,5,FALSE)</x:f>
        <x:v>— N/A</x:v>
      </x:c>
      <x:c r="J37" s="25" t="str">
        <x:f>VLOOKUP($A37&amp;" / mywms",'Detalii'!$A$8:$I$449,5,FALSE)</x:f>
        <x:v>? Neconfirmat</x:v>
      </x:c>
      <x:c r="K37" s="25" t="str">
        <x:f>VLOOKUP($A37&amp;" / openboxes",'Detalii'!$A$8:$I$449,5,FALSE)</x:f>
        <x:v>? Neconfirmat</x:v>
      </x:c>
      <x:c r="L37" s="25" t="str">
        <x:f>VLOOKUP($A37&amp;" / greater",'Detalii'!$A$8:$I$449,5,FALSE)</x:f>
        <x:v>? Neconfirmat</x:v>
      </x:c>
      <x:c r="M37" s="25" t="str">
        <x:f>VLOOKUP($A37&amp;" / openwms",'Detalii'!$A$8:$I$449,5,FALSE)</x:f>
        <x:v>? Neconfirmat</x:v>
      </x:c>
      <x:c r="N37" s="25" t="str">
        <x:f>VLOOKUP($A37&amp;" / scan",'Detalii'!$A$8:$I$449,5,FALSE)</x:f>
        <x:v>◐ Parțial</x:v>
      </x:c>
      <x:c r="O37" s="25" t="str">
        <x:f>VLOOKUP($A37&amp;" / tms",'Detalii'!$A$8:$I$449,5,FALSE)</x:f>
        <x:v>— N/A</x:v>
      </x:c>
      <x:c r="P37" s="25" t="str">
        <x:f>VLOOKUP($A37&amp;" / mobile",'Detalii'!$A$8:$I$449,5,FALSE)</x:f>
        <x:v>◐ Parțial</x:v>
      </x:c>
    </x:row>
    <x:row r="38" ht="29" customHeight="1">
      <x:c r="A38" s="26" t="str">
        <x:v>IT04</x:v>
      </x:c>
      <x:c r="B38" s="37" t="str">
        <x:v>07 Integrare și scanare</x:v>
      </x:c>
      <x:c r="C38" s="26" t="str">
        <x:v>Citire coduri de bare / QR</x:v>
      </x:c>
      <x:c r="D38" s="25" t="str">
        <x:f>VLOOKUP($A38&amp;" / eva",'Detalii'!$A$8:$I$449,5,FALSE)</x:f>
        <x:v>? Neconfirmat</x:v>
      </x:c>
      <x:c r="E38" s="25" t="str">
        <x:f>VLOOKUP($A38&amp;" / api",'Detalii'!$A$8:$I$449,5,FALSE)</x:f>
        <x:v>? Neconfirmat</x:v>
      </x:c>
      <x:c r="F38" s="25" t="str">
        <x:f>VLOOKUP($A38&amp;" / portal",'Detalii'!$A$8:$I$449,5,FALSE)</x:f>
        <x:v>? Neconfirmat</x:v>
      </x:c>
      <x:c r="G38" s="25" t="str">
        <x:f>VLOOKUP($A38&amp;" / base",'Detalii'!$A$8:$I$449,5,FALSE)</x:f>
        <x:v>◐ Parțial</x:v>
      </x:c>
      <x:c r="H38" s="25" t="str">
        <x:f>VLOOKUP($A38&amp;" / red1",'Detalii'!$A$8:$I$449,5,FALSE)</x:f>
        <x:v>◐ Parțial</x:v>
      </x:c>
      <x:c r="I38" s="25" t="str">
        <x:f>VLOOKUP($A38&amp;" / libero",'Detalii'!$A$8:$I$449,5,FALSE)</x:f>
        <x:v>? Neconfirmat</x:v>
      </x:c>
      <x:c r="J38" s="25" t="str">
        <x:f>VLOOKUP($A38&amp;" / mywms",'Detalii'!$A$8:$I$449,5,FALSE)</x:f>
        <x:v>✓ Da</x:v>
      </x:c>
      <x:c r="K38" s="25" t="str">
        <x:f>VLOOKUP($A38&amp;" / openboxes",'Detalii'!$A$8:$I$449,5,FALSE)</x:f>
        <x:v>◐ Parțial</x:v>
      </x:c>
      <x:c r="L38" s="25" t="str">
        <x:f>VLOOKUP($A38&amp;" / greater",'Detalii'!$A$8:$I$449,5,FALSE)</x:f>
        <x:v>◐ Parțial</x:v>
      </x:c>
      <x:c r="M38" s="25" t="str">
        <x:f>VLOOKUP($A38&amp;" / openwms",'Detalii'!$A$8:$I$449,5,FALSE)</x:f>
        <x:v>◐ Parțial</x:v>
      </x:c>
      <x:c r="N38" s="25" t="str">
        <x:f>VLOOKUP($A38&amp;" / scan",'Detalii'!$A$8:$I$449,5,FALSE)</x:f>
        <x:v>✓ Da</x:v>
      </x:c>
      <x:c r="O38" s="25" t="str">
        <x:f>VLOOKUP($A38&amp;" / tms",'Detalii'!$A$8:$I$449,5,FALSE)</x:f>
        <x:v>? Neconfirmat</x:v>
      </x:c>
      <x:c r="P38" s="25" t="str">
        <x:f>VLOOKUP($A38&amp;" / mobile",'Detalii'!$A$8:$I$449,5,FALSE)</x:f>
        <x:v>◐ Parțial</x:v>
      </x:c>
    </x:row>
    <x:row r="39" ht="29" customHeight="1">
      <x:c r="A39" s="34" t="str">
        <x:v>AV01</x:v>
      </x:c>
      <x:c r="B39" s="36" t="str">
        <x:v>08 Disponibilitate</x:v>
      </x:c>
      <x:c r="C39" s="34" t="str">
        <x:v>Cod sursă disponibil pentru echipă</x:v>
      </x:c>
      <x:c r="D39" s="35" t="str">
        <x:f>VLOOKUP($A39&amp;" / eva",'Detalii'!$A$8:$I$449,5,FALSE)</x:f>
        <x:v>✓ Da</x:v>
      </x:c>
      <x:c r="E39" s="35" t="str">
        <x:f>VLOOKUP($A39&amp;" / api",'Detalii'!$A$8:$I$449,5,FALSE)</x:f>
        <x:v>✓ Da</x:v>
      </x:c>
      <x:c r="F39" s="35" t="str">
        <x:f>VLOOKUP($A39&amp;" / portal",'Detalii'!$A$8:$I$449,5,FALSE)</x:f>
        <x:v>✓ Da</x:v>
      </x:c>
      <x:c r="G39" s="35" t="str">
        <x:f>VLOOKUP($A39&amp;" / base",'Detalii'!$A$8:$I$449,5,FALSE)</x:f>
        <x:v>✓ Da</x:v>
      </x:c>
      <x:c r="H39" s="35" t="str">
        <x:f>VLOOKUP($A39&amp;" / red1",'Detalii'!$A$8:$I$449,5,FALSE)</x:f>
        <x:v>◐ Parțial</x:v>
      </x:c>
      <x:c r="I39" s="35" t="str">
        <x:f>VLOOKUP($A39&amp;" / libero",'Detalii'!$A$8:$I$449,5,FALSE)</x:f>
        <x:v>◐ Parțial</x:v>
      </x:c>
      <x:c r="J39" s="35" t="str">
        <x:f>VLOOKUP($A39&amp;" / mywms",'Detalii'!$A$8:$I$449,5,FALSE)</x:f>
        <x:v>✓ Da</x:v>
      </x:c>
      <x:c r="K39" s="35" t="str">
        <x:f>VLOOKUP($A39&amp;" / openboxes",'Detalii'!$A$8:$I$449,5,FALSE)</x:f>
        <x:v>✓ Da</x:v>
      </x:c>
      <x:c r="L39" s="35" t="str">
        <x:f>VLOOKUP($A39&amp;" / greater",'Detalii'!$A$8:$I$449,5,FALSE)</x:f>
        <x:v>✓ Da</x:v>
      </x:c>
      <x:c r="M39" s="35" t="str">
        <x:f>VLOOKUP($A39&amp;" / openwms",'Detalii'!$A$8:$I$449,5,FALSE)</x:f>
        <x:v>◐ Parțial</x:v>
      </x:c>
      <x:c r="N39" s="35" t="str">
        <x:f>VLOOKUP($A39&amp;" / scan",'Detalii'!$A$8:$I$449,5,FALSE)</x:f>
        <x:v>? Neconfirmat</x:v>
      </x:c>
      <x:c r="O39" s="35" t="str">
        <x:f>VLOOKUP($A39&amp;" / tms",'Detalii'!$A$8:$I$449,5,FALSE)</x:f>
        <x:v>? Neconfirmat</x:v>
      </x:c>
      <x:c r="P39" s="35" t="str">
        <x:f>VLOOKUP($A39&amp;" / mobile",'Detalii'!$A$8:$I$449,5,FALSE)</x:f>
        <x:v>? Neconfirmat</x:v>
      </x:c>
    </x:row>
    <x:row r="40" ht="29" customHeight="1">
      <x:c r="A40" s="26" t="str">
        <x:v>AV02</x:v>
      </x:c>
      <x:c r="B40" s="37" t="str">
        <x:v>08 Disponibilitate</x:v>
      </x:c>
      <x:c r="C40" s="26" t="str">
        <x:v>Fără taxă de licență pentru codul evaluat</x:v>
      </x:c>
      <x:c r="D40" s="25" t="str">
        <x:f>VLOOKUP($A40&amp;" / eva",'Detalii'!$A$8:$I$449,5,FALSE)</x:f>
        <x:v>? Neconfirmat</x:v>
      </x:c>
      <x:c r="E40" s="25" t="str">
        <x:f>VLOOKUP($A40&amp;" / api",'Detalii'!$A$8:$I$449,5,FALSE)</x:f>
        <x:v>? Neconfirmat</x:v>
      </x:c>
      <x:c r="F40" s="25" t="str">
        <x:f>VLOOKUP($A40&amp;" / portal",'Detalii'!$A$8:$I$449,5,FALSE)</x:f>
        <x:v>? Neconfirmat</x:v>
      </x:c>
      <x:c r="G40" s="25" t="str">
        <x:f>VLOOKUP($A40&amp;" / base",'Detalii'!$A$8:$I$449,5,FALSE)</x:f>
        <x:v>✓ Da</x:v>
      </x:c>
      <x:c r="H40" s="25" t="str">
        <x:f>VLOOKUP($A40&amp;" / red1",'Detalii'!$A$8:$I$449,5,FALSE)</x:f>
        <x:v>◐ Parțial</x:v>
      </x:c>
      <x:c r="I40" s="25" t="str">
        <x:f>VLOOKUP($A40&amp;" / libero",'Detalii'!$A$8:$I$449,5,FALSE)</x:f>
        <x:v>? Neconfirmat</x:v>
      </x:c>
      <x:c r="J40" s="25" t="str">
        <x:f>VLOOKUP($A40&amp;" / mywms",'Detalii'!$A$8:$I$449,5,FALSE)</x:f>
        <x:v>✓ Da</x:v>
      </x:c>
      <x:c r="K40" s="25" t="str">
        <x:f>VLOOKUP($A40&amp;" / openboxes",'Detalii'!$A$8:$I$449,5,FALSE)</x:f>
        <x:v>✓ Da</x:v>
      </x:c>
      <x:c r="L40" s="25" t="str">
        <x:f>VLOOKUP($A40&amp;" / greater",'Detalii'!$A$8:$I$449,5,FALSE)</x:f>
        <x:v>✓ Da</x:v>
      </x:c>
      <x:c r="M40" s="25" t="str">
        <x:f>VLOOKUP($A40&amp;" / openwms",'Detalii'!$A$8:$I$449,5,FALSE)</x:f>
        <x:v>◐ Parțial</x:v>
      </x:c>
      <x:c r="N40" s="25" t="str">
        <x:f>VLOOKUP($A40&amp;" / scan",'Detalii'!$A$8:$I$449,5,FALSE)</x:f>
        <x:v>? Neconfirmat</x:v>
      </x:c>
      <x:c r="O40" s="25" t="str">
        <x:f>VLOOKUP($A40&amp;" / tms",'Detalii'!$A$8:$I$449,5,FALSE)</x:f>
        <x:v>? Neconfirmat</x:v>
      </x:c>
      <x:c r="P40" s="25" t="str">
        <x:f>VLOOKUP($A40&amp;" / mobile",'Detalii'!$A$8:$I$449,5,FALSE)</x:f>
        <x:v>? Neconfirmat</x:v>
      </x:c>
    </x:row>
    <x:row r="41" ht="29" customHeight="1">
      <x:c r="A41" s="26" t="str">
        <x:v>AV03</x:v>
      </x:c>
      <x:c r="B41" s="37" t="str">
        <x:v>08 Disponibilitate</x:v>
      </x:c>
      <x:c r="C41" s="26" t="str">
        <x:v>Compatibilitate cu instanța voastră probată</x:v>
      </x:c>
      <x:c r="D41" s="25" t="str">
        <x:f>VLOOKUP($A41&amp;" / eva",'Detalii'!$A$8:$I$449,5,FALSE)</x:f>
        <x:v>◐ Parțial</x:v>
      </x:c>
      <x:c r="E41" s="25" t="str">
        <x:f>VLOOKUP($A41&amp;" / api",'Detalii'!$A$8:$I$449,5,FALSE)</x:f>
        <x:v>? Neconfirmat</x:v>
      </x:c>
      <x:c r="F41" s="25" t="str">
        <x:f>VLOOKUP($A41&amp;" / portal",'Detalii'!$A$8:$I$449,5,FALSE)</x:f>
        <x:v>? Neconfirmat</x:v>
      </x:c>
      <x:c r="G41" s="25" t="str">
        <x:f>VLOOKUP($A41&amp;" / base",'Detalii'!$A$8:$I$449,5,FALSE)</x:f>
        <x:v>? Neconfirmat</x:v>
      </x:c>
      <x:c r="H41" s="25" t="str">
        <x:f>VLOOKUP($A41&amp;" / red1",'Detalii'!$A$8:$I$449,5,FALSE)</x:f>
        <x:v>? Neconfirmat</x:v>
      </x:c>
      <x:c r="I41" s="25" t="str">
        <x:f>VLOOKUP($A41&amp;" / libero",'Detalii'!$A$8:$I$449,5,FALSE)</x:f>
        <x:v>? Neconfirmat</x:v>
      </x:c>
      <x:c r="J41" s="25" t="str">
        <x:f>VLOOKUP($A41&amp;" / mywms",'Detalii'!$A$8:$I$449,5,FALSE)</x:f>
        <x:v>? Neconfirmat</x:v>
      </x:c>
      <x:c r="K41" s="25" t="str">
        <x:f>VLOOKUP($A41&amp;" / openboxes",'Detalii'!$A$8:$I$449,5,FALSE)</x:f>
        <x:v>? Neconfirmat</x:v>
      </x:c>
      <x:c r="L41" s="25" t="str">
        <x:f>VLOOKUP($A41&amp;" / greater",'Detalii'!$A$8:$I$449,5,FALSE)</x:f>
        <x:v>? Neconfirmat</x:v>
      </x:c>
      <x:c r="M41" s="25" t="str">
        <x:f>VLOOKUP($A41&amp;" / openwms",'Detalii'!$A$8:$I$449,5,FALSE)</x:f>
        <x:v>? Neconfirmat</x:v>
      </x:c>
      <x:c r="N41" s="25" t="str">
        <x:f>VLOOKUP($A41&amp;" / scan",'Detalii'!$A$8:$I$449,5,FALSE)</x:f>
        <x:v>? Neconfirmat</x:v>
      </x:c>
      <x:c r="O41" s="25" t="str">
        <x:f>VLOOKUP($A41&amp;" / tms",'Detalii'!$A$8:$I$449,5,FALSE)</x:f>
        <x:v>? Neconfirmat</x:v>
      </x:c>
      <x:c r="P41" s="25" t="str">
        <x:f>VLOOKUP($A41&amp;" / mobile",'Detalii'!$A$8:$I$449,5,FALSE)</x:f>
        <x:v>? Neconfirmat</x:v>
      </x:c>
    </x:row>
  </x:sheetData>
  <x:conditionalFormatting sqref="D8:P41">
    <x:cfRule type="expression" dxfId="0" priority="1">
      <x:formula>D8="✓ Da"</x:formula>
    </x:cfRule>
    <x:cfRule type="expression" dxfId="1" priority="2">
      <x:formula>D8="◐ Parțial"</x:formula>
    </x:cfRule>
    <x:cfRule type="expression" dxfId="2" priority="3">
      <x:formula>D8="✗ Nu"</x:formula>
    </x:cfRule>
    <x:cfRule type="expression" dxfId="3" priority="4">
      <x:formula>D8="? Neconfirmat"</x:formula>
    </x:cfRule>
    <x:cfRule type="expression" dxfId="4" priority="5">
      <x:formula>D8="— N/A"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3d40db238d4885"/>
  </x:tableParts>
</x: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38594"/>
  </sheetPr>
  <sheetViews>
    <sheetView showGridLines="0" workbookViewId="0">
      <pane xSplit="1" ySplit="7" topLeftCell="B8" activePane="bottomRight" state="frozen"/>
    </sheetView>
  </sheetViews>
  <sheetFormatPr defaultRowHeight="15"/>
  <cols>
    <col min="1" max="1" width="23" hidden="0" customWidth="1"/>
    <col min="2" max="2" width="27" hidden="0" customWidth="1"/>
    <col min="3" max="3" width="46" hidden="0" customWidth="1"/>
    <col min="4" max="4" width="28" hidden="0" customWidth="1"/>
    <col min="5" max="5" width="19" hidden="0" customWidth="1"/>
    <col min="6" max="6" width="104" hidden="0" customWidth="1"/>
    <col min="7" max="7" width="12" hidden="0" customWidth="1"/>
    <col min="8" max="8" width="12" hidden="0" customWidth="1"/>
    <col min="9" max="9" width="12" hidden="0" customWidth="1"/>
  </cols>
  <sheetData>
    <row r="1" ht="23" customHeight="1">
      <c r="A1" s="2"/>
      <c r="B1" s="2"/>
      <c r="C1" s="2"/>
      <c r="D1" s="2"/>
      <c r="E1" s="2"/>
      <c r="F1" s="2"/>
      <c r="G1" s="2"/>
      <c r="H1" s="2"/>
      <c r="I1" s="2"/>
    </row>
    <row r="2" ht="27" customHeight="1">
      <c r="A2" s="3" t="str">
        <v>Explicații și surse pentru fiecare marcaj</v>
      </c>
      <c r="B2" s="2"/>
      <c r="C2" s="2"/>
      <c r="D2" s="2"/>
      <c r="E2" s="2"/>
      <c r="F2" s="2"/>
      <c r="G2" s="2"/>
      <c r="H2" s="2"/>
      <c r="I2" s="2"/>
    </row>
    <row r="3" ht="23" customHeight="1">
      <c r="A3" s="4" t="str">
        <v>Filtrați după ID, capitol sau soluție. Statutul din această foaie alimentează matricea Comparatie.</v>
      </c>
      <c r="B3" s="2"/>
      <c r="C3" s="2"/>
      <c r="D3" s="2"/>
      <c r="E3" s="2"/>
      <c r="F3" s="2"/>
      <c r="G3" s="2"/>
      <c r="H3" s="2"/>
      <c r="I3" s="2"/>
    </row>
    <row r="4" ht="23" customHeight="1">
      <c r="A4" s="2" t="str">
        <v>Dovezile sunt legate de versiunile din foaia Versiuni. Un rezultat din cod nu certifică versiunea instalată sau un test funcțional.</v>
      </c>
      <c r="B4" s="2"/>
      <c r="C4" s="2"/>
      <c r="D4" s="2"/>
      <c r="E4" s="2"/>
      <c r="F4" s="2"/>
      <c r="G4" s="2"/>
      <c r="H4" s="2"/>
      <c r="I4" s="2"/>
    </row>
    <row r="5" ht="23" customHeight="1">
      <c r="A5" s="2" t="str">
        <v>Pentru actualizare, modificați statutul numai împreună cu explicația și sursa aferentă.</v>
      </c>
      <c r="B5" s="2"/>
      <c r="C5" s="2"/>
      <c r="D5" s="2"/>
      <c r="E5" s="2"/>
      <c r="F5" s="2"/>
      <c r="G5" s="2"/>
      <c r="H5" s="2"/>
      <c r="I5" s="2"/>
    </row>
    <row r="6" ht="23" customHeight="1">
      <c r="A6" s="2"/>
      <c r="B6" s="2"/>
      <c r="C6" s="2"/>
      <c r="D6" s="2"/>
      <c r="E6" s="2"/>
      <c r="F6" s="2"/>
      <c r="G6" s="2"/>
      <c r="H6" s="2"/>
      <c r="I6" s="2"/>
    </row>
    <row r="7" ht="29" customHeight="1">
      <c r="A7" s="31" t="str">
        <v>Cheie funcție / soluție</v>
      </c>
      <c r="B7" s="32" t="str">
        <v>Capitol</v>
      </c>
      <c r="C7" s="32" t="str">
        <v>Funcție</v>
      </c>
      <c r="D7" s="32" t="str">
        <v>Soluție / modul</v>
      </c>
      <c r="E7" s="32" t="str">
        <v>Statut</v>
      </c>
      <c r="F7" s="32" t="str">
        <v>Explicație / limită</v>
      </c>
      <c r="G7" s="32" t="str">
        <v>Sursa 1</v>
      </c>
      <c r="H7" s="32" t="str">
        <v>Sursa 2</v>
      </c>
      <c r="I7" s="33" t="str">
        <v>Sursa 3</v>
      </c>
    </row>
    <row r="8" ht="43" customHeight="1">
      <c r="A8" s="2" t="str">
        <v>IN01 / eva</v>
      </c>
      <c r="B8" s="26" t="str">
        <v>01 Recepție</v>
      </c>
      <c r="C8" s="26" t="str">
        <v>Recepție / NIR</v>
      </c>
      <c r="D8" s="26" t="str">
        <v>EVA nativă</v>
      </c>
      <c r="E8" s="38" t="str">
        <v>✓ Da</v>
      </c>
      <c r="F8" s="26" t="str">
        <v>Generare MInOut din factura de cumpărare, pentru articole stocabile și gestiune/locator valid.</v>
      </c>
      <c r="G8" s="39" t="str">
        <v>E05</v>
      </c>
      <c r="H8" s="39" t="str">
        <v>E06</v>
      </c>
      <c r="I8" s="39"/>
    </row>
    <row r="9" ht="43" customHeight="1">
      <c r="A9" s="2" t="str">
        <v>IN01 / api</v>
      </c>
      <c r="B9" s="26" t="str">
        <v>01 Recepție</v>
      </c>
      <c r="C9" s="26" t="str">
        <v>Recepție / NIR</v>
      </c>
      <c r="D9" s="26" t="str">
        <v>EVA API</v>
      </c>
      <c r="E9" s="38" t="str">
        <v>✓ Da</v>
      </c>
      <c r="F9" s="26" t="str">
        <v>NIR în registrul EVA; această bifă nu confirmă postarea nativă iDempiere.</v>
      </c>
      <c r="G9" s="39" t="str">
        <v>E08</v>
      </c>
      <c r="H9" s="39"/>
      <c r="I9" s="39"/>
    </row>
    <row r="10" ht="43" customHeight="1">
      <c r="A10" s="2" t="str">
        <v>IN01 / portal</v>
      </c>
      <c r="B10" s="26" t="str">
        <v>01 Recepție</v>
      </c>
      <c r="C10" s="26" t="str">
        <v>Recepție / NIR</v>
      </c>
      <c r="D10" s="26" t="str">
        <v>EVA portal</v>
      </c>
      <c r="E10" s="38" t="str">
        <v>✗ Nu</v>
      </c>
      <c r="F10" s="26" t="str">
        <v>Ecranul inspectat consultă stoc și livrări; nu conține flux de creare NIR.</v>
      </c>
      <c r="G10" s="39" t="str">
        <v>E12</v>
      </c>
      <c r="H10" s="39"/>
      <c r="I10" s="39"/>
    </row>
    <row r="11" ht="43" customHeight="1">
      <c r="A11" s="2" t="str">
        <v>IN01 / base</v>
      </c>
      <c r="B11" s="26" t="str">
        <v>01 Recepție</v>
      </c>
      <c r="C11" s="26" t="str">
        <v>Recepție / NIR</v>
      </c>
      <c r="D11" s="26" t="str">
        <v>iDempiere standard</v>
      </c>
      <c r="E11" s="38" t="str">
        <v>✓ Da</v>
      </c>
      <c r="F11" s="26" t="str">
        <v>Documentul de recepție și legătura cu achizițiile.</v>
      </c>
      <c r="G11" s="39" t="str">
        <v>S05</v>
      </c>
      <c r="H11" s="39"/>
      <c r="I11" s="39"/>
    </row>
    <row r="12" ht="43" customHeight="1">
      <c r="A12" s="2" t="str">
        <v>IN01 / red1</v>
      </c>
      <c r="B12" s="26" t="str">
        <v>01 Recepție</v>
      </c>
      <c r="C12" s="26" t="str">
        <v>Recepție / NIR</v>
      </c>
      <c r="D12" s="26" t="str">
        <v>Red1 / SYSNOVA WMS</v>
      </c>
      <c r="E12" s="38" t="str">
        <v>✓ Da</v>
      </c>
      <c r="F12" s="26" t="str">
        <v>Ghid 1.0 din 06.07.2017, 47 pagini PDF. În raport, paginile sunt cele PDF, numărate de la 1.</v>
      </c>
      <c r="G12" s="39" t="str">
        <v>S11</v>
      </c>
      <c r="H12" s="39"/>
      <c r="I12" s="39"/>
    </row>
    <row r="13" ht="43" customHeight="1">
      <c r="A13" s="2" t="str">
        <v>IN01 / libero</v>
      </c>
      <c r="B13" s="26" t="str">
        <v>01 Recepție</v>
      </c>
      <c r="C13" s="26" t="str">
        <v>Recepție / NIR</v>
      </c>
      <c r="D13" s="26" t="str">
        <v>Libero Warehousing</v>
      </c>
      <c r="E13" s="38" t="str">
        <v>✗ Nu</v>
      </c>
      <c r="F13" s="26" t="str">
        <v>Inbound este încă în dezvoltare în descrierea istorică.</v>
      </c>
      <c r="G13" s="39" t="str">
        <v>S12</v>
      </c>
      <c r="H13" s="39"/>
      <c r="I13" s="39"/>
    </row>
    <row r="14" ht="43" customHeight="1">
      <c r="A14" s="2" t="str">
        <v>IN01 / mywms</v>
      </c>
      <c r="B14" s="26" t="str">
        <v>01 Recepție</v>
      </c>
      <c r="C14" s="26" t="str">
        <v>Recepție / NIR</v>
      </c>
      <c r="D14" s="26" t="str">
        <v>myWMS Release 2</v>
      </c>
      <c r="E14" s="38" t="str">
        <v>✓ Da</v>
      </c>
      <c r="F14" s="26" t="str">
        <v>Manual descărcat și citit, 13 pagini; recepție și depozitare mobilă.</v>
      </c>
      <c r="G14" s="39" t="str">
        <v>S27</v>
      </c>
      <c r="H14" s="39"/>
      <c r="I14" s="39"/>
    </row>
    <row r="15" ht="43" customHeight="1">
      <c r="A15" s="2" t="str">
        <v>IN01 / openboxes</v>
      </c>
      <c r="B15" s="26" t="str">
        <v>01 Recepție</v>
      </c>
      <c r="C15" s="26" t="str">
        <v>Recepție / NIR</v>
      </c>
      <c r="D15" s="26" t="str">
        <v>OpenBoxes</v>
      </c>
      <c r="E15" s="38" t="str">
        <v>✓ Da</v>
      </c>
      <c r="F15" s="26" t="str">
        <v>Recepții parțiale, completare și rollback.</v>
      </c>
      <c r="G15" s="39" t="str">
        <v>S24</v>
      </c>
      <c r="H15" s="39"/>
      <c r="I15" s="39"/>
    </row>
    <row r="16" ht="43" customHeight="1">
      <c r="A16" s="2" t="str">
        <v>IN01 / greater</v>
      </c>
      <c r="B16" s="26" t="str">
        <v>01 Recepție</v>
      </c>
      <c r="C16" s="26" t="str">
        <v>Recepție / NIR</v>
      </c>
      <c r="D16" s="26" t="str">
        <v>GreaterWMS</v>
      </c>
      <c r="E16" s="38" t="str">
        <v>◐ Parțial</v>
      </c>
      <c r="F16" s="26" t="str">
        <v>ASN declarat în README; tagul exact nu a fost probat.</v>
      </c>
      <c r="G16" s="39" t="str">
        <v>S33</v>
      </c>
      <c r="H16" s="39"/>
      <c r="I16" s="39"/>
    </row>
    <row r="17" ht="43" customHeight="1">
      <c r="A17" s="2" t="str">
        <v>IN01 / openwms</v>
      </c>
      <c r="B17" s="26" t="str">
        <v>01 Recepție</v>
      </c>
      <c r="C17" s="26" t="str">
        <v>Recepție / NIR</v>
      </c>
      <c r="D17" s="26" t="str">
        <v>OpenWMS</v>
      </c>
      <c r="E17" s="38" t="str">
        <v>◐ Parțial</v>
      </c>
      <c r="F17" s="26" t="str">
        <v>Receiving este modul public; flux complet instalabil neconfirmat.</v>
      </c>
      <c r="G17" s="39" t="str">
        <v>S37</v>
      </c>
      <c r="H17" s="39"/>
      <c r="I17" s="39"/>
    </row>
    <row r="18" ht="43" customHeight="1">
      <c r="A18" s="2" t="str">
        <v>IN01 / scan</v>
      </c>
      <c r="B18" s="26" t="str">
        <v>01 Recepție</v>
      </c>
      <c r="C18" s="26" t="str">
        <v>Recepție / NIR</v>
      </c>
      <c r="D18" s="26" t="str">
        <v>Android Scan Write</v>
      </c>
      <c r="E18" s="38" t="str">
        <v>? Neconfirmat</v>
      </c>
      <c r="F18" s="26" t="str">
        <v>Funcția nu este confirmată în sursele consultate pentru această variantă. Nu înseamnă absență.</v>
      </c>
      <c r="G18" s="39" t="str">
        <v>S39</v>
      </c>
      <c r="H18" s="39"/>
      <c r="I18" s="39"/>
    </row>
    <row r="19" ht="43" customHeight="1">
      <c r="A19" s="2" t="str">
        <v>IN01 / tms</v>
      </c>
      <c r="B19" s="26" t="str">
        <v>01 Recepție</v>
      </c>
      <c r="C19" s="26" t="str">
        <v>Recepție / NIR</v>
      </c>
      <c r="D19" s="26" t="str">
        <v>TMS iDempiere</v>
      </c>
      <c r="E19" s="38" t="str">
        <v>? Neconfirmat</v>
      </c>
      <c r="F19" s="26" t="str">
        <v>Funcția nu este confirmată în sursele consultate pentru această variantă. Nu înseamnă absență.</v>
      </c>
      <c r="G19" s="39" t="str">
        <v>S40</v>
      </c>
      <c r="H19" s="39"/>
      <c r="I19" s="39"/>
    </row>
    <row r="20" ht="43" customHeight="1">
      <c r="A20" s="2" t="str">
        <v>IN01 / mobile</v>
      </c>
      <c r="B20" s="26" t="str">
        <v>01 Recepție</v>
      </c>
      <c r="C20" s="26" t="str">
        <v>Recepție / NIR</v>
      </c>
      <c r="D20" s="26" t="str">
        <v>SCM iDempiere Mobile</v>
      </c>
      <c r="E20" s="38" t="str">
        <v>◐ Parțial</v>
      </c>
      <c r="F20" s="26" t="str">
        <v>Recepție declarată de furnizor, fără verificare practică.</v>
      </c>
      <c r="G20" s="39" t="str">
        <v>S41</v>
      </c>
      <c r="H20" s="39"/>
      <c r="I20" s="39"/>
    </row>
    <row r="21" ht="43" customHeight="1">
      <c r="A21" s="2" t="str">
        <v>IN02 / eva</v>
      </c>
      <c r="B21" s="26" t="str">
        <v>01 Recepție</v>
      </c>
      <c r="C21" s="26" t="str">
        <v>Recepție mobilă cu validare</v>
      </c>
      <c r="D21" s="26" t="str">
        <v>EVA nativă</v>
      </c>
      <c r="E21" s="38" t="str">
        <v>? Neconfirmat</v>
      </c>
      <c r="F21" s="26" t="str">
        <v>Funcția nu este confirmată în sursele consultate pentru această variantă. Nu înseamnă absență.</v>
      </c>
      <c r="G21" s="39" t="str">
        <v>E05</v>
      </c>
      <c r="H21" s="39"/>
      <c r="I21" s="39"/>
    </row>
    <row r="22" ht="43" customHeight="1">
      <c r="A22" s="2" t="str">
        <v>IN02 / api</v>
      </c>
      <c r="B22" s="26" t="str">
        <v>01 Recepție</v>
      </c>
      <c r="C22" s="26" t="str">
        <v>Recepție mobilă cu validare</v>
      </c>
      <c r="D22" s="26" t="str">
        <v>EVA API</v>
      </c>
      <c r="E22" s="38" t="str">
        <v>? Neconfirmat</v>
      </c>
      <c r="F22" s="26" t="str">
        <v>Funcția nu este confirmată în sursele consultate pentru această variantă. Nu înseamnă absență.</v>
      </c>
      <c r="G22" s="39" t="str">
        <v>E09</v>
      </c>
      <c r="H22" s="39"/>
      <c r="I22" s="39"/>
    </row>
    <row r="23" ht="43" customHeight="1">
      <c r="A23" s="2" t="str">
        <v>IN02 / portal</v>
      </c>
      <c r="B23" s="26" t="str">
        <v>01 Recepție</v>
      </c>
      <c r="C23" s="26" t="str">
        <v>Recepție mobilă cu validare</v>
      </c>
      <c r="D23" s="26" t="str">
        <v>EVA portal</v>
      </c>
      <c r="E23" s="38" t="str">
        <v>? Neconfirmat</v>
      </c>
      <c r="F23" s="26" t="str">
        <v>Fluxul nu este confirmat în ecranul eva_stock.html inspectat.</v>
      </c>
      <c r="G23" s="39" t="str">
        <v>E12</v>
      </c>
      <c r="H23" s="39"/>
      <c r="I23" s="39"/>
    </row>
    <row r="24" ht="43" customHeight="1">
      <c r="A24" s="2" t="str">
        <v>IN02 / base</v>
      </c>
      <c r="B24" s="26" t="str">
        <v>01 Recepție</v>
      </c>
      <c r="C24" s="26" t="str">
        <v>Recepție mobilă cu validare</v>
      </c>
      <c r="D24" s="26" t="str">
        <v>iDempiere standard</v>
      </c>
      <c r="E24" s="38" t="str">
        <v>? Neconfirmat</v>
      </c>
      <c r="F24" s="26" t="str">
        <v>Funcția nu este confirmată în sursele consultate pentru această variantă. Nu înseamnă absență.</v>
      </c>
      <c r="G24" s="39" t="str">
        <v>S02</v>
      </c>
      <c r="H24" s="39"/>
      <c r="I24" s="39"/>
    </row>
    <row r="25" ht="43" customHeight="1">
      <c r="A25" s="2" t="str">
        <v>IN02 / red1</v>
      </c>
      <c r="B25" s="26" t="str">
        <v>01 Recepție</v>
      </c>
      <c r="C25" s="26" t="str">
        <v>Recepție mobilă cu validare</v>
      </c>
      <c r="D25" s="26" t="str">
        <v>Red1 / SYSNOVA WMS</v>
      </c>
      <c r="E25" s="38" t="str">
        <v>? Neconfirmat</v>
      </c>
      <c r="F25" s="26" t="str">
        <v>Funcția nu este confirmată în sursele consultate pentru această variantă. Nu înseamnă absență.</v>
      </c>
      <c r="G25" s="39" t="str">
        <v>S11</v>
      </c>
      <c r="H25" s="39"/>
      <c r="I25" s="39"/>
    </row>
    <row r="26" ht="43" customHeight="1">
      <c r="A26" s="2" t="str">
        <v>IN02 / libero</v>
      </c>
      <c r="B26" s="26" t="str">
        <v>01 Recepție</v>
      </c>
      <c r="C26" s="26" t="str">
        <v>Recepție mobilă cu validare</v>
      </c>
      <c r="D26" s="26" t="str">
        <v>Libero Warehousing</v>
      </c>
      <c r="E26" s="38" t="str">
        <v>? Neconfirmat</v>
      </c>
      <c r="F26" s="26" t="str">
        <v>Funcția nu este confirmată în sursele consultate pentru această variantă. Nu înseamnă absență.</v>
      </c>
      <c r="G26" s="39" t="str">
        <v>S12</v>
      </c>
      <c r="H26" s="39"/>
      <c r="I26" s="39"/>
    </row>
    <row r="27" ht="43" customHeight="1">
      <c r="A27" s="2" t="str">
        <v>IN02 / mywms</v>
      </c>
      <c r="B27" s="26" t="str">
        <v>01 Recepție</v>
      </c>
      <c r="C27" s="26" t="str">
        <v>Recepție mobilă cu validare</v>
      </c>
      <c r="D27" s="26" t="str">
        <v>myWMS Release 2</v>
      </c>
      <c r="E27" s="38" t="str">
        <v>✓ Da</v>
      </c>
      <c r="F27" s="26" t="str">
        <v>Manual descărcat și citit, 13 pagini; recepție și depozitare mobilă.</v>
      </c>
      <c r="G27" s="39" t="str">
        <v>S27</v>
      </c>
      <c r="H27" s="39"/>
      <c r="I27" s="39"/>
    </row>
    <row r="28" ht="43" customHeight="1">
      <c r="A28" s="2" t="str">
        <v>IN02 / openboxes</v>
      </c>
      <c r="B28" s="26" t="str">
        <v>01 Recepție</v>
      </c>
      <c r="C28" s="26" t="str">
        <v>Recepție mobilă cu validare</v>
      </c>
      <c r="D28" s="26" t="str">
        <v>OpenBoxes</v>
      </c>
      <c r="E28" s="38" t="str">
        <v>◐ Parțial</v>
      </c>
      <c r="F28" s="26" t="str">
        <v>Scanare mobilă declarată; dispozitivul și release-ul trebuie probate.</v>
      </c>
      <c r="G28" s="39" t="str">
        <v>S22</v>
      </c>
      <c r="H28" s="39"/>
      <c r="I28" s="39"/>
    </row>
    <row r="29" ht="43" customHeight="1">
      <c r="A29" s="2" t="str">
        <v>IN02 / greater</v>
      </c>
      <c r="B29" s="26" t="str">
        <v>01 Recepție</v>
      </c>
      <c r="C29" s="26" t="str">
        <v>Recepție mobilă cu validare</v>
      </c>
      <c r="D29" s="26" t="str">
        <v>GreaterWMS</v>
      </c>
      <c r="E29" s="38" t="str">
        <v>◐ Parțial</v>
      </c>
      <c r="F29" s="26" t="str">
        <v>PDA/ASN declarate; procedură completă neconfirmată.</v>
      </c>
      <c r="G29" s="39" t="str">
        <v>S33</v>
      </c>
      <c r="H29" s="39"/>
      <c r="I29" s="39"/>
    </row>
    <row r="30" ht="43" customHeight="1">
      <c r="A30" s="2" t="str">
        <v>IN02 / openwms</v>
      </c>
      <c r="B30" s="26" t="str">
        <v>01 Recepție</v>
      </c>
      <c r="C30" s="26" t="str">
        <v>Recepție mobilă cu validare</v>
      </c>
      <c r="D30" s="26" t="str">
        <v>OpenWMS</v>
      </c>
      <c r="E30" s="38" t="str">
        <v>◐ Parțial</v>
      </c>
      <c r="F30" s="26" t="str">
        <v>Roma mobil este prezentat; accesul și fluxul exact trebuie verificate.</v>
      </c>
      <c r="G30" s="39" t="str">
        <v>S38</v>
      </c>
      <c r="H30" s="39"/>
      <c r="I30" s="39"/>
    </row>
    <row r="31" ht="43" customHeight="1">
      <c r="A31" s="2" t="str">
        <v>IN02 / scan</v>
      </c>
      <c r="B31" s="26" t="str">
        <v>01 Recepție</v>
      </c>
      <c r="C31" s="26" t="str">
        <v>Recepție mobilă cu validare</v>
      </c>
      <c r="D31" s="26" t="str">
        <v>Android Scan Write</v>
      </c>
      <c r="E31" s="38" t="str">
        <v>? Neconfirmat</v>
      </c>
      <c r="F31" s="26" t="str">
        <v>Funcția nu este confirmată în sursele consultate pentru această variantă. Nu înseamnă absență.</v>
      </c>
      <c r="G31" s="39" t="str">
        <v>S39</v>
      </c>
      <c r="H31" s="39"/>
      <c r="I31" s="39"/>
    </row>
    <row r="32" ht="43" customHeight="1">
      <c r="A32" s="2" t="str">
        <v>IN02 / tms</v>
      </c>
      <c r="B32" s="26" t="str">
        <v>01 Recepție</v>
      </c>
      <c r="C32" s="26" t="str">
        <v>Recepție mobilă cu validare</v>
      </c>
      <c r="D32" s="26" t="str">
        <v>TMS iDempiere</v>
      </c>
      <c r="E32" s="38" t="str">
        <v>? Neconfirmat</v>
      </c>
      <c r="F32" s="26" t="str">
        <v>Funcția nu este confirmată în sursele consultate pentru această variantă. Nu înseamnă absență.</v>
      </c>
      <c r="G32" s="39" t="str">
        <v>S40</v>
      </c>
      <c r="H32" s="39"/>
      <c r="I32" s="39"/>
    </row>
    <row r="33" ht="43" customHeight="1">
      <c r="A33" s="2" t="str">
        <v>IN02 / mobile</v>
      </c>
      <c r="B33" s="26" t="str">
        <v>01 Recepție</v>
      </c>
      <c r="C33" s="26" t="str">
        <v>Recepție mobilă cu validare</v>
      </c>
      <c r="D33" s="26" t="str">
        <v>SCM iDempiere Mobile</v>
      </c>
      <c r="E33" s="38" t="str">
        <v>◐ Parțial</v>
      </c>
      <c r="F33" s="26" t="str">
        <v>Recepție cu lot/expirare declarată de furnizor.</v>
      </c>
      <c r="G33" s="39" t="str">
        <v>S41</v>
      </c>
      <c r="H33" s="39"/>
      <c r="I33" s="39"/>
    </row>
    <row r="34" ht="43" customHeight="1">
      <c r="A34" s="2" t="str">
        <v>IN03 / eva</v>
      </c>
      <c r="B34" s="26" t="str">
        <v>01 Recepție</v>
      </c>
      <c r="C34" s="26" t="str">
        <v>Putaway dirijat după reguli</v>
      </c>
      <c r="D34" s="26" t="str">
        <v>EVA nativă</v>
      </c>
      <c r="E34" s="38" t="str">
        <v>◐ Parțial</v>
      </c>
      <c r="F34" s="26" t="str">
        <v>Este ales un locator implicit/primul disponibil în selecția SQL; nu motor de capacitate.</v>
      </c>
      <c r="G34" s="39" t="str">
        <v>E05</v>
      </c>
      <c r="H34" s="39"/>
      <c r="I34" s="39"/>
    </row>
    <row r="35" ht="43" customHeight="1">
      <c r="A35" s="2" t="str">
        <v>IN03 / api</v>
      </c>
      <c r="B35" s="26" t="str">
        <v>01 Recepție</v>
      </c>
      <c r="C35" s="26" t="str">
        <v>Putaway dirijat după reguli</v>
      </c>
      <c r="D35" s="26" t="str">
        <v>EVA API</v>
      </c>
      <c r="E35" s="38" t="str">
        <v>? Neconfirmat</v>
      </c>
      <c r="F35" s="26" t="str">
        <v>Funcția nu este confirmată în sursele consultate pentru această variantă. Nu înseamnă absență.</v>
      </c>
      <c r="G35" s="39" t="str">
        <v>E09</v>
      </c>
      <c r="H35" s="39"/>
      <c r="I35" s="39"/>
    </row>
    <row r="36" ht="43" customHeight="1">
      <c r="A36" s="2" t="str">
        <v>IN03 / portal</v>
      </c>
      <c r="B36" s="26" t="str">
        <v>01 Recepție</v>
      </c>
      <c r="C36" s="26" t="str">
        <v>Putaway dirijat după reguli</v>
      </c>
      <c r="D36" s="26" t="str">
        <v>EVA portal</v>
      </c>
      <c r="E36" s="38" t="str">
        <v>? Neconfirmat</v>
      </c>
      <c r="F36" s="26" t="str">
        <v>Fluxul nu este confirmat în ecranul eva_stock.html inspectat.</v>
      </c>
      <c r="G36" s="39" t="str">
        <v>E12</v>
      </c>
      <c r="H36" s="39"/>
      <c r="I36" s="39"/>
    </row>
    <row r="37" ht="43" customHeight="1">
      <c r="A37" s="2" t="str">
        <v>IN03 / base</v>
      </c>
      <c r="B37" s="26" t="str">
        <v>01 Recepție</v>
      </c>
      <c r="C37" s="26" t="str">
        <v>Putaway dirijat după reguli</v>
      </c>
      <c r="D37" s="26" t="str">
        <v>iDempiere standard</v>
      </c>
      <c r="E37" s="38" t="str">
        <v>◐ Parțial</v>
      </c>
      <c r="F37" s="26" t="str">
        <v>Locație implicită și priorități; motor avansat neconfirmat.</v>
      </c>
      <c r="G37" s="39" t="str">
        <v>S03</v>
      </c>
      <c r="H37" s="39"/>
      <c r="I37" s="39"/>
    </row>
    <row r="38" ht="43" customHeight="1">
      <c r="A38" s="2" t="str">
        <v>IN03 / red1</v>
      </c>
      <c r="B38" s="26" t="str">
        <v>01 Recepție</v>
      </c>
      <c r="C38" s="26" t="str">
        <v>Putaway dirijat după reguli</v>
      </c>
      <c r="D38" s="26" t="str">
        <v>Red1 / SYSNOVA WMS</v>
      </c>
      <c r="E38" s="38" t="str">
        <v>✓ Da</v>
      </c>
      <c r="F38" s="26" t="str">
        <v>Capacitate, tipuri și locații preferate în ghid.</v>
      </c>
      <c r="G38" s="39" t="str">
        <v>S11</v>
      </c>
      <c r="H38" s="39"/>
      <c r="I38" s="39"/>
    </row>
    <row r="39" ht="43" customHeight="1">
      <c r="A39" s="2" t="str">
        <v>IN03 / libero</v>
      </c>
      <c r="B39" s="26" t="str">
        <v>01 Recepție</v>
      </c>
      <c r="C39" s="26" t="str">
        <v>Putaway dirijat după reguli</v>
      </c>
      <c r="D39" s="26" t="str">
        <v>Libero Warehousing</v>
      </c>
      <c r="E39" s="38" t="str">
        <v>✗ Nu</v>
      </c>
      <c r="F39" s="26" t="str">
        <v>Inbound nefinalizat în versiunea documentată.</v>
      </c>
      <c r="G39" s="39" t="str">
        <v>S12</v>
      </c>
      <c r="H39" s="39"/>
      <c r="I39" s="39"/>
    </row>
    <row r="40" ht="43" customHeight="1">
      <c r="A40" s="2" t="str">
        <v>IN03 / mywms</v>
      </c>
      <c r="B40" s="26" t="str">
        <v>01 Recepție</v>
      </c>
      <c r="C40" s="26" t="str">
        <v>Putaway dirijat după reguli</v>
      </c>
      <c r="D40" s="26" t="str">
        <v>myWMS Release 2</v>
      </c>
      <c r="E40" s="38" t="str">
        <v>✓ Da</v>
      </c>
      <c r="F40" s="26" t="str">
        <v>Manual descărcat și citit, 13 pagini; recepție și depozitare mobilă.</v>
      </c>
      <c r="G40" s="39" t="str">
        <v>S27</v>
      </c>
      <c r="H40" s="39"/>
      <c r="I40" s="39"/>
    </row>
    <row r="41" ht="43" customHeight="1">
      <c r="A41" s="2" t="str">
        <v>IN03 / openboxes</v>
      </c>
      <c r="B41" s="26" t="str">
        <v>01 Recepție</v>
      </c>
      <c r="C41" s="26" t="str">
        <v>Putaway dirijat după reguli</v>
      </c>
      <c r="D41" s="26" t="str">
        <v>OpenBoxes</v>
      </c>
      <c r="E41" s="38" t="str">
        <v>✓ Da</v>
      </c>
      <c r="F41" s="26" t="str">
        <v>Locații preferate, împărțire și confirmare.</v>
      </c>
      <c r="G41" s="39" t="str">
        <v>S17</v>
      </c>
      <c r="H41" s="39"/>
      <c r="I41" s="39"/>
    </row>
    <row r="42" ht="43" customHeight="1">
      <c r="A42" s="2" t="str">
        <v>IN03 / greater</v>
      </c>
      <c r="B42" s="26" t="str">
        <v>01 Recepție</v>
      </c>
      <c r="C42" s="26" t="str">
        <v>Putaway dirijat după reguli</v>
      </c>
      <c r="D42" s="26" t="str">
        <v>GreaterWMS</v>
      </c>
      <c r="E42" s="38" t="str">
        <v>? Neconfirmat</v>
      </c>
      <c r="F42" s="26" t="str">
        <v>Funcția nu este confirmată în sursele consultate pentru această variantă. Nu înseamnă absență.</v>
      </c>
      <c r="G42" s="39" t="str">
        <v>S33</v>
      </c>
      <c r="H42" s="39"/>
      <c r="I42" s="39"/>
    </row>
    <row r="43" ht="43" customHeight="1">
      <c r="A43" s="2" t="str">
        <v>IN03 / openwms</v>
      </c>
      <c r="B43" s="26" t="str">
        <v>01 Recepție</v>
      </c>
      <c r="C43" s="26" t="str">
        <v>Putaway dirijat după reguli</v>
      </c>
      <c r="D43" s="26" t="str">
        <v>OpenWMS</v>
      </c>
      <c r="E43" s="38" t="str">
        <v>◐ Parțial</v>
      </c>
      <c r="F43" s="26" t="str">
        <v>Componentă putaway privată; disponibilitatea publică nu este confirmată.</v>
      </c>
      <c r="G43" s="39" t="str">
        <v>S37</v>
      </c>
      <c r="H43" s="39"/>
      <c r="I43" s="39"/>
    </row>
    <row r="44" ht="43" customHeight="1">
      <c r="A44" s="2" t="str">
        <v>IN03 / scan</v>
      </c>
      <c r="B44" s="26" t="str">
        <v>01 Recepție</v>
      </c>
      <c r="C44" s="26" t="str">
        <v>Putaway dirijat după reguli</v>
      </c>
      <c r="D44" s="26" t="str">
        <v>Android Scan Write</v>
      </c>
      <c r="E44" s="38" t="str">
        <v>? Neconfirmat</v>
      </c>
      <c r="F44" s="26" t="str">
        <v>Funcția nu este confirmată în sursele consultate pentru această variantă. Nu înseamnă absență.</v>
      </c>
      <c r="G44" s="39" t="str">
        <v>S39</v>
      </c>
      <c r="H44" s="39"/>
      <c r="I44" s="39"/>
    </row>
    <row r="45" ht="43" customHeight="1">
      <c r="A45" s="2" t="str">
        <v>IN03 / tms</v>
      </c>
      <c r="B45" s="26" t="str">
        <v>01 Recepție</v>
      </c>
      <c r="C45" s="26" t="str">
        <v>Putaway dirijat după reguli</v>
      </c>
      <c r="D45" s="26" t="str">
        <v>TMS iDempiere</v>
      </c>
      <c r="E45" s="38" t="str">
        <v>? Neconfirmat</v>
      </c>
      <c r="F45" s="26" t="str">
        <v>Funcția nu este confirmată în sursele consultate pentru această variantă. Nu înseamnă absență.</v>
      </c>
      <c r="G45" s="39" t="str">
        <v>S40</v>
      </c>
      <c r="H45" s="39"/>
      <c r="I45" s="39"/>
    </row>
    <row r="46" ht="43" customHeight="1">
      <c r="A46" s="2" t="str">
        <v>IN03 / mobile</v>
      </c>
      <c r="B46" s="26" t="str">
        <v>01 Recepție</v>
      </c>
      <c r="C46" s="26" t="str">
        <v>Putaway dirijat după reguli</v>
      </c>
      <c r="D46" s="26" t="str">
        <v>SCM iDempiere Mobile</v>
      </c>
      <c r="E46" s="38" t="str">
        <v>? Neconfirmat</v>
      </c>
      <c r="F46" s="26" t="str">
        <v>Funcția nu este confirmată în sursele consultate pentru această variantă. Nu înseamnă absență.</v>
      </c>
      <c r="G46" s="39" t="str">
        <v>S41</v>
      </c>
      <c r="H46" s="39"/>
      <c r="I46" s="39"/>
    </row>
    <row r="47" ht="43" customHeight="1">
      <c r="A47" s="2" t="str">
        <v>ST01 / eva</v>
      </c>
      <c r="B47" s="26" t="str">
        <v>02 Stoc și trasabilitate</v>
      </c>
      <c r="C47" s="26" t="str">
        <v>Mai multe depozite / gestiuni</v>
      </c>
      <c r="D47" s="26" t="str">
        <v>EVA nativă</v>
      </c>
      <c r="E47" s="38" t="str">
        <v>✓ Da</v>
      </c>
      <c r="F47" s="26" t="str">
        <v>Rulaje din M_Transaction, depozit, cost și prag minim. Raport cu citire, nu motor de sarcini. MMovement, locatori sursă/destinație și completare; storno în jurul L2136.</v>
      </c>
      <c r="G47" s="39" t="str">
        <v>E02</v>
      </c>
      <c r="H47" s="39" t="str">
        <v>E03</v>
      </c>
      <c r="I47" s="39"/>
    </row>
    <row r="48" ht="43" customHeight="1">
      <c r="A48" s="2" t="str">
        <v>ST01 / api</v>
      </c>
      <c r="B48" s="26" t="str">
        <v>02 Stoc și trasabilitate</v>
      </c>
      <c r="C48" s="26" t="str">
        <v>Mai multe depozite / gestiuni</v>
      </c>
      <c r="D48" s="26" t="str">
        <v>EVA API</v>
      </c>
      <c r="E48" s="38" t="str">
        <v>✓ Da</v>
      </c>
      <c r="F48" s="26" t="str">
        <v>Gestiuni EVA și endpoint de consultare depozite native.</v>
      </c>
      <c r="G48" s="39" t="str">
        <v>E08</v>
      </c>
      <c r="H48" s="39" t="str">
        <v>E09</v>
      </c>
      <c r="I48" s="39"/>
    </row>
    <row r="49" ht="43" customHeight="1">
      <c r="A49" s="2" t="str">
        <v>ST01 / portal</v>
      </c>
      <c r="B49" s="26" t="str">
        <v>02 Stoc și trasabilitate</v>
      </c>
      <c r="C49" s="26" t="str">
        <v>Mai multe depozite / gestiuni</v>
      </c>
      <c r="D49" s="26" t="str">
        <v>EVA portal</v>
      </c>
      <c r="E49" s="38" t="str">
        <v>? Neconfirmat</v>
      </c>
      <c r="F49" s="26" t="str">
        <v>Fluxul nu este confirmat în ecranul eva_stock.html inspectat.</v>
      </c>
      <c r="G49" s="39" t="str">
        <v>E12</v>
      </c>
      <c r="H49" s="39"/>
      <c r="I49" s="39"/>
    </row>
    <row r="50" ht="43" customHeight="1">
      <c r="A50" s="2" t="str">
        <v>ST01 / base</v>
      </c>
      <c r="B50" s="26" t="str">
        <v>02 Stoc și trasabilitate</v>
      </c>
      <c r="C50" s="26" t="str">
        <v>Mai multe depozite / gestiuni</v>
      </c>
      <c r="D50" s="26" t="str">
        <v>iDempiere standard</v>
      </c>
      <c r="E50" s="38" t="str">
        <v>✓ Da</v>
      </c>
      <c r="F50" s="26" t="str">
        <v>Locații X/Y/Z, priorități și comportament documentat pentru Guarantee Date; pagină istorică.</v>
      </c>
      <c r="G50" s="39" t="str">
        <v>S03</v>
      </c>
      <c r="H50" s="39"/>
      <c r="I50" s="39"/>
    </row>
    <row r="51" ht="43" customHeight="1">
      <c r="A51" s="2" t="str">
        <v>ST01 / red1</v>
      </c>
      <c r="B51" s="26" t="str">
        <v>02 Stoc și trasabilitate</v>
      </c>
      <c r="C51" s="26" t="str">
        <v>Mai multe depozite / gestiuni</v>
      </c>
      <c r="D51" s="26" t="str">
        <v>Red1 / SYSNOVA WMS</v>
      </c>
      <c r="E51" s="38" t="str">
        <v>✓ Da</v>
      </c>
      <c r="F51" s="26" t="str">
        <v>Ghid 1.0 din 06.07.2017, 47 pagini PDF. În raport, paginile sunt cele PDF, numărate de la 1.</v>
      </c>
      <c r="G51" s="39" t="str">
        <v>S11</v>
      </c>
      <c r="H51" s="39"/>
      <c r="I51" s="39"/>
    </row>
    <row r="52" ht="43" customHeight="1">
      <c r="A52" s="2" t="str">
        <v>ST01 / libero</v>
      </c>
      <c r="B52" s="26" t="str">
        <v>02 Stoc și trasabilitate</v>
      </c>
      <c r="C52" s="26" t="str">
        <v>Mai multe depozite / gestiuni</v>
      </c>
      <c r="D52" s="26" t="str">
        <v>Libero Warehousing</v>
      </c>
      <c r="E52" s="38" t="str">
        <v>◐ Parțial</v>
      </c>
      <c r="F52" s="26" t="str">
        <v>Moștenește structurile ERP; comportamentul extensiei trebuie probat.</v>
      </c>
      <c r="G52" s="39" t="str">
        <v>S12</v>
      </c>
      <c r="H52" s="39" t="str">
        <v>S03</v>
      </c>
      <c r="I52" s="39"/>
    </row>
    <row r="53" ht="43" customHeight="1">
      <c r="A53" s="2" t="str">
        <v>ST01 / mywms</v>
      </c>
      <c r="B53" s="26" t="str">
        <v>02 Stoc și trasabilitate</v>
      </c>
      <c r="C53" s="26" t="str">
        <v>Mai multe depozite / gestiuni</v>
      </c>
      <c r="D53" s="26" t="str">
        <v>myWMS Release 2</v>
      </c>
      <c r="E53" s="38" t="str">
        <v>✓ Da</v>
      </c>
      <c r="F53" s="26" t="str">
        <v>Manual descărcat și citit, 28 pagini; roluri, locații, capacități și strategii.</v>
      </c>
      <c r="G53" s="39" t="str">
        <v>S44</v>
      </c>
      <c r="H53" s="39"/>
      <c r="I53" s="39"/>
    </row>
    <row r="54" ht="43" customHeight="1">
      <c r="A54" s="2" t="str">
        <v>ST01 / openboxes</v>
      </c>
      <c r="B54" s="26" t="str">
        <v>02 Stoc și trasabilitate</v>
      </c>
      <c r="C54" s="26" t="str">
        <v>Mai multe depozite / gestiuni</v>
      </c>
      <c r="D54" s="26" t="str">
        <v>OpenBoxes</v>
      </c>
      <c r="E54" s="38" t="str">
        <v>✓ Da</v>
      </c>
      <c r="F54" s="26" t="str">
        <v>Stoc pe lot și locație, disponibil, hold, recalled și istoric.</v>
      </c>
      <c r="G54" s="39" t="str">
        <v>S20</v>
      </c>
      <c r="H54" s="39"/>
      <c r="I54" s="39"/>
    </row>
    <row r="55" ht="43" customHeight="1">
      <c r="A55" s="2" t="str">
        <v>ST01 / greater</v>
      </c>
      <c r="B55" s="26" t="str">
        <v>02 Stoc și trasabilitate</v>
      </c>
      <c r="C55" s="26" t="str">
        <v>Mai multe depozite / gestiuni</v>
      </c>
      <c r="D55" s="26" t="str">
        <v>GreaterWMS</v>
      </c>
      <c r="E55" s="38" t="str">
        <v>◐ Parțial</v>
      </c>
      <c r="F55" s="26" t="str">
        <v>Funcție declarată în README.</v>
      </c>
      <c r="G55" s="39" t="str">
        <v>S33</v>
      </c>
      <c r="H55" s="39"/>
      <c r="I55" s="39"/>
    </row>
    <row r="56" ht="43" customHeight="1">
      <c r="A56" s="2" t="str">
        <v>ST01 / openwms</v>
      </c>
      <c r="B56" s="26" t="str">
        <v>02 Stoc și trasabilitate</v>
      </c>
      <c r="C56" s="26" t="str">
        <v>Mai multe depozite / gestiuni</v>
      </c>
      <c r="D56" s="26" t="str">
        <v>OpenWMS</v>
      </c>
      <c r="E56" s="38" t="str">
        <v>◐ Parțial</v>
      </c>
      <c r="F56" s="26" t="str">
        <v>Structuri common publice, inventory privat/preview.</v>
      </c>
      <c r="G56" s="39" t="str">
        <v>S37</v>
      </c>
      <c r="H56" s="39"/>
      <c r="I56" s="39"/>
    </row>
    <row r="57" ht="43" customHeight="1">
      <c r="A57" s="2" t="str">
        <v>ST01 / scan</v>
      </c>
      <c r="B57" s="26" t="str">
        <v>02 Stoc și trasabilitate</v>
      </c>
      <c r="C57" s="26" t="str">
        <v>Mai multe depozite / gestiuni</v>
      </c>
      <c r="D57" s="26" t="str">
        <v>Android Scan Write</v>
      </c>
      <c r="E57" s="38" t="str">
        <v>? Neconfirmat</v>
      </c>
      <c r="F57" s="26" t="str">
        <v>Funcția nu este confirmată în sursele consultate pentru această variantă. Nu înseamnă absență.</v>
      </c>
      <c r="G57" s="39" t="str">
        <v>S39</v>
      </c>
      <c r="H57" s="39"/>
      <c r="I57" s="39"/>
    </row>
    <row r="58" ht="43" customHeight="1">
      <c r="A58" s="2" t="str">
        <v>ST01 / tms</v>
      </c>
      <c r="B58" s="26" t="str">
        <v>02 Stoc și trasabilitate</v>
      </c>
      <c r="C58" s="26" t="str">
        <v>Mai multe depozite / gestiuni</v>
      </c>
      <c r="D58" s="26" t="str">
        <v>TMS iDempiere</v>
      </c>
      <c r="E58" s="38" t="str">
        <v>? Neconfirmat</v>
      </c>
      <c r="F58" s="26" t="str">
        <v>Funcția nu este confirmată în sursele consultate pentru această variantă. Nu înseamnă absență.</v>
      </c>
      <c r="G58" s="39" t="str">
        <v>S40</v>
      </c>
      <c r="H58" s="39"/>
      <c r="I58" s="39"/>
    </row>
    <row r="59" ht="43" customHeight="1">
      <c r="A59" s="2" t="str">
        <v>ST01 / mobile</v>
      </c>
      <c r="B59" s="26" t="str">
        <v>02 Stoc și trasabilitate</v>
      </c>
      <c r="C59" s="26" t="str">
        <v>Mai multe depozite / gestiuni</v>
      </c>
      <c r="D59" s="26" t="str">
        <v>SCM iDempiere Mobile</v>
      </c>
      <c r="E59" s="38" t="str">
        <v>◐ Parțial</v>
      </c>
      <c r="F59" s="26" t="str">
        <v>Consultare pe depozite declarată.</v>
      </c>
      <c r="G59" s="39" t="str">
        <v>S41</v>
      </c>
      <c r="H59" s="39"/>
      <c r="I59" s="39"/>
    </row>
    <row r="60" ht="43" customHeight="1">
      <c r="A60" s="2" t="str">
        <v>ST02 / eva</v>
      </c>
      <c r="B60" s="26" t="str">
        <v>02 Stoc și trasabilitate</v>
      </c>
      <c r="C60" s="26" t="str">
        <v>Stoc pe locații interne</v>
      </c>
      <c r="D60" s="26" t="str">
        <v>EVA nativă</v>
      </c>
      <c r="E60" s="38" t="str">
        <v>✓ Da</v>
      </c>
      <c r="F60" s="26" t="str">
        <v>Inventar citit pe produs × locator × ASI.</v>
      </c>
      <c r="G60" s="39" t="str">
        <v>E01</v>
      </c>
      <c r="H60" s="39"/>
      <c r="I60" s="39"/>
    </row>
    <row r="61" ht="43" customHeight="1">
      <c r="A61" s="2" t="str">
        <v>ST02 / api</v>
      </c>
      <c r="B61" s="26" t="str">
        <v>02 Stoc și trasabilitate</v>
      </c>
      <c r="C61" s="26" t="str">
        <v>Stoc pe locații interne</v>
      </c>
      <c r="D61" s="26" t="str">
        <v>EVA API</v>
      </c>
      <c r="E61" s="38" t="str">
        <v>◐ Parțial</v>
      </c>
      <c r="F61" s="26" t="str">
        <v>Citire mișcări cu locator; modelul propriu de scriere nu are locator dedicat.</v>
      </c>
      <c r="G61" s="39" t="str">
        <v>E08</v>
      </c>
      <c r="H61" s="39" t="str">
        <v>E09</v>
      </c>
      <c r="I61" s="39"/>
    </row>
    <row r="62" ht="43" customHeight="1">
      <c r="A62" s="2" t="str">
        <v>ST02 / portal</v>
      </c>
      <c r="B62" s="26" t="str">
        <v>02 Stoc și trasabilitate</v>
      </c>
      <c r="C62" s="26" t="str">
        <v>Stoc pe locații interne</v>
      </c>
      <c r="D62" s="26" t="str">
        <v>EVA portal</v>
      </c>
      <c r="E62" s="38" t="str">
        <v>? Neconfirmat</v>
      </c>
      <c r="F62" s="26" t="str">
        <v>Fluxul nu este confirmat în ecranul eva_stock.html inspectat.</v>
      </c>
      <c r="G62" s="39" t="str">
        <v>E12</v>
      </c>
      <c r="H62" s="39"/>
      <c r="I62" s="39"/>
    </row>
    <row r="63" ht="43" customHeight="1">
      <c r="A63" s="2" t="str">
        <v>ST02 / base</v>
      </c>
      <c r="B63" s="26" t="str">
        <v>02 Stoc și trasabilitate</v>
      </c>
      <c r="C63" s="26" t="str">
        <v>Stoc pe locații interne</v>
      </c>
      <c r="D63" s="26" t="str">
        <v>iDempiere standard</v>
      </c>
      <c r="E63" s="38" t="str">
        <v>✓ Da</v>
      </c>
      <c r="F63" s="26" t="str">
        <v>Locații X/Y/Z, priorități și comportament documentat pentru Guarantee Date; pagină istorică.</v>
      </c>
      <c r="G63" s="39" t="str">
        <v>S03</v>
      </c>
      <c r="H63" s="39"/>
      <c r="I63" s="39"/>
    </row>
    <row r="64" ht="43" customHeight="1">
      <c r="A64" s="2" t="str">
        <v>ST02 / red1</v>
      </c>
      <c r="B64" s="26" t="str">
        <v>02 Stoc și trasabilitate</v>
      </c>
      <c r="C64" s="26" t="str">
        <v>Stoc pe locații interne</v>
      </c>
      <c r="D64" s="26" t="str">
        <v>Red1 / SYSNOVA WMS</v>
      </c>
      <c r="E64" s="38" t="str">
        <v>✓ Da</v>
      </c>
      <c r="F64" s="26" t="str">
        <v>Ghid 1.0 din 06.07.2017, 47 pagini PDF. În raport, paginile sunt cele PDF, numărate de la 1.</v>
      </c>
      <c r="G64" s="39" t="str">
        <v>S11</v>
      </c>
      <c r="H64" s="39"/>
      <c r="I64" s="39"/>
    </row>
    <row r="65" ht="43" customHeight="1">
      <c r="A65" s="2" t="str">
        <v>ST02 / libero</v>
      </c>
      <c r="B65" s="26" t="str">
        <v>02 Stoc și trasabilitate</v>
      </c>
      <c r="C65" s="26" t="str">
        <v>Stoc pe locații interne</v>
      </c>
      <c r="D65" s="26" t="str">
        <v>Libero Warehousing</v>
      </c>
      <c r="E65" s="38" t="str">
        <v>◐ Parțial</v>
      </c>
      <c r="F65" s="26" t="str">
        <v>Structuri ERP; fluxul extensiei de probat.</v>
      </c>
      <c r="G65" s="39" t="str">
        <v>S03</v>
      </c>
      <c r="H65" s="39" t="str">
        <v>S12</v>
      </c>
      <c r="I65" s="39"/>
    </row>
    <row r="66" ht="43" customHeight="1">
      <c r="A66" s="2" t="str">
        <v>ST02 / mywms</v>
      </c>
      <c r="B66" s="26" t="str">
        <v>02 Stoc și trasabilitate</v>
      </c>
      <c r="C66" s="26" t="str">
        <v>Stoc pe locații interne</v>
      </c>
      <c r="D66" s="26" t="str">
        <v>myWMS Release 2</v>
      </c>
      <c r="E66" s="38" t="str">
        <v>✓ Da</v>
      </c>
      <c r="F66" s="26" t="str">
        <v>Manual din aprilie 2022, 4 pagini; stoc, unit loads, rezerve și strategy date.</v>
      </c>
      <c r="G66" s="39" t="str">
        <v>S30</v>
      </c>
      <c r="H66" s="39"/>
      <c r="I66" s="39"/>
    </row>
    <row r="67" ht="43" customHeight="1">
      <c r="A67" s="2" t="str">
        <v>ST02 / openboxes</v>
      </c>
      <c r="B67" s="26" t="str">
        <v>02 Stoc și trasabilitate</v>
      </c>
      <c r="C67" s="26" t="str">
        <v>Stoc pe locații interne</v>
      </c>
      <c r="D67" s="26" t="str">
        <v>OpenBoxes</v>
      </c>
      <c r="E67" s="38" t="str">
        <v>✓ Da</v>
      </c>
      <c r="F67" s="26" t="str">
        <v>Stoc pe lot și locație, disponibil, hold, recalled și istoric.</v>
      </c>
      <c r="G67" s="39" t="str">
        <v>S20</v>
      </c>
      <c r="H67" s="39"/>
      <c r="I67" s="39"/>
    </row>
    <row r="68" ht="43" customHeight="1">
      <c r="A68" s="2" t="str">
        <v>ST02 / greater</v>
      </c>
      <c r="B68" s="26" t="str">
        <v>02 Stoc și trasabilitate</v>
      </c>
      <c r="C68" s="26" t="str">
        <v>Stoc pe locații interne</v>
      </c>
      <c r="D68" s="26" t="str">
        <v>GreaterWMS</v>
      </c>
      <c r="E68" s="38" t="str">
        <v>◐ Parțial</v>
      </c>
      <c r="F68" s="26" t="str">
        <v>Locații declarate; modelul exact trebuie probat.</v>
      </c>
      <c r="G68" s="39" t="str">
        <v>S33</v>
      </c>
      <c r="H68" s="39"/>
      <c r="I68" s="39"/>
    </row>
    <row r="69" ht="43" customHeight="1">
      <c r="A69" s="2" t="str">
        <v>ST02 / openwms</v>
      </c>
      <c r="B69" s="26" t="str">
        <v>02 Stoc și trasabilitate</v>
      </c>
      <c r="C69" s="26" t="str">
        <v>Stoc pe locații interne</v>
      </c>
      <c r="D69" s="26" t="str">
        <v>OpenWMS</v>
      </c>
      <c r="E69" s="38" t="str">
        <v>◐ Parțial</v>
      </c>
      <c r="F69" s="26" t="str">
        <v>Structuri publice common; inventarul complet nu este public verificat.</v>
      </c>
      <c r="G69" s="39" t="str">
        <v>S37</v>
      </c>
      <c r="H69" s="39"/>
      <c r="I69" s="39"/>
    </row>
    <row r="70" ht="43" customHeight="1">
      <c r="A70" s="2" t="str">
        <v>ST02 / scan</v>
      </c>
      <c r="B70" s="26" t="str">
        <v>02 Stoc și trasabilitate</v>
      </c>
      <c r="C70" s="26" t="str">
        <v>Stoc pe locații interne</v>
      </c>
      <c r="D70" s="26" t="str">
        <v>Android Scan Write</v>
      </c>
      <c r="E70" s="38" t="str">
        <v>? Neconfirmat</v>
      </c>
      <c r="F70" s="26" t="str">
        <v>Funcția nu este confirmată în sursele consultate pentru această variantă. Nu înseamnă absență.</v>
      </c>
      <c r="G70" s="39" t="str">
        <v>S39</v>
      </c>
      <c r="H70" s="39"/>
      <c r="I70" s="39"/>
    </row>
    <row r="71" ht="43" customHeight="1">
      <c r="A71" s="2" t="str">
        <v>ST02 / tms</v>
      </c>
      <c r="B71" s="26" t="str">
        <v>02 Stoc și trasabilitate</v>
      </c>
      <c r="C71" s="26" t="str">
        <v>Stoc pe locații interne</v>
      </c>
      <c r="D71" s="26" t="str">
        <v>TMS iDempiere</v>
      </c>
      <c r="E71" s="38" t="str">
        <v>? Neconfirmat</v>
      </c>
      <c r="F71" s="26" t="str">
        <v>Funcția nu este confirmată în sursele consultate pentru această variantă. Nu înseamnă absență.</v>
      </c>
      <c r="G71" s="39" t="str">
        <v>S40</v>
      </c>
      <c r="H71" s="39"/>
      <c r="I71" s="39"/>
    </row>
    <row r="72" ht="43" customHeight="1">
      <c r="A72" s="2" t="str">
        <v>ST02 / mobile</v>
      </c>
      <c r="B72" s="26" t="str">
        <v>02 Stoc și trasabilitate</v>
      </c>
      <c r="C72" s="26" t="str">
        <v>Stoc pe locații interne</v>
      </c>
      <c r="D72" s="26" t="str">
        <v>SCM iDempiere Mobile</v>
      </c>
      <c r="E72" s="38" t="str">
        <v>◐ Parțial</v>
      </c>
      <c r="F72" s="26" t="str">
        <v>Consultare pe locatori declarată de furnizor.</v>
      </c>
      <c r="G72" s="39" t="str">
        <v>S41</v>
      </c>
      <c r="H72" s="39"/>
      <c r="I72" s="39"/>
    </row>
    <row r="73" ht="43" customHeight="1">
      <c r="A73" s="2" t="str">
        <v>ST03 / eva</v>
      </c>
      <c r="B73" s="26" t="str">
        <v>02 Stoc și trasabilitate</v>
      </c>
      <c r="C73" s="26" t="str">
        <v>Identificarea lotului fizic</v>
      </c>
      <c r="D73" s="26" t="str">
        <v>EVA nativă</v>
      </c>
      <c r="E73" s="38" t="str">
        <v>◐ Parțial</v>
      </c>
      <c r="F73" s="26" t="str">
        <v>ASI păstrat în inventar; unele trasee personalizate, precum consumul citit, folosesc ASI=0.</v>
      </c>
      <c r="G73" s="39" t="str">
        <v>E01</v>
      </c>
      <c r="H73" s="39" t="str">
        <v>E04</v>
      </c>
      <c r="I73" s="39"/>
    </row>
    <row r="74" ht="43" customHeight="1">
      <c r="A74" s="2" t="str">
        <v>ST03 / api</v>
      </c>
      <c r="B74" s="26" t="str">
        <v>02 Stoc și trasabilitate</v>
      </c>
      <c r="C74" s="26" t="str">
        <v>Identificarea lotului fizic</v>
      </c>
      <c r="D74" s="26" t="str">
        <v>EVA API</v>
      </c>
      <c r="E74" s="38" t="str">
        <v>✗ Nu</v>
      </c>
      <c r="F74" s="26" t="str">
        <v>Modelele și StockLineIn inspectate nu au câmp dedicat lotului fizic.</v>
      </c>
      <c r="G74" s="39" t="str">
        <v>E09</v>
      </c>
      <c r="H74" s="39" t="str">
        <v>E10</v>
      </c>
      <c r="I74" s="39"/>
    </row>
    <row r="75" ht="43" customHeight="1">
      <c r="A75" s="2" t="str">
        <v>ST03 / portal</v>
      </c>
      <c r="B75" s="26" t="str">
        <v>02 Stoc și trasabilitate</v>
      </c>
      <c r="C75" s="26" t="str">
        <v>Identificarea lotului fizic</v>
      </c>
      <c r="D75" s="26" t="str">
        <v>EVA portal</v>
      </c>
      <c r="E75" s="38" t="str">
        <v>? Neconfirmat</v>
      </c>
      <c r="F75" s="26" t="str">
        <v>Fluxul nu este confirmat în ecranul eva_stock.html inspectat.</v>
      </c>
      <c r="G75" s="39" t="str">
        <v>E12</v>
      </c>
      <c r="H75" s="39"/>
      <c r="I75" s="39"/>
    </row>
    <row r="76" ht="43" customHeight="1">
      <c r="A76" s="2" t="str">
        <v>ST03 / base</v>
      </c>
      <c r="B76" s="26" t="str">
        <v>02 Stoc și trasabilitate</v>
      </c>
      <c r="C76" s="26" t="str">
        <v>Identificarea lotului fizic</v>
      </c>
      <c r="D76" s="26" t="str">
        <v>iDempiere standard</v>
      </c>
      <c r="E76" s="38" t="str">
        <v>✓ Da</v>
      </c>
      <c r="F76" s="26" t="str">
        <v>Recepții, livrări, atribute, mișcări, inventar și confirmări.</v>
      </c>
      <c r="G76" s="39" t="str">
        <v>S02</v>
      </c>
      <c r="H76" s="39"/>
      <c r="I76" s="39"/>
    </row>
    <row r="77" ht="43" customHeight="1">
      <c r="A77" s="2" t="str">
        <v>ST03 / red1</v>
      </c>
      <c r="B77" s="26" t="str">
        <v>02 Stoc și trasabilitate</v>
      </c>
      <c r="C77" s="26" t="str">
        <v>Identificarea lotului fizic</v>
      </c>
      <c r="D77" s="26" t="str">
        <v>Red1 / SYSNOVA WMS</v>
      </c>
      <c r="E77" s="38" t="str">
        <v>◐ Parțial</v>
      </c>
      <c r="F77" s="26" t="str">
        <v>Atribute ERP; propagarea lor în toate fluxurile WMS trebuie probată.</v>
      </c>
      <c r="G77" s="39" t="str">
        <v>S11</v>
      </c>
      <c r="H77" s="39"/>
      <c r="I77" s="39"/>
    </row>
    <row r="78" ht="43" customHeight="1">
      <c r="A78" s="2" t="str">
        <v>ST03 / libero</v>
      </c>
      <c r="B78" s="26" t="str">
        <v>02 Stoc și trasabilitate</v>
      </c>
      <c r="C78" s="26" t="str">
        <v>Identificarea lotului fizic</v>
      </c>
      <c r="D78" s="26" t="str">
        <v>Libero Warehousing</v>
      </c>
      <c r="E78" s="38" t="str">
        <v>◐ Parțial</v>
      </c>
      <c r="F78" s="26" t="str">
        <v>Funcție ERP moștenită; propagare WMS neconfirmată.</v>
      </c>
      <c r="G78" s="39" t="str">
        <v>S02</v>
      </c>
      <c r="H78" s="39" t="str">
        <v>S12</v>
      </c>
      <c r="I78" s="39"/>
    </row>
    <row r="79" ht="43" customHeight="1">
      <c r="A79" s="2" t="str">
        <v>ST03 / mywms</v>
      </c>
      <c r="B79" s="26" t="str">
        <v>02 Stoc și trasabilitate</v>
      </c>
      <c r="C79" s="26" t="str">
        <v>Identificarea lotului fizic</v>
      </c>
      <c r="D79" s="26" t="str">
        <v>myWMS Release 2</v>
      </c>
      <c r="E79" s="38" t="str">
        <v>✓ Da</v>
      </c>
      <c r="F79" s="26" t="str">
        <v>Manual descărcat și citit, 13 pagini; recepție și depozitare mobilă. Manual din aprilie 2022, 4 pagini; stoc, unit loads, rezerve și strategy date.</v>
      </c>
      <c r="G79" s="39" t="str">
        <v>S27</v>
      </c>
      <c r="H79" s="39" t="str">
        <v>S30</v>
      </c>
      <c r="I79" s="39"/>
    </row>
    <row r="80" ht="43" customHeight="1">
      <c r="A80" s="2" t="str">
        <v>ST03 / openboxes</v>
      </c>
      <c r="B80" s="26" t="str">
        <v>02 Stoc și trasabilitate</v>
      </c>
      <c r="C80" s="26" t="str">
        <v>Identificarea lotului fizic</v>
      </c>
      <c r="D80" s="26" t="str">
        <v>OpenBoxes</v>
      </c>
      <c r="E80" s="38" t="str">
        <v>✓ Da</v>
      </c>
      <c r="F80" s="26" t="str">
        <v>Stoc pe lot și locație, disponibil, hold, recalled și istoric.</v>
      </c>
      <c r="G80" s="39" t="str">
        <v>S20</v>
      </c>
      <c r="H80" s="39"/>
      <c r="I80" s="39"/>
    </row>
    <row r="81" ht="43" customHeight="1">
      <c r="A81" s="2" t="str">
        <v>ST03 / greater</v>
      </c>
      <c r="B81" s="26" t="str">
        <v>02 Stoc și trasabilitate</v>
      </c>
      <c r="C81" s="26" t="str">
        <v>Identificarea lotului fizic</v>
      </c>
      <c r="D81" s="26" t="str">
        <v>GreaterWMS</v>
      </c>
      <c r="E81" s="38" t="str">
        <v>◐ Parțial</v>
      </c>
      <c r="F81" s="26" t="str">
        <v>Loturile sunt descrise și în exemple de customizare; nu bifate standard integral.</v>
      </c>
      <c r="G81" s="39" t="str">
        <v>S33</v>
      </c>
      <c r="H81" s="39"/>
      <c r="I81" s="39"/>
    </row>
    <row r="82" ht="43" customHeight="1">
      <c r="A82" s="2" t="str">
        <v>ST03 / openwms</v>
      </c>
      <c r="B82" s="26" t="str">
        <v>02 Stoc și trasabilitate</v>
      </c>
      <c r="C82" s="26" t="str">
        <v>Identificarea lotului fizic</v>
      </c>
      <c r="D82" s="26" t="str">
        <v>OpenWMS</v>
      </c>
      <c r="E82" s="38" t="str">
        <v>◐ Parțial</v>
      </c>
      <c r="F82" s="26" t="str">
        <v>Inventory este privat/preview.</v>
      </c>
      <c r="G82" s="39" t="str">
        <v>S37</v>
      </c>
      <c r="H82" s="39"/>
      <c r="I82" s="39"/>
    </row>
    <row r="83" ht="43" customHeight="1">
      <c r="A83" s="2" t="str">
        <v>ST03 / scan</v>
      </c>
      <c r="B83" s="26" t="str">
        <v>02 Stoc și trasabilitate</v>
      </c>
      <c r="C83" s="26" t="str">
        <v>Identificarea lotului fizic</v>
      </c>
      <c r="D83" s="26" t="str">
        <v>Android Scan Write</v>
      </c>
      <c r="E83" s="38" t="str">
        <v>? Neconfirmat</v>
      </c>
      <c r="F83" s="26" t="str">
        <v>Funcția nu este confirmată în sursele consultate pentru această variantă. Nu înseamnă absență.</v>
      </c>
      <c r="G83" s="39" t="str">
        <v>S39</v>
      </c>
      <c r="H83" s="39"/>
      <c r="I83" s="39"/>
    </row>
    <row r="84" ht="43" customHeight="1">
      <c r="A84" s="2" t="str">
        <v>ST03 / tms</v>
      </c>
      <c r="B84" s="26" t="str">
        <v>02 Stoc și trasabilitate</v>
      </c>
      <c r="C84" s="26" t="str">
        <v>Identificarea lotului fizic</v>
      </c>
      <c r="D84" s="26" t="str">
        <v>TMS iDempiere</v>
      </c>
      <c r="E84" s="38" t="str">
        <v>? Neconfirmat</v>
      </c>
      <c r="F84" s="26" t="str">
        <v>Funcția nu este confirmată în sursele consultate pentru această variantă. Nu înseamnă absență.</v>
      </c>
      <c r="G84" s="39" t="str">
        <v>S40</v>
      </c>
      <c r="H84" s="39"/>
      <c r="I84" s="39"/>
    </row>
    <row r="85" ht="43" customHeight="1">
      <c r="A85" s="2" t="str">
        <v>ST03 / mobile</v>
      </c>
      <c r="B85" s="26" t="str">
        <v>02 Stoc și trasabilitate</v>
      </c>
      <c r="C85" s="26" t="str">
        <v>Identificarea lotului fizic</v>
      </c>
      <c r="D85" s="26" t="str">
        <v>SCM iDempiere Mobile</v>
      </c>
      <c r="E85" s="38" t="str">
        <v>◐ Parțial</v>
      </c>
      <c r="F85" s="26" t="str">
        <v>Loturi declarate în recepție și consultare.</v>
      </c>
      <c r="G85" s="39" t="str">
        <v>S41</v>
      </c>
      <c r="H85" s="39"/>
      <c r="I85" s="39"/>
    </row>
    <row r="86" ht="43" customHeight="1">
      <c r="A86" s="2" t="str">
        <v>ST04 / eva</v>
      </c>
      <c r="B86" s="26" t="str">
        <v>02 Stoc și trasabilitate</v>
      </c>
      <c r="C86" s="26" t="str">
        <v>Serii individuale</v>
      </c>
      <c r="D86" s="26" t="str">
        <v>EVA nativă</v>
      </c>
      <c r="E86" s="38" t="str">
        <v>◐ Parțial</v>
      </c>
      <c r="F86" s="26" t="str">
        <v>Structura ASI există în inventar; unicitatea și traseul complet prin formularele proprii trebuie probate.</v>
      </c>
      <c r="G86" s="39" t="str">
        <v>E01</v>
      </c>
      <c r="H86" s="39" t="str">
        <v>E04</v>
      </c>
      <c r="I86" s="39"/>
    </row>
    <row r="87" ht="43" customHeight="1">
      <c r="A87" s="2" t="str">
        <v>ST04 / api</v>
      </c>
      <c r="B87" s="26" t="str">
        <v>02 Stoc și trasabilitate</v>
      </c>
      <c r="C87" s="26" t="str">
        <v>Serii individuale</v>
      </c>
      <c r="D87" s="26" t="str">
        <v>EVA API</v>
      </c>
      <c r="E87" s="38" t="str">
        <v>✗ Nu</v>
      </c>
      <c r="F87" s="26" t="str">
        <v>Contractele de gestiune inspectate nu conțin serie individuală.</v>
      </c>
      <c r="G87" s="39" t="str">
        <v>E09</v>
      </c>
      <c r="H87" s="39" t="str">
        <v>E10</v>
      </c>
      <c r="I87" s="39"/>
    </row>
    <row r="88" ht="43" customHeight="1">
      <c r="A88" s="2" t="str">
        <v>ST04 / portal</v>
      </c>
      <c r="B88" s="26" t="str">
        <v>02 Stoc și trasabilitate</v>
      </c>
      <c r="C88" s="26" t="str">
        <v>Serii individuale</v>
      </c>
      <c r="D88" s="26" t="str">
        <v>EVA portal</v>
      </c>
      <c r="E88" s="38" t="str">
        <v>? Neconfirmat</v>
      </c>
      <c r="F88" s="26" t="str">
        <v>Fluxul nu este confirmat în ecranul eva_stock.html inspectat.</v>
      </c>
      <c r="G88" s="39" t="str">
        <v>E12</v>
      </c>
      <c r="H88" s="39"/>
      <c r="I88" s="39"/>
    </row>
    <row r="89" ht="43" customHeight="1">
      <c r="A89" s="2" t="str">
        <v>ST04 / base</v>
      </c>
      <c r="B89" s="26" t="str">
        <v>02 Stoc și trasabilitate</v>
      </c>
      <c r="C89" s="26" t="str">
        <v>Serii individuale</v>
      </c>
      <c r="D89" s="26" t="str">
        <v>iDempiere standard</v>
      </c>
      <c r="E89" s="38" t="str">
        <v>✓ Da</v>
      </c>
      <c r="F89" s="26" t="str">
        <v>Recepții, livrări, atribute, mișcări, inventar și confirmări.</v>
      </c>
      <c r="G89" s="39" t="str">
        <v>S02</v>
      </c>
      <c r="H89" s="39"/>
      <c r="I89" s="39"/>
    </row>
    <row r="90" ht="43" customHeight="1">
      <c r="A90" s="2" t="str">
        <v>ST04 / red1</v>
      </c>
      <c r="B90" s="26" t="str">
        <v>02 Stoc și trasabilitate</v>
      </c>
      <c r="C90" s="26" t="str">
        <v>Serii individuale</v>
      </c>
      <c r="D90" s="26" t="str">
        <v>Red1 / SYSNOVA WMS</v>
      </c>
      <c r="E90" s="38" t="str">
        <v>◐ Parțial</v>
      </c>
      <c r="F90" s="26" t="str">
        <v>Atribute ERP; captură și validare pe fiecare operație neconfirmate.</v>
      </c>
      <c r="G90" s="39" t="str">
        <v>S11</v>
      </c>
      <c r="H90" s="39"/>
      <c r="I90" s="39"/>
    </row>
    <row r="91" ht="43" customHeight="1">
      <c r="A91" s="2" t="str">
        <v>ST04 / libero</v>
      </c>
      <c r="B91" s="26" t="str">
        <v>02 Stoc și trasabilitate</v>
      </c>
      <c r="C91" s="26" t="str">
        <v>Serii individuale</v>
      </c>
      <c r="D91" s="26" t="str">
        <v>Libero Warehousing</v>
      </c>
      <c r="E91" s="38" t="str">
        <v>◐ Parțial</v>
      </c>
      <c r="F91" s="26" t="str">
        <v>Depinde de procesele ERP și de propagarea prin extensie.</v>
      </c>
      <c r="G91" s="39" t="str">
        <v>S02</v>
      </c>
      <c r="H91" s="39" t="str">
        <v>S12</v>
      </c>
      <c r="I91" s="39"/>
    </row>
    <row r="92" ht="43" customHeight="1">
      <c r="A92" s="2" t="str">
        <v>ST04 / mywms</v>
      </c>
      <c r="B92" s="26" t="str">
        <v>02 Stoc și trasabilitate</v>
      </c>
      <c r="C92" s="26" t="str">
        <v>Serii individuale</v>
      </c>
      <c r="D92" s="26" t="str">
        <v>myWMS Release 2</v>
      </c>
      <c r="E92" s="38" t="str">
        <v>✓ Da</v>
      </c>
      <c r="F92" s="26" t="str">
        <v>Manual descărcat și citit, 15 pagini; picking, serii și expediere.</v>
      </c>
      <c r="G92" s="39" t="str">
        <v>S28</v>
      </c>
      <c r="H92" s="39"/>
      <c r="I92" s="39"/>
    </row>
    <row r="93" ht="43" customHeight="1">
      <c r="A93" s="2" t="str">
        <v>ST04 / openboxes</v>
      </c>
      <c r="B93" s="26" t="str">
        <v>02 Stoc și trasabilitate</v>
      </c>
      <c r="C93" s="26" t="str">
        <v>Serii individuale</v>
      </c>
      <c r="D93" s="26" t="str">
        <v>OpenBoxes</v>
      </c>
      <c r="E93" s="38" t="str">
        <v>◐ Parțial</v>
      </c>
      <c r="F93" s="26" t="str">
        <v>Eticheta Serial/Lot nu demonstrează unicitatea și trasabilitatea fiecărei serii.</v>
      </c>
      <c r="G93" s="39" t="str">
        <v>S43</v>
      </c>
      <c r="H93" s="39"/>
      <c r="I93" s="39"/>
    </row>
    <row r="94" ht="43" customHeight="1">
      <c r="A94" s="2" t="str">
        <v>ST04 / greater</v>
      </c>
      <c r="B94" s="26" t="str">
        <v>02 Stoc și trasabilitate</v>
      </c>
      <c r="C94" s="26" t="str">
        <v>Serii individuale</v>
      </c>
      <c r="D94" s="26" t="str">
        <v>GreaterWMS</v>
      </c>
      <c r="E94" s="38" t="str">
        <v>? Neconfirmat</v>
      </c>
      <c r="F94" s="26" t="str">
        <v>Funcția nu este confirmată în sursele consultate pentru această variantă. Nu înseamnă absență.</v>
      </c>
      <c r="G94" s="39" t="str">
        <v>S33</v>
      </c>
      <c r="H94" s="39"/>
      <c r="I94" s="39"/>
    </row>
    <row r="95" ht="43" customHeight="1">
      <c r="A95" s="2" t="str">
        <v>ST04 / openwms</v>
      </c>
      <c r="B95" s="26" t="str">
        <v>02 Stoc și trasabilitate</v>
      </c>
      <c r="C95" s="26" t="str">
        <v>Serii individuale</v>
      </c>
      <c r="D95" s="26" t="str">
        <v>OpenWMS</v>
      </c>
      <c r="E95" s="38" t="str">
        <v>? Neconfirmat</v>
      </c>
      <c r="F95" s="26" t="str">
        <v>Funcția nu este confirmată în sursele consultate pentru această variantă. Nu înseamnă absență.</v>
      </c>
      <c r="G95" s="39" t="str">
        <v>S38</v>
      </c>
      <c r="H95" s="39"/>
      <c r="I95" s="39"/>
    </row>
    <row r="96" ht="43" customHeight="1">
      <c r="A96" s="2" t="str">
        <v>ST04 / scan</v>
      </c>
      <c r="B96" s="26" t="str">
        <v>02 Stoc și trasabilitate</v>
      </c>
      <c r="C96" s="26" t="str">
        <v>Serii individuale</v>
      </c>
      <c r="D96" s="26" t="str">
        <v>Android Scan Write</v>
      </c>
      <c r="E96" s="38" t="str">
        <v>? Neconfirmat</v>
      </c>
      <c r="F96" s="26" t="str">
        <v>Funcția nu este confirmată în sursele consultate pentru această variantă. Nu înseamnă absență.</v>
      </c>
      <c r="G96" s="39" t="str">
        <v>S39</v>
      </c>
      <c r="H96" s="39"/>
      <c r="I96" s="39"/>
    </row>
    <row r="97" ht="43" customHeight="1">
      <c r="A97" s="2" t="str">
        <v>ST04 / tms</v>
      </c>
      <c r="B97" s="26" t="str">
        <v>02 Stoc și trasabilitate</v>
      </c>
      <c r="C97" s="26" t="str">
        <v>Serii individuale</v>
      </c>
      <c r="D97" s="26" t="str">
        <v>TMS iDempiere</v>
      </c>
      <c r="E97" s="38" t="str">
        <v>? Neconfirmat</v>
      </c>
      <c r="F97" s="26" t="str">
        <v>Funcția nu este confirmată în sursele consultate pentru această variantă. Nu înseamnă absență.</v>
      </c>
      <c r="G97" s="39" t="str">
        <v>S40</v>
      </c>
      <c r="H97" s="39"/>
      <c r="I97" s="39"/>
    </row>
    <row r="98" ht="43" customHeight="1">
      <c r="A98" s="2" t="str">
        <v>ST04 / mobile</v>
      </c>
      <c r="B98" s="26" t="str">
        <v>02 Stoc și trasabilitate</v>
      </c>
      <c r="C98" s="26" t="str">
        <v>Serii individuale</v>
      </c>
      <c r="D98" s="26" t="str">
        <v>SCM iDempiere Mobile</v>
      </c>
      <c r="E98" s="38" t="str">
        <v>◐ Parțial</v>
      </c>
      <c r="F98" s="26" t="str">
        <v>Detaliu serial/Attribute Set declarat la consultare.</v>
      </c>
      <c r="G98" s="39" t="str">
        <v>S41</v>
      </c>
      <c r="H98" s="39"/>
      <c r="I98" s="39"/>
    </row>
    <row r="99" ht="43" customHeight="1">
      <c r="A99" s="2" t="str">
        <v>ST05 / eva</v>
      </c>
      <c r="B99" s="26" t="str">
        <v>02 Stoc și trasabilitate</v>
      </c>
      <c r="C99" s="26" t="str">
        <v>Dată de expirare / best-before</v>
      </c>
      <c r="D99" s="26" t="str">
        <v>EVA nativă</v>
      </c>
      <c r="E99" s="38" t="str">
        <v>◐ Parțial</v>
      </c>
      <c r="F99" s="26" t="str">
        <v>ASI este păstrat la inventar; validarea expirării prin toate formularele nu a fost verificată.</v>
      </c>
      <c r="G99" s="39" t="str">
        <v>E01</v>
      </c>
      <c r="H99" s="39"/>
      <c r="I99" s="39"/>
    </row>
    <row r="100" ht="43" customHeight="1">
      <c r="A100" s="2" t="str">
        <v>ST05 / api</v>
      </c>
      <c r="B100" s="26" t="str">
        <v>02 Stoc și trasabilitate</v>
      </c>
      <c r="C100" s="26" t="str">
        <v>Dată de expirare / best-before</v>
      </c>
      <c r="D100" s="26" t="str">
        <v>EVA API</v>
      </c>
      <c r="E100" s="38" t="str">
        <v>✗ Nu</v>
      </c>
      <c r="F100" s="26" t="str">
        <v>Contractul de gestiune inspectat nu conține expirare.</v>
      </c>
      <c r="G100" s="39" t="str">
        <v>E09</v>
      </c>
      <c r="H100" s="39" t="str">
        <v>E10</v>
      </c>
      <c r="I100" s="39"/>
    </row>
    <row r="101" ht="43" customHeight="1">
      <c r="A101" s="2" t="str">
        <v>ST05 / portal</v>
      </c>
      <c r="B101" s="26" t="str">
        <v>02 Stoc și trasabilitate</v>
      </c>
      <c r="C101" s="26" t="str">
        <v>Dată de expirare / best-before</v>
      </c>
      <c r="D101" s="26" t="str">
        <v>EVA portal</v>
      </c>
      <c r="E101" s="38" t="str">
        <v>? Neconfirmat</v>
      </c>
      <c r="F101" s="26" t="str">
        <v>Fluxul nu este confirmat în ecranul eva_stock.html inspectat.</v>
      </c>
      <c r="G101" s="39" t="str">
        <v>E12</v>
      </c>
      <c r="H101" s="39"/>
      <c r="I101" s="39"/>
    </row>
    <row r="102" ht="43" customHeight="1">
      <c r="A102" s="2" t="str">
        <v>ST05 / base</v>
      </c>
      <c r="B102" s="26" t="str">
        <v>02 Stoc și trasabilitate</v>
      </c>
      <c r="C102" s="26" t="str">
        <v>Dată de expirare / best-before</v>
      </c>
      <c r="D102" s="26" t="str">
        <v>iDempiere standard</v>
      </c>
      <c r="E102" s="38" t="str">
        <v>✓ Da</v>
      </c>
      <c r="F102" s="26" t="str">
        <v>Recepții, livrări, atribute, mișcări, inventar și confirmări. Locații X/Y/Z, priorități și comportament documentat pentru Guarantee Date; pagină istorică.</v>
      </c>
      <c r="G102" s="39" t="str">
        <v>S02</v>
      </c>
      <c r="H102" s="39" t="str">
        <v>S03</v>
      </c>
      <c r="I102" s="39"/>
    </row>
    <row r="103" ht="43" customHeight="1">
      <c r="A103" s="2" t="str">
        <v>ST05 / red1</v>
      </c>
      <c r="B103" s="26" t="str">
        <v>02 Stoc și trasabilitate</v>
      </c>
      <c r="C103" s="26" t="str">
        <v>Dată de expirare / best-before</v>
      </c>
      <c r="D103" s="26" t="str">
        <v>Red1 / SYSNOVA WMS</v>
      </c>
      <c r="E103" s="38" t="str">
        <v>◐ Parțial</v>
      </c>
      <c r="F103" s="26" t="str">
        <v>GuaranteeDate apare în model; aplicarea completă trebuie probată.</v>
      </c>
      <c r="G103" s="39" t="str">
        <v>S11</v>
      </c>
      <c r="H103" s="39"/>
      <c r="I103" s="39"/>
    </row>
    <row r="104" ht="43" customHeight="1">
      <c r="A104" s="2" t="str">
        <v>ST05 / libero</v>
      </c>
      <c r="B104" s="26" t="str">
        <v>02 Stoc și trasabilitate</v>
      </c>
      <c r="C104" s="26" t="str">
        <v>Dată de expirare / best-before</v>
      </c>
      <c r="D104" s="26" t="str">
        <v>Libero Warehousing</v>
      </c>
      <c r="E104" s="38" t="str">
        <v>◐ Parțial</v>
      </c>
      <c r="F104" s="26" t="str">
        <v>Atribut ERP; funcția WMS integrală neconfirmată.</v>
      </c>
      <c r="G104" s="39" t="str">
        <v>S02</v>
      </c>
      <c r="H104" s="39" t="str">
        <v>S12</v>
      </c>
      <c r="I104" s="39"/>
    </row>
    <row r="105" ht="43" customHeight="1">
      <c r="A105" s="2" t="str">
        <v>ST05 / mywms</v>
      </c>
      <c r="B105" s="26" t="str">
        <v>02 Stoc și trasabilitate</v>
      </c>
      <c r="C105" s="26" t="str">
        <v>Dată de expirare / best-before</v>
      </c>
      <c r="D105" s="26" t="str">
        <v>myWMS Release 2</v>
      </c>
      <c r="E105" s="38" t="str">
        <v>✓ Da</v>
      </c>
      <c r="F105" s="26" t="str">
        <v>Manual descărcat și citit, 13 pagini; recepție și depozitare mobilă. Manual din aprilie 2022, 4 pagini; stoc, unit loads, rezerve și strategy date.</v>
      </c>
      <c r="G105" s="39" t="str">
        <v>S27</v>
      </c>
      <c r="H105" s="39" t="str">
        <v>S30</v>
      </c>
      <c r="I105" s="39"/>
    </row>
    <row r="106" ht="43" customHeight="1">
      <c r="A106" s="2" t="str">
        <v>ST05 / openboxes</v>
      </c>
      <c r="B106" s="26" t="str">
        <v>02 Stoc și trasabilitate</v>
      </c>
      <c r="C106" s="26" t="str">
        <v>Dată de expirare / best-before</v>
      </c>
      <c r="D106" s="26" t="str">
        <v>OpenBoxes</v>
      </c>
      <c r="E106" s="38" t="str">
        <v>✓ Da</v>
      </c>
      <c r="F106" s="26" t="str">
        <v>Autopick după expirare, rezervarea disponibilului și ordonarea listei pe locații. Stoc pe lot și locație, disponibil, hold, recalled și istoric.</v>
      </c>
      <c r="G106" s="39" t="str">
        <v>S18</v>
      </c>
      <c r="H106" s="39" t="str">
        <v>S20</v>
      </c>
      <c r="I106" s="39"/>
    </row>
    <row r="107" ht="43" customHeight="1">
      <c r="A107" s="2" t="str">
        <v>ST05 / greater</v>
      </c>
      <c r="B107" s="26" t="str">
        <v>02 Stoc și trasabilitate</v>
      </c>
      <c r="C107" s="26" t="str">
        <v>Dată de expirare / best-before</v>
      </c>
      <c r="D107" s="26" t="str">
        <v>GreaterWMS</v>
      </c>
      <c r="E107" s="38" t="str">
        <v>◐ Parțial</v>
      </c>
      <c r="F107" s="26" t="str">
        <v>Expirarea apare în customizări prezentate.</v>
      </c>
      <c r="G107" s="39" t="str">
        <v>S33</v>
      </c>
      <c r="H107" s="39"/>
      <c r="I107" s="39"/>
    </row>
    <row r="108" ht="43" customHeight="1">
      <c r="A108" s="2" t="str">
        <v>ST05 / openwms</v>
      </c>
      <c r="B108" s="26" t="str">
        <v>02 Stoc și trasabilitate</v>
      </c>
      <c r="C108" s="26" t="str">
        <v>Dată de expirare / best-before</v>
      </c>
      <c r="D108" s="26" t="str">
        <v>OpenWMS</v>
      </c>
      <c r="E108" s="38" t="str">
        <v>? Neconfirmat</v>
      </c>
      <c r="F108" s="26" t="str">
        <v>Funcția nu este confirmată în sursele consultate pentru această variantă. Nu înseamnă absență.</v>
      </c>
      <c r="G108" s="39" t="str">
        <v>S38</v>
      </c>
      <c r="H108" s="39"/>
      <c r="I108" s="39"/>
    </row>
    <row r="109" ht="43" customHeight="1">
      <c r="A109" s="2" t="str">
        <v>ST05 / scan</v>
      </c>
      <c r="B109" s="26" t="str">
        <v>02 Stoc și trasabilitate</v>
      </c>
      <c r="C109" s="26" t="str">
        <v>Dată de expirare / best-before</v>
      </c>
      <c r="D109" s="26" t="str">
        <v>Android Scan Write</v>
      </c>
      <c r="E109" s="38" t="str">
        <v>? Neconfirmat</v>
      </c>
      <c r="F109" s="26" t="str">
        <v>Funcția nu este confirmată în sursele consultate pentru această variantă. Nu înseamnă absență.</v>
      </c>
      <c r="G109" s="39" t="str">
        <v>S39</v>
      </c>
      <c r="H109" s="39"/>
      <c r="I109" s="39"/>
    </row>
    <row r="110" ht="43" customHeight="1">
      <c r="A110" s="2" t="str">
        <v>ST05 / tms</v>
      </c>
      <c r="B110" s="26" t="str">
        <v>02 Stoc și trasabilitate</v>
      </c>
      <c r="C110" s="26" t="str">
        <v>Dată de expirare / best-before</v>
      </c>
      <c r="D110" s="26" t="str">
        <v>TMS iDempiere</v>
      </c>
      <c r="E110" s="38" t="str">
        <v>? Neconfirmat</v>
      </c>
      <c r="F110" s="26" t="str">
        <v>Funcția nu este confirmată în sursele consultate pentru această variantă. Nu înseamnă absență.</v>
      </c>
      <c r="G110" s="39" t="str">
        <v>S40</v>
      </c>
      <c r="H110" s="39"/>
      <c r="I110" s="39"/>
    </row>
    <row r="111" ht="43" customHeight="1">
      <c r="A111" s="2" t="str">
        <v>ST05 / mobile</v>
      </c>
      <c r="B111" s="26" t="str">
        <v>02 Stoc și trasabilitate</v>
      </c>
      <c r="C111" s="26" t="str">
        <v>Dată de expirare / best-before</v>
      </c>
      <c r="D111" s="26" t="str">
        <v>SCM iDempiere Mobile</v>
      </c>
      <c r="E111" s="38" t="str">
        <v>◐ Parțial</v>
      </c>
      <c r="F111" s="26" t="str">
        <v>Captura expirării declarată la recepție.</v>
      </c>
      <c r="G111" s="39" t="str">
        <v>S41</v>
      </c>
      <c r="H111" s="39"/>
      <c r="I111" s="39"/>
    </row>
    <row r="112" ht="43" customHeight="1">
      <c r="A112" s="2" t="str">
        <v>ST06 / eva</v>
      </c>
      <c r="B112" s="26" t="str">
        <v>02 Stoc și trasabilitate</v>
      </c>
      <c r="C112" s="26" t="str">
        <v>FEFO în selecția pentru livrare</v>
      </c>
      <c r="D112" s="26" t="str">
        <v>EVA nativă</v>
      </c>
      <c r="E112" s="38" t="str">
        <v>? Neconfirmat</v>
      </c>
      <c r="F112" s="26" t="str">
        <v>Funcția nu este confirmată în sursele consultate pentru această variantă. Nu înseamnă absență.</v>
      </c>
      <c r="G112" s="39" t="str">
        <v>E05</v>
      </c>
      <c r="H112" s="39"/>
      <c r="I112" s="39"/>
    </row>
    <row r="113" ht="43" customHeight="1">
      <c r="A113" s="2" t="str">
        <v>ST06 / api</v>
      </c>
      <c r="B113" s="26" t="str">
        <v>02 Stoc și trasabilitate</v>
      </c>
      <c r="C113" s="26" t="str">
        <v>FEFO în selecția pentru livrare</v>
      </c>
      <c r="D113" s="26" t="str">
        <v>EVA API</v>
      </c>
      <c r="E113" s="38" t="str">
        <v>✗ Nu</v>
      </c>
      <c r="F113" s="26" t="str">
        <v>FIFO-ul inspectat consumă straturi cantitate/preț; nu folosește expirarea lotului.</v>
      </c>
      <c r="G113" s="39" t="str">
        <v>E10</v>
      </c>
      <c r="H113" s="39" t="str">
        <v>E11</v>
      </c>
      <c r="I113" s="39"/>
    </row>
    <row r="114" ht="43" customHeight="1">
      <c r="A114" s="2" t="str">
        <v>ST06 / portal</v>
      </c>
      <c r="B114" s="26" t="str">
        <v>02 Stoc și trasabilitate</v>
      </c>
      <c r="C114" s="26" t="str">
        <v>FEFO în selecția pentru livrare</v>
      </c>
      <c r="D114" s="26" t="str">
        <v>EVA portal</v>
      </c>
      <c r="E114" s="38" t="str">
        <v>? Neconfirmat</v>
      </c>
      <c r="F114" s="26" t="str">
        <v>Fluxul nu este confirmat în ecranul eva_stock.html inspectat.</v>
      </c>
      <c r="G114" s="39" t="str">
        <v>E12</v>
      </c>
      <c r="H114" s="39"/>
      <c r="I114" s="39"/>
    </row>
    <row r="115" ht="43" customHeight="1">
      <c r="A115" s="2" t="str">
        <v>ST06 / base</v>
      </c>
      <c r="B115" s="26" t="str">
        <v>02 Stoc și trasabilitate</v>
      </c>
      <c r="C115" s="26" t="str">
        <v>FEFO în selecția pentru livrare</v>
      </c>
      <c r="D115" s="26" t="str">
        <v>iDempiere standard</v>
      </c>
      <c r="E115" s="38" t="str">
        <v>◐ Parțial</v>
      </c>
      <c r="F115" s="26" t="str">
        <v>Guarantee Date menționat; nu toate fluxurile sunt confirmate.</v>
      </c>
      <c r="G115" s="39" t="str">
        <v>S03</v>
      </c>
      <c r="H115" s="39"/>
      <c r="I115" s="39"/>
    </row>
    <row r="116" ht="43" customHeight="1">
      <c r="A116" s="2" t="str">
        <v>ST06 / red1</v>
      </c>
      <c r="B116" s="26" t="str">
        <v>02 Stoc și trasabilitate</v>
      </c>
      <c r="C116" s="26" t="str">
        <v>FEFO în selecția pentru livrare</v>
      </c>
      <c r="D116" s="26" t="str">
        <v>Red1 / SYSNOVA WMS</v>
      </c>
      <c r="E116" s="38" t="str">
        <v>? Neconfirmat</v>
      </c>
      <c r="F116" s="26" t="str">
        <v>Funcția nu este confirmată în sursele consultate pentru această variantă. Nu înseamnă absență.</v>
      </c>
      <c r="G116" s="39" t="str">
        <v>S11</v>
      </c>
      <c r="H116" s="39"/>
      <c r="I116" s="39"/>
    </row>
    <row r="117" ht="43" customHeight="1">
      <c r="A117" s="2" t="str">
        <v>ST06 / libero</v>
      </c>
      <c r="B117" s="26" t="str">
        <v>02 Stoc și trasabilitate</v>
      </c>
      <c r="C117" s="26" t="str">
        <v>FEFO în selecția pentru livrare</v>
      </c>
      <c r="D117" s="26" t="str">
        <v>Libero Warehousing</v>
      </c>
      <c r="E117" s="38" t="str">
        <v>? Neconfirmat</v>
      </c>
      <c r="F117" s="26" t="str">
        <v>Funcția nu este confirmată în sursele consultate pentru această variantă. Nu înseamnă absență.</v>
      </c>
      <c r="G117" s="39" t="str">
        <v>S12</v>
      </c>
      <c r="H117" s="39"/>
      <c r="I117" s="39"/>
    </row>
    <row r="118" ht="43" customHeight="1">
      <c r="A118" s="2" t="str">
        <v>ST06 / mywms</v>
      </c>
      <c r="B118" s="26" t="str">
        <v>02 Stoc și trasabilitate</v>
      </c>
      <c r="C118" s="26" t="str">
        <v>FEFO în selecția pentru livrare</v>
      </c>
      <c r="D118" s="26" t="str">
        <v>myWMS Release 2</v>
      </c>
      <c r="E118" s="38" t="str">
        <v>✓ Da</v>
      </c>
      <c r="F118" s="26" t="str">
        <v>Strategy date poate folosi best-before.</v>
      </c>
      <c r="G118" s="39" t="str">
        <v>S30</v>
      </c>
      <c r="H118" s="39"/>
      <c r="I118" s="39"/>
    </row>
    <row r="119" ht="43" customHeight="1">
      <c r="A119" s="2" t="str">
        <v>ST06 / openboxes</v>
      </c>
      <c r="B119" s="26" t="str">
        <v>02 Stoc și trasabilitate</v>
      </c>
      <c r="C119" s="26" t="str">
        <v>FEFO în selecția pentru livrare</v>
      </c>
      <c r="D119" s="26" t="str">
        <v>OpenBoxes</v>
      </c>
      <c r="E119" s="38" t="str">
        <v>✓ Da</v>
      </c>
      <c r="F119" s="26" t="str">
        <v>Autopick selectează mai întâi lotul care expiră.</v>
      </c>
      <c r="G119" s="39" t="str">
        <v>S18</v>
      </c>
      <c r="H119" s="39"/>
      <c r="I119" s="39"/>
    </row>
    <row r="120" ht="43" customHeight="1">
      <c r="A120" s="2" t="str">
        <v>ST06 / greater</v>
      </c>
      <c r="B120" s="26" t="str">
        <v>02 Stoc și trasabilitate</v>
      </c>
      <c r="C120" s="26" t="str">
        <v>FEFO în selecția pentru livrare</v>
      </c>
      <c r="D120" s="26" t="str">
        <v>GreaterWMS</v>
      </c>
      <c r="E120" s="38" t="str">
        <v>? Neconfirmat</v>
      </c>
      <c r="F120" s="26" t="str">
        <v>Funcția nu este confirmată în sursele consultate pentru această variantă. Nu înseamnă absență.</v>
      </c>
      <c r="G120" s="39" t="str">
        <v>S33</v>
      </c>
      <c r="H120" s="39"/>
      <c r="I120" s="39"/>
    </row>
    <row r="121" ht="43" customHeight="1">
      <c r="A121" s="2" t="str">
        <v>ST06 / openwms</v>
      </c>
      <c r="B121" s="26" t="str">
        <v>02 Stoc și trasabilitate</v>
      </c>
      <c r="C121" s="26" t="str">
        <v>FEFO în selecția pentru livrare</v>
      </c>
      <c r="D121" s="26" t="str">
        <v>OpenWMS</v>
      </c>
      <c r="E121" s="38" t="str">
        <v>? Neconfirmat</v>
      </c>
      <c r="F121" s="26" t="str">
        <v>Funcția nu este confirmată în sursele consultate pentru această variantă. Nu înseamnă absență.</v>
      </c>
      <c r="G121" s="39" t="str">
        <v>S38</v>
      </c>
      <c r="H121" s="39"/>
      <c r="I121" s="39"/>
    </row>
    <row r="122" ht="43" customHeight="1">
      <c r="A122" s="2" t="str">
        <v>ST06 / scan</v>
      </c>
      <c r="B122" s="26" t="str">
        <v>02 Stoc și trasabilitate</v>
      </c>
      <c r="C122" s="26" t="str">
        <v>FEFO în selecția pentru livrare</v>
      </c>
      <c r="D122" s="26" t="str">
        <v>Android Scan Write</v>
      </c>
      <c r="E122" s="38" t="str">
        <v>? Neconfirmat</v>
      </c>
      <c r="F122" s="26" t="str">
        <v>Funcția nu este confirmată în sursele consultate pentru această variantă. Nu înseamnă absență.</v>
      </c>
      <c r="G122" s="39" t="str">
        <v>S39</v>
      </c>
      <c r="H122" s="39"/>
      <c r="I122" s="39"/>
    </row>
    <row r="123" ht="43" customHeight="1">
      <c r="A123" s="2" t="str">
        <v>ST06 / tms</v>
      </c>
      <c r="B123" s="26" t="str">
        <v>02 Stoc și trasabilitate</v>
      </c>
      <c r="C123" s="26" t="str">
        <v>FEFO în selecția pentru livrare</v>
      </c>
      <c r="D123" s="26" t="str">
        <v>TMS iDempiere</v>
      </c>
      <c r="E123" s="38" t="str">
        <v>? Neconfirmat</v>
      </c>
      <c r="F123" s="26" t="str">
        <v>Funcția nu este confirmată în sursele consultate pentru această variantă. Nu înseamnă absență.</v>
      </c>
      <c r="G123" s="39" t="str">
        <v>S40</v>
      </c>
      <c r="H123" s="39"/>
      <c r="I123" s="39"/>
    </row>
    <row r="124" ht="43" customHeight="1">
      <c r="A124" s="2" t="str">
        <v>ST06 / mobile</v>
      </c>
      <c r="B124" s="26" t="str">
        <v>02 Stoc și trasabilitate</v>
      </c>
      <c r="C124" s="26" t="str">
        <v>FEFO în selecția pentru livrare</v>
      </c>
      <c r="D124" s="26" t="str">
        <v>SCM iDempiere Mobile</v>
      </c>
      <c r="E124" s="38" t="str">
        <v>? Neconfirmat</v>
      </c>
      <c r="F124" s="26" t="str">
        <v>Funcția nu este confirmată în sursele consultate pentru această variantă. Nu înseamnă absență.</v>
      </c>
      <c r="G124" s="39" t="str">
        <v>S41</v>
      </c>
      <c r="H124" s="39"/>
      <c r="I124" s="39"/>
    </row>
    <row r="125" ht="43" customHeight="1">
      <c r="A125" s="2" t="str">
        <v>OU01 / eva</v>
      </c>
      <c r="B125" s="26" t="str">
        <v>03 Picking și expediere</v>
      </c>
      <c r="C125" s="26" t="str">
        <v>Listă de picking</v>
      </c>
      <c r="D125" s="26" t="str">
        <v>EVA nativă</v>
      </c>
      <c r="E125" s="38" t="str">
        <v>? Neconfirmat</v>
      </c>
      <c r="F125" s="26" t="str">
        <v>Funcția nu este confirmată în sursele consultate pentru această variantă. Nu înseamnă absență.</v>
      </c>
      <c r="G125" s="39" t="str">
        <v>E05</v>
      </c>
      <c r="H125" s="39"/>
      <c r="I125" s="39"/>
    </row>
    <row r="126" ht="43" customHeight="1">
      <c r="A126" s="2" t="str">
        <v>OU01 / api</v>
      </c>
      <c r="B126" s="26" t="str">
        <v>03 Picking și expediere</v>
      </c>
      <c r="C126" s="26" t="str">
        <v>Listă de picking</v>
      </c>
      <c r="D126" s="26" t="str">
        <v>EVA API</v>
      </c>
      <c r="E126" s="38" t="str">
        <v>? Neconfirmat</v>
      </c>
      <c r="F126" s="26" t="str">
        <v>Funcția nu este confirmată în sursele consultate pentru această variantă. Nu înseamnă absență.</v>
      </c>
      <c r="G126" s="39" t="str">
        <v>E09</v>
      </c>
      <c r="H126" s="39"/>
      <c r="I126" s="39"/>
    </row>
    <row r="127" ht="43" customHeight="1">
      <c r="A127" s="2" t="str">
        <v>OU01 / portal</v>
      </c>
      <c r="B127" s="26" t="str">
        <v>03 Picking și expediere</v>
      </c>
      <c r="C127" s="26" t="str">
        <v>Listă de picking</v>
      </c>
      <c r="D127" s="26" t="str">
        <v>EVA portal</v>
      </c>
      <c r="E127" s="38" t="str">
        <v>? Neconfirmat</v>
      </c>
      <c r="F127" s="26" t="str">
        <v>Fluxul nu este confirmat în ecranul eva_stock.html inspectat.</v>
      </c>
      <c r="G127" s="39" t="str">
        <v>E12</v>
      </c>
      <c r="H127" s="39"/>
      <c r="I127" s="39"/>
    </row>
    <row r="128" ht="43" customHeight="1">
      <c r="A128" s="2" t="str">
        <v>OU01 / base</v>
      </c>
      <c r="B128" s="26" t="str">
        <v>03 Picking și expediere</v>
      </c>
      <c r="C128" s="26" t="str">
        <v>Listă de picking</v>
      </c>
      <c r="D128" s="26" t="str">
        <v>iDempiere standard</v>
      </c>
      <c r="E128" s="38" t="str">
        <v>✓ Da</v>
      </c>
      <c r="F128" s="26" t="str">
        <v>Shipment Details poate fi utilizat ca listă consolidată.</v>
      </c>
      <c r="G128" s="39" t="str">
        <v>S06</v>
      </c>
      <c r="H128" s="39"/>
      <c r="I128" s="39"/>
    </row>
    <row r="129" ht="43" customHeight="1">
      <c r="A129" s="2" t="str">
        <v>OU01 / red1</v>
      </c>
      <c r="B129" s="26" t="str">
        <v>03 Picking și expediere</v>
      </c>
      <c r="C129" s="26" t="str">
        <v>Listă de picking</v>
      </c>
      <c r="D129" s="26" t="str">
        <v>Red1 / SYSNOVA WMS</v>
      </c>
      <c r="E129" s="38" t="str">
        <v>✓ Da</v>
      </c>
      <c r="F129" s="26" t="str">
        <v>Ghid 1.0 din 06.07.2017, 47 pagini PDF. În raport, paginile sunt cele PDF, numărate de la 1.</v>
      </c>
      <c r="G129" s="39" t="str">
        <v>S11</v>
      </c>
      <c r="H129" s="39"/>
      <c r="I129" s="39"/>
    </row>
    <row r="130" ht="43" customHeight="1">
      <c r="A130" s="2" t="str">
        <v>OU01 / libero</v>
      </c>
      <c r="B130" s="26" t="str">
        <v>03 Picking și expediere</v>
      </c>
      <c r="C130" s="26" t="str">
        <v>Listă de picking</v>
      </c>
      <c r="D130" s="26" t="str">
        <v>Libero Warehousing</v>
      </c>
      <c r="E130" s="38" t="str">
        <v>✓ Da</v>
      </c>
      <c r="F130" s="26" t="str">
        <v>Outbound documentat în extensia istorică.</v>
      </c>
      <c r="G130" s="39" t="str">
        <v>S12</v>
      </c>
      <c r="H130" s="39"/>
      <c r="I130" s="39"/>
    </row>
    <row r="131" ht="43" customHeight="1">
      <c r="A131" s="2" t="str">
        <v>OU01 / mywms</v>
      </c>
      <c r="B131" s="26" t="str">
        <v>03 Picking și expediere</v>
      </c>
      <c r="C131" s="26" t="str">
        <v>Listă de picking</v>
      </c>
      <c r="D131" s="26" t="str">
        <v>myWMS Release 2</v>
      </c>
      <c r="E131" s="38" t="str">
        <v>✓ Da</v>
      </c>
      <c r="F131" s="26" t="str">
        <v>Manual descărcat și citit, 15 pagini; picking, serii și expediere.</v>
      </c>
      <c r="G131" s="39" t="str">
        <v>S28</v>
      </c>
      <c r="H131" s="39"/>
      <c r="I131" s="39"/>
    </row>
    <row r="132" ht="43" customHeight="1">
      <c r="A132" s="2" t="str">
        <v>OU01 / openboxes</v>
      </c>
      <c r="B132" s="26" t="str">
        <v>03 Picking și expediere</v>
      </c>
      <c r="C132" s="26" t="str">
        <v>Listă de picking</v>
      </c>
      <c r="D132" s="26" t="str">
        <v>OpenBoxes</v>
      </c>
      <c r="E132" s="38" t="str">
        <v>✓ Da</v>
      </c>
      <c r="F132" s="26" t="str">
        <v>Autopick după expirare, rezervarea disponibilului și ordonarea listei pe locații. Picklist, delivery note, packing list și export.</v>
      </c>
      <c r="G132" s="39" t="str">
        <v>S18</v>
      </c>
      <c r="H132" s="39" t="str">
        <v>S43</v>
      </c>
      <c r="I132" s="39"/>
    </row>
    <row r="133" ht="43" customHeight="1">
      <c r="A133" s="2" t="str">
        <v>OU01 / greater</v>
      </c>
      <c r="B133" s="26" t="str">
        <v>03 Picking și expediere</v>
      </c>
      <c r="C133" s="26" t="str">
        <v>Listă de picking</v>
      </c>
      <c r="D133" s="26" t="str">
        <v>GreaterWMS</v>
      </c>
      <c r="E133" s="38" t="str">
        <v>◐ Parțial</v>
      </c>
      <c r="F133" s="26" t="str">
        <v>Outbound/DN declarate; lista exactă trebuie probată.</v>
      </c>
      <c r="G133" s="39" t="str">
        <v>S33</v>
      </c>
      <c r="H133" s="39"/>
      <c r="I133" s="39"/>
    </row>
    <row r="134" ht="43" customHeight="1">
      <c r="A134" s="2" t="str">
        <v>OU01 / openwms</v>
      </c>
      <c r="B134" s="26" t="str">
        <v>03 Picking și expediere</v>
      </c>
      <c r="C134" s="26" t="str">
        <v>Listă de picking</v>
      </c>
      <c r="D134" s="26" t="str">
        <v>OpenWMS</v>
      </c>
      <c r="E134" s="38" t="str">
        <v>◐ Parțial</v>
      </c>
      <c r="F134" s="26" t="str">
        <v>Picking privat și shipping preview.</v>
      </c>
      <c r="G134" s="39" t="str">
        <v>S37</v>
      </c>
      <c r="H134" s="39"/>
      <c r="I134" s="39"/>
    </row>
    <row r="135" ht="43" customHeight="1">
      <c r="A135" s="2" t="str">
        <v>OU01 / scan</v>
      </c>
      <c r="B135" s="26" t="str">
        <v>03 Picking și expediere</v>
      </c>
      <c r="C135" s="26" t="str">
        <v>Listă de picking</v>
      </c>
      <c r="D135" s="26" t="str">
        <v>Android Scan Write</v>
      </c>
      <c r="E135" s="38" t="str">
        <v>? Neconfirmat</v>
      </c>
      <c r="F135" s="26" t="str">
        <v>Funcția nu este confirmată în sursele consultate pentru această variantă. Nu înseamnă absență.</v>
      </c>
      <c r="G135" s="39" t="str">
        <v>S39</v>
      </c>
      <c r="H135" s="39"/>
      <c r="I135" s="39"/>
    </row>
    <row r="136" ht="43" customHeight="1">
      <c r="A136" s="2" t="str">
        <v>OU01 / tms</v>
      </c>
      <c r="B136" s="26" t="str">
        <v>03 Picking și expediere</v>
      </c>
      <c r="C136" s="26" t="str">
        <v>Listă de picking</v>
      </c>
      <c r="D136" s="26" t="str">
        <v>TMS iDempiere</v>
      </c>
      <c r="E136" s="38" t="str">
        <v>? Neconfirmat</v>
      </c>
      <c r="F136" s="26" t="str">
        <v>Funcția nu este confirmată în sursele consultate pentru această variantă. Nu înseamnă absență.</v>
      </c>
      <c r="G136" s="39" t="str">
        <v>S40</v>
      </c>
      <c r="H136" s="39"/>
      <c r="I136" s="39"/>
    </row>
    <row r="137" ht="43" customHeight="1">
      <c r="A137" s="2" t="str">
        <v>OU01 / mobile</v>
      </c>
      <c r="B137" s="26" t="str">
        <v>03 Picking și expediere</v>
      </c>
      <c r="C137" s="26" t="str">
        <v>Listă de picking</v>
      </c>
      <c r="D137" s="26" t="str">
        <v>SCM iDempiere Mobile</v>
      </c>
      <c r="E137" s="38" t="str">
        <v>◐ Parțial</v>
      </c>
      <c r="F137" s="26" t="str">
        <v>Picking declarat de furnizor.</v>
      </c>
      <c r="G137" s="39" t="str">
        <v>S41</v>
      </c>
      <c r="H137" s="39"/>
      <c r="I137" s="39"/>
    </row>
    <row r="138" ht="43" customHeight="1">
      <c r="A138" s="2" t="str">
        <v>OU02 / eva</v>
      </c>
      <c r="B138" s="26" t="str">
        <v>03 Picking și expediere</v>
      </c>
      <c r="C138" s="26" t="str">
        <v>Picking mobil cu pași validați</v>
      </c>
      <c r="D138" s="26" t="str">
        <v>EVA nativă</v>
      </c>
      <c r="E138" s="38" t="str">
        <v>? Neconfirmat</v>
      </c>
      <c r="F138" s="26" t="str">
        <v>Funcția nu este confirmată în sursele consultate pentru această variantă. Nu înseamnă absență.</v>
      </c>
      <c r="G138" s="39" t="str">
        <v>E05</v>
      </c>
      <c r="H138" s="39"/>
      <c r="I138" s="39"/>
    </row>
    <row r="139" ht="43" customHeight="1">
      <c r="A139" s="2" t="str">
        <v>OU02 / api</v>
      </c>
      <c r="B139" s="26" t="str">
        <v>03 Picking și expediere</v>
      </c>
      <c r="C139" s="26" t="str">
        <v>Picking mobil cu pași validați</v>
      </c>
      <c r="D139" s="26" t="str">
        <v>EVA API</v>
      </c>
      <c r="E139" s="38" t="str">
        <v>? Neconfirmat</v>
      </c>
      <c r="F139" s="26" t="str">
        <v>Funcția nu este confirmată în sursele consultate pentru această variantă. Nu înseamnă absență.</v>
      </c>
      <c r="G139" s="39" t="str">
        <v>E09</v>
      </c>
      <c r="H139" s="39"/>
      <c r="I139" s="39"/>
    </row>
    <row r="140" ht="43" customHeight="1">
      <c r="A140" s="2" t="str">
        <v>OU02 / portal</v>
      </c>
      <c r="B140" s="26" t="str">
        <v>03 Picking și expediere</v>
      </c>
      <c r="C140" s="26" t="str">
        <v>Picking mobil cu pași validați</v>
      </c>
      <c r="D140" s="26" t="str">
        <v>EVA portal</v>
      </c>
      <c r="E140" s="38" t="str">
        <v>? Neconfirmat</v>
      </c>
      <c r="F140" s="26" t="str">
        <v>Fluxul nu este confirmat în ecranul eva_stock.html inspectat.</v>
      </c>
      <c r="G140" s="39" t="str">
        <v>E12</v>
      </c>
      <c r="H140" s="39"/>
      <c r="I140" s="39"/>
    </row>
    <row r="141" ht="43" customHeight="1">
      <c r="A141" s="2" t="str">
        <v>OU02 / base</v>
      </c>
      <c r="B141" s="26" t="str">
        <v>03 Picking și expediere</v>
      </c>
      <c r="C141" s="26" t="str">
        <v>Picking mobil cu pași validați</v>
      </c>
      <c r="D141" s="26" t="str">
        <v>iDempiere standard</v>
      </c>
      <c r="E141" s="38" t="str">
        <v>? Neconfirmat</v>
      </c>
      <c r="F141" s="26" t="str">
        <v>Funcția nu este confirmată în sursele consultate pentru această variantă. Nu înseamnă absență.</v>
      </c>
      <c r="G141" s="39" t="str">
        <v>S02</v>
      </c>
      <c r="H141" s="39"/>
      <c r="I141" s="39"/>
    </row>
    <row r="142" ht="43" customHeight="1">
      <c r="A142" s="2" t="str">
        <v>OU02 / red1</v>
      </c>
      <c r="B142" s="26" t="str">
        <v>03 Picking și expediere</v>
      </c>
      <c r="C142" s="26" t="str">
        <v>Picking mobil cu pași validați</v>
      </c>
      <c r="D142" s="26" t="str">
        <v>Red1 / SYSNOVA WMS</v>
      </c>
      <c r="E142" s="38" t="str">
        <v>◐ Parțial</v>
      </c>
      <c r="F142" s="26" t="str">
        <v>POC QR; nu confirmă un terminal RF complet.</v>
      </c>
      <c r="G142" s="39" t="str">
        <v>S11</v>
      </c>
      <c r="H142" s="39"/>
      <c r="I142" s="39"/>
    </row>
    <row r="143" ht="43" customHeight="1">
      <c r="A143" s="2" t="str">
        <v>OU02 / libero</v>
      </c>
      <c r="B143" s="26" t="str">
        <v>03 Picking și expediere</v>
      </c>
      <c r="C143" s="26" t="str">
        <v>Picking mobil cu pași validați</v>
      </c>
      <c r="D143" s="26" t="str">
        <v>Libero Warehousing</v>
      </c>
      <c r="E143" s="38" t="str">
        <v>? Neconfirmat</v>
      </c>
      <c r="F143" s="26" t="str">
        <v>Funcția nu este confirmată în sursele consultate pentru această variantă. Nu înseamnă absență.</v>
      </c>
      <c r="G143" s="39" t="str">
        <v>S12</v>
      </c>
      <c r="H143" s="39"/>
      <c r="I143" s="39"/>
    </row>
    <row r="144" ht="43" customHeight="1">
      <c r="A144" s="2" t="str">
        <v>OU02 / mywms</v>
      </c>
      <c r="B144" s="26" t="str">
        <v>03 Picking și expediere</v>
      </c>
      <c r="C144" s="26" t="str">
        <v>Picking mobil cu pași validați</v>
      </c>
      <c r="D144" s="26" t="str">
        <v>myWMS Release 2</v>
      </c>
      <c r="E144" s="38" t="str">
        <v>✓ Da</v>
      </c>
      <c r="F144" s="26" t="str">
        <v>Manual descărcat și citit, 15 pagini; picking, serii și expediere.</v>
      </c>
      <c r="G144" s="39" t="str">
        <v>S28</v>
      </c>
      <c r="H144" s="39"/>
      <c r="I144" s="39"/>
    </row>
    <row r="145" ht="43" customHeight="1">
      <c r="A145" s="2" t="str">
        <v>OU02 / openboxes</v>
      </c>
      <c r="B145" s="26" t="str">
        <v>03 Picking și expediere</v>
      </c>
      <c r="C145" s="26" t="str">
        <v>Picking mobil cu pași validați</v>
      </c>
      <c r="D145" s="26" t="str">
        <v>OpenBoxes</v>
      </c>
      <c r="E145" s="38" t="str">
        <v>◐ Parțial</v>
      </c>
      <c r="F145" s="26" t="str">
        <v>Funcție mobilă declarată; test pe dispozitiv și release.</v>
      </c>
      <c r="G145" s="39" t="str">
        <v>S22</v>
      </c>
      <c r="H145" s="39"/>
      <c r="I145" s="39"/>
    </row>
    <row r="146" ht="43" customHeight="1">
      <c r="A146" s="2" t="str">
        <v>OU02 / greater</v>
      </c>
      <c r="B146" s="26" t="str">
        <v>03 Picking și expediere</v>
      </c>
      <c r="C146" s="26" t="str">
        <v>Picking mobil cu pași validați</v>
      </c>
      <c r="D146" s="26" t="str">
        <v>GreaterWMS</v>
      </c>
      <c r="E146" s="38" t="str">
        <v>◐ Parțial</v>
      </c>
      <c r="F146" s="26" t="str">
        <v>PDA declarat, flux detaliat neconfirmat.</v>
      </c>
      <c r="G146" s="39" t="str">
        <v>S33</v>
      </c>
      <c r="H146" s="39"/>
      <c r="I146" s="39"/>
    </row>
    <row r="147" ht="43" customHeight="1">
      <c r="A147" s="2" t="str">
        <v>OU02 / openwms</v>
      </c>
      <c r="B147" s="26" t="str">
        <v>03 Picking și expediere</v>
      </c>
      <c r="C147" s="26" t="str">
        <v>Picking mobil cu pași validați</v>
      </c>
      <c r="D147" s="26" t="str">
        <v>OpenWMS</v>
      </c>
      <c r="E147" s="38" t="str">
        <v>◐ Parțial</v>
      </c>
      <c r="F147" s="26" t="str">
        <v>Roma prezentat; picking este componentă privată.</v>
      </c>
      <c r="G147" s="39" t="str">
        <v>S37</v>
      </c>
      <c r="H147" s="39" t="str">
        <v>S38</v>
      </c>
      <c r="I147" s="39"/>
    </row>
    <row r="148" ht="43" customHeight="1">
      <c r="A148" s="2" t="str">
        <v>OU02 / scan</v>
      </c>
      <c r="B148" s="26" t="str">
        <v>03 Picking și expediere</v>
      </c>
      <c r="C148" s="26" t="str">
        <v>Picking mobil cu pași validați</v>
      </c>
      <c r="D148" s="26" t="str">
        <v>Android Scan Write</v>
      </c>
      <c r="E148" s="38" t="str">
        <v>? Neconfirmat</v>
      </c>
      <c r="F148" s="26" t="str">
        <v>Funcția nu este confirmată în sursele consultate pentru această variantă. Nu înseamnă absență.</v>
      </c>
      <c r="G148" s="39" t="str">
        <v>S39</v>
      </c>
      <c r="H148" s="39"/>
      <c r="I148" s="39"/>
    </row>
    <row r="149" ht="43" customHeight="1">
      <c r="A149" s="2" t="str">
        <v>OU02 / tms</v>
      </c>
      <c r="B149" s="26" t="str">
        <v>03 Picking și expediere</v>
      </c>
      <c r="C149" s="26" t="str">
        <v>Picking mobil cu pași validați</v>
      </c>
      <c r="D149" s="26" t="str">
        <v>TMS iDempiere</v>
      </c>
      <c r="E149" s="38" t="str">
        <v>? Neconfirmat</v>
      </c>
      <c r="F149" s="26" t="str">
        <v>Funcția nu este confirmată în sursele consultate pentru această variantă. Nu înseamnă absență.</v>
      </c>
      <c r="G149" s="39" t="str">
        <v>S40</v>
      </c>
      <c r="H149" s="39"/>
      <c r="I149" s="39"/>
    </row>
    <row r="150" ht="43" customHeight="1">
      <c r="A150" s="2" t="str">
        <v>OU02 / mobile</v>
      </c>
      <c r="B150" s="26" t="str">
        <v>03 Picking și expediere</v>
      </c>
      <c r="C150" s="26" t="str">
        <v>Picking mobil cu pași validați</v>
      </c>
      <c r="D150" s="26" t="str">
        <v>SCM iDempiere Mobile</v>
      </c>
      <c r="E150" s="38" t="str">
        <v>◐ Parțial</v>
      </c>
      <c r="F150" s="26" t="str">
        <v>Validarea produsului/lotului/cantității este declarată.</v>
      </c>
      <c r="G150" s="39" t="str">
        <v>S41</v>
      </c>
      <c r="H150" s="39"/>
      <c r="I150" s="39"/>
    </row>
    <row r="151" ht="43" customHeight="1">
      <c r="A151" s="2" t="str">
        <v>OU03 / eva</v>
      </c>
      <c r="B151" s="26" t="str">
        <v>03 Picking și expediere</v>
      </c>
      <c r="C151" s="26" t="str">
        <v>Ambalare în cutii / paleți</v>
      </c>
      <c r="D151" s="26" t="str">
        <v>EVA nativă</v>
      </c>
      <c r="E151" s="38" t="str">
        <v>? Neconfirmat</v>
      </c>
      <c r="F151" s="26" t="str">
        <v>Funcția nu este confirmată în sursele consultate pentru această variantă. Nu înseamnă absență.</v>
      </c>
      <c r="G151" s="39" t="str">
        <v>E05</v>
      </c>
      <c r="H151" s="39"/>
      <c r="I151" s="39"/>
    </row>
    <row r="152" ht="43" customHeight="1">
      <c r="A152" s="2" t="str">
        <v>OU03 / api</v>
      </c>
      <c r="B152" s="26" t="str">
        <v>03 Picking și expediere</v>
      </c>
      <c r="C152" s="26" t="str">
        <v>Ambalare în cutii / paleți</v>
      </c>
      <c r="D152" s="26" t="str">
        <v>EVA API</v>
      </c>
      <c r="E152" s="38" t="str">
        <v>? Neconfirmat</v>
      </c>
      <c r="F152" s="26" t="str">
        <v>Funcția nu este confirmată în sursele consultate pentru această variantă. Nu înseamnă absență.</v>
      </c>
      <c r="G152" s="39" t="str">
        <v>E09</v>
      </c>
      <c r="H152" s="39"/>
      <c r="I152" s="39"/>
    </row>
    <row r="153" ht="43" customHeight="1">
      <c r="A153" s="2" t="str">
        <v>OU03 / portal</v>
      </c>
      <c r="B153" s="26" t="str">
        <v>03 Picking și expediere</v>
      </c>
      <c r="C153" s="26" t="str">
        <v>Ambalare în cutii / paleți</v>
      </c>
      <c r="D153" s="26" t="str">
        <v>EVA portal</v>
      </c>
      <c r="E153" s="38" t="str">
        <v>? Neconfirmat</v>
      </c>
      <c r="F153" s="26" t="str">
        <v>Fluxul nu este confirmat în ecranul eva_stock.html inspectat.</v>
      </c>
      <c r="G153" s="39" t="str">
        <v>E12</v>
      </c>
      <c r="H153" s="39"/>
      <c r="I153" s="39"/>
    </row>
    <row r="154" ht="43" customHeight="1">
      <c r="A154" s="2" t="str">
        <v>OU03 / base</v>
      </c>
      <c r="B154" s="26" t="str">
        <v>03 Picking și expediere</v>
      </c>
      <c r="C154" s="26" t="str">
        <v>Ambalare în cutii / paleți</v>
      </c>
      <c r="D154" s="26" t="str">
        <v>iDempiere standard</v>
      </c>
      <c r="E154" s="38" t="str">
        <v>◐ Parțial</v>
      </c>
      <c r="F154" s="26" t="str">
        <v>Pachete la expediție; nu model HU pe întregul depozit.</v>
      </c>
      <c r="G154" s="39" t="str">
        <v>S02</v>
      </c>
      <c r="H154" s="39"/>
      <c r="I154" s="39"/>
    </row>
    <row r="155" ht="43" customHeight="1">
      <c r="A155" s="2" t="str">
        <v>OU03 / red1</v>
      </c>
      <c r="B155" s="26" t="str">
        <v>03 Picking și expediere</v>
      </c>
      <c r="C155" s="26" t="str">
        <v>Ambalare în cutii / paleți</v>
      </c>
      <c r="D155" s="26" t="str">
        <v>Red1 / SYSNOVA WMS</v>
      </c>
      <c r="E155" s="38" t="str">
        <v>◐ Parțial</v>
      </c>
      <c r="F155" s="26" t="str">
        <v>Handling Unit documentat; procedura completă de packing comercial trebuie probată.</v>
      </c>
      <c r="G155" s="39" t="str">
        <v>S11</v>
      </c>
      <c r="H155" s="39"/>
      <c r="I155" s="39"/>
    </row>
    <row r="156" ht="43" customHeight="1">
      <c r="A156" s="2" t="str">
        <v>OU03 / libero</v>
      </c>
      <c r="B156" s="26" t="str">
        <v>03 Picking și expediere</v>
      </c>
      <c r="C156" s="26" t="str">
        <v>Ambalare în cutii / paleți</v>
      </c>
      <c r="D156" s="26" t="str">
        <v>Libero Warehousing</v>
      </c>
      <c r="E156" s="38" t="str">
        <v>? Neconfirmat</v>
      </c>
      <c r="F156" s="26" t="str">
        <v>Funcția nu este confirmată în sursele consultate pentru această variantă. Nu înseamnă absență.</v>
      </c>
      <c r="G156" s="39" t="str">
        <v>S12</v>
      </c>
      <c r="H156" s="39"/>
      <c r="I156" s="39"/>
    </row>
    <row r="157" ht="43" customHeight="1">
      <c r="A157" s="2" t="str">
        <v>OU03 / mywms</v>
      </c>
      <c r="B157" s="26" t="str">
        <v>03 Picking și expediere</v>
      </c>
      <c r="C157" s="26" t="str">
        <v>Ambalare în cutii / paleți</v>
      </c>
      <c r="D157" s="26" t="str">
        <v>myWMS Release 2</v>
      </c>
      <c r="E157" s="38" t="str">
        <v>◐ Parțial</v>
      </c>
      <c r="F157" s="26" t="str">
        <v>Unit loads și expediere; packing pe cutii comerciale trebuie probat.</v>
      </c>
      <c r="G157" s="39" t="str">
        <v>S28</v>
      </c>
      <c r="H157" s="39" t="str">
        <v>S30</v>
      </c>
      <c r="I157" s="39"/>
    </row>
    <row r="158" ht="43" customHeight="1">
      <c r="A158" s="2" t="str">
        <v>OU03 / openboxes</v>
      </c>
      <c r="B158" s="26" t="str">
        <v>03 Picking și expediere</v>
      </c>
      <c r="C158" s="26" t="str">
        <v>Ambalare în cutii / paleți</v>
      </c>
      <c r="D158" s="26" t="str">
        <v>OpenBoxes</v>
      </c>
      <c r="E158" s="38" t="str">
        <v>✓ Da</v>
      </c>
      <c r="F158" s="26" t="str">
        <v>Activități packing și documente de expediție.</v>
      </c>
      <c r="G158" s="39" t="str">
        <v>S42</v>
      </c>
      <c r="H158" s="39" t="str">
        <v>S43</v>
      </c>
      <c r="I158" s="39"/>
    </row>
    <row r="159" ht="43" customHeight="1">
      <c r="A159" s="2" t="str">
        <v>OU03 / greater</v>
      </c>
      <c r="B159" s="26" t="str">
        <v>03 Picking și expediere</v>
      </c>
      <c r="C159" s="26" t="str">
        <v>Ambalare în cutii / paleți</v>
      </c>
      <c r="D159" s="26" t="str">
        <v>GreaterWMS</v>
      </c>
      <c r="E159" s="38" t="str">
        <v>? Neconfirmat</v>
      </c>
      <c r="F159" s="26" t="str">
        <v>Funcția nu este confirmată în sursele consultate pentru această variantă. Nu înseamnă absență.</v>
      </c>
      <c r="G159" s="39" t="str">
        <v>S33</v>
      </c>
      <c r="H159" s="39"/>
      <c r="I159" s="39"/>
    </row>
    <row r="160" ht="43" customHeight="1">
      <c r="A160" s="2" t="str">
        <v>OU03 / openwms</v>
      </c>
      <c r="B160" s="26" t="str">
        <v>03 Picking și expediere</v>
      </c>
      <c r="C160" s="26" t="str">
        <v>Ambalare în cutii / paleți</v>
      </c>
      <c r="D160" s="26" t="str">
        <v>OpenWMS</v>
      </c>
      <c r="E160" s="38" t="str">
        <v>? Neconfirmat</v>
      </c>
      <c r="F160" s="26" t="str">
        <v>Funcția nu este confirmată în sursele consultate pentru această variantă. Nu înseamnă absență.</v>
      </c>
      <c r="G160" s="39" t="str">
        <v>S38</v>
      </c>
      <c r="H160" s="39"/>
      <c r="I160" s="39"/>
    </row>
    <row r="161" ht="43" customHeight="1">
      <c r="A161" s="2" t="str">
        <v>OU03 / scan</v>
      </c>
      <c r="B161" s="26" t="str">
        <v>03 Picking și expediere</v>
      </c>
      <c r="C161" s="26" t="str">
        <v>Ambalare în cutii / paleți</v>
      </c>
      <c r="D161" s="26" t="str">
        <v>Android Scan Write</v>
      </c>
      <c r="E161" s="38" t="str">
        <v>? Neconfirmat</v>
      </c>
      <c r="F161" s="26" t="str">
        <v>Funcția nu este confirmată în sursele consultate pentru această variantă. Nu înseamnă absență.</v>
      </c>
      <c r="G161" s="39" t="str">
        <v>S39</v>
      </c>
      <c r="H161" s="39"/>
      <c r="I161" s="39"/>
    </row>
    <row r="162" ht="43" customHeight="1">
      <c r="A162" s="2" t="str">
        <v>OU03 / tms</v>
      </c>
      <c r="B162" s="26" t="str">
        <v>03 Picking și expediere</v>
      </c>
      <c r="C162" s="26" t="str">
        <v>Ambalare în cutii / paleți</v>
      </c>
      <c r="D162" s="26" t="str">
        <v>TMS iDempiere</v>
      </c>
      <c r="E162" s="38" t="str">
        <v>? Neconfirmat</v>
      </c>
      <c r="F162" s="26" t="str">
        <v>Funcția nu este confirmată în sursele consultate pentru această variantă. Nu înseamnă absență.</v>
      </c>
      <c r="G162" s="39" t="str">
        <v>S40</v>
      </c>
      <c r="H162" s="39"/>
      <c r="I162" s="39"/>
    </row>
    <row r="163" ht="43" customHeight="1">
      <c r="A163" s="2" t="str">
        <v>OU03 / mobile</v>
      </c>
      <c r="B163" s="26" t="str">
        <v>03 Picking și expediere</v>
      </c>
      <c r="C163" s="26" t="str">
        <v>Ambalare în cutii / paleți</v>
      </c>
      <c r="D163" s="26" t="str">
        <v>SCM iDempiere Mobile</v>
      </c>
      <c r="E163" s="38" t="str">
        <v>◐ Parțial</v>
      </c>
      <c r="F163" s="26" t="str">
        <v>Pick/pack/ship declarat fără procedură verificată.</v>
      </c>
      <c r="G163" s="39" t="str">
        <v>S41</v>
      </c>
      <c r="H163" s="39"/>
      <c r="I163" s="39"/>
    </row>
    <row r="164" ht="43" customHeight="1">
      <c r="A164" s="2" t="str">
        <v>OU04 / eva</v>
      </c>
      <c r="B164" s="26" t="str">
        <v>03 Picking și expediere</v>
      </c>
      <c r="C164" s="26" t="str">
        <v>Valuri / combinarea comenzilor</v>
      </c>
      <c r="D164" s="26" t="str">
        <v>EVA nativă</v>
      </c>
      <c r="E164" s="38" t="str">
        <v>? Neconfirmat</v>
      </c>
      <c r="F164" s="26" t="str">
        <v>Funcția nu este confirmată în sursele consultate pentru această variantă. Nu înseamnă absență.</v>
      </c>
      <c r="G164" s="39" t="str">
        <v>E05</v>
      </c>
      <c r="H164" s="39"/>
      <c r="I164" s="39"/>
    </row>
    <row r="165" ht="43" customHeight="1">
      <c r="A165" s="2" t="str">
        <v>OU04 / api</v>
      </c>
      <c r="B165" s="26" t="str">
        <v>03 Picking și expediere</v>
      </c>
      <c r="C165" s="26" t="str">
        <v>Valuri / combinarea comenzilor</v>
      </c>
      <c r="D165" s="26" t="str">
        <v>EVA API</v>
      </c>
      <c r="E165" s="38" t="str">
        <v>? Neconfirmat</v>
      </c>
      <c r="F165" s="26" t="str">
        <v>Funcția nu este confirmată în sursele consultate pentru această variantă. Nu înseamnă absență.</v>
      </c>
      <c r="G165" s="39" t="str">
        <v>E09</v>
      </c>
      <c r="H165" s="39"/>
      <c r="I165" s="39"/>
    </row>
    <row r="166" ht="43" customHeight="1">
      <c r="A166" s="2" t="str">
        <v>OU04 / portal</v>
      </c>
      <c r="B166" s="26" t="str">
        <v>03 Picking și expediere</v>
      </c>
      <c r="C166" s="26" t="str">
        <v>Valuri / combinarea comenzilor</v>
      </c>
      <c r="D166" s="26" t="str">
        <v>EVA portal</v>
      </c>
      <c r="E166" s="38" t="str">
        <v>? Neconfirmat</v>
      </c>
      <c r="F166" s="26" t="str">
        <v>Fluxul nu este confirmat în ecranul eva_stock.html inspectat.</v>
      </c>
      <c r="G166" s="39" t="str">
        <v>E12</v>
      </c>
      <c r="H166" s="39"/>
      <c r="I166" s="39"/>
    </row>
    <row r="167" ht="43" customHeight="1">
      <c r="A167" s="2" t="str">
        <v>OU04 / base</v>
      </c>
      <c r="B167" s="26" t="str">
        <v>03 Picking și expediere</v>
      </c>
      <c r="C167" s="26" t="str">
        <v>Valuri / combinarea comenzilor</v>
      </c>
      <c r="D167" s="26" t="str">
        <v>iDempiere standard</v>
      </c>
      <c r="E167" s="38" t="str">
        <v>? Neconfirmat</v>
      </c>
      <c r="F167" s="26" t="str">
        <v>Funcția nu este confirmată în sursele consultate pentru această variantă. Nu înseamnă absență.</v>
      </c>
      <c r="G167" s="39" t="str">
        <v>S02</v>
      </c>
      <c r="H167" s="39"/>
      <c r="I167" s="39"/>
    </row>
    <row r="168" ht="43" customHeight="1">
      <c r="A168" s="2" t="str">
        <v>OU04 / red1</v>
      </c>
      <c r="B168" s="26" t="str">
        <v>03 Picking și expediere</v>
      </c>
      <c r="C168" s="26" t="str">
        <v>Valuri / combinarea comenzilor</v>
      </c>
      <c r="D168" s="26" t="str">
        <v>Red1 / SYSNOVA WMS</v>
      </c>
      <c r="E168" s="38" t="str">
        <v>◐ Parțial</v>
      </c>
      <c r="F168" s="26" t="str">
        <v>Secvențiere pe locații; optimizator complet de valuri neconfirmat.</v>
      </c>
      <c r="G168" s="39" t="str">
        <v>S11</v>
      </c>
      <c r="H168" s="39"/>
      <c r="I168" s="39"/>
    </row>
    <row r="169" ht="43" customHeight="1">
      <c r="A169" s="2" t="str">
        <v>OU04 / libero</v>
      </c>
      <c r="B169" s="26" t="str">
        <v>03 Picking și expediere</v>
      </c>
      <c r="C169" s="26" t="str">
        <v>Valuri / combinarea comenzilor</v>
      </c>
      <c r="D169" s="26" t="str">
        <v>Libero Warehousing</v>
      </c>
      <c r="E169" s="38" t="str">
        <v>◐ Parțial</v>
      </c>
      <c r="F169" s="26" t="str">
        <v>Reguli outbound istorice; optimizarea de valuri nu este confirmată.</v>
      </c>
      <c r="G169" s="39" t="str">
        <v>S12</v>
      </c>
      <c r="H169" s="39"/>
      <c r="I169" s="39"/>
    </row>
    <row r="170" ht="43" customHeight="1">
      <c r="A170" s="2" t="str">
        <v>OU04 / mywms</v>
      </c>
      <c r="B170" s="26" t="str">
        <v>03 Picking și expediere</v>
      </c>
      <c r="C170" s="26" t="str">
        <v>Valuri / combinarea comenzilor</v>
      </c>
      <c r="D170" s="26" t="str">
        <v>myWMS Release 2</v>
      </c>
      <c r="E170" s="38" t="str">
        <v>◐ Parțial</v>
      </c>
      <c r="F170" s="26" t="str">
        <v>Combinare comenzi cu limitare documentată a legăturilor și confirmărilor.</v>
      </c>
      <c r="G170" s="39" t="str">
        <v>S28</v>
      </c>
      <c r="H170" s="39"/>
      <c r="I170" s="39"/>
    </row>
    <row r="171" ht="43" customHeight="1">
      <c r="A171" s="2" t="str">
        <v>OU04 / openboxes</v>
      </c>
      <c r="B171" s="26" t="str">
        <v>03 Picking și expediere</v>
      </c>
      <c r="C171" s="26" t="str">
        <v>Valuri / combinarea comenzilor</v>
      </c>
      <c r="D171" s="26" t="str">
        <v>OpenBoxes</v>
      </c>
      <c r="E171" s="38" t="str">
        <v>? Neconfirmat</v>
      </c>
      <c r="F171" s="26" t="str">
        <v>Funcția nu este confirmată în sursele consultate pentru această variantă. Nu înseamnă absență.</v>
      </c>
      <c r="G171" s="39" t="str">
        <v>S16</v>
      </c>
      <c r="H171" s="39"/>
      <c r="I171" s="39"/>
    </row>
    <row r="172" ht="43" customHeight="1">
      <c r="A172" s="2" t="str">
        <v>OU04 / greater</v>
      </c>
      <c r="B172" s="26" t="str">
        <v>03 Picking și expediere</v>
      </c>
      <c r="C172" s="26" t="str">
        <v>Valuri / combinarea comenzilor</v>
      </c>
      <c r="D172" s="26" t="str">
        <v>GreaterWMS</v>
      </c>
      <c r="E172" s="38" t="str">
        <v>? Neconfirmat</v>
      </c>
      <c r="F172" s="26" t="str">
        <v>Funcția nu este confirmată în sursele consultate pentru această variantă. Nu înseamnă absență.</v>
      </c>
      <c r="G172" s="39" t="str">
        <v>S33</v>
      </c>
      <c r="H172" s="39"/>
      <c r="I172" s="39"/>
    </row>
    <row r="173" ht="43" customHeight="1">
      <c r="A173" s="2" t="str">
        <v>OU04 / openwms</v>
      </c>
      <c r="B173" s="26" t="str">
        <v>03 Picking și expediere</v>
      </c>
      <c r="C173" s="26" t="str">
        <v>Valuri / combinarea comenzilor</v>
      </c>
      <c r="D173" s="26" t="str">
        <v>OpenWMS</v>
      </c>
      <c r="E173" s="38" t="str">
        <v>? Neconfirmat</v>
      </c>
      <c r="F173" s="26" t="str">
        <v>Funcția nu este confirmată în sursele consultate pentru această variantă. Nu înseamnă absență.</v>
      </c>
      <c r="G173" s="39" t="str">
        <v>S38</v>
      </c>
      <c r="H173" s="39"/>
      <c r="I173" s="39"/>
    </row>
    <row r="174" ht="43" customHeight="1">
      <c r="A174" s="2" t="str">
        <v>OU04 / scan</v>
      </c>
      <c r="B174" s="26" t="str">
        <v>03 Picking și expediere</v>
      </c>
      <c r="C174" s="26" t="str">
        <v>Valuri / combinarea comenzilor</v>
      </c>
      <c r="D174" s="26" t="str">
        <v>Android Scan Write</v>
      </c>
      <c r="E174" s="38" t="str">
        <v>? Neconfirmat</v>
      </c>
      <c r="F174" s="26" t="str">
        <v>Funcția nu este confirmată în sursele consultate pentru această variantă. Nu înseamnă absență.</v>
      </c>
      <c r="G174" s="39" t="str">
        <v>S39</v>
      </c>
      <c r="H174" s="39"/>
      <c r="I174" s="39"/>
    </row>
    <row r="175" ht="43" customHeight="1">
      <c r="A175" s="2" t="str">
        <v>OU04 / tms</v>
      </c>
      <c r="B175" s="26" t="str">
        <v>03 Picking și expediere</v>
      </c>
      <c r="C175" s="26" t="str">
        <v>Valuri / combinarea comenzilor</v>
      </c>
      <c r="D175" s="26" t="str">
        <v>TMS iDempiere</v>
      </c>
      <c r="E175" s="38" t="str">
        <v>? Neconfirmat</v>
      </c>
      <c r="F175" s="26" t="str">
        <v>Funcția nu este confirmată în sursele consultate pentru această variantă. Nu înseamnă absență.</v>
      </c>
      <c r="G175" s="39" t="str">
        <v>S40</v>
      </c>
      <c r="H175" s="39"/>
      <c r="I175" s="39"/>
    </row>
    <row r="176" ht="43" customHeight="1">
      <c r="A176" s="2" t="str">
        <v>OU04 / mobile</v>
      </c>
      <c r="B176" s="26" t="str">
        <v>03 Picking și expediere</v>
      </c>
      <c r="C176" s="26" t="str">
        <v>Valuri / combinarea comenzilor</v>
      </c>
      <c r="D176" s="26" t="str">
        <v>SCM iDempiere Mobile</v>
      </c>
      <c r="E176" s="38" t="str">
        <v>? Neconfirmat</v>
      </c>
      <c r="F176" s="26" t="str">
        <v>Funcția nu este confirmată în sursele consultate pentru această variantă. Nu înseamnă absență.</v>
      </c>
      <c r="G176" s="39" t="str">
        <v>S41</v>
      </c>
      <c r="H176" s="39"/>
      <c r="I176" s="39"/>
    </row>
    <row r="177" ht="43" customHeight="1">
      <c r="A177" s="2" t="str">
        <v>OU05 / eva</v>
      </c>
      <c r="B177" s="26" t="str">
        <v>03 Picking și expediere</v>
      </c>
      <c r="C177" s="26" t="str">
        <v>Planificare / consolidare transporturi</v>
      </c>
      <c r="D177" s="26" t="str">
        <v>EVA nativă</v>
      </c>
      <c r="E177" s="38" t="str">
        <v>? Neconfirmat</v>
      </c>
      <c r="F177" s="26" t="str">
        <v>Funcția nu este confirmată în sursele consultate pentru această variantă. Nu înseamnă absență.</v>
      </c>
      <c r="G177" s="39" t="str">
        <v>E05</v>
      </c>
      <c r="H177" s="39"/>
      <c r="I177" s="39"/>
    </row>
    <row r="178" ht="43" customHeight="1">
      <c r="A178" s="2" t="str">
        <v>OU05 / api</v>
      </c>
      <c r="B178" s="26" t="str">
        <v>03 Picking și expediere</v>
      </c>
      <c r="C178" s="26" t="str">
        <v>Planificare / consolidare transporturi</v>
      </c>
      <c r="D178" s="26" t="str">
        <v>EVA API</v>
      </c>
      <c r="E178" s="38" t="str">
        <v>? Neconfirmat</v>
      </c>
      <c r="F178" s="26" t="str">
        <v>Funcția nu este confirmată în sursele consultate pentru această variantă. Nu înseamnă absență.</v>
      </c>
      <c r="G178" s="39" t="str">
        <v>E09</v>
      </c>
      <c r="H178" s="39"/>
      <c r="I178" s="39"/>
    </row>
    <row r="179" ht="43" customHeight="1">
      <c r="A179" s="2" t="str">
        <v>OU05 / portal</v>
      </c>
      <c r="B179" s="26" t="str">
        <v>03 Picking și expediere</v>
      </c>
      <c r="C179" s="26" t="str">
        <v>Planificare / consolidare transporturi</v>
      </c>
      <c r="D179" s="26" t="str">
        <v>EVA portal</v>
      </c>
      <c r="E179" s="38" t="str">
        <v>✗ Nu</v>
      </c>
      <c r="F179" s="26" t="str">
        <v>Ecranul inspectat oferă tracking, nu planificarea transporturilor.</v>
      </c>
      <c r="G179" s="39" t="str">
        <v>E12</v>
      </c>
      <c r="H179" s="39"/>
      <c r="I179" s="39"/>
    </row>
    <row r="180" ht="43" customHeight="1">
      <c r="A180" s="2" t="str">
        <v>OU05 / base</v>
      </c>
      <c r="B180" s="26" t="str">
        <v>03 Picking și expediere</v>
      </c>
      <c r="C180" s="26" t="str">
        <v>Planificare / consolidare transporturi</v>
      </c>
      <c r="D180" s="26" t="str">
        <v>iDempiere standard</v>
      </c>
      <c r="E180" s="38" t="str">
        <v>? Neconfirmat</v>
      </c>
      <c r="F180" s="26" t="str">
        <v>Funcția nu este confirmată în sursele consultate pentru această variantă. Nu înseamnă absență.</v>
      </c>
      <c r="G180" s="39" t="str">
        <v>S02</v>
      </c>
      <c r="H180" s="39"/>
      <c r="I180" s="39"/>
    </row>
    <row r="181" ht="43" customHeight="1">
      <c r="A181" s="2" t="str">
        <v>OU05 / red1</v>
      </c>
      <c r="B181" s="26" t="str">
        <v>03 Picking și expediere</v>
      </c>
      <c r="C181" s="26" t="str">
        <v>Planificare / consolidare transporturi</v>
      </c>
      <c r="D181" s="26" t="str">
        <v>Red1 / SYSNOVA WMS</v>
      </c>
      <c r="E181" s="38" t="str">
        <v>? Neconfirmat</v>
      </c>
      <c r="F181" s="26" t="str">
        <v>Funcția nu este confirmată în sursele consultate pentru această variantă. Nu înseamnă absență.</v>
      </c>
      <c r="G181" s="39" t="str">
        <v>S11</v>
      </c>
      <c r="H181" s="39"/>
      <c r="I181" s="39"/>
    </row>
    <row r="182" ht="43" customHeight="1">
      <c r="A182" s="2" t="str">
        <v>OU05 / libero</v>
      </c>
      <c r="B182" s="26" t="str">
        <v>03 Picking și expediere</v>
      </c>
      <c r="C182" s="26" t="str">
        <v>Planificare / consolidare transporturi</v>
      </c>
      <c r="D182" s="26" t="str">
        <v>Libero Warehousing</v>
      </c>
      <c r="E182" s="38" t="str">
        <v>? Neconfirmat</v>
      </c>
      <c r="F182" s="26" t="str">
        <v>Funcția nu este confirmată în sursele consultate pentru această variantă. Nu înseamnă absență.</v>
      </c>
      <c r="G182" s="39" t="str">
        <v>S12</v>
      </c>
      <c r="H182" s="39"/>
      <c r="I182" s="39"/>
    </row>
    <row r="183" ht="43" customHeight="1">
      <c r="A183" s="2" t="str">
        <v>OU05 / mywms</v>
      </c>
      <c r="B183" s="26" t="str">
        <v>03 Picking și expediere</v>
      </c>
      <c r="C183" s="26" t="str">
        <v>Planificare / consolidare transporturi</v>
      </c>
      <c r="D183" s="26" t="str">
        <v>myWMS Release 2</v>
      </c>
      <c r="E183" s="38" t="str">
        <v>? Neconfirmat</v>
      </c>
      <c r="F183" s="26" t="str">
        <v>Funcția nu este confirmată în sursele consultate pentru această variantă. Nu înseamnă absență.</v>
      </c>
      <c r="G183" s="39" t="str">
        <v>S25</v>
      </c>
      <c r="H183" s="39"/>
      <c r="I183" s="39"/>
    </row>
    <row r="184" ht="43" customHeight="1">
      <c r="A184" s="2" t="str">
        <v>OU05 / openboxes</v>
      </c>
      <c r="B184" s="26" t="str">
        <v>03 Picking și expediere</v>
      </c>
      <c r="C184" s="26" t="str">
        <v>Planificare / consolidare transporturi</v>
      </c>
      <c r="D184" s="26" t="str">
        <v>OpenBoxes</v>
      </c>
      <c r="E184" s="38" t="str">
        <v>? Neconfirmat</v>
      </c>
      <c r="F184" s="26" t="str">
        <v>Funcția nu este confirmată în sursele consultate pentru această variantă. Nu înseamnă absență.</v>
      </c>
      <c r="G184" s="39" t="str">
        <v>S16</v>
      </c>
      <c r="H184" s="39"/>
      <c r="I184" s="39"/>
    </row>
    <row r="185" ht="43" customHeight="1">
      <c r="A185" s="2" t="str">
        <v>OU05 / greater</v>
      </c>
      <c r="B185" s="26" t="str">
        <v>03 Picking și expediere</v>
      </c>
      <c r="C185" s="26" t="str">
        <v>Planificare / consolidare transporturi</v>
      </c>
      <c r="D185" s="26" t="str">
        <v>GreaterWMS</v>
      </c>
      <c r="E185" s="38" t="str">
        <v>? Neconfirmat</v>
      </c>
      <c r="F185" s="26" t="str">
        <v>Funcția nu este confirmată în sursele consultate pentru această variantă. Nu înseamnă absență.</v>
      </c>
      <c r="G185" s="39" t="str">
        <v>S33</v>
      </c>
      <c r="H185" s="39"/>
      <c r="I185" s="39"/>
    </row>
    <row r="186" ht="43" customHeight="1">
      <c r="A186" s="2" t="str">
        <v>OU05 / openwms</v>
      </c>
      <c r="B186" s="26" t="str">
        <v>03 Picking și expediere</v>
      </c>
      <c r="C186" s="26" t="str">
        <v>Planificare / consolidare transporturi</v>
      </c>
      <c r="D186" s="26" t="str">
        <v>OpenWMS</v>
      </c>
      <c r="E186" s="38" t="str">
        <v>? Neconfirmat</v>
      </c>
      <c r="F186" s="26" t="str">
        <v>Funcția nu este confirmată în sursele consultate pentru această variantă. Nu înseamnă absență.</v>
      </c>
      <c r="G186" s="39" t="str">
        <v>S38</v>
      </c>
      <c r="H186" s="39"/>
      <c r="I186" s="39"/>
    </row>
    <row r="187" ht="43" customHeight="1">
      <c r="A187" s="2" t="str">
        <v>OU05 / scan</v>
      </c>
      <c r="B187" s="26" t="str">
        <v>03 Picking și expediere</v>
      </c>
      <c r="C187" s="26" t="str">
        <v>Planificare / consolidare transporturi</v>
      </c>
      <c r="D187" s="26" t="str">
        <v>Android Scan Write</v>
      </c>
      <c r="E187" s="38" t="str">
        <v>? Neconfirmat</v>
      </c>
      <c r="F187" s="26" t="str">
        <v>Funcția nu este confirmată în sursele consultate pentru această variantă. Nu înseamnă absență.</v>
      </c>
      <c r="G187" s="39" t="str">
        <v>S39</v>
      </c>
      <c r="H187" s="39"/>
      <c r="I187" s="39"/>
    </row>
    <row r="188" ht="43" customHeight="1">
      <c r="A188" s="2" t="str">
        <v>OU05 / tms</v>
      </c>
      <c r="B188" s="26" t="str">
        <v>03 Picking și expediere</v>
      </c>
      <c r="C188" s="26" t="str">
        <v>Planificare / consolidare transporturi</v>
      </c>
      <c r="D188" s="26" t="str">
        <v>TMS iDempiere</v>
      </c>
      <c r="E188" s="38" t="str">
        <v>✓ Da</v>
      </c>
      <c r="F188" s="26" t="str">
        <v>Scopul documentat al extensiei: organizarea și consolidarea transporturilor pe baza comenzilor.</v>
      </c>
      <c r="G188" s="39" t="str">
        <v>S40</v>
      </c>
      <c r="H188" s="39"/>
      <c r="I188" s="39"/>
    </row>
    <row r="189" ht="43" customHeight="1">
      <c r="A189" s="2" t="str">
        <v>OU05 / mobile</v>
      </c>
      <c r="B189" s="26" t="str">
        <v>03 Picking și expediere</v>
      </c>
      <c r="C189" s="26" t="str">
        <v>Planificare / consolidare transporturi</v>
      </c>
      <c r="D189" s="26" t="str">
        <v>SCM iDempiere Mobile</v>
      </c>
      <c r="E189" s="38" t="str">
        <v>? Neconfirmat</v>
      </c>
      <c r="F189" s="26" t="str">
        <v>Funcția nu este confirmată în sursele consultate pentru această variantă. Nu înseamnă absență.</v>
      </c>
      <c r="G189" s="39" t="str">
        <v>S41</v>
      </c>
      <c r="H189" s="39"/>
      <c r="I189" s="39"/>
    </row>
    <row r="190" ht="43" customHeight="1">
      <c r="A190" s="2" t="str">
        <v>OU06 / eva</v>
      </c>
      <c r="B190" s="26" t="str">
        <v>03 Picking și expediere</v>
      </c>
      <c r="C190" s="26" t="str">
        <v>Consultare curieri / tracking</v>
      </c>
      <c r="D190" s="26" t="str">
        <v>EVA nativă</v>
      </c>
      <c r="E190" s="38" t="str">
        <v>? Neconfirmat</v>
      </c>
      <c r="F190" s="26" t="str">
        <v>Funcția nu este confirmată în sursele consultate pentru această variantă. Nu înseamnă absență.</v>
      </c>
      <c r="G190" s="39" t="str">
        <v>E05</v>
      </c>
      <c r="H190" s="39"/>
      <c r="I190" s="39"/>
    </row>
    <row r="191" ht="43" customHeight="1">
      <c r="A191" s="2" t="str">
        <v>OU06 / api</v>
      </c>
      <c r="B191" s="26" t="str">
        <v>03 Picking și expediere</v>
      </c>
      <c r="C191" s="26" t="str">
        <v>Consultare curieri / tracking</v>
      </c>
      <c r="D191" s="26" t="str">
        <v>EVA API</v>
      </c>
      <c r="E191" s="38" t="str">
        <v>? Neconfirmat</v>
      </c>
      <c r="F191" s="26" t="str">
        <v>Funcția nu este confirmată în sursele consultate pentru această variantă. Nu înseamnă absență.</v>
      </c>
      <c r="G191" s="39" t="str">
        <v>E09</v>
      </c>
      <c r="H191" s="39"/>
      <c r="I191" s="39"/>
    </row>
    <row r="192" ht="43" customHeight="1">
      <c r="A192" s="2" t="str">
        <v>OU06 / portal</v>
      </c>
      <c r="B192" s="26" t="str">
        <v>03 Picking și expediere</v>
      </c>
      <c r="C192" s="26" t="str">
        <v>Consultare curieri / tracking</v>
      </c>
      <c r="D192" s="26" t="str">
        <v>EVA portal</v>
      </c>
      <c r="E192" s="38" t="str">
        <v>✓ Da</v>
      </c>
      <c r="F192" s="26" t="str">
        <v>Ecranul inspectat apelează endpointuri pentru curieri și tracking. Funcționarea furnizorilor în instanța activă nu a fost testată.</v>
      </c>
      <c r="G192" s="39" t="str">
        <v>E12</v>
      </c>
      <c r="H192" s="39"/>
      <c r="I192" s="39"/>
    </row>
    <row r="193" ht="43" customHeight="1">
      <c r="A193" s="2" t="str">
        <v>OU06 / base</v>
      </c>
      <c r="B193" s="26" t="str">
        <v>03 Picking și expediere</v>
      </c>
      <c r="C193" s="26" t="str">
        <v>Consultare curieri / tracking</v>
      </c>
      <c r="D193" s="26" t="str">
        <v>iDempiere standard</v>
      </c>
      <c r="E193" s="38" t="str">
        <v>? Neconfirmat</v>
      </c>
      <c r="F193" s="26" t="str">
        <v>Funcția nu este confirmată în sursele consultate pentru această variantă. Nu înseamnă absență.</v>
      </c>
      <c r="G193" s="39" t="str">
        <v>S02</v>
      </c>
      <c r="H193" s="39"/>
      <c r="I193" s="39"/>
    </row>
    <row r="194" ht="43" customHeight="1">
      <c r="A194" s="2" t="str">
        <v>OU06 / red1</v>
      </c>
      <c r="B194" s="26" t="str">
        <v>03 Picking și expediere</v>
      </c>
      <c r="C194" s="26" t="str">
        <v>Consultare curieri / tracking</v>
      </c>
      <c r="D194" s="26" t="str">
        <v>Red1 / SYSNOVA WMS</v>
      </c>
      <c r="E194" s="38" t="str">
        <v>? Neconfirmat</v>
      </c>
      <c r="F194" s="26" t="str">
        <v>Funcția nu este confirmată în sursele consultate pentru această variantă. Nu înseamnă absență.</v>
      </c>
      <c r="G194" s="39" t="str">
        <v>S11</v>
      </c>
      <c r="H194" s="39"/>
      <c r="I194" s="39"/>
    </row>
    <row r="195" ht="43" customHeight="1">
      <c r="A195" s="2" t="str">
        <v>OU06 / libero</v>
      </c>
      <c r="B195" s="26" t="str">
        <v>03 Picking și expediere</v>
      </c>
      <c r="C195" s="26" t="str">
        <v>Consultare curieri / tracking</v>
      </c>
      <c r="D195" s="26" t="str">
        <v>Libero Warehousing</v>
      </c>
      <c r="E195" s="38" t="str">
        <v>? Neconfirmat</v>
      </c>
      <c r="F195" s="26" t="str">
        <v>Funcția nu este confirmată în sursele consultate pentru această variantă. Nu înseamnă absență.</v>
      </c>
      <c r="G195" s="39" t="str">
        <v>S12</v>
      </c>
      <c r="H195" s="39"/>
      <c r="I195" s="39"/>
    </row>
    <row r="196" ht="43" customHeight="1">
      <c r="A196" s="2" t="str">
        <v>OU06 / mywms</v>
      </c>
      <c r="B196" s="26" t="str">
        <v>03 Picking și expediere</v>
      </c>
      <c r="C196" s="26" t="str">
        <v>Consultare curieri / tracking</v>
      </c>
      <c r="D196" s="26" t="str">
        <v>myWMS Release 2</v>
      </c>
      <c r="E196" s="38" t="str">
        <v>? Neconfirmat</v>
      </c>
      <c r="F196" s="26" t="str">
        <v>Funcția nu este confirmată în sursele consultate pentru această variantă. Nu înseamnă absență.</v>
      </c>
      <c r="G196" s="39" t="str">
        <v>S25</v>
      </c>
      <c r="H196" s="39"/>
      <c r="I196" s="39"/>
    </row>
    <row r="197" ht="43" customHeight="1">
      <c r="A197" s="2" t="str">
        <v>OU06 / openboxes</v>
      </c>
      <c r="B197" s="26" t="str">
        <v>03 Picking și expediere</v>
      </c>
      <c r="C197" s="26" t="str">
        <v>Consultare curieri / tracking</v>
      </c>
      <c r="D197" s="26" t="str">
        <v>OpenBoxes</v>
      </c>
      <c r="E197" s="38" t="str">
        <v>? Neconfirmat</v>
      </c>
      <c r="F197" s="26" t="str">
        <v>Funcția nu este confirmată în sursele consultate pentru această variantă. Nu înseamnă absență.</v>
      </c>
      <c r="G197" s="39" t="str">
        <v>S16</v>
      </c>
      <c r="H197" s="39"/>
      <c r="I197" s="39"/>
    </row>
    <row r="198" ht="43" customHeight="1">
      <c r="A198" s="2" t="str">
        <v>OU06 / greater</v>
      </c>
      <c r="B198" s="26" t="str">
        <v>03 Picking și expediere</v>
      </c>
      <c r="C198" s="26" t="str">
        <v>Consultare curieri / tracking</v>
      </c>
      <c r="D198" s="26" t="str">
        <v>GreaterWMS</v>
      </c>
      <c r="E198" s="38" t="str">
        <v>? Neconfirmat</v>
      </c>
      <c r="F198" s="26" t="str">
        <v>Funcția nu este confirmată în sursele consultate pentru această variantă. Nu înseamnă absență.</v>
      </c>
      <c r="G198" s="39" t="str">
        <v>S33</v>
      </c>
      <c r="H198" s="39"/>
      <c r="I198" s="39"/>
    </row>
    <row r="199" ht="43" customHeight="1">
      <c r="A199" s="2" t="str">
        <v>OU06 / openwms</v>
      </c>
      <c r="B199" s="26" t="str">
        <v>03 Picking și expediere</v>
      </c>
      <c r="C199" s="26" t="str">
        <v>Consultare curieri / tracking</v>
      </c>
      <c r="D199" s="26" t="str">
        <v>OpenWMS</v>
      </c>
      <c r="E199" s="38" t="str">
        <v>? Neconfirmat</v>
      </c>
      <c r="F199" s="26" t="str">
        <v>Funcția nu este confirmată în sursele consultate pentru această variantă. Nu înseamnă absență.</v>
      </c>
      <c r="G199" s="39" t="str">
        <v>S38</v>
      </c>
      <c r="H199" s="39"/>
      <c r="I199" s="39"/>
    </row>
    <row r="200" ht="43" customHeight="1">
      <c r="A200" s="2" t="str">
        <v>OU06 / scan</v>
      </c>
      <c r="B200" s="26" t="str">
        <v>03 Picking și expediere</v>
      </c>
      <c r="C200" s="26" t="str">
        <v>Consultare curieri / tracking</v>
      </c>
      <c r="D200" s="26" t="str">
        <v>Android Scan Write</v>
      </c>
      <c r="E200" s="38" t="str">
        <v>? Neconfirmat</v>
      </c>
      <c r="F200" s="26" t="str">
        <v>Funcția nu este confirmată în sursele consultate pentru această variantă. Nu înseamnă absență.</v>
      </c>
      <c r="G200" s="39" t="str">
        <v>S39</v>
      </c>
      <c r="H200" s="39"/>
      <c r="I200" s="39"/>
    </row>
    <row r="201" ht="43" customHeight="1">
      <c r="A201" s="2" t="str">
        <v>OU06 / tms</v>
      </c>
      <c r="B201" s="26" t="str">
        <v>03 Picking și expediere</v>
      </c>
      <c r="C201" s="26" t="str">
        <v>Consultare curieri / tracking</v>
      </c>
      <c r="D201" s="26" t="str">
        <v>TMS iDempiere</v>
      </c>
      <c r="E201" s="38" t="str">
        <v>? Neconfirmat</v>
      </c>
      <c r="F201" s="26" t="str">
        <v>Funcția nu este confirmată în sursele consultate pentru această variantă. Nu înseamnă absență.</v>
      </c>
      <c r="G201" s="39" t="str">
        <v>S40</v>
      </c>
      <c r="H201" s="39"/>
      <c r="I201" s="39"/>
    </row>
    <row r="202" ht="43" customHeight="1">
      <c r="A202" s="2" t="str">
        <v>OU06 / mobile</v>
      </c>
      <c r="B202" s="26" t="str">
        <v>03 Picking și expediere</v>
      </c>
      <c r="C202" s="26" t="str">
        <v>Consultare curieri / tracking</v>
      </c>
      <c r="D202" s="26" t="str">
        <v>SCM iDempiere Mobile</v>
      </c>
      <c r="E202" s="38" t="str">
        <v>? Neconfirmat</v>
      </c>
      <c r="F202" s="26" t="str">
        <v>Funcția nu este confirmată în sursele consultate pentru această variantă. Nu înseamnă absență.</v>
      </c>
      <c r="G202" s="39" t="str">
        <v>S41</v>
      </c>
      <c r="H202" s="39"/>
      <c r="I202" s="39"/>
    </row>
    <row r="203" ht="43" customHeight="1">
      <c r="A203" s="2" t="str">
        <v>MO01 / eva</v>
      </c>
      <c r="B203" s="26" t="str">
        <v>04 Mișcări și spațiu</v>
      </c>
      <c r="C203" s="26" t="str">
        <v>Palet / Handling Unit urmărit</v>
      </c>
      <c r="D203" s="26" t="str">
        <v>EVA nativă</v>
      </c>
      <c r="E203" s="38" t="str">
        <v>? Neconfirmat</v>
      </c>
      <c r="F203" s="26" t="str">
        <v>Funcția nu este confirmată în sursele consultate pentru această variantă. Nu înseamnă absență.</v>
      </c>
      <c r="G203" s="39" t="str">
        <v>E05</v>
      </c>
      <c r="H203" s="39"/>
      <c r="I203" s="39"/>
    </row>
    <row r="204" ht="43" customHeight="1">
      <c r="A204" s="2" t="str">
        <v>MO01 / api</v>
      </c>
      <c r="B204" s="26" t="str">
        <v>04 Mișcări și spațiu</v>
      </c>
      <c r="C204" s="26" t="str">
        <v>Palet / Handling Unit urmărit</v>
      </c>
      <c r="D204" s="26" t="str">
        <v>EVA API</v>
      </c>
      <c r="E204" s="38" t="str">
        <v>? Neconfirmat</v>
      </c>
      <c r="F204" s="26" t="str">
        <v>Funcția nu este confirmată în sursele consultate pentru această variantă. Nu înseamnă absență.</v>
      </c>
      <c r="G204" s="39" t="str">
        <v>E09</v>
      </c>
      <c r="H204" s="39"/>
      <c r="I204" s="39"/>
    </row>
    <row r="205" ht="43" customHeight="1">
      <c r="A205" s="2" t="str">
        <v>MO01 / portal</v>
      </c>
      <c r="B205" s="26" t="str">
        <v>04 Mișcări și spațiu</v>
      </c>
      <c r="C205" s="26" t="str">
        <v>Palet / Handling Unit urmărit</v>
      </c>
      <c r="D205" s="26" t="str">
        <v>EVA portal</v>
      </c>
      <c r="E205" s="38" t="str">
        <v>? Neconfirmat</v>
      </c>
      <c r="F205" s="26" t="str">
        <v>Fluxul nu este confirmat în ecranul eva_stock.html inspectat.</v>
      </c>
      <c r="G205" s="39" t="str">
        <v>E12</v>
      </c>
      <c r="H205" s="39"/>
      <c r="I205" s="39"/>
    </row>
    <row r="206" ht="43" customHeight="1">
      <c r="A206" s="2" t="str">
        <v>MO01 / base</v>
      </c>
      <c r="B206" s="26" t="str">
        <v>04 Mișcări și spațiu</v>
      </c>
      <c r="C206" s="26" t="str">
        <v>Palet / Handling Unit urmărit</v>
      </c>
      <c r="D206" s="26" t="str">
        <v>iDempiere standard</v>
      </c>
      <c r="E206" s="38" t="str">
        <v>◐ Parțial</v>
      </c>
      <c r="F206" s="26" t="str">
        <v>Pachete de expediție; HU complet neconfirmat.</v>
      </c>
      <c r="G206" s="39" t="str">
        <v>S02</v>
      </c>
      <c r="H206" s="39"/>
      <c r="I206" s="39"/>
    </row>
    <row r="207" ht="43" customHeight="1">
      <c r="A207" s="2" t="str">
        <v>MO01 / red1</v>
      </c>
      <c r="B207" s="26" t="str">
        <v>04 Mișcări și spațiu</v>
      </c>
      <c r="C207" s="26" t="str">
        <v>Palet / Handling Unit urmărit</v>
      </c>
      <c r="D207" s="26" t="str">
        <v>Red1 / SYSNOVA WMS</v>
      </c>
      <c r="E207" s="38" t="str">
        <v>✓ Da</v>
      </c>
      <c r="F207" s="26" t="str">
        <v>Ghid 1.0 din 06.07.2017, 47 pagini PDF. În raport, paginile sunt cele PDF, numărate de la 1.</v>
      </c>
      <c r="G207" s="39" t="str">
        <v>S11</v>
      </c>
      <c r="H207" s="39"/>
      <c r="I207" s="39"/>
    </row>
    <row r="208" ht="43" customHeight="1">
      <c r="A208" s="2" t="str">
        <v>MO01 / libero</v>
      </c>
      <c r="B208" s="26" t="str">
        <v>04 Mișcări și spațiu</v>
      </c>
      <c r="C208" s="26" t="str">
        <v>Palet / Handling Unit urmărit</v>
      </c>
      <c r="D208" s="26" t="str">
        <v>Libero Warehousing</v>
      </c>
      <c r="E208" s="38" t="str">
        <v>? Neconfirmat</v>
      </c>
      <c r="F208" s="26" t="str">
        <v>Funcția nu este confirmată în sursele consultate pentru această variantă. Nu înseamnă absență.</v>
      </c>
      <c r="G208" s="39" t="str">
        <v>S12</v>
      </c>
      <c r="H208" s="39"/>
      <c r="I208" s="39"/>
    </row>
    <row r="209" ht="43" customHeight="1">
      <c r="A209" s="2" t="str">
        <v>MO01 / mywms</v>
      </c>
      <c r="B209" s="26" t="str">
        <v>04 Mișcări și spațiu</v>
      </c>
      <c r="C209" s="26" t="str">
        <v>Palet / Handling Unit urmărit</v>
      </c>
      <c r="D209" s="26" t="str">
        <v>myWMS Release 2</v>
      </c>
      <c r="E209" s="38" t="str">
        <v>✓ Da</v>
      </c>
      <c r="F209" s="26" t="str">
        <v>Manual din aprilie 2022, 4 pagini; stoc, unit loads, rezerve și strategy date.</v>
      </c>
      <c r="G209" s="39" t="str">
        <v>S30</v>
      </c>
      <c r="H209" s="39"/>
      <c r="I209" s="39"/>
    </row>
    <row r="210" ht="43" customHeight="1">
      <c r="A210" s="2" t="str">
        <v>MO01 / openboxes</v>
      </c>
      <c r="B210" s="26" t="str">
        <v>04 Mișcări și spațiu</v>
      </c>
      <c r="C210" s="26" t="str">
        <v>Palet / Handling Unit urmărit</v>
      </c>
      <c r="D210" s="26" t="str">
        <v>OpenBoxes</v>
      </c>
      <c r="E210" s="38" t="str">
        <v>◐ Parțial</v>
      </c>
      <c r="F210" s="26" t="str">
        <v>Paleți/cutii la packing, nu HU demonstrat pe toate operațiile.</v>
      </c>
      <c r="G210" s="39" t="str">
        <v>S42</v>
      </c>
      <c r="H210" s="39"/>
      <c r="I210" s="39"/>
    </row>
    <row r="211" ht="43" customHeight="1">
      <c r="A211" s="2" t="str">
        <v>MO01 / greater</v>
      </c>
      <c r="B211" s="26" t="str">
        <v>04 Mișcări și spațiu</v>
      </c>
      <c r="C211" s="26" t="str">
        <v>Palet / Handling Unit urmărit</v>
      </c>
      <c r="D211" s="26" t="str">
        <v>GreaterWMS</v>
      </c>
      <c r="E211" s="38" t="str">
        <v>? Neconfirmat</v>
      </c>
      <c r="F211" s="26" t="str">
        <v>Funcția nu este confirmată în sursele consultate pentru această variantă. Nu înseamnă absență.</v>
      </c>
      <c r="G211" s="39" t="str">
        <v>S33</v>
      </c>
      <c r="H211" s="39"/>
      <c r="I211" s="39"/>
    </row>
    <row r="212" ht="43" customHeight="1">
      <c r="A212" s="2" t="str">
        <v>MO01 / openwms</v>
      </c>
      <c r="B212" s="26" t="str">
        <v>04 Mișcări și spațiu</v>
      </c>
      <c r="C212" s="26" t="str">
        <v>Palet / Handling Unit urmărit</v>
      </c>
      <c r="D212" s="26" t="str">
        <v>OpenWMS</v>
      </c>
      <c r="E212" s="38" t="str">
        <v>◐ Parțial</v>
      </c>
      <c r="F212" s="26" t="str">
        <v>Transport public; model WMS complet depinde de componentele accesibile.</v>
      </c>
      <c r="G212" s="39" t="str">
        <v>S37</v>
      </c>
      <c r="H212" s="39"/>
      <c r="I212" s="39"/>
    </row>
    <row r="213" ht="43" customHeight="1">
      <c r="A213" s="2" t="str">
        <v>MO01 / scan</v>
      </c>
      <c r="B213" s="26" t="str">
        <v>04 Mișcări și spațiu</v>
      </c>
      <c r="C213" s="26" t="str">
        <v>Palet / Handling Unit urmărit</v>
      </c>
      <c r="D213" s="26" t="str">
        <v>Android Scan Write</v>
      </c>
      <c r="E213" s="38" t="str">
        <v>? Neconfirmat</v>
      </c>
      <c r="F213" s="26" t="str">
        <v>Funcția nu este confirmată în sursele consultate pentru această variantă. Nu înseamnă absență.</v>
      </c>
      <c r="G213" s="39" t="str">
        <v>S39</v>
      </c>
      <c r="H213" s="39"/>
      <c r="I213" s="39"/>
    </row>
    <row r="214" ht="43" customHeight="1">
      <c r="A214" s="2" t="str">
        <v>MO01 / tms</v>
      </c>
      <c r="B214" s="26" t="str">
        <v>04 Mișcări și spațiu</v>
      </c>
      <c r="C214" s="26" t="str">
        <v>Palet / Handling Unit urmărit</v>
      </c>
      <c r="D214" s="26" t="str">
        <v>TMS iDempiere</v>
      </c>
      <c r="E214" s="38" t="str">
        <v>? Neconfirmat</v>
      </c>
      <c r="F214" s="26" t="str">
        <v>Funcția nu este confirmată în sursele consultate pentru această variantă. Nu înseamnă absență.</v>
      </c>
      <c r="G214" s="39" t="str">
        <v>S40</v>
      </c>
      <c r="H214" s="39"/>
      <c r="I214" s="39"/>
    </row>
    <row r="215" ht="43" customHeight="1">
      <c r="A215" s="2" t="str">
        <v>MO01 / mobile</v>
      </c>
      <c r="B215" s="26" t="str">
        <v>04 Mișcări și spațiu</v>
      </c>
      <c r="C215" s="26" t="str">
        <v>Palet / Handling Unit urmărit</v>
      </c>
      <c r="D215" s="26" t="str">
        <v>SCM iDempiere Mobile</v>
      </c>
      <c r="E215" s="38" t="str">
        <v>? Neconfirmat</v>
      </c>
      <c r="F215" s="26" t="str">
        <v>Funcția nu este confirmată în sursele consultate pentru această variantă. Nu înseamnă absență.</v>
      </c>
      <c r="G215" s="39" t="str">
        <v>S41</v>
      </c>
      <c r="H215" s="39"/>
      <c r="I215" s="39"/>
    </row>
    <row r="216" ht="43" customHeight="1">
      <c r="A216" s="2" t="str">
        <v>MO02 / eva</v>
      </c>
      <c r="B216" s="26" t="str">
        <v>04 Mișcări și spațiu</v>
      </c>
      <c r="C216" s="26" t="str">
        <v>Capacitate / ocupare locație</v>
      </c>
      <c r="D216" s="26" t="str">
        <v>EVA nativă</v>
      </c>
      <c r="E216" s="38" t="str">
        <v>? Neconfirmat</v>
      </c>
      <c r="F216" s="26" t="str">
        <v>Funcția nu este confirmată în sursele consultate pentru această variantă. Nu înseamnă absență.</v>
      </c>
      <c r="G216" s="39" t="str">
        <v>E05</v>
      </c>
      <c r="H216" s="39"/>
      <c r="I216" s="39"/>
    </row>
    <row r="217" ht="43" customHeight="1">
      <c r="A217" s="2" t="str">
        <v>MO02 / api</v>
      </c>
      <c r="B217" s="26" t="str">
        <v>04 Mișcări și spațiu</v>
      </c>
      <c r="C217" s="26" t="str">
        <v>Capacitate / ocupare locație</v>
      </c>
      <c r="D217" s="26" t="str">
        <v>EVA API</v>
      </c>
      <c r="E217" s="38" t="str">
        <v>? Neconfirmat</v>
      </c>
      <c r="F217" s="26" t="str">
        <v>Funcția nu este confirmată în sursele consultate pentru această variantă. Nu înseamnă absență.</v>
      </c>
      <c r="G217" s="39" t="str">
        <v>E09</v>
      </c>
      <c r="H217" s="39"/>
      <c r="I217" s="39"/>
    </row>
    <row r="218" ht="43" customHeight="1">
      <c r="A218" s="2" t="str">
        <v>MO02 / portal</v>
      </c>
      <c r="B218" s="26" t="str">
        <v>04 Mișcări și spațiu</v>
      </c>
      <c r="C218" s="26" t="str">
        <v>Capacitate / ocupare locație</v>
      </c>
      <c r="D218" s="26" t="str">
        <v>EVA portal</v>
      </c>
      <c r="E218" s="38" t="str">
        <v>? Neconfirmat</v>
      </c>
      <c r="F218" s="26" t="str">
        <v>Fluxul nu este confirmat în ecranul eva_stock.html inspectat.</v>
      </c>
      <c r="G218" s="39" t="str">
        <v>E12</v>
      </c>
      <c r="H218" s="39"/>
      <c r="I218" s="39"/>
    </row>
    <row r="219" ht="43" customHeight="1">
      <c r="A219" s="2" t="str">
        <v>MO02 / base</v>
      </c>
      <c r="B219" s="26" t="str">
        <v>04 Mișcări și spațiu</v>
      </c>
      <c r="C219" s="26" t="str">
        <v>Capacitate / ocupare locație</v>
      </c>
      <c r="D219" s="26" t="str">
        <v>iDempiere standard</v>
      </c>
      <c r="E219" s="38" t="str">
        <v>? Neconfirmat</v>
      </c>
      <c r="F219" s="26" t="str">
        <v>Funcția nu este confirmată în sursele consultate pentru această variantă. Nu înseamnă absență.</v>
      </c>
      <c r="G219" s="39" t="str">
        <v>S02</v>
      </c>
      <c r="H219" s="39"/>
      <c r="I219" s="39"/>
    </row>
    <row r="220" ht="43" customHeight="1">
      <c r="A220" s="2" t="str">
        <v>MO02 / red1</v>
      </c>
      <c r="B220" s="26" t="str">
        <v>04 Mișcări și spațiu</v>
      </c>
      <c r="C220" s="26" t="str">
        <v>Capacitate / ocupare locație</v>
      </c>
      <c r="D220" s="26" t="str">
        <v>Red1 / SYSNOVA WMS</v>
      </c>
      <c r="E220" s="38" t="str">
        <v>✓ Da</v>
      </c>
      <c r="F220" s="26" t="str">
        <v>Empty Storage și Pack Factor.</v>
      </c>
      <c r="G220" s="39" t="str">
        <v>S11</v>
      </c>
      <c r="H220" s="39"/>
      <c r="I220" s="39"/>
    </row>
    <row r="221" ht="43" customHeight="1">
      <c r="A221" s="2" t="str">
        <v>MO02 / libero</v>
      </c>
      <c r="B221" s="26" t="str">
        <v>04 Mișcări și spațiu</v>
      </c>
      <c r="C221" s="26" t="str">
        <v>Capacitate / ocupare locație</v>
      </c>
      <c r="D221" s="26" t="str">
        <v>Libero Warehousing</v>
      </c>
      <c r="E221" s="38" t="str">
        <v>? Neconfirmat</v>
      </c>
      <c r="F221" s="26" t="str">
        <v>Funcția nu este confirmată în sursele consultate pentru această variantă. Nu înseamnă absență.</v>
      </c>
      <c r="G221" s="39" t="str">
        <v>S12</v>
      </c>
      <c r="H221" s="39"/>
      <c r="I221" s="39"/>
    </row>
    <row r="222" ht="43" customHeight="1">
      <c r="A222" s="2" t="str">
        <v>MO02 / mywms</v>
      </c>
      <c r="B222" s="26" t="str">
        <v>04 Mișcări și spațiu</v>
      </c>
      <c r="C222" s="26" t="str">
        <v>Capacitate / ocupare locație</v>
      </c>
      <c r="D222" s="26" t="str">
        <v>myWMS Release 2</v>
      </c>
      <c r="E222" s="38" t="str">
        <v>✓ Da</v>
      </c>
      <c r="F222" s="26" t="str">
        <v>Propuneri de locații cu criterii de capacitate și tip.</v>
      </c>
      <c r="G222" s="39" t="str">
        <v>S27</v>
      </c>
      <c r="H222" s="39" t="str">
        <v>S44</v>
      </c>
      <c r="I222" s="39"/>
    </row>
    <row r="223" ht="43" customHeight="1">
      <c r="A223" s="2" t="str">
        <v>MO02 / openboxes</v>
      </c>
      <c r="B223" s="26" t="str">
        <v>04 Mișcări și spațiu</v>
      </c>
      <c r="C223" s="26" t="str">
        <v>Capacitate / ocupare locație</v>
      </c>
      <c r="D223" s="26" t="str">
        <v>OpenBoxes</v>
      </c>
      <c r="E223" s="38" t="str">
        <v>? Neconfirmat</v>
      </c>
      <c r="F223" s="26" t="str">
        <v>Funcția nu este confirmată în sursele consultate pentru această variantă. Nu înseamnă absență.</v>
      </c>
      <c r="G223" s="39" t="str">
        <v>S16</v>
      </c>
      <c r="H223" s="39"/>
      <c r="I223" s="39"/>
    </row>
    <row r="224" ht="43" customHeight="1">
      <c r="A224" s="2" t="str">
        <v>MO02 / greater</v>
      </c>
      <c r="B224" s="26" t="str">
        <v>04 Mișcări și spațiu</v>
      </c>
      <c r="C224" s="26" t="str">
        <v>Capacitate / ocupare locație</v>
      </c>
      <c r="D224" s="26" t="str">
        <v>GreaterWMS</v>
      </c>
      <c r="E224" s="38" t="str">
        <v>? Neconfirmat</v>
      </c>
      <c r="F224" s="26" t="str">
        <v>Funcția nu este confirmată în sursele consultate pentru această variantă. Nu înseamnă absență.</v>
      </c>
      <c r="G224" s="39" t="str">
        <v>S33</v>
      </c>
      <c r="H224" s="39"/>
      <c r="I224" s="39"/>
    </row>
    <row r="225" ht="43" customHeight="1">
      <c r="A225" s="2" t="str">
        <v>MO02 / openwms</v>
      </c>
      <c r="B225" s="26" t="str">
        <v>04 Mișcări și spațiu</v>
      </c>
      <c r="C225" s="26" t="str">
        <v>Capacitate / ocupare locație</v>
      </c>
      <c r="D225" s="26" t="str">
        <v>OpenWMS</v>
      </c>
      <c r="E225" s="38" t="str">
        <v>? Neconfirmat</v>
      </c>
      <c r="F225" s="26" t="str">
        <v>Funcția nu este confirmată în sursele consultate pentru această variantă. Nu înseamnă absență.</v>
      </c>
      <c r="G225" s="39" t="str">
        <v>S38</v>
      </c>
      <c r="H225" s="39"/>
      <c r="I225" s="39"/>
    </row>
    <row r="226" ht="43" customHeight="1">
      <c r="A226" s="2" t="str">
        <v>MO02 / scan</v>
      </c>
      <c r="B226" s="26" t="str">
        <v>04 Mișcări și spațiu</v>
      </c>
      <c r="C226" s="26" t="str">
        <v>Capacitate / ocupare locație</v>
      </c>
      <c r="D226" s="26" t="str">
        <v>Android Scan Write</v>
      </c>
      <c r="E226" s="38" t="str">
        <v>? Neconfirmat</v>
      </c>
      <c r="F226" s="26" t="str">
        <v>Funcția nu este confirmată în sursele consultate pentru această variantă. Nu înseamnă absență.</v>
      </c>
      <c r="G226" s="39" t="str">
        <v>S39</v>
      </c>
      <c r="H226" s="39"/>
      <c r="I226" s="39"/>
    </row>
    <row r="227" ht="43" customHeight="1">
      <c r="A227" s="2" t="str">
        <v>MO02 / tms</v>
      </c>
      <c r="B227" s="26" t="str">
        <v>04 Mișcări și spațiu</v>
      </c>
      <c r="C227" s="26" t="str">
        <v>Capacitate / ocupare locație</v>
      </c>
      <c r="D227" s="26" t="str">
        <v>TMS iDempiere</v>
      </c>
      <c r="E227" s="38" t="str">
        <v>? Neconfirmat</v>
      </c>
      <c r="F227" s="26" t="str">
        <v>Funcția nu este confirmată în sursele consultate pentru această variantă. Nu înseamnă absență.</v>
      </c>
      <c r="G227" s="39" t="str">
        <v>S40</v>
      </c>
      <c r="H227" s="39"/>
      <c r="I227" s="39"/>
    </row>
    <row r="228" ht="43" customHeight="1">
      <c r="A228" s="2" t="str">
        <v>MO02 / mobile</v>
      </c>
      <c r="B228" s="26" t="str">
        <v>04 Mișcări și spațiu</v>
      </c>
      <c r="C228" s="26" t="str">
        <v>Capacitate / ocupare locație</v>
      </c>
      <c r="D228" s="26" t="str">
        <v>SCM iDempiere Mobile</v>
      </c>
      <c r="E228" s="38" t="str">
        <v>? Neconfirmat</v>
      </c>
      <c r="F228" s="26" t="str">
        <v>Funcția nu este confirmată în sursele consultate pentru această variantă. Nu înseamnă absență.</v>
      </c>
      <c r="G228" s="39" t="str">
        <v>S41</v>
      </c>
      <c r="H228" s="39"/>
      <c r="I228" s="39"/>
    </row>
    <row r="229" ht="43" customHeight="1">
      <c r="A229" s="2" t="str">
        <v>MO03 / eva</v>
      </c>
      <c r="B229" s="26" t="str">
        <v>04 Mișcări și spațiu</v>
      </c>
      <c r="C229" s="26" t="str">
        <v>Transfer între locații / gestiuni</v>
      </c>
      <c r="D229" s="26" t="str">
        <v>EVA nativă</v>
      </c>
      <c r="E229" s="38" t="str">
        <v>✓ Da</v>
      </c>
      <c r="F229" s="26" t="str">
        <v>MMovement cu locatori sursă/destinație și procesare nativă.</v>
      </c>
      <c r="G229" s="39" t="str">
        <v>E03</v>
      </c>
      <c r="H229" s="39"/>
      <c r="I229" s="39"/>
    </row>
    <row r="230" ht="43" customHeight="1">
      <c r="A230" s="2" t="str">
        <v>MO03 / api</v>
      </c>
      <c r="B230" s="26" t="str">
        <v>04 Mișcări și spațiu</v>
      </c>
      <c r="C230" s="26" t="str">
        <v>Transfer între locații / gestiuni</v>
      </c>
      <c r="D230" s="26" t="str">
        <v>EVA API</v>
      </c>
      <c r="E230" s="38" t="str">
        <v>◐ Parțial</v>
      </c>
      <c r="F230" s="26" t="str">
        <v>Transfer între gestiuni EVA, fără locator dedicat în modelul propriu.</v>
      </c>
      <c r="G230" s="39" t="str">
        <v>E08</v>
      </c>
      <c r="H230" s="39" t="str">
        <v>E09</v>
      </c>
      <c r="I230" s="39"/>
    </row>
    <row r="231" ht="43" customHeight="1">
      <c r="A231" s="2" t="str">
        <v>MO03 / portal</v>
      </c>
      <c r="B231" s="26" t="str">
        <v>04 Mișcări și spațiu</v>
      </c>
      <c r="C231" s="26" t="str">
        <v>Transfer între locații / gestiuni</v>
      </c>
      <c r="D231" s="26" t="str">
        <v>EVA portal</v>
      </c>
      <c r="E231" s="38" t="str">
        <v>? Neconfirmat</v>
      </c>
      <c r="F231" s="26" t="str">
        <v>Fluxul nu este confirmat în ecranul eva_stock.html inspectat.</v>
      </c>
      <c r="G231" s="39" t="str">
        <v>E12</v>
      </c>
      <c r="H231" s="39"/>
      <c r="I231" s="39"/>
    </row>
    <row r="232" ht="43" customHeight="1">
      <c r="A232" s="2" t="str">
        <v>MO03 / base</v>
      </c>
      <c r="B232" s="26" t="str">
        <v>04 Mișcări și spațiu</v>
      </c>
      <c r="C232" s="26" t="str">
        <v>Transfer între locații / gestiuni</v>
      </c>
      <c r="D232" s="26" t="str">
        <v>iDempiere standard</v>
      </c>
      <c r="E232" s="38" t="str">
        <v>✓ Da</v>
      </c>
      <c r="F232" s="26" t="str">
        <v>Recepții, livrări, atribute, mișcări, inventar și confirmări.</v>
      </c>
      <c r="G232" s="39" t="str">
        <v>S02</v>
      </c>
      <c r="H232" s="39"/>
      <c r="I232" s="39"/>
    </row>
    <row r="233" ht="43" customHeight="1">
      <c r="A233" s="2" t="str">
        <v>MO03 / red1</v>
      </c>
      <c r="B233" s="26" t="str">
        <v>04 Mișcări și spațiu</v>
      </c>
      <c r="C233" s="26" t="str">
        <v>Transfer între locații / gestiuni</v>
      </c>
      <c r="D233" s="26" t="str">
        <v>Red1 / SYSNOVA WMS</v>
      </c>
      <c r="E233" s="38" t="str">
        <v>✓ Da</v>
      </c>
      <c r="F233" s="26" t="str">
        <v>Ghid 1.0 din 06.07.2017, 47 pagini PDF. În raport, paginile sunt cele PDF, numărate de la 1.</v>
      </c>
      <c r="G233" s="39" t="str">
        <v>S11</v>
      </c>
      <c r="H233" s="39"/>
      <c r="I233" s="39"/>
    </row>
    <row r="234" ht="43" customHeight="1">
      <c r="A234" s="2" t="str">
        <v>MO03 / libero</v>
      </c>
      <c r="B234" s="26" t="str">
        <v>04 Mișcări și spațiu</v>
      </c>
      <c r="C234" s="26" t="str">
        <v>Transfer între locații / gestiuni</v>
      </c>
      <c r="D234" s="26" t="str">
        <v>Libero Warehousing</v>
      </c>
      <c r="E234" s="38" t="str">
        <v>◐ Parțial</v>
      </c>
      <c r="F234" s="26" t="str">
        <v>Funcție ERP; sincronizarea structurilor extensiei trebuie probată.</v>
      </c>
      <c r="G234" s="39" t="str">
        <v>S02</v>
      </c>
      <c r="H234" s="39" t="str">
        <v>S12</v>
      </c>
      <c r="I234" s="39"/>
    </row>
    <row r="235" ht="43" customHeight="1">
      <c r="A235" s="2" t="str">
        <v>MO03 / mywms</v>
      </c>
      <c r="B235" s="26" t="str">
        <v>04 Mișcări și spațiu</v>
      </c>
      <c r="C235" s="26" t="str">
        <v>Transfer între locații / gestiuni</v>
      </c>
      <c r="D235" s="26" t="str">
        <v>myWMS Release 2</v>
      </c>
      <c r="E235" s="38" t="str">
        <v>✓ Da</v>
      </c>
      <c r="F235" s="26" t="str">
        <v>Manual descărcat și citit, 11 pagini; replenishment, numărare, transferuri.</v>
      </c>
      <c r="G235" s="39" t="str">
        <v>S29</v>
      </c>
      <c r="H235" s="39"/>
      <c r="I235" s="39"/>
    </row>
    <row r="236" ht="43" customHeight="1">
      <c r="A236" s="2" t="str">
        <v>MO03 / openboxes</v>
      </c>
      <c r="B236" s="26" t="str">
        <v>04 Mișcări și spațiu</v>
      </c>
      <c r="C236" s="26" t="str">
        <v>Transfer între locații / gestiuni</v>
      </c>
      <c r="D236" s="26" t="str">
        <v>OpenBoxes</v>
      </c>
      <c r="E236" s="38" t="str">
        <v>✓ Da</v>
      </c>
      <c r="F236" s="26" t="str">
        <v>Mișcări de stoc și transferuri în operațiile documentate.</v>
      </c>
      <c r="G236" s="39" t="str">
        <v>S20</v>
      </c>
      <c r="H236" s="39"/>
      <c r="I236" s="39"/>
    </row>
    <row r="237" ht="43" customHeight="1">
      <c r="A237" s="2" t="str">
        <v>MO03 / greater</v>
      </c>
      <c r="B237" s="26" t="str">
        <v>04 Mișcări și spațiu</v>
      </c>
      <c r="C237" s="26" t="str">
        <v>Transfer între locații / gestiuni</v>
      </c>
      <c r="D237" s="26" t="str">
        <v>GreaterWMS</v>
      </c>
      <c r="E237" s="38" t="str">
        <v>◐ Parțial</v>
      </c>
      <c r="F237" s="26" t="str">
        <v>Fluxuri de stoc declarate, procedură exactă neconfirmată.</v>
      </c>
      <c r="G237" s="39" t="str">
        <v>S33</v>
      </c>
      <c r="H237" s="39"/>
      <c r="I237" s="39"/>
    </row>
    <row r="238" ht="43" customHeight="1">
      <c r="A238" s="2" t="str">
        <v>MO03 / openwms</v>
      </c>
      <c r="B238" s="26" t="str">
        <v>04 Mișcări și spațiu</v>
      </c>
      <c r="C238" s="26" t="str">
        <v>Transfer între locații / gestiuni</v>
      </c>
      <c r="D238" s="26" t="str">
        <v>OpenWMS</v>
      </c>
      <c r="E238" s="38" t="str">
        <v>◐ Parțial</v>
      </c>
      <c r="F238" s="26" t="str">
        <v>Servicii movements/transport publice; flux WMS complet de probat.</v>
      </c>
      <c r="G238" s="39" t="str">
        <v>S37</v>
      </c>
      <c r="H238" s="39"/>
      <c r="I238" s="39"/>
    </row>
    <row r="239" ht="43" customHeight="1">
      <c r="A239" s="2" t="str">
        <v>MO03 / scan</v>
      </c>
      <c r="B239" s="26" t="str">
        <v>04 Mișcări și spațiu</v>
      </c>
      <c r="C239" s="26" t="str">
        <v>Transfer între locații / gestiuni</v>
      </c>
      <c r="D239" s="26" t="str">
        <v>Android Scan Write</v>
      </c>
      <c r="E239" s="38" t="str">
        <v>? Neconfirmat</v>
      </c>
      <c r="F239" s="26" t="str">
        <v>Funcția nu este confirmată în sursele consultate pentru această variantă. Nu înseamnă absență.</v>
      </c>
      <c r="G239" s="39" t="str">
        <v>S39</v>
      </c>
      <c r="H239" s="39"/>
      <c r="I239" s="39"/>
    </row>
    <row r="240" ht="43" customHeight="1">
      <c r="A240" s="2" t="str">
        <v>MO03 / tms</v>
      </c>
      <c r="B240" s="26" t="str">
        <v>04 Mișcări și spațiu</v>
      </c>
      <c r="C240" s="26" t="str">
        <v>Transfer între locații / gestiuni</v>
      </c>
      <c r="D240" s="26" t="str">
        <v>TMS iDempiere</v>
      </c>
      <c r="E240" s="38" t="str">
        <v>? Neconfirmat</v>
      </c>
      <c r="F240" s="26" t="str">
        <v>Funcția nu este confirmată în sursele consultate pentru această variantă. Nu înseamnă absență.</v>
      </c>
      <c r="G240" s="39" t="str">
        <v>S40</v>
      </c>
      <c r="H240" s="39"/>
      <c r="I240" s="39"/>
    </row>
    <row r="241" ht="43" customHeight="1">
      <c r="A241" s="2" t="str">
        <v>MO03 / mobile</v>
      </c>
      <c r="B241" s="26" t="str">
        <v>04 Mișcări și spațiu</v>
      </c>
      <c r="C241" s="26" t="str">
        <v>Transfer între locații / gestiuni</v>
      </c>
      <c r="D241" s="26" t="str">
        <v>SCM iDempiere Mobile</v>
      </c>
      <c r="E241" s="38" t="str">
        <v>? Neconfirmat</v>
      </c>
      <c r="F241" s="26" t="str">
        <v>Funcția nu este confirmată în sursele consultate pentru această variantă. Nu înseamnă absență.</v>
      </c>
      <c r="G241" s="39" t="str">
        <v>S41</v>
      </c>
      <c r="H241" s="39"/>
      <c r="I241" s="39"/>
    </row>
    <row r="242" ht="43" customHeight="1">
      <c r="A242" s="2" t="str">
        <v>MO04 / eva</v>
      </c>
      <c r="B242" s="26" t="str">
        <v>04 Mișcări și spațiu</v>
      </c>
      <c r="C242" s="26" t="str">
        <v>Reaprovizionare locații de picking</v>
      </c>
      <c r="D242" s="26" t="str">
        <v>EVA nativă</v>
      </c>
      <c r="E242" s="38" t="str">
        <v>◐ Parțial</v>
      </c>
      <c r="F242" s="26" t="str">
        <v>Prag minim afișat; nu sarcini mobile confirmate.</v>
      </c>
      <c r="G242" s="39" t="str">
        <v>E02</v>
      </c>
      <c r="H242" s="39"/>
      <c r="I242" s="39"/>
    </row>
    <row r="243" ht="43" customHeight="1">
      <c r="A243" s="2" t="str">
        <v>MO04 / api</v>
      </c>
      <c r="B243" s="26" t="str">
        <v>04 Mișcări și spațiu</v>
      </c>
      <c r="C243" s="26" t="str">
        <v>Reaprovizionare locații de picking</v>
      </c>
      <c r="D243" s="26" t="str">
        <v>EVA API</v>
      </c>
      <c r="E243" s="38" t="str">
        <v>? Neconfirmat</v>
      </c>
      <c r="F243" s="26" t="str">
        <v>Funcția nu este confirmată în sursele consultate pentru această variantă. Nu înseamnă absență.</v>
      </c>
      <c r="G243" s="39" t="str">
        <v>E09</v>
      </c>
      <c r="H243" s="39"/>
      <c r="I243" s="39"/>
    </row>
    <row r="244" ht="43" customHeight="1">
      <c r="A244" s="2" t="str">
        <v>MO04 / portal</v>
      </c>
      <c r="B244" s="26" t="str">
        <v>04 Mișcări și spațiu</v>
      </c>
      <c r="C244" s="26" t="str">
        <v>Reaprovizionare locații de picking</v>
      </c>
      <c r="D244" s="26" t="str">
        <v>EVA portal</v>
      </c>
      <c r="E244" s="38" t="str">
        <v>? Neconfirmat</v>
      </c>
      <c r="F244" s="26" t="str">
        <v>Fluxul nu este confirmat în ecranul eva_stock.html inspectat.</v>
      </c>
      <c r="G244" s="39" t="str">
        <v>E12</v>
      </c>
      <c r="H244" s="39"/>
      <c r="I244" s="39"/>
    </row>
    <row r="245" ht="43" customHeight="1">
      <c r="A245" s="2" t="str">
        <v>MO04 / base</v>
      </c>
      <c r="B245" s="26" t="str">
        <v>04 Mișcări și spațiu</v>
      </c>
      <c r="C245" s="26" t="str">
        <v>Reaprovizionare locații de picking</v>
      </c>
      <c r="D245" s="26" t="str">
        <v>iDempiere standard</v>
      </c>
      <c r="E245" s="38" t="str">
        <v>◐ Parțial</v>
      </c>
      <c r="F245" s="26" t="str">
        <v>Replenish Report, fără flux RF complet confirmat.</v>
      </c>
      <c r="G245" s="39" t="str">
        <v>S02</v>
      </c>
      <c r="H245" s="39"/>
      <c r="I245" s="39"/>
    </row>
    <row r="246" ht="43" customHeight="1">
      <c r="A246" s="2" t="str">
        <v>MO04 / red1</v>
      </c>
      <c r="B246" s="26" t="str">
        <v>04 Mișcări și spațiu</v>
      </c>
      <c r="C246" s="26" t="str">
        <v>Reaprovizionare locații de picking</v>
      </c>
      <c r="D246" s="26" t="str">
        <v>Red1 / SYSNOVA WMS</v>
      </c>
      <c r="E246" s="38" t="str">
        <v>? Neconfirmat</v>
      </c>
      <c r="F246" s="26" t="str">
        <v>Funcția nu este confirmată în sursele consultate pentru această variantă. Nu înseamnă absență.</v>
      </c>
      <c r="G246" s="39" t="str">
        <v>S11</v>
      </c>
      <c r="H246" s="39"/>
      <c r="I246" s="39"/>
    </row>
    <row r="247" ht="43" customHeight="1">
      <c r="A247" s="2" t="str">
        <v>MO04 / libero</v>
      </c>
      <c r="B247" s="26" t="str">
        <v>04 Mișcări și spațiu</v>
      </c>
      <c r="C247" s="26" t="str">
        <v>Reaprovizionare locații de picking</v>
      </c>
      <c r="D247" s="26" t="str">
        <v>Libero Warehousing</v>
      </c>
      <c r="E247" s="38" t="str">
        <v>? Neconfirmat</v>
      </c>
      <c r="F247" s="26" t="str">
        <v>Funcția nu este confirmată în sursele consultate pentru această variantă. Nu înseamnă absență.</v>
      </c>
      <c r="G247" s="39" t="str">
        <v>S12</v>
      </c>
      <c r="H247" s="39"/>
      <c r="I247" s="39"/>
    </row>
    <row r="248" ht="43" customHeight="1">
      <c r="A248" s="2" t="str">
        <v>MO04 / mywms</v>
      </c>
      <c r="B248" s="26" t="str">
        <v>04 Mișcări și spațiu</v>
      </c>
      <c r="C248" s="26" t="str">
        <v>Reaprovizionare locații de picking</v>
      </c>
      <c r="D248" s="26" t="str">
        <v>myWMS Release 2</v>
      </c>
      <c r="E248" s="38" t="str">
        <v>✓ Da</v>
      </c>
      <c r="F248" s="26" t="str">
        <v>Manual descărcat și citit, 11 pagini; replenishment, numărare, transferuri.</v>
      </c>
      <c r="G248" s="39" t="str">
        <v>S29</v>
      </c>
      <c r="H248" s="39"/>
      <c r="I248" s="39"/>
    </row>
    <row r="249" ht="43" customHeight="1">
      <c r="A249" s="2" t="str">
        <v>MO04 / openboxes</v>
      </c>
      <c r="B249" s="26" t="str">
        <v>04 Mișcări și spațiu</v>
      </c>
      <c r="C249" s="26" t="str">
        <v>Reaprovizionare locații de picking</v>
      </c>
      <c r="D249" s="26" t="str">
        <v>OpenBoxes</v>
      </c>
      <c r="E249" s="38" t="str">
        <v>✓ Da</v>
      </c>
      <c r="F249" s="26" t="str">
        <v>Reaprovizionarea locațiilor de picking, cantități și loturi.</v>
      </c>
      <c r="G249" s="39" t="str">
        <v>S19</v>
      </c>
      <c r="H249" s="39"/>
      <c r="I249" s="39"/>
    </row>
    <row r="250" ht="43" customHeight="1">
      <c r="A250" s="2" t="str">
        <v>MO04 / greater</v>
      </c>
      <c r="B250" s="26" t="str">
        <v>04 Mișcări și spațiu</v>
      </c>
      <c r="C250" s="26" t="str">
        <v>Reaprovizionare locații de picking</v>
      </c>
      <c r="D250" s="26" t="str">
        <v>GreaterWMS</v>
      </c>
      <c r="E250" s="38" t="str">
        <v>? Neconfirmat</v>
      </c>
      <c r="F250" s="26" t="str">
        <v>Funcția nu este confirmată în sursele consultate pentru această variantă. Nu înseamnă absență.</v>
      </c>
      <c r="G250" s="39" t="str">
        <v>S33</v>
      </c>
      <c r="H250" s="39"/>
      <c r="I250" s="39"/>
    </row>
    <row r="251" ht="43" customHeight="1">
      <c r="A251" s="2" t="str">
        <v>MO04 / openwms</v>
      </c>
      <c r="B251" s="26" t="str">
        <v>04 Mișcări și spațiu</v>
      </c>
      <c r="C251" s="26" t="str">
        <v>Reaprovizionare locații de picking</v>
      </c>
      <c r="D251" s="26" t="str">
        <v>OpenWMS</v>
      </c>
      <c r="E251" s="38" t="str">
        <v>? Neconfirmat</v>
      </c>
      <c r="F251" s="26" t="str">
        <v>Funcția nu este confirmată în sursele consultate pentru această variantă. Nu înseamnă absență.</v>
      </c>
      <c r="G251" s="39" t="str">
        <v>S38</v>
      </c>
      <c r="H251" s="39"/>
      <c r="I251" s="39"/>
    </row>
    <row r="252" ht="43" customHeight="1">
      <c r="A252" s="2" t="str">
        <v>MO04 / scan</v>
      </c>
      <c r="B252" s="26" t="str">
        <v>04 Mișcări și spațiu</v>
      </c>
      <c r="C252" s="26" t="str">
        <v>Reaprovizionare locații de picking</v>
      </c>
      <c r="D252" s="26" t="str">
        <v>Android Scan Write</v>
      </c>
      <c r="E252" s="38" t="str">
        <v>? Neconfirmat</v>
      </c>
      <c r="F252" s="26" t="str">
        <v>Funcția nu este confirmată în sursele consultate pentru această variantă. Nu înseamnă absență.</v>
      </c>
      <c r="G252" s="39" t="str">
        <v>S39</v>
      </c>
      <c r="H252" s="39"/>
      <c r="I252" s="39"/>
    </row>
    <row r="253" ht="43" customHeight="1">
      <c r="A253" s="2" t="str">
        <v>MO04 / tms</v>
      </c>
      <c r="B253" s="26" t="str">
        <v>04 Mișcări și spațiu</v>
      </c>
      <c r="C253" s="26" t="str">
        <v>Reaprovizionare locații de picking</v>
      </c>
      <c r="D253" s="26" t="str">
        <v>TMS iDempiere</v>
      </c>
      <c r="E253" s="38" t="str">
        <v>? Neconfirmat</v>
      </c>
      <c r="F253" s="26" t="str">
        <v>Funcția nu este confirmată în sursele consultate pentru această variantă. Nu înseamnă absență.</v>
      </c>
      <c r="G253" s="39" t="str">
        <v>S40</v>
      </c>
      <c r="H253" s="39"/>
      <c r="I253" s="39"/>
    </row>
    <row r="254" ht="43" customHeight="1">
      <c r="A254" s="2" t="str">
        <v>MO04 / mobile</v>
      </c>
      <c r="B254" s="26" t="str">
        <v>04 Mișcări și spațiu</v>
      </c>
      <c r="C254" s="26" t="str">
        <v>Reaprovizionare locații de picking</v>
      </c>
      <c r="D254" s="26" t="str">
        <v>SCM iDempiere Mobile</v>
      </c>
      <c r="E254" s="38" t="str">
        <v>? Neconfirmat</v>
      </c>
      <c r="F254" s="26" t="str">
        <v>Funcția nu este confirmată în sursele consultate pentru această variantă. Nu înseamnă absență.</v>
      </c>
      <c r="G254" s="39" t="str">
        <v>S41</v>
      </c>
      <c r="H254" s="39"/>
      <c r="I254" s="39"/>
    </row>
    <row r="255" ht="43" customHeight="1">
      <c r="A255" s="2" t="str">
        <v>IV01 / eva</v>
      </c>
      <c r="B255" s="26" t="str">
        <v>05 Inventariere</v>
      </c>
      <c r="C255" s="26" t="str">
        <v>Inventar fizic și diferențe</v>
      </c>
      <c r="D255" s="26" t="str">
        <v>EVA nativă</v>
      </c>
      <c r="E255" s="38" t="str">
        <v>✓ Da</v>
      </c>
      <c r="F255" s="26" t="str">
        <v>QtyBook/QtyCount și procesare nativă.</v>
      </c>
      <c r="G255" s="39" t="str">
        <v>E01</v>
      </c>
      <c r="H255" s="39"/>
      <c r="I255" s="39"/>
    </row>
    <row r="256" ht="43" customHeight="1">
      <c r="A256" s="2" t="str">
        <v>IV01 / api</v>
      </c>
      <c r="B256" s="26" t="str">
        <v>05 Inventariere</v>
      </c>
      <c r="C256" s="26" t="str">
        <v>Inventar fizic și diferențe</v>
      </c>
      <c r="D256" s="26" t="str">
        <v>EVA API</v>
      </c>
      <c r="E256" s="38" t="str">
        <v>✗ Nu</v>
      </c>
      <c r="F256" s="26" t="str">
        <v>Tipurile de document inspectate sunt NIR/CONSUM/TRANSFER/PREDARE, fără flux propriu de inventar fizic.</v>
      </c>
      <c r="G256" s="39" t="str">
        <v>E08</v>
      </c>
      <c r="H256" s="39" t="str">
        <v>E09</v>
      </c>
      <c r="I256" s="39"/>
    </row>
    <row r="257" ht="43" customHeight="1">
      <c r="A257" s="2" t="str">
        <v>IV01 / portal</v>
      </c>
      <c r="B257" s="26" t="str">
        <v>05 Inventariere</v>
      </c>
      <c r="C257" s="26" t="str">
        <v>Inventar fizic și diferențe</v>
      </c>
      <c r="D257" s="26" t="str">
        <v>EVA portal</v>
      </c>
      <c r="E257" s="38" t="str">
        <v>✗ Nu</v>
      </c>
      <c r="F257" s="26" t="str">
        <v>Ecranul inspectat nu oferă introducerea inventarului fizic.</v>
      </c>
      <c r="G257" s="39" t="str">
        <v>E12</v>
      </c>
      <c r="H257" s="39"/>
      <c r="I257" s="39"/>
    </row>
    <row r="258" ht="43" customHeight="1">
      <c r="A258" s="2" t="str">
        <v>IV01 / base</v>
      </c>
      <c r="B258" s="26" t="str">
        <v>05 Inventariere</v>
      </c>
      <c r="C258" s="26" t="str">
        <v>Inventar fizic și diferențe</v>
      </c>
      <c r="D258" s="26" t="str">
        <v>iDempiere standard</v>
      </c>
      <c r="E258" s="38" t="str">
        <v>✓ Da</v>
      </c>
      <c r="F258" s="26" t="str">
        <v>Recepții, livrări, atribute, mișcări, inventar și confirmări.</v>
      </c>
      <c r="G258" s="39" t="str">
        <v>S02</v>
      </c>
      <c r="H258" s="39"/>
      <c r="I258" s="39"/>
    </row>
    <row r="259" ht="43" customHeight="1">
      <c r="A259" s="2" t="str">
        <v>IV01 / red1</v>
      </c>
      <c r="B259" s="26" t="str">
        <v>05 Inventariere</v>
      </c>
      <c r="C259" s="26" t="str">
        <v>Inventar fizic și diferențe</v>
      </c>
      <c r="D259" s="26" t="str">
        <v>Red1 / SYSNOVA WMS</v>
      </c>
      <c r="E259" s="38" t="str">
        <v>◐ Parțial</v>
      </c>
      <c r="F259" s="26" t="str">
        <v>Inventarul este în ERP; flux propriu WMS separat neconfirmat.</v>
      </c>
      <c r="G259" s="39" t="str">
        <v>S02</v>
      </c>
      <c r="H259" s="39" t="str">
        <v>S11</v>
      </c>
      <c r="I259" s="39"/>
    </row>
    <row r="260" ht="43" customHeight="1">
      <c r="A260" s="2" t="str">
        <v>IV01 / libero</v>
      </c>
      <c r="B260" s="26" t="str">
        <v>05 Inventariere</v>
      </c>
      <c r="C260" s="26" t="str">
        <v>Inventar fizic și diferențe</v>
      </c>
      <c r="D260" s="26" t="str">
        <v>Libero Warehousing</v>
      </c>
      <c r="E260" s="38" t="str">
        <v>◐ Parțial</v>
      </c>
      <c r="F260" s="26" t="str">
        <v>Funcție din ERP, integrarea extensiei trebuie probată.</v>
      </c>
      <c r="G260" s="39" t="str">
        <v>S02</v>
      </c>
      <c r="H260" s="39" t="str">
        <v>S12</v>
      </c>
      <c r="I260" s="39"/>
    </row>
    <row r="261" ht="43" customHeight="1">
      <c r="A261" s="2" t="str">
        <v>IV01 / mywms</v>
      </c>
      <c r="B261" s="26" t="str">
        <v>05 Inventariere</v>
      </c>
      <c r="C261" s="26" t="str">
        <v>Inventar fizic și diferențe</v>
      </c>
      <c r="D261" s="26" t="str">
        <v>myWMS Release 2</v>
      </c>
      <c r="E261" s="38" t="str">
        <v>✓ Da</v>
      </c>
      <c r="F261" s="26" t="str">
        <v>Manual descărcat și citit, 11 pagini; replenishment, numărare, transferuri.</v>
      </c>
      <c r="G261" s="39" t="str">
        <v>S29</v>
      </c>
      <c r="H261" s="39"/>
      <c r="I261" s="39"/>
    </row>
    <row r="262" ht="43" customHeight="1">
      <c r="A262" s="2" t="str">
        <v>IV01 / openboxes</v>
      </c>
      <c r="B262" s="26" t="str">
        <v>05 Inventariere</v>
      </c>
      <c r="C262" s="26" t="str">
        <v>Inventar fizic și diferențe</v>
      </c>
      <c r="D262" s="26" t="str">
        <v>OpenBoxes</v>
      </c>
      <c r="E262" s="38" t="str">
        <v>◐ Parțial</v>
      </c>
      <c r="F262" s="26" t="str">
        <v>Cycle counting declarat de furnizor; procedură detaliată neanalizată.</v>
      </c>
      <c r="G262" s="39" t="str">
        <v>S22</v>
      </c>
      <c r="H262" s="39"/>
      <c r="I262" s="39"/>
    </row>
    <row r="263" ht="43" customHeight="1">
      <c r="A263" s="2" t="str">
        <v>IV01 / greater</v>
      </c>
      <c r="B263" s="26" t="str">
        <v>05 Inventariere</v>
      </c>
      <c r="C263" s="26" t="str">
        <v>Inventar fizic și diferențe</v>
      </c>
      <c r="D263" s="26" t="str">
        <v>GreaterWMS</v>
      </c>
      <c r="E263" s="38" t="str">
        <v>? Neconfirmat</v>
      </c>
      <c r="F263" s="26" t="str">
        <v>Funcția nu este confirmată în sursele consultate pentru această variantă. Nu înseamnă absență.</v>
      </c>
      <c r="G263" s="39" t="str">
        <v>S33</v>
      </c>
      <c r="H263" s="39"/>
      <c r="I263" s="39"/>
    </row>
    <row r="264" ht="43" customHeight="1">
      <c r="A264" s="2" t="str">
        <v>IV01 / openwms</v>
      </c>
      <c r="B264" s="26" t="str">
        <v>05 Inventariere</v>
      </c>
      <c r="C264" s="26" t="str">
        <v>Inventar fizic și diferențe</v>
      </c>
      <c r="D264" s="26" t="str">
        <v>OpenWMS</v>
      </c>
      <c r="E264" s="38" t="str">
        <v>◐ Parțial</v>
      </c>
      <c r="F264" s="26" t="str">
        <v>Inventory privat/preview.</v>
      </c>
      <c r="G264" s="39" t="str">
        <v>S37</v>
      </c>
      <c r="H264" s="39"/>
      <c r="I264" s="39"/>
    </row>
    <row r="265" ht="43" customHeight="1">
      <c r="A265" s="2" t="str">
        <v>IV01 / scan</v>
      </c>
      <c r="B265" s="26" t="str">
        <v>05 Inventariere</v>
      </c>
      <c r="C265" s="26" t="str">
        <v>Inventar fizic și diferențe</v>
      </c>
      <c r="D265" s="26" t="str">
        <v>Android Scan Write</v>
      </c>
      <c r="E265" s="38" t="str">
        <v>? Neconfirmat</v>
      </c>
      <c r="F265" s="26" t="str">
        <v>Funcția nu este confirmată în sursele consultate pentru această variantă. Nu înseamnă absență.</v>
      </c>
      <c r="G265" s="39" t="str">
        <v>S39</v>
      </c>
      <c r="H265" s="39"/>
      <c r="I265" s="39"/>
    </row>
    <row r="266" ht="43" customHeight="1">
      <c r="A266" s="2" t="str">
        <v>IV01 / tms</v>
      </c>
      <c r="B266" s="26" t="str">
        <v>05 Inventariere</v>
      </c>
      <c r="C266" s="26" t="str">
        <v>Inventar fizic și diferențe</v>
      </c>
      <c r="D266" s="26" t="str">
        <v>TMS iDempiere</v>
      </c>
      <c r="E266" s="38" t="str">
        <v>? Neconfirmat</v>
      </c>
      <c r="F266" s="26" t="str">
        <v>Funcția nu este confirmată în sursele consultate pentru această variantă. Nu înseamnă absență.</v>
      </c>
      <c r="G266" s="39" t="str">
        <v>S40</v>
      </c>
      <c r="H266" s="39"/>
      <c r="I266" s="39"/>
    </row>
    <row r="267" ht="43" customHeight="1">
      <c r="A267" s="2" t="str">
        <v>IV01 / mobile</v>
      </c>
      <c r="B267" s="26" t="str">
        <v>05 Inventariere</v>
      </c>
      <c r="C267" s="26" t="str">
        <v>Inventar fizic și diferențe</v>
      </c>
      <c r="D267" s="26" t="str">
        <v>SCM iDempiere Mobile</v>
      </c>
      <c r="E267" s="38" t="str">
        <v>◐ Parțial</v>
      </c>
      <c r="F267" s="26" t="str">
        <v>Inventariere declarată de furnizor.</v>
      </c>
      <c r="G267" s="39" t="str">
        <v>S41</v>
      </c>
      <c r="H267" s="39"/>
      <c r="I267" s="39"/>
    </row>
    <row r="268" ht="43" customHeight="1">
      <c r="A268" s="2" t="str">
        <v>IV02 / eva</v>
      </c>
      <c r="B268" s="26" t="str">
        <v>05 Inventariere</v>
      </c>
      <c r="C268" s="26" t="str">
        <v>Numărare mobilă / cu scanner</v>
      </c>
      <c r="D268" s="26" t="str">
        <v>EVA nativă</v>
      </c>
      <c r="E268" s="38" t="str">
        <v>? Neconfirmat</v>
      </c>
      <c r="F268" s="26" t="str">
        <v>Funcția nu este confirmată în sursele consultate pentru această variantă. Nu înseamnă absență.</v>
      </c>
      <c r="G268" s="39" t="str">
        <v>E05</v>
      </c>
      <c r="H268" s="39"/>
      <c r="I268" s="39"/>
    </row>
    <row r="269" ht="43" customHeight="1">
      <c r="A269" s="2" t="str">
        <v>IV02 / api</v>
      </c>
      <c r="B269" s="26" t="str">
        <v>05 Inventariere</v>
      </c>
      <c r="C269" s="26" t="str">
        <v>Numărare mobilă / cu scanner</v>
      </c>
      <c r="D269" s="26" t="str">
        <v>EVA API</v>
      </c>
      <c r="E269" s="38" t="str">
        <v>? Neconfirmat</v>
      </c>
      <c r="F269" s="26" t="str">
        <v>Funcția nu este confirmată în sursele consultate pentru această variantă. Nu înseamnă absență.</v>
      </c>
      <c r="G269" s="39" t="str">
        <v>E09</v>
      </c>
      <c r="H269" s="39"/>
      <c r="I269" s="39"/>
    </row>
    <row r="270" ht="43" customHeight="1">
      <c r="A270" s="2" t="str">
        <v>IV02 / portal</v>
      </c>
      <c r="B270" s="26" t="str">
        <v>05 Inventariere</v>
      </c>
      <c r="C270" s="26" t="str">
        <v>Numărare mobilă / cu scanner</v>
      </c>
      <c r="D270" s="26" t="str">
        <v>EVA portal</v>
      </c>
      <c r="E270" s="38" t="str">
        <v>? Neconfirmat</v>
      </c>
      <c r="F270" s="26" t="str">
        <v>Fluxul nu este confirmat în ecranul eva_stock.html inspectat.</v>
      </c>
      <c r="G270" s="39" t="str">
        <v>E12</v>
      </c>
      <c r="H270" s="39"/>
      <c r="I270" s="39"/>
    </row>
    <row r="271" ht="43" customHeight="1">
      <c r="A271" s="2" t="str">
        <v>IV02 / base</v>
      </c>
      <c r="B271" s="26" t="str">
        <v>05 Inventariere</v>
      </c>
      <c r="C271" s="26" t="str">
        <v>Numărare mobilă / cu scanner</v>
      </c>
      <c r="D271" s="26" t="str">
        <v>iDempiere standard</v>
      </c>
      <c r="E271" s="38" t="str">
        <v>? Neconfirmat</v>
      </c>
      <c r="F271" s="26" t="str">
        <v>Funcția nu este confirmată în sursele consultate pentru această variantă. Nu înseamnă absență.</v>
      </c>
      <c r="G271" s="39" t="str">
        <v>S02</v>
      </c>
      <c r="H271" s="39"/>
      <c r="I271" s="39"/>
    </row>
    <row r="272" ht="43" customHeight="1">
      <c r="A272" s="2" t="str">
        <v>IV02 / red1</v>
      </c>
      <c r="B272" s="26" t="str">
        <v>05 Inventariere</v>
      </c>
      <c r="C272" s="26" t="str">
        <v>Numărare mobilă / cu scanner</v>
      </c>
      <c r="D272" s="26" t="str">
        <v>Red1 / SYSNOVA WMS</v>
      </c>
      <c r="E272" s="38" t="str">
        <v>? Neconfirmat</v>
      </c>
      <c r="F272" s="26" t="str">
        <v>Funcția nu este confirmată în sursele consultate pentru această variantă. Nu înseamnă absență.</v>
      </c>
      <c r="G272" s="39" t="str">
        <v>S11</v>
      </c>
      <c r="H272" s="39"/>
      <c r="I272" s="39"/>
    </row>
    <row r="273" ht="43" customHeight="1">
      <c r="A273" s="2" t="str">
        <v>IV02 / libero</v>
      </c>
      <c r="B273" s="26" t="str">
        <v>05 Inventariere</v>
      </c>
      <c r="C273" s="26" t="str">
        <v>Numărare mobilă / cu scanner</v>
      </c>
      <c r="D273" s="26" t="str">
        <v>Libero Warehousing</v>
      </c>
      <c r="E273" s="38" t="str">
        <v>? Neconfirmat</v>
      </c>
      <c r="F273" s="26" t="str">
        <v>Funcția nu este confirmată în sursele consultate pentru această variantă. Nu înseamnă absență.</v>
      </c>
      <c r="G273" s="39" t="str">
        <v>S12</v>
      </c>
      <c r="H273" s="39"/>
      <c r="I273" s="39"/>
    </row>
    <row r="274" ht="43" customHeight="1">
      <c r="A274" s="2" t="str">
        <v>IV02 / mywms</v>
      </c>
      <c r="B274" s="26" t="str">
        <v>05 Inventariere</v>
      </c>
      <c r="C274" s="26" t="str">
        <v>Numărare mobilă / cu scanner</v>
      </c>
      <c r="D274" s="26" t="str">
        <v>myWMS Release 2</v>
      </c>
      <c r="E274" s="38" t="str">
        <v>✓ Da</v>
      </c>
      <c r="F274" s="26" t="str">
        <v>Manual descărcat și citit, 11 pagini; replenishment, numărare, transferuri.</v>
      </c>
      <c r="G274" s="39" t="str">
        <v>S29</v>
      </c>
      <c r="H274" s="39"/>
      <c r="I274" s="39"/>
    </row>
    <row r="275" ht="43" customHeight="1">
      <c r="A275" s="2" t="str">
        <v>IV02 / openboxes</v>
      </c>
      <c r="B275" s="26" t="str">
        <v>05 Inventariere</v>
      </c>
      <c r="C275" s="26" t="str">
        <v>Numărare mobilă / cu scanner</v>
      </c>
      <c r="D275" s="26" t="str">
        <v>OpenBoxes</v>
      </c>
      <c r="E275" s="38" t="str">
        <v>◐ Parțial</v>
      </c>
      <c r="F275" s="26" t="str">
        <v>Funcții mobile și cycle count declarate; fluxul complet trebuie probat.</v>
      </c>
      <c r="G275" s="39" t="str">
        <v>S22</v>
      </c>
      <c r="H275" s="39"/>
      <c r="I275" s="39"/>
    </row>
    <row r="276" ht="43" customHeight="1">
      <c r="A276" s="2" t="str">
        <v>IV02 / greater</v>
      </c>
      <c r="B276" s="26" t="str">
        <v>05 Inventariere</v>
      </c>
      <c r="C276" s="26" t="str">
        <v>Numărare mobilă / cu scanner</v>
      </c>
      <c r="D276" s="26" t="str">
        <v>GreaterWMS</v>
      </c>
      <c r="E276" s="38" t="str">
        <v>? Neconfirmat</v>
      </c>
      <c r="F276" s="26" t="str">
        <v>Funcția nu este confirmată în sursele consultate pentru această variantă. Nu înseamnă absență.</v>
      </c>
      <c r="G276" s="39" t="str">
        <v>S33</v>
      </c>
      <c r="H276" s="39"/>
      <c r="I276" s="39"/>
    </row>
    <row r="277" ht="43" customHeight="1">
      <c r="A277" s="2" t="str">
        <v>IV02 / openwms</v>
      </c>
      <c r="B277" s="26" t="str">
        <v>05 Inventariere</v>
      </c>
      <c r="C277" s="26" t="str">
        <v>Numărare mobilă / cu scanner</v>
      </c>
      <c r="D277" s="26" t="str">
        <v>OpenWMS</v>
      </c>
      <c r="E277" s="38" t="str">
        <v>? Neconfirmat</v>
      </c>
      <c r="F277" s="26" t="str">
        <v>Funcția nu este confirmată în sursele consultate pentru această variantă. Nu înseamnă absență.</v>
      </c>
      <c r="G277" s="39" t="str">
        <v>S38</v>
      </c>
      <c r="H277" s="39"/>
      <c r="I277" s="39"/>
    </row>
    <row r="278" ht="43" customHeight="1">
      <c r="A278" s="2" t="str">
        <v>IV02 / scan</v>
      </c>
      <c r="B278" s="26" t="str">
        <v>05 Inventariere</v>
      </c>
      <c r="C278" s="26" t="str">
        <v>Numărare mobilă / cu scanner</v>
      </c>
      <c r="D278" s="26" t="str">
        <v>Android Scan Write</v>
      </c>
      <c r="E278" s="38" t="str">
        <v>◐ Parțial</v>
      </c>
      <c r="F278" s="26" t="str">
        <v>Poate citi cod și scrie câmpuri; nu confirmă proces complet de inventar.</v>
      </c>
      <c r="G278" s="39" t="str">
        <v>S39</v>
      </c>
      <c r="H278" s="39"/>
      <c r="I278" s="39"/>
    </row>
    <row r="279" ht="43" customHeight="1">
      <c r="A279" s="2" t="str">
        <v>IV02 / tms</v>
      </c>
      <c r="B279" s="26" t="str">
        <v>05 Inventariere</v>
      </c>
      <c r="C279" s="26" t="str">
        <v>Numărare mobilă / cu scanner</v>
      </c>
      <c r="D279" s="26" t="str">
        <v>TMS iDempiere</v>
      </c>
      <c r="E279" s="38" t="str">
        <v>? Neconfirmat</v>
      </c>
      <c r="F279" s="26" t="str">
        <v>Funcția nu este confirmată în sursele consultate pentru această variantă. Nu înseamnă absență.</v>
      </c>
      <c r="G279" s="39" t="str">
        <v>S40</v>
      </c>
      <c r="H279" s="39"/>
      <c r="I279" s="39"/>
    </row>
    <row r="280" ht="43" customHeight="1">
      <c r="A280" s="2" t="str">
        <v>IV02 / mobile</v>
      </c>
      <c r="B280" s="26" t="str">
        <v>05 Inventariere</v>
      </c>
      <c r="C280" s="26" t="str">
        <v>Numărare mobilă / cu scanner</v>
      </c>
      <c r="D280" s="26" t="str">
        <v>SCM iDempiere Mobile</v>
      </c>
      <c r="E280" s="38" t="str">
        <v>◐ Parțial</v>
      </c>
      <c r="F280" s="26" t="str">
        <v>Inventar mobil declarat.</v>
      </c>
      <c r="G280" s="39" t="str">
        <v>S41</v>
      </c>
      <c r="H280" s="39"/>
      <c r="I280" s="39"/>
    </row>
    <row r="281" ht="43" customHeight="1">
      <c r="A281" s="2" t="str">
        <v>IV03 / eva</v>
      </c>
      <c r="B281" s="26" t="str">
        <v>05 Inventariere</v>
      </c>
      <c r="C281" s="26" t="str">
        <v>Import stocuri faptice CSV / XLSX</v>
      </c>
      <c r="D281" s="26" t="str">
        <v>EVA nativă</v>
      </c>
      <c r="E281" s="38" t="str">
        <v>◐ Parțial</v>
      </c>
      <c r="F281" s="26" t="str">
        <v>Import implementat; maparea numai după cod trebuie probată când articolul apare în mai multe locații/loturi.</v>
      </c>
      <c r="G281" s="39" t="str">
        <v>E01</v>
      </c>
      <c r="H281" s="39"/>
      <c r="I281" s="39"/>
    </row>
    <row r="282" ht="43" customHeight="1">
      <c r="A282" s="2" t="str">
        <v>IV03 / api</v>
      </c>
      <c r="B282" s="26" t="str">
        <v>05 Inventariere</v>
      </c>
      <c r="C282" s="26" t="str">
        <v>Import stocuri faptice CSV / XLSX</v>
      </c>
      <c r="D282" s="26" t="str">
        <v>EVA API</v>
      </c>
      <c r="E282" s="38" t="str">
        <v>? Neconfirmat</v>
      </c>
      <c r="F282" s="26" t="str">
        <v>Funcția nu este confirmată în sursele consultate pentru această variantă. Nu înseamnă absență.</v>
      </c>
      <c r="G282" s="39" t="str">
        <v>E09</v>
      </c>
      <c r="H282" s="39"/>
      <c r="I282" s="39"/>
    </row>
    <row r="283" ht="43" customHeight="1">
      <c r="A283" s="2" t="str">
        <v>IV03 / portal</v>
      </c>
      <c r="B283" s="26" t="str">
        <v>05 Inventariere</v>
      </c>
      <c r="C283" s="26" t="str">
        <v>Import stocuri faptice CSV / XLSX</v>
      </c>
      <c r="D283" s="26" t="str">
        <v>EVA portal</v>
      </c>
      <c r="E283" s="38" t="str">
        <v>? Neconfirmat</v>
      </c>
      <c r="F283" s="26" t="str">
        <v>Fluxul nu este confirmat în ecranul eva_stock.html inspectat.</v>
      </c>
      <c r="G283" s="39" t="str">
        <v>E12</v>
      </c>
      <c r="H283" s="39"/>
      <c r="I283" s="39"/>
    </row>
    <row r="284" ht="43" customHeight="1">
      <c r="A284" s="2" t="str">
        <v>IV03 / base</v>
      </c>
      <c r="B284" s="26" t="str">
        <v>05 Inventariere</v>
      </c>
      <c r="C284" s="26" t="str">
        <v>Import stocuri faptice CSV / XLSX</v>
      </c>
      <c r="D284" s="26" t="str">
        <v>iDempiere standard</v>
      </c>
      <c r="E284" s="38" t="str">
        <v>? Neconfirmat</v>
      </c>
      <c r="F284" s="26" t="str">
        <v>Funcția nu este confirmată în sursele consultate pentru această variantă. Nu înseamnă absență.</v>
      </c>
      <c r="G284" s="39" t="str">
        <v>S02</v>
      </c>
      <c r="H284" s="39"/>
      <c r="I284" s="39"/>
    </row>
    <row r="285" ht="43" customHeight="1">
      <c r="A285" s="2" t="str">
        <v>IV03 / red1</v>
      </c>
      <c r="B285" s="26" t="str">
        <v>05 Inventariere</v>
      </c>
      <c r="C285" s="26" t="str">
        <v>Import stocuri faptice CSV / XLSX</v>
      </c>
      <c r="D285" s="26" t="str">
        <v>Red1 / SYSNOVA WMS</v>
      </c>
      <c r="E285" s="38" t="str">
        <v>? Neconfirmat</v>
      </c>
      <c r="F285" s="26" t="str">
        <v>Funcția nu este confirmată în sursele consultate pentru această variantă. Nu înseamnă absență.</v>
      </c>
      <c r="G285" s="39" t="str">
        <v>S11</v>
      </c>
      <c r="H285" s="39"/>
      <c r="I285" s="39"/>
    </row>
    <row r="286" ht="43" customHeight="1">
      <c r="A286" s="2" t="str">
        <v>IV03 / libero</v>
      </c>
      <c r="B286" s="26" t="str">
        <v>05 Inventariere</v>
      </c>
      <c r="C286" s="26" t="str">
        <v>Import stocuri faptice CSV / XLSX</v>
      </c>
      <c r="D286" s="26" t="str">
        <v>Libero Warehousing</v>
      </c>
      <c r="E286" s="38" t="str">
        <v>? Neconfirmat</v>
      </c>
      <c r="F286" s="26" t="str">
        <v>Funcția nu este confirmată în sursele consultate pentru această variantă. Nu înseamnă absență.</v>
      </c>
      <c r="G286" s="39" t="str">
        <v>S12</v>
      </c>
      <c r="H286" s="39"/>
      <c r="I286" s="39"/>
    </row>
    <row r="287" ht="43" customHeight="1">
      <c r="A287" s="2" t="str">
        <v>IV03 / mywms</v>
      </c>
      <c r="B287" s="26" t="str">
        <v>05 Inventariere</v>
      </c>
      <c r="C287" s="26" t="str">
        <v>Import stocuri faptice CSV / XLSX</v>
      </c>
      <c r="D287" s="26" t="str">
        <v>myWMS Release 2</v>
      </c>
      <c r="E287" s="38" t="str">
        <v>? Neconfirmat</v>
      </c>
      <c r="F287" s="26" t="str">
        <v>Funcția nu este confirmată în sursele consultate pentru această variantă. Nu înseamnă absență.</v>
      </c>
      <c r="G287" s="39" t="str">
        <v>S25</v>
      </c>
      <c r="H287" s="39"/>
      <c r="I287" s="39"/>
    </row>
    <row r="288" ht="43" customHeight="1">
      <c r="A288" s="2" t="str">
        <v>IV03 / openboxes</v>
      </c>
      <c r="B288" s="26" t="str">
        <v>05 Inventariere</v>
      </c>
      <c r="C288" s="26" t="str">
        <v>Import stocuri faptice CSV / XLSX</v>
      </c>
      <c r="D288" s="26" t="str">
        <v>OpenBoxes</v>
      </c>
      <c r="E288" s="38" t="str">
        <v>? Neconfirmat</v>
      </c>
      <c r="F288" s="26" t="str">
        <v>Funcția nu este confirmată în sursele consultate pentru această variantă. Nu înseamnă absență.</v>
      </c>
      <c r="G288" s="39" t="str">
        <v>S16</v>
      </c>
      <c r="H288" s="39"/>
      <c r="I288" s="39"/>
    </row>
    <row r="289" ht="43" customHeight="1">
      <c r="A289" s="2" t="str">
        <v>IV03 / greater</v>
      </c>
      <c r="B289" s="26" t="str">
        <v>05 Inventariere</v>
      </c>
      <c r="C289" s="26" t="str">
        <v>Import stocuri faptice CSV / XLSX</v>
      </c>
      <c r="D289" s="26" t="str">
        <v>GreaterWMS</v>
      </c>
      <c r="E289" s="38" t="str">
        <v>? Neconfirmat</v>
      </c>
      <c r="F289" s="26" t="str">
        <v>Funcția nu este confirmată în sursele consultate pentru această variantă. Nu înseamnă absență.</v>
      </c>
      <c r="G289" s="39" t="str">
        <v>S33</v>
      </c>
      <c r="H289" s="39"/>
      <c r="I289" s="39"/>
    </row>
    <row r="290" ht="43" customHeight="1">
      <c r="A290" s="2" t="str">
        <v>IV03 / openwms</v>
      </c>
      <c r="B290" s="26" t="str">
        <v>05 Inventariere</v>
      </c>
      <c r="C290" s="26" t="str">
        <v>Import stocuri faptice CSV / XLSX</v>
      </c>
      <c r="D290" s="26" t="str">
        <v>OpenWMS</v>
      </c>
      <c r="E290" s="38" t="str">
        <v>? Neconfirmat</v>
      </c>
      <c r="F290" s="26" t="str">
        <v>Funcția nu este confirmată în sursele consultate pentru această variantă. Nu înseamnă absență.</v>
      </c>
      <c r="G290" s="39" t="str">
        <v>S38</v>
      </c>
      <c r="H290" s="39"/>
      <c r="I290" s="39"/>
    </row>
    <row r="291" ht="43" customHeight="1">
      <c r="A291" s="2" t="str">
        <v>IV03 / scan</v>
      </c>
      <c r="B291" s="26" t="str">
        <v>05 Inventariere</v>
      </c>
      <c r="C291" s="26" t="str">
        <v>Import stocuri faptice CSV / XLSX</v>
      </c>
      <c r="D291" s="26" t="str">
        <v>Android Scan Write</v>
      </c>
      <c r="E291" s="38" t="str">
        <v>? Neconfirmat</v>
      </c>
      <c r="F291" s="26" t="str">
        <v>Funcția nu este confirmată în sursele consultate pentru această variantă. Nu înseamnă absență.</v>
      </c>
      <c r="G291" s="39" t="str">
        <v>S39</v>
      </c>
      <c r="H291" s="39"/>
      <c r="I291" s="39"/>
    </row>
    <row r="292" ht="43" customHeight="1">
      <c r="A292" s="2" t="str">
        <v>IV03 / tms</v>
      </c>
      <c r="B292" s="26" t="str">
        <v>05 Inventariere</v>
      </c>
      <c r="C292" s="26" t="str">
        <v>Import stocuri faptice CSV / XLSX</v>
      </c>
      <c r="D292" s="26" t="str">
        <v>TMS iDempiere</v>
      </c>
      <c r="E292" s="38" t="str">
        <v>? Neconfirmat</v>
      </c>
      <c r="F292" s="26" t="str">
        <v>Funcția nu este confirmată în sursele consultate pentru această variantă. Nu înseamnă absență.</v>
      </c>
      <c r="G292" s="39" t="str">
        <v>S40</v>
      </c>
      <c r="H292" s="39"/>
      <c r="I292" s="39"/>
    </row>
    <row r="293" ht="43" customHeight="1">
      <c r="A293" s="2" t="str">
        <v>IV03 / mobile</v>
      </c>
      <c r="B293" s="26" t="str">
        <v>05 Inventariere</v>
      </c>
      <c r="C293" s="26" t="str">
        <v>Import stocuri faptice CSV / XLSX</v>
      </c>
      <c r="D293" s="26" t="str">
        <v>SCM iDempiere Mobile</v>
      </c>
      <c r="E293" s="38" t="str">
        <v>? Neconfirmat</v>
      </c>
      <c r="F293" s="26" t="str">
        <v>Funcția nu este confirmată în sursele consultate pentru această variantă. Nu înseamnă absență.</v>
      </c>
      <c r="G293" s="39" t="str">
        <v>S41</v>
      </c>
      <c r="H293" s="39"/>
      <c r="I293" s="39"/>
    </row>
    <row r="294" ht="43" customHeight="1">
      <c r="A294" s="2" t="str">
        <v>IV04 / eva</v>
      </c>
      <c r="B294" s="26" t="str">
        <v>05 Inventariere</v>
      </c>
      <c r="C294" s="26" t="str">
        <v>Storno inventar / mișcări native</v>
      </c>
      <c r="D294" s="26" t="str">
        <v>EVA nativă</v>
      </c>
      <c r="E294" s="38" t="str">
        <v>✓ Da</v>
      </c>
      <c r="F294" s="26" t="str">
        <v>Reverse_Correct identificat în inventar și transfer.</v>
      </c>
      <c r="G294" s="39" t="str">
        <v>E01</v>
      </c>
      <c r="H294" s="39" t="str">
        <v>E03</v>
      </c>
      <c r="I294" s="39"/>
    </row>
    <row r="295" ht="43" customHeight="1">
      <c r="A295" s="2" t="str">
        <v>IV04 / api</v>
      </c>
      <c r="B295" s="26" t="str">
        <v>05 Inventariere</v>
      </c>
      <c r="C295" s="26" t="str">
        <v>Storno inventar / mișcări native</v>
      </c>
      <c r="D295" s="26" t="str">
        <v>EVA API</v>
      </c>
      <c r="E295" s="38" t="str">
        <v>✗ Nu</v>
      </c>
      <c r="F295" s="26" t="str">
        <v>Routerul de gestiune inspectat nu oferă operație de anulare/storno a documentelor proprii.</v>
      </c>
      <c r="G295" s="39" t="str">
        <v>E08</v>
      </c>
      <c r="H295" s="39" t="str">
        <v>E09</v>
      </c>
      <c r="I295" s="39"/>
    </row>
    <row r="296" ht="43" customHeight="1">
      <c r="A296" s="2" t="str">
        <v>IV04 / portal</v>
      </c>
      <c r="B296" s="26" t="str">
        <v>05 Inventariere</v>
      </c>
      <c r="C296" s="26" t="str">
        <v>Storno inventar / mișcări native</v>
      </c>
      <c r="D296" s="26" t="str">
        <v>EVA portal</v>
      </c>
      <c r="E296" s="38" t="str">
        <v>? Neconfirmat</v>
      </c>
      <c r="F296" s="26" t="str">
        <v>Fluxul nu este confirmat în ecranul eva_stock.html inspectat.</v>
      </c>
      <c r="G296" s="39" t="str">
        <v>E12</v>
      </c>
      <c r="H296" s="39"/>
      <c r="I296" s="39"/>
    </row>
    <row r="297" ht="43" customHeight="1">
      <c r="A297" s="2" t="str">
        <v>IV04 / base</v>
      </c>
      <c r="B297" s="26" t="str">
        <v>05 Inventariere</v>
      </c>
      <c r="C297" s="26" t="str">
        <v>Storno inventar / mișcări native</v>
      </c>
      <c r="D297" s="26" t="str">
        <v>iDempiere standard</v>
      </c>
      <c r="E297" s="38" t="str">
        <v>✓ Da</v>
      </c>
      <c r="F297" s="26" t="str">
        <v>Procese de document ERP, în funcție de tip și stare.</v>
      </c>
      <c r="G297" s="39" t="str">
        <v>S02</v>
      </c>
      <c r="H297" s="39"/>
      <c r="I297" s="39"/>
    </row>
    <row r="298" ht="43" customHeight="1">
      <c r="A298" s="2" t="str">
        <v>IV04 / red1</v>
      </c>
      <c r="B298" s="26" t="str">
        <v>05 Inventariere</v>
      </c>
      <c r="C298" s="26" t="str">
        <v>Storno inventar / mișcări native</v>
      </c>
      <c r="D298" s="26" t="str">
        <v>Red1 / SYSNOVA WMS</v>
      </c>
      <c r="E298" s="38" t="str">
        <v>◐ Parțial</v>
      </c>
      <c r="F298" s="26" t="str">
        <v>Procese ERP; consistența structurilor WMS la storno trebuie probată.</v>
      </c>
      <c r="G298" s="39" t="str">
        <v>S02</v>
      </c>
      <c r="H298" s="39" t="str">
        <v>S11</v>
      </c>
      <c r="I298" s="39"/>
    </row>
    <row r="299" ht="43" customHeight="1">
      <c r="A299" s="2" t="str">
        <v>IV04 / libero</v>
      </c>
      <c r="B299" s="26" t="str">
        <v>05 Inventariere</v>
      </c>
      <c r="C299" s="26" t="str">
        <v>Storno inventar / mișcări native</v>
      </c>
      <c r="D299" s="26" t="str">
        <v>Libero Warehousing</v>
      </c>
      <c r="E299" s="38" t="str">
        <v>◐ Parțial</v>
      </c>
      <c r="F299" s="26" t="str">
        <v>Comportamentul extensiei la reversare trebuie probat.</v>
      </c>
      <c r="G299" s="39" t="str">
        <v>S02</v>
      </c>
      <c r="H299" s="39" t="str">
        <v>S12</v>
      </c>
      <c r="I299" s="39"/>
    </row>
    <row r="300" ht="43" customHeight="1">
      <c r="A300" s="2" t="str">
        <v>IV04 / mywms</v>
      </c>
      <c r="B300" s="26" t="str">
        <v>05 Inventariere</v>
      </c>
      <c r="C300" s="26" t="str">
        <v>Storno inventar / mișcări native</v>
      </c>
      <c r="D300" s="26" t="str">
        <v>myWMS Release 2</v>
      </c>
      <c r="E300" s="38" t="str">
        <v>? Neconfirmat</v>
      </c>
      <c r="F300" s="26" t="str">
        <v>Funcția nu este confirmată în sursele consultate pentru această variantă. Nu înseamnă absență.</v>
      </c>
      <c r="G300" s="39" t="str">
        <v>S25</v>
      </c>
      <c r="H300" s="39"/>
      <c r="I300" s="39"/>
    </row>
    <row r="301" ht="43" customHeight="1">
      <c r="A301" s="2" t="str">
        <v>IV04 / openboxes</v>
      </c>
      <c r="B301" s="26" t="str">
        <v>05 Inventariere</v>
      </c>
      <c r="C301" s="26" t="str">
        <v>Storno inventar / mișcări native</v>
      </c>
      <c r="D301" s="26" t="str">
        <v>OpenBoxes</v>
      </c>
      <c r="E301" s="38" t="str">
        <v>? Neconfirmat</v>
      </c>
      <c r="F301" s="26" t="str">
        <v>Funcția nu este confirmată în sursele consultate pentru această variantă. Nu înseamnă absență.</v>
      </c>
      <c r="G301" s="39" t="str">
        <v>S16</v>
      </c>
      <c r="H301" s="39"/>
      <c r="I301" s="39"/>
    </row>
    <row r="302" ht="43" customHeight="1">
      <c r="A302" s="2" t="str">
        <v>IV04 / greater</v>
      </c>
      <c r="B302" s="26" t="str">
        <v>05 Inventariere</v>
      </c>
      <c r="C302" s="26" t="str">
        <v>Storno inventar / mișcări native</v>
      </c>
      <c r="D302" s="26" t="str">
        <v>GreaterWMS</v>
      </c>
      <c r="E302" s="38" t="str">
        <v>? Neconfirmat</v>
      </c>
      <c r="F302" s="26" t="str">
        <v>Funcția nu este confirmată în sursele consultate pentru această variantă. Nu înseamnă absență.</v>
      </c>
      <c r="G302" s="39" t="str">
        <v>S33</v>
      </c>
      <c r="H302" s="39"/>
      <c r="I302" s="39"/>
    </row>
    <row r="303" ht="43" customHeight="1">
      <c r="A303" s="2" t="str">
        <v>IV04 / openwms</v>
      </c>
      <c r="B303" s="26" t="str">
        <v>05 Inventariere</v>
      </c>
      <c r="C303" s="26" t="str">
        <v>Storno inventar / mișcări native</v>
      </c>
      <c r="D303" s="26" t="str">
        <v>OpenWMS</v>
      </c>
      <c r="E303" s="38" t="str">
        <v>? Neconfirmat</v>
      </c>
      <c r="F303" s="26" t="str">
        <v>Funcția nu este confirmată în sursele consultate pentru această variantă. Nu înseamnă absență.</v>
      </c>
      <c r="G303" s="39" t="str">
        <v>S38</v>
      </c>
      <c r="H303" s="39"/>
      <c r="I303" s="39"/>
    </row>
    <row r="304" ht="43" customHeight="1">
      <c r="A304" s="2" t="str">
        <v>IV04 / scan</v>
      </c>
      <c r="B304" s="26" t="str">
        <v>05 Inventariere</v>
      </c>
      <c r="C304" s="26" t="str">
        <v>Storno inventar / mișcări native</v>
      </c>
      <c r="D304" s="26" t="str">
        <v>Android Scan Write</v>
      </c>
      <c r="E304" s="38" t="str">
        <v>? Neconfirmat</v>
      </c>
      <c r="F304" s="26" t="str">
        <v>Funcția nu este confirmată în sursele consultate pentru această variantă. Nu înseamnă absență.</v>
      </c>
      <c r="G304" s="39" t="str">
        <v>S39</v>
      </c>
      <c r="H304" s="39"/>
      <c r="I304" s="39"/>
    </row>
    <row r="305" ht="43" customHeight="1">
      <c r="A305" s="2" t="str">
        <v>IV04 / tms</v>
      </c>
      <c r="B305" s="26" t="str">
        <v>05 Inventariere</v>
      </c>
      <c r="C305" s="26" t="str">
        <v>Storno inventar / mișcări native</v>
      </c>
      <c r="D305" s="26" t="str">
        <v>TMS iDempiere</v>
      </c>
      <c r="E305" s="38" t="str">
        <v>? Neconfirmat</v>
      </c>
      <c r="F305" s="26" t="str">
        <v>Funcția nu este confirmată în sursele consultate pentru această variantă. Nu înseamnă absență.</v>
      </c>
      <c r="G305" s="39" t="str">
        <v>S40</v>
      </c>
      <c r="H305" s="39"/>
      <c r="I305" s="39"/>
    </row>
    <row r="306" ht="43" customHeight="1">
      <c r="A306" s="2" t="str">
        <v>IV04 / mobile</v>
      </c>
      <c r="B306" s="26" t="str">
        <v>05 Inventariere</v>
      </c>
      <c r="C306" s="26" t="str">
        <v>Storno inventar / mișcări native</v>
      </c>
      <c r="D306" s="26" t="str">
        <v>SCM iDempiere Mobile</v>
      </c>
      <c r="E306" s="38" t="str">
        <v>? Neconfirmat</v>
      </c>
      <c r="F306" s="26" t="str">
        <v>Funcția nu este confirmată în sursele consultate pentru această variantă. Nu înseamnă absență.</v>
      </c>
      <c r="G306" s="39" t="str">
        <v>S41</v>
      </c>
      <c r="H306" s="39"/>
      <c r="I306" s="39"/>
    </row>
    <row r="307" ht="43" customHeight="1">
      <c r="A307" s="2" t="str">
        <v>ER01 / eva</v>
      </c>
      <c r="B307" s="26" t="str">
        <v>06 Procese ERP</v>
      </c>
      <c r="C307" s="26" t="str">
        <v>NIR / livrare legată de document ERP</v>
      </c>
      <c r="D307" s="26" t="str">
        <v>EVA nativă</v>
      </c>
      <c r="E307" s="38" t="str">
        <v>✓ Da</v>
      </c>
      <c r="F307" s="26" t="str">
        <v>Generează MInOut din factură când sunt îndeplinite condițiile.</v>
      </c>
      <c r="G307" s="39" t="str">
        <v>E05</v>
      </c>
      <c r="H307" s="39" t="str">
        <v>E06</v>
      </c>
      <c r="I307" s="39"/>
    </row>
    <row r="308" ht="43" customHeight="1">
      <c r="A308" s="2" t="str">
        <v>ER01 / api</v>
      </c>
      <c r="B308" s="26" t="str">
        <v>06 Procese ERP</v>
      </c>
      <c r="C308" s="26" t="str">
        <v>NIR / livrare legată de document ERP</v>
      </c>
      <c r="D308" s="26" t="str">
        <v>EVA API</v>
      </c>
      <c r="E308" s="38" t="str">
        <v>◐ Parțial</v>
      </c>
      <c r="F308" s="26" t="str">
        <v>NIR EVA există; nota JSON nu certifică postarea în iDempiere.</v>
      </c>
      <c r="G308" s="39" t="str">
        <v>E08</v>
      </c>
      <c r="H308" s="39" t="str">
        <v>E09</v>
      </c>
      <c r="I308" s="39"/>
    </row>
    <row r="309" ht="43" customHeight="1">
      <c r="A309" s="2" t="str">
        <v>ER01 / portal</v>
      </c>
      <c r="B309" s="26" t="str">
        <v>06 Procese ERP</v>
      </c>
      <c r="C309" s="26" t="str">
        <v>NIR / livrare legată de document ERP</v>
      </c>
      <c r="D309" s="26" t="str">
        <v>EVA portal</v>
      </c>
      <c r="E309" s="38" t="str">
        <v>? Neconfirmat</v>
      </c>
      <c r="F309" s="26" t="str">
        <v>Fluxul nu este confirmat în ecranul eva_stock.html inspectat.</v>
      </c>
      <c r="G309" s="39" t="str">
        <v>E12</v>
      </c>
      <c r="H309" s="39"/>
      <c r="I309" s="39"/>
    </row>
    <row r="310" ht="43" customHeight="1">
      <c r="A310" s="2" t="str">
        <v>ER01 / base</v>
      </c>
      <c r="B310" s="26" t="str">
        <v>06 Procese ERP</v>
      </c>
      <c r="C310" s="26" t="str">
        <v>NIR / livrare legată de document ERP</v>
      </c>
      <c r="D310" s="26" t="str">
        <v>iDempiere standard</v>
      </c>
      <c r="E310" s="38" t="str">
        <v>✓ Da</v>
      </c>
      <c r="F310" s="26" t="str">
        <v>Documentul de recepție și legătura cu achizițiile. Recepții, livrări, atribute, mișcări, inventar și confirmări.</v>
      </c>
      <c r="G310" s="39" t="str">
        <v>S05</v>
      </c>
      <c r="H310" s="39" t="str">
        <v>S02</v>
      </c>
      <c r="I310" s="39"/>
    </row>
    <row r="311" ht="43" customHeight="1">
      <c r="A311" s="2" t="str">
        <v>ER01 / red1</v>
      </c>
      <c r="B311" s="26" t="str">
        <v>06 Procese ERP</v>
      </c>
      <c r="C311" s="26" t="str">
        <v>NIR / livrare legată de document ERP</v>
      </c>
      <c r="D311" s="26" t="str">
        <v>Red1 / SYSNOVA WMS</v>
      </c>
      <c r="E311" s="38" t="str">
        <v>✓ Da</v>
      </c>
      <c r="F311" s="26" t="str">
        <v>Fluxuri WMS legate de M_InOut.</v>
      </c>
      <c r="G311" s="39" t="str">
        <v>S11</v>
      </c>
      <c r="H311" s="39"/>
      <c r="I311" s="39"/>
    </row>
    <row r="312" ht="43" customHeight="1">
      <c r="A312" s="2" t="str">
        <v>ER01 / libero</v>
      </c>
      <c r="B312" s="26" t="str">
        <v>06 Procese ERP</v>
      </c>
      <c r="C312" s="26" t="str">
        <v>NIR / livrare legată de document ERP</v>
      </c>
      <c r="D312" s="26" t="str">
        <v>Libero Warehousing</v>
      </c>
      <c r="E312" s="38" t="str">
        <v>◐ Parțial</v>
      </c>
      <c r="F312" s="26" t="str">
        <v>Outbound peste ERP; inbound al extensiei nefinalizat.</v>
      </c>
      <c r="G312" s="39" t="str">
        <v>S12</v>
      </c>
      <c r="H312" s="39"/>
      <c r="I312" s="39"/>
    </row>
    <row r="313" ht="43" customHeight="1">
      <c r="A313" s="2" t="str">
        <v>ER01 / mywms</v>
      </c>
      <c r="B313" s="26" t="str">
        <v>06 Procese ERP</v>
      </c>
      <c r="C313" s="26" t="str">
        <v>NIR / livrare legată de document ERP</v>
      </c>
      <c r="D313" s="26" t="str">
        <v>myWMS Release 2</v>
      </c>
      <c r="E313" s="38" t="str">
        <v>◐ Parțial</v>
      </c>
      <c r="F313" s="26" t="str">
        <v>Interfață ERP SOAP; adaptorul iDempiere trebuie construit.</v>
      </c>
      <c r="G313" s="39" t="str">
        <v>S31</v>
      </c>
      <c r="H313" s="39"/>
      <c r="I313" s="39"/>
    </row>
    <row r="314" ht="43" customHeight="1">
      <c r="A314" s="2" t="str">
        <v>ER01 / openboxes</v>
      </c>
      <c r="B314" s="26" t="str">
        <v>06 Procese ERP</v>
      </c>
      <c r="C314" s="26" t="str">
        <v>NIR / livrare legată de document ERP</v>
      </c>
      <c r="D314" s="26" t="str">
        <v>OpenBoxes</v>
      </c>
      <c r="E314" s="38" t="str">
        <v>◐ Parțial</v>
      </c>
      <c r="F314" s="26" t="str">
        <v>API pentru fluxuri; adaptorul către documentele iDempiere trebuie construit.</v>
      </c>
      <c r="G314" s="39" t="str">
        <v>S23</v>
      </c>
      <c r="H314" s="39" t="str">
        <v>S24</v>
      </c>
      <c r="I314" s="39"/>
    </row>
    <row r="315" ht="43" customHeight="1">
      <c r="A315" s="2" t="str">
        <v>ER01 / greater</v>
      </c>
      <c r="B315" s="26" t="str">
        <v>06 Procese ERP</v>
      </c>
      <c r="C315" s="26" t="str">
        <v>NIR / livrare legată de document ERP</v>
      </c>
      <c r="D315" s="26" t="str">
        <v>GreaterWMS</v>
      </c>
      <c r="E315" s="38" t="str">
        <v>◐ Parțial</v>
      </c>
      <c r="F315" s="26" t="str">
        <v>API declarat; conectorul iDempiere neconfirmat.</v>
      </c>
      <c r="G315" s="39" t="str">
        <v>S33</v>
      </c>
      <c r="H315" s="39"/>
      <c r="I315" s="39"/>
    </row>
    <row r="316" ht="43" customHeight="1">
      <c r="A316" s="2" t="str">
        <v>ER01 / openwms</v>
      </c>
      <c r="B316" s="26" t="str">
        <v>06 Procese ERP</v>
      </c>
      <c r="C316" s="26" t="str">
        <v>NIR / livrare legată de document ERP</v>
      </c>
      <c r="D316" s="26" t="str">
        <v>OpenWMS</v>
      </c>
      <c r="E316" s="38" t="str">
        <v>◐ Parțial</v>
      </c>
      <c r="F316" s="26" t="str">
        <v>Interfețe de servicii; integrare specifică necesară.</v>
      </c>
      <c r="G316" s="39" t="str">
        <v>S37</v>
      </c>
      <c r="H316" s="39"/>
      <c r="I316" s="39"/>
    </row>
    <row r="317" ht="43" customHeight="1">
      <c r="A317" s="2" t="str">
        <v>ER01 / scan</v>
      </c>
      <c r="B317" s="26" t="str">
        <v>06 Procese ERP</v>
      </c>
      <c r="C317" s="26" t="str">
        <v>NIR / livrare legată de document ERP</v>
      </c>
      <c r="D317" s="26" t="str">
        <v>Android Scan Write</v>
      </c>
      <c r="E317" s="38" t="str">
        <v>? Neconfirmat</v>
      </c>
      <c r="F317" s="26" t="str">
        <v>Funcția nu este confirmată în sursele consultate pentru această variantă. Nu înseamnă absență.</v>
      </c>
      <c r="G317" s="39" t="str">
        <v>S39</v>
      </c>
      <c r="H317" s="39"/>
      <c r="I317" s="39"/>
    </row>
    <row r="318" ht="43" customHeight="1">
      <c r="A318" s="2" t="str">
        <v>ER01 / tms</v>
      </c>
      <c r="B318" s="26" t="str">
        <v>06 Procese ERP</v>
      </c>
      <c r="C318" s="26" t="str">
        <v>NIR / livrare legată de document ERP</v>
      </c>
      <c r="D318" s="26" t="str">
        <v>TMS iDempiere</v>
      </c>
      <c r="E318" s="38" t="str">
        <v>? Neconfirmat</v>
      </c>
      <c r="F318" s="26" t="str">
        <v>Funcția nu este confirmată în sursele consultate pentru această variantă. Nu înseamnă absență.</v>
      </c>
      <c r="G318" s="39" t="str">
        <v>S40</v>
      </c>
      <c r="H318" s="39"/>
      <c r="I318" s="39"/>
    </row>
    <row r="319" ht="43" customHeight="1">
      <c r="A319" s="2" t="str">
        <v>ER01 / mobile</v>
      </c>
      <c r="B319" s="26" t="str">
        <v>06 Procese ERP</v>
      </c>
      <c r="C319" s="26" t="str">
        <v>NIR / livrare legată de document ERP</v>
      </c>
      <c r="D319" s="26" t="str">
        <v>SCM iDempiere Mobile</v>
      </c>
      <c r="E319" s="38" t="str">
        <v>◐ Parțial</v>
      </c>
      <c r="F319" s="26" t="str">
        <v>Crearea recepției M_InOut prin REST declarată de furnizor.</v>
      </c>
      <c r="G319" s="39" t="str">
        <v>S41</v>
      </c>
      <c r="H319" s="39"/>
      <c r="I319" s="39"/>
    </row>
    <row r="320" ht="43" customHeight="1">
      <c r="A320" s="2" t="str">
        <v>ER02 / eva</v>
      </c>
      <c r="B320" s="26" t="str">
        <v>06 Procese ERP</v>
      </c>
      <c r="C320" s="26" t="str">
        <v>Bon de consum</v>
      </c>
      <c r="D320" s="26" t="str">
        <v>EVA nativă</v>
      </c>
      <c r="E320" s="38" t="str">
        <v>✓ Da</v>
      </c>
      <c r="F320" s="26" t="str">
        <v>MInventory de consum cu Complete; traseul loturilor se verifică separat.</v>
      </c>
      <c r="G320" s="39" t="str">
        <v>E04</v>
      </c>
      <c r="H320" s="39"/>
      <c r="I320" s="39"/>
    </row>
    <row r="321" ht="43" customHeight="1">
      <c r="A321" s="2" t="str">
        <v>ER02 / api</v>
      </c>
      <c r="B321" s="26" t="str">
        <v>06 Procese ERP</v>
      </c>
      <c r="C321" s="26" t="str">
        <v>Bon de consum</v>
      </c>
      <c r="D321" s="26" t="str">
        <v>EVA API</v>
      </c>
      <c r="E321" s="38" t="str">
        <v>✓ Da</v>
      </c>
      <c r="F321" s="26" t="str">
        <v>Document CONSUM și mișcare în registrul EVA.</v>
      </c>
      <c r="G321" s="39" t="str">
        <v>E08</v>
      </c>
      <c r="H321" s="39"/>
      <c r="I321" s="39"/>
    </row>
    <row r="322" ht="43" customHeight="1">
      <c r="A322" s="2" t="str">
        <v>ER02 / portal</v>
      </c>
      <c r="B322" s="26" t="str">
        <v>06 Procese ERP</v>
      </c>
      <c r="C322" s="26" t="str">
        <v>Bon de consum</v>
      </c>
      <c r="D322" s="26" t="str">
        <v>EVA portal</v>
      </c>
      <c r="E322" s="38" t="str">
        <v>? Neconfirmat</v>
      </c>
      <c r="F322" s="26" t="str">
        <v>Fluxul nu este confirmat în ecranul eva_stock.html inspectat.</v>
      </c>
      <c r="G322" s="39" t="str">
        <v>E12</v>
      </c>
      <c r="H322" s="39"/>
      <c r="I322" s="39"/>
    </row>
    <row r="323" ht="43" customHeight="1">
      <c r="A323" s="2" t="str">
        <v>ER02 / base</v>
      </c>
      <c r="B323" s="26" t="str">
        <v>06 Procese ERP</v>
      </c>
      <c r="C323" s="26" t="str">
        <v>Bon de consum</v>
      </c>
      <c r="D323" s="26" t="str">
        <v>iDempiere standard</v>
      </c>
      <c r="E323" s="38" t="str">
        <v>✓ Da</v>
      </c>
      <c r="F323" s="26" t="str">
        <v>Inventory Internal Use în ERP.</v>
      </c>
      <c r="G323" s="39" t="str">
        <v>S02</v>
      </c>
      <c r="H323" s="39"/>
      <c r="I323" s="39"/>
    </row>
    <row r="324" ht="43" customHeight="1">
      <c r="A324" s="2" t="str">
        <v>ER02 / red1</v>
      </c>
      <c r="B324" s="26" t="str">
        <v>06 Procese ERP</v>
      </c>
      <c r="C324" s="26" t="str">
        <v>Bon de consum</v>
      </c>
      <c r="D324" s="26" t="str">
        <v>Red1 / SYSNOVA WMS</v>
      </c>
      <c r="E324" s="38" t="str">
        <v>◐ Parțial</v>
      </c>
      <c r="F324" s="26" t="str">
        <v>Funcție ERP; nu este demonstrat un flux WMS propriu pentru consum.</v>
      </c>
      <c r="G324" s="39" t="str">
        <v>S02</v>
      </c>
      <c r="H324" s="39" t="str">
        <v>S11</v>
      </c>
      <c r="I324" s="39"/>
    </row>
    <row r="325" ht="43" customHeight="1">
      <c r="A325" s="2" t="str">
        <v>ER02 / libero</v>
      </c>
      <c r="B325" s="26" t="str">
        <v>06 Procese ERP</v>
      </c>
      <c r="C325" s="26" t="str">
        <v>Bon de consum</v>
      </c>
      <c r="D325" s="26" t="str">
        <v>Libero Warehousing</v>
      </c>
      <c r="E325" s="38" t="str">
        <v>◐ Parțial</v>
      </c>
      <c r="F325" s="26" t="str">
        <v>Funcție ERP moștenită.</v>
      </c>
      <c r="G325" s="39" t="str">
        <v>S02</v>
      </c>
      <c r="H325" s="39" t="str">
        <v>S12</v>
      </c>
      <c r="I325" s="39"/>
    </row>
    <row r="326" ht="43" customHeight="1">
      <c r="A326" s="2" t="str">
        <v>ER02 / mywms</v>
      </c>
      <c r="B326" s="26" t="str">
        <v>06 Procese ERP</v>
      </c>
      <c r="C326" s="26" t="str">
        <v>Bon de consum</v>
      </c>
      <c r="D326" s="26" t="str">
        <v>myWMS Release 2</v>
      </c>
      <c r="E326" s="38" t="str">
        <v>? Neconfirmat</v>
      </c>
      <c r="F326" s="26" t="str">
        <v>Funcția nu este confirmată în sursele consultate pentru această variantă. Nu înseamnă absență.</v>
      </c>
      <c r="G326" s="39" t="str">
        <v>S25</v>
      </c>
      <c r="H326" s="39"/>
      <c r="I326" s="39"/>
    </row>
    <row r="327" ht="43" customHeight="1">
      <c r="A327" s="2" t="str">
        <v>ER02 / openboxes</v>
      </c>
      <c r="B327" s="26" t="str">
        <v>06 Procese ERP</v>
      </c>
      <c r="C327" s="26" t="str">
        <v>Bon de consum</v>
      </c>
      <c r="D327" s="26" t="str">
        <v>OpenBoxes</v>
      </c>
      <c r="E327" s="38" t="str">
        <v>? Neconfirmat</v>
      </c>
      <c r="F327" s="26" t="str">
        <v>Funcția nu este confirmată în sursele consultate pentru această variantă. Nu înseamnă absență.</v>
      </c>
      <c r="G327" s="39" t="str">
        <v>S16</v>
      </c>
      <c r="H327" s="39"/>
      <c r="I327" s="39"/>
    </row>
    <row r="328" ht="43" customHeight="1">
      <c r="A328" s="2" t="str">
        <v>ER02 / greater</v>
      </c>
      <c r="B328" s="26" t="str">
        <v>06 Procese ERP</v>
      </c>
      <c r="C328" s="26" t="str">
        <v>Bon de consum</v>
      </c>
      <c r="D328" s="26" t="str">
        <v>GreaterWMS</v>
      </c>
      <c r="E328" s="38" t="str">
        <v>? Neconfirmat</v>
      </c>
      <c r="F328" s="26" t="str">
        <v>Funcția nu este confirmată în sursele consultate pentru această variantă. Nu înseamnă absență.</v>
      </c>
      <c r="G328" s="39" t="str">
        <v>S33</v>
      </c>
      <c r="H328" s="39"/>
      <c r="I328" s="39"/>
    </row>
    <row r="329" ht="43" customHeight="1">
      <c r="A329" s="2" t="str">
        <v>ER02 / openwms</v>
      </c>
      <c r="B329" s="26" t="str">
        <v>06 Procese ERP</v>
      </c>
      <c r="C329" s="26" t="str">
        <v>Bon de consum</v>
      </c>
      <c r="D329" s="26" t="str">
        <v>OpenWMS</v>
      </c>
      <c r="E329" s="38" t="str">
        <v>? Neconfirmat</v>
      </c>
      <c r="F329" s="26" t="str">
        <v>Funcția nu este confirmată în sursele consultate pentru această variantă. Nu înseamnă absență.</v>
      </c>
      <c r="G329" s="39" t="str">
        <v>S38</v>
      </c>
      <c r="H329" s="39"/>
      <c r="I329" s="39"/>
    </row>
    <row r="330" ht="43" customHeight="1">
      <c r="A330" s="2" t="str">
        <v>ER02 / scan</v>
      </c>
      <c r="B330" s="26" t="str">
        <v>06 Procese ERP</v>
      </c>
      <c r="C330" s="26" t="str">
        <v>Bon de consum</v>
      </c>
      <c r="D330" s="26" t="str">
        <v>Android Scan Write</v>
      </c>
      <c r="E330" s="38" t="str">
        <v>? Neconfirmat</v>
      </c>
      <c r="F330" s="26" t="str">
        <v>Funcția nu este confirmată în sursele consultate pentru această variantă. Nu înseamnă absență.</v>
      </c>
      <c r="G330" s="39" t="str">
        <v>S39</v>
      </c>
      <c r="H330" s="39"/>
      <c r="I330" s="39"/>
    </row>
    <row r="331" ht="43" customHeight="1">
      <c r="A331" s="2" t="str">
        <v>ER02 / tms</v>
      </c>
      <c r="B331" s="26" t="str">
        <v>06 Procese ERP</v>
      </c>
      <c r="C331" s="26" t="str">
        <v>Bon de consum</v>
      </c>
      <c r="D331" s="26" t="str">
        <v>TMS iDempiere</v>
      </c>
      <c r="E331" s="38" t="str">
        <v>? Neconfirmat</v>
      </c>
      <c r="F331" s="26" t="str">
        <v>Funcția nu este confirmată în sursele consultate pentru această variantă. Nu înseamnă absență.</v>
      </c>
      <c r="G331" s="39" t="str">
        <v>S40</v>
      </c>
      <c r="H331" s="39"/>
      <c r="I331" s="39"/>
    </row>
    <row r="332" ht="43" customHeight="1">
      <c r="A332" s="2" t="str">
        <v>ER02 / mobile</v>
      </c>
      <c r="B332" s="26" t="str">
        <v>06 Procese ERP</v>
      </c>
      <c r="C332" s="26" t="str">
        <v>Bon de consum</v>
      </c>
      <c r="D332" s="26" t="str">
        <v>SCM iDempiere Mobile</v>
      </c>
      <c r="E332" s="38" t="str">
        <v>? Neconfirmat</v>
      </c>
      <c r="F332" s="26" t="str">
        <v>Funcția nu este confirmată în sursele consultate pentru această variantă. Nu înseamnă absență.</v>
      </c>
      <c r="G332" s="39" t="str">
        <v>S41</v>
      </c>
      <c r="H332" s="39"/>
      <c r="I332" s="39"/>
    </row>
    <row r="333" ht="43" customHeight="1">
      <c r="A333" s="2" t="str">
        <v>ER03 / eva</v>
      </c>
      <c r="B333" s="26" t="str">
        <v>06 Procese ERP</v>
      </c>
      <c r="C333" s="26" t="str">
        <v>Producție / predare produse finite</v>
      </c>
      <c r="D333" s="26" t="str">
        <v>EVA nativă</v>
      </c>
      <c r="E333" s="38" t="str">
        <v>✓ Da</v>
      </c>
      <c r="F333" s="26" t="str">
        <v>MProduction și linii native.</v>
      </c>
      <c r="G333" s="39" t="str">
        <v>E07</v>
      </c>
      <c r="H333" s="39"/>
      <c r="I333" s="39"/>
    </row>
    <row r="334" ht="43" customHeight="1">
      <c r="A334" s="2" t="str">
        <v>ER03 / api</v>
      </c>
      <c r="B334" s="26" t="str">
        <v>06 Procese ERP</v>
      </c>
      <c r="C334" s="26" t="str">
        <v>Producție / predare produse finite</v>
      </c>
      <c r="D334" s="26" t="str">
        <v>EVA API</v>
      </c>
      <c r="E334" s="38" t="str">
        <v>◐ Parțial</v>
      </c>
      <c r="F334" s="26" t="str">
        <v>Bon de predare în EVA; nu motor complet de producție.</v>
      </c>
      <c r="G334" s="39" t="str">
        <v>E08</v>
      </c>
      <c r="H334" s="39"/>
      <c r="I334" s="39"/>
    </row>
    <row r="335" ht="43" customHeight="1">
      <c r="A335" s="2" t="str">
        <v>ER03 / portal</v>
      </c>
      <c r="B335" s="26" t="str">
        <v>06 Procese ERP</v>
      </c>
      <c r="C335" s="26" t="str">
        <v>Producție / predare produse finite</v>
      </c>
      <c r="D335" s="26" t="str">
        <v>EVA portal</v>
      </c>
      <c r="E335" s="38" t="str">
        <v>? Neconfirmat</v>
      </c>
      <c r="F335" s="26" t="str">
        <v>Fluxul nu este confirmat în ecranul eva_stock.html inspectat.</v>
      </c>
      <c r="G335" s="39" t="str">
        <v>E12</v>
      </c>
      <c r="H335" s="39"/>
      <c r="I335" s="39"/>
    </row>
    <row r="336" ht="43" customHeight="1">
      <c r="A336" s="2" t="str">
        <v>ER03 / base</v>
      </c>
      <c r="B336" s="26" t="str">
        <v>06 Procese ERP</v>
      </c>
      <c r="C336" s="26" t="str">
        <v>Producție / predare produse finite</v>
      </c>
      <c r="D336" s="26" t="str">
        <v>iDempiere standard</v>
      </c>
      <c r="E336" s="38" t="str">
        <v>✓ Da</v>
      </c>
      <c r="F336" s="26" t="str">
        <v>Procese ERP de producție de bază.</v>
      </c>
      <c r="G336" s="39" t="str">
        <v>S02</v>
      </c>
      <c r="H336" s="39"/>
      <c r="I336" s="39"/>
    </row>
    <row r="337" ht="43" customHeight="1">
      <c r="A337" s="2" t="str">
        <v>ER03 / red1</v>
      </c>
      <c r="B337" s="26" t="str">
        <v>06 Procese ERP</v>
      </c>
      <c r="C337" s="26" t="str">
        <v>Producție / predare produse finite</v>
      </c>
      <c r="D337" s="26" t="str">
        <v>Red1 / SYSNOVA WMS</v>
      </c>
      <c r="E337" s="38" t="str">
        <v>◐ Parțial</v>
      </c>
      <c r="F337" s="26" t="str">
        <v>Funcții ERP; rescrierea Red1 elimină dependența Manufacturing, nu adaugă un MES.</v>
      </c>
      <c r="G337" s="39" t="str">
        <v>S02</v>
      </c>
      <c r="H337" s="39" t="str">
        <v>S11</v>
      </c>
      <c r="I337" s="39"/>
    </row>
    <row r="338" ht="43" customHeight="1">
      <c r="A338" s="2" t="str">
        <v>ER03 / libero</v>
      </c>
      <c r="B338" s="26" t="str">
        <v>06 Procese ERP</v>
      </c>
      <c r="C338" s="26" t="str">
        <v>Producție / predare produse finite</v>
      </c>
      <c r="D338" s="26" t="str">
        <v>Libero Warehousing</v>
      </c>
      <c r="E338" s="38" t="str">
        <v>◐ Parțial</v>
      </c>
      <c r="F338" s="26" t="str">
        <v>Dependență Libero Manufacturing; fluxul combinat trebuie probat.</v>
      </c>
      <c r="G338" s="39" t="str">
        <v>S12</v>
      </c>
      <c r="H338" s="39"/>
      <c r="I338" s="39"/>
    </row>
    <row r="339" ht="43" customHeight="1">
      <c r="A339" s="2" t="str">
        <v>ER03 / mywms</v>
      </c>
      <c r="B339" s="26" t="str">
        <v>06 Procese ERP</v>
      </c>
      <c r="C339" s="26" t="str">
        <v>Producție / predare produse finite</v>
      </c>
      <c r="D339" s="26" t="str">
        <v>myWMS Release 2</v>
      </c>
      <c r="E339" s="38" t="str">
        <v>? Neconfirmat</v>
      </c>
      <c r="F339" s="26" t="str">
        <v>Funcția nu este confirmată în sursele consultate pentru această variantă. Nu înseamnă absență.</v>
      </c>
      <c r="G339" s="39" t="str">
        <v>S25</v>
      </c>
      <c r="H339" s="39"/>
      <c r="I339" s="39"/>
    </row>
    <row r="340" ht="43" customHeight="1">
      <c r="A340" s="2" t="str">
        <v>ER03 / openboxes</v>
      </c>
      <c r="B340" s="26" t="str">
        <v>06 Procese ERP</v>
      </c>
      <c r="C340" s="26" t="str">
        <v>Producție / predare produse finite</v>
      </c>
      <c r="D340" s="26" t="str">
        <v>OpenBoxes</v>
      </c>
      <c r="E340" s="38" t="str">
        <v>? Neconfirmat</v>
      </c>
      <c r="F340" s="26" t="str">
        <v>Funcția nu este confirmată în sursele consultate pentru această variantă. Nu înseamnă absență.</v>
      </c>
      <c r="G340" s="39" t="str">
        <v>S16</v>
      </c>
      <c r="H340" s="39"/>
      <c r="I340" s="39"/>
    </row>
    <row r="341" ht="43" customHeight="1">
      <c r="A341" s="2" t="str">
        <v>ER03 / greater</v>
      </c>
      <c r="B341" s="26" t="str">
        <v>06 Procese ERP</v>
      </c>
      <c r="C341" s="26" t="str">
        <v>Producție / predare produse finite</v>
      </c>
      <c r="D341" s="26" t="str">
        <v>GreaterWMS</v>
      </c>
      <c r="E341" s="38" t="str">
        <v>? Neconfirmat</v>
      </c>
      <c r="F341" s="26" t="str">
        <v>Funcția nu este confirmată în sursele consultate pentru această variantă. Nu înseamnă absență.</v>
      </c>
      <c r="G341" s="39" t="str">
        <v>S33</v>
      </c>
      <c r="H341" s="39"/>
      <c r="I341" s="39"/>
    </row>
    <row r="342" ht="43" customHeight="1">
      <c r="A342" s="2" t="str">
        <v>ER03 / openwms</v>
      </c>
      <c r="B342" s="26" t="str">
        <v>06 Procese ERP</v>
      </c>
      <c r="C342" s="26" t="str">
        <v>Producție / predare produse finite</v>
      </c>
      <c r="D342" s="26" t="str">
        <v>OpenWMS</v>
      </c>
      <c r="E342" s="38" t="str">
        <v>? Neconfirmat</v>
      </c>
      <c r="F342" s="26" t="str">
        <v>Funcția nu este confirmată în sursele consultate pentru această variantă. Nu înseamnă absență.</v>
      </c>
      <c r="G342" s="39" t="str">
        <v>S38</v>
      </c>
      <c r="H342" s="39"/>
      <c r="I342" s="39"/>
    </row>
    <row r="343" ht="43" customHeight="1">
      <c r="A343" s="2" t="str">
        <v>ER03 / scan</v>
      </c>
      <c r="B343" s="26" t="str">
        <v>06 Procese ERP</v>
      </c>
      <c r="C343" s="26" t="str">
        <v>Producție / predare produse finite</v>
      </c>
      <c r="D343" s="26" t="str">
        <v>Android Scan Write</v>
      </c>
      <c r="E343" s="38" t="str">
        <v>? Neconfirmat</v>
      </c>
      <c r="F343" s="26" t="str">
        <v>Funcția nu este confirmată în sursele consultate pentru această variantă. Nu înseamnă absență.</v>
      </c>
      <c r="G343" s="39" t="str">
        <v>S39</v>
      </c>
      <c r="H343" s="39"/>
      <c r="I343" s="39"/>
    </row>
    <row r="344" ht="43" customHeight="1">
      <c r="A344" s="2" t="str">
        <v>ER03 / tms</v>
      </c>
      <c r="B344" s="26" t="str">
        <v>06 Procese ERP</v>
      </c>
      <c r="C344" s="26" t="str">
        <v>Producție / predare produse finite</v>
      </c>
      <c r="D344" s="26" t="str">
        <v>TMS iDempiere</v>
      </c>
      <c r="E344" s="38" t="str">
        <v>? Neconfirmat</v>
      </c>
      <c r="F344" s="26" t="str">
        <v>Funcția nu este confirmată în sursele consultate pentru această variantă. Nu înseamnă absență.</v>
      </c>
      <c r="G344" s="39" t="str">
        <v>S40</v>
      </c>
      <c r="H344" s="39"/>
      <c r="I344" s="39"/>
    </row>
    <row r="345" ht="43" customHeight="1">
      <c r="A345" s="2" t="str">
        <v>ER03 / mobile</v>
      </c>
      <c r="B345" s="26" t="str">
        <v>06 Procese ERP</v>
      </c>
      <c r="C345" s="26" t="str">
        <v>Producție / predare produse finite</v>
      </c>
      <c r="D345" s="26" t="str">
        <v>SCM iDempiere Mobile</v>
      </c>
      <c r="E345" s="38" t="str">
        <v>? Neconfirmat</v>
      </c>
      <c r="F345" s="26" t="str">
        <v>Funcția nu este confirmată în sursele consultate pentru această variantă. Nu înseamnă absență.</v>
      </c>
      <c r="G345" s="39" t="str">
        <v>S41</v>
      </c>
      <c r="H345" s="39"/>
      <c r="I345" s="39"/>
    </row>
    <row r="346" ht="43" customHeight="1">
      <c r="A346" s="2" t="str">
        <v>ER04 / eva</v>
      </c>
      <c r="B346" s="26" t="str">
        <v>06 Procese ERP</v>
      </c>
      <c r="C346" s="26" t="str">
        <v>Evaluare stoc CMP / FIFO</v>
      </c>
      <c r="D346" s="26" t="str">
        <v>EVA nativă</v>
      </c>
      <c r="E346" s="38" t="str">
        <v>◐ Parțial</v>
      </c>
      <c r="F346" s="26" t="str">
        <v>Raport folosește costul ERP; algoritmul tuturor configurațiilor contabile nu a fost auditat.</v>
      </c>
      <c r="G346" s="39" t="str">
        <v>E02</v>
      </c>
      <c r="H346" s="39"/>
      <c r="I346" s="39"/>
    </row>
    <row r="347" ht="43" customHeight="1">
      <c r="A347" s="2" t="str">
        <v>ER04 / api</v>
      </c>
      <c r="B347" s="26" t="str">
        <v>06 Procese ERP</v>
      </c>
      <c r="C347" s="26" t="str">
        <v>Evaluare stoc CMP / FIFO</v>
      </c>
      <c r="D347" s="26" t="str">
        <v>EVA API</v>
      </c>
      <c r="E347" s="38" t="str">
        <v>✓ Da</v>
      </c>
      <c r="F347" s="26" t="str">
        <v>Calcul CMP/FIFO în modulul propriu; fără identitate de lot fizic.</v>
      </c>
      <c r="G347" s="39" t="str">
        <v>E11</v>
      </c>
      <c r="H347" s="39"/>
      <c r="I347" s="39"/>
    </row>
    <row r="348" ht="43" customHeight="1">
      <c r="A348" s="2" t="str">
        <v>ER04 / portal</v>
      </c>
      <c r="B348" s="26" t="str">
        <v>06 Procese ERP</v>
      </c>
      <c r="C348" s="26" t="str">
        <v>Evaluare stoc CMP / FIFO</v>
      </c>
      <c r="D348" s="26" t="str">
        <v>EVA portal</v>
      </c>
      <c r="E348" s="38" t="str">
        <v>? Neconfirmat</v>
      </c>
      <c r="F348" s="26" t="str">
        <v>Fluxul nu este confirmat în ecranul eva_stock.html inspectat.</v>
      </c>
      <c r="G348" s="39" t="str">
        <v>E12</v>
      </c>
      <c r="H348" s="39"/>
      <c r="I348" s="39"/>
    </row>
    <row r="349" ht="43" customHeight="1">
      <c r="A349" s="2" t="str">
        <v>ER04 / base</v>
      </c>
      <c r="B349" s="26" t="str">
        <v>06 Procese ERP</v>
      </c>
      <c r="C349" s="26" t="str">
        <v>Evaluare stoc CMP / FIFO</v>
      </c>
      <c r="D349" s="26" t="str">
        <v>iDempiere standard</v>
      </c>
      <c r="E349" s="38" t="str">
        <v>◐ Parțial</v>
      </c>
      <c r="F349" s="26" t="str">
        <v>Politică material FIFO/LIFO și funcții de cost; configurația CMP trebuie verificată.</v>
      </c>
      <c r="G349" s="39" t="str">
        <v>S04</v>
      </c>
      <c r="H349" s="39" t="str">
        <v>S02</v>
      </c>
      <c r="I349" s="39"/>
    </row>
    <row r="350" ht="43" customHeight="1">
      <c r="A350" s="2" t="str">
        <v>ER04 / red1</v>
      </c>
      <c r="B350" s="26" t="str">
        <v>06 Procese ERP</v>
      </c>
      <c r="C350" s="26" t="str">
        <v>Evaluare stoc CMP / FIFO</v>
      </c>
      <c r="D350" s="26" t="str">
        <v>Red1 / SYSNOVA WMS</v>
      </c>
      <c r="E350" s="38" t="str">
        <v>◐ Parțial</v>
      </c>
      <c r="F350" s="26" t="str">
        <v>FIFO/LIFO de operare; nu se echivalează automat cu evaluarea contabilă CMP.</v>
      </c>
      <c r="G350" s="39" t="str">
        <v>S11</v>
      </c>
      <c r="H350" s="39"/>
      <c r="I350" s="39"/>
    </row>
    <row r="351" ht="43" customHeight="1">
      <c r="A351" s="2" t="str">
        <v>ER04 / libero</v>
      </c>
      <c r="B351" s="26" t="str">
        <v>06 Procese ERP</v>
      </c>
      <c r="C351" s="26" t="str">
        <v>Evaluare stoc CMP / FIFO</v>
      </c>
      <c r="D351" s="26" t="str">
        <v>Libero Warehousing</v>
      </c>
      <c r="E351" s="38" t="str">
        <v>◐ Parțial</v>
      </c>
      <c r="F351" s="26" t="str">
        <v>Evaluare din ERP; comportamentul combinat nu a fost testat.</v>
      </c>
      <c r="G351" s="39" t="str">
        <v>S02</v>
      </c>
      <c r="H351" s="39" t="str">
        <v>S12</v>
      </c>
      <c r="I351" s="39"/>
    </row>
    <row r="352" ht="43" customHeight="1">
      <c r="A352" s="2" t="str">
        <v>ER04 / mywms</v>
      </c>
      <c r="B352" s="26" t="str">
        <v>06 Procese ERP</v>
      </c>
      <c r="C352" s="26" t="str">
        <v>Evaluare stoc CMP / FIFO</v>
      </c>
      <c r="D352" s="26" t="str">
        <v>myWMS Release 2</v>
      </c>
      <c r="E352" s="38" t="str">
        <v>? Neconfirmat</v>
      </c>
      <c r="F352" s="26" t="str">
        <v>Funcția nu este confirmată în sursele consultate pentru această variantă. Nu înseamnă absență.</v>
      </c>
      <c r="G352" s="39" t="str">
        <v>S25</v>
      </c>
      <c r="H352" s="39"/>
      <c r="I352" s="39"/>
    </row>
    <row r="353" ht="43" customHeight="1">
      <c r="A353" s="2" t="str">
        <v>ER04 / openboxes</v>
      </c>
      <c r="B353" s="26" t="str">
        <v>06 Procese ERP</v>
      </c>
      <c r="C353" s="26" t="str">
        <v>Evaluare stoc CMP / FIFO</v>
      </c>
      <c r="D353" s="26" t="str">
        <v>OpenBoxes</v>
      </c>
      <c r="E353" s="38" t="str">
        <v>? Neconfirmat</v>
      </c>
      <c r="F353" s="26" t="str">
        <v>Funcția nu este confirmată în sursele consultate pentru această variantă. Nu înseamnă absență.</v>
      </c>
      <c r="G353" s="39" t="str">
        <v>S16</v>
      </c>
      <c r="H353" s="39"/>
      <c r="I353" s="39"/>
    </row>
    <row r="354" ht="43" customHeight="1">
      <c r="A354" s="2" t="str">
        <v>ER04 / greater</v>
      </c>
      <c r="B354" s="26" t="str">
        <v>06 Procese ERP</v>
      </c>
      <c r="C354" s="26" t="str">
        <v>Evaluare stoc CMP / FIFO</v>
      </c>
      <c r="D354" s="26" t="str">
        <v>GreaterWMS</v>
      </c>
      <c r="E354" s="38" t="str">
        <v>? Neconfirmat</v>
      </c>
      <c r="F354" s="26" t="str">
        <v>Funcția nu este confirmată în sursele consultate pentru această variantă. Nu înseamnă absență.</v>
      </c>
      <c r="G354" s="39" t="str">
        <v>S33</v>
      </c>
      <c r="H354" s="39"/>
      <c r="I354" s="39"/>
    </row>
    <row r="355" ht="43" customHeight="1">
      <c r="A355" s="2" t="str">
        <v>ER04 / openwms</v>
      </c>
      <c r="B355" s="26" t="str">
        <v>06 Procese ERP</v>
      </c>
      <c r="C355" s="26" t="str">
        <v>Evaluare stoc CMP / FIFO</v>
      </c>
      <c r="D355" s="26" t="str">
        <v>OpenWMS</v>
      </c>
      <c r="E355" s="38" t="str">
        <v>? Neconfirmat</v>
      </c>
      <c r="F355" s="26" t="str">
        <v>Funcția nu este confirmată în sursele consultate pentru această variantă. Nu înseamnă absență.</v>
      </c>
      <c r="G355" s="39" t="str">
        <v>S38</v>
      </c>
      <c r="H355" s="39"/>
      <c r="I355" s="39"/>
    </row>
    <row r="356" ht="43" customHeight="1">
      <c r="A356" s="2" t="str">
        <v>ER04 / scan</v>
      </c>
      <c r="B356" s="26" t="str">
        <v>06 Procese ERP</v>
      </c>
      <c r="C356" s="26" t="str">
        <v>Evaluare stoc CMP / FIFO</v>
      </c>
      <c r="D356" s="26" t="str">
        <v>Android Scan Write</v>
      </c>
      <c r="E356" s="38" t="str">
        <v>? Neconfirmat</v>
      </c>
      <c r="F356" s="26" t="str">
        <v>Funcția nu este confirmată în sursele consultate pentru această variantă. Nu înseamnă absență.</v>
      </c>
      <c r="G356" s="39" t="str">
        <v>S39</v>
      </c>
      <c r="H356" s="39"/>
      <c r="I356" s="39"/>
    </row>
    <row r="357" ht="43" customHeight="1">
      <c r="A357" s="2" t="str">
        <v>ER04 / tms</v>
      </c>
      <c r="B357" s="26" t="str">
        <v>06 Procese ERP</v>
      </c>
      <c r="C357" s="26" t="str">
        <v>Evaluare stoc CMP / FIFO</v>
      </c>
      <c r="D357" s="26" t="str">
        <v>TMS iDempiere</v>
      </c>
      <c r="E357" s="38" t="str">
        <v>? Neconfirmat</v>
      </c>
      <c r="F357" s="26" t="str">
        <v>Funcția nu este confirmată în sursele consultate pentru această variantă. Nu înseamnă absență.</v>
      </c>
      <c r="G357" s="39" t="str">
        <v>S40</v>
      </c>
      <c r="H357" s="39"/>
      <c r="I357" s="39"/>
    </row>
    <row r="358" ht="43" customHeight="1">
      <c r="A358" s="2" t="str">
        <v>ER04 / mobile</v>
      </c>
      <c r="B358" s="26" t="str">
        <v>06 Procese ERP</v>
      </c>
      <c r="C358" s="26" t="str">
        <v>Evaluare stoc CMP / FIFO</v>
      </c>
      <c r="D358" s="26" t="str">
        <v>SCM iDempiere Mobile</v>
      </c>
      <c r="E358" s="38" t="str">
        <v>? Neconfirmat</v>
      </c>
      <c r="F358" s="26" t="str">
        <v>Funcția nu este confirmată în sursele consultate pentru această variantă. Nu înseamnă absență.</v>
      </c>
      <c r="G358" s="39" t="str">
        <v>S41</v>
      </c>
      <c r="H358" s="39"/>
      <c r="I358" s="39"/>
    </row>
    <row r="359" ht="43" customHeight="1">
      <c r="A359" s="2" t="str">
        <v>IT01 / eva</v>
      </c>
      <c r="B359" s="26" t="str">
        <v>07 Integrare și scanare</v>
      </c>
      <c r="C359" s="26" t="str">
        <v>Plugin nativ în iDempiere</v>
      </c>
      <c r="D359" s="26" t="str">
        <v>EVA nativă</v>
      </c>
      <c r="E359" s="38" t="str">
        <v>✓ Da</v>
      </c>
      <c r="F359" s="26" t="str">
        <v>Formulare Java native.</v>
      </c>
      <c r="G359" s="39" t="str">
        <v>E01</v>
      </c>
      <c r="H359" s="39" t="str">
        <v>E05</v>
      </c>
      <c r="I359" s="39"/>
    </row>
    <row r="360" ht="43" customHeight="1">
      <c r="A360" s="2" t="str">
        <v>IT01 / api</v>
      </c>
      <c r="B360" s="26" t="str">
        <v>07 Integrare și scanare</v>
      </c>
      <c r="C360" s="26" t="str">
        <v>Plugin nativ în iDempiere</v>
      </c>
      <c r="D360" s="26" t="str">
        <v>EVA API</v>
      </c>
      <c r="E360" s="38" t="str">
        <v>✗ Nu</v>
      </c>
      <c r="F360" s="26" t="str">
        <v>Backend FastAPI separat; nu plugin OSGi.</v>
      </c>
      <c r="G360" s="39" t="str">
        <v>E08</v>
      </c>
      <c r="H360" s="39"/>
      <c r="I360" s="39"/>
    </row>
    <row r="361" ht="43" customHeight="1">
      <c r="A361" s="2" t="str">
        <v>IT01 / portal</v>
      </c>
      <c r="B361" s="26" t="str">
        <v>07 Integrare și scanare</v>
      </c>
      <c r="C361" s="26" t="str">
        <v>Plugin nativ în iDempiere</v>
      </c>
      <c r="D361" s="26" t="str">
        <v>EVA portal</v>
      </c>
      <c r="E361" s="38" t="str">
        <v>✗ Nu</v>
      </c>
      <c r="F361" s="26" t="str">
        <v>Interfață web de portal, nu plugin OSGi.</v>
      </c>
      <c r="G361" s="39" t="str">
        <v>E12</v>
      </c>
      <c r="H361" s="39"/>
      <c r="I361" s="39"/>
    </row>
    <row r="362" ht="43" customHeight="1">
      <c r="A362" s="2" t="str">
        <v>IT01 / base</v>
      </c>
      <c r="B362" s="26" t="str">
        <v>07 Integrare și scanare</v>
      </c>
      <c r="C362" s="26" t="str">
        <v>Plugin nativ în iDempiere</v>
      </c>
      <c r="D362" s="26" t="str">
        <v>iDempiere standard</v>
      </c>
      <c r="E362" s="38" t="str">
        <v>— N/A</v>
      </c>
      <c r="F362" s="26" t="str">
        <v>Este ERP-ul de bază, nu extensie.</v>
      </c>
      <c r="G362" s="39" t="str">
        <v>S01</v>
      </c>
      <c r="H362" s="39"/>
      <c r="I362" s="39"/>
    </row>
    <row r="363" ht="43" customHeight="1">
      <c r="A363" s="2" t="str">
        <v>IT01 / red1</v>
      </c>
      <c r="B363" s="26" t="str">
        <v>07 Integrare și scanare</v>
      </c>
      <c r="C363" s="26" t="str">
        <v>Plugin nativ în iDempiere</v>
      </c>
      <c r="D363" s="26" t="str">
        <v>Red1 / SYSNOVA WMS</v>
      </c>
      <c r="E363" s="38" t="str">
        <v>✓ Da</v>
      </c>
      <c r="F363" s="26" t="str">
        <v>Rescriere WMS, status 1.0 BETA; legături spre arhiva surselor. Ghid 1.0 din 06.07.2017, 47 pagini PDF. În raport, paginile sunt cele PDF, numărate de la 1.</v>
      </c>
      <c r="G363" s="39" t="str">
        <v>S09</v>
      </c>
      <c r="H363" s="39" t="str">
        <v>S11</v>
      </c>
      <c r="I363" s="39"/>
    </row>
    <row r="364" ht="43" customHeight="1">
      <c r="A364" s="2" t="str">
        <v>IT01 / libero</v>
      </c>
      <c r="B364" s="26" t="str">
        <v>07 Integrare și scanare</v>
      </c>
      <c r="C364" s="26" t="str">
        <v>Plugin nativ în iDempiere</v>
      </c>
      <c r="D364" s="26" t="str">
        <v>Libero Warehousing</v>
      </c>
      <c r="E364" s="38" t="str">
        <v>✓ Da</v>
      </c>
      <c r="F364" s="26" t="str">
        <v>ALPHA, dependență MFG, outbound; pagina a fost disponibilă prin indexul web, accesul direct a returnat 403.</v>
      </c>
      <c r="G364" s="39" t="str">
        <v>S12</v>
      </c>
      <c r="H364" s="39"/>
      <c r="I364" s="39"/>
    </row>
    <row r="365" ht="43" customHeight="1">
      <c r="A365" s="2" t="str">
        <v>IT01 / mywms</v>
      </c>
      <c r="B365" s="26" t="str">
        <v>07 Integrare și scanare</v>
      </c>
      <c r="C365" s="26" t="str">
        <v>Plugin nativ în iDempiere</v>
      </c>
      <c r="D365" s="26" t="str">
        <v>myWMS Release 2</v>
      </c>
      <c r="E365" s="38" t="str">
        <v>✗ Nu</v>
      </c>
      <c r="F365" s="26" t="str">
        <v>Aplicație externă.</v>
      </c>
      <c r="G365" s="39" t="str">
        <v>S25</v>
      </c>
      <c r="H365" s="39"/>
      <c r="I365" s="39"/>
    </row>
    <row r="366" ht="43" customHeight="1">
      <c r="A366" s="2" t="str">
        <v>IT01 / openboxes</v>
      </c>
      <c r="B366" s="26" t="str">
        <v>07 Integrare și scanare</v>
      </c>
      <c r="C366" s="26" t="str">
        <v>Plugin nativ în iDempiere</v>
      </c>
      <c r="D366" s="26" t="str">
        <v>OpenBoxes</v>
      </c>
      <c r="E366" s="38" t="str">
        <v>✗ Nu</v>
      </c>
      <c r="F366" s="26" t="str">
        <v>Aplicație externă.</v>
      </c>
      <c r="G366" s="39" t="str">
        <v>S14</v>
      </c>
      <c r="H366" s="39"/>
      <c r="I366" s="39"/>
    </row>
    <row r="367" ht="43" customHeight="1">
      <c r="A367" s="2" t="str">
        <v>IT01 / greater</v>
      </c>
      <c r="B367" s="26" t="str">
        <v>07 Integrare și scanare</v>
      </c>
      <c r="C367" s="26" t="str">
        <v>Plugin nativ în iDempiere</v>
      </c>
      <c r="D367" s="26" t="str">
        <v>GreaterWMS</v>
      </c>
      <c r="E367" s="38" t="str">
        <v>✗ Nu</v>
      </c>
      <c r="F367" s="26" t="str">
        <v>Aplicație externă.</v>
      </c>
      <c r="G367" s="39" t="str">
        <v>S33</v>
      </c>
      <c r="H367" s="39"/>
      <c r="I367" s="39"/>
    </row>
    <row r="368" ht="43" customHeight="1">
      <c r="A368" s="2" t="str">
        <v>IT01 / openwms</v>
      </c>
      <c r="B368" s="26" t="str">
        <v>07 Integrare și scanare</v>
      </c>
      <c r="C368" s="26" t="str">
        <v>Plugin nativ în iDempiere</v>
      </c>
      <c r="D368" s="26" t="str">
        <v>OpenWMS</v>
      </c>
      <c r="E368" s="38" t="str">
        <v>✗ Nu</v>
      </c>
      <c r="F368" s="26" t="str">
        <v>Platformă externă de servicii.</v>
      </c>
      <c r="G368" s="39" t="str">
        <v>S37</v>
      </c>
      <c r="H368" s="39"/>
      <c r="I368" s="39"/>
    </row>
    <row r="369" ht="43" customHeight="1">
      <c r="A369" s="2" t="str">
        <v>IT01 / scan</v>
      </c>
      <c r="B369" s="26" t="str">
        <v>07 Integrare și scanare</v>
      </c>
      <c r="C369" s="26" t="str">
        <v>Plugin nativ în iDempiere</v>
      </c>
      <c r="D369" s="26" t="str">
        <v>Android Scan Write</v>
      </c>
      <c r="E369" s="38" t="str">
        <v>◐ Parțial</v>
      </c>
      <c r="F369" s="26" t="str">
        <v>Aplicație Android cu SQL/JDBC; nu echivalează cu plugin WMS nativ.</v>
      </c>
      <c r="G369" s="39" t="str">
        <v>S39</v>
      </c>
      <c r="H369" s="39"/>
      <c r="I369" s="39"/>
    </row>
    <row r="370" ht="43" customHeight="1">
      <c r="A370" s="2" t="str">
        <v>IT01 / tms</v>
      </c>
      <c r="B370" s="26" t="str">
        <v>07 Integrare și scanare</v>
      </c>
      <c r="C370" s="26" t="str">
        <v>Plugin nativ în iDempiere</v>
      </c>
      <c r="D370" s="26" t="str">
        <v>TMS iDempiere</v>
      </c>
      <c r="E370" s="38" t="str">
        <v>✓ Da</v>
      </c>
      <c r="F370" s="26" t="str">
        <v>Listat ca extensie iDempiere de transport.</v>
      </c>
      <c r="G370" s="39" t="str">
        <v>S40</v>
      </c>
      <c r="H370" s="39"/>
      <c r="I370" s="39"/>
    </row>
    <row r="371" ht="43" customHeight="1">
      <c r="A371" s="2" t="str">
        <v>IT01 / mobile</v>
      </c>
      <c r="B371" s="26" t="str">
        <v>07 Integrare și scanare</v>
      </c>
      <c r="C371" s="26" t="str">
        <v>Plugin nativ în iDempiere</v>
      </c>
      <c r="D371" s="26" t="str">
        <v>SCM iDempiere Mobile</v>
      </c>
      <c r="E371" s="38" t="str">
        <v>✗ Nu</v>
      </c>
      <c r="F371" s="26" t="str">
        <v>Aplicație Flutter separată, conectată prin REST.</v>
      </c>
      <c r="G371" s="39" t="str">
        <v>S41</v>
      </c>
      <c r="H371" s="39"/>
      <c r="I371" s="39"/>
    </row>
    <row r="372" ht="43" customHeight="1">
      <c r="A372" s="2" t="str">
        <v>IT02 / eva</v>
      </c>
      <c r="B372" s="26" t="str">
        <v>07 Integrare și scanare</v>
      </c>
      <c r="C372" s="26" t="str">
        <v>API REST / SOAP documentat</v>
      </c>
      <c r="D372" s="26" t="str">
        <v>EVA nativă</v>
      </c>
      <c r="E372" s="38" t="str">
        <v>? Neconfirmat</v>
      </c>
      <c r="F372" s="26" t="str">
        <v>Funcția nu este confirmată în sursele consultate pentru această variantă. Nu înseamnă absență.</v>
      </c>
      <c r="G372" s="39" t="str">
        <v>E05</v>
      </c>
      <c r="H372" s="39"/>
      <c r="I372" s="39"/>
    </row>
    <row r="373" ht="43" customHeight="1">
      <c r="A373" s="2" t="str">
        <v>IT02 / api</v>
      </c>
      <c r="B373" s="26" t="str">
        <v>07 Integrare și scanare</v>
      </c>
      <c r="C373" s="26" t="str">
        <v>API REST / SOAP documentat</v>
      </c>
      <c r="D373" s="26" t="str">
        <v>EVA API</v>
      </c>
      <c r="E373" s="38" t="str">
        <v>✓ Da</v>
      </c>
      <c r="F373" s="26" t="str">
        <v>Rute și contracte proprii EVA.</v>
      </c>
      <c r="G373" s="39" t="str">
        <v>E08</v>
      </c>
      <c r="H373" s="39" t="str">
        <v>E10</v>
      </c>
      <c r="I373" s="39"/>
    </row>
    <row r="374" ht="43" customHeight="1">
      <c r="A374" s="2" t="str">
        <v>IT02 / portal</v>
      </c>
      <c r="B374" s="26" t="str">
        <v>07 Integrare și scanare</v>
      </c>
      <c r="C374" s="26" t="str">
        <v>API REST / SOAP documentat</v>
      </c>
      <c r="D374" s="26" t="str">
        <v>EVA portal</v>
      </c>
      <c r="E374" s="38" t="str">
        <v>◐ Parțial</v>
      </c>
      <c r="F374" s="26" t="str">
        <v>Consumă endpointuri de consultare; nu API complet de operare WMS.</v>
      </c>
      <c r="G374" s="39" t="str">
        <v>E12</v>
      </c>
      <c r="H374" s="39"/>
      <c r="I374" s="39"/>
    </row>
    <row r="375" ht="43" customHeight="1">
      <c r="A375" s="2" t="str">
        <v>IT02 / base</v>
      </c>
      <c r="B375" s="26" t="str">
        <v>07 Integrare și scanare</v>
      </c>
      <c r="C375" s="26" t="str">
        <v>API REST / SOAP documentat</v>
      </c>
      <c r="D375" s="26" t="str">
        <v>iDempiere standard</v>
      </c>
      <c r="E375" s="38" t="str">
        <v>◐ Parțial</v>
      </c>
      <c r="F375" s="26" t="str">
        <v>Prin bundle REST compatibil cu versiunea ERP; nu presupus instalat implicit.</v>
      </c>
      <c r="G375" s="39" t="str">
        <v>S07</v>
      </c>
      <c r="H375" s="39" t="str">
        <v>S08</v>
      </c>
      <c r="I375" s="39"/>
    </row>
    <row r="376" ht="43" customHeight="1">
      <c r="A376" s="2" t="str">
        <v>IT02 / red1</v>
      </c>
      <c r="B376" s="26" t="str">
        <v>07 Integrare și scanare</v>
      </c>
      <c r="C376" s="26" t="str">
        <v>API REST / SOAP documentat</v>
      </c>
      <c r="D376" s="26" t="str">
        <v>Red1 / SYSNOVA WMS</v>
      </c>
      <c r="E376" s="38" t="str">
        <v>◐ Parțial</v>
      </c>
      <c r="F376" s="26" t="str">
        <v>ERP poate fi expus prin REST; contract WMS dedicat neconfirmat.</v>
      </c>
      <c r="G376" s="39" t="str">
        <v>S07</v>
      </c>
      <c r="H376" s="39" t="str">
        <v>S11</v>
      </c>
      <c r="I376" s="39"/>
    </row>
    <row r="377" ht="43" customHeight="1">
      <c r="A377" s="2" t="str">
        <v>IT02 / libero</v>
      </c>
      <c r="B377" s="26" t="str">
        <v>07 Integrare și scanare</v>
      </c>
      <c r="C377" s="26" t="str">
        <v>API REST / SOAP documentat</v>
      </c>
      <c r="D377" s="26" t="str">
        <v>Libero Warehousing</v>
      </c>
      <c r="E377" s="38" t="str">
        <v>◐ Parțial</v>
      </c>
      <c r="F377" s="26" t="str">
        <v>Necesită verificarea API-ului și a proceselor extensiei.</v>
      </c>
      <c r="G377" s="39" t="str">
        <v>S07</v>
      </c>
      <c r="H377" s="39" t="str">
        <v>S12</v>
      </c>
      <c r="I377" s="39"/>
    </row>
    <row r="378" ht="43" customHeight="1">
      <c r="A378" s="2" t="str">
        <v>IT02 / mywms</v>
      </c>
      <c r="B378" s="26" t="str">
        <v>07 Integrare și scanare</v>
      </c>
      <c r="C378" s="26" t="str">
        <v>API REST / SOAP documentat</v>
      </c>
      <c r="D378" s="26" t="str">
        <v>myWMS Release 2</v>
      </c>
      <c r="E378" s="38" t="str">
        <v>✓ Da</v>
      </c>
      <c r="F378" s="26" t="str">
        <v>SOAP/WSDL.</v>
      </c>
      <c r="G378" s="39" t="str">
        <v>S31</v>
      </c>
      <c r="H378" s="39"/>
      <c r="I378" s="39"/>
    </row>
    <row r="379" ht="43" customHeight="1">
      <c r="A379" s="2" t="str">
        <v>IT02 / openboxes</v>
      </c>
      <c r="B379" s="26" t="str">
        <v>07 Integrare și scanare</v>
      </c>
      <c r="C379" s="26" t="str">
        <v>API REST / SOAP documentat</v>
      </c>
      <c r="D379" s="26" t="str">
        <v>OpenBoxes</v>
      </c>
      <c r="E379" s="38" t="str">
        <v>✓ Da</v>
      </c>
      <c r="F379" s="26" t="str">
        <v>REST.</v>
      </c>
      <c r="G379" s="39" t="str">
        <v>S23</v>
      </c>
      <c r="H379" s="39" t="str">
        <v>S24</v>
      </c>
      <c r="I379" s="39"/>
    </row>
    <row r="380" ht="43" customHeight="1">
      <c r="A380" s="2" t="str">
        <v>IT02 / greater</v>
      </c>
      <c r="B380" s="26" t="str">
        <v>07 Integrare și scanare</v>
      </c>
      <c r="C380" s="26" t="str">
        <v>API REST / SOAP documentat</v>
      </c>
      <c r="D380" s="26" t="str">
        <v>GreaterWMS</v>
      </c>
      <c r="E380" s="38" t="str">
        <v>◐ Parțial</v>
      </c>
      <c r="F380" s="26" t="str">
        <v>REST declarat; fixați generația/tagul.</v>
      </c>
      <c r="G380" s="39" t="str">
        <v>S33</v>
      </c>
      <c r="H380" s="39"/>
      <c r="I380" s="39"/>
    </row>
    <row r="381" ht="43" customHeight="1">
      <c r="A381" s="2" t="str">
        <v>IT02 / openwms</v>
      </c>
      <c r="B381" s="26" t="str">
        <v>07 Integrare și scanare</v>
      </c>
      <c r="C381" s="26" t="str">
        <v>API REST / SOAP documentat</v>
      </c>
      <c r="D381" s="26" t="str">
        <v>OpenWMS</v>
      </c>
      <c r="E381" s="38" t="str">
        <v>◐ Parțial</v>
      </c>
      <c r="F381" s="26" t="str">
        <v>API-uri pe servicii; disponibilitate diferită per componentă.</v>
      </c>
      <c r="G381" s="39" t="str">
        <v>S37</v>
      </c>
      <c r="H381" s="39" t="str">
        <v>S38</v>
      </c>
      <c r="I381" s="39"/>
    </row>
    <row r="382" ht="43" customHeight="1">
      <c r="A382" s="2" t="str">
        <v>IT02 / scan</v>
      </c>
      <c r="B382" s="26" t="str">
        <v>07 Integrare și scanare</v>
      </c>
      <c r="C382" s="26" t="str">
        <v>API REST / SOAP documentat</v>
      </c>
      <c r="D382" s="26" t="str">
        <v>Android Scan Write</v>
      </c>
      <c r="E382" s="38" t="str">
        <v>? Neconfirmat</v>
      </c>
      <c r="F382" s="26" t="str">
        <v>Funcția nu este confirmată în sursele consultate pentru această variantă. Nu înseamnă absență.</v>
      </c>
      <c r="G382" s="39" t="str">
        <v>S39</v>
      </c>
      <c r="H382" s="39"/>
      <c r="I382" s="39"/>
    </row>
    <row r="383" ht="43" customHeight="1">
      <c r="A383" s="2" t="str">
        <v>IT02 / tms</v>
      </c>
      <c r="B383" s="26" t="str">
        <v>07 Integrare și scanare</v>
      </c>
      <c r="C383" s="26" t="str">
        <v>API REST / SOAP documentat</v>
      </c>
      <c r="D383" s="26" t="str">
        <v>TMS iDempiere</v>
      </c>
      <c r="E383" s="38" t="str">
        <v>? Neconfirmat</v>
      </c>
      <c r="F383" s="26" t="str">
        <v>Funcția nu este confirmată în sursele consultate pentru această variantă. Nu înseamnă absență.</v>
      </c>
      <c r="G383" s="39" t="str">
        <v>S40</v>
      </c>
      <c r="H383" s="39"/>
      <c r="I383" s="39"/>
    </row>
    <row r="384" ht="43" customHeight="1">
      <c r="A384" s="2" t="str">
        <v>IT02 / mobile</v>
      </c>
      <c r="B384" s="26" t="str">
        <v>07 Integrare și scanare</v>
      </c>
      <c r="C384" s="26" t="str">
        <v>API REST / SOAP documentat</v>
      </c>
      <c r="D384" s="26" t="str">
        <v>SCM iDempiere Mobile</v>
      </c>
      <c r="E384" s="38" t="str">
        <v>◐ Parțial</v>
      </c>
      <c r="F384" s="26" t="str">
        <v>Conectare la REST iDempiere declarată.</v>
      </c>
      <c r="G384" s="39" t="str">
        <v>S41</v>
      </c>
      <c r="H384" s="39"/>
      <c r="I384" s="39"/>
    </row>
    <row r="385" ht="43" customHeight="1">
      <c r="A385" s="2" t="str">
        <v>IT03 / eva</v>
      </c>
      <c r="B385" s="26" t="str">
        <v>07 Integrare și scanare</v>
      </c>
      <c r="C385" s="26" t="str">
        <v>Conector iDempiere gata de utilizare</v>
      </c>
      <c r="D385" s="26" t="str">
        <v>EVA nativă</v>
      </c>
      <c r="E385" s="38" t="str">
        <v>— N/A</v>
      </c>
      <c r="F385" s="26" t="str">
        <v>Rulează nativ; nu necesită conector ERP extern.</v>
      </c>
      <c r="G385" s="39" t="str">
        <v>E01</v>
      </c>
      <c r="H385" s="39"/>
      <c r="I385" s="39"/>
    </row>
    <row r="386" ht="43" customHeight="1">
      <c r="A386" s="2" t="str">
        <v>IT03 / api</v>
      </c>
      <c r="B386" s="26" t="str">
        <v>07 Integrare și scanare</v>
      </c>
      <c r="C386" s="26" t="str">
        <v>Conector iDempiere gata de utilizare</v>
      </c>
      <c r="D386" s="26" t="str">
        <v>EVA API</v>
      </c>
      <c r="E386" s="38" t="str">
        <v>◐ Parțial</v>
      </c>
      <c r="F386" s="26" t="str">
        <v>Citiri native și documente EVA; un ciclu complet de confirmare stoc nu este demonstrat.</v>
      </c>
      <c r="G386" s="39" t="str">
        <v>E08</v>
      </c>
      <c r="H386" s="39"/>
      <c r="I386" s="39"/>
    </row>
    <row r="387" ht="43" customHeight="1">
      <c r="A387" s="2" t="str">
        <v>IT03 / portal</v>
      </c>
      <c r="B387" s="26" t="str">
        <v>07 Integrare și scanare</v>
      </c>
      <c r="C387" s="26" t="str">
        <v>Conector iDempiere gata de utilizare</v>
      </c>
      <c r="D387" s="26" t="str">
        <v>EVA portal</v>
      </c>
      <c r="E387" s="38" t="str">
        <v>◐ Parțial</v>
      </c>
      <c r="F387" s="26" t="str">
        <v>Consultări integrate; nu conector tranzacțional WMS.</v>
      </c>
      <c r="G387" s="39" t="str">
        <v>E12</v>
      </c>
      <c r="H387" s="39"/>
      <c r="I387" s="39"/>
    </row>
    <row r="388" ht="43" customHeight="1">
      <c r="A388" s="2" t="str">
        <v>IT03 / base</v>
      </c>
      <c r="B388" s="26" t="str">
        <v>07 Integrare și scanare</v>
      </c>
      <c r="C388" s="26" t="str">
        <v>Conector iDempiere gata de utilizare</v>
      </c>
      <c r="D388" s="26" t="str">
        <v>iDempiere standard</v>
      </c>
      <c r="E388" s="38" t="str">
        <v>— N/A</v>
      </c>
      <c r="F388" s="26" t="str">
        <v>ERP-ul țintă.</v>
      </c>
      <c r="G388" s="39" t="str">
        <v>S01</v>
      </c>
      <c r="H388" s="39"/>
      <c r="I388" s="39"/>
    </row>
    <row r="389" ht="43" customHeight="1">
      <c r="A389" s="2" t="str">
        <v>IT03 / red1</v>
      </c>
      <c r="B389" s="26" t="str">
        <v>07 Integrare și scanare</v>
      </c>
      <c r="C389" s="26" t="str">
        <v>Conector iDempiere gata de utilizare</v>
      </c>
      <c r="D389" s="26" t="str">
        <v>Red1 / SYSNOVA WMS</v>
      </c>
      <c r="E389" s="38" t="str">
        <v>— N/A</v>
      </c>
      <c r="F389" s="26" t="str">
        <v>Extensie nativă, compatibilitatea se evaluează separat.</v>
      </c>
      <c r="G389" s="39" t="str">
        <v>S09</v>
      </c>
      <c r="H389" s="39"/>
      <c r="I389" s="39"/>
    </row>
    <row r="390" ht="43" customHeight="1">
      <c r="A390" s="2" t="str">
        <v>IT03 / libero</v>
      </c>
      <c r="B390" s="26" t="str">
        <v>07 Integrare și scanare</v>
      </c>
      <c r="C390" s="26" t="str">
        <v>Conector iDempiere gata de utilizare</v>
      </c>
      <c r="D390" s="26" t="str">
        <v>Libero Warehousing</v>
      </c>
      <c r="E390" s="38" t="str">
        <v>— N/A</v>
      </c>
      <c r="F390" s="26" t="str">
        <v>Extensie nativă, compatibilitatea se evaluează separat.</v>
      </c>
      <c r="G390" s="39" t="str">
        <v>S12</v>
      </c>
      <c r="H390" s="39"/>
      <c r="I390" s="39"/>
    </row>
    <row r="391" ht="43" customHeight="1">
      <c r="A391" s="2" t="str">
        <v>IT03 / mywms</v>
      </c>
      <c r="B391" s="26" t="str">
        <v>07 Integrare și scanare</v>
      </c>
      <c r="C391" s="26" t="str">
        <v>Conector iDempiere gata de utilizare</v>
      </c>
      <c r="D391" s="26" t="str">
        <v>myWMS Release 2</v>
      </c>
      <c r="E391" s="38" t="str">
        <v>? Neconfirmat</v>
      </c>
      <c r="F391" s="26" t="str">
        <v>Funcția nu este confirmată în sursele consultate pentru această variantă. Nu înseamnă absență.</v>
      </c>
      <c r="G391" s="39" t="str">
        <v>S25</v>
      </c>
      <c r="H391" s="39"/>
      <c r="I391" s="39"/>
    </row>
    <row r="392" ht="43" customHeight="1">
      <c r="A392" s="2" t="str">
        <v>IT03 / openboxes</v>
      </c>
      <c r="B392" s="26" t="str">
        <v>07 Integrare și scanare</v>
      </c>
      <c r="C392" s="26" t="str">
        <v>Conector iDempiere gata de utilizare</v>
      </c>
      <c r="D392" s="26" t="str">
        <v>OpenBoxes</v>
      </c>
      <c r="E392" s="38" t="str">
        <v>? Neconfirmat</v>
      </c>
      <c r="F392" s="26" t="str">
        <v>Funcția nu este confirmată în sursele consultate pentru această variantă. Nu înseamnă absență.</v>
      </c>
      <c r="G392" s="39" t="str">
        <v>S16</v>
      </c>
      <c r="H392" s="39"/>
      <c r="I392" s="39"/>
    </row>
    <row r="393" ht="43" customHeight="1">
      <c r="A393" s="2" t="str">
        <v>IT03 / greater</v>
      </c>
      <c r="B393" s="26" t="str">
        <v>07 Integrare și scanare</v>
      </c>
      <c r="C393" s="26" t="str">
        <v>Conector iDempiere gata de utilizare</v>
      </c>
      <c r="D393" s="26" t="str">
        <v>GreaterWMS</v>
      </c>
      <c r="E393" s="38" t="str">
        <v>? Neconfirmat</v>
      </c>
      <c r="F393" s="26" t="str">
        <v>Funcția nu este confirmată în sursele consultate pentru această variantă. Nu înseamnă absență.</v>
      </c>
      <c r="G393" s="39" t="str">
        <v>S33</v>
      </c>
      <c r="H393" s="39"/>
      <c r="I393" s="39"/>
    </row>
    <row r="394" ht="43" customHeight="1">
      <c r="A394" s="2" t="str">
        <v>IT03 / openwms</v>
      </c>
      <c r="B394" s="26" t="str">
        <v>07 Integrare și scanare</v>
      </c>
      <c r="C394" s="26" t="str">
        <v>Conector iDempiere gata de utilizare</v>
      </c>
      <c r="D394" s="26" t="str">
        <v>OpenWMS</v>
      </c>
      <c r="E394" s="38" t="str">
        <v>? Neconfirmat</v>
      </c>
      <c r="F394" s="26" t="str">
        <v>Funcția nu este confirmată în sursele consultate pentru această variantă. Nu înseamnă absență.</v>
      </c>
      <c r="G394" s="39" t="str">
        <v>S38</v>
      </c>
      <c r="H394" s="39"/>
      <c r="I394" s="39"/>
    </row>
    <row r="395" ht="43" customHeight="1">
      <c r="A395" s="2" t="str">
        <v>IT03 / scan</v>
      </c>
      <c r="B395" s="26" t="str">
        <v>07 Integrare și scanare</v>
      </c>
      <c r="C395" s="26" t="str">
        <v>Conector iDempiere gata de utilizare</v>
      </c>
      <c r="D395" s="26" t="str">
        <v>Android Scan Write</v>
      </c>
      <c r="E395" s="38" t="str">
        <v>◐ Parțial</v>
      </c>
      <c r="F395" s="26" t="str">
        <v>Scriere SQL directă; nu conector care validează procese ERP.</v>
      </c>
      <c r="G395" s="39" t="str">
        <v>S39</v>
      </c>
      <c r="H395" s="39"/>
      <c r="I395" s="39"/>
    </row>
    <row r="396" ht="43" customHeight="1">
      <c r="A396" s="2" t="str">
        <v>IT03 / tms</v>
      </c>
      <c r="B396" s="26" t="str">
        <v>07 Integrare și scanare</v>
      </c>
      <c r="C396" s="26" t="str">
        <v>Conector iDempiere gata de utilizare</v>
      </c>
      <c r="D396" s="26" t="str">
        <v>TMS iDempiere</v>
      </c>
      <c r="E396" s="38" t="str">
        <v>— N/A</v>
      </c>
      <c r="F396" s="26" t="str">
        <v>Extensie nativă de transport.</v>
      </c>
      <c r="G396" s="39" t="str">
        <v>S40</v>
      </c>
      <c r="H396" s="39"/>
      <c r="I396" s="39"/>
    </row>
    <row r="397" ht="43" customHeight="1">
      <c r="A397" s="2" t="str">
        <v>IT03 / mobile</v>
      </c>
      <c r="B397" s="26" t="str">
        <v>07 Integrare și scanare</v>
      </c>
      <c r="C397" s="26" t="str">
        <v>Conector iDempiere gata de utilizare</v>
      </c>
      <c r="D397" s="26" t="str">
        <v>SCM iDempiere Mobile</v>
      </c>
      <c r="E397" s="38" t="str">
        <v>◐ Parțial</v>
      </c>
      <c r="F397" s="26" t="str">
        <v>Legătură REST declarată, fără conector testat în acest proiect.</v>
      </c>
      <c r="G397" s="39" t="str">
        <v>S41</v>
      </c>
      <c r="H397" s="39"/>
      <c r="I397" s="39"/>
    </row>
    <row r="398" ht="43" customHeight="1">
      <c r="A398" s="2" t="str">
        <v>IT04 / eva</v>
      </c>
      <c r="B398" s="26" t="str">
        <v>07 Integrare și scanare</v>
      </c>
      <c r="C398" s="26" t="str">
        <v>Citire coduri de bare / QR</v>
      </c>
      <c r="D398" s="26" t="str">
        <v>EVA nativă</v>
      </c>
      <c r="E398" s="38" t="str">
        <v>? Neconfirmat</v>
      </c>
      <c r="F398" s="26" t="str">
        <v>Funcția nu este confirmată în sursele consultate pentru această variantă. Nu înseamnă absență.</v>
      </c>
      <c r="G398" s="39" t="str">
        <v>E05</v>
      </c>
      <c r="H398" s="39"/>
      <c r="I398" s="39"/>
    </row>
    <row r="399" ht="43" customHeight="1">
      <c r="A399" s="2" t="str">
        <v>IT04 / api</v>
      </c>
      <c r="B399" s="26" t="str">
        <v>07 Integrare și scanare</v>
      </c>
      <c r="C399" s="26" t="str">
        <v>Citire coduri de bare / QR</v>
      </c>
      <c r="D399" s="26" t="str">
        <v>EVA API</v>
      </c>
      <c r="E399" s="38" t="str">
        <v>? Neconfirmat</v>
      </c>
      <c r="F399" s="26" t="str">
        <v>Funcția nu este confirmată în sursele consultate pentru această variantă. Nu înseamnă absență.</v>
      </c>
      <c r="G399" s="39" t="str">
        <v>E09</v>
      </c>
      <c r="H399" s="39"/>
      <c r="I399" s="39"/>
    </row>
    <row r="400" ht="43" customHeight="1">
      <c r="A400" s="2" t="str">
        <v>IT04 / portal</v>
      </c>
      <c r="B400" s="26" t="str">
        <v>07 Integrare și scanare</v>
      </c>
      <c r="C400" s="26" t="str">
        <v>Citire coduri de bare / QR</v>
      </c>
      <c r="D400" s="26" t="str">
        <v>EVA portal</v>
      </c>
      <c r="E400" s="38" t="str">
        <v>? Neconfirmat</v>
      </c>
      <c r="F400" s="26" t="str">
        <v>Fluxul nu este confirmat în ecranul eva_stock.html inspectat.</v>
      </c>
      <c r="G400" s="39" t="str">
        <v>E12</v>
      </c>
      <c r="H400" s="39"/>
      <c r="I400" s="39"/>
    </row>
    <row r="401" ht="43" customHeight="1">
      <c r="A401" s="2" t="str">
        <v>IT04 / base</v>
      </c>
      <c r="B401" s="26" t="str">
        <v>07 Integrare și scanare</v>
      </c>
      <c r="C401" s="26" t="str">
        <v>Citire coduri de bare / QR</v>
      </c>
      <c r="D401" s="26" t="str">
        <v>iDempiere standard</v>
      </c>
      <c r="E401" s="38" t="str">
        <v>◐ Parțial</v>
      </c>
      <c r="F401" s="26" t="str">
        <v>Scanner HID poate introduce text; nu dovedește validarea unui flux WMS.</v>
      </c>
      <c r="G401" s="39" t="str">
        <v>S02</v>
      </c>
      <c r="H401" s="39"/>
      <c r="I401" s="39"/>
    </row>
    <row r="402" ht="43" customHeight="1">
      <c r="A402" s="2" t="str">
        <v>IT04 / red1</v>
      </c>
      <c r="B402" s="26" t="str">
        <v>07 Integrare și scanare</v>
      </c>
      <c r="C402" s="26" t="str">
        <v>Citire coduri de bare / QR</v>
      </c>
      <c r="D402" s="26" t="str">
        <v>Red1 / SYSNOVA WMS</v>
      </c>
      <c r="E402" s="38" t="str">
        <v>◐ Parțial</v>
      </c>
      <c r="F402" s="26" t="str">
        <v>Proof of concept QR.</v>
      </c>
      <c r="G402" s="39" t="str">
        <v>S11</v>
      </c>
      <c r="H402" s="39"/>
      <c r="I402" s="39"/>
    </row>
    <row r="403" ht="43" customHeight="1">
      <c r="A403" s="2" t="str">
        <v>IT04 / libero</v>
      </c>
      <c r="B403" s="26" t="str">
        <v>07 Integrare și scanare</v>
      </c>
      <c r="C403" s="26" t="str">
        <v>Citire coduri de bare / QR</v>
      </c>
      <c r="D403" s="26" t="str">
        <v>Libero Warehousing</v>
      </c>
      <c r="E403" s="38" t="str">
        <v>? Neconfirmat</v>
      </c>
      <c r="F403" s="26" t="str">
        <v>Funcția nu este confirmată în sursele consultate pentru această variantă. Nu înseamnă absență.</v>
      </c>
      <c r="G403" s="39" t="str">
        <v>S12</v>
      </c>
      <c r="H403" s="39"/>
      <c r="I403" s="39"/>
    </row>
    <row r="404" ht="43" customHeight="1">
      <c r="A404" s="2" t="str">
        <v>IT04 / mywms</v>
      </c>
      <c r="B404" s="26" t="str">
        <v>07 Integrare și scanare</v>
      </c>
      <c r="C404" s="26" t="str">
        <v>Citire coduri de bare / QR</v>
      </c>
      <c r="D404" s="26" t="str">
        <v>myWMS Release 2</v>
      </c>
      <c r="E404" s="38" t="str">
        <v>✓ Da</v>
      </c>
      <c r="F404" s="26" t="str">
        <v>Scanare în fluxurile mobile.</v>
      </c>
      <c r="G404" s="39" t="str">
        <v>S27</v>
      </c>
      <c r="H404" s="39" t="str">
        <v>S28</v>
      </c>
      <c r="I404" s="39"/>
    </row>
    <row r="405" ht="43" customHeight="1">
      <c r="A405" s="2" t="str">
        <v>IT04 / openboxes</v>
      </c>
      <c r="B405" s="26" t="str">
        <v>07 Integrare și scanare</v>
      </c>
      <c r="C405" s="26" t="str">
        <v>Citire coduri de bare / QR</v>
      </c>
      <c r="D405" s="26" t="str">
        <v>OpenBoxes</v>
      </c>
      <c r="E405" s="38" t="str">
        <v>◐ Parțial</v>
      </c>
      <c r="F405" s="26" t="str">
        <v>Funcții de scanare declarate.</v>
      </c>
      <c r="G405" s="39" t="str">
        <v>S22</v>
      </c>
      <c r="H405" s="39"/>
      <c r="I405" s="39"/>
    </row>
    <row r="406" ht="43" customHeight="1">
      <c r="A406" s="2" t="str">
        <v>IT04 / greater</v>
      </c>
      <c r="B406" s="26" t="str">
        <v>07 Integrare și scanare</v>
      </c>
      <c r="C406" s="26" t="str">
        <v>Citire coduri de bare / QR</v>
      </c>
      <c r="D406" s="26" t="str">
        <v>GreaterWMS</v>
      </c>
      <c r="E406" s="38" t="str">
        <v>◐ Parțial</v>
      </c>
      <c r="F406" s="26" t="str">
        <v>PDA declarat.</v>
      </c>
      <c r="G406" s="39" t="str">
        <v>S33</v>
      </c>
      <c r="H406" s="39"/>
      <c r="I406" s="39"/>
    </row>
    <row r="407" ht="43" customHeight="1">
      <c r="A407" s="2" t="str">
        <v>IT04 / openwms</v>
      </c>
      <c r="B407" s="26" t="str">
        <v>07 Integrare și scanare</v>
      </c>
      <c r="C407" s="26" t="str">
        <v>Citire coduri de bare / QR</v>
      </c>
      <c r="D407" s="26" t="str">
        <v>OpenWMS</v>
      </c>
      <c r="E407" s="38" t="str">
        <v>◐ Parțial</v>
      </c>
      <c r="F407" s="26" t="str">
        <v>Aplicația Roma este prezentată; fluxul și accesul se verifică.</v>
      </c>
      <c r="G407" s="39" t="str">
        <v>S38</v>
      </c>
      <c r="H407" s="39"/>
      <c r="I407" s="39"/>
    </row>
    <row r="408" ht="43" customHeight="1">
      <c r="A408" s="2" t="str">
        <v>IT04 / scan</v>
      </c>
      <c r="B408" s="26" t="str">
        <v>07 Integrare și scanare</v>
      </c>
      <c r="C408" s="26" t="str">
        <v>Citire coduri de bare / QR</v>
      </c>
      <c r="D408" s="26" t="str">
        <v>Android Scan Write</v>
      </c>
      <c r="E408" s="38" t="str">
        <v>✓ Da</v>
      </c>
      <c r="F408" s="26" t="str">
        <v>Citirea codurilor/QR este scopul extensiei.</v>
      </c>
      <c r="G408" s="39" t="str">
        <v>S39</v>
      </c>
      <c r="H408" s="39"/>
      <c r="I408" s="39"/>
    </row>
    <row r="409" ht="43" customHeight="1">
      <c r="A409" s="2" t="str">
        <v>IT04 / tms</v>
      </c>
      <c r="B409" s="26" t="str">
        <v>07 Integrare și scanare</v>
      </c>
      <c r="C409" s="26" t="str">
        <v>Citire coduri de bare / QR</v>
      </c>
      <c r="D409" s="26" t="str">
        <v>TMS iDempiere</v>
      </c>
      <c r="E409" s="38" t="str">
        <v>? Neconfirmat</v>
      </c>
      <c r="F409" s="26" t="str">
        <v>Funcția nu este confirmată în sursele consultate pentru această variantă. Nu înseamnă absență.</v>
      </c>
      <c r="G409" s="39" t="str">
        <v>S40</v>
      </c>
      <c r="H409" s="39"/>
      <c r="I409" s="39"/>
    </row>
    <row r="410" ht="43" customHeight="1">
      <c r="A410" s="2" t="str">
        <v>IT04 / mobile</v>
      </c>
      <c r="B410" s="26" t="str">
        <v>07 Integrare și scanare</v>
      </c>
      <c r="C410" s="26" t="str">
        <v>Citire coduri de bare / QR</v>
      </c>
      <c r="D410" s="26" t="str">
        <v>SCM iDempiere Mobile</v>
      </c>
      <c r="E410" s="38" t="str">
        <v>◐ Parțial</v>
      </c>
      <c r="F410" s="26" t="str">
        <v>Cameră/scanner și validare declarate.</v>
      </c>
      <c r="G410" s="39" t="str">
        <v>S41</v>
      </c>
      <c r="H410" s="39"/>
      <c r="I410" s="39"/>
    </row>
    <row r="411" ht="43" customHeight="1">
      <c r="A411" s="2" t="str">
        <v>AV01 / eva</v>
      </c>
      <c r="B411" s="26" t="str">
        <v>08 Disponibilitate</v>
      </c>
      <c r="C411" s="26" t="str">
        <v>Cod sursă disponibil pentru echipă</v>
      </c>
      <c r="D411" s="26" t="str">
        <v>EVA nativă</v>
      </c>
      <c r="E411" s="38" t="str">
        <v>✓ Da</v>
      </c>
      <c r="F411" s="26" t="str">
        <v>Cod accesat în repository-ul proiectului; nu reprezintă o declarație că repository-ul este public.</v>
      </c>
      <c r="G411" s="39" t="str">
        <v>E01</v>
      </c>
      <c r="H411" s="39" t="str">
        <v>E05</v>
      </c>
      <c r="I411" s="39"/>
    </row>
    <row r="412" ht="43" customHeight="1">
      <c r="A412" s="2" t="str">
        <v>AV01 / api</v>
      </c>
      <c r="B412" s="26" t="str">
        <v>08 Disponibilitate</v>
      </c>
      <c r="C412" s="26" t="str">
        <v>Cod sursă disponibil pentru echipă</v>
      </c>
      <c r="D412" s="26" t="str">
        <v>EVA API</v>
      </c>
      <c r="E412" s="38" t="str">
        <v>✓ Da</v>
      </c>
      <c r="F412" s="26" t="str">
        <v>Documente în DB EVA; alte POST la L186–337. Fallback raport la L437–448; citiri native la L476–520. Gestiune, StockDoc și StockMovement; produs × gestiune, fără câmpuri dedicate lot/serie/locator în aceste modele.</v>
      </c>
      <c r="G412" s="39" t="str">
        <v>E08</v>
      </c>
      <c r="H412" s="39" t="str">
        <v>E09</v>
      </c>
      <c r="I412" s="39"/>
    </row>
    <row r="413" ht="43" customHeight="1">
      <c r="A413" s="2" t="str">
        <v>AV01 / portal</v>
      </c>
      <c r="B413" s="26" t="str">
        <v>08 Disponibilitate</v>
      </c>
      <c r="C413" s="26" t="str">
        <v>Cod sursă disponibil pentru echipă</v>
      </c>
      <c r="D413" s="26" t="str">
        <v>EVA portal</v>
      </c>
      <c r="E413" s="38" t="str">
        <v>✓ Da</v>
      </c>
      <c r="F413" s="26" t="str">
        <v>Consultare stoc, livrări și tracking; nu confirmă execuție mobilă dirijată.</v>
      </c>
      <c r="G413" s="39" t="str">
        <v>E12</v>
      </c>
      <c r="H413" s="39"/>
      <c r="I413" s="39"/>
    </row>
    <row r="414" ht="43" customHeight="1">
      <c r="A414" s="2" t="str">
        <v>AV01 / base</v>
      </c>
      <c r="B414" s="26" t="str">
        <v>08 Disponibilitate</v>
      </c>
      <c r="C414" s="26" t="str">
        <v>Cod sursă disponibil pentru echipă</v>
      </c>
      <c r="D414" s="26" t="str">
        <v>iDempiere standard</v>
      </c>
      <c r="E414" s="38" t="str">
        <v>✓ Da</v>
      </c>
      <c r="F414" s="26" t="str">
        <v>GPLv2 sau ulterior; sursele ERP.</v>
      </c>
      <c r="G414" s="39" t="str">
        <v>S01</v>
      </c>
      <c r="H414" s="39"/>
      <c r="I414" s="39"/>
    </row>
    <row r="415" ht="43" customHeight="1">
      <c r="A415" s="2" t="str">
        <v>AV01 / red1</v>
      </c>
      <c r="B415" s="26" t="str">
        <v>08 Disponibilitate</v>
      </c>
      <c r="C415" s="26" t="str">
        <v>Cod sursă disponibil pentru echipă</v>
      </c>
      <c r="D415" s="26" t="str">
        <v>Red1 / SYSNOVA WMS</v>
      </c>
      <c r="E415" s="38" t="str">
        <v>◐ Parțial</v>
      </c>
      <c r="F415" s="26" t="str">
        <v>Arhiva sursei este indicată; recuperarea/buildul nu au fost confirmate.</v>
      </c>
      <c r="G415" s="39" t="str">
        <v>S09</v>
      </c>
      <c r="H415" s="39" t="str">
        <v>S10</v>
      </c>
      <c r="I415" s="39"/>
    </row>
    <row r="416" ht="43" customHeight="1">
      <c r="A416" s="2" t="str">
        <v>AV01 / libero</v>
      </c>
      <c r="B416" s="26" t="str">
        <v>08 Disponibilitate</v>
      </c>
      <c r="C416" s="26" t="str">
        <v>Cod sursă disponibil pentru echipă</v>
      </c>
      <c r="D416" s="26" t="str">
        <v>Libero Warehousing</v>
      </c>
      <c r="E416" s="38" t="str">
        <v>◐ Parțial</v>
      </c>
      <c r="F416" s="26" t="str">
        <v>Pachete istorice; completitudinea sursei și condițiile trebuie clarificate.</v>
      </c>
      <c r="G416" s="39" t="str">
        <v>S12</v>
      </c>
      <c r="H416" s="39" t="str">
        <v>S13</v>
      </c>
      <c r="I416" s="39"/>
    </row>
    <row r="417" ht="43" customHeight="1">
      <c r="A417" s="2" t="str">
        <v>AV01 / mywms</v>
      </c>
      <c r="B417" s="26" t="str">
        <v>08 Disponibilitate</v>
      </c>
      <c r="C417" s="26" t="str">
        <v>Cod sursă disponibil pentru echipă</v>
      </c>
      <c r="D417" s="26" t="str">
        <v>myWMS Release 2</v>
      </c>
      <c r="E417" s="38" t="str">
        <v>✓ Da</v>
      </c>
      <c r="F417" s="26" t="str">
        <v>Fork myWMS LOS; Java, WildFly, client desktop și mobil.</v>
      </c>
      <c r="G417" s="39" t="str">
        <v>S25</v>
      </c>
      <c r="H417" s="39"/>
      <c r="I417" s="39"/>
    </row>
    <row r="418" ht="43" customHeight="1">
      <c r="A418" s="2" t="str">
        <v>AV01 / openboxes</v>
      </c>
      <c r="B418" s="26" t="str">
        <v>08 Disponibilitate</v>
      </c>
      <c r="C418" s="26" t="str">
        <v>Cod sursă disponibil pentru echipă</v>
      </c>
      <c r="D418" s="26" t="str">
        <v>OpenBoxes</v>
      </c>
      <c r="E418" s="38" t="str">
        <v>✓ Da</v>
      </c>
      <c r="F418" s="26" t="str">
        <v>Aplicație și cod public; EPL-1.0.</v>
      </c>
      <c r="G418" s="39" t="str">
        <v>S14</v>
      </c>
      <c r="H418" s="39"/>
      <c r="I418" s="39"/>
    </row>
    <row r="419" ht="43" customHeight="1">
      <c r="A419" s="2" t="str">
        <v>AV01 / greater</v>
      </c>
      <c r="B419" s="26" t="str">
        <v>08 Disponibilitate</v>
      </c>
      <c r="C419" s="26" t="str">
        <v>Cod sursă disponibil pentru echipă</v>
      </c>
      <c r="D419" s="26" t="str">
        <v>GreaterWMS</v>
      </c>
      <c r="E419" s="38" t="str">
        <v>✓ Da</v>
      </c>
      <c r="F419" s="26" t="str">
        <v>ASN, DN, PDA și API; anunț 3.0/Bomiot alături de instrucțiuni Django/Quasar.</v>
      </c>
      <c r="G419" s="39" t="str">
        <v>S33</v>
      </c>
      <c r="H419" s="39"/>
      <c r="I419" s="39"/>
    </row>
    <row r="420" ht="43" customHeight="1">
      <c r="A420" s="2" t="str">
        <v>AV01 / openwms</v>
      </c>
      <c r="B420" s="26" t="str">
        <v>08 Disponibilitate</v>
      </c>
      <c r="C420" s="26" t="str">
        <v>Cod sursă disponibil pentru echipă</v>
      </c>
      <c r="D420" s="26" t="str">
        <v>OpenWMS</v>
      </c>
      <c r="E420" s="38" t="str">
        <v>◐ Parțial</v>
      </c>
      <c r="F420" s="26" t="str">
        <v>Unele servicii sunt publice, funcții WMS esențiale sunt private/preview.</v>
      </c>
      <c r="G420" s="39" t="str">
        <v>S37</v>
      </c>
      <c r="H420" s="39"/>
      <c r="I420" s="39"/>
    </row>
    <row r="421" ht="43" customHeight="1">
      <c r="A421" s="2" t="str">
        <v>AV01 / scan</v>
      </c>
      <c r="B421" s="26" t="str">
        <v>08 Disponibilitate</v>
      </c>
      <c r="C421" s="26" t="str">
        <v>Cod sursă disponibil pentru echipă</v>
      </c>
      <c r="D421" s="26" t="str">
        <v>Android Scan Write</v>
      </c>
      <c r="E421" s="38" t="str">
        <v>? Neconfirmat</v>
      </c>
      <c r="F421" s="26" t="str">
        <v>Funcția nu este confirmată în sursele consultate pentru această variantă. Nu înseamnă absență.</v>
      </c>
      <c r="G421" s="39" t="str">
        <v>S39</v>
      </c>
      <c r="H421" s="39"/>
      <c r="I421" s="39"/>
    </row>
    <row r="422" ht="43" customHeight="1">
      <c r="A422" s="2" t="str">
        <v>AV01 / tms</v>
      </c>
      <c r="B422" s="26" t="str">
        <v>08 Disponibilitate</v>
      </c>
      <c r="C422" s="26" t="str">
        <v>Cod sursă disponibil pentru echipă</v>
      </c>
      <c r="D422" s="26" t="str">
        <v>TMS iDempiere</v>
      </c>
      <c r="E422" s="38" t="str">
        <v>? Neconfirmat</v>
      </c>
      <c r="F422" s="26" t="str">
        <v>Funcția nu este confirmată în sursele consultate pentru această variantă. Nu înseamnă absență.</v>
      </c>
      <c r="G422" s="39" t="str">
        <v>S40</v>
      </c>
      <c r="H422" s="39"/>
      <c r="I422" s="39"/>
    </row>
    <row r="423" ht="43" customHeight="1">
      <c r="A423" s="2" t="str">
        <v>AV01 / mobile</v>
      </c>
      <c r="B423" s="26" t="str">
        <v>08 Disponibilitate</v>
      </c>
      <c r="C423" s="26" t="str">
        <v>Cod sursă disponibil pentru echipă</v>
      </c>
      <c r="D423" s="26" t="str">
        <v>SCM iDempiere Mobile</v>
      </c>
      <c r="E423" s="38" t="str">
        <v>? Neconfirmat</v>
      </c>
      <c r="F423" s="26" t="str">
        <v>Funcția nu este confirmată în sursele consultate pentru această variantă. Nu înseamnă absență.</v>
      </c>
      <c r="G423" s="39" t="str">
        <v>S41</v>
      </c>
      <c r="H423" s="39"/>
      <c r="I423" s="39"/>
    </row>
    <row r="424" ht="43" customHeight="1">
      <c r="A424" s="2" t="str">
        <v>AV02 / eva</v>
      </c>
      <c r="B424" s="26" t="str">
        <v>08 Disponibilitate</v>
      </c>
      <c r="C424" s="26" t="str">
        <v>Fără taxă de licență pentru codul evaluat</v>
      </c>
      <c r="D424" s="26" t="str">
        <v>EVA nativă</v>
      </c>
      <c r="E424" s="38" t="str">
        <v>? Neconfirmat</v>
      </c>
      <c r="F424" s="26" t="str">
        <v>Funcția nu este confirmată în sursele consultate pentru această variantă. Nu înseamnă absență.</v>
      </c>
      <c r="G424" s="39" t="str">
        <v>E05</v>
      </c>
      <c r="H424" s="39"/>
      <c r="I424" s="39"/>
    </row>
    <row r="425" ht="43" customHeight="1">
      <c r="A425" s="2" t="str">
        <v>AV02 / api</v>
      </c>
      <c r="B425" s="26" t="str">
        <v>08 Disponibilitate</v>
      </c>
      <c r="C425" s="26" t="str">
        <v>Fără taxă de licență pentru codul evaluat</v>
      </c>
      <c r="D425" s="26" t="str">
        <v>EVA API</v>
      </c>
      <c r="E425" s="38" t="str">
        <v>? Neconfirmat</v>
      </c>
      <c r="F425" s="26" t="str">
        <v>Funcția nu este confirmată în sursele consultate pentru această variantă. Nu înseamnă absență.</v>
      </c>
      <c r="G425" s="39" t="str">
        <v>E09</v>
      </c>
      <c r="H425" s="39"/>
      <c r="I425" s="39"/>
    </row>
    <row r="426" ht="43" customHeight="1">
      <c r="A426" s="2" t="str">
        <v>AV02 / portal</v>
      </c>
      <c r="B426" s="26" t="str">
        <v>08 Disponibilitate</v>
      </c>
      <c r="C426" s="26" t="str">
        <v>Fără taxă de licență pentru codul evaluat</v>
      </c>
      <c r="D426" s="26" t="str">
        <v>EVA portal</v>
      </c>
      <c r="E426" s="38" t="str">
        <v>? Neconfirmat</v>
      </c>
      <c r="F426" s="26" t="str">
        <v>Fluxul nu este confirmat în ecranul eva_stock.html inspectat.</v>
      </c>
      <c r="G426" s="39" t="str">
        <v>E12</v>
      </c>
      <c r="H426" s="39"/>
      <c r="I426" s="39"/>
    </row>
    <row r="427" ht="43" customHeight="1">
      <c r="A427" s="2" t="str">
        <v>AV02 / base</v>
      </c>
      <c r="B427" s="26" t="str">
        <v>08 Disponibilitate</v>
      </c>
      <c r="C427" s="26" t="str">
        <v>Fără taxă de licență pentru codul evaluat</v>
      </c>
      <c r="D427" s="26" t="str">
        <v>iDempiere standard</v>
      </c>
      <c r="E427" s="38" t="str">
        <v>✓ Da</v>
      </c>
      <c r="F427" s="26" t="str">
        <v>GPL; instalarea și operarea pot avea costuri.</v>
      </c>
      <c r="G427" s="39" t="str">
        <v>S01</v>
      </c>
      <c r="H427" s="39"/>
      <c r="I427" s="39"/>
    </row>
    <row r="428" ht="43" customHeight="1">
      <c r="A428" s="2" t="str">
        <v>AV02 / red1</v>
      </c>
      <c r="B428" s="26" t="str">
        <v>08 Disponibilitate</v>
      </c>
      <c r="C428" s="26" t="str">
        <v>Fără taxă de licență pentru codul evaluat</v>
      </c>
      <c r="D428" s="26" t="str">
        <v>Red1 / SYSNOVA WMS</v>
      </c>
      <c r="E428" s="38" t="str">
        <v>◐ Parțial</v>
      </c>
      <c r="F428" s="26" t="str">
        <v>GPL în ghid; sursa efectivă și distribuția trebuie recuperate.</v>
      </c>
      <c r="G428" s="39" t="str">
        <v>S11</v>
      </c>
      <c r="H428" s="39"/>
      <c r="I428" s="39"/>
    </row>
    <row r="429" ht="43" customHeight="1">
      <c r="A429" s="2" t="str">
        <v>AV02 / libero</v>
      </c>
      <c r="B429" s="26" t="str">
        <v>08 Disponibilitate</v>
      </c>
      <c r="C429" s="26" t="str">
        <v>Fără taxă de licență pentru codul evaluat</v>
      </c>
      <c r="D429" s="26" t="str">
        <v>Libero Warehousing</v>
      </c>
      <c r="E429" s="38" t="str">
        <v>? Neconfirmat</v>
      </c>
      <c r="F429" s="26" t="str">
        <v>Mesaje contradictorii GPL / non-commercial; nu certificăm gratuitatea comercială.</v>
      </c>
      <c r="G429" s="39" t="str">
        <v>S12</v>
      </c>
      <c r="H429" s="39" t="str">
        <v>S13</v>
      </c>
      <c r="I429" s="39"/>
    </row>
    <row r="430" ht="43" customHeight="1">
      <c r="A430" s="2" t="str">
        <v>AV02 / mywms</v>
      </c>
      <c r="B430" s="26" t="str">
        <v>08 Disponibilitate</v>
      </c>
      <c r="C430" s="26" t="str">
        <v>Fără taxă de licență pentru codul evaluat</v>
      </c>
      <c r="D430" s="26" t="str">
        <v>myWMS Release 2</v>
      </c>
      <c r="E430" s="38" t="str">
        <v>✓ Da</v>
      </c>
      <c r="F430" s="26" t="str">
        <v>GPLv3 sau ulterior.</v>
      </c>
      <c r="G430" s="39" t="str">
        <v>S26</v>
      </c>
      <c r="H430" s="39"/>
      <c r="I430" s="39"/>
    </row>
    <row r="431" ht="43" customHeight="1">
      <c r="A431" s="2" t="str">
        <v>AV02 / openboxes</v>
      </c>
      <c r="B431" s="26" t="str">
        <v>08 Disponibilitate</v>
      </c>
      <c r="C431" s="26" t="str">
        <v>Fără taxă de licență pentru codul evaluat</v>
      </c>
      <c r="D431" s="26" t="str">
        <v>OpenBoxes</v>
      </c>
      <c r="E431" s="38" t="str">
        <v>✓ Da</v>
      </c>
      <c r="F431" s="26" t="str">
        <v>EPL-1.0 pentru codul public.</v>
      </c>
      <c r="G431" s="39" t="str">
        <v>S14</v>
      </c>
      <c r="H431" s="39"/>
      <c r="I431" s="39"/>
    </row>
    <row r="432" ht="43" customHeight="1">
      <c r="A432" s="2" t="str">
        <v>AV02 / greater</v>
      </c>
      <c r="B432" s="26" t="str">
        <v>08 Disponibilitate</v>
      </c>
      <c r="C432" s="26" t="str">
        <v>Fără taxă de licență pentru codul evaluat</v>
      </c>
      <c r="D432" s="26" t="str">
        <v>GreaterWMS</v>
      </c>
      <c r="E432" s="38" t="str">
        <v>✓ Da</v>
      </c>
      <c r="F432" s="26" t="str">
        <v>Apache-2.0 pentru repository; nu include automat customizări sau alte produse.</v>
      </c>
      <c r="G432" s="39" t="str">
        <v>S35</v>
      </c>
      <c r="H432" s="39"/>
      <c r="I432" s="39"/>
    </row>
    <row r="433" ht="43" customHeight="1">
      <c r="A433" s="2" t="str">
        <v>AV02 / openwms</v>
      </c>
      <c r="B433" s="26" t="str">
        <v>08 Disponibilitate</v>
      </c>
      <c r="C433" s="26" t="str">
        <v>Fără taxă de licență pentru codul evaluat</v>
      </c>
      <c r="D433" s="26" t="str">
        <v>OpenWMS</v>
      </c>
      <c r="E433" s="38" t="str">
        <v>◐ Parțial</v>
      </c>
      <c r="F433" s="26" t="str">
        <v>Licențe deschise pe unele servicii; accesul la întregul WMS nu este public demonstrat.</v>
      </c>
      <c r="G433" s="39" t="str">
        <v>S37</v>
      </c>
      <c r="H433" s="39"/>
      <c r="I433" s="39"/>
    </row>
    <row r="434" ht="43" customHeight="1">
      <c r="A434" s="2" t="str">
        <v>AV02 / scan</v>
      </c>
      <c r="B434" s="26" t="str">
        <v>08 Disponibilitate</v>
      </c>
      <c r="C434" s="26" t="str">
        <v>Fără taxă de licență pentru codul evaluat</v>
      </c>
      <c r="D434" s="26" t="str">
        <v>Android Scan Write</v>
      </c>
      <c r="E434" s="38" t="str">
        <v>? Neconfirmat</v>
      </c>
      <c r="F434" s="26" t="str">
        <v>Funcția nu este confirmată în sursele consultate pentru această variantă. Nu înseamnă absență.</v>
      </c>
      <c r="G434" s="39" t="str">
        <v>S39</v>
      </c>
      <c r="H434" s="39"/>
      <c r="I434" s="39"/>
    </row>
    <row r="435" ht="43" customHeight="1">
      <c r="A435" s="2" t="str">
        <v>AV02 / tms</v>
      </c>
      <c r="B435" s="26" t="str">
        <v>08 Disponibilitate</v>
      </c>
      <c r="C435" s="26" t="str">
        <v>Fără taxă de licență pentru codul evaluat</v>
      </c>
      <c r="D435" s="26" t="str">
        <v>TMS iDempiere</v>
      </c>
      <c r="E435" s="38" t="str">
        <v>? Neconfirmat</v>
      </c>
      <c r="F435" s="26" t="str">
        <v>Funcția nu este confirmată în sursele consultate pentru această variantă. Nu înseamnă absență.</v>
      </c>
      <c r="G435" s="39" t="str">
        <v>S40</v>
      </c>
      <c r="H435" s="39"/>
      <c r="I435" s="39"/>
    </row>
    <row r="436" ht="43" customHeight="1">
      <c r="A436" s="2" t="str">
        <v>AV02 / mobile</v>
      </c>
      <c r="B436" s="26" t="str">
        <v>08 Disponibilitate</v>
      </c>
      <c r="C436" s="26" t="str">
        <v>Fără taxă de licență pentru codul evaluat</v>
      </c>
      <c r="D436" s="26" t="str">
        <v>SCM iDempiere Mobile</v>
      </c>
      <c r="E436" s="38" t="str">
        <v>? Neconfirmat</v>
      </c>
      <c r="F436" s="26" t="str">
        <v>Funcția nu este confirmată în sursele consultate pentru această variantă. Nu înseamnă absență.</v>
      </c>
      <c r="G436" s="39" t="str">
        <v>S41</v>
      </c>
      <c r="H436" s="39"/>
      <c r="I436" s="39"/>
    </row>
    <row r="437" ht="43" customHeight="1">
      <c r="A437" s="2" t="str">
        <v>AV03 / eva</v>
      </c>
      <c r="B437" s="26" t="str">
        <v>08 Disponibilitate</v>
      </c>
      <c r="C437" s="26" t="str">
        <v>Compatibilitate cu instanța voastră probată</v>
      </c>
      <c r="D437" s="26" t="str">
        <v>EVA nativă</v>
      </c>
      <c r="E437" s="38" t="str">
        <v>◐ Parțial</v>
      </c>
      <c r="F437" s="26" t="str">
        <v>Utilizatorul confirmă aplicația funcțională; buildul instalat nu a fost identificat de această analiză.</v>
      </c>
      <c r="G437" s="39" t="str">
        <v>E01</v>
      </c>
      <c r="H437" s="39"/>
      <c r="I437" s="39"/>
    </row>
    <row r="438" ht="43" customHeight="1">
      <c r="A438" s="2" t="str">
        <v>AV03 / api</v>
      </c>
      <c r="B438" s="26" t="str">
        <v>08 Disponibilitate</v>
      </c>
      <c r="C438" s="26" t="str">
        <v>Compatibilitate cu instanța voastră probată</v>
      </c>
      <c r="D438" s="26" t="str">
        <v>EVA API</v>
      </c>
      <c r="E438" s="38" t="str">
        <v>? Neconfirmat</v>
      </c>
      <c r="F438" s="26" t="str">
        <v>Revizia din repository nu a fost corelată cu instanța activă.</v>
      </c>
      <c r="G438" s="39" t="str">
        <v>E08</v>
      </c>
      <c r="H438" s="39"/>
      <c r="I438" s="39"/>
    </row>
    <row r="439" ht="43" customHeight="1">
      <c r="A439" s="2" t="str">
        <v>AV03 / portal</v>
      </c>
      <c r="B439" s="26" t="str">
        <v>08 Disponibilitate</v>
      </c>
      <c r="C439" s="26" t="str">
        <v>Compatibilitate cu instanța voastră probată</v>
      </c>
      <c r="D439" s="26" t="str">
        <v>EVA portal</v>
      </c>
      <c r="E439" s="38" t="str">
        <v>? Neconfirmat</v>
      </c>
      <c r="F439" s="26" t="str">
        <v>Revizia din repository nu a fost corelată cu instanța activă.</v>
      </c>
      <c r="G439" s="39" t="str">
        <v>E12</v>
      </c>
      <c r="H439" s="39"/>
      <c r="I439" s="39"/>
    </row>
    <row r="440" ht="43" customHeight="1">
      <c r="A440" s="2" t="str">
        <v>AV03 / base</v>
      </c>
      <c r="B440" s="26" t="str">
        <v>08 Disponibilitate</v>
      </c>
      <c r="C440" s="26" t="str">
        <v>Compatibilitate cu instanța voastră probată</v>
      </c>
      <c r="D440" s="26" t="str">
        <v>iDempiere standard</v>
      </c>
      <c r="E440" s="38" t="str">
        <v>? Neconfirmat</v>
      </c>
      <c r="F440" s="26" t="str">
        <v>Funcția nu este confirmată în sursele consultate pentru această variantă. Nu înseamnă absență.</v>
      </c>
      <c r="G440" s="39" t="str">
        <v>S02</v>
      </c>
      <c r="H440" s="39"/>
      <c r="I440" s="39"/>
    </row>
    <row r="441" ht="43" customHeight="1">
      <c r="A441" s="2" t="str">
        <v>AV03 / red1</v>
      </c>
      <c r="B441" s="26" t="str">
        <v>08 Disponibilitate</v>
      </c>
      <c r="C441" s="26" t="str">
        <v>Compatibilitate cu instanța voastră probată</v>
      </c>
      <c r="D441" s="26" t="str">
        <v>Red1 / SYSNOVA WMS</v>
      </c>
      <c r="E441" s="38" t="str">
        <v>? Neconfirmat</v>
      </c>
      <c r="F441" s="26" t="str">
        <v>Funcția nu este confirmată în sursele consultate pentru această variantă. Nu înseamnă absență.</v>
      </c>
      <c r="G441" s="39" t="str">
        <v>S11</v>
      </c>
      <c r="H441" s="39"/>
      <c r="I441" s="39"/>
    </row>
    <row r="442" ht="43" customHeight="1">
      <c r="A442" s="2" t="str">
        <v>AV03 / libero</v>
      </c>
      <c r="B442" s="26" t="str">
        <v>08 Disponibilitate</v>
      </c>
      <c r="C442" s="26" t="str">
        <v>Compatibilitate cu instanța voastră probată</v>
      </c>
      <c r="D442" s="26" t="str">
        <v>Libero Warehousing</v>
      </c>
      <c r="E442" s="38" t="str">
        <v>? Neconfirmat</v>
      </c>
      <c r="F442" s="26" t="str">
        <v>Funcția nu este confirmată în sursele consultate pentru această variantă. Nu înseamnă absență.</v>
      </c>
      <c r="G442" s="39" t="str">
        <v>S12</v>
      </c>
      <c r="H442" s="39"/>
      <c r="I442" s="39"/>
    </row>
    <row r="443" ht="43" customHeight="1">
      <c r="A443" s="2" t="str">
        <v>AV03 / mywms</v>
      </c>
      <c r="B443" s="26" t="str">
        <v>08 Disponibilitate</v>
      </c>
      <c r="C443" s="26" t="str">
        <v>Compatibilitate cu instanța voastră probată</v>
      </c>
      <c r="D443" s="26" t="str">
        <v>myWMS Release 2</v>
      </c>
      <c r="E443" s="38" t="str">
        <v>? Neconfirmat</v>
      </c>
      <c r="F443" s="26" t="str">
        <v>Funcția nu este confirmată în sursele consultate pentru această variantă. Nu înseamnă absență.</v>
      </c>
      <c r="G443" s="39" t="str">
        <v>S25</v>
      </c>
      <c r="H443" s="39"/>
      <c r="I443" s="39"/>
    </row>
    <row r="444" ht="43" customHeight="1">
      <c r="A444" s="2" t="str">
        <v>AV03 / openboxes</v>
      </c>
      <c r="B444" s="26" t="str">
        <v>08 Disponibilitate</v>
      </c>
      <c r="C444" s="26" t="str">
        <v>Compatibilitate cu instanța voastră probată</v>
      </c>
      <c r="D444" s="26" t="str">
        <v>OpenBoxes</v>
      </c>
      <c r="E444" s="38" t="str">
        <v>? Neconfirmat</v>
      </c>
      <c r="F444" s="26" t="str">
        <v>Funcția nu este confirmată în sursele consultate pentru această variantă. Nu înseamnă absență.</v>
      </c>
      <c r="G444" s="39" t="str">
        <v>S16</v>
      </c>
      <c r="H444" s="39"/>
      <c r="I444" s="39"/>
    </row>
    <row r="445" ht="43" customHeight="1">
      <c r="A445" s="2" t="str">
        <v>AV03 / greater</v>
      </c>
      <c r="B445" s="26" t="str">
        <v>08 Disponibilitate</v>
      </c>
      <c r="C445" s="26" t="str">
        <v>Compatibilitate cu instanța voastră probată</v>
      </c>
      <c r="D445" s="26" t="str">
        <v>GreaterWMS</v>
      </c>
      <c r="E445" s="38" t="str">
        <v>? Neconfirmat</v>
      </c>
      <c r="F445" s="26" t="str">
        <v>Funcția nu este confirmată în sursele consultate pentru această variantă. Nu înseamnă absență.</v>
      </c>
      <c r="G445" s="39" t="str">
        <v>S33</v>
      </c>
      <c r="H445" s="39"/>
      <c r="I445" s="39"/>
    </row>
    <row r="446" ht="43" customHeight="1">
      <c r="A446" s="2" t="str">
        <v>AV03 / openwms</v>
      </c>
      <c r="B446" s="26" t="str">
        <v>08 Disponibilitate</v>
      </c>
      <c r="C446" s="26" t="str">
        <v>Compatibilitate cu instanța voastră probată</v>
      </c>
      <c r="D446" s="26" t="str">
        <v>OpenWMS</v>
      </c>
      <c r="E446" s="38" t="str">
        <v>? Neconfirmat</v>
      </c>
      <c r="F446" s="26" t="str">
        <v>Funcția nu este confirmată în sursele consultate pentru această variantă. Nu înseamnă absență.</v>
      </c>
      <c r="G446" s="39" t="str">
        <v>S38</v>
      </c>
      <c r="H446" s="39"/>
      <c r="I446" s="39"/>
    </row>
    <row r="447" ht="43" customHeight="1">
      <c r="A447" s="2" t="str">
        <v>AV03 / scan</v>
      </c>
      <c r="B447" s="26" t="str">
        <v>08 Disponibilitate</v>
      </c>
      <c r="C447" s="26" t="str">
        <v>Compatibilitate cu instanța voastră probată</v>
      </c>
      <c r="D447" s="26" t="str">
        <v>Android Scan Write</v>
      </c>
      <c r="E447" s="38" t="str">
        <v>? Neconfirmat</v>
      </c>
      <c r="F447" s="26" t="str">
        <v>Funcția nu este confirmată în sursele consultate pentru această variantă. Nu înseamnă absență.</v>
      </c>
      <c r="G447" s="39" t="str">
        <v>S39</v>
      </c>
      <c r="H447" s="39"/>
      <c r="I447" s="39"/>
    </row>
    <row r="448" ht="43" customHeight="1">
      <c r="A448" s="2" t="str">
        <v>AV03 / tms</v>
      </c>
      <c r="B448" s="26" t="str">
        <v>08 Disponibilitate</v>
      </c>
      <c r="C448" s="26" t="str">
        <v>Compatibilitate cu instanța voastră probată</v>
      </c>
      <c r="D448" s="26" t="str">
        <v>TMS iDempiere</v>
      </c>
      <c r="E448" s="38" t="str">
        <v>? Neconfirmat</v>
      </c>
      <c r="F448" s="26" t="str">
        <v>Funcția nu este confirmată în sursele consultate pentru această variantă. Nu înseamnă absență.</v>
      </c>
      <c r="G448" s="39" t="str">
        <v>S40</v>
      </c>
      <c r="H448" s="39"/>
      <c r="I448" s="39"/>
    </row>
    <row r="449" ht="43" customHeight="1">
      <c r="A449" s="2" t="str">
        <v>AV03 / mobile</v>
      </c>
      <c r="B449" s="26" t="str">
        <v>08 Disponibilitate</v>
      </c>
      <c r="C449" s="26" t="str">
        <v>Compatibilitate cu instanța voastră probată</v>
      </c>
      <c r="D449" s="26" t="str">
        <v>SCM iDempiere Mobile</v>
      </c>
      <c r="E449" s="38" t="str">
        <v>? Neconfirmat</v>
      </c>
      <c r="F449" s="26" t="str">
        <v>Funcția nu este confirmată în sursele consultate pentru această variantă. Nu înseamnă absență.</v>
      </c>
      <c r="G449" s="39" t="str">
        <v>S41</v>
      </c>
      <c r="H449" s="39"/>
      <c r="I449" s="39"/>
    </row>
  </sheetData>
  <conditionalFormatting sqref="E8:E449">
    <cfRule type="expression" dxfId="5" priority="1">
      <formula>E8="✓ Da"</formula>
    </cfRule>
    <cfRule type="expression" dxfId="6" priority="2">
      <formula>E8="◐ Parțial"</formula>
    </cfRule>
    <cfRule type="expression" dxfId="7" priority="3">
      <formula>E8="✗ Nu"</formula>
    </cfRule>
    <cfRule type="expression" dxfId="8" priority="4">
      <formula>E8="? Neconfirmat"</formula>
    </cfRule>
    <cfRule type="expression" dxfId="9" priority="5">
      <formula>E8="— N/A"</formula>
    </cfRule>
  </conditionalFormatting>
  <dataValidations count="1">
    <dataValidation type="list" sqref="E8:E449">
      <formula1>"✓ Da,◐ Parțial,✗ Nu,? Neconfirmat,— N/A"</formula1>
    </dataValidation>
  </dataValidations>
  <hyperlinks>
    <hyperlink ref="G8" r:id="wmsLink1"/>
    <hyperlink ref="H8" r:id="wmsLink2"/>
    <hyperlink ref="G9" r:id="wmsLink3"/>
    <hyperlink ref="G10" r:id="wmsLink4"/>
    <hyperlink ref="G11" r:id="wmsLink5"/>
    <hyperlink ref="G12" r:id="wmsLink6"/>
    <hyperlink ref="G13" r:id="wmsLink7"/>
    <hyperlink ref="G14" r:id="wmsLink8"/>
    <hyperlink ref="G15" r:id="wmsLink9"/>
    <hyperlink ref="G16" r:id="wmsLink10"/>
    <hyperlink ref="G17" r:id="wmsLink11"/>
    <hyperlink ref="G18" r:id="wmsLink12"/>
    <hyperlink ref="G19" r:id="wmsLink13"/>
    <hyperlink ref="G20" r:id="wmsLink14"/>
    <hyperlink ref="G21" r:id="wmsLink15"/>
    <hyperlink ref="G22" r:id="wmsLink16"/>
    <hyperlink ref="G23" r:id="wmsLink17"/>
    <hyperlink ref="G24" r:id="wmsLink18"/>
    <hyperlink ref="G25" r:id="wmsLink19"/>
    <hyperlink ref="G26" r:id="wmsLink20"/>
    <hyperlink ref="G27" r:id="wmsLink21"/>
    <hyperlink ref="G28" r:id="wmsLink22"/>
    <hyperlink ref="G29" r:id="wmsLink23"/>
    <hyperlink ref="G30" r:id="wmsLink24"/>
    <hyperlink ref="G31" r:id="wmsLink25"/>
    <hyperlink ref="G32" r:id="wmsLink26"/>
    <hyperlink ref="G33" r:id="wmsLink27"/>
    <hyperlink ref="G34" r:id="wmsLink28"/>
    <hyperlink ref="G35" r:id="wmsLink29"/>
    <hyperlink ref="G36" r:id="wmsLink30"/>
    <hyperlink ref="G37" r:id="wmsLink31"/>
    <hyperlink ref="G38" r:id="wmsLink32"/>
    <hyperlink ref="G39" r:id="wmsLink33"/>
    <hyperlink ref="G40" r:id="wmsLink34"/>
    <hyperlink ref="G41" r:id="wmsLink35"/>
    <hyperlink ref="G42" r:id="wmsLink36"/>
    <hyperlink ref="G43" r:id="wmsLink37"/>
    <hyperlink ref="G44" r:id="wmsLink38"/>
    <hyperlink ref="G45" r:id="wmsLink39"/>
    <hyperlink ref="G46" r:id="wmsLink40"/>
    <hyperlink ref="G47" r:id="wmsLink41"/>
    <hyperlink ref="H47" r:id="wmsLink42"/>
    <hyperlink ref="G48" r:id="wmsLink43"/>
    <hyperlink ref="H48" r:id="wmsLink44"/>
    <hyperlink ref="G49" r:id="wmsLink45"/>
    <hyperlink ref="G50" r:id="wmsLink46"/>
    <hyperlink ref="G51" r:id="wmsLink47"/>
    <hyperlink ref="G52" r:id="wmsLink48"/>
    <hyperlink ref="H52" r:id="wmsLink49"/>
    <hyperlink ref="G53" r:id="wmsLink50"/>
    <hyperlink ref="G54" r:id="wmsLink51"/>
    <hyperlink ref="G55" r:id="wmsLink52"/>
    <hyperlink ref="G56" r:id="wmsLink53"/>
    <hyperlink ref="G57" r:id="wmsLink54"/>
    <hyperlink ref="G58" r:id="wmsLink55"/>
    <hyperlink ref="G59" r:id="wmsLink56"/>
    <hyperlink ref="G60" r:id="wmsLink57"/>
    <hyperlink ref="G61" r:id="wmsLink58"/>
    <hyperlink ref="H61" r:id="wmsLink59"/>
    <hyperlink ref="G62" r:id="wmsLink60"/>
    <hyperlink ref="G63" r:id="wmsLink61"/>
    <hyperlink ref="G64" r:id="wmsLink62"/>
    <hyperlink ref="G65" r:id="wmsLink63"/>
    <hyperlink ref="H65" r:id="wmsLink64"/>
    <hyperlink ref="G66" r:id="wmsLink65"/>
    <hyperlink ref="G67" r:id="wmsLink66"/>
    <hyperlink ref="G68" r:id="wmsLink67"/>
    <hyperlink ref="G69" r:id="wmsLink68"/>
    <hyperlink ref="G70" r:id="wmsLink69"/>
    <hyperlink ref="G71" r:id="wmsLink70"/>
    <hyperlink ref="G72" r:id="wmsLink71"/>
    <hyperlink ref="G73" r:id="wmsLink72"/>
    <hyperlink ref="H73" r:id="wmsLink73"/>
    <hyperlink ref="G74" r:id="wmsLink74"/>
    <hyperlink ref="H74" r:id="wmsLink75"/>
    <hyperlink ref="G75" r:id="wmsLink76"/>
    <hyperlink ref="G76" r:id="wmsLink77"/>
    <hyperlink ref="G77" r:id="wmsLink78"/>
    <hyperlink ref="G78" r:id="wmsLink79"/>
    <hyperlink ref="H78" r:id="wmsLink80"/>
    <hyperlink ref="G79" r:id="wmsLink81"/>
    <hyperlink ref="H79" r:id="wmsLink82"/>
    <hyperlink ref="G80" r:id="wmsLink83"/>
    <hyperlink ref="G81" r:id="wmsLink84"/>
    <hyperlink ref="G82" r:id="wmsLink85"/>
    <hyperlink ref="G83" r:id="wmsLink86"/>
    <hyperlink ref="G84" r:id="wmsLink87"/>
    <hyperlink ref="G85" r:id="wmsLink88"/>
    <hyperlink ref="G86" r:id="wmsLink89"/>
    <hyperlink ref="H86" r:id="wmsLink90"/>
    <hyperlink ref="G87" r:id="wmsLink91"/>
    <hyperlink ref="H87" r:id="wmsLink92"/>
    <hyperlink ref="G88" r:id="wmsLink93"/>
    <hyperlink ref="G89" r:id="wmsLink94"/>
    <hyperlink ref="G90" r:id="wmsLink95"/>
    <hyperlink ref="G91" r:id="wmsLink96"/>
    <hyperlink ref="H91" r:id="wmsLink97"/>
    <hyperlink ref="G92" r:id="wmsLink98"/>
    <hyperlink ref="G93" r:id="wmsLink99"/>
    <hyperlink ref="G94" r:id="wmsLink100"/>
    <hyperlink ref="G95" r:id="wmsLink101"/>
    <hyperlink ref="G96" r:id="wmsLink102"/>
    <hyperlink ref="G97" r:id="wmsLink103"/>
    <hyperlink ref="G98" r:id="wmsLink104"/>
    <hyperlink ref="G99" r:id="wmsLink105"/>
    <hyperlink ref="G100" r:id="wmsLink106"/>
    <hyperlink ref="H100" r:id="wmsLink107"/>
    <hyperlink ref="G101" r:id="wmsLink108"/>
    <hyperlink ref="G102" r:id="wmsLink109"/>
    <hyperlink ref="H102" r:id="wmsLink110"/>
    <hyperlink ref="G103" r:id="wmsLink111"/>
    <hyperlink ref="G104" r:id="wmsLink112"/>
    <hyperlink ref="H104" r:id="wmsLink113"/>
    <hyperlink ref="G105" r:id="wmsLink114"/>
    <hyperlink ref="H105" r:id="wmsLink115"/>
    <hyperlink ref="G106" r:id="wmsLink116"/>
    <hyperlink ref="H106" r:id="wmsLink117"/>
    <hyperlink ref="G107" r:id="wmsLink118"/>
    <hyperlink ref="G108" r:id="wmsLink119"/>
    <hyperlink ref="G109" r:id="wmsLink120"/>
    <hyperlink ref="G110" r:id="wmsLink121"/>
    <hyperlink ref="G111" r:id="wmsLink122"/>
    <hyperlink ref="G112" r:id="wmsLink123"/>
    <hyperlink ref="G113" r:id="wmsLink124"/>
    <hyperlink ref="H113" r:id="wmsLink125"/>
    <hyperlink ref="G114" r:id="wmsLink126"/>
    <hyperlink ref="G115" r:id="wmsLink127"/>
    <hyperlink ref="G116" r:id="wmsLink128"/>
    <hyperlink ref="G117" r:id="wmsLink129"/>
    <hyperlink ref="G118" r:id="wmsLink130"/>
    <hyperlink ref="G119" r:id="wmsLink131"/>
    <hyperlink ref="G120" r:id="wmsLink132"/>
    <hyperlink ref="G121" r:id="wmsLink133"/>
    <hyperlink ref="G122" r:id="wmsLink134"/>
    <hyperlink ref="G123" r:id="wmsLink135"/>
    <hyperlink ref="G124" r:id="wmsLink136"/>
    <hyperlink ref="G125" r:id="wmsLink137"/>
    <hyperlink ref="G126" r:id="wmsLink138"/>
    <hyperlink ref="G127" r:id="wmsLink139"/>
    <hyperlink ref="G128" r:id="wmsLink140"/>
    <hyperlink ref="G129" r:id="wmsLink141"/>
    <hyperlink ref="G130" r:id="wmsLink142"/>
    <hyperlink ref="G131" r:id="wmsLink143"/>
    <hyperlink ref="G132" r:id="wmsLink144"/>
    <hyperlink ref="H132" r:id="wmsLink145"/>
    <hyperlink ref="G133" r:id="wmsLink146"/>
    <hyperlink ref="G134" r:id="wmsLink147"/>
    <hyperlink ref="G135" r:id="wmsLink148"/>
    <hyperlink ref="G136" r:id="wmsLink149"/>
    <hyperlink ref="G137" r:id="wmsLink150"/>
    <hyperlink ref="G138" r:id="wmsLink151"/>
    <hyperlink ref="G139" r:id="wmsLink152"/>
    <hyperlink ref="G140" r:id="wmsLink153"/>
    <hyperlink ref="G141" r:id="wmsLink154"/>
    <hyperlink ref="G142" r:id="wmsLink155"/>
    <hyperlink ref="G143" r:id="wmsLink156"/>
    <hyperlink ref="G144" r:id="wmsLink157"/>
    <hyperlink ref="G145" r:id="wmsLink158"/>
    <hyperlink ref="G146" r:id="wmsLink159"/>
    <hyperlink ref="G147" r:id="wmsLink160"/>
    <hyperlink ref="H147" r:id="wmsLink161"/>
    <hyperlink ref="G148" r:id="wmsLink162"/>
    <hyperlink ref="G149" r:id="wmsLink163"/>
    <hyperlink ref="G150" r:id="wmsLink164"/>
    <hyperlink ref="G151" r:id="wmsLink165"/>
    <hyperlink ref="G152" r:id="wmsLink166"/>
    <hyperlink ref="G153" r:id="wmsLink167"/>
    <hyperlink ref="G154" r:id="wmsLink168"/>
    <hyperlink ref="G155" r:id="wmsLink169"/>
    <hyperlink ref="G156" r:id="wmsLink170"/>
    <hyperlink ref="G157" r:id="wmsLink171"/>
    <hyperlink ref="H157" r:id="wmsLink172"/>
    <hyperlink ref="G158" r:id="wmsLink173"/>
    <hyperlink ref="H158" r:id="wmsLink174"/>
    <hyperlink ref="G159" r:id="wmsLink175"/>
    <hyperlink ref="G160" r:id="wmsLink176"/>
    <hyperlink ref="G161" r:id="wmsLink177"/>
    <hyperlink ref="G162" r:id="wmsLink178"/>
    <hyperlink ref="G163" r:id="wmsLink179"/>
    <hyperlink ref="G164" r:id="wmsLink180"/>
    <hyperlink ref="G165" r:id="wmsLink181"/>
    <hyperlink ref="G166" r:id="wmsLink182"/>
    <hyperlink ref="G167" r:id="wmsLink183"/>
    <hyperlink ref="G168" r:id="wmsLink184"/>
    <hyperlink ref="G169" r:id="wmsLink185"/>
    <hyperlink ref="G170" r:id="wmsLink186"/>
    <hyperlink ref="G171" r:id="wmsLink187"/>
    <hyperlink ref="G172" r:id="wmsLink188"/>
    <hyperlink ref="G173" r:id="wmsLink189"/>
    <hyperlink ref="G174" r:id="wmsLink190"/>
    <hyperlink ref="G175" r:id="wmsLink191"/>
    <hyperlink ref="G176" r:id="wmsLink192"/>
    <hyperlink ref="G177" r:id="wmsLink193"/>
    <hyperlink ref="G178" r:id="wmsLink194"/>
    <hyperlink ref="G179" r:id="wmsLink195"/>
    <hyperlink ref="G180" r:id="wmsLink196"/>
    <hyperlink ref="G181" r:id="wmsLink197"/>
    <hyperlink ref="G182" r:id="wmsLink198"/>
    <hyperlink ref="G183" r:id="wmsLink199"/>
    <hyperlink ref="G184" r:id="wmsLink200"/>
    <hyperlink ref="G185" r:id="wmsLink201"/>
    <hyperlink ref="G186" r:id="wmsLink202"/>
    <hyperlink ref="G187" r:id="wmsLink203"/>
    <hyperlink ref="G188" r:id="wmsLink204"/>
    <hyperlink ref="G189" r:id="wmsLink205"/>
    <hyperlink ref="G190" r:id="wmsLink206"/>
    <hyperlink ref="G191" r:id="wmsLink207"/>
    <hyperlink ref="G192" r:id="wmsLink208"/>
    <hyperlink ref="G193" r:id="wmsLink209"/>
    <hyperlink ref="G194" r:id="wmsLink210"/>
    <hyperlink ref="G195" r:id="wmsLink211"/>
    <hyperlink ref="G196" r:id="wmsLink212"/>
    <hyperlink ref="G197" r:id="wmsLink213"/>
    <hyperlink ref="G198" r:id="wmsLink214"/>
    <hyperlink ref="G199" r:id="wmsLink215"/>
    <hyperlink ref="G200" r:id="wmsLink216"/>
    <hyperlink ref="G201" r:id="wmsLink217"/>
    <hyperlink ref="G202" r:id="wmsLink218"/>
    <hyperlink ref="G203" r:id="wmsLink219"/>
    <hyperlink ref="G204" r:id="wmsLink220"/>
    <hyperlink ref="G205" r:id="wmsLink221"/>
    <hyperlink ref="G206" r:id="wmsLink222"/>
    <hyperlink ref="G207" r:id="wmsLink223"/>
    <hyperlink ref="G208" r:id="wmsLink224"/>
    <hyperlink ref="G209" r:id="wmsLink225"/>
    <hyperlink ref="G210" r:id="wmsLink226"/>
    <hyperlink ref="G211" r:id="wmsLink227"/>
    <hyperlink ref="G212" r:id="wmsLink228"/>
    <hyperlink ref="G213" r:id="wmsLink229"/>
    <hyperlink ref="G214" r:id="wmsLink230"/>
    <hyperlink ref="G215" r:id="wmsLink231"/>
    <hyperlink ref="G216" r:id="wmsLink232"/>
    <hyperlink ref="G217" r:id="wmsLink233"/>
    <hyperlink ref="G218" r:id="wmsLink234"/>
    <hyperlink ref="G219" r:id="wmsLink235"/>
    <hyperlink ref="G220" r:id="wmsLink236"/>
    <hyperlink ref="G221" r:id="wmsLink237"/>
    <hyperlink ref="G222" r:id="wmsLink238"/>
    <hyperlink ref="H222" r:id="wmsLink239"/>
    <hyperlink ref="G223" r:id="wmsLink240"/>
    <hyperlink ref="G224" r:id="wmsLink241"/>
    <hyperlink ref="G225" r:id="wmsLink242"/>
    <hyperlink ref="G226" r:id="wmsLink243"/>
    <hyperlink ref="G227" r:id="wmsLink244"/>
    <hyperlink ref="G228" r:id="wmsLink245"/>
    <hyperlink ref="G229" r:id="wmsLink246"/>
    <hyperlink ref="G230" r:id="wmsLink247"/>
    <hyperlink ref="H230" r:id="wmsLink248"/>
    <hyperlink ref="G231" r:id="wmsLink249"/>
    <hyperlink ref="G232" r:id="wmsLink250"/>
    <hyperlink ref="G233" r:id="wmsLink251"/>
    <hyperlink ref="G234" r:id="wmsLink252"/>
    <hyperlink ref="H234" r:id="wmsLink253"/>
    <hyperlink ref="G235" r:id="wmsLink254"/>
    <hyperlink ref="G236" r:id="wmsLink255"/>
    <hyperlink ref="G237" r:id="wmsLink256"/>
    <hyperlink ref="G238" r:id="wmsLink257"/>
    <hyperlink ref="G239" r:id="wmsLink258"/>
    <hyperlink ref="G240" r:id="wmsLink259"/>
    <hyperlink ref="G241" r:id="wmsLink260"/>
    <hyperlink ref="G242" r:id="wmsLink261"/>
    <hyperlink ref="G243" r:id="wmsLink262"/>
    <hyperlink ref="G244" r:id="wmsLink263"/>
    <hyperlink ref="G245" r:id="wmsLink264"/>
    <hyperlink ref="G246" r:id="wmsLink265"/>
    <hyperlink ref="G247" r:id="wmsLink266"/>
    <hyperlink ref="G248" r:id="wmsLink267"/>
    <hyperlink ref="G249" r:id="wmsLink268"/>
    <hyperlink ref="G250" r:id="wmsLink269"/>
    <hyperlink ref="G251" r:id="wmsLink270"/>
    <hyperlink ref="G252" r:id="wmsLink271"/>
    <hyperlink ref="G253" r:id="wmsLink272"/>
    <hyperlink ref="G254" r:id="wmsLink273"/>
    <hyperlink ref="G255" r:id="wmsLink274"/>
    <hyperlink ref="G256" r:id="wmsLink275"/>
    <hyperlink ref="H256" r:id="wmsLink276"/>
    <hyperlink ref="G257" r:id="wmsLink277"/>
    <hyperlink ref="G258" r:id="wmsLink278"/>
    <hyperlink ref="G259" r:id="wmsLink279"/>
    <hyperlink ref="H259" r:id="wmsLink280"/>
    <hyperlink ref="G260" r:id="wmsLink281"/>
    <hyperlink ref="H260" r:id="wmsLink282"/>
    <hyperlink ref="G261" r:id="wmsLink283"/>
    <hyperlink ref="G262" r:id="wmsLink284"/>
    <hyperlink ref="G263" r:id="wmsLink285"/>
    <hyperlink ref="G264" r:id="wmsLink286"/>
    <hyperlink ref="G265" r:id="wmsLink287"/>
    <hyperlink ref="G266" r:id="wmsLink288"/>
    <hyperlink ref="G267" r:id="wmsLink289"/>
    <hyperlink ref="G268" r:id="wmsLink290"/>
    <hyperlink ref="G269" r:id="wmsLink291"/>
    <hyperlink ref="G270" r:id="wmsLink292"/>
    <hyperlink ref="G271" r:id="wmsLink293"/>
    <hyperlink ref="G272" r:id="wmsLink294"/>
    <hyperlink ref="G273" r:id="wmsLink295"/>
    <hyperlink ref="G274" r:id="wmsLink296"/>
    <hyperlink ref="G275" r:id="wmsLink297"/>
    <hyperlink ref="G276" r:id="wmsLink298"/>
    <hyperlink ref="G277" r:id="wmsLink299"/>
    <hyperlink ref="G278" r:id="wmsLink300"/>
    <hyperlink ref="G279" r:id="wmsLink301"/>
    <hyperlink ref="G280" r:id="wmsLink302"/>
    <hyperlink ref="G281" r:id="wmsLink303"/>
    <hyperlink ref="G282" r:id="wmsLink304"/>
    <hyperlink ref="G283" r:id="wmsLink305"/>
    <hyperlink ref="G284" r:id="wmsLink306"/>
    <hyperlink ref="G285" r:id="wmsLink307"/>
    <hyperlink ref="G286" r:id="wmsLink308"/>
    <hyperlink ref="G287" r:id="wmsLink309"/>
    <hyperlink ref="G288" r:id="wmsLink310"/>
    <hyperlink ref="G289" r:id="wmsLink311"/>
    <hyperlink ref="G290" r:id="wmsLink312"/>
    <hyperlink ref="G291" r:id="wmsLink313"/>
    <hyperlink ref="G292" r:id="wmsLink314"/>
    <hyperlink ref="G293" r:id="wmsLink315"/>
    <hyperlink ref="G294" r:id="wmsLink316"/>
    <hyperlink ref="H294" r:id="wmsLink317"/>
    <hyperlink ref="G295" r:id="wmsLink318"/>
    <hyperlink ref="H295" r:id="wmsLink319"/>
    <hyperlink ref="G296" r:id="wmsLink320"/>
    <hyperlink ref="G297" r:id="wmsLink321"/>
    <hyperlink ref="G298" r:id="wmsLink322"/>
    <hyperlink ref="H298" r:id="wmsLink323"/>
    <hyperlink ref="G299" r:id="wmsLink324"/>
    <hyperlink ref="H299" r:id="wmsLink325"/>
    <hyperlink ref="G300" r:id="wmsLink326"/>
    <hyperlink ref="G301" r:id="wmsLink327"/>
    <hyperlink ref="G302" r:id="wmsLink328"/>
    <hyperlink ref="G303" r:id="wmsLink329"/>
    <hyperlink ref="G304" r:id="wmsLink330"/>
    <hyperlink ref="G305" r:id="wmsLink331"/>
    <hyperlink ref="G306" r:id="wmsLink332"/>
    <hyperlink ref="G307" r:id="wmsLink333"/>
    <hyperlink ref="H307" r:id="wmsLink334"/>
    <hyperlink ref="G308" r:id="wmsLink335"/>
    <hyperlink ref="H308" r:id="wmsLink336"/>
    <hyperlink ref="G309" r:id="wmsLink337"/>
    <hyperlink ref="G310" r:id="wmsLink338"/>
    <hyperlink ref="H310" r:id="wmsLink339"/>
    <hyperlink ref="G311" r:id="wmsLink340"/>
    <hyperlink ref="G312" r:id="wmsLink341"/>
    <hyperlink ref="G313" r:id="wmsLink342"/>
    <hyperlink ref="G314" r:id="wmsLink343"/>
    <hyperlink ref="H314" r:id="wmsLink344"/>
    <hyperlink ref="G315" r:id="wmsLink345"/>
    <hyperlink ref="G316" r:id="wmsLink346"/>
    <hyperlink ref="G317" r:id="wmsLink347"/>
    <hyperlink ref="G318" r:id="wmsLink348"/>
    <hyperlink ref="G319" r:id="wmsLink349"/>
    <hyperlink ref="G320" r:id="wmsLink350"/>
    <hyperlink ref="G321" r:id="wmsLink351"/>
    <hyperlink ref="G322" r:id="wmsLink352"/>
    <hyperlink ref="G323" r:id="wmsLink353"/>
    <hyperlink ref="G324" r:id="wmsLink354"/>
    <hyperlink ref="H324" r:id="wmsLink355"/>
    <hyperlink ref="G325" r:id="wmsLink356"/>
    <hyperlink ref="H325" r:id="wmsLink357"/>
    <hyperlink ref="G326" r:id="wmsLink358"/>
    <hyperlink ref="G327" r:id="wmsLink359"/>
    <hyperlink ref="G328" r:id="wmsLink360"/>
    <hyperlink ref="G329" r:id="wmsLink361"/>
    <hyperlink ref="G330" r:id="wmsLink362"/>
    <hyperlink ref="G331" r:id="wmsLink363"/>
    <hyperlink ref="G332" r:id="wmsLink364"/>
    <hyperlink ref="G333" r:id="wmsLink365"/>
    <hyperlink ref="G334" r:id="wmsLink366"/>
    <hyperlink ref="G335" r:id="wmsLink367"/>
    <hyperlink ref="G336" r:id="wmsLink368"/>
    <hyperlink ref="G337" r:id="wmsLink369"/>
    <hyperlink ref="H337" r:id="wmsLink370"/>
    <hyperlink ref="G338" r:id="wmsLink371"/>
    <hyperlink ref="G339" r:id="wmsLink372"/>
    <hyperlink ref="G340" r:id="wmsLink373"/>
    <hyperlink ref="G341" r:id="wmsLink374"/>
    <hyperlink ref="G342" r:id="wmsLink375"/>
    <hyperlink ref="G343" r:id="wmsLink376"/>
    <hyperlink ref="G344" r:id="wmsLink377"/>
    <hyperlink ref="G345" r:id="wmsLink378"/>
    <hyperlink ref="G346" r:id="wmsLink379"/>
    <hyperlink ref="G347" r:id="wmsLink380"/>
    <hyperlink ref="G348" r:id="wmsLink381"/>
    <hyperlink ref="G349" r:id="wmsLink382"/>
    <hyperlink ref="H349" r:id="wmsLink383"/>
    <hyperlink ref="G350" r:id="wmsLink384"/>
    <hyperlink ref="G351" r:id="wmsLink385"/>
    <hyperlink ref="H351" r:id="wmsLink386"/>
    <hyperlink ref="G352" r:id="wmsLink387"/>
    <hyperlink ref="G353" r:id="wmsLink388"/>
    <hyperlink ref="G354" r:id="wmsLink389"/>
    <hyperlink ref="G355" r:id="wmsLink390"/>
    <hyperlink ref="G356" r:id="wmsLink391"/>
    <hyperlink ref="G357" r:id="wmsLink392"/>
    <hyperlink ref="G358" r:id="wmsLink393"/>
    <hyperlink ref="G359" r:id="wmsLink394"/>
    <hyperlink ref="H359" r:id="wmsLink395"/>
    <hyperlink ref="G360" r:id="wmsLink396"/>
    <hyperlink ref="G361" r:id="wmsLink397"/>
    <hyperlink ref="G362" r:id="wmsLink398"/>
    <hyperlink ref="G363" r:id="wmsLink399"/>
    <hyperlink ref="H363" r:id="wmsLink400"/>
    <hyperlink ref="G364" r:id="wmsLink401"/>
    <hyperlink ref="G365" r:id="wmsLink402"/>
    <hyperlink ref="G366" r:id="wmsLink403"/>
    <hyperlink ref="G367" r:id="wmsLink404"/>
    <hyperlink ref="G368" r:id="wmsLink405"/>
    <hyperlink ref="G369" r:id="wmsLink406"/>
    <hyperlink ref="G370" r:id="wmsLink407"/>
    <hyperlink ref="G371" r:id="wmsLink408"/>
    <hyperlink ref="G372" r:id="wmsLink409"/>
    <hyperlink ref="G373" r:id="wmsLink410"/>
    <hyperlink ref="H373" r:id="wmsLink411"/>
    <hyperlink ref="G374" r:id="wmsLink412"/>
    <hyperlink ref="G375" r:id="wmsLink413"/>
    <hyperlink ref="H375" r:id="wmsLink414"/>
    <hyperlink ref="G376" r:id="wmsLink415"/>
    <hyperlink ref="H376" r:id="wmsLink416"/>
    <hyperlink ref="G377" r:id="wmsLink417"/>
    <hyperlink ref="H377" r:id="wmsLink418"/>
    <hyperlink ref="G378" r:id="wmsLink419"/>
    <hyperlink ref="G379" r:id="wmsLink420"/>
    <hyperlink ref="H379" r:id="wmsLink421"/>
    <hyperlink ref="G380" r:id="wmsLink422"/>
    <hyperlink ref="G381" r:id="wmsLink423"/>
    <hyperlink ref="H381" r:id="wmsLink424"/>
    <hyperlink ref="G382" r:id="wmsLink425"/>
    <hyperlink ref="G383" r:id="wmsLink426"/>
    <hyperlink ref="G384" r:id="wmsLink427"/>
    <hyperlink ref="G385" r:id="wmsLink428"/>
    <hyperlink ref="G386" r:id="wmsLink429"/>
    <hyperlink ref="G387" r:id="wmsLink430"/>
    <hyperlink ref="G388" r:id="wmsLink431"/>
    <hyperlink ref="G389" r:id="wmsLink432"/>
    <hyperlink ref="G390" r:id="wmsLink433"/>
    <hyperlink ref="G391" r:id="wmsLink434"/>
    <hyperlink ref="G392" r:id="wmsLink435"/>
    <hyperlink ref="G393" r:id="wmsLink436"/>
    <hyperlink ref="G394" r:id="wmsLink437"/>
    <hyperlink ref="G395" r:id="wmsLink438"/>
    <hyperlink ref="G396" r:id="wmsLink439"/>
    <hyperlink ref="G397" r:id="wmsLink440"/>
    <hyperlink ref="G398" r:id="wmsLink441"/>
    <hyperlink ref="G399" r:id="wmsLink442"/>
    <hyperlink ref="G400" r:id="wmsLink443"/>
    <hyperlink ref="G401" r:id="wmsLink444"/>
    <hyperlink ref="G402" r:id="wmsLink445"/>
    <hyperlink ref="G403" r:id="wmsLink446"/>
    <hyperlink ref="G404" r:id="wmsLink447"/>
    <hyperlink ref="H404" r:id="wmsLink448"/>
    <hyperlink ref="G405" r:id="wmsLink449"/>
    <hyperlink ref="G406" r:id="wmsLink450"/>
    <hyperlink ref="G407" r:id="wmsLink451"/>
    <hyperlink ref="G408" r:id="wmsLink452"/>
    <hyperlink ref="G409" r:id="wmsLink453"/>
    <hyperlink ref="G410" r:id="wmsLink454"/>
    <hyperlink ref="G411" r:id="wmsLink455"/>
    <hyperlink ref="H411" r:id="wmsLink456"/>
    <hyperlink ref="G412" r:id="wmsLink457"/>
    <hyperlink ref="H412" r:id="wmsLink458"/>
    <hyperlink ref="G413" r:id="wmsLink459"/>
    <hyperlink ref="G414" r:id="wmsLink460"/>
    <hyperlink ref="G415" r:id="wmsLink461"/>
    <hyperlink ref="H415" r:id="wmsLink462"/>
    <hyperlink ref="G416" r:id="wmsLink463"/>
    <hyperlink ref="H416" r:id="wmsLink464"/>
    <hyperlink ref="G417" r:id="wmsLink465"/>
    <hyperlink ref="G418" r:id="wmsLink466"/>
    <hyperlink ref="G419" r:id="wmsLink467"/>
    <hyperlink ref="G420" r:id="wmsLink468"/>
    <hyperlink ref="G421" r:id="wmsLink469"/>
    <hyperlink ref="G422" r:id="wmsLink470"/>
    <hyperlink ref="G423" r:id="wmsLink471"/>
    <hyperlink ref="G424" r:id="wmsLink472"/>
    <hyperlink ref="G425" r:id="wmsLink473"/>
    <hyperlink ref="G426" r:id="wmsLink474"/>
    <hyperlink ref="G427" r:id="wmsLink475"/>
    <hyperlink ref="G428" r:id="wmsLink476"/>
    <hyperlink ref="G429" r:id="wmsLink477"/>
    <hyperlink ref="H429" r:id="wmsLink478"/>
    <hyperlink ref="G430" r:id="wmsLink479"/>
    <hyperlink ref="G431" r:id="wmsLink480"/>
    <hyperlink ref="G432" r:id="wmsLink481"/>
    <hyperlink ref="G433" r:id="wmsLink482"/>
    <hyperlink ref="G434" r:id="wmsLink483"/>
    <hyperlink ref="G435" r:id="wmsLink484"/>
    <hyperlink ref="G436" r:id="wmsLink485"/>
    <hyperlink ref="G437" r:id="wmsLink486"/>
    <hyperlink ref="G438" r:id="wmsLink487"/>
    <hyperlink ref="G439" r:id="wmsLink488"/>
    <hyperlink ref="G440" r:id="wmsLink489"/>
    <hyperlink ref="G441" r:id="wmsLink490"/>
    <hyperlink ref="G442" r:id="wmsLink491"/>
    <hyperlink ref="G443" r:id="wmsLink492"/>
    <hyperlink ref="G444" r:id="wmsLink493"/>
    <hyperlink ref="G445" r:id="wmsLink494"/>
    <hyperlink ref="G446" r:id="wmsLink495"/>
    <hyperlink ref="G447" r:id="wmsLink496"/>
    <hyperlink ref="G448" r:id="wmsLink497"/>
    <hyperlink ref="G449" r:id="wmsLink498"/>
  </hyperlinks>
  <pageMargins left="0.7" right="0.7" top="0.75" bottom="0.75" header="0.3" footer="0.3"/>
  <tableParts count="1">
    <tablePart r:id="Re1a53aa1cb634c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7B4C0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12" hidden="0" customWidth="1"/>
    <col min="2" max="2" width="28" hidden="0" customWidth="1"/>
    <col min="3" max="3" width="37" hidden="0" customWidth="1"/>
    <col min="4" max="4" width="58" hidden="0" customWidth="1"/>
    <col min="5" max="5" width="17" hidden="0" customWidth="1"/>
    <col min="6" max="6" width="49" hidden="0" customWidth="1"/>
    <col min="7" max="7" width="90" hidden="0" customWidth="1"/>
    <col min="8" max="8" width="18" hidden="0" customWidth="1"/>
    <col min="9" max="9" width="19" hidden="0" customWidth="1"/>
  </cols>
  <sheetData>
    <row r="1" ht="23" customHeight="1">
      <c r="A1" s="2"/>
      <c r="B1" s="2"/>
      <c r="C1" s="2"/>
      <c r="D1" s="2"/>
      <c r="E1" s="2"/>
      <c r="F1" s="2"/>
      <c r="G1" s="2"/>
      <c r="H1" s="2"/>
      <c r="I1" s="2"/>
    </row>
    <row r="2" ht="27" customHeight="1">
      <c r="A2" s="3" t="str">
        <v>Soluții, versiuni și condiții de utilizare</v>
      </c>
      <c r="B2" s="2"/>
      <c r="C2" s="2"/>
      <c r="D2" s="2"/>
      <c r="E2" s="2"/>
      <c r="F2" s="2"/>
      <c r="G2" s="2"/>
      <c r="H2" s="2"/>
      <c r="I2" s="2"/>
    </row>
    <row r="3" ht="23" customHeight="1">
      <c r="A3" s="4" t="str">
        <v>Date de release și repere identificate în cercetarea din 08.10.2026. Nu toate soluțiile au o versiune publică identificată.</v>
      </c>
      <c r="B3" s="2"/>
      <c r="C3" s="2"/>
      <c r="D3" s="2"/>
      <c r="E3" s="2"/>
      <c r="F3" s="2"/>
      <c r="G3" s="2"/>
      <c r="H3" s="2"/>
      <c r="I3" s="2"/>
    </row>
    <row r="4" ht="23" customHeight="1">
      <c r="A4" s="2" t="str">
        <v>EVA: commit 1c039193e0c1626cb03fb8ca37f9980a1703fd0c. Ramură: fix/116-remediere-izolare-multifirma. Instalarea activă nu a fost corelată cu acest commit.</v>
      </c>
      <c r="B4" s="2"/>
      <c r="C4" s="2"/>
      <c r="D4" s="2"/>
      <c r="E4" s="2"/>
      <c r="F4" s="2"/>
      <c r="G4" s="2"/>
      <c r="H4" s="2"/>
      <c r="I4" s="2"/>
    </row>
    <row r="5" ht="23" customHeight="1">
      <c r="A5" s="2" t="str">
        <v>OpenWMS 3.0.0 este versiunea repository-ului principal; serviciile au versiuni proprii. iDempiere standard: versiunea instalată rămâne necunoscută.</v>
      </c>
      <c r="B5" s="2"/>
      <c r="C5" s="2"/>
      <c r="D5" s="2"/>
      <c r="E5" s="2"/>
      <c r="F5" s="2"/>
      <c r="G5" s="2"/>
      <c r="H5" s="2"/>
      <c r="I5" s="2"/>
    </row>
    <row r="6" ht="23" customHeight="1">
      <c r="A6" s="2"/>
      <c r="B6" s="2"/>
      <c r="C6" s="2"/>
      <c r="D6" s="2"/>
      <c r="E6" s="2"/>
      <c r="F6" s="2"/>
      <c r="G6" s="2"/>
      <c r="H6" s="2"/>
      <c r="I6" s="2"/>
    </row>
    <row r="7" ht="29" customHeight="1">
      <c r="A7" s="31" t="str">
        <v>ID</v>
      </c>
      <c r="B7" s="32" t="str">
        <v>Soluție / modul</v>
      </c>
      <c r="C7" s="32" t="str">
        <v>Tip</v>
      </c>
      <c r="D7" s="32" t="str">
        <v>Versiune / reper complet</v>
      </c>
      <c r="E7" s="32" t="str">
        <v>Data reperului</v>
      </c>
      <c r="F7" s="32" t="str">
        <v>Licență</v>
      </c>
      <c r="G7" s="32" t="str">
        <v>Limită importantă</v>
      </c>
      <c r="H7" s="32" t="str">
        <v>Cod / pachet</v>
      </c>
      <c r="I7" s="33" t="str">
        <v>Documentație</v>
      </c>
    </row>
    <row r="8" ht="54" customHeight="1">
      <c r="A8" s="2" t="str">
        <v>eva</v>
      </c>
      <c r="B8" s="26" t="str">
        <v>EVA nativă</v>
      </c>
      <c r="C8" s="26" t="str">
        <v>Pluginuri proprii iDempiere</v>
      </c>
      <c r="D8" s="26" t="str">
        <v>1c039193e0c1626cb03fb8ca37f9980a1703fd0c</v>
      </c>
      <c r="E8" s="41" t="n">
        <v>46303</v>
      </c>
      <c r="F8" s="26" t="str">
        <v>Licența distribuției proprii nu a fost auditată</v>
      </c>
      <c r="G8" s="26" t="str">
        <v>Cod citit; revizia instalată nu este confirmată</v>
      </c>
      <c r="H8" s="39" t="str">
        <v>Cod / pachet</v>
      </c>
      <c r="I8" s="39" t="str">
        <v>Documentație</v>
      </c>
    </row>
    <row r="9" ht="54" customHeight="1">
      <c r="A9" s="2" t="str">
        <v>api</v>
      </c>
      <c r="B9" s="26" t="str">
        <v>EVA API</v>
      </c>
      <c r="C9" s="26" t="str">
        <v>Backend FastAPI și registru propriu</v>
      </c>
      <c r="D9" s="26" t="str">
        <v>1c039193e0c1626cb03fb8ca37f9980a1703fd0c</v>
      </c>
      <c r="E9" s="41" t="n">
        <v>46303</v>
      </c>
      <c r="F9" s="26" t="str">
        <v>Licența distribuției proprii nu a fost auditată</v>
      </c>
      <c r="G9" s="26" t="str">
        <v>POST-urile de gestiune citite scriu în modelele EVA; nu echivalați nota JSON cu postare ERP</v>
      </c>
      <c r="H9" s="39" t="str">
        <v>Cod / pachet</v>
      </c>
      <c r="I9" s="39" t="str">
        <v>Documentație</v>
      </c>
    </row>
    <row r="10" ht="54" customHeight="1">
      <c r="A10" s="2" t="str">
        <v>portal</v>
      </c>
      <c r="B10" s="26" t="str">
        <v>EVA portal</v>
      </c>
      <c r="C10" s="26" t="str">
        <v>Interfața eva_stock.html</v>
      </c>
      <c r="D10" s="26" t="str">
        <v>1c039193e0c1626cb03fb8ca37f9980a1703fd0c</v>
      </c>
      <c r="E10" s="41" t="n">
        <v>46303</v>
      </c>
      <c r="F10" s="26" t="str">
        <v>Licența distribuției proprii nu a fost auditată</v>
      </c>
      <c r="G10" s="26" t="str">
        <v>Evaluat numai ecranul de stoc/livrări/tracking</v>
      </c>
      <c r="H10" s="39" t="str">
        <v>Cod / pachet</v>
      </c>
      <c r="I10" s="39" t="str">
        <v>Documentație</v>
      </c>
    </row>
    <row r="11" ht="54" customHeight="1">
      <c r="A11" s="2" t="str">
        <v>base</v>
      </c>
      <c r="B11" s="26" t="str">
        <v>iDempiere standard</v>
      </c>
      <c r="C11" s="26" t="str">
        <v>ERP de bază</v>
      </c>
      <c r="D11" s="26" t="str">
        <v>Versiunea instalată nu a fost identificată</v>
      </c>
      <c r="E11" s="41"/>
      <c r="F11" s="26" t="str">
        <v>GPLv2 sau ulterior</v>
      </c>
      <c r="G11" s="26" t="str">
        <v>Manualele pot descrie versiuni istorice; configurația instalată trebuie verificată</v>
      </c>
      <c r="H11" s="39" t="str">
        <v>Cod / pachet</v>
      </c>
      <c r="I11" s="39" t="str">
        <v>Documentație</v>
      </c>
    </row>
    <row r="12" ht="54" customHeight="1">
      <c r="A12" s="2" t="str">
        <v>red1</v>
      </c>
      <c r="B12" s="26" t="str">
        <v>Red1 / SYSNOVA WMS</v>
      </c>
      <c r="C12" s="26" t="str">
        <v>Extensie WMS nativă</v>
      </c>
      <c r="D12" s="26" t="str">
        <v>JAR 6.1.0.201911201444; wiki 1.0 BETA</v>
      </c>
      <c r="E12" s="41" t="n">
        <v>43789</v>
      </c>
      <c r="F12" s="26" t="str">
        <v>GPLv2 sau ulterior în manual</v>
      </c>
      <c r="G12" s="26" t="str">
        <v>Sursa recuperabilă, buildul și compatibilitatea actuală rămân de demonstrat</v>
      </c>
      <c r="H12" s="39" t="str">
        <v>Cod / pachet</v>
      </c>
      <c r="I12" s="39" t="str">
        <v>Documentație</v>
      </c>
    </row>
    <row r="13" ht="54" customHeight="1">
      <c r="A13" s="2" t="str">
        <v>libero</v>
      </c>
      <c r="B13" s="26" t="str">
        <v>Libero Warehousing</v>
      </c>
      <c r="C13" s="26" t="str">
        <v>Extensie WMS istorică</v>
      </c>
      <c r="D13" s="26" t="str">
        <v>Wiki 1.0 ALPHA; JAR publicat 07.03.2015</v>
      </c>
      <c r="E13" s="41" t="n">
        <v>42070</v>
      </c>
      <c r="F13" s="26" t="str">
        <v>GPLv2 în wiki; README cu mențiune non-commercial</v>
      </c>
      <c r="G13" s="26" t="str">
        <v>Dependență Libero Manufacturing; outbound în versiunea documentată</v>
      </c>
      <c r="H13" s="39" t="str">
        <v>Cod / pachet</v>
      </c>
      <c r="I13" s="39" t="str">
        <v>Documentație</v>
      </c>
    </row>
    <row r="14" ht="54" customHeight="1">
      <c r="A14" s="2" t="str">
        <v>mywms</v>
      </c>
      <c r="B14" s="26" t="str">
        <v>myWMS Release 2</v>
      </c>
      <c r="C14" s="26" t="str">
        <v>WMS extern</v>
      </c>
      <c r="D14" s="26" t="str">
        <v>release-2.8.0; manual Inventory din aprilie 2022</v>
      </c>
      <c r="E14" s="41" t="n">
        <v>44417</v>
      </c>
      <c r="F14" s="26" t="str">
        <v>GPLv3 sau ulterior</v>
      </c>
      <c r="G14" s="26" t="str">
        <v>Release vechi nu dovedește abandon; validați stackul și integrarea SOAP</v>
      </c>
      <c r="H14" s="39" t="str">
        <v>Cod / pachet</v>
      </c>
      <c r="I14" s="39" t="str">
        <v>Documentație</v>
      </c>
    </row>
    <row r="15" ht="54" customHeight="1">
      <c r="A15" s="2" t="str">
        <v>openboxes</v>
      </c>
      <c r="B15" s="26" t="str">
        <v>OpenBoxes</v>
      </c>
      <c r="C15" s="26" t="str">
        <v>WMS extern</v>
      </c>
      <c r="D15" s="26" t="str">
        <v>v0.9.8-hotfix1</v>
      </c>
      <c r="E15" s="41" t="n">
        <v>46248</v>
      </c>
      <c r="F15" s="26" t="str">
        <v>EPL-1.0</v>
      </c>
      <c r="G15" s="26" t="str">
        <v>Manuale operaționale; unele pagini tehnice au indicii de vechime</v>
      </c>
      <c r="H15" s="39" t="str">
        <v>Cod / pachet</v>
      </c>
      <c r="I15" s="39" t="str">
        <v>Documentație</v>
      </c>
    </row>
    <row r="16" ht="54" customHeight="1">
      <c r="A16" s="2" t="str">
        <v>greater</v>
      </c>
      <c r="B16" s="26" t="str">
        <v>GreaterWMS</v>
      </c>
      <c r="C16" s="26" t="str">
        <v>WMS extern</v>
      </c>
      <c r="D16" s="26" t="str">
        <v>V2.1.52; README anunță și 3.0/Bomiot</v>
      </c>
      <c r="E16" s="41" t="n">
        <v>46280</v>
      </c>
      <c r="F16" s="26" t="str">
        <v>Apache-2.0 pentru repository</v>
      </c>
      <c r="G16" s="26" t="str">
        <v>Funcțiile custom și generația Bomiot nu sunt automat incluse în tagul V2.1.52</v>
      </c>
      <c r="H16" s="39" t="str">
        <v>Cod / pachet</v>
      </c>
      <c r="I16" s="39" t="str">
        <v>Documentație</v>
      </c>
    </row>
    <row r="17" ht="54" customHeight="1">
      <c r="A17" s="2" t="str">
        <v>openwms</v>
      </c>
      <c r="B17" s="26" t="str">
        <v>OpenWMS</v>
      </c>
      <c r="C17" s="26" t="str">
        <v>Platformă modulară WMS/WCS</v>
      </c>
      <c r="D17" s="26" t="str">
        <v>3.0.0 pentru repository-ul principal; servicii cu versiuni proprii</v>
      </c>
      <c r="E17" s="41" t="n">
        <v>45710</v>
      </c>
      <c r="F17" s="26" t="str">
        <v>Apache-2.0 / GPLv3 în funcție de componentă</v>
      </c>
      <c r="G17" s="26" t="str">
        <v>Unele componente WMS sunt private/preview; nu este un pachet WMS complet public verificat</v>
      </c>
      <c r="H17" s="39" t="str">
        <v>Cod / pachet</v>
      </c>
      <c r="I17" s="39" t="str">
        <v>Documentație</v>
      </c>
    </row>
    <row r="18" ht="54" customHeight="1">
      <c r="A18" s="2" t="str">
        <v>scan</v>
      </c>
      <c r="B18" s="26" t="str">
        <v>Android Scan Write</v>
      </c>
      <c r="C18" s="26" t="str">
        <v>Extensie complementară Android</v>
      </c>
      <c r="D18" s="26" t="str">
        <v>Fără tag/release confirmat în cercetare</v>
      </c>
      <c r="E18" s="41"/>
      <c r="F18" s="26" t="str">
        <v>Nu a fost verificată licența sursei distribuite</v>
      </c>
      <c r="G18" s="26" t="str">
        <v>Citire coduri și actualizare SQL/JDBC; nu dovedește un WMS complet</v>
      </c>
      <c r="H18" s="39" t="str">
        <v>Cod / pachet</v>
      </c>
      <c r="I18" s="39" t="str">
        <v>Documentație</v>
      </c>
    </row>
    <row r="19" ht="54" customHeight="1">
      <c r="A19" s="2" t="str">
        <v>tms</v>
      </c>
      <c r="B19" s="26" t="str">
        <v>TMS iDempiere</v>
      </c>
      <c r="C19" s="26" t="str">
        <v>Extensie de transport</v>
      </c>
      <c r="D19" s="26" t="str">
        <v>Fără tag/release confirmat în cercetare</v>
      </c>
      <c r="E19" s="41"/>
      <c r="F19" s="26" t="str">
        <v>Nu a fost verificată licența sursei distribuite</v>
      </c>
      <c r="G19" s="26" t="str">
        <v>Organizarea transporturilor nu echivalează cu operații interne de depozit</v>
      </c>
      <c r="H19" s="39" t="str">
        <v>Cod / pachet</v>
      </c>
      <c r="I19" s="39" t="str">
        <v>Documentație</v>
      </c>
    </row>
    <row r="20" ht="54" customHeight="1">
      <c r="A20" s="2" t="str">
        <v>mobile</v>
      </c>
      <c r="B20" s="26" t="str">
        <v>SCM iDempiere Mobile</v>
      </c>
      <c r="C20" s="26" t="str">
        <v>Aplicație mobilă Flutter</v>
      </c>
      <c r="D20" s="26" t="str">
        <v>Ofertă publică fără release identificat</v>
      </c>
      <c r="E20" s="41"/>
      <c r="F20" s="26" t="str">
        <v>Gratuitatea și un repository public nu sunt confirmate</v>
      </c>
      <c r="G20" s="26" t="str">
        <v>Funcții declarate de furnizor; nu au fost verificate prin cod sau pilot</v>
      </c>
      <c r="H20" s="39" t="str">
        <v>Cod / pachet</v>
      </c>
      <c r="I20" s="39" t="str">
        <v>Documentație</v>
      </c>
    </row>
  </sheetData>
  <hyperlinks>
    <hyperlink ref="H8" r:id="wmsLink1"/>
    <hyperlink ref="I8" r:id="wmsLink2"/>
    <hyperlink ref="H9" r:id="wmsLink3"/>
    <hyperlink ref="I9" r:id="wmsLink4"/>
    <hyperlink ref="H10" r:id="wmsLink5"/>
    <hyperlink ref="I10" r:id="wmsLink6"/>
    <hyperlink ref="H11" r:id="wmsLink7"/>
    <hyperlink ref="I11" r:id="wmsLink8"/>
    <hyperlink ref="H12" r:id="wmsLink9"/>
    <hyperlink ref="I12" r:id="wmsLink10"/>
    <hyperlink ref="H13" r:id="wmsLink11"/>
    <hyperlink ref="I13" r:id="wmsLink12"/>
    <hyperlink ref="H14" r:id="wmsLink13"/>
    <hyperlink ref="I14" r:id="wmsLink14"/>
    <hyperlink ref="H15" r:id="wmsLink15"/>
    <hyperlink ref="I15" r:id="wmsLink16"/>
    <hyperlink ref="H16" r:id="wmsLink17"/>
    <hyperlink ref="I16" r:id="wmsLink18"/>
    <hyperlink ref="H17" r:id="wmsLink19"/>
    <hyperlink ref="I17" r:id="wmsLink20"/>
    <hyperlink ref="H18" r:id="wmsLink21"/>
    <hyperlink ref="I18" r:id="wmsLink22"/>
    <hyperlink ref="H19" r:id="wmsLink23"/>
    <hyperlink ref="I19" r:id="wmsLink24"/>
    <hyperlink ref="H20" r:id="wmsLink25"/>
    <hyperlink ref="I20" r:id="wmsLink26"/>
  </hyperlinks>
  <pageMargins left="0.7" right="0.7" top="0.75" bottom="0.75" header="0.3" footer="0.3"/>
  <tableParts count="1">
    <tablePart r:id="R2653fd50c3cb4ea4"/>
  </tableParts>
</worksheet>
</file>